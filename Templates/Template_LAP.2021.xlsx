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13361BC0-5139-4533-8C1F-66C0A039B106}" xr6:coauthVersionLast="47" xr6:coauthVersionMax="47" xr10:uidLastSave="{00000000-0000-0000-0000-000000000000}"/>
  <bookViews>
    <workbookView xWindow="-120" yWindow="-120" windowWidth="29040" windowHeight="15840" tabRatio="793" activeTab="2" xr2:uid="{00000000-000D-0000-FFFF-FFFF00000000}"/>
  </bookViews>
  <sheets>
    <sheet name="README" sheetId="18" r:id="rId1"/>
    <sheet name="MAPA_DATA" sheetId="12" r:id="rId2"/>
    <sheet name="ReliquidacionEFACT" sheetId="19" r:id="rId3"/>
    <sheet name="ReliquidacionCEN" sheetId="7" r:id="rId4"/>
    <sheet name="ResumenRetiros" sheetId="22" r:id="rId5"/>
    <sheet name="FACT_EMITIDA" sheetId="2" r:id="rId6"/>
    <sheet name="SIGGE_E" sheetId="14" r:id="rId7"/>
    <sheet name="SIGGE_P" sheetId="15" r:id="rId8"/>
    <sheet name="FACT_EST_EFACT" sheetId="6" r:id="rId9"/>
    <sheet name="FactRealE" sheetId="23" r:id="rId10"/>
    <sheet name="FactRealP" sheetId="24" r:id="rId11"/>
    <sheet name="CEN_Energia" sheetId="11" r:id="rId12"/>
    <sheet name="CEN_Potencia" sheetId="21" r:id="rId13"/>
    <sheet name="EFACT_CNE" sheetId="1" r:id="rId14"/>
    <sheet name="EFACT_EST_CEN" sheetId="13" r:id="rId15"/>
    <sheet name="SIN_DATA" sheetId="16" r:id="rId16"/>
    <sheet name="INTERESES" sheetId="17" r:id="rId17"/>
  </sheets>
  <definedNames>
    <definedName name="_xlnm._FilterDatabase" localSheetId="13" hidden="1">EFACT_CNE!$A$1:$Y$415</definedName>
    <definedName name="_xlnm._FilterDatabase" localSheetId="5" hidden="1">FACT_EMITIDA!$A$1:$U$604</definedName>
    <definedName name="_xlnm._FilterDatabase" localSheetId="8" hidden="1">FACT_EST_EFACT!$A$1:$Z$113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0" i="7" l="1"/>
  <c r="AA11" i="7" s="1"/>
  <c r="AA12" i="7" s="1"/>
  <c r="AA13" i="7" s="1"/>
  <c r="AA14" i="7" s="1"/>
  <c r="H14" i="7"/>
  <c r="G14" i="7"/>
  <c r="H13" i="7"/>
  <c r="G13" i="7"/>
  <c r="H12" i="7"/>
  <c r="G12" i="7"/>
  <c r="H11" i="7"/>
  <c r="G11" i="7"/>
  <c r="H10" i="7"/>
  <c r="G10" i="7"/>
  <c r="H9" i="7"/>
  <c r="G9" i="7"/>
  <c r="E14" i="7"/>
  <c r="D14" i="7"/>
  <c r="E13" i="7"/>
  <c r="D13" i="7"/>
  <c r="E12" i="7"/>
  <c r="D12" i="7"/>
  <c r="E11" i="7"/>
  <c r="D11" i="7"/>
  <c r="E10" i="7"/>
  <c r="D10" i="7"/>
  <c r="E9" i="7"/>
  <c r="D9" i="7"/>
  <c r="H10" i="19"/>
  <c r="H11" i="19"/>
  <c r="H12" i="19"/>
  <c r="H13" i="19"/>
  <c r="H14" i="19"/>
  <c r="H9" i="19"/>
  <c r="G10" i="19"/>
  <c r="G11" i="19"/>
  <c r="G12" i="19"/>
  <c r="G13" i="19"/>
  <c r="G14" i="19"/>
  <c r="G9" i="19"/>
  <c r="E10" i="19"/>
  <c r="E11" i="19"/>
  <c r="E12" i="19"/>
  <c r="E13" i="19"/>
  <c r="E14" i="19"/>
  <c r="E9" i="19"/>
  <c r="D10" i="19"/>
  <c r="D11" i="19"/>
  <c r="D12" i="19"/>
  <c r="D13" i="19"/>
  <c r="D14" i="19"/>
  <c r="D9" i="19"/>
  <c r="H15" i="22" l="1"/>
  <c r="G15" i="22"/>
  <c r="F15" i="22"/>
  <c r="E15" i="22"/>
  <c r="D15" i="22"/>
  <c r="AE15" i="19"/>
  <c r="AE15" i="7"/>
  <c r="H9" i="22" l="1"/>
  <c r="G9" i="22"/>
  <c r="F9" i="22"/>
  <c r="E9" i="22"/>
  <c r="D9" i="22"/>
  <c r="A10" i="22"/>
  <c r="A11" i="22" s="1"/>
  <c r="A12" i="22" s="1"/>
  <c r="A13" i="22" s="1"/>
  <c r="A14" i="22" s="1"/>
  <c r="M9" i="7"/>
  <c r="P9" i="7"/>
  <c r="Q9" i="7"/>
  <c r="N9" i="7"/>
  <c r="H12" i="22" l="1"/>
  <c r="D13" i="22"/>
  <c r="D10" i="22"/>
  <c r="D11" i="22"/>
  <c r="E11" i="22"/>
  <c r="E13" i="22"/>
  <c r="H11" i="22"/>
  <c r="F11" i="22"/>
  <c r="F13" i="22"/>
  <c r="H10" i="22"/>
  <c r="G11" i="22"/>
  <c r="G13" i="22"/>
  <c r="D14" i="22"/>
  <c r="E10" i="22"/>
  <c r="E12" i="22"/>
  <c r="E14" i="22"/>
  <c r="D12" i="22"/>
  <c r="F10" i="22"/>
  <c r="F12" i="22"/>
  <c r="F14" i="22"/>
  <c r="H14" i="22"/>
  <c r="G10" i="22"/>
  <c r="G12" i="22"/>
  <c r="G14" i="22"/>
  <c r="H13" i="22"/>
  <c r="L14" i="19"/>
  <c r="L13" i="19"/>
  <c r="L12" i="19"/>
  <c r="L11" i="19"/>
  <c r="AA10" i="19"/>
  <c r="AA11" i="19" s="1"/>
  <c r="AA12" i="19" s="1"/>
  <c r="AA13" i="19" s="1"/>
  <c r="AA14" i="19" s="1"/>
  <c r="L10" i="19"/>
  <c r="Q10" i="19" s="1"/>
  <c r="A10" i="19"/>
  <c r="AB10" i="19" s="1"/>
  <c r="AE9" i="19"/>
  <c r="AD9" i="19"/>
  <c r="AC9" i="19"/>
  <c r="AB9" i="19"/>
  <c r="V9" i="19"/>
  <c r="S9" i="19"/>
  <c r="R9" i="19"/>
  <c r="O9" i="19"/>
  <c r="L9" i="19"/>
  <c r="P9" i="19" s="1"/>
  <c r="J9" i="19"/>
  <c r="I9" i="19"/>
  <c r="F9" i="19"/>
  <c r="Q9" i="19" l="1"/>
  <c r="R10" i="19"/>
  <c r="M10" i="19"/>
  <c r="S10" i="19"/>
  <c r="N10" i="19"/>
  <c r="P10" i="19"/>
  <c r="AC10" i="19"/>
  <c r="AD10" i="19"/>
  <c r="M9" i="19"/>
  <c r="I10" i="19"/>
  <c r="AE10" i="19"/>
  <c r="N9" i="19"/>
  <c r="J10" i="19"/>
  <c r="A11" i="19"/>
  <c r="J11" i="19"/>
  <c r="S11" i="19"/>
  <c r="V10" i="19"/>
  <c r="AB11" i="19"/>
  <c r="F10" i="19"/>
  <c r="O10" i="19"/>
  <c r="AE9" i="7"/>
  <c r="AD9" i="7"/>
  <c r="AC9" i="7"/>
  <c r="AB9" i="7"/>
  <c r="V9" i="7"/>
  <c r="R9" i="7"/>
  <c r="O9" i="7"/>
  <c r="I9" i="7"/>
  <c r="F9" i="7"/>
  <c r="S9" i="7"/>
  <c r="J9" i="7"/>
  <c r="AE11" i="19" l="1"/>
  <c r="Q11" i="19"/>
  <c r="I11" i="19"/>
  <c r="A12" i="19"/>
  <c r="R11" i="19"/>
  <c r="AC11" i="19"/>
  <c r="N11" i="19"/>
  <c r="P11" i="19"/>
  <c r="AD11" i="19"/>
  <c r="O11" i="19"/>
  <c r="F11" i="19"/>
  <c r="V11" i="19"/>
  <c r="M11" i="19"/>
  <c r="A10" i="7"/>
  <c r="S12" i="19" l="1"/>
  <c r="P12" i="19"/>
  <c r="AB12" i="19"/>
  <c r="N12" i="19"/>
  <c r="F12" i="19"/>
  <c r="J12" i="19"/>
  <c r="O12" i="19"/>
  <c r="AE12" i="19"/>
  <c r="AC12" i="19"/>
  <c r="AD12" i="19"/>
  <c r="A13" i="19"/>
  <c r="I12" i="19"/>
  <c r="R12" i="19"/>
  <c r="M12" i="19"/>
  <c r="V12" i="19"/>
  <c r="Q12" i="19"/>
  <c r="P10" i="7"/>
  <c r="M10" i="7"/>
  <c r="N10" i="7"/>
  <c r="Q10" i="7"/>
  <c r="AD10" i="7"/>
  <c r="I10" i="7"/>
  <c r="F10" i="7"/>
  <c r="AC10" i="7"/>
  <c r="O10" i="7"/>
  <c r="V10" i="7"/>
  <c r="AE10" i="7"/>
  <c r="AB10" i="7"/>
  <c r="R10" i="7"/>
  <c r="J10" i="7"/>
  <c r="S10" i="7"/>
  <c r="A11" i="7"/>
  <c r="Q13" i="19" l="1"/>
  <c r="M13" i="19"/>
  <c r="N13" i="19"/>
  <c r="P13" i="19"/>
  <c r="AD13" i="19"/>
  <c r="S13" i="19"/>
  <c r="V13" i="19"/>
  <c r="AC13" i="19"/>
  <c r="O13" i="19"/>
  <c r="A14" i="19"/>
  <c r="AB13" i="19"/>
  <c r="F13" i="19"/>
  <c r="R13" i="19"/>
  <c r="I13" i="19"/>
  <c r="AE13" i="19"/>
  <c r="J13" i="19"/>
  <c r="P11" i="7"/>
  <c r="M11" i="7"/>
  <c r="N11" i="7"/>
  <c r="Q11" i="7"/>
  <c r="AC11" i="7"/>
  <c r="AB11" i="7"/>
  <c r="V11" i="7"/>
  <c r="S11" i="7"/>
  <c r="I11" i="7"/>
  <c r="F11" i="7"/>
  <c r="J11" i="7"/>
  <c r="AE11" i="7"/>
  <c r="O11" i="7"/>
  <c r="AD11" i="7"/>
  <c r="R11" i="7"/>
  <c r="A12" i="7"/>
  <c r="Q14" i="19" l="1"/>
  <c r="N14" i="19"/>
  <c r="P14" i="19"/>
  <c r="M14" i="19"/>
  <c r="O14" i="19"/>
  <c r="I14" i="19"/>
  <c r="F14" i="19"/>
  <c r="AE14" i="19"/>
  <c r="AC14" i="19"/>
  <c r="AB14" i="19"/>
  <c r="V14" i="19"/>
  <c r="S14" i="19"/>
  <c r="J14" i="19"/>
  <c r="AD14" i="19"/>
  <c r="R14" i="19"/>
  <c r="P12" i="7"/>
  <c r="M12" i="7"/>
  <c r="Q12" i="7"/>
  <c r="N12" i="7"/>
  <c r="AB12" i="7"/>
  <c r="S12" i="7"/>
  <c r="O12" i="7"/>
  <c r="R12" i="7"/>
  <c r="AC12" i="7"/>
  <c r="J12" i="7"/>
  <c r="V12" i="7"/>
  <c r="I12" i="7"/>
  <c r="F12" i="7"/>
  <c r="AE12" i="7"/>
  <c r="AD12" i="7"/>
  <c r="A13" i="7"/>
  <c r="Q13" i="7" l="1"/>
  <c r="P13" i="7"/>
  <c r="M13" i="7"/>
  <c r="N13" i="7"/>
  <c r="AE13" i="7"/>
  <c r="J13" i="7"/>
  <c r="F13" i="7"/>
  <c r="O13" i="7"/>
  <c r="AD13" i="7"/>
  <c r="S13" i="7"/>
  <c r="I13" i="7"/>
  <c r="V13" i="7"/>
  <c r="AC13" i="7"/>
  <c r="R13" i="7"/>
  <c r="AB13" i="7"/>
  <c r="A14" i="7"/>
  <c r="Q14" i="7" l="1"/>
  <c r="M14" i="7"/>
  <c r="N14" i="7"/>
  <c r="P14" i="7"/>
  <c r="AD14" i="7"/>
  <c r="I14" i="7"/>
  <c r="F14" i="7"/>
  <c r="AC14" i="7"/>
  <c r="O14" i="7"/>
  <c r="J14" i="7"/>
  <c r="R14" i="7"/>
  <c r="V14" i="7"/>
  <c r="S14" i="7"/>
  <c r="AE14" i="7"/>
  <c r="AB14" i="7"/>
</calcChain>
</file>

<file path=xl/sharedStrings.xml><?xml version="1.0" encoding="utf-8"?>
<sst xmlns="http://schemas.openxmlformats.org/spreadsheetml/2006/main" count="43108" uniqueCount="479">
  <si>
    <t>IdContrato</t>
  </si>
  <si>
    <t>MesDevengado</t>
  </si>
  <si>
    <t>Anho</t>
  </si>
  <si>
    <t>Mes</t>
  </si>
  <si>
    <t>Codigo</t>
  </si>
  <si>
    <t>DX</t>
  </si>
  <si>
    <t>NomEmpresaDistribuidora</t>
  </si>
  <si>
    <t>GX</t>
  </si>
  <si>
    <t>NomSuministrador</t>
  </si>
  <si>
    <t>CodigoContrato</t>
  </si>
  <si>
    <t>PuntoRetiro</t>
  </si>
  <si>
    <t>Contrato</t>
  </si>
  <si>
    <t>Energia_kWh</t>
  </si>
  <si>
    <t>Potencia_kW</t>
  </si>
  <si>
    <t>Sistema</t>
  </si>
  <si>
    <t>DataCreated</t>
  </si>
  <si>
    <t>IdBarra</t>
  </si>
  <si>
    <t>NomBarra</t>
  </si>
  <si>
    <t>Energia</t>
  </si>
  <si>
    <t>PrecioEnergia</t>
  </si>
  <si>
    <t>TotalEnergia</t>
  </si>
  <si>
    <t>Potencia</t>
  </si>
  <si>
    <t>PrecioPotencia</t>
  </si>
  <si>
    <t>TotalPotencia</t>
  </si>
  <si>
    <t>EmpresaDistribuidora</t>
  </si>
  <si>
    <t>Empresa Eléctrica Carén S.A.</t>
  </si>
  <si>
    <t>ALTO JAHUEL 220</t>
  </si>
  <si>
    <t>ITAHUE 220</t>
  </si>
  <si>
    <t>RAPEL 220</t>
  </si>
  <si>
    <t>Periodo</t>
  </si>
  <si>
    <t>Nombre</t>
  </si>
  <si>
    <t>Num</t>
  </si>
  <si>
    <t>Barra</t>
  </si>
  <si>
    <t>Monto</t>
  </si>
  <si>
    <t>Concepto</t>
  </si>
  <si>
    <t>Agrupacion</t>
  </si>
  <si>
    <t>Glosa</t>
  </si>
  <si>
    <t>FechaCarga</t>
  </si>
  <si>
    <t>TipoDocumento</t>
  </si>
  <si>
    <t>Folio</t>
  </si>
  <si>
    <t>Vendedor</t>
  </si>
  <si>
    <t>Comprador</t>
  </si>
  <si>
    <t>Bloque</t>
  </si>
  <si>
    <t>Empresa</t>
  </si>
  <si>
    <t>ClaveEEDD</t>
  </si>
  <si>
    <t>Licitacion</t>
  </si>
  <si>
    <t>NomAgrupacion</t>
  </si>
  <si>
    <t>TotalBarras</t>
  </si>
  <si>
    <t>Energia Licitaciones</t>
  </si>
  <si>
    <t>Energía</t>
  </si>
  <si>
    <t>s</t>
  </si>
  <si>
    <t>Caren</t>
  </si>
  <si>
    <t>Reactivos Licitaciones</t>
  </si>
  <si>
    <t>Reactivo</t>
  </si>
  <si>
    <t>Potencia Licitaciones</t>
  </si>
  <si>
    <t>Ajuste por Armonizacion Tarifaria Licitaciones</t>
  </si>
  <si>
    <t>AAT</t>
  </si>
  <si>
    <t>Reliq. por PNP Energia Licitaciones</t>
  </si>
  <si>
    <t>Reliq. por PNP Potencia Licitaciones</t>
  </si>
  <si>
    <t>TENO</t>
  </si>
  <si>
    <t>Generador</t>
  </si>
  <si>
    <t>Distribuidor</t>
  </si>
  <si>
    <t>Energía (kWh)</t>
  </si>
  <si>
    <t>Monto Total ($)</t>
  </si>
  <si>
    <t>$/kWh</t>
  </si>
  <si>
    <t>2013/03-2° Llamado</t>
  </si>
  <si>
    <t>Potencia (kW)</t>
  </si>
  <si>
    <t>$/kW-mes</t>
  </si>
  <si>
    <t>Monto Energía ($)</t>
  </si>
  <si>
    <t>Monto Potencia ($)</t>
  </si>
  <si>
    <t>Reliquidación</t>
  </si>
  <si>
    <t>Fecha</t>
  </si>
  <si>
    <t>Montos a favor</t>
  </si>
  <si>
    <t>Montos en contra</t>
  </si>
  <si>
    <t>Charrua 220</t>
  </si>
  <si>
    <t>PrecioEnergiaAjustado</t>
  </si>
  <si>
    <t>TotalEnergiaAjustado</t>
  </si>
  <si>
    <t>PrecioPotenciaAjustado</t>
  </si>
  <si>
    <t>TotalPotenciaAjustado</t>
  </si>
  <si>
    <t>SIC4</t>
  </si>
  <si>
    <t>STX E</t>
  </si>
  <si>
    <t>CHARRUA 220</t>
  </si>
  <si>
    <t>Itahue 220</t>
  </si>
  <si>
    <t>A.JAHUEL 220</t>
  </si>
  <si>
    <t>CEC</t>
  </si>
  <si>
    <t>Curico</t>
  </si>
  <si>
    <t>Curico 13.2</t>
  </si>
  <si>
    <t>QUINTA</t>
  </si>
  <si>
    <t>Quinta 13.8</t>
  </si>
  <si>
    <t>Teno</t>
  </si>
  <si>
    <t>Teno 13.2</t>
  </si>
  <si>
    <t>MELIPILLA 220</t>
  </si>
  <si>
    <t>Cec</t>
  </si>
  <si>
    <t>Reliq. Energia Licitaciones</t>
  </si>
  <si>
    <t>A.MELIP 220</t>
  </si>
  <si>
    <t>Reliq. Ajuste por Armonizacion Tarifaria Licitaciones</t>
  </si>
  <si>
    <t>[GX]</t>
  </si>
  <si>
    <t>[EEDD]</t>
  </si>
  <si>
    <t>[BLOQUE]</t>
  </si>
  <si>
    <t>01-04-2016</t>
  </si>
  <si>
    <t>CAREN</t>
  </si>
  <si>
    <t>SIC 2013/03_2_BS1A_BB_CEC_Empresa Eléctrica Carén S.A.</t>
  </si>
  <si>
    <t>CURICÓ 13,2</t>
  </si>
  <si>
    <t>SIC 2013/03_2_BS1A_BB</t>
  </si>
  <si>
    <t>QUINTA 13,2</t>
  </si>
  <si>
    <t>01-03-2016</t>
  </si>
  <si>
    <t>TENO 13,2</t>
  </si>
  <si>
    <t>01-01-2016</t>
  </si>
  <si>
    <t>SIC 2013/03-2_BS1A_29_CAREN</t>
  </si>
  <si>
    <t>SIC 2013/03-2_BS1A</t>
  </si>
  <si>
    <t>01-02-2016</t>
  </si>
  <si>
    <t>SIC 2013/03-2_BS1A_CEC_CAREN</t>
  </si>
  <si>
    <t>01-04-2018</t>
  </si>
  <si>
    <t>01-09-2018</t>
  </si>
  <si>
    <t>01-10-2018</t>
  </si>
  <si>
    <t>01-11-2018</t>
  </si>
  <si>
    <t>01-12-2018</t>
  </si>
  <si>
    <t>01-02-2018</t>
  </si>
  <si>
    <t>01-03-2018</t>
  </si>
  <si>
    <t>01-01-2018</t>
  </si>
  <si>
    <t>01-05-2018</t>
  </si>
  <si>
    <t>01-09-2017</t>
  </si>
  <si>
    <t>01-01-2017</t>
  </si>
  <si>
    <t>CEC 2013/03-02 _CAREN_BS1A</t>
  </si>
  <si>
    <t>01-02-2017</t>
  </si>
  <si>
    <t>01-03-2017</t>
  </si>
  <si>
    <t>01-06-2018</t>
  </si>
  <si>
    <t>01-10-2017</t>
  </si>
  <si>
    <t>01-11-2017</t>
  </si>
  <si>
    <t>01-08-2016</t>
  </si>
  <si>
    <t>01-11-2016</t>
  </si>
  <si>
    <t>01-09-2016</t>
  </si>
  <si>
    <t>01-12-2016</t>
  </si>
  <si>
    <t>01-10-2016</t>
  </si>
  <si>
    <t>01-05-2016</t>
  </si>
  <si>
    <t>01-07-2016</t>
  </si>
  <si>
    <t>01-06-2016</t>
  </si>
  <si>
    <t>01-08-2017</t>
  </si>
  <si>
    <t>01-12-2017</t>
  </si>
  <si>
    <t>01-07-2018</t>
  </si>
  <si>
    <t>01-08-2018</t>
  </si>
  <si>
    <t>01-04-2017</t>
  </si>
  <si>
    <t>01-07-2017</t>
  </si>
  <si>
    <t>01-06-2017</t>
  </si>
  <si>
    <t>01-05-2017</t>
  </si>
  <si>
    <t>01-01-2019</t>
  </si>
  <si>
    <t>01-07-2019</t>
  </si>
  <si>
    <t>01-02-2019</t>
  </si>
  <si>
    <t>01-12-2019</t>
  </si>
  <si>
    <t>01-03-2019</t>
  </si>
  <si>
    <t>01-04-2019</t>
  </si>
  <si>
    <t>01-08-2019</t>
  </si>
  <si>
    <t>01-05-2019</t>
  </si>
  <si>
    <t>01-06-2019</t>
  </si>
  <si>
    <t>01-09-2019</t>
  </si>
  <si>
    <t>01-11-2019</t>
  </si>
  <si>
    <t>01-10-2019</t>
  </si>
  <si>
    <t>Licitación Caren y Cec (SIC 2013/03-2) BS1A</t>
  </si>
  <si>
    <t>Lic. SIC 2013/03-2 bloques BS1A: Energía sep 2018</t>
  </si>
  <si>
    <t>BS1A</t>
  </si>
  <si>
    <t>Lic. SIC 2013/03-2 bloques BS1A: Energía oct 2018</t>
  </si>
  <si>
    <t>Lic. SIC 2013/03-2 bloques BS1A: Energía nov 2018</t>
  </si>
  <si>
    <t>Lic. SIC 2013/03-2 bloques BS1A: Energía dic 2018</t>
  </si>
  <si>
    <t>Lic. SIC 2013/03-2 bloques BS1A: Reliq. Energía ene 2019</t>
  </si>
  <si>
    <t>Lic. SIC 2013/03-2 bloques BS1A: Energía ene 2019</t>
  </si>
  <si>
    <t>Lic. SIC 2013/03-2 bloques BS1A: Energía feb 2019</t>
  </si>
  <si>
    <t>Lic. SIC 2013/03-2 bloques BS1A: Reliq. Energía feb 2019</t>
  </si>
  <si>
    <t>Lic. SIC 2013/03-2 bloques BS1A: Energía mar 2019</t>
  </si>
  <si>
    <t>Lic. SIC 2013/03-2 bloques BS1A: Reliq. Energía mar 2019</t>
  </si>
  <si>
    <t>Lic. SIC 2013/03-2 bloques BS1A: Reliq. Energía abr 2019</t>
  </si>
  <si>
    <t>Lic. SIC 2013/03-2 bloques BS1A: Potencia abr 2019</t>
  </si>
  <si>
    <t>Lic. SIC 2013/03-2 bloques BS1A: Energía abr 2019</t>
  </si>
  <si>
    <t>Lic. SIC 2013/03-2 bloques BS1A: Reliq. Energía may 2019</t>
  </si>
  <si>
    <t>Lic. SIC 2013/03-2 bloques BS1A: Potencia may 2019</t>
  </si>
  <si>
    <t>Lic. SIC 2013/03-2 bloques BS1A: Energía may 2019</t>
  </si>
  <si>
    <t>Lic. SIC 2013/03-2 bloques BS1A: Potencia jun 2019</t>
  </si>
  <si>
    <t>Lic. SIC 2013/03-2 bloques BS1A: Reliq. Energía jun 2019</t>
  </si>
  <si>
    <t>Lic. SIC 2013/03-2 bloques BS1A: Energía jun 2019</t>
  </si>
  <si>
    <t>Lic. SIC 2013/03-2 bloques BS1A: Energía jul 2019</t>
  </si>
  <si>
    <t>Lic. SIC 2013/03-2 bloques BS1A: Reliq. Energía jul 2019</t>
  </si>
  <si>
    <t>Lic. SIC 2013/03-2 bloques BS1A: Potencia jul 2019</t>
  </si>
  <si>
    <t>Lic. SIC 2013/03-2 bloques BS1A: Energía ago 2019</t>
  </si>
  <si>
    <t>Lic. SIC 2013/03-2 bloques BS1A: Reliq. Energía ago 2019</t>
  </si>
  <si>
    <t>Lic. SIC 2013/03-2 bloques BS1A: Potencia oct 2019</t>
  </si>
  <si>
    <t>Lic. SIC 2013/03-2 bloques BS1A: Energía sep 2019</t>
  </si>
  <si>
    <t>Lic. SIC 2013/03-2 bloques BS1A: Energía  2019-9 facturada</t>
  </si>
  <si>
    <t>Lic. SIC 2013/03-2 bloques BS1A: Potencia  2019-9 PEC 7T-2019</t>
  </si>
  <si>
    <t>Reliq. Lic. SIC 2013/03-2 bloques BS1A: Energía oct 2019</t>
  </si>
  <si>
    <t>Lic. SIC 2013/03-2 bloques BS1A: Energía  2019-9 PEC 7T-2019</t>
  </si>
  <si>
    <t>Lic. SIC 2013/03-2 bloques BS1A: Energía oct 2019</t>
  </si>
  <si>
    <t>Lic. SIC 2013/03-2 bloques BS1A: Potencia  2019-9 facturada</t>
  </si>
  <si>
    <t>Lic. SIC 2013/03-2 bloques BS1A: Potencia nov 2019</t>
  </si>
  <si>
    <t>Lic. SIC 2013/03-2 bloques BS1A: Reliq. Energía nov 2019</t>
  </si>
  <si>
    <t>Lic. SIC 2013/03-2 bloques BS1A: Energía nov 2019</t>
  </si>
  <si>
    <t>Lic. SIC 2013/03-2 bloques BS1A: Reliq. Energía dic 2019</t>
  </si>
  <si>
    <t>Lic. SIC 2013/03-2 bloques BS1A: Potencia dic 2019</t>
  </si>
  <si>
    <t>Lic. SIC 2013/03-2 bloques BS1A: Energía dic 2019</t>
  </si>
  <si>
    <t>01-01-2020</t>
  </si>
  <si>
    <t>Lic. SIC 2013/03-2 bloques BS1A: Reliq. Energía ene 2020</t>
  </si>
  <si>
    <t>Lic. SIC 2013/03-2 bloques BS1A: Potencia ene 2020</t>
  </si>
  <si>
    <t>Lic. SIC 2013/03-2 bloques BS1A: Energía ene 2020</t>
  </si>
  <si>
    <t>01-02-2020</t>
  </si>
  <si>
    <t>Lic. SIC 2013/03-2 bloques BS1A: Energía feb 2020</t>
  </si>
  <si>
    <t>Lic. SIC 2013/03-2 bloques BS1A: Potencia feb 2020</t>
  </si>
  <si>
    <t>Lic. SIC 2013/03-2 bloques BS1A: Reliq. Energía feb 2020</t>
  </si>
  <si>
    <t>01-03-2020</t>
  </si>
  <si>
    <t>Lic. SIC 2013/03-2 bloques BS1A: Potencia mar 2020</t>
  </si>
  <si>
    <t>Lic. SIC 2013/03-2 bloques BS1A: Reliq. Energía mar 2020</t>
  </si>
  <si>
    <t>Lic. SIC 2013/03-2 bloques BS1A: Energía mar 2020</t>
  </si>
  <si>
    <t>01-04-2020</t>
  </si>
  <si>
    <t>Lic. SIC 2013/03-2 bloques BS1A: Reactivo abr 2020</t>
  </si>
  <si>
    <t>Lic. SIC 2013/03-2 bloques BS1A: Reliq. Energía abr 2020</t>
  </si>
  <si>
    <t>Lic. SIC 2013/03-2 bloques BS1A: Potencia abr 2020</t>
  </si>
  <si>
    <t>Lic. SIC 2013/03-2 bloques BS1A: Reliq. AAT abr 2020</t>
  </si>
  <si>
    <t>Lic. SIC 2013/03-2 bloques BS1A: AAT abr 2020</t>
  </si>
  <si>
    <t>Lic. SIC 2013/03-2 bloques BS1A: Energía abr 2020</t>
  </si>
  <si>
    <t>01-05-2020</t>
  </si>
  <si>
    <t>Lic. SIC 2013/03-2 bloques BS1A: Reliq. Energía may 2020</t>
  </si>
  <si>
    <t>Lic. SIC 2013/03-2 bloques BS1A: Reliq. AAT may 2020</t>
  </si>
  <si>
    <t>Lic. SIC 2013/03-2 bloques BS1A: Reactivo may 2020</t>
  </si>
  <si>
    <t>Lic. SIC 2013/03-2 bloques BS1A: Energía may 2020</t>
  </si>
  <si>
    <t>Lic. SIC 2013/03-2 bloques BS1A: Potencia may 2020</t>
  </si>
  <si>
    <t>Lic. SIC 2013/03-2 bloques BS1A: AAT may 2020</t>
  </si>
  <si>
    <t>01-06-2020</t>
  </si>
  <si>
    <t>Lic. SIC 2013/03-2 bloques BS1A: Potencia jun 2020</t>
  </si>
  <si>
    <t>Lic. SIC 2013/03-2 bloques BS1A: Reactivo jun 2020</t>
  </si>
  <si>
    <t>Lic. SIC 2013/03-2 bloques BS1A: AAT jun 2020</t>
  </si>
  <si>
    <t>Lic. SIC 2013/03-2 bloques BS1A: Reliq. AAT jun 2020</t>
  </si>
  <si>
    <t>Lic. SIC 2013/03-2 bloques BS1A: Energía jun 2020</t>
  </si>
  <si>
    <t>Lic. SIC 2013/03-2 bloques BS1A: Reliq. Energía jun 2020</t>
  </si>
  <si>
    <t>01-07-2020</t>
  </si>
  <si>
    <t>Lic. SIC 2013/03-2 bloques BS1A: Potencia jul 2020</t>
  </si>
  <si>
    <t>Lic. SIC 2013/03-2 bloques BS1A: Reliq. AAT jul 2020</t>
  </si>
  <si>
    <t>Lic. SIC 2013/03-2 bloques BS1A: Reactivo jul 2020</t>
  </si>
  <si>
    <t>Lic. SIC 2013/03-2 bloques BS1A: AAT jul 2020</t>
  </si>
  <si>
    <t>Lic. SIC 2013/03-2 bloques BS1A: Energía jul 2020</t>
  </si>
  <si>
    <t>Lic. SIC 2013/03-2 bloques BS1A: Reliq. Energía jul 2020</t>
  </si>
  <si>
    <t>01-08-2020</t>
  </si>
  <si>
    <t>Lic. SIC 2013/03-2 bloques BS1A: Potencia ago 2020</t>
  </si>
  <si>
    <t>Lic. SIC 2013/03-2 bloques BS1A: Energía ago 2020</t>
  </si>
  <si>
    <t>Lic. SIC 2013/03-2 bloques BS1A: Reliq. AAT ago 2020</t>
  </si>
  <si>
    <t>Lic. SIC 2013/03-2 bloques BS1A: AAT ago 2020</t>
  </si>
  <si>
    <t>Lic. SIC 2013/03-2 bloques BS1A: Reactivo ago 2020</t>
  </si>
  <si>
    <t>Lic. SIC 2013/03-2 bloques BS1A: Reliq. Energía ago 2020</t>
  </si>
  <si>
    <t>01-09-2020</t>
  </si>
  <si>
    <t>Lic. SIC 2013/03-2 bloques BS1A: Reliq. Energía sep 2020</t>
  </si>
  <si>
    <t>Lic. SIC 2013/03-2 bloques BS1A: Reactivo sep 2020</t>
  </si>
  <si>
    <t>Lic. SIC 2013/03-2 bloques BS1A: Reliq. AAT sep 2020</t>
  </si>
  <si>
    <t>Lic. SIC 2013/03-2 bloques BS1A: Potencia sep 2020</t>
  </si>
  <si>
    <t>Lic. SIC 2013/03-2 bloques BS1A: Energía sep 2020</t>
  </si>
  <si>
    <t>Lic. SIC 2013/03-2 bloques BS1A: AAT sep 2020</t>
  </si>
  <si>
    <t>Lic. SIC 2013/03-2 bloques BS1A: Potencia oct 2020</t>
  </si>
  <si>
    <t>Lic. SIC 2013/03-2 bloques BS1A: Reactivo oct 2020</t>
  </si>
  <si>
    <t>Lic. SIC 2013/03-2 bloques BS1A: Reliq. Energía oct 2020</t>
  </si>
  <si>
    <t>Lic. SIC 2013/03-2 bloques BS1A: Reliq. AAT oct 2020</t>
  </si>
  <si>
    <t>Lic. SIC 2013/03-2 bloques BS1A: AAT oct 2020</t>
  </si>
  <si>
    <t>Lic. SIC 2013/03-2 bloques BS1A: Energía oct 2020</t>
  </si>
  <si>
    <t>Lic. SIC 2013/03-2 bloques BS1A: AAT nov 2020</t>
  </si>
  <si>
    <t>Lic. SIC 2013/03-2 bloques BS1A: Reactivo nov 2020</t>
  </si>
  <si>
    <t>Lic. SIC 2013/03-2 bloques BS1A: Reliq. Energía nov 2020</t>
  </si>
  <si>
    <t>Lic. SIC 2013/03-2 bloques BS1A: Reliq. AAT nov 2020</t>
  </si>
  <si>
    <t>Lic. SIC 2013/03-2 bloques BS1A: Potencia nov 2020</t>
  </si>
  <si>
    <t>Reliq. Reactivos Licitaciones</t>
  </si>
  <si>
    <t>Lic. SIC 2013/03-2 bloques BS1A: Reliq. Reactivo nov 2020</t>
  </si>
  <si>
    <t>Lic. SIC 2013/03-2 bloques BS1A: Energía nov 2020</t>
  </si>
  <si>
    <t>Lic. SIC 2013/03-2 bloques BS1A: Potencia dic 2020</t>
  </si>
  <si>
    <t>Lic. SIC 2013/03-2 bloques BS1A: Reactivo dic 2020</t>
  </si>
  <si>
    <t>Lic. SIC 2013/03-2 bloques BS1A: Energía dic 2020</t>
  </si>
  <si>
    <t>Lic. SIC 2013/03-2 bloques BS1A: Reliq. Energía dic 2020</t>
  </si>
  <si>
    <t>Lic. SIC 2013/03-2 bloques BS1A: AAT dic 2020</t>
  </si>
  <si>
    <t>Lic. SIC 2013/03-2 bloques BS1A: Reliq. Energía ene 2021</t>
  </si>
  <si>
    <t>Lic. SIC 2013/03-2 bloques BS1A: AAT ene 2021</t>
  </si>
  <si>
    <t>Lic. SIC 2013/03-2 bloques BS1A: Energía ene 2021</t>
  </si>
  <si>
    <t>Lic. SIC 2013/03-2 bloques BS1A: Reactivo ene 2021</t>
  </si>
  <si>
    <t>Lic. SIC 2013/03-2 bloques BS1A: Potencia ene 2021</t>
  </si>
  <si>
    <t>Lic. SIC 2013/03-2 bloques BS1A: Potencia feb 2021</t>
  </si>
  <si>
    <t>Lic. SIC 2013/03-2 bloques BS1A: Reactivo feb 2021</t>
  </si>
  <si>
    <t>Lic. SIC 2013/03-2 bloques BS1A: Energía feb 2021</t>
  </si>
  <si>
    <t>Lic. SIC 2013/03-2 bloques BS1A: Reliq. Energía feb 2021</t>
  </si>
  <si>
    <t>Lic. SIC 2013/03-2 bloques BS1A: AAT feb 2021</t>
  </si>
  <si>
    <t>Lic. SIC 2013/03-2 bloques BS1A: Potencia mar 2021</t>
  </si>
  <si>
    <t>Lic. SIC 2013/03-2 bloques BS1A: AAT mar 2021</t>
  </si>
  <si>
    <t>Lic. SIC 2013/03-2 bloques BS1A: Energía mar 2021</t>
  </si>
  <si>
    <t>Lic. SIC 2013/03-2 bloques BS1A: Reactivo mar 2021</t>
  </si>
  <si>
    <t>Lic. SIC 2013/03-2 bloques BS1A: Reliq. Energía mar 2021</t>
  </si>
  <si>
    <t>Lic. SIC 2013/03-2 bloques BS1A: Potencia abr 2021</t>
  </si>
  <si>
    <t>Lic. SIC 2013/03-2 bloques BS1A: Energía abr 2021</t>
  </si>
  <si>
    <t>Lic. SIC 2013/03-2 bloques BS1A: AAT abr 2021</t>
  </si>
  <si>
    <t>Lic. SIC 2013/03-2 bloques BS1A: Reactivo abr 2021</t>
  </si>
  <si>
    <t>EFACT_CNE</t>
  </si>
  <si>
    <t>FACT_EMITIDA</t>
  </si>
  <si>
    <t>EFACT_EST_CEN</t>
  </si>
  <si>
    <t>FACT_EST_EFACT</t>
  </si>
  <si>
    <t>FACT_EST_CEN</t>
  </si>
  <si>
    <t>LO QUE SE FACTURÓ</t>
  </si>
  <si>
    <t>LO QUE SE DEBIÓ HABER FACTURADO</t>
  </si>
  <si>
    <t>ORIGEN DATA</t>
  </si>
  <si>
    <t>RELQUIDACIÓN Y CÁLCULO INTERESES</t>
  </si>
  <si>
    <t>MES</t>
  </si>
  <si>
    <t>ID</t>
  </si>
  <si>
    <t>Interés ResEx 703 (06-nov.2018), Artículo 13</t>
  </si>
  <si>
    <t>Operaciones no reajustables en moneda nacional de menos de 90 días, superiores al equivalente de 5.000 unidades de fomento</t>
  </si>
  <si>
    <t>Decreto</t>
  </si>
  <si>
    <t>Fecha Publicación</t>
  </si>
  <si>
    <t>Interés vigente</t>
  </si>
  <si>
    <t>Desde</t>
  </si>
  <si>
    <t>Hasta</t>
  </si>
  <si>
    <t>Interés anual</t>
  </si>
  <si>
    <t>Link</t>
  </si>
  <si>
    <t>Certificado N°9/2018</t>
  </si>
  <si>
    <t>https://www.diariooficial.interior.gob.cl/publicaciones/2018/09/15/42159/01/1465375.pdf</t>
  </si>
  <si>
    <t>Certificado N°4/2019</t>
  </si>
  <si>
    <t>https://www.diariooficial.interior.gob.cl/publicaciones/2019/04/15/42331/01/1576341.pdf</t>
  </si>
  <si>
    <t>Certificado N° 10/2020</t>
  </si>
  <si>
    <t>https://www.diariooficial.interior.gob.cl/publicaciones/2020/10/15/42780/01/1830437.pdf</t>
  </si>
  <si>
    <t>Certificado N° 3/2021</t>
  </si>
  <si>
    <t>https://www.diariooficial.interior.gob.cl/publicaciones/2021/03/15/42905/01/1910115.pdf</t>
  </si>
  <si>
    <t>Certificado N° 05/2021</t>
  </si>
  <si>
    <t>https://www.diariooficial.interior.gob.cl/publicaciones/2021/05/14/42954/01/1943780.pdf</t>
  </si>
  <si>
    <t>Reliquidación mensual ($)</t>
  </si>
  <si>
    <t>Decreto PNP Reliquidación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</si>
  <si>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</si>
  <si>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</si>
  <si>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</si>
  <si>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</si>
  <si>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</si>
  <si>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</si>
  <si>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</si>
  <si>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</si>
  <si>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LAP emite factura</t>
  </si>
  <si>
    <t>LAP emite nota de crédito</t>
  </si>
  <si>
    <t>OrigenData1</t>
  </si>
  <si>
    <t>OrigenData2</t>
  </si>
  <si>
    <t>PNP_8T_11-07-2016</t>
  </si>
  <si>
    <t>Certicado N°7/2016</t>
  </si>
  <si>
    <t>https://www.bcn.cl/leychile/navegar?idNorma=1092549</t>
  </si>
  <si>
    <t>PNP_9T_25-07-2016</t>
  </si>
  <si>
    <t>Certificado N°8/2016</t>
  </si>
  <si>
    <t>https://www.bcn.cl/leychile/navegar?idNorma=1093605</t>
  </si>
  <si>
    <t>PNP_12T_20-12-2016</t>
  </si>
  <si>
    <t>Certificado N°9/2017</t>
  </si>
  <si>
    <t>https://www.diariooficial.interior.gob.cl/publicaciones/2017/09/15/41861/01/1272697.pdf</t>
  </si>
  <si>
    <t>PNP_3T_15-05-2017</t>
  </si>
  <si>
    <t>PNP_12T_28-11-2017</t>
  </si>
  <si>
    <t>Certificado N°3/2018</t>
  </si>
  <si>
    <t>https://www.diariooficial.interior.gob.cl/publicaciones/2018/03/15/42008/01/1366088.pdf</t>
  </si>
  <si>
    <t>PNP_7T_18-05-2018</t>
  </si>
  <si>
    <t>PNP_20T_13-12-2018</t>
  </si>
  <si>
    <t>PNP_6T_08-05-2020</t>
  </si>
  <si>
    <t>PNP_16T_02-11-2020</t>
  </si>
  <si>
    <t>PNP_19T_30-12-2020</t>
  </si>
  <si>
    <t>NULL</t>
  </si>
  <si>
    <t>Información de facturación definitiva proveniente de los archivos EFACT publicados por la CNE en los Decretos de Precio de Nudo</t>
  </si>
  <si>
    <t>Información de facturación real desde PDFs y sistema SIGGE (gestión facturación electrónica)</t>
  </si>
  <si>
    <t>Estimación de facturación emitida en base a información de los EFACT Decretos Precios de Nudo</t>
  </si>
  <si>
    <t>Hoja</t>
  </si>
  <si>
    <t>Descripción</t>
  </si>
  <si>
    <t>SIGGE_E</t>
  </si>
  <si>
    <t>SIGGE_P</t>
  </si>
  <si>
    <t>Información de facturación real de Energía desde PDFs y sistema SIGGE (gestión facturación electrónica)</t>
  </si>
  <si>
    <t>Información de facturación real de Potencia desde PDFs y sistema SIGGE (gestión facturación electrónica)</t>
  </si>
  <si>
    <t>Estimación de la facturación emitida en base a los balances mensuales publicados por el Coordinador</t>
  </si>
  <si>
    <t>Propietario</t>
  </si>
  <si>
    <t>Turno</t>
  </si>
  <si>
    <t>Distribuidora</t>
  </si>
  <si>
    <t>Clave</t>
  </si>
  <si>
    <t>Medida_kWh</t>
  </si>
  <si>
    <t>PuntoRetiroBT</t>
  </si>
  <si>
    <t>BarraEnAT</t>
  </si>
  <si>
    <t>FactorRef_BT_AT</t>
  </si>
  <si>
    <t>ValorAT</t>
  </si>
  <si>
    <t>Incremento</t>
  </si>
  <si>
    <t>kWhAnho</t>
  </si>
  <si>
    <t>PorcenEnergiaAnho</t>
  </si>
  <si>
    <t>kWh_AnhoMes</t>
  </si>
  <si>
    <t>PorcenBarraAnho</t>
  </si>
  <si>
    <t>EnergiaBloqueAnhoMesBarra_kWh</t>
  </si>
  <si>
    <t>Amplificacion24h</t>
  </si>
  <si>
    <t>Denominador</t>
  </si>
  <si>
    <t>Prorrata</t>
  </si>
  <si>
    <t>EnergiaBloqueTurnoAnhoMesBarra_kWh</t>
  </si>
  <si>
    <t>CURICO</t>
  </si>
  <si>
    <t>Charrua</t>
  </si>
  <si>
    <t>Itahue</t>
  </si>
  <si>
    <t>CHARRUA</t>
  </si>
  <si>
    <t>ITAHUE</t>
  </si>
  <si>
    <t>V_DecretoPNPVigente</t>
  </si>
  <si>
    <t>V_DecretoPNCPAsociado</t>
  </si>
  <si>
    <t>V_DecretoPNCPLicitacion</t>
  </si>
  <si>
    <t>V_Barra</t>
  </si>
  <si>
    <t>V_PrecioOferta_EnergiaPolpaico220</t>
  </si>
  <si>
    <t>V_Indexacion</t>
  </si>
  <si>
    <t>V_PrecioEnergiaIndexado_USDMWh</t>
  </si>
  <si>
    <t>V_DolarPNPVigente</t>
  </si>
  <si>
    <t>V_FactorAjusteEnergia</t>
  </si>
  <si>
    <t>V_PrecioEnergiaAjustado_CLP_kWh_Polpaico220</t>
  </si>
  <si>
    <t>V_FPEnergia</t>
  </si>
  <si>
    <t>V_PrecioEnergiaAjustado_CLP_kWh</t>
  </si>
  <si>
    <t>V_PrecioPotenciaUSD_kW_Mes</t>
  </si>
  <si>
    <t>V_PrecioPotenciaIndexadoUSD_kW_Mes</t>
  </si>
  <si>
    <t>V_FactorAjustePotencia</t>
  </si>
  <si>
    <t>V_PrecioPotenciaAjustado_CLP_kW_Mes_Polpaico220</t>
  </si>
  <si>
    <t>V_FPPotencia</t>
  </si>
  <si>
    <t>V_PrecioPotenciaAjustado_CLP_kW_Mes</t>
  </si>
  <si>
    <t>V_TotalPotenciaMesBarraGxDxBloque_CLP_kW_Mes</t>
  </si>
  <si>
    <t>R_DecretoPNPReliquidacion</t>
  </si>
  <si>
    <t>R_DecretoPNCPAsociado</t>
  </si>
  <si>
    <t>R_DecretoPNCPLicitacion</t>
  </si>
  <si>
    <t>R_Barra</t>
  </si>
  <si>
    <t>R_PrecioOfertaEnergiaPolpaico220</t>
  </si>
  <si>
    <t>R_Indexacion</t>
  </si>
  <si>
    <t>R_PrecioEnergiaIndexado_USDMWh</t>
  </si>
  <si>
    <t>R_DolarPNPReliquidacion</t>
  </si>
  <si>
    <t>R_FactorAjusteEnergia</t>
  </si>
  <si>
    <t>R_PrecioEnergiaAjustado_CLP_kWh_Polpaico220</t>
  </si>
  <si>
    <t>R_FPEnergia</t>
  </si>
  <si>
    <t>R_PrecioEnergiaAjustado_CLP_kWh</t>
  </si>
  <si>
    <t>R_PrecioPotenciaUSD_kW_Mes</t>
  </si>
  <si>
    <t>R_FactorAjustePotencia</t>
  </si>
  <si>
    <t>R_PrecioPotenciaAjustado_CLP_kW_Mes_Polpaico220</t>
  </si>
  <si>
    <t>R_FPPotencia</t>
  </si>
  <si>
    <t>R_PrecioPotenciaAjustado_CLP_kW_Mes</t>
  </si>
  <si>
    <t>R_TotalPotenciaMesBarraGxDxBloque_CLP_kW_Mes</t>
  </si>
  <si>
    <t>PNP_1T_05-02-2016</t>
  </si>
  <si>
    <t>PNCP_17T_30-10-2015</t>
  </si>
  <si>
    <t>PNCP_4T_30-04-2013</t>
  </si>
  <si>
    <t>SUM_CEC_C</t>
  </si>
  <si>
    <t>C</t>
  </si>
  <si>
    <t>CCURCURIBLOQC</t>
  </si>
  <si>
    <t>CCURQUINBLOQC</t>
  </si>
  <si>
    <t>CCURTENOBLOQC</t>
  </si>
  <si>
    <t>PNP_4T_26-04-2016</t>
  </si>
  <si>
    <t>PNP_7T_17-05-2016</t>
  </si>
  <si>
    <t>PNCP_5T_29-04-2016</t>
  </si>
  <si>
    <t>PNCP_2T_10-02-2017</t>
  </si>
  <si>
    <t>PNCP_5T_10-08-2017</t>
  </si>
  <si>
    <t>PNCP_1T_09-02-2018</t>
  </si>
  <si>
    <t>PNCP_12T_24-08-2018</t>
  </si>
  <si>
    <t>PNCP_9T_12-08-2019</t>
  </si>
  <si>
    <t>PNCP_2T_10-02-2020</t>
  </si>
  <si>
    <t>BS1C</t>
  </si>
  <si>
    <t>Cliente</t>
  </si>
  <si>
    <t>BarraBT</t>
  </si>
  <si>
    <t>PotenciaConsumo_kW</t>
  </si>
  <si>
    <t>BloqueCompleto</t>
  </si>
  <si>
    <t>FactorRefPotencia_BT_AT</t>
  </si>
  <si>
    <t>Potencia_kW_AT</t>
  </si>
  <si>
    <t>MaxPPA</t>
  </si>
  <si>
    <t>PotenciaBloqueTurnoAnhoMesBarra_kW</t>
  </si>
  <si>
    <t>SUM_CEC</t>
  </si>
  <si>
    <t>ALTO JAHUEL</t>
  </si>
  <si>
    <t>MELIPILLA</t>
  </si>
  <si>
    <t>RAPEL</t>
  </si>
  <si>
    <t>01-10-2020</t>
  </si>
  <si>
    <t>01-11-2020</t>
  </si>
  <si>
    <t>01-12-2020</t>
  </si>
  <si>
    <t>V_TotalEnergiaMesBarraGxDxBloque_CLP_kW_Mes</t>
  </si>
  <si>
    <t>R_TotalEnergiaMesBarraGxDxBloque_CLP_kW_Mes</t>
  </si>
  <si>
    <t>LO QUE SE FACTURÓ (VIGENTE)</t>
  </si>
  <si>
    <t>LO QUE SE DEBIÓ HABER FACTURADO (RELIQUIDADO)</t>
  </si>
  <si>
    <t>Energía SIGGE (kWh)</t>
  </si>
  <si>
    <t>Energía EFACT AT (kWh)</t>
  </si>
  <si>
    <t>Energía EFACT BT (kWh)</t>
  </si>
  <si>
    <t>Energía Coordinador AT (kWh)</t>
  </si>
  <si>
    <t>Energía Coordinador BT (kWh)</t>
  </si>
  <si>
    <t>IdAgrupacion</t>
  </si>
  <si>
    <t>NombreCliente</t>
  </si>
  <si>
    <t>FechaDeContabilizacion</t>
  </si>
  <si>
    <t>PrefijoFolio</t>
  </si>
  <si>
    <t>CuentaDeMayor</t>
  </si>
  <si>
    <t>CodigoDeArticulo</t>
  </si>
  <si>
    <t>NumDeFolio</t>
  </si>
  <si>
    <t>MontoCLP</t>
  </si>
  <si>
    <t>VENTA PPA ENERGIA</t>
  </si>
  <si>
    <t>VENTA PPA POTENCIA</t>
  </si>
  <si>
    <t>TotalUSD</t>
  </si>
  <si>
    <t>SAN_JUAN_LAP</t>
  </si>
  <si>
    <t>BS3</t>
  </si>
  <si>
    <t>COOPERATIVA DE ABASTECIMIENTO DE ENERGIA ELECTRICA CURICO LTDA.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</si>
</sst>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-* #,##0_-;\-* #,##0_-;_-* &quot;-&quot;_-;_-@_-"/>
    <numFmt numFmtId="43" formatCode="_-* #,##0.00_-;\-* #,##0.00_-;_-* &quot;-&quot;??_-;_-@_-"/>
    <numFmt numFmtId="164" formatCode="_ &quot;$&quot;* #,##0_ ;_ &quot;$&quot;* \-#,##0_ ;_ &quot;$&quot;* &quot;-&quot;_ ;_ @_ "/>
    <numFmt numFmtId="165" formatCode="_ * #,##0_ ;_ * \-#,##0_ ;_ * &quot;-&quot;_ ;_ @_ "/>
    <numFmt numFmtId="166" formatCode="_ &quot;$&quot;* #,##0.00_ ;_ &quot;$&quot;* \-#,##0.00_ ;_ &quot;$&quot;* &quot;-&quot;??_ ;_ @_ "/>
    <numFmt numFmtId="167" formatCode="_ * #,##0.00_ ;_ * \-#,##0.00_ ;_ * &quot;-&quot;??_ ;_ @_ "/>
    <numFmt numFmtId="168" formatCode="0.000"/>
    <numFmt numFmtId="169" formatCode="_ * #,##0.0_ ;_ * \-#,##0.0_ ;_ * &quot;-&quot;_ ;_ @_ "/>
    <numFmt numFmtId="170" formatCode="_-&quot;$&quot;\ * #,##0.00_-;\-&quot;$&quot;\ * #,##0.00_-;_-&quot;$&quot;\ * &quot;-&quot;??_-;_-@_-"/>
    <numFmt numFmtId="171" formatCode="_-[$€-2]\ * #,##0.00_-;\-[$€-2]\ * #,##0.00_-;_-[$€-2]\ * &quot;-&quot;??_-"/>
    <numFmt numFmtId="172" formatCode="_-* #,##0.00\ [$€]_-;\-* #,##0.00\ [$€]_-;_-* &quot;-&quot;??\ [$€]_-;_-@_-"/>
    <numFmt numFmtId="173" formatCode="\$#,##0\ ;\(\$#,##0\)"/>
    <numFmt numFmtId="174" formatCode="_-* #,##0.00\ _P_t_a_-;\-* #,##0.00\ _P_t_a_-;_-* &quot;-&quot;??\ _P_t_a_-;_-@_-"/>
    <numFmt numFmtId="175" formatCode="_ [$€-2]\ * #,##0.00_ ;_ [$€-2]\ * \-#,##0.00_ ;_ [$€-2]\ * &quot;-&quot;??_ "/>
    <numFmt numFmtId="176" formatCode="_-* #,##0.00\ _€_-;\-* #,##0.00\ _€_-;_-* &quot;-&quot;??\ _€_-;_-@_-"/>
    <numFmt numFmtId="177" formatCode="_ &quot;$&quot;\ * #,##0.00_ ;_ &quot;$&quot;\ * \-#,##0.00_ ;_ &quot;$&quot;\ * &quot;-&quot;??_ ;_ @_ "/>
    <numFmt numFmtId="178" formatCode="_-* #,##0.00\ _$_-;\-* #,##0.00\ _$_-;_-* &quot;-&quot;??\ _$_-;_-@_-"/>
    <numFmt numFmtId="179" formatCode="#,##0.000;[Red]\-#,##0.000"/>
    <numFmt numFmtId="180" formatCode="_([$€]* #,##0.00_);_([$€]* \(#,##0.00\);_([$€]* &quot;-&quot;??_);_(@_)"/>
    <numFmt numFmtId="181" formatCode="General_)"/>
    <numFmt numFmtId="182" formatCode="yyyy\-mm\-dd\ hh:mm:ss"/>
    <numFmt numFmtId="183" formatCode="yyyy\-mm\-dd;@"/>
  </numFmts>
  <fonts count="7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2"/>
      <name val="Times New Roman"/>
      <family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1"/>
      <name val="Calibri"/>
      <family val="2"/>
    </font>
    <font>
      <b/>
      <sz val="11"/>
      <color indexed="9"/>
      <name val="Calibri"/>
      <family val="2"/>
    </font>
    <font>
      <sz val="11"/>
      <color indexed="51"/>
      <name val="Calibri"/>
      <family val="2"/>
    </font>
    <font>
      <b/>
      <sz val="11"/>
      <color indexed="61"/>
      <name val="Calibri"/>
      <family val="2"/>
    </font>
    <font>
      <sz val="11"/>
      <color indexed="61"/>
      <name val="Calibri"/>
      <family val="2"/>
    </font>
    <font>
      <sz val="11"/>
      <color indexed="20"/>
      <name val="Calibri"/>
      <family val="2"/>
    </font>
    <font>
      <sz val="11"/>
      <color indexed="59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1"/>
      <name val="Cambria"/>
      <family val="2"/>
    </font>
    <font>
      <b/>
      <sz val="15"/>
      <color indexed="61"/>
      <name val="Calibri"/>
      <family val="2"/>
    </font>
    <font>
      <b/>
      <sz val="13"/>
      <color indexed="61"/>
      <name val="Calibri"/>
      <family val="2"/>
    </font>
    <font>
      <b/>
      <sz val="11"/>
      <color indexed="8"/>
      <name val="Calibri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color indexed="22"/>
      <name val="Arial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8"/>
      <color theme="3"/>
      <name val="Calibri Light"/>
      <family val="2"/>
      <scheme val="major"/>
    </font>
    <font>
      <sz val="10"/>
      <name val="MS Sans Serif"/>
      <family val="2"/>
    </font>
    <font>
      <sz val="10"/>
      <name val="Courier New"/>
      <family val="3"/>
    </font>
    <font>
      <sz val="10"/>
      <name val="Century Gothic"/>
      <family val="2"/>
    </font>
    <font>
      <u/>
      <sz val="10"/>
      <color theme="10"/>
      <name val="Arial"/>
      <family val="2"/>
    </font>
    <font>
      <sz val="10"/>
      <name val="Arial"/>
      <family val="2"/>
      <charset val="1"/>
    </font>
    <font>
      <sz val="12"/>
      <color theme="1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32"/>
      <name val="Arial"/>
      <family val="2"/>
    </font>
    <font>
      <u/>
      <sz val="7.5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9"/>
      <name val="Calibri"/>
      <family val="2"/>
    </font>
    <font>
      <sz val="12"/>
      <name val="Helv"/>
    </font>
    <font>
      <b/>
      <u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sz val="10"/>
      <color indexed="32"/>
      <name val="Arial"/>
      <family val="2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8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63"/>
      </patternFill>
    </fill>
    <fill>
      <patternFill patternType="solid">
        <fgColor indexed="10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52"/>
      </patternFill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  <bgColor indexed="19"/>
      </patternFill>
    </fill>
    <fill>
      <patternFill patternType="solid">
        <fgColor indexed="54"/>
      </patternFill>
    </fill>
    <fill>
      <patternFill patternType="solid">
        <fgColor indexed="9"/>
        <bgColor indexed="19"/>
      </patternFill>
    </fill>
    <fill>
      <patternFill patternType="solid">
        <fgColor indexed="9"/>
        <bgColor indexed="43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/>
      <right/>
      <top/>
      <bottom style="double">
        <color indexed="5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802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0" borderId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38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43" borderId="0" applyNumberFormat="0" applyBorder="0" applyAlignment="0" applyProtection="0"/>
    <xf numFmtId="0" fontId="21" fillId="42" borderId="0" applyNumberFormat="0" applyBorder="0" applyAlignment="0" applyProtection="0"/>
    <xf numFmtId="0" fontId="21" fillId="44" borderId="0" applyNumberFormat="0" applyBorder="0" applyAlignment="0" applyProtection="0"/>
    <xf numFmtId="0" fontId="21" fillId="43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22" fillId="43" borderId="0" applyNumberFormat="0" applyBorder="0" applyAlignment="0" applyProtection="0"/>
    <xf numFmtId="0" fontId="22" fillId="42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18" fillId="0" borderId="0"/>
    <xf numFmtId="0" fontId="23" fillId="46" borderId="0" applyNumberFormat="0" applyBorder="0" applyAlignment="0" applyProtection="0"/>
    <xf numFmtId="0" fontId="24" fillId="47" borderId="18" applyNumberFormat="0" applyAlignment="0" applyProtection="0"/>
    <xf numFmtId="0" fontId="25" fillId="48" borderId="19" applyNumberFormat="0" applyAlignment="0" applyProtection="0"/>
    <xf numFmtId="0" fontId="26" fillId="0" borderId="20" applyNumberFormat="0" applyFill="0" applyAlignment="0" applyProtection="0"/>
    <xf numFmtId="0" fontId="27" fillId="0" borderId="0" applyNumberFormat="0" applyFill="0" applyBorder="0" applyAlignment="0" applyProtection="0"/>
    <xf numFmtId="0" fontId="22" fillId="45" borderId="0" applyNumberFormat="0" applyBorder="0" applyAlignment="0" applyProtection="0"/>
    <xf numFmtId="0" fontId="22" fillId="49" borderId="0" applyNumberFormat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45" borderId="0" applyNumberFormat="0" applyBorder="0" applyAlignment="0" applyProtection="0"/>
    <xf numFmtId="0" fontId="22" fillId="52" borderId="0" applyNumberFormat="0" applyBorder="0" applyAlignment="0" applyProtection="0"/>
    <xf numFmtId="0" fontId="28" fillId="43" borderId="18" applyNumberFormat="0" applyAlignment="0" applyProtection="0"/>
    <xf numFmtId="171" fontId="18" fillId="0" borderId="0" applyFont="0" applyFill="0" applyBorder="0" applyAlignment="0" applyProtection="0"/>
    <xf numFmtId="0" fontId="29" fillId="53" borderId="0" applyNumberFormat="0" applyBorder="0" applyAlignment="0" applyProtection="0"/>
    <xf numFmtId="0" fontId="30" fillId="43" borderId="0" applyNumberFormat="0" applyBorder="0" applyAlignment="0" applyProtection="0"/>
    <xf numFmtId="0" fontId="17" fillId="40" borderId="21" applyNumberFormat="0" applyFont="0" applyAlignment="0" applyProtection="0"/>
    <xf numFmtId="0" fontId="31" fillId="47" borderId="22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3" applyNumberFormat="0" applyFill="0" applyAlignment="0" applyProtection="0"/>
    <xf numFmtId="0" fontId="36" fillId="0" borderId="24" applyNumberFormat="0" applyFill="0" applyAlignment="0" applyProtection="0"/>
    <xf numFmtId="0" fontId="27" fillId="0" borderId="25" applyNumberFormat="0" applyFill="0" applyAlignment="0" applyProtection="0"/>
    <xf numFmtId="0" fontId="37" fillId="0" borderId="26" applyNumberFormat="0" applyFill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24" fillId="47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28" fillId="43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44" fillId="0" borderId="0" applyFont="0" applyFill="0" applyBorder="0" applyAlignment="0" applyProtection="0"/>
    <xf numFmtId="2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173" fontId="44" fillId="0" borderId="0" applyFont="0" applyFill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44" fillId="0" borderId="0" applyFont="0" applyFill="0" applyBorder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31" fillId="47" borderId="30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27" fillId="0" borderId="33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2" fillId="0" borderId="0"/>
    <xf numFmtId="0" fontId="50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9" fillId="8" borderId="0" applyNumberFormat="0" applyBorder="0" applyAlignment="0" applyProtection="0"/>
    <xf numFmtId="0" fontId="10" fillId="9" borderId="0" applyNumberFormat="0" applyBorder="0" applyAlignment="0" applyProtection="0"/>
    <xf numFmtId="0" fontId="11" fillId="10" borderId="5" applyNumberFormat="0" applyAlignment="0" applyProtection="0"/>
    <xf numFmtId="0" fontId="12" fillId="11" borderId="6" applyNumberFormat="0" applyAlignment="0" applyProtection="0"/>
    <xf numFmtId="0" fontId="13" fillId="11" borderId="5" applyNumberFormat="0" applyAlignment="0" applyProtection="0"/>
    <xf numFmtId="0" fontId="14" fillId="0" borderId="7" applyNumberFormat="0" applyFill="0" applyAlignment="0" applyProtection="0"/>
    <xf numFmtId="0" fontId="3" fillId="12" borderId="8" applyNumberFormat="0" applyAlignment="0" applyProtection="0"/>
    <xf numFmtId="0" fontId="15" fillId="0" borderId="0" applyNumberFormat="0" applyFill="0" applyBorder="0" applyAlignment="0" applyProtection="0"/>
    <xf numFmtId="0" fontId="2" fillId="13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4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4" fillId="37" borderId="0" applyNumberFormat="0" applyBorder="0" applyAlignment="0" applyProtection="0"/>
    <xf numFmtId="0" fontId="51" fillId="0" borderId="0"/>
    <xf numFmtId="174" fontId="52" fillId="0" borderId="0" applyFont="0" applyFill="0" applyBorder="0" applyAlignment="0" applyProtection="0"/>
    <xf numFmtId="43" fontId="5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53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0" fillId="0" borderId="0" applyNumberForma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2" fillId="0" borderId="0"/>
    <xf numFmtId="0" fontId="2" fillId="13" borderId="9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18" fillId="0" borderId="0"/>
    <xf numFmtId="0" fontId="17" fillId="0" borderId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24" fillId="47" borderId="36" applyNumberFormat="0" applyAlignment="0" applyProtection="0"/>
    <xf numFmtId="0" fontId="40" fillId="42" borderId="36" applyNumberFormat="0" applyAlignment="0" applyProtection="0"/>
    <xf numFmtId="0" fontId="24" fillId="47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28" fillId="43" borderId="36" applyNumberFormat="0" applyAlignment="0" applyProtection="0"/>
    <xf numFmtId="0" fontId="43" fillId="38" borderId="36" applyNumberFormat="0" applyAlignment="0" applyProtection="0"/>
    <xf numFmtId="0" fontId="28" fillId="43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17" fillId="0" borderId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67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5" fillId="0" borderId="0">
      <alignment wrapText="1"/>
    </xf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31" fillId="47" borderId="30" applyNumberFormat="0" applyAlignment="0" applyProtection="0"/>
    <xf numFmtId="0" fontId="46" fillId="42" borderId="29" applyNumberFormat="0" applyAlignment="0" applyProtection="0"/>
    <xf numFmtId="0" fontId="31" fillId="47" borderId="30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27" fillId="0" borderId="33" applyNumberFormat="0" applyFill="0" applyAlignment="0" applyProtection="0"/>
    <xf numFmtId="0" fontId="27" fillId="0" borderId="33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17" fillId="0" borderId="0"/>
    <xf numFmtId="3" fontId="57" fillId="66" borderId="0">
      <alignment horizontal="left"/>
    </xf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1" fillId="4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3" fontId="58" fillId="54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1" fillId="41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1" fillId="53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1" fillId="41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1" fillId="40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2" fillId="41" borderId="0" applyNumberFormat="0" applyBorder="0" applyAlignment="0" applyProtection="0"/>
    <xf numFmtId="0" fontId="22" fillId="51" borderId="0" applyNumberFormat="0" applyBorder="0" applyAlignment="0" applyProtection="0"/>
    <xf numFmtId="0" fontId="22" fillId="59" borderId="0" applyNumberFormat="0" applyBorder="0" applyAlignment="0" applyProtection="0"/>
    <xf numFmtId="0" fontId="22" fillId="53" borderId="0" applyNumberFormat="0" applyBorder="0" applyAlignment="0" applyProtection="0"/>
    <xf numFmtId="0" fontId="22" fillId="41" borderId="0" applyNumberFormat="0" applyBorder="0" applyAlignment="0" applyProtection="0"/>
    <xf numFmtId="0" fontId="59" fillId="54" borderId="0">
      <alignment horizontal="left"/>
    </xf>
    <xf numFmtId="0" fontId="23" fillId="41" borderId="0" applyNumberFormat="0" applyBorder="0" applyAlignment="0" applyProtection="0"/>
    <xf numFmtId="0" fontId="32" fillId="0" borderId="38" applyNumberFormat="0" applyFill="0" applyAlignment="0" applyProtection="0"/>
    <xf numFmtId="178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59" borderId="0" applyNumberFormat="0" applyBorder="0" applyAlignment="0" applyProtection="0"/>
    <xf numFmtId="0" fontId="22" fillId="67" borderId="0" applyNumberFormat="0" applyBorder="0" applyAlignment="0" applyProtection="0"/>
    <xf numFmtId="0" fontId="22" fillId="49" borderId="0" applyNumberFormat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29" fillId="57" borderId="0" applyNumberFormat="0" applyBorder="0" applyAlignment="0" applyProtection="0"/>
    <xf numFmtId="3" fontId="61" fillId="66" borderId="17">
      <alignment horizontal="center"/>
    </xf>
    <xf numFmtId="0" fontId="62" fillId="4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6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55" fillId="0" borderId="0">
      <alignment wrapText="1"/>
    </xf>
    <xf numFmtId="0" fontId="55" fillId="0" borderId="0">
      <alignment wrapText="1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" fontId="59" fillId="68" borderId="0">
      <alignment horizontal="left"/>
    </xf>
    <xf numFmtId="3" fontId="57" fillId="68" borderId="0">
      <alignment horizontal="left"/>
    </xf>
    <xf numFmtId="3" fontId="64" fillId="68" borderId="0">
      <alignment horizontal="center"/>
    </xf>
    <xf numFmtId="0" fontId="65" fillId="0" borderId="39" applyNumberFormat="0" applyFill="0" applyAlignment="0" applyProtection="0"/>
    <xf numFmtId="0" fontId="66" fillId="0" borderId="40" applyNumberFormat="0" applyFill="0" applyAlignment="0" applyProtection="0"/>
    <xf numFmtId="0" fontId="67" fillId="0" borderId="0" applyNumberFormat="0" applyFill="0" applyBorder="0" applyAlignment="0" applyProtection="0"/>
    <xf numFmtId="0" fontId="31" fillId="0" borderId="41" applyNumberFormat="0" applyFill="0" applyAlignment="0" applyProtection="0"/>
    <xf numFmtId="3" fontId="61" fillId="55" borderId="17">
      <alignment horizontal="center" vertical="center"/>
    </xf>
    <xf numFmtId="3" fontId="68" fillId="68" borderId="0">
      <alignment horizontal="left"/>
    </xf>
    <xf numFmtId="3" fontId="58" fillId="69" borderId="0">
      <alignment horizontal="right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80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Fill="1"/>
    <xf numFmtId="165" fontId="0" fillId="0" borderId="1" xfId="1" applyFont="1" applyBorder="1"/>
    <xf numFmtId="168" fontId="0" fillId="0" borderId="1" xfId="0" applyNumberFormat="1" applyBorder="1"/>
    <xf numFmtId="169" fontId="0" fillId="0" borderId="1" xfId="1" applyNumberFormat="1" applyFont="1" applyBorder="1"/>
    <xf numFmtId="0" fontId="0" fillId="2" borderId="17" xfId="0" applyFill="1" applyBorder="1"/>
    <xf numFmtId="0" fontId="3" fillId="6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2" borderId="11" xfId="0" applyFill="1" applyBorder="1"/>
    <xf numFmtId="0" fontId="0" fillId="2" borderId="42" xfId="0" applyFill="1" applyBorder="1"/>
    <xf numFmtId="0" fontId="0" fillId="2" borderId="12" xfId="0" applyFill="1" applyBorder="1"/>
    <xf numFmtId="0" fontId="0" fillId="2" borderId="15" xfId="0" applyFill="1" applyBorder="1"/>
    <xf numFmtId="0" fontId="0" fillId="2" borderId="16" xfId="0" applyFill="1" applyBorder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Fill="1"/>
    <xf numFmtId="0" fontId="0" fillId="5" borderId="0" xfId="0" applyFill="1"/>
    <xf numFmtId="165" fontId="0" fillId="0" borderId="46" xfId="0" applyNumberFormat="1" applyBorder="1"/>
    <xf numFmtId="14" fontId="0" fillId="0" borderId="46" xfId="0" applyNumberFormat="1" applyBorder="1" applyAlignment="1">
      <alignment horizontal="center"/>
    </xf>
    <xf numFmtId="10" fontId="0" fillId="0" borderId="46" xfId="2" applyNumberFormat="1" applyFont="1" applyBorder="1" applyAlignment="1">
      <alignment horizontal="center"/>
    </xf>
    <xf numFmtId="14" fontId="0" fillId="0" borderId="46" xfId="0" applyNumberFormat="1" applyBorder="1"/>
    <xf numFmtId="14" fontId="4" fillId="5" borderId="46" xfId="0" applyNumberFormat="1" applyFont="1" applyFill="1" applyBorder="1"/>
    <xf numFmtId="0" fontId="0" fillId="0" borderId="46" xfId="0" applyBorder="1"/>
    <xf numFmtId="0" fontId="0" fillId="2" borderId="1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top"/>
    </xf>
    <xf numFmtId="182" fontId="0" fillId="0" borderId="0" xfId="0" applyNumberFormat="1"/>
    <xf numFmtId="17" fontId="0" fillId="0" borderId="1" xfId="0" applyNumberFormat="1" applyBorder="1" applyAlignment="1">
      <alignment horizontal="center"/>
    </xf>
    <xf numFmtId="165" fontId="0" fillId="0" borderId="46" xfId="1" applyFont="1" applyBorder="1" applyAlignment="1">
      <alignment horizontal="center"/>
    </xf>
    <xf numFmtId="0" fontId="69" fillId="0" borderId="0" xfId="0" applyFont="1"/>
    <xf numFmtId="0" fontId="69" fillId="0" borderId="46" xfId="0" applyFont="1" applyBorder="1" applyAlignment="1">
      <alignment horizontal="center"/>
    </xf>
    <xf numFmtId="17" fontId="0" fillId="0" borderId="0" xfId="0" applyNumberFormat="1"/>
    <xf numFmtId="0" fontId="70" fillId="0" borderId="0" xfId="0" applyFont="1" applyAlignment="1">
      <alignment horizontal="left"/>
    </xf>
    <xf numFmtId="0" fontId="70" fillId="0" borderId="0" xfId="0" applyFont="1" applyAlignment="1">
      <alignment horizontal="center"/>
    </xf>
    <xf numFmtId="0" fontId="71" fillId="0" borderId="17" xfId="0" applyFont="1" applyBorder="1" applyAlignment="1">
      <alignment horizontal="left"/>
    </xf>
    <xf numFmtId="0" fontId="71" fillId="0" borderId="17" xfId="0" applyFont="1" applyBorder="1" applyAlignment="1">
      <alignment horizontal="center"/>
    </xf>
    <xf numFmtId="14" fontId="70" fillId="0" borderId="0" xfId="0" applyNumberFormat="1" applyFont="1" applyAlignment="1">
      <alignment horizontal="center"/>
    </xf>
    <xf numFmtId="10" fontId="70" fillId="0" borderId="0" xfId="2" applyNumberFormat="1" applyFont="1" applyAlignment="1">
      <alignment horizontal="center"/>
    </xf>
    <xf numFmtId="10" fontId="70" fillId="0" borderId="0" xfId="0" applyNumberFormat="1" applyFont="1" applyAlignment="1">
      <alignment horizontal="center"/>
    </xf>
    <xf numFmtId="0" fontId="3" fillId="6" borderId="43" xfId="0" applyFont="1" applyFill="1" applyBorder="1" applyAlignment="1">
      <alignment vertical="center" wrapText="1"/>
    </xf>
    <xf numFmtId="0" fontId="0" fillId="0" borderId="46" xfId="0" applyBorder="1" applyAlignment="1">
      <alignment horizontal="center"/>
    </xf>
    <xf numFmtId="0" fontId="1" fillId="3" borderId="48" xfId="0" applyFont="1" applyFill="1" applyBorder="1"/>
    <xf numFmtId="165" fontId="1" fillId="3" borderId="49" xfId="0" applyNumberFormat="1" applyFont="1" applyFill="1" applyBorder="1"/>
    <xf numFmtId="22" fontId="0" fillId="0" borderId="0" xfId="0" applyNumberFormat="1"/>
    <xf numFmtId="0" fontId="1" fillId="2" borderId="0" xfId="0" applyFont="1" applyFill="1"/>
    <xf numFmtId="0" fontId="1" fillId="2" borderId="46" xfId="0" applyFont="1" applyFill="1" applyBorder="1" applyAlignment="1">
      <alignment horizontal="center" vertical="top"/>
    </xf>
    <xf numFmtId="0" fontId="0" fillId="0" borderId="0" xfId="0" applyBorder="1"/>
    <xf numFmtId="0" fontId="1" fillId="71" borderId="46" xfId="0" applyFont="1" applyFill="1" applyBorder="1" applyAlignment="1">
      <alignment horizontal="center" vertical="top"/>
    </xf>
    <xf numFmtId="0" fontId="0" fillId="71" borderId="0" xfId="0" applyFill="1"/>
    <xf numFmtId="0" fontId="1" fillId="72" borderId="46" xfId="0" applyFont="1" applyFill="1" applyBorder="1" applyAlignment="1">
      <alignment horizontal="center" vertical="top"/>
    </xf>
    <xf numFmtId="0" fontId="0" fillId="72" borderId="0" xfId="0" applyFill="1"/>
    <xf numFmtId="14" fontId="0" fillId="0" borderId="14" xfId="0" applyNumberFormat="1" applyBorder="1" applyAlignment="1">
      <alignment horizontal="left"/>
    </xf>
    <xf numFmtId="0" fontId="3" fillId="73" borderId="44" xfId="0" applyFont="1" applyFill="1" applyBorder="1"/>
    <xf numFmtId="0" fontId="3" fillId="70" borderId="44" xfId="0" applyFont="1" applyFill="1" applyBorder="1"/>
    <xf numFmtId="0" fontId="3" fillId="74" borderId="44" xfId="0" applyFont="1" applyFill="1" applyBorder="1"/>
    <xf numFmtId="0" fontId="3" fillId="75" borderId="46" xfId="0" applyFont="1" applyFill="1" applyBorder="1" applyAlignment="1">
      <alignment horizontal="center"/>
    </xf>
    <xf numFmtId="0" fontId="0" fillId="0" borderId="46" xfId="0" applyBorder="1" applyAlignment="1">
      <alignment horizontal="center" vertical="center" wrapText="1"/>
    </xf>
    <xf numFmtId="165" fontId="0" fillId="0" borderId="46" xfId="1" applyFont="1" applyBorder="1"/>
    <xf numFmtId="183" fontId="1" fillId="0" borderId="46" xfId="0" applyNumberFormat="1" applyFont="1" applyBorder="1" applyAlignment="1">
      <alignment horizontal="center" vertical="top"/>
    </xf>
    <xf numFmtId="183" fontId="0" fillId="0" borderId="0" xfId="0" applyNumberFormat="1"/>
    <xf numFmtId="0" fontId="3" fillId="70" borderId="44" xfId="0" applyFont="1" applyFill="1" applyBorder="1" applyAlignment="1">
      <alignment horizontal="center"/>
    </xf>
    <xf numFmtId="0" fontId="3" fillId="70" borderId="45" xfId="0" applyFont="1" applyFill="1" applyBorder="1" applyAlignment="1">
      <alignment horizontal="center"/>
    </xf>
    <xf numFmtId="0" fontId="3" fillId="4" borderId="46" xfId="0" applyFont="1" applyFill="1" applyBorder="1" applyAlignment="1">
      <alignment horizontal="center"/>
    </xf>
    <xf numFmtId="0" fontId="3" fillId="6" borderId="47" xfId="0" applyFont="1" applyFill="1" applyBorder="1" applyAlignment="1">
      <alignment horizontal="center"/>
    </xf>
    <xf numFmtId="0" fontId="3" fillId="6" borderId="44" xfId="0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0" fontId="0" fillId="2" borderId="46" xfId="2" applyNumberFormat="1" applyFont="1" applyFill="1" applyBorder="1" applyAlignment="1">
      <alignment horizontal="center"/>
    </xf>
  </cellXfs>
  <cellStyles count="1802">
    <cellStyle name="0,0_x000a__x000a_NA_x000a__x000a_" xfId="1446" xr:uid="{00000000-0005-0000-0000-000000000000}"/>
    <cellStyle name="1o.nível" xfId="1447" xr:uid="{00000000-0005-0000-0000-000001000000}"/>
    <cellStyle name="20% - Énfasis1 10" xfId="60" xr:uid="{00000000-0005-0000-0000-000002000000}"/>
    <cellStyle name="20% - Énfasis1 11" xfId="61" xr:uid="{00000000-0005-0000-0000-000003000000}"/>
    <cellStyle name="20% - Énfasis1 12" xfId="62" xr:uid="{00000000-0005-0000-0000-000004000000}"/>
    <cellStyle name="20% - Énfasis1 13" xfId="63" xr:uid="{00000000-0005-0000-0000-000005000000}"/>
    <cellStyle name="20% - Énfasis1 14" xfId="64" xr:uid="{00000000-0005-0000-0000-000006000000}"/>
    <cellStyle name="20% - Énfasis1 15" xfId="65" xr:uid="{00000000-0005-0000-0000-000007000000}"/>
    <cellStyle name="20% - Énfasis1 16" xfId="66" xr:uid="{00000000-0005-0000-0000-000008000000}"/>
    <cellStyle name="20% - Énfasis1 17" xfId="67" xr:uid="{00000000-0005-0000-0000-000009000000}"/>
    <cellStyle name="20% - Énfasis1 18" xfId="68" xr:uid="{00000000-0005-0000-0000-00000A000000}"/>
    <cellStyle name="20% - Énfasis1 19" xfId="69" xr:uid="{00000000-0005-0000-0000-00000B000000}"/>
    <cellStyle name="20% - Énfasis1 2" xfId="70" xr:uid="{00000000-0005-0000-0000-00000C000000}"/>
    <cellStyle name="20% - Énfasis1 2 2" xfId="1448" xr:uid="{00000000-0005-0000-0000-00000D000000}"/>
    <cellStyle name="20% - Énfasis1 20" xfId="71" xr:uid="{00000000-0005-0000-0000-00000E000000}"/>
    <cellStyle name="20% - Énfasis1 21" xfId="863" xr:uid="{00000000-0005-0000-0000-00000F000000}"/>
    <cellStyle name="20% - Énfasis1 21 2" xfId="927" xr:uid="{00000000-0005-0000-0000-000010000000}"/>
    <cellStyle name="20% - Énfasis1 21 2 2" xfId="928" xr:uid="{00000000-0005-0000-0000-000011000000}"/>
    <cellStyle name="20% - Énfasis1 21 3" xfId="929" xr:uid="{00000000-0005-0000-0000-000012000000}"/>
    <cellStyle name="20% - Énfasis1 21 3 2" xfId="930" xr:uid="{00000000-0005-0000-0000-000013000000}"/>
    <cellStyle name="20% - Énfasis1 21 4" xfId="931" xr:uid="{00000000-0005-0000-0000-000014000000}"/>
    <cellStyle name="20% - Énfasis1 22" xfId="914" xr:uid="{00000000-0005-0000-0000-000015000000}"/>
    <cellStyle name="20% - Énfasis1 22 2" xfId="932" xr:uid="{00000000-0005-0000-0000-000016000000}"/>
    <cellStyle name="20% - Énfasis1 22 2 2" xfId="933" xr:uid="{00000000-0005-0000-0000-000017000000}"/>
    <cellStyle name="20% - Énfasis1 22 3" xfId="934" xr:uid="{00000000-0005-0000-0000-000018000000}"/>
    <cellStyle name="20% - Énfasis1 23" xfId="1449" xr:uid="{00000000-0005-0000-0000-000019000000}"/>
    <cellStyle name="20% - Énfasis1 24" xfId="1450" xr:uid="{00000000-0005-0000-0000-00001A000000}"/>
    <cellStyle name="20% - Énfasis1 25" xfId="4" xr:uid="{00000000-0005-0000-0000-00001B000000}"/>
    <cellStyle name="20% - Énfasis1 3" xfId="72" xr:uid="{00000000-0005-0000-0000-00001C000000}"/>
    <cellStyle name="20% - Énfasis1 3 2" xfId="1451" xr:uid="{00000000-0005-0000-0000-00001D000000}"/>
    <cellStyle name="20% - Énfasis1 4" xfId="73" xr:uid="{00000000-0005-0000-0000-00001E000000}"/>
    <cellStyle name="20% - Énfasis1 4 2" xfId="1452" xr:uid="{00000000-0005-0000-0000-00001F000000}"/>
    <cellStyle name="20% - Énfasis1 5" xfId="74" xr:uid="{00000000-0005-0000-0000-000020000000}"/>
    <cellStyle name="20% - Énfasis1 6" xfId="75" xr:uid="{00000000-0005-0000-0000-000021000000}"/>
    <cellStyle name="20% - Énfasis1 7" xfId="76" xr:uid="{00000000-0005-0000-0000-000022000000}"/>
    <cellStyle name="20% - Énfasis1 8" xfId="77" xr:uid="{00000000-0005-0000-0000-000023000000}"/>
    <cellStyle name="20% - Énfasis1 9" xfId="78" xr:uid="{00000000-0005-0000-0000-000024000000}"/>
    <cellStyle name="20% - Énfasis2 10" xfId="79" xr:uid="{00000000-0005-0000-0000-000025000000}"/>
    <cellStyle name="20% - Énfasis2 11" xfId="80" xr:uid="{00000000-0005-0000-0000-000026000000}"/>
    <cellStyle name="20% - Énfasis2 12" xfId="81" xr:uid="{00000000-0005-0000-0000-000027000000}"/>
    <cellStyle name="20% - Énfasis2 13" xfId="82" xr:uid="{00000000-0005-0000-0000-000028000000}"/>
    <cellStyle name="20% - Énfasis2 14" xfId="83" xr:uid="{00000000-0005-0000-0000-000029000000}"/>
    <cellStyle name="20% - Énfasis2 15" xfId="84" xr:uid="{00000000-0005-0000-0000-00002A000000}"/>
    <cellStyle name="20% - Énfasis2 16" xfId="85" xr:uid="{00000000-0005-0000-0000-00002B000000}"/>
    <cellStyle name="20% - Énfasis2 17" xfId="86" xr:uid="{00000000-0005-0000-0000-00002C000000}"/>
    <cellStyle name="20% - Énfasis2 18" xfId="87" xr:uid="{00000000-0005-0000-0000-00002D000000}"/>
    <cellStyle name="20% - Énfasis2 19" xfId="88" xr:uid="{00000000-0005-0000-0000-00002E000000}"/>
    <cellStyle name="20% - Énfasis2 2" xfId="89" xr:uid="{00000000-0005-0000-0000-00002F000000}"/>
    <cellStyle name="20% - Énfasis2 2 2" xfId="1453" xr:uid="{00000000-0005-0000-0000-000030000000}"/>
    <cellStyle name="20% - Énfasis2 20" xfId="90" xr:uid="{00000000-0005-0000-0000-000031000000}"/>
    <cellStyle name="20% - Énfasis2 21" xfId="867" xr:uid="{00000000-0005-0000-0000-000032000000}"/>
    <cellStyle name="20% - Énfasis2 21 2" xfId="935" xr:uid="{00000000-0005-0000-0000-000033000000}"/>
    <cellStyle name="20% - Énfasis2 21 2 2" xfId="936" xr:uid="{00000000-0005-0000-0000-000034000000}"/>
    <cellStyle name="20% - Énfasis2 21 3" xfId="937" xr:uid="{00000000-0005-0000-0000-000035000000}"/>
    <cellStyle name="20% - Énfasis2 21 3 2" xfId="938" xr:uid="{00000000-0005-0000-0000-000036000000}"/>
    <cellStyle name="20% - Énfasis2 21 4" xfId="939" xr:uid="{00000000-0005-0000-0000-000037000000}"/>
    <cellStyle name="20% - Énfasis2 22" xfId="916" xr:uid="{00000000-0005-0000-0000-000038000000}"/>
    <cellStyle name="20% - Énfasis2 22 2" xfId="940" xr:uid="{00000000-0005-0000-0000-000039000000}"/>
    <cellStyle name="20% - Énfasis2 22 2 2" xfId="941" xr:uid="{00000000-0005-0000-0000-00003A000000}"/>
    <cellStyle name="20% - Énfasis2 22 3" xfId="942" xr:uid="{00000000-0005-0000-0000-00003B000000}"/>
    <cellStyle name="20% - Énfasis2 23" xfId="1454" xr:uid="{00000000-0005-0000-0000-00003C000000}"/>
    <cellStyle name="20% - Énfasis2 24" xfId="5" xr:uid="{00000000-0005-0000-0000-00003D000000}"/>
    <cellStyle name="20% - Énfasis2 3" xfId="91" xr:uid="{00000000-0005-0000-0000-00003E000000}"/>
    <cellStyle name="20% - Énfasis2 3 2" xfId="1455" xr:uid="{00000000-0005-0000-0000-00003F000000}"/>
    <cellStyle name="20% - Énfasis2 4" xfId="92" xr:uid="{00000000-0005-0000-0000-000040000000}"/>
    <cellStyle name="20% - Énfasis2 4 2" xfId="1456" xr:uid="{00000000-0005-0000-0000-000041000000}"/>
    <cellStyle name="20% - Énfasis2 5" xfId="93" xr:uid="{00000000-0005-0000-0000-000042000000}"/>
    <cellStyle name="20% - Énfasis2 6" xfId="94" xr:uid="{00000000-0005-0000-0000-000043000000}"/>
    <cellStyle name="20% - Énfasis2 7" xfId="95" xr:uid="{00000000-0005-0000-0000-000044000000}"/>
    <cellStyle name="20% - Énfasis2 8" xfId="96" xr:uid="{00000000-0005-0000-0000-000045000000}"/>
    <cellStyle name="20% - Énfasis2 9" xfId="97" xr:uid="{00000000-0005-0000-0000-000046000000}"/>
    <cellStyle name="20% - Énfasis3 10" xfId="98" xr:uid="{00000000-0005-0000-0000-000047000000}"/>
    <cellStyle name="20% - Énfasis3 11" xfId="99" xr:uid="{00000000-0005-0000-0000-000048000000}"/>
    <cellStyle name="20% - Énfasis3 12" xfId="100" xr:uid="{00000000-0005-0000-0000-000049000000}"/>
    <cellStyle name="20% - Énfasis3 13" xfId="101" xr:uid="{00000000-0005-0000-0000-00004A000000}"/>
    <cellStyle name="20% - Énfasis3 14" xfId="102" xr:uid="{00000000-0005-0000-0000-00004B000000}"/>
    <cellStyle name="20% - Énfasis3 15" xfId="103" xr:uid="{00000000-0005-0000-0000-00004C000000}"/>
    <cellStyle name="20% - Énfasis3 16" xfId="104" xr:uid="{00000000-0005-0000-0000-00004D000000}"/>
    <cellStyle name="20% - Énfasis3 17" xfId="105" xr:uid="{00000000-0005-0000-0000-00004E000000}"/>
    <cellStyle name="20% - Énfasis3 18" xfId="106" xr:uid="{00000000-0005-0000-0000-00004F000000}"/>
    <cellStyle name="20% - Énfasis3 19" xfId="107" xr:uid="{00000000-0005-0000-0000-000050000000}"/>
    <cellStyle name="20% - Énfasis3 2" xfId="108" xr:uid="{00000000-0005-0000-0000-000051000000}"/>
    <cellStyle name="20% - Énfasis3 2 2" xfId="1457" xr:uid="{00000000-0005-0000-0000-000052000000}"/>
    <cellStyle name="20% - Énfasis3 20" xfId="109" xr:uid="{00000000-0005-0000-0000-000053000000}"/>
    <cellStyle name="20% - Énfasis3 21" xfId="871" xr:uid="{00000000-0005-0000-0000-000054000000}"/>
    <cellStyle name="20% - Énfasis3 21 2" xfId="943" xr:uid="{00000000-0005-0000-0000-000055000000}"/>
    <cellStyle name="20% - Énfasis3 21 2 2" xfId="944" xr:uid="{00000000-0005-0000-0000-000056000000}"/>
    <cellStyle name="20% - Énfasis3 21 3" xfId="945" xr:uid="{00000000-0005-0000-0000-000057000000}"/>
    <cellStyle name="20% - Énfasis3 21 3 2" xfId="946" xr:uid="{00000000-0005-0000-0000-000058000000}"/>
    <cellStyle name="20% - Énfasis3 21 4" xfId="947" xr:uid="{00000000-0005-0000-0000-000059000000}"/>
    <cellStyle name="20% - Énfasis3 22" xfId="918" xr:uid="{00000000-0005-0000-0000-00005A000000}"/>
    <cellStyle name="20% - Énfasis3 22 2" xfId="948" xr:uid="{00000000-0005-0000-0000-00005B000000}"/>
    <cellStyle name="20% - Énfasis3 22 2 2" xfId="949" xr:uid="{00000000-0005-0000-0000-00005C000000}"/>
    <cellStyle name="20% - Énfasis3 22 3" xfId="950" xr:uid="{00000000-0005-0000-0000-00005D000000}"/>
    <cellStyle name="20% - Énfasis3 23" xfId="1458" xr:uid="{00000000-0005-0000-0000-00005E000000}"/>
    <cellStyle name="20% - Énfasis3 24" xfId="6" xr:uid="{00000000-0005-0000-0000-00005F000000}"/>
    <cellStyle name="20% - Énfasis3 3" xfId="110" xr:uid="{00000000-0005-0000-0000-000060000000}"/>
    <cellStyle name="20% - Énfasis3 3 2" xfId="1459" xr:uid="{00000000-0005-0000-0000-000061000000}"/>
    <cellStyle name="20% - Énfasis3 4" xfId="111" xr:uid="{00000000-0005-0000-0000-000062000000}"/>
    <cellStyle name="20% - Énfasis3 4 2" xfId="1460" xr:uid="{00000000-0005-0000-0000-000063000000}"/>
    <cellStyle name="20% - Énfasis3 5" xfId="112" xr:uid="{00000000-0005-0000-0000-000064000000}"/>
    <cellStyle name="20% - Énfasis3 6" xfId="113" xr:uid="{00000000-0005-0000-0000-000065000000}"/>
    <cellStyle name="20% - Énfasis3 7" xfId="114" xr:uid="{00000000-0005-0000-0000-000066000000}"/>
    <cellStyle name="20% - Énfasis3 8" xfId="115" xr:uid="{00000000-0005-0000-0000-000067000000}"/>
    <cellStyle name="20% - Énfasis3 9" xfId="116" xr:uid="{00000000-0005-0000-0000-000068000000}"/>
    <cellStyle name="20% - Énfasis4 10" xfId="117" xr:uid="{00000000-0005-0000-0000-000069000000}"/>
    <cellStyle name="20% - Énfasis4 11" xfId="118" xr:uid="{00000000-0005-0000-0000-00006A000000}"/>
    <cellStyle name="20% - Énfasis4 12" xfId="119" xr:uid="{00000000-0005-0000-0000-00006B000000}"/>
    <cellStyle name="20% - Énfasis4 13" xfId="120" xr:uid="{00000000-0005-0000-0000-00006C000000}"/>
    <cellStyle name="20% - Énfasis4 14" xfId="121" xr:uid="{00000000-0005-0000-0000-00006D000000}"/>
    <cellStyle name="20% - Énfasis4 15" xfId="122" xr:uid="{00000000-0005-0000-0000-00006E000000}"/>
    <cellStyle name="20% - Énfasis4 16" xfId="123" xr:uid="{00000000-0005-0000-0000-00006F000000}"/>
    <cellStyle name="20% - Énfasis4 17" xfId="124" xr:uid="{00000000-0005-0000-0000-000070000000}"/>
    <cellStyle name="20% - Énfasis4 18" xfId="125" xr:uid="{00000000-0005-0000-0000-000071000000}"/>
    <cellStyle name="20% - Énfasis4 19" xfId="126" xr:uid="{00000000-0005-0000-0000-000072000000}"/>
    <cellStyle name="20% - Énfasis4 2" xfId="127" xr:uid="{00000000-0005-0000-0000-000073000000}"/>
    <cellStyle name="20% - Énfasis4 2 2" xfId="1461" xr:uid="{00000000-0005-0000-0000-000074000000}"/>
    <cellStyle name="20% - Énfasis4 20" xfId="128" xr:uid="{00000000-0005-0000-0000-000075000000}"/>
    <cellStyle name="20% - Énfasis4 21" xfId="875" xr:uid="{00000000-0005-0000-0000-000076000000}"/>
    <cellStyle name="20% - Énfasis4 21 2" xfId="951" xr:uid="{00000000-0005-0000-0000-000077000000}"/>
    <cellStyle name="20% - Énfasis4 21 2 2" xfId="952" xr:uid="{00000000-0005-0000-0000-000078000000}"/>
    <cellStyle name="20% - Énfasis4 21 3" xfId="953" xr:uid="{00000000-0005-0000-0000-000079000000}"/>
    <cellStyle name="20% - Énfasis4 21 3 2" xfId="954" xr:uid="{00000000-0005-0000-0000-00007A000000}"/>
    <cellStyle name="20% - Énfasis4 21 4" xfId="955" xr:uid="{00000000-0005-0000-0000-00007B000000}"/>
    <cellStyle name="20% - Énfasis4 22" xfId="920" xr:uid="{00000000-0005-0000-0000-00007C000000}"/>
    <cellStyle name="20% - Énfasis4 22 2" xfId="956" xr:uid="{00000000-0005-0000-0000-00007D000000}"/>
    <cellStyle name="20% - Énfasis4 22 2 2" xfId="957" xr:uid="{00000000-0005-0000-0000-00007E000000}"/>
    <cellStyle name="20% - Énfasis4 22 3" xfId="958" xr:uid="{00000000-0005-0000-0000-00007F000000}"/>
    <cellStyle name="20% - Énfasis4 23" xfId="1462" xr:uid="{00000000-0005-0000-0000-000080000000}"/>
    <cellStyle name="20% - Énfasis4 24" xfId="7" xr:uid="{00000000-0005-0000-0000-000081000000}"/>
    <cellStyle name="20% - Énfasis4 3" xfId="129" xr:uid="{00000000-0005-0000-0000-000082000000}"/>
    <cellStyle name="20% - Énfasis4 3 2" xfId="1463" xr:uid="{00000000-0005-0000-0000-000083000000}"/>
    <cellStyle name="20% - Énfasis4 4" xfId="130" xr:uid="{00000000-0005-0000-0000-000084000000}"/>
    <cellStyle name="20% - Énfasis4 4 2" xfId="1464" xr:uid="{00000000-0005-0000-0000-000085000000}"/>
    <cellStyle name="20% - Énfasis4 5" xfId="131" xr:uid="{00000000-0005-0000-0000-000086000000}"/>
    <cellStyle name="20% - Énfasis4 6" xfId="132" xr:uid="{00000000-0005-0000-0000-000087000000}"/>
    <cellStyle name="20% - Énfasis4 7" xfId="133" xr:uid="{00000000-0005-0000-0000-000088000000}"/>
    <cellStyle name="20% - Énfasis4 8" xfId="134" xr:uid="{00000000-0005-0000-0000-000089000000}"/>
    <cellStyle name="20% - Énfasis4 9" xfId="135" xr:uid="{00000000-0005-0000-0000-00008A000000}"/>
    <cellStyle name="20% - Énfasis5 2" xfId="879" xr:uid="{00000000-0005-0000-0000-00008B000000}"/>
    <cellStyle name="20% - Énfasis5 2 2" xfId="959" xr:uid="{00000000-0005-0000-0000-00008C000000}"/>
    <cellStyle name="20% - Énfasis5 2 2 2" xfId="960" xr:uid="{00000000-0005-0000-0000-00008D000000}"/>
    <cellStyle name="20% - Énfasis5 2 3" xfId="961" xr:uid="{00000000-0005-0000-0000-00008E000000}"/>
    <cellStyle name="20% - Énfasis5 2 3 2" xfId="962" xr:uid="{00000000-0005-0000-0000-00008F000000}"/>
    <cellStyle name="20% - Énfasis5 2 4" xfId="963" xr:uid="{00000000-0005-0000-0000-000090000000}"/>
    <cellStyle name="20% - Énfasis5 3" xfId="922" xr:uid="{00000000-0005-0000-0000-000091000000}"/>
    <cellStyle name="20% - Énfasis5 3 2" xfId="964" xr:uid="{00000000-0005-0000-0000-000092000000}"/>
    <cellStyle name="20% - Énfasis5 3 2 2" xfId="965" xr:uid="{00000000-0005-0000-0000-000093000000}"/>
    <cellStyle name="20% - Énfasis5 3 3" xfId="966" xr:uid="{00000000-0005-0000-0000-000094000000}"/>
    <cellStyle name="20% - Énfasis5 4" xfId="1465" xr:uid="{00000000-0005-0000-0000-000095000000}"/>
    <cellStyle name="20% - Énfasis5 5" xfId="1466" xr:uid="{00000000-0005-0000-0000-000096000000}"/>
    <cellStyle name="20% - Énfasis5 6" xfId="8" xr:uid="{00000000-0005-0000-0000-000097000000}"/>
    <cellStyle name="20% - Énfasis6 10" xfId="136" xr:uid="{00000000-0005-0000-0000-000098000000}"/>
    <cellStyle name="20% - Énfasis6 11" xfId="137" xr:uid="{00000000-0005-0000-0000-000099000000}"/>
    <cellStyle name="20% - Énfasis6 12" xfId="138" xr:uid="{00000000-0005-0000-0000-00009A000000}"/>
    <cellStyle name="20% - Énfasis6 13" xfId="139" xr:uid="{00000000-0005-0000-0000-00009B000000}"/>
    <cellStyle name="20% - Énfasis6 14" xfId="140" xr:uid="{00000000-0005-0000-0000-00009C000000}"/>
    <cellStyle name="20% - Énfasis6 15" xfId="141" xr:uid="{00000000-0005-0000-0000-00009D000000}"/>
    <cellStyle name="20% - Énfasis6 16" xfId="142" xr:uid="{00000000-0005-0000-0000-00009E000000}"/>
    <cellStyle name="20% - Énfasis6 17" xfId="143" xr:uid="{00000000-0005-0000-0000-00009F000000}"/>
    <cellStyle name="20% - Énfasis6 18" xfId="144" xr:uid="{00000000-0005-0000-0000-0000A0000000}"/>
    <cellStyle name="20% - Énfasis6 19" xfId="145" xr:uid="{00000000-0005-0000-0000-0000A1000000}"/>
    <cellStyle name="20% - Énfasis6 2" xfId="146" xr:uid="{00000000-0005-0000-0000-0000A2000000}"/>
    <cellStyle name="20% - Énfasis6 2 2" xfId="1467" xr:uid="{00000000-0005-0000-0000-0000A3000000}"/>
    <cellStyle name="20% - Énfasis6 20" xfId="147" xr:uid="{00000000-0005-0000-0000-0000A4000000}"/>
    <cellStyle name="20% - Énfasis6 21" xfId="883" xr:uid="{00000000-0005-0000-0000-0000A5000000}"/>
    <cellStyle name="20% - Énfasis6 21 2" xfId="967" xr:uid="{00000000-0005-0000-0000-0000A6000000}"/>
    <cellStyle name="20% - Énfasis6 21 2 2" xfId="968" xr:uid="{00000000-0005-0000-0000-0000A7000000}"/>
    <cellStyle name="20% - Énfasis6 21 3" xfId="969" xr:uid="{00000000-0005-0000-0000-0000A8000000}"/>
    <cellStyle name="20% - Énfasis6 21 3 2" xfId="970" xr:uid="{00000000-0005-0000-0000-0000A9000000}"/>
    <cellStyle name="20% - Énfasis6 21 4" xfId="971" xr:uid="{00000000-0005-0000-0000-0000AA000000}"/>
    <cellStyle name="20% - Énfasis6 22" xfId="924" xr:uid="{00000000-0005-0000-0000-0000AB000000}"/>
    <cellStyle name="20% - Énfasis6 22 2" xfId="972" xr:uid="{00000000-0005-0000-0000-0000AC000000}"/>
    <cellStyle name="20% - Énfasis6 22 2 2" xfId="973" xr:uid="{00000000-0005-0000-0000-0000AD000000}"/>
    <cellStyle name="20% - Énfasis6 22 3" xfId="974" xr:uid="{00000000-0005-0000-0000-0000AE000000}"/>
    <cellStyle name="20% - Énfasis6 23" xfId="1468" xr:uid="{00000000-0005-0000-0000-0000AF000000}"/>
    <cellStyle name="20% - Énfasis6 24" xfId="9" xr:uid="{00000000-0005-0000-0000-0000B0000000}"/>
    <cellStyle name="20% - Énfasis6 3" xfId="148" xr:uid="{00000000-0005-0000-0000-0000B1000000}"/>
    <cellStyle name="20% - Énfasis6 3 2" xfId="1469" xr:uid="{00000000-0005-0000-0000-0000B2000000}"/>
    <cellStyle name="20% - Énfasis6 4" xfId="149" xr:uid="{00000000-0005-0000-0000-0000B3000000}"/>
    <cellStyle name="20% - Énfasis6 4 2" xfId="1470" xr:uid="{00000000-0005-0000-0000-0000B4000000}"/>
    <cellStyle name="20% - Énfasis6 5" xfId="150" xr:uid="{00000000-0005-0000-0000-0000B5000000}"/>
    <cellStyle name="20% - Énfasis6 6" xfId="151" xr:uid="{00000000-0005-0000-0000-0000B6000000}"/>
    <cellStyle name="20% - Énfasis6 7" xfId="152" xr:uid="{00000000-0005-0000-0000-0000B7000000}"/>
    <cellStyle name="20% - Énfasis6 8" xfId="153" xr:uid="{00000000-0005-0000-0000-0000B8000000}"/>
    <cellStyle name="20% - Énfasis6 9" xfId="154" xr:uid="{00000000-0005-0000-0000-0000B9000000}"/>
    <cellStyle name="2o.nível" xfId="1471" xr:uid="{00000000-0005-0000-0000-0000BA000000}"/>
    <cellStyle name="40% - Énfasis1 10" xfId="155" xr:uid="{00000000-0005-0000-0000-0000BB000000}"/>
    <cellStyle name="40% - Énfasis1 11" xfId="156" xr:uid="{00000000-0005-0000-0000-0000BC000000}"/>
    <cellStyle name="40% - Énfasis1 12" xfId="157" xr:uid="{00000000-0005-0000-0000-0000BD000000}"/>
    <cellStyle name="40% - Énfasis1 13" xfId="158" xr:uid="{00000000-0005-0000-0000-0000BE000000}"/>
    <cellStyle name="40% - Énfasis1 14" xfId="159" xr:uid="{00000000-0005-0000-0000-0000BF000000}"/>
    <cellStyle name="40% - Énfasis1 15" xfId="160" xr:uid="{00000000-0005-0000-0000-0000C0000000}"/>
    <cellStyle name="40% - Énfasis1 16" xfId="161" xr:uid="{00000000-0005-0000-0000-0000C1000000}"/>
    <cellStyle name="40% - Énfasis1 17" xfId="162" xr:uid="{00000000-0005-0000-0000-0000C2000000}"/>
    <cellStyle name="40% - Énfasis1 18" xfId="163" xr:uid="{00000000-0005-0000-0000-0000C3000000}"/>
    <cellStyle name="40% - Énfasis1 19" xfId="164" xr:uid="{00000000-0005-0000-0000-0000C4000000}"/>
    <cellStyle name="40% - Énfasis1 2" xfId="165" xr:uid="{00000000-0005-0000-0000-0000C5000000}"/>
    <cellStyle name="40% - Énfasis1 2 2" xfId="1472" xr:uid="{00000000-0005-0000-0000-0000C6000000}"/>
    <cellStyle name="40% - Énfasis1 20" xfId="166" xr:uid="{00000000-0005-0000-0000-0000C7000000}"/>
    <cellStyle name="40% - Énfasis1 21" xfId="864" xr:uid="{00000000-0005-0000-0000-0000C8000000}"/>
    <cellStyle name="40% - Énfasis1 21 2" xfId="975" xr:uid="{00000000-0005-0000-0000-0000C9000000}"/>
    <cellStyle name="40% - Énfasis1 21 2 2" xfId="976" xr:uid="{00000000-0005-0000-0000-0000CA000000}"/>
    <cellStyle name="40% - Énfasis1 21 3" xfId="977" xr:uid="{00000000-0005-0000-0000-0000CB000000}"/>
    <cellStyle name="40% - Énfasis1 21 3 2" xfId="978" xr:uid="{00000000-0005-0000-0000-0000CC000000}"/>
    <cellStyle name="40% - Énfasis1 21 4" xfId="979" xr:uid="{00000000-0005-0000-0000-0000CD000000}"/>
    <cellStyle name="40% - Énfasis1 22" xfId="915" xr:uid="{00000000-0005-0000-0000-0000CE000000}"/>
    <cellStyle name="40% - Énfasis1 22 2" xfId="980" xr:uid="{00000000-0005-0000-0000-0000CF000000}"/>
    <cellStyle name="40% - Énfasis1 22 2 2" xfId="981" xr:uid="{00000000-0005-0000-0000-0000D0000000}"/>
    <cellStyle name="40% - Énfasis1 22 3" xfId="982" xr:uid="{00000000-0005-0000-0000-0000D1000000}"/>
    <cellStyle name="40% - Énfasis1 23" xfId="1473" xr:uid="{00000000-0005-0000-0000-0000D2000000}"/>
    <cellStyle name="40% - Énfasis1 24" xfId="1474" xr:uid="{00000000-0005-0000-0000-0000D3000000}"/>
    <cellStyle name="40% - Énfasis1 25" xfId="10" xr:uid="{00000000-0005-0000-0000-0000D4000000}"/>
    <cellStyle name="40% - Énfasis1 3" xfId="167" xr:uid="{00000000-0005-0000-0000-0000D5000000}"/>
    <cellStyle name="40% - Énfasis1 3 2" xfId="1475" xr:uid="{00000000-0005-0000-0000-0000D6000000}"/>
    <cellStyle name="40% - Énfasis1 4" xfId="168" xr:uid="{00000000-0005-0000-0000-0000D7000000}"/>
    <cellStyle name="40% - Énfasis1 4 2" xfId="1476" xr:uid="{00000000-0005-0000-0000-0000D8000000}"/>
    <cellStyle name="40% - Énfasis1 5" xfId="169" xr:uid="{00000000-0005-0000-0000-0000D9000000}"/>
    <cellStyle name="40% - Énfasis1 6" xfId="170" xr:uid="{00000000-0005-0000-0000-0000DA000000}"/>
    <cellStyle name="40% - Énfasis1 7" xfId="171" xr:uid="{00000000-0005-0000-0000-0000DB000000}"/>
    <cellStyle name="40% - Énfasis1 8" xfId="172" xr:uid="{00000000-0005-0000-0000-0000DC000000}"/>
    <cellStyle name="40% - Énfasis1 9" xfId="173" xr:uid="{00000000-0005-0000-0000-0000DD000000}"/>
    <cellStyle name="40% - Énfasis2 2" xfId="868" xr:uid="{00000000-0005-0000-0000-0000DE000000}"/>
    <cellStyle name="40% - Énfasis2 2 2" xfId="983" xr:uid="{00000000-0005-0000-0000-0000DF000000}"/>
    <cellStyle name="40% - Énfasis2 2 2 2" xfId="984" xr:uid="{00000000-0005-0000-0000-0000E0000000}"/>
    <cellStyle name="40% - Énfasis2 2 3" xfId="985" xr:uid="{00000000-0005-0000-0000-0000E1000000}"/>
    <cellStyle name="40% - Énfasis2 2 3 2" xfId="986" xr:uid="{00000000-0005-0000-0000-0000E2000000}"/>
    <cellStyle name="40% - Énfasis2 2 4" xfId="987" xr:uid="{00000000-0005-0000-0000-0000E3000000}"/>
    <cellStyle name="40% - Énfasis2 3" xfId="917" xr:uid="{00000000-0005-0000-0000-0000E4000000}"/>
    <cellStyle name="40% - Énfasis2 3 2" xfId="988" xr:uid="{00000000-0005-0000-0000-0000E5000000}"/>
    <cellStyle name="40% - Énfasis2 3 2 2" xfId="989" xr:uid="{00000000-0005-0000-0000-0000E6000000}"/>
    <cellStyle name="40% - Énfasis2 3 3" xfId="990" xr:uid="{00000000-0005-0000-0000-0000E7000000}"/>
    <cellStyle name="40% - Énfasis2 4" xfId="1477" xr:uid="{00000000-0005-0000-0000-0000E8000000}"/>
    <cellStyle name="40% - Énfasis2 5" xfId="1478" xr:uid="{00000000-0005-0000-0000-0000E9000000}"/>
    <cellStyle name="40% - Énfasis2 6" xfId="11" xr:uid="{00000000-0005-0000-0000-0000EA000000}"/>
    <cellStyle name="40% - Énfasis3 10" xfId="174" xr:uid="{00000000-0005-0000-0000-0000EB000000}"/>
    <cellStyle name="40% - Énfasis3 11" xfId="175" xr:uid="{00000000-0005-0000-0000-0000EC000000}"/>
    <cellStyle name="40% - Énfasis3 12" xfId="176" xr:uid="{00000000-0005-0000-0000-0000ED000000}"/>
    <cellStyle name="40% - Énfasis3 13" xfId="177" xr:uid="{00000000-0005-0000-0000-0000EE000000}"/>
    <cellStyle name="40% - Énfasis3 14" xfId="178" xr:uid="{00000000-0005-0000-0000-0000EF000000}"/>
    <cellStyle name="40% - Énfasis3 15" xfId="179" xr:uid="{00000000-0005-0000-0000-0000F0000000}"/>
    <cellStyle name="40% - Énfasis3 16" xfId="180" xr:uid="{00000000-0005-0000-0000-0000F1000000}"/>
    <cellStyle name="40% - Énfasis3 17" xfId="181" xr:uid="{00000000-0005-0000-0000-0000F2000000}"/>
    <cellStyle name="40% - Énfasis3 18" xfId="182" xr:uid="{00000000-0005-0000-0000-0000F3000000}"/>
    <cellStyle name="40% - Énfasis3 19" xfId="183" xr:uid="{00000000-0005-0000-0000-0000F4000000}"/>
    <cellStyle name="40% - Énfasis3 2" xfId="184" xr:uid="{00000000-0005-0000-0000-0000F5000000}"/>
    <cellStyle name="40% - Énfasis3 2 2" xfId="1479" xr:uid="{00000000-0005-0000-0000-0000F6000000}"/>
    <cellStyle name="40% - Énfasis3 20" xfId="185" xr:uid="{00000000-0005-0000-0000-0000F7000000}"/>
    <cellStyle name="40% - Énfasis3 21" xfId="872" xr:uid="{00000000-0005-0000-0000-0000F8000000}"/>
    <cellStyle name="40% - Énfasis3 21 2" xfId="991" xr:uid="{00000000-0005-0000-0000-0000F9000000}"/>
    <cellStyle name="40% - Énfasis3 21 2 2" xfId="992" xr:uid="{00000000-0005-0000-0000-0000FA000000}"/>
    <cellStyle name="40% - Énfasis3 21 3" xfId="993" xr:uid="{00000000-0005-0000-0000-0000FB000000}"/>
    <cellStyle name="40% - Énfasis3 21 3 2" xfId="994" xr:uid="{00000000-0005-0000-0000-0000FC000000}"/>
    <cellStyle name="40% - Énfasis3 21 4" xfId="995" xr:uid="{00000000-0005-0000-0000-0000FD000000}"/>
    <cellStyle name="40% - Énfasis3 22" xfId="919" xr:uid="{00000000-0005-0000-0000-0000FE000000}"/>
    <cellStyle name="40% - Énfasis3 22 2" xfId="996" xr:uid="{00000000-0005-0000-0000-0000FF000000}"/>
    <cellStyle name="40% - Énfasis3 22 2 2" xfId="997" xr:uid="{00000000-0005-0000-0000-000000010000}"/>
    <cellStyle name="40% - Énfasis3 22 3" xfId="998" xr:uid="{00000000-0005-0000-0000-000001010000}"/>
    <cellStyle name="40% - Énfasis3 23" xfId="1480" xr:uid="{00000000-0005-0000-0000-000002010000}"/>
    <cellStyle name="40% - Énfasis3 24" xfId="12" xr:uid="{00000000-0005-0000-0000-000003010000}"/>
    <cellStyle name="40% - Énfasis3 3" xfId="186" xr:uid="{00000000-0005-0000-0000-000004010000}"/>
    <cellStyle name="40% - Énfasis3 3 2" xfId="1481" xr:uid="{00000000-0005-0000-0000-000005010000}"/>
    <cellStyle name="40% - Énfasis3 4" xfId="187" xr:uid="{00000000-0005-0000-0000-000006010000}"/>
    <cellStyle name="40% - Énfasis3 4 2" xfId="1482" xr:uid="{00000000-0005-0000-0000-000007010000}"/>
    <cellStyle name="40% - Énfasis3 5" xfId="188" xr:uid="{00000000-0005-0000-0000-000008010000}"/>
    <cellStyle name="40% - Énfasis3 6" xfId="189" xr:uid="{00000000-0005-0000-0000-000009010000}"/>
    <cellStyle name="40% - Énfasis3 7" xfId="190" xr:uid="{00000000-0005-0000-0000-00000A010000}"/>
    <cellStyle name="40% - Énfasis3 8" xfId="191" xr:uid="{00000000-0005-0000-0000-00000B010000}"/>
    <cellStyle name="40% - Énfasis3 9" xfId="192" xr:uid="{00000000-0005-0000-0000-00000C010000}"/>
    <cellStyle name="40% - Énfasis4 10" xfId="193" xr:uid="{00000000-0005-0000-0000-00000D010000}"/>
    <cellStyle name="40% - Énfasis4 11" xfId="194" xr:uid="{00000000-0005-0000-0000-00000E010000}"/>
    <cellStyle name="40% - Énfasis4 12" xfId="195" xr:uid="{00000000-0005-0000-0000-00000F010000}"/>
    <cellStyle name="40% - Énfasis4 13" xfId="196" xr:uid="{00000000-0005-0000-0000-000010010000}"/>
    <cellStyle name="40% - Énfasis4 14" xfId="197" xr:uid="{00000000-0005-0000-0000-000011010000}"/>
    <cellStyle name="40% - Énfasis4 15" xfId="198" xr:uid="{00000000-0005-0000-0000-000012010000}"/>
    <cellStyle name="40% - Énfasis4 16" xfId="199" xr:uid="{00000000-0005-0000-0000-000013010000}"/>
    <cellStyle name="40% - Énfasis4 17" xfId="200" xr:uid="{00000000-0005-0000-0000-000014010000}"/>
    <cellStyle name="40% - Énfasis4 18" xfId="201" xr:uid="{00000000-0005-0000-0000-000015010000}"/>
    <cellStyle name="40% - Énfasis4 19" xfId="202" xr:uid="{00000000-0005-0000-0000-000016010000}"/>
    <cellStyle name="40% - Énfasis4 2" xfId="203" xr:uid="{00000000-0005-0000-0000-000017010000}"/>
    <cellStyle name="40% - Énfasis4 2 2" xfId="1483" xr:uid="{00000000-0005-0000-0000-000018010000}"/>
    <cellStyle name="40% - Énfasis4 20" xfId="204" xr:uid="{00000000-0005-0000-0000-000019010000}"/>
    <cellStyle name="40% - Énfasis4 21" xfId="876" xr:uid="{00000000-0005-0000-0000-00001A010000}"/>
    <cellStyle name="40% - Énfasis4 21 2" xfId="999" xr:uid="{00000000-0005-0000-0000-00001B010000}"/>
    <cellStyle name="40% - Énfasis4 21 2 2" xfId="1000" xr:uid="{00000000-0005-0000-0000-00001C010000}"/>
    <cellStyle name="40% - Énfasis4 21 3" xfId="1001" xr:uid="{00000000-0005-0000-0000-00001D010000}"/>
    <cellStyle name="40% - Énfasis4 21 3 2" xfId="1002" xr:uid="{00000000-0005-0000-0000-00001E010000}"/>
    <cellStyle name="40% - Énfasis4 21 4" xfId="1003" xr:uid="{00000000-0005-0000-0000-00001F010000}"/>
    <cellStyle name="40% - Énfasis4 22" xfId="921" xr:uid="{00000000-0005-0000-0000-000020010000}"/>
    <cellStyle name="40% - Énfasis4 22 2" xfId="1004" xr:uid="{00000000-0005-0000-0000-000021010000}"/>
    <cellStyle name="40% - Énfasis4 22 2 2" xfId="1005" xr:uid="{00000000-0005-0000-0000-000022010000}"/>
    <cellStyle name="40% - Énfasis4 22 3" xfId="1006" xr:uid="{00000000-0005-0000-0000-000023010000}"/>
    <cellStyle name="40% - Énfasis4 23" xfId="1484" xr:uid="{00000000-0005-0000-0000-000024010000}"/>
    <cellStyle name="40% - Énfasis4 24" xfId="1485" xr:uid="{00000000-0005-0000-0000-000025010000}"/>
    <cellStyle name="40% - Énfasis4 25" xfId="13" xr:uid="{00000000-0005-0000-0000-000026010000}"/>
    <cellStyle name="40% - Énfasis4 3" xfId="205" xr:uid="{00000000-0005-0000-0000-000027010000}"/>
    <cellStyle name="40% - Énfasis4 3 2" xfId="1486" xr:uid="{00000000-0005-0000-0000-000028010000}"/>
    <cellStyle name="40% - Énfasis4 4" xfId="206" xr:uid="{00000000-0005-0000-0000-000029010000}"/>
    <cellStyle name="40% - Énfasis4 4 2" xfId="1487" xr:uid="{00000000-0005-0000-0000-00002A010000}"/>
    <cellStyle name="40% - Énfasis4 5" xfId="207" xr:uid="{00000000-0005-0000-0000-00002B010000}"/>
    <cellStyle name="40% - Énfasis4 6" xfId="208" xr:uid="{00000000-0005-0000-0000-00002C010000}"/>
    <cellStyle name="40% - Énfasis4 7" xfId="209" xr:uid="{00000000-0005-0000-0000-00002D010000}"/>
    <cellStyle name="40% - Énfasis4 8" xfId="210" xr:uid="{00000000-0005-0000-0000-00002E010000}"/>
    <cellStyle name="40% - Énfasis4 9" xfId="211" xr:uid="{00000000-0005-0000-0000-00002F010000}"/>
    <cellStyle name="40% - Énfasis5 2" xfId="880" xr:uid="{00000000-0005-0000-0000-000030010000}"/>
    <cellStyle name="40% - Énfasis5 2 2" xfId="1007" xr:uid="{00000000-0005-0000-0000-000031010000}"/>
    <cellStyle name="40% - Énfasis5 2 2 2" xfId="1008" xr:uid="{00000000-0005-0000-0000-000032010000}"/>
    <cellStyle name="40% - Énfasis5 2 3" xfId="1009" xr:uid="{00000000-0005-0000-0000-000033010000}"/>
    <cellStyle name="40% - Énfasis5 2 3 2" xfId="1010" xr:uid="{00000000-0005-0000-0000-000034010000}"/>
    <cellStyle name="40% - Énfasis5 2 4" xfId="1011" xr:uid="{00000000-0005-0000-0000-000035010000}"/>
    <cellStyle name="40% - Énfasis5 3" xfId="923" xr:uid="{00000000-0005-0000-0000-000036010000}"/>
    <cellStyle name="40% - Énfasis5 3 2" xfId="1012" xr:uid="{00000000-0005-0000-0000-000037010000}"/>
    <cellStyle name="40% - Énfasis5 3 2 2" xfId="1013" xr:uid="{00000000-0005-0000-0000-000038010000}"/>
    <cellStyle name="40% - Énfasis5 3 3" xfId="1014" xr:uid="{00000000-0005-0000-0000-000039010000}"/>
    <cellStyle name="40% - Énfasis5 4" xfId="1488" xr:uid="{00000000-0005-0000-0000-00003A010000}"/>
    <cellStyle name="40% - Énfasis5 5" xfId="1489" xr:uid="{00000000-0005-0000-0000-00003B010000}"/>
    <cellStyle name="40% - Énfasis5 6" xfId="1490" xr:uid="{00000000-0005-0000-0000-00003C010000}"/>
    <cellStyle name="40% - Énfasis5 7" xfId="14" xr:uid="{00000000-0005-0000-0000-00003D010000}"/>
    <cellStyle name="40% - Énfasis6 10" xfId="212" xr:uid="{00000000-0005-0000-0000-00003E010000}"/>
    <cellStyle name="40% - Énfasis6 11" xfId="213" xr:uid="{00000000-0005-0000-0000-00003F010000}"/>
    <cellStyle name="40% - Énfasis6 12" xfId="214" xr:uid="{00000000-0005-0000-0000-000040010000}"/>
    <cellStyle name="40% - Énfasis6 13" xfId="215" xr:uid="{00000000-0005-0000-0000-000041010000}"/>
    <cellStyle name="40% - Énfasis6 14" xfId="216" xr:uid="{00000000-0005-0000-0000-000042010000}"/>
    <cellStyle name="40% - Énfasis6 15" xfId="217" xr:uid="{00000000-0005-0000-0000-000043010000}"/>
    <cellStyle name="40% - Énfasis6 16" xfId="218" xr:uid="{00000000-0005-0000-0000-000044010000}"/>
    <cellStyle name="40% - Énfasis6 17" xfId="219" xr:uid="{00000000-0005-0000-0000-000045010000}"/>
    <cellStyle name="40% - Énfasis6 18" xfId="220" xr:uid="{00000000-0005-0000-0000-000046010000}"/>
    <cellStyle name="40% - Énfasis6 19" xfId="221" xr:uid="{00000000-0005-0000-0000-000047010000}"/>
    <cellStyle name="40% - Énfasis6 2" xfId="222" xr:uid="{00000000-0005-0000-0000-000048010000}"/>
    <cellStyle name="40% - Énfasis6 2 2" xfId="1491" xr:uid="{00000000-0005-0000-0000-000049010000}"/>
    <cellStyle name="40% - Énfasis6 20" xfId="223" xr:uid="{00000000-0005-0000-0000-00004A010000}"/>
    <cellStyle name="40% - Énfasis6 21" xfId="884" xr:uid="{00000000-0005-0000-0000-00004B010000}"/>
    <cellStyle name="40% - Énfasis6 21 2" xfId="1015" xr:uid="{00000000-0005-0000-0000-00004C010000}"/>
    <cellStyle name="40% - Énfasis6 21 2 2" xfId="1016" xr:uid="{00000000-0005-0000-0000-00004D010000}"/>
    <cellStyle name="40% - Énfasis6 21 3" xfId="1017" xr:uid="{00000000-0005-0000-0000-00004E010000}"/>
    <cellStyle name="40% - Énfasis6 21 3 2" xfId="1018" xr:uid="{00000000-0005-0000-0000-00004F010000}"/>
    <cellStyle name="40% - Énfasis6 21 4" xfId="1019" xr:uid="{00000000-0005-0000-0000-000050010000}"/>
    <cellStyle name="40% - Énfasis6 22" xfId="925" xr:uid="{00000000-0005-0000-0000-000051010000}"/>
    <cellStyle name="40% - Énfasis6 22 2" xfId="1020" xr:uid="{00000000-0005-0000-0000-000052010000}"/>
    <cellStyle name="40% - Énfasis6 22 2 2" xfId="1021" xr:uid="{00000000-0005-0000-0000-000053010000}"/>
    <cellStyle name="40% - Énfasis6 22 3" xfId="1022" xr:uid="{00000000-0005-0000-0000-000054010000}"/>
    <cellStyle name="40% - Énfasis6 23" xfId="1492" xr:uid="{00000000-0005-0000-0000-000055010000}"/>
    <cellStyle name="40% - Énfasis6 24" xfId="1493" xr:uid="{00000000-0005-0000-0000-000056010000}"/>
    <cellStyle name="40% - Énfasis6 25" xfId="15" xr:uid="{00000000-0005-0000-0000-000057010000}"/>
    <cellStyle name="40% - Énfasis6 3" xfId="224" xr:uid="{00000000-0005-0000-0000-000058010000}"/>
    <cellStyle name="40% - Énfasis6 3 2" xfId="1494" xr:uid="{00000000-0005-0000-0000-000059010000}"/>
    <cellStyle name="40% - Énfasis6 4" xfId="225" xr:uid="{00000000-0005-0000-0000-00005A010000}"/>
    <cellStyle name="40% - Énfasis6 4 2" xfId="1495" xr:uid="{00000000-0005-0000-0000-00005B010000}"/>
    <cellStyle name="40% - Énfasis6 5" xfId="226" xr:uid="{00000000-0005-0000-0000-00005C010000}"/>
    <cellStyle name="40% - Énfasis6 6" xfId="227" xr:uid="{00000000-0005-0000-0000-00005D010000}"/>
    <cellStyle name="40% - Énfasis6 7" xfId="228" xr:uid="{00000000-0005-0000-0000-00005E010000}"/>
    <cellStyle name="40% - Énfasis6 8" xfId="229" xr:uid="{00000000-0005-0000-0000-00005F010000}"/>
    <cellStyle name="40% - Énfasis6 9" xfId="230" xr:uid="{00000000-0005-0000-0000-000060010000}"/>
    <cellStyle name="60% - Énfasis1 10" xfId="231" xr:uid="{00000000-0005-0000-0000-000061010000}"/>
    <cellStyle name="60% - Énfasis1 11" xfId="232" xr:uid="{00000000-0005-0000-0000-000062010000}"/>
    <cellStyle name="60% - Énfasis1 12" xfId="233" xr:uid="{00000000-0005-0000-0000-000063010000}"/>
    <cellStyle name="60% - Énfasis1 13" xfId="234" xr:uid="{00000000-0005-0000-0000-000064010000}"/>
    <cellStyle name="60% - Énfasis1 14" xfId="235" xr:uid="{00000000-0005-0000-0000-000065010000}"/>
    <cellStyle name="60% - Énfasis1 15" xfId="236" xr:uid="{00000000-0005-0000-0000-000066010000}"/>
    <cellStyle name="60% - Énfasis1 16" xfId="237" xr:uid="{00000000-0005-0000-0000-000067010000}"/>
    <cellStyle name="60% - Énfasis1 17" xfId="238" xr:uid="{00000000-0005-0000-0000-000068010000}"/>
    <cellStyle name="60% - Énfasis1 18" xfId="239" xr:uid="{00000000-0005-0000-0000-000069010000}"/>
    <cellStyle name="60% - Énfasis1 19" xfId="240" xr:uid="{00000000-0005-0000-0000-00006A010000}"/>
    <cellStyle name="60% - Énfasis1 2" xfId="241" xr:uid="{00000000-0005-0000-0000-00006B010000}"/>
    <cellStyle name="60% - Énfasis1 20" xfId="242" xr:uid="{00000000-0005-0000-0000-00006C010000}"/>
    <cellStyle name="60% - Énfasis1 21" xfId="865" xr:uid="{00000000-0005-0000-0000-00006D010000}"/>
    <cellStyle name="60% - Énfasis1 22" xfId="1496" xr:uid="{00000000-0005-0000-0000-00006E010000}"/>
    <cellStyle name="60% - Énfasis1 23" xfId="16" xr:uid="{00000000-0005-0000-0000-00006F010000}"/>
    <cellStyle name="60% - Énfasis1 3" xfId="243" xr:uid="{00000000-0005-0000-0000-000070010000}"/>
    <cellStyle name="60% - Énfasis1 4" xfId="244" xr:uid="{00000000-0005-0000-0000-000071010000}"/>
    <cellStyle name="60% - Énfasis1 5" xfId="245" xr:uid="{00000000-0005-0000-0000-000072010000}"/>
    <cellStyle name="60% - Énfasis1 6" xfId="246" xr:uid="{00000000-0005-0000-0000-000073010000}"/>
    <cellStyle name="60% - Énfasis1 7" xfId="247" xr:uid="{00000000-0005-0000-0000-000074010000}"/>
    <cellStyle name="60% - Énfasis1 8" xfId="248" xr:uid="{00000000-0005-0000-0000-000075010000}"/>
    <cellStyle name="60% - Énfasis1 9" xfId="249" xr:uid="{00000000-0005-0000-0000-000076010000}"/>
    <cellStyle name="60% - Énfasis2 2" xfId="869" xr:uid="{00000000-0005-0000-0000-000077010000}"/>
    <cellStyle name="60% - Énfasis2 3" xfId="1497" xr:uid="{00000000-0005-0000-0000-000078010000}"/>
    <cellStyle name="60% - Énfasis2 4" xfId="17" xr:uid="{00000000-0005-0000-0000-000079010000}"/>
    <cellStyle name="60% - Énfasis3 10" xfId="250" xr:uid="{00000000-0005-0000-0000-00007A010000}"/>
    <cellStyle name="60% - Énfasis3 11" xfId="251" xr:uid="{00000000-0005-0000-0000-00007B010000}"/>
    <cellStyle name="60% - Énfasis3 12" xfId="252" xr:uid="{00000000-0005-0000-0000-00007C010000}"/>
    <cellStyle name="60% - Énfasis3 13" xfId="253" xr:uid="{00000000-0005-0000-0000-00007D010000}"/>
    <cellStyle name="60% - Énfasis3 14" xfId="254" xr:uid="{00000000-0005-0000-0000-00007E010000}"/>
    <cellStyle name="60% - Énfasis3 15" xfId="255" xr:uid="{00000000-0005-0000-0000-00007F010000}"/>
    <cellStyle name="60% - Énfasis3 16" xfId="256" xr:uid="{00000000-0005-0000-0000-000080010000}"/>
    <cellStyle name="60% - Énfasis3 17" xfId="257" xr:uid="{00000000-0005-0000-0000-000081010000}"/>
    <cellStyle name="60% - Énfasis3 18" xfId="258" xr:uid="{00000000-0005-0000-0000-000082010000}"/>
    <cellStyle name="60% - Énfasis3 19" xfId="259" xr:uid="{00000000-0005-0000-0000-000083010000}"/>
    <cellStyle name="60% - Énfasis3 2" xfId="260" xr:uid="{00000000-0005-0000-0000-000084010000}"/>
    <cellStyle name="60% - Énfasis3 20" xfId="261" xr:uid="{00000000-0005-0000-0000-000085010000}"/>
    <cellStyle name="60% - Énfasis3 21" xfId="873" xr:uid="{00000000-0005-0000-0000-000086010000}"/>
    <cellStyle name="60% - Énfasis3 22" xfId="1498" xr:uid="{00000000-0005-0000-0000-000087010000}"/>
    <cellStyle name="60% - Énfasis3 23" xfId="18" xr:uid="{00000000-0005-0000-0000-000088010000}"/>
    <cellStyle name="60% - Énfasis3 3" xfId="262" xr:uid="{00000000-0005-0000-0000-000089010000}"/>
    <cellStyle name="60% - Énfasis3 4" xfId="263" xr:uid="{00000000-0005-0000-0000-00008A010000}"/>
    <cellStyle name="60% - Énfasis3 5" xfId="264" xr:uid="{00000000-0005-0000-0000-00008B010000}"/>
    <cellStyle name="60% - Énfasis3 6" xfId="265" xr:uid="{00000000-0005-0000-0000-00008C010000}"/>
    <cellStyle name="60% - Énfasis3 7" xfId="266" xr:uid="{00000000-0005-0000-0000-00008D010000}"/>
    <cellStyle name="60% - Énfasis3 8" xfId="267" xr:uid="{00000000-0005-0000-0000-00008E010000}"/>
    <cellStyle name="60% - Énfasis3 9" xfId="268" xr:uid="{00000000-0005-0000-0000-00008F010000}"/>
    <cellStyle name="60% - Énfasis4 10" xfId="269" xr:uid="{00000000-0005-0000-0000-000090010000}"/>
    <cellStyle name="60% - Énfasis4 11" xfId="270" xr:uid="{00000000-0005-0000-0000-000091010000}"/>
    <cellStyle name="60% - Énfasis4 12" xfId="271" xr:uid="{00000000-0005-0000-0000-000092010000}"/>
    <cellStyle name="60% - Énfasis4 13" xfId="272" xr:uid="{00000000-0005-0000-0000-000093010000}"/>
    <cellStyle name="60% - Énfasis4 14" xfId="273" xr:uid="{00000000-0005-0000-0000-000094010000}"/>
    <cellStyle name="60% - Énfasis4 15" xfId="274" xr:uid="{00000000-0005-0000-0000-000095010000}"/>
    <cellStyle name="60% - Énfasis4 16" xfId="275" xr:uid="{00000000-0005-0000-0000-000096010000}"/>
    <cellStyle name="60% - Énfasis4 17" xfId="276" xr:uid="{00000000-0005-0000-0000-000097010000}"/>
    <cellStyle name="60% - Énfasis4 18" xfId="277" xr:uid="{00000000-0005-0000-0000-000098010000}"/>
    <cellStyle name="60% - Énfasis4 19" xfId="278" xr:uid="{00000000-0005-0000-0000-000099010000}"/>
    <cellStyle name="60% - Énfasis4 2" xfId="279" xr:uid="{00000000-0005-0000-0000-00009A010000}"/>
    <cellStyle name="60% - Énfasis4 20" xfId="280" xr:uid="{00000000-0005-0000-0000-00009B010000}"/>
    <cellStyle name="60% - Énfasis4 21" xfId="877" xr:uid="{00000000-0005-0000-0000-00009C010000}"/>
    <cellStyle name="60% - Énfasis4 22" xfId="1499" xr:uid="{00000000-0005-0000-0000-00009D010000}"/>
    <cellStyle name="60% - Énfasis4 23" xfId="19" xr:uid="{00000000-0005-0000-0000-00009E010000}"/>
    <cellStyle name="60% - Énfasis4 3" xfId="281" xr:uid="{00000000-0005-0000-0000-00009F010000}"/>
    <cellStyle name="60% - Énfasis4 4" xfId="282" xr:uid="{00000000-0005-0000-0000-0000A0010000}"/>
    <cellStyle name="60% - Énfasis4 5" xfId="283" xr:uid="{00000000-0005-0000-0000-0000A1010000}"/>
    <cellStyle name="60% - Énfasis4 6" xfId="284" xr:uid="{00000000-0005-0000-0000-0000A2010000}"/>
    <cellStyle name="60% - Énfasis4 7" xfId="285" xr:uid="{00000000-0005-0000-0000-0000A3010000}"/>
    <cellStyle name="60% - Énfasis4 8" xfId="286" xr:uid="{00000000-0005-0000-0000-0000A4010000}"/>
    <cellStyle name="60% - Énfasis4 9" xfId="287" xr:uid="{00000000-0005-0000-0000-0000A5010000}"/>
    <cellStyle name="60% - Énfasis5 10" xfId="288" xr:uid="{00000000-0005-0000-0000-0000A6010000}"/>
    <cellStyle name="60% - Énfasis5 11" xfId="289" xr:uid="{00000000-0005-0000-0000-0000A7010000}"/>
    <cellStyle name="60% - Énfasis5 12" xfId="290" xr:uid="{00000000-0005-0000-0000-0000A8010000}"/>
    <cellStyle name="60% - Énfasis5 13" xfId="291" xr:uid="{00000000-0005-0000-0000-0000A9010000}"/>
    <cellStyle name="60% - Énfasis5 14" xfId="292" xr:uid="{00000000-0005-0000-0000-0000AA010000}"/>
    <cellStyle name="60% - Énfasis5 15" xfId="293" xr:uid="{00000000-0005-0000-0000-0000AB010000}"/>
    <cellStyle name="60% - Énfasis5 16" xfId="294" xr:uid="{00000000-0005-0000-0000-0000AC010000}"/>
    <cellStyle name="60% - Énfasis5 17" xfId="295" xr:uid="{00000000-0005-0000-0000-0000AD010000}"/>
    <cellStyle name="60% - Énfasis5 18" xfId="296" xr:uid="{00000000-0005-0000-0000-0000AE010000}"/>
    <cellStyle name="60% - Énfasis5 19" xfId="297" xr:uid="{00000000-0005-0000-0000-0000AF010000}"/>
    <cellStyle name="60% - Énfasis5 2" xfId="298" xr:uid="{00000000-0005-0000-0000-0000B0010000}"/>
    <cellStyle name="60% - Énfasis5 20" xfId="299" xr:uid="{00000000-0005-0000-0000-0000B1010000}"/>
    <cellStyle name="60% - Énfasis5 21" xfId="881" xr:uid="{00000000-0005-0000-0000-0000B2010000}"/>
    <cellStyle name="60% - Énfasis5 22" xfId="1500" xr:uid="{00000000-0005-0000-0000-0000B3010000}"/>
    <cellStyle name="60% - Énfasis5 23" xfId="20" xr:uid="{00000000-0005-0000-0000-0000B4010000}"/>
    <cellStyle name="60% - Énfasis5 3" xfId="300" xr:uid="{00000000-0005-0000-0000-0000B5010000}"/>
    <cellStyle name="60% - Énfasis5 4" xfId="301" xr:uid="{00000000-0005-0000-0000-0000B6010000}"/>
    <cellStyle name="60% - Énfasis5 5" xfId="302" xr:uid="{00000000-0005-0000-0000-0000B7010000}"/>
    <cellStyle name="60% - Énfasis5 6" xfId="303" xr:uid="{00000000-0005-0000-0000-0000B8010000}"/>
    <cellStyle name="60% - Énfasis5 7" xfId="304" xr:uid="{00000000-0005-0000-0000-0000B9010000}"/>
    <cellStyle name="60% - Énfasis5 8" xfId="305" xr:uid="{00000000-0005-0000-0000-0000BA010000}"/>
    <cellStyle name="60% - Énfasis5 9" xfId="306" xr:uid="{00000000-0005-0000-0000-0000BB010000}"/>
    <cellStyle name="60% - Énfasis6 10" xfId="307" xr:uid="{00000000-0005-0000-0000-0000BC010000}"/>
    <cellStyle name="60% - Énfasis6 11" xfId="308" xr:uid="{00000000-0005-0000-0000-0000BD010000}"/>
    <cellStyle name="60% - Énfasis6 12" xfId="309" xr:uid="{00000000-0005-0000-0000-0000BE010000}"/>
    <cellStyle name="60% - Énfasis6 13" xfId="310" xr:uid="{00000000-0005-0000-0000-0000BF010000}"/>
    <cellStyle name="60% - Énfasis6 14" xfId="311" xr:uid="{00000000-0005-0000-0000-0000C0010000}"/>
    <cellStyle name="60% - Énfasis6 15" xfId="312" xr:uid="{00000000-0005-0000-0000-0000C1010000}"/>
    <cellStyle name="60% - Énfasis6 16" xfId="313" xr:uid="{00000000-0005-0000-0000-0000C2010000}"/>
    <cellStyle name="60% - Énfasis6 17" xfId="314" xr:uid="{00000000-0005-0000-0000-0000C3010000}"/>
    <cellStyle name="60% - Énfasis6 18" xfId="315" xr:uid="{00000000-0005-0000-0000-0000C4010000}"/>
    <cellStyle name="60% - Énfasis6 19" xfId="316" xr:uid="{00000000-0005-0000-0000-0000C5010000}"/>
    <cellStyle name="60% - Énfasis6 2" xfId="317" xr:uid="{00000000-0005-0000-0000-0000C6010000}"/>
    <cellStyle name="60% - Énfasis6 20" xfId="318" xr:uid="{00000000-0005-0000-0000-0000C7010000}"/>
    <cellStyle name="60% - Énfasis6 21" xfId="885" xr:uid="{00000000-0005-0000-0000-0000C8010000}"/>
    <cellStyle name="60% - Énfasis6 22" xfId="21" xr:uid="{00000000-0005-0000-0000-0000C9010000}"/>
    <cellStyle name="60% - Énfasis6 3" xfId="319" xr:uid="{00000000-0005-0000-0000-0000CA010000}"/>
    <cellStyle name="60% - Énfasis6 4" xfId="320" xr:uid="{00000000-0005-0000-0000-0000CB010000}"/>
    <cellStyle name="60% - Énfasis6 5" xfId="321" xr:uid="{00000000-0005-0000-0000-0000CC010000}"/>
    <cellStyle name="60% - Énfasis6 6" xfId="322" xr:uid="{00000000-0005-0000-0000-0000CD010000}"/>
    <cellStyle name="60% - Énfasis6 7" xfId="323" xr:uid="{00000000-0005-0000-0000-0000CE010000}"/>
    <cellStyle name="60% - Énfasis6 8" xfId="324" xr:uid="{00000000-0005-0000-0000-0000CF010000}"/>
    <cellStyle name="60% - Énfasis6 9" xfId="325" xr:uid="{00000000-0005-0000-0000-0000D0010000}"/>
    <cellStyle name="a_quebra_2" xfId="1501" xr:uid="{00000000-0005-0000-0000-0000D1010000}"/>
    <cellStyle name="A3 297 x 420 mm" xfId="22" xr:uid="{00000000-0005-0000-0000-0000D2010000}"/>
    <cellStyle name="A3 297 x 420 mm 10" xfId="326" xr:uid="{00000000-0005-0000-0000-0000D3010000}"/>
    <cellStyle name="A3 297 x 420 mm 10 2" xfId="1023" xr:uid="{00000000-0005-0000-0000-0000D4010000}"/>
    <cellStyle name="A3 297 x 420 mm 11" xfId="327" xr:uid="{00000000-0005-0000-0000-0000D5010000}"/>
    <cellStyle name="A3 297 x 420 mm 12" xfId="328" xr:uid="{00000000-0005-0000-0000-0000D6010000}"/>
    <cellStyle name="A3 297 x 420 mm 13" xfId="329" xr:uid="{00000000-0005-0000-0000-0000D7010000}"/>
    <cellStyle name="A3 297 x 420 mm 14" xfId="330" xr:uid="{00000000-0005-0000-0000-0000D8010000}"/>
    <cellStyle name="A3 297 x 420 mm 15" xfId="331" xr:uid="{00000000-0005-0000-0000-0000D9010000}"/>
    <cellStyle name="A3 297 x 420 mm 16" xfId="332" xr:uid="{00000000-0005-0000-0000-0000DA010000}"/>
    <cellStyle name="A3 297 x 420 mm 17" xfId="333" xr:uid="{00000000-0005-0000-0000-0000DB010000}"/>
    <cellStyle name="A3 297 x 420 mm 18" xfId="334" xr:uid="{00000000-0005-0000-0000-0000DC010000}"/>
    <cellStyle name="A3 297 x 420 mm 19" xfId="335" xr:uid="{00000000-0005-0000-0000-0000DD010000}"/>
    <cellStyle name="A3 297 x 420 mm 2" xfId="54" xr:uid="{00000000-0005-0000-0000-0000DE010000}"/>
    <cellStyle name="A3 297 x 420 mm 2 2" xfId="1024" xr:uid="{00000000-0005-0000-0000-0000DF010000}"/>
    <cellStyle name="A3 297 x 420 mm 20" xfId="336" xr:uid="{00000000-0005-0000-0000-0000E0010000}"/>
    <cellStyle name="A3 297 x 420 mm 21" xfId="337" xr:uid="{00000000-0005-0000-0000-0000E1010000}"/>
    <cellStyle name="A3 297 x 420 mm 22" xfId="338" xr:uid="{00000000-0005-0000-0000-0000E2010000}"/>
    <cellStyle name="A3 297 x 420 mm 23" xfId="339" xr:uid="{00000000-0005-0000-0000-0000E3010000}"/>
    <cellStyle name="A3 297 x 420 mm 24" xfId="340" xr:uid="{00000000-0005-0000-0000-0000E4010000}"/>
    <cellStyle name="A3 297 x 420 mm 25" xfId="341" xr:uid="{00000000-0005-0000-0000-0000E5010000}"/>
    <cellStyle name="A3 297 x 420 mm 26" xfId="342" xr:uid="{00000000-0005-0000-0000-0000E6010000}"/>
    <cellStyle name="A3 297 x 420 mm 27" xfId="343" xr:uid="{00000000-0005-0000-0000-0000E7010000}"/>
    <cellStyle name="A3 297 x 420 mm 28" xfId="344" xr:uid="{00000000-0005-0000-0000-0000E8010000}"/>
    <cellStyle name="A3 297 x 420 mm 29" xfId="345" xr:uid="{00000000-0005-0000-0000-0000E9010000}"/>
    <cellStyle name="A3 297 x 420 mm 3" xfId="55" xr:uid="{00000000-0005-0000-0000-0000EA010000}"/>
    <cellStyle name="A3 297 x 420 mm 3 2" xfId="886" xr:uid="{00000000-0005-0000-0000-0000EB010000}"/>
    <cellStyle name="A3 297 x 420 mm 30" xfId="346" xr:uid="{00000000-0005-0000-0000-0000EC010000}"/>
    <cellStyle name="A3 297 x 420 mm 31" xfId="347" xr:uid="{00000000-0005-0000-0000-0000ED010000}"/>
    <cellStyle name="A3 297 x 420 mm 32" xfId="348" xr:uid="{00000000-0005-0000-0000-0000EE010000}"/>
    <cellStyle name="A3 297 x 420 mm 33" xfId="349" xr:uid="{00000000-0005-0000-0000-0000EF010000}"/>
    <cellStyle name="A3 297 x 420 mm 34" xfId="350" xr:uid="{00000000-0005-0000-0000-0000F0010000}"/>
    <cellStyle name="A3 297 x 420 mm 35" xfId="351" xr:uid="{00000000-0005-0000-0000-0000F1010000}"/>
    <cellStyle name="A3 297 x 420 mm 36" xfId="352" xr:uid="{00000000-0005-0000-0000-0000F2010000}"/>
    <cellStyle name="A3 297 x 420 mm 37" xfId="353" xr:uid="{00000000-0005-0000-0000-0000F3010000}"/>
    <cellStyle name="A3 297 x 420 mm 4" xfId="57" xr:uid="{00000000-0005-0000-0000-0000F4010000}"/>
    <cellStyle name="A3 297 x 420 mm 5" xfId="58" xr:uid="{00000000-0005-0000-0000-0000F5010000}"/>
    <cellStyle name="A3 297 x 420 mm 6" xfId="354" xr:uid="{00000000-0005-0000-0000-0000F6010000}"/>
    <cellStyle name="A3 297 x 420 mm 7" xfId="355" xr:uid="{00000000-0005-0000-0000-0000F7010000}"/>
    <cellStyle name="A3 297 x 420 mm 8" xfId="356" xr:uid="{00000000-0005-0000-0000-0000F8010000}"/>
    <cellStyle name="A3 297 x 420 mm 9" xfId="357" xr:uid="{00000000-0005-0000-0000-0000F9010000}"/>
    <cellStyle name="Buena 2" xfId="850" xr:uid="{00000000-0005-0000-0000-0000FA010000}"/>
    <cellStyle name="Buena 3" xfId="1502" xr:uid="{00000000-0005-0000-0000-0000FB010000}"/>
    <cellStyle name="Bueno 2" xfId="23" xr:uid="{00000000-0005-0000-0000-0000FC010000}"/>
    <cellStyle name="Cabecera 1" xfId="358" xr:uid="{00000000-0005-0000-0000-0000FD010000}"/>
    <cellStyle name="Cabecera 2" xfId="359" xr:uid="{00000000-0005-0000-0000-0000FE010000}"/>
    <cellStyle name="Cálculo 10" xfId="360" xr:uid="{00000000-0005-0000-0000-0000FF010000}"/>
    <cellStyle name="Cálculo 10 2" xfId="1025" xr:uid="{00000000-0005-0000-0000-000000020000}"/>
    <cellStyle name="Cálculo 11" xfId="361" xr:uid="{00000000-0005-0000-0000-000001020000}"/>
    <cellStyle name="Cálculo 11 2" xfId="1026" xr:uid="{00000000-0005-0000-0000-000002020000}"/>
    <cellStyle name="Cálculo 12" xfId="362" xr:uid="{00000000-0005-0000-0000-000003020000}"/>
    <cellStyle name="Cálculo 12 2" xfId="1027" xr:uid="{00000000-0005-0000-0000-000004020000}"/>
    <cellStyle name="Cálculo 13" xfId="363" xr:uid="{00000000-0005-0000-0000-000005020000}"/>
    <cellStyle name="Cálculo 13 2" xfId="1028" xr:uid="{00000000-0005-0000-0000-000006020000}"/>
    <cellStyle name="Cálculo 14" xfId="364" xr:uid="{00000000-0005-0000-0000-000007020000}"/>
    <cellStyle name="Cálculo 14 2" xfId="1029" xr:uid="{00000000-0005-0000-0000-000008020000}"/>
    <cellStyle name="Cálculo 15" xfId="365" xr:uid="{00000000-0005-0000-0000-000009020000}"/>
    <cellStyle name="Cálculo 15 2" xfId="1030" xr:uid="{00000000-0005-0000-0000-00000A020000}"/>
    <cellStyle name="Cálculo 16" xfId="366" xr:uid="{00000000-0005-0000-0000-00000B020000}"/>
    <cellStyle name="Cálculo 16 2" xfId="1031" xr:uid="{00000000-0005-0000-0000-00000C020000}"/>
    <cellStyle name="Cálculo 17" xfId="367" xr:uid="{00000000-0005-0000-0000-00000D020000}"/>
    <cellStyle name="Cálculo 17 2" xfId="1032" xr:uid="{00000000-0005-0000-0000-00000E020000}"/>
    <cellStyle name="Cálculo 18" xfId="368" xr:uid="{00000000-0005-0000-0000-00000F020000}"/>
    <cellStyle name="Cálculo 18 2" xfId="1033" xr:uid="{00000000-0005-0000-0000-000010020000}"/>
    <cellStyle name="Cálculo 19" xfId="369" xr:uid="{00000000-0005-0000-0000-000011020000}"/>
    <cellStyle name="Cálculo 19 2" xfId="1034" xr:uid="{00000000-0005-0000-0000-000012020000}"/>
    <cellStyle name="Cálculo 2" xfId="370" xr:uid="{00000000-0005-0000-0000-000013020000}"/>
    <cellStyle name="Cálculo 2 2" xfId="371" xr:uid="{00000000-0005-0000-0000-000014020000}"/>
    <cellStyle name="Cálculo 2 2 2" xfId="1035" xr:uid="{00000000-0005-0000-0000-000015020000}"/>
    <cellStyle name="Cálculo 2 3" xfId="1036" xr:uid="{00000000-0005-0000-0000-000016020000}"/>
    <cellStyle name="Cálculo 20" xfId="372" xr:uid="{00000000-0005-0000-0000-000017020000}"/>
    <cellStyle name="Cálculo 20 2" xfId="1037" xr:uid="{00000000-0005-0000-0000-000018020000}"/>
    <cellStyle name="Cálculo 21" xfId="855" xr:uid="{00000000-0005-0000-0000-000019020000}"/>
    <cellStyle name="Cálculo 22" xfId="1038" xr:uid="{00000000-0005-0000-0000-00001A020000}"/>
    <cellStyle name="Cálculo 23" xfId="24" xr:uid="{00000000-0005-0000-0000-00001B020000}"/>
    <cellStyle name="Cálculo 3" xfId="373" xr:uid="{00000000-0005-0000-0000-00001C020000}"/>
    <cellStyle name="Cálculo 3 2" xfId="1039" xr:uid="{00000000-0005-0000-0000-00001D020000}"/>
    <cellStyle name="Cálculo 4" xfId="374" xr:uid="{00000000-0005-0000-0000-00001E020000}"/>
    <cellStyle name="Cálculo 4 2" xfId="1040" xr:uid="{00000000-0005-0000-0000-00001F020000}"/>
    <cellStyle name="Cálculo 5" xfId="375" xr:uid="{00000000-0005-0000-0000-000020020000}"/>
    <cellStyle name="Cálculo 5 2" xfId="1041" xr:uid="{00000000-0005-0000-0000-000021020000}"/>
    <cellStyle name="Cálculo 6" xfId="376" xr:uid="{00000000-0005-0000-0000-000022020000}"/>
    <cellStyle name="Cálculo 6 2" xfId="1042" xr:uid="{00000000-0005-0000-0000-000023020000}"/>
    <cellStyle name="Cálculo 7" xfId="377" xr:uid="{00000000-0005-0000-0000-000024020000}"/>
    <cellStyle name="Cálculo 7 2" xfId="1043" xr:uid="{00000000-0005-0000-0000-000025020000}"/>
    <cellStyle name="Cálculo 8" xfId="378" xr:uid="{00000000-0005-0000-0000-000026020000}"/>
    <cellStyle name="Cálculo 8 2" xfId="1044" xr:uid="{00000000-0005-0000-0000-000027020000}"/>
    <cellStyle name="Cálculo 9" xfId="379" xr:uid="{00000000-0005-0000-0000-000028020000}"/>
    <cellStyle name="Cálculo 9 2" xfId="1045" xr:uid="{00000000-0005-0000-0000-000029020000}"/>
    <cellStyle name="Celda de comprobación 10" xfId="380" xr:uid="{00000000-0005-0000-0000-00002A020000}"/>
    <cellStyle name="Celda de comprobación 11" xfId="381" xr:uid="{00000000-0005-0000-0000-00002B020000}"/>
    <cellStyle name="Celda de comprobación 12" xfId="382" xr:uid="{00000000-0005-0000-0000-00002C020000}"/>
    <cellStyle name="Celda de comprobación 13" xfId="383" xr:uid="{00000000-0005-0000-0000-00002D020000}"/>
    <cellStyle name="Celda de comprobación 14" xfId="384" xr:uid="{00000000-0005-0000-0000-00002E020000}"/>
    <cellStyle name="Celda de comprobación 15" xfId="385" xr:uid="{00000000-0005-0000-0000-00002F020000}"/>
    <cellStyle name="Celda de comprobación 16" xfId="386" xr:uid="{00000000-0005-0000-0000-000030020000}"/>
    <cellStyle name="Celda de comprobación 17" xfId="387" xr:uid="{00000000-0005-0000-0000-000031020000}"/>
    <cellStyle name="Celda de comprobación 18" xfId="388" xr:uid="{00000000-0005-0000-0000-000032020000}"/>
    <cellStyle name="Celda de comprobación 19" xfId="389" xr:uid="{00000000-0005-0000-0000-000033020000}"/>
    <cellStyle name="Celda de comprobación 2" xfId="390" xr:uid="{00000000-0005-0000-0000-000034020000}"/>
    <cellStyle name="Celda de comprobación 20" xfId="391" xr:uid="{00000000-0005-0000-0000-000035020000}"/>
    <cellStyle name="Celda de comprobación 21" xfId="857" xr:uid="{00000000-0005-0000-0000-000036020000}"/>
    <cellStyle name="Celda de comprobación 22" xfId="25" xr:uid="{00000000-0005-0000-0000-000037020000}"/>
    <cellStyle name="Celda de comprobación 3" xfId="392" xr:uid="{00000000-0005-0000-0000-000038020000}"/>
    <cellStyle name="Celda de comprobación 4" xfId="393" xr:uid="{00000000-0005-0000-0000-000039020000}"/>
    <cellStyle name="Celda de comprobación 5" xfId="394" xr:uid="{00000000-0005-0000-0000-00003A020000}"/>
    <cellStyle name="Celda de comprobación 6" xfId="395" xr:uid="{00000000-0005-0000-0000-00003B020000}"/>
    <cellStyle name="Celda de comprobación 7" xfId="396" xr:uid="{00000000-0005-0000-0000-00003C020000}"/>
    <cellStyle name="Celda de comprobación 8" xfId="397" xr:uid="{00000000-0005-0000-0000-00003D020000}"/>
    <cellStyle name="Celda de comprobación 9" xfId="398" xr:uid="{00000000-0005-0000-0000-00003E020000}"/>
    <cellStyle name="Celda vinculada 10" xfId="399" xr:uid="{00000000-0005-0000-0000-00003F020000}"/>
    <cellStyle name="Celda vinculada 11" xfId="400" xr:uid="{00000000-0005-0000-0000-000040020000}"/>
    <cellStyle name="Celda vinculada 12" xfId="401" xr:uid="{00000000-0005-0000-0000-000041020000}"/>
    <cellStyle name="Celda vinculada 13" xfId="402" xr:uid="{00000000-0005-0000-0000-000042020000}"/>
    <cellStyle name="Celda vinculada 14" xfId="403" xr:uid="{00000000-0005-0000-0000-000043020000}"/>
    <cellStyle name="Celda vinculada 15" xfId="404" xr:uid="{00000000-0005-0000-0000-000044020000}"/>
    <cellStyle name="Celda vinculada 16" xfId="405" xr:uid="{00000000-0005-0000-0000-000045020000}"/>
    <cellStyle name="Celda vinculada 17" xfId="406" xr:uid="{00000000-0005-0000-0000-000046020000}"/>
    <cellStyle name="Celda vinculada 18" xfId="407" xr:uid="{00000000-0005-0000-0000-000047020000}"/>
    <cellStyle name="Celda vinculada 19" xfId="408" xr:uid="{00000000-0005-0000-0000-000048020000}"/>
    <cellStyle name="Celda vinculada 2" xfId="409" xr:uid="{00000000-0005-0000-0000-000049020000}"/>
    <cellStyle name="Celda vinculada 20" xfId="410" xr:uid="{00000000-0005-0000-0000-00004A020000}"/>
    <cellStyle name="Celda vinculada 21" xfId="856" xr:uid="{00000000-0005-0000-0000-00004B020000}"/>
    <cellStyle name="Celda vinculada 22" xfId="1503" xr:uid="{00000000-0005-0000-0000-00004C020000}"/>
    <cellStyle name="Celda vinculada 23" xfId="26" xr:uid="{00000000-0005-0000-0000-00004D020000}"/>
    <cellStyle name="Celda vinculada 3" xfId="411" xr:uid="{00000000-0005-0000-0000-00004E020000}"/>
    <cellStyle name="Celda vinculada 4" xfId="412" xr:uid="{00000000-0005-0000-0000-00004F020000}"/>
    <cellStyle name="Celda vinculada 5" xfId="413" xr:uid="{00000000-0005-0000-0000-000050020000}"/>
    <cellStyle name="Celda vinculada 6" xfId="414" xr:uid="{00000000-0005-0000-0000-000051020000}"/>
    <cellStyle name="Celda vinculada 7" xfId="415" xr:uid="{00000000-0005-0000-0000-000052020000}"/>
    <cellStyle name="Celda vinculada 8" xfId="416" xr:uid="{00000000-0005-0000-0000-000053020000}"/>
    <cellStyle name="Celda vinculada 9" xfId="417" xr:uid="{00000000-0005-0000-0000-000054020000}"/>
    <cellStyle name="Comma [0]_Bce ultramundo(1)" xfId="1504" xr:uid="{00000000-0005-0000-0000-000055020000}"/>
    <cellStyle name="Comma_Bce ultramundo(1)" xfId="1505" xr:uid="{00000000-0005-0000-0000-000056020000}"/>
    <cellStyle name="Currency [0]_Bce ultramundo(1)" xfId="1506" xr:uid="{00000000-0005-0000-0000-000057020000}"/>
    <cellStyle name="Currency_Bce ultramundo(1)" xfId="1507" xr:uid="{00000000-0005-0000-0000-000058020000}"/>
    <cellStyle name="Encabezado 1 2" xfId="43" xr:uid="{00000000-0005-0000-0000-000059020000}"/>
    <cellStyle name="Encabezado 4 10" xfId="418" xr:uid="{00000000-0005-0000-0000-00005A020000}"/>
    <cellStyle name="Encabezado 4 11" xfId="419" xr:uid="{00000000-0005-0000-0000-00005B020000}"/>
    <cellStyle name="Encabezado 4 12" xfId="420" xr:uid="{00000000-0005-0000-0000-00005C020000}"/>
    <cellStyle name="Encabezado 4 13" xfId="421" xr:uid="{00000000-0005-0000-0000-00005D020000}"/>
    <cellStyle name="Encabezado 4 14" xfId="422" xr:uid="{00000000-0005-0000-0000-00005E020000}"/>
    <cellStyle name="Encabezado 4 15" xfId="423" xr:uid="{00000000-0005-0000-0000-00005F020000}"/>
    <cellStyle name="Encabezado 4 16" xfId="424" xr:uid="{00000000-0005-0000-0000-000060020000}"/>
    <cellStyle name="Encabezado 4 17" xfId="425" xr:uid="{00000000-0005-0000-0000-000061020000}"/>
    <cellStyle name="Encabezado 4 18" xfId="426" xr:uid="{00000000-0005-0000-0000-000062020000}"/>
    <cellStyle name="Encabezado 4 19" xfId="427" xr:uid="{00000000-0005-0000-0000-000063020000}"/>
    <cellStyle name="Encabezado 4 2" xfId="428" xr:uid="{00000000-0005-0000-0000-000064020000}"/>
    <cellStyle name="Encabezado 4 20" xfId="429" xr:uid="{00000000-0005-0000-0000-000065020000}"/>
    <cellStyle name="Encabezado 4 21" xfId="849" xr:uid="{00000000-0005-0000-0000-000066020000}"/>
    <cellStyle name="Encabezado 4 22" xfId="1508" xr:uid="{00000000-0005-0000-0000-000067020000}"/>
    <cellStyle name="Encabezado 4 23" xfId="27" xr:uid="{00000000-0005-0000-0000-000068020000}"/>
    <cellStyle name="Encabezado 4 3" xfId="430" xr:uid="{00000000-0005-0000-0000-000069020000}"/>
    <cellStyle name="Encabezado 4 4" xfId="431" xr:uid="{00000000-0005-0000-0000-00006A020000}"/>
    <cellStyle name="Encabezado 4 5" xfId="432" xr:uid="{00000000-0005-0000-0000-00006B020000}"/>
    <cellStyle name="Encabezado 4 6" xfId="433" xr:uid="{00000000-0005-0000-0000-00006C020000}"/>
    <cellStyle name="Encabezado 4 7" xfId="434" xr:uid="{00000000-0005-0000-0000-00006D020000}"/>
    <cellStyle name="Encabezado 4 8" xfId="435" xr:uid="{00000000-0005-0000-0000-00006E020000}"/>
    <cellStyle name="Encabezado 4 9" xfId="436" xr:uid="{00000000-0005-0000-0000-00006F020000}"/>
    <cellStyle name="Énfasis1 10" xfId="437" xr:uid="{00000000-0005-0000-0000-000070020000}"/>
    <cellStyle name="Énfasis1 11" xfId="438" xr:uid="{00000000-0005-0000-0000-000071020000}"/>
    <cellStyle name="Énfasis1 12" xfId="439" xr:uid="{00000000-0005-0000-0000-000072020000}"/>
    <cellStyle name="Énfasis1 13" xfId="440" xr:uid="{00000000-0005-0000-0000-000073020000}"/>
    <cellStyle name="Énfasis1 14" xfId="441" xr:uid="{00000000-0005-0000-0000-000074020000}"/>
    <cellStyle name="Énfasis1 15" xfId="442" xr:uid="{00000000-0005-0000-0000-000075020000}"/>
    <cellStyle name="Énfasis1 16" xfId="443" xr:uid="{00000000-0005-0000-0000-000076020000}"/>
    <cellStyle name="Énfasis1 17" xfId="444" xr:uid="{00000000-0005-0000-0000-000077020000}"/>
    <cellStyle name="Énfasis1 18" xfId="445" xr:uid="{00000000-0005-0000-0000-000078020000}"/>
    <cellStyle name="Énfasis1 19" xfId="446" xr:uid="{00000000-0005-0000-0000-000079020000}"/>
    <cellStyle name="Énfasis1 2" xfId="447" xr:uid="{00000000-0005-0000-0000-00007A020000}"/>
    <cellStyle name="Énfasis1 20" xfId="448" xr:uid="{00000000-0005-0000-0000-00007B020000}"/>
    <cellStyle name="Énfasis1 21" xfId="862" xr:uid="{00000000-0005-0000-0000-00007C020000}"/>
    <cellStyle name="Énfasis1 22" xfId="1509" xr:uid="{00000000-0005-0000-0000-00007D020000}"/>
    <cellStyle name="Énfasis1 23" xfId="28" xr:uid="{00000000-0005-0000-0000-00007E020000}"/>
    <cellStyle name="Énfasis1 3" xfId="449" xr:uid="{00000000-0005-0000-0000-00007F020000}"/>
    <cellStyle name="Énfasis1 4" xfId="450" xr:uid="{00000000-0005-0000-0000-000080020000}"/>
    <cellStyle name="Énfasis1 5" xfId="451" xr:uid="{00000000-0005-0000-0000-000081020000}"/>
    <cellStyle name="Énfasis1 6" xfId="452" xr:uid="{00000000-0005-0000-0000-000082020000}"/>
    <cellStyle name="Énfasis1 7" xfId="453" xr:uid="{00000000-0005-0000-0000-000083020000}"/>
    <cellStyle name="Énfasis1 8" xfId="454" xr:uid="{00000000-0005-0000-0000-000084020000}"/>
    <cellStyle name="Énfasis1 9" xfId="455" xr:uid="{00000000-0005-0000-0000-000085020000}"/>
    <cellStyle name="Énfasis2 2" xfId="866" xr:uid="{00000000-0005-0000-0000-000086020000}"/>
    <cellStyle name="Énfasis2 3" xfId="1510" xr:uid="{00000000-0005-0000-0000-000087020000}"/>
    <cellStyle name="Énfasis2 4" xfId="29" xr:uid="{00000000-0005-0000-0000-000088020000}"/>
    <cellStyle name="Énfasis3 10" xfId="456" xr:uid="{00000000-0005-0000-0000-000089020000}"/>
    <cellStyle name="Énfasis3 11" xfId="457" xr:uid="{00000000-0005-0000-0000-00008A020000}"/>
    <cellStyle name="Énfasis3 12" xfId="458" xr:uid="{00000000-0005-0000-0000-00008B020000}"/>
    <cellStyle name="Énfasis3 13" xfId="459" xr:uid="{00000000-0005-0000-0000-00008C020000}"/>
    <cellStyle name="Énfasis3 14" xfId="460" xr:uid="{00000000-0005-0000-0000-00008D020000}"/>
    <cellStyle name="Énfasis3 15" xfId="461" xr:uid="{00000000-0005-0000-0000-00008E020000}"/>
    <cellStyle name="Énfasis3 16" xfId="462" xr:uid="{00000000-0005-0000-0000-00008F020000}"/>
    <cellStyle name="Énfasis3 17" xfId="463" xr:uid="{00000000-0005-0000-0000-000090020000}"/>
    <cellStyle name="Énfasis3 18" xfId="464" xr:uid="{00000000-0005-0000-0000-000091020000}"/>
    <cellStyle name="Énfasis3 19" xfId="465" xr:uid="{00000000-0005-0000-0000-000092020000}"/>
    <cellStyle name="Énfasis3 2" xfId="466" xr:uid="{00000000-0005-0000-0000-000093020000}"/>
    <cellStyle name="Énfasis3 20" xfId="467" xr:uid="{00000000-0005-0000-0000-000094020000}"/>
    <cellStyle name="Énfasis3 21" xfId="870" xr:uid="{00000000-0005-0000-0000-000095020000}"/>
    <cellStyle name="Énfasis3 22" xfId="1511" xr:uid="{00000000-0005-0000-0000-000096020000}"/>
    <cellStyle name="Énfasis3 23" xfId="30" xr:uid="{00000000-0005-0000-0000-000097020000}"/>
    <cellStyle name="Énfasis3 3" xfId="468" xr:uid="{00000000-0005-0000-0000-000098020000}"/>
    <cellStyle name="Énfasis3 4" xfId="469" xr:uid="{00000000-0005-0000-0000-000099020000}"/>
    <cellStyle name="Énfasis3 5" xfId="470" xr:uid="{00000000-0005-0000-0000-00009A020000}"/>
    <cellStyle name="Énfasis3 6" xfId="471" xr:uid="{00000000-0005-0000-0000-00009B020000}"/>
    <cellStyle name="Énfasis3 7" xfId="472" xr:uid="{00000000-0005-0000-0000-00009C020000}"/>
    <cellStyle name="Énfasis3 8" xfId="473" xr:uid="{00000000-0005-0000-0000-00009D020000}"/>
    <cellStyle name="Énfasis3 9" xfId="474" xr:uid="{00000000-0005-0000-0000-00009E020000}"/>
    <cellStyle name="Énfasis4 10" xfId="475" xr:uid="{00000000-0005-0000-0000-00009F020000}"/>
    <cellStyle name="Énfasis4 11" xfId="476" xr:uid="{00000000-0005-0000-0000-0000A0020000}"/>
    <cellStyle name="Énfasis4 12" xfId="477" xr:uid="{00000000-0005-0000-0000-0000A1020000}"/>
    <cellStyle name="Énfasis4 13" xfId="478" xr:uid="{00000000-0005-0000-0000-0000A2020000}"/>
    <cellStyle name="Énfasis4 14" xfId="479" xr:uid="{00000000-0005-0000-0000-0000A3020000}"/>
    <cellStyle name="Énfasis4 15" xfId="480" xr:uid="{00000000-0005-0000-0000-0000A4020000}"/>
    <cellStyle name="Énfasis4 16" xfId="481" xr:uid="{00000000-0005-0000-0000-0000A5020000}"/>
    <cellStyle name="Énfasis4 17" xfId="482" xr:uid="{00000000-0005-0000-0000-0000A6020000}"/>
    <cellStyle name="Énfasis4 18" xfId="483" xr:uid="{00000000-0005-0000-0000-0000A7020000}"/>
    <cellStyle name="Énfasis4 19" xfId="484" xr:uid="{00000000-0005-0000-0000-0000A8020000}"/>
    <cellStyle name="Énfasis4 2" xfId="485" xr:uid="{00000000-0005-0000-0000-0000A9020000}"/>
    <cellStyle name="Énfasis4 20" xfId="486" xr:uid="{00000000-0005-0000-0000-0000AA020000}"/>
    <cellStyle name="Énfasis4 21" xfId="874" xr:uid="{00000000-0005-0000-0000-0000AB020000}"/>
    <cellStyle name="Énfasis4 22" xfId="1512" xr:uid="{00000000-0005-0000-0000-0000AC020000}"/>
    <cellStyle name="Énfasis4 23" xfId="31" xr:uid="{00000000-0005-0000-0000-0000AD020000}"/>
    <cellStyle name="Énfasis4 3" xfId="487" xr:uid="{00000000-0005-0000-0000-0000AE020000}"/>
    <cellStyle name="Énfasis4 4" xfId="488" xr:uid="{00000000-0005-0000-0000-0000AF020000}"/>
    <cellStyle name="Énfasis4 5" xfId="489" xr:uid="{00000000-0005-0000-0000-0000B0020000}"/>
    <cellStyle name="Énfasis4 6" xfId="490" xr:uid="{00000000-0005-0000-0000-0000B1020000}"/>
    <cellStyle name="Énfasis4 7" xfId="491" xr:uid="{00000000-0005-0000-0000-0000B2020000}"/>
    <cellStyle name="Énfasis4 8" xfId="492" xr:uid="{00000000-0005-0000-0000-0000B3020000}"/>
    <cellStyle name="Énfasis4 9" xfId="493" xr:uid="{00000000-0005-0000-0000-0000B4020000}"/>
    <cellStyle name="Énfasis5 10" xfId="494" xr:uid="{00000000-0005-0000-0000-0000B5020000}"/>
    <cellStyle name="Énfasis5 11" xfId="495" xr:uid="{00000000-0005-0000-0000-0000B6020000}"/>
    <cellStyle name="Énfasis5 12" xfId="496" xr:uid="{00000000-0005-0000-0000-0000B7020000}"/>
    <cellStyle name="Énfasis5 13" xfId="497" xr:uid="{00000000-0005-0000-0000-0000B8020000}"/>
    <cellStyle name="Énfasis5 14" xfId="498" xr:uid="{00000000-0005-0000-0000-0000B9020000}"/>
    <cellStyle name="Énfasis5 15" xfId="499" xr:uid="{00000000-0005-0000-0000-0000BA020000}"/>
    <cellStyle name="Énfasis5 16" xfId="500" xr:uid="{00000000-0005-0000-0000-0000BB020000}"/>
    <cellStyle name="Énfasis5 17" xfId="501" xr:uid="{00000000-0005-0000-0000-0000BC020000}"/>
    <cellStyle name="Énfasis5 18" xfId="502" xr:uid="{00000000-0005-0000-0000-0000BD020000}"/>
    <cellStyle name="Énfasis5 19" xfId="503" xr:uid="{00000000-0005-0000-0000-0000BE020000}"/>
    <cellStyle name="Énfasis5 2" xfId="504" xr:uid="{00000000-0005-0000-0000-0000BF020000}"/>
    <cellStyle name="Énfasis5 20" xfId="505" xr:uid="{00000000-0005-0000-0000-0000C0020000}"/>
    <cellStyle name="Énfasis5 21" xfId="878" xr:uid="{00000000-0005-0000-0000-0000C1020000}"/>
    <cellStyle name="Énfasis5 22" xfId="32" xr:uid="{00000000-0005-0000-0000-0000C2020000}"/>
    <cellStyle name="Énfasis5 3" xfId="506" xr:uid="{00000000-0005-0000-0000-0000C3020000}"/>
    <cellStyle name="Énfasis5 4" xfId="507" xr:uid="{00000000-0005-0000-0000-0000C4020000}"/>
    <cellStyle name="Énfasis5 5" xfId="508" xr:uid="{00000000-0005-0000-0000-0000C5020000}"/>
    <cellStyle name="Énfasis5 6" xfId="509" xr:uid="{00000000-0005-0000-0000-0000C6020000}"/>
    <cellStyle name="Énfasis5 7" xfId="510" xr:uid="{00000000-0005-0000-0000-0000C7020000}"/>
    <cellStyle name="Énfasis5 8" xfId="511" xr:uid="{00000000-0005-0000-0000-0000C8020000}"/>
    <cellStyle name="Énfasis5 9" xfId="512" xr:uid="{00000000-0005-0000-0000-0000C9020000}"/>
    <cellStyle name="Énfasis6 10" xfId="513" xr:uid="{00000000-0005-0000-0000-0000CA020000}"/>
    <cellStyle name="Énfasis6 11" xfId="514" xr:uid="{00000000-0005-0000-0000-0000CB020000}"/>
    <cellStyle name="Énfasis6 12" xfId="515" xr:uid="{00000000-0005-0000-0000-0000CC020000}"/>
    <cellStyle name="Énfasis6 13" xfId="516" xr:uid="{00000000-0005-0000-0000-0000CD020000}"/>
    <cellStyle name="Énfasis6 14" xfId="517" xr:uid="{00000000-0005-0000-0000-0000CE020000}"/>
    <cellStyle name="Énfasis6 15" xfId="518" xr:uid="{00000000-0005-0000-0000-0000CF020000}"/>
    <cellStyle name="Énfasis6 16" xfId="519" xr:uid="{00000000-0005-0000-0000-0000D0020000}"/>
    <cellStyle name="Énfasis6 17" xfId="520" xr:uid="{00000000-0005-0000-0000-0000D1020000}"/>
    <cellStyle name="Énfasis6 18" xfId="521" xr:uid="{00000000-0005-0000-0000-0000D2020000}"/>
    <cellStyle name="Énfasis6 19" xfId="522" xr:uid="{00000000-0005-0000-0000-0000D3020000}"/>
    <cellStyle name="Énfasis6 2" xfId="523" xr:uid="{00000000-0005-0000-0000-0000D4020000}"/>
    <cellStyle name="Énfasis6 20" xfId="524" xr:uid="{00000000-0005-0000-0000-0000D5020000}"/>
    <cellStyle name="Énfasis6 21" xfId="882" xr:uid="{00000000-0005-0000-0000-0000D6020000}"/>
    <cellStyle name="Énfasis6 22" xfId="1513" xr:uid="{00000000-0005-0000-0000-0000D7020000}"/>
    <cellStyle name="Énfasis6 23" xfId="33" xr:uid="{00000000-0005-0000-0000-0000D8020000}"/>
    <cellStyle name="Énfasis6 3" xfId="525" xr:uid="{00000000-0005-0000-0000-0000D9020000}"/>
    <cellStyle name="Énfasis6 4" xfId="526" xr:uid="{00000000-0005-0000-0000-0000DA020000}"/>
    <cellStyle name="Énfasis6 5" xfId="527" xr:uid="{00000000-0005-0000-0000-0000DB020000}"/>
    <cellStyle name="Énfasis6 6" xfId="528" xr:uid="{00000000-0005-0000-0000-0000DC020000}"/>
    <cellStyle name="Énfasis6 7" xfId="529" xr:uid="{00000000-0005-0000-0000-0000DD020000}"/>
    <cellStyle name="Énfasis6 8" xfId="530" xr:uid="{00000000-0005-0000-0000-0000DE020000}"/>
    <cellStyle name="Énfasis6 9" xfId="531" xr:uid="{00000000-0005-0000-0000-0000DF020000}"/>
    <cellStyle name="Entrada 10" xfId="532" xr:uid="{00000000-0005-0000-0000-0000E0020000}"/>
    <cellStyle name="Entrada 10 2" xfId="1046" xr:uid="{00000000-0005-0000-0000-0000E1020000}"/>
    <cellStyle name="Entrada 11" xfId="533" xr:uid="{00000000-0005-0000-0000-0000E2020000}"/>
    <cellStyle name="Entrada 11 2" xfId="1047" xr:uid="{00000000-0005-0000-0000-0000E3020000}"/>
    <cellStyle name="Entrada 12" xfId="534" xr:uid="{00000000-0005-0000-0000-0000E4020000}"/>
    <cellStyle name="Entrada 12 2" xfId="1048" xr:uid="{00000000-0005-0000-0000-0000E5020000}"/>
    <cellStyle name="Entrada 13" xfId="535" xr:uid="{00000000-0005-0000-0000-0000E6020000}"/>
    <cellStyle name="Entrada 13 2" xfId="1049" xr:uid="{00000000-0005-0000-0000-0000E7020000}"/>
    <cellStyle name="Entrada 14" xfId="536" xr:uid="{00000000-0005-0000-0000-0000E8020000}"/>
    <cellStyle name="Entrada 14 2" xfId="1050" xr:uid="{00000000-0005-0000-0000-0000E9020000}"/>
    <cellStyle name="Entrada 15" xfId="537" xr:uid="{00000000-0005-0000-0000-0000EA020000}"/>
    <cellStyle name="Entrada 15 2" xfId="1051" xr:uid="{00000000-0005-0000-0000-0000EB020000}"/>
    <cellStyle name="Entrada 16" xfId="538" xr:uid="{00000000-0005-0000-0000-0000EC020000}"/>
    <cellStyle name="Entrada 16 2" xfId="1052" xr:uid="{00000000-0005-0000-0000-0000ED020000}"/>
    <cellStyle name="Entrada 17" xfId="539" xr:uid="{00000000-0005-0000-0000-0000EE020000}"/>
    <cellStyle name="Entrada 17 2" xfId="1053" xr:uid="{00000000-0005-0000-0000-0000EF020000}"/>
    <cellStyle name="Entrada 18" xfId="540" xr:uid="{00000000-0005-0000-0000-0000F0020000}"/>
    <cellStyle name="Entrada 18 2" xfId="1054" xr:uid="{00000000-0005-0000-0000-0000F1020000}"/>
    <cellStyle name="Entrada 19" xfId="541" xr:uid="{00000000-0005-0000-0000-0000F2020000}"/>
    <cellStyle name="Entrada 19 2" xfId="1055" xr:uid="{00000000-0005-0000-0000-0000F3020000}"/>
    <cellStyle name="Entrada 2" xfId="542" xr:uid="{00000000-0005-0000-0000-0000F4020000}"/>
    <cellStyle name="Entrada 2 2" xfId="543" xr:uid="{00000000-0005-0000-0000-0000F5020000}"/>
    <cellStyle name="Entrada 2 2 2" xfId="1056" xr:uid="{00000000-0005-0000-0000-0000F6020000}"/>
    <cellStyle name="Entrada 2 3" xfId="1057" xr:uid="{00000000-0005-0000-0000-0000F7020000}"/>
    <cellStyle name="Entrada 20" xfId="544" xr:uid="{00000000-0005-0000-0000-0000F8020000}"/>
    <cellStyle name="Entrada 20 2" xfId="1058" xr:uid="{00000000-0005-0000-0000-0000F9020000}"/>
    <cellStyle name="Entrada 21" xfId="853" xr:uid="{00000000-0005-0000-0000-0000FA020000}"/>
    <cellStyle name="Entrada 22" xfId="1059" xr:uid="{00000000-0005-0000-0000-0000FB020000}"/>
    <cellStyle name="Entrada 23" xfId="34" xr:uid="{00000000-0005-0000-0000-0000FC020000}"/>
    <cellStyle name="Entrada 3" xfId="545" xr:uid="{00000000-0005-0000-0000-0000FD020000}"/>
    <cellStyle name="Entrada 3 2" xfId="1060" xr:uid="{00000000-0005-0000-0000-0000FE020000}"/>
    <cellStyle name="Entrada 4" xfId="546" xr:uid="{00000000-0005-0000-0000-0000FF020000}"/>
    <cellStyle name="Entrada 4 2" xfId="1061" xr:uid="{00000000-0005-0000-0000-000000030000}"/>
    <cellStyle name="Entrada 5" xfId="547" xr:uid="{00000000-0005-0000-0000-000001030000}"/>
    <cellStyle name="Entrada 5 2" xfId="1062" xr:uid="{00000000-0005-0000-0000-000002030000}"/>
    <cellStyle name="Entrada 6" xfId="548" xr:uid="{00000000-0005-0000-0000-000003030000}"/>
    <cellStyle name="Entrada 6 2" xfId="1063" xr:uid="{00000000-0005-0000-0000-000004030000}"/>
    <cellStyle name="Entrada 7" xfId="549" xr:uid="{00000000-0005-0000-0000-000005030000}"/>
    <cellStyle name="Entrada 7 2" xfId="1064" xr:uid="{00000000-0005-0000-0000-000006030000}"/>
    <cellStyle name="Entrada 8" xfId="550" xr:uid="{00000000-0005-0000-0000-000007030000}"/>
    <cellStyle name="Entrada 8 2" xfId="1065" xr:uid="{00000000-0005-0000-0000-000008030000}"/>
    <cellStyle name="Entrada 9" xfId="551" xr:uid="{00000000-0005-0000-0000-000009030000}"/>
    <cellStyle name="Entrada 9 2" xfId="1066" xr:uid="{00000000-0005-0000-0000-00000A030000}"/>
    <cellStyle name="Estilo 1" xfId="1067" xr:uid="{00000000-0005-0000-0000-00000B030000}"/>
    <cellStyle name="Euro" xfId="35" xr:uid="{00000000-0005-0000-0000-00000C030000}"/>
    <cellStyle name="Euro 10" xfId="552" xr:uid="{00000000-0005-0000-0000-00000D030000}"/>
    <cellStyle name="Euro 10 2" xfId="1514" xr:uid="{00000000-0005-0000-0000-00000E030000}"/>
    <cellStyle name="Euro 11" xfId="553" xr:uid="{00000000-0005-0000-0000-00000F030000}"/>
    <cellStyle name="Euro 11 2" xfId="1515" xr:uid="{00000000-0005-0000-0000-000010030000}"/>
    <cellStyle name="Euro 12" xfId="554" xr:uid="{00000000-0005-0000-0000-000011030000}"/>
    <cellStyle name="Euro 12 2" xfId="1516" xr:uid="{00000000-0005-0000-0000-000012030000}"/>
    <cellStyle name="Euro 13" xfId="555" xr:uid="{00000000-0005-0000-0000-000013030000}"/>
    <cellStyle name="Euro 13 2" xfId="1517" xr:uid="{00000000-0005-0000-0000-000014030000}"/>
    <cellStyle name="Euro 14" xfId="556" xr:uid="{00000000-0005-0000-0000-000015030000}"/>
    <cellStyle name="Euro 14 2" xfId="1518" xr:uid="{00000000-0005-0000-0000-000016030000}"/>
    <cellStyle name="Euro 15" xfId="557" xr:uid="{00000000-0005-0000-0000-000017030000}"/>
    <cellStyle name="Euro 15 2" xfId="1519" xr:uid="{00000000-0005-0000-0000-000018030000}"/>
    <cellStyle name="Euro 16" xfId="558" xr:uid="{00000000-0005-0000-0000-000019030000}"/>
    <cellStyle name="Euro 16 2" xfId="1520" xr:uid="{00000000-0005-0000-0000-00001A030000}"/>
    <cellStyle name="Euro 17" xfId="559" xr:uid="{00000000-0005-0000-0000-00001B030000}"/>
    <cellStyle name="Euro 17 2" xfId="1521" xr:uid="{00000000-0005-0000-0000-00001C030000}"/>
    <cellStyle name="Euro 18" xfId="560" xr:uid="{00000000-0005-0000-0000-00001D030000}"/>
    <cellStyle name="Euro 18 2" xfId="1522" xr:uid="{00000000-0005-0000-0000-00001E030000}"/>
    <cellStyle name="Euro 19" xfId="561" xr:uid="{00000000-0005-0000-0000-00001F030000}"/>
    <cellStyle name="Euro 19 2" xfId="1523" xr:uid="{00000000-0005-0000-0000-000020030000}"/>
    <cellStyle name="Euro 2" xfId="562" xr:uid="{00000000-0005-0000-0000-000021030000}"/>
    <cellStyle name="Euro 2 2" xfId="1068" xr:uid="{00000000-0005-0000-0000-000022030000}"/>
    <cellStyle name="Euro 2 3" xfId="1069" xr:uid="{00000000-0005-0000-0000-000023030000}"/>
    <cellStyle name="Euro 20" xfId="563" xr:uid="{00000000-0005-0000-0000-000024030000}"/>
    <cellStyle name="Euro 20 2" xfId="1524" xr:uid="{00000000-0005-0000-0000-000025030000}"/>
    <cellStyle name="Euro 21" xfId="564" xr:uid="{00000000-0005-0000-0000-000026030000}"/>
    <cellStyle name="Euro 21 2" xfId="1525" xr:uid="{00000000-0005-0000-0000-000027030000}"/>
    <cellStyle name="Euro 22" xfId="565" xr:uid="{00000000-0005-0000-0000-000028030000}"/>
    <cellStyle name="Euro 22 2" xfId="1526" xr:uid="{00000000-0005-0000-0000-000029030000}"/>
    <cellStyle name="Euro 23" xfId="566" xr:uid="{00000000-0005-0000-0000-00002A030000}"/>
    <cellStyle name="Euro 23 2" xfId="1527" xr:uid="{00000000-0005-0000-0000-00002B030000}"/>
    <cellStyle name="Euro 24" xfId="567" xr:uid="{00000000-0005-0000-0000-00002C030000}"/>
    <cellStyle name="Euro 24 2" xfId="1528" xr:uid="{00000000-0005-0000-0000-00002D030000}"/>
    <cellStyle name="Euro 25" xfId="568" xr:uid="{00000000-0005-0000-0000-00002E030000}"/>
    <cellStyle name="Euro 25 2" xfId="1529" xr:uid="{00000000-0005-0000-0000-00002F030000}"/>
    <cellStyle name="Euro 26" xfId="569" xr:uid="{00000000-0005-0000-0000-000030030000}"/>
    <cellStyle name="Euro 26 2" xfId="1530" xr:uid="{00000000-0005-0000-0000-000031030000}"/>
    <cellStyle name="Euro 27" xfId="570" xr:uid="{00000000-0005-0000-0000-000032030000}"/>
    <cellStyle name="Euro 27 2" xfId="1531" xr:uid="{00000000-0005-0000-0000-000033030000}"/>
    <cellStyle name="Euro 28" xfId="571" xr:uid="{00000000-0005-0000-0000-000034030000}"/>
    <cellStyle name="Euro 28 2" xfId="1532" xr:uid="{00000000-0005-0000-0000-000035030000}"/>
    <cellStyle name="Euro 29" xfId="572" xr:uid="{00000000-0005-0000-0000-000036030000}"/>
    <cellStyle name="Euro 29 2" xfId="1533" xr:uid="{00000000-0005-0000-0000-000037030000}"/>
    <cellStyle name="Euro 3" xfId="573" xr:uid="{00000000-0005-0000-0000-000038030000}"/>
    <cellStyle name="Euro 3 2" xfId="1070" xr:uid="{00000000-0005-0000-0000-000039030000}"/>
    <cellStyle name="Euro 3 3" xfId="1071" xr:uid="{00000000-0005-0000-0000-00003A030000}"/>
    <cellStyle name="Euro 30" xfId="574" xr:uid="{00000000-0005-0000-0000-00003B030000}"/>
    <cellStyle name="Euro 30 2" xfId="1534" xr:uid="{00000000-0005-0000-0000-00003C030000}"/>
    <cellStyle name="Euro 31" xfId="575" xr:uid="{00000000-0005-0000-0000-00003D030000}"/>
    <cellStyle name="Euro 31 2" xfId="1535" xr:uid="{00000000-0005-0000-0000-00003E030000}"/>
    <cellStyle name="Euro 32" xfId="576" xr:uid="{00000000-0005-0000-0000-00003F030000}"/>
    <cellStyle name="Euro 32 2" xfId="1536" xr:uid="{00000000-0005-0000-0000-000040030000}"/>
    <cellStyle name="Euro 33" xfId="577" xr:uid="{00000000-0005-0000-0000-000041030000}"/>
    <cellStyle name="Euro 33 2" xfId="1537" xr:uid="{00000000-0005-0000-0000-000042030000}"/>
    <cellStyle name="Euro 34" xfId="578" xr:uid="{00000000-0005-0000-0000-000043030000}"/>
    <cellStyle name="Euro 34 2" xfId="1538" xr:uid="{00000000-0005-0000-0000-000044030000}"/>
    <cellStyle name="Euro 35" xfId="579" xr:uid="{00000000-0005-0000-0000-000045030000}"/>
    <cellStyle name="Euro 35 2" xfId="1539" xr:uid="{00000000-0005-0000-0000-000046030000}"/>
    <cellStyle name="Euro 36" xfId="580" xr:uid="{00000000-0005-0000-0000-000047030000}"/>
    <cellStyle name="Euro 36 2" xfId="1540" xr:uid="{00000000-0005-0000-0000-000048030000}"/>
    <cellStyle name="Euro 37" xfId="581" xr:uid="{00000000-0005-0000-0000-000049030000}"/>
    <cellStyle name="Euro 37 2" xfId="1541" xr:uid="{00000000-0005-0000-0000-00004A030000}"/>
    <cellStyle name="Euro 38" xfId="1072" xr:uid="{00000000-0005-0000-0000-00004B030000}"/>
    <cellStyle name="Euro 39" xfId="1542" xr:uid="{00000000-0005-0000-0000-00004C030000}"/>
    <cellStyle name="Euro 4" xfId="582" xr:uid="{00000000-0005-0000-0000-00004D030000}"/>
    <cellStyle name="Euro 4 2" xfId="1073" xr:uid="{00000000-0005-0000-0000-00004E030000}"/>
    <cellStyle name="Euro 4 3" xfId="1074" xr:uid="{00000000-0005-0000-0000-00004F030000}"/>
    <cellStyle name="Euro 40" xfId="1543" xr:uid="{00000000-0005-0000-0000-000050030000}"/>
    <cellStyle name="Euro 41" xfId="1544" xr:uid="{00000000-0005-0000-0000-000051030000}"/>
    <cellStyle name="Euro 42" xfId="1545" xr:uid="{00000000-0005-0000-0000-000052030000}"/>
    <cellStyle name="Euro 43" xfId="1546" xr:uid="{00000000-0005-0000-0000-000053030000}"/>
    <cellStyle name="Euro 44" xfId="1547" xr:uid="{00000000-0005-0000-0000-000054030000}"/>
    <cellStyle name="Euro 45" xfId="1548" xr:uid="{00000000-0005-0000-0000-000055030000}"/>
    <cellStyle name="Euro 46" xfId="1549" xr:uid="{00000000-0005-0000-0000-000056030000}"/>
    <cellStyle name="Euro 47" xfId="1550" xr:uid="{00000000-0005-0000-0000-000057030000}"/>
    <cellStyle name="Euro 48" xfId="1551" xr:uid="{00000000-0005-0000-0000-000058030000}"/>
    <cellStyle name="Euro 49" xfId="1552" xr:uid="{00000000-0005-0000-0000-000059030000}"/>
    <cellStyle name="Euro 5" xfId="583" xr:uid="{00000000-0005-0000-0000-00005A030000}"/>
    <cellStyle name="Euro 5 2" xfId="1075" xr:uid="{00000000-0005-0000-0000-00005B030000}"/>
    <cellStyle name="Euro 50" xfId="1553" xr:uid="{00000000-0005-0000-0000-00005C030000}"/>
    <cellStyle name="Euro 51" xfId="1554" xr:uid="{00000000-0005-0000-0000-00005D030000}"/>
    <cellStyle name="Euro 52" xfId="1555" xr:uid="{00000000-0005-0000-0000-00005E030000}"/>
    <cellStyle name="Euro 53" xfId="1556" xr:uid="{00000000-0005-0000-0000-00005F030000}"/>
    <cellStyle name="Euro 54" xfId="1557" xr:uid="{00000000-0005-0000-0000-000060030000}"/>
    <cellStyle name="Euro 55" xfId="1558" xr:uid="{00000000-0005-0000-0000-000061030000}"/>
    <cellStyle name="Euro 56" xfId="1559" xr:uid="{00000000-0005-0000-0000-000062030000}"/>
    <cellStyle name="Euro 57" xfId="1560" xr:uid="{00000000-0005-0000-0000-000063030000}"/>
    <cellStyle name="Euro 58" xfId="1561" xr:uid="{00000000-0005-0000-0000-000064030000}"/>
    <cellStyle name="Euro 59" xfId="1562" xr:uid="{00000000-0005-0000-0000-000065030000}"/>
    <cellStyle name="Euro 6" xfId="584" xr:uid="{00000000-0005-0000-0000-000066030000}"/>
    <cellStyle name="Euro 6 2" xfId="1563" xr:uid="{00000000-0005-0000-0000-000067030000}"/>
    <cellStyle name="Euro 60" xfId="1564" xr:uid="{00000000-0005-0000-0000-000068030000}"/>
    <cellStyle name="Euro 61" xfId="1565" xr:uid="{00000000-0005-0000-0000-000069030000}"/>
    <cellStyle name="Euro 62" xfId="1566" xr:uid="{00000000-0005-0000-0000-00006A030000}"/>
    <cellStyle name="Euro 63" xfId="1567" xr:uid="{00000000-0005-0000-0000-00006B030000}"/>
    <cellStyle name="Euro 64" xfId="1568" xr:uid="{00000000-0005-0000-0000-00006C030000}"/>
    <cellStyle name="Euro 65" xfId="1569" xr:uid="{00000000-0005-0000-0000-00006D030000}"/>
    <cellStyle name="Euro 7" xfId="585" xr:uid="{00000000-0005-0000-0000-00006E030000}"/>
    <cellStyle name="Euro 7 2" xfId="1570" xr:uid="{00000000-0005-0000-0000-00006F030000}"/>
    <cellStyle name="Euro 8" xfId="586" xr:uid="{00000000-0005-0000-0000-000070030000}"/>
    <cellStyle name="Euro 8 2" xfId="1571" xr:uid="{00000000-0005-0000-0000-000071030000}"/>
    <cellStyle name="Euro 9" xfId="587" xr:uid="{00000000-0005-0000-0000-000072030000}"/>
    <cellStyle name="Euro 9 2" xfId="1572" xr:uid="{00000000-0005-0000-0000-000073030000}"/>
    <cellStyle name="Euro_SIC PNLP Gx" xfId="1573" xr:uid="{00000000-0005-0000-0000-000074030000}"/>
    <cellStyle name="Fecha" xfId="588" xr:uid="{00000000-0005-0000-0000-000075030000}"/>
    <cellStyle name="Fijo" xfId="589" xr:uid="{00000000-0005-0000-0000-000076030000}"/>
    <cellStyle name="Hipervínculo 2" xfId="1076" xr:uid="{00000000-0005-0000-0000-000077030000}"/>
    <cellStyle name="Hyperlink" xfId="1574" xr:uid="{00000000-0005-0000-0000-000078030000}"/>
    <cellStyle name="Incorrecto 2" xfId="851" xr:uid="{00000000-0005-0000-0000-000079030000}"/>
    <cellStyle name="Incorrecto 3" xfId="1575" xr:uid="{00000000-0005-0000-0000-00007A030000}"/>
    <cellStyle name="Incorrecto 4" xfId="36" xr:uid="{00000000-0005-0000-0000-00007B030000}"/>
    <cellStyle name="Millares [0]" xfId="1" builtinId="6"/>
    <cellStyle name="Millares [0] 2" xfId="1077" xr:uid="{00000000-0005-0000-0000-00007D030000}"/>
    <cellStyle name="Millares [0] 2 2" xfId="1078" xr:uid="{00000000-0005-0000-0000-00007E030000}"/>
    <cellStyle name="Millares 10" xfId="1079" xr:uid="{00000000-0005-0000-0000-00007F030000}"/>
    <cellStyle name="Millares 11" xfId="1080" xr:uid="{00000000-0005-0000-0000-000080030000}"/>
    <cellStyle name="Millares 12" xfId="1081" xr:uid="{00000000-0005-0000-0000-000081030000}"/>
    <cellStyle name="Millares 13" xfId="1082" xr:uid="{00000000-0005-0000-0000-000082030000}"/>
    <cellStyle name="Millares 14" xfId="1083" xr:uid="{00000000-0005-0000-0000-000083030000}"/>
    <cellStyle name="Millares 15" xfId="1084" xr:uid="{00000000-0005-0000-0000-000084030000}"/>
    <cellStyle name="Millares 16" xfId="1085" xr:uid="{00000000-0005-0000-0000-000085030000}"/>
    <cellStyle name="Millares 17" xfId="1086" xr:uid="{00000000-0005-0000-0000-000086030000}"/>
    <cellStyle name="Millares 18" xfId="1087" xr:uid="{00000000-0005-0000-0000-000087030000}"/>
    <cellStyle name="Millares 19" xfId="1088" xr:uid="{00000000-0005-0000-0000-000088030000}"/>
    <cellStyle name="Millares 2" xfId="590" xr:uid="{00000000-0005-0000-0000-000089030000}"/>
    <cellStyle name="Millares 2 2" xfId="887" xr:uid="{00000000-0005-0000-0000-00008A030000}"/>
    <cellStyle name="Millares 2 2 2" xfId="1089" xr:uid="{00000000-0005-0000-0000-00008B030000}"/>
    <cellStyle name="Millares 2 3" xfId="888" xr:uid="{00000000-0005-0000-0000-00008C030000}"/>
    <cellStyle name="Millares 2 4" xfId="889" xr:uid="{00000000-0005-0000-0000-00008D030000}"/>
    <cellStyle name="Millares 2 5" xfId="1090" xr:uid="{00000000-0005-0000-0000-00008E030000}"/>
    <cellStyle name="Millares 20" xfId="1091" xr:uid="{00000000-0005-0000-0000-00008F030000}"/>
    <cellStyle name="Millares 21" xfId="1092" xr:uid="{00000000-0005-0000-0000-000090030000}"/>
    <cellStyle name="Millares 22" xfId="1093" xr:uid="{00000000-0005-0000-0000-000091030000}"/>
    <cellStyle name="Millares 23" xfId="1094" xr:uid="{00000000-0005-0000-0000-000092030000}"/>
    <cellStyle name="Millares 24" xfId="1095" xr:uid="{00000000-0005-0000-0000-000093030000}"/>
    <cellStyle name="Millares 25" xfId="1096" xr:uid="{00000000-0005-0000-0000-000094030000}"/>
    <cellStyle name="Millares 26" xfId="1097" xr:uid="{00000000-0005-0000-0000-000095030000}"/>
    <cellStyle name="Millares 27" xfId="1098" xr:uid="{00000000-0005-0000-0000-000096030000}"/>
    <cellStyle name="Millares 28" xfId="1099" xr:uid="{00000000-0005-0000-0000-000097030000}"/>
    <cellStyle name="Millares 29" xfId="1100" xr:uid="{00000000-0005-0000-0000-000098030000}"/>
    <cellStyle name="Millares 3" xfId="591" xr:uid="{00000000-0005-0000-0000-000099030000}"/>
    <cellStyle name="Millares 3 2" xfId="890" xr:uid="{00000000-0005-0000-0000-00009A030000}"/>
    <cellStyle name="Millares 3 3" xfId="1101" xr:uid="{00000000-0005-0000-0000-00009B030000}"/>
    <cellStyle name="Millares 3 3 2" xfId="1102" xr:uid="{00000000-0005-0000-0000-00009C030000}"/>
    <cellStyle name="Millares 3 4" xfId="1103" xr:uid="{00000000-0005-0000-0000-00009D030000}"/>
    <cellStyle name="Millares 3 4 2" xfId="1104" xr:uid="{00000000-0005-0000-0000-00009E030000}"/>
    <cellStyle name="Millares 3 5" xfId="1105" xr:uid="{00000000-0005-0000-0000-00009F030000}"/>
    <cellStyle name="Millares 3 6" xfId="1106" xr:uid="{00000000-0005-0000-0000-0000A0030000}"/>
    <cellStyle name="Millares 30" xfId="1107" xr:uid="{00000000-0005-0000-0000-0000A1030000}"/>
    <cellStyle name="Millares 31" xfId="1108" xr:uid="{00000000-0005-0000-0000-0000A2030000}"/>
    <cellStyle name="Millares 32" xfId="1109" xr:uid="{00000000-0005-0000-0000-0000A3030000}"/>
    <cellStyle name="Millares 33" xfId="1110" xr:uid="{00000000-0005-0000-0000-0000A4030000}"/>
    <cellStyle name="Millares 34" xfId="1111" xr:uid="{00000000-0005-0000-0000-0000A5030000}"/>
    <cellStyle name="Millares 35" xfId="1112" xr:uid="{00000000-0005-0000-0000-0000A6030000}"/>
    <cellStyle name="Millares 36" xfId="1113" xr:uid="{00000000-0005-0000-0000-0000A7030000}"/>
    <cellStyle name="Millares 37" xfId="1114" xr:uid="{00000000-0005-0000-0000-0000A8030000}"/>
    <cellStyle name="Millares 38" xfId="1115" xr:uid="{00000000-0005-0000-0000-0000A9030000}"/>
    <cellStyle name="Millares 39" xfId="1116" xr:uid="{00000000-0005-0000-0000-0000AA030000}"/>
    <cellStyle name="Millares 39 2" xfId="1117" xr:uid="{00000000-0005-0000-0000-0000AB030000}"/>
    <cellStyle name="Millares 4" xfId="891" xr:uid="{00000000-0005-0000-0000-0000AC030000}"/>
    <cellStyle name="Millares 4 2" xfId="1118" xr:uid="{00000000-0005-0000-0000-0000AD030000}"/>
    <cellStyle name="Millares 4 3" xfId="1119" xr:uid="{00000000-0005-0000-0000-0000AE030000}"/>
    <cellStyle name="Millares 40" xfId="1120" xr:uid="{00000000-0005-0000-0000-0000AF030000}"/>
    <cellStyle name="Millares 41" xfId="1121" xr:uid="{00000000-0005-0000-0000-0000B0030000}"/>
    <cellStyle name="Millares 5" xfId="892" xr:uid="{00000000-0005-0000-0000-0000B1030000}"/>
    <cellStyle name="Millares 5 2" xfId="1122" xr:uid="{00000000-0005-0000-0000-0000B2030000}"/>
    <cellStyle name="Millares 6" xfId="893" xr:uid="{00000000-0005-0000-0000-0000B3030000}"/>
    <cellStyle name="Millares 6 2" xfId="1123" xr:uid="{00000000-0005-0000-0000-0000B4030000}"/>
    <cellStyle name="Millares 6 3" xfId="1124" xr:uid="{00000000-0005-0000-0000-0000B5030000}"/>
    <cellStyle name="Millares 7" xfId="894" xr:uid="{00000000-0005-0000-0000-0000B6030000}"/>
    <cellStyle name="Millares 7 2" xfId="1125" xr:uid="{00000000-0005-0000-0000-0000B7030000}"/>
    <cellStyle name="Millares 7 3" xfId="1126" xr:uid="{00000000-0005-0000-0000-0000B8030000}"/>
    <cellStyle name="Millares 8" xfId="895" xr:uid="{00000000-0005-0000-0000-0000B9030000}"/>
    <cellStyle name="Millares 8 2" xfId="1127" xr:uid="{00000000-0005-0000-0000-0000BA030000}"/>
    <cellStyle name="Millares 9" xfId="896" xr:uid="{00000000-0005-0000-0000-0000BB030000}"/>
    <cellStyle name="Moneda 2" xfId="1128" xr:uid="{00000000-0005-0000-0000-0000BC030000}"/>
    <cellStyle name="Moneda 2 2" xfId="1129" xr:uid="{00000000-0005-0000-0000-0000BD030000}"/>
    <cellStyle name="Moneda 3" xfId="1130" xr:uid="{00000000-0005-0000-0000-0000BE030000}"/>
    <cellStyle name="Moneda 3 2" xfId="1131" xr:uid="{00000000-0005-0000-0000-0000BF030000}"/>
    <cellStyle name="Moneda 4" xfId="1132" xr:uid="{00000000-0005-0000-0000-0000C0030000}"/>
    <cellStyle name="Moneda 4 2" xfId="1133" xr:uid="{00000000-0005-0000-0000-0000C1030000}"/>
    <cellStyle name="Moneda 5" xfId="1134" xr:uid="{00000000-0005-0000-0000-0000C2030000}"/>
    <cellStyle name="Moneda 5 2" xfId="1135" xr:uid="{00000000-0005-0000-0000-0000C3030000}"/>
    <cellStyle name="Monetario0" xfId="592" xr:uid="{00000000-0005-0000-0000-0000C4030000}"/>
    <cellStyle name="movimentação" xfId="1576" xr:uid="{00000000-0005-0000-0000-0000C5030000}"/>
    <cellStyle name="Neutral 10" xfId="593" xr:uid="{00000000-0005-0000-0000-0000C6030000}"/>
    <cellStyle name="Neutral 11" xfId="594" xr:uid="{00000000-0005-0000-0000-0000C7030000}"/>
    <cellStyle name="Neutral 12" xfId="595" xr:uid="{00000000-0005-0000-0000-0000C8030000}"/>
    <cellStyle name="Neutral 13" xfId="596" xr:uid="{00000000-0005-0000-0000-0000C9030000}"/>
    <cellStyle name="Neutral 14" xfId="597" xr:uid="{00000000-0005-0000-0000-0000CA030000}"/>
    <cellStyle name="Neutral 15" xfId="598" xr:uid="{00000000-0005-0000-0000-0000CB030000}"/>
    <cellStyle name="Neutral 16" xfId="599" xr:uid="{00000000-0005-0000-0000-0000CC030000}"/>
    <cellStyle name="Neutral 17" xfId="600" xr:uid="{00000000-0005-0000-0000-0000CD030000}"/>
    <cellStyle name="Neutral 18" xfId="601" xr:uid="{00000000-0005-0000-0000-0000CE030000}"/>
    <cellStyle name="Neutral 19" xfId="602" xr:uid="{00000000-0005-0000-0000-0000CF030000}"/>
    <cellStyle name="Neutral 2" xfId="603" xr:uid="{00000000-0005-0000-0000-0000D0030000}"/>
    <cellStyle name="Neutral 20" xfId="604" xr:uid="{00000000-0005-0000-0000-0000D1030000}"/>
    <cellStyle name="Neutral 21" xfId="852" xr:uid="{00000000-0005-0000-0000-0000D2030000}"/>
    <cellStyle name="Neutral 22" xfId="1577" xr:uid="{00000000-0005-0000-0000-0000D3030000}"/>
    <cellStyle name="Neutral 23" xfId="37" xr:uid="{00000000-0005-0000-0000-0000D4030000}"/>
    <cellStyle name="Neutral 3" xfId="605" xr:uid="{00000000-0005-0000-0000-0000D5030000}"/>
    <cellStyle name="Neutral 4" xfId="606" xr:uid="{00000000-0005-0000-0000-0000D6030000}"/>
    <cellStyle name="Neutral 5" xfId="607" xr:uid="{00000000-0005-0000-0000-0000D7030000}"/>
    <cellStyle name="Neutral 6" xfId="608" xr:uid="{00000000-0005-0000-0000-0000D8030000}"/>
    <cellStyle name="Neutral 7" xfId="609" xr:uid="{00000000-0005-0000-0000-0000D9030000}"/>
    <cellStyle name="Neutral 8" xfId="610" xr:uid="{00000000-0005-0000-0000-0000DA030000}"/>
    <cellStyle name="Neutral 9" xfId="611" xr:uid="{00000000-0005-0000-0000-0000DB030000}"/>
    <cellStyle name="Normal" xfId="0" builtinId="0"/>
    <cellStyle name="Normal 10" xfId="912" xr:uid="{00000000-0005-0000-0000-0000DD030000}"/>
    <cellStyle name="Normal 10 2" xfId="1136" xr:uid="{00000000-0005-0000-0000-0000DE030000}"/>
    <cellStyle name="Normal 10 2 2" xfId="1137" xr:uid="{00000000-0005-0000-0000-0000DF030000}"/>
    <cellStyle name="Normal 10 2 3" xfId="1138" xr:uid="{00000000-0005-0000-0000-0000E0030000}"/>
    <cellStyle name="Normal 10 3" xfId="1139" xr:uid="{00000000-0005-0000-0000-0000E1030000}"/>
    <cellStyle name="Normal 10 3 2" xfId="1140" xr:uid="{00000000-0005-0000-0000-0000E2030000}"/>
    <cellStyle name="Normal 10 4" xfId="1141" xr:uid="{00000000-0005-0000-0000-0000E3030000}"/>
    <cellStyle name="Normal 11" xfId="926" xr:uid="{00000000-0005-0000-0000-0000E4030000}"/>
    <cellStyle name="Normal 11 2" xfId="1142" xr:uid="{00000000-0005-0000-0000-0000E5030000}"/>
    <cellStyle name="Normal 11 2 2" xfId="1143" xr:uid="{00000000-0005-0000-0000-0000E6030000}"/>
    <cellStyle name="Normal 11 2 3" xfId="1144" xr:uid="{00000000-0005-0000-0000-0000E7030000}"/>
    <cellStyle name="Normal 11 3" xfId="1145" xr:uid="{00000000-0005-0000-0000-0000E8030000}"/>
    <cellStyle name="Normal 11 4" xfId="1146" xr:uid="{00000000-0005-0000-0000-0000E9030000}"/>
    <cellStyle name="Normal 12" xfId="1147" xr:uid="{00000000-0005-0000-0000-0000EA030000}"/>
    <cellStyle name="Normal 12 2" xfId="1148" xr:uid="{00000000-0005-0000-0000-0000EB030000}"/>
    <cellStyle name="Normal 12 2 2" xfId="1149" xr:uid="{00000000-0005-0000-0000-0000EC030000}"/>
    <cellStyle name="Normal 12 3" xfId="1150" xr:uid="{00000000-0005-0000-0000-0000ED030000}"/>
    <cellStyle name="Normal 13" xfId="1151" xr:uid="{00000000-0005-0000-0000-0000EE030000}"/>
    <cellStyle name="Normal 13 2" xfId="1152" xr:uid="{00000000-0005-0000-0000-0000EF030000}"/>
    <cellStyle name="Normal 13 3" xfId="1153" xr:uid="{00000000-0005-0000-0000-0000F0030000}"/>
    <cellStyle name="Normal 14" xfId="1578" xr:uid="{00000000-0005-0000-0000-0000F1030000}"/>
    <cellStyle name="Normal 15" xfId="1579" xr:uid="{00000000-0005-0000-0000-0000F2030000}"/>
    <cellStyle name="Normal 16" xfId="1580" xr:uid="{00000000-0005-0000-0000-0000F3030000}"/>
    <cellStyle name="Normal 17" xfId="1581" xr:uid="{00000000-0005-0000-0000-0000F4030000}"/>
    <cellStyle name="Normal 18" xfId="1582" xr:uid="{00000000-0005-0000-0000-0000F5030000}"/>
    <cellStyle name="Normal 19" xfId="1583" xr:uid="{00000000-0005-0000-0000-0000F6030000}"/>
    <cellStyle name="Normal 2" xfId="49" xr:uid="{00000000-0005-0000-0000-0000F7030000}"/>
    <cellStyle name="Normal 2 10" xfId="612" xr:uid="{00000000-0005-0000-0000-0000F8030000}"/>
    <cellStyle name="Normal 2 11" xfId="613" xr:uid="{00000000-0005-0000-0000-0000F9030000}"/>
    <cellStyle name="Normal 2 12" xfId="614" xr:uid="{00000000-0005-0000-0000-0000FA030000}"/>
    <cellStyle name="Normal 2 13" xfId="615" xr:uid="{00000000-0005-0000-0000-0000FB030000}"/>
    <cellStyle name="Normal 2 14" xfId="616" xr:uid="{00000000-0005-0000-0000-0000FC030000}"/>
    <cellStyle name="Normal 2 15" xfId="617" xr:uid="{00000000-0005-0000-0000-0000FD030000}"/>
    <cellStyle name="Normal 2 15 2" xfId="897" xr:uid="{00000000-0005-0000-0000-0000FE030000}"/>
    <cellStyle name="Normal 2 16" xfId="618" xr:uid="{00000000-0005-0000-0000-0000FF030000}"/>
    <cellStyle name="Normal 2 17" xfId="619" xr:uid="{00000000-0005-0000-0000-000000040000}"/>
    <cellStyle name="Normal 2 18" xfId="620" xr:uid="{00000000-0005-0000-0000-000001040000}"/>
    <cellStyle name="Normal 2 19" xfId="621" xr:uid="{00000000-0005-0000-0000-000002040000}"/>
    <cellStyle name="Normal 2 2" xfId="622" xr:uid="{00000000-0005-0000-0000-000003040000}"/>
    <cellStyle name="Normal 2 2 2" xfId="898" xr:uid="{00000000-0005-0000-0000-000004040000}"/>
    <cellStyle name="Normal 2 2 2 2" xfId="1154" xr:uid="{00000000-0005-0000-0000-000005040000}"/>
    <cellStyle name="Normal 2 20" xfId="623" xr:uid="{00000000-0005-0000-0000-000006040000}"/>
    <cellStyle name="Normal 2 21" xfId="624" xr:uid="{00000000-0005-0000-0000-000007040000}"/>
    <cellStyle name="Normal 2 22" xfId="625" xr:uid="{00000000-0005-0000-0000-000008040000}"/>
    <cellStyle name="Normal 2 23" xfId="626" xr:uid="{00000000-0005-0000-0000-000009040000}"/>
    <cellStyle name="Normal 2 24" xfId="627" xr:uid="{00000000-0005-0000-0000-00000A040000}"/>
    <cellStyle name="Normal 2 25" xfId="628" xr:uid="{00000000-0005-0000-0000-00000B040000}"/>
    <cellStyle name="Normal 2 26" xfId="629" xr:uid="{00000000-0005-0000-0000-00000C040000}"/>
    <cellStyle name="Normal 2 27" xfId="630" xr:uid="{00000000-0005-0000-0000-00000D040000}"/>
    <cellStyle name="Normal 2 28" xfId="631" xr:uid="{00000000-0005-0000-0000-00000E040000}"/>
    <cellStyle name="Normal 2 29" xfId="632" xr:uid="{00000000-0005-0000-0000-00000F040000}"/>
    <cellStyle name="Normal 2 3" xfId="633" xr:uid="{00000000-0005-0000-0000-000010040000}"/>
    <cellStyle name="Normal 2 3 2" xfId="899" xr:uid="{00000000-0005-0000-0000-000011040000}"/>
    <cellStyle name="Normal 2 3 2 2" xfId="1155" xr:uid="{00000000-0005-0000-0000-000012040000}"/>
    <cellStyle name="Normal 2 3 3" xfId="1584" xr:uid="{00000000-0005-0000-0000-000013040000}"/>
    <cellStyle name="Normal 2 30" xfId="634" xr:uid="{00000000-0005-0000-0000-000014040000}"/>
    <cellStyle name="Normal 2 31" xfId="635" xr:uid="{00000000-0005-0000-0000-000015040000}"/>
    <cellStyle name="Normal 2 32" xfId="636" xr:uid="{00000000-0005-0000-0000-000016040000}"/>
    <cellStyle name="Normal 2 33" xfId="637" xr:uid="{00000000-0005-0000-0000-000017040000}"/>
    <cellStyle name="Normal 2 34" xfId="638" xr:uid="{00000000-0005-0000-0000-000018040000}"/>
    <cellStyle name="Normal 2 35" xfId="639" xr:uid="{00000000-0005-0000-0000-000019040000}"/>
    <cellStyle name="Normal 2 36" xfId="640" xr:uid="{00000000-0005-0000-0000-00001A040000}"/>
    <cellStyle name="Normal 2 37" xfId="641" xr:uid="{00000000-0005-0000-0000-00001B040000}"/>
    <cellStyle name="Normal 2 38" xfId="900" xr:uid="{00000000-0005-0000-0000-00001C040000}"/>
    <cellStyle name="Normal 2 38 2" xfId="1585" xr:uid="{00000000-0005-0000-0000-00001D040000}"/>
    <cellStyle name="Normal 2 39" xfId="1156" xr:uid="{00000000-0005-0000-0000-00001E040000}"/>
    <cellStyle name="Normal 2 39 2" xfId="1586" xr:uid="{00000000-0005-0000-0000-00001F040000}"/>
    <cellStyle name="Normal 2 4" xfId="642" xr:uid="{00000000-0005-0000-0000-000020040000}"/>
    <cellStyle name="Normal 2 4 2" xfId="1157" xr:uid="{00000000-0005-0000-0000-000021040000}"/>
    <cellStyle name="Normal 2 4 3" xfId="1158" xr:uid="{00000000-0005-0000-0000-000022040000}"/>
    <cellStyle name="Normal 2 40" xfId="1587" xr:uid="{00000000-0005-0000-0000-000023040000}"/>
    <cellStyle name="Normal 2 41" xfId="1588" xr:uid="{00000000-0005-0000-0000-000024040000}"/>
    <cellStyle name="Normal 2 42" xfId="1589" xr:uid="{00000000-0005-0000-0000-000025040000}"/>
    <cellStyle name="Normal 2 43" xfId="1590" xr:uid="{00000000-0005-0000-0000-000026040000}"/>
    <cellStyle name="Normal 2 44" xfId="1591" xr:uid="{00000000-0005-0000-0000-000027040000}"/>
    <cellStyle name="Normal 2 45" xfId="1592" xr:uid="{00000000-0005-0000-0000-000028040000}"/>
    <cellStyle name="Normal 2 46" xfId="1593" xr:uid="{00000000-0005-0000-0000-000029040000}"/>
    <cellStyle name="Normal 2 47" xfId="1594" xr:uid="{00000000-0005-0000-0000-00002A040000}"/>
    <cellStyle name="Normal 2 48" xfId="1595" xr:uid="{00000000-0005-0000-0000-00002B040000}"/>
    <cellStyle name="Normal 2 49" xfId="1596" xr:uid="{00000000-0005-0000-0000-00002C040000}"/>
    <cellStyle name="Normal 2 5" xfId="643" xr:uid="{00000000-0005-0000-0000-00002D040000}"/>
    <cellStyle name="Normal 2 50" xfId="1597" xr:uid="{00000000-0005-0000-0000-00002E040000}"/>
    <cellStyle name="Normal 2 51" xfId="1598" xr:uid="{00000000-0005-0000-0000-00002F040000}"/>
    <cellStyle name="Normal 2 52" xfId="1599" xr:uid="{00000000-0005-0000-0000-000030040000}"/>
    <cellStyle name="Normal 2 53" xfId="1600" xr:uid="{00000000-0005-0000-0000-000031040000}"/>
    <cellStyle name="Normal 2 54" xfId="1601" xr:uid="{00000000-0005-0000-0000-000032040000}"/>
    <cellStyle name="Normal 2 55" xfId="1602" xr:uid="{00000000-0005-0000-0000-000033040000}"/>
    <cellStyle name="Normal 2 56" xfId="1603" xr:uid="{00000000-0005-0000-0000-000034040000}"/>
    <cellStyle name="Normal 2 57" xfId="1604" xr:uid="{00000000-0005-0000-0000-000035040000}"/>
    <cellStyle name="Normal 2 58" xfId="1605" xr:uid="{00000000-0005-0000-0000-000036040000}"/>
    <cellStyle name="Normal 2 59" xfId="1606" xr:uid="{00000000-0005-0000-0000-000037040000}"/>
    <cellStyle name="Normal 2 6" xfId="644" xr:uid="{00000000-0005-0000-0000-000038040000}"/>
    <cellStyle name="Normal 2 6 2" xfId="1159" xr:uid="{00000000-0005-0000-0000-000039040000}"/>
    <cellStyle name="Normal 2 60" xfId="1607" xr:uid="{00000000-0005-0000-0000-00003A040000}"/>
    <cellStyle name="Normal 2 61" xfId="1608" xr:uid="{00000000-0005-0000-0000-00003B040000}"/>
    <cellStyle name="Normal 2 62" xfId="1609" xr:uid="{00000000-0005-0000-0000-00003C040000}"/>
    <cellStyle name="Normal 2 63" xfId="1610" xr:uid="{00000000-0005-0000-0000-00003D040000}"/>
    <cellStyle name="Normal 2 64" xfId="1611" xr:uid="{00000000-0005-0000-0000-00003E040000}"/>
    <cellStyle name="Normal 2 65" xfId="1612" xr:uid="{00000000-0005-0000-0000-00003F040000}"/>
    <cellStyle name="Normal 2 66" xfId="1613" xr:uid="{00000000-0005-0000-0000-000040040000}"/>
    <cellStyle name="Normal 2 67" xfId="1614" xr:uid="{00000000-0005-0000-0000-000041040000}"/>
    <cellStyle name="Normal 2 68" xfId="1615" xr:uid="{00000000-0005-0000-0000-000042040000}"/>
    <cellStyle name="Normal 2 7" xfId="645" xr:uid="{00000000-0005-0000-0000-000043040000}"/>
    <cellStyle name="Normal 2 8" xfId="646" xr:uid="{00000000-0005-0000-0000-000044040000}"/>
    <cellStyle name="Normal 2 8 2" xfId="901" xr:uid="{00000000-0005-0000-0000-000045040000}"/>
    <cellStyle name="Normal 2 9" xfId="647" xr:uid="{00000000-0005-0000-0000-000046040000}"/>
    <cellStyle name="Normal 2_Indexadores Corregidos def_Indexadores_AG_rev2" xfId="1160" xr:uid="{00000000-0005-0000-0000-000047040000}"/>
    <cellStyle name="Normal 20" xfId="1616" xr:uid="{00000000-0005-0000-0000-000048040000}"/>
    <cellStyle name="Normal 21" xfId="1617" xr:uid="{00000000-0005-0000-0000-000049040000}"/>
    <cellStyle name="Normal 22" xfId="1618" xr:uid="{00000000-0005-0000-0000-00004A040000}"/>
    <cellStyle name="Normal 23" xfId="1619" xr:uid="{00000000-0005-0000-0000-00004B040000}"/>
    <cellStyle name="Normal 24" xfId="1620" xr:uid="{00000000-0005-0000-0000-00004C040000}"/>
    <cellStyle name="Normal 25" xfId="1621" xr:uid="{00000000-0005-0000-0000-00004D040000}"/>
    <cellStyle name="Normal 26" xfId="1622" xr:uid="{00000000-0005-0000-0000-00004E040000}"/>
    <cellStyle name="Normal 27" xfId="1623" xr:uid="{00000000-0005-0000-0000-00004F040000}"/>
    <cellStyle name="Normal 28" xfId="1624" xr:uid="{00000000-0005-0000-0000-000050040000}"/>
    <cellStyle name="Normal 29" xfId="1625" xr:uid="{00000000-0005-0000-0000-000051040000}"/>
    <cellStyle name="Normal 3" xfId="47" xr:uid="{00000000-0005-0000-0000-000052040000}"/>
    <cellStyle name="Normal 3 10" xfId="648" xr:uid="{00000000-0005-0000-0000-000053040000}"/>
    <cellStyle name="Normal 3 11" xfId="649" xr:uid="{00000000-0005-0000-0000-000054040000}"/>
    <cellStyle name="Normal 3 12" xfId="650" xr:uid="{00000000-0005-0000-0000-000055040000}"/>
    <cellStyle name="Normal 3 13" xfId="651" xr:uid="{00000000-0005-0000-0000-000056040000}"/>
    <cellStyle name="Normal 3 14" xfId="652" xr:uid="{00000000-0005-0000-0000-000057040000}"/>
    <cellStyle name="Normal 3 15" xfId="653" xr:uid="{00000000-0005-0000-0000-000058040000}"/>
    <cellStyle name="Normal 3 16" xfId="654" xr:uid="{00000000-0005-0000-0000-000059040000}"/>
    <cellStyle name="Normal 3 17" xfId="655" xr:uid="{00000000-0005-0000-0000-00005A040000}"/>
    <cellStyle name="Normal 3 18" xfId="902" xr:uid="{00000000-0005-0000-0000-00005B040000}"/>
    <cellStyle name="Normal 3 18 2" xfId="1161" xr:uid="{00000000-0005-0000-0000-00005C040000}"/>
    <cellStyle name="Normal 3 18 2 2" xfId="1162" xr:uid="{00000000-0005-0000-0000-00005D040000}"/>
    <cellStyle name="Normal 3 18 3" xfId="1163" xr:uid="{00000000-0005-0000-0000-00005E040000}"/>
    <cellStyle name="Normal 3 18 3 2" xfId="1164" xr:uid="{00000000-0005-0000-0000-00005F040000}"/>
    <cellStyle name="Normal 3 18 4" xfId="1165" xr:uid="{00000000-0005-0000-0000-000060040000}"/>
    <cellStyle name="Normal 3 19" xfId="1166" xr:uid="{00000000-0005-0000-0000-000061040000}"/>
    <cellStyle name="Normal 3 19 2" xfId="1167" xr:uid="{00000000-0005-0000-0000-000062040000}"/>
    <cellStyle name="Normal 3 2" xfId="656" xr:uid="{00000000-0005-0000-0000-000063040000}"/>
    <cellStyle name="Normal 3 2 2" xfId="903" xr:uid="{00000000-0005-0000-0000-000064040000}"/>
    <cellStyle name="Normal 3 2 2 2" xfId="1168" xr:uid="{00000000-0005-0000-0000-000065040000}"/>
    <cellStyle name="Normal 3 2 2 2 2" xfId="1169" xr:uid="{00000000-0005-0000-0000-000066040000}"/>
    <cellStyle name="Normal 3 2 2 3" xfId="1170" xr:uid="{00000000-0005-0000-0000-000067040000}"/>
    <cellStyle name="Normal 3 2 2 3 2" xfId="1171" xr:uid="{00000000-0005-0000-0000-000068040000}"/>
    <cellStyle name="Normal 3 2 2 4" xfId="1172" xr:uid="{00000000-0005-0000-0000-000069040000}"/>
    <cellStyle name="Normal 3 2 2 4 2" xfId="1173" xr:uid="{00000000-0005-0000-0000-00006A040000}"/>
    <cellStyle name="Normal 3 2 2 5" xfId="1174" xr:uid="{00000000-0005-0000-0000-00006B040000}"/>
    <cellStyle name="Normal 3 2 2 5 2" xfId="1175" xr:uid="{00000000-0005-0000-0000-00006C040000}"/>
    <cellStyle name="Normal 3 2 2 6" xfId="1176" xr:uid="{00000000-0005-0000-0000-00006D040000}"/>
    <cellStyle name="Normal 3 2 3" xfId="1177" xr:uid="{00000000-0005-0000-0000-00006E040000}"/>
    <cellStyle name="Normal 3 2 3 2" xfId="1178" xr:uid="{00000000-0005-0000-0000-00006F040000}"/>
    <cellStyle name="Normal 3 2 4" xfId="1179" xr:uid="{00000000-0005-0000-0000-000070040000}"/>
    <cellStyle name="Normal 3 2 4 2" xfId="1180" xr:uid="{00000000-0005-0000-0000-000071040000}"/>
    <cellStyle name="Normal 3 20" xfId="1181" xr:uid="{00000000-0005-0000-0000-000072040000}"/>
    <cellStyle name="Normal 3 20 2" xfId="1182" xr:uid="{00000000-0005-0000-0000-000073040000}"/>
    <cellStyle name="Normal 3 3" xfId="657" xr:uid="{00000000-0005-0000-0000-000074040000}"/>
    <cellStyle name="Normal 3 3 2" xfId="904" xr:uid="{00000000-0005-0000-0000-000075040000}"/>
    <cellStyle name="Normal 3 3 2 2" xfId="1183" xr:uid="{00000000-0005-0000-0000-000076040000}"/>
    <cellStyle name="Normal 3 3 2 2 2" xfId="1184" xr:uid="{00000000-0005-0000-0000-000077040000}"/>
    <cellStyle name="Normal 3 3 2 3" xfId="1185" xr:uid="{00000000-0005-0000-0000-000078040000}"/>
    <cellStyle name="Normal 3 3 2 3 2" xfId="1186" xr:uid="{00000000-0005-0000-0000-000079040000}"/>
    <cellStyle name="Normal 3 3 2 4" xfId="1187" xr:uid="{00000000-0005-0000-0000-00007A040000}"/>
    <cellStyle name="Normal 3 3 2 4 2" xfId="1188" xr:uid="{00000000-0005-0000-0000-00007B040000}"/>
    <cellStyle name="Normal 3 3 2 5" xfId="1189" xr:uid="{00000000-0005-0000-0000-00007C040000}"/>
    <cellStyle name="Normal 3 3 2 5 2" xfId="1190" xr:uid="{00000000-0005-0000-0000-00007D040000}"/>
    <cellStyle name="Normal 3 3 2 6" xfId="1191" xr:uid="{00000000-0005-0000-0000-00007E040000}"/>
    <cellStyle name="Normal 3 3 3" xfId="1192" xr:uid="{00000000-0005-0000-0000-00007F040000}"/>
    <cellStyle name="Normal 3 3 3 2" xfId="1193" xr:uid="{00000000-0005-0000-0000-000080040000}"/>
    <cellStyle name="Normal 3 3 4" xfId="1194" xr:uid="{00000000-0005-0000-0000-000081040000}"/>
    <cellStyle name="Normal 3 3 4 2" xfId="1195" xr:uid="{00000000-0005-0000-0000-000082040000}"/>
    <cellStyle name="Normal 3 4" xfId="658" xr:uid="{00000000-0005-0000-0000-000083040000}"/>
    <cellStyle name="Normal 3 4 2" xfId="905" xr:uid="{00000000-0005-0000-0000-000084040000}"/>
    <cellStyle name="Normal 3 5" xfId="659" xr:uid="{00000000-0005-0000-0000-000085040000}"/>
    <cellStyle name="Normal 3 5 2" xfId="1196" xr:uid="{00000000-0005-0000-0000-000086040000}"/>
    <cellStyle name="Normal 3 5 2 2" xfId="1197" xr:uid="{00000000-0005-0000-0000-000087040000}"/>
    <cellStyle name="Normal 3 5 3" xfId="1198" xr:uid="{00000000-0005-0000-0000-000088040000}"/>
    <cellStyle name="Normal 3 5 3 2" xfId="1199" xr:uid="{00000000-0005-0000-0000-000089040000}"/>
    <cellStyle name="Normal 3 6" xfId="660" xr:uid="{00000000-0005-0000-0000-00008A040000}"/>
    <cellStyle name="Normal 3 7" xfId="661" xr:uid="{00000000-0005-0000-0000-00008B040000}"/>
    <cellStyle name="Normal 3 8" xfId="662" xr:uid="{00000000-0005-0000-0000-00008C040000}"/>
    <cellStyle name="Normal 3 9" xfId="663" xr:uid="{00000000-0005-0000-0000-00008D040000}"/>
    <cellStyle name="Normal 30" xfId="1626" xr:uid="{00000000-0005-0000-0000-00008E040000}"/>
    <cellStyle name="Normal 31" xfId="1627" xr:uid="{00000000-0005-0000-0000-00008F040000}"/>
    <cellStyle name="Normal 32" xfId="1628" xr:uid="{00000000-0005-0000-0000-000090040000}"/>
    <cellStyle name="Normal 33" xfId="1629" xr:uid="{00000000-0005-0000-0000-000091040000}"/>
    <cellStyle name="Normal 34" xfId="1630" xr:uid="{00000000-0005-0000-0000-000092040000}"/>
    <cellStyle name="Normal 35" xfId="1631" xr:uid="{00000000-0005-0000-0000-000093040000}"/>
    <cellStyle name="Normal 36" xfId="1632" xr:uid="{00000000-0005-0000-0000-000094040000}"/>
    <cellStyle name="Normal 37" xfId="1633" xr:uid="{00000000-0005-0000-0000-000095040000}"/>
    <cellStyle name="Normal 38" xfId="1634" xr:uid="{00000000-0005-0000-0000-000096040000}"/>
    <cellStyle name="Normal 39" xfId="1635" xr:uid="{00000000-0005-0000-0000-000097040000}"/>
    <cellStyle name="Normal 4" xfId="53" xr:uid="{00000000-0005-0000-0000-000098040000}"/>
    <cellStyle name="Normal 4 2" xfId="1200" xr:uid="{00000000-0005-0000-0000-000099040000}"/>
    <cellStyle name="Normal 4 3" xfId="1201" xr:uid="{00000000-0005-0000-0000-00009A040000}"/>
    <cellStyle name="Normal 40" xfId="1636" xr:uid="{00000000-0005-0000-0000-00009B040000}"/>
    <cellStyle name="Normal 41" xfId="1637" xr:uid="{00000000-0005-0000-0000-00009C040000}"/>
    <cellStyle name="Normal 42" xfId="1638" xr:uid="{00000000-0005-0000-0000-00009D040000}"/>
    <cellStyle name="Normal 43" xfId="1639" xr:uid="{00000000-0005-0000-0000-00009E040000}"/>
    <cellStyle name="Normal 44" xfId="1640" xr:uid="{00000000-0005-0000-0000-00009F040000}"/>
    <cellStyle name="Normal 45" xfId="1641" xr:uid="{00000000-0005-0000-0000-0000A0040000}"/>
    <cellStyle name="Normal 46" xfId="1642" xr:uid="{00000000-0005-0000-0000-0000A1040000}"/>
    <cellStyle name="Normal 47" xfId="1643" xr:uid="{00000000-0005-0000-0000-0000A2040000}"/>
    <cellStyle name="Normal 48" xfId="1644" xr:uid="{00000000-0005-0000-0000-0000A3040000}"/>
    <cellStyle name="Normal 49" xfId="1645" xr:uid="{00000000-0005-0000-0000-0000A4040000}"/>
    <cellStyle name="Normal 5" xfId="50" xr:uid="{00000000-0005-0000-0000-0000A5040000}"/>
    <cellStyle name="Normal 5 2" xfId="906" xr:uid="{00000000-0005-0000-0000-0000A6040000}"/>
    <cellStyle name="Normal 5 2 2" xfId="1202" xr:uid="{00000000-0005-0000-0000-0000A7040000}"/>
    <cellStyle name="Normal 5 2 2 2" xfId="1203" xr:uid="{00000000-0005-0000-0000-0000A8040000}"/>
    <cellStyle name="Normal 5 2 3" xfId="1204" xr:uid="{00000000-0005-0000-0000-0000A9040000}"/>
    <cellStyle name="Normal 5 2 3 2" xfId="1205" xr:uid="{00000000-0005-0000-0000-0000AA040000}"/>
    <cellStyle name="Normal 5 2 4" xfId="1206" xr:uid="{00000000-0005-0000-0000-0000AB040000}"/>
    <cellStyle name="Normal 5 2 4 2" xfId="1207" xr:uid="{00000000-0005-0000-0000-0000AC040000}"/>
    <cellStyle name="Normal 5 2 5" xfId="1208" xr:uid="{00000000-0005-0000-0000-0000AD040000}"/>
    <cellStyle name="Normal 5 2 5 2" xfId="1209" xr:uid="{00000000-0005-0000-0000-0000AE040000}"/>
    <cellStyle name="Normal 5 2 6" xfId="1210" xr:uid="{00000000-0005-0000-0000-0000AF040000}"/>
    <cellStyle name="Normal 5 3" xfId="1211" xr:uid="{00000000-0005-0000-0000-0000B0040000}"/>
    <cellStyle name="Normal 5 3 2" xfId="1212" xr:uid="{00000000-0005-0000-0000-0000B1040000}"/>
    <cellStyle name="Normal 5 4" xfId="1213" xr:uid="{00000000-0005-0000-0000-0000B2040000}"/>
    <cellStyle name="Normal 5 4 2" xfId="1214" xr:uid="{00000000-0005-0000-0000-0000B3040000}"/>
    <cellStyle name="Normal 5 5" xfId="1215" xr:uid="{00000000-0005-0000-0000-0000B4040000}"/>
    <cellStyle name="Normal 5 5 2" xfId="1216" xr:uid="{00000000-0005-0000-0000-0000B5040000}"/>
    <cellStyle name="Normal 5 6" xfId="1217" xr:uid="{00000000-0005-0000-0000-0000B6040000}"/>
    <cellStyle name="Normal 5 6 2" xfId="1218" xr:uid="{00000000-0005-0000-0000-0000B7040000}"/>
    <cellStyle name="Normal 5 7" xfId="1219" xr:uid="{00000000-0005-0000-0000-0000B8040000}"/>
    <cellStyle name="Normal 5 8" xfId="1220" xr:uid="{00000000-0005-0000-0000-0000B9040000}"/>
    <cellStyle name="Normal 50" xfId="1646" xr:uid="{00000000-0005-0000-0000-0000BA040000}"/>
    <cellStyle name="Normal 51" xfId="1647" xr:uid="{00000000-0005-0000-0000-0000BB040000}"/>
    <cellStyle name="Normal 52" xfId="1648" xr:uid="{00000000-0005-0000-0000-0000BC040000}"/>
    <cellStyle name="Normal 53" xfId="1649" xr:uid="{00000000-0005-0000-0000-0000BD040000}"/>
    <cellStyle name="Normal 54" xfId="1650" xr:uid="{00000000-0005-0000-0000-0000BE040000}"/>
    <cellStyle name="Normal 55" xfId="1651" xr:uid="{00000000-0005-0000-0000-0000BF040000}"/>
    <cellStyle name="Normal 56" xfId="1652" xr:uid="{00000000-0005-0000-0000-0000C0040000}"/>
    <cellStyle name="Normal 57" xfId="1653" xr:uid="{00000000-0005-0000-0000-0000C1040000}"/>
    <cellStyle name="Normal 58" xfId="1654" xr:uid="{00000000-0005-0000-0000-0000C2040000}"/>
    <cellStyle name="Normal 59" xfId="1655" xr:uid="{00000000-0005-0000-0000-0000C3040000}"/>
    <cellStyle name="Normal 6" xfId="51" xr:uid="{00000000-0005-0000-0000-0000C4040000}"/>
    <cellStyle name="Normal 6 2" xfId="664" xr:uid="{00000000-0005-0000-0000-0000C5040000}"/>
    <cellStyle name="Normal 6 2 2" xfId="1221" xr:uid="{00000000-0005-0000-0000-0000C6040000}"/>
    <cellStyle name="Normal 6 2 2 2" xfId="1222" xr:uid="{00000000-0005-0000-0000-0000C7040000}"/>
    <cellStyle name="Normal 6 2 3" xfId="1223" xr:uid="{00000000-0005-0000-0000-0000C8040000}"/>
    <cellStyle name="Normal 6 2 3 2" xfId="1224" xr:uid="{00000000-0005-0000-0000-0000C9040000}"/>
    <cellStyle name="Normal 6 2 4" xfId="1225" xr:uid="{00000000-0005-0000-0000-0000CA040000}"/>
    <cellStyle name="Normal 6 2 5" xfId="1226" xr:uid="{00000000-0005-0000-0000-0000CB040000}"/>
    <cellStyle name="Normal 6 3" xfId="907" xr:uid="{00000000-0005-0000-0000-0000CC040000}"/>
    <cellStyle name="Normal 6 4" xfId="1227" xr:uid="{00000000-0005-0000-0000-0000CD040000}"/>
    <cellStyle name="Normal 6 4 2" xfId="1228" xr:uid="{00000000-0005-0000-0000-0000CE040000}"/>
    <cellStyle name="Normal 6 5" xfId="1229" xr:uid="{00000000-0005-0000-0000-0000CF040000}"/>
    <cellStyle name="Normal 6 5 2" xfId="1230" xr:uid="{00000000-0005-0000-0000-0000D0040000}"/>
    <cellStyle name="Normal 6 6" xfId="1231" xr:uid="{00000000-0005-0000-0000-0000D1040000}"/>
    <cellStyle name="Normal 6 7" xfId="1232" xr:uid="{00000000-0005-0000-0000-0000D2040000}"/>
    <cellStyle name="Normal 60" xfId="1656" xr:uid="{00000000-0005-0000-0000-0000D3040000}"/>
    <cellStyle name="Normal 61" xfId="1657" xr:uid="{00000000-0005-0000-0000-0000D4040000}"/>
    <cellStyle name="Normal 62" xfId="1658" xr:uid="{00000000-0005-0000-0000-0000D5040000}"/>
    <cellStyle name="Normal 63" xfId="1659" xr:uid="{00000000-0005-0000-0000-0000D6040000}"/>
    <cellStyle name="Normal 64" xfId="1660" xr:uid="{00000000-0005-0000-0000-0000D7040000}"/>
    <cellStyle name="Normal 65" xfId="1661" xr:uid="{00000000-0005-0000-0000-0000D8040000}"/>
    <cellStyle name="Normal 66" xfId="1662" xr:uid="{00000000-0005-0000-0000-0000D9040000}"/>
    <cellStyle name="Normal 67" xfId="1663" xr:uid="{00000000-0005-0000-0000-0000DA040000}"/>
    <cellStyle name="Normal 68" xfId="1664" xr:uid="{00000000-0005-0000-0000-0000DB040000}"/>
    <cellStyle name="Normal 69" xfId="1665" xr:uid="{00000000-0005-0000-0000-0000DC040000}"/>
    <cellStyle name="Normal 7" xfId="52" xr:uid="{00000000-0005-0000-0000-0000DD040000}"/>
    <cellStyle name="Normal 7 2" xfId="1233" xr:uid="{00000000-0005-0000-0000-0000DE040000}"/>
    <cellStyle name="Normal 7 2 2" xfId="1234" xr:uid="{00000000-0005-0000-0000-0000DF040000}"/>
    <cellStyle name="Normal 7 2 3" xfId="1235" xr:uid="{00000000-0005-0000-0000-0000E0040000}"/>
    <cellStyle name="Normal 7 3" xfId="1236" xr:uid="{00000000-0005-0000-0000-0000E1040000}"/>
    <cellStyle name="Normal 7 3 2" xfId="1237" xr:uid="{00000000-0005-0000-0000-0000E2040000}"/>
    <cellStyle name="Normal 7 4" xfId="1238" xr:uid="{00000000-0005-0000-0000-0000E3040000}"/>
    <cellStyle name="Normal 70" xfId="1666" xr:uid="{00000000-0005-0000-0000-0000E4040000}"/>
    <cellStyle name="Normal 71" xfId="3" xr:uid="{00000000-0005-0000-0000-0000E5040000}"/>
    <cellStyle name="Normal 8" xfId="844" xr:uid="{00000000-0005-0000-0000-0000E6040000}"/>
    <cellStyle name="Normal 8 2" xfId="1239" xr:uid="{00000000-0005-0000-0000-0000E7040000}"/>
    <cellStyle name="Normal 8 2 2" xfId="1240" xr:uid="{00000000-0005-0000-0000-0000E8040000}"/>
    <cellStyle name="Normal 8 2 3" xfId="1241" xr:uid="{00000000-0005-0000-0000-0000E9040000}"/>
    <cellStyle name="Normal 8 3" xfId="1242" xr:uid="{00000000-0005-0000-0000-0000EA040000}"/>
    <cellStyle name="Normal 8 3 2" xfId="1243" xr:uid="{00000000-0005-0000-0000-0000EB040000}"/>
    <cellStyle name="Normal 8 4" xfId="1244" xr:uid="{00000000-0005-0000-0000-0000EC040000}"/>
    <cellStyle name="Normal 8 4 2" xfId="1245" xr:uid="{00000000-0005-0000-0000-0000ED040000}"/>
    <cellStyle name="Normal 8 5" xfId="1246" xr:uid="{00000000-0005-0000-0000-0000EE040000}"/>
    <cellStyle name="Normal 8 5 2" xfId="1247" xr:uid="{00000000-0005-0000-0000-0000EF040000}"/>
    <cellStyle name="Normal 8 6" xfId="1248" xr:uid="{00000000-0005-0000-0000-0000F0040000}"/>
    <cellStyle name="Normal 8 7" xfId="1249" xr:uid="{00000000-0005-0000-0000-0000F1040000}"/>
    <cellStyle name="Normal 9" xfId="56" xr:uid="{00000000-0005-0000-0000-0000F2040000}"/>
    <cellStyle name="Normal 9 2" xfId="1250" xr:uid="{00000000-0005-0000-0000-0000F3040000}"/>
    <cellStyle name="Normal 9 3" xfId="1251" xr:uid="{00000000-0005-0000-0000-0000F4040000}"/>
    <cellStyle name="Notas 10" xfId="665" xr:uid="{00000000-0005-0000-0000-0000F5040000}"/>
    <cellStyle name="Notas 10 2" xfId="1252" xr:uid="{00000000-0005-0000-0000-0000F6040000}"/>
    <cellStyle name="Notas 10 2 2" xfId="1253" xr:uid="{00000000-0005-0000-0000-0000F7040000}"/>
    <cellStyle name="Notas 10 3" xfId="1254" xr:uid="{00000000-0005-0000-0000-0000F8040000}"/>
    <cellStyle name="Notas 11" xfId="666" xr:uid="{00000000-0005-0000-0000-0000F9040000}"/>
    <cellStyle name="Notas 11 2" xfId="1255" xr:uid="{00000000-0005-0000-0000-0000FA040000}"/>
    <cellStyle name="Notas 11 2 2" xfId="1256" xr:uid="{00000000-0005-0000-0000-0000FB040000}"/>
    <cellStyle name="Notas 11 3" xfId="1257" xr:uid="{00000000-0005-0000-0000-0000FC040000}"/>
    <cellStyle name="Notas 12" xfId="667" xr:uid="{00000000-0005-0000-0000-0000FD040000}"/>
    <cellStyle name="Notas 12 2" xfId="1258" xr:uid="{00000000-0005-0000-0000-0000FE040000}"/>
    <cellStyle name="Notas 12 2 2" xfId="1259" xr:uid="{00000000-0005-0000-0000-0000FF040000}"/>
    <cellStyle name="Notas 12 3" xfId="1260" xr:uid="{00000000-0005-0000-0000-000000050000}"/>
    <cellStyle name="Notas 13" xfId="668" xr:uid="{00000000-0005-0000-0000-000001050000}"/>
    <cellStyle name="Notas 13 2" xfId="1261" xr:uid="{00000000-0005-0000-0000-000002050000}"/>
    <cellStyle name="Notas 13 2 2" xfId="1262" xr:uid="{00000000-0005-0000-0000-000003050000}"/>
    <cellStyle name="Notas 13 3" xfId="1263" xr:uid="{00000000-0005-0000-0000-000004050000}"/>
    <cellStyle name="Notas 14" xfId="669" xr:uid="{00000000-0005-0000-0000-000005050000}"/>
    <cellStyle name="Notas 14 2" xfId="1264" xr:uid="{00000000-0005-0000-0000-000006050000}"/>
    <cellStyle name="Notas 14 2 2" xfId="1265" xr:uid="{00000000-0005-0000-0000-000007050000}"/>
    <cellStyle name="Notas 14 3" xfId="1266" xr:uid="{00000000-0005-0000-0000-000008050000}"/>
    <cellStyle name="Notas 15" xfId="670" xr:uid="{00000000-0005-0000-0000-000009050000}"/>
    <cellStyle name="Notas 15 2" xfId="1267" xr:uid="{00000000-0005-0000-0000-00000A050000}"/>
    <cellStyle name="Notas 15 2 2" xfId="1268" xr:uid="{00000000-0005-0000-0000-00000B050000}"/>
    <cellStyle name="Notas 15 3" xfId="1269" xr:uid="{00000000-0005-0000-0000-00000C050000}"/>
    <cellStyle name="Notas 16" xfId="671" xr:uid="{00000000-0005-0000-0000-00000D050000}"/>
    <cellStyle name="Notas 16 2" xfId="1270" xr:uid="{00000000-0005-0000-0000-00000E050000}"/>
    <cellStyle name="Notas 16 2 2" xfId="1271" xr:uid="{00000000-0005-0000-0000-00000F050000}"/>
    <cellStyle name="Notas 16 3" xfId="1272" xr:uid="{00000000-0005-0000-0000-000010050000}"/>
    <cellStyle name="Notas 17" xfId="672" xr:uid="{00000000-0005-0000-0000-000011050000}"/>
    <cellStyle name="Notas 17 2" xfId="1273" xr:uid="{00000000-0005-0000-0000-000012050000}"/>
    <cellStyle name="Notas 17 2 2" xfId="1274" xr:uid="{00000000-0005-0000-0000-000013050000}"/>
    <cellStyle name="Notas 17 3" xfId="1275" xr:uid="{00000000-0005-0000-0000-000014050000}"/>
    <cellStyle name="Notas 18" xfId="673" xr:uid="{00000000-0005-0000-0000-000015050000}"/>
    <cellStyle name="Notas 18 2" xfId="1276" xr:uid="{00000000-0005-0000-0000-000016050000}"/>
    <cellStyle name="Notas 18 2 2" xfId="1277" xr:uid="{00000000-0005-0000-0000-000017050000}"/>
    <cellStyle name="Notas 18 3" xfId="1278" xr:uid="{00000000-0005-0000-0000-000018050000}"/>
    <cellStyle name="Notas 19" xfId="674" xr:uid="{00000000-0005-0000-0000-000019050000}"/>
    <cellStyle name="Notas 19 2" xfId="1279" xr:uid="{00000000-0005-0000-0000-00001A050000}"/>
    <cellStyle name="Notas 19 2 2" xfId="1280" xr:uid="{00000000-0005-0000-0000-00001B050000}"/>
    <cellStyle name="Notas 19 3" xfId="1281" xr:uid="{00000000-0005-0000-0000-00001C050000}"/>
    <cellStyle name="Notas 2" xfId="675" xr:uid="{00000000-0005-0000-0000-00001D050000}"/>
    <cellStyle name="Notas 2 2" xfId="676" xr:uid="{00000000-0005-0000-0000-00001E050000}"/>
    <cellStyle name="Notas 2 2 2" xfId="1282" xr:uid="{00000000-0005-0000-0000-00001F050000}"/>
    <cellStyle name="Notas 2 2 2 2" xfId="1283" xr:uid="{00000000-0005-0000-0000-000020050000}"/>
    <cellStyle name="Notas 2 2 3" xfId="1284" xr:uid="{00000000-0005-0000-0000-000021050000}"/>
    <cellStyle name="Notas 2 3" xfId="1285" xr:uid="{00000000-0005-0000-0000-000022050000}"/>
    <cellStyle name="Notas 2 3 2" xfId="1286" xr:uid="{00000000-0005-0000-0000-000023050000}"/>
    <cellStyle name="Notas 2 4" xfId="1287" xr:uid="{00000000-0005-0000-0000-000024050000}"/>
    <cellStyle name="Notas 20" xfId="677" xr:uid="{00000000-0005-0000-0000-000025050000}"/>
    <cellStyle name="Notas 20 2" xfId="1288" xr:uid="{00000000-0005-0000-0000-000026050000}"/>
    <cellStyle name="Notas 20 2 2" xfId="1289" xr:uid="{00000000-0005-0000-0000-000027050000}"/>
    <cellStyle name="Notas 20 3" xfId="1290" xr:uid="{00000000-0005-0000-0000-000028050000}"/>
    <cellStyle name="Notas 21" xfId="859" xr:uid="{00000000-0005-0000-0000-000029050000}"/>
    <cellStyle name="Notas 21 2" xfId="1291" xr:uid="{00000000-0005-0000-0000-00002A050000}"/>
    <cellStyle name="Notas 21 2 2" xfId="1292" xr:uid="{00000000-0005-0000-0000-00002B050000}"/>
    <cellStyle name="Notas 21 3" xfId="1293" xr:uid="{00000000-0005-0000-0000-00002C050000}"/>
    <cellStyle name="Notas 21 3 2" xfId="1294" xr:uid="{00000000-0005-0000-0000-00002D050000}"/>
    <cellStyle name="Notas 21 4" xfId="1295" xr:uid="{00000000-0005-0000-0000-00002E050000}"/>
    <cellStyle name="Notas 22" xfId="913" xr:uid="{00000000-0005-0000-0000-00002F050000}"/>
    <cellStyle name="Notas 22 2" xfId="1296" xr:uid="{00000000-0005-0000-0000-000030050000}"/>
    <cellStyle name="Notas 22 2 2" xfId="1297" xr:uid="{00000000-0005-0000-0000-000031050000}"/>
    <cellStyle name="Notas 22 3" xfId="1298" xr:uid="{00000000-0005-0000-0000-000032050000}"/>
    <cellStyle name="Notas 23" xfId="1299" xr:uid="{00000000-0005-0000-0000-000033050000}"/>
    <cellStyle name="Notas 24" xfId="38" xr:uid="{00000000-0005-0000-0000-000034050000}"/>
    <cellStyle name="Notas 3" xfId="678" xr:uid="{00000000-0005-0000-0000-000035050000}"/>
    <cellStyle name="Notas 3 2" xfId="1300" xr:uid="{00000000-0005-0000-0000-000036050000}"/>
    <cellStyle name="Notas 3 2 2" xfId="1301" xr:uid="{00000000-0005-0000-0000-000037050000}"/>
    <cellStyle name="Notas 3 3" xfId="1302" xr:uid="{00000000-0005-0000-0000-000038050000}"/>
    <cellStyle name="Notas 4" xfId="679" xr:uid="{00000000-0005-0000-0000-000039050000}"/>
    <cellStyle name="Notas 4 2" xfId="1303" xr:uid="{00000000-0005-0000-0000-00003A050000}"/>
    <cellStyle name="Notas 4 2 2" xfId="1304" xr:uid="{00000000-0005-0000-0000-00003B050000}"/>
    <cellStyle name="Notas 4 3" xfId="1305" xr:uid="{00000000-0005-0000-0000-00003C050000}"/>
    <cellStyle name="Notas 5" xfId="680" xr:uid="{00000000-0005-0000-0000-00003D050000}"/>
    <cellStyle name="Notas 5 2" xfId="1306" xr:uid="{00000000-0005-0000-0000-00003E050000}"/>
    <cellStyle name="Notas 5 2 2" xfId="1307" xr:uid="{00000000-0005-0000-0000-00003F050000}"/>
    <cellStyle name="Notas 5 3" xfId="1308" xr:uid="{00000000-0005-0000-0000-000040050000}"/>
    <cellStyle name="Notas 6" xfId="681" xr:uid="{00000000-0005-0000-0000-000041050000}"/>
    <cellStyle name="Notas 6 2" xfId="1309" xr:uid="{00000000-0005-0000-0000-000042050000}"/>
    <cellStyle name="Notas 6 2 2" xfId="1310" xr:uid="{00000000-0005-0000-0000-000043050000}"/>
    <cellStyle name="Notas 6 3" xfId="1311" xr:uid="{00000000-0005-0000-0000-000044050000}"/>
    <cellStyle name="Notas 7" xfId="682" xr:uid="{00000000-0005-0000-0000-000045050000}"/>
    <cellStyle name="Notas 7 2" xfId="1312" xr:uid="{00000000-0005-0000-0000-000046050000}"/>
    <cellStyle name="Notas 7 2 2" xfId="1313" xr:uid="{00000000-0005-0000-0000-000047050000}"/>
    <cellStyle name="Notas 7 3" xfId="1314" xr:uid="{00000000-0005-0000-0000-000048050000}"/>
    <cellStyle name="Notas 8" xfId="683" xr:uid="{00000000-0005-0000-0000-000049050000}"/>
    <cellStyle name="Notas 8 2" xfId="1315" xr:uid="{00000000-0005-0000-0000-00004A050000}"/>
    <cellStyle name="Notas 8 2 2" xfId="1316" xr:uid="{00000000-0005-0000-0000-00004B050000}"/>
    <cellStyle name="Notas 8 3" xfId="1317" xr:uid="{00000000-0005-0000-0000-00004C050000}"/>
    <cellStyle name="Notas 9" xfId="684" xr:uid="{00000000-0005-0000-0000-00004D050000}"/>
    <cellStyle name="Notas 9 2" xfId="1318" xr:uid="{00000000-0005-0000-0000-00004E050000}"/>
    <cellStyle name="Notas 9 2 2" xfId="1319" xr:uid="{00000000-0005-0000-0000-00004F050000}"/>
    <cellStyle name="Notas 9 3" xfId="1320" xr:uid="{00000000-0005-0000-0000-000050050000}"/>
    <cellStyle name="Porcentaje" xfId="2" builtinId="5"/>
    <cellStyle name="Porcentaje 2" xfId="685" xr:uid="{00000000-0005-0000-0000-000052050000}"/>
    <cellStyle name="Porcentaje 2 2" xfId="1321" xr:uid="{00000000-0005-0000-0000-000053050000}"/>
    <cellStyle name="Porcentaje 2 2 2" xfId="1322" xr:uid="{00000000-0005-0000-0000-000054050000}"/>
    <cellStyle name="Porcentaje 2 2 2 2" xfId="1323" xr:uid="{00000000-0005-0000-0000-000055050000}"/>
    <cellStyle name="Porcentaje 2 2 2 2 2" xfId="1324" xr:uid="{00000000-0005-0000-0000-000056050000}"/>
    <cellStyle name="Porcentaje 2 2 2 2 3" xfId="1325" xr:uid="{00000000-0005-0000-0000-000057050000}"/>
    <cellStyle name="Porcentaje 2 2 2 3" xfId="1326" xr:uid="{00000000-0005-0000-0000-000058050000}"/>
    <cellStyle name="Porcentaje 2 2 3" xfId="1327" xr:uid="{00000000-0005-0000-0000-000059050000}"/>
    <cellStyle name="Porcentaje 2 2 4" xfId="1800" xr:uid="{00000000-0005-0000-0000-00005A050000}"/>
    <cellStyle name="Porcentaje 2 3" xfId="1328" xr:uid="{00000000-0005-0000-0000-00005B050000}"/>
    <cellStyle name="Porcentaje 2 3 2" xfId="1329" xr:uid="{00000000-0005-0000-0000-00005C050000}"/>
    <cellStyle name="Porcentaje 2 4" xfId="1330" xr:uid="{00000000-0005-0000-0000-00005D050000}"/>
    <cellStyle name="Porcentaje 2 4 2" xfId="1331" xr:uid="{00000000-0005-0000-0000-00005E050000}"/>
    <cellStyle name="Porcentaje 2 5" xfId="1332" xr:uid="{00000000-0005-0000-0000-00005F050000}"/>
    <cellStyle name="Porcentaje 3" xfId="908" xr:uid="{00000000-0005-0000-0000-000060050000}"/>
    <cellStyle name="Porcentaje 4" xfId="1333" xr:uid="{00000000-0005-0000-0000-000061050000}"/>
    <cellStyle name="Porcentaje 4 2" xfId="1334" xr:uid="{00000000-0005-0000-0000-000062050000}"/>
    <cellStyle name="Porcentaje 5" xfId="1335" xr:uid="{00000000-0005-0000-0000-000063050000}"/>
    <cellStyle name="Porcentaje 5 2" xfId="1336" xr:uid="{00000000-0005-0000-0000-000064050000}"/>
    <cellStyle name="Porcentaje 6" xfId="1801" xr:uid="{00000000-0005-0000-0000-000065050000}"/>
    <cellStyle name="Porcentual 10" xfId="1667" xr:uid="{00000000-0005-0000-0000-000066050000}"/>
    <cellStyle name="Porcentual 11" xfId="1668" xr:uid="{00000000-0005-0000-0000-000067050000}"/>
    <cellStyle name="Porcentual 12" xfId="1669" xr:uid="{00000000-0005-0000-0000-000068050000}"/>
    <cellStyle name="Porcentual 13" xfId="1670" xr:uid="{00000000-0005-0000-0000-000069050000}"/>
    <cellStyle name="Porcentual 14" xfId="1671" xr:uid="{00000000-0005-0000-0000-00006A050000}"/>
    <cellStyle name="Porcentual 15" xfId="1672" xr:uid="{00000000-0005-0000-0000-00006B050000}"/>
    <cellStyle name="Porcentual 16" xfId="1673" xr:uid="{00000000-0005-0000-0000-00006C050000}"/>
    <cellStyle name="Porcentual 17" xfId="1674" xr:uid="{00000000-0005-0000-0000-00006D050000}"/>
    <cellStyle name="Porcentual 18" xfId="1675" xr:uid="{00000000-0005-0000-0000-00006E050000}"/>
    <cellStyle name="Porcentual 19" xfId="1676" xr:uid="{00000000-0005-0000-0000-00006F050000}"/>
    <cellStyle name="Porcentual 2" xfId="48" xr:uid="{00000000-0005-0000-0000-000070050000}"/>
    <cellStyle name="Porcentual 2 10" xfId="59" xr:uid="{00000000-0005-0000-0000-000071050000}"/>
    <cellStyle name="Porcentual 2 10 2" xfId="1677" xr:uid="{00000000-0005-0000-0000-000072050000}"/>
    <cellStyle name="Porcentual 2 11" xfId="686" xr:uid="{00000000-0005-0000-0000-000073050000}"/>
    <cellStyle name="Porcentual 2 11 2" xfId="1678" xr:uid="{00000000-0005-0000-0000-000074050000}"/>
    <cellStyle name="Porcentual 2 12" xfId="687" xr:uid="{00000000-0005-0000-0000-000075050000}"/>
    <cellStyle name="Porcentual 2 12 2" xfId="1679" xr:uid="{00000000-0005-0000-0000-000076050000}"/>
    <cellStyle name="Porcentual 2 13" xfId="688" xr:uid="{00000000-0005-0000-0000-000077050000}"/>
    <cellStyle name="Porcentual 2 13 2" xfId="1680" xr:uid="{00000000-0005-0000-0000-000078050000}"/>
    <cellStyle name="Porcentual 2 14" xfId="689" xr:uid="{00000000-0005-0000-0000-000079050000}"/>
    <cellStyle name="Porcentual 2 14 2" xfId="1681" xr:uid="{00000000-0005-0000-0000-00007A050000}"/>
    <cellStyle name="Porcentual 2 15" xfId="690" xr:uid="{00000000-0005-0000-0000-00007B050000}"/>
    <cellStyle name="Porcentual 2 15 2" xfId="1682" xr:uid="{00000000-0005-0000-0000-00007C050000}"/>
    <cellStyle name="Porcentual 2 16" xfId="691" xr:uid="{00000000-0005-0000-0000-00007D050000}"/>
    <cellStyle name="Porcentual 2 16 2" xfId="1683" xr:uid="{00000000-0005-0000-0000-00007E050000}"/>
    <cellStyle name="Porcentual 2 17" xfId="692" xr:uid="{00000000-0005-0000-0000-00007F050000}"/>
    <cellStyle name="Porcentual 2 17 2" xfId="1684" xr:uid="{00000000-0005-0000-0000-000080050000}"/>
    <cellStyle name="Porcentual 2 18" xfId="693" xr:uid="{00000000-0005-0000-0000-000081050000}"/>
    <cellStyle name="Porcentual 2 18 2" xfId="1685" xr:uid="{00000000-0005-0000-0000-000082050000}"/>
    <cellStyle name="Porcentual 2 19" xfId="1337" xr:uid="{00000000-0005-0000-0000-000083050000}"/>
    <cellStyle name="Porcentual 2 2" xfId="694" xr:uid="{00000000-0005-0000-0000-000084050000}"/>
    <cellStyle name="Porcentual 2 2 2" xfId="1338" xr:uid="{00000000-0005-0000-0000-000085050000}"/>
    <cellStyle name="Porcentual 2 20" xfId="1686" xr:uid="{00000000-0005-0000-0000-000086050000}"/>
    <cellStyle name="Porcentual 2 21" xfId="1687" xr:uid="{00000000-0005-0000-0000-000087050000}"/>
    <cellStyle name="Porcentual 2 22" xfId="1688" xr:uid="{00000000-0005-0000-0000-000088050000}"/>
    <cellStyle name="Porcentual 2 23" xfId="1689" xr:uid="{00000000-0005-0000-0000-000089050000}"/>
    <cellStyle name="Porcentual 2 24" xfId="1690" xr:uid="{00000000-0005-0000-0000-00008A050000}"/>
    <cellStyle name="Porcentual 2 25" xfId="1691" xr:uid="{00000000-0005-0000-0000-00008B050000}"/>
    <cellStyle name="Porcentual 2 26" xfId="1692" xr:uid="{00000000-0005-0000-0000-00008C050000}"/>
    <cellStyle name="Porcentual 2 27" xfId="1693" xr:uid="{00000000-0005-0000-0000-00008D050000}"/>
    <cellStyle name="Porcentual 2 28" xfId="1694" xr:uid="{00000000-0005-0000-0000-00008E050000}"/>
    <cellStyle name="Porcentual 2 29" xfId="1695" xr:uid="{00000000-0005-0000-0000-00008F050000}"/>
    <cellStyle name="Porcentual 2 3" xfId="695" xr:uid="{00000000-0005-0000-0000-000090050000}"/>
    <cellStyle name="Porcentual 2 3 2" xfId="1696" xr:uid="{00000000-0005-0000-0000-000091050000}"/>
    <cellStyle name="Porcentual 2 30" xfId="1697" xr:uid="{00000000-0005-0000-0000-000092050000}"/>
    <cellStyle name="Porcentual 2 31" xfId="1698" xr:uid="{00000000-0005-0000-0000-000093050000}"/>
    <cellStyle name="Porcentual 2 32" xfId="1699" xr:uid="{00000000-0005-0000-0000-000094050000}"/>
    <cellStyle name="Porcentual 2 33" xfId="1700" xr:uid="{00000000-0005-0000-0000-000095050000}"/>
    <cellStyle name="Porcentual 2 34" xfId="1701" xr:uid="{00000000-0005-0000-0000-000096050000}"/>
    <cellStyle name="Porcentual 2 35" xfId="1702" xr:uid="{00000000-0005-0000-0000-000097050000}"/>
    <cellStyle name="Porcentual 2 36" xfId="1703" xr:uid="{00000000-0005-0000-0000-000098050000}"/>
    <cellStyle name="Porcentual 2 37" xfId="1704" xr:uid="{00000000-0005-0000-0000-000099050000}"/>
    <cellStyle name="Porcentual 2 38" xfId="1705" xr:uid="{00000000-0005-0000-0000-00009A050000}"/>
    <cellStyle name="Porcentual 2 39" xfId="1706" xr:uid="{00000000-0005-0000-0000-00009B050000}"/>
    <cellStyle name="Porcentual 2 4" xfId="696" xr:uid="{00000000-0005-0000-0000-00009C050000}"/>
    <cellStyle name="Porcentual 2 4 2" xfId="1707" xr:uid="{00000000-0005-0000-0000-00009D050000}"/>
    <cellStyle name="Porcentual 2 40" xfId="1708" xr:uid="{00000000-0005-0000-0000-00009E050000}"/>
    <cellStyle name="Porcentual 2 41" xfId="1709" xr:uid="{00000000-0005-0000-0000-00009F050000}"/>
    <cellStyle name="Porcentual 2 42" xfId="1710" xr:uid="{00000000-0005-0000-0000-0000A0050000}"/>
    <cellStyle name="Porcentual 2 43" xfId="1711" xr:uid="{00000000-0005-0000-0000-0000A1050000}"/>
    <cellStyle name="Porcentual 2 44" xfId="1712" xr:uid="{00000000-0005-0000-0000-0000A2050000}"/>
    <cellStyle name="Porcentual 2 45" xfId="1713" xr:uid="{00000000-0005-0000-0000-0000A3050000}"/>
    <cellStyle name="Porcentual 2 46" xfId="1714" xr:uid="{00000000-0005-0000-0000-0000A4050000}"/>
    <cellStyle name="Porcentual 2 47" xfId="1715" xr:uid="{00000000-0005-0000-0000-0000A5050000}"/>
    <cellStyle name="Porcentual 2 48" xfId="1716" xr:uid="{00000000-0005-0000-0000-0000A6050000}"/>
    <cellStyle name="Porcentual 2 49" xfId="1717" xr:uid="{00000000-0005-0000-0000-0000A7050000}"/>
    <cellStyle name="Porcentual 2 5" xfId="697" xr:uid="{00000000-0005-0000-0000-0000A8050000}"/>
    <cellStyle name="Porcentual 2 5 2" xfId="1718" xr:uid="{00000000-0005-0000-0000-0000A9050000}"/>
    <cellStyle name="Porcentual 2 50" xfId="1719" xr:uid="{00000000-0005-0000-0000-0000AA050000}"/>
    <cellStyle name="Porcentual 2 51" xfId="1720" xr:uid="{00000000-0005-0000-0000-0000AB050000}"/>
    <cellStyle name="Porcentual 2 52" xfId="1721" xr:uid="{00000000-0005-0000-0000-0000AC050000}"/>
    <cellStyle name="Porcentual 2 53" xfId="1722" xr:uid="{00000000-0005-0000-0000-0000AD050000}"/>
    <cellStyle name="Porcentual 2 54" xfId="1723" xr:uid="{00000000-0005-0000-0000-0000AE050000}"/>
    <cellStyle name="Porcentual 2 55" xfId="1724" xr:uid="{00000000-0005-0000-0000-0000AF050000}"/>
    <cellStyle name="Porcentual 2 56" xfId="1725" xr:uid="{00000000-0005-0000-0000-0000B0050000}"/>
    <cellStyle name="Porcentual 2 57" xfId="1726" xr:uid="{00000000-0005-0000-0000-0000B1050000}"/>
    <cellStyle name="Porcentual 2 58" xfId="1727" xr:uid="{00000000-0005-0000-0000-0000B2050000}"/>
    <cellStyle name="Porcentual 2 59" xfId="1728" xr:uid="{00000000-0005-0000-0000-0000B3050000}"/>
    <cellStyle name="Porcentual 2 6" xfId="698" xr:uid="{00000000-0005-0000-0000-0000B4050000}"/>
    <cellStyle name="Porcentual 2 6 2" xfId="1729" xr:uid="{00000000-0005-0000-0000-0000B5050000}"/>
    <cellStyle name="Porcentual 2 60" xfId="1730" xr:uid="{00000000-0005-0000-0000-0000B6050000}"/>
    <cellStyle name="Porcentual 2 61" xfId="1731" xr:uid="{00000000-0005-0000-0000-0000B7050000}"/>
    <cellStyle name="Porcentual 2 62" xfId="1732" xr:uid="{00000000-0005-0000-0000-0000B8050000}"/>
    <cellStyle name="Porcentual 2 63" xfId="1733" xr:uid="{00000000-0005-0000-0000-0000B9050000}"/>
    <cellStyle name="Porcentual 2 64" xfId="1734" xr:uid="{00000000-0005-0000-0000-0000BA050000}"/>
    <cellStyle name="Porcentual 2 65" xfId="1735" xr:uid="{00000000-0005-0000-0000-0000BB050000}"/>
    <cellStyle name="Porcentual 2 66" xfId="1736" xr:uid="{00000000-0005-0000-0000-0000BC050000}"/>
    <cellStyle name="Porcentual 2 67" xfId="1737" xr:uid="{00000000-0005-0000-0000-0000BD050000}"/>
    <cellStyle name="Porcentual 2 7" xfId="699" xr:uid="{00000000-0005-0000-0000-0000BE050000}"/>
    <cellStyle name="Porcentual 2 7 2" xfId="1738" xr:uid="{00000000-0005-0000-0000-0000BF050000}"/>
    <cellStyle name="Porcentual 2 8" xfId="700" xr:uid="{00000000-0005-0000-0000-0000C0050000}"/>
    <cellStyle name="Porcentual 2 8 2" xfId="1739" xr:uid="{00000000-0005-0000-0000-0000C1050000}"/>
    <cellStyle name="Porcentual 2 9" xfId="701" xr:uid="{00000000-0005-0000-0000-0000C2050000}"/>
    <cellStyle name="Porcentual 2 9 2" xfId="1740" xr:uid="{00000000-0005-0000-0000-0000C3050000}"/>
    <cellStyle name="Porcentual 20" xfId="1741" xr:uid="{00000000-0005-0000-0000-0000C4050000}"/>
    <cellStyle name="Porcentual 21" xfId="1742" xr:uid="{00000000-0005-0000-0000-0000C5050000}"/>
    <cellStyle name="Porcentual 22" xfId="1743" xr:uid="{00000000-0005-0000-0000-0000C6050000}"/>
    <cellStyle name="Porcentual 23" xfId="1744" xr:uid="{00000000-0005-0000-0000-0000C7050000}"/>
    <cellStyle name="Porcentual 24" xfId="1745" xr:uid="{00000000-0005-0000-0000-0000C8050000}"/>
    <cellStyle name="Porcentual 25" xfId="1746" xr:uid="{00000000-0005-0000-0000-0000C9050000}"/>
    <cellStyle name="Porcentual 26" xfId="1747" xr:uid="{00000000-0005-0000-0000-0000CA050000}"/>
    <cellStyle name="Porcentual 27" xfId="1748" xr:uid="{00000000-0005-0000-0000-0000CB050000}"/>
    <cellStyle name="Porcentual 28" xfId="1749" xr:uid="{00000000-0005-0000-0000-0000CC050000}"/>
    <cellStyle name="Porcentual 29" xfId="1750" xr:uid="{00000000-0005-0000-0000-0000CD050000}"/>
    <cellStyle name="Porcentual 3" xfId="702" xr:uid="{00000000-0005-0000-0000-0000CE050000}"/>
    <cellStyle name="Porcentual 3 10" xfId="703" xr:uid="{00000000-0005-0000-0000-0000CF050000}"/>
    <cellStyle name="Porcentual 3 11" xfId="704" xr:uid="{00000000-0005-0000-0000-0000D0050000}"/>
    <cellStyle name="Porcentual 3 12" xfId="705" xr:uid="{00000000-0005-0000-0000-0000D1050000}"/>
    <cellStyle name="Porcentual 3 13" xfId="706" xr:uid="{00000000-0005-0000-0000-0000D2050000}"/>
    <cellStyle name="Porcentual 3 14" xfId="707" xr:uid="{00000000-0005-0000-0000-0000D3050000}"/>
    <cellStyle name="Porcentual 3 15" xfId="708" xr:uid="{00000000-0005-0000-0000-0000D4050000}"/>
    <cellStyle name="Porcentual 3 16" xfId="709" xr:uid="{00000000-0005-0000-0000-0000D5050000}"/>
    <cellStyle name="Porcentual 3 17" xfId="710" xr:uid="{00000000-0005-0000-0000-0000D6050000}"/>
    <cellStyle name="Porcentual 3 18" xfId="711" xr:uid="{00000000-0005-0000-0000-0000D7050000}"/>
    <cellStyle name="Porcentual 3 19" xfId="909" xr:uid="{00000000-0005-0000-0000-0000D8050000}"/>
    <cellStyle name="Porcentual 3 2" xfId="712" xr:uid="{00000000-0005-0000-0000-0000D9050000}"/>
    <cellStyle name="Porcentual 3 20" xfId="1339" xr:uid="{00000000-0005-0000-0000-0000DA050000}"/>
    <cellStyle name="Porcentual 3 20 2" xfId="1340" xr:uid="{00000000-0005-0000-0000-0000DB050000}"/>
    <cellStyle name="Porcentual 3 21" xfId="1341" xr:uid="{00000000-0005-0000-0000-0000DC050000}"/>
    <cellStyle name="Porcentual 3 21 2" xfId="1342" xr:uid="{00000000-0005-0000-0000-0000DD050000}"/>
    <cellStyle name="Porcentual 3 22" xfId="1343" xr:uid="{00000000-0005-0000-0000-0000DE050000}"/>
    <cellStyle name="Porcentual 3 3" xfId="713" xr:uid="{00000000-0005-0000-0000-0000DF050000}"/>
    <cellStyle name="Porcentual 3 4" xfId="714" xr:uid="{00000000-0005-0000-0000-0000E0050000}"/>
    <cellStyle name="Porcentual 3 5" xfId="715" xr:uid="{00000000-0005-0000-0000-0000E1050000}"/>
    <cellStyle name="Porcentual 3 6" xfId="716" xr:uid="{00000000-0005-0000-0000-0000E2050000}"/>
    <cellStyle name="Porcentual 3 7" xfId="717" xr:uid="{00000000-0005-0000-0000-0000E3050000}"/>
    <cellStyle name="Porcentual 3 8" xfId="718" xr:uid="{00000000-0005-0000-0000-0000E4050000}"/>
    <cellStyle name="Porcentual 3 9" xfId="719" xr:uid="{00000000-0005-0000-0000-0000E5050000}"/>
    <cellStyle name="Porcentual 30" xfId="1751" xr:uid="{00000000-0005-0000-0000-0000E6050000}"/>
    <cellStyle name="Porcentual 31" xfId="1752" xr:uid="{00000000-0005-0000-0000-0000E7050000}"/>
    <cellStyle name="Porcentual 32" xfId="1753" xr:uid="{00000000-0005-0000-0000-0000E8050000}"/>
    <cellStyle name="Porcentual 33" xfId="1754" xr:uid="{00000000-0005-0000-0000-0000E9050000}"/>
    <cellStyle name="Porcentual 34" xfId="1755" xr:uid="{00000000-0005-0000-0000-0000EA050000}"/>
    <cellStyle name="Porcentual 35" xfId="1756" xr:uid="{00000000-0005-0000-0000-0000EB050000}"/>
    <cellStyle name="Porcentual 36" xfId="1757" xr:uid="{00000000-0005-0000-0000-0000EC050000}"/>
    <cellStyle name="Porcentual 37" xfId="1758" xr:uid="{00000000-0005-0000-0000-0000ED050000}"/>
    <cellStyle name="Porcentual 38" xfId="1759" xr:uid="{00000000-0005-0000-0000-0000EE050000}"/>
    <cellStyle name="Porcentual 39" xfId="1760" xr:uid="{00000000-0005-0000-0000-0000EF050000}"/>
    <cellStyle name="Porcentual 4" xfId="910" xr:uid="{00000000-0005-0000-0000-0000F0050000}"/>
    <cellStyle name="Porcentual 4 2" xfId="1344" xr:uid="{00000000-0005-0000-0000-0000F1050000}"/>
    <cellStyle name="Porcentual 4 3" xfId="1345" xr:uid="{00000000-0005-0000-0000-0000F2050000}"/>
    <cellStyle name="Porcentual 40" xfId="1761" xr:uid="{00000000-0005-0000-0000-0000F3050000}"/>
    <cellStyle name="Porcentual 41" xfId="1762" xr:uid="{00000000-0005-0000-0000-0000F4050000}"/>
    <cellStyle name="Porcentual 42" xfId="1763" xr:uid="{00000000-0005-0000-0000-0000F5050000}"/>
    <cellStyle name="Porcentual 43" xfId="1764" xr:uid="{00000000-0005-0000-0000-0000F6050000}"/>
    <cellStyle name="Porcentual 44" xfId="1765" xr:uid="{00000000-0005-0000-0000-0000F7050000}"/>
    <cellStyle name="Porcentual 45" xfId="1766" xr:uid="{00000000-0005-0000-0000-0000F8050000}"/>
    <cellStyle name="Porcentual 46" xfId="1767" xr:uid="{00000000-0005-0000-0000-0000F9050000}"/>
    <cellStyle name="Porcentual 47" xfId="1768" xr:uid="{00000000-0005-0000-0000-0000FA050000}"/>
    <cellStyle name="Porcentual 48" xfId="1769" xr:uid="{00000000-0005-0000-0000-0000FB050000}"/>
    <cellStyle name="Porcentual 49" xfId="1770" xr:uid="{00000000-0005-0000-0000-0000FC050000}"/>
    <cellStyle name="Porcentual 5" xfId="911" xr:uid="{00000000-0005-0000-0000-0000FD050000}"/>
    <cellStyle name="Porcentual 5 2" xfId="1346" xr:uid="{00000000-0005-0000-0000-0000FE050000}"/>
    <cellStyle name="Porcentual 5 3" xfId="1347" xr:uid="{00000000-0005-0000-0000-0000FF050000}"/>
    <cellStyle name="Porcentual 50" xfId="1771" xr:uid="{00000000-0005-0000-0000-000000060000}"/>
    <cellStyle name="Porcentual 51" xfId="1772" xr:uid="{00000000-0005-0000-0000-000001060000}"/>
    <cellStyle name="Porcentual 52" xfId="1773" xr:uid="{00000000-0005-0000-0000-000002060000}"/>
    <cellStyle name="Porcentual 53" xfId="1774" xr:uid="{00000000-0005-0000-0000-000003060000}"/>
    <cellStyle name="Porcentual 54" xfId="1775" xr:uid="{00000000-0005-0000-0000-000004060000}"/>
    <cellStyle name="Porcentual 55" xfId="1776" xr:uid="{00000000-0005-0000-0000-000005060000}"/>
    <cellStyle name="Porcentual 56" xfId="1777" xr:uid="{00000000-0005-0000-0000-000006060000}"/>
    <cellStyle name="Porcentual 57" xfId="1778" xr:uid="{00000000-0005-0000-0000-000007060000}"/>
    <cellStyle name="Porcentual 58" xfId="1779" xr:uid="{00000000-0005-0000-0000-000008060000}"/>
    <cellStyle name="Porcentual 59" xfId="1780" xr:uid="{00000000-0005-0000-0000-000009060000}"/>
    <cellStyle name="Porcentual 6" xfId="720" xr:uid="{00000000-0005-0000-0000-00000A060000}"/>
    <cellStyle name="Porcentual 6 2" xfId="721" xr:uid="{00000000-0005-0000-0000-00000B060000}"/>
    <cellStyle name="Porcentual 6 2 2" xfId="1348" xr:uid="{00000000-0005-0000-0000-00000C060000}"/>
    <cellStyle name="Porcentual 6 2 2 2" xfId="1349" xr:uid="{00000000-0005-0000-0000-00000D060000}"/>
    <cellStyle name="Porcentual 6 2 3" xfId="1350" xr:uid="{00000000-0005-0000-0000-00000E060000}"/>
    <cellStyle name="Porcentual 6 2 3 2" xfId="1351" xr:uid="{00000000-0005-0000-0000-00000F060000}"/>
    <cellStyle name="Porcentual 6 2 4" xfId="1352" xr:uid="{00000000-0005-0000-0000-000010060000}"/>
    <cellStyle name="Porcentual 6 2 5" xfId="1353" xr:uid="{00000000-0005-0000-0000-000011060000}"/>
    <cellStyle name="Porcentual 6 3" xfId="1354" xr:uid="{00000000-0005-0000-0000-000012060000}"/>
    <cellStyle name="Porcentual 6 4" xfId="1355" xr:uid="{00000000-0005-0000-0000-000013060000}"/>
    <cellStyle name="Porcentual 6 4 2" xfId="1356" xr:uid="{00000000-0005-0000-0000-000014060000}"/>
    <cellStyle name="Porcentual 6 5" xfId="1357" xr:uid="{00000000-0005-0000-0000-000015060000}"/>
    <cellStyle name="Porcentual 6 5 2" xfId="1358" xr:uid="{00000000-0005-0000-0000-000016060000}"/>
    <cellStyle name="Porcentual 6 6" xfId="1359" xr:uid="{00000000-0005-0000-0000-000017060000}"/>
    <cellStyle name="Porcentual 6 7" xfId="1360" xr:uid="{00000000-0005-0000-0000-000018060000}"/>
    <cellStyle name="Porcentual 60" xfId="1781" xr:uid="{00000000-0005-0000-0000-000019060000}"/>
    <cellStyle name="Porcentual 61" xfId="1782" xr:uid="{00000000-0005-0000-0000-00001A060000}"/>
    <cellStyle name="Porcentual 62" xfId="1783" xr:uid="{00000000-0005-0000-0000-00001B060000}"/>
    <cellStyle name="Porcentual 63" xfId="1784" xr:uid="{00000000-0005-0000-0000-00001C060000}"/>
    <cellStyle name="Porcentual 64" xfId="1785" xr:uid="{00000000-0005-0000-0000-00001D060000}"/>
    <cellStyle name="Porcentual 65" xfId="1786" xr:uid="{00000000-0005-0000-0000-00001E060000}"/>
    <cellStyle name="Porcentual 66" xfId="1787" xr:uid="{00000000-0005-0000-0000-00001F060000}"/>
    <cellStyle name="Porcentual 67" xfId="1788" xr:uid="{00000000-0005-0000-0000-000020060000}"/>
    <cellStyle name="Porcentual 7" xfId="722" xr:uid="{00000000-0005-0000-0000-000021060000}"/>
    <cellStyle name="Porcentual 7 2" xfId="723" xr:uid="{00000000-0005-0000-0000-000022060000}"/>
    <cellStyle name="Porcentual 7 2 2" xfId="1361" xr:uid="{00000000-0005-0000-0000-000023060000}"/>
    <cellStyle name="Porcentual 7 2 2 2" xfId="1362" xr:uid="{00000000-0005-0000-0000-000024060000}"/>
    <cellStyle name="Porcentual 7 2 3" xfId="1363" xr:uid="{00000000-0005-0000-0000-000025060000}"/>
    <cellStyle name="Porcentual 7 2 3 2" xfId="1364" xr:uid="{00000000-0005-0000-0000-000026060000}"/>
    <cellStyle name="Porcentual 7 2 4" xfId="1365" xr:uid="{00000000-0005-0000-0000-000027060000}"/>
    <cellStyle name="Porcentual 7 2 5" xfId="1366" xr:uid="{00000000-0005-0000-0000-000028060000}"/>
    <cellStyle name="Porcentual 7 3" xfId="1367" xr:uid="{00000000-0005-0000-0000-000029060000}"/>
    <cellStyle name="Porcentual 7 3 2" xfId="1368" xr:uid="{00000000-0005-0000-0000-00002A060000}"/>
    <cellStyle name="Porcentual 7 4" xfId="1369" xr:uid="{00000000-0005-0000-0000-00002B060000}"/>
    <cellStyle name="Porcentual 7 4 2" xfId="1370" xr:uid="{00000000-0005-0000-0000-00002C060000}"/>
    <cellStyle name="Porcentual 7 5" xfId="1371" xr:uid="{00000000-0005-0000-0000-00002D060000}"/>
    <cellStyle name="Porcentual 7 6" xfId="1372" xr:uid="{00000000-0005-0000-0000-00002E060000}"/>
    <cellStyle name="Porcentual 8" xfId="724" xr:uid="{00000000-0005-0000-0000-00002F060000}"/>
    <cellStyle name="Porcentual 8 2" xfId="725" xr:uid="{00000000-0005-0000-0000-000030060000}"/>
    <cellStyle name="Porcentual 8 2 2" xfId="1373" xr:uid="{00000000-0005-0000-0000-000031060000}"/>
    <cellStyle name="Porcentual 8 2 2 2" xfId="1374" xr:uid="{00000000-0005-0000-0000-000032060000}"/>
    <cellStyle name="Porcentual 8 2 3" xfId="1375" xr:uid="{00000000-0005-0000-0000-000033060000}"/>
    <cellStyle name="Porcentual 8 2 3 2" xfId="1376" xr:uid="{00000000-0005-0000-0000-000034060000}"/>
    <cellStyle name="Porcentual 8 2 4" xfId="1377" xr:uid="{00000000-0005-0000-0000-000035060000}"/>
    <cellStyle name="Porcentual 8 3" xfId="1378" xr:uid="{00000000-0005-0000-0000-000036060000}"/>
    <cellStyle name="Porcentual 8 3 2" xfId="1379" xr:uid="{00000000-0005-0000-0000-000037060000}"/>
    <cellStyle name="Porcentual 8 4" xfId="1380" xr:uid="{00000000-0005-0000-0000-000038060000}"/>
    <cellStyle name="Porcentual 8 4 2" xfId="1381" xr:uid="{00000000-0005-0000-0000-000039060000}"/>
    <cellStyle name="Porcentual 8 5" xfId="1382" xr:uid="{00000000-0005-0000-0000-00003A060000}"/>
    <cellStyle name="Porcentual 9" xfId="1789" xr:uid="{00000000-0005-0000-0000-00003B060000}"/>
    <cellStyle name="Punto0" xfId="726" xr:uid="{00000000-0005-0000-0000-00003C060000}"/>
    <cellStyle name="Salida 10" xfId="727" xr:uid="{00000000-0005-0000-0000-00003D060000}"/>
    <cellStyle name="Salida 10 2" xfId="1383" xr:uid="{00000000-0005-0000-0000-00003E060000}"/>
    <cellStyle name="Salida 11" xfId="728" xr:uid="{00000000-0005-0000-0000-00003F060000}"/>
    <cellStyle name="Salida 11 2" xfId="1384" xr:uid="{00000000-0005-0000-0000-000040060000}"/>
    <cellStyle name="Salida 12" xfId="729" xr:uid="{00000000-0005-0000-0000-000041060000}"/>
    <cellStyle name="Salida 12 2" xfId="1385" xr:uid="{00000000-0005-0000-0000-000042060000}"/>
    <cellStyle name="Salida 13" xfId="730" xr:uid="{00000000-0005-0000-0000-000043060000}"/>
    <cellStyle name="Salida 13 2" xfId="1386" xr:uid="{00000000-0005-0000-0000-000044060000}"/>
    <cellStyle name="Salida 14" xfId="731" xr:uid="{00000000-0005-0000-0000-000045060000}"/>
    <cellStyle name="Salida 14 2" xfId="1387" xr:uid="{00000000-0005-0000-0000-000046060000}"/>
    <cellStyle name="Salida 15" xfId="732" xr:uid="{00000000-0005-0000-0000-000047060000}"/>
    <cellStyle name="Salida 15 2" xfId="1388" xr:uid="{00000000-0005-0000-0000-000048060000}"/>
    <cellStyle name="Salida 16" xfId="733" xr:uid="{00000000-0005-0000-0000-000049060000}"/>
    <cellStyle name="Salida 16 2" xfId="1389" xr:uid="{00000000-0005-0000-0000-00004A060000}"/>
    <cellStyle name="Salida 17" xfId="734" xr:uid="{00000000-0005-0000-0000-00004B060000}"/>
    <cellStyle name="Salida 17 2" xfId="1390" xr:uid="{00000000-0005-0000-0000-00004C060000}"/>
    <cellStyle name="Salida 18" xfId="735" xr:uid="{00000000-0005-0000-0000-00004D060000}"/>
    <cellStyle name="Salida 18 2" xfId="1391" xr:uid="{00000000-0005-0000-0000-00004E060000}"/>
    <cellStyle name="Salida 19" xfId="736" xr:uid="{00000000-0005-0000-0000-00004F060000}"/>
    <cellStyle name="Salida 19 2" xfId="1392" xr:uid="{00000000-0005-0000-0000-000050060000}"/>
    <cellStyle name="Salida 2" xfId="737" xr:uid="{00000000-0005-0000-0000-000051060000}"/>
    <cellStyle name="Salida 2 2" xfId="738" xr:uid="{00000000-0005-0000-0000-000052060000}"/>
    <cellStyle name="Salida 2 2 2" xfId="1393" xr:uid="{00000000-0005-0000-0000-000053060000}"/>
    <cellStyle name="Salida 2 3" xfId="1394" xr:uid="{00000000-0005-0000-0000-000054060000}"/>
    <cellStyle name="Salida 20" xfId="739" xr:uid="{00000000-0005-0000-0000-000055060000}"/>
    <cellStyle name="Salida 20 2" xfId="1395" xr:uid="{00000000-0005-0000-0000-000056060000}"/>
    <cellStyle name="Salida 21" xfId="854" xr:uid="{00000000-0005-0000-0000-000057060000}"/>
    <cellStyle name="Salida 22" xfId="1396" xr:uid="{00000000-0005-0000-0000-000058060000}"/>
    <cellStyle name="Salida 23" xfId="39" xr:uid="{00000000-0005-0000-0000-000059060000}"/>
    <cellStyle name="Salida 3" xfId="740" xr:uid="{00000000-0005-0000-0000-00005A060000}"/>
    <cellStyle name="Salida 3 2" xfId="1397" xr:uid="{00000000-0005-0000-0000-00005B060000}"/>
    <cellStyle name="Salida 4" xfId="741" xr:uid="{00000000-0005-0000-0000-00005C060000}"/>
    <cellStyle name="Salida 4 2" xfId="1398" xr:uid="{00000000-0005-0000-0000-00005D060000}"/>
    <cellStyle name="Salida 5" xfId="742" xr:uid="{00000000-0005-0000-0000-00005E060000}"/>
    <cellStyle name="Salida 5 2" xfId="1399" xr:uid="{00000000-0005-0000-0000-00005F060000}"/>
    <cellStyle name="Salida 6" xfId="743" xr:uid="{00000000-0005-0000-0000-000060060000}"/>
    <cellStyle name="Salida 6 2" xfId="1400" xr:uid="{00000000-0005-0000-0000-000061060000}"/>
    <cellStyle name="Salida 7" xfId="744" xr:uid="{00000000-0005-0000-0000-000062060000}"/>
    <cellStyle name="Salida 7 2" xfId="1401" xr:uid="{00000000-0005-0000-0000-000063060000}"/>
    <cellStyle name="Salida 8" xfId="745" xr:uid="{00000000-0005-0000-0000-000064060000}"/>
    <cellStyle name="Salida 8 2" xfId="1402" xr:uid="{00000000-0005-0000-0000-000065060000}"/>
    <cellStyle name="Salida 9" xfId="746" xr:uid="{00000000-0005-0000-0000-000066060000}"/>
    <cellStyle name="Salida 9 2" xfId="1403" xr:uid="{00000000-0005-0000-0000-000067060000}"/>
    <cellStyle name="ssubtitulo" xfId="1790" xr:uid="{00000000-0005-0000-0000-000068060000}"/>
    <cellStyle name="subtitulo" xfId="1791" xr:uid="{00000000-0005-0000-0000-000069060000}"/>
    <cellStyle name="Texto de advertencia 2" xfId="858" xr:uid="{00000000-0005-0000-0000-00006A060000}"/>
    <cellStyle name="Texto de advertencia 3" xfId="40" xr:uid="{00000000-0005-0000-0000-00006B060000}"/>
    <cellStyle name="Texto explicativo 2" xfId="860" xr:uid="{00000000-0005-0000-0000-00006C060000}"/>
    <cellStyle name="Texto explicativo 3" xfId="41" xr:uid="{00000000-0005-0000-0000-00006D060000}"/>
    <cellStyle name="titulo" xfId="1792" xr:uid="{00000000-0005-0000-0000-00006E060000}"/>
    <cellStyle name="Título 1 10" xfId="747" xr:uid="{00000000-0005-0000-0000-00006F060000}"/>
    <cellStyle name="Título 1 11" xfId="748" xr:uid="{00000000-0005-0000-0000-000070060000}"/>
    <cellStyle name="Título 1 12" xfId="749" xr:uid="{00000000-0005-0000-0000-000071060000}"/>
    <cellStyle name="Título 1 13" xfId="750" xr:uid="{00000000-0005-0000-0000-000072060000}"/>
    <cellStyle name="Título 1 14" xfId="751" xr:uid="{00000000-0005-0000-0000-000073060000}"/>
    <cellStyle name="Título 1 15" xfId="752" xr:uid="{00000000-0005-0000-0000-000074060000}"/>
    <cellStyle name="Título 1 16" xfId="753" xr:uid="{00000000-0005-0000-0000-000075060000}"/>
    <cellStyle name="Título 1 17" xfId="754" xr:uid="{00000000-0005-0000-0000-000076060000}"/>
    <cellStyle name="Título 1 18" xfId="755" xr:uid="{00000000-0005-0000-0000-000077060000}"/>
    <cellStyle name="Título 1 19" xfId="756" xr:uid="{00000000-0005-0000-0000-000078060000}"/>
    <cellStyle name="Título 1 2" xfId="757" xr:uid="{00000000-0005-0000-0000-000079060000}"/>
    <cellStyle name="Título 1 20" xfId="758" xr:uid="{00000000-0005-0000-0000-00007A060000}"/>
    <cellStyle name="Título 1 21" xfId="846" xr:uid="{00000000-0005-0000-0000-00007B060000}"/>
    <cellStyle name="Título 1 22" xfId="1793" xr:uid="{00000000-0005-0000-0000-00007C060000}"/>
    <cellStyle name="Título 1 3" xfId="759" xr:uid="{00000000-0005-0000-0000-00007D060000}"/>
    <cellStyle name="Título 1 4" xfId="760" xr:uid="{00000000-0005-0000-0000-00007E060000}"/>
    <cellStyle name="Título 1 5" xfId="761" xr:uid="{00000000-0005-0000-0000-00007F060000}"/>
    <cellStyle name="Título 1 6" xfId="762" xr:uid="{00000000-0005-0000-0000-000080060000}"/>
    <cellStyle name="Título 1 7" xfId="763" xr:uid="{00000000-0005-0000-0000-000081060000}"/>
    <cellStyle name="Título 1 8" xfId="764" xr:uid="{00000000-0005-0000-0000-000082060000}"/>
    <cellStyle name="Título 1 9" xfId="765" xr:uid="{00000000-0005-0000-0000-000083060000}"/>
    <cellStyle name="Título 10" xfId="766" xr:uid="{00000000-0005-0000-0000-000084060000}"/>
    <cellStyle name="Título 11" xfId="767" xr:uid="{00000000-0005-0000-0000-000085060000}"/>
    <cellStyle name="Título 12" xfId="768" xr:uid="{00000000-0005-0000-0000-000086060000}"/>
    <cellStyle name="Título 13" xfId="769" xr:uid="{00000000-0005-0000-0000-000087060000}"/>
    <cellStyle name="Título 14" xfId="770" xr:uid="{00000000-0005-0000-0000-000088060000}"/>
    <cellStyle name="Título 15" xfId="771" xr:uid="{00000000-0005-0000-0000-000089060000}"/>
    <cellStyle name="Título 16" xfId="772" xr:uid="{00000000-0005-0000-0000-00008A060000}"/>
    <cellStyle name="Título 17" xfId="773" xr:uid="{00000000-0005-0000-0000-00008B060000}"/>
    <cellStyle name="Título 18" xfId="774" xr:uid="{00000000-0005-0000-0000-00008C060000}"/>
    <cellStyle name="Título 19" xfId="775" xr:uid="{00000000-0005-0000-0000-00008D060000}"/>
    <cellStyle name="Título 2 10" xfId="776" xr:uid="{00000000-0005-0000-0000-00008E060000}"/>
    <cellStyle name="Título 2 11" xfId="777" xr:uid="{00000000-0005-0000-0000-00008F060000}"/>
    <cellStyle name="Título 2 12" xfId="778" xr:uid="{00000000-0005-0000-0000-000090060000}"/>
    <cellStyle name="Título 2 13" xfId="779" xr:uid="{00000000-0005-0000-0000-000091060000}"/>
    <cellStyle name="Título 2 14" xfId="780" xr:uid="{00000000-0005-0000-0000-000092060000}"/>
    <cellStyle name="Título 2 15" xfId="781" xr:uid="{00000000-0005-0000-0000-000093060000}"/>
    <cellStyle name="Título 2 16" xfId="782" xr:uid="{00000000-0005-0000-0000-000094060000}"/>
    <cellStyle name="Título 2 17" xfId="783" xr:uid="{00000000-0005-0000-0000-000095060000}"/>
    <cellStyle name="Título 2 18" xfId="784" xr:uid="{00000000-0005-0000-0000-000096060000}"/>
    <cellStyle name="Título 2 19" xfId="785" xr:uid="{00000000-0005-0000-0000-000097060000}"/>
    <cellStyle name="Título 2 2" xfId="786" xr:uid="{00000000-0005-0000-0000-000098060000}"/>
    <cellStyle name="Título 2 20" xfId="787" xr:uid="{00000000-0005-0000-0000-000099060000}"/>
    <cellStyle name="Título 2 21" xfId="847" xr:uid="{00000000-0005-0000-0000-00009A060000}"/>
    <cellStyle name="Título 2 22" xfId="1794" xr:uid="{00000000-0005-0000-0000-00009B060000}"/>
    <cellStyle name="Título 2 23" xfId="44" xr:uid="{00000000-0005-0000-0000-00009C060000}"/>
    <cellStyle name="Título 2 3" xfId="788" xr:uid="{00000000-0005-0000-0000-00009D060000}"/>
    <cellStyle name="Título 2 4" xfId="789" xr:uid="{00000000-0005-0000-0000-00009E060000}"/>
    <cellStyle name="Título 2 5" xfId="790" xr:uid="{00000000-0005-0000-0000-00009F060000}"/>
    <cellStyle name="Título 2 6" xfId="791" xr:uid="{00000000-0005-0000-0000-0000A0060000}"/>
    <cellStyle name="Título 2 7" xfId="792" xr:uid="{00000000-0005-0000-0000-0000A1060000}"/>
    <cellStyle name="Título 2 8" xfId="793" xr:uid="{00000000-0005-0000-0000-0000A2060000}"/>
    <cellStyle name="Título 2 9" xfId="794" xr:uid="{00000000-0005-0000-0000-0000A3060000}"/>
    <cellStyle name="Título 20" xfId="795" xr:uid="{00000000-0005-0000-0000-0000A4060000}"/>
    <cellStyle name="Título 21" xfId="796" xr:uid="{00000000-0005-0000-0000-0000A5060000}"/>
    <cellStyle name="Título 22" xfId="797" xr:uid="{00000000-0005-0000-0000-0000A6060000}"/>
    <cellStyle name="Título 23" xfId="845" xr:uid="{00000000-0005-0000-0000-0000A7060000}"/>
    <cellStyle name="Título 24" xfId="1795" xr:uid="{00000000-0005-0000-0000-0000A8060000}"/>
    <cellStyle name="Título 25" xfId="42" xr:uid="{00000000-0005-0000-0000-0000A9060000}"/>
    <cellStyle name="Título 3 10" xfId="798" xr:uid="{00000000-0005-0000-0000-0000AA060000}"/>
    <cellStyle name="Título 3 10 2" xfId="1404" xr:uid="{00000000-0005-0000-0000-0000AB060000}"/>
    <cellStyle name="Título 3 11" xfId="799" xr:uid="{00000000-0005-0000-0000-0000AC060000}"/>
    <cellStyle name="Título 3 11 2" xfId="1405" xr:uid="{00000000-0005-0000-0000-0000AD060000}"/>
    <cellStyle name="Título 3 12" xfId="800" xr:uid="{00000000-0005-0000-0000-0000AE060000}"/>
    <cellStyle name="Título 3 12 2" xfId="1406" xr:uid="{00000000-0005-0000-0000-0000AF060000}"/>
    <cellStyle name="Título 3 13" xfId="801" xr:uid="{00000000-0005-0000-0000-0000B0060000}"/>
    <cellStyle name="Título 3 13 2" xfId="1407" xr:uid="{00000000-0005-0000-0000-0000B1060000}"/>
    <cellStyle name="Título 3 14" xfId="802" xr:uid="{00000000-0005-0000-0000-0000B2060000}"/>
    <cellStyle name="Título 3 14 2" xfId="1408" xr:uid="{00000000-0005-0000-0000-0000B3060000}"/>
    <cellStyle name="Título 3 15" xfId="803" xr:uid="{00000000-0005-0000-0000-0000B4060000}"/>
    <cellStyle name="Título 3 15 2" xfId="1409" xr:uid="{00000000-0005-0000-0000-0000B5060000}"/>
    <cellStyle name="Título 3 16" xfId="804" xr:uid="{00000000-0005-0000-0000-0000B6060000}"/>
    <cellStyle name="Título 3 16 2" xfId="1410" xr:uid="{00000000-0005-0000-0000-0000B7060000}"/>
    <cellStyle name="Título 3 17" xfId="805" xr:uid="{00000000-0005-0000-0000-0000B8060000}"/>
    <cellStyle name="Título 3 17 2" xfId="1411" xr:uid="{00000000-0005-0000-0000-0000B9060000}"/>
    <cellStyle name="Título 3 18" xfId="806" xr:uid="{00000000-0005-0000-0000-0000BA060000}"/>
    <cellStyle name="Título 3 18 2" xfId="1412" xr:uid="{00000000-0005-0000-0000-0000BB060000}"/>
    <cellStyle name="Título 3 19" xfId="807" xr:uid="{00000000-0005-0000-0000-0000BC060000}"/>
    <cellStyle name="Título 3 19 2" xfId="1413" xr:uid="{00000000-0005-0000-0000-0000BD060000}"/>
    <cellStyle name="Título 3 2" xfId="808" xr:uid="{00000000-0005-0000-0000-0000BE060000}"/>
    <cellStyle name="Título 3 2 2" xfId="809" xr:uid="{00000000-0005-0000-0000-0000BF060000}"/>
    <cellStyle name="Título 3 2 2 2" xfId="1414" xr:uid="{00000000-0005-0000-0000-0000C0060000}"/>
    <cellStyle name="Título 3 2 3" xfId="1415" xr:uid="{00000000-0005-0000-0000-0000C1060000}"/>
    <cellStyle name="Título 3 2 3 2" xfId="1416" xr:uid="{00000000-0005-0000-0000-0000C2060000}"/>
    <cellStyle name="Título 3 20" xfId="810" xr:uid="{00000000-0005-0000-0000-0000C3060000}"/>
    <cellStyle name="Título 3 20 2" xfId="1417" xr:uid="{00000000-0005-0000-0000-0000C4060000}"/>
    <cellStyle name="Título 3 21" xfId="848" xr:uid="{00000000-0005-0000-0000-0000C5060000}"/>
    <cellStyle name="Título 3 22" xfId="1796" xr:uid="{00000000-0005-0000-0000-0000C6060000}"/>
    <cellStyle name="Título 3 23" xfId="45" xr:uid="{00000000-0005-0000-0000-0000C7060000}"/>
    <cellStyle name="Título 3 3" xfId="811" xr:uid="{00000000-0005-0000-0000-0000C8060000}"/>
    <cellStyle name="Título 3 3 2" xfId="1418" xr:uid="{00000000-0005-0000-0000-0000C9060000}"/>
    <cellStyle name="Título 3 4" xfId="812" xr:uid="{00000000-0005-0000-0000-0000CA060000}"/>
    <cellStyle name="Título 3 4 2" xfId="1419" xr:uid="{00000000-0005-0000-0000-0000CB060000}"/>
    <cellStyle name="Título 3 5" xfId="813" xr:uid="{00000000-0005-0000-0000-0000CC060000}"/>
    <cellStyle name="Título 3 5 2" xfId="1420" xr:uid="{00000000-0005-0000-0000-0000CD060000}"/>
    <cellStyle name="Título 3 6" xfId="814" xr:uid="{00000000-0005-0000-0000-0000CE060000}"/>
    <cellStyle name="Título 3 6 2" xfId="1421" xr:uid="{00000000-0005-0000-0000-0000CF060000}"/>
    <cellStyle name="Título 3 7" xfId="815" xr:uid="{00000000-0005-0000-0000-0000D0060000}"/>
    <cellStyle name="Título 3 7 2" xfId="1422" xr:uid="{00000000-0005-0000-0000-0000D1060000}"/>
    <cellStyle name="Título 3 8" xfId="816" xr:uid="{00000000-0005-0000-0000-0000D2060000}"/>
    <cellStyle name="Título 3 8 2" xfId="1423" xr:uid="{00000000-0005-0000-0000-0000D3060000}"/>
    <cellStyle name="Título 3 9" xfId="817" xr:uid="{00000000-0005-0000-0000-0000D4060000}"/>
    <cellStyle name="Título 3 9 2" xfId="1424" xr:uid="{00000000-0005-0000-0000-0000D5060000}"/>
    <cellStyle name="Título 4" xfId="818" xr:uid="{00000000-0005-0000-0000-0000D6060000}"/>
    <cellStyle name="Título 5" xfId="819" xr:uid="{00000000-0005-0000-0000-0000D7060000}"/>
    <cellStyle name="Título 6" xfId="820" xr:uid="{00000000-0005-0000-0000-0000D8060000}"/>
    <cellStyle name="Título 7" xfId="821" xr:uid="{00000000-0005-0000-0000-0000D9060000}"/>
    <cellStyle name="Título 8" xfId="822" xr:uid="{00000000-0005-0000-0000-0000DA060000}"/>
    <cellStyle name="Título 9" xfId="823" xr:uid="{00000000-0005-0000-0000-0000DB060000}"/>
    <cellStyle name="titulomov" xfId="1797" xr:uid="{00000000-0005-0000-0000-0000DC060000}"/>
    <cellStyle name="Todos" xfId="1798" xr:uid="{00000000-0005-0000-0000-0000DD060000}"/>
    <cellStyle name="Total 10" xfId="824" xr:uid="{00000000-0005-0000-0000-0000DE060000}"/>
    <cellStyle name="Total 10 2" xfId="1425" xr:uid="{00000000-0005-0000-0000-0000DF060000}"/>
    <cellStyle name="Total 11" xfId="825" xr:uid="{00000000-0005-0000-0000-0000E0060000}"/>
    <cellStyle name="Total 11 2" xfId="1426" xr:uid="{00000000-0005-0000-0000-0000E1060000}"/>
    <cellStyle name="Total 12" xfId="826" xr:uid="{00000000-0005-0000-0000-0000E2060000}"/>
    <cellStyle name="Total 12 2" xfId="1427" xr:uid="{00000000-0005-0000-0000-0000E3060000}"/>
    <cellStyle name="Total 13" xfId="827" xr:uid="{00000000-0005-0000-0000-0000E4060000}"/>
    <cellStyle name="Total 13 2" xfId="1428" xr:uid="{00000000-0005-0000-0000-0000E5060000}"/>
    <cellStyle name="Total 14" xfId="828" xr:uid="{00000000-0005-0000-0000-0000E6060000}"/>
    <cellStyle name="Total 14 2" xfId="1429" xr:uid="{00000000-0005-0000-0000-0000E7060000}"/>
    <cellStyle name="Total 15" xfId="829" xr:uid="{00000000-0005-0000-0000-0000E8060000}"/>
    <cellStyle name="Total 15 2" xfId="1430" xr:uid="{00000000-0005-0000-0000-0000E9060000}"/>
    <cellStyle name="Total 16" xfId="830" xr:uid="{00000000-0005-0000-0000-0000EA060000}"/>
    <cellStyle name="Total 16 2" xfId="1431" xr:uid="{00000000-0005-0000-0000-0000EB060000}"/>
    <cellStyle name="Total 17" xfId="831" xr:uid="{00000000-0005-0000-0000-0000EC060000}"/>
    <cellStyle name="Total 17 2" xfId="1432" xr:uid="{00000000-0005-0000-0000-0000ED060000}"/>
    <cellStyle name="Total 18" xfId="832" xr:uid="{00000000-0005-0000-0000-0000EE060000}"/>
    <cellStyle name="Total 18 2" xfId="1433" xr:uid="{00000000-0005-0000-0000-0000EF060000}"/>
    <cellStyle name="Total 19" xfId="833" xr:uid="{00000000-0005-0000-0000-0000F0060000}"/>
    <cellStyle name="Total 19 2" xfId="1434" xr:uid="{00000000-0005-0000-0000-0000F1060000}"/>
    <cellStyle name="Total 2" xfId="834" xr:uid="{00000000-0005-0000-0000-0000F2060000}"/>
    <cellStyle name="Total 2 2" xfId="835" xr:uid="{00000000-0005-0000-0000-0000F3060000}"/>
    <cellStyle name="Total 2 2 2" xfId="1435" xr:uid="{00000000-0005-0000-0000-0000F4060000}"/>
    <cellStyle name="Total 2 3" xfId="1436" xr:uid="{00000000-0005-0000-0000-0000F5060000}"/>
    <cellStyle name="Total 20" xfId="836" xr:uid="{00000000-0005-0000-0000-0000F6060000}"/>
    <cellStyle name="Total 20 2" xfId="1437" xr:uid="{00000000-0005-0000-0000-0000F7060000}"/>
    <cellStyle name="Total 21" xfId="861" xr:uid="{00000000-0005-0000-0000-0000F8060000}"/>
    <cellStyle name="Total 22" xfId="1438" xr:uid="{00000000-0005-0000-0000-0000F9060000}"/>
    <cellStyle name="Total 23" xfId="46" xr:uid="{00000000-0005-0000-0000-0000FA060000}"/>
    <cellStyle name="Total 3" xfId="837" xr:uid="{00000000-0005-0000-0000-0000FB060000}"/>
    <cellStyle name="Total 3 2" xfId="1439" xr:uid="{00000000-0005-0000-0000-0000FC060000}"/>
    <cellStyle name="Total 4" xfId="838" xr:uid="{00000000-0005-0000-0000-0000FD060000}"/>
    <cellStyle name="Total 4 2" xfId="1440" xr:uid="{00000000-0005-0000-0000-0000FE060000}"/>
    <cellStyle name="Total 5" xfId="839" xr:uid="{00000000-0005-0000-0000-0000FF060000}"/>
    <cellStyle name="Total 5 2" xfId="1441" xr:uid="{00000000-0005-0000-0000-000000070000}"/>
    <cellStyle name="Total 6" xfId="840" xr:uid="{00000000-0005-0000-0000-000001070000}"/>
    <cellStyle name="Total 6 2" xfId="1442" xr:uid="{00000000-0005-0000-0000-000002070000}"/>
    <cellStyle name="Total 7" xfId="841" xr:uid="{00000000-0005-0000-0000-000003070000}"/>
    <cellStyle name="Total 7 2" xfId="1443" xr:uid="{00000000-0005-0000-0000-000004070000}"/>
    <cellStyle name="Total 8" xfId="842" xr:uid="{00000000-0005-0000-0000-000005070000}"/>
    <cellStyle name="Total 8 2" xfId="1444" xr:uid="{00000000-0005-0000-0000-000006070000}"/>
    <cellStyle name="Total 9" xfId="843" xr:uid="{00000000-0005-0000-0000-000007070000}"/>
    <cellStyle name="Total 9 2" xfId="1445" xr:uid="{00000000-0005-0000-0000-000008070000}"/>
    <cellStyle name="totalbalan" xfId="1799" xr:uid="{00000000-0005-0000-0000-0000090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602F-9139-4809-9AD1-E2075EFCAF45}">
  <dimension ref="A1:E7"/>
  <sheetViews>
    <sheetView workbookViewId="0">
      <selection activeCell="A8" sqref="A8"/>
    </sheetView>
  </sheetViews>
  <sheetFormatPr baseColWidth="10" defaultRowHeight="15" x14ac:dyDescent="0.25"/>
  <cols>
    <col min="1" max="1" width="15.85546875" bestFit="1" customWidth="1"/>
    <col min="2" max="2" width="117.42578125" bestFit="1" customWidth="1"/>
    <col min="3" max="5" width="11.42578125" style="59"/>
  </cols>
  <sheetData>
    <row r="1" spans="1:2" x14ac:dyDescent="0.25">
      <c r="A1" s="38" t="s">
        <v>355</v>
      </c>
      <c r="B1" s="38" t="s">
        <v>356</v>
      </c>
    </row>
    <row r="2" spans="1:2" x14ac:dyDescent="0.25">
      <c r="A2" s="33" t="s">
        <v>289</v>
      </c>
      <c r="B2" s="33" t="s">
        <v>352</v>
      </c>
    </row>
    <row r="3" spans="1:2" x14ac:dyDescent="0.25">
      <c r="A3" s="33" t="s">
        <v>290</v>
      </c>
      <c r="B3" s="33" t="s">
        <v>353</v>
      </c>
    </row>
    <row r="4" spans="1:2" x14ac:dyDescent="0.25">
      <c r="A4" s="33" t="s">
        <v>357</v>
      </c>
      <c r="B4" s="33" t="s">
        <v>359</v>
      </c>
    </row>
    <row r="5" spans="1:2" x14ac:dyDescent="0.25">
      <c r="A5" s="33" t="s">
        <v>358</v>
      </c>
      <c r="B5" s="33" t="s">
        <v>360</v>
      </c>
    </row>
    <row r="6" spans="1:2" x14ac:dyDescent="0.25">
      <c r="A6" s="33" t="s">
        <v>292</v>
      </c>
      <c r="B6" s="33" t="s">
        <v>354</v>
      </c>
    </row>
    <row r="7" spans="1:2" x14ac:dyDescent="0.25">
      <c r="A7" s="33" t="s">
        <v>293</v>
      </c>
      <c r="B7" s="33" t="s">
        <v>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zoomScaleNormal="100" workbookViewId="0">
      <selection activeCell="A2" sqref="A2"/>
    </sheetView>
  </sheetViews>
  <sheetFormatPr baseColWidth="10" defaultColWidth="9.140625" defaultRowHeight="15" x14ac:dyDescent="0.25"/>
  <cols>
    <col min="1" max="1" width="5.28515625" bestFit="1" customWidth="1"/>
    <col min="2" max="2" width="5.7109375" bestFit="1" customWidth="1"/>
    <col min="3" max="3" width="4.85546875" bestFit="1" customWidth="1"/>
    <col min="4" max="4" width="10.85546875" style="72" bestFit="1" customWidth="1"/>
    <col min="5" max="5" width="14" bestFit="1" customWidth="1"/>
    <col min="6" max="6" width="15.85546875" bestFit="1" customWidth="1"/>
    <col min="7" max="7" width="14" bestFit="1" customWidth="1"/>
    <col min="8" max="8" width="11" bestFit="1" customWidth="1"/>
    <col min="9" max="9" width="15" bestFit="1" customWidth="1"/>
    <col min="10" max="10" width="15.85546875" bestFit="1" customWidth="1"/>
    <col min="11" max="11" width="12" bestFit="1" customWidth="1"/>
  </cols>
  <sheetData>
    <row r="1" spans="1:11" x14ac:dyDescent="0.25">
      <c r="A1" s="38" t="s">
        <v>31</v>
      </c>
      <c r="B1" s="38" t="s">
        <v>2</v>
      </c>
      <c r="C1" s="38" t="s">
        <v>3</v>
      </c>
      <c r="D1" s="71" t="s">
        <v>71</v>
      </c>
      <c r="E1" s="38" t="s">
        <v>290</v>
      </c>
      <c r="F1" s="38" t="s">
        <v>292</v>
      </c>
      <c r="G1" s="38" t="s">
        <v>293</v>
      </c>
      <c r="H1" s="38" t="s">
        <v>289</v>
      </c>
      <c r="I1" s="38" t="s">
        <v>291</v>
      </c>
      <c r="J1" s="38" t="s">
        <v>331</v>
      </c>
      <c r="K1" s="38" t="s">
        <v>332</v>
      </c>
    </row>
    <row r="2" spans="1:11" x14ac:dyDescent="0.25">
      <c r="A2">
        <v>1</v>
      </c>
      <c r="B2">
        <v>2020</v>
      </c>
      <c r="C2">
        <v>10</v>
      </c>
      <c r="D2" s="72">
        <v>44105</v>
      </c>
      <c r="E2">
        <v>0</v>
      </c>
      <c r="F2">
        <v>1</v>
      </c>
      <c r="G2">
        <v>0</v>
      </c>
      <c r="H2">
        <v>1</v>
      </c>
      <c r="I2">
        <v>0</v>
      </c>
      <c r="J2" t="s">
        <v>290</v>
      </c>
      <c r="K2" t="s">
        <v>289</v>
      </c>
    </row>
    <row r="3" spans="1:11" x14ac:dyDescent="0.25">
      <c r="A3">
        <v>2</v>
      </c>
      <c r="B3">
        <v>2020</v>
      </c>
      <c r="C3">
        <v>11</v>
      </c>
      <c r="D3" s="72">
        <v>44136</v>
      </c>
      <c r="E3">
        <v>0</v>
      </c>
      <c r="F3">
        <v>1</v>
      </c>
      <c r="G3">
        <v>0</v>
      </c>
      <c r="H3">
        <v>1</v>
      </c>
      <c r="I3">
        <v>0</v>
      </c>
      <c r="J3" t="s">
        <v>290</v>
      </c>
      <c r="K3" t="s">
        <v>289</v>
      </c>
    </row>
    <row r="4" spans="1:11" x14ac:dyDescent="0.25">
      <c r="A4">
        <v>3</v>
      </c>
      <c r="B4">
        <v>2020</v>
      </c>
      <c r="C4">
        <v>12</v>
      </c>
      <c r="D4" s="72">
        <v>44166</v>
      </c>
      <c r="E4">
        <v>0</v>
      </c>
      <c r="F4">
        <v>1</v>
      </c>
      <c r="G4">
        <v>0</v>
      </c>
      <c r="H4">
        <v>1</v>
      </c>
      <c r="I4">
        <v>0</v>
      </c>
      <c r="J4" t="s">
        <v>290</v>
      </c>
      <c r="K4" t="s">
        <v>289</v>
      </c>
    </row>
    <row r="5" spans="1:11" x14ac:dyDescent="0.25">
      <c r="A5">
        <v>4</v>
      </c>
      <c r="B5">
        <v>2021</v>
      </c>
      <c r="C5">
        <v>1</v>
      </c>
      <c r="D5" s="72">
        <v>44197</v>
      </c>
      <c r="E5">
        <v>0</v>
      </c>
      <c r="F5">
        <v>1</v>
      </c>
      <c r="G5">
        <v>0</v>
      </c>
      <c r="H5">
        <v>1</v>
      </c>
      <c r="I5">
        <v>0</v>
      </c>
      <c r="J5" t="s">
        <v>290</v>
      </c>
      <c r="K5" t="s">
        <v>289</v>
      </c>
    </row>
    <row r="6" spans="1:11" x14ac:dyDescent="0.25">
      <c r="A6">
        <v>5</v>
      </c>
      <c r="B6">
        <v>2021</v>
      </c>
      <c r="C6">
        <v>2</v>
      </c>
      <c r="D6" s="72">
        <v>44228</v>
      </c>
      <c r="E6">
        <v>0</v>
      </c>
      <c r="F6">
        <v>1</v>
      </c>
      <c r="G6">
        <v>0</v>
      </c>
      <c r="H6">
        <v>1</v>
      </c>
      <c r="I6">
        <v>0</v>
      </c>
      <c r="J6" t="s">
        <v>290</v>
      </c>
      <c r="K6" t="s">
        <v>289</v>
      </c>
    </row>
    <row r="7" spans="1:11" x14ac:dyDescent="0.25">
      <c r="A7">
        <v>6</v>
      </c>
      <c r="B7">
        <v>2021</v>
      </c>
      <c r="C7">
        <v>3</v>
      </c>
      <c r="D7" s="72">
        <v>44256</v>
      </c>
      <c r="E7">
        <v>0</v>
      </c>
      <c r="F7">
        <v>1</v>
      </c>
      <c r="G7">
        <v>0</v>
      </c>
      <c r="H7">
        <v>1</v>
      </c>
      <c r="I7">
        <v>0</v>
      </c>
      <c r="J7" t="s">
        <v>290</v>
      </c>
      <c r="K7" t="s">
        <v>289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C74F0-35DC-4FBC-8279-EC7547D741BE}">
  <dimension ref="A1:AE18"/>
  <sheetViews>
    <sheetView tabSelected="1" workbookViewId="0">
      <selection activeCell="G9" sqref="G9"/>
    </sheetView>
  </sheetViews>
  <sheetFormatPr baseColWidth="10" defaultRowHeight="15" x14ac:dyDescent="0.25"/>
  <cols>
    <col min="1" max="1" width="11" style="42" customWidth="1"/>
    <col min="2" max="2" width="16" style="5" customWidth="1"/>
    <col min="3" max="3" width="13.85546875" style="5" bestFit="1" customWidth="1"/>
    <col min="4" max="4" width="50" customWidth="1"/>
    <col min="5" max="5" width="49.85546875" customWidth="1"/>
    <col min="6" max="6" width="20.140625" bestFit="1" customWidth="1"/>
    <col min="7" max="7" width="51.140625" customWidth="1"/>
    <col min="8" max="8" width="51.28515625" customWidth="1"/>
    <col min="9" max="9" width="20.42578125" bestFit="1" customWidth="1"/>
    <col min="10" max="10" width="11.85546875" bestFit="1" customWidth="1"/>
    <col min="11" max="11" width="3.42578125" customWidth="1"/>
    <col min="12" max="12" width="13.140625" bestFit="1" customWidth="1"/>
    <col min="13" max="14" width="59.5703125" bestFit="1" customWidth="1"/>
    <col min="15" max="15" width="21" bestFit="1" customWidth="1"/>
    <col min="16" max="17" width="60.140625" bestFit="1" customWidth="1"/>
    <col min="18" max="18" width="20.42578125" bestFit="1" customWidth="1"/>
    <col min="19" max="19" width="11.85546875" bestFit="1" customWidth="1"/>
    <col min="20" max="20" width="3.42578125" customWidth="1"/>
    <col min="21" max="21" width="7.140625" bestFit="1" customWidth="1"/>
    <col min="22" max="22" width="13.140625" bestFit="1" customWidth="1"/>
    <col min="23" max="23" width="19.28515625" style="5" bestFit="1" customWidth="1"/>
    <col min="24" max="24" width="16.85546875" style="5" bestFit="1" customWidth="1"/>
    <col min="25" max="25" width="12.85546875" style="5" bestFit="1" customWidth="1"/>
    <col min="26" max="26" width="11.140625" bestFit="1" customWidth="1"/>
    <col min="27" max="27" width="13.140625" bestFit="1" customWidth="1"/>
    <col min="28" max="28" width="12.42578125" bestFit="1" customWidth="1"/>
    <col min="29" max="29" width="20" bestFit="1" customWidth="1"/>
    <col min="30" max="30" width="24.140625" bestFit="1" customWidth="1"/>
    <col min="31" max="31" width="15.7109375" bestFit="1" customWidth="1"/>
  </cols>
  <sheetData>
    <row r="1" spans="1:31" x14ac:dyDescent="0.25">
      <c r="W1"/>
      <c r="X1"/>
      <c r="Y1"/>
    </row>
    <row r="2" spans="1:31" x14ac:dyDescent="0.25">
      <c r="A2" s="6" t="s">
        <v>60</v>
      </c>
      <c r="B2" s="34" t="s">
        <v>96</v>
      </c>
      <c r="W2"/>
      <c r="X2"/>
      <c r="Y2"/>
    </row>
    <row r="3" spans="1:31" x14ac:dyDescent="0.25">
      <c r="A3" s="7" t="s">
        <v>61</v>
      </c>
      <c r="B3" s="35" t="s">
        <v>97</v>
      </c>
      <c r="W3"/>
      <c r="X3"/>
      <c r="Y3"/>
    </row>
    <row r="4" spans="1:31" x14ac:dyDescent="0.25">
      <c r="A4" s="7" t="s">
        <v>45</v>
      </c>
      <c r="B4" s="8" t="s">
        <v>65</v>
      </c>
      <c r="W4"/>
      <c r="X4"/>
      <c r="Y4"/>
    </row>
    <row r="5" spans="1:31" x14ac:dyDescent="0.25">
      <c r="A5" s="9" t="s">
        <v>42</v>
      </c>
      <c r="B5" s="36" t="s">
        <v>98</v>
      </c>
      <c r="W5"/>
      <c r="X5"/>
      <c r="Y5"/>
    </row>
    <row r="7" spans="1:31" ht="14.45" customHeight="1" x14ac:dyDescent="0.25">
      <c r="C7" s="73" t="s">
        <v>294</v>
      </c>
      <c r="D7" s="73"/>
      <c r="E7" s="73"/>
      <c r="F7" s="73"/>
      <c r="G7" s="73"/>
      <c r="H7" s="73"/>
      <c r="I7" s="73"/>
      <c r="J7" s="74"/>
      <c r="L7" s="75" t="s">
        <v>295</v>
      </c>
      <c r="M7" s="75"/>
      <c r="N7" s="75"/>
      <c r="O7" s="75"/>
      <c r="P7" s="75"/>
      <c r="Q7" s="75"/>
      <c r="R7" s="75"/>
      <c r="S7" s="75"/>
      <c r="U7" s="76" t="s">
        <v>297</v>
      </c>
      <c r="V7" s="77"/>
      <c r="W7" s="77"/>
      <c r="X7" s="77"/>
      <c r="Y7" s="77"/>
      <c r="Z7" s="77"/>
      <c r="AA7" s="77"/>
      <c r="AB7" s="77"/>
      <c r="AC7" s="77"/>
      <c r="AD7" s="77"/>
      <c r="AE7" s="78"/>
    </row>
    <row r="8" spans="1:31" s="3" customFormat="1" ht="30" x14ac:dyDescent="0.25">
      <c r="A8" s="37" t="s">
        <v>299</v>
      </c>
      <c r="B8" s="37" t="s">
        <v>298</v>
      </c>
      <c r="C8" s="37" t="s">
        <v>296</v>
      </c>
      <c r="D8" s="37" t="s">
        <v>62</v>
      </c>
      <c r="E8" s="24" t="s">
        <v>68</v>
      </c>
      <c r="F8" s="37" t="s">
        <v>64</v>
      </c>
      <c r="G8" s="37" t="s">
        <v>66</v>
      </c>
      <c r="H8" s="24" t="s">
        <v>69</v>
      </c>
      <c r="I8" s="37" t="s">
        <v>67</v>
      </c>
      <c r="J8" s="25" t="s">
        <v>63</v>
      </c>
      <c r="L8" s="37" t="s">
        <v>296</v>
      </c>
      <c r="M8" s="37" t="s">
        <v>62</v>
      </c>
      <c r="N8" s="24" t="s">
        <v>68</v>
      </c>
      <c r="O8" s="37" t="s">
        <v>64</v>
      </c>
      <c r="P8" s="37" t="s">
        <v>66</v>
      </c>
      <c r="Q8" s="24" t="s">
        <v>69</v>
      </c>
      <c r="R8" s="37" t="s">
        <v>67</v>
      </c>
      <c r="S8" s="25" t="s">
        <v>63</v>
      </c>
      <c r="U8" s="17" t="s">
        <v>3</v>
      </c>
      <c r="V8" s="52" t="s">
        <v>319</v>
      </c>
      <c r="W8" s="16" t="s">
        <v>320</v>
      </c>
      <c r="X8" s="17" t="s">
        <v>321</v>
      </c>
      <c r="Y8" s="16" t="s">
        <v>322</v>
      </c>
      <c r="Z8" s="17" t="s">
        <v>323</v>
      </c>
      <c r="AA8" s="16" t="s">
        <v>324</v>
      </c>
      <c r="AB8" s="17" t="s">
        <v>325</v>
      </c>
      <c r="AC8" s="17" t="s">
        <v>326</v>
      </c>
      <c r="AD8" s="16" t="s">
        <v>327</v>
      </c>
      <c r="AE8" s="15" t="s">
        <v>328</v>
      </c>
    </row>
    <row r="9" spans="1:31" x14ac:dyDescent="0.25">
      <c r="A9" s="43">
        <v>9</v>
      </c>
      <c r="B9" s="40">
        <v>44105</v>
      </c>
      <c r="C9" s="53" t="s">
        <v>290</v>
      </c>
      <c r="D9" s="11" t="str">
        <f>CONCATENATE("SUMIF(",IF(C9="FACT_EMITIDA","SIGGE_E",C9),"!B:B,ReliquidacionCEN!B",A9,",",IF(C9="FACT_EMITIDA","SIGGE_E",C9),"!S:S)")</f>
        <v>SUMIF(SIGGE_E!B:B,ReliquidacionCEN!B9,SIGGE_E!S:S)</v>
      </c>
      <c r="E9" s="11" t="str">
        <f>CONCATENATE("SUMIF(",IF(C9="FACT_EMITIDA","SIGGE_E",C9),"!B:B,ReliquidacionCEN!B",A9,",",IF(C9="FACT_EMITIDA","SIGGE_E",C9),"!T:T)")</f>
        <v>SUMIF(SIGGE_E!B:B,ReliquidacionCEN!B9,SIGGE_E!T:T)</v>
      </c>
      <c r="F9" s="12" t="str">
        <f>CONCATENATE("IFERROR((E",A9,"/D",A9,"),0)")</f>
        <v>IFERROR((E9/D9),0)</v>
      </c>
      <c r="G9" s="13" t="str">
        <f>CONCATENATE("SUMIF(",IF(C9="FACT_EMITIDA","SIGGE_P",C9),"!B:B,ReliquidacionCEN!B",A9,",",IF(C9="FACT_EMITIDA","SIGGE_P",C9),"!U:U)")</f>
        <v>SUMIF(SIGGE_P!B:B,ReliquidacionCEN!B9,SIGGE_P!U:U)</v>
      </c>
      <c r="H9" s="11" t="str">
        <f>CONCATENATE("SUMIF(",IF(C9="FACT_EMITIDA","SIGGE_P",C9),"!B:B,ReliquidacionCEN!B",A9,",",IF(C9="FACT_EMITIDA","SIGGE_P",C9),"!V:V)")</f>
        <v>SUMIF(SIGGE_P!B:B,ReliquidacionCEN!B9,SIGGE_P!V:V)</v>
      </c>
      <c r="I9" s="12" t="str">
        <f>CONCATENATE("IFERROR((H",A9,"/G",A9,"),0)")</f>
        <v>IFERROR((H9/G9),0)</v>
      </c>
      <c r="J9" s="11" t="str">
        <f>CONCATENATE("(E",A9,"+H",A9,")")</f>
        <v>(E9+H9)</v>
      </c>
      <c r="L9" s="41" t="str">
        <f>(MAPA_DATA!K2)</f>
        <v>EFACT_CNE</v>
      </c>
      <c r="M9" s="11" t="str">
        <f t="shared" ref="M9:M14" si="0">CONCATENATE("SUMIF(",L9,"!B:B,ReliquidacionEFACT!B",A9,",",L9,"!S:S)")</f>
        <v>SUMIF(EFACT_CNE!B:B,ReliquidacionEFACT!B9,EFACT_CNE!S:S)</v>
      </c>
      <c r="N9" s="11" t="str">
        <f t="shared" ref="N9:N14" si="1">CONCATENATE("SUMIF(",L9,"!B:B,ReliquidacionEFACT!B",A9,",",L9,"!T:T)")</f>
        <v>SUMIF(EFACT_CNE!B:B,ReliquidacionEFACT!B9,EFACT_CNE!T:T)</v>
      </c>
      <c r="O9" s="12" t="str">
        <f>CONCATENATE("IFERROR((N",A9,"/M",A9,"),0)")</f>
        <v>IFERROR((N9/M9),0)</v>
      </c>
      <c r="P9" s="13" t="str">
        <f t="shared" ref="P9:P14" si="2">CONCATENATE("SUMIF(",L9,"!B:B,ReliquidacionEFACT!B",A9,",",L9,"!U:U)")</f>
        <v>SUMIF(EFACT_CNE!B:B,ReliquidacionEFACT!B9,EFACT_CNE!U:U)</v>
      </c>
      <c r="Q9" s="11" t="str">
        <f t="shared" ref="Q9:Q14" si="3">CONCATENATE("SUMIF(",L9,"!B:B,ReliquidacionEFACT!B",A9,",",L9,"!V:V)")</f>
        <v>SUMIF(EFACT_CNE!B:B,ReliquidacionEFACT!B9,EFACT_CNE!V:V)</v>
      </c>
      <c r="R9" s="12" t="str">
        <f>CONCATENATE("IFERROR((Q",A9,"/P",A9,"),0)")</f>
        <v>IFERROR((Q9/P9),0)</v>
      </c>
      <c r="S9" s="11" t="str">
        <f>CONCATENATE("(N",A9,"+Q",A9,")")</f>
        <v>(N9+Q9)</v>
      </c>
      <c r="U9" s="40">
        <v>44105</v>
      </c>
      <c r="V9" s="28" t="str">
        <f>CONCATENATE("(S",A9,"-J",A9,")")</f>
        <v>(S9-J9)</v>
      </c>
      <c r="W9" s="53"/>
      <c r="X9" s="29"/>
      <c r="Y9" s="79">
        <v>3.7999999999999999E-2</v>
      </c>
      <c r="Z9" s="31">
        <v>44160</v>
      </c>
      <c r="AA9" s="32">
        <v>44499</v>
      </c>
      <c r="AB9" s="33" t="str">
        <f>CONCATENATE("(AA",A9,"-Z",A9,")")</f>
        <v>(AA9-Z9)</v>
      </c>
      <c r="AC9" s="33" t="str">
        <f>CONCATENATE("(1+Y",A9,")^(AB",A9,"/360)-1")</f>
        <v>(1+Y9)^(AB9/360)-1</v>
      </c>
      <c r="AD9" s="53" t="str">
        <f>CONCATENATE("(AC",A9,"*V",A9,")")</f>
        <v>(AC9*V9)</v>
      </c>
      <c r="AE9" s="33" t="str">
        <f>CONCATENATE("(V",A9,"+AD",A9,")")</f>
        <v>(V9+AD9)</v>
      </c>
    </row>
    <row r="10" spans="1:31" x14ac:dyDescent="0.25">
      <c r="A10" s="43">
        <f>A9+1</f>
        <v>10</v>
      </c>
      <c r="B10" s="40">
        <v>44136</v>
      </c>
      <c r="C10" s="53" t="s">
        <v>290</v>
      </c>
      <c r="D10" s="11" t="str">
        <f t="shared" ref="D10:D14" si="4">CONCATENATE("SUMIF(",IF(C10="FACT_EMITIDA","SIGGE_E",C10),"!B:B,ReliquidacionCEN!B",A10,",",IF(C10="FACT_EMITIDA","SIGGE_E",C10),"!S:S)")</f>
        <v>SUMIF(SIGGE_E!B:B,ReliquidacionCEN!B10,SIGGE_E!S:S)</v>
      </c>
      <c r="E10" s="11" t="str">
        <f t="shared" ref="E10:E14" si="5">CONCATENATE("SUMIF(",IF(C10="FACT_EMITIDA","SIGGE_E",C10),"!B:B,ReliquidacionCEN!B",A10,",",IF(C10="FACT_EMITIDA","SIGGE_E",C10),"!T:T)")</f>
        <v>SUMIF(SIGGE_E!B:B,ReliquidacionCEN!B10,SIGGE_E!T:T)</v>
      </c>
      <c r="F10" s="12" t="str">
        <f t="shared" ref="F10:F14" si="6">CONCATENATE("IFERROR((E",A10,"/D",A10,"),0)")</f>
        <v>IFERROR((E10/D10),0)</v>
      </c>
      <c r="G10" s="13" t="str">
        <f t="shared" ref="G10:G14" si="7">CONCATENATE("SUMIF(",IF(C10="FACT_EMITIDA","SIGGE_P",C10),"!B:B,ReliquidacionCEN!B",A10,",",IF(C10="FACT_EMITIDA","SIGGE_P",C10),"!U:U)")</f>
        <v>SUMIF(SIGGE_P!B:B,ReliquidacionCEN!B10,SIGGE_P!U:U)</v>
      </c>
      <c r="H10" s="11" t="str">
        <f t="shared" ref="H10:H14" si="8">CONCATENATE("SUMIF(",IF(C10="FACT_EMITIDA","SIGGE_P",C10),"!B:B,ReliquidacionCEN!B",A10,",",IF(C10="FACT_EMITIDA","SIGGE_P",C10),"!V:V)")</f>
        <v>SUMIF(SIGGE_P!B:B,ReliquidacionCEN!B10,SIGGE_P!V:V)</v>
      </c>
      <c r="I10" s="12" t="str">
        <f t="shared" ref="I10:I14" si="9">CONCATENATE("IFERROR((H",A10,"/G",A10,"),0)")</f>
        <v>IFERROR((H10/G10),0)</v>
      </c>
      <c r="J10" s="11" t="str">
        <f t="shared" ref="J10:J14" si="10">CONCATENATE("(E",A10,"+H",A10,")")</f>
        <v>(E10+H10)</v>
      </c>
      <c r="L10" s="41" t="str">
        <f>(MAPA_DATA!K3)</f>
        <v>EFACT_CNE</v>
      </c>
      <c r="M10" s="11" t="str">
        <f t="shared" si="0"/>
        <v>SUMIF(EFACT_CNE!B:B,ReliquidacionEFACT!B10,EFACT_CNE!S:S)</v>
      </c>
      <c r="N10" s="11" t="str">
        <f t="shared" si="1"/>
        <v>SUMIF(EFACT_CNE!B:B,ReliquidacionEFACT!B10,EFACT_CNE!T:T)</v>
      </c>
      <c r="O10" s="12" t="str">
        <f t="shared" ref="O10:O14" si="11">CONCATENATE("IFERROR((N",A10,"/M",A10,"),0)")</f>
        <v>IFERROR((N10/M10),0)</v>
      </c>
      <c r="P10" s="13" t="str">
        <f t="shared" si="2"/>
        <v>SUMIF(EFACT_CNE!B:B,ReliquidacionEFACT!B10,EFACT_CNE!U:U)</v>
      </c>
      <c r="Q10" s="11" t="str">
        <f t="shared" si="3"/>
        <v>SUMIF(EFACT_CNE!B:B,ReliquidacionEFACT!B10,EFACT_CNE!V:V)</v>
      </c>
      <c r="R10" s="12" t="str">
        <f t="shared" ref="R10:R14" si="12">CONCATENATE("IFERROR((Q",A10,"/P",A10,"),0)")</f>
        <v>IFERROR((Q10/P10),0)</v>
      </c>
      <c r="S10" s="11" t="str">
        <f t="shared" ref="S10:S14" si="13">CONCATENATE("(N",A10,"+Q",A10,")")</f>
        <v>(N10+Q10)</v>
      </c>
      <c r="U10" s="40">
        <v>44136</v>
      </c>
      <c r="V10" s="28" t="str">
        <f t="shared" ref="V10:V14" si="14">CONCATENATE("(S",A10,"-J",A10,")")</f>
        <v>(S10-J10)</v>
      </c>
      <c r="W10" s="53"/>
      <c r="X10" s="29"/>
      <c r="Y10" s="30">
        <v>3.7999999999999999E-2</v>
      </c>
      <c r="Z10" s="31">
        <v>44190</v>
      </c>
      <c r="AA10" s="31">
        <f t="shared" ref="AA10:AA14" si="15">AA9</f>
        <v>44499</v>
      </c>
      <c r="AB10" s="33" t="str">
        <f t="shared" ref="AB10:AB14" si="16">CONCATENATE("(AA",A10,"-Z",A10,")")</f>
        <v>(AA10-Z10)</v>
      </c>
      <c r="AC10" s="33" t="str">
        <f t="shared" ref="AC10:AC14" si="17">CONCATENATE("(1+Y",A10,")^(AB",A10,"/360)-1")</f>
        <v>(1+Y10)^(AB10/360)-1</v>
      </c>
      <c r="AD10" s="53" t="str">
        <f t="shared" ref="AD10:AD14" si="18">CONCATENATE("(AC",A10,"*V",A10,")")</f>
        <v>(AC10*V10)</v>
      </c>
      <c r="AE10" s="33" t="str">
        <f t="shared" ref="AE10:AE14" si="19">CONCATENATE("(V",A10,"+AD",A10,")")</f>
        <v>(V10+AD10)</v>
      </c>
    </row>
    <row r="11" spans="1:31" x14ac:dyDescent="0.25">
      <c r="A11" s="43">
        <f t="shared" ref="A11:A14" si="20">A10+1</f>
        <v>11</v>
      </c>
      <c r="B11" s="40">
        <v>44166</v>
      </c>
      <c r="C11" s="53" t="s">
        <v>290</v>
      </c>
      <c r="D11" s="11" t="str">
        <f t="shared" si="4"/>
        <v>SUMIF(SIGGE_E!B:B,ReliquidacionCEN!B11,SIGGE_E!S:S)</v>
      </c>
      <c r="E11" s="11" t="str">
        <f t="shared" si="5"/>
        <v>SUMIF(SIGGE_E!B:B,ReliquidacionCEN!B11,SIGGE_E!T:T)</v>
      </c>
      <c r="F11" s="12" t="str">
        <f t="shared" si="6"/>
        <v>IFERROR((E11/D11),0)</v>
      </c>
      <c r="G11" s="13" t="str">
        <f t="shared" si="7"/>
        <v>SUMIF(SIGGE_P!B:B,ReliquidacionCEN!B11,SIGGE_P!U:U)</v>
      </c>
      <c r="H11" s="11" t="str">
        <f t="shared" si="8"/>
        <v>SUMIF(SIGGE_P!B:B,ReliquidacionCEN!B11,SIGGE_P!V:V)</v>
      </c>
      <c r="I11" s="12" t="str">
        <f t="shared" si="9"/>
        <v>IFERROR((H11/G11),0)</v>
      </c>
      <c r="J11" s="11" t="str">
        <f t="shared" si="10"/>
        <v>(E11+H11)</v>
      </c>
      <c r="L11" s="41" t="str">
        <f>(MAPA_DATA!K4)</f>
        <v>EFACT_CNE</v>
      </c>
      <c r="M11" s="11" t="str">
        <f t="shared" si="0"/>
        <v>SUMIF(EFACT_CNE!B:B,ReliquidacionEFACT!B11,EFACT_CNE!S:S)</v>
      </c>
      <c r="N11" s="11" t="str">
        <f t="shared" si="1"/>
        <v>SUMIF(EFACT_CNE!B:B,ReliquidacionEFACT!B11,EFACT_CNE!T:T)</v>
      </c>
      <c r="O11" s="12" t="str">
        <f t="shared" si="11"/>
        <v>IFERROR((N11/M11),0)</v>
      </c>
      <c r="P11" s="13" t="str">
        <f t="shared" si="2"/>
        <v>SUMIF(EFACT_CNE!B:B,ReliquidacionEFACT!B11,EFACT_CNE!U:U)</v>
      </c>
      <c r="Q11" s="11" t="str">
        <f t="shared" si="3"/>
        <v>SUMIF(EFACT_CNE!B:B,ReliquidacionEFACT!B11,EFACT_CNE!V:V)</v>
      </c>
      <c r="R11" s="12" t="str">
        <f t="shared" si="12"/>
        <v>IFERROR((Q11/P11),0)</v>
      </c>
      <c r="S11" s="11" t="str">
        <f t="shared" si="13"/>
        <v>(N11+Q11)</v>
      </c>
      <c r="U11" s="40">
        <v>44166</v>
      </c>
      <c r="V11" s="28" t="str">
        <f t="shared" si="14"/>
        <v>(S11-J11)</v>
      </c>
      <c r="W11" s="53"/>
      <c r="X11" s="29"/>
      <c r="Y11" s="30">
        <v>3.7999999999999999E-2</v>
      </c>
      <c r="Z11" s="31">
        <v>44221</v>
      </c>
      <c r="AA11" s="31">
        <f t="shared" si="15"/>
        <v>44499</v>
      </c>
      <c r="AB11" s="33" t="str">
        <f t="shared" si="16"/>
        <v>(AA11-Z11)</v>
      </c>
      <c r="AC11" s="33" t="str">
        <f t="shared" si="17"/>
        <v>(1+Y11)^(AB11/360)-1</v>
      </c>
      <c r="AD11" s="53" t="str">
        <f t="shared" si="18"/>
        <v>(AC11*V11)</v>
      </c>
      <c r="AE11" s="33" t="str">
        <f t="shared" si="19"/>
        <v>(V11+AD11)</v>
      </c>
    </row>
    <row r="12" spans="1:31" x14ac:dyDescent="0.25">
      <c r="A12" s="43">
        <f t="shared" si="20"/>
        <v>12</v>
      </c>
      <c r="B12" s="40">
        <v>44197</v>
      </c>
      <c r="C12" s="53" t="s">
        <v>290</v>
      </c>
      <c r="D12" s="11" t="str">
        <f t="shared" si="4"/>
        <v>SUMIF(SIGGE_E!B:B,ReliquidacionCEN!B12,SIGGE_E!S:S)</v>
      </c>
      <c r="E12" s="11" t="str">
        <f t="shared" si="5"/>
        <v>SUMIF(SIGGE_E!B:B,ReliquidacionCEN!B12,SIGGE_E!T:T)</v>
      </c>
      <c r="F12" s="12" t="str">
        <f t="shared" si="6"/>
        <v>IFERROR((E12/D12),0)</v>
      </c>
      <c r="G12" s="13" t="str">
        <f t="shared" si="7"/>
        <v>SUMIF(SIGGE_P!B:B,ReliquidacionCEN!B12,SIGGE_P!U:U)</v>
      </c>
      <c r="H12" s="11" t="str">
        <f t="shared" si="8"/>
        <v>SUMIF(SIGGE_P!B:B,ReliquidacionCEN!B12,SIGGE_P!V:V)</v>
      </c>
      <c r="I12" s="12" t="str">
        <f t="shared" si="9"/>
        <v>IFERROR((H12/G12),0)</v>
      </c>
      <c r="J12" s="11" t="str">
        <f t="shared" si="10"/>
        <v>(E12+H12)</v>
      </c>
      <c r="L12" s="41" t="str">
        <f>(MAPA_DATA!K5)</f>
        <v>EFACT_CNE</v>
      </c>
      <c r="M12" s="11" t="str">
        <f t="shared" si="0"/>
        <v>SUMIF(EFACT_CNE!B:B,ReliquidacionEFACT!B12,EFACT_CNE!S:S)</v>
      </c>
      <c r="N12" s="11" t="str">
        <f t="shared" si="1"/>
        <v>SUMIF(EFACT_CNE!B:B,ReliquidacionEFACT!B12,EFACT_CNE!T:T)</v>
      </c>
      <c r="O12" s="12" t="str">
        <f t="shared" si="11"/>
        <v>IFERROR((N12/M12),0)</v>
      </c>
      <c r="P12" s="13" t="str">
        <f t="shared" si="2"/>
        <v>SUMIF(EFACT_CNE!B:B,ReliquidacionEFACT!B12,EFACT_CNE!U:U)</v>
      </c>
      <c r="Q12" s="11" t="str">
        <f t="shared" si="3"/>
        <v>SUMIF(EFACT_CNE!B:B,ReliquidacionEFACT!B12,EFACT_CNE!V:V)</v>
      </c>
      <c r="R12" s="12" t="str">
        <f t="shared" si="12"/>
        <v>IFERROR((Q12/P12),0)</v>
      </c>
      <c r="S12" s="11" t="str">
        <f t="shared" si="13"/>
        <v>(N12+Q12)</v>
      </c>
      <c r="U12" s="40">
        <v>44197</v>
      </c>
      <c r="V12" s="28" t="str">
        <f t="shared" si="14"/>
        <v>(S12-J12)</v>
      </c>
      <c r="W12" s="53"/>
      <c r="X12" s="29"/>
      <c r="Y12" s="30">
        <v>3.7999999999999999E-2</v>
      </c>
      <c r="Z12" s="31">
        <v>44252</v>
      </c>
      <c r="AA12" s="31">
        <f t="shared" si="15"/>
        <v>44499</v>
      </c>
      <c r="AB12" s="33" t="str">
        <f t="shared" si="16"/>
        <v>(AA12-Z12)</v>
      </c>
      <c r="AC12" s="33" t="str">
        <f t="shared" si="17"/>
        <v>(1+Y12)^(AB12/360)-1</v>
      </c>
      <c r="AD12" s="53" t="str">
        <f t="shared" si="18"/>
        <v>(AC12*V12)</v>
      </c>
      <c r="AE12" s="33" t="str">
        <f t="shared" si="19"/>
        <v>(V12+AD12)</v>
      </c>
    </row>
    <row r="13" spans="1:31" x14ac:dyDescent="0.25">
      <c r="A13" s="43">
        <f t="shared" si="20"/>
        <v>13</v>
      </c>
      <c r="B13" s="40">
        <v>44228</v>
      </c>
      <c r="C13" s="53" t="s">
        <v>290</v>
      </c>
      <c r="D13" s="11" t="str">
        <f t="shared" si="4"/>
        <v>SUMIF(SIGGE_E!B:B,ReliquidacionCEN!B13,SIGGE_E!S:S)</v>
      </c>
      <c r="E13" s="11" t="str">
        <f t="shared" si="5"/>
        <v>SUMIF(SIGGE_E!B:B,ReliquidacionCEN!B13,SIGGE_E!T:T)</v>
      </c>
      <c r="F13" s="12" t="str">
        <f t="shared" si="6"/>
        <v>IFERROR((E13/D13),0)</v>
      </c>
      <c r="G13" s="13" t="str">
        <f t="shared" si="7"/>
        <v>SUMIF(SIGGE_P!B:B,ReliquidacionCEN!B13,SIGGE_P!U:U)</v>
      </c>
      <c r="H13" s="11" t="str">
        <f t="shared" si="8"/>
        <v>SUMIF(SIGGE_P!B:B,ReliquidacionCEN!B13,SIGGE_P!V:V)</v>
      </c>
      <c r="I13" s="12" t="str">
        <f t="shared" si="9"/>
        <v>IFERROR((H13/G13),0)</v>
      </c>
      <c r="J13" s="11" t="str">
        <f t="shared" si="10"/>
        <v>(E13+H13)</v>
      </c>
      <c r="L13" s="41" t="str">
        <f>(MAPA_DATA!K6)</f>
        <v>EFACT_CNE</v>
      </c>
      <c r="M13" s="11" t="str">
        <f t="shared" si="0"/>
        <v>SUMIF(EFACT_CNE!B:B,ReliquidacionEFACT!B13,EFACT_CNE!S:S)</v>
      </c>
      <c r="N13" s="11" t="str">
        <f t="shared" si="1"/>
        <v>SUMIF(EFACT_CNE!B:B,ReliquidacionEFACT!B13,EFACT_CNE!T:T)</v>
      </c>
      <c r="O13" s="12" t="str">
        <f t="shared" si="11"/>
        <v>IFERROR((N13/M13),0)</v>
      </c>
      <c r="P13" s="13" t="str">
        <f t="shared" si="2"/>
        <v>SUMIF(EFACT_CNE!B:B,ReliquidacionEFACT!B13,EFACT_CNE!U:U)</v>
      </c>
      <c r="Q13" s="11" t="str">
        <f t="shared" si="3"/>
        <v>SUMIF(EFACT_CNE!B:B,ReliquidacionEFACT!B13,EFACT_CNE!V:V)</v>
      </c>
      <c r="R13" s="12" t="str">
        <f t="shared" si="12"/>
        <v>IFERROR((Q13/P13),0)</v>
      </c>
      <c r="S13" s="11" t="str">
        <f t="shared" si="13"/>
        <v>(N13+Q13)</v>
      </c>
      <c r="U13" s="40">
        <v>44228</v>
      </c>
      <c r="V13" s="28" t="str">
        <f t="shared" si="14"/>
        <v>(S13-J13)</v>
      </c>
      <c r="W13" s="53"/>
      <c r="X13" s="29"/>
      <c r="Y13" s="30">
        <v>3.7999999999999999E-2</v>
      </c>
      <c r="Z13" s="31">
        <v>44280</v>
      </c>
      <c r="AA13" s="31">
        <f t="shared" si="15"/>
        <v>44499</v>
      </c>
      <c r="AB13" s="33" t="str">
        <f t="shared" si="16"/>
        <v>(AA13-Z13)</v>
      </c>
      <c r="AC13" s="33" t="str">
        <f t="shared" si="17"/>
        <v>(1+Y13)^(AB13/360)-1</v>
      </c>
      <c r="AD13" s="53" t="str">
        <f t="shared" si="18"/>
        <v>(AC13*V13)</v>
      </c>
      <c r="AE13" s="33" t="str">
        <f t="shared" si="19"/>
        <v>(V13+AD13)</v>
      </c>
    </row>
    <row r="14" spans="1:31" x14ac:dyDescent="0.25">
      <c r="A14" s="43">
        <f t="shared" si="20"/>
        <v>14</v>
      </c>
      <c r="B14" s="40">
        <v>44256</v>
      </c>
      <c r="C14" s="53" t="s">
        <v>290</v>
      </c>
      <c r="D14" s="11" t="str">
        <f t="shared" si="4"/>
        <v>SUMIF(SIGGE_E!B:B,ReliquidacionCEN!B14,SIGGE_E!S:S)</v>
      </c>
      <c r="E14" s="11" t="str">
        <f t="shared" si="5"/>
        <v>SUMIF(SIGGE_E!B:B,ReliquidacionCEN!B14,SIGGE_E!T:T)</v>
      </c>
      <c r="F14" s="12" t="str">
        <f t="shared" si="6"/>
        <v>IFERROR((E14/D14),0)</v>
      </c>
      <c r="G14" s="13" t="str">
        <f t="shared" si="7"/>
        <v>SUMIF(SIGGE_P!B:B,ReliquidacionCEN!B14,SIGGE_P!U:U)</v>
      </c>
      <c r="H14" s="11" t="str">
        <f t="shared" si="8"/>
        <v>SUMIF(SIGGE_P!B:B,ReliquidacionCEN!B14,SIGGE_P!V:V)</v>
      </c>
      <c r="I14" s="12" t="str">
        <f t="shared" si="9"/>
        <v>IFERROR((H14/G14),0)</v>
      </c>
      <c r="J14" s="11" t="str">
        <f t="shared" si="10"/>
        <v>(E14+H14)</v>
      </c>
      <c r="L14" s="41" t="str">
        <f>(MAPA_DATA!K7)</f>
        <v>EFACT_CNE</v>
      </c>
      <c r="M14" s="11" t="str">
        <f t="shared" si="0"/>
        <v>SUMIF(EFACT_CNE!B:B,ReliquidacionEFACT!B14,EFACT_CNE!S:S)</v>
      </c>
      <c r="N14" s="11" t="str">
        <f t="shared" si="1"/>
        <v>SUMIF(EFACT_CNE!B:B,ReliquidacionEFACT!B14,EFACT_CNE!T:T)</v>
      </c>
      <c r="O14" s="12" t="str">
        <f t="shared" si="11"/>
        <v>IFERROR((N14/M14),0)</v>
      </c>
      <c r="P14" s="13" t="str">
        <f t="shared" si="2"/>
        <v>SUMIF(EFACT_CNE!B:B,ReliquidacionEFACT!B14,EFACT_CNE!U:U)</v>
      </c>
      <c r="Q14" s="11" t="str">
        <f t="shared" si="3"/>
        <v>SUMIF(EFACT_CNE!B:B,ReliquidacionEFACT!B14,EFACT_CNE!V:V)</v>
      </c>
      <c r="R14" s="12" t="str">
        <f t="shared" si="12"/>
        <v>IFERROR((Q14/P14),0)</v>
      </c>
      <c r="S14" s="11" t="str">
        <f t="shared" si="13"/>
        <v>(N14+Q14)</v>
      </c>
      <c r="U14" s="40">
        <v>44256</v>
      </c>
      <c r="V14" s="28" t="str">
        <f t="shared" si="14"/>
        <v>(S14-J14)</v>
      </c>
      <c r="W14" s="53"/>
      <c r="X14" s="29"/>
      <c r="Y14" s="30">
        <v>3.7999999999999999E-2</v>
      </c>
      <c r="Z14" s="31">
        <v>44311</v>
      </c>
      <c r="AA14" s="31">
        <f t="shared" si="15"/>
        <v>44499</v>
      </c>
      <c r="AB14" s="33" t="str">
        <f t="shared" si="16"/>
        <v>(AA14-Z14)</v>
      </c>
      <c r="AC14" s="33" t="str">
        <f t="shared" si="17"/>
        <v>(1+Y14)^(AB14/360)-1</v>
      </c>
      <c r="AD14" s="53" t="str">
        <f t="shared" si="18"/>
        <v>(AC14*V14)</v>
      </c>
      <c r="AE14" s="33" t="str">
        <f t="shared" si="19"/>
        <v>(V14+AD14)</v>
      </c>
    </row>
    <row r="15" spans="1:31" ht="15.75" thickBot="1" x14ac:dyDescent="0.3">
      <c r="Z15" s="1"/>
      <c r="AD15" s="54" t="s">
        <v>70</v>
      </c>
      <c r="AE15" s="55" t="str">
        <f>CONCATENATE("SUM(AE9:AE14)")</f>
        <v>SUM(AE9:AE14)</v>
      </c>
    </row>
    <row r="17" spans="29:31" x14ac:dyDescent="0.25">
      <c r="AC17" s="18" t="s">
        <v>72</v>
      </c>
      <c r="AD17" s="19" t="s">
        <v>329</v>
      </c>
      <c r="AE17" s="20"/>
    </row>
    <row r="18" spans="29:31" x14ac:dyDescent="0.25">
      <c r="AC18" s="21" t="s">
        <v>73</v>
      </c>
      <c r="AD18" s="14" t="s">
        <v>330</v>
      </c>
      <c r="AE18" s="22"/>
    </row>
  </sheetData>
  <mergeCells count="3">
    <mergeCell ref="C7:J7"/>
    <mergeCell ref="L7:S7"/>
    <mergeCell ref="U7:A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showGridLines="0" zoomScaleNormal="100" workbookViewId="0">
      <selection activeCell="A14" sqref="A14"/>
    </sheetView>
  </sheetViews>
  <sheetFormatPr baseColWidth="10" defaultRowHeight="15" x14ac:dyDescent="0.25"/>
  <cols>
    <col min="1" max="1" width="11.140625" style="42" customWidth="1"/>
    <col min="2" max="2" width="13.85546875" style="5" customWidth="1"/>
    <col min="3" max="3" width="13.85546875" style="5" bestFit="1" customWidth="1"/>
    <col min="4" max="4" width="50.7109375" customWidth="1"/>
    <col min="5" max="5" width="50.42578125" customWidth="1"/>
    <col min="6" max="6" width="20.140625" bestFit="1" customWidth="1"/>
    <col min="7" max="8" width="51.28515625" customWidth="1"/>
    <col min="9" max="9" width="20.42578125" bestFit="1" customWidth="1"/>
    <col min="10" max="10" width="11.85546875" bestFit="1" customWidth="1"/>
    <col min="11" max="11" width="3.42578125" customWidth="1"/>
    <col min="12" max="12" width="14" bestFit="1" customWidth="1"/>
    <col min="13" max="13" width="60" bestFit="1" customWidth="1"/>
    <col min="14" max="14" width="62.7109375" bestFit="1" customWidth="1"/>
    <col min="15" max="15" width="21" bestFit="1" customWidth="1"/>
    <col min="16" max="16" width="62.7109375" bestFit="1" customWidth="1"/>
    <col min="17" max="17" width="65" bestFit="1" customWidth="1"/>
    <col min="18" max="18" width="20.42578125" bestFit="1" customWidth="1"/>
    <col min="19" max="19" width="11.85546875" bestFit="1" customWidth="1"/>
    <col min="20" max="20" width="3.42578125" customWidth="1"/>
    <col min="21" max="21" width="7.140625" bestFit="1" customWidth="1"/>
    <col min="22" max="22" width="13.140625" bestFit="1" customWidth="1"/>
    <col min="23" max="23" width="19.28515625" style="5" bestFit="1" customWidth="1"/>
    <col min="24" max="24" width="16.85546875" style="5" bestFit="1" customWidth="1"/>
    <col min="25" max="25" width="12.85546875" style="5" bestFit="1" customWidth="1"/>
    <col min="26" max="26" width="11.140625" bestFit="1" customWidth="1"/>
    <col min="27" max="27" width="13.140625" bestFit="1" customWidth="1"/>
    <col min="28" max="28" width="12.42578125" bestFit="1" customWidth="1"/>
    <col min="29" max="29" width="20" bestFit="1" customWidth="1"/>
    <col min="30" max="30" width="24.140625" bestFit="1" customWidth="1"/>
    <col min="31" max="31" width="15.7109375" bestFit="1" customWidth="1"/>
  </cols>
  <sheetData>
    <row r="1" spans="1:31" x14ac:dyDescent="0.25">
      <c r="W1"/>
      <c r="X1"/>
      <c r="Y1"/>
    </row>
    <row r="2" spans="1:31" x14ac:dyDescent="0.25">
      <c r="A2" s="6" t="s">
        <v>60</v>
      </c>
      <c r="B2" s="34" t="s">
        <v>96</v>
      </c>
      <c r="W2"/>
      <c r="X2"/>
      <c r="Y2"/>
    </row>
    <row r="3" spans="1:31" x14ac:dyDescent="0.25">
      <c r="A3" s="7" t="s">
        <v>61</v>
      </c>
      <c r="B3" s="35" t="s">
        <v>97</v>
      </c>
      <c r="W3"/>
      <c r="X3"/>
      <c r="Y3"/>
    </row>
    <row r="4" spans="1:31" x14ac:dyDescent="0.25">
      <c r="A4" s="7" t="s">
        <v>45</v>
      </c>
      <c r="B4" s="8" t="s">
        <v>65</v>
      </c>
      <c r="W4"/>
      <c r="X4"/>
      <c r="Y4"/>
    </row>
    <row r="5" spans="1:31" x14ac:dyDescent="0.25">
      <c r="A5" s="9" t="s">
        <v>42</v>
      </c>
      <c r="B5" s="36" t="s">
        <v>98</v>
      </c>
      <c r="W5"/>
      <c r="X5"/>
      <c r="Y5"/>
    </row>
    <row r="7" spans="1:31" ht="14.45" customHeight="1" x14ac:dyDescent="0.25">
      <c r="C7" s="73" t="s">
        <v>458</v>
      </c>
      <c r="D7" s="73"/>
      <c r="E7" s="73"/>
      <c r="F7" s="73"/>
      <c r="G7" s="73"/>
      <c r="H7" s="73"/>
      <c r="I7" s="73"/>
      <c r="J7" s="74"/>
      <c r="L7" s="75" t="s">
        <v>459</v>
      </c>
      <c r="M7" s="75"/>
      <c r="N7" s="75"/>
      <c r="O7" s="75"/>
      <c r="P7" s="75"/>
      <c r="Q7" s="75"/>
      <c r="R7" s="75"/>
      <c r="S7" s="75"/>
      <c r="U7" s="76" t="s">
        <v>297</v>
      </c>
      <c r="V7" s="77"/>
      <c r="W7" s="77"/>
      <c r="X7" s="77"/>
      <c r="Y7" s="77"/>
      <c r="Z7" s="77"/>
      <c r="AA7" s="77"/>
      <c r="AB7" s="77"/>
      <c r="AC7" s="77"/>
      <c r="AD7" s="77"/>
      <c r="AE7" s="78"/>
    </row>
    <row r="8" spans="1:31" s="3" customFormat="1" ht="30" x14ac:dyDescent="0.25">
      <c r="A8" s="37" t="s">
        <v>299</v>
      </c>
      <c r="B8" s="37" t="s">
        <v>298</v>
      </c>
      <c r="C8" s="37" t="s">
        <v>296</v>
      </c>
      <c r="D8" s="23" t="s">
        <v>62</v>
      </c>
      <c r="E8" s="24" t="s">
        <v>68</v>
      </c>
      <c r="F8" s="23" t="s">
        <v>64</v>
      </c>
      <c r="G8" s="23" t="s">
        <v>66</v>
      </c>
      <c r="H8" s="24" t="s">
        <v>69</v>
      </c>
      <c r="I8" s="23" t="s">
        <v>67</v>
      </c>
      <c r="J8" s="25" t="s">
        <v>63</v>
      </c>
      <c r="L8" s="37" t="s">
        <v>296</v>
      </c>
      <c r="M8" s="23" t="s">
        <v>62</v>
      </c>
      <c r="N8" s="24" t="s">
        <v>68</v>
      </c>
      <c r="O8" s="23" t="s">
        <v>64</v>
      </c>
      <c r="P8" s="23" t="s">
        <v>66</v>
      </c>
      <c r="Q8" s="24" t="s">
        <v>69</v>
      </c>
      <c r="R8" s="23" t="s">
        <v>67</v>
      </c>
      <c r="S8" s="25" t="s">
        <v>63</v>
      </c>
      <c r="U8" s="17" t="s">
        <v>3</v>
      </c>
      <c r="V8" s="52" t="s">
        <v>319</v>
      </c>
      <c r="W8" s="16" t="s">
        <v>320</v>
      </c>
      <c r="X8" s="17" t="s">
        <v>321</v>
      </c>
      <c r="Y8" s="16" t="s">
        <v>322</v>
      </c>
      <c r="Z8" s="17" t="s">
        <v>323</v>
      </c>
      <c r="AA8" s="16" t="s">
        <v>324</v>
      </c>
      <c r="AB8" s="17" t="s">
        <v>325</v>
      </c>
      <c r="AC8" s="17" t="s">
        <v>326</v>
      </c>
      <c r="AD8" s="16" t="s">
        <v>327</v>
      </c>
      <c r="AE8" s="15" t="s">
        <v>328</v>
      </c>
    </row>
    <row r="9" spans="1:31" x14ac:dyDescent="0.25">
      <c r="A9" s="43">
        <v>9</v>
      </c>
      <c r="B9" s="40">
        <v>44105</v>
      </c>
      <c r="C9" s="53" t="s">
        <v>290</v>
      </c>
      <c r="D9" s="11" t="str">
        <f>CONCATENATE("SUMIF(",IF(C9="FACT_EMITIDA","SIGGE_E",C9),"!B:B,ReliquidacionCEN!B",A9,",",IF(C9="FACT_EMITIDA","SIGGE_E",C9),"!S:S)")</f>
        <v>SUMIF(SIGGE_E!B:B,ReliquidacionCEN!B9,SIGGE_E!S:S)</v>
      </c>
      <c r="E9" s="11" t="str">
        <f>CONCATENATE("SUMIF(",IF(C9="FACT_EMITIDA","SIGGE_E",C9),"!B:B,ReliquidacionCEN!B",A9,",",IF(C9="FACT_EMITIDA","SIGGE_E",C9),"!T:T)")</f>
        <v>SUMIF(SIGGE_E!B:B,ReliquidacionCEN!B9,SIGGE_E!T:T)</v>
      </c>
      <c r="F9" s="12" t="str">
        <f>CONCATENATE("IFERROR((E",A9,"/D",A9,"),0)")</f>
        <v>IFERROR((E9/D9),0)</v>
      </c>
      <c r="G9" s="13" t="str">
        <f>CONCATENATE("SUMIF(",IF(C9="FACT_EMITIDA","SIGGE_P",C9),"!B:B,ReliquidacionCEN!B",A9,",",IF(C9="FACT_EMITIDA","SIGGE_P",C9),"!U:U)")</f>
        <v>SUMIF(SIGGE_P!B:B,ReliquidacionCEN!B9,SIGGE_P!U:U)</v>
      </c>
      <c r="H9" s="11" t="str">
        <f>CONCATENATE("SUMIF(",IF(C9="FACT_EMITIDA","SIGGE_P",C9),"!B:B,ReliquidacionCEN!B",A9,",",IF(C9="FACT_EMITIDA","SIGGE_P",C9),"!V:V)")</f>
        <v>SUMIF(SIGGE_P!B:B,ReliquidacionCEN!B9,SIGGE_P!V:V)</v>
      </c>
      <c r="I9" s="12" t="str">
        <f>CONCATENATE("IFERROR((H",A9,"/G",A9,"),0)")</f>
        <v>IFERROR((H9/G9),0)</v>
      </c>
      <c r="J9" s="11" t="str">
        <f>CONCATENATE("(E",A9,"+H",A9,")")</f>
        <v>(E9+H9)</v>
      </c>
      <c r="L9" s="53" t="s">
        <v>293</v>
      </c>
      <c r="M9" s="11" t="str">
        <f>CONCATENATE("SUMIF(",IF(L9="FACT_EST_CEN","CEN_Energia",L9),"!B:B,ReliquidacionCEN!B",A9,",",IF(L9="FACT_EST_CEN","CEN_Energia",L9),"!Z:Z)")</f>
        <v>SUMIF(CEN_Energia!B:B,ReliquidacionCEN!B9,CEN_Energia!Z:Z)</v>
      </c>
      <c r="N9" s="11" t="str">
        <f>CONCATENATE("SUMIF(",IF(L9="FACT_EST_CEN","CEN_Energia",L9),"!B:B,ReliquidacionCEN!B",A9,",",IF(L9="FACT_EST_CEN","CEN_Energia",L9),"!BK:BK)")</f>
        <v>SUMIF(CEN_Energia!B:B,ReliquidacionCEN!B9,CEN_Energia!BK:BK)</v>
      </c>
      <c r="O9" s="12" t="str">
        <f>CONCATENATE("IFERROR((N",A9,"/M",A9,"),0)")</f>
        <v>IFERROR((N9/M9),0)</v>
      </c>
      <c r="P9" s="13" t="str">
        <f>CONCATENATE("SUMIF(",IF(L9="FACT_EST_CEN","CEN_Potencia",L9),"!B:B,ReliquidacionCEN!B",A9,",",IF(L9="FACT_EST_CEN","CEN_Potencia",L9),"!R:R)")</f>
        <v>SUMIF(CEN_Potencia!B:B,ReliquidacionCEN!B9,CEN_Potencia!R:R)</v>
      </c>
      <c r="Q9" s="11" t="str">
        <f>CONCATENATE("SUMIF(",IF(L9="FACT_EST_CEN","CEN_Potencia",L9),"!B:B,ReliquidacionCEN!B",A9,",",IF(L9="FACT_EST_CEN","CEN_Potencia",L9),"!BC:BC)")</f>
        <v>SUMIF(CEN_Potencia!B:B,ReliquidacionCEN!B9,CEN_Potencia!BC:BC)</v>
      </c>
      <c r="R9" s="12" t="str">
        <f>CONCATENATE("IFERROR((Q",A9,"/P",A9,"),0)")</f>
        <v>IFERROR((Q9/P9),0)</v>
      </c>
      <c r="S9" s="11" t="str">
        <f>CONCATENATE("(N",A9,"+Q",A9,")")</f>
        <v>(N9+Q9)</v>
      </c>
      <c r="U9" s="40">
        <v>44105</v>
      </c>
      <c r="V9" s="28" t="str">
        <f>CONCATENATE("(S",A9,"-J",A9,")")</f>
        <v>(S9-J9)</v>
      </c>
      <c r="W9" s="53"/>
      <c r="X9" s="29"/>
      <c r="Y9" s="79">
        <v>3.7999999999999999E-2</v>
      </c>
      <c r="Z9" s="31">
        <v>44160</v>
      </c>
      <c r="AA9" s="32">
        <v>44499</v>
      </c>
      <c r="AB9" s="33" t="str">
        <f>CONCATENATE("(AA",A9,"-Z",A9,")")</f>
        <v>(AA9-Z9)</v>
      </c>
      <c r="AC9" s="33" t="str">
        <f>CONCATENATE("(1+Y",A9,")^(AB",A9,"/360)-1")</f>
        <v>(1+Y9)^(AB9/360)-1</v>
      </c>
      <c r="AD9" s="53" t="str">
        <f>CONCATENATE("(AC",A9,"*V",A9,")")</f>
        <v>(AC9*V9)</v>
      </c>
      <c r="AE9" s="33" t="str">
        <f>CONCATENATE("(V",A9,"+AD",A9,")")</f>
        <v>(V9+AD9)</v>
      </c>
    </row>
    <row r="10" spans="1:31" x14ac:dyDescent="0.25">
      <c r="A10" s="43">
        <f>A9+1</f>
        <v>10</v>
      </c>
      <c r="B10" s="40">
        <v>44136</v>
      </c>
      <c r="C10" s="53" t="s">
        <v>290</v>
      </c>
      <c r="D10" s="11" t="str">
        <f t="shared" ref="D10:D14" si="0">CONCATENATE("SUMIF(",IF(C10="FACT_EMITIDA","SIGGE_E",C10),"!B:B,ReliquidacionCEN!B",A10,",",IF(C10="FACT_EMITIDA","SIGGE_E",C10),"!S:S)")</f>
        <v>SUMIF(SIGGE_E!B:B,ReliquidacionCEN!B10,SIGGE_E!S:S)</v>
      </c>
      <c r="E10" s="11" t="str">
        <f t="shared" ref="E10:E14" si="1">CONCATENATE("SUMIF(",IF(C10="FACT_EMITIDA","SIGGE_E",C10),"!B:B,ReliquidacionCEN!B",A10,",",IF(C10="FACT_EMITIDA","SIGGE_E",C10),"!T:T)")</f>
        <v>SUMIF(SIGGE_E!B:B,ReliquidacionCEN!B10,SIGGE_E!T:T)</v>
      </c>
      <c r="F10" s="12" t="str">
        <f t="shared" ref="F10:F14" si="2">CONCATENATE("IFERROR((E",A10,"/D",A10,"),0)")</f>
        <v>IFERROR((E10/D10),0)</v>
      </c>
      <c r="G10" s="13" t="str">
        <f t="shared" ref="G10:G14" si="3">CONCATENATE("SUMIF(",IF(C10="FACT_EMITIDA","SIGGE_P",C10),"!B:B,ReliquidacionCEN!B",A10,",",IF(C10="FACT_EMITIDA","SIGGE_P",C10),"!U:U)")</f>
        <v>SUMIF(SIGGE_P!B:B,ReliquidacionCEN!B10,SIGGE_P!U:U)</v>
      </c>
      <c r="H10" s="11" t="str">
        <f t="shared" ref="H10:H14" si="4">CONCATENATE("SUMIF(",IF(C10="FACT_EMITIDA","SIGGE_P",C10),"!B:B,ReliquidacionCEN!B",A10,",",IF(C10="FACT_EMITIDA","SIGGE_P",C10),"!V:V)")</f>
        <v>SUMIF(SIGGE_P!B:B,ReliquidacionCEN!B10,SIGGE_P!V:V)</v>
      </c>
      <c r="I10" s="12" t="str">
        <f t="shared" ref="I10:I14" si="5">CONCATENATE("IFERROR((H",A10,"/G",A10,"),0)")</f>
        <v>IFERROR((H10/G10),0)</v>
      </c>
      <c r="J10" s="11" t="str">
        <f t="shared" ref="J10:J14" si="6">CONCATENATE("(E",A10,"+H",A10,")")</f>
        <v>(E10+H10)</v>
      </c>
      <c r="L10" s="53" t="s">
        <v>293</v>
      </c>
      <c r="M10" s="11" t="str">
        <f t="shared" ref="M10:M14" si="7">CONCATENATE("SUMIF(",IF(L10="FACT_EST_CEN","CEN_Energia",L10),"!B:B,ReliquidacionCEN!B",A10,",",IF(L10="FACT_EST_CEN","CEN_Energia",L10),"!Z:Z)")</f>
        <v>SUMIF(CEN_Energia!B:B,ReliquidacionCEN!B10,CEN_Energia!Z:Z)</v>
      </c>
      <c r="N10" s="11" t="str">
        <f t="shared" ref="N10:N14" si="8">CONCATENATE("SUMIF(",IF(L10="FACT_EST_CEN","CEN_Energia",L10),"!B:B,ReliquidacionCEN!B",A10,",",IF(L10="FACT_EST_CEN","CEN_Energia",L10),"!BK:BK)")</f>
        <v>SUMIF(CEN_Energia!B:B,ReliquidacionCEN!B10,CEN_Energia!BK:BK)</v>
      </c>
      <c r="O10" s="12" t="str">
        <f t="shared" ref="O10:O14" si="9">CONCATENATE("IFERROR((N",A10,"/M",A10,"),0)")</f>
        <v>IFERROR((N10/M10),0)</v>
      </c>
      <c r="P10" s="13" t="str">
        <f t="shared" ref="P10:P14" si="10">CONCATENATE("SUMIF(",IF(L10="FACT_EST_CEN","CEN_Potencia",L10),"!B:B,ReliquidacionCEN!B",A10,",",IF(L10="FACT_EST_CEN","CEN_Potencia",L10),"!R:R)")</f>
        <v>SUMIF(CEN_Potencia!B:B,ReliquidacionCEN!B10,CEN_Potencia!R:R)</v>
      </c>
      <c r="Q10" s="11" t="str">
        <f t="shared" ref="Q10:Q14" si="11">CONCATENATE("SUMIF(",IF(L10="FACT_EST_CEN","CEN_Potencia",L10),"!B:B,ReliquidacionCEN!B",A10,",",IF(L10="FACT_EST_CEN","CEN_Potencia",L10),"!BC:BC)")</f>
        <v>SUMIF(CEN_Potencia!B:B,ReliquidacionCEN!B10,CEN_Potencia!BC:BC)</v>
      </c>
      <c r="R10" s="12" t="str">
        <f t="shared" ref="R10:R14" si="12">CONCATENATE("IFERROR((Q",A10,"/P",A10,"),0)")</f>
        <v>IFERROR((Q10/P10),0)</v>
      </c>
      <c r="S10" s="11" t="str">
        <f t="shared" ref="S10:S14" si="13">CONCATENATE("(N",A10,"+Q",A10,")")</f>
        <v>(N10+Q10)</v>
      </c>
      <c r="U10" s="40">
        <v>44136</v>
      </c>
      <c r="V10" s="28" t="str">
        <f t="shared" ref="V10:V14" si="14">CONCATENATE("(S",A10,"-J",A10,")")</f>
        <v>(S10-J10)</v>
      </c>
      <c r="W10" s="53"/>
      <c r="X10" s="29"/>
      <c r="Y10" s="30">
        <v>3.7999999999999999E-2</v>
      </c>
      <c r="Z10" s="31">
        <v>44190</v>
      </c>
      <c r="AA10" s="31">
        <f t="shared" ref="AA10:AA14" si="15">AA9</f>
        <v>44499</v>
      </c>
      <c r="AB10" s="33" t="str">
        <f t="shared" ref="AB10:AB14" si="16">CONCATENATE("(AA",A10,"-Z",A10,")")</f>
        <v>(AA10-Z10)</v>
      </c>
      <c r="AC10" s="33" t="str">
        <f t="shared" ref="AC10:AC14" si="17">CONCATENATE("(1+Y",A10,")^(AB",A10,"/360)-1")</f>
        <v>(1+Y10)^(AB10/360)-1</v>
      </c>
      <c r="AD10" s="53" t="str">
        <f t="shared" ref="AD10:AD14" si="18">CONCATENATE("(AC",A10,"*V",A10,")")</f>
        <v>(AC10*V10)</v>
      </c>
      <c r="AE10" s="33" t="str">
        <f t="shared" ref="AE10:AE14" si="19">CONCATENATE("(V",A10,"+AD",A10,")")</f>
        <v>(V10+AD10)</v>
      </c>
    </row>
    <row r="11" spans="1:31" x14ac:dyDescent="0.25">
      <c r="A11" s="43">
        <f t="shared" ref="A11:A14" si="20">A10+1</f>
        <v>11</v>
      </c>
      <c r="B11" s="40">
        <v>44166</v>
      </c>
      <c r="C11" s="53" t="s">
        <v>290</v>
      </c>
      <c r="D11" s="11" t="str">
        <f t="shared" si="0"/>
        <v>SUMIF(SIGGE_E!B:B,ReliquidacionCEN!B11,SIGGE_E!S:S)</v>
      </c>
      <c r="E11" s="11" t="str">
        <f t="shared" si="1"/>
        <v>SUMIF(SIGGE_E!B:B,ReliquidacionCEN!B11,SIGGE_E!T:T)</v>
      </c>
      <c r="F11" s="12" t="str">
        <f t="shared" si="2"/>
        <v>IFERROR((E11/D11),0)</v>
      </c>
      <c r="G11" s="13" t="str">
        <f t="shared" si="3"/>
        <v>SUMIF(SIGGE_P!B:B,ReliquidacionCEN!B11,SIGGE_P!U:U)</v>
      </c>
      <c r="H11" s="11" t="str">
        <f t="shared" si="4"/>
        <v>SUMIF(SIGGE_P!B:B,ReliquidacionCEN!B11,SIGGE_P!V:V)</v>
      </c>
      <c r="I11" s="12" t="str">
        <f t="shared" si="5"/>
        <v>IFERROR((H11/G11),0)</v>
      </c>
      <c r="J11" s="11" t="str">
        <f t="shared" si="6"/>
        <v>(E11+H11)</v>
      </c>
      <c r="L11" s="53" t="s">
        <v>293</v>
      </c>
      <c r="M11" s="11" t="str">
        <f t="shared" si="7"/>
        <v>SUMIF(CEN_Energia!B:B,ReliquidacionCEN!B11,CEN_Energia!Z:Z)</v>
      </c>
      <c r="N11" s="11" t="str">
        <f t="shared" si="8"/>
        <v>SUMIF(CEN_Energia!B:B,ReliquidacionCEN!B11,CEN_Energia!BK:BK)</v>
      </c>
      <c r="O11" s="12" t="str">
        <f t="shared" si="9"/>
        <v>IFERROR((N11/M11),0)</v>
      </c>
      <c r="P11" s="13" t="str">
        <f t="shared" si="10"/>
        <v>SUMIF(CEN_Potencia!B:B,ReliquidacionCEN!B11,CEN_Potencia!R:R)</v>
      </c>
      <c r="Q11" s="11" t="str">
        <f t="shared" si="11"/>
        <v>SUMIF(CEN_Potencia!B:B,ReliquidacionCEN!B11,CEN_Potencia!BC:BC)</v>
      </c>
      <c r="R11" s="12" t="str">
        <f t="shared" si="12"/>
        <v>IFERROR((Q11/P11),0)</v>
      </c>
      <c r="S11" s="11" t="str">
        <f t="shared" si="13"/>
        <v>(N11+Q11)</v>
      </c>
      <c r="U11" s="40">
        <v>44166</v>
      </c>
      <c r="V11" s="28" t="str">
        <f t="shared" si="14"/>
        <v>(S11-J11)</v>
      </c>
      <c r="W11" s="53"/>
      <c r="X11" s="29"/>
      <c r="Y11" s="30">
        <v>3.7999999999999999E-2</v>
      </c>
      <c r="Z11" s="31">
        <v>44221</v>
      </c>
      <c r="AA11" s="31">
        <f t="shared" si="15"/>
        <v>44499</v>
      </c>
      <c r="AB11" s="33" t="str">
        <f t="shared" si="16"/>
        <v>(AA11-Z11)</v>
      </c>
      <c r="AC11" s="33" t="str">
        <f t="shared" si="17"/>
        <v>(1+Y11)^(AB11/360)-1</v>
      </c>
      <c r="AD11" s="53" t="str">
        <f t="shared" si="18"/>
        <v>(AC11*V11)</v>
      </c>
      <c r="AE11" s="33" t="str">
        <f t="shared" si="19"/>
        <v>(V11+AD11)</v>
      </c>
    </row>
    <row r="12" spans="1:31" x14ac:dyDescent="0.25">
      <c r="A12" s="43">
        <f t="shared" si="20"/>
        <v>12</v>
      </c>
      <c r="B12" s="40">
        <v>44197</v>
      </c>
      <c r="C12" s="53" t="s">
        <v>290</v>
      </c>
      <c r="D12" s="11" t="str">
        <f t="shared" si="0"/>
        <v>SUMIF(SIGGE_E!B:B,ReliquidacionCEN!B12,SIGGE_E!S:S)</v>
      </c>
      <c r="E12" s="11" t="str">
        <f t="shared" si="1"/>
        <v>SUMIF(SIGGE_E!B:B,ReliquidacionCEN!B12,SIGGE_E!T:T)</v>
      </c>
      <c r="F12" s="12" t="str">
        <f t="shared" si="2"/>
        <v>IFERROR((E12/D12),0)</v>
      </c>
      <c r="G12" s="13" t="str">
        <f t="shared" si="3"/>
        <v>SUMIF(SIGGE_P!B:B,ReliquidacionCEN!B12,SIGGE_P!U:U)</v>
      </c>
      <c r="H12" s="11" t="str">
        <f t="shared" si="4"/>
        <v>SUMIF(SIGGE_P!B:B,ReliquidacionCEN!B12,SIGGE_P!V:V)</v>
      </c>
      <c r="I12" s="12" t="str">
        <f t="shared" si="5"/>
        <v>IFERROR((H12/G12),0)</v>
      </c>
      <c r="J12" s="11" t="str">
        <f t="shared" si="6"/>
        <v>(E12+H12)</v>
      </c>
      <c r="L12" s="53" t="s">
        <v>293</v>
      </c>
      <c r="M12" s="11" t="str">
        <f t="shared" si="7"/>
        <v>SUMIF(CEN_Energia!B:B,ReliquidacionCEN!B12,CEN_Energia!Z:Z)</v>
      </c>
      <c r="N12" s="11" t="str">
        <f t="shared" si="8"/>
        <v>SUMIF(CEN_Energia!B:B,ReliquidacionCEN!B12,CEN_Energia!BK:BK)</v>
      </c>
      <c r="O12" s="12" t="str">
        <f t="shared" si="9"/>
        <v>IFERROR((N12/M12),0)</v>
      </c>
      <c r="P12" s="13" t="str">
        <f t="shared" si="10"/>
        <v>SUMIF(CEN_Potencia!B:B,ReliquidacionCEN!B12,CEN_Potencia!R:R)</v>
      </c>
      <c r="Q12" s="11" t="str">
        <f t="shared" si="11"/>
        <v>SUMIF(CEN_Potencia!B:B,ReliquidacionCEN!B12,CEN_Potencia!BC:BC)</v>
      </c>
      <c r="R12" s="12" t="str">
        <f t="shared" si="12"/>
        <v>IFERROR((Q12/P12),0)</v>
      </c>
      <c r="S12" s="11" t="str">
        <f t="shared" si="13"/>
        <v>(N12+Q12)</v>
      </c>
      <c r="U12" s="40">
        <v>44197</v>
      </c>
      <c r="V12" s="28" t="str">
        <f t="shared" si="14"/>
        <v>(S12-J12)</v>
      </c>
      <c r="W12" s="53"/>
      <c r="X12" s="29"/>
      <c r="Y12" s="30">
        <v>3.7999999999999999E-2</v>
      </c>
      <c r="Z12" s="31">
        <v>44252</v>
      </c>
      <c r="AA12" s="31">
        <f t="shared" si="15"/>
        <v>44499</v>
      </c>
      <c r="AB12" s="33" t="str">
        <f t="shared" si="16"/>
        <v>(AA12-Z12)</v>
      </c>
      <c r="AC12" s="33" t="str">
        <f t="shared" si="17"/>
        <v>(1+Y12)^(AB12/360)-1</v>
      </c>
      <c r="AD12" s="53" t="str">
        <f t="shared" si="18"/>
        <v>(AC12*V12)</v>
      </c>
      <c r="AE12" s="33" t="str">
        <f t="shared" si="19"/>
        <v>(V12+AD12)</v>
      </c>
    </row>
    <row r="13" spans="1:31" x14ac:dyDescent="0.25">
      <c r="A13" s="43">
        <f t="shared" si="20"/>
        <v>13</v>
      </c>
      <c r="B13" s="40">
        <v>44228</v>
      </c>
      <c r="C13" s="53" t="s">
        <v>290</v>
      </c>
      <c r="D13" s="11" t="str">
        <f t="shared" si="0"/>
        <v>SUMIF(SIGGE_E!B:B,ReliquidacionCEN!B13,SIGGE_E!S:S)</v>
      </c>
      <c r="E13" s="11" t="str">
        <f t="shared" si="1"/>
        <v>SUMIF(SIGGE_E!B:B,ReliquidacionCEN!B13,SIGGE_E!T:T)</v>
      </c>
      <c r="F13" s="12" t="str">
        <f t="shared" si="2"/>
        <v>IFERROR((E13/D13),0)</v>
      </c>
      <c r="G13" s="13" t="str">
        <f t="shared" si="3"/>
        <v>SUMIF(SIGGE_P!B:B,ReliquidacionCEN!B13,SIGGE_P!U:U)</v>
      </c>
      <c r="H13" s="11" t="str">
        <f t="shared" si="4"/>
        <v>SUMIF(SIGGE_P!B:B,ReliquidacionCEN!B13,SIGGE_P!V:V)</v>
      </c>
      <c r="I13" s="12" t="str">
        <f t="shared" si="5"/>
        <v>IFERROR((H13/G13),0)</v>
      </c>
      <c r="J13" s="11" t="str">
        <f t="shared" si="6"/>
        <v>(E13+H13)</v>
      </c>
      <c r="L13" s="53" t="s">
        <v>293</v>
      </c>
      <c r="M13" s="11" t="str">
        <f t="shared" si="7"/>
        <v>SUMIF(CEN_Energia!B:B,ReliquidacionCEN!B13,CEN_Energia!Z:Z)</v>
      </c>
      <c r="N13" s="11" t="str">
        <f t="shared" si="8"/>
        <v>SUMIF(CEN_Energia!B:B,ReliquidacionCEN!B13,CEN_Energia!BK:BK)</v>
      </c>
      <c r="O13" s="12" t="str">
        <f t="shared" si="9"/>
        <v>IFERROR((N13/M13),0)</v>
      </c>
      <c r="P13" s="13" t="str">
        <f t="shared" si="10"/>
        <v>SUMIF(CEN_Potencia!B:B,ReliquidacionCEN!B13,CEN_Potencia!R:R)</v>
      </c>
      <c r="Q13" s="11" t="str">
        <f t="shared" si="11"/>
        <v>SUMIF(CEN_Potencia!B:B,ReliquidacionCEN!B13,CEN_Potencia!BC:BC)</v>
      </c>
      <c r="R13" s="12" t="str">
        <f t="shared" si="12"/>
        <v>IFERROR((Q13/P13),0)</v>
      </c>
      <c r="S13" s="11" t="str">
        <f t="shared" si="13"/>
        <v>(N13+Q13)</v>
      </c>
      <c r="U13" s="40">
        <v>44228</v>
      </c>
      <c r="V13" s="28" t="str">
        <f t="shared" si="14"/>
        <v>(S13-J13)</v>
      </c>
      <c r="W13" s="53"/>
      <c r="X13" s="29"/>
      <c r="Y13" s="30">
        <v>3.7999999999999999E-2</v>
      </c>
      <c r="Z13" s="31">
        <v>44280</v>
      </c>
      <c r="AA13" s="31">
        <f t="shared" si="15"/>
        <v>44499</v>
      </c>
      <c r="AB13" s="33" t="str">
        <f t="shared" si="16"/>
        <v>(AA13-Z13)</v>
      </c>
      <c r="AC13" s="33" t="str">
        <f t="shared" si="17"/>
        <v>(1+Y13)^(AB13/360)-1</v>
      </c>
      <c r="AD13" s="53" t="str">
        <f t="shared" si="18"/>
        <v>(AC13*V13)</v>
      </c>
      <c r="AE13" s="33" t="str">
        <f t="shared" si="19"/>
        <v>(V13+AD13)</v>
      </c>
    </row>
    <row r="14" spans="1:31" x14ac:dyDescent="0.25">
      <c r="A14" s="43">
        <f t="shared" si="20"/>
        <v>14</v>
      </c>
      <c r="B14" s="40">
        <v>44256</v>
      </c>
      <c r="C14" s="53" t="s">
        <v>290</v>
      </c>
      <c r="D14" s="11" t="str">
        <f t="shared" si="0"/>
        <v>SUMIF(SIGGE_E!B:B,ReliquidacionCEN!B14,SIGGE_E!S:S)</v>
      </c>
      <c r="E14" s="11" t="str">
        <f t="shared" si="1"/>
        <v>SUMIF(SIGGE_E!B:B,ReliquidacionCEN!B14,SIGGE_E!T:T)</v>
      </c>
      <c r="F14" s="12" t="str">
        <f t="shared" si="2"/>
        <v>IFERROR((E14/D14),0)</v>
      </c>
      <c r="G14" s="13" t="str">
        <f t="shared" si="3"/>
        <v>SUMIF(SIGGE_P!B:B,ReliquidacionCEN!B14,SIGGE_P!U:U)</v>
      </c>
      <c r="H14" s="11" t="str">
        <f t="shared" si="4"/>
        <v>SUMIF(SIGGE_P!B:B,ReliquidacionCEN!B14,SIGGE_P!V:V)</v>
      </c>
      <c r="I14" s="12" t="str">
        <f t="shared" si="5"/>
        <v>IFERROR((H14/G14),0)</v>
      </c>
      <c r="J14" s="11" t="str">
        <f t="shared" si="6"/>
        <v>(E14+H14)</v>
      </c>
      <c r="L14" s="53" t="s">
        <v>293</v>
      </c>
      <c r="M14" s="11" t="str">
        <f t="shared" si="7"/>
        <v>SUMIF(CEN_Energia!B:B,ReliquidacionCEN!B14,CEN_Energia!Z:Z)</v>
      </c>
      <c r="N14" s="11" t="str">
        <f t="shared" si="8"/>
        <v>SUMIF(CEN_Energia!B:B,ReliquidacionCEN!B14,CEN_Energia!BK:BK)</v>
      </c>
      <c r="O14" s="12" t="str">
        <f t="shared" si="9"/>
        <v>IFERROR((N14/M14),0)</v>
      </c>
      <c r="P14" s="13" t="str">
        <f t="shared" si="10"/>
        <v>SUMIF(CEN_Potencia!B:B,ReliquidacionCEN!B14,CEN_Potencia!R:R)</v>
      </c>
      <c r="Q14" s="11" t="str">
        <f t="shared" si="11"/>
        <v>SUMIF(CEN_Potencia!B:B,ReliquidacionCEN!B14,CEN_Potencia!BC:BC)</v>
      </c>
      <c r="R14" s="12" t="str">
        <f t="shared" si="12"/>
        <v>IFERROR((Q14/P14),0)</v>
      </c>
      <c r="S14" s="11" t="str">
        <f t="shared" si="13"/>
        <v>(N14+Q14)</v>
      </c>
      <c r="U14" s="40">
        <v>44256</v>
      </c>
      <c r="V14" s="28" t="str">
        <f t="shared" si="14"/>
        <v>(S14-J14)</v>
      </c>
      <c r="W14" s="53"/>
      <c r="X14" s="29"/>
      <c r="Y14" s="30">
        <v>3.7999999999999999E-2</v>
      </c>
      <c r="Z14" s="31">
        <v>44311</v>
      </c>
      <c r="AA14" s="31">
        <f t="shared" si="15"/>
        <v>44499</v>
      </c>
      <c r="AB14" s="33" t="str">
        <f t="shared" si="16"/>
        <v>(AA14-Z14)</v>
      </c>
      <c r="AC14" s="33" t="str">
        <f t="shared" si="17"/>
        <v>(1+Y14)^(AB14/360)-1</v>
      </c>
      <c r="AD14" s="53" t="str">
        <f t="shared" si="18"/>
        <v>(AC14*V14)</v>
      </c>
      <c r="AE14" s="33" t="str">
        <f t="shared" si="19"/>
        <v>(V14+AD14)</v>
      </c>
    </row>
    <row r="15" spans="1:31" ht="15.75" thickBot="1" x14ac:dyDescent="0.3">
      <c r="Z15" s="1"/>
      <c r="AD15" s="54" t="s">
        <v>70</v>
      </c>
      <c r="AE15" s="55" t="str">
        <f>CONCATENATE("SUM(AE9:AE14)")</f>
        <v>SUM(AE9:AE14)</v>
      </c>
    </row>
    <row r="17" spans="29:31" x14ac:dyDescent="0.25">
      <c r="AC17" s="18" t="s">
        <v>72</v>
      </c>
      <c r="AD17" s="19" t="s">
        <v>329</v>
      </c>
      <c r="AE17" s="20"/>
    </row>
    <row r="18" spans="29:31" x14ac:dyDescent="0.25">
      <c r="AC18" s="21" t="s">
        <v>73</v>
      </c>
      <c r="AD18" s="14" t="s">
        <v>330</v>
      </c>
      <c r="AE18" s="22"/>
    </row>
  </sheetData>
  <mergeCells count="3">
    <mergeCell ref="C7:J7"/>
    <mergeCell ref="L7:S7"/>
    <mergeCell ref="U7:AE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96649-A117-470D-BD2D-BE8613BE2F5A}">
  <dimension ref="A2:H15"/>
  <sheetViews>
    <sheetView workbookViewId="0">
      <selection activeCell="A8" sqref="A8"/>
    </sheetView>
  </sheetViews>
  <sheetFormatPr baseColWidth="10" defaultRowHeight="15" x14ac:dyDescent="0.25"/>
  <cols>
    <col min="1" max="1" width="11.28515625" style="42" customWidth="1"/>
    <col min="2" max="2" width="13.140625" style="5" customWidth="1"/>
    <col min="3" max="3" width="13.85546875" style="5" bestFit="1" customWidth="1"/>
    <col min="4" max="4" width="50.5703125" style="5" bestFit="1" customWidth="1"/>
    <col min="5" max="5" width="56.42578125" bestFit="1" customWidth="1"/>
    <col min="6" max="6" width="60" customWidth="1"/>
    <col min="7" max="7" width="58.85546875" bestFit="1" customWidth="1"/>
    <col min="8" max="8" width="63.5703125" bestFit="1" customWidth="1"/>
  </cols>
  <sheetData>
    <row r="2" spans="1:8" x14ac:dyDescent="0.25">
      <c r="A2" s="6" t="s">
        <v>60</v>
      </c>
      <c r="B2" s="34" t="s">
        <v>96</v>
      </c>
    </row>
    <row r="3" spans="1:8" x14ac:dyDescent="0.25">
      <c r="A3" s="7" t="s">
        <v>61</v>
      </c>
      <c r="B3" s="35" t="s">
        <v>97</v>
      </c>
    </row>
    <row r="4" spans="1:8" x14ac:dyDescent="0.25">
      <c r="A4" s="7" t="s">
        <v>45</v>
      </c>
      <c r="B4" s="64" t="s">
        <v>65</v>
      </c>
    </row>
    <row r="5" spans="1:8" x14ac:dyDescent="0.25">
      <c r="A5" s="9" t="s">
        <v>42</v>
      </c>
      <c r="B5" s="36" t="s">
        <v>98</v>
      </c>
    </row>
    <row r="7" spans="1:8" ht="14.45" customHeight="1" x14ac:dyDescent="0.25">
      <c r="C7" s="65"/>
      <c r="D7" s="66"/>
      <c r="E7" s="67"/>
      <c r="F7" s="67"/>
      <c r="G7" s="68"/>
      <c r="H7" s="68"/>
    </row>
    <row r="8" spans="1:8" s="3" customFormat="1" x14ac:dyDescent="0.25">
      <c r="A8" s="69" t="s">
        <v>299</v>
      </c>
      <c r="B8" s="69" t="s">
        <v>298</v>
      </c>
      <c r="C8" s="69" t="s">
        <v>296</v>
      </c>
      <c r="D8" s="69" t="s">
        <v>460</v>
      </c>
      <c r="E8" s="69" t="s">
        <v>461</v>
      </c>
      <c r="F8" s="69" t="s">
        <v>462</v>
      </c>
      <c r="G8" s="69" t="s">
        <v>463</v>
      </c>
      <c r="H8" s="69" t="s">
        <v>464</v>
      </c>
    </row>
    <row r="9" spans="1:8" x14ac:dyDescent="0.25">
      <c r="A9" s="43">
        <v>9</v>
      </c>
      <c r="B9" s="40">
        <v>44105</v>
      </c>
      <c r="C9" s="53" t="s">
        <v>290</v>
      </c>
      <c r="D9" s="70" t="str">
        <f t="shared" ref="D9:D14" si="0">CONCATENATE("SUMIF(","SIGGE_E!B:B,ResumenRetiros!B",A9,",","SIGGE_E","!S:S)")</f>
        <v>SUMIF(SIGGE_E!B:B,ResumenRetiros!B9,SIGGE_E!S:S)</v>
      </c>
      <c r="E9" s="70" t="str">
        <f t="shared" ref="E9:E14" si="1">CONCATENATE("SUMIF(","EFACT_CNE","!B:B,ResumenRetiros!B",A9,",","EFACT_CNE","!S:S)")</f>
        <v>SUMIF(EFACT_CNE!B:B,ResumenRetiros!B9,EFACT_CNE!S:S)</v>
      </c>
      <c r="F9" s="70" t="str">
        <f t="shared" ref="F9:F14" si="2">CONCATENATE("SUMIF(","EfactCNE_BT","!B:B,ResumenRetiros!B",A9,",","EfactCNE_BT","!M:M)")</f>
        <v>SUMIF(EfactCNE_BT!B:B,ResumenRetiros!B9,EfactCNE_BT!M:M)</v>
      </c>
      <c r="G9" s="70" t="str">
        <f t="shared" ref="G9:G14" si="3">CONCATENATE("SUMIF(CEN_Energia!B:B,ResumenRetiros!B",A9,",CEN_Energia!Z:Z)")</f>
        <v>SUMIF(CEN_Energia!B:B,ResumenRetiros!B9,CEN_Energia!Z:Z)</v>
      </c>
      <c r="H9" s="70" t="str">
        <f>CONCATENATE("SUMIF(CEN_EnergiaBT!B:B,ResumenRetiros!B",A9,",CEN_EnergiaBT!K:K)")</f>
        <v>SUMIF(CEN_EnergiaBT!B:B,ResumenRetiros!B9,CEN_EnergiaBT!K:K)</v>
      </c>
    </row>
    <row r="10" spans="1:8" x14ac:dyDescent="0.25">
      <c r="A10" s="43">
        <f>A9+1</f>
        <v>10</v>
      </c>
      <c r="B10" s="40">
        <v>44136</v>
      </c>
      <c r="C10" s="53" t="s">
        <v>290</v>
      </c>
      <c r="D10" s="70" t="str">
        <f t="shared" si="0"/>
        <v>SUMIF(SIGGE_E!B:B,ResumenRetiros!B10,SIGGE_E!S:S)</v>
      </c>
      <c r="E10" s="70" t="str">
        <f t="shared" si="1"/>
        <v>SUMIF(EFACT_CNE!B:B,ResumenRetiros!B10,EFACT_CNE!S:S)</v>
      </c>
      <c r="F10" s="70" t="str">
        <f t="shared" si="2"/>
        <v>SUMIF(EfactCNE_BT!B:B,ResumenRetiros!B10,EfactCNE_BT!M:M)</v>
      </c>
      <c r="G10" s="70" t="str">
        <f t="shared" si="3"/>
        <v>SUMIF(CEN_Energia!B:B,ResumenRetiros!B10,CEN_Energia!Z:Z)</v>
      </c>
      <c r="H10" s="70" t="str">
        <f t="shared" ref="H10:H14" si="4">CONCATENATE("SUMIF(CEN_EnergiaBT!B:B,ResumenRetiros!B",A10,",CEN_EnergiaBT!K:K)")</f>
        <v>SUMIF(CEN_EnergiaBT!B:B,ResumenRetiros!B10,CEN_EnergiaBT!K:K)</v>
      </c>
    </row>
    <row r="11" spans="1:8" x14ac:dyDescent="0.25">
      <c r="A11" s="43">
        <f t="shared" ref="A11:A14" si="5">A10+1</f>
        <v>11</v>
      </c>
      <c r="B11" s="40">
        <v>44166</v>
      </c>
      <c r="C11" s="53" t="s">
        <v>290</v>
      </c>
      <c r="D11" s="70" t="str">
        <f t="shared" si="0"/>
        <v>SUMIF(SIGGE_E!B:B,ResumenRetiros!B11,SIGGE_E!S:S)</v>
      </c>
      <c r="E11" s="70" t="str">
        <f t="shared" si="1"/>
        <v>SUMIF(EFACT_CNE!B:B,ResumenRetiros!B11,EFACT_CNE!S:S)</v>
      </c>
      <c r="F11" s="70" t="str">
        <f t="shared" si="2"/>
        <v>SUMIF(EfactCNE_BT!B:B,ResumenRetiros!B11,EfactCNE_BT!M:M)</v>
      </c>
      <c r="G11" s="70" t="str">
        <f t="shared" si="3"/>
        <v>SUMIF(CEN_Energia!B:B,ResumenRetiros!B11,CEN_Energia!Z:Z)</v>
      </c>
      <c r="H11" s="70" t="str">
        <f t="shared" si="4"/>
        <v>SUMIF(CEN_EnergiaBT!B:B,ResumenRetiros!B11,CEN_EnergiaBT!K:K)</v>
      </c>
    </row>
    <row r="12" spans="1:8" x14ac:dyDescent="0.25">
      <c r="A12" s="43">
        <f t="shared" si="5"/>
        <v>12</v>
      </c>
      <c r="B12" s="40">
        <v>44197</v>
      </c>
      <c r="C12" s="53" t="s">
        <v>290</v>
      </c>
      <c r="D12" s="70" t="str">
        <f t="shared" si="0"/>
        <v>SUMIF(SIGGE_E!B:B,ResumenRetiros!B12,SIGGE_E!S:S)</v>
      </c>
      <c r="E12" s="70" t="str">
        <f t="shared" si="1"/>
        <v>SUMIF(EFACT_CNE!B:B,ResumenRetiros!B12,EFACT_CNE!S:S)</v>
      </c>
      <c r="F12" s="70" t="str">
        <f t="shared" si="2"/>
        <v>SUMIF(EfactCNE_BT!B:B,ResumenRetiros!B12,EfactCNE_BT!M:M)</v>
      </c>
      <c r="G12" s="70" t="str">
        <f t="shared" si="3"/>
        <v>SUMIF(CEN_Energia!B:B,ResumenRetiros!B12,CEN_Energia!Z:Z)</v>
      </c>
      <c r="H12" s="70" t="str">
        <f t="shared" si="4"/>
        <v>SUMIF(CEN_EnergiaBT!B:B,ResumenRetiros!B12,CEN_EnergiaBT!K:K)</v>
      </c>
    </row>
    <row r="13" spans="1:8" x14ac:dyDescent="0.25">
      <c r="A13" s="43">
        <f t="shared" si="5"/>
        <v>13</v>
      </c>
      <c r="B13" s="40">
        <v>44228</v>
      </c>
      <c r="C13" s="53" t="s">
        <v>290</v>
      </c>
      <c r="D13" s="70" t="str">
        <f t="shared" si="0"/>
        <v>SUMIF(SIGGE_E!B:B,ResumenRetiros!B13,SIGGE_E!S:S)</v>
      </c>
      <c r="E13" s="70" t="str">
        <f t="shared" si="1"/>
        <v>SUMIF(EFACT_CNE!B:B,ResumenRetiros!B13,EFACT_CNE!S:S)</v>
      </c>
      <c r="F13" s="70" t="str">
        <f t="shared" si="2"/>
        <v>SUMIF(EfactCNE_BT!B:B,ResumenRetiros!B13,EfactCNE_BT!M:M)</v>
      </c>
      <c r="G13" s="70" t="str">
        <f t="shared" si="3"/>
        <v>SUMIF(CEN_Energia!B:B,ResumenRetiros!B13,CEN_Energia!Z:Z)</v>
      </c>
      <c r="H13" s="70" t="str">
        <f t="shared" si="4"/>
        <v>SUMIF(CEN_EnergiaBT!B:B,ResumenRetiros!B13,CEN_EnergiaBT!K:K)</v>
      </c>
    </row>
    <row r="14" spans="1:8" x14ac:dyDescent="0.25">
      <c r="A14" s="43">
        <f t="shared" si="5"/>
        <v>14</v>
      </c>
      <c r="B14" s="40">
        <v>44256</v>
      </c>
      <c r="C14" s="53" t="s">
        <v>290</v>
      </c>
      <c r="D14" s="70" t="str">
        <f t="shared" si="0"/>
        <v>SUMIF(SIGGE_E!B:B,ResumenRetiros!B14,SIGGE_E!S:S)</v>
      </c>
      <c r="E14" s="70" t="str">
        <f t="shared" si="1"/>
        <v>SUMIF(EFACT_CNE!B:B,ResumenRetiros!B14,EFACT_CNE!S:S)</v>
      </c>
      <c r="F14" s="70" t="str">
        <f t="shared" si="2"/>
        <v>SUMIF(EfactCNE_BT!B:B,ResumenRetiros!B14,EfactCNE_BT!M:M)</v>
      </c>
      <c r="G14" s="70" t="str">
        <f t="shared" si="3"/>
        <v>SUMIF(CEN_Energia!B:B,ResumenRetiros!B14,CEN_Energia!Z:Z)</v>
      </c>
      <c r="H14" s="70" t="str">
        <f t="shared" si="4"/>
        <v>SUMIF(CEN_EnergiaBT!B:B,ResumenRetiros!B14,CEN_EnergiaBT!K:K)</v>
      </c>
    </row>
    <row r="15" spans="1:8" x14ac:dyDescent="0.25">
      <c r="D15" s="53" t="str">
        <f>CONCATENATE("SUM(D9:D14)")</f>
        <v>SUM(D9:D14)</v>
      </c>
      <c r="E15" s="53" t="str">
        <f>CONCATENATE("SUM(E9:E14)")</f>
        <v>SUM(E9:E14)</v>
      </c>
      <c r="F15" s="53" t="str">
        <f>CONCATENATE("SUM(F9:F14)")</f>
        <v>SUM(F9:F14)</v>
      </c>
      <c r="G15" s="53" t="str">
        <f>CONCATENATE("SUM(G9:G14)")</f>
        <v>SUM(G9:G14)</v>
      </c>
      <c r="H15" s="53" t="str">
        <f>CONCATENATE("SUM(H9:H14)")</f>
        <v>SUM(H9:H14)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W735"/>
  <sheetViews>
    <sheetView topLeftCell="C1" zoomScale="60" zoomScaleNormal="60" workbookViewId="0">
      <selection activeCell="V1" sqref="V1:V1048576"/>
    </sheetView>
  </sheetViews>
  <sheetFormatPr baseColWidth="10" defaultRowHeight="15" x14ac:dyDescent="0.25"/>
  <cols>
    <col min="1" max="1" width="12" bestFit="1" customWidth="1"/>
    <col min="2" max="2" width="21.140625" style="1" bestFit="1" customWidth="1"/>
    <col min="3" max="3" width="45.85546875" bestFit="1" customWidth="1"/>
    <col min="4" max="4" width="54.42578125" bestFit="1" customWidth="1"/>
    <col min="5" max="5" width="15.85546875" bestFit="1" customWidth="1"/>
    <col min="6" max="6" width="65.42578125" bestFit="1" customWidth="1"/>
    <col min="7" max="7" width="18.28515625" bestFit="1" customWidth="1"/>
    <col min="8" max="8" width="21.85546875" bestFit="1" customWidth="1"/>
    <col min="9" max="9" width="8.42578125" bestFit="1" customWidth="1"/>
    <col min="10" max="10" width="13.42578125" bestFit="1" customWidth="1"/>
    <col min="11" max="11" width="15.5703125" bestFit="1" customWidth="1"/>
    <col min="12" max="12" width="10.5703125" bestFit="1" customWidth="1"/>
    <col min="13" max="13" width="12.5703125" bestFit="1" customWidth="1"/>
    <col min="14" max="14" width="16.140625" bestFit="1" customWidth="1"/>
    <col min="15" max="15" width="14" bestFit="1" customWidth="1"/>
    <col min="16" max="16" width="21.85546875" bestFit="1" customWidth="1"/>
    <col min="17" max="17" width="7.5703125" bestFit="1" customWidth="1"/>
    <col min="18" max="18" width="17" bestFit="1" customWidth="1"/>
    <col min="19" max="19" width="15.42578125" bestFit="1" customWidth="1"/>
    <col min="20" max="20" width="19.140625" bestFit="1" customWidth="1"/>
    <col min="21" max="21" width="13" bestFit="1" customWidth="1"/>
    <col min="22" max="22" width="21.28515625" bestFit="1" customWidth="1"/>
    <col min="23" max="23" width="10.140625" bestFit="1" customWidth="1"/>
  </cols>
  <sheetData>
    <row r="1" spans="1:23" s="2" customFormat="1" x14ac:dyDescent="0.25">
      <c r="A1" s="38" t="s">
        <v>29</v>
      </c>
      <c r="B1" s="38" t="s">
        <v>1</v>
      </c>
      <c r="C1" s="38" t="s">
        <v>30</v>
      </c>
      <c r="D1" s="38" t="s">
        <v>34</v>
      </c>
      <c r="E1" s="38" t="s">
        <v>35</v>
      </c>
      <c r="F1" s="38" t="s">
        <v>36</v>
      </c>
      <c r="G1" s="38" t="s">
        <v>37</v>
      </c>
      <c r="H1" s="38" t="s">
        <v>38</v>
      </c>
      <c r="I1" s="38" t="s">
        <v>39</v>
      </c>
      <c r="J1" s="38" t="s">
        <v>40</v>
      </c>
      <c r="K1" s="38" t="s">
        <v>41</v>
      </c>
      <c r="L1" s="38" t="s">
        <v>42</v>
      </c>
      <c r="M1" s="38" t="s">
        <v>43</v>
      </c>
      <c r="N1" s="38" t="s">
        <v>44</v>
      </c>
      <c r="O1" s="38" t="s">
        <v>45</v>
      </c>
      <c r="P1" s="38" t="s">
        <v>46</v>
      </c>
      <c r="Q1" s="38" t="s">
        <v>31</v>
      </c>
      <c r="R1" s="38" t="s">
        <v>32</v>
      </c>
      <c r="S1" s="38" t="s">
        <v>18</v>
      </c>
      <c r="T1" s="38" t="s">
        <v>19</v>
      </c>
      <c r="U1" s="38" t="s">
        <v>21</v>
      </c>
      <c r="V1" s="2" t="s">
        <v>22</v>
      </c>
      <c r="W1" s="2" t="s">
        <v>33</v>
      </c>
    </row>
    <row r="2" spans="1:23" x14ac:dyDescent="0.25">
      <c r="A2" s="1">
        <v>43344</v>
      </c>
      <c r="B2" s="1">
        <v>43344</v>
      </c>
      <c r="C2" t="s">
        <v>157</v>
      </c>
      <c r="D2" t="s">
        <v>48</v>
      </c>
      <c r="E2" t="s">
        <v>49</v>
      </c>
      <c r="F2" t="s">
        <v>158</v>
      </c>
      <c r="G2" s="56">
        <v>43392</v>
      </c>
      <c r="H2">
        <v>33</v>
      </c>
      <c r="I2">
        <v>6305</v>
      </c>
      <c r="J2" t="s">
        <v>50</v>
      </c>
      <c r="K2" t="s">
        <v>50</v>
      </c>
      <c r="L2" t="s">
        <v>159</v>
      </c>
      <c r="M2" t="s">
        <v>51</v>
      </c>
      <c r="N2" t="s">
        <v>92</v>
      </c>
      <c r="O2" s="1">
        <v>41335</v>
      </c>
      <c r="P2" t="s">
        <v>84</v>
      </c>
      <c r="Q2">
        <v>1</v>
      </c>
      <c r="R2" t="s">
        <v>47</v>
      </c>
      <c r="S2">
        <v>3000</v>
      </c>
      <c r="T2">
        <v>58.085000000000001</v>
      </c>
      <c r="U2" t="s">
        <v>351</v>
      </c>
      <c r="V2" t="s">
        <v>351</v>
      </c>
      <c r="W2">
        <v>174255</v>
      </c>
    </row>
    <row r="3" spans="1:23" x14ac:dyDescent="0.25">
      <c r="A3" s="1">
        <v>43374</v>
      </c>
      <c r="B3" s="1">
        <v>43374</v>
      </c>
      <c r="C3" t="s">
        <v>157</v>
      </c>
      <c r="D3" t="s">
        <v>48</v>
      </c>
      <c r="E3" t="s">
        <v>49</v>
      </c>
      <c r="F3" t="s">
        <v>160</v>
      </c>
      <c r="G3" s="56">
        <v>43431</v>
      </c>
      <c r="H3">
        <v>33</v>
      </c>
      <c r="I3">
        <v>6796</v>
      </c>
      <c r="J3" t="s">
        <v>50</v>
      </c>
      <c r="K3" t="s">
        <v>50</v>
      </c>
      <c r="L3" t="s">
        <v>159</v>
      </c>
      <c r="M3" t="s">
        <v>51</v>
      </c>
      <c r="N3" t="s">
        <v>92</v>
      </c>
      <c r="O3" s="1">
        <v>41335</v>
      </c>
      <c r="P3" t="s">
        <v>84</v>
      </c>
      <c r="Q3">
        <v>1</v>
      </c>
      <c r="R3" t="s">
        <v>47</v>
      </c>
      <c r="S3">
        <v>3000</v>
      </c>
      <c r="T3">
        <v>59.677999999999997</v>
      </c>
      <c r="U3" t="s">
        <v>351</v>
      </c>
      <c r="V3" t="s">
        <v>351</v>
      </c>
      <c r="W3">
        <v>179035</v>
      </c>
    </row>
    <row r="4" spans="1:23" x14ac:dyDescent="0.25">
      <c r="A4" s="1">
        <v>43405</v>
      </c>
      <c r="B4" s="1">
        <v>43405</v>
      </c>
      <c r="C4" t="s">
        <v>157</v>
      </c>
      <c r="D4" t="s">
        <v>48</v>
      </c>
      <c r="E4" t="s">
        <v>49</v>
      </c>
      <c r="F4" t="s">
        <v>161</v>
      </c>
      <c r="G4" s="56">
        <v>43448</v>
      </c>
      <c r="H4">
        <v>33</v>
      </c>
      <c r="I4">
        <v>6939</v>
      </c>
      <c r="J4" t="s">
        <v>50</v>
      </c>
      <c r="K4" t="s">
        <v>50</v>
      </c>
      <c r="L4" t="s">
        <v>159</v>
      </c>
      <c r="M4" t="s">
        <v>51</v>
      </c>
      <c r="N4" t="s">
        <v>92</v>
      </c>
      <c r="O4" s="1">
        <v>41335</v>
      </c>
      <c r="P4" t="s">
        <v>84</v>
      </c>
      <c r="Q4">
        <v>1</v>
      </c>
      <c r="R4" t="s">
        <v>47</v>
      </c>
      <c r="S4">
        <v>4000</v>
      </c>
      <c r="T4">
        <v>59.634999999999998</v>
      </c>
      <c r="U4" t="s">
        <v>351</v>
      </c>
      <c r="V4" t="s">
        <v>351</v>
      </c>
      <c r="W4">
        <v>238540</v>
      </c>
    </row>
    <row r="5" spans="1:23" x14ac:dyDescent="0.25">
      <c r="A5" s="1">
        <v>43435</v>
      </c>
      <c r="B5" s="1">
        <v>43435</v>
      </c>
      <c r="C5" t="s">
        <v>157</v>
      </c>
      <c r="D5" t="s">
        <v>48</v>
      </c>
      <c r="E5" t="s">
        <v>49</v>
      </c>
      <c r="F5" t="s">
        <v>162</v>
      </c>
      <c r="G5" s="56">
        <v>43486</v>
      </c>
      <c r="H5">
        <v>33</v>
      </c>
      <c r="I5">
        <v>7194</v>
      </c>
      <c r="J5" t="s">
        <v>50</v>
      </c>
      <c r="K5" t="s">
        <v>50</v>
      </c>
      <c r="L5" t="s">
        <v>159</v>
      </c>
      <c r="M5" t="s">
        <v>51</v>
      </c>
      <c r="N5" t="s">
        <v>92</v>
      </c>
      <c r="O5" s="1">
        <v>41335</v>
      </c>
      <c r="P5" t="s">
        <v>84</v>
      </c>
      <c r="Q5">
        <v>1</v>
      </c>
      <c r="R5" t="s">
        <v>47</v>
      </c>
      <c r="S5">
        <v>5000</v>
      </c>
      <c r="T5">
        <v>67.950999999999993</v>
      </c>
      <c r="U5" t="s">
        <v>351</v>
      </c>
      <c r="V5" t="s">
        <v>351</v>
      </c>
      <c r="W5">
        <v>339757</v>
      </c>
    </row>
    <row r="6" spans="1:23" x14ac:dyDescent="0.25">
      <c r="A6" s="1">
        <v>43466</v>
      </c>
      <c r="B6" s="1">
        <v>43466</v>
      </c>
      <c r="C6" t="s">
        <v>157</v>
      </c>
      <c r="D6" t="s">
        <v>93</v>
      </c>
      <c r="E6" t="s">
        <v>49</v>
      </c>
      <c r="F6" t="s">
        <v>163</v>
      </c>
      <c r="G6" s="56">
        <v>43539</v>
      </c>
      <c r="H6">
        <v>33</v>
      </c>
      <c r="I6" t="s">
        <v>351</v>
      </c>
      <c r="J6" t="s">
        <v>50</v>
      </c>
      <c r="K6" t="s">
        <v>50</v>
      </c>
      <c r="L6" t="s">
        <v>159</v>
      </c>
      <c r="M6" t="s">
        <v>51</v>
      </c>
      <c r="N6" t="s">
        <v>92</v>
      </c>
      <c r="O6" s="1">
        <v>41335</v>
      </c>
      <c r="P6" t="s">
        <v>84</v>
      </c>
      <c r="Q6">
        <v>1</v>
      </c>
      <c r="R6" t="s">
        <v>83</v>
      </c>
      <c r="S6">
        <v>1.4618800000000001</v>
      </c>
      <c r="T6">
        <v>66.900000000000006</v>
      </c>
      <c r="U6" t="s">
        <v>351</v>
      </c>
      <c r="V6" t="s">
        <v>351</v>
      </c>
      <c r="W6">
        <v>98</v>
      </c>
    </row>
    <row r="7" spans="1:23" x14ac:dyDescent="0.25">
      <c r="A7" s="1">
        <v>43466</v>
      </c>
      <c r="B7" s="1">
        <v>43466</v>
      </c>
      <c r="C7" t="s">
        <v>157</v>
      </c>
      <c r="D7" t="s">
        <v>48</v>
      </c>
      <c r="E7" t="s">
        <v>49</v>
      </c>
      <c r="F7" t="s">
        <v>164</v>
      </c>
      <c r="G7" s="56">
        <v>43504</v>
      </c>
      <c r="H7">
        <v>33</v>
      </c>
      <c r="I7">
        <v>7513</v>
      </c>
      <c r="J7" t="s">
        <v>50</v>
      </c>
      <c r="K7" t="s">
        <v>50</v>
      </c>
      <c r="L7" t="s">
        <v>159</v>
      </c>
      <c r="M7" t="s">
        <v>51</v>
      </c>
      <c r="N7" t="s">
        <v>92</v>
      </c>
      <c r="O7" s="1">
        <v>41335</v>
      </c>
      <c r="P7" t="s">
        <v>84</v>
      </c>
      <c r="Q7">
        <v>1</v>
      </c>
      <c r="R7" t="s">
        <v>83</v>
      </c>
      <c r="S7">
        <v>1371.3060350000001</v>
      </c>
      <c r="T7">
        <v>66.900000000000006</v>
      </c>
      <c r="U7" t="s">
        <v>351</v>
      </c>
      <c r="V7" t="s">
        <v>351</v>
      </c>
      <c r="W7">
        <v>91740</v>
      </c>
    </row>
    <row r="8" spans="1:23" x14ac:dyDescent="0.25">
      <c r="A8" s="1">
        <v>43466</v>
      </c>
      <c r="B8" s="1">
        <v>43466</v>
      </c>
      <c r="C8" t="s">
        <v>157</v>
      </c>
      <c r="D8" t="s">
        <v>93</v>
      </c>
      <c r="E8" t="s">
        <v>49</v>
      </c>
      <c r="F8" t="s">
        <v>163</v>
      </c>
      <c r="G8" s="56">
        <v>43539</v>
      </c>
      <c r="H8">
        <v>33</v>
      </c>
      <c r="I8" t="s">
        <v>351</v>
      </c>
      <c r="J8" t="s">
        <v>50</v>
      </c>
      <c r="K8" t="s">
        <v>50</v>
      </c>
      <c r="L8" t="s">
        <v>159</v>
      </c>
      <c r="M8" t="s">
        <v>51</v>
      </c>
      <c r="N8" t="s">
        <v>92</v>
      </c>
      <c r="O8" s="1">
        <v>41335</v>
      </c>
      <c r="P8" t="s">
        <v>84</v>
      </c>
      <c r="Q8">
        <v>2</v>
      </c>
      <c r="R8" t="s">
        <v>94</v>
      </c>
      <c r="S8">
        <v>9.3880000000000005E-3</v>
      </c>
      <c r="T8">
        <v>69.013999999999996</v>
      </c>
      <c r="U8" t="s">
        <v>351</v>
      </c>
      <c r="V8" t="s">
        <v>351</v>
      </c>
      <c r="W8">
        <v>1</v>
      </c>
    </row>
    <row r="9" spans="1:23" x14ac:dyDescent="0.25">
      <c r="A9" s="1">
        <v>43466</v>
      </c>
      <c r="B9" s="1">
        <v>43466</v>
      </c>
      <c r="C9" t="s">
        <v>157</v>
      </c>
      <c r="D9" t="s">
        <v>48</v>
      </c>
      <c r="E9" t="s">
        <v>49</v>
      </c>
      <c r="F9" t="s">
        <v>164</v>
      </c>
      <c r="G9" s="56">
        <v>43504</v>
      </c>
      <c r="H9">
        <v>33</v>
      </c>
      <c r="I9">
        <v>7513</v>
      </c>
      <c r="J9" t="s">
        <v>50</v>
      </c>
      <c r="K9" t="s">
        <v>50</v>
      </c>
      <c r="L9" t="s">
        <v>159</v>
      </c>
      <c r="M9" t="s">
        <v>51</v>
      </c>
      <c r="N9" t="s">
        <v>92</v>
      </c>
      <c r="O9" s="1">
        <v>41335</v>
      </c>
      <c r="P9" t="s">
        <v>84</v>
      </c>
      <c r="Q9">
        <v>2</v>
      </c>
      <c r="R9" t="s">
        <v>94</v>
      </c>
      <c r="S9">
        <v>8.8061659999999993</v>
      </c>
      <c r="T9">
        <v>69.013999999999996</v>
      </c>
      <c r="U9" t="s">
        <v>351</v>
      </c>
      <c r="V9" t="s">
        <v>351</v>
      </c>
      <c r="W9">
        <v>608</v>
      </c>
    </row>
    <row r="10" spans="1:23" x14ac:dyDescent="0.25">
      <c r="A10" s="1">
        <v>43466</v>
      </c>
      <c r="B10" s="1">
        <v>43466</v>
      </c>
      <c r="C10" t="s">
        <v>157</v>
      </c>
      <c r="D10" t="s">
        <v>93</v>
      </c>
      <c r="E10" t="s">
        <v>49</v>
      </c>
      <c r="F10" t="s">
        <v>163</v>
      </c>
      <c r="G10" s="56">
        <v>43539</v>
      </c>
      <c r="H10">
        <v>33</v>
      </c>
      <c r="I10" t="s">
        <v>351</v>
      </c>
      <c r="J10" t="s">
        <v>50</v>
      </c>
      <c r="K10" t="s">
        <v>50</v>
      </c>
      <c r="L10" t="s">
        <v>159</v>
      </c>
      <c r="M10" t="s">
        <v>51</v>
      </c>
      <c r="N10" t="s">
        <v>92</v>
      </c>
      <c r="O10" s="1">
        <v>41335</v>
      </c>
      <c r="P10" t="s">
        <v>84</v>
      </c>
      <c r="Q10">
        <v>3</v>
      </c>
      <c r="R10" t="s">
        <v>81</v>
      </c>
      <c r="S10">
        <v>0.45372099999999999</v>
      </c>
      <c r="T10">
        <v>63.27</v>
      </c>
      <c r="U10" t="s">
        <v>351</v>
      </c>
      <c r="V10" t="s">
        <v>351</v>
      </c>
      <c r="W10">
        <v>29</v>
      </c>
    </row>
    <row r="11" spans="1:23" x14ac:dyDescent="0.25">
      <c r="A11" s="1">
        <v>43466</v>
      </c>
      <c r="B11" s="1">
        <v>43466</v>
      </c>
      <c r="C11" t="s">
        <v>157</v>
      </c>
      <c r="D11" t="s">
        <v>48</v>
      </c>
      <c r="E11" t="s">
        <v>49</v>
      </c>
      <c r="F11" t="s">
        <v>164</v>
      </c>
      <c r="G11" s="56">
        <v>43504</v>
      </c>
      <c r="H11">
        <v>33</v>
      </c>
      <c r="I11">
        <v>7513</v>
      </c>
      <c r="J11" t="s">
        <v>50</v>
      </c>
      <c r="K11" t="s">
        <v>50</v>
      </c>
      <c r="L11" t="s">
        <v>159</v>
      </c>
      <c r="M11" t="s">
        <v>51</v>
      </c>
      <c r="N11" t="s">
        <v>92</v>
      </c>
      <c r="O11" s="1">
        <v>41335</v>
      </c>
      <c r="P11" t="s">
        <v>84</v>
      </c>
      <c r="Q11">
        <v>3</v>
      </c>
      <c r="R11" t="s">
        <v>81</v>
      </c>
      <c r="S11">
        <v>425.60960999999998</v>
      </c>
      <c r="T11">
        <v>63.27</v>
      </c>
      <c r="U11" t="s">
        <v>351</v>
      </c>
      <c r="V11" t="s">
        <v>351</v>
      </c>
      <c r="W11">
        <v>26928</v>
      </c>
    </row>
    <row r="12" spans="1:23" x14ac:dyDescent="0.25">
      <c r="A12" s="1">
        <v>43466</v>
      </c>
      <c r="B12" s="1">
        <v>43466</v>
      </c>
      <c r="C12" t="s">
        <v>157</v>
      </c>
      <c r="D12" t="s">
        <v>93</v>
      </c>
      <c r="E12" t="s">
        <v>49</v>
      </c>
      <c r="F12" t="s">
        <v>163</v>
      </c>
      <c r="G12" s="56">
        <v>43539</v>
      </c>
      <c r="H12">
        <v>33</v>
      </c>
      <c r="I12" t="s">
        <v>351</v>
      </c>
      <c r="J12" t="s">
        <v>50</v>
      </c>
      <c r="K12" t="s">
        <v>50</v>
      </c>
      <c r="L12" t="s">
        <v>159</v>
      </c>
      <c r="M12" t="s">
        <v>51</v>
      </c>
      <c r="N12" t="s">
        <v>92</v>
      </c>
      <c r="O12" s="1">
        <v>41335</v>
      </c>
      <c r="P12" t="s">
        <v>84</v>
      </c>
      <c r="Q12">
        <v>4</v>
      </c>
      <c r="R12" t="s">
        <v>27</v>
      </c>
      <c r="S12">
        <v>2.2124519999999999</v>
      </c>
      <c r="T12">
        <v>65.349000000000004</v>
      </c>
      <c r="U12" t="s">
        <v>351</v>
      </c>
      <c r="V12" t="s">
        <v>351</v>
      </c>
      <c r="W12">
        <v>145</v>
      </c>
    </row>
    <row r="13" spans="1:23" x14ac:dyDescent="0.25">
      <c r="A13" s="1">
        <v>43466</v>
      </c>
      <c r="B13" s="1">
        <v>43466</v>
      </c>
      <c r="C13" t="s">
        <v>157</v>
      </c>
      <c r="D13" t="s">
        <v>48</v>
      </c>
      <c r="E13" t="s">
        <v>49</v>
      </c>
      <c r="F13" t="s">
        <v>164</v>
      </c>
      <c r="G13" s="56">
        <v>43504</v>
      </c>
      <c r="H13">
        <v>33</v>
      </c>
      <c r="I13">
        <v>7513</v>
      </c>
      <c r="J13" t="s">
        <v>50</v>
      </c>
      <c r="K13" t="s">
        <v>50</v>
      </c>
      <c r="L13" t="s">
        <v>159</v>
      </c>
      <c r="M13" t="s">
        <v>51</v>
      </c>
      <c r="N13" t="s">
        <v>92</v>
      </c>
      <c r="O13" s="1">
        <v>41335</v>
      </c>
      <c r="P13" t="s">
        <v>84</v>
      </c>
      <c r="Q13">
        <v>4</v>
      </c>
      <c r="R13" t="s">
        <v>27</v>
      </c>
      <c r="S13">
        <v>2075.3740229999999</v>
      </c>
      <c r="T13">
        <v>65.349000000000004</v>
      </c>
      <c r="U13" t="s">
        <v>351</v>
      </c>
      <c r="V13" t="s">
        <v>351</v>
      </c>
      <c r="W13">
        <v>135624</v>
      </c>
    </row>
    <row r="14" spans="1:23" x14ac:dyDescent="0.25">
      <c r="A14" s="1">
        <v>43466</v>
      </c>
      <c r="B14" s="1">
        <v>43466</v>
      </c>
      <c r="C14" t="s">
        <v>157</v>
      </c>
      <c r="D14" t="s">
        <v>93</v>
      </c>
      <c r="E14" t="s">
        <v>49</v>
      </c>
      <c r="F14" t="s">
        <v>163</v>
      </c>
      <c r="G14" s="56">
        <v>43539</v>
      </c>
      <c r="H14">
        <v>33</v>
      </c>
      <c r="I14" t="s">
        <v>351</v>
      </c>
      <c r="J14" t="s">
        <v>50</v>
      </c>
      <c r="K14" t="s">
        <v>50</v>
      </c>
      <c r="L14" t="s">
        <v>159</v>
      </c>
      <c r="M14" t="s">
        <v>51</v>
      </c>
      <c r="N14" t="s">
        <v>92</v>
      </c>
      <c r="O14" s="1">
        <v>41335</v>
      </c>
      <c r="P14" t="s">
        <v>84</v>
      </c>
      <c r="Q14">
        <v>5</v>
      </c>
      <c r="R14" t="s">
        <v>28</v>
      </c>
      <c r="S14">
        <v>8.6370000000000006E-3</v>
      </c>
      <c r="T14">
        <v>69.367999999999995</v>
      </c>
      <c r="U14" t="s">
        <v>351</v>
      </c>
      <c r="V14" t="s">
        <v>351</v>
      </c>
      <c r="W14">
        <v>1</v>
      </c>
    </row>
    <row r="15" spans="1:23" x14ac:dyDescent="0.25">
      <c r="A15" s="1">
        <v>43466</v>
      </c>
      <c r="B15" s="1">
        <v>43466</v>
      </c>
      <c r="C15" t="s">
        <v>157</v>
      </c>
      <c r="D15" t="s">
        <v>48</v>
      </c>
      <c r="E15" t="s">
        <v>49</v>
      </c>
      <c r="F15" t="s">
        <v>164</v>
      </c>
      <c r="G15" s="56">
        <v>43504</v>
      </c>
      <c r="H15">
        <v>33</v>
      </c>
      <c r="I15">
        <v>7513</v>
      </c>
      <c r="J15" t="s">
        <v>50</v>
      </c>
      <c r="K15" t="s">
        <v>50</v>
      </c>
      <c r="L15" t="s">
        <v>159</v>
      </c>
      <c r="M15" t="s">
        <v>51</v>
      </c>
      <c r="N15" t="s">
        <v>92</v>
      </c>
      <c r="O15" s="1">
        <v>41335</v>
      </c>
      <c r="P15" t="s">
        <v>84</v>
      </c>
      <c r="Q15">
        <v>5</v>
      </c>
      <c r="R15" t="s">
        <v>28</v>
      </c>
      <c r="S15">
        <v>8.1020570000000003</v>
      </c>
      <c r="T15">
        <v>69.367999999999995</v>
      </c>
      <c r="U15" t="s">
        <v>351</v>
      </c>
      <c r="V15" t="s">
        <v>351</v>
      </c>
      <c r="W15">
        <v>562</v>
      </c>
    </row>
    <row r="16" spans="1:23" x14ac:dyDescent="0.25">
      <c r="A16" s="1">
        <v>43497</v>
      </c>
      <c r="B16" s="1">
        <v>43497</v>
      </c>
      <c r="C16" t="s">
        <v>157</v>
      </c>
      <c r="D16" t="s">
        <v>93</v>
      </c>
      <c r="E16" t="s">
        <v>49</v>
      </c>
      <c r="F16" t="s">
        <v>166</v>
      </c>
      <c r="G16" s="56">
        <v>43564</v>
      </c>
      <c r="H16">
        <v>61</v>
      </c>
      <c r="I16" t="s">
        <v>351</v>
      </c>
      <c r="J16" t="s">
        <v>50</v>
      </c>
      <c r="K16" t="s">
        <v>50</v>
      </c>
      <c r="L16" t="s">
        <v>159</v>
      </c>
      <c r="M16" t="s">
        <v>51</v>
      </c>
      <c r="N16" t="s">
        <v>92</v>
      </c>
      <c r="O16" s="1">
        <v>41335</v>
      </c>
      <c r="P16" t="s">
        <v>84</v>
      </c>
      <c r="Q16">
        <v>1</v>
      </c>
      <c r="R16" t="s">
        <v>83</v>
      </c>
      <c r="S16">
        <v>0.23349</v>
      </c>
      <c r="T16">
        <v>66.900000000000006</v>
      </c>
      <c r="U16" t="s">
        <v>351</v>
      </c>
      <c r="V16" t="s">
        <v>351</v>
      </c>
      <c r="W16">
        <v>16</v>
      </c>
    </row>
    <row r="17" spans="1:23" x14ac:dyDescent="0.25">
      <c r="A17" s="1">
        <v>43497</v>
      </c>
      <c r="B17" s="1">
        <v>43497</v>
      </c>
      <c r="C17" t="s">
        <v>157</v>
      </c>
      <c r="D17" t="s">
        <v>48</v>
      </c>
      <c r="E17" t="s">
        <v>49</v>
      </c>
      <c r="F17" t="s">
        <v>165</v>
      </c>
      <c r="G17" s="56">
        <v>43532</v>
      </c>
      <c r="H17">
        <v>33</v>
      </c>
      <c r="I17">
        <v>7798</v>
      </c>
      <c r="J17" t="s">
        <v>50</v>
      </c>
      <c r="K17" t="s">
        <v>50</v>
      </c>
      <c r="L17" t="s">
        <v>159</v>
      </c>
      <c r="M17" t="s">
        <v>51</v>
      </c>
      <c r="N17" t="s">
        <v>92</v>
      </c>
      <c r="O17" s="1">
        <v>41335</v>
      </c>
      <c r="P17" t="s">
        <v>84</v>
      </c>
      <c r="Q17">
        <v>1</v>
      </c>
      <c r="R17" t="s">
        <v>83</v>
      </c>
      <c r="S17">
        <v>1368.5298740000001</v>
      </c>
      <c r="T17">
        <v>66.900000000000006</v>
      </c>
      <c r="U17" t="s">
        <v>351</v>
      </c>
      <c r="V17" t="s">
        <v>351</v>
      </c>
      <c r="W17">
        <v>91555</v>
      </c>
    </row>
    <row r="18" spans="1:23" x14ac:dyDescent="0.25">
      <c r="A18" s="1">
        <v>43497</v>
      </c>
      <c r="B18" s="1">
        <v>43497</v>
      </c>
      <c r="C18" t="s">
        <v>157</v>
      </c>
      <c r="D18" t="s">
        <v>48</v>
      </c>
      <c r="E18" t="s">
        <v>49</v>
      </c>
      <c r="F18" t="s">
        <v>165</v>
      </c>
      <c r="G18" s="56">
        <v>43532</v>
      </c>
      <c r="H18">
        <v>33</v>
      </c>
      <c r="I18">
        <v>7798</v>
      </c>
      <c r="J18" t="s">
        <v>50</v>
      </c>
      <c r="K18" t="s">
        <v>50</v>
      </c>
      <c r="L18" t="s">
        <v>159</v>
      </c>
      <c r="M18" t="s">
        <v>51</v>
      </c>
      <c r="N18" t="s">
        <v>92</v>
      </c>
      <c r="O18" s="1">
        <v>41335</v>
      </c>
      <c r="P18" t="s">
        <v>84</v>
      </c>
      <c r="Q18">
        <v>2</v>
      </c>
      <c r="R18" t="s">
        <v>94</v>
      </c>
      <c r="S18">
        <v>8.8166320000000002</v>
      </c>
      <c r="T18">
        <v>69.013999999999996</v>
      </c>
      <c r="U18" t="s">
        <v>351</v>
      </c>
      <c r="V18" t="s">
        <v>351</v>
      </c>
      <c r="W18">
        <v>608</v>
      </c>
    </row>
    <row r="19" spans="1:23" x14ac:dyDescent="0.25">
      <c r="A19" s="1">
        <v>43497</v>
      </c>
      <c r="B19" s="1">
        <v>43497</v>
      </c>
      <c r="C19" t="s">
        <v>157</v>
      </c>
      <c r="D19" t="s">
        <v>93</v>
      </c>
      <c r="E19" t="s">
        <v>49</v>
      </c>
      <c r="F19" t="s">
        <v>166</v>
      </c>
      <c r="G19" s="56">
        <v>43564</v>
      </c>
      <c r="H19">
        <v>61</v>
      </c>
      <c r="I19" t="s">
        <v>351</v>
      </c>
      <c r="J19" t="s">
        <v>50</v>
      </c>
      <c r="K19" t="s">
        <v>50</v>
      </c>
      <c r="L19" t="s">
        <v>159</v>
      </c>
      <c r="M19" t="s">
        <v>51</v>
      </c>
      <c r="N19" t="s">
        <v>92</v>
      </c>
      <c r="O19" s="1">
        <v>41335</v>
      </c>
      <c r="P19" t="s">
        <v>84</v>
      </c>
      <c r="Q19">
        <v>3</v>
      </c>
      <c r="R19" t="s">
        <v>81</v>
      </c>
      <c r="S19">
        <v>7.2089E-2</v>
      </c>
      <c r="T19">
        <v>63.27</v>
      </c>
      <c r="U19" t="s">
        <v>351</v>
      </c>
      <c r="V19" t="s">
        <v>351</v>
      </c>
      <c r="W19">
        <v>5</v>
      </c>
    </row>
    <row r="20" spans="1:23" x14ac:dyDescent="0.25">
      <c r="A20" s="1">
        <v>43497</v>
      </c>
      <c r="B20" s="1">
        <v>43497</v>
      </c>
      <c r="C20" t="s">
        <v>157</v>
      </c>
      <c r="D20" t="s">
        <v>48</v>
      </c>
      <c r="E20" t="s">
        <v>49</v>
      </c>
      <c r="F20" t="s">
        <v>165</v>
      </c>
      <c r="G20" s="56">
        <v>43532</v>
      </c>
      <c r="H20">
        <v>33</v>
      </c>
      <c r="I20">
        <v>7798</v>
      </c>
      <c r="J20" t="s">
        <v>50</v>
      </c>
      <c r="K20" t="s">
        <v>50</v>
      </c>
      <c r="L20" t="s">
        <v>159</v>
      </c>
      <c r="M20" t="s">
        <v>51</v>
      </c>
      <c r="N20" t="s">
        <v>92</v>
      </c>
      <c r="O20" s="1">
        <v>41335</v>
      </c>
      <c r="P20" t="s">
        <v>84</v>
      </c>
      <c r="Q20">
        <v>3</v>
      </c>
      <c r="R20" t="s">
        <v>81</v>
      </c>
      <c r="S20">
        <v>422.52677699999998</v>
      </c>
      <c r="T20">
        <v>63.27</v>
      </c>
      <c r="U20" t="s">
        <v>351</v>
      </c>
      <c r="V20" t="s">
        <v>351</v>
      </c>
      <c r="W20">
        <v>26733</v>
      </c>
    </row>
    <row r="21" spans="1:23" x14ac:dyDescent="0.25">
      <c r="A21" s="1">
        <v>43497</v>
      </c>
      <c r="B21" s="1">
        <v>43497</v>
      </c>
      <c r="C21" t="s">
        <v>157</v>
      </c>
      <c r="D21" t="s">
        <v>93</v>
      </c>
      <c r="E21" t="s">
        <v>49</v>
      </c>
      <c r="F21" t="s">
        <v>166</v>
      </c>
      <c r="G21" s="56">
        <v>43564</v>
      </c>
      <c r="H21">
        <v>61</v>
      </c>
      <c r="I21" t="s">
        <v>351</v>
      </c>
      <c r="J21" t="s">
        <v>50</v>
      </c>
      <c r="K21" t="s">
        <v>50</v>
      </c>
      <c r="L21" t="s">
        <v>159</v>
      </c>
      <c r="M21" t="s">
        <v>51</v>
      </c>
      <c r="N21" t="s">
        <v>92</v>
      </c>
      <c r="O21" s="1">
        <v>41335</v>
      </c>
      <c r="P21" t="s">
        <v>84</v>
      </c>
      <c r="Q21">
        <v>4</v>
      </c>
      <c r="R21" t="s">
        <v>27</v>
      </c>
      <c r="S21">
        <v>0.353269</v>
      </c>
      <c r="T21">
        <v>65.349000000000004</v>
      </c>
      <c r="U21" t="s">
        <v>351</v>
      </c>
      <c r="V21" t="s">
        <v>351</v>
      </c>
      <c r="W21">
        <v>23</v>
      </c>
    </row>
    <row r="22" spans="1:23" x14ac:dyDescent="0.25">
      <c r="A22" s="1">
        <v>43497</v>
      </c>
      <c r="B22" s="1">
        <v>43497</v>
      </c>
      <c r="C22" t="s">
        <v>157</v>
      </c>
      <c r="D22" t="s">
        <v>48</v>
      </c>
      <c r="E22" t="s">
        <v>49</v>
      </c>
      <c r="F22" t="s">
        <v>165</v>
      </c>
      <c r="G22" s="56">
        <v>43532</v>
      </c>
      <c r="H22">
        <v>33</v>
      </c>
      <c r="I22">
        <v>7798</v>
      </c>
      <c r="J22" t="s">
        <v>50</v>
      </c>
      <c r="K22" t="s">
        <v>50</v>
      </c>
      <c r="L22" t="s">
        <v>159</v>
      </c>
      <c r="M22" t="s">
        <v>51</v>
      </c>
      <c r="N22" t="s">
        <v>92</v>
      </c>
      <c r="O22" s="1">
        <v>41335</v>
      </c>
      <c r="P22" t="s">
        <v>84</v>
      </c>
      <c r="Q22">
        <v>4</v>
      </c>
      <c r="R22" t="s">
        <v>27</v>
      </c>
      <c r="S22">
        <v>2070.5800789999998</v>
      </c>
      <c r="T22">
        <v>65.349000000000004</v>
      </c>
      <c r="U22" t="s">
        <v>351</v>
      </c>
      <c r="V22" t="s">
        <v>351</v>
      </c>
      <c r="W22">
        <v>135310</v>
      </c>
    </row>
    <row r="23" spans="1:23" x14ac:dyDescent="0.25">
      <c r="A23" s="1">
        <v>43497</v>
      </c>
      <c r="B23" s="1">
        <v>43497</v>
      </c>
      <c r="C23" t="s">
        <v>157</v>
      </c>
      <c r="D23" t="s">
        <v>48</v>
      </c>
      <c r="E23" t="s">
        <v>49</v>
      </c>
      <c r="F23" t="s">
        <v>165</v>
      </c>
      <c r="G23" s="56">
        <v>43532</v>
      </c>
      <c r="H23">
        <v>33</v>
      </c>
      <c r="I23">
        <v>7798</v>
      </c>
      <c r="J23" t="s">
        <v>50</v>
      </c>
      <c r="K23" t="s">
        <v>50</v>
      </c>
      <c r="L23" t="s">
        <v>159</v>
      </c>
      <c r="M23" t="s">
        <v>51</v>
      </c>
      <c r="N23" t="s">
        <v>92</v>
      </c>
      <c r="O23" s="1">
        <v>41335</v>
      </c>
      <c r="P23" t="s">
        <v>84</v>
      </c>
      <c r="Q23">
        <v>5</v>
      </c>
      <c r="R23" t="s">
        <v>28</v>
      </c>
      <c r="S23">
        <v>8.102328</v>
      </c>
      <c r="T23">
        <v>69.367999999999995</v>
      </c>
      <c r="U23" t="s">
        <v>351</v>
      </c>
      <c r="V23" t="s">
        <v>351</v>
      </c>
      <c r="W23">
        <v>562</v>
      </c>
    </row>
    <row r="24" spans="1:23" x14ac:dyDescent="0.25">
      <c r="A24" s="1">
        <v>43525</v>
      </c>
      <c r="B24" s="1">
        <v>43525</v>
      </c>
      <c r="C24" t="s">
        <v>157</v>
      </c>
      <c r="D24" t="s">
        <v>93</v>
      </c>
      <c r="E24" t="s">
        <v>49</v>
      </c>
      <c r="F24" t="s">
        <v>168</v>
      </c>
      <c r="G24" s="56">
        <v>43598</v>
      </c>
      <c r="H24">
        <v>33</v>
      </c>
      <c r="I24" t="s">
        <v>351</v>
      </c>
      <c r="J24" t="s">
        <v>50</v>
      </c>
      <c r="K24" t="s">
        <v>50</v>
      </c>
      <c r="L24" t="s">
        <v>159</v>
      </c>
      <c r="M24" t="s">
        <v>51</v>
      </c>
      <c r="N24" t="s">
        <v>92</v>
      </c>
      <c r="O24" s="1">
        <v>41335</v>
      </c>
      <c r="P24" t="s">
        <v>84</v>
      </c>
      <c r="Q24">
        <v>1</v>
      </c>
      <c r="R24" t="s">
        <v>83</v>
      </c>
      <c r="S24">
        <v>0.58060900000000004</v>
      </c>
      <c r="T24">
        <v>66.900000000000006</v>
      </c>
      <c r="U24" t="s">
        <v>351</v>
      </c>
      <c r="V24" t="s">
        <v>351</v>
      </c>
      <c r="W24">
        <v>39</v>
      </c>
    </row>
    <row r="25" spans="1:23" x14ac:dyDescent="0.25">
      <c r="A25" s="1">
        <v>43525</v>
      </c>
      <c r="B25" s="1">
        <v>43525</v>
      </c>
      <c r="C25" t="s">
        <v>157</v>
      </c>
      <c r="D25" t="s">
        <v>48</v>
      </c>
      <c r="E25" t="s">
        <v>49</v>
      </c>
      <c r="F25" t="s">
        <v>167</v>
      </c>
      <c r="G25" s="56">
        <v>43563</v>
      </c>
      <c r="H25">
        <v>33</v>
      </c>
      <c r="I25">
        <v>8389</v>
      </c>
      <c r="J25" t="s">
        <v>50</v>
      </c>
      <c r="K25" t="s">
        <v>50</v>
      </c>
      <c r="L25" t="s">
        <v>159</v>
      </c>
      <c r="M25" t="s">
        <v>51</v>
      </c>
      <c r="N25" t="s">
        <v>92</v>
      </c>
      <c r="O25" s="1">
        <v>41335</v>
      </c>
      <c r="P25" t="s">
        <v>84</v>
      </c>
      <c r="Q25">
        <v>1</v>
      </c>
      <c r="R25" t="s">
        <v>83</v>
      </c>
      <c r="S25">
        <v>1311.623335</v>
      </c>
      <c r="T25">
        <v>66.900000000000006</v>
      </c>
      <c r="U25" t="s">
        <v>351</v>
      </c>
      <c r="V25" t="s">
        <v>351</v>
      </c>
      <c r="W25">
        <v>87748</v>
      </c>
    </row>
    <row r="26" spans="1:23" x14ac:dyDescent="0.25">
      <c r="A26" s="1">
        <v>43525</v>
      </c>
      <c r="B26" s="1">
        <v>43525</v>
      </c>
      <c r="C26" t="s">
        <v>157</v>
      </c>
      <c r="D26" t="s">
        <v>48</v>
      </c>
      <c r="E26" t="s">
        <v>49</v>
      </c>
      <c r="F26" t="s">
        <v>167</v>
      </c>
      <c r="G26" s="56">
        <v>43563</v>
      </c>
      <c r="H26">
        <v>33</v>
      </c>
      <c r="I26">
        <v>8389</v>
      </c>
      <c r="J26" t="s">
        <v>50</v>
      </c>
      <c r="K26" t="s">
        <v>50</v>
      </c>
      <c r="L26" t="s">
        <v>159</v>
      </c>
      <c r="M26" t="s">
        <v>51</v>
      </c>
      <c r="N26" t="s">
        <v>92</v>
      </c>
      <c r="O26" s="1">
        <v>41335</v>
      </c>
      <c r="P26" t="s">
        <v>84</v>
      </c>
      <c r="Q26">
        <v>2</v>
      </c>
      <c r="R26" t="s">
        <v>94</v>
      </c>
      <c r="S26">
        <v>8.1736970000000007</v>
      </c>
      <c r="T26">
        <v>69.013999999999996</v>
      </c>
      <c r="U26" t="s">
        <v>351</v>
      </c>
      <c r="V26" t="s">
        <v>351</v>
      </c>
      <c r="W26">
        <v>564</v>
      </c>
    </row>
    <row r="27" spans="1:23" x14ac:dyDescent="0.25">
      <c r="A27" s="1">
        <v>43525</v>
      </c>
      <c r="B27" s="1">
        <v>43525</v>
      </c>
      <c r="C27" t="s">
        <v>157</v>
      </c>
      <c r="D27" t="s">
        <v>93</v>
      </c>
      <c r="E27" t="s">
        <v>49</v>
      </c>
      <c r="F27" t="s">
        <v>168</v>
      </c>
      <c r="G27" s="56">
        <v>43598</v>
      </c>
      <c r="H27">
        <v>33</v>
      </c>
      <c r="I27" t="s">
        <v>351</v>
      </c>
      <c r="J27" t="s">
        <v>50</v>
      </c>
      <c r="K27" t="s">
        <v>50</v>
      </c>
      <c r="L27" t="s">
        <v>159</v>
      </c>
      <c r="M27" t="s">
        <v>51</v>
      </c>
      <c r="N27" t="s">
        <v>92</v>
      </c>
      <c r="O27" s="1">
        <v>41335</v>
      </c>
      <c r="P27" t="s">
        <v>84</v>
      </c>
      <c r="Q27">
        <v>3</v>
      </c>
      <c r="R27" t="s">
        <v>81</v>
      </c>
      <c r="S27">
        <v>0.17821799999999999</v>
      </c>
      <c r="T27">
        <v>63.27</v>
      </c>
      <c r="U27" t="s">
        <v>351</v>
      </c>
      <c r="V27" t="s">
        <v>351</v>
      </c>
      <c r="W27">
        <v>11</v>
      </c>
    </row>
    <row r="28" spans="1:23" x14ac:dyDescent="0.25">
      <c r="A28" s="1">
        <v>43525</v>
      </c>
      <c r="B28" s="1">
        <v>43525</v>
      </c>
      <c r="C28" t="s">
        <v>157</v>
      </c>
      <c r="D28" t="s">
        <v>48</v>
      </c>
      <c r="E28" t="s">
        <v>49</v>
      </c>
      <c r="F28" t="s">
        <v>167</v>
      </c>
      <c r="G28" s="56">
        <v>43563</v>
      </c>
      <c r="H28">
        <v>33</v>
      </c>
      <c r="I28">
        <v>8389</v>
      </c>
      <c r="J28" t="s">
        <v>50</v>
      </c>
      <c r="K28" t="s">
        <v>50</v>
      </c>
      <c r="L28" t="s">
        <v>159</v>
      </c>
      <c r="M28" t="s">
        <v>51</v>
      </c>
      <c r="N28" t="s">
        <v>92</v>
      </c>
      <c r="O28" s="1">
        <v>41335</v>
      </c>
      <c r="P28" t="s">
        <v>84</v>
      </c>
      <c r="Q28">
        <v>3</v>
      </c>
      <c r="R28" t="s">
        <v>81</v>
      </c>
      <c r="S28">
        <v>402.603993</v>
      </c>
      <c r="T28">
        <v>63.27</v>
      </c>
      <c r="U28" t="s">
        <v>351</v>
      </c>
      <c r="V28" t="s">
        <v>351</v>
      </c>
      <c r="W28">
        <v>25473</v>
      </c>
    </row>
    <row r="29" spans="1:23" x14ac:dyDescent="0.25">
      <c r="A29" s="1">
        <v>43525</v>
      </c>
      <c r="B29" s="1">
        <v>43525</v>
      </c>
      <c r="C29" t="s">
        <v>157</v>
      </c>
      <c r="D29" t="s">
        <v>93</v>
      </c>
      <c r="E29" t="s">
        <v>49</v>
      </c>
      <c r="F29" t="s">
        <v>168</v>
      </c>
      <c r="G29" s="56">
        <v>43598</v>
      </c>
      <c r="H29">
        <v>33</v>
      </c>
      <c r="I29" t="s">
        <v>351</v>
      </c>
      <c r="J29" t="s">
        <v>50</v>
      </c>
      <c r="K29" t="s">
        <v>50</v>
      </c>
      <c r="L29" t="s">
        <v>159</v>
      </c>
      <c r="M29" t="s">
        <v>51</v>
      </c>
      <c r="N29" t="s">
        <v>92</v>
      </c>
      <c r="O29" s="1">
        <v>41335</v>
      </c>
      <c r="P29" t="s">
        <v>84</v>
      </c>
      <c r="Q29">
        <v>4</v>
      </c>
      <c r="R29" t="s">
        <v>27</v>
      </c>
      <c r="S29">
        <v>0.87116000000000005</v>
      </c>
      <c r="T29">
        <v>65.349000000000004</v>
      </c>
      <c r="U29" t="s">
        <v>351</v>
      </c>
      <c r="V29" t="s">
        <v>351</v>
      </c>
      <c r="W29">
        <v>57</v>
      </c>
    </row>
    <row r="30" spans="1:23" x14ac:dyDescent="0.25">
      <c r="A30" s="1">
        <v>43525</v>
      </c>
      <c r="B30" s="1">
        <v>43525</v>
      </c>
      <c r="C30" t="s">
        <v>157</v>
      </c>
      <c r="D30" t="s">
        <v>48</v>
      </c>
      <c r="E30" t="s">
        <v>49</v>
      </c>
      <c r="F30" t="s">
        <v>167</v>
      </c>
      <c r="G30" s="56">
        <v>43563</v>
      </c>
      <c r="H30">
        <v>33</v>
      </c>
      <c r="I30">
        <v>8389</v>
      </c>
      <c r="J30" t="s">
        <v>50</v>
      </c>
      <c r="K30" t="s">
        <v>50</v>
      </c>
      <c r="L30" t="s">
        <v>159</v>
      </c>
      <c r="M30" t="s">
        <v>51</v>
      </c>
      <c r="N30" t="s">
        <v>92</v>
      </c>
      <c r="O30" s="1">
        <v>41335</v>
      </c>
      <c r="P30" t="s">
        <v>84</v>
      </c>
      <c r="Q30">
        <v>4</v>
      </c>
      <c r="R30" t="s">
        <v>27</v>
      </c>
      <c r="S30">
        <v>1967.9945319999999</v>
      </c>
      <c r="T30">
        <v>65.349000000000004</v>
      </c>
      <c r="U30" t="s">
        <v>351</v>
      </c>
      <c r="V30" t="s">
        <v>351</v>
      </c>
      <c r="W30">
        <v>128606</v>
      </c>
    </row>
    <row r="31" spans="1:23" x14ac:dyDescent="0.25">
      <c r="A31" s="1">
        <v>43525</v>
      </c>
      <c r="B31" s="1">
        <v>43525</v>
      </c>
      <c r="C31" t="s">
        <v>157</v>
      </c>
      <c r="D31" t="s">
        <v>48</v>
      </c>
      <c r="E31" t="s">
        <v>49</v>
      </c>
      <c r="F31" t="s">
        <v>167</v>
      </c>
      <c r="G31" s="56">
        <v>43563</v>
      </c>
      <c r="H31">
        <v>33</v>
      </c>
      <c r="I31">
        <v>8389</v>
      </c>
      <c r="J31" t="s">
        <v>50</v>
      </c>
      <c r="K31" t="s">
        <v>50</v>
      </c>
      <c r="L31" t="s">
        <v>159</v>
      </c>
      <c r="M31" t="s">
        <v>51</v>
      </c>
      <c r="N31" t="s">
        <v>92</v>
      </c>
      <c r="O31" s="1">
        <v>41335</v>
      </c>
      <c r="P31" t="s">
        <v>84</v>
      </c>
      <c r="Q31">
        <v>5</v>
      </c>
      <c r="R31" t="s">
        <v>28</v>
      </c>
      <c r="S31">
        <v>7.5148950000000001</v>
      </c>
      <c r="T31">
        <v>69.367999999999995</v>
      </c>
      <c r="U31" t="s">
        <v>351</v>
      </c>
      <c r="V31" t="s">
        <v>351</v>
      </c>
      <c r="W31">
        <v>521</v>
      </c>
    </row>
    <row r="32" spans="1:23" x14ac:dyDescent="0.25">
      <c r="A32" s="1">
        <v>43556</v>
      </c>
      <c r="B32" s="1">
        <v>43556</v>
      </c>
      <c r="C32" t="s">
        <v>157</v>
      </c>
      <c r="D32" t="s">
        <v>54</v>
      </c>
      <c r="E32" t="s">
        <v>21</v>
      </c>
      <c r="F32" t="s">
        <v>170</v>
      </c>
      <c r="G32" s="56">
        <v>43598</v>
      </c>
      <c r="H32">
        <v>33</v>
      </c>
      <c r="I32">
        <v>8451</v>
      </c>
      <c r="J32" t="s">
        <v>50</v>
      </c>
      <c r="K32" t="s">
        <v>50</v>
      </c>
      <c r="L32" t="s">
        <v>159</v>
      </c>
      <c r="M32" t="s">
        <v>51</v>
      </c>
      <c r="N32" t="s">
        <v>92</v>
      </c>
      <c r="O32" s="1">
        <v>41335</v>
      </c>
      <c r="P32" t="s">
        <v>84</v>
      </c>
      <c r="Q32">
        <v>1</v>
      </c>
      <c r="R32" t="s">
        <v>83</v>
      </c>
      <c r="S32" t="s">
        <v>351</v>
      </c>
      <c r="T32" t="s">
        <v>351</v>
      </c>
      <c r="U32">
        <v>0</v>
      </c>
      <c r="V32">
        <v>0</v>
      </c>
      <c r="W32">
        <v>0</v>
      </c>
    </row>
    <row r="33" spans="1:23" x14ac:dyDescent="0.25">
      <c r="A33" s="1">
        <v>43556</v>
      </c>
      <c r="B33" s="1">
        <v>43556</v>
      </c>
      <c r="C33" t="s">
        <v>157</v>
      </c>
      <c r="D33" t="s">
        <v>93</v>
      </c>
      <c r="E33" t="s">
        <v>49</v>
      </c>
      <c r="F33" t="s">
        <v>169</v>
      </c>
      <c r="G33" s="56">
        <v>43913.49763888889</v>
      </c>
      <c r="H33">
        <v>61</v>
      </c>
      <c r="I33" t="s">
        <v>351</v>
      </c>
      <c r="J33" t="s">
        <v>50</v>
      </c>
      <c r="K33" t="s">
        <v>50</v>
      </c>
      <c r="L33" t="s">
        <v>159</v>
      </c>
      <c r="M33" t="s">
        <v>51</v>
      </c>
      <c r="N33" t="s">
        <v>92</v>
      </c>
      <c r="O33" s="1">
        <v>41335</v>
      </c>
      <c r="P33" t="s">
        <v>84</v>
      </c>
      <c r="Q33">
        <v>1</v>
      </c>
      <c r="R33" t="s">
        <v>83</v>
      </c>
      <c r="S33">
        <v>1</v>
      </c>
      <c r="T33">
        <v>-1091</v>
      </c>
      <c r="U33" t="s">
        <v>351</v>
      </c>
      <c r="V33" t="s">
        <v>351</v>
      </c>
      <c r="W33">
        <v>-1091</v>
      </c>
    </row>
    <row r="34" spans="1:23" x14ac:dyDescent="0.25">
      <c r="A34" s="1">
        <v>43556</v>
      </c>
      <c r="B34" s="1">
        <v>43556</v>
      </c>
      <c r="C34" t="s">
        <v>157</v>
      </c>
      <c r="D34" t="s">
        <v>48</v>
      </c>
      <c r="E34" t="s">
        <v>49</v>
      </c>
      <c r="F34" t="s">
        <v>171</v>
      </c>
      <c r="G34" s="56">
        <v>43598</v>
      </c>
      <c r="H34">
        <v>33</v>
      </c>
      <c r="I34">
        <v>8451</v>
      </c>
      <c r="J34" t="s">
        <v>50</v>
      </c>
      <c r="K34" t="s">
        <v>50</v>
      </c>
      <c r="L34" t="s">
        <v>159</v>
      </c>
      <c r="M34" t="s">
        <v>51</v>
      </c>
      <c r="N34" t="s">
        <v>92</v>
      </c>
      <c r="O34" s="1">
        <v>41335</v>
      </c>
      <c r="P34" t="s">
        <v>84</v>
      </c>
      <c r="Q34">
        <v>1</v>
      </c>
      <c r="R34" t="s">
        <v>83</v>
      </c>
      <c r="S34">
        <v>897.96509900000001</v>
      </c>
      <c r="T34">
        <v>66.900000000000006</v>
      </c>
      <c r="U34" t="s">
        <v>351</v>
      </c>
      <c r="V34" t="s">
        <v>351</v>
      </c>
      <c r="W34">
        <v>60074</v>
      </c>
    </row>
    <row r="35" spans="1:23" x14ac:dyDescent="0.25">
      <c r="A35" s="1">
        <v>43556</v>
      </c>
      <c r="B35" s="1">
        <v>43556</v>
      </c>
      <c r="C35" t="s">
        <v>157</v>
      </c>
      <c r="D35" t="s">
        <v>54</v>
      </c>
      <c r="E35" t="s">
        <v>21</v>
      </c>
      <c r="F35" t="s">
        <v>170</v>
      </c>
      <c r="G35" s="56">
        <v>43598</v>
      </c>
      <c r="H35">
        <v>33</v>
      </c>
      <c r="I35">
        <v>8451</v>
      </c>
      <c r="J35" t="s">
        <v>50</v>
      </c>
      <c r="K35" t="s">
        <v>50</v>
      </c>
      <c r="L35" t="s">
        <v>159</v>
      </c>
      <c r="M35" t="s">
        <v>51</v>
      </c>
      <c r="N35" t="s">
        <v>92</v>
      </c>
      <c r="O35" s="1">
        <v>41335</v>
      </c>
      <c r="P35" t="s">
        <v>84</v>
      </c>
      <c r="Q35">
        <v>2</v>
      </c>
      <c r="R35" t="s">
        <v>94</v>
      </c>
      <c r="S35" t="s">
        <v>351</v>
      </c>
      <c r="T35" t="s">
        <v>351</v>
      </c>
      <c r="U35">
        <v>0</v>
      </c>
      <c r="V35">
        <v>0</v>
      </c>
      <c r="W35">
        <v>0</v>
      </c>
    </row>
    <row r="36" spans="1:23" x14ac:dyDescent="0.25">
      <c r="A36" s="1">
        <v>43556</v>
      </c>
      <c r="B36" s="1">
        <v>43556</v>
      </c>
      <c r="C36" t="s">
        <v>157</v>
      </c>
      <c r="D36" t="s">
        <v>93</v>
      </c>
      <c r="E36" t="s">
        <v>49</v>
      </c>
      <c r="F36" t="s">
        <v>169</v>
      </c>
      <c r="G36" s="56">
        <v>43913.49763888889</v>
      </c>
      <c r="H36">
        <v>61</v>
      </c>
      <c r="I36" t="s">
        <v>351</v>
      </c>
      <c r="J36" t="s">
        <v>50</v>
      </c>
      <c r="K36" t="s">
        <v>50</v>
      </c>
      <c r="L36" t="s">
        <v>159</v>
      </c>
      <c r="M36" t="s">
        <v>51</v>
      </c>
      <c r="N36" t="s">
        <v>92</v>
      </c>
      <c r="O36" s="1">
        <v>41335</v>
      </c>
      <c r="P36" t="s">
        <v>84</v>
      </c>
      <c r="Q36">
        <v>2</v>
      </c>
      <c r="R36" t="s">
        <v>94</v>
      </c>
      <c r="S36">
        <v>1</v>
      </c>
      <c r="T36">
        <v>-8</v>
      </c>
      <c r="U36" t="s">
        <v>351</v>
      </c>
      <c r="V36" t="s">
        <v>351</v>
      </c>
      <c r="W36">
        <v>-8</v>
      </c>
    </row>
    <row r="37" spans="1:23" x14ac:dyDescent="0.25">
      <c r="A37" s="1">
        <v>43556</v>
      </c>
      <c r="B37" s="1">
        <v>43556</v>
      </c>
      <c r="C37" t="s">
        <v>157</v>
      </c>
      <c r="D37" t="s">
        <v>48</v>
      </c>
      <c r="E37" t="s">
        <v>49</v>
      </c>
      <c r="F37" t="s">
        <v>171</v>
      </c>
      <c r="G37" s="56">
        <v>43598</v>
      </c>
      <c r="H37">
        <v>33</v>
      </c>
      <c r="I37">
        <v>8451</v>
      </c>
      <c r="J37" t="s">
        <v>50</v>
      </c>
      <c r="K37" t="s">
        <v>50</v>
      </c>
      <c r="L37" t="s">
        <v>159</v>
      </c>
      <c r="M37" t="s">
        <v>51</v>
      </c>
      <c r="N37" t="s">
        <v>92</v>
      </c>
      <c r="O37" s="1">
        <v>41335</v>
      </c>
      <c r="P37" t="s">
        <v>84</v>
      </c>
      <c r="Q37">
        <v>2</v>
      </c>
      <c r="R37" t="s">
        <v>94</v>
      </c>
      <c r="S37">
        <v>5.9124509999999999</v>
      </c>
      <c r="T37">
        <v>69.013999999999996</v>
      </c>
      <c r="U37" t="s">
        <v>351</v>
      </c>
      <c r="V37" t="s">
        <v>351</v>
      </c>
      <c r="W37">
        <v>408</v>
      </c>
    </row>
    <row r="38" spans="1:23" x14ac:dyDescent="0.25">
      <c r="A38" s="1">
        <v>43556</v>
      </c>
      <c r="B38" s="1">
        <v>43556</v>
      </c>
      <c r="C38" t="s">
        <v>157</v>
      </c>
      <c r="D38" t="s">
        <v>54</v>
      </c>
      <c r="E38" t="s">
        <v>21</v>
      </c>
      <c r="F38" t="s">
        <v>170</v>
      </c>
      <c r="G38" s="56">
        <v>43598</v>
      </c>
      <c r="H38">
        <v>33</v>
      </c>
      <c r="I38">
        <v>8451</v>
      </c>
      <c r="J38" t="s">
        <v>50</v>
      </c>
      <c r="K38" t="s">
        <v>50</v>
      </c>
      <c r="L38" t="s">
        <v>159</v>
      </c>
      <c r="M38" t="s">
        <v>51</v>
      </c>
      <c r="N38" t="s">
        <v>92</v>
      </c>
      <c r="O38" s="1">
        <v>41335</v>
      </c>
      <c r="P38" t="s">
        <v>84</v>
      </c>
      <c r="Q38">
        <v>3</v>
      </c>
      <c r="R38" t="s">
        <v>81</v>
      </c>
      <c r="S38" t="s">
        <v>351</v>
      </c>
      <c r="T38" t="s">
        <v>351</v>
      </c>
      <c r="U38">
        <v>0</v>
      </c>
      <c r="V38">
        <v>0</v>
      </c>
      <c r="W38">
        <v>0</v>
      </c>
    </row>
    <row r="39" spans="1:23" x14ac:dyDescent="0.25">
      <c r="A39" s="1">
        <v>43556</v>
      </c>
      <c r="B39" s="1">
        <v>43556</v>
      </c>
      <c r="C39" t="s">
        <v>157</v>
      </c>
      <c r="D39" t="s">
        <v>93</v>
      </c>
      <c r="E39" t="s">
        <v>49</v>
      </c>
      <c r="F39" t="s">
        <v>169</v>
      </c>
      <c r="G39" s="56">
        <v>43913.49763888889</v>
      </c>
      <c r="H39">
        <v>61</v>
      </c>
      <c r="I39" t="s">
        <v>351</v>
      </c>
      <c r="J39" t="s">
        <v>50</v>
      </c>
      <c r="K39" t="s">
        <v>50</v>
      </c>
      <c r="L39" t="s">
        <v>159</v>
      </c>
      <c r="M39" t="s">
        <v>51</v>
      </c>
      <c r="N39" t="s">
        <v>92</v>
      </c>
      <c r="O39" s="1">
        <v>41335</v>
      </c>
      <c r="P39" t="s">
        <v>84</v>
      </c>
      <c r="Q39">
        <v>3</v>
      </c>
      <c r="R39" t="s">
        <v>81</v>
      </c>
      <c r="S39">
        <v>1</v>
      </c>
      <c r="T39">
        <v>-327</v>
      </c>
      <c r="U39" t="s">
        <v>351</v>
      </c>
      <c r="V39" t="s">
        <v>351</v>
      </c>
      <c r="W39">
        <v>-327</v>
      </c>
    </row>
    <row r="40" spans="1:23" x14ac:dyDescent="0.25">
      <c r="A40" s="1">
        <v>43556</v>
      </c>
      <c r="B40" s="1">
        <v>43556</v>
      </c>
      <c r="C40" t="s">
        <v>157</v>
      </c>
      <c r="D40" t="s">
        <v>48</v>
      </c>
      <c r="E40" t="s">
        <v>49</v>
      </c>
      <c r="F40" t="s">
        <v>171</v>
      </c>
      <c r="G40" s="56">
        <v>43598</v>
      </c>
      <c r="H40">
        <v>33</v>
      </c>
      <c r="I40">
        <v>8451</v>
      </c>
      <c r="J40" t="s">
        <v>50</v>
      </c>
      <c r="K40" t="s">
        <v>50</v>
      </c>
      <c r="L40" t="s">
        <v>159</v>
      </c>
      <c r="M40" t="s">
        <v>51</v>
      </c>
      <c r="N40" t="s">
        <v>92</v>
      </c>
      <c r="O40" s="1">
        <v>41335</v>
      </c>
      <c r="P40" t="s">
        <v>84</v>
      </c>
      <c r="Q40">
        <v>3</v>
      </c>
      <c r="R40" t="s">
        <v>81</v>
      </c>
      <c r="S40">
        <v>278.37088999999997</v>
      </c>
      <c r="T40">
        <v>63.27</v>
      </c>
      <c r="U40" t="s">
        <v>351</v>
      </c>
      <c r="V40" t="s">
        <v>351</v>
      </c>
      <c r="W40">
        <v>17613</v>
      </c>
    </row>
    <row r="41" spans="1:23" x14ac:dyDescent="0.25">
      <c r="A41" s="1">
        <v>43556</v>
      </c>
      <c r="B41" s="1">
        <v>43556</v>
      </c>
      <c r="C41" t="s">
        <v>157</v>
      </c>
      <c r="D41" t="s">
        <v>54</v>
      </c>
      <c r="E41" t="s">
        <v>21</v>
      </c>
      <c r="F41" t="s">
        <v>170</v>
      </c>
      <c r="G41" s="56">
        <v>43598</v>
      </c>
      <c r="H41">
        <v>33</v>
      </c>
      <c r="I41">
        <v>8451</v>
      </c>
      <c r="J41" t="s">
        <v>50</v>
      </c>
      <c r="K41" t="s">
        <v>50</v>
      </c>
      <c r="L41" t="s">
        <v>159</v>
      </c>
      <c r="M41" t="s">
        <v>51</v>
      </c>
      <c r="N41" t="s">
        <v>92</v>
      </c>
      <c r="O41" s="1">
        <v>41335</v>
      </c>
      <c r="P41" t="s">
        <v>84</v>
      </c>
      <c r="Q41">
        <v>4</v>
      </c>
      <c r="R41" t="s">
        <v>27</v>
      </c>
      <c r="S41" t="s">
        <v>351</v>
      </c>
      <c r="T41" t="s">
        <v>351</v>
      </c>
      <c r="U41">
        <v>0</v>
      </c>
      <c r="V41">
        <v>0</v>
      </c>
      <c r="W41">
        <v>0</v>
      </c>
    </row>
    <row r="42" spans="1:23" x14ac:dyDescent="0.25">
      <c r="A42" s="1">
        <v>43556</v>
      </c>
      <c r="B42" s="1">
        <v>43556</v>
      </c>
      <c r="C42" t="s">
        <v>157</v>
      </c>
      <c r="D42" t="s">
        <v>93</v>
      </c>
      <c r="E42" t="s">
        <v>49</v>
      </c>
      <c r="F42" t="s">
        <v>169</v>
      </c>
      <c r="G42" s="56">
        <v>43913.49763888889</v>
      </c>
      <c r="H42">
        <v>61</v>
      </c>
      <c r="I42" t="s">
        <v>351</v>
      </c>
      <c r="J42" t="s">
        <v>50</v>
      </c>
      <c r="K42" t="s">
        <v>50</v>
      </c>
      <c r="L42" t="s">
        <v>159</v>
      </c>
      <c r="M42" t="s">
        <v>51</v>
      </c>
      <c r="N42" t="s">
        <v>92</v>
      </c>
      <c r="O42" s="1">
        <v>41335</v>
      </c>
      <c r="P42" t="s">
        <v>84</v>
      </c>
      <c r="Q42">
        <v>4</v>
      </c>
      <c r="R42" t="s">
        <v>27</v>
      </c>
      <c r="S42">
        <v>1</v>
      </c>
      <c r="T42">
        <v>-1638</v>
      </c>
      <c r="U42" t="s">
        <v>351</v>
      </c>
      <c r="V42" t="s">
        <v>351</v>
      </c>
      <c r="W42">
        <v>-1638</v>
      </c>
    </row>
    <row r="43" spans="1:23" x14ac:dyDescent="0.25">
      <c r="A43" s="1">
        <v>43556</v>
      </c>
      <c r="B43" s="1">
        <v>43556</v>
      </c>
      <c r="C43" t="s">
        <v>157</v>
      </c>
      <c r="D43" t="s">
        <v>48</v>
      </c>
      <c r="E43" t="s">
        <v>49</v>
      </c>
      <c r="F43" t="s">
        <v>171</v>
      </c>
      <c r="G43" s="56">
        <v>43598</v>
      </c>
      <c r="H43">
        <v>33</v>
      </c>
      <c r="I43">
        <v>8451</v>
      </c>
      <c r="J43" t="s">
        <v>50</v>
      </c>
      <c r="K43" t="s">
        <v>50</v>
      </c>
      <c r="L43" t="s">
        <v>159</v>
      </c>
      <c r="M43" t="s">
        <v>51</v>
      </c>
      <c r="N43" t="s">
        <v>92</v>
      </c>
      <c r="O43" s="1">
        <v>41335</v>
      </c>
      <c r="P43" t="s">
        <v>84</v>
      </c>
      <c r="Q43">
        <v>4</v>
      </c>
      <c r="R43" t="s">
        <v>27</v>
      </c>
      <c r="S43">
        <v>1366.2586240000001</v>
      </c>
      <c r="T43">
        <v>65.349000000000004</v>
      </c>
      <c r="U43" t="s">
        <v>351</v>
      </c>
      <c r="V43" t="s">
        <v>351</v>
      </c>
      <c r="W43">
        <v>89284</v>
      </c>
    </row>
    <row r="44" spans="1:23" x14ac:dyDescent="0.25">
      <c r="A44" s="1">
        <v>43556</v>
      </c>
      <c r="B44" s="1">
        <v>43556</v>
      </c>
      <c r="C44" t="s">
        <v>157</v>
      </c>
      <c r="D44" t="s">
        <v>54</v>
      </c>
      <c r="E44" t="s">
        <v>21</v>
      </c>
      <c r="F44" t="s">
        <v>170</v>
      </c>
      <c r="G44" s="56">
        <v>43598</v>
      </c>
      <c r="H44">
        <v>33</v>
      </c>
      <c r="I44">
        <v>8451</v>
      </c>
      <c r="J44" t="s">
        <v>50</v>
      </c>
      <c r="K44" t="s">
        <v>50</v>
      </c>
      <c r="L44" t="s">
        <v>159</v>
      </c>
      <c r="M44" t="s">
        <v>51</v>
      </c>
      <c r="N44" t="s">
        <v>92</v>
      </c>
      <c r="O44" s="1">
        <v>41335</v>
      </c>
      <c r="P44" t="s">
        <v>84</v>
      </c>
      <c r="Q44">
        <v>5</v>
      </c>
      <c r="R44" t="s">
        <v>28</v>
      </c>
      <c r="S44" t="s">
        <v>351</v>
      </c>
      <c r="T44" t="s">
        <v>351</v>
      </c>
      <c r="U44">
        <v>0</v>
      </c>
      <c r="V44">
        <v>0</v>
      </c>
      <c r="W44">
        <v>0</v>
      </c>
    </row>
    <row r="45" spans="1:23" x14ac:dyDescent="0.25">
      <c r="A45" s="1">
        <v>43556</v>
      </c>
      <c r="B45" s="1">
        <v>43556</v>
      </c>
      <c r="C45" t="s">
        <v>157</v>
      </c>
      <c r="D45" t="s">
        <v>93</v>
      </c>
      <c r="E45" t="s">
        <v>49</v>
      </c>
      <c r="F45" t="s">
        <v>169</v>
      </c>
      <c r="G45" s="56">
        <v>43913.49763888889</v>
      </c>
      <c r="H45">
        <v>61</v>
      </c>
      <c r="I45" t="s">
        <v>351</v>
      </c>
      <c r="J45" t="s">
        <v>50</v>
      </c>
      <c r="K45" t="s">
        <v>50</v>
      </c>
      <c r="L45" t="s">
        <v>159</v>
      </c>
      <c r="M45" t="s">
        <v>51</v>
      </c>
      <c r="N45" t="s">
        <v>92</v>
      </c>
      <c r="O45" s="1">
        <v>41335</v>
      </c>
      <c r="P45" t="s">
        <v>84</v>
      </c>
      <c r="Q45">
        <v>5</v>
      </c>
      <c r="R45" t="s">
        <v>28</v>
      </c>
      <c r="S45">
        <v>1</v>
      </c>
      <c r="T45">
        <v>-7</v>
      </c>
      <c r="U45" t="s">
        <v>351</v>
      </c>
      <c r="V45" t="s">
        <v>351</v>
      </c>
      <c r="W45">
        <v>-7</v>
      </c>
    </row>
    <row r="46" spans="1:23" x14ac:dyDescent="0.25">
      <c r="A46" s="1">
        <v>43556</v>
      </c>
      <c r="B46" s="1">
        <v>43556</v>
      </c>
      <c r="C46" t="s">
        <v>157</v>
      </c>
      <c r="D46" t="s">
        <v>48</v>
      </c>
      <c r="E46" t="s">
        <v>49</v>
      </c>
      <c r="F46" t="s">
        <v>171</v>
      </c>
      <c r="G46" s="56">
        <v>43598</v>
      </c>
      <c r="H46">
        <v>33</v>
      </c>
      <c r="I46">
        <v>8451</v>
      </c>
      <c r="J46" t="s">
        <v>50</v>
      </c>
      <c r="K46" t="s">
        <v>50</v>
      </c>
      <c r="L46" t="s">
        <v>159</v>
      </c>
      <c r="M46" t="s">
        <v>51</v>
      </c>
      <c r="N46" t="s">
        <v>92</v>
      </c>
      <c r="O46" s="1">
        <v>41335</v>
      </c>
      <c r="P46" t="s">
        <v>84</v>
      </c>
      <c r="Q46">
        <v>5</v>
      </c>
      <c r="R46" t="s">
        <v>28</v>
      </c>
      <c r="S46">
        <v>5.4320240000000002</v>
      </c>
      <c r="T46">
        <v>69.367999999999995</v>
      </c>
      <c r="U46" t="s">
        <v>351</v>
      </c>
      <c r="V46" t="s">
        <v>351</v>
      </c>
      <c r="W46">
        <v>377</v>
      </c>
    </row>
    <row r="47" spans="1:23" x14ac:dyDescent="0.25">
      <c r="A47" s="1">
        <v>43586</v>
      </c>
      <c r="B47" s="1">
        <v>43586</v>
      </c>
      <c r="C47" t="s">
        <v>157</v>
      </c>
      <c r="D47" t="s">
        <v>54</v>
      </c>
      <c r="E47" t="s">
        <v>21</v>
      </c>
      <c r="F47" t="s">
        <v>173</v>
      </c>
      <c r="G47" s="56">
        <v>43627</v>
      </c>
      <c r="H47">
        <v>33</v>
      </c>
      <c r="I47">
        <v>8768</v>
      </c>
      <c r="J47" t="s">
        <v>50</v>
      </c>
      <c r="K47" t="s">
        <v>50</v>
      </c>
      <c r="L47" t="s">
        <v>159</v>
      </c>
      <c r="M47" t="s">
        <v>51</v>
      </c>
      <c r="N47" t="s">
        <v>92</v>
      </c>
      <c r="O47" s="1">
        <v>41335</v>
      </c>
      <c r="P47" t="s">
        <v>84</v>
      </c>
      <c r="Q47">
        <v>1</v>
      </c>
      <c r="R47" t="s">
        <v>83</v>
      </c>
      <c r="S47" t="s">
        <v>351</v>
      </c>
      <c r="T47" t="s">
        <v>351</v>
      </c>
      <c r="U47">
        <v>0</v>
      </c>
      <c r="V47">
        <v>0</v>
      </c>
      <c r="W47">
        <v>0</v>
      </c>
    </row>
    <row r="48" spans="1:23" x14ac:dyDescent="0.25">
      <c r="A48" s="1">
        <v>43586</v>
      </c>
      <c r="B48" s="1">
        <v>43586</v>
      </c>
      <c r="C48" t="s">
        <v>157</v>
      </c>
      <c r="D48" t="s">
        <v>93</v>
      </c>
      <c r="E48" t="s">
        <v>49</v>
      </c>
      <c r="F48" t="s">
        <v>172</v>
      </c>
      <c r="G48" s="56">
        <v>43915.631481481483</v>
      </c>
      <c r="H48">
        <v>61</v>
      </c>
      <c r="I48" t="s">
        <v>351</v>
      </c>
      <c r="J48" t="s">
        <v>50</v>
      </c>
      <c r="K48" t="s">
        <v>50</v>
      </c>
      <c r="L48" t="s">
        <v>159</v>
      </c>
      <c r="M48" t="s">
        <v>51</v>
      </c>
      <c r="N48" t="s">
        <v>92</v>
      </c>
      <c r="O48" s="1">
        <v>41335</v>
      </c>
      <c r="P48" t="s">
        <v>84</v>
      </c>
      <c r="Q48">
        <v>1</v>
      </c>
      <c r="R48" t="s">
        <v>83</v>
      </c>
      <c r="S48">
        <v>1</v>
      </c>
      <c r="T48">
        <v>-337</v>
      </c>
      <c r="U48" t="s">
        <v>351</v>
      </c>
      <c r="V48" t="s">
        <v>351</v>
      </c>
      <c r="W48">
        <v>-337</v>
      </c>
    </row>
    <row r="49" spans="1:23" x14ac:dyDescent="0.25">
      <c r="A49" s="1">
        <v>43586</v>
      </c>
      <c r="B49" s="1">
        <v>43586</v>
      </c>
      <c r="C49" t="s">
        <v>157</v>
      </c>
      <c r="D49" t="s">
        <v>48</v>
      </c>
      <c r="E49" t="s">
        <v>49</v>
      </c>
      <c r="F49" t="s">
        <v>174</v>
      </c>
      <c r="G49" s="56">
        <v>43627</v>
      </c>
      <c r="H49">
        <v>33</v>
      </c>
      <c r="I49">
        <v>8768</v>
      </c>
      <c r="J49" t="s">
        <v>50</v>
      </c>
      <c r="K49" t="s">
        <v>50</v>
      </c>
      <c r="L49" t="s">
        <v>159</v>
      </c>
      <c r="M49" t="s">
        <v>51</v>
      </c>
      <c r="N49" t="s">
        <v>92</v>
      </c>
      <c r="O49" s="1">
        <v>41335</v>
      </c>
      <c r="P49" t="s">
        <v>84</v>
      </c>
      <c r="Q49">
        <v>1</v>
      </c>
      <c r="R49" t="s">
        <v>83</v>
      </c>
      <c r="S49">
        <v>885.88966900000003</v>
      </c>
      <c r="T49">
        <v>74.400999999999996</v>
      </c>
      <c r="U49" t="s">
        <v>351</v>
      </c>
      <c r="V49" t="s">
        <v>351</v>
      </c>
      <c r="W49">
        <v>65911</v>
      </c>
    </row>
    <row r="50" spans="1:23" x14ac:dyDescent="0.25">
      <c r="A50" s="1">
        <v>43586</v>
      </c>
      <c r="B50" s="1">
        <v>43586</v>
      </c>
      <c r="C50" t="s">
        <v>157</v>
      </c>
      <c r="D50" t="s">
        <v>54</v>
      </c>
      <c r="E50" t="s">
        <v>21</v>
      </c>
      <c r="F50" t="s">
        <v>173</v>
      </c>
      <c r="G50" s="56">
        <v>43627</v>
      </c>
      <c r="H50">
        <v>33</v>
      </c>
      <c r="I50">
        <v>8768</v>
      </c>
      <c r="J50" t="s">
        <v>50</v>
      </c>
      <c r="K50" t="s">
        <v>50</v>
      </c>
      <c r="L50" t="s">
        <v>159</v>
      </c>
      <c r="M50" t="s">
        <v>51</v>
      </c>
      <c r="N50" t="s">
        <v>92</v>
      </c>
      <c r="O50" s="1">
        <v>41335</v>
      </c>
      <c r="P50" t="s">
        <v>84</v>
      </c>
      <c r="Q50">
        <v>2</v>
      </c>
      <c r="R50" t="s">
        <v>94</v>
      </c>
      <c r="S50" t="s">
        <v>351</v>
      </c>
      <c r="T50" t="s">
        <v>351</v>
      </c>
      <c r="U50">
        <v>0</v>
      </c>
      <c r="V50">
        <v>0</v>
      </c>
      <c r="W50">
        <v>0</v>
      </c>
    </row>
    <row r="51" spans="1:23" x14ac:dyDescent="0.25">
      <c r="A51" s="1">
        <v>43586</v>
      </c>
      <c r="B51" s="1">
        <v>43586</v>
      </c>
      <c r="C51" t="s">
        <v>157</v>
      </c>
      <c r="D51" t="s">
        <v>93</v>
      </c>
      <c r="E51" t="s">
        <v>49</v>
      </c>
      <c r="F51" t="s">
        <v>172</v>
      </c>
      <c r="G51" s="56">
        <v>43915.631481481483</v>
      </c>
      <c r="H51">
        <v>61</v>
      </c>
      <c r="I51" t="s">
        <v>351</v>
      </c>
      <c r="J51" t="s">
        <v>50</v>
      </c>
      <c r="K51" t="s">
        <v>50</v>
      </c>
      <c r="L51" t="s">
        <v>159</v>
      </c>
      <c r="M51" t="s">
        <v>51</v>
      </c>
      <c r="N51" t="s">
        <v>92</v>
      </c>
      <c r="O51" s="1">
        <v>41335</v>
      </c>
      <c r="P51" t="s">
        <v>84</v>
      </c>
      <c r="Q51">
        <v>2</v>
      </c>
      <c r="R51" t="s">
        <v>94</v>
      </c>
      <c r="S51">
        <v>1</v>
      </c>
      <c r="T51">
        <v>-2</v>
      </c>
      <c r="U51" t="s">
        <v>351</v>
      </c>
      <c r="V51" t="s">
        <v>351</v>
      </c>
      <c r="W51">
        <v>-2</v>
      </c>
    </row>
    <row r="52" spans="1:23" x14ac:dyDescent="0.25">
      <c r="A52" s="1">
        <v>43586</v>
      </c>
      <c r="B52" s="1">
        <v>43586</v>
      </c>
      <c r="C52" t="s">
        <v>157</v>
      </c>
      <c r="D52" t="s">
        <v>48</v>
      </c>
      <c r="E52" t="s">
        <v>49</v>
      </c>
      <c r="F52" t="s">
        <v>174</v>
      </c>
      <c r="G52" s="56">
        <v>43627</v>
      </c>
      <c r="H52">
        <v>33</v>
      </c>
      <c r="I52">
        <v>8768</v>
      </c>
      <c r="J52" t="s">
        <v>50</v>
      </c>
      <c r="K52" t="s">
        <v>50</v>
      </c>
      <c r="L52" t="s">
        <v>159</v>
      </c>
      <c r="M52" t="s">
        <v>51</v>
      </c>
      <c r="N52" t="s">
        <v>92</v>
      </c>
      <c r="O52" s="1">
        <v>41335</v>
      </c>
      <c r="P52" t="s">
        <v>84</v>
      </c>
      <c r="Q52">
        <v>2</v>
      </c>
      <c r="R52" t="s">
        <v>94</v>
      </c>
      <c r="S52">
        <v>5.7284470000000001</v>
      </c>
      <c r="T52">
        <v>75.736999999999995</v>
      </c>
      <c r="U52" t="s">
        <v>351</v>
      </c>
      <c r="V52" t="s">
        <v>351</v>
      </c>
      <c r="W52">
        <v>434</v>
      </c>
    </row>
    <row r="53" spans="1:23" x14ac:dyDescent="0.25">
      <c r="A53" s="1">
        <v>43586</v>
      </c>
      <c r="B53" s="1">
        <v>43586</v>
      </c>
      <c r="C53" t="s">
        <v>157</v>
      </c>
      <c r="D53" t="s">
        <v>54</v>
      </c>
      <c r="E53" t="s">
        <v>21</v>
      </c>
      <c r="F53" t="s">
        <v>173</v>
      </c>
      <c r="G53" s="56">
        <v>43627</v>
      </c>
      <c r="H53">
        <v>33</v>
      </c>
      <c r="I53">
        <v>8768</v>
      </c>
      <c r="J53" t="s">
        <v>50</v>
      </c>
      <c r="K53" t="s">
        <v>50</v>
      </c>
      <c r="L53" t="s">
        <v>159</v>
      </c>
      <c r="M53" t="s">
        <v>51</v>
      </c>
      <c r="N53" t="s">
        <v>92</v>
      </c>
      <c r="O53" s="1">
        <v>41335</v>
      </c>
      <c r="P53" t="s">
        <v>84</v>
      </c>
      <c r="Q53">
        <v>3</v>
      </c>
      <c r="R53" t="s">
        <v>81</v>
      </c>
      <c r="S53" t="s">
        <v>351</v>
      </c>
      <c r="T53" t="s">
        <v>351</v>
      </c>
      <c r="U53">
        <v>0</v>
      </c>
      <c r="V53">
        <v>0</v>
      </c>
      <c r="W53">
        <v>0</v>
      </c>
    </row>
    <row r="54" spans="1:23" x14ac:dyDescent="0.25">
      <c r="A54" s="1">
        <v>43586</v>
      </c>
      <c r="B54" s="1">
        <v>43586</v>
      </c>
      <c r="C54" t="s">
        <v>157</v>
      </c>
      <c r="D54" t="s">
        <v>93</v>
      </c>
      <c r="E54" t="s">
        <v>49</v>
      </c>
      <c r="F54" t="s">
        <v>172</v>
      </c>
      <c r="G54" s="56">
        <v>43915.631481481483</v>
      </c>
      <c r="H54">
        <v>61</v>
      </c>
      <c r="I54" t="s">
        <v>351</v>
      </c>
      <c r="J54" t="s">
        <v>50</v>
      </c>
      <c r="K54" t="s">
        <v>50</v>
      </c>
      <c r="L54" t="s">
        <v>159</v>
      </c>
      <c r="M54" t="s">
        <v>51</v>
      </c>
      <c r="N54" t="s">
        <v>92</v>
      </c>
      <c r="O54" s="1">
        <v>41335</v>
      </c>
      <c r="P54" t="s">
        <v>84</v>
      </c>
      <c r="Q54">
        <v>3</v>
      </c>
      <c r="R54" t="s">
        <v>81</v>
      </c>
      <c r="S54">
        <v>1</v>
      </c>
      <c r="T54">
        <v>-99</v>
      </c>
      <c r="U54" t="s">
        <v>351</v>
      </c>
      <c r="V54" t="s">
        <v>351</v>
      </c>
      <c r="W54">
        <v>-99</v>
      </c>
    </row>
    <row r="55" spans="1:23" x14ac:dyDescent="0.25">
      <c r="A55" s="1">
        <v>43586</v>
      </c>
      <c r="B55" s="1">
        <v>43586</v>
      </c>
      <c r="C55" t="s">
        <v>157</v>
      </c>
      <c r="D55" t="s">
        <v>48</v>
      </c>
      <c r="E55" t="s">
        <v>49</v>
      </c>
      <c r="F55" t="s">
        <v>174</v>
      </c>
      <c r="G55" s="56">
        <v>43627</v>
      </c>
      <c r="H55">
        <v>33</v>
      </c>
      <c r="I55">
        <v>8768</v>
      </c>
      <c r="J55" t="s">
        <v>50</v>
      </c>
      <c r="K55" t="s">
        <v>50</v>
      </c>
      <c r="L55" t="s">
        <v>159</v>
      </c>
      <c r="M55" t="s">
        <v>51</v>
      </c>
      <c r="N55" t="s">
        <v>92</v>
      </c>
      <c r="O55" s="1">
        <v>41335</v>
      </c>
      <c r="P55" t="s">
        <v>84</v>
      </c>
      <c r="Q55">
        <v>3</v>
      </c>
      <c r="R55" t="s">
        <v>81</v>
      </c>
      <c r="S55">
        <v>273.818037</v>
      </c>
      <c r="T55">
        <v>70.436999999999998</v>
      </c>
      <c r="U55" t="s">
        <v>351</v>
      </c>
      <c r="V55" t="s">
        <v>351</v>
      </c>
      <c r="W55">
        <v>19287</v>
      </c>
    </row>
    <row r="56" spans="1:23" x14ac:dyDescent="0.25">
      <c r="A56" s="1">
        <v>43586</v>
      </c>
      <c r="B56" s="1">
        <v>43586</v>
      </c>
      <c r="C56" t="s">
        <v>157</v>
      </c>
      <c r="D56" t="s">
        <v>54</v>
      </c>
      <c r="E56" t="s">
        <v>21</v>
      </c>
      <c r="F56" t="s">
        <v>173</v>
      </c>
      <c r="G56" s="56">
        <v>43627</v>
      </c>
      <c r="H56">
        <v>33</v>
      </c>
      <c r="I56">
        <v>8768</v>
      </c>
      <c r="J56" t="s">
        <v>50</v>
      </c>
      <c r="K56" t="s">
        <v>50</v>
      </c>
      <c r="L56" t="s">
        <v>159</v>
      </c>
      <c r="M56" t="s">
        <v>51</v>
      </c>
      <c r="N56" t="s">
        <v>92</v>
      </c>
      <c r="O56" s="1">
        <v>41335</v>
      </c>
      <c r="P56" t="s">
        <v>84</v>
      </c>
      <c r="Q56">
        <v>4</v>
      </c>
      <c r="R56" t="s">
        <v>27</v>
      </c>
      <c r="S56" t="s">
        <v>351</v>
      </c>
      <c r="T56" t="s">
        <v>351</v>
      </c>
      <c r="U56">
        <v>0</v>
      </c>
      <c r="V56">
        <v>0</v>
      </c>
      <c r="W56">
        <v>0</v>
      </c>
    </row>
    <row r="57" spans="1:23" x14ac:dyDescent="0.25">
      <c r="A57" s="1">
        <v>43586</v>
      </c>
      <c r="B57" s="1">
        <v>43586</v>
      </c>
      <c r="C57" t="s">
        <v>157</v>
      </c>
      <c r="D57" t="s">
        <v>93</v>
      </c>
      <c r="E57" t="s">
        <v>49</v>
      </c>
      <c r="F57" t="s">
        <v>172</v>
      </c>
      <c r="G57" s="56">
        <v>43915.631481481483</v>
      </c>
      <c r="H57">
        <v>61</v>
      </c>
      <c r="I57" t="s">
        <v>351</v>
      </c>
      <c r="J57" t="s">
        <v>50</v>
      </c>
      <c r="K57" t="s">
        <v>50</v>
      </c>
      <c r="L57" t="s">
        <v>159</v>
      </c>
      <c r="M57" t="s">
        <v>51</v>
      </c>
      <c r="N57" t="s">
        <v>92</v>
      </c>
      <c r="O57" s="1">
        <v>41335</v>
      </c>
      <c r="P57" t="s">
        <v>84</v>
      </c>
      <c r="Q57">
        <v>4</v>
      </c>
      <c r="R57" t="s">
        <v>27</v>
      </c>
      <c r="S57">
        <v>1</v>
      </c>
      <c r="T57">
        <v>-494</v>
      </c>
      <c r="U57" t="s">
        <v>351</v>
      </c>
      <c r="V57" t="s">
        <v>351</v>
      </c>
      <c r="W57">
        <v>-494</v>
      </c>
    </row>
    <row r="58" spans="1:23" x14ac:dyDescent="0.25">
      <c r="A58" s="1">
        <v>43586</v>
      </c>
      <c r="B58" s="1">
        <v>43586</v>
      </c>
      <c r="C58" t="s">
        <v>157</v>
      </c>
      <c r="D58" t="s">
        <v>48</v>
      </c>
      <c r="E58" t="s">
        <v>49</v>
      </c>
      <c r="F58" t="s">
        <v>174</v>
      </c>
      <c r="G58" s="56">
        <v>43627</v>
      </c>
      <c r="H58">
        <v>33</v>
      </c>
      <c r="I58">
        <v>8768</v>
      </c>
      <c r="J58" t="s">
        <v>50</v>
      </c>
      <c r="K58" t="s">
        <v>50</v>
      </c>
      <c r="L58" t="s">
        <v>159</v>
      </c>
      <c r="M58" t="s">
        <v>51</v>
      </c>
      <c r="N58" t="s">
        <v>92</v>
      </c>
      <c r="O58" s="1">
        <v>41335</v>
      </c>
      <c r="P58" t="s">
        <v>84</v>
      </c>
      <c r="Q58">
        <v>4</v>
      </c>
      <c r="R58" t="s">
        <v>27</v>
      </c>
      <c r="S58">
        <v>1341.725692</v>
      </c>
      <c r="T58">
        <v>71.983999999999995</v>
      </c>
      <c r="U58" t="s">
        <v>351</v>
      </c>
      <c r="V58" t="s">
        <v>351</v>
      </c>
      <c r="W58">
        <v>96583</v>
      </c>
    </row>
    <row r="59" spans="1:23" x14ac:dyDescent="0.25">
      <c r="A59" s="1">
        <v>43586</v>
      </c>
      <c r="B59" s="1">
        <v>43586</v>
      </c>
      <c r="C59" t="s">
        <v>157</v>
      </c>
      <c r="D59" t="s">
        <v>54</v>
      </c>
      <c r="E59" t="s">
        <v>21</v>
      </c>
      <c r="F59" t="s">
        <v>173</v>
      </c>
      <c r="G59" s="56">
        <v>43627</v>
      </c>
      <c r="H59">
        <v>33</v>
      </c>
      <c r="I59">
        <v>8768</v>
      </c>
      <c r="J59" t="s">
        <v>50</v>
      </c>
      <c r="K59" t="s">
        <v>50</v>
      </c>
      <c r="L59" t="s">
        <v>159</v>
      </c>
      <c r="M59" t="s">
        <v>51</v>
      </c>
      <c r="N59" t="s">
        <v>92</v>
      </c>
      <c r="O59" s="1">
        <v>41335</v>
      </c>
      <c r="P59" t="s">
        <v>84</v>
      </c>
      <c r="Q59">
        <v>5</v>
      </c>
      <c r="R59" t="s">
        <v>28</v>
      </c>
      <c r="S59" t="s">
        <v>351</v>
      </c>
      <c r="T59" t="s">
        <v>351</v>
      </c>
      <c r="U59">
        <v>0</v>
      </c>
      <c r="V59">
        <v>0</v>
      </c>
      <c r="W59">
        <v>0</v>
      </c>
    </row>
    <row r="60" spans="1:23" x14ac:dyDescent="0.25">
      <c r="A60" s="1">
        <v>43586</v>
      </c>
      <c r="B60" s="1">
        <v>43586</v>
      </c>
      <c r="C60" t="s">
        <v>157</v>
      </c>
      <c r="D60" t="s">
        <v>93</v>
      </c>
      <c r="E60" t="s">
        <v>49</v>
      </c>
      <c r="F60" t="s">
        <v>172</v>
      </c>
      <c r="G60" s="56">
        <v>43915.631481481483</v>
      </c>
      <c r="H60">
        <v>61</v>
      </c>
      <c r="I60" t="s">
        <v>351</v>
      </c>
      <c r="J60" t="s">
        <v>50</v>
      </c>
      <c r="K60" t="s">
        <v>50</v>
      </c>
      <c r="L60" t="s">
        <v>159</v>
      </c>
      <c r="M60" t="s">
        <v>51</v>
      </c>
      <c r="N60" t="s">
        <v>92</v>
      </c>
      <c r="O60" s="1">
        <v>41335</v>
      </c>
      <c r="P60" t="s">
        <v>84</v>
      </c>
      <c r="Q60">
        <v>5</v>
      </c>
      <c r="R60" t="s">
        <v>28</v>
      </c>
      <c r="S60">
        <v>1</v>
      </c>
      <c r="T60">
        <v>-2</v>
      </c>
      <c r="U60" t="s">
        <v>351</v>
      </c>
      <c r="V60" t="s">
        <v>351</v>
      </c>
      <c r="W60">
        <v>-2</v>
      </c>
    </row>
    <row r="61" spans="1:23" x14ac:dyDescent="0.25">
      <c r="A61" s="1">
        <v>43586</v>
      </c>
      <c r="B61" s="1">
        <v>43586</v>
      </c>
      <c r="C61" t="s">
        <v>157</v>
      </c>
      <c r="D61" t="s">
        <v>48</v>
      </c>
      <c r="E61" t="s">
        <v>49</v>
      </c>
      <c r="F61" t="s">
        <v>174</v>
      </c>
      <c r="G61" s="56">
        <v>43627</v>
      </c>
      <c r="H61">
        <v>33</v>
      </c>
      <c r="I61">
        <v>8768</v>
      </c>
      <c r="J61" t="s">
        <v>50</v>
      </c>
      <c r="K61" t="s">
        <v>50</v>
      </c>
      <c r="L61" t="s">
        <v>159</v>
      </c>
      <c r="M61" t="s">
        <v>51</v>
      </c>
      <c r="N61" t="s">
        <v>92</v>
      </c>
      <c r="O61" s="1">
        <v>41335</v>
      </c>
      <c r="P61" t="s">
        <v>84</v>
      </c>
      <c r="Q61">
        <v>5</v>
      </c>
      <c r="R61" t="s">
        <v>28</v>
      </c>
      <c r="S61">
        <v>5.2645299999999997</v>
      </c>
      <c r="T61">
        <v>75.617000000000004</v>
      </c>
      <c r="U61" t="s">
        <v>351</v>
      </c>
      <c r="V61" t="s">
        <v>351</v>
      </c>
      <c r="W61">
        <v>398</v>
      </c>
    </row>
    <row r="62" spans="1:23" x14ac:dyDescent="0.25">
      <c r="A62" s="1">
        <v>43617</v>
      </c>
      <c r="B62" s="1">
        <v>43617</v>
      </c>
      <c r="C62" t="s">
        <v>157</v>
      </c>
      <c r="D62" t="s">
        <v>54</v>
      </c>
      <c r="E62" t="s">
        <v>21</v>
      </c>
      <c r="F62" t="s">
        <v>175</v>
      </c>
      <c r="G62" s="56">
        <v>43655</v>
      </c>
      <c r="H62">
        <v>33</v>
      </c>
      <c r="I62">
        <v>9022</v>
      </c>
      <c r="J62" t="s">
        <v>50</v>
      </c>
      <c r="K62" t="s">
        <v>50</v>
      </c>
      <c r="L62" t="s">
        <v>159</v>
      </c>
      <c r="M62" t="s">
        <v>51</v>
      </c>
      <c r="N62" t="s">
        <v>92</v>
      </c>
      <c r="O62" s="1">
        <v>41335</v>
      </c>
      <c r="P62" t="s">
        <v>84</v>
      </c>
      <c r="Q62">
        <v>1</v>
      </c>
      <c r="R62" t="s">
        <v>83</v>
      </c>
      <c r="S62" t="s">
        <v>351</v>
      </c>
      <c r="T62" t="s">
        <v>351</v>
      </c>
      <c r="U62">
        <v>0</v>
      </c>
      <c r="V62">
        <v>0</v>
      </c>
      <c r="W62">
        <v>0</v>
      </c>
    </row>
    <row r="63" spans="1:23" x14ac:dyDescent="0.25">
      <c r="A63" s="1">
        <v>43617</v>
      </c>
      <c r="B63" s="1">
        <v>43617</v>
      </c>
      <c r="C63" t="s">
        <v>157</v>
      </c>
      <c r="D63" t="s">
        <v>93</v>
      </c>
      <c r="E63" t="s">
        <v>49</v>
      </c>
      <c r="F63" t="s">
        <v>176</v>
      </c>
      <c r="G63" s="56">
        <v>43693</v>
      </c>
      <c r="H63">
        <v>33</v>
      </c>
      <c r="I63" t="s">
        <v>351</v>
      </c>
      <c r="J63" t="s">
        <v>50</v>
      </c>
      <c r="K63" t="s">
        <v>50</v>
      </c>
      <c r="L63" t="s">
        <v>159</v>
      </c>
      <c r="M63" t="s">
        <v>51</v>
      </c>
      <c r="N63" t="s">
        <v>92</v>
      </c>
      <c r="O63" s="1">
        <v>41335</v>
      </c>
      <c r="P63" t="s">
        <v>84</v>
      </c>
      <c r="Q63">
        <v>1</v>
      </c>
      <c r="R63" t="s">
        <v>83</v>
      </c>
      <c r="S63">
        <v>1.7759450000000001</v>
      </c>
      <c r="T63">
        <v>74.400999999999996</v>
      </c>
      <c r="U63" t="s">
        <v>351</v>
      </c>
      <c r="V63" t="s">
        <v>351</v>
      </c>
      <c r="W63">
        <v>132</v>
      </c>
    </row>
    <row r="64" spans="1:23" x14ac:dyDescent="0.25">
      <c r="A64" s="1">
        <v>43617</v>
      </c>
      <c r="B64" s="1">
        <v>43617</v>
      </c>
      <c r="C64" t="s">
        <v>157</v>
      </c>
      <c r="D64" t="s">
        <v>48</v>
      </c>
      <c r="E64" t="s">
        <v>49</v>
      </c>
      <c r="F64" t="s">
        <v>177</v>
      </c>
      <c r="G64" s="56">
        <v>43655</v>
      </c>
      <c r="H64">
        <v>33</v>
      </c>
      <c r="I64">
        <v>9022</v>
      </c>
      <c r="J64" t="s">
        <v>50</v>
      </c>
      <c r="K64" t="s">
        <v>50</v>
      </c>
      <c r="L64" t="s">
        <v>159</v>
      </c>
      <c r="M64" t="s">
        <v>51</v>
      </c>
      <c r="N64" t="s">
        <v>92</v>
      </c>
      <c r="O64" s="1">
        <v>41335</v>
      </c>
      <c r="P64" t="s">
        <v>84</v>
      </c>
      <c r="Q64">
        <v>1</v>
      </c>
      <c r="R64" t="s">
        <v>83</v>
      </c>
      <c r="S64">
        <v>790.40862500000003</v>
      </c>
      <c r="T64">
        <v>74.400999999999996</v>
      </c>
      <c r="U64" t="s">
        <v>351</v>
      </c>
      <c r="V64" t="s">
        <v>351</v>
      </c>
      <c r="W64">
        <v>58807</v>
      </c>
    </row>
    <row r="65" spans="1:23" x14ac:dyDescent="0.25">
      <c r="A65" s="1">
        <v>43617</v>
      </c>
      <c r="B65" s="1">
        <v>43617</v>
      </c>
      <c r="C65" t="s">
        <v>157</v>
      </c>
      <c r="D65" t="s">
        <v>54</v>
      </c>
      <c r="E65" t="s">
        <v>21</v>
      </c>
      <c r="F65" t="s">
        <v>175</v>
      </c>
      <c r="G65" s="56">
        <v>43655</v>
      </c>
      <c r="H65">
        <v>33</v>
      </c>
      <c r="I65">
        <v>9022</v>
      </c>
      <c r="J65" t="s">
        <v>50</v>
      </c>
      <c r="K65" t="s">
        <v>50</v>
      </c>
      <c r="L65" t="s">
        <v>159</v>
      </c>
      <c r="M65" t="s">
        <v>51</v>
      </c>
      <c r="N65" t="s">
        <v>92</v>
      </c>
      <c r="O65" s="1">
        <v>41335</v>
      </c>
      <c r="P65" t="s">
        <v>84</v>
      </c>
      <c r="Q65">
        <v>2</v>
      </c>
      <c r="R65" t="s">
        <v>94</v>
      </c>
      <c r="S65" t="s">
        <v>351</v>
      </c>
      <c r="T65" t="s">
        <v>351</v>
      </c>
      <c r="U65">
        <v>0</v>
      </c>
      <c r="V65">
        <v>0</v>
      </c>
      <c r="W65">
        <v>0</v>
      </c>
    </row>
    <row r="66" spans="1:23" x14ac:dyDescent="0.25">
      <c r="A66" s="1">
        <v>43617</v>
      </c>
      <c r="B66" s="1">
        <v>43617</v>
      </c>
      <c r="C66" t="s">
        <v>157</v>
      </c>
      <c r="D66" t="s">
        <v>93</v>
      </c>
      <c r="E66" t="s">
        <v>49</v>
      </c>
      <c r="F66" t="s">
        <v>176</v>
      </c>
      <c r="G66" s="56">
        <v>43693</v>
      </c>
      <c r="H66">
        <v>33</v>
      </c>
      <c r="I66" t="s">
        <v>351</v>
      </c>
      <c r="J66" t="s">
        <v>50</v>
      </c>
      <c r="K66" t="s">
        <v>50</v>
      </c>
      <c r="L66" t="s">
        <v>159</v>
      </c>
      <c r="M66" t="s">
        <v>51</v>
      </c>
      <c r="N66" t="s">
        <v>92</v>
      </c>
      <c r="O66" s="1">
        <v>41335</v>
      </c>
      <c r="P66" t="s">
        <v>84</v>
      </c>
      <c r="Q66">
        <v>2</v>
      </c>
      <c r="R66" t="s">
        <v>94</v>
      </c>
      <c r="S66">
        <v>1.1665999999999999E-2</v>
      </c>
      <c r="T66">
        <v>75.736999999999995</v>
      </c>
      <c r="U66" t="s">
        <v>351</v>
      </c>
      <c r="V66" t="s">
        <v>351</v>
      </c>
      <c r="W66">
        <v>1</v>
      </c>
    </row>
    <row r="67" spans="1:23" x14ac:dyDescent="0.25">
      <c r="A67" s="1">
        <v>43617</v>
      </c>
      <c r="B67" s="1">
        <v>43617</v>
      </c>
      <c r="C67" t="s">
        <v>157</v>
      </c>
      <c r="D67" t="s">
        <v>48</v>
      </c>
      <c r="E67" t="s">
        <v>49</v>
      </c>
      <c r="F67" t="s">
        <v>177</v>
      </c>
      <c r="G67" s="56">
        <v>43655</v>
      </c>
      <c r="H67">
        <v>33</v>
      </c>
      <c r="I67">
        <v>9022</v>
      </c>
      <c r="J67" t="s">
        <v>50</v>
      </c>
      <c r="K67" t="s">
        <v>50</v>
      </c>
      <c r="L67" t="s">
        <v>159</v>
      </c>
      <c r="M67" t="s">
        <v>51</v>
      </c>
      <c r="N67" t="s">
        <v>92</v>
      </c>
      <c r="O67" s="1">
        <v>41335</v>
      </c>
      <c r="P67" t="s">
        <v>84</v>
      </c>
      <c r="Q67">
        <v>2</v>
      </c>
      <c r="R67" t="s">
        <v>94</v>
      </c>
      <c r="S67">
        <v>5.1920700000000002</v>
      </c>
      <c r="T67">
        <v>75.736999999999995</v>
      </c>
      <c r="U67" t="s">
        <v>351</v>
      </c>
      <c r="V67" t="s">
        <v>351</v>
      </c>
      <c r="W67">
        <v>393</v>
      </c>
    </row>
    <row r="68" spans="1:23" x14ac:dyDescent="0.25">
      <c r="A68" s="1">
        <v>43617</v>
      </c>
      <c r="B68" s="1">
        <v>43617</v>
      </c>
      <c r="C68" t="s">
        <v>157</v>
      </c>
      <c r="D68" t="s">
        <v>54</v>
      </c>
      <c r="E68" t="s">
        <v>21</v>
      </c>
      <c r="F68" t="s">
        <v>175</v>
      </c>
      <c r="G68" s="56">
        <v>43655</v>
      </c>
      <c r="H68">
        <v>33</v>
      </c>
      <c r="I68">
        <v>9022</v>
      </c>
      <c r="J68" t="s">
        <v>50</v>
      </c>
      <c r="K68" t="s">
        <v>50</v>
      </c>
      <c r="L68" t="s">
        <v>159</v>
      </c>
      <c r="M68" t="s">
        <v>51</v>
      </c>
      <c r="N68" t="s">
        <v>92</v>
      </c>
      <c r="O68" s="1">
        <v>41335</v>
      </c>
      <c r="P68" t="s">
        <v>84</v>
      </c>
      <c r="Q68">
        <v>3</v>
      </c>
      <c r="R68" t="s">
        <v>81</v>
      </c>
      <c r="S68" t="s">
        <v>351</v>
      </c>
      <c r="T68" t="s">
        <v>351</v>
      </c>
      <c r="U68">
        <v>0</v>
      </c>
      <c r="V68">
        <v>0</v>
      </c>
      <c r="W68">
        <v>0</v>
      </c>
    </row>
    <row r="69" spans="1:23" x14ac:dyDescent="0.25">
      <c r="A69" s="1">
        <v>43617</v>
      </c>
      <c r="B69" s="1">
        <v>43617</v>
      </c>
      <c r="C69" t="s">
        <v>157</v>
      </c>
      <c r="D69" t="s">
        <v>93</v>
      </c>
      <c r="E69" t="s">
        <v>49</v>
      </c>
      <c r="F69" t="s">
        <v>176</v>
      </c>
      <c r="G69" s="56">
        <v>43693</v>
      </c>
      <c r="H69">
        <v>33</v>
      </c>
      <c r="I69" t="s">
        <v>351</v>
      </c>
      <c r="J69" t="s">
        <v>50</v>
      </c>
      <c r="K69" t="s">
        <v>50</v>
      </c>
      <c r="L69" t="s">
        <v>159</v>
      </c>
      <c r="M69" t="s">
        <v>51</v>
      </c>
      <c r="N69" t="s">
        <v>92</v>
      </c>
      <c r="O69" s="1">
        <v>41335</v>
      </c>
      <c r="P69" t="s">
        <v>84</v>
      </c>
      <c r="Q69">
        <v>3</v>
      </c>
      <c r="R69" t="s">
        <v>81</v>
      </c>
      <c r="S69">
        <v>0.55193199999999998</v>
      </c>
      <c r="T69">
        <v>70.436999999999998</v>
      </c>
      <c r="U69" t="s">
        <v>351</v>
      </c>
      <c r="V69" t="s">
        <v>351</v>
      </c>
      <c r="W69">
        <v>39</v>
      </c>
    </row>
    <row r="70" spans="1:23" x14ac:dyDescent="0.25">
      <c r="A70" s="1">
        <v>43617</v>
      </c>
      <c r="B70" s="1">
        <v>43617</v>
      </c>
      <c r="C70" t="s">
        <v>157</v>
      </c>
      <c r="D70" t="s">
        <v>48</v>
      </c>
      <c r="E70" t="s">
        <v>49</v>
      </c>
      <c r="F70" t="s">
        <v>177</v>
      </c>
      <c r="G70" s="56">
        <v>43655</v>
      </c>
      <c r="H70">
        <v>33</v>
      </c>
      <c r="I70">
        <v>9022</v>
      </c>
      <c r="J70" t="s">
        <v>50</v>
      </c>
      <c r="K70" t="s">
        <v>50</v>
      </c>
      <c r="L70" t="s">
        <v>159</v>
      </c>
      <c r="M70" t="s">
        <v>51</v>
      </c>
      <c r="N70" t="s">
        <v>92</v>
      </c>
      <c r="O70" s="1">
        <v>41335</v>
      </c>
      <c r="P70" t="s">
        <v>84</v>
      </c>
      <c r="Q70">
        <v>3</v>
      </c>
      <c r="R70" t="s">
        <v>81</v>
      </c>
      <c r="S70">
        <v>245.64497900000001</v>
      </c>
      <c r="T70">
        <v>70.436999999999998</v>
      </c>
      <c r="U70" t="s">
        <v>351</v>
      </c>
      <c r="V70" t="s">
        <v>351</v>
      </c>
      <c r="W70">
        <v>17302</v>
      </c>
    </row>
    <row r="71" spans="1:23" x14ac:dyDescent="0.25">
      <c r="A71" s="1">
        <v>43617</v>
      </c>
      <c r="B71" s="1">
        <v>43617</v>
      </c>
      <c r="C71" t="s">
        <v>157</v>
      </c>
      <c r="D71" t="s">
        <v>54</v>
      </c>
      <c r="E71" t="s">
        <v>21</v>
      </c>
      <c r="F71" t="s">
        <v>175</v>
      </c>
      <c r="G71" s="56">
        <v>43655</v>
      </c>
      <c r="H71">
        <v>33</v>
      </c>
      <c r="I71">
        <v>9022</v>
      </c>
      <c r="J71" t="s">
        <v>50</v>
      </c>
      <c r="K71" t="s">
        <v>50</v>
      </c>
      <c r="L71" t="s">
        <v>159</v>
      </c>
      <c r="M71" t="s">
        <v>51</v>
      </c>
      <c r="N71" t="s">
        <v>92</v>
      </c>
      <c r="O71" s="1">
        <v>41335</v>
      </c>
      <c r="P71" t="s">
        <v>84</v>
      </c>
      <c r="Q71">
        <v>4</v>
      </c>
      <c r="R71" t="s">
        <v>27</v>
      </c>
      <c r="S71" t="s">
        <v>351</v>
      </c>
      <c r="T71" t="s">
        <v>351</v>
      </c>
      <c r="U71">
        <v>0</v>
      </c>
      <c r="V71">
        <v>0</v>
      </c>
      <c r="W71">
        <v>0</v>
      </c>
    </row>
    <row r="72" spans="1:23" x14ac:dyDescent="0.25">
      <c r="A72" s="1">
        <v>43617</v>
      </c>
      <c r="B72" s="1">
        <v>43617</v>
      </c>
      <c r="C72" t="s">
        <v>157</v>
      </c>
      <c r="D72" t="s">
        <v>93</v>
      </c>
      <c r="E72" t="s">
        <v>49</v>
      </c>
      <c r="F72" t="s">
        <v>176</v>
      </c>
      <c r="G72" s="56">
        <v>43693</v>
      </c>
      <c r="H72">
        <v>33</v>
      </c>
      <c r="I72" t="s">
        <v>351</v>
      </c>
      <c r="J72" t="s">
        <v>50</v>
      </c>
      <c r="K72" t="s">
        <v>50</v>
      </c>
      <c r="L72" t="s">
        <v>159</v>
      </c>
      <c r="M72" t="s">
        <v>51</v>
      </c>
      <c r="N72" t="s">
        <v>92</v>
      </c>
      <c r="O72" s="1">
        <v>41335</v>
      </c>
      <c r="P72" t="s">
        <v>84</v>
      </c>
      <c r="Q72">
        <v>4</v>
      </c>
      <c r="R72" t="s">
        <v>27</v>
      </c>
      <c r="S72">
        <v>2.701975</v>
      </c>
      <c r="T72">
        <v>71.983999999999995</v>
      </c>
      <c r="U72" t="s">
        <v>351</v>
      </c>
      <c r="V72" t="s">
        <v>351</v>
      </c>
      <c r="W72">
        <v>194</v>
      </c>
    </row>
    <row r="73" spans="1:23" x14ac:dyDescent="0.25">
      <c r="A73" s="1">
        <v>43617</v>
      </c>
      <c r="B73" s="1">
        <v>43617</v>
      </c>
      <c r="C73" t="s">
        <v>157</v>
      </c>
      <c r="D73" t="s">
        <v>48</v>
      </c>
      <c r="E73" t="s">
        <v>49</v>
      </c>
      <c r="F73" t="s">
        <v>177</v>
      </c>
      <c r="G73" s="56">
        <v>43655</v>
      </c>
      <c r="H73">
        <v>33</v>
      </c>
      <c r="I73">
        <v>9022</v>
      </c>
      <c r="J73" t="s">
        <v>50</v>
      </c>
      <c r="K73" t="s">
        <v>50</v>
      </c>
      <c r="L73" t="s">
        <v>159</v>
      </c>
      <c r="M73" t="s">
        <v>51</v>
      </c>
      <c r="N73" t="s">
        <v>92</v>
      </c>
      <c r="O73" s="1">
        <v>41335</v>
      </c>
      <c r="P73" t="s">
        <v>84</v>
      </c>
      <c r="Q73">
        <v>4</v>
      </c>
      <c r="R73" t="s">
        <v>27</v>
      </c>
      <c r="S73">
        <v>1202.550551</v>
      </c>
      <c r="T73">
        <v>71.983999999999995</v>
      </c>
      <c r="U73" t="s">
        <v>351</v>
      </c>
      <c r="V73" t="s">
        <v>351</v>
      </c>
      <c r="W73">
        <v>86564</v>
      </c>
    </row>
    <row r="74" spans="1:23" x14ac:dyDescent="0.25">
      <c r="A74" s="1">
        <v>43617</v>
      </c>
      <c r="B74" s="1">
        <v>43617</v>
      </c>
      <c r="C74" t="s">
        <v>157</v>
      </c>
      <c r="D74" t="s">
        <v>54</v>
      </c>
      <c r="E74" t="s">
        <v>21</v>
      </c>
      <c r="F74" t="s">
        <v>175</v>
      </c>
      <c r="G74" s="56">
        <v>43655</v>
      </c>
      <c r="H74">
        <v>33</v>
      </c>
      <c r="I74">
        <v>9022</v>
      </c>
      <c r="J74" t="s">
        <v>50</v>
      </c>
      <c r="K74" t="s">
        <v>50</v>
      </c>
      <c r="L74" t="s">
        <v>159</v>
      </c>
      <c r="M74" t="s">
        <v>51</v>
      </c>
      <c r="N74" t="s">
        <v>92</v>
      </c>
      <c r="O74" s="1">
        <v>41335</v>
      </c>
      <c r="P74" t="s">
        <v>84</v>
      </c>
      <c r="Q74">
        <v>5</v>
      </c>
      <c r="R74" t="s">
        <v>28</v>
      </c>
      <c r="S74" t="s">
        <v>351</v>
      </c>
      <c r="T74" t="s">
        <v>351</v>
      </c>
      <c r="U74">
        <v>0</v>
      </c>
      <c r="V74">
        <v>0</v>
      </c>
      <c r="W74">
        <v>0</v>
      </c>
    </row>
    <row r="75" spans="1:23" x14ac:dyDescent="0.25">
      <c r="A75" s="1">
        <v>43617</v>
      </c>
      <c r="B75" s="1">
        <v>43617</v>
      </c>
      <c r="C75" t="s">
        <v>157</v>
      </c>
      <c r="D75" t="s">
        <v>93</v>
      </c>
      <c r="E75" t="s">
        <v>49</v>
      </c>
      <c r="F75" t="s">
        <v>176</v>
      </c>
      <c r="G75" s="56">
        <v>43693</v>
      </c>
      <c r="H75">
        <v>33</v>
      </c>
      <c r="I75" t="s">
        <v>351</v>
      </c>
      <c r="J75" t="s">
        <v>50</v>
      </c>
      <c r="K75" t="s">
        <v>50</v>
      </c>
      <c r="L75" t="s">
        <v>159</v>
      </c>
      <c r="M75" t="s">
        <v>51</v>
      </c>
      <c r="N75" t="s">
        <v>92</v>
      </c>
      <c r="O75" s="1">
        <v>41335</v>
      </c>
      <c r="P75" t="s">
        <v>84</v>
      </c>
      <c r="Q75">
        <v>5</v>
      </c>
      <c r="R75" t="s">
        <v>28</v>
      </c>
      <c r="S75">
        <v>1.0723999999999999E-2</v>
      </c>
      <c r="T75">
        <v>75.617000000000004</v>
      </c>
      <c r="U75" t="s">
        <v>351</v>
      </c>
      <c r="V75" t="s">
        <v>351</v>
      </c>
      <c r="W75">
        <v>1</v>
      </c>
    </row>
    <row r="76" spans="1:23" x14ac:dyDescent="0.25">
      <c r="A76" s="1">
        <v>43617</v>
      </c>
      <c r="B76" s="1">
        <v>43617</v>
      </c>
      <c r="C76" t="s">
        <v>157</v>
      </c>
      <c r="D76" t="s">
        <v>48</v>
      </c>
      <c r="E76" t="s">
        <v>49</v>
      </c>
      <c r="F76" t="s">
        <v>177</v>
      </c>
      <c r="G76" s="56">
        <v>43655</v>
      </c>
      <c r="H76">
        <v>33</v>
      </c>
      <c r="I76">
        <v>9022</v>
      </c>
      <c r="J76" t="s">
        <v>50</v>
      </c>
      <c r="K76" t="s">
        <v>50</v>
      </c>
      <c r="L76" t="s">
        <v>159</v>
      </c>
      <c r="M76" t="s">
        <v>51</v>
      </c>
      <c r="N76" t="s">
        <v>92</v>
      </c>
      <c r="O76" s="1">
        <v>41335</v>
      </c>
      <c r="P76" t="s">
        <v>84</v>
      </c>
      <c r="Q76">
        <v>5</v>
      </c>
      <c r="R76" t="s">
        <v>28</v>
      </c>
      <c r="S76">
        <v>4.7729540000000004</v>
      </c>
      <c r="T76">
        <v>75.617000000000004</v>
      </c>
      <c r="U76" t="s">
        <v>351</v>
      </c>
      <c r="V76" t="s">
        <v>351</v>
      </c>
      <c r="W76">
        <v>361</v>
      </c>
    </row>
    <row r="77" spans="1:23" x14ac:dyDescent="0.25">
      <c r="A77" s="1">
        <v>43647</v>
      </c>
      <c r="B77" s="1">
        <v>43647</v>
      </c>
      <c r="C77" t="s">
        <v>157</v>
      </c>
      <c r="D77" t="s">
        <v>54</v>
      </c>
      <c r="E77" t="s">
        <v>21</v>
      </c>
      <c r="F77" t="s">
        <v>180</v>
      </c>
      <c r="G77" s="56">
        <v>43686</v>
      </c>
      <c r="H77">
        <v>33</v>
      </c>
      <c r="I77">
        <v>9466</v>
      </c>
      <c r="J77" t="s">
        <v>50</v>
      </c>
      <c r="K77" t="s">
        <v>50</v>
      </c>
      <c r="L77" t="s">
        <v>159</v>
      </c>
      <c r="M77" t="s">
        <v>51</v>
      </c>
      <c r="N77" t="s">
        <v>92</v>
      </c>
      <c r="O77" s="1">
        <v>41335</v>
      </c>
      <c r="P77" t="s">
        <v>84</v>
      </c>
      <c r="Q77">
        <v>1</v>
      </c>
      <c r="R77" t="s">
        <v>83</v>
      </c>
      <c r="S77" t="s">
        <v>351</v>
      </c>
      <c r="T77" t="s">
        <v>351</v>
      </c>
      <c r="U77">
        <v>0</v>
      </c>
      <c r="V77">
        <v>0</v>
      </c>
      <c r="W77">
        <v>0</v>
      </c>
    </row>
    <row r="78" spans="1:23" x14ac:dyDescent="0.25">
      <c r="A78" s="1">
        <v>43647</v>
      </c>
      <c r="B78" s="1">
        <v>43647</v>
      </c>
      <c r="C78" t="s">
        <v>157</v>
      </c>
      <c r="D78" t="s">
        <v>93</v>
      </c>
      <c r="E78" t="s">
        <v>49</v>
      </c>
      <c r="F78" t="s">
        <v>179</v>
      </c>
      <c r="G78" s="56">
        <v>43914.908402777779</v>
      </c>
      <c r="H78">
        <v>61</v>
      </c>
      <c r="I78" t="s">
        <v>351</v>
      </c>
      <c r="J78" t="s">
        <v>50</v>
      </c>
      <c r="K78" t="s">
        <v>50</v>
      </c>
      <c r="L78" t="s">
        <v>159</v>
      </c>
      <c r="M78" t="s">
        <v>51</v>
      </c>
      <c r="N78" t="s">
        <v>92</v>
      </c>
      <c r="O78" s="1">
        <v>41335</v>
      </c>
      <c r="P78" t="s">
        <v>84</v>
      </c>
      <c r="Q78">
        <v>1</v>
      </c>
      <c r="R78" t="s">
        <v>83</v>
      </c>
      <c r="S78">
        <v>1</v>
      </c>
      <c r="T78">
        <v>-19</v>
      </c>
      <c r="U78" t="s">
        <v>351</v>
      </c>
      <c r="V78" t="s">
        <v>351</v>
      </c>
      <c r="W78">
        <v>-19</v>
      </c>
    </row>
    <row r="79" spans="1:23" x14ac:dyDescent="0.25">
      <c r="A79" s="1">
        <v>43647</v>
      </c>
      <c r="B79" s="1">
        <v>43647</v>
      </c>
      <c r="C79" t="s">
        <v>157</v>
      </c>
      <c r="D79" t="s">
        <v>48</v>
      </c>
      <c r="E79" t="s">
        <v>49</v>
      </c>
      <c r="F79" t="s">
        <v>178</v>
      </c>
      <c r="G79" s="56">
        <v>43686</v>
      </c>
      <c r="H79">
        <v>33</v>
      </c>
      <c r="I79">
        <v>9466</v>
      </c>
      <c r="J79" t="s">
        <v>50</v>
      </c>
      <c r="K79" t="s">
        <v>50</v>
      </c>
      <c r="L79" t="s">
        <v>159</v>
      </c>
      <c r="M79" t="s">
        <v>51</v>
      </c>
      <c r="N79" t="s">
        <v>92</v>
      </c>
      <c r="O79" s="1">
        <v>41335</v>
      </c>
      <c r="P79" t="s">
        <v>84</v>
      </c>
      <c r="Q79">
        <v>1</v>
      </c>
      <c r="R79" t="s">
        <v>83</v>
      </c>
      <c r="S79">
        <v>842.75503100000003</v>
      </c>
      <c r="T79">
        <v>74.400999999999996</v>
      </c>
      <c r="U79" t="s">
        <v>351</v>
      </c>
      <c r="V79" t="s">
        <v>351</v>
      </c>
      <c r="W79">
        <v>62702</v>
      </c>
    </row>
    <row r="80" spans="1:23" x14ac:dyDescent="0.25">
      <c r="A80" s="1">
        <v>43647</v>
      </c>
      <c r="B80" s="1">
        <v>43647</v>
      </c>
      <c r="C80" t="s">
        <v>157</v>
      </c>
      <c r="D80" t="s">
        <v>54</v>
      </c>
      <c r="E80" t="s">
        <v>21</v>
      </c>
      <c r="F80" t="s">
        <v>180</v>
      </c>
      <c r="G80" s="56">
        <v>43686</v>
      </c>
      <c r="H80">
        <v>33</v>
      </c>
      <c r="I80">
        <v>9466</v>
      </c>
      <c r="J80" t="s">
        <v>50</v>
      </c>
      <c r="K80" t="s">
        <v>50</v>
      </c>
      <c r="L80" t="s">
        <v>159</v>
      </c>
      <c r="M80" t="s">
        <v>51</v>
      </c>
      <c r="N80" t="s">
        <v>92</v>
      </c>
      <c r="O80" s="1">
        <v>41335</v>
      </c>
      <c r="P80" t="s">
        <v>84</v>
      </c>
      <c r="Q80">
        <v>2</v>
      </c>
      <c r="R80" t="s">
        <v>94</v>
      </c>
      <c r="S80" t="s">
        <v>351</v>
      </c>
      <c r="T80" t="s">
        <v>351</v>
      </c>
      <c r="U80">
        <v>0</v>
      </c>
      <c r="V80">
        <v>0</v>
      </c>
      <c r="W80">
        <v>0</v>
      </c>
    </row>
    <row r="81" spans="1:23" x14ac:dyDescent="0.25">
      <c r="A81" s="1">
        <v>43647</v>
      </c>
      <c r="B81" s="1">
        <v>43647</v>
      </c>
      <c r="C81" t="s">
        <v>157</v>
      </c>
      <c r="D81" t="s">
        <v>48</v>
      </c>
      <c r="E81" t="s">
        <v>49</v>
      </c>
      <c r="F81" t="s">
        <v>178</v>
      </c>
      <c r="G81" s="56">
        <v>43686</v>
      </c>
      <c r="H81">
        <v>33</v>
      </c>
      <c r="I81">
        <v>9466</v>
      </c>
      <c r="J81" t="s">
        <v>50</v>
      </c>
      <c r="K81" t="s">
        <v>50</v>
      </c>
      <c r="L81" t="s">
        <v>159</v>
      </c>
      <c r="M81" t="s">
        <v>51</v>
      </c>
      <c r="N81" t="s">
        <v>92</v>
      </c>
      <c r="O81" s="1">
        <v>41335</v>
      </c>
      <c r="P81" t="s">
        <v>84</v>
      </c>
      <c r="Q81">
        <v>2</v>
      </c>
      <c r="R81" t="s">
        <v>94</v>
      </c>
      <c r="S81">
        <v>3.6725080000000001</v>
      </c>
      <c r="T81">
        <v>75.736999999999995</v>
      </c>
      <c r="U81" t="s">
        <v>351</v>
      </c>
      <c r="V81" t="s">
        <v>351</v>
      </c>
      <c r="W81">
        <v>278</v>
      </c>
    </row>
    <row r="82" spans="1:23" x14ac:dyDescent="0.25">
      <c r="A82" s="1">
        <v>43647</v>
      </c>
      <c r="B82" s="1">
        <v>43647</v>
      </c>
      <c r="C82" t="s">
        <v>157</v>
      </c>
      <c r="D82" t="s">
        <v>54</v>
      </c>
      <c r="E82" t="s">
        <v>21</v>
      </c>
      <c r="F82" t="s">
        <v>180</v>
      </c>
      <c r="G82" s="56">
        <v>43686</v>
      </c>
      <c r="H82">
        <v>33</v>
      </c>
      <c r="I82">
        <v>9466</v>
      </c>
      <c r="J82" t="s">
        <v>50</v>
      </c>
      <c r="K82" t="s">
        <v>50</v>
      </c>
      <c r="L82" t="s">
        <v>159</v>
      </c>
      <c r="M82" t="s">
        <v>51</v>
      </c>
      <c r="N82" t="s">
        <v>92</v>
      </c>
      <c r="O82" s="1">
        <v>41335</v>
      </c>
      <c r="P82" t="s">
        <v>84</v>
      </c>
      <c r="Q82">
        <v>3</v>
      </c>
      <c r="R82" t="s">
        <v>81</v>
      </c>
      <c r="S82" t="s">
        <v>351</v>
      </c>
      <c r="T82" t="s">
        <v>351</v>
      </c>
      <c r="U82">
        <v>0</v>
      </c>
      <c r="V82">
        <v>0</v>
      </c>
      <c r="W82">
        <v>0</v>
      </c>
    </row>
    <row r="83" spans="1:23" x14ac:dyDescent="0.25">
      <c r="A83" s="1">
        <v>43647</v>
      </c>
      <c r="B83" s="1">
        <v>43647</v>
      </c>
      <c r="C83" t="s">
        <v>157</v>
      </c>
      <c r="D83" t="s">
        <v>93</v>
      </c>
      <c r="E83" t="s">
        <v>49</v>
      </c>
      <c r="F83" t="s">
        <v>179</v>
      </c>
      <c r="G83" s="56">
        <v>43914.908402777779</v>
      </c>
      <c r="H83">
        <v>61</v>
      </c>
      <c r="I83" t="s">
        <v>351</v>
      </c>
      <c r="J83" t="s">
        <v>50</v>
      </c>
      <c r="K83" t="s">
        <v>50</v>
      </c>
      <c r="L83" t="s">
        <v>159</v>
      </c>
      <c r="M83" t="s">
        <v>51</v>
      </c>
      <c r="N83" t="s">
        <v>92</v>
      </c>
      <c r="O83" s="1">
        <v>41335</v>
      </c>
      <c r="P83" t="s">
        <v>84</v>
      </c>
      <c r="Q83">
        <v>3</v>
      </c>
      <c r="R83" t="s">
        <v>81</v>
      </c>
      <c r="S83">
        <v>1</v>
      </c>
      <c r="T83">
        <v>-3</v>
      </c>
      <c r="U83" t="s">
        <v>351</v>
      </c>
      <c r="V83" t="s">
        <v>351</v>
      </c>
      <c r="W83">
        <v>-3</v>
      </c>
    </row>
    <row r="84" spans="1:23" x14ac:dyDescent="0.25">
      <c r="A84" s="1">
        <v>43647</v>
      </c>
      <c r="B84" s="1">
        <v>43647</v>
      </c>
      <c r="C84" t="s">
        <v>157</v>
      </c>
      <c r="D84" t="s">
        <v>48</v>
      </c>
      <c r="E84" t="s">
        <v>49</v>
      </c>
      <c r="F84" t="s">
        <v>178</v>
      </c>
      <c r="G84" s="56">
        <v>43686</v>
      </c>
      <c r="H84">
        <v>33</v>
      </c>
      <c r="I84">
        <v>9466</v>
      </c>
      <c r="J84" t="s">
        <v>50</v>
      </c>
      <c r="K84" t="s">
        <v>50</v>
      </c>
      <c r="L84" t="s">
        <v>159</v>
      </c>
      <c r="M84" t="s">
        <v>51</v>
      </c>
      <c r="N84" t="s">
        <v>92</v>
      </c>
      <c r="O84" s="1">
        <v>41335</v>
      </c>
      <c r="P84" t="s">
        <v>84</v>
      </c>
      <c r="Q84">
        <v>3</v>
      </c>
      <c r="R84" t="s">
        <v>81</v>
      </c>
      <c r="S84">
        <v>171.56035499999999</v>
      </c>
      <c r="T84">
        <v>70.436999999999998</v>
      </c>
      <c r="U84" t="s">
        <v>351</v>
      </c>
      <c r="V84" t="s">
        <v>351</v>
      </c>
      <c r="W84">
        <v>12084</v>
      </c>
    </row>
    <row r="85" spans="1:23" x14ac:dyDescent="0.25">
      <c r="A85" s="1">
        <v>43647</v>
      </c>
      <c r="B85" s="1">
        <v>43647</v>
      </c>
      <c r="C85" t="s">
        <v>157</v>
      </c>
      <c r="D85" t="s">
        <v>54</v>
      </c>
      <c r="E85" t="s">
        <v>21</v>
      </c>
      <c r="F85" t="s">
        <v>180</v>
      </c>
      <c r="G85" s="56">
        <v>43686</v>
      </c>
      <c r="H85">
        <v>33</v>
      </c>
      <c r="I85">
        <v>9466</v>
      </c>
      <c r="J85" t="s">
        <v>50</v>
      </c>
      <c r="K85" t="s">
        <v>50</v>
      </c>
      <c r="L85" t="s">
        <v>159</v>
      </c>
      <c r="M85" t="s">
        <v>51</v>
      </c>
      <c r="N85" t="s">
        <v>92</v>
      </c>
      <c r="O85" s="1">
        <v>41335</v>
      </c>
      <c r="P85" t="s">
        <v>84</v>
      </c>
      <c r="Q85">
        <v>4</v>
      </c>
      <c r="R85" t="s">
        <v>27</v>
      </c>
      <c r="S85" t="s">
        <v>351</v>
      </c>
      <c r="T85" t="s">
        <v>351</v>
      </c>
      <c r="U85">
        <v>0</v>
      </c>
      <c r="V85">
        <v>0</v>
      </c>
      <c r="W85">
        <v>0</v>
      </c>
    </row>
    <row r="86" spans="1:23" x14ac:dyDescent="0.25">
      <c r="A86" s="1">
        <v>43647</v>
      </c>
      <c r="B86" s="1">
        <v>43647</v>
      </c>
      <c r="C86" t="s">
        <v>157</v>
      </c>
      <c r="D86" t="s">
        <v>93</v>
      </c>
      <c r="E86" t="s">
        <v>49</v>
      </c>
      <c r="F86" t="s">
        <v>179</v>
      </c>
      <c r="G86" s="56">
        <v>43914.908402777779</v>
      </c>
      <c r="H86">
        <v>61</v>
      </c>
      <c r="I86" t="s">
        <v>351</v>
      </c>
      <c r="J86" t="s">
        <v>50</v>
      </c>
      <c r="K86" t="s">
        <v>50</v>
      </c>
      <c r="L86" t="s">
        <v>159</v>
      </c>
      <c r="M86" t="s">
        <v>51</v>
      </c>
      <c r="N86" t="s">
        <v>92</v>
      </c>
      <c r="O86" s="1">
        <v>41335</v>
      </c>
      <c r="P86" t="s">
        <v>84</v>
      </c>
      <c r="Q86">
        <v>4</v>
      </c>
      <c r="R86" t="s">
        <v>27</v>
      </c>
      <c r="S86">
        <v>1</v>
      </c>
      <c r="T86">
        <v>-25</v>
      </c>
      <c r="U86" t="s">
        <v>351</v>
      </c>
      <c r="V86" t="s">
        <v>351</v>
      </c>
      <c r="W86">
        <v>-25</v>
      </c>
    </row>
    <row r="87" spans="1:23" x14ac:dyDescent="0.25">
      <c r="A87" s="1">
        <v>43647</v>
      </c>
      <c r="B87" s="1">
        <v>43647</v>
      </c>
      <c r="C87" t="s">
        <v>157</v>
      </c>
      <c r="D87" t="s">
        <v>48</v>
      </c>
      <c r="E87" t="s">
        <v>49</v>
      </c>
      <c r="F87" t="s">
        <v>178</v>
      </c>
      <c r="G87" s="56">
        <v>43686</v>
      </c>
      <c r="H87">
        <v>33</v>
      </c>
      <c r="I87">
        <v>9466</v>
      </c>
      <c r="J87" t="s">
        <v>50</v>
      </c>
      <c r="K87" t="s">
        <v>50</v>
      </c>
      <c r="L87" t="s">
        <v>159</v>
      </c>
      <c r="M87" t="s">
        <v>51</v>
      </c>
      <c r="N87" t="s">
        <v>92</v>
      </c>
      <c r="O87" s="1">
        <v>41335</v>
      </c>
      <c r="P87" t="s">
        <v>84</v>
      </c>
      <c r="Q87">
        <v>4</v>
      </c>
      <c r="R87" t="s">
        <v>27</v>
      </c>
      <c r="S87">
        <v>1210.3736879999999</v>
      </c>
      <c r="T87">
        <v>71.983999999999995</v>
      </c>
      <c r="U87" t="s">
        <v>351</v>
      </c>
      <c r="V87" t="s">
        <v>351</v>
      </c>
      <c r="W87">
        <v>87128</v>
      </c>
    </row>
    <row r="88" spans="1:23" x14ac:dyDescent="0.25">
      <c r="A88" s="1">
        <v>43647</v>
      </c>
      <c r="B88" s="1">
        <v>43647</v>
      </c>
      <c r="C88" t="s">
        <v>157</v>
      </c>
      <c r="D88" t="s">
        <v>54</v>
      </c>
      <c r="E88" t="s">
        <v>21</v>
      </c>
      <c r="F88" t="s">
        <v>180</v>
      </c>
      <c r="G88" s="56">
        <v>43686</v>
      </c>
      <c r="H88">
        <v>33</v>
      </c>
      <c r="I88">
        <v>9466</v>
      </c>
      <c r="J88" t="s">
        <v>50</v>
      </c>
      <c r="K88" t="s">
        <v>50</v>
      </c>
      <c r="L88" t="s">
        <v>159</v>
      </c>
      <c r="M88" t="s">
        <v>51</v>
      </c>
      <c r="N88" t="s">
        <v>92</v>
      </c>
      <c r="O88" s="1">
        <v>41335</v>
      </c>
      <c r="P88" t="s">
        <v>84</v>
      </c>
      <c r="Q88">
        <v>5</v>
      </c>
      <c r="R88" t="s">
        <v>28</v>
      </c>
      <c r="S88" t="s">
        <v>351</v>
      </c>
      <c r="T88" t="s">
        <v>351</v>
      </c>
      <c r="U88">
        <v>0</v>
      </c>
      <c r="V88">
        <v>0</v>
      </c>
      <c r="W88">
        <v>0</v>
      </c>
    </row>
    <row r="89" spans="1:23" x14ac:dyDescent="0.25">
      <c r="A89" s="1">
        <v>43647</v>
      </c>
      <c r="B89" s="1">
        <v>43647</v>
      </c>
      <c r="C89" t="s">
        <v>157</v>
      </c>
      <c r="D89" t="s">
        <v>48</v>
      </c>
      <c r="E89" t="s">
        <v>49</v>
      </c>
      <c r="F89" t="s">
        <v>178</v>
      </c>
      <c r="G89" s="56">
        <v>43686</v>
      </c>
      <c r="H89">
        <v>33</v>
      </c>
      <c r="I89">
        <v>9466</v>
      </c>
      <c r="J89" t="s">
        <v>50</v>
      </c>
      <c r="K89" t="s">
        <v>50</v>
      </c>
      <c r="L89" t="s">
        <v>159</v>
      </c>
      <c r="M89" t="s">
        <v>51</v>
      </c>
      <c r="N89" t="s">
        <v>92</v>
      </c>
      <c r="O89" s="1">
        <v>41335</v>
      </c>
      <c r="P89" t="s">
        <v>84</v>
      </c>
      <c r="Q89">
        <v>5</v>
      </c>
      <c r="R89" t="s">
        <v>28</v>
      </c>
      <c r="S89">
        <v>3.7772670000000002</v>
      </c>
      <c r="T89">
        <v>75.617000000000004</v>
      </c>
      <c r="U89" t="s">
        <v>351</v>
      </c>
      <c r="V89" t="s">
        <v>351</v>
      </c>
      <c r="W89">
        <v>286</v>
      </c>
    </row>
    <row r="90" spans="1:23" x14ac:dyDescent="0.25">
      <c r="A90" s="1">
        <v>43678</v>
      </c>
      <c r="B90" s="1">
        <v>43678</v>
      </c>
      <c r="C90" t="s">
        <v>157</v>
      </c>
      <c r="D90" t="s">
        <v>93</v>
      </c>
      <c r="E90" t="s">
        <v>49</v>
      </c>
      <c r="F90" t="s">
        <v>182</v>
      </c>
      <c r="G90" s="56">
        <v>43915.393750000003</v>
      </c>
      <c r="H90">
        <v>61</v>
      </c>
      <c r="I90" t="s">
        <v>351</v>
      </c>
      <c r="J90" t="s">
        <v>50</v>
      </c>
      <c r="K90" t="s">
        <v>50</v>
      </c>
      <c r="L90" t="s">
        <v>159</v>
      </c>
      <c r="M90" t="s">
        <v>51</v>
      </c>
      <c r="N90" t="s">
        <v>92</v>
      </c>
      <c r="O90" s="1">
        <v>41335</v>
      </c>
      <c r="P90" t="s">
        <v>84</v>
      </c>
      <c r="Q90">
        <v>1</v>
      </c>
      <c r="R90" t="s">
        <v>83</v>
      </c>
      <c r="S90">
        <v>1</v>
      </c>
      <c r="T90">
        <v>-415</v>
      </c>
      <c r="U90" t="s">
        <v>351</v>
      </c>
      <c r="V90" t="s">
        <v>351</v>
      </c>
      <c r="W90">
        <v>-415</v>
      </c>
    </row>
    <row r="91" spans="1:23" x14ac:dyDescent="0.25">
      <c r="A91" s="1">
        <v>43678</v>
      </c>
      <c r="B91" s="1">
        <v>43678</v>
      </c>
      <c r="C91" t="s">
        <v>157</v>
      </c>
      <c r="D91" t="s">
        <v>48</v>
      </c>
      <c r="E91" t="s">
        <v>49</v>
      </c>
      <c r="F91" t="s">
        <v>181</v>
      </c>
      <c r="G91" s="56">
        <v>43719</v>
      </c>
      <c r="H91">
        <v>33</v>
      </c>
      <c r="I91">
        <v>9996</v>
      </c>
      <c r="J91" t="s">
        <v>50</v>
      </c>
      <c r="K91" t="s">
        <v>50</v>
      </c>
      <c r="L91" t="s">
        <v>159</v>
      </c>
      <c r="M91" t="s">
        <v>51</v>
      </c>
      <c r="N91" t="s">
        <v>92</v>
      </c>
      <c r="O91" s="1">
        <v>41335</v>
      </c>
      <c r="P91" t="s">
        <v>84</v>
      </c>
      <c r="Q91">
        <v>1</v>
      </c>
      <c r="R91" t="s">
        <v>83</v>
      </c>
      <c r="S91">
        <v>797.16753600000004</v>
      </c>
      <c r="T91">
        <v>74.400999999999996</v>
      </c>
      <c r="U91" t="s">
        <v>351</v>
      </c>
      <c r="V91" t="s">
        <v>351</v>
      </c>
      <c r="W91">
        <v>59310</v>
      </c>
    </row>
    <row r="92" spans="1:23" x14ac:dyDescent="0.25">
      <c r="A92" s="1">
        <v>43678</v>
      </c>
      <c r="B92" s="1">
        <v>43739</v>
      </c>
      <c r="C92" t="s">
        <v>157</v>
      </c>
      <c r="D92" t="s">
        <v>54</v>
      </c>
      <c r="E92" t="s">
        <v>21</v>
      </c>
      <c r="F92" t="s">
        <v>183</v>
      </c>
      <c r="G92" s="56">
        <v>43719</v>
      </c>
      <c r="H92">
        <v>33</v>
      </c>
      <c r="I92">
        <v>9996</v>
      </c>
      <c r="J92" t="s">
        <v>50</v>
      </c>
      <c r="K92" t="s">
        <v>50</v>
      </c>
      <c r="L92" t="s">
        <v>159</v>
      </c>
      <c r="M92" t="s">
        <v>51</v>
      </c>
      <c r="N92" t="s">
        <v>92</v>
      </c>
      <c r="O92" s="1">
        <v>41335</v>
      </c>
      <c r="P92" t="s">
        <v>84</v>
      </c>
      <c r="Q92">
        <v>1</v>
      </c>
      <c r="R92" t="s">
        <v>83</v>
      </c>
      <c r="S92" t="s">
        <v>351</v>
      </c>
      <c r="T92" t="s">
        <v>351</v>
      </c>
      <c r="U92">
        <v>0</v>
      </c>
      <c r="V92">
        <v>0</v>
      </c>
      <c r="W92">
        <v>0</v>
      </c>
    </row>
    <row r="93" spans="1:23" x14ac:dyDescent="0.25">
      <c r="A93" s="1">
        <v>43678</v>
      </c>
      <c r="B93" s="1">
        <v>43678</v>
      </c>
      <c r="C93" t="s">
        <v>157</v>
      </c>
      <c r="D93" t="s">
        <v>93</v>
      </c>
      <c r="E93" t="s">
        <v>49</v>
      </c>
      <c r="F93" t="s">
        <v>182</v>
      </c>
      <c r="G93" s="56">
        <v>43915.393750000003</v>
      </c>
      <c r="H93">
        <v>61</v>
      </c>
      <c r="I93" t="s">
        <v>351</v>
      </c>
      <c r="J93" t="s">
        <v>50</v>
      </c>
      <c r="K93" t="s">
        <v>50</v>
      </c>
      <c r="L93" t="s">
        <v>159</v>
      </c>
      <c r="M93" t="s">
        <v>51</v>
      </c>
      <c r="N93" t="s">
        <v>92</v>
      </c>
      <c r="O93" s="1">
        <v>41335</v>
      </c>
      <c r="P93" t="s">
        <v>84</v>
      </c>
      <c r="Q93">
        <v>2</v>
      </c>
      <c r="R93" t="s">
        <v>94</v>
      </c>
      <c r="S93">
        <v>1</v>
      </c>
      <c r="T93">
        <v>-2</v>
      </c>
      <c r="U93" t="s">
        <v>351</v>
      </c>
      <c r="V93" t="s">
        <v>351</v>
      </c>
      <c r="W93">
        <v>-2</v>
      </c>
    </row>
    <row r="94" spans="1:23" x14ac:dyDescent="0.25">
      <c r="A94" s="1">
        <v>43678</v>
      </c>
      <c r="B94" s="1">
        <v>43678</v>
      </c>
      <c r="C94" t="s">
        <v>157</v>
      </c>
      <c r="D94" t="s">
        <v>48</v>
      </c>
      <c r="E94" t="s">
        <v>49</v>
      </c>
      <c r="F94" t="s">
        <v>181</v>
      </c>
      <c r="G94" s="56">
        <v>43719</v>
      </c>
      <c r="H94">
        <v>33</v>
      </c>
      <c r="I94">
        <v>9996</v>
      </c>
      <c r="J94" t="s">
        <v>50</v>
      </c>
      <c r="K94" t="s">
        <v>50</v>
      </c>
      <c r="L94" t="s">
        <v>159</v>
      </c>
      <c r="M94" t="s">
        <v>51</v>
      </c>
      <c r="N94" t="s">
        <v>92</v>
      </c>
      <c r="O94" s="1">
        <v>41335</v>
      </c>
      <c r="P94" t="s">
        <v>84</v>
      </c>
      <c r="Q94">
        <v>2</v>
      </c>
      <c r="R94" t="s">
        <v>94</v>
      </c>
      <c r="S94">
        <v>3.3512949999999999</v>
      </c>
      <c r="T94">
        <v>75.736999999999995</v>
      </c>
      <c r="U94" t="s">
        <v>351</v>
      </c>
      <c r="V94" t="s">
        <v>351</v>
      </c>
      <c r="W94">
        <v>254</v>
      </c>
    </row>
    <row r="95" spans="1:23" x14ac:dyDescent="0.25">
      <c r="A95" s="1">
        <v>43678</v>
      </c>
      <c r="B95" s="1">
        <v>43739</v>
      </c>
      <c r="C95" t="s">
        <v>157</v>
      </c>
      <c r="D95" t="s">
        <v>54</v>
      </c>
      <c r="E95" t="s">
        <v>21</v>
      </c>
      <c r="F95" t="s">
        <v>183</v>
      </c>
      <c r="G95" s="56">
        <v>43719</v>
      </c>
      <c r="H95">
        <v>33</v>
      </c>
      <c r="I95">
        <v>9996</v>
      </c>
      <c r="J95" t="s">
        <v>50</v>
      </c>
      <c r="K95" t="s">
        <v>50</v>
      </c>
      <c r="L95" t="s">
        <v>159</v>
      </c>
      <c r="M95" t="s">
        <v>51</v>
      </c>
      <c r="N95" t="s">
        <v>92</v>
      </c>
      <c r="O95" s="1">
        <v>41335</v>
      </c>
      <c r="P95" t="s">
        <v>84</v>
      </c>
      <c r="Q95">
        <v>2</v>
      </c>
      <c r="R95" t="s">
        <v>94</v>
      </c>
      <c r="S95" t="s">
        <v>351</v>
      </c>
      <c r="T95" t="s">
        <v>351</v>
      </c>
      <c r="U95">
        <v>0</v>
      </c>
      <c r="V95">
        <v>0</v>
      </c>
      <c r="W95">
        <v>0</v>
      </c>
    </row>
    <row r="96" spans="1:23" x14ac:dyDescent="0.25">
      <c r="A96" s="1">
        <v>43678</v>
      </c>
      <c r="B96" s="1">
        <v>43678</v>
      </c>
      <c r="C96" t="s">
        <v>157</v>
      </c>
      <c r="D96" t="s">
        <v>93</v>
      </c>
      <c r="E96" t="s">
        <v>49</v>
      </c>
      <c r="F96" t="s">
        <v>182</v>
      </c>
      <c r="G96" s="56">
        <v>43915.393750000003</v>
      </c>
      <c r="H96">
        <v>61</v>
      </c>
      <c r="I96" t="s">
        <v>351</v>
      </c>
      <c r="J96" t="s">
        <v>50</v>
      </c>
      <c r="K96" t="s">
        <v>50</v>
      </c>
      <c r="L96" t="s">
        <v>159</v>
      </c>
      <c r="M96" t="s">
        <v>51</v>
      </c>
      <c r="N96" t="s">
        <v>92</v>
      </c>
      <c r="O96" s="1">
        <v>41335</v>
      </c>
      <c r="P96" t="s">
        <v>84</v>
      </c>
      <c r="Q96">
        <v>3</v>
      </c>
      <c r="R96" t="s">
        <v>81</v>
      </c>
      <c r="S96">
        <v>1</v>
      </c>
      <c r="T96">
        <v>-80</v>
      </c>
      <c r="U96" t="s">
        <v>351</v>
      </c>
      <c r="V96" t="s">
        <v>351</v>
      </c>
      <c r="W96">
        <v>-80</v>
      </c>
    </row>
    <row r="97" spans="1:23" x14ac:dyDescent="0.25">
      <c r="A97" s="1">
        <v>43678</v>
      </c>
      <c r="B97" s="1">
        <v>43678</v>
      </c>
      <c r="C97" t="s">
        <v>157</v>
      </c>
      <c r="D97" t="s">
        <v>48</v>
      </c>
      <c r="E97" t="s">
        <v>49</v>
      </c>
      <c r="F97" t="s">
        <v>181</v>
      </c>
      <c r="G97" s="56">
        <v>43719</v>
      </c>
      <c r="H97">
        <v>33</v>
      </c>
      <c r="I97">
        <v>9996</v>
      </c>
      <c r="J97" t="s">
        <v>50</v>
      </c>
      <c r="K97" t="s">
        <v>50</v>
      </c>
      <c r="L97" t="s">
        <v>159</v>
      </c>
      <c r="M97" t="s">
        <v>51</v>
      </c>
      <c r="N97" t="s">
        <v>92</v>
      </c>
      <c r="O97" s="1">
        <v>41335</v>
      </c>
      <c r="P97" t="s">
        <v>84</v>
      </c>
      <c r="Q97">
        <v>3</v>
      </c>
      <c r="R97" t="s">
        <v>81</v>
      </c>
      <c r="S97">
        <v>162.116804</v>
      </c>
      <c r="T97">
        <v>70.436999999999998</v>
      </c>
      <c r="U97" t="s">
        <v>351</v>
      </c>
      <c r="V97" t="s">
        <v>351</v>
      </c>
      <c r="W97">
        <v>11419</v>
      </c>
    </row>
    <row r="98" spans="1:23" x14ac:dyDescent="0.25">
      <c r="A98" s="1">
        <v>43678</v>
      </c>
      <c r="B98" s="1">
        <v>43739</v>
      </c>
      <c r="C98" t="s">
        <v>157</v>
      </c>
      <c r="D98" t="s">
        <v>54</v>
      </c>
      <c r="E98" t="s">
        <v>21</v>
      </c>
      <c r="F98" t="s">
        <v>183</v>
      </c>
      <c r="G98" s="56">
        <v>43719</v>
      </c>
      <c r="H98">
        <v>33</v>
      </c>
      <c r="I98">
        <v>9996</v>
      </c>
      <c r="J98" t="s">
        <v>50</v>
      </c>
      <c r="K98" t="s">
        <v>50</v>
      </c>
      <c r="L98" t="s">
        <v>159</v>
      </c>
      <c r="M98" t="s">
        <v>51</v>
      </c>
      <c r="N98" t="s">
        <v>92</v>
      </c>
      <c r="O98" s="1">
        <v>41335</v>
      </c>
      <c r="P98" t="s">
        <v>84</v>
      </c>
      <c r="Q98">
        <v>3</v>
      </c>
      <c r="R98" t="s">
        <v>81</v>
      </c>
      <c r="S98" t="s">
        <v>351</v>
      </c>
      <c r="T98" t="s">
        <v>351</v>
      </c>
      <c r="U98">
        <v>0</v>
      </c>
      <c r="V98">
        <v>0</v>
      </c>
      <c r="W98">
        <v>0</v>
      </c>
    </row>
    <row r="99" spans="1:23" x14ac:dyDescent="0.25">
      <c r="A99" s="1">
        <v>43678</v>
      </c>
      <c r="B99" s="1">
        <v>43678</v>
      </c>
      <c r="C99" t="s">
        <v>157</v>
      </c>
      <c r="D99" t="s">
        <v>93</v>
      </c>
      <c r="E99" t="s">
        <v>49</v>
      </c>
      <c r="F99" t="s">
        <v>182</v>
      </c>
      <c r="G99" s="56">
        <v>43915.393750000003</v>
      </c>
      <c r="H99">
        <v>61</v>
      </c>
      <c r="I99" t="s">
        <v>351</v>
      </c>
      <c r="J99" t="s">
        <v>50</v>
      </c>
      <c r="K99" t="s">
        <v>50</v>
      </c>
      <c r="L99" t="s">
        <v>159</v>
      </c>
      <c r="M99" t="s">
        <v>51</v>
      </c>
      <c r="N99" t="s">
        <v>92</v>
      </c>
      <c r="O99" s="1">
        <v>41335</v>
      </c>
      <c r="P99" t="s">
        <v>84</v>
      </c>
      <c r="Q99">
        <v>4</v>
      </c>
      <c r="R99" t="s">
        <v>27</v>
      </c>
      <c r="S99">
        <v>1</v>
      </c>
      <c r="T99">
        <v>-572</v>
      </c>
      <c r="U99" t="s">
        <v>351</v>
      </c>
      <c r="V99" t="s">
        <v>351</v>
      </c>
      <c r="W99">
        <v>-572</v>
      </c>
    </row>
    <row r="100" spans="1:23" x14ac:dyDescent="0.25">
      <c r="A100" s="1">
        <v>43678</v>
      </c>
      <c r="B100" s="1">
        <v>43678</v>
      </c>
      <c r="C100" t="s">
        <v>157</v>
      </c>
      <c r="D100" t="s">
        <v>48</v>
      </c>
      <c r="E100" t="s">
        <v>49</v>
      </c>
      <c r="F100" t="s">
        <v>181</v>
      </c>
      <c r="G100" s="56">
        <v>43719</v>
      </c>
      <c r="H100">
        <v>33</v>
      </c>
      <c r="I100">
        <v>9996</v>
      </c>
      <c r="J100" t="s">
        <v>50</v>
      </c>
      <c r="K100" t="s">
        <v>50</v>
      </c>
      <c r="L100" t="s">
        <v>159</v>
      </c>
      <c r="M100" t="s">
        <v>51</v>
      </c>
      <c r="N100" t="s">
        <v>92</v>
      </c>
      <c r="O100" s="1">
        <v>41335</v>
      </c>
      <c r="P100" t="s">
        <v>84</v>
      </c>
      <c r="Q100">
        <v>4</v>
      </c>
      <c r="R100" t="s">
        <v>27</v>
      </c>
      <c r="S100">
        <v>1136.702366</v>
      </c>
      <c r="T100">
        <v>71.983999999999995</v>
      </c>
      <c r="U100" t="s">
        <v>351</v>
      </c>
      <c r="V100" t="s">
        <v>351</v>
      </c>
      <c r="W100">
        <v>81824</v>
      </c>
    </row>
    <row r="101" spans="1:23" x14ac:dyDescent="0.25">
      <c r="A101" s="1">
        <v>43678</v>
      </c>
      <c r="B101" s="1">
        <v>43739</v>
      </c>
      <c r="C101" t="s">
        <v>157</v>
      </c>
      <c r="D101" t="s">
        <v>54</v>
      </c>
      <c r="E101" t="s">
        <v>21</v>
      </c>
      <c r="F101" t="s">
        <v>183</v>
      </c>
      <c r="G101" s="56">
        <v>43719</v>
      </c>
      <c r="H101">
        <v>33</v>
      </c>
      <c r="I101">
        <v>9996</v>
      </c>
      <c r="J101" t="s">
        <v>50</v>
      </c>
      <c r="K101" t="s">
        <v>50</v>
      </c>
      <c r="L101" t="s">
        <v>159</v>
      </c>
      <c r="M101" t="s">
        <v>51</v>
      </c>
      <c r="N101" t="s">
        <v>92</v>
      </c>
      <c r="O101" s="1">
        <v>41335</v>
      </c>
      <c r="P101" t="s">
        <v>84</v>
      </c>
      <c r="Q101">
        <v>4</v>
      </c>
      <c r="R101" t="s">
        <v>27</v>
      </c>
      <c r="S101" t="s">
        <v>351</v>
      </c>
      <c r="T101" t="s">
        <v>351</v>
      </c>
      <c r="U101">
        <v>0</v>
      </c>
      <c r="V101">
        <v>0</v>
      </c>
      <c r="W101">
        <v>0</v>
      </c>
    </row>
    <row r="102" spans="1:23" x14ac:dyDescent="0.25">
      <c r="A102" s="1">
        <v>43678</v>
      </c>
      <c r="B102" s="1">
        <v>43678</v>
      </c>
      <c r="C102" t="s">
        <v>157</v>
      </c>
      <c r="D102" t="s">
        <v>93</v>
      </c>
      <c r="E102" t="s">
        <v>49</v>
      </c>
      <c r="F102" t="s">
        <v>182</v>
      </c>
      <c r="G102" s="56">
        <v>43915.393750000003</v>
      </c>
      <c r="H102">
        <v>61</v>
      </c>
      <c r="I102" t="s">
        <v>351</v>
      </c>
      <c r="J102" t="s">
        <v>50</v>
      </c>
      <c r="K102" t="s">
        <v>50</v>
      </c>
      <c r="L102" t="s">
        <v>159</v>
      </c>
      <c r="M102" t="s">
        <v>51</v>
      </c>
      <c r="N102" t="s">
        <v>92</v>
      </c>
      <c r="O102" s="1">
        <v>41335</v>
      </c>
      <c r="P102" t="s">
        <v>84</v>
      </c>
      <c r="Q102">
        <v>5</v>
      </c>
      <c r="R102" t="s">
        <v>28</v>
      </c>
      <c r="S102">
        <v>1</v>
      </c>
      <c r="T102">
        <v>-2</v>
      </c>
      <c r="U102" t="s">
        <v>351</v>
      </c>
      <c r="V102" t="s">
        <v>351</v>
      </c>
      <c r="W102">
        <v>-2</v>
      </c>
    </row>
    <row r="103" spans="1:23" x14ac:dyDescent="0.25">
      <c r="A103" s="1">
        <v>43678</v>
      </c>
      <c r="B103" s="1">
        <v>43678</v>
      </c>
      <c r="C103" t="s">
        <v>157</v>
      </c>
      <c r="D103" t="s">
        <v>48</v>
      </c>
      <c r="E103" t="s">
        <v>49</v>
      </c>
      <c r="F103" t="s">
        <v>181</v>
      </c>
      <c r="G103" s="56">
        <v>43719</v>
      </c>
      <c r="H103">
        <v>33</v>
      </c>
      <c r="I103">
        <v>9996</v>
      </c>
      <c r="J103" t="s">
        <v>50</v>
      </c>
      <c r="K103" t="s">
        <v>50</v>
      </c>
      <c r="L103" t="s">
        <v>159</v>
      </c>
      <c r="M103" t="s">
        <v>51</v>
      </c>
      <c r="N103" t="s">
        <v>92</v>
      </c>
      <c r="O103" s="1">
        <v>41335</v>
      </c>
      <c r="P103" t="s">
        <v>84</v>
      </c>
      <c r="Q103">
        <v>5</v>
      </c>
      <c r="R103" t="s">
        <v>28</v>
      </c>
      <c r="S103">
        <v>3.471597</v>
      </c>
      <c r="T103">
        <v>75.617000000000004</v>
      </c>
      <c r="U103" t="s">
        <v>351</v>
      </c>
      <c r="V103" t="s">
        <v>351</v>
      </c>
      <c r="W103">
        <v>263</v>
      </c>
    </row>
    <row r="104" spans="1:23" x14ac:dyDescent="0.25">
      <c r="A104" s="1">
        <v>43678</v>
      </c>
      <c r="B104" s="1">
        <v>43739</v>
      </c>
      <c r="C104" t="s">
        <v>157</v>
      </c>
      <c r="D104" t="s">
        <v>54</v>
      </c>
      <c r="E104" t="s">
        <v>21</v>
      </c>
      <c r="F104" t="s">
        <v>183</v>
      </c>
      <c r="G104" s="56">
        <v>43719</v>
      </c>
      <c r="H104">
        <v>33</v>
      </c>
      <c r="I104">
        <v>9996</v>
      </c>
      <c r="J104" t="s">
        <v>50</v>
      </c>
      <c r="K104" t="s">
        <v>50</v>
      </c>
      <c r="L104" t="s">
        <v>159</v>
      </c>
      <c r="M104" t="s">
        <v>51</v>
      </c>
      <c r="N104" t="s">
        <v>92</v>
      </c>
      <c r="O104" s="1">
        <v>41335</v>
      </c>
      <c r="P104" t="s">
        <v>84</v>
      </c>
      <c r="Q104">
        <v>5</v>
      </c>
      <c r="R104" t="s">
        <v>28</v>
      </c>
      <c r="S104" t="s">
        <v>351</v>
      </c>
      <c r="T104" t="s">
        <v>351</v>
      </c>
      <c r="U104">
        <v>0</v>
      </c>
      <c r="V104">
        <v>0</v>
      </c>
      <c r="W104">
        <v>0</v>
      </c>
    </row>
    <row r="105" spans="1:23" x14ac:dyDescent="0.25">
      <c r="A105" s="1">
        <v>43709</v>
      </c>
      <c r="B105" s="1">
        <v>43709</v>
      </c>
      <c r="C105" t="s">
        <v>157</v>
      </c>
      <c r="D105" t="s">
        <v>48</v>
      </c>
      <c r="E105" t="s">
        <v>49</v>
      </c>
      <c r="F105" t="s">
        <v>184</v>
      </c>
      <c r="G105" s="56">
        <v>43748</v>
      </c>
      <c r="H105">
        <v>33</v>
      </c>
      <c r="I105">
        <v>10390</v>
      </c>
      <c r="J105" t="s">
        <v>50</v>
      </c>
      <c r="K105" t="s">
        <v>50</v>
      </c>
      <c r="L105" t="s">
        <v>159</v>
      </c>
      <c r="M105" t="s">
        <v>51</v>
      </c>
      <c r="N105" t="s">
        <v>92</v>
      </c>
      <c r="O105" s="1">
        <v>41335</v>
      </c>
      <c r="P105" t="s">
        <v>84</v>
      </c>
      <c r="Q105">
        <v>1</v>
      </c>
      <c r="R105" t="s">
        <v>83</v>
      </c>
      <c r="S105">
        <v>755.96651699999995</v>
      </c>
      <c r="T105">
        <v>77.384</v>
      </c>
      <c r="U105" t="s">
        <v>351</v>
      </c>
      <c r="V105" t="s">
        <v>351</v>
      </c>
      <c r="W105">
        <v>58500</v>
      </c>
    </row>
    <row r="106" spans="1:23" x14ac:dyDescent="0.25">
      <c r="A106" s="1">
        <v>43709</v>
      </c>
      <c r="B106" s="1">
        <v>43739</v>
      </c>
      <c r="C106" t="s">
        <v>157</v>
      </c>
      <c r="D106" t="s">
        <v>54</v>
      </c>
      <c r="E106" t="s">
        <v>21</v>
      </c>
      <c r="F106" t="s">
        <v>183</v>
      </c>
      <c r="G106" s="56">
        <v>43748</v>
      </c>
      <c r="H106">
        <v>33</v>
      </c>
      <c r="I106">
        <v>10390</v>
      </c>
      <c r="J106" t="s">
        <v>50</v>
      </c>
      <c r="K106" t="s">
        <v>50</v>
      </c>
      <c r="L106" t="s">
        <v>159</v>
      </c>
      <c r="M106" t="s">
        <v>51</v>
      </c>
      <c r="N106" t="s">
        <v>92</v>
      </c>
      <c r="O106" s="1">
        <v>41335</v>
      </c>
      <c r="P106" t="s">
        <v>84</v>
      </c>
      <c r="Q106">
        <v>1</v>
      </c>
      <c r="R106" t="s">
        <v>83</v>
      </c>
      <c r="S106" t="s">
        <v>351</v>
      </c>
      <c r="T106" t="s">
        <v>351</v>
      </c>
      <c r="U106">
        <v>0</v>
      </c>
      <c r="V106">
        <v>0</v>
      </c>
      <c r="W106">
        <v>0</v>
      </c>
    </row>
    <row r="107" spans="1:23" x14ac:dyDescent="0.25">
      <c r="A107" s="1">
        <v>43709</v>
      </c>
      <c r="B107" s="1">
        <v>43709</v>
      </c>
      <c r="C107" t="s">
        <v>157</v>
      </c>
      <c r="D107" t="s">
        <v>48</v>
      </c>
      <c r="E107" t="s">
        <v>49</v>
      </c>
      <c r="F107" t="s">
        <v>184</v>
      </c>
      <c r="G107" s="56">
        <v>43748</v>
      </c>
      <c r="H107">
        <v>33</v>
      </c>
      <c r="I107">
        <v>10390</v>
      </c>
      <c r="J107" t="s">
        <v>50</v>
      </c>
      <c r="K107" t="s">
        <v>50</v>
      </c>
      <c r="L107" t="s">
        <v>159</v>
      </c>
      <c r="M107" t="s">
        <v>51</v>
      </c>
      <c r="N107" t="s">
        <v>92</v>
      </c>
      <c r="O107" s="1">
        <v>41335</v>
      </c>
      <c r="P107" t="s">
        <v>84</v>
      </c>
      <c r="Q107">
        <v>2</v>
      </c>
      <c r="R107" t="s">
        <v>94</v>
      </c>
      <c r="S107">
        <v>3.2400500000000001</v>
      </c>
      <c r="T107">
        <v>79.429000000000002</v>
      </c>
      <c r="U107" t="s">
        <v>351</v>
      </c>
      <c r="V107" t="s">
        <v>351</v>
      </c>
      <c r="W107">
        <v>257</v>
      </c>
    </row>
    <row r="108" spans="1:23" x14ac:dyDescent="0.25">
      <c r="A108" s="1">
        <v>43709</v>
      </c>
      <c r="B108" s="1">
        <v>43739</v>
      </c>
      <c r="C108" t="s">
        <v>157</v>
      </c>
      <c r="D108" t="s">
        <v>54</v>
      </c>
      <c r="E108" t="s">
        <v>21</v>
      </c>
      <c r="F108" t="s">
        <v>183</v>
      </c>
      <c r="G108" s="56">
        <v>43748</v>
      </c>
      <c r="H108">
        <v>33</v>
      </c>
      <c r="I108">
        <v>10390</v>
      </c>
      <c r="J108" t="s">
        <v>50</v>
      </c>
      <c r="K108" t="s">
        <v>50</v>
      </c>
      <c r="L108" t="s">
        <v>159</v>
      </c>
      <c r="M108" t="s">
        <v>51</v>
      </c>
      <c r="N108" t="s">
        <v>92</v>
      </c>
      <c r="O108" s="1">
        <v>41335</v>
      </c>
      <c r="P108" t="s">
        <v>84</v>
      </c>
      <c r="Q108">
        <v>2</v>
      </c>
      <c r="R108" t="s">
        <v>94</v>
      </c>
      <c r="S108" t="s">
        <v>351</v>
      </c>
      <c r="T108" t="s">
        <v>351</v>
      </c>
      <c r="U108">
        <v>0</v>
      </c>
      <c r="V108">
        <v>0</v>
      </c>
      <c r="W108">
        <v>0</v>
      </c>
    </row>
    <row r="109" spans="1:23" x14ac:dyDescent="0.25">
      <c r="A109" s="1">
        <v>43709</v>
      </c>
      <c r="B109" s="1">
        <v>43709</v>
      </c>
      <c r="C109" t="s">
        <v>157</v>
      </c>
      <c r="D109" t="s">
        <v>48</v>
      </c>
      <c r="E109" t="s">
        <v>49</v>
      </c>
      <c r="F109" t="s">
        <v>184</v>
      </c>
      <c r="G109" s="56">
        <v>43748</v>
      </c>
      <c r="H109">
        <v>33</v>
      </c>
      <c r="I109">
        <v>10390</v>
      </c>
      <c r="J109" t="s">
        <v>50</v>
      </c>
      <c r="K109" t="s">
        <v>50</v>
      </c>
      <c r="L109" t="s">
        <v>159</v>
      </c>
      <c r="M109" t="s">
        <v>51</v>
      </c>
      <c r="N109" t="s">
        <v>92</v>
      </c>
      <c r="O109" s="1">
        <v>41335</v>
      </c>
      <c r="P109" t="s">
        <v>84</v>
      </c>
      <c r="Q109">
        <v>3</v>
      </c>
      <c r="R109" t="s">
        <v>81</v>
      </c>
      <c r="S109">
        <v>154.713278</v>
      </c>
      <c r="T109">
        <v>72.400000000000006</v>
      </c>
      <c r="U109" t="s">
        <v>351</v>
      </c>
      <c r="V109" t="s">
        <v>351</v>
      </c>
      <c r="W109">
        <v>11201</v>
      </c>
    </row>
    <row r="110" spans="1:23" x14ac:dyDescent="0.25">
      <c r="A110" s="1">
        <v>43709</v>
      </c>
      <c r="B110" s="1">
        <v>43739</v>
      </c>
      <c r="C110" t="s">
        <v>157</v>
      </c>
      <c r="D110" t="s">
        <v>54</v>
      </c>
      <c r="E110" t="s">
        <v>21</v>
      </c>
      <c r="F110" t="s">
        <v>183</v>
      </c>
      <c r="G110" s="56">
        <v>43748</v>
      </c>
      <c r="H110">
        <v>33</v>
      </c>
      <c r="I110">
        <v>10390</v>
      </c>
      <c r="J110" t="s">
        <v>50</v>
      </c>
      <c r="K110" t="s">
        <v>50</v>
      </c>
      <c r="L110" t="s">
        <v>159</v>
      </c>
      <c r="M110" t="s">
        <v>51</v>
      </c>
      <c r="N110" t="s">
        <v>92</v>
      </c>
      <c r="O110" s="1">
        <v>41335</v>
      </c>
      <c r="P110" t="s">
        <v>84</v>
      </c>
      <c r="Q110">
        <v>3</v>
      </c>
      <c r="R110" t="s">
        <v>81</v>
      </c>
      <c r="S110" t="s">
        <v>351</v>
      </c>
      <c r="T110" t="s">
        <v>351</v>
      </c>
      <c r="U110">
        <v>0</v>
      </c>
      <c r="V110">
        <v>0</v>
      </c>
      <c r="W110">
        <v>0</v>
      </c>
    </row>
    <row r="111" spans="1:23" x14ac:dyDescent="0.25">
      <c r="A111" s="1">
        <v>43709</v>
      </c>
      <c r="B111" s="1">
        <v>43709</v>
      </c>
      <c r="C111" t="s">
        <v>157</v>
      </c>
      <c r="D111" t="s">
        <v>48</v>
      </c>
      <c r="E111" t="s">
        <v>49</v>
      </c>
      <c r="F111" t="s">
        <v>184</v>
      </c>
      <c r="G111" s="56">
        <v>43748</v>
      </c>
      <c r="H111">
        <v>33</v>
      </c>
      <c r="I111">
        <v>10390</v>
      </c>
      <c r="J111" t="s">
        <v>50</v>
      </c>
      <c r="K111" t="s">
        <v>50</v>
      </c>
      <c r="L111" t="s">
        <v>159</v>
      </c>
      <c r="M111" t="s">
        <v>51</v>
      </c>
      <c r="N111" t="s">
        <v>92</v>
      </c>
      <c r="O111" s="1">
        <v>41335</v>
      </c>
      <c r="P111" t="s">
        <v>84</v>
      </c>
      <c r="Q111">
        <v>4</v>
      </c>
      <c r="R111" t="s">
        <v>27</v>
      </c>
      <c r="S111">
        <v>1084.175843</v>
      </c>
      <c r="T111">
        <v>74.936000000000007</v>
      </c>
      <c r="U111" t="s">
        <v>351</v>
      </c>
      <c r="V111" t="s">
        <v>351</v>
      </c>
      <c r="W111">
        <v>81244</v>
      </c>
    </row>
    <row r="112" spans="1:23" x14ac:dyDescent="0.25">
      <c r="A112" s="1">
        <v>43709</v>
      </c>
      <c r="B112" s="1">
        <v>43739</v>
      </c>
      <c r="C112" t="s">
        <v>157</v>
      </c>
      <c r="D112" t="s">
        <v>54</v>
      </c>
      <c r="E112" t="s">
        <v>21</v>
      </c>
      <c r="F112" t="s">
        <v>183</v>
      </c>
      <c r="G112" s="56">
        <v>43748</v>
      </c>
      <c r="H112">
        <v>33</v>
      </c>
      <c r="I112">
        <v>10390</v>
      </c>
      <c r="J112" t="s">
        <v>50</v>
      </c>
      <c r="K112" t="s">
        <v>50</v>
      </c>
      <c r="L112" t="s">
        <v>159</v>
      </c>
      <c r="M112" t="s">
        <v>51</v>
      </c>
      <c r="N112" t="s">
        <v>92</v>
      </c>
      <c r="O112" s="1">
        <v>41335</v>
      </c>
      <c r="P112" t="s">
        <v>84</v>
      </c>
      <c r="Q112">
        <v>4</v>
      </c>
      <c r="R112" t="s">
        <v>27</v>
      </c>
      <c r="S112" t="s">
        <v>351</v>
      </c>
      <c r="T112" t="s">
        <v>351</v>
      </c>
      <c r="U112">
        <v>0</v>
      </c>
      <c r="V112">
        <v>0</v>
      </c>
      <c r="W112">
        <v>0</v>
      </c>
    </row>
    <row r="113" spans="1:23" x14ac:dyDescent="0.25">
      <c r="A113" s="1">
        <v>43709</v>
      </c>
      <c r="B113" s="1">
        <v>43709</v>
      </c>
      <c r="C113" t="s">
        <v>157</v>
      </c>
      <c r="D113" t="s">
        <v>48</v>
      </c>
      <c r="E113" t="s">
        <v>49</v>
      </c>
      <c r="F113" t="s">
        <v>184</v>
      </c>
      <c r="G113" s="56">
        <v>43748</v>
      </c>
      <c r="H113">
        <v>33</v>
      </c>
      <c r="I113">
        <v>10390</v>
      </c>
      <c r="J113" t="s">
        <v>50</v>
      </c>
      <c r="K113" t="s">
        <v>50</v>
      </c>
      <c r="L113" t="s">
        <v>159</v>
      </c>
      <c r="M113" t="s">
        <v>51</v>
      </c>
      <c r="N113" t="s">
        <v>92</v>
      </c>
      <c r="O113" s="1">
        <v>41335</v>
      </c>
      <c r="P113" t="s">
        <v>84</v>
      </c>
      <c r="Q113">
        <v>5</v>
      </c>
      <c r="R113" t="s">
        <v>28</v>
      </c>
      <c r="S113">
        <v>3.3587340000000001</v>
      </c>
      <c r="T113">
        <v>75.665000000000006</v>
      </c>
      <c r="U113" t="s">
        <v>351</v>
      </c>
      <c r="V113" t="s">
        <v>351</v>
      </c>
      <c r="W113">
        <v>254</v>
      </c>
    </row>
    <row r="114" spans="1:23" x14ac:dyDescent="0.25">
      <c r="A114" s="1">
        <v>43709</v>
      </c>
      <c r="B114" s="1">
        <v>43739</v>
      </c>
      <c r="C114" t="s">
        <v>157</v>
      </c>
      <c r="D114" t="s">
        <v>54</v>
      </c>
      <c r="E114" t="s">
        <v>21</v>
      </c>
      <c r="F114" t="s">
        <v>183</v>
      </c>
      <c r="G114" s="56">
        <v>43748</v>
      </c>
      <c r="H114">
        <v>33</v>
      </c>
      <c r="I114">
        <v>10390</v>
      </c>
      <c r="J114" t="s">
        <v>50</v>
      </c>
      <c r="K114" t="s">
        <v>50</v>
      </c>
      <c r="L114" t="s">
        <v>159</v>
      </c>
      <c r="M114" t="s">
        <v>51</v>
      </c>
      <c r="N114" t="s">
        <v>92</v>
      </c>
      <c r="O114" s="1">
        <v>41335</v>
      </c>
      <c r="P114" t="s">
        <v>84</v>
      </c>
      <c r="Q114">
        <v>5</v>
      </c>
      <c r="R114" t="s">
        <v>28</v>
      </c>
      <c r="S114" t="s">
        <v>351</v>
      </c>
      <c r="T114" t="s">
        <v>351</v>
      </c>
      <c r="U114">
        <v>0</v>
      </c>
      <c r="V114">
        <v>0</v>
      </c>
      <c r="W114">
        <v>0</v>
      </c>
    </row>
    <row r="115" spans="1:23" x14ac:dyDescent="0.25">
      <c r="A115" s="1">
        <v>43739</v>
      </c>
      <c r="B115" s="1">
        <v>43709</v>
      </c>
      <c r="C115" t="s">
        <v>157</v>
      </c>
      <c r="D115" t="s">
        <v>57</v>
      </c>
      <c r="E115" t="s">
        <v>49</v>
      </c>
      <c r="F115" t="s">
        <v>185</v>
      </c>
      <c r="G115" s="56">
        <v>43944.47278935185</v>
      </c>
      <c r="H115">
        <v>61</v>
      </c>
      <c r="I115" t="s">
        <v>351</v>
      </c>
      <c r="J115" t="s">
        <v>50</v>
      </c>
      <c r="K115" t="s">
        <v>50</v>
      </c>
      <c r="L115" t="s">
        <v>159</v>
      </c>
      <c r="M115" t="s">
        <v>51</v>
      </c>
      <c r="N115" t="s">
        <v>92</v>
      </c>
      <c r="O115" s="1">
        <v>41335</v>
      </c>
      <c r="P115" t="s">
        <v>84</v>
      </c>
      <c r="Q115">
        <v>1</v>
      </c>
      <c r="R115" t="s">
        <v>83</v>
      </c>
      <c r="S115">
        <v>-755.96651699999995</v>
      </c>
      <c r="T115">
        <v>77.384</v>
      </c>
      <c r="U115" t="s">
        <v>351</v>
      </c>
      <c r="V115" t="s">
        <v>351</v>
      </c>
      <c r="W115">
        <v>-58500</v>
      </c>
    </row>
    <row r="116" spans="1:23" x14ac:dyDescent="0.25">
      <c r="A116" s="1">
        <v>43739</v>
      </c>
      <c r="B116" s="1">
        <v>43709</v>
      </c>
      <c r="C116" t="s">
        <v>157</v>
      </c>
      <c r="D116" t="s">
        <v>58</v>
      </c>
      <c r="E116" t="s">
        <v>21</v>
      </c>
      <c r="F116" t="s">
        <v>186</v>
      </c>
      <c r="G116" s="56">
        <v>43944.47278935185</v>
      </c>
      <c r="H116">
        <v>61</v>
      </c>
      <c r="I116" t="s">
        <v>351</v>
      </c>
      <c r="J116" t="s">
        <v>50</v>
      </c>
      <c r="K116" t="s">
        <v>50</v>
      </c>
      <c r="L116" t="s">
        <v>159</v>
      </c>
      <c r="M116" t="s">
        <v>51</v>
      </c>
      <c r="N116" t="s">
        <v>92</v>
      </c>
      <c r="O116" s="1">
        <v>41335</v>
      </c>
      <c r="P116" t="s">
        <v>84</v>
      </c>
      <c r="Q116">
        <v>1</v>
      </c>
      <c r="R116" t="s">
        <v>83</v>
      </c>
      <c r="S116" t="s">
        <v>351</v>
      </c>
      <c r="T116" t="s">
        <v>351</v>
      </c>
      <c r="U116">
        <v>0</v>
      </c>
      <c r="V116">
        <v>5969.53</v>
      </c>
      <c r="W116">
        <v>0</v>
      </c>
    </row>
    <row r="117" spans="1:23" x14ac:dyDescent="0.25">
      <c r="A117" s="1">
        <v>43739</v>
      </c>
      <c r="B117" s="1">
        <v>43709</v>
      </c>
      <c r="C117" t="s">
        <v>157</v>
      </c>
      <c r="D117" t="s">
        <v>58</v>
      </c>
      <c r="E117" t="s">
        <v>21</v>
      </c>
      <c r="F117" t="s">
        <v>190</v>
      </c>
      <c r="G117" s="56">
        <v>43944.47278935185</v>
      </c>
      <c r="H117">
        <v>61</v>
      </c>
      <c r="I117" t="s">
        <v>351</v>
      </c>
      <c r="J117" t="s">
        <v>50</v>
      </c>
      <c r="K117" t="s">
        <v>50</v>
      </c>
      <c r="L117" t="s">
        <v>159</v>
      </c>
      <c r="M117" t="s">
        <v>51</v>
      </c>
      <c r="N117" t="s">
        <v>92</v>
      </c>
      <c r="O117" s="1">
        <v>41335</v>
      </c>
      <c r="P117" t="s">
        <v>84</v>
      </c>
      <c r="Q117">
        <v>1</v>
      </c>
      <c r="R117" t="s">
        <v>83</v>
      </c>
      <c r="S117" t="s">
        <v>351</v>
      </c>
      <c r="T117" t="s">
        <v>351</v>
      </c>
      <c r="U117">
        <v>0</v>
      </c>
      <c r="V117">
        <v>6360.2</v>
      </c>
      <c r="W117">
        <v>0</v>
      </c>
    </row>
    <row r="118" spans="1:23" x14ac:dyDescent="0.25">
      <c r="A118" s="1">
        <v>43739</v>
      </c>
      <c r="B118" s="1">
        <v>43709</v>
      </c>
      <c r="C118" t="s">
        <v>157</v>
      </c>
      <c r="D118" t="s">
        <v>57</v>
      </c>
      <c r="E118" t="s">
        <v>49</v>
      </c>
      <c r="F118" t="s">
        <v>188</v>
      </c>
      <c r="G118" s="56">
        <v>43944.47278935185</v>
      </c>
      <c r="H118">
        <v>61</v>
      </c>
      <c r="I118" t="s">
        <v>351</v>
      </c>
      <c r="J118" t="s">
        <v>50</v>
      </c>
      <c r="K118" t="s">
        <v>50</v>
      </c>
      <c r="L118" t="s">
        <v>159</v>
      </c>
      <c r="M118" t="s">
        <v>51</v>
      </c>
      <c r="N118" t="s">
        <v>92</v>
      </c>
      <c r="O118" s="1">
        <v>41335</v>
      </c>
      <c r="P118" t="s">
        <v>84</v>
      </c>
      <c r="Q118">
        <v>1</v>
      </c>
      <c r="R118" t="s">
        <v>83</v>
      </c>
      <c r="S118">
        <v>764.87856799999997</v>
      </c>
      <c r="T118">
        <v>74.400999999999996</v>
      </c>
      <c r="U118" t="s">
        <v>351</v>
      </c>
      <c r="V118" t="s">
        <v>351</v>
      </c>
      <c r="W118">
        <v>56908</v>
      </c>
    </row>
    <row r="119" spans="1:23" x14ac:dyDescent="0.25">
      <c r="A119" s="1">
        <v>43739</v>
      </c>
      <c r="B119" s="1">
        <v>43739</v>
      </c>
      <c r="C119" t="s">
        <v>157</v>
      </c>
      <c r="D119" t="s">
        <v>54</v>
      </c>
      <c r="E119" t="s">
        <v>21</v>
      </c>
      <c r="F119" t="s">
        <v>183</v>
      </c>
      <c r="G119" s="56">
        <v>43781</v>
      </c>
      <c r="H119">
        <v>33</v>
      </c>
      <c r="I119">
        <v>10809</v>
      </c>
      <c r="J119" t="s">
        <v>50</v>
      </c>
      <c r="K119" t="s">
        <v>50</v>
      </c>
      <c r="L119" t="s">
        <v>159</v>
      </c>
      <c r="M119" t="s">
        <v>51</v>
      </c>
      <c r="N119" t="s">
        <v>92</v>
      </c>
      <c r="O119" s="1">
        <v>41335</v>
      </c>
      <c r="P119" t="s">
        <v>84</v>
      </c>
      <c r="Q119">
        <v>1</v>
      </c>
      <c r="R119" t="s">
        <v>83</v>
      </c>
      <c r="S119" t="s">
        <v>351</v>
      </c>
      <c r="T119" t="s">
        <v>351</v>
      </c>
      <c r="U119">
        <v>0</v>
      </c>
      <c r="V119">
        <v>5969.53</v>
      </c>
      <c r="W119">
        <v>0</v>
      </c>
    </row>
    <row r="120" spans="1:23" x14ac:dyDescent="0.25">
      <c r="A120" s="1">
        <v>43739</v>
      </c>
      <c r="B120" s="1">
        <v>43739</v>
      </c>
      <c r="C120" t="s">
        <v>157</v>
      </c>
      <c r="D120" t="s">
        <v>93</v>
      </c>
      <c r="E120" t="s">
        <v>49</v>
      </c>
      <c r="F120" t="s">
        <v>187</v>
      </c>
      <c r="G120" s="56">
        <v>43812</v>
      </c>
      <c r="H120">
        <v>61</v>
      </c>
      <c r="I120" t="s">
        <v>351</v>
      </c>
      <c r="J120" t="s">
        <v>50</v>
      </c>
      <c r="K120" t="s">
        <v>50</v>
      </c>
      <c r="L120" t="s">
        <v>159</v>
      </c>
      <c r="M120" t="s">
        <v>51</v>
      </c>
      <c r="N120" t="s">
        <v>92</v>
      </c>
      <c r="O120" s="1">
        <v>41335</v>
      </c>
      <c r="P120" t="s">
        <v>84</v>
      </c>
      <c r="Q120">
        <v>1</v>
      </c>
      <c r="R120" t="s">
        <v>83</v>
      </c>
      <c r="S120">
        <v>1</v>
      </c>
      <c r="T120">
        <v>-194</v>
      </c>
      <c r="U120" t="s">
        <v>351</v>
      </c>
      <c r="V120" t="s">
        <v>351</v>
      </c>
      <c r="W120">
        <v>-194</v>
      </c>
    </row>
    <row r="121" spans="1:23" x14ac:dyDescent="0.25">
      <c r="A121" s="1">
        <v>43739</v>
      </c>
      <c r="B121" s="1">
        <v>43739</v>
      </c>
      <c r="C121" t="s">
        <v>157</v>
      </c>
      <c r="D121" t="s">
        <v>48</v>
      </c>
      <c r="E121" t="s">
        <v>49</v>
      </c>
      <c r="F121" t="s">
        <v>189</v>
      </c>
      <c r="G121" s="56">
        <v>43781</v>
      </c>
      <c r="H121">
        <v>33</v>
      </c>
      <c r="I121">
        <v>10809</v>
      </c>
      <c r="J121" t="s">
        <v>50</v>
      </c>
      <c r="K121" t="s">
        <v>50</v>
      </c>
      <c r="L121" t="s">
        <v>159</v>
      </c>
      <c r="M121" t="s">
        <v>51</v>
      </c>
      <c r="N121" t="s">
        <v>92</v>
      </c>
      <c r="O121" s="1">
        <v>41335</v>
      </c>
      <c r="P121" t="s">
        <v>84</v>
      </c>
      <c r="Q121">
        <v>1</v>
      </c>
      <c r="R121" t="s">
        <v>83</v>
      </c>
      <c r="S121">
        <v>910.42412200000001</v>
      </c>
      <c r="T121">
        <v>74.400999999999996</v>
      </c>
      <c r="U121" t="s">
        <v>351</v>
      </c>
      <c r="V121" t="s">
        <v>351</v>
      </c>
      <c r="W121">
        <v>67736</v>
      </c>
    </row>
    <row r="122" spans="1:23" x14ac:dyDescent="0.25">
      <c r="A122" s="1">
        <v>43739</v>
      </c>
      <c r="B122" s="1">
        <v>43709</v>
      </c>
      <c r="C122" t="s">
        <v>157</v>
      </c>
      <c r="D122" t="s">
        <v>57</v>
      </c>
      <c r="E122" t="s">
        <v>49</v>
      </c>
      <c r="F122" t="s">
        <v>185</v>
      </c>
      <c r="G122" s="56">
        <v>43944.47278935185</v>
      </c>
      <c r="H122">
        <v>61</v>
      </c>
      <c r="I122" t="s">
        <v>351</v>
      </c>
      <c r="J122" t="s">
        <v>50</v>
      </c>
      <c r="K122" t="s">
        <v>50</v>
      </c>
      <c r="L122" t="s">
        <v>159</v>
      </c>
      <c r="M122" t="s">
        <v>51</v>
      </c>
      <c r="N122" t="s">
        <v>92</v>
      </c>
      <c r="O122" s="1">
        <v>41335</v>
      </c>
      <c r="P122" t="s">
        <v>84</v>
      </c>
      <c r="Q122">
        <v>2</v>
      </c>
      <c r="R122" t="s">
        <v>94</v>
      </c>
      <c r="S122">
        <v>-3.2400500000000001</v>
      </c>
      <c r="T122">
        <v>79.429000000000002</v>
      </c>
      <c r="U122" t="s">
        <v>351</v>
      </c>
      <c r="V122" t="s">
        <v>351</v>
      </c>
      <c r="W122">
        <v>-257</v>
      </c>
    </row>
    <row r="123" spans="1:23" x14ac:dyDescent="0.25">
      <c r="A123" s="1">
        <v>43739</v>
      </c>
      <c r="B123" s="1">
        <v>43709</v>
      </c>
      <c r="C123" t="s">
        <v>157</v>
      </c>
      <c r="D123" t="s">
        <v>58</v>
      </c>
      <c r="E123" t="s">
        <v>21</v>
      </c>
      <c r="F123" t="s">
        <v>186</v>
      </c>
      <c r="G123" s="56">
        <v>43944.47278935185</v>
      </c>
      <c r="H123">
        <v>61</v>
      </c>
      <c r="I123" t="s">
        <v>351</v>
      </c>
      <c r="J123" t="s">
        <v>50</v>
      </c>
      <c r="K123" t="s">
        <v>50</v>
      </c>
      <c r="L123" t="s">
        <v>159</v>
      </c>
      <c r="M123" t="s">
        <v>51</v>
      </c>
      <c r="N123" t="s">
        <v>92</v>
      </c>
      <c r="O123" s="1">
        <v>41335</v>
      </c>
      <c r="P123" t="s">
        <v>84</v>
      </c>
      <c r="Q123">
        <v>2</v>
      </c>
      <c r="R123" t="s">
        <v>94</v>
      </c>
      <c r="S123" t="s">
        <v>351</v>
      </c>
      <c r="T123" t="s">
        <v>351</v>
      </c>
      <c r="U123">
        <v>0</v>
      </c>
      <c r="V123">
        <v>6128.55</v>
      </c>
      <c r="W123">
        <v>0</v>
      </c>
    </row>
    <row r="124" spans="1:23" x14ac:dyDescent="0.25">
      <c r="A124" s="1">
        <v>43739</v>
      </c>
      <c r="B124" s="1">
        <v>43709</v>
      </c>
      <c r="C124" t="s">
        <v>157</v>
      </c>
      <c r="D124" t="s">
        <v>58</v>
      </c>
      <c r="E124" t="s">
        <v>21</v>
      </c>
      <c r="F124" t="s">
        <v>190</v>
      </c>
      <c r="G124" s="56">
        <v>43944.47278935185</v>
      </c>
      <c r="H124">
        <v>61</v>
      </c>
      <c r="I124" t="s">
        <v>351</v>
      </c>
      <c r="J124" t="s">
        <v>50</v>
      </c>
      <c r="K124" t="s">
        <v>50</v>
      </c>
      <c r="L124" t="s">
        <v>159</v>
      </c>
      <c r="M124" t="s">
        <v>51</v>
      </c>
      <c r="N124" t="s">
        <v>92</v>
      </c>
      <c r="O124" s="1">
        <v>41335</v>
      </c>
      <c r="P124" t="s">
        <v>84</v>
      </c>
      <c r="Q124">
        <v>2</v>
      </c>
      <c r="R124" t="s">
        <v>94</v>
      </c>
      <c r="S124" t="s">
        <v>351</v>
      </c>
      <c r="T124" t="s">
        <v>351</v>
      </c>
      <c r="U124">
        <v>0</v>
      </c>
      <c r="V124">
        <v>6409.16</v>
      </c>
      <c r="W124">
        <v>0</v>
      </c>
    </row>
    <row r="125" spans="1:23" x14ac:dyDescent="0.25">
      <c r="A125" s="1">
        <v>43739</v>
      </c>
      <c r="B125" s="1">
        <v>43709</v>
      </c>
      <c r="C125" t="s">
        <v>157</v>
      </c>
      <c r="D125" t="s">
        <v>57</v>
      </c>
      <c r="E125" t="s">
        <v>49</v>
      </c>
      <c r="F125" t="s">
        <v>188</v>
      </c>
      <c r="G125" s="56">
        <v>43944.47278935185</v>
      </c>
      <c r="H125">
        <v>61</v>
      </c>
      <c r="I125" t="s">
        <v>351</v>
      </c>
      <c r="J125" t="s">
        <v>50</v>
      </c>
      <c r="K125" t="s">
        <v>50</v>
      </c>
      <c r="L125" t="s">
        <v>159</v>
      </c>
      <c r="M125" t="s">
        <v>51</v>
      </c>
      <c r="N125" t="s">
        <v>92</v>
      </c>
      <c r="O125" s="1">
        <v>41335</v>
      </c>
      <c r="P125" t="s">
        <v>84</v>
      </c>
      <c r="Q125">
        <v>2</v>
      </c>
      <c r="R125" t="s">
        <v>94</v>
      </c>
      <c r="S125">
        <v>3.2782469999999999</v>
      </c>
      <c r="T125">
        <v>75.736999999999995</v>
      </c>
      <c r="U125" t="s">
        <v>351</v>
      </c>
      <c r="V125" t="s">
        <v>351</v>
      </c>
      <c r="W125">
        <v>248</v>
      </c>
    </row>
    <row r="126" spans="1:23" x14ac:dyDescent="0.25">
      <c r="A126" s="1">
        <v>43739</v>
      </c>
      <c r="B126" s="1">
        <v>43739</v>
      </c>
      <c r="C126" t="s">
        <v>157</v>
      </c>
      <c r="D126" t="s">
        <v>54</v>
      </c>
      <c r="E126" t="s">
        <v>21</v>
      </c>
      <c r="F126" t="s">
        <v>183</v>
      </c>
      <c r="G126" s="56">
        <v>43781</v>
      </c>
      <c r="H126">
        <v>33</v>
      </c>
      <c r="I126">
        <v>10809</v>
      </c>
      <c r="J126" t="s">
        <v>50</v>
      </c>
      <c r="K126" t="s">
        <v>50</v>
      </c>
      <c r="L126" t="s">
        <v>159</v>
      </c>
      <c r="M126" t="s">
        <v>51</v>
      </c>
      <c r="N126" t="s">
        <v>92</v>
      </c>
      <c r="O126" s="1">
        <v>41335</v>
      </c>
      <c r="P126" t="s">
        <v>84</v>
      </c>
      <c r="Q126">
        <v>2</v>
      </c>
      <c r="R126" t="s">
        <v>94</v>
      </c>
      <c r="S126" t="s">
        <v>351</v>
      </c>
      <c r="T126" t="s">
        <v>351</v>
      </c>
      <c r="U126">
        <v>0</v>
      </c>
      <c r="V126">
        <v>6128.55</v>
      </c>
      <c r="W126">
        <v>0</v>
      </c>
    </row>
    <row r="127" spans="1:23" x14ac:dyDescent="0.25">
      <c r="A127" s="1">
        <v>43739</v>
      </c>
      <c r="B127" s="1">
        <v>43739</v>
      </c>
      <c r="C127" t="s">
        <v>157</v>
      </c>
      <c r="D127" t="s">
        <v>93</v>
      </c>
      <c r="E127" t="s">
        <v>49</v>
      </c>
      <c r="F127" t="s">
        <v>187</v>
      </c>
      <c r="G127" s="56">
        <v>43812</v>
      </c>
      <c r="H127">
        <v>61</v>
      </c>
      <c r="I127" t="s">
        <v>351</v>
      </c>
      <c r="J127" t="s">
        <v>50</v>
      </c>
      <c r="K127" t="s">
        <v>50</v>
      </c>
      <c r="L127" t="s">
        <v>159</v>
      </c>
      <c r="M127" t="s">
        <v>51</v>
      </c>
      <c r="N127" t="s">
        <v>92</v>
      </c>
      <c r="O127" s="1">
        <v>41335</v>
      </c>
      <c r="P127" t="s">
        <v>84</v>
      </c>
      <c r="Q127">
        <v>2</v>
      </c>
      <c r="R127" t="s">
        <v>94</v>
      </c>
      <c r="S127">
        <v>1</v>
      </c>
      <c r="T127">
        <v>-1</v>
      </c>
      <c r="U127" t="s">
        <v>351</v>
      </c>
      <c r="V127" t="s">
        <v>351</v>
      </c>
      <c r="W127">
        <v>-1</v>
      </c>
    </row>
    <row r="128" spans="1:23" x14ac:dyDescent="0.25">
      <c r="A128" s="1">
        <v>43739</v>
      </c>
      <c r="B128" s="1">
        <v>43739</v>
      </c>
      <c r="C128" t="s">
        <v>157</v>
      </c>
      <c r="D128" t="s">
        <v>48</v>
      </c>
      <c r="E128" t="s">
        <v>49</v>
      </c>
      <c r="F128" t="s">
        <v>189</v>
      </c>
      <c r="G128" s="56">
        <v>43781</v>
      </c>
      <c r="H128">
        <v>33</v>
      </c>
      <c r="I128">
        <v>10809</v>
      </c>
      <c r="J128" t="s">
        <v>50</v>
      </c>
      <c r="K128" t="s">
        <v>50</v>
      </c>
      <c r="L128" t="s">
        <v>159</v>
      </c>
      <c r="M128" t="s">
        <v>51</v>
      </c>
      <c r="N128" t="s">
        <v>92</v>
      </c>
      <c r="O128" s="1">
        <v>41335</v>
      </c>
      <c r="P128" t="s">
        <v>84</v>
      </c>
      <c r="Q128">
        <v>2</v>
      </c>
      <c r="R128" t="s">
        <v>94</v>
      </c>
      <c r="S128">
        <v>3.9241600000000001</v>
      </c>
      <c r="T128">
        <v>75.736999999999995</v>
      </c>
      <c r="U128" t="s">
        <v>351</v>
      </c>
      <c r="V128" t="s">
        <v>351</v>
      </c>
      <c r="W128">
        <v>297</v>
      </c>
    </row>
    <row r="129" spans="1:23" x14ac:dyDescent="0.25">
      <c r="A129" s="1">
        <v>43739</v>
      </c>
      <c r="B129" s="1">
        <v>43709</v>
      </c>
      <c r="C129" t="s">
        <v>157</v>
      </c>
      <c r="D129" t="s">
        <v>57</v>
      </c>
      <c r="E129" t="s">
        <v>49</v>
      </c>
      <c r="F129" t="s">
        <v>185</v>
      </c>
      <c r="G129" s="56">
        <v>43944.47278935185</v>
      </c>
      <c r="H129">
        <v>61</v>
      </c>
      <c r="I129" t="s">
        <v>351</v>
      </c>
      <c r="J129" t="s">
        <v>50</v>
      </c>
      <c r="K129" t="s">
        <v>50</v>
      </c>
      <c r="L129" t="s">
        <v>159</v>
      </c>
      <c r="M129" t="s">
        <v>51</v>
      </c>
      <c r="N129" t="s">
        <v>92</v>
      </c>
      <c r="O129" s="1">
        <v>41335</v>
      </c>
      <c r="P129" t="s">
        <v>84</v>
      </c>
      <c r="Q129">
        <v>3</v>
      </c>
      <c r="R129" t="s">
        <v>81</v>
      </c>
      <c r="S129">
        <v>-154.713278</v>
      </c>
      <c r="T129">
        <v>72.400000000000006</v>
      </c>
      <c r="U129" t="s">
        <v>351</v>
      </c>
      <c r="V129" t="s">
        <v>351</v>
      </c>
      <c r="W129">
        <v>-11201</v>
      </c>
    </row>
    <row r="130" spans="1:23" x14ac:dyDescent="0.25">
      <c r="A130" s="1">
        <v>43739</v>
      </c>
      <c r="B130" s="1">
        <v>43709</v>
      </c>
      <c r="C130" t="s">
        <v>157</v>
      </c>
      <c r="D130" t="s">
        <v>58</v>
      </c>
      <c r="E130" t="s">
        <v>21</v>
      </c>
      <c r="F130" t="s">
        <v>186</v>
      </c>
      <c r="G130" s="56">
        <v>43944.47278935185</v>
      </c>
      <c r="H130">
        <v>61</v>
      </c>
      <c r="I130" t="s">
        <v>351</v>
      </c>
      <c r="J130" t="s">
        <v>50</v>
      </c>
      <c r="K130" t="s">
        <v>50</v>
      </c>
      <c r="L130" t="s">
        <v>159</v>
      </c>
      <c r="M130" t="s">
        <v>51</v>
      </c>
      <c r="N130" t="s">
        <v>92</v>
      </c>
      <c r="O130" s="1">
        <v>41335</v>
      </c>
      <c r="P130" t="s">
        <v>84</v>
      </c>
      <c r="Q130">
        <v>3</v>
      </c>
      <c r="R130" t="s">
        <v>81</v>
      </c>
      <c r="S130" t="s">
        <v>351</v>
      </c>
      <c r="T130" t="s">
        <v>351</v>
      </c>
      <c r="U130">
        <v>0</v>
      </c>
      <c r="V130">
        <v>5735.8</v>
      </c>
      <c r="W130">
        <v>0</v>
      </c>
    </row>
    <row r="131" spans="1:23" x14ac:dyDescent="0.25">
      <c r="A131" s="1">
        <v>43739</v>
      </c>
      <c r="B131" s="1">
        <v>43709</v>
      </c>
      <c r="C131" t="s">
        <v>157</v>
      </c>
      <c r="D131" t="s">
        <v>58</v>
      </c>
      <c r="E131" t="s">
        <v>21</v>
      </c>
      <c r="F131" t="s">
        <v>190</v>
      </c>
      <c r="G131" s="56">
        <v>43944.47278935185</v>
      </c>
      <c r="H131">
        <v>61</v>
      </c>
      <c r="I131" t="s">
        <v>351</v>
      </c>
      <c r="J131" t="s">
        <v>50</v>
      </c>
      <c r="K131" t="s">
        <v>50</v>
      </c>
      <c r="L131" t="s">
        <v>159</v>
      </c>
      <c r="M131" t="s">
        <v>51</v>
      </c>
      <c r="N131" t="s">
        <v>92</v>
      </c>
      <c r="O131" s="1">
        <v>41335</v>
      </c>
      <c r="P131" t="s">
        <v>84</v>
      </c>
      <c r="Q131">
        <v>3</v>
      </c>
      <c r="R131" t="s">
        <v>81</v>
      </c>
      <c r="S131" t="s">
        <v>351</v>
      </c>
      <c r="T131" t="s">
        <v>351</v>
      </c>
      <c r="U131">
        <v>0</v>
      </c>
      <c r="V131">
        <v>6046.73</v>
      </c>
      <c r="W131">
        <v>0</v>
      </c>
    </row>
    <row r="132" spans="1:23" x14ac:dyDescent="0.25">
      <c r="A132" s="1">
        <v>43739</v>
      </c>
      <c r="B132" s="1">
        <v>43709</v>
      </c>
      <c r="C132" t="s">
        <v>157</v>
      </c>
      <c r="D132" t="s">
        <v>57</v>
      </c>
      <c r="E132" t="s">
        <v>49</v>
      </c>
      <c r="F132" t="s">
        <v>188</v>
      </c>
      <c r="G132" s="56">
        <v>43944.47278935185</v>
      </c>
      <c r="H132">
        <v>61</v>
      </c>
      <c r="I132" t="s">
        <v>351</v>
      </c>
      <c r="J132" t="s">
        <v>50</v>
      </c>
      <c r="K132" t="s">
        <v>50</v>
      </c>
      <c r="L132" t="s">
        <v>159</v>
      </c>
      <c r="M132" t="s">
        <v>51</v>
      </c>
      <c r="N132" t="s">
        <v>92</v>
      </c>
      <c r="O132" s="1">
        <v>41335</v>
      </c>
      <c r="P132" t="s">
        <v>84</v>
      </c>
      <c r="Q132">
        <v>3</v>
      </c>
      <c r="R132" t="s">
        <v>81</v>
      </c>
      <c r="S132">
        <v>156.53718499999999</v>
      </c>
      <c r="T132">
        <v>70.436999999999998</v>
      </c>
      <c r="U132" t="s">
        <v>351</v>
      </c>
      <c r="V132" t="s">
        <v>351</v>
      </c>
      <c r="W132">
        <v>11026</v>
      </c>
    </row>
    <row r="133" spans="1:23" x14ac:dyDescent="0.25">
      <c r="A133" s="1">
        <v>43739</v>
      </c>
      <c r="B133" s="1">
        <v>43739</v>
      </c>
      <c r="C133" t="s">
        <v>157</v>
      </c>
      <c r="D133" t="s">
        <v>54</v>
      </c>
      <c r="E133" t="s">
        <v>21</v>
      </c>
      <c r="F133" t="s">
        <v>183</v>
      </c>
      <c r="G133" s="56">
        <v>43781</v>
      </c>
      <c r="H133">
        <v>33</v>
      </c>
      <c r="I133">
        <v>10809</v>
      </c>
      <c r="J133" t="s">
        <v>50</v>
      </c>
      <c r="K133" t="s">
        <v>50</v>
      </c>
      <c r="L133" t="s">
        <v>159</v>
      </c>
      <c r="M133" t="s">
        <v>51</v>
      </c>
      <c r="N133" t="s">
        <v>92</v>
      </c>
      <c r="O133" s="1">
        <v>41335</v>
      </c>
      <c r="P133" t="s">
        <v>84</v>
      </c>
      <c r="Q133">
        <v>3</v>
      </c>
      <c r="R133" t="s">
        <v>81</v>
      </c>
      <c r="S133" t="s">
        <v>351</v>
      </c>
      <c r="T133" t="s">
        <v>351</v>
      </c>
      <c r="U133">
        <v>0</v>
      </c>
      <c r="V133">
        <v>5735.8</v>
      </c>
      <c r="W133">
        <v>0</v>
      </c>
    </row>
    <row r="134" spans="1:23" x14ac:dyDescent="0.25">
      <c r="A134" s="1">
        <v>43739</v>
      </c>
      <c r="B134" s="1">
        <v>43739</v>
      </c>
      <c r="C134" t="s">
        <v>157</v>
      </c>
      <c r="D134" t="s">
        <v>93</v>
      </c>
      <c r="E134" t="s">
        <v>49</v>
      </c>
      <c r="F134" t="s">
        <v>187</v>
      </c>
      <c r="G134" s="56">
        <v>43812</v>
      </c>
      <c r="H134">
        <v>61</v>
      </c>
      <c r="I134" t="s">
        <v>351</v>
      </c>
      <c r="J134" t="s">
        <v>50</v>
      </c>
      <c r="K134" t="s">
        <v>50</v>
      </c>
      <c r="L134" t="s">
        <v>159</v>
      </c>
      <c r="M134" t="s">
        <v>51</v>
      </c>
      <c r="N134" t="s">
        <v>92</v>
      </c>
      <c r="O134" s="1">
        <v>41335</v>
      </c>
      <c r="P134" t="s">
        <v>84</v>
      </c>
      <c r="Q134">
        <v>3</v>
      </c>
      <c r="R134" t="s">
        <v>81</v>
      </c>
      <c r="S134">
        <v>1</v>
      </c>
      <c r="T134">
        <v>-38</v>
      </c>
      <c r="U134" t="s">
        <v>351</v>
      </c>
      <c r="V134" t="s">
        <v>351</v>
      </c>
      <c r="W134">
        <v>-38</v>
      </c>
    </row>
    <row r="135" spans="1:23" x14ac:dyDescent="0.25">
      <c r="A135" s="1">
        <v>43739</v>
      </c>
      <c r="B135" s="1">
        <v>43739</v>
      </c>
      <c r="C135" t="s">
        <v>157</v>
      </c>
      <c r="D135" t="s">
        <v>48</v>
      </c>
      <c r="E135" t="s">
        <v>49</v>
      </c>
      <c r="F135" t="s">
        <v>189</v>
      </c>
      <c r="G135" s="56">
        <v>43781</v>
      </c>
      <c r="H135">
        <v>33</v>
      </c>
      <c r="I135">
        <v>10809</v>
      </c>
      <c r="J135" t="s">
        <v>50</v>
      </c>
      <c r="K135" t="s">
        <v>50</v>
      </c>
      <c r="L135" t="s">
        <v>159</v>
      </c>
      <c r="M135" t="s">
        <v>51</v>
      </c>
      <c r="N135" t="s">
        <v>92</v>
      </c>
      <c r="O135" s="1">
        <v>41335</v>
      </c>
      <c r="P135" t="s">
        <v>84</v>
      </c>
      <c r="Q135">
        <v>3</v>
      </c>
      <c r="R135" t="s">
        <v>81</v>
      </c>
      <c r="S135">
        <v>188.286708</v>
      </c>
      <c r="T135">
        <v>70.436999999999998</v>
      </c>
      <c r="U135" t="s">
        <v>351</v>
      </c>
      <c r="V135" t="s">
        <v>351</v>
      </c>
      <c r="W135">
        <v>13262</v>
      </c>
    </row>
    <row r="136" spans="1:23" x14ac:dyDescent="0.25">
      <c r="A136" s="1">
        <v>43739</v>
      </c>
      <c r="B136" s="1">
        <v>43709</v>
      </c>
      <c r="C136" t="s">
        <v>157</v>
      </c>
      <c r="D136" t="s">
        <v>57</v>
      </c>
      <c r="E136" t="s">
        <v>49</v>
      </c>
      <c r="F136" t="s">
        <v>185</v>
      </c>
      <c r="G136" s="56">
        <v>43944.47278935185</v>
      </c>
      <c r="H136">
        <v>61</v>
      </c>
      <c r="I136" t="s">
        <v>351</v>
      </c>
      <c r="J136" t="s">
        <v>50</v>
      </c>
      <c r="K136" t="s">
        <v>50</v>
      </c>
      <c r="L136" t="s">
        <v>159</v>
      </c>
      <c r="M136" t="s">
        <v>51</v>
      </c>
      <c r="N136" t="s">
        <v>92</v>
      </c>
      <c r="O136" s="1">
        <v>41335</v>
      </c>
      <c r="P136" t="s">
        <v>84</v>
      </c>
      <c r="Q136">
        <v>4</v>
      </c>
      <c r="R136" t="s">
        <v>27</v>
      </c>
      <c r="S136">
        <v>-1084.175843</v>
      </c>
      <c r="T136">
        <v>74.936000000000007</v>
      </c>
      <c r="U136" t="s">
        <v>351</v>
      </c>
      <c r="V136" t="s">
        <v>351</v>
      </c>
      <c r="W136">
        <v>-81244</v>
      </c>
    </row>
    <row r="137" spans="1:23" x14ac:dyDescent="0.25">
      <c r="A137" s="1">
        <v>43739</v>
      </c>
      <c r="B137" s="1">
        <v>43709</v>
      </c>
      <c r="C137" t="s">
        <v>157</v>
      </c>
      <c r="D137" t="s">
        <v>58</v>
      </c>
      <c r="E137" t="s">
        <v>21</v>
      </c>
      <c r="F137" t="s">
        <v>186</v>
      </c>
      <c r="G137" s="56">
        <v>43944.47278935185</v>
      </c>
      <c r="H137">
        <v>61</v>
      </c>
      <c r="I137" t="s">
        <v>351</v>
      </c>
      <c r="J137" t="s">
        <v>50</v>
      </c>
      <c r="K137" t="s">
        <v>50</v>
      </c>
      <c r="L137" t="s">
        <v>159</v>
      </c>
      <c r="M137" t="s">
        <v>51</v>
      </c>
      <c r="N137" t="s">
        <v>92</v>
      </c>
      <c r="O137" s="1">
        <v>41335</v>
      </c>
      <c r="P137" t="s">
        <v>84</v>
      </c>
      <c r="Q137">
        <v>4</v>
      </c>
      <c r="R137" t="s">
        <v>27</v>
      </c>
      <c r="S137" t="s">
        <v>351</v>
      </c>
      <c r="T137" t="s">
        <v>351</v>
      </c>
      <c r="U137">
        <v>0</v>
      </c>
      <c r="V137">
        <v>5821.34</v>
      </c>
      <c r="W137">
        <v>0</v>
      </c>
    </row>
    <row r="138" spans="1:23" x14ac:dyDescent="0.25">
      <c r="A138" s="1">
        <v>43739</v>
      </c>
      <c r="B138" s="1">
        <v>43709</v>
      </c>
      <c r="C138" t="s">
        <v>157</v>
      </c>
      <c r="D138" t="s">
        <v>58</v>
      </c>
      <c r="E138" t="s">
        <v>21</v>
      </c>
      <c r="F138" t="s">
        <v>190</v>
      </c>
      <c r="G138" s="56">
        <v>43944.47278935185</v>
      </c>
      <c r="H138">
        <v>61</v>
      </c>
      <c r="I138" t="s">
        <v>351</v>
      </c>
      <c r="J138" t="s">
        <v>50</v>
      </c>
      <c r="K138" t="s">
        <v>50</v>
      </c>
      <c r="L138" t="s">
        <v>159</v>
      </c>
      <c r="M138" t="s">
        <v>51</v>
      </c>
      <c r="N138" t="s">
        <v>92</v>
      </c>
      <c r="O138" s="1">
        <v>41335</v>
      </c>
      <c r="P138" t="s">
        <v>84</v>
      </c>
      <c r="Q138">
        <v>4</v>
      </c>
      <c r="R138" t="s">
        <v>27</v>
      </c>
      <c r="S138" t="s">
        <v>351</v>
      </c>
      <c r="T138" t="s">
        <v>351</v>
      </c>
      <c r="U138">
        <v>0</v>
      </c>
      <c r="V138">
        <v>6160.55</v>
      </c>
      <c r="W138">
        <v>0</v>
      </c>
    </row>
    <row r="139" spans="1:23" x14ac:dyDescent="0.25">
      <c r="A139" s="1">
        <v>43739</v>
      </c>
      <c r="B139" s="1">
        <v>43709</v>
      </c>
      <c r="C139" t="s">
        <v>157</v>
      </c>
      <c r="D139" t="s">
        <v>57</v>
      </c>
      <c r="E139" t="s">
        <v>49</v>
      </c>
      <c r="F139" t="s">
        <v>188</v>
      </c>
      <c r="G139" s="56">
        <v>43944.47278935185</v>
      </c>
      <c r="H139">
        <v>61</v>
      </c>
      <c r="I139" t="s">
        <v>351</v>
      </c>
      <c r="J139" t="s">
        <v>50</v>
      </c>
      <c r="K139" t="s">
        <v>50</v>
      </c>
      <c r="L139" t="s">
        <v>159</v>
      </c>
      <c r="M139" t="s">
        <v>51</v>
      </c>
      <c r="N139" t="s">
        <v>92</v>
      </c>
      <c r="O139" s="1">
        <v>41335</v>
      </c>
      <c r="P139" t="s">
        <v>84</v>
      </c>
      <c r="Q139">
        <v>4</v>
      </c>
      <c r="R139" t="s">
        <v>27</v>
      </c>
      <c r="S139">
        <v>1096.9571370000001</v>
      </c>
      <c r="T139">
        <v>71.983999999999995</v>
      </c>
      <c r="U139" t="s">
        <v>351</v>
      </c>
      <c r="V139" t="s">
        <v>351</v>
      </c>
      <c r="W139">
        <v>78963</v>
      </c>
    </row>
    <row r="140" spans="1:23" x14ac:dyDescent="0.25">
      <c r="A140" s="1">
        <v>43739</v>
      </c>
      <c r="B140" s="1">
        <v>43739</v>
      </c>
      <c r="C140" t="s">
        <v>157</v>
      </c>
      <c r="D140" t="s">
        <v>54</v>
      </c>
      <c r="E140" t="s">
        <v>21</v>
      </c>
      <c r="F140" t="s">
        <v>183</v>
      </c>
      <c r="G140" s="56">
        <v>43781</v>
      </c>
      <c r="H140">
        <v>33</v>
      </c>
      <c r="I140">
        <v>10809</v>
      </c>
      <c r="J140" t="s">
        <v>50</v>
      </c>
      <c r="K140" t="s">
        <v>50</v>
      </c>
      <c r="L140" t="s">
        <v>159</v>
      </c>
      <c r="M140" t="s">
        <v>51</v>
      </c>
      <c r="N140" t="s">
        <v>92</v>
      </c>
      <c r="O140" s="1">
        <v>41335</v>
      </c>
      <c r="P140" t="s">
        <v>84</v>
      </c>
      <c r="Q140">
        <v>4</v>
      </c>
      <c r="R140" t="s">
        <v>27</v>
      </c>
      <c r="S140" t="s">
        <v>351</v>
      </c>
      <c r="T140" t="s">
        <v>351</v>
      </c>
      <c r="U140">
        <v>0</v>
      </c>
      <c r="V140">
        <v>5821.34</v>
      </c>
      <c r="W140">
        <v>0</v>
      </c>
    </row>
    <row r="141" spans="1:23" x14ac:dyDescent="0.25">
      <c r="A141" s="1">
        <v>43739</v>
      </c>
      <c r="B141" s="1">
        <v>43739</v>
      </c>
      <c r="C141" t="s">
        <v>157</v>
      </c>
      <c r="D141" t="s">
        <v>93</v>
      </c>
      <c r="E141" t="s">
        <v>49</v>
      </c>
      <c r="F141" t="s">
        <v>187</v>
      </c>
      <c r="G141" s="56">
        <v>43812</v>
      </c>
      <c r="H141">
        <v>61</v>
      </c>
      <c r="I141" t="s">
        <v>351</v>
      </c>
      <c r="J141" t="s">
        <v>50</v>
      </c>
      <c r="K141" t="s">
        <v>50</v>
      </c>
      <c r="L141" t="s">
        <v>159</v>
      </c>
      <c r="M141" t="s">
        <v>51</v>
      </c>
      <c r="N141" t="s">
        <v>92</v>
      </c>
      <c r="O141" s="1">
        <v>41335</v>
      </c>
      <c r="P141" t="s">
        <v>84</v>
      </c>
      <c r="Q141">
        <v>4</v>
      </c>
      <c r="R141" t="s">
        <v>27</v>
      </c>
      <c r="S141">
        <v>1</v>
      </c>
      <c r="T141">
        <v>-270</v>
      </c>
      <c r="U141" t="s">
        <v>351</v>
      </c>
      <c r="V141" t="s">
        <v>351</v>
      </c>
      <c r="W141">
        <v>-270</v>
      </c>
    </row>
    <row r="142" spans="1:23" x14ac:dyDescent="0.25">
      <c r="A142" s="1">
        <v>43739</v>
      </c>
      <c r="B142" s="1">
        <v>43739</v>
      </c>
      <c r="C142" t="s">
        <v>157</v>
      </c>
      <c r="D142" t="s">
        <v>48</v>
      </c>
      <c r="E142" t="s">
        <v>49</v>
      </c>
      <c r="F142" t="s">
        <v>189</v>
      </c>
      <c r="G142" s="56">
        <v>43781</v>
      </c>
      <c r="H142">
        <v>33</v>
      </c>
      <c r="I142">
        <v>10809</v>
      </c>
      <c r="J142" t="s">
        <v>50</v>
      </c>
      <c r="K142" t="s">
        <v>50</v>
      </c>
      <c r="L142" t="s">
        <v>159</v>
      </c>
      <c r="M142" t="s">
        <v>51</v>
      </c>
      <c r="N142" t="s">
        <v>92</v>
      </c>
      <c r="O142" s="1">
        <v>41335</v>
      </c>
      <c r="P142" t="s">
        <v>84</v>
      </c>
      <c r="Q142">
        <v>4</v>
      </c>
      <c r="R142" t="s">
        <v>27</v>
      </c>
      <c r="S142">
        <v>1311.6713199999999</v>
      </c>
      <c r="T142">
        <v>71.983999999999995</v>
      </c>
      <c r="U142" t="s">
        <v>351</v>
      </c>
      <c r="V142" t="s">
        <v>351</v>
      </c>
      <c r="W142">
        <v>94419</v>
      </c>
    </row>
    <row r="143" spans="1:23" x14ac:dyDescent="0.25">
      <c r="A143" s="1">
        <v>43739</v>
      </c>
      <c r="B143" s="1">
        <v>43709</v>
      </c>
      <c r="C143" t="s">
        <v>157</v>
      </c>
      <c r="D143" t="s">
        <v>57</v>
      </c>
      <c r="E143" t="s">
        <v>49</v>
      </c>
      <c r="F143" t="s">
        <v>185</v>
      </c>
      <c r="G143" s="56">
        <v>43944.47278935185</v>
      </c>
      <c r="H143">
        <v>61</v>
      </c>
      <c r="I143" t="s">
        <v>351</v>
      </c>
      <c r="J143" t="s">
        <v>50</v>
      </c>
      <c r="K143" t="s">
        <v>50</v>
      </c>
      <c r="L143" t="s">
        <v>159</v>
      </c>
      <c r="M143" t="s">
        <v>51</v>
      </c>
      <c r="N143" t="s">
        <v>92</v>
      </c>
      <c r="O143" s="1">
        <v>41335</v>
      </c>
      <c r="P143" t="s">
        <v>84</v>
      </c>
      <c r="Q143">
        <v>5</v>
      </c>
      <c r="R143" t="s">
        <v>28</v>
      </c>
      <c r="S143">
        <v>-3.3587340000000001</v>
      </c>
      <c r="T143">
        <v>75.665000000000006</v>
      </c>
      <c r="U143" t="s">
        <v>351</v>
      </c>
      <c r="V143" t="s">
        <v>351</v>
      </c>
      <c r="W143">
        <v>-254</v>
      </c>
    </row>
    <row r="144" spans="1:23" x14ac:dyDescent="0.25">
      <c r="A144" s="1">
        <v>43739</v>
      </c>
      <c r="B144" s="1">
        <v>43709</v>
      </c>
      <c r="C144" t="s">
        <v>157</v>
      </c>
      <c r="D144" t="s">
        <v>58</v>
      </c>
      <c r="E144" t="s">
        <v>21</v>
      </c>
      <c r="F144" t="s">
        <v>190</v>
      </c>
      <c r="G144" s="56">
        <v>43944.47278935185</v>
      </c>
      <c r="H144">
        <v>61</v>
      </c>
      <c r="I144" t="s">
        <v>351</v>
      </c>
      <c r="J144" t="s">
        <v>50</v>
      </c>
      <c r="K144" t="s">
        <v>50</v>
      </c>
      <c r="L144" t="s">
        <v>159</v>
      </c>
      <c r="M144" t="s">
        <v>51</v>
      </c>
      <c r="N144" t="s">
        <v>92</v>
      </c>
      <c r="O144" s="1">
        <v>41335</v>
      </c>
      <c r="P144" t="s">
        <v>84</v>
      </c>
      <c r="Q144">
        <v>5</v>
      </c>
      <c r="R144" t="s">
        <v>28</v>
      </c>
      <c r="S144" t="s">
        <v>351</v>
      </c>
      <c r="T144" t="s">
        <v>351</v>
      </c>
      <c r="U144">
        <v>0</v>
      </c>
      <c r="V144">
        <v>5634.08</v>
      </c>
      <c r="W144">
        <v>0</v>
      </c>
    </row>
    <row r="145" spans="1:23" x14ac:dyDescent="0.25">
      <c r="A145" s="1">
        <v>43739</v>
      </c>
      <c r="B145" s="1">
        <v>43709</v>
      </c>
      <c r="C145" t="s">
        <v>157</v>
      </c>
      <c r="D145" t="s">
        <v>58</v>
      </c>
      <c r="E145" t="s">
        <v>21</v>
      </c>
      <c r="F145" t="s">
        <v>186</v>
      </c>
      <c r="G145" s="56">
        <v>43944.47278935185</v>
      </c>
      <c r="H145">
        <v>61</v>
      </c>
      <c r="I145" t="s">
        <v>351</v>
      </c>
      <c r="J145" t="s">
        <v>50</v>
      </c>
      <c r="K145" t="s">
        <v>50</v>
      </c>
      <c r="L145" t="s">
        <v>159</v>
      </c>
      <c r="M145" t="s">
        <v>51</v>
      </c>
      <c r="N145" t="s">
        <v>92</v>
      </c>
      <c r="O145" s="1">
        <v>41335</v>
      </c>
      <c r="P145" t="s">
        <v>84</v>
      </c>
      <c r="Q145">
        <v>5</v>
      </c>
      <c r="R145" t="s">
        <v>28</v>
      </c>
      <c r="S145" t="s">
        <v>351</v>
      </c>
      <c r="T145" t="s">
        <v>351</v>
      </c>
      <c r="U145">
        <v>0</v>
      </c>
      <c r="V145">
        <v>6082.17</v>
      </c>
      <c r="W145">
        <v>0</v>
      </c>
    </row>
    <row r="146" spans="1:23" x14ac:dyDescent="0.25">
      <c r="A146" s="1">
        <v>43739</v>
      </c>
      <c r="B146" s="1">
        <v>43709</v>
      </c>
      <c r="C146" t="s">
        <v>157</v>
      </c>
      <c r="D146" t="s">
        <v>57</v>
      </c>
      <c r="E146" t="s">
        <v>49</v>
      </c>
      <c r="F146" t="s">
        <v>188</v>
      </c>
      <c r="G146" s="56">
        <v>43944.47278935185</v>
      </c>
      <c r="H146">
        <v>61</v>
      </c>
      <c r="I146" t="s">
        <v>351</v>
      </c>
      <c r="J146" t="s">
        <v>50</v>
      </c>
      <c r="K146" t="s">
        <v>50</v>
      </c>
      <c r="L146" t="s">
        <v>159</v>
      </c>
      <c r="M146" t="s">
        <v>51</v>
      </c>
      <c r="N146" t="s">
        <v>92</v>
      </c>
      <c r="O146" s="1">
        <v>41335</v>
      </c>
      <c r="P146" t="s">
        <v>84</v>
      </c>
      <c r="Q146">
        <v>5</v>
      </c>
      <c r="R146" t="s">
        <v>28</v>
      </c>
      <c r="S146">
        <v>3.3983300000000001</v>
      </c>
      <c r="T146">
        <v>75.617000000000004</v>
      </c>
      <c r="U146" t="s">
        <v>351</v>
      </c>
      <c r="V146" t="s">
        <v>351</v>
      </c>
      <c r="W146">
        <v>257</v>
      </c>
    </row>
    <row r="147" spans="1:23" x14ac:dyDescent="0.25">
      <c r="A147" s="1">
        <v>43739</v>
      </c>
      <c r="B147" s="1">
        <v>43739</v>
      </c>
      <c r="C147" t="s">
        <v>157</v>
      </c>
      <c r="D147" t="s">
        <v>54</v>
      </c>
      <c r="E147" t="s">
        <v>21</v>
      </c>
      <c r="F147" t="s">
        <v>183</v>
      </c>
      <c r="G147" s="56">
        <v>43781</v>
      </c>
      <c r="H147">
        <v>33</v>
      </c>
      <c r="I147">
        <v>10809</v>
      </c>
      <c r="J147" t="s">
        <v>50</v>
      </c>
      <c r="K147" t="s">
        <v>50</v>
      </c>
      <c r="L147" t="s">
        <v>159</v>
      </c>
      <c r="M147" t="s">
        <v>51</v>
      </c>
      <c r="N147" t="s">
        <v>92</v>
      </c>
      <c r="O147" s="1">
        <v>41335</v>
      </c>
      <c r="P147" t="s">
        <v>84</v>
      </c>
      <c r="Q147">
        <v>5</v>
      </c>
      <c r="R147" t="s">
        <v>28</v>
      </c>
      <c r="S147" t="s">
        <v>351</v>
      </c>
      <c r="T147" t="s">
        <v>351</v>
      </c>
      <c r="U147">
        <v>0</v>
      </c>
      <c r="V147">
        <v>6082.17</v>
      </c>
      <c r="W147">
        <v>0</v>
      </c>
    </row>
    <row r="148" spans="1:23" x14ac:dyDescent="0.25">
      <c r="A148" s="1">
        <v>43739</v>
      </c>
      <c r="B148" s="1">
        <v>43739</v>
      </c>
      <c r="C148" t="s">
        <v>157</v>
      </c>
      <c r="D148" t="s">
        <v>93</v>
      </c>
      <c r="E148" t="s">
        <v>49</v>
      </c>
      <c r="F148" t="s">
        <v>187</v>
      </c>
      <c r="G148" s="56">
        <v>43812</v>
      </c>
      <c r="H148">
        <v>61</v>
      </c>
      <c r="I148" t="s">
        <v>351</v>
      </c>
      <c r="J148" t="s">
        <v>50</v>
      </c>
      <c r="K148" t="s">
        <v>50</v>
      </c>
      <c r="L148" t="s">
        <v>159</v>
      </c>
      <c r="M148" t="s">
        <v>51</v>
      </c>
      <c r="N148" t="s">
        <v>92</v>
      </c>
      <c r="O148" s="1">
        <v>41335</v>
      </c>
      <c r="P148" t="s">
        <v>84</v>
      </c>
      <c r="Q148">
        <v>5</v>
      </c>
      <c r="R148" t="s">
        <v>28</v>
      </c>
      <c r="S148">
        <v>1</v>
      </c>
      <c r="T148">
        <v>-1</v>
      </c>
      <c r="U148" t="s">
        <v>351</v>
      </c>
      <c r="V148" t="s">
        <v>351</v>
      </c>
      <c r="W148">
        <v>-1</v>
      </c>
    </row>
    <row r="149" spans="1:23" x14ac:dyDescent="0.25">
      <c r="A149" s="1">
        <v>43739</v>
      </c>
      <c r="B149" s="1">
        <v>43739</v>
      </c>
      <c r="C149" t="s">
        <v>157</v>
      </c>
      <c r="D149" t="s">
        <v>48</v>
      </c>
      <c r="E149" t="s">
        <v>49</v>
      </c>
      <c r="F149" t="s">
        <v>189</v>
      </c>
      <c r="G149" s="56">
        <v>43781</v>
      </c>
      <c r="H149">
        <v>33</v>
      </c>
      <c r="I149">
        <v>10809</v>
      </c>
      <c r="J149" t="s">
        <v>50</v>
      </c>
      <c r="K149" t="s">
        <v>50</v>
      </c>
      <c r="L149" t="s">
        <v>159</v>
      </c>
      <c r="M149" t="s">
        <v>51</v>
      </c>
      <c r="N149" t="s">
        <v>92</v>
      </c>
      <c r="O149" s="1">
        <v>41335</v>
      </c>
      <c r="P149" t="s">
        <v>84</v>
      </c>
      <c r="Q149">
        <v>5</v>
      </c>
      <c r="R149" t="s">
        <v>28</v>
      </c>
      <c r="S149">
        <v>4.0964470000000004</v>
      </c>
      <c r="T149">
        <v>75.617000000000004</v>
      </c>
      <c r="U149" t="s">
        <v>351</v>
      </c>
      <c r="V149" t="s">
        <v>351</v>
      </c>
      <c r="W149">
        <v>310</v>
      </c>
    </row>
    <row r="150" spans="1:23" x14ac:dyDescent="0.25">
      <c r="A150" s="1">
        <v>43770</v>
      </c>
      <c r="B150" s="1">
        <v>43770</v>
      </c>
      <c r="C150" t="s">
        <v>157</v>
      </c>
      <c r="D150" t="s">
        <v>54</v>
      </c>
      <c r="E150" t="s">
        <v>21</v>
      </c>
      <c r="F150" t="s">
        <v>191</v>
      </c>
      <c r="G150" s="56">
        <v>43805</v>
      </c>
      <c r="H150">
        <v>33</v>
      </c>
      <c r="I150">
        <v>11167</v>
      </c>
      <c r="J150" t="s">
        <v>50</v>
      </c>
      <c r="K150" t="s">
        <v>50</v>
      </c>
      <c r="L150" t="s">
        <v>159</v>
      </c>
      <c r="M150" t="s">
        <v>51</v>
      </c>
      <c r="N150" t="s">
        <v>92</v>
      </c>
      <c r="O150" s="1">
        <v>41335</v>
      </c>
      <c r="P150" t="s">
        <v>84</v>
      </c>
      <c r="Q150">
        <v>1</v>
      </c>
      <c r="R150" t="s">
        <v>83</v>
      </c>
      <c r="S150" t="s">
        <v>351</v>
      </c>
      <c r="T150" t="s">
        <v>351</v>
      </c>
      <c r="U150">
        <v>0</v>
      </c>
      <c r="V150">
        <v>5969.53</v>
      </c>
      <c r="W150">
        <v>0</v>
      </c>
    </row>
    <row r="151" spans="1:23" x14ac:dyDescent="0.25">
      <c r="A151" s="1">
        <v>43770</v>
      </c>
      <c r="B151" s="1">
        <v>43770</v>
      </c>
      <c r="C151" t="s">
        <v>157</v>
      </c>
      <c r="D151" t="s">
        <v>93</v>
      </c>
      <c r="E151" t="s">
        <v>49</v>
      </c>
      <c r="F151" t="s">
        <v>192</v>
      </c>
      <c r="G151" s="56">
        <v>43837</v>
      </c>
      <c r="H151">
        <v>61</v>
      </c>
      <c r="I151" t="s">
        <v>351</v>
      </c>
      <c r="J151" t="s">
        <v>50</v>
      </c>
      <c r="K151" t="s">
        <v>50</v>
      </c>
      <c r="L151" t="s">
        <v>159</v>
      </c>
      <c r="M151" t="s">
        <v>51</v>
      </c>
      <c r="N151" t="s">
        <v>92</v>
      </c>
      <c r="O151" s="1">
        <v>41335</v>
      </c>
      <c r="P151" t="s">
        <v>84</v>
      </c>
      <c r="Q151">
        <v>1</v>
      </c>
      <c r="R151" t="s">
        <v>83</v>
      </c>
      <c r="S151">
        <v>1</v>
      </c>
      <c r="T151">
        <v>-130</v>
      </c>
      <c r="U151" t="s">
        <v>351</v>
      </c>
      <c r="V151" t="s">
        <v>351</v>
      </c>
      <c r="W151">
        <v>-130</v>
      </c>
    </row>
    <row r="152" spans="1:23" x14ac:dyDescent="0.25">
      <c r="A152" s="1">
        <v>43770</v>
      </c>
      <c r="B152" s="1">
        <v>43770</v>
      </c>
      <c r="C152" t="s">
        <v>157</v>
      </c>
      <c r="D152" t="s">
        <v>48</v>
      </c>
      <c r="E152" t="s">
        <v>49</v>
      </c>
      <c r="F152" t="s">
        <v>193</v>
      </c>
      <c r="G152" s="56">
        <v>43805</v>
      </c>
      <c r="H152">
        <v>33</v>
      </c>
      <c r="I152">
        <v>11167</v>
      </c>
      <c r="J152" t="s">
        <v>50</v>
      </c>
      <c r="K152" t="s">
        <v>50</v>
      </c>
      <c r="L152" t="s">
        <v>159</v>
      </c>
      <c r="M152" t="s">
        <v>51</v>
      </c>
      <c r="N152" t="s">
        <v>92</v>
      </c>
      <c r="O152" s="1">
        <v>41335</v>
      </c>
      <c r="P152" t="s">
        <v>84</v>
      </c>
      <c r="Q152">
        <v>1</v>
      </c>
      <c r="R152" t="s">
        <v>83</v>
      </c>
      <c r="S152">
        <v>1175.9684259999999</v>
      </c>
      <c r="T152">
        <v>74.400999999999996</v>
      </c>
      <c r="U152" t="s">
        <v>351</v>
      </c>
      <c r="V152" t="s">
        <v>351</v>
      </c>
      <c r="W152">
        <v>87493</v>
      </c>
    </row>
    <row r="153" spans="1:23" x14ac:dyDescent="0.25">
      <c r="A153" s="1">
        <v>43770</v>
      </c>
      <c r="B153" s="1">
        <v>43770</v>
      </c>
      <c r="C153" t="s">
        <v>157</v>
      </c>
      <c r="D153" t="s">
        <v>54</v>
      </c>
      <c r="E153" t="s">
        <v>21</v>
      </c>
      <c r="F153" t="s">
        <v>191</v>
      </c>
      <c r="G153" s="56">
        <v>43805</v>
      </c>
      <c r="H153">
        <v>33</v>
      </c>
      <c r="I153">
        <v>11167</v>
      </c>
      <c r="J153" t="s">
        <v>50</v>
      </c>
      <c r="K153" t="s">
        <v>50</v>
      </c>
      <c r="L153" t="s">
        <v>159</v>
      </c>
      <c r="M153" t="s">
        <v>51</v>
      </c>
      <c r="N153" t="s">
        <v>92</v>
      </c>
      <c r="O153" s="1">
        <v>41335</v>
      </c>
      <c r="P153" t="s">
        <v>84</v>
      </c>
      <c r="Q153">
        <v>2</v>
      </c>
      <c r="R153" t="s">
        <v>94</v>
      </c>
      <c r="S153" t="s">
        <v>351</v>
      </c>
      <c r="T153" t="s">
        <v>351</v>
      </c>
      <c r="U153">
        <v>0</v>
      </c>
      <c r="V153">
        <v>6128.55</v>
      </c>
      <c r="W153">
        <v>0</v>
      </c>
    </row>
    <row r="154" spans="1:23" x14ac:dyDescent="0.25">
      <c r="A154" s="1">
        <v>43770</v>
      </c>
      <c r="B154" s="1">
        <v>43770</v>
      </c>
      <c r="C154" t="s">
        <v>157</v>
      </c>
      <c r="D154" t="s">
        <v>48</v>
      </c>
      <c r="E154" t="s">
        <v>49</v>
      </c>
      <c r="F154" t="s">
        <v>193</v>
      </c>
      <c r="G154" s="56">
        <v>43805</v>
      </c>
      <c r="H154">
        <v>33</v>
      </c>
      <c r="I154">
        <v>11167</v>
      </c>
      <c r="J154" t="s">
        <v>50</v>
      </c>
      <c r="K154" t="s">
        <v>50</v>
      </c>
      <c r="L154" t="s">
        <v>159</v>
      </c>
      <c r="M154" t="s">
        <v>51</v>
      </c>
      <c r="N154" t="s">
        <v>92</v>
      </c>
      <c r="O154" s="1">
        <v>41335</v>
      </c>
      <c r="P154" t="s">
        <v>84</v>
      </c>
      <c r="Q154">
        <v>2</v>
      </c>
      <c r="R154" t="s">
        <v>94</v>
      </c>
      <c r="S154">
        <v>4.4374760000000002</v>
      </c>
      <c r="T154">
        <v>75.736999999999995</v>
      </c>
      <c r="U154" t="s">
        <v>351</v>
      </c>
      <c r="V154" t="s">
        <v>351</v>
      </c>
      <c r="W154">
        <v>336</v>
      </c>
    </row>
    <row r="155" spans="1:23" x14ac:dyDescent="0.25">
      <c r="A155" s="1">
        <v>43770</v>
      </c>
      <c r="B155" s="1">
        <v>43770</v>
      </c>
      <c r="C155" t="s">
        <v>157</v>
      </c>
      <c r="D155" t="s">
        <v>54</v>
      </c>
      <c r="E155" t="s">
        <v>21</v>
      </c>
      <c r="F155" t="s">
        <v>191</v>
      </c>
      <c r="G155" s="56">
        <v>43805</v>
      </c>
      <c r="H155">
        <v>33</v>
      </c>
      <c r="I155">
        <v>11167</v>
      </c>
      <c r="J155" t="s">
        <v>50</v>
      </c>
      <c r="K155" t="s">
        <v>50</v>
      </c>
      <c r="L155" t="s">
        <v>159</v>
      </c>
      <c r="M155" t="s">
        <v>51</v>
      </c>
      <c r="N155" t="s">
        <v>92</v>
      </c>
      <c r="O155" s="1">
        <v>41335</v>
      </c>
      <c r="P155" t="s">
        <v>84</v>
      </c>
      <c r="Q155">
        <v>3</v>
      </c>
      <c r="R155" t="s">
        <v>81</v>
      </c>
      <c r="S155" t="s">
        <v>351</v>
      </c>
      <c r="T155" t="s">
        <v>351</v>
      </c>
      <c r="U155">
        <v>0</v>
      </c>
      <c r="V155">
        <v>5735.8</v>
      </c>
      <c r="W155">
        <v>0</v>
      </c>
    </row>
    <row r="156" spans="1:23" x14ac:dyDescent="0.25">
      <c r="A156" s="1">
        <v>43770</v>
      </c>
      <c r="B156" s="1">
        <v>43770</v>
      </c>
      <c r="C156" t="s">
        <v>157</v>
      </c>
      <c r="D156" t="s">
        <v>93</v>
      </c>
      <c r="E156" t="s">
        <v>49</v>
      </c>
      <c r="F156" t="s">
        <v>192</v>
      </c>
      <c r="G156" s="56">
        <v>43837</v>
      </c>
      <c r="H156">
        <v>61</v>
      </c>
      <c r="I156" t="s">
        <v>351</v>
      </c>
      <c r="J156" t="s">
        <v>50</v>
      </c>
      <c r="K156" t="s">
        <v>50</v>
      </c>
      <c r="L156" t="s">
        <v>159</v>
      </c>
      <c r="M156" t="s">
        <v>51</v>
      </c>
      <c r="N156" t="s">
        <v>92</v>
      </c>
      <c r="O156" s="1">
        <v>41335</v>
      </c>
      <c r="P156" t="s">
        <v>84</v>
      </c>
      <c r="Q156">
        <v>3</v>
      </c>
      <c r="R156" t="s">
        <v>81</v>
      </c>
      <c r="S156">
        <v>1</v>
      </c>
      <c r="T156">
        <v>-25</v>
      </c>
      <c r="U156" t="s">
        <v>351</v>
      </c>
      <c r="V156" t="s">
        <v>351</v>
      </c>
      <c r="W156">
        <v>-25</v>
      </c>
    </row>
    <row r="157" spans="1:23" x14ac:dyDescent="0.25">
      <c r="A157" s="1">
        <v>43770</v>
      </c>
      <c r="B157" s="1">
        <v>43770</v>
      </c>
      <c r="C157" t="s">
        <v>157</v>
      </c>
      <c r="D157" t="s">
        <v>48</v>
      </c>
      <c r="E157" t="s">
        <v>49</v>
      </c>
      <c r="F157" t="s">
        <v>193</v>
      </c>
      <c r="G157" s="56">
        <v>43805</v>
      </c>
      <c r="H157">
        <v>33</v>
      </c>
      <c r="I157">
        <v>11167</v>
      </c>
      <c r="J157" t="s">
        <v>50</v>
      </c>
      <c r="K157" t="s">
        <v>50</v>
      </c>
      <c r="L157" t="s">
        <v>159</v>
      </c>
      <c r="M157" t="s">
        <v>51</v>
      </c>
      <c r="N157" t="s">
        <v>92</v>
      </c>
      <c r="O157" s="1">
        <v>41335</v>
      </c>
      <c r="P157" t="s">
        <v>84</v>
      </c>
      <c r="Q157">
        <v>3</v>
      </c>
      <c r="R157" t="s">
        <v>81</v>
      </c>
      <c r="S157">
        <v>237.000969</v>
      </c>
      <c r="T157">
        <v>70.436999999999998</v>
      </c>
      <c r="U157" t="s">
        <v>351</v>
      </c>
      <c r="V157" t="s">
        <v>351</v>
      </c>
      <c r="W157">
        <v>16694</v>
      </c>
    </row>
    <row r="158" spans="1:23" x14ac:dyDescent="0.25">
      <c r="A158" s="1">
        <v>43770</v>
      </c>
      <c r="B158" s="1">
        <v>43770</v>
      </c>
      <c r="C158" t="s">
        <v>157</v>
      </c>
      <c r="D158" t="s">
        <v>54</v>
      </c>
      <c r="E158" t="s">
        <v>21</v>
      </c>
      <c r="F158" t="s">
        <v>191</v>
      </c>
      <c r="G158" s="56">
        <v>43805</v>
      </c>
      <c r="H158">
        <v>33</v>
      </c>
      <c r="I158">
        <v>11167</v>
      </c>
      <c r="J158" t="s">
        <v>50</v>
      </c>
      <c r="K158" t="s">
        <v>50</v>
      </c>
      <c r="L158" t="s">
        <v>159</v>
      </c>
      <c r="M158" t="s">
        <v>51</v>
      </c>
      <c r="N158" t="s">
        <v>92</v>
      </c>
      <c r="O158" s="1">
        <v>41335</v>
      </c>
      <c r="P158" t="s">
        <v>84</v>
      </c>
      <c r="Q158">
        <v>4</v>
      </c>
      <c r="R158" t="s">
        <v>27</v>
      </c>
      <c r="S158" t="s">
        <v>351</v>
      </c>
      <c r="T158" t="s">
        <v>351</v>
      </c>
      <c r="U158">
        <v>0</v>
      </c>
      <c r="V158">
        <v>5821.34</v>
      </c>
      <c r="W158">
        <v>0</v>
      </c>
    </row>
    <row r="159" spans="1:23" x14ac:dyDescent="0.25">
      <c r="A159" s="1">
        <v>43770</v>
      </c>
      <c r="B159" s="1">
        <v>43770</v>
      </c>
      <c r="C159" t="s">
        <v>157</v>
      </c>
      <c r="D159" t="s">
        <v>93</v>
      </c>
      <c r="E159" t="s">
        <v>49</v>
      </c>
      <c r="F159" t="s">
        <v>192</v>
      </c>
      <c r="G159" s="56">
        <v>43837</v>
      </c>
      <c r="H159">
        <v>61</v>
      </c>
      <c r="I159" t="s">
        <v>351</v>
      </c>
      <c r="J159" t="s">
        <v>50</v>
      </c>
      <c r="K159" t="s">
        <v>50</v>
      </c>
      <c r="L159" t="s">
        <v>159</v>
      </c>
      <c r="M159" t="s">
        <v>51</v>
      </c>
      <c r="N159" t="s">
        <v>92</v>
      </c>
      <c r="O159" s="1">
        <v>41335</v>
      </c>
      <c r="P159" t="s">
        <v>84</v>
      </c>
      <c r="Q159">
        <v>4</v>
      </c>
      <c r="R159" t="s">
        <v>27</v>
      </c>
      <c r="S159">
        <v>1</v>
      </c>
      <c r="T159">
        <v>-176</v>
      </c>
      <c r="U159" t="s">
        <v>351</v>
      </c>
      <c r="V159" t="s">
        <v>351</v>
      </c>
      <c r="W159">
        <v>-176</v>
      </c>
    </row>
    <row r="160" spans="1:23" x14ac:dyDescent="0.25">
      <c r="A160" s="1">
        <v>43770</v>
      </c>
      <c r="B160" s="1">
        <v>43770</v>
      </c>
      <c r="C160" t="s">
        <v>157</v>
      </c>
      <c r="D160" t="s">
        <v>48</v>
      </c>
      <c r="E160" t="s">
        <v>49</v>
      </c>
      <c r="F160" t="s">
        <v>193</v>
      </c>
      <c r="G160" s="56">
        <v>43805</v>
      </c>
      <c r="H160">
        <v>33</v>
      </c>
      <c r="I160">
        <v>11167</v>
      </c>
      <c r="J160" t="s">
        <v>50</v>
      </c>
      <c r="K160" t="s">
        <v>50</v>
      </c>
      <c r="L160" t="s">
        <v>159</v>
      </c>
      <c r="M160" t="s">
        <v>51</v>
      </c>
      <c r="N160" t="s">
        <v>92</v>
      </c>
      <c r="O160" s="1">
        <v>41335</v>
      </c>
      <c r="P160" t="s">
        <v>84</v>
      </c>
      <c r="Q160">
        <v>4</v>
      </c>
      <c r="R160" t="s">
        <v>27</v>
      </c>
      <c r="S160">
        <v>1639.539798</v>
      </c>
      <c r="T160">
        <v>71.983999999999995</v>
      </c>
      <c r="U160" t="s">
        <v>351</v>
      </c>
      <c r="V160" t="s">
        <v>351</v>
      </c>
      <c r="W160">
        <v>118021</v>
      </c>
    </row>
    <row r="161" spans="1:23" x14ac:dyDescent="0.25">
      <c r="A161" s="1">
        <v>43770</v>
      </c>
      <c r="B161" s="1">
        <v>43770</v>
      </c>
      <c r="C161" t="s">
        <v>157</v>
      </c>
      <c r="D161" t="s">
        <v>54</v>
      </c>
      <c r="E161" t="s">
        <v>21</v>
      </c>
      <c r="F161" t="s">
        <v>191</v>
      </c>
      <c r="G161" s="56">
        <v>43805</v>
      </c>
      <c r="H161">
        <v>33</v>
      </c>
      <c r="I161">
        <v>11167</v>
      </c>
      <c r="J161" t="s">
        <v>50</v>
      </c>
      <c r="K161" t="s">
        <v>50</v>
      </c>
      <c r="L161" t="s">
        <v>159</v>
      </c>
      <c r="M161" t="s">
        <v>51</v>
      </c>
      <c r="N161" t="s">
        <v>92</v>
      </c>
      <c r="O161" s="1">
        <v>41335</v>
      </c>
      <c r="P161" t="s">
        <v>84</v>
      </c>
      <c r="Q161">
        <v>5</v>
      </c>
      <c r="R161" t="s">
        <v>28</v>
      </c>
      <c r="S161" t="s">
        <v>351</v>
      </c>
      <c r="T161" t="s">
        <v>351</v>
      </c>
      <c r="U161">
        <v>0</v>
      </c>
      <c r="V161">
        <v>6082.17</v>
      </c>
      <c r="W161">
        <v>0</v>
      </c>
    </row>
    <row r="162" spans="1:23" x14ac:dyDescent="0.25">
      <c r="A162" s="1">
        <v>43770</v>
      </c>
      <c r="B162" s="1">
        <v>43770</v>
      </c>
      <c r="C162" t="s">
        <v>157</v>
      </c>
      <c r="D162" t="s">
        <v>93</v>
      </c>
      <c r="E162" t="s">
        <v>49</v>
      </c>
      <c r="F162" t="s">
        <v>192</v>
      </c>
      <c r="G162" s="56">
        <v>43837</v>
      </c>
      <c r="H162">
        <v>61</v>
      </c>
      <c r="I162" t="s">
        <v>351</v>
      </c>
      <c r="J162" t="s">
        <v>50</v>
      </c>
      <c r="K162" t="s">
        <v>50</v>
      </c>
      <c r="L162" t="s">
        <v>159</v>
      </c>
      <c r="M162" t="s">
        <v>51</v>
      </c>
      <c r="N162" t="s">
        <v>92</v>
      </c>
      <c r="O162" s="1">
        <v>41335</v>
      </c>
      <c r="P162" t="s">
        <v>84</v>
      </c>
      <c r="Q162">
        <v>5</v>
      </c>
      <c r="R162" t="s">
        <v>28</v>
      </c>
      <c r="S162">
        <v>1</v>
      </c>
      <c r="T162">
        <v>-1</v>
      </c>
      <c r="U162" t="s">
        <v>351</v>
      </c>
      <c r="V162" t="s">
        <v>351</v>
      </c>
      <c r="W162">
        <v>-1</v>
      </c>
    </row>
    <row r="163" spans="1:23" x14ac:dyDescent="0.25">
      <c r="A163" s="1">
        <v>43770</v>
      </c>
      <c r="B163" s="1">
        <v>43770</v>
      </c>
      <c r="C163" t="s">
        <v>157</v>
      </c>
      <c r="D163" t="s">
        <v>48</v>
      </c>
      <c r="E163" t="s">
        <v>49</v>
      </c>
      <c r="F163" t="s">
        <v>193</v>
      </c>
      <c r="G163" s="56">
        <v>43805</v>
      </c>
      <c r="H163">
        <v>33</v>
      </c>
      <c r="I163">
        <v>11167</v>
      </c>
      <c r="J163" t="s">
        <v>50</v>
      </c>
      <c r="K163" t="s">
        <v>50</v>
      </c>
      <c r="L163" t="s">
        <v>159</v>
      </c>
      <c r="M163" t="s">
        <v>51</v>
      </c>
      <c r="N163" t="s">
        <v>92</v>
      </c>
      <c r="O163" s="1">
        <v>41335</v>
      </c>
      <c r="P163" t="s">
        <v>84</v>
      </c>
      <c r="Q163">
        <v>5</v>
      </c>
      <c r="R163" t="s">
        <v>28</v>
      </c>
      <c r="S163">
        <v>4.6772220000000004</v>
      </c>
      <c r="T163">
        <v>75.617000000000004</v>
      </c>
      <c r="U163" t="s">
        <v>351</v>
      </c>
      <c r="V163" t="s">
        <v>351</v>
      </c>
      <c r="W163">
        <v>354</v>
      </c>
    </row>
    <row r="164" spans="1:23" x14ac:dyDescent="0.25">
      <c r="A164" s="1">
        <v>43800</v>
      </c>
      <c r="B164" s="1">
        <v>43800</v>
      </c>
      <c r="C164" t="s">
        <v>157</v>
      </c>
      <c r="D164" t="s">
        <v>54</v>
      </c>
      <c r="E164" t="s">
        <v>21</v>
      </c>
      <c r="F164" t="s">
        <v>195</v>
      </c>
      <c r="G164" s="56">
        <v>43837</v>
      </c>
      <c r="H164">
        <v>33</v>
      </c>
      <c r="I164">
        <v>11902</v>
      </c>
      <c r="J164" t="s">
        <v>50</v>
      </c>
      <c r="K164" t="s">
        <v>50</v>
      </c>
      <c r="L164" t="s">
        <v>159</v>
      </c>
      <c r="M164" t="s">
        <v>51</v>
      </c>
      <c r="N164" t="s">
        <v>92</v>
      </c>
      <c r="O164" s="1">
        <v>41335</v>
      </c>
      <c r="P164" t="s">
        <v>84</v>
      </c>
      <c r="Q164">
        <v>1</v>
      </c>
      <c r="R164" t="s">
        <v>83</v>
      </c>
      <c r="S164" t="s">
        <v>351</v>
      </c>
      <c r="T164" t="s">
        <v>351</v>
      </c>
      <c r="U164">
        <v>0</v>
      </c>
      <c r="V164">
        <v>5969.53</v>
      </c>
      <c r="W164">
        <v>0</v>
      </c>
    </row>
    <row r="165" spans="1:23" x14ac:dyDescent="0.25">
      <c r="A165" s="1">
        <v>43800</v>
      </c>
      <c r="B165" s="1">
        <v>43800</v>
      </c>
      <c r="C165" t="s">
        <v>157</v>
      </c>
      <c r="D165" t="s">
        <v>93</v>
      </c>
      <c r="E165" t="s">
        <v>49</v>
      </c>
      <c r="F165" t="s">
        <v>194</v>
      </c>
      <c r="G165" s="56">
        <v>43928.729247685187</v>
      </c>
      <c r="H165">
        <v>33</v>
      </c>
      <c r="I165" t="s">
        <v>351</v>
      </c>
      <c r="J165" t="s">
        <v>50</v>
      </c>
      <c r="K165" t="s">
        <v>50</v>
      </c>
      <c r="L165" t="s">
        <v>159</v>
      </c>
      <c r="M165" t="s">
        <v>51</v>
      </c>
      <c r="N165" t="s">
        <v>92</v>
      </c>
      <c r="O165" s="1">
        <v>41335</v>
      </c>
      <c r="P165" t="s">
        <v>84</v>
      </c>
      <c r="Q165">
        <v>1</v>
      </c>
      <c r="R165" t="s">
        <v>83</v>
      </c>
      <c r="S165">
        <v>1</v>
      </c>
      <c r="T165">
        <v>598</v>
      </c>
      <c r="U165" t="s">
        <v>351</v>
      </c>
      <c r="V165" t="s">
        <v>351</v>
      </c>
      <c r="W165">
        <v>598</v>
      </c>
    </row>
    <row r="166" spans="1:23" x14ac:dyDescent="0.25">
      <c r="A166" s="1">
        <v>43800</v>
      </c>
      <c r="B166" s="1">
        <v>43800</v>
      </c>
      <c r="C166" t="s">
        <v>157</v>
      </c>
      <c r="D166" t="s">
        <v>48</v>
      </c>
      <c r="E166" t="s">
        <v>49</v>
      </c>
      <c r="F166" t="s">
        <v>196</v>
      </c>
      <c r="G166" s="56">
        <v>43837</v>
      </c>
      <c r="H166">
        <v>33</v>
      </c>
      <c r="I166">
        <v>11902</v>
      </c>
      <c r="J166" t="s">
        <v>50</v>
      </c>
      <c r="K166" t="s">
        <v>50</v>
      </c>
      <c r="L166" t="s">
        <v>159</v>
      </c>
      <c r="M166" t="s">
        <v>51</v>
      </c>
      <c r="N166" t="s">
        <v>92</v>
      </c>
      <c r="O166" s="1">
        <v>41335</v>
      </c>
      <c r="P166" t="s">
        <v>84</v>
      </c>
      <c r="Q166">
        <v>1</v>
      </c>
      <c r="R166" t="s">
        <v>83</v>
      </c>
      <c r="S166">
        <v>1541.900316</v>
      </c>
      <c r="T166">
        <v>74.400999999999996</v>
      </c>
      <c r="U166" t="s">
        <v>351</v>
      </c>
      <c r="V166" t="s">
        <v>351</v>
      </c>
      <c r="W166">
        <v>114719</v>
      </c>
    </row>
    <row r="167" spans="1:23" x14ac:dyDescent="0.25">
      <c r="A167" s="1">
        <v>43800</v>
      </c>
      <c r="B167" s="1">
        <v>43800</v>
      </c>
      <c r="C167" t="s">
        <v>157</v>
      </c>
      <c r="D167" t="s">
        <v>54</v>
      </c>
      <c r="E167" t="s">
        <v>21</v>
      </c>
      <c r="F167" t="s">
        <v>195</v>
      </c>
      <c r="G167" s="56">
        <v>43837</v>
      </c>
      <c r="H167">
        <v>33</v>
      </c>
      <c r="I167">
        <v>11902</v>
      </c>
      <c r="J167" t="s">
        <v>50</v>
      </c>
      <c r="K167" t="s">
        <v>50</v>
      </c>
      <c r="L167" t="s">
        <v>159</v>
      </c>
      <c r="M167" t="s">
        <v>51</v>
      </c>
      <c r="N167" t="s">
        <v>92</v>
      </c>
      <c r="O167" s="1">
        <v>41335</v>
      </c>
      <c r="P167" t="s">
        <v>84</v>
      </c>
      <c r="Q167">
        <v>2</v>
      </c>
      <c r="R167" t="s">
        <v>94</v>
      </c>
      <c r="S167" t="s">
        <v>351</v>
      </c>
      <c r="T167" t="s">
        <v>351</v>
      </c>
      <c r="U167">
        <v>0</v>
      </c>
      <c r="V167">
        <v>6128.55</v>
      </c>
      <c r="W167">
        <v>0</v>
      </c>
    </row>
    <row r="168" spans="1:23" x14ac:dyDescent="0.25">
      <c r="A168" s="1">
        <v>43800</v>
      </c>
      <c r="B168" s="1">
        <v>43800</v>
      </c>
      <c r="C168" t="s">
        <v>157</v>
      </c>
      <c r="D168" t="s">
        <v>93</v>
      </c>
      <c r="E168" t="s">
        <v>49</v>
      </c>
      <c r="F168" t="s">
        <v>194</v>
      </c>
      <c r="G168" s="56">
        <v>43928.729247685187</v>
      </c>
      <c r="H168">
        <v>33</v>
      </c>
      <c r="I168" t="s">
        <v>351</v>
      </c>
      <c r="J168" t="s">
        <v>50</v>
      </c>
      <c r="K168" t="s">
        <v>50</v>
      </c>
      <c r="L168" t="s">
        <v>159</v>
      </c>
      <c r="M168" t="s">
        <v>51</v>
      </c>
      <c r="N168" t="s">
        <v>92</v>
      </c>
      <c r="O168" s="1">
        <v>41335</v>
      </c>
      <c r="P168" t="s">
        <v>84</v>
      </c>
      <c r="Q168">
        <v>2</v>
      </c>
      <c r="R168" t="s">
        <v>94</v>
      </c>
      <c r="S168">
        <v>1</v>
      </c>
      <c r="T168">
        <v>2</v>
      </c>
      <c r="U168" t="s">
        <v>351</v>
      </c>
      <c r="V168" t="s">
        <v>351</v>
      </c>
      <c r="W168">
        <v>2</v>
      </c>
    </row>
    <row r="169" spans="1:23" x14ac:dyDescent="0.25">
      <c r="A169" s="1">
        <v>43800</v>
      </c>
      <c r="B169" s="1">
        <v>43800</v>
      </c>
      <c r="C169" t="s">
        <v>157</v>
      </c>
      <c r="D169" t="s">
        <v>48</v>
      </c>
      <c r="E169" t="s">
        <v>49</v>
      </c>
      <c r="F169" t="s">
        <v>196</v>
      </c>
      <c r="G169" s="56">
        <v>43837</v>
      </c>
      <c r="H169">
        <v>33</v>
      </c>
      <c r="I169">
        <v>11902</v>
      </c>
      <c r="J169" t="s">
        <v>50</v>
      </c>
      <c r="K169" t="s">
        <v>50</v>
      </c>
      <c r="L169" t="s">
        <v>159</v>
      </c>
      <c r="M169" t="s">
        <v>51</v>
      </c>
      <c r="N169" t="s">
        <v>92</v>
      </c>
      <c r="O169" s="1">
        <v>41335</v>
      </c>
      <c r="P169" t="s">
        <v>84</v>
      </c>
      <c r="Q169">
        <v>2</v>
      </c>
      <c r="R169" t="s">
        <v>94</v>
      </c>
      <c r="S169">
        <v>4.9920920000000004</v>
      </c>
      <c r="T169">
        <v>75.736999999999995</v>
      </c>
      <c r="U169" t="s">
        <v>351</v>
      </c>
      <c r="V169" t="s">
        <v>351</v>
      </c>
      <c r="W169">
        <v>378</v>
      </c>
    </row>
    <row r="170" spans="1:23" x14ac:dyDescent="0.25">
      <c r="A170" s="1">
        <v>43800</v>
      </c>
      <c r="B170" s="1">
        <v>43800</v>
      </c>
      <c r="C170" t="s">
        <v>157</v>
      </c>
      <c r="D170" t="s">
        <v>54</v>
      </c>
      <c r="E170" t="s">
        <v>21</v>
      </c>
      <c r="F170" t="s">
        <v>195</v>
      </c>
      <c r="G170" s="56">
        <v>43837</v>
      </c>
      <c r="H170">
        <v>33</v>
      </c>
      <c r="I170">
        <v>11902</v>
      </c>
      <c r="J170" t="s">
        <v>50</v>
      </c>
      <c r="K170" t="s">
        <v>50</v>
      </c>
      <c r="L170" t="s">
        <v>159</v>
      </c>
      <c r="M170" t="s">
        <v>51</v>
      </c>
      <c r="N170" t="s">
        <v>92</v>
      </c>
      <c r="O170" s="1">
        <v>41335</v>
      </c>
      <c r="P170" t="s">
        <v>84</v>
      </c>
      <c r="Q170">
        <v>3</v>
      </c>
      <c r="R170" t="s">
        <v>81</v>
      </c>
      <c r="S170" t="s">
        <v>351</v>
      </c>
      <c r="T170" t="s">
        <v>351</v>
      </c>
      <c r="U170">
        <v>0</v>
      </c>
      <c r="V170">
        <v>5735.8</v>
      </c>
      <c r="W170">
        <v>0</v>
      </c>
    </row>
    <row r="171" spans="1:23" x14ac:dyDescent="0.25">
      <c r="A171" s="1">
        <v>43800</v>
      </c>
      <c r="B171" s="1">
        <v>43800</v>
      </c>
      <c r="C171" t="s">
        <v>157</v>
      </c>
      <c r="D171" t="s">
        <v>93</v>
      </c>
      <c r="E171" t="s">
        <v>49</v>
      </c>
      <c r="F171" t="s">
        <v>194</v>
      </c>
      <c r="G171" s="56">
        <v>43928.729247685187</v>
      </c>
      <c r="H171">
        <v>33</v>
      </c>
      <c r="I171" t="s">
        <v>351</v>
      </c>
      <c r="J171" t="s">
        <v>50</v>
      </c>
      <c r="K171" t="s">
        <v>50</v>
      </c>
      <c r="L171" t="s">
        <v>159</v>
      </c>
      <c r="M171" t="s">
        <v>51</v>
      </c>
      <c r="N171" t="s">
        <v>92</v>
      </c>
      <c r="O171" s="1">
        <v>41335</v>
      </c>
      <c r="P171" t="s">
        <v>84</v>
      </c>
      <c r="Q171">
        <v>3</v>
      </c>
      <c r="R171" t="s">
        <v>81</v>
      </c>
      <c r="S171">
        <v>1</v>
      </c>
      <c r="T171">
        <v>111</v>
      </c>
      <c r="U171" t="s">
        <v>351</v>
      </c>
      <c r="V171" t="s">
        <v>351</v>
      </c>
      <c r="W171">
        <v>111</v>
      </c>
    </row>
    <row r="172" spans="1:23" x14ac:dyDescent="0.25">
      <c r="A172" s="1">
        <v>43800</v>
      </c>
      <c r="B172" s="1">
        <v>43800</v>
      </c>
      <c r="C172" t="s">
        <v>157</v>
      </c>
      <c r="D172" t="s">
        <v>48</v>
      </c>
      <c r="E172" t="s">
        <v>49</v>
      </c>
      <c r="F172" t="s">
        <v>196</v>
      </c>
      <c r="G172" s="56">
        <v>43837</v>
      </c>
      <c r="H172">
        <v>33</v>
      </c>
      <c r="I172">
        <v>11902</v>
      </c>
      <c r="J172" t="s">
        <v>50</v>
      </c>
      <c r="K172" t="s">
        <v>50</v>
      </c>
      <c r="L172" t="s">
        <v>159</v>
      </c>
      <c r="M172" t="s">
        <v>51</v>
      </c>
      <c r="N172" t="s">
        <v>92</v>
      </c>
      <c r="O172" s="1">
        <v>41335</v>
      </c>
      <c r="P172" t="s">
        <v>84</v>
      </c>
      <c r="Q172">
        <v>3</v>
      </c>
      <c r="R172" t="s">
        <v>81</v>
      </c>
      <c r="S172">
        <v>302.289739</v>
      </c>
      <c r="T172">
        <v>70.436999999999998</v>
      </c>
      <c r="U172" t="s">
        <v>351</v>
      </c>
      <c r="V172" t="s">
        <v>351</v>
      </c>
      <c r="W172">
        <v>21292</v>
      </c>
    </row>
    <row r="173" spans="1:23" x14ac:dyDescent="0.25">
      <c r="A173" s="1">
        <v>43800</v>
      </c>
      <c r="B173" s="1">
        <v>43800</v>
      </c>
      <c r="C173" t="s">
        <v>157</v>
      </c>
      <c r="D173" t="s">
        <v>54</v>
      </c>
      <c r="E173" t="s">
        <v>21</v>
      </c>
      <c r="F173" t="s">
        <v>195</v>
      </c>
      <c r="G173" s="56">
        <v>43837</v>
      </c>
      <c r="H173">
        <v>33</v>
      </c>
      <c r="I173">
        <v>11902</v>
      </c>
      <c r="J173" t="s">
        <v>50</v>
      </c>
      <c r="K173" t="s">
        <v>50</v>
      </c>
      <c r="L173" t="s">
        <v>159</v>
      </c>
      <c r="M173" t="s">
        <v>51</v>
      </c>
      <c r="N173" t="s">
        <v>92</v>
      </c>
      <c r="O173" s="1">
        <v>41335</v>
      </c>
      <c r="P173" t="s">
        <v>84</v>
      </c>
      <c r="Q173">
        <v>4</v>
      </c>
      <c r="R173" t="s">
        <v>27</v>
      </c>
      <c r="S173" t="s">
        <v>351</v>
      </c>
      <c r="T173" t="s">
        <v>351</v>
      </c>
      <c r="U173">
        <v>0</v>
      </c>
      <c r="V173">
        <v>5821.34</v>
      </c>
      <c r="W173">
        <v>0</v>
      </c>
    </row>
    <row r="174" spans="1:23" x14ac:dyDescent="0.25">
      <c r="A174" s="1">
        <v>43800</v>
      </c>
      <c r="B174" s="1">
        <v>43800</v>
      </c>
      <c r="C174" t="s">
        <v>157</v>
      </c>
      <c r="D174" t="s">
        <v>93</v>
      </c>
      <c r="E174" t="s">
        <v>49</v>
      </c>
      <c r="F174" t="s">
        <v>194</v>
      </c>
      <c r="G174" s="56">
        <v>43928.729247685187</v>
      </c>
      <c r="H174">
        <v>33</v>
      </c>
      <c r="I174" t="s">
        <v>351</v>
      </c>
      <c r="J174" t="s">
        <v>50</v>
      </c>
      <c r="K174" t="s">
        <v>50</v>
      </c>
      <c r="L174" t="s">
        <v>159</v>
      </c>
      <c r="M174" t="s">
        <v>51</v>
      </c>
      <c r="N174" t="s">
        <v>92</v>
      </c>
      <c r="O174" s="1">
        <v>41335</v>
      </c>
      <c r="P174" t="s">
        <v>84</v>
      </c>
      <c r="Q174">
        <v>4</v>
      </c>
      <c r="R174" t="s">
        <v>27</v>
      </c>
      <c r="S174">
        <v>1</v>
      </c>
      <c r="T174">
        <v>780</v>
      </c>
      <c r="U174" t="s">
        <v>351</v>
      </c>
      <c r="V174" t="s">
        <v>351</v>
      </c>
      <c r="W174">
        <v>780</v>
      </c>
    </row>
    <row r="175" spans="1:23" x14ac:dyDescent="0.25">
      <c r="A175" s="1">
        <v>43800</v>
      </c>
      <c r="B175" s="1">
        <v>43800</v>
      </c>
      <c r="C175" t="s">
        <v>157</v>
      </c>
      <c r="D175" t="s">
        <v>48</v>
      </c>
      <c r="E175" t="s">
        <v>49</v>
      </c>
      <c r="F175" t="s">
        <v>196</v>
      </c>
      <c r="G175" s="56">
        <v>43837</v>
      </c>
      <c r="H175">
        <v>33</v>
      </c>
      <c r="I175">
        <v>11902</v>
      </c>
      <c r="J175" t="s">
        <v>50</v>
      </c>
      <c r="K175" t="s">
        <v>50</v>
      </c>
      <c r="L175" t="s">
        <v>159</v>
      </c>
      <c r="M175" t="s">
        <v>51</v>
      </c>
      <c r="N175" t="s">
        <v>92</v>
      </c>
      <c r="O175" s="1">
        <v>41335</v>
      </c>
      <c r="P175" t="s">
        <v>84</v>
      </c>
      <c r="Q175">
        <v>4</v>
      </c>
      <c r="R175" t="s">
        <v>27</v>
      </c>
      <c r="S175">
        <v>2077.3259159999998</v>
      </c>
      <c r="T175">
        <v>71.983999999999995</v>
      </c>
      <c r="U175" t="s">
        <v>351</v>
      </c>
      <c r="V175" t="s">
        <v>351</v>
      </c>
      <c r="W175">
        <v>149534</v>
      </c>
    </row>
    <row r="176" spans="1:23" x14ac:dyDescent="0.25">
      <c r="A176" s="1">
        <v>43800</v>
      </c>
      <c r="B176" s="1">
        <v>43800</v>
      </c>
      <c r="C176" t="s">
        <v>157</v>
      </c>
      <c r="D176" t="s">
        <v>54</v>
      </c>
      <c r="E176" t="s">
        <v>21</v>
      </c>
      <c r="F176" t="s">
        <v>195</v>
      </c>
      <c r="G176" s="56">
        <v>43837</v>
      </c>
      <c r="H176">
        <v>33</v>
      </c>
      <c r="I176">
        <v>11902</v>
      </c>
      <c r="J176" t="s">
        <v>50</v>
      </c>
      <c r="K176" t="s">
        <v>50</v>
      </c>
      <c r="L176" t="s">
        <v>159</v>
      </c>
      <c r="M176" t="s">
        <v>51</v>
      </c>
      <c r="N176" t="s">
        <v>92</v>
      </c>
      <c r="O176" s="1">
        <v>41335</v>
      </c>
      <c r="P176" t="s">
        <v>84</v>
      </c>
      <c r="Q176">
        <v>5</v>
      </c>
      <c r="R176" t="s">
        <v>28</v>
      </c>
      <c r="S176" t="s">
        <v>351</v>
      </c>
      <c r="T176" t="s">
        <v>351</v>
      </c>
      <c r="U176">
        <v>0</v>
      </c>
      <c r="V176">
        <v>6082.17</v>
      </c>
      <c r="W176">
        <v>0</v>
      </c>
    </row>
    <row r="177" spans="1:23" x14ac:dyDescent="0.25">
      <c r="A177" s="1">
        <v>43800</v>
      </c>
      <c r="B177" s="1">
        <v>43800</v>
      </c>
      <c r="C177" t="s">
        <v>157</v>
      </c>
      <c r="D177" t="s">
        <v>93</v>
      </c>
      <c r="E177" t="s">
        <v>49</v>
      </c>
      <c r="F177" t="s">
        <v>194</v>
      </c>
      <c r="G177" s="56">
        <v>43928.729247685187</v>
      </c>
      <c r="H177">
        <v>33</v>
      </c>
      <c r="I177" t="s">
        <v>351</v>
      </c>
      <c r="J177" t="s">
        <v>50</v>
      </c>
      <c r="K177" t="s">
        <v>50</v>
      </c>
      <c r="L177" t="s">
        <v>159</v>
      </c>
      <c r="M177" t="s">
        <v>51</v>
      </c>
      <c r="N177" t="s">
        <v>92</v>
      </c>
      <c r="O177" s="1">
        <v>41335</v>
      </c>
      <c r="P177" t="s">
        <v>84</v>
      </c>
      <c r="Q177">
        <v>5</v>
      </c>
      <c r="R177" t="s">
        <v>28</v>
      </c>
      <c r="S177">
        <v>1</v>
      </c>
      <c r="T177">
        <v>4</v>
      </c>
      <c r="U177" t="s">
        <v>351</v>
      </c>
      <c r="V177" t="s">
        <v>351</v>
      </c>
      <c r="W177">
        <v>4</v>
      </c>
    </row>
    <row r="178" spans="1:23" x14ac:dyDescent="0.25">
      <c r="A178" s="1">
        <v>43800</v>
      </c>
      <c r="B178" s="1">
        <v>43800</v>
      </c>
      <c r="C178" t="s">
        <v>157</v>
      </c>
      <c r="D178" t="s">
        <v>48</v>
      </c>
      <c r="E178" t="s">
        <v>49</v>
      </c>
      <c r="F178" t="s">
        <v>196</v>
      </c>
      <c r="G178" s="56">
        <v>43837</v>
      </c>
      <c r="H178">
        <v>33</v>
      </c>
      <c r="I178">
        <v>11902</v>
      </c>
      <c r="J178" t="s">
        <v>50</v>
      </c>
      <c r="K178" t="s">
        <v>50</v>
      </c>
      <c r="L178" t="s">
        <v>159</v>
      </c>
      <c r="M178" t="s">
        <v>51</v>
      </c>
      <c r="N178" t="s">
        <v>92</v>
      </c>
      <c r="O178" s="1">
        <v>41335</v>
      </c>
      <c r="P178" t="s">
        <v>84</v>
      </c>
      <c r="Q178">
        <v>5</v>
      </c>
      <c r="R178" t="s">
        <v>28</v>
      </c>
      <c r="S178">
        <v>5.3231200000000003</v>
      </c>
      <c r="T178">
        <v>75.617000000000004</v>
      </c>
      <c r="U178" t="s">
        <v>351</v>
      </c>
      <c r="V178" t="s">
        <v>351</v>
      </c>
      <c r="W178">
        <v>403</v>
      </c>
    </row>
    <row r="179" spans="1:23" x14ac:dyDescent="0.25">
      <c r="A179" s="1">
        <v>43831</v>
      </c>
      <c r="B179" s="1">
        <v>43831</v>
      </c>
      <c r="C179" t="s">
        <v>157</v>
      </c>
      <c r="D179" t="s">
        <v>54</v>
      </c>
      <c r="E179" t="s">
        <v>21</v>
      </c>
      <c r="F179" t="s">
        <v>199</v>
      </c>
      <c r="G179" s="56">
        <v>43910.518553240741</v>
      </c>
      <c r="H179">
        <v>33</v>
      </c>
      <c r="I179">
        <v>13159</v>
      </c>
      <c r="J179" t="s">
        <v>50</v>
      </c>
      <c r="K179" t="s">
        <v>50</v>
      </c>
      <c r="L179" t="s">
        <v>159</v>
      </c>
      <c r="M179" t="s">
        <v>51</v>
      </c>
      <c r="N179" t="s">
        <v>92</v>
      </c>
      <c r="O179" s="1">
        <v>41335</v>
      </c>
      <c r="P179" t="s">
        <v>84</v>
      </c>
      <c r="Q179">
        <v>1</v>
      </c>
      <c r="R179" t="s">
        <v>83</v>
      </c>
      <c r="S179" t="s">
        <v>351</v>
      </c>
      <c r="T179" t="s">
        <v>351</v>
      </c>
      <c r="U179">
        <v>0</v>
      </c>
      <c r="V179">
        <v>5969.53</v>
      </c>
      <c r="W179">
        <v>0</v>
      </c>
    </row>
    <row r="180" spans="1:23" x14ac:dyDescent="0.25">
      <c r="A180" s="1">
        <v>43831</v>
      </c>
      <c r="B180" s="1">
        <v>43831</v>
      </c>
      <c r="C180" t="s">
        <v>157</v>
      </c>
      <c r="D180" t="s">
        <v>93</v>
      </c>
      <c r="E180" t="s">
        <v>49</v>
      </c>
      <c r="F180" t="s">
        <v>198</v>
      </c>
      <c r="G180" s="56">
        <v>43917.77002314815</v>
      </c>
      <c r="H180">
        <v>33</v>
      </c>
      <c r="I180">
        <v>13702</v>
      </c>
      <c r="J180" t="s">
        <v>50</v>
      </c>
      <c r="K180" t="s">
        <v>50</v>
      </c>
      <c r="L180" t="s">
        <v>159</v>
      </c>
      <c r="M180" t="s">
        <v>51</v>
      </c>
      <c r="N180" t="s">
        <v>92</v>
      </c>
      <c r="O180" s="1">
        <v>41335</v>
      </c>
      <c r="P180" t="s">
        <v>84</v>
      </c>
      <c r="Q180">
        <v>1</v>
      </c>
      <c r="R180" t="s">
        <v>83</v>
      </c>
      <c r="S180">
        <v>1</v>
      </c>
      <c r="T180">
        <v>29633</v>
      </c>
      <c r="U180" t="s">
        <v>351</v>
      </c>
      <c r="V180" t="s">
        <v>351</v>
      </c>
      <c r="W180">
        <v>29633</v>
      </c>
    </row>
    <row r="181" spans="1:23" x14ac:dyDescent="0.25">
      <c r="A181" s="1">
        <v>43831</v>
      </c>
      <c r="B181" s="1">
        <v>43831</v>
      </c>
      <c r="C181" t="s">
        <v>157</v>
      </c>
      <c r="D181" t="s">
        <v>48</v>
      </c>
      <c r="E181" t="s">
        <v>49</v>
      </c>
      <c r="F181" t="s">
        <v>200</v>
      </c>
      <c r="G181" s="56">
        <v>43910.518553240741</v>
      </c>
      <c r="H181">
        <v>33</v>
      </c>
      <c r="I181">
        <v>13159</v>
      </c>
      <c r="J181" t="s">
        <v>50</v>
      </c>
      <c r="K181" t="s">
        <v>50</v>
      </c>
      <c r="L181" t="s">
        <v>159</v>
      </c>
      <c r="M181" t="s">
        <v>51</v>
      </c>
      <c r="N181" t="s">
        <v>92</v>
      </c>
      <c r="O181" s="1">
        <v>41335</v>
      </c>
      <c r="P181" t="s">
        <v>84</v>
      </c>
      <c r="Q181">
        <v>1</v>
      </c>
      <c r="R181" t="s">
        <v>83</v>
      </c>
      <c r="S181">
        <v>4352.0722839999999</v>
      </c>
      <c r="T181">
        <v>62.720154999999998</v>
      </c>
      <c r="U181" t="s">
        <v>351</v>
      </c>
      <c r="V181" t="s">
        <v>351</v>
      </c>
      <c r="W181">
        <v>272963</v>
      </c>
    </row>
    <row r="182" spans="1:23" x14ac:dyDescent="0.25">
      <c r="A182" s="1">
        <v>43831</v>
      </c>
      <c r="B182" s="1">
        <v>43831</v>
      </c>
      <c r="C182" t="s">
        <v>157</v>
      </c>
      <c r="D182" t="s">
        <v>54</v>
      </c>
      <c r="E182" t="s">
        <v>21</v>
      </c>
      <c r="F182" t="s">
        <v>199</v>
      </c>
      <c r="G182" s="56">
        <v>43910.518553240741</v>
      </c>
      <c r="H182">
        <v>33</v>
      </c>
      <c r="I182">
        <v>13159</v>
      </c>
      <c r="J182" t="s">
        <v>50</v>
      </c>
      <c r="K182" t="s">
        <v>50</v>
      </c>
      <c r="L182" t="s">
        <v>159</v>
      </c>
      <c r="M182" t="s">
        <v>51</v>
      </c>
      <c r="N182" t="s">
        <v>92</v>
      </c>
      <c r="O182" s="1">
        <v>41335</v>
      </c>
      <c r="P182" t="s">
        <v>84</v>
      </c>
      <c r="Q182">
        <v>2</v>
      </c>
      <c r="R182" t="s">
        <v>94</v>
      </c>
      <c r="S182" t="s">
        <v>351</v>
      </c>
      <c r="T182" t="s">
        <v>351</v>
      </c>
      <c r="U182">
        <v>0</v>
      </c>
      <c r="V182">
        <v>6128.55</v>
      </c>
      <c r="W182">
        <v>0</v>
      </c>
    </row>
    <row r="183" spans="1:23" x14ac:dyDescent="0.25">
      <c r="A183" s="1">
        <v>43831</v>
      </c>
      <c r="B183" s="1">
        <v>43831</v>
      </c>
      <c r="C183" t="s">
        <v>157</v>
      </c>
      <c r="D183" t="s">
        <v>93</v>
      </c>
      <c r="E183" t="s">
        <v>49</v>
      </c>
      <c r="F183" t="s">
        <v>198</v>
      </c>
      <c r="G183" s="56">
        <v>43917.77002314815</v>
      </c>
      <c r="H183">
        <v>33</v>
      </c>
      <c r="I183">
        <v>13702</v>
      </c>
      <c r="J183" t="s">
        <v>50</v>
      </c>
      <c r="K183" t="s">
        <v>50</v>
      </c>
      <c r="L183" t="s">
        <v>159</v>
      </c>
      <c r="M183" t="s">
        <v>51</v>
      </c>
      <c r="N183" t="s">
        <v>92</v>
      </c>
      <c r="O183" s="1">
        <v>41335</v>
      </c>
      <c r="P183" t="s">
        <v>84</v>
      </c>
      <c r="Q183">
        <v>2</v>
      </c>
      <c r="R183" t="s">
        <v>94</v>
      </c>
      <c r="S183">
        <v>1</v>
      </c>
      <c r="T183">
        <v>68</v>
      </c>
      <c r="U183" t="s">
        <v>351</v>
      </c>
      <c r="V183" t="s">
        <v>351</v>
      </c>
      <c r="W183">
        <v>68</v>
      </c>
    </row>
    <row r="184" spans="1:23" x14ac:dyDescent="0.25">
      <c r="A184" s="1">
        <v>43831</v>
      </c>
      <c r="B184" s="1">
        <v>43831</v>
      </c>
      <c r="C184" t="s">
        <v>157</v>
      </c>
      <c r="D184" t="s">
        <v>48</v>
      </c>
      <c r="E184" t="s">
        <v>49</v>
      </c>
      <c r="F184" t="s">
        <v>200</v>
      </c>
      <c r="G184" s="56">
        <v>43910.518553240741</v>
      </c>
      <c r="H184">
        <v>33</v>
      </c>
      <c r="I184">
        <v>13159</v>
      </c>
      <c r="J184" t="s">
        <v>50</v>
      </c>
      <c r="K184" t="s">
        <v>50</v>
      </c>
      <c r="L184" t="s">
        <v>159</v>
      </c>
      <c r="M184" t="s">
        <v>51</v>
      </c>
      <c r="N184" t="s">
        <v>92</v>
      </c>
      <c r="O184" s="1">
        <v>41335</v>
      </c>
      <c r="P184" t="s">
        <v>84</v>
      </c>
      <c r="Q184">
        <v>2</v>
      </c>
      <c r="R184" t="s">
        <v>94</v>
      </c>
      <c r="S184">
        <v>8.3147540000000006</v>
      </c>
      <c r="T184">
        <v>63.846404999999997</v>
      </c>
      <c r="U184" t="s">
        <v>351</v>
      </c>
      <c r="V184" t="s">
        <v>351</v>
      </c>
      <c r="W184">
        <v>531</v>
      </c>
    </row>
    <row r="185" spans="1:23" x14ac:dyDescent="0.25">
      <c r="A185" s="1">
        <v>43831</v>
      </c>
      <c r="B185" s="1">
        <v>43831</v>
      </c>
      <c r="C185" t="s">
        <v>157</v>
      </c>
      <c r="D185" t="s">
        <v>54</v>
      </c>
      <c r="E185" t="s">
        <v>21</v>
      </c>
      <c r="F185" t="s">
        <v>199</v>
      </c>
      <c r="G185" s="56">
        <v>43910.518553240741</v>
      </c>
      <c r="H185">
        <v>33</v>
      </c>
      <c r="I185">
        <v>13159</v>
      </c>
      <c r="J185" t="s">
        <v>50</v>
      </c>
      <c r="K185" t="s">
        <v>50</v>
      </c>
      <c r="L185" t="s">
        <v>159</v>
      </c>
      <c r="M185" t="s">
        <v>51</v>
      </c>
      <c r="N185" t="s">
        <v>92</v>
      </c>
      <c r="O185" s="1">
        <v>41335</v>
      </c>
      <c r="P185" t="s">
        <v>84</v>
      </c>
      <c r="Q185">
        <v>3</v>
      </c>
      <c r="R185" t="s">
        <v>81</v>
      </c>
      <c r="S185" t="s">
        <v>351</v>
      </c>
      <c r="T185" t="s">
        <v>351</v>
      </c>
      <c r="U185">
        <v>0</v>
      </c>
      <c r="V185">
        <v>5735.8</v>
      </c>
      <c r="W185">
        <v>0</v>
      </c>
    </row>
    <row r="186" spans="1:23" x14ac:dyDescent="0.25">
      <c r="A186" s="1">
        <v>43831</v>
      </c>
      <c r="B186" s="1">
        <v>43831</v>
      </c>
      <c r="C186" t="s">
        <v>157</v>
      </c>
      <c r="D186" t="s">
        <v>93</v>
      </c>
      <c r="E186" t="s">
        <v>49</v>
      </c>
      <c r="F186" t="s">
        <v>198</v>
      </c>
      <c r="G186" s="56">
        <v>43917.77002314815</v>
      </c>
      <c r="H186">
        <v>33</v>
      </c>
      <c r="I186">
        <v>13702</v>
      </c>
      <c r="J186" t="s">
        <v>50</v>
      </c>
      <c r="K186" t="s">
        <v>50</v>
      </c>
      <c r="L186" t="s">
        <v>159</v>
      </c>
      <c r="M186" t="s">
        <v>51</v>
      </c>
      <c r="N186" t="s">
        <v>92</v>
      </c>
      <c r="O186" s="1">
        <v>41335</v>
      </c>
      <c r="P186" t="s">
        <v>84</v>
      </c>
      <c r="Q186">
        <v>3</v>
      </c>
      <c r="R186" t="s">
        <v>81</v>
      </c>
      <c r="S186">
        <v>1</v>
      </c>
      <c r="T186">
        <v>4168</v>
      </c>
      <c r="U186" t="s">
        <v>351</v>
      </c>
      <c r="V186" t="s">
        <v>351</v>
      </c>
      <c r="W186">
        <v>4168</v>
      </c>
    </row>
    <row r="187" spans="1:23" x14ac:dyDescent="0.25">
      <c r="A187" s="1">
        <v>43831</v>
      </c>
      <c r="B187" s="1">
        <v>43831</v>
      </c>
      <c r="C187" t="s">
        <v>157</v>
      </c>
      <c r="D187" t="s">
        <v>48</v>
      </c>
      <c r="E187" t="s">
        <v>49</v>
      </c>
      <c r="F187" t="s">
        <v>200</v>
      </c>
      <c r="G187" s="56">
        <v>43910.518553240741</v>
      </c>
      <c r="H187">
        <v>33</v>
      </c>
      <c r="I187">
        <v>13159</v>
      </c>
      <c r="J187" t="s">
        <v>50</v>
      </c>
      <c r="K187" t="s">
        <v>50</v>
      </c>
      <c r="L187" t="s">
        <v>159</v>
      </c>
      <c r="M187" t="s">
        <v>51</v>
      </c>
      <c r="N187" t="s">
        <v>92</v>
      </c>
      <c r="O187" s="1">
        <v>41335</v>
      </c>
      <c r="P187" t="s">
        <v>84</v>
      </c>
      <c r="Q187">
        <v>3</v>
      </c>
      <c r="R187" t="s">
        <v>81</v>
      </c>
      <c r="S187">
        <v>615.07463700000005</v>
      </c>
      <c r="T187">
        <v>59.378497000000003</v>
      </c>
      <c r="U187" t="s">
        <v>351</v>
      </c>
      <c r="V187" t="s">
        <v>351</v>
      </c>
      <c r="W187">
        <v>36522</v>
      </c>
    </row>
    <row r="188" spans="1:23" x14ac:dyDescent="0.25">
      <c r="A188" s="1">
        <v>43831</v>
      </c>
      <c r="B188" s="1">
        <v>43831</v>
      </c>
      <c r="C188" t="s">
        <v>157</v>
      </c>
      <c r="D188" t="s">
        <v>54</v>
      </c>
      <c r="E188" t="s">
        <v>21</v>
      </c>
      <c r="F188" t="s">
        <v>199</v>
      </c>
      <c r="G188" s="56">
        <v>43910.518553240741</v>
      </c>
      <c r="H188">
        <v>33</v>
      </c>
      <c r="I188">
        <v>13159</v>
      </c>
      <c r="J188" t="s">
        <v>50</v>
      </c>
      <c r="K188" t="s">
        <v>50</v>
      </c>
      <c r="L188" t="s">
        <v>159</v>
      </c>
      <c r="M188" t="s">
        <v>51</v>
      </c>
      <c r="N188" t="s">
        <v>92</v>
      </c>
      <c r="O188" s="1">
        <v>41335</v>
      </c>
      <c r="P188" t="s">
        <v>84</v>
      </c>
      <c r="Q188">
        <v>4</v>
      </c>
      <c r="R188" t="s">
        <v>27</v>
      </c>
      <c r="S188" t="s">
        <v>351</v>
      </c>
      <c r="T188" t="s">
        <v>351</v>
      </c>
      <c r="U188">
        <v>0</v>
      </c>
      <c r="V188">
        <v>5821.34</v>
      </c>
      <c r="W188">
        <v>0</v>
      </c>
    </row>
    <row r="189" spans="1:23" x14ac:dyDescent="0.25">
      <c r="A189" s="1">
        <v>43831</v>
      </c>
      <c r="B189" s="1">
        <v>43831</v>
      </c>
      <c r="C189" t="s">
        <v>157</v>
      </c>
      <c r="D189" t="s">
        <v>93</v>
      </c>
      <c r="E189" t="s">
        <v>49</v>
      </c>
      <c r="F189" t="s">
        <v>198</v>
      </c>
      <c r="G189" s="56">
        <v>43917.77002314815</v>
      </c>
      <c r="H189">
        <v>33</v>
      </c>
      <c r="I189">
        <v>13702</v>
      </c>
      <c r="J189" t="s">
        <v>50</v>
      </c>
      <c r="K189" t="s">
        <v>50</v>
      </c>
      <c r="L189" t="s">
        <v>159</v>
      </c>
      <c r="M189" t="s">
        <v>51</v>
      </c>
      <c r="N189" t="s">
        <v>92</v>
      </c>
      <c r="O189" s="1">
        <v>41335</v>
      </c>
      <c r="P189" t="s">
        <v>84</v>
      </c>
      <c r="Q189">
        <v>4</v>
      </c>
      <c r="R189" t="s">
        <v>27</v>
      </c>
      <c r="S189">
        <v>1</v>
      </c>
      <c r="T189">
        <v>25632</v>
      </c>
      <c r="U189" t="s">
        <v>351</v>
      </c>
      <c r="V189" t="s">
        <v>351</v>
      </c>
      <c r="W189">
        <v>25632</v>
      </c>
    </row>
    <row r="190" spans="1:23" x14ac:dyDescent="0.25">
      <c r="A190" s="1">
        <v>43831</v>
      </c>
      <c r="B190" s="1">
        <v>43831</v>
      </c>
      <c r="C190" t="s">
        <v>157</v>
      </c>
      <c r="D190" t="s">
        <v>48</v>
      </c>
      <c r="E190" t="s">
        <v>49</v>
      </c>
      <c r="F190" t="s">
        <v>200</v>
      </c>
      <c r="G190" s="56">
        <v>43910.518553240741</v>
      </c>
      <c r="H190">
        <v>33</v>
      </c>
      <c r="I190">
        <v>13159</v>
      </c>
      <c r="J190" t="s">
        <v>50</v>
      </c>
      <c r="K190" t="s">
        <v>50</v>
      </c>
      <c r="L190" t="s">
        <v>159</v>
      </c>
      <c r="M190" t="s">
        <v>51</v>
      </c>
      <c r="N190" t="s">
        <v>92</v>
      </c>
      <c r="O190" s="1">
        <v>41335</v>
      </c>
      <c r="P190" t="s">
        <v>84</v>
      </c>
      <c r="Q190">
        <v>4</v>
      </c>
      <c r="R190" t="s">
        <v>27</v>
      </c>
      <c r="S190">
        <v>3772.6657449999998</v>
      </c>
      <c r="T190">
        <v>60.68262</v>
      </c>
      <c r="U190" t="s">
        <v>351</v>
      </c>
      <c r="V190" t="s">
        <v>351</v>
      </c>
      <c r="W190">
        <v>228935</v>
      </c>
    </row>
    <row r="191" spans="1:23" x14ac:dyDescent="0.25">
      <c r="A191" s="1">
        <v>43831</v>
      </c>
      <c r="B191" s="1">
        <v>43831</v>
      </c>
      <c r="C191" t="s">
        <v>157</v>
      </c>
      <c r="D191" t="s">
        <v>54</v>
      </c>
      <c r="E191" t="s">
        <v>21</v>
      </c>
      <c r="F191" t="s">
        <v>199</v>
      </c>
      <c r="G191" s="56">
        <v>43910.518553240741</v>
      </c>
      <c r="H191">
        <v>33</v>
      </c>
      <c r="I191">
        <v>13159</v>
      </c>
      <c r="J191" t="s">
        <v>50</v>
      </c>
      <c r="K191" t="s">
        <v>50</v>
      </c>
      <c r="L191" t="s">
        <v>159</v>
      </c>
      <c r="M191" t="s">
        <v>51</v>
      </c>
      <c r="N191" t="s">
        <v>92</v>
      </c>
      <c r="O191" s="1">
        <v>41335</v>
      </c>
      <c r="P191" t="s">
        <v>84</v>
      </c>
      <c r="Q191">
        <v>5</v>
      </c>
      <c r="R191" t="s">
        <v>28</v>
      </c>
      <c r="S191" t="s">
        <v>351</v>
      </c>
      <c r="T191" t="s">
        <v>351</v>
      </c>
      <c r="U191">
        <v>0</v>
      </c>
      <c r="V191">
        <v>6082.17</v>
      </c>
      <c r="W191">
        <v>0</v>
      </c>
    </row>
    <row r="192" spans="1:23" x14ac:dyDescent="0.25">
      <c r="A192" s="1">
        <v>43831</v>
      </c>
      <c r="B192" s="1">
        <v>43831</v>
      </c>
      <c r="C192" t="s">
        <v>157</v>
      </c>
      <c r="D192" t="s">
        <v>93</v>
      </c>
      <c r="E192" t="s">
        <v>49</v>
      </c>
      <c r="F192" t="s">
        <v>198</v>
      </c>
      <c r="G192" s="56">
        <v>43917.77002314815</v>
      </c>
      <c r="H192">
        <v>33</v>
      </c>
      <c r="I192">
        <v>13702</v>
      </c>
      <c r="J192" t="s">
        <v>50</v>
      </c>
      <c r="K192" t="s">
        <v>50</v>
      </c>
      <c r="L192" t="s">
        <v>159</v>
      </c>
      <c r="M192" t="s">
        <v>51</v>
      </c>
      <c r="N192" t="s">
        <v>92</v>
      </c>
      <c r="O192" s="1">
        <v>41335</v>
      </c>
      <c r="P192" t="s">
        <v>84</v>
      </c>
      <c r="Q192">
        <v>5</v>
      </c>
      <c r="R192" t="s">
        <v>28</v>
      </c>
      <c r="S192">
        <v>1</v>
      </c>
      <c r="T192">
        <v>130</v>
      </c>
      <c r="U192" t="s">
        <v>351</v>
      </c>
      <c r="V192" t="s">
        <v>351</v>
      </c>
      <c r="W192">
        <v>130</v>
      </c>
    </row>
    <row r="193" spans="1:23" x14ac:dyDescent="0.25">
      <c r="A193" s="1">
        <v>43831</v>
      </c>
      <c r="B193" s="1">
        <v>43831</v>
      </c>
      <c r="C193" t="s">
        <v>157</v>
      </c>
      <c r="D193" t="s">
        <v>48</v>
      </c>
      <c r="E193" t="s">
        <v>49</v>
      </c>
      <c r="F193" t="s">
        <v>200</v>
      </c>
      <c r="G193" s="56">
        <v>43910.518553240741</v>
      </c>
      <c r="H193">
        <v>33</v>
      </c>
      <c r="I193">
        <v>13159</v>
      </c>
      <c r="J193" t="s">
        <v>50</v>
      </c>
      <c r="K193" t="s">
        <v>50</v>
      </c>
      <c r="L193" t="s">
        <v>159</v>
      </c>
      <c r="M193" t="s">
        <v>51</v>
      </c>
      <c r="N193" t="s">
        <v>92</v>
      </c>
      <c r="O193" s="1">
        <v>41335</v>
      </c>
      <c r="P193" t="s">
        <v>84</v>
      </c>
      <c r="Q193">
        <v>5</v>
      </c>
      <c r="R193" t="s">
        <v>28</v>
      </c>
      <c r="S193">
        <v>19.961974999999999</v>
      </c>
      <c r="T193">
        <v>63.745244</v>
      </c>
      <c r="U193" t="s">
        <v>351</v>
      </c>
      <c r="V193" t="s">
        <v>351</v>
      </c>
      <c r="W193">
        <v>1272</v>
      </c>
    </row>
    <row r="194" spans="1:23" x14ac:dyDescent="0.25">
      <c r="A194" s="1">
        <v>43862</v>
      </c>
      <c r="B194" s="1">
        <v>43862</v>
      </c>
      <c r="C194" t="s">
        <v>157</v>
      </c>
      <c r="D194" t="s">
        <v>54</v>
      </c>
      <c r="E194" t="s">
        <v>21</v>
      </c>
      <c r="F194" t="s">
        <v>203</v>
      </c>
      <c r="G194" s="56">
        <v>43902.628391203703</v>
      </c>
      <c r="H194">
        <v>33</v>
      </c>
      <c r="I194">
        <v>13209</v>
      </c>
      <c r="J194" t="s">
        <v>50</v>
      </c>
      <c r="K194" t="s">
        <v>50</v>
      </c>
      <c r="L194" t="s">
        <v>159</v>
      </c>
      <c r="M194" t="s">
        <v>51</v>
      </c>
      <c r="N194" t="s">
        <v>92</v>
      </c>
      <c r="O194" s="1">
        <v>41335</v>
      </c>
      <c r="P194" t="s">
        <v>84</v>
      </c>
      <c r="Q194">
        <v>1</v>
      </c>
      <c r="R194" t="s">
        <v>83</v>
      </c>
      <c r="S194" t="s">
        <v>351</v>
      </c>
      <c r="T194" t="s">
        <v>351</v>
      </c>
      <c r="U194">
        <v>0</v>
      </c>
      <c r="V194">
        <v>6208.06</v>
      </c>
      <c r="W194">
        <v>0</v>
      </c>
    </row>
    <row r="195" spans="1:23" x14ac:dyDescent="0.25">
      <c r="A195" s="1">
        <v>43862</v>
      </c>
      <c r="B195" s="1">
        <v>43862</v>
      </c>
      <c r="C195" t="s">
        <v>157</v>
      </c>
      <c r="D195" t="s">
        <v>93</v>
      </c>
      <c r="E195" t="s">
        <v>49</v>
      </c>
      <c r="F195" t="s">
        <v>204</v>
      </c>
      <c r="G195" s="56">
        <v>43928.689675925925</v>
      </c>
      <c r="H195">
        <v>33</v>
      </c>
      <c r="I195">
        <v>13670</v>
      </c>
      <c r="J195" t="s">
        <v>50</v>
      </c>
      <c r="K195" t="s">
        <v>50</v>
      </c>
      <c r="L195" t="s">
        <v>159</v>
      </c>
      <c r="M195" t="s">
        <v>51</v>
      </c>
      <c r="N195" t="s">
        <v>92</v>
      </c>
      <c r="O195" s="1">
        <v>41335</v>
      </c>
      <c r="P195" t="s">
        <v>84</v>
      </c>
      <c r="Q195">
        <v>1</v>
      </c>
      <c r="R195" t="s">
        <v>83</v>
      </c>
      <c r="S195">
        <v>1</v>
      </c>
      <c r="T195">
        <v>698</v>
      </c>
      <c r="U195" t="s">
        <v>351</v>
      </c>
      <c r="V195" t="s">
        <v>351</v>
      </c>
      <c r="W195">
        <v>698</v>
      </c>
    </row>
    <row r="196" spans="1:23" x14ac:dyDescent="0.25">
      <c r="A196" s="1">
        <v>43862</v>
      </c>
      <c r="B196" s="1">
        <v>43862</v>
      </c>
      <c r="C196" t="s">
        <v>157</v>
      </c>
      <c r="D196" t="s">
        <v>48</v>
      </c>
      <c r="E196" t="s">
        <v>49</v>
      </c>
      <c r="F196" t="s">
        <v>202</v>
      </c>
      <c r="G196" s="56">
        <v>43902.628391203703</v>
      </c>
      <c r="H196">
        <v>33</v>
      </c>
      <c r="I196">
        <v>13209</v>
      </c>
      <c r="J196" t="s">
        <v>50</v>
      </c>
      <c r="K196" t="s">
        <v>50</v>
      </c>
      <c r="L196" t="s">
        <v>159</v>
      </c>
      <c r="M196" t="s">
        <v>51</v>
      </c>
      <c r="N196" t="s">
        <v>92</v>
      </c>
      <c r="O196" s="1">
        <v>41335</v>
      </c>
      <c r="P196" t="s">
        <v>84</v>
      </c>
      <c r="Q196">
        <v>1</v>
      </c>
      <c r="R196" t="s">
        <v>83</v>
      </c>
      <c r="S196">
        <v>4259.97</v>
      </c>
      <c r="T196">
        <v>69.512</v>
      </c>
      <c r="U196" t="s">
        <v>351</v>
      </c>
      <c r="V196" t="s">
        <v>351</v>
      </c>
      <c r="W196">
        <v>296119</v>
      </c>
    </row>
    <row r="197" spans="1:23" x14ac:dyDescent="0.25">
      <c r="A197" s="1">
        <v>43862</v>
      </c>
      <c r="B197" s="1">
        <v>43862</v>
      </c>
      <c r="C197" t="s">
        <v>157</v>
      </c>
      <c r="D197" t="s">
        <v>54</v>
      </c>
      <c r="E197" t="s">
        <v>21</v>
      </c>
      <c r="F197" t="s">
        <v>203</v>
      </c>
      <c r="G197" s="56">
        <v>43902.628391203703</v>
      </c>
      <c r="H197">
        <v>33</v>
      </c>
      <c r="I197">
        <v>13209</v>
      </c>
      <c r="J197" t="s">
        <v>50</v>
      </c>
      <c r="K197" t="s">
        <v>50</v>
      </c>
      <c r="L197" t="s">
        <v>159</v>
      </c>
      <c r="M197" t="s">
        <v>51</v>
      </c>
      <c r="N197" t="s">
        <v>92</v>
      </c>
      <c r="O197" s="1">
        <v>41335</v>
      </c>
      <c r="P197" t="s">
        <v>84</v>
      </c>
      <c r="Q197">
        <v>2</v>
      </c>
      <c r="R197" t="s">
        <v>94</v>
      </c>
      <c r="S197" t="s">
        <v>351</v>
      </c>
      <c r="T197" t="s">
        <v>351</v>
      </c>
      <c r="U197">
        <v>0</v>
      </c>
      <c r="V197">
        <v>6283.67</v>
      </c>
      <c r="W197">
        <v>0</v>
      </c>
    </row>
    <row r="198" spans="1:23" x14ac:dyDescent="0.25">
      <c r="A198" s="1">
        <v>43862</v>
      </c>
      <c r="B198" s="1">
        <v>43862</v>
      </c>
      <c r="C198" t="s">
        <v>157</v>
      </c>
      <c r="D198" t="s">
        <v>93</v>
      </c>
      <c r="E198" t="s">
        <v>49</v>
      </c>
      <c r="F198" t="s">
        <v>204</v>
      </c>
      <c r="G198" s="56">
        <v>43928.689675925925</v>
      </c>
      <c r="H198">
        <v>33</v>
      </c>
      <c r="I198">
        <v>13670</v>
      </c>
      <c r="J198" t="s">
        <v>50</v>
      </c>
      <c r="K198" t="s">
        <v>50</v>
      </c>
      <c r="L198" t="s">
        <v>159</v>
      </c>
      <c r="M198" t="s">
        <v>51</v>
      </c>
      <c r="N198" t="s">
        <v>92</v>
      </c>
      <c r="O198" s="1">
        <v>41335</v>
      </c>
      <c r="P198" t="s">
        <v>84</v>
      </c>
      <c r="Q198">
        <v>2</v>
      </c>
      <c r="R198" t="s">
        <v>94</v>
      </c>
      <c r="S198">
        <v>1</v>
      </c>
      <c r="T198">
        <v>2</v>
      </c>
      <c r="U198" t="s">
        <v>351</v>
      </c>
      <c r="V198" t="s">
        <v>351</v>
      </c>
      <c r="W198">
        <v>2</v>
      </c>
    </row>
    <row r="199" spans="1:23" x14ac:dyDescent="0.25">
      <c r="A199" s="1">
        <v>43862</v>
      </c>
      <c r="B199" s="1">
        <v>43862</v>
      </c>
      <c r="C199" t="s">
        <v>157</v>
      </c>
      <c r="D199" t="s">
        <v>48</v>
      </c>
      <c r="E199" t="s">
        <v>49</v>
      </c>
      <c r="F199" t="s">
        <v>202</v>
      </c>
      <c r="G199" s="56">
        <v>43902.628391203703</v>
      </c>
      <c r="H199">
        <v>33</v>
      </c>
      <c r="I199">
        <v>13209</v>
      </c>
      <c r="J199" t="s">
        <v>50</v>
      </c>
      <c r="K199" t="s">
        <v>50</v>
      </c>
      <c r="L199" t="s">
        <v>159</v>
      </c>
      <c r="M199" t="s">
        <v>51</v>
      </c>
      <c r="N199" t="s">
        <v>92</v>
      </c>
      <c r="O199" s="1">
        <v>41335</v>
      </c>
      <c r="P199" t="s">
        <v>84</v>
      </c>
      <c r="Q199">
        <v>2</v>
      </c>
      <c r="R199" t="s">
        <v>94</v>
      </c>
      <c r="S199">
        <v>8.2387359999999994</v>
      </c>
      <c r="T199">
        <v>72.001000000000005</v>
      </c>
      <c r="U199" t="s">
        <v>351</v>
      </c>
      <c r="V199" t="s">
        <v>351</v>
      </c>
      <c r="W199">
        <v>593</v>
      </c>
    </row>
    <row r="200" spans="1:23" x14ac:dyDescent="0.25">
      <c r="A200" s="1">
        <v>43862</v>
      </c>
      <c r="B200" s="1">
        <v>43862</v>
      </c>
      <c r="C200" t="s">
        <v>157</v>
      </c>
      <c r="D200" t="s">
        <v>54</v>
      </c>
      <c r="E200" t="s">
        <v>21</v>
      </c>
      <c r="F200" t="s">
        <v>203</v>
      </c>
      <c r="G200" s="56">
        <v>43902.628391203703</v>
      </c>
      <c r="H200">
        <v>33</v>
      </c>
      <c r="I200">
        <v>13209</v>
      </c>
      <c r="J200" t="s">
        <v>50</v>
      </c>
      <c r="K200" t="s">
        <v>50</v>
      </c>
      <c r="L200" t="s">
        <v>159</v>
      </c>
      <c r="M200" t="s">
        <v>51</v>
      </c>
      <c r="N200" t="s">
        <v>92</v>
      </c>
      <c r="O200" s="1">
        <v>41335</v>
      </c>
      <c r="P200" t="s">
        <v>84</v>
      </c>
      <c r="Q200">
        <v>3</v>
      </c>
      <c r="R200" t="s">
        <v>81</v>
      </c>
      <c r="S200" t="s">
        <v>351</v>
      </c>
      <c r="T200" t="s">
        <v>351</v>
      </c>
      <c r="U200">
        <v>0</v>
      </c>
      <c r="V200">
        <v>5891.37</v>
      </c>
      <c r="W200">
        <v>0</v>
      </c>
    </row>
    <row r="201" spans="1:23" x14ac:dyDescent="0.25">
      <c r="A201" s="1">
        <v>43862</v>
      </c>
      <c r="B201" s="1">
        <v>43862</v>
      </c>
      <c r="C201" t="s">
        <v>157</v>
      </c>
      <c r="D201" t="s">
        <v>93</v>
      </c>
      <c r="E201" t="s">
        <v>49</v>
      </c>
      <c r="F201" t="s">
        <v>204</v>
      </c>
      <c r="G201" s="56">
        <v>43928.689675925925</v>
      </c>
      <c r="H201">
        <v>33</v>
      </c>
      <c r="I201">
        <v>13670</v>
      </c>
      <c r="J201" t="s">
        <v>50</v>
      </c>
      <c r="K201" t="s">
        <v>50</v>
      </c>
      <c r="L201" t="s">
        <v>159</v>
      </c>
      <c r="M201" t="s">
        <v>51</v>
      </c>
      <c r="N201" t="s">
        <v>92</v>
      </c>
      <c r="O201" s="1">
        <v>41335</v>
      </c>
      <c r="P201" t="s">
        <v>84</v>
      </c>
      <c r="Q201">
        <v>3</v>
      </c>
      <c r="R201" t="s">
        <v>81</v>
      </c>
      <c r="S201">
        <v>1</v>
      </c>
      <c r="T201">
        <v>94</v>
      </c>
      <c r="U201" t="s">
        <v>351</v>
      </c>
      <c r="V201" t="s">
        <v>351</v>
      </c>
      <c r="W201">
        <v>94</v>
      </c>
    </row>
    <row r="202" spans="1:23" x14ac:dyDescent="0.25">
      <c r="A202" s="1">
        <v>43862</v>
      </c>
      <c r="B202" s="1">
        <v>43862</v>
      </c>
      <c r="C202" t="s">
        <v>157</v>
      </c>
      <c r="D202" t="s">
        <v>48</v>
      </c>
      <c r="E202" t="s">
        <v>49</v>
      </c>
      <c r="F202" t="s">
        <v>202</v>
      </c>
      <c r="G202" s="56">
        <v>43902.628391203703</v>
      </c>
      <c r="H202">
        <v>33</v>
      </c>
      <c r="I202">
        <v>13209</v>
      </c>
      <c r="J202" t="s">
        <v>50</v>
      </c>
      <c r="K202" t="s">
        <v>50</v>
      </c>
      <c r="L202" t="s">
        <v>159</v>
      </c>
      <c r="M202" t="s">
        <v>51</v>
      </c>
      <c r="N202" t="s">
        <v>92</v>
      </c>
      <c r="O202" s="1">
        <v>41335</v>
      </c>
      <c r="P202" t="s">
        <v>84</v>
      </c>
      <c r="Q202">
        <v>3</v>
      </c>
      <c r="R202" t="s">
        <v>81</v>
      </c>
      <c r="S202">
        <v>604.49491499999999</v>
      </c>
      <c r="T202">
        <v>66.138000000000005</v>
      </c>
      <c r="U202" t="s">
        <v>351</v>
      </c>
      <c r="V202" t="s">
        <v>351</v>
      </c>
      <c r="W202">
        <v>39980</v>
      </c>
    </row>
    <row r="203" spans="1:23" x14ac:dyDescent="0.25">
      <c r="A203" s="1">
        <v>43862</v>
      </c>
      <c r="B203" s="1">
        <v>43862</v>
      </c>
      <c r="C203" t="s">
        <v>157</v>
      </c>
      <c r="D203" t="s">
        <v>54</v>
      </c>
      <c r="E203" t="s">
        <v>21</v>
      </c>
      <c r="F203" t="s">
        <v>203</v>
      </c>
      <c r="G203" s="56">
        <v>43902.628391203703</v>
      </c>
      <c r="H203">
        <v>33</v>
      </c>
      <c r="I203">
        <v>13209</v>
      </c>
      <c r="J203" t="s">
        <v>50</v>
      </c>
      <c r="K203" t="s">
        <v>50</v>
      </c>
      <c r="L203" t="s">
        <v>159</v>
      </c>
      <c r="M203" t="s">
        <v>51</v>
      </c>
      <c r="N203" t="s">
        <v>92</v>
      </c>
      <c r="O203" s="1">
        <v>41335</v>
      </c>
      <c r="P203" t="s">
        <v>84</v>
      </c>
      <c r="Q203">
        <v>4</v>
      </c>
      <c r="R203" t="s">
        <v>27</v>
      </c>
      <c r="S203" t="s">
        <v>351</v>
      </c>
      <c r="T203" t="s">
        <v>351</v>
      </c>
      <c r="U203">
        <v>0</v>
      </c>
      <c r="V203">
        <v>6091.55</v>
      </c>
      <c r="W203">
        <v>0</v>
      </c>
    </row>
    <row r="204" spans="1:23" x14ac:dyDescent="0.25">
      <c r="A204" s="1">
        <v>43862</v>
      </c>
      <c r="B204" s="1">
        <v>43862</v>
      </c>
      <c r="C204" t="s">
        <v>157</v>
      </c>
      <c r="D204" t="s">
        <v>93</v>
      </c>
      <c r="E204" t="s">
        <v>49</v>
      </c>
      <c r="F204" t="s">
        <v>204</v>
      </c>
      <c r="G204" s="56">
        <v>43928.689675925925</v>
      </c>
      <c r="H204">
        <v>33</v>
      </c>
      <c r="I204">
        <v>13670</v>
      </c>
      <c r="J204" t="s">
        <v>50</v>
      </c>
      <c r="K204" t="s">
        <v>50</v>
      </c>
      <c r="L204" t="s">
        <v>159</v>
      </c>
      <c r="M204" t="s">
        <v>51</v>
      </c>
      <c r="N204" t="s">
        <v>92</v>
      </c>
      <c r="O204" s="1">
        <v>41335</v>
      </c>
      <c r="P204" t="s">
        <v>84</v>
      </c>
      <c r="Q204">
        <v>4</v>
      </c>
      <c r="R204" t="s">
        <v>27</v>
      </c>
      <c r="S204">
        <v>1</v>
      </c>
      <c r="T204">
        <v>589</v>
      </c>
      <c r="U204" t="s">
        <v>351</v>
      </c>
      <c r="V204" t="s">
        <v>351</v>
      </c>
      <c r="W204">
        <v>589</v>
      </c>
    </row>
    <row r="205" spans="1:23" x14ac:dyDescent="0.25">
      <c r="A205" s="1">
        <v>43862</v>
      </c>
      <c r="B205" s="1">
        <v>43862</v>
      </c>
      <c r="C205" t="s">
        <v>157</v>
      </c>
      <c r="D205" t="s">
        <v>48</v>
      </c>
      <c r="E205" t="s">
        <v>49</v>
      </c>
      <c r="F205" t="s">
        <v>202</v>
      </c>
      <c r="G205" s="56">
        <v>43902.628391203703</v>
      </c>
      <c r="H205">
        <v>33</v>
      </c>
      <c r="I205">
        <v>13209</v>
      </c>
      <c r="J205" t="s">
        <v>50</v>
      </c>
      <c r="K205" t="s">
        <v>50</v>
      </c>
      <c r="L205" t="s">
        <v>159</v>
      </c>
      <c r="M205" t="s">
        <v>51</v>
      </c>
      <c r="N205" t="s">
        <v>92</v>
      </c>
      <c r="O205" s="1">
        <v>41335</v>
      </c>
      <c r="P205" t="s">
        <v>84</v>
      </c>
      <c r="Q205">
        <v>4</v>
      </c>
      <c r="R205" t="s">
        <v>27</v>
      </c>
      <c r="S205">
        <v>3695.5145980000002</v>
      </c>
      <c r="T205">
        <v>67.459999999999994</v>
      </c>
      <c r="U205" t="s">
        <v>351</v>
      </c>
      <c r="V205" t="s">
        <v>351</v>
      </c>
      <c r="W205">
        <v>249299</v>
      </c>
    </row>
    <row r="206" spans="1:23" x14ac:dyDescent="0.25">
      <c r="A206" s="1">
        <v>43862</v>
      </c>
      <c r="B206" s="1">
        <v>43862</v>
      </c>
      <c r="C206" t="s">
        <v>157</v>
      </c>
      <c r="D206" t="s">
        <v>54</v>
      </c>
      <c r="E206" t="s">
        <v>21</v>
      </c>
      <c r="F206" t="s">
        <v>203</v>
      </c>
      <c r="G206" s="56">
        <v>43902.628391203703</v>
      </c>
      <c r="H206">
        <v>33</v>
      </c>
      <c r="I206">
        <v>13209</v>
      </c>
      <c r="J206" t="s">
        <v>50</v>
      </c>
      <c r="K206" t="s">
        <v>50</v>
      </c>
      <c r="L206" t="s">
        <v>159</v>
      </c>
      <c r="M206" t="s">
        <v>51</v>
      </c>
      <c r="N206" t="s">
        <v>92</v>
      </c>
      <c r="O206" s="1">
        <v>41335</v>
      </c>
      <c r="P206" t="s">
        <v>84</v>
      </c>
      <c r="Q206">
        <v>5</v>
      </c>
      <c r="R206" t="s">
        <v>28</v>
      </c>
      <c r="S206" t="s">
        <v>351</v>
      </c>
      <c r="T206" t="s">
        <v>351</v>
      </c>
      <c r="U206">
        <v>0</v>
      </c>
      <c r="V206">
        <v>5908.1</v>
      </c>
      <c r="W206">
        <v>0</v>
      </c>
    </row>
    <row r="207" spans="1:23" x14ac:dyDescent="0.25">
      <c r="A207" s="1">
        <v>43862</v>
      </c>
      <c r="B207" s="1">
        <v>43862</v>
      </c>
      <c r="C207" t="s">
        <v>157</v>
      </c>
      <c r="D207" t="s">
        <v>93</v>
      </c>
      <c r="E207" t="s">
        <v>49</v>
      </c>
      <c r="F207" t="s">
        <v>204</v>
      </c>
      <c r="G207" s="56">
        <v>43928.689675925925</v>
      </c>
      <c r="H207">
        <v>33</v>
      </c>
      <c r="I207">
        <v>13670</v>
      </c>
      <c r="J207" t="s">
        <v>50</v>
      </c>
      <c r="K207" t="s">
        <v>50</v>
      </c>
      <c r="L207" t="s">
        <v>159</v>
      </c>
      <c r="M207" t="s">
        <v>51</v>
      </c>
      <c r="N207" t="s">
        <v>92</v>
      </c>
      <c r="O207" s="1">
        <v>41335</v>
      </c>
      <c r="P207" t="s">
        <v>84</v>
      </c>
      <c r="Q207">
        <v>5</v>
      </c>
      <c r="R207" t="s">
        <v>28</v>
      </c>
      <c r="S207">
        <v>1</v>
      </c>
      <c r="T207">
        <v>3</v>
      </c>
      <c r="U207" t="s">
        <v>351</v>
      </c>
      <c r="V207" t="s">
        <v>351</v>
      </c>
      <c r="W207">
        <v>3</v>
      </c>
    </row>
    <row r="208" spans="1:23" x14ac:dyDescent="0.25">
      <c r="A208" s="1">
        <v>43862</v>
      </c>
      <c r="B208" s="1">
        <v>43862</v>
      </c>
      <c r="C208" t="s">
        <v>157</v>
      </c>
      <c r="D208" t="s">
        <v>48</v>
      </c>
      <c r="E208" t="s">
        <v>49</v>
      </c>
      <c r="F208" t="s">
        <v>202</v>
      </c>
      <c r="G208" s="56">
        <v>43902.628391203703</v>
      </c>
      <c r="H208">
        <v>33</v>
      </c>
      <c r="I208">
        <v>13209</v>
      </c>
      <c r="J208" t="s">
        <v>50</v>
      </c>
      <c r="K208" t="s">
        <v>50</v>
      </c>
      <c r="L208" t="s">
        <v>159</v>
      </c>
      <c r="M208" t="s">
        <v>51</v>
      </c>
      <c r="N208" t="s">
        <v>92</v>
      </c>
      <c r="O208" s="1">
        <v>41335</v>
      </c>
      <c r="P208" t="s">
        <v>84</v>
      </c>
      <c r="Q208">
        <v>5</v>
      </c>
      <c r="R208" t="s">
        <v>28</v>
      </c>
      <c r="S208">
        <v>19.558841000000001</v>
      </c>
      <c r="T208">
        <v>70.204999999999998</v>
      </c>
      <c r="U208" t="s">
        <v>351</v>
      </c>
      <c r="V208" t="s">
        <v>351</v>
      </c>
      <c r="W208">
        <v>1373</v>
      </c>
    </row>
    <row r="209" spans="1:23" x14ac:dyDescent="0.25">
      <c r="A209" s="1">
        <v>43891</v>
      </c>
      <c r="B209" s="1">
        <v>43891</v>
      </c>
      <c r="C209" t="s">
        <v>157</v>
      </c>
      <c r="D209" t="s">
        <v>54</v>
      </c>
      <c r="E209" t="s">
        <v>21</v>
      </c>
      <c r="F209" t="s">
        <v>206</v>
      </c>
      <c r="G209" s="56">
        <v>43928.620706018519</v>
      </c>
      <c r="H209">
        <v>33</v>
      </c>
      <c r="I209">
        <v>13219</v>
      </c>
      <c r="J209" t="s">
        <v>50</v>
      </c>
      <c r="K209" t="s">
        <v>50</v>
      </c>
      <c r="L209" t="s">
        <v>159</v>
      </c>
      <c r="M209" t="s">
        <v>51</v>
      </c>
      <c r="N209" t="s">
        <v>92</v>
      </c>
      <c r="O209" s="1">
        <v>41335</v>
      </c>
      <c r="P209" t="s">
        <v>84</v>
      </c>
      <c r="Q209">
        <v>1</v>
      </c>
      <c r="R209" t="s">
        <v>83</v>
      </c>
      <c r="S209" t="s">
        <v>351</v>
      </c>
      <c r="T209" t="s">
        <v>351</v>
      </c>
      <c r="U209">
        <v>0</v>
      </c>
      <c r="V209">
        <v>6208.06</v>
      </c>
      <c r="W209">
        <v>0</v>
      </c>
    </row>
    <row r="210" spans="1:23" x14ac:dyDescent="0.25">
      <c r="A210" s="1">
        <v>43891</v>
      </c>
      <c r="B210" s="1">
        <v>43891</v>
      </c>
      <c r="C210" t="s">
        <v>157</v>
      </c>
      <c r="D210" t="s">
        <v>93</v>
      </c>
      <c r="E210" t="s">
        <v>49</v>
      </c>
      <c r="F210" t="s">
        <v>207</v>
      </c>
      <c r="G210" s="56">
        <v>43970.737210648149</v>
      </c>
      <c r="H210">
        <v>33</v>
      </c>
      <c r="I210" t="s">
        <v>351</v>
      </c>
      <c r="J210" t="s">
        <v>50</v>
      </c>
      <c r="K210" t="s">
        <v>50</v>
      </c>
      <c r="L210" t="s">
        <v>159</v>
      </c>
      <c r="M210" t="s">
        <v>51</v>
      </c>
      <c r="N210" t="s">
        <v>92</v>
      </c>
      <c r="O210" s="1">
        <v>41335</v>
      </c>
      <c r="P210" t="s">
        <v>84</v>
      </c>
      <c r="Q210">
        <v>1</v>
      </c>
      <c r="R210" t="s">
        <v>83</v>
      </c>
      <c r="S210">
        <v>1</v>
      </c>
      <c r="T210">
        <v>7163</v>
      </c>
      <c r="U210" t="s">
        <v>351</v>
      </c>
      <c r="V210" t="s">
        <v>351</v>
      </c>
      <c r="W210">
        <v>7163</v>
      </c>
    </row>
    <row r="211" spans="1:23" x14ac:dyDescent="0.25">
      <c r="A211" s="1">
        <v>43891</v>
      </c>
      <c r="B211" s="1">
        <v>43891</v>
      </c>
      <c r="C211" t="s">
        <v>157</v>
      </c>
      <c r="D211" t="s">
        <v>48</v>
      </c>
      <c r="E211" t="s">
        <v>49</v>
      </c>
      <c r="F211" t="s">
        <v>208</v>
      </c>
      <c r="G211" s="56">
        <v>43928.620706018519</v>
      </c>
      <c r="H211">
        <v>33</v>
      </c>
      <c r="I211">
        <v>13219</v>
      </c>
      <c r="J211" t="s">
        <v>50</v>
      </c>
      <c r="K211" t="s">
        <v>50</v>
      </c>
      <c r="L211" t="s">
        <v>159</v>
      </c>
      <c r="M211" t="s">
        <v>51</v>
      </c>
      <c r="N211" t="s">
        <v>92</v>
      </c>
      <c r="O211" s="1">
        <v>41335</v>
      </c>
      <c r="P211" t="s">
        <v>84</v>
      </c>
      <c r="Q211">
        <v>1</v>
      </c>
      <c r="R211" t="s">
        <v>83</v>
      </c>
      <c r="S211">
        <v>4075.112783</v>
      </c>
      <c r="T211">
        <v>69.512</v>
      </c>
      <c r="U211" t="s">
        <v>351</v>
      </c>
      <c r="V211" t="s">
        <v>351</v>
      </c>
      <c r="W211">
        <v>283269</v>
      </c>
    </row>
    <row r="212" spans="1:23" x14ac:dyDescent="0.25">
      <c r="A212" s="1">
        <v>43891</v>
      </c>
      <c r="B212" s="1">
        <v>43891</v>
      </c>
      <c r="C212" t="s">
        <v>157</v>
      </c>
      <c r="D212" t="s">
        <v>54</v>
      </c>
      <c r="E212" t="s">
        <v>21</v>
      </c>
      <c r="F212" t="s">
        <v>206</v>
      </c>
      <c r="G212" s="56">
        <v>43928.620706018519</v>
      </c>
      <c r="H212">
        <v>33</v>
      </c>
      <c r="I212">
        <v>13219</v>
      </c>
      <c r="J212" t="s">
        <v>50</v>
      </c>
      <c r="K212" t="s">
        <v>50</v>
      </c>
      <c r="L212" t="s">
        <v>159</v>
      </c>
      <c r="M212" t="s">
        <v>51</v>
      </c>
      <c r="N212" t="s">
        <v>92</v>
      </c>
      <c r="O212" s="1">
        <v>41335</v>
      </c>
      <c r="P212" t="s">
        <v>84</v>
      </c>
      <c r="Q212">
        <v>2</v>
      </c>
      <c r="R212" t="s">
        <v>94</v>
      </c>
      <c r="S212" t="s">
        <v>351</v>
      </c>
      <c r="T212" t="s">
        <v>351</v>
      </c>
      <c r="U212">
        <v>0</v>
      </c>
      <c r="V212">
        <v>6283.67</v>
      </c>
      <c r="W212">
        <v>0</v>
      </c>
    </row>
    <row r="213" spans="1:23" x14ac:dyDescent="0.25">
      <c r="A213" s="1">
        <v>43891</v>
      </c>
      <c r="B213" s="1">
        <v>43891</v>
      </c>
      <c r="C213" t="s">
        <v>157</v>
      </c>
      <c r="D213" t="s">
        <v>93</v>
      </c>
      <c r="E213" t="s">
        <v>49</v>
      </c>
      <c r="F213" t="s">
        <v>207</v>
      </c>
      <c r="G213" s="56">
        <v>43970.737210648149</v>
      </c>
      <c r="H213">
        <v>33</v>
      </c>
      <c r="I213" t="s">
        <v>351</v>
      </c>
      <c r="J213" t="s">
        <v>50</v>
      </c>
      <c r="K213" t="s">
        <v>50</v>
      </c>
      <c r="L213" t="s">
        <v>159</v>
      </c>
      <c r="M213" t="s">
        <v>51</v>
      </c>
      <c r="N213" t="s">
        <v>92</v>
      </c>
      <c r="O213" s="1">
        <v>41335</v>
      </c>
      <c r="P213" t="s">
        <v>84</v>
      </c>
      <c r="Q213">
        <v>2</v>
      </c>
      <c r="R213" t="s">
        <v>94</v>
      </c>
      <c r="S213">
        <v>1</v>
      </c>
      <c r="T213">
        <v>14</v>
      </c>
      <c r="U213" t="s">
        <v>351</v>
      </c>
      <c r="V213" t="s">
        <v>351</v>
      </c>
      <c r="W213">
        <v>14</v>
      </c>
    </row>
    <row r="214" spans="1:23" x14ac:dyDescent="0.25">
      <c r="A214" s="1">
        <v>43891</v>
      </c>
      <c r="B214" s="1">
        <v>43891</v>
      </c>
      <c r="C214" t="s">
        <v>157</v>
      </c>
      <c r="D214" t="s">
        <v>48</v>
      </c>
      <c r="E214" t="s">
        <v>49</v>
      </c>
      <c r="F214" t="s">
        <v>208</v>
      </c>
      <c r="G214" s="56">
        <v>43928.620706018519</v>
      </c>
      <c r="H214">
        <v>33</v>
      </c>
      <c r="I214">
        <v>13219</v>
      </c>
      <c r="J214" t="s">
        <v>50</v>
      </c>
      <c r="K214" t="s">
        <v>50</v>
      </c>
      <c r="L214" t="s">
        <v>159</v>
      </c>
      <c r="M214" t="s">
        <v>51</v>
      </c>
      <c r="N214" t="s">
        <v>92</v>
      </c>
      <c r="O214" s="1">
        <v>41335</v>
      </c>
      <c r="P214" t="s">
        <v>84</v>
      </c>
      <c r="Q214">
        <v>2</v>
      </c>
      <c r="R214" t="s">
        <v>94</v>
      </c>
      <c r="S214">
        <v>7.8423639999999999</v>
      </c>
      <c r="T214">
        <v>72.001000000000005</v>
      </c>
      <c r="U214" t="s">
        <v>351</v>
      </c>
      <c r="V214" t="s">
        <v>351</v>
      </c>
      <c r="W214">
        <v>565</v>
      </c>
    </row>
    <row r="215" spans="1:23" x14ac:dyDescent="0.25">
      <c r="A215" s="1">
        <v>43891</v>
      </c>
      <c r="B215" s="1">
        <v>43891</v>
      </c>
      <c r="C215" t="s">
        <v>157</v>
      </c>
      <c r="D215" t="s">
        <v>54</v>
      </c>
      <c r="E215" t="s">
        <v>21</v>
      </c>
      <c r="F215" t="s">
        <v>206</v>
      </c>
      <c r="G215" s="56">
        <v>43928.620706018519</v>
      </c>
      <c r="H215">
        <v>33</v>
      </c>
      <c r="I215">
        <v>13219</v>
      </c>
      <c r="J215" t="s">
        <v>50</v>
      </c>
      <c r="K215" t="s">
        <v>50</v>
      </c>
      <c r="L215" t="s">
        <v>159</v>
      </c>
      <c r="M215" t="s">
        <v>51</v>
      </c>
      <c r="N215" t="s">
        <v>92</v>
      </c>
      <c r="O215" s="1">
        <v>41335</v>
      </c>
      <c r="P215" t="s">
        <v>84</v>
      </c>
      <c r="Q215">
        <v>3</v>
      </c>
      <c r="R215" t="s">
        <v>81</v>
      </c>
      <c r="S215" t="s">
        <v>351</v>
      </c>
      <c r="T215" t="s">
        <v>351</v>
      </c>
      <c r="U215">
        <v>0</v>
      </c>
      <c r="V215">
        <v>5891.37</v>
      </c>
      <c r="W215">
        <v>0</v>
      </c>
    </row>
    <row r="216" spans="1:23" x14ac:dyDescent="0.25">
      <c r="A216" s="1">
        <v>43891</v>
      </c>
      <c r="B216" s="1">
        <v>43891</v>
      </c>
      <c r="C216" t="s">
        <v>157</v>
      </c>
      <c r="D216" t="s">
        <v>93</v>
      </c>
      <c r="E216" t="s">
        <v>49</v>
      </c>
      <c r="F216" t="s">
        <v>207</v>
      </c>
      <c r="G216" s="56">
        <v>43970.737210648149</v>
      </c>
      <c r="H216">
        <v>33</v>
      </c>
      <c r="I216" t="s">
        <v>351</v>
      </c>
      <c r="J216" t="s">
        <v>50</v>
      </c>
      <c r="K216" t="s">
        <v>50</v>
      </c>
      <c r="L216" t="s">
        <v>159</v>
      </c>
      <c r="M216" t="s">
        <v>51</v>
      </c>
      <c r="N216" t="s">
        <v>92</v>
      </c>
      <c r="O216" s="1">
        <v>41335</v>
      </c>
      <c r="P216" t="s">
        <v>84</v>
      </c>
      <c r="Q216">
        <v>3</v>
      </c>
      <c r="R216" t="s">
        <v>81</v>
      </c>
      <c r="S216">
        <v>1</v>
      </c>
      <c r="T216">
        <v>965</v>
      </c>
      <c r="U216" t="s">
        <v>351</v>
      </c>
      <c r="V216" t="s">
        <v>351</v>
      </c>
      <c r="W216">
        <v>965</v>
      </c>
    </row>
    <row r="217" spans="1:23" x14ac:dyDescent="0.25">
      <c r="A217" s="1">
        <v>43891</v>
      </c>
      <c r="B217" s="1">
        <v>43891</v>
      </c>
      <c r="C217" t="s">
        <v>157</v>
      </c>
      <c r="D217" t="s">
        <v>48</v>
      </c>
      <c r="E217" t="s">
        <v>49</v>
      </c>
      <c r="F217" t="s">
        <v>208</v>
      </c>
      <c r="G217" s="56">
        <v>43928.620706018519</v>
      </c>
      <c r="H217">
        <v>33</v>
      </c>
      <c r="I217">
        <v>13219</v>
      </c>
      <c r="J217" t="s">
        <v>50</v>
      </c>
      <c r="K217" t="s">
        <v>50</v>
      </c>
      <c r="L217" t="s">
        <v>159</v>
      </c>
      <c r="M217" t="s">
        <v>51</v>
      </c>
      <c r="N217" t="s">
        <v>92</v>
      </c>
      <c r="O217" s="1">
        <v>41335</v>
      </c>
      <c r="P217" t="s">
        <v>84</v>
      </c>
      <c r="Q217">
        <v>3</v>
      </c>
      <c r="R217" t="s">
        <v>81</v>
      </c>
      <c r="S217">
        <v>577.13526899999999</v>
      </c>
      <c r="T217">
        <v>66.138000000000005</v>
      </c>
      <c r="U217" t="s">
        <v>351</v>
      </c>
      <c r="V217" t="s">
        <v>351</v>
      </c>
      <c r="W217">
        <v>38171</v>
      </c>
    </row>
    <row r="218" spans="1:23" x14ac:dyDescent="0.25">
      <c r="A218" s="1">
        <v>43891</v>
      </c>
      <c r="B218" s="1">
        <v>43891</v>
      </c>
      <c r="C218" t="s">
        <v>157</v>
      </c>
      <c r="D218" t="s">
        <v>54</v>
      </c>
      <c r="E218" t="s">
        <v>21</v>
      </c>
      <c r="F218" t="s">
        <v>206</v>
      </c>
      <c r="G218" s="56">
        <v>43928.620706018519</v>
      </c>
      <c r="H218">
        <v>33</v>
      </c>
      <c r="I218">
        <v>13219</v>
      </c>
      <c r="J218" t="s">
        <v>50</v>
      </c>
      <c r="K218" t="s">
        <v>50</v>
      </c>
      <c r="L218" t="s">
        <v>159</v>
      </c>
      <c r="M218" t="s">
        <v>51</v>
      </c>
      <c r="N218" t="s">
        <v>92</v>
      </c>
      <c r="O218" s="1">
        <v>41335</v>
      </c>
      <c r="P218" t="s">
        <v>84</v>
      </c>
      <c r="Q218">
        <v>4</v>
      </c>
      <c r="R218" t="s">
        <v>27</v>
      </c>
      <c r="S218" t="s">
        <v>351</v>
      </c>
      <c r="T218" t="s">
        <v>351</v>
      </c>
      <c r="U218">
        <v>0</v>
      </c>
      <c r="V218">
        <v>6091.55</v>
      </c>
      <c r="W218">
        <v>0</v>
      </c>
    </row>
    <row r="219" spans="1:23" x14ac:dyDescent="0.25">
      <c r="A219" s="1">
        <v>43891</v>
      </c>
      <c r="B219" s="1">
        <v>43891</v>
      </c>
      <c r="C219" t="s">
        <v>157</v>
      </c>
      <c r="D219" t="s">
        <v>93</v>
      </c>
      <c r="E219" t="s">
        <v>49</v>
      </c>
      <c r="F219" t="s">
        <v>207</v>
      </c>
      <c r="G219" s="56">
        <v>43970.737210648149</v>
      </c>
      <c r="H219">
        <v>33</v>
      </c>
      <c r="I219" t="s">
        <v>351</v>
      </c>
      <c r="J219" t="s">
        <v>50</v>
      </c>
      <c r="K219" t="s">
        <v>50</v>
      </c>
      <c r="L219" t="s">
        <v>159</v>
      </c>
      <c r="M219" t="s">
        <v>51</v>
      </c>
      <c r="N219" t="s">
        <v>92</v>
      </c>
      <c r="O219" s="1">
        <v>41335</v>
      </c>
      <c r="P219" t="s">
        <v>84</v>
      </c>
      <c r="Q219">
        <v>4</v>
      </c>
      <c r="R219" t="s">
        <v>27</v>
      </c>
      <c r="S219">
        <v>1</v>
      </c>
      <c r="T219">
        <v>6012</v>
      </c>
      <c r="U219" t="s">
        <v>351</v>
      </c>
      <c r="V219" t="s">
        <v>351</v>
      </c>
      <c r="W219">
        <v>6012</v>
      </c>
    </row>
    <row r="220" spans="1:23" x14ac:dyDescent="0.25">
      <c r="A220" s="1">
        <v>43891</v>
      </c>
      <c r="B220" s="1">
        <v>43891</v>
      </c>
      <c r="C220" t="s">
        <v>157</v>
      </c>
      <c r="D220" t="s">
        <v>48</v>
      </c>
      <c r="E220" t="s">
        <v>49</v>
      </c>
      <c r="F220" t="s">
        <v>208</v>
      </c>
      <c r="G220" s="56">
        <v>43928.620706018519</v>
      </c>
      <c r="H220">
        <v>33</v>
      </c>
      <c r="I220">
        <v>13219</v>
      </c>
      <c r="J220" t="s">
        <v>50</v>
      </c>
      <c r="K220" t="s">
        <v>50</v>
      </c>
      <c r="L220" t="s">
        <v>159</v>
      </c>
      <c r="M220" t="s">
        <v>51</v>
      </c>
      <c r="N220" t="s">
        <v>92</v>
      </c>
      <c r="O220" s="1">
        <v>41335</v>
      </c>
      <c r="P220" t="s">
        <v>84</v>
      </c>
      <c r="Q220">
        <v>4</v>
      </c>
      <c r="R220" t="s">
        <v>27</v>
      </c>
      <c r="S220">
        <v>3523.8486549999998</v>
      </c>
      <c r="T220">
        <v>67.459999999999994</v>
      </c>
      <c r="U220" t="s">
        <v>351</v>
      </c>
      <c r="V220" t="s">
        <v>351</v>
      </c>
      <c r="W220">
        <v>237719</v>
      </c>
    </row>
    <row r="221" spans="1:23" x14ac:dyDescent="0.25">
      <c r="A221" s="1">
        <v>43891</v>
      </c>
      <c r="B221" s="1">
        <v>43891</v>
      </c>
      <c r="C221" t="s">
        <v>157</v>
      </c>
      <c r="D221" t="s">
        <v>54</v>
      </c>
      <c r="E221" t="s">
        <v>21</v>
      </c>
      <c r="F221" t="s">
        <v>206</v>
      </c>
      <c r="G221" s="56">
        <v>43928.620706018519</v>
      </c>
      <c r="H221">
        <v>33</v>
      </c>
      <c r="I221">
        <v>13219</v>
      </c>
      <c r="J221" t="s">
        <v>50</v>
      </c>
      <c r="K221" t="s">
        <v>50</v>
      </c>
      <c r="L221" t="s">
        <v>159</v>
      </c>
      <c r="M221" t="s">
        <v>51</v>
      </c>
      <c r="N221" t="s">
        <v>92</v>
      </c>
      <c r="O221" s="1">
        <v>41335</v>
      </c>
      <c r="P221" t="s">
        <v>84</v>
      </c>
      <c r="Q221">
        <v>5</v>
      </c>
      <c r="R221" t="s">
        <v>28</v>
      </c>
      <c r="S221" t="s">
        <v>351</v>
      </c>
      <c r="T221" t="s">
        <v>351</v>
      </c>
      <c r="U221">
        <v>0</v>
      </c>
      <c r="V221">
        <v>5908.1</v>
      </c>
      <c r="W221">
        <v>0</v>
      </c>
    </row>
    <row r="222" spans="1:23" x14ac:dyDescent="0.25">
      <c r="A222" s="1">
        <v>43891</v>
      </c>
      <c r="B222" s="1">
        <v>43891</v>
      </c>
      <c r="C222" t="s">
        <v>157</v>
      </c>
      <c r="D222" t="s">
        <v>93</v>
      </c>
      <c r="E222" t="s">
        <v>49</v>
      </c>
      <c r="F222" t="s">
        <v>207</v>
      </c>
      <c r="G222" s="56">
        <v>43970.737210648149</v>
      </c>
      <c r="H222">
        <v>33</v>
      </c>
      <c r="I222" t="s">
        <v>351</v>
      </c>
      <c r="J222" t="s">
        <v>50</v>
      </c>
      <c r="K222" t="s">
        <v>50</v>
      </c>
      <c r="L222" t="s">
        <v>159</v>
      </c>
      <c r="M222" t="s">
        <v>51</v>
      </c>
      <c r="N222" t="s">
        <v>92</v>
      </c>
      <c r="O222" s="1">
        <v>41335</v>
      </c>
      <c r="P222" t="s">
        <v>84</v>
      </c>
      <c r="Q222">
        <v>5</v>
      </c>
      <c r="R222" t="s">
        <v>28</v>
      </c>
      <c r="S222">
        <v>1</v>
      </c>
      <c r="T222">
        <v>33</v>
      </c>
      <c r="U222" t="s">
        <v>351</v>
      </c>
      <c r="V222" t="s">
        <v>351</v>
      </c>
      <c r="W222">
        <v>33</v>
      </c>
    </row>
    <row r="223" spans="1:23" x14ac:dyDescent="0.25">
      <c r="A223" s="1">
        <v>43891</v>
      </c>
      <c r="B223" s="1">
        <v>43891</v>
      </c>
      <c r="C223" t="s">
        <v>157</v>
      </c>
      <c r="D223" t="s">
        <v>48</v>
      </c>
      <c r="E223" t="s">
        <v>49</v>
      </c>
      <c r="F223" t="s">
        <v>208</v>
      </c>
      <c r="G223" s="56">
        <v>43928.620706018519</v>
      </c>
      <c r="H223">
        <v>33</v>
      </c>
      <c r="I223">
        <v>13219</v>
      </c>
      <c r="J223" t="s">
        <v>50</v>
      </c>
      <c r="K223" t="s">
        <v>50</v>
      </c>
      <c r="L223" t="s">
        <v>159</v>
      </c>
      <c r="M223" t="s">
        <v>51</v>
      </c>
      <c r="N223" t="s">
        <v>92</v>
      </c>
      <c r="O223" s="1">
        <v>41335</v>
      </c>
      <c r="P223" t="s">
        <v>84</v>
      </c>
      <c r="Q223">
        <v>5</v>
      </c>
      <c r="R223" t="s">
        <v>28</v>
      </c>
      <c r="S223">
        <v>18.504829999999998</v>
      </c>
      <c r="T223">
        <v>70.204999999999998</v>
      </c>
      <c r="U223" t="s">
        <v>351</v>
      </c>
      <c r="V223" t="s">
        <v>351</v>
      </c>
      <c r="W223">
        <v>1299</v>
      </c>
    </row>
    <row r="224" spans="1:23" x14ac:dyDescent="0.25">
      <c r="A224" s="1">
        <v>43922</v>
      </c>
      <c r="B224" s="1">
        <v>43922</v>
      </c>
      <c r="C224" t="s">
        <v>157</v>
      </c>
      <c r="D224" t="s">
        <v>54</v>
      </c>
      <c r="E224" t="s">
        <v>21</v>
      </c>
      <c r="F224" t="s">
        <v>212</v>
      </c>
      <c r="G224" s="56">
        <v>43959.644641203704</v>
      </c>
      <c r="H224">
        <v>33</v>
      </c>
      <c r="I224">
        <v>13722</v>
      </c>
      <c r="J224" t="s">
        <v>50</v>
      </c>
      <c r="K224" t="s">
        <v>50</v>
      </c>
      <c r="L224" t="s">
        <v>159</v>
      </c>
      <c r="M224" t="s">
        <v>51</v>
      </c>
      <c r="N224" t="s">
        <v>92</v>
      </c>
      <c r="O224" s="1">
        <v>41335</v>
      </c>
      <c r="P224" t="s">
        <v>84</v>
      </c>
      <c r="Q224">
        <v>1</v>
      </c>
      <c r="R224" t="s">
        <v>83</v>
      </c>
      <c r="S224" t="s">
        <v>351</v>
      </c>
      <c r="T224" t="s">
        <v>351</v>
      </c>
      <c r="U224">
        <v>0</v>
      </c>
      <c r="V224">
        <v>6077.2</v>
      </c>
      <c r="W224">
        <v>0</v>
      </c>
    </row>
    <row r="225" spans="1:23" x14ac:dyDescent="0.25">
      <c r="A225" s="1">
        <v>43922</v>
      </c>
      <c r="B225" s="1">
        <v>43922</v>
      </c>
      <c r="C225" t="s">
        <v>157</v>
      </c>
      <c r="D225" t="s">
        <v>93</v>
      </c>
      <c r="E225" t="s">
        <v>49</v>
      </c>
      <c r="F225" t="s">
        <v>211</v>
      </c>
      <c r="G225" s="56">
        <v>43992.659548611111</v>
      </c>
      <c r="H225">
        <v>33</v>
      </c>
      <c r="I225" t="s">
        <v>351</v>
      </c>
      <c r="J225" t="s">
        <v>50</v>
      </c>
      <c r="K225" t="s">
        <v>50</v>
      </c>
      <c r="L225" t="s">
        <v>159</v>
      </c>
      <c r="M225" t="s">
        <v>51</v>
      </c>
      <c r="N225" t="s">
        <v>92</v>
      </c>
      <c r="O225" s="1">
        <v>41335</v>
      </c>
      <c r="P225" t="s">
        <v>84</v>
      </c>
      <c r="Q225">
        <v>1</v>
      </c>
      <c r="R225" t="s">
        <v>83</v>
      </c>
      <c r="S225">
        <v>1</v>
      </c>
      <c r="T225">
        <v>3814</v>
      </c>
      <c r="U225" t="s">
        <v>351</v>
      </c>
      <c r="V225" t="s">
        <v>351</v>
      </c>
      <c r="W225">
        <v>3814</v>
      </c>
    </row>
    <row r="226" spans="1:23" x14ac:dyDescent="0.25">
      <c r="A226" s="1">
        <v>43922</v>
      </c>
      <c r="B226" s="1">
        <v>43922</v>
      </c>
      <c r="C226" t="s">
        <v>157</v>
      </c>
      <c r="D226" t="s">
        <v>48</v>
      </c>
      <c r="E226" t="s">
        <v>49</v>
      </c>
      <c r="F226" t="s">
        <v>215</v>
      </c>
      <c r="G226" s="56">
        <v>43959.644641203704</v>
      </c>
      <c r="H226">
        <v>33</v>
      </c>
      <c r="I226">
        <v>13722</v>
      </c>
      <c r="J226" t="s">
        <v>50</v>
      </c>
      <c r="K226" t="s">
        <v>50</v>
      </c>
      <c r="L226" t="s">
        <v>159</v>
      </c>
      <c r="M226" t="s">
        <v>51</v>
      </c>
      <c r="N226" t="s">
        <v>92</v>
      </c>
      <c r="O226" s="1">
        <v>41335</v>
      </c>
      <c r="P226" t="s">
        <v>84</v>
      </c>
      <c r="Q226">
        <v>1</v>
      </c>
      <c r="R226" t="s">
        <v>83</v>
      </c>
      <c r="S226">
        <v>2937.81</v>
      </c>
      <c r="T226">
        <v>71.221999999999994</v>
      </c>
      <c r="U226" t="s">
        <v>351</v>
      </c>
      <c r="V226" t="s">
        <v>351</v>
      </c>
      <c r="W226">
        <v>209237</v>
      </c>
    </row>
    <row r="227" spans="1:23" x14ac:dyDescent="0.25">
      <c r="A227" s="1">
        <v>43922</v>
      </c>
      <c r="B227" s="1">
        <v>43922</v>
      </c>
      <c r="C227" t="s">
        <v>157</v>
      </c>
      <c r="D227" t="s">
        <v>54</v>
      </c>
      <c r="E227" t="s">
        <v>21</v>
      </c>
      <c r="F227" t="s">
        <v>212</v>
      </c>
      <c r="G227" s="56">
        <v>43959.644641203704</v>
      </c>
      <c r="H227">
        <v>33</v>
      </c>
      <c r="I227">
        <v>13722</v>
      </c>
      <c r="J227" t="s">
        <v>50</v>
      </c>
      <c r="K227" t="s">
        <v>50</v>
      </c>
      <c r="L227" t="s">
        <v>159</v>
      </c>
      <c r="M227" t="s">
        <v>51</v>
      </c>
      <c r="N227" t="s">
        <v>92</v>
      </c>
      <c r="O227" s="1">
        <v>41335</v>
      </c>
      <c r="P227" t="s">
        <v>84</v>
      </c>
      <c r="Q227">
        <v>2</v>
      </c>
      <c r="R227" t="s">
        <v>94</v>
      </c>
      <c r="S227" t="s">
        <v>351</v>
      </c>
      <c r="T227" t="s">
        <v>351</v>
      </c>
      <c r="U227">
        <v>0</v>
      </c>
      <c r="V227">
        <v>6151.21</v>
      </c>
      <c r="W227">
        <v>0</v>
      </c>
    </row>
    <row r="228" spans="1:23" x14ac:dyDescent="0.25">
      <c r="A228" s="1">
        <v>43922</v>
      </c>
      <c r="B228" s="1">
        <v>43922</v>
      </c>
      <c r="C228" t="s">
        <v>157</v>
      </c>
      <c r="D228" t="s">
        <v>93</v>
      </c>
      <c r="E228" t="s">
        <v>49</v>
      </c>
      <c r="F228" t="s">
        <v>211</v>
      </c>
      <c r="G228" s="56">
        <v>43992.659548611111</v>
      </c>
      <c r="H228">
        <v>33</v>
      </c>
      <c r="I228" t="s">
        <v>351</v>
      </c>
      <c r="J228" t="s">
        <v>50</v>
      </c>
      <c r="K228" t="s">
        <v>50</v>
      </c>
      <c r="L228" t="s">
        <v>159</v>
      </c>
      <c r="M228" t="s">
        <v>51</v>
      </c>
      <c r="N228" t="s">
        <v>92</v>
      </c>
      <c r="O228" s="1">
        <v>41335</v>
      </c>
      <c r="P228" t="s">
        <v>84</v>
      </c>
      <c r="Q228">
        <v>2</v>
      </c>
      <c r="R228" t="s">
        <v>94</v>
      </c>
      <c r="S228">
        <v>1</v>
      </c>
      <c r="T228">
        <v>8</v>
      </c>
      <c r="U228" t="s">
        <v>351</v>
      </c>
      <c r="V228" t="s">
        <v>351</v>
      </c>
      <c r="W228">
        <v>8</v>
      </c>
    </row>
    <row r="229" spans="1:23" x14ac:dyDescent="0.25">
      <c r="A229" s="1">
        <v>43922</v>
      </c>
      <c r="B229" s="1">
        <v>43922</v>
      </c>
      <c r="C229" t="s">
        <v>157</v>
      </c>
      <c r="D229" t="s">
        <v>48</v>
      </c>
      <c r="E229" t="s">
        <v>49</v>
      </c>
      <c r="F229" t="s">
        <v>215</v>
      </c>
      <c r="G229" s="56">
        <v>43959.644641203704</v>
      </c>
      <c r="H229">
        <v>33</v>
      </c>
      <c r="I229">
        <v>13722</v>
      </c>
      <c r="J229" t="s">
        <v>50</v>
      </c>
      <c r="K229" t="s">
        <v>50</v>
      </c>
      <c r="L229" t="s">
        <v>159</v>
      </c>
      <c r="M229" t="s">
        <v>51</v>
      </c>
      <c r="N229" t="s">
        <v>92</v>
      </c>
      <c r="O229" s="1">
        <v>41335</v>
      </c>
      <c r="P229" t="s">
        <v>84</v>
      </c>
      <c r="Q229">
        <v>2</v>
      </c>
      <c r="R229" t="s">
        <v>94</v>
      </c>
      <c r="S229">
        <v>6.150766</v>
      </c>
      <c r="T229">
        <v>73.772999999999996</v>
      </c>
      <c r="U229" t="s">
        <v>351</v>
      </c>
      <c r="V229" t="s">
        <v>351</v>
      </c>
      <c r="W229">
        <v>454</v>
      </c>
    </row>
    <row r="230" spans="1:23" x14ac:dyDescent="0.25">
      <c r="A230" s="1">
        <v>43922</v>
      </c>
      <c r="B230" s="1">
        <v>43922</v>
      </c>
      <c r="C230" t="s">
        <v>157</v>
      </c>
      <c r="D230" t="s">
        <v>54</v>
      </c>
      <c r="E230" t="s">
        <v>21</v>
      </c>
      <c r="F230" t="s">
        <v>212</v>
      </c>
      <c r="G230" s="56">
        <v>43959.644641203704</v>
      </c>
      <c r="H230">
        <v>33</v>
      </c>
      <c r="I230">
        <v>13722</v>
      </c>
      <c r="J230" t="s">
        <v>50</v>
      </c>
      <c r="K230" t="s">
        <v>50</v>
      </c>
      <c r="L230" t="s">
        <v>159</v>
      </c>
      <c r="M230" t="s">
        <v>51</v>
      </c>
      <c r="N230" t="s">
        <v>92</v>
      </c>
      <c r="O230" s="1">
        <v>41335</v>
      </c>
      <c r="P230" t="s">
        <v>84</v>
      </c>
      <c r="Q230">
        <v>3</v>
      </c>
      <c r="R230" t="s">
        <v>81</v>
      </c>
      <c r="S230" t="s">
        <v>351</v>
      </c>
      <c r="T230" t="s">
        <v>351</v>
      </c>
      <c r="U230">
        <v>0</v>
      </c>
      <c r="V230">
        <v>5767.18</v>
      </c>
      <c r="W230">
        <v>0</v>
      </c>
    </row>
    <row r="231" spans="1:23" x14ac:dyDescent="0.25">
      <c r="A231" s="1">
        <v>43922</v>
      </c>
      <c r="B231" s="1">
        <v>43922</v>
      </c>
      <c r="C231" t="s">
        <v>157</v>
      </c>
      <c r="D231" t="s">
        <v>93</v>
      </c>
      <c r="E231" t="s">
        <v>49</v>
      </c>
      <c r="F231" t="s">
        <v>211</v>
      </c>
      <c r="G231" s="56">
        <v>43992.659548611111</v>
      </c>
      <c r="H231">
        <v>33</v>
      </c>
      <c r="I231" t="s">
        <v>351</v>
      </c>
      <c r="J231" t="s">
        <v>50</v>
      </c>
      <c r="K231" t="s">
        <v>50</v>
      </c>
      <c r="L231" t="s">
        <v>159</v>
      </c>
      <c r="M231" t="s">
        <v>51</v>
      </c>
      <c r="N231" t="s">
        <v>92</v>
      </c>
      <c r="O231" s="1">
        <v>41335</v>
      </c>
      <c r="P231" t="s">
        <v>84</v>
      </c>
      <c r="Q231">
        <v>3</v>
      </c>
      <c r="R231" t="s">
        <v>81</v>
      </c>
      <c r="S231">
        <v>1</v>
      </c>
      <c r="T231">
        <v>531</v>
      </c>
      <c r="U231" t="s">
        <v>351</v>
      </c>
      <c r="V231" t="s">
        <v>351</v>
      </c>
      <c r="W231">
        <v>531</v>
      </c>
    </row>
    <row r="232" spans="1:23" x14ac:dyDescent="0.25">
      <c r="A232" s="1">
        <v>43922</v>
      </c>
      <c r="B232" s="1">
        <v>43922</v>
      </c>
      <c r="C232" t="s">
        <v>157</v>
      </c>
      <c r="D232" t="s">
        <v>48</v>
      </c>
      <c r="E232" t="s">
        <v>49</v>
      </c>
      <c r="F232" t="s">
        <v>215</v>
      </c>
      <c r="G232" s="56">
        <v>43959.644641203704</v>
      </c>
      <c r="H232">
        <v>33</v>
      </c>
      <c r="I232">
        <v>13722</v>
      </c>
      <c r="J232" t="s">
        <v>50</v>
      </c>
      <c r="K232" t="s">
        <v>50</v>
      </c>
      <c r="L232" t="s">
        <v>159</v>
      </c>
      <c r="M232" t="s">
        <v>51</v>
      </c>
      <c r="N232" t="s">
        <v>92</v>
      </c>
      <c r="O232" s="1">
        <v>41335</v>
      </c>
      <c r="P232" t="s">
        <v>84</v>
      </c>
      <c r="Q232">
        <v>3</v>
      </c>
      <c r="R232" t="s">
        <v>81</v>
      </c>
      <c r="S232">
        <v>430.04700800000001</v>
      </c>
      <c r="T232">
        <v>67.765000000000001</v>
      </c>
      <c r="U232" t="s">
        <v>351</v>
      </c>
      <c r="V232" t="s">
        <v>351</v>
      </c>
      <c r="W232">
        <v>29142</v>
      </c>
    </row>
    <row r="233" spans="1:23" x14ac:dyDescent="0.25">
      <c r="A233" s="1">
        <v>43922</v>
      </c>
      <c r="B233" s="1">
        <v>43922</v>
      </c>
      <c r="C233" t="s">
        <v>157</v>
      </c>
      <c r="D233" t="s">
        <v>54</v>
      </c>
      <c r="E233" t="s">
        <v>21</v>
      </c>
      <c r="F233" t="s">
        <v>212</v>
      </c>
      <c r="G233" s="56">
        <v>43959.644641203704</v>
      </c>
      <c r="H233">
        <v>33</v>
      </c>
      <c r="I233">
        <v>13722</v>
      </c>
      <c r="J233" t="s">
        <v>50</v>
      </c>
      <c r="K233" t="s">
        <v>50</v>
      </c>
      <c r="L233" t="s">
        <v>159</v>
      </c>
      <c r="M233" t="s">
        <v>51</v>
      </c>
      <c r="N233" t="s">
        <v>92</v>
      </c>
      <c r="O233" s="1">
        <v>41335</v>
      </c>
      <c r="P233" t="s">
        <v>84</v>
      </c>
      <c r="Q233">
        <v>4</v>
      </c>
      <c r="R233" t="s">
        <v>27</v>
      </c>
      <c r="S233" t="s">
        <v>351</v>
      </c>
      <c r="T233" t="s">
        <v>351</v>
      </c>
      <c r="U233">
        <v>0</v>
      </c>
      <c r="V233">
        <v>5963.14</v>
      </c>
      <c r="W233">
        <v>0</v>
      </c>
    </row>
    <row r="234" spans="1:23" x14ac:dyDescent="0.25">
      <c r="A234" s="1">
        <v>43922</v>
      </c>
      <c r="B234" s="1">
        <v>43922</v>
      </c>
      <c r="C234" t="s">
        <v>157</v>
      </c>
      <c r="D234" t="s">
        <v>93</v>
      </c>
      <c r="E234" t="s">
        <v>49</v>
      </c>
      <c r="F234" t="s">
        <v>211</v>
      </c>
      <c r="G234" s="56">
        <v>43992.659548611111</v>
      </c>
      <c r="H234">
        <v>33</v>
      </c>
      <c r="I234" t="s">
        <v>351</v>
      </c>
      <c r="J234" t="s">
        <v>50</v>
      </c>
      <c r="K234" t="s">
        <v>50</v>
      </c>
      <c r="L234" t="s">
        <v>159</v>
      </c>
      <c r="M234" t="s">
        <v>51</v>
      </c>
      <c r="N234" t="s">
        <v>92</v>
      </c>
      <c r="O234" s="1">
        <v>41335</v>
      </c>
      <c r="P234" t="s">
        <v>84</v>
      </c>
      <c r="Q234">
        <v>4</v>
      </c>
      <c r="R234" t="s">
        <v>27</v>
      </c>
      <c r="S234">
        <v>1</v>
      </c>
      <c r="T234">
        <v>3349</v>
      </c>
      <c r="U234" t="s">
        <v>351</v>
      </c>
      <c r="V234" t="s">
        <v>351</v>
      </c>
      <c r="W234">
        <v>3349</v>
      </c>
    </row>
    <row r="235" spans="1:23" x14ac:dyDescent="0.25">
      <c r="A235" s="1">
        <v>43922</v>
      </c>
      <c r="B235" s="1">
        <v>43922</v>
      </c>
      <c r="C235" t="s">
        <v>157</v>
      </c>
      <c r="D235" t="s">
        <v>48</v>
      </c>
      <c r="E235" t="s">
        <v>49</v>
      </c>
      <c r="F235" t="s">
        <v>215</v>
      </c>
      <c r="G235" s="56">
        <v>43959.644641203704</v>
      </c>
      <c r="H235">
        <v>33</v>
      </c>
      <c r="I235">
        <v>13722</v>
      </c>
      <c r="J235" t="s">
        <v>50</v>
      </c>
      <c r="K235" t="s">
        <v>50</v>
      </c>
      <c r="L235" t="s">
        <v>159</v>
      </c>
      <c r="M235" t="s">
        <v>51</v>
      </c>
      <c r="N235" t="s">
        <v>92</v>
      </c>
      <c r="O235" s="1">
        <v>41335</v>
      </c>
      <c r="P235" t="s">
        <v>84</v>
      </c>
      <c r="Q235">
        <v>4</v>
      </c>
      <c r="R235" t="s">
        <v>27</v>
      </c>
      <c r="S235">
        <v>2658.6885689999999</v>
      </c>
      <c r="T235">
        <v>69.12</v>
      </c>
      <c r="U235" t="s">
        <v>351</v>
      </c>
      <c r="V235" t="s">
        <v>351</v>
      </c>
      <c r="W235">
        <v>183769</v>
      </c>
    </row>
    <row r="236" spans="1:23" x14ac:dyDescent="0.25">
      <c r="A236" s="1">
        <v>43922</v>
      </c>
      <c r="B236" s="1">
        <v>43922</v>
      </c>
      <c r="C236" t="s">
        <v>157</v>
      </c>
      <c r="D236" t="s">
        <v>54</v>
      </c>
      <c r="E236" t="s">
        <v>21</v>
      </c>
      <c r="F236" t="s">
        <v>212</v>
      </c>
      <c r="G236" s="56">
        <v>43959.644641203704</v>
      </c>
      <c r="H236">
        <v>33</v>
      </c>
      <c r="I236">
        <v>13722</v>
      </c>
      <c r="J236" t="s">
        <v>50</v>
      </c>
      <c r="K236" t="s">
        <v>50</v>
      </c>
      <c r="L236" t="s">
        <v>159</v>
      </c>
      <c r="M236" t="s">
        <v>51</v>
      </c>
      <c r="N236" t="s">
        <v>92</v>
      </c>
      <c r="O236" s="1">
        <v>41335</v>
      </c>
      <c r="P236" t="s">
        <v>84</v>
      </c>
      <c r="Q236">
        <v>5</v>
      </c>
      <c r="R236" t="s">
        <v>28</v>
      </c>
      <c r="S236" t="s">
        <v>351</v>
      </c>
      <c r="T236" t="s">
        <v>351</v>
      </c>
      <c r="U236">
        <v>0</v>
      </c>
      <c r="V236">
        <v>5783.56</v>
      </c>
      <c r="W236">
        <v>0</v>
      </c>
    </row>
    <row r="237" spans="1:23" x14ac:dyDescent="0.25">
      <c r="A237" s="1">
        <v>43922</v>
      </c>
      <c r="B237" s="1">
        <v>43922</v>
      </c>
      <c r="C237" t="s">
        <v>157</v>
      </c>
      <c r="D237" t="s">
        <v>93</v>
      </c>
      <c r="E237" t="s">
        <v>49</v>
      </c>
      <c r="F237" t="s">
        <v>211</v>
      </c>
      <c r="G237" s="56">
        <v>43992.659548611111</v>
      </c>
      <c r="H237">
        <v>33</v>
      </c>
      <c r="I237" t="s">
        <v>351</v>
      </c>
      <c r="J237" t="s">
        <v>50</v>
      </c>
      <c r="K237" t="s">
        <v>50</v>
      </c>
      <c r="L237" t="s">
        <v>159</v>
      </c>
      <c r="M237" t="s">
        <v>51</v>
      </c>
      <c r="N237" t="s">
        <v>92</v>
      </c>
      <c r="O237" s="1">
        <v>41335</v>
      </c>
      <c r="P237" t="s">
        <v>84</v>
      </c>
      <c r="Q237">
        <v>5</v>
      </c>
      <c r="R237" t="s">
        <v>28</v>
      </c>
      <c r="S237">
        <v>1</v>
      </c>
      <c r="T237">
        <v>20</v>
      </c>
      <c r="U237" t="s">
        <v>351</v>
      </c>
      <c r="V237" t="s">
        <v>351</v>
      </c>
      <c r="W237">
        <v>20</v>
      </c>
    </row>
    <row r="238" spans="1:23" x14ac:dyDescent="0.25">
      <c r="A238" s="1">
        <v>43922</v>
      </c>
      <c r="B238" s="1">
        <v>43922</v>
      </c>
      <c r="C238" t="s">
        <v>157</v>
      </c>
      <c r="D238" t="s">
        <v>48</v>
      </c>
      <c r="E238" t="s">
        <v>49</v>
      </c>
      <c r="F238" t="s">
        <v>215</v>
      </c>
      <c r="G238" s="56">
        <v>43959.644641203704</v>
      </c>
      <c r="H238">
        <v>33</v>
      </c>
      <c r="I238">
        <v>13722</v>
      </c>
      <c r="J238" t="s">
        <v>50</v>
      </c>
      <c r="K238" t="s">
        <v>50</v>
      </c>
      <c r="L238" t="s">
        <v>159</v>
      </c>
      <c r="M238" t="s">
        <v>51</v>
      </c>
      <c r="N238" t="s">
        <v>92</v>
      </c>
      <c r="O238" s="1">
        <v>41335</v>
      </c>
      <c r="P238" t="s">
        <v>84</v>
      </c>
      <c r="Q238">
        <v>5</v>
      </c>
      <c r="R238" t="s">
        <v>28</v>
      </c>
      <c r="S238">
        <v>15.457482000000001</v>
      </c>
      <c r="T238">
        <v>71.932000000000002</v>
      </c>
      <c r="U238" t="s">
        <v>351</v>
      </c>
      <c r="V238" t="s">
        <v>351</v>
      </c>
      <c r="W238">
        <v>1112</v>
      </c>
    </row>
    <row r="239" spans="1:23" x14ac:dyDescent="0.25">
      <c r="A239" s="1">
        <v>43952</v>
      </c>
      <c r="B239" s="1">
        <v>43952</v>
      </c>
      <c r="C239" t="s">
        <v>157</v>
      </c>
      <c r="D239" t="s">
        <v>54</v>
      </c>
      <c r="E239" t="s">
        <v>21</v>
      </c>
      <c r="F239" t="s">
        <v>221</v>
      </c>
      <c r="G239" s="56">
        <v>43987.496550925927</v>
      </c>
      <c r="H239">
        <v>33</v>
      </c>
      <c r="I239">
        <v>14013</v>
      </c>
      <c r="J239" t="s">
        <v>50</v>
      </c>
      <c r="K239" t="s">
        <v>50</v>
      </c>
      <c r="L239" t="s">
        <v>159</v>
      </c>
      <c r="M239" t="s">
        <v>51</v>
      </c>
      <c r="N239" t="s">
        <v>92</v>
      </c>
      <c r="O239" s="1">
        <v>41335</v>
      </c>
      <c r="P239" t="s">
        <v>84</v>
      </c>
      <c r="Q239">
        <v>1</v>
      </c>
      <c r="R239" t="s">
        <v>83</v>
      </c>
      <c r="S239" t="s">
        <v>351</v>
      </c>
      <c r="T239" t="s">
        <v>351</v>
      </c>
      <c r="U239">
        <v>0</v>
      </c>
      <c r="V239">
        <v>6077.2</v>
      </c>
      <c r="W239">
        <v>0</v>
      </c>
    </row>
    <row r="240" spans="1:23" x14ac:dyDescent="0.25">
      <c r="A240" s="1">
        <v>43952</v>
      </c>
      <c r="B240" s="1">
        <v>43952</v>
      </c>
      <c r="C240" t="s">
        <v>157</v>
      </c>
      <c r="D240" t="s">
        <v>93</v>
      </c>
      <c r="E240" t="s">
        <v>49</v>
      </c>
      <c r="F240" t="s">
        <v>217</v>
      </c>
      <c r="G240" s="56">
        <v>44027.009201388886</v>
      </c>
      <c r="H240">
        <v>33</v>
      </c>
      <c r="I240">
        <v>14695</v>
      </c>
      <c r="J240" t="s">
        <v>50</v>
      </c>
      <c r="K240" t="s">
        <v>50</v>
      </c>
      <c r="L240" t="s">
        <v>159</v>
      </c>
      <c r="M240" t="s">
        <v>51</v>
      </c>
      <c r="N240" t="s">
        <v>92</v>
      </c>
      <c r="O240" s="1">
        <v>41335</v>
      </c>
      <c r="P240" t="s">
        <v>84</v>
      </c>
      <c r="Q240">
        <v>1</v>
      </c>
      <c r="R240" t="s">
        <v>83</v>
      </c>
      <c r="S240">
        <v>1</v>
      </c>
      <c r="T240">
        <v>269</v>
      </c>
      <c r="U240" t="s">
        <v>351</v>
      </c>
      <c r="V240" t="s">
        <v>351</v>
      </c>
      <c r="W240">
        <v>269</v>
      </c>
    </row>
    <row r="241" spans="1:23" x14ac:dyDescent="0.25">
      <c r="A241" s="1">
        <v>43952</v>
      </c>
      <c r="B241" s="1">
        <v>43952</v>
      </c>
      <c r="C241" t="s">
        <v>157</v>
      </c>
      <c r="D241" t="s">
        <v>48</v>
      </c>
      <c r="E241" t="s">
        <v>49</v>
      </c>
      <c r="F241" t="s">
        <v>220</v>
      </c>
      <c r="G241" s="56">
        <v>43987.496550925927</v>
      </c>
      <c r="H241">
        <v>33</v>
      </c>
      <c r="I241">
        <v>14013</v>
      </c>
      <c r="J241" t="s">
        <v>50</v>
      </c>
      <c r="K241" t="s">
        <v>50</v>
      </c>
      <c r="L241" t="s">
        <v>159</v>
      </c>
      <c r="M241" t="s">
        <v>51</v>
      </c>
      <c r="N241" t="s">
        <v>92</v>
      </c>
      <c r="O241" s="1">
        <v>41335</v>
      </c>
      <c r="P241" t="s">
        <v>84</v>
      </c>
      <c r="Q241">
        <v>1</v>
      </c>
      <c r="R241" t="s">
        <v>83</v>
      </c>
      <c r="S241">
        <v>2850.9896789999998</v>
      </c>
      <c r="T241">
        <v>71.221999999999994</v>
      </c>
      <c r="U241" t="s">
        <v>351</v>
      </c>
      <c r="V241" t="s">
        <v>351</v>
      </c>
      <c r="W241">
        <v>203053</v>
      </c>
    </row>
    <row r="242" spans="1:23" x14ac:dyDescent="0.25">
      <c r="A242" s="1">
        <v>43952</v>
      </c>
      <c r="B242" s="1">
        <v>43952</v>
      </c>
      <c r="C242" t="s">
        <v>157</v>
      </c>
      <c r="D242" t="s">
        <v>54</v>
      </c>
      <c r="E242" t="s">
        <v>21</v>
      </c>
      <c r="F242" t="s">
        <v>221</v>
      </c>
      <c r="G242" s="56">
        <v>43987.496550925927</v>
      </c>
      <c r="H242">
        <v>33</v>
      </c>
      <c r="I242">
        <v>14013</v>
      </c>
      <c r="J242" t="s">
        <v>50</v>
      </c>
      <c r="K242" t="s">
        <v>50</v>
      </c>
      <c r="L242" t="s">
        <v>159</v>
      </c>
      <c r="M242" t="s">
        <v>51</v>
      </c>
      <c r="N242" t="s">
        <v>92</v>
      </c>
      <c r="O242" s="1">
        <v>41335</v>
      </c>
      <c r="P242" t="s">
        <v>84</v>
      </c>
      <c r="Q242">
        <v>2</v>
      </c>
      <c r="R242" t="s">
        <v>94</v>
      </c>
      <c r="S242" t="s">
        <v>351</v>
      </c>
      <c r="T242" t="s">
        <v>351</v>
      </c>
      <c r="U242">
        <v>0</v>
      </c>
      <c r="V242">
        <v>6151.21</v>
      </c>
      <c r="W242">
        <v>0</v>
      </c>
    </row>
    <row r="243" spans="1:23" x14ac:dyDescent="0.25">
      <c r="A243" s="1">
        <v>43952</v>
      </c>
      <c r="B243" s="1">
        <v>43952</v>
      </c>
      <c r="C243" t="s">
        <v>157</v>
      </c>
      <c r="D243" t="s">
        <v>48</v>
      </c>
      <c r="E243" t="s">
        <v>49</v>
      </c>
      <c r="F243" t="s">
        <v>220</v>
      </c>
      <c r="G243" s="56">
        <v>43987.496550925927</v>
      </c>
      <c r="H243">
        <v>33</v>
      </c>
      <c r="I243">
        <v>14013</v>
      </c>
      <c r="J243" t="s">
        <v>50</v>
      </c>
      <c r="K243" t="s">
        <v>50</v>
      </c>
      <c r="L243" t="s">
        <v>159</v>
      </c>
      <c r="M243" t="s">
        <v>51</v>
      </c>
      <c r="N243" t="s">
        <v>92</v>
      </c>
      <c r="O243" s="1">
        <v>41335</v>
      </c>
      <c r="P243" t="s">
        <v>84</v>
      </c>
      <c r="Q243">
        <v>2</v>
      </c>
      <c r="R243" t="s">
        <v>94</v>
      </c>
      <c r="S243">
        <v>6.0668620000000004</v>
      </c>
      <c r="T243">
        <v>73.772999999999996</v>
      </c>
      <c r="U243" t="s">
        <v>351</v>
      </c>
      <c r="V243" t="s">
        <v>351</v>
      </c>
      <c r="W243">
        <v>448</v>
      </c>
    </row>
    <row r="244" spans="1:23" x14ac:dyDescent="0.25">
      <c r="A244" s="1">
        <v>43952</v>
      </c>
      <c r="B244" s="1">
        <v>43952</v>
      </c>
      <c r="C244" t="s">
        <v>157</v>
      </c>
      <c r="D244" t="s">
        <v>54</v>
      </c>
      <c r="E244" t="s">
        <v>21</v>
      </c>
      <c r="F244" t="s">
        <v>221</v>
      </c>
      <c r="G244" s="56">
        <v>43987.496550925927</v>
      </c>
      <c r="H244">
        <v>33</v>
      </c>
      <c r="I244">
        <v>14013</v>
      </c>
      <c r="J244" t="s">
        <v>50</v>
      </c>
      <c r="K244" t="s">
        <v>50</v>
      </c>
      <c r="L244" t="s">
        <v>159</v>
      </c>
      <c r="M244" t="s">
        <v>51</v>
      </c>
      <c r="N244" t="s">
        <v>92</v>
      </c>
      <c r="O244" s="1">
        <v>41335</v>
      </c>
      <c r="P244" t="s">
        <v>84</v>
      </c>
      <c r="Q244">
        <v>3</v>
      </c>
      <c r="R244" t="s">
        <v>81</v>
      </c>
      <c r="S244" t="s">
        <v>351</v>
      </c>
      <c r="T244" t="s">
        <v>351</v>
      </c>
      <c r="U244">
        <v>0</v>
      </c>
      <c r="V244">
        <v>5767.18</v>
      </c>
      <c r="W244">
        <v>0</v>
      </c>
    </row>
    <row r="245" spans="1:23" x14ac:dyDescent="0.25">
      <c r="A245" s="1">
        <v>43952</v>
      </c>
      <c r="B245" s="1">
        <v>43952</v>
      </c>
      <c r="C245" t="s">
        <v>157</v>
      </c>
      <c r="D245" t="s">
        <v>93</v>
      </c>
      <c r="E245" t="s">
        <v>49</v>
      </c>
      <c r="F245" t="s">
        <v>217</v>
      </c>
      <c r="G245" s="56">
        <v>44027.009201388886</v>
      </c>
      <c r="H245">
        <v>33</v>
      </c>
      <c r="I245">
        <v>14695</v>
      </c>
      <c r="J245" t="s">
        <v>50</v>
      </c>
      <c r="K245" t="s">
        <v>50</v>
      </c>
      <c r="L245" t="s">
        <v>159</v>
      </c>
      <c r="M245" t="s">
        <v>51</v>
      </c>
      <c r="N245" t="s">
        <v>92</v>
      </c>
      <c r="O245" s="1">
        <v>41335</v>
      </c>
      <c r="P245" t="s">
        <v>84</v>
      </c>
      <c r="Q245">
        <v>3</v>
      </c>
      <c r="R245" t="s">
        <v>81</v>
      </c>
      <c r="S245">
        <v>1</v>
      </c>
      <c r="T245">
        <v>38</v>
      </c>
      <c r="U245" t="s">
        <v>351</v>
      </c>
      <c r="V245" t="s">
        <v>351</v>
      </c>
      <c r="W245">
        <v>38</v>
      </c>
    </row>
    <row r="246" spans="1:23" x14ac:dyDescent="0.25">
      <c r="A246" s="1">
        <v>43952</v>
      </c>
      <c r="B246" s="1">
        <v>43952</v>
      </c>
      <c r="C246" t="s">
        <v>157</v>
      </c>
      <c r="D246" t="s">
        <v>48</v>
      </c>
      <c r="E246" t="s">
        <v>49</v>
      </c>
      <c r="F246" t="s">
        <v>220</v>
      </c>
      <c r="G246" s="56">
        <v>43987.496550925927</v>
      </c>
      <c r="H246">
        <v>33</v>
      </c>
      <c r="I246">
        <v>14013</v>
      </c>
      <c r="J246" t="s">
        <v>50</v>
      </c>
      <c r="K246" t="s">
        <v>50</v>
      </c>
      <c r="L246" t="s">
        <v>159</v>
      </c>
      <c r="M246" t="s">
        <v>51</v>
      </c>
      <c r="N246" t="s">
        <v>92</v>
      </c>
      <c r="O246" s="1">
        <v>41335</v>
      </c>
      <c r="P246" t="s">
        <v>84</v>
      </c>
      <c r="Q246">
        <v>3</v>
      </c>
      <c r="R246" t="s">
        <v>81</v>
      </c>
      <c r="S246">
        <v>420.03741300000002</v>
      </c>
      <c r="T246">
        <v>67.765000000000001</v>
      </c>
      <c r="U246" t="s">
        <v>351</v>
      </c>
      <c r="V246" t="s">
        <v>351</v>
      </c>
      <c r="W246">
        <v>28464</v>
      </c>
    </row>
    <row r="247" spans="1:23" x14ac:dyDescent="0.25">
      <c r="A247" s="1">
        <v>43952</v>
      </c>
      <c r="B247" s="1">
        <v>43952</v>
      </c>
      <c r="C247" t="s">
        <v>157</v>
      </c>
      <c r="D247" t="s">
        <v>54</v>
      </c>
      <c r="E247" t="s">
        <v>21</v>
      </c>
      <c r="F247" t="s">
        <v>221</v>
      </c>
      <c r="G247" s="56">
        <v>43987.496550925927</v>
      </c>
      <c r="H247">
        <v>33</v>
      </c>
      <c r="I247">
        <v>14013</v>
      </c>
      <c r="J247" t="s">
        <v>50</v>
      </c>
      <c r="K247" t="s">
        <v>50</v>
      </c>
      <c r="L247" t="s">
        <v>159</v>
      </c>
      <c r="M247" t="s">
        <v>51</v>
      </c>
      <c r="N247" t="s">
        <v>92</v>
      </c>
      <c r="O247" s="1">
        <v>41335</v>
      </c>
      <c r="P247" t="s">
        <v>84</v>
      </c>
      <c r="Q247">
        <v>4</v>
      </c>
      <c r="R247" t="s">
        <v>27</v>
      </c>
      <c r="S247" t="s">
        <v>351</v>
      </c>
      <c r="T247" t="s">
        <v>351</v>
      </c>
      <c r="U247">
        <v>0</v>
      </c>
      <c r="V247">
        <v>5963.14</v>
      </c>
      <c r="W247">
        <v>0</v>
      </c>
    </row>
    <row r="248" spans="1:23" x14ac:dyDescent="0.25">
      <c r="A248" s="1">
        <v>43952</v>
      </c>
      <c r="B248" s="1">
        <v>43952</v>
      </c>
      <c r="C248" t="s">
        <v>157</v>
      </c>
      <c r="D248" t="s">
        <v>93</v>
      </c>
      <c r="E248" t="s">
        <v>49</v>
      </c>
      <c r="F248" t="s">
        <v>217</v>
      </c>
      <c r="G248" s="56">
        <v>44027.009201388886</v>
      </c>
      <c r="H248">
        <v>33</v>
      </c>
      <c r="I248">
        <v>14695</v>
      </c>
      <c r="J248" t="s">
        <v>50</v>
      </c>
      <c r="K248" t="s">
        <v>50</v>
      </c>
      <c r="L248" t="s">
        <v>159</v>
      </c>
      <c r="M248" t="s">
        <v>51</v>
      </c>
      <c r="N248" t="s">
        <v>92</v>
      </c>
      <c r="O248" s="1">
        <v>41335</v>
      </c>
      <c r="P248" t="s">
        <v>84</v>
      </c>
      <c r="Q248">
        <v>4</v>
      </c>
      <c r="R248" t="s">
        <v>27</v>
      </c>
      <c r="S248">
        <v>1</v>
      </c>
      <c r="T248">
        <v>238</v>
      </c>
      <c r="U248" t="s">
        <v>351</v>
      </c>
      <c r="V248" t="s">
        <v>351</v>
      </c>
      <c r="W248">
        <v>238</v>
      </c>
    </row>
    <row r="249" spans="1:23" x14ac:dyDescent="0.25">
      <c r="A249" s="1">
        <v>43952</v>
      </c>
      <c r="B249" s="1">
        <v>43952</v>
      </c>
      <c r="C249" t="s">
        <v>157</v>
      </c>
      <c r="D249" t="s">
        <v>48</v>
      </c>
      <c r="E249" t="s">
        <v>49</v>
      </c>
      <c r="F249" t="s">
        <v>220</v>
      </c>
      <c r="G249" s="56">
        <v>43987.496550925927</v>
      </c>
      <c r="H249">
        <v>33</v>
      </c>
      <c r="I249">
        <v>14013</v>
      </c>
      <c r="J249" t="s">
        <v>50</v>
      </c>
      <c r="K249" t="s">
        <v>50</v>
      </c>
      <c r="L249" t="s">
        <v>159</v>
      </c>
      <c r="M249" t="s">
        <v>51</v>
      </c>
      <c r="N249" t="s">
        <v>92</v>
      </c>
      <c r="O249" s="1">
        <v>41335</v>
      </c>
      <c r="P249" t="s">
        <v>84</v>
      </c>
      <c r="Q249">
        <v>4</v>
      </c>
      <c r="R249" t="s">
        <v>27</v>
      </c>
      <c r="S249">
        <v>2600.4811690000001</v>
      </c>
      <c r="T249">
        <v>69.12</v>
      </c>
      <c r="U249" t="s">
        <v>351</v>
      </c>
      <c r="V249" t="s">
        <v>351</v>
      </c>
      <c r="W249">
        <v>179745</v>
      </c>
    </row>
    <row r="250" spans="1:23" x14ac:dyDescent="0.25">
      <c r="A250" s="1">
        <v>43952</v>
      </c>
      <c r="B250" s="1">
        <v>43952</v>
      </c>
      <c r="C250" t="s">
        <v>157</v>
      </c>
      <c r="D250" t="s">
        <v>54</v>
      </c>
      <c r="E250" t="s">
        <v>21</v>
      </c>
      <c r="F250" t="s">
        <v>221</v>
      </c>
      <c r="G250" s="56">
        <v>43987.496550925927</v>
      </c>
      <c r="H250">
        <v>33</v>
      </c>
      <c r="I250">
        <v>14013</v>
      </c>
      <c r="J250" t="s">
        <v>50</v>
      </c>
      <c r="K250" t="s">
        <v>50</v>
      </c>
      <c r="L250" t="s">
        <v>159</v>
      </c>
      <c r="M250" t="s">
        <v>51</v>
      </c>
      <c r="N250" t="s">
        <v>92</v>
      </c>
      <c r="O250" s="1">
        <v>41335</v>
      </c>
      <c r="P250" t="s">
        <v>84</v>
      </c>
      <c r="Q250">
        <v>5</v>
      </c>
      <c r="R250" t="s">
        <v>28</v>
      </c>
      <c r="S250" t="s">
        <v>351</v>
      </c>
      <c r="T250" t="s">
        <v>351</v>
      </c>
      <c r="U250">
        <v>0</v>
      </c>
      <c r="V250">
        <v>5783.56</v>
      </c>
      <c r="W250">
        <v>0</v>
      </c>
    </row>
    <row r="251" spans="1:23" x14ac:dyDescent="0.25">
      <c r="A251" s="1">
        <v>43952</v>
      </c>
      <c r="B251" s="1">
        <v>43952</v>
      </c>
      <c r="C251" t="s">
        <v>157</v>
      </c>
      <c r="D251" t="s">
        <v>93</v>
      </c>
      <c r="E251" t="s">
        <v>49</v>
      </c>
      <c r="F251" t="s">
        <v>217</v>
      </c>
      <c r="G251" s="56">
        <v>44027.009201388886</v>
      </c>
      <c r="H251">
        <v>33</v>
      </c>
      <c r="I251">
        <v>14695</v>
      </c>
      <c r="J251" t="s">
        <v>50</v>
      </c>
      <c r="K251" t="s">
        <v>50</v>
      </c>
      <c r="L251" t="s">
        <v>159</v>
      </c>
      <c r="M251" t="s">
        <v>51</v>
      </c>
      <c r="N251" t="s">
        <v>92</v>
      </c>
      <c r="O251" s="1">
        <v>41335</v>
      </c>
      <c r="P251" t="s">
        <v>84</v>
      </c>
      <c r="Q251">
        <v>5</v>
      </c>
      <c r="R251" t="s">
        <v>28</v>
      </c>
      <c r="S251">
        <v>1</v>
      </c>
      <c r="T251">
        <v>1</v>
      </c>
      <c r="U251" t="s">
        <v>351</v>
      </c>
      <c r="V251" t="s">
        <v>351</v>
      </c>
      <c r="W251">
        <v>1</v>
      </c>
    </row>
    <row r="252" spans="1:23" x14ac:dyDescent="0.25">
      <c r="A252" s="1">
        <v>43952</v>
      </c>
      <c r="B252" s="1">
        <v>43952</v>
      </c>
      <c r="C252" t="s">
        <v>157</v>
      </c>
      <c r="D252" t="s">
        <v>48</v>
      </c>
      <c r="E252" t="s">
        <v>49</v>
      </c>
      <c r="F252" t="s">
        <v>220</v>
      </c>
      <c r="G252" s="56">
        <v>43987.496550925927</v>
      </c>
      <c r="H252">
        <v>33</v>
      </c>
      <c r="I252">
        <v>14013</v>
      </c>
      <c r="J252" t="s">
        <v>50</v>
      </c>
      <c r="K252" t="s">
        <v>50</v>
      </c>
      <c r="L252" t="s">
        <v>159</v>
      </c>
      <c r="M252" t="s">
        <v>51</v>
      </c>
      <c r="N252" t="s">
        <v>92</v>
      </c>
      <c r="O252" s="1">
        <v>41335</v>
      </c>
      <c r="P252" t="s">
        <v>84</v>
      </c>
      <c r="Q252">
        <v>5</v>
      </c>
      <c r="R252" t="s">
        <v>28</v>
      </c>
      <c r="S252">
        <v>15.361321</v>
      </c>
      <c r="T252">
        <v>71.932000000000002</v>
      </c>
      <c r="U252" t="s">
        <v>351</v>
      </c>
      <c r="V252" t="s">
        <v>351</v>
      </c>
      <c r="W252">
        <v>1105</v>
      </c>
    </row>
    <row r="253" spans="1:23" x14ac:dyDescent="0.25">
      <c r="A253" s="1">
        <v>43983</v>
      </c>
      <c r="B253" s="1">
        <v>43983</v>
      </c>
      <c r="C253" t="s">
        <v>157</v>
      </c>
      <c r="D253" t="s">
        <v>54</v>
      </c>
      <c r="E253" t="s">
        <v>21</v>
      </c>
      <c r="F253" t="s">
        <v>224</v>
      </c>
      <c r="G253" s="56">
        <v>44020.479664351849</v>
      </c>
      <c r="H253">
        <v>33</v>
      </c>
      <c r="I253">
        <v>14392</v>
      </c>
      <c r="J253" t="s">
        <v>50</v>
      </c>
      <c r="K253" t="s">
        <v>50</v>
      </c>
      <c r="L253" t="s">
        <v>159</v>
      </c>
      <c r="M253" t="s">
        <v>51</v>
      </c>
      <c r="N253" t="s">
        <v>92</v>
      </c>
      <c r="O253" s="1">
        <v>41335</v>
      </c>
      <c r="P253" t="s">
        <v>84</v>
      </c>
      <c r="Q253">
        <v>1</v>
      </c>
      <c r="R253" t="s">
        <v>83</v>
      </c>
      <c r="S253" t="s">
        <v>351</v>
      </c>
      <c r="T253" t="s">
        <v>351</v>
      </c>
      <c r="U253">
        <v>0</v>
      </c>
      <c r="V253">
        <v>6077.2</v>
      </c>
      <c r="W253">
        <v>0</v>
      </c>
    </row>
    <row r="254" spans="1:23" x14ac:dyDescent="0.25">
      <c r="A254" s="1">
        <v>43983</v>
      </c>
      <c r="B254" s="1">
        <v>43983</v>
      </c>
      <c r="C254" t="s">
        <v>157</v>
      </c>
      <c r="D254" t="s">
        <v>93</v>
      </c>
      <c r="E254" t="s">
        <v>49</v>
      </c>
      <c r="F254" t="s">
        <v>229</v>
      </c>
      <c r="G254" s="56">
        <v>44057.743877314817</v>
      </c>
      <c r="H254">
        <v>61</v>
      </c>
      <c r="I254" t="s">
        <v>351</v>
      </c>
      <c r="J254" t="s">
        <v>50</v>
      </c>
      <c r="K254" t="s">
        <v>50</v>
      </c>
      <c r="L254" t="s">
        <v>159</v>
      </c>
      <c r="M254" t="s">
        <v>51</v>
      </c>
      <c r="N254" t="s">
        <v>92</v>
      </c>
      <c r="O254" s="1">
        <v>41335</v>
      </c>
      <c r="P254" t="s">
        <v>84</v>
      </c>
      <c r="Q254">
        <v>1</v>
      </c>
      <c r="R254" t="s">
        <v>83</v>
      </c>
      <c r="S254">
        <v>1</v>
      </c>
      <c r="T254">
        <v>-1449</v>
      </c>
      <c r="U254" t="s">
        <v>351</v>
      </c>
      <c r="V254" t="s">
        <v>351</v>
      </c>
      <c r="W254">
        <v>-1449</v>
      </c>
    </row>
    <row r="255" spans="1:23" x14ac:dyDescent="0.25">
      <c r="A255" s="1">
        <v>43983</v>
      </c>
      <c r="B255" s="1">
        <v>43983</v>
      </c>
      <c r="C255" t="s">
        <v>157</v>
      </c>
      <c r="D255" t="s">
        <v>48</v>
      </c>
      <c r="E255" t="s">
        <v>49</v>
      </c>
      <c r="F255" t="s">
        <v>228</v>
      </c>
      <c r="G255" s="56">
        <v>44020.479664351849</v>
      </c>
      <c r="H255">
        <v>33</v>
      </c>
      <c r="I255">
        <v>14392</v>
      </c>
      <c r="J255" t="s">
        <v>50</v>
      </c>
      <c r="K255" t="s">
        <v>50</v>
      </c>
      <c r="L255" t="s">
        <v>159</v>
      </c>
      <c r="M255" t="s">
        <v>51</v>
      </c>
      <c r="N255" t="s">
        <v>92</v>
      </c>
      <c r="O255" s="1">
        <v>41335</v>
      </c>
      <c r="P255" t="s">
        <v>84</v>
      </c>
      <c r="Q255">
        <v>1</v>
      </c>
      <c r="R255" t="s">
        <v>83</v>
      </c>
      <c r="S255">
        <v>2496.08</v>
      </c>
      <c r="T255">
        <v>71.221999999999994</v>
      </c>
      <c r="U255" t="s">
        <v>351</v>
      </c>
      <c r="V255" t="s">
        <v>351</v>
      </c>
      <c r="W255">
        <v>177776</v>
      </c>
    </row>
    <row r="256" spans="1:23" x14ac:dyDescent="0.25">
      <c r="A256" s="1">
        <v>43983</v>
      </c>
      <c r="B256" s="1">
        <v>43983</v>
      </c>
      <c r="C256" t="s">
        <v>157</v>
      </c>
      <c r="D256" t="s">
        <v>54</v>
      </c>
      <c r="E256" t="s">
        <v>21</v>
      </c>
      <c r="F256" t="s">
        <v>224</v>
      </c>
      <c r="G256" s="56">
        <v>44020.479664351849</v>
      </c>
      <c r="H256">
        <v>33</v>
      </c>
      <c r="I256">
        <v>14392</v>
      </c>
      <c r="J256" t="s">
        <v>50</v>
      </c>
      <c r="K256" t="s">
        <v>50</v>
      </c>
      <c r="L256" t="s">
        <v>159</v>
      </c>
      <c r="M256" t="s">
        <v>51</v>
      </c>
      <c r="N256" t="s">
        <v>92</v>
      </c>
      <c r="O256" s="1">
        <v>41335</v>
      </c>
      <c r="P256" t="s">
        <v>84</v>
      </c>
      <c r="Q256">
        <v>2</v>
      </c>
      <c r="R256" t="s">
        <v>94</v>
      </c>
      <c r="S256" t="s">
        <v>351</v>
      </c>
      <c r="T256" t="s">
        <v>351</v>
      </c>
      <c r="U256">
        <v>0</v>
      </c>
      <c r="V256">
        <v>6151.21</v>
      </c>
      <c r="W256">
        <v>0</v>
      </c>
    </row>
    <row r="257" spans="1:23" x14ac:dyDescent="0.25">
      <c r="A257" s="1">
        <v>43983</v>
      </c>
      <c r="B257" s="1">
        <v>43983</v>
      </c>
      <c r="C257" t="s">
        <v>157</v>
      </c>
      <c r="D257" t="s">
        <v>93</v>
      </c>
      <c r="E257" t="s">
        <v>49</v>
      </c>
      <c r="F257" t="s">
        <v>229</v>
      </c>
      <c r="G257" s="56">
        <v>44057.743877314817</v>
      </c>
      <c r="H257">
        <v>61</v>
      </c>
      <c r="I257" t="s">
        <v>351</v>
      </c>
      <c r="J257" t="s">
        <v>50</v>
      </c>
      <c r="K257" t="s">
        <v>50</v>
      </c>
      <c r="L257" t="s">
        <v>159</v>
      </c>
      <c r="M257" t="s">
        <v>51</v>
      </c>
      <c r="N257" t="s">
        <v>92</v>
      </c>
      <c r="O257" s="1">
        <v>41335</v>
      </c>
      <c r="P257" t="s">
        <v>84</v>
      </c>
      <c r="Q257">
        <v>2</v>
      </c>
      <c r="R257" t="s">
        <v>94</v>
      </c>
      <c r="S257">
        <v>1</v>
      </c>
      <c r="T257">
        <v>-3</v>
      </c>
      <c r="U257" t="s">
        <v>351</v>
      </c>
      <c r="V257" t="s">
        <v>351</v>
      </c>
      <c r="W257">
        <v>-3</v>
      </c>
    </row>
    <row r="258" spans="1:23" x14ac:dyDescent="0.25">
      <c r="A258" s="1">
        <v>43983</v>
      </c>
      <c r="B258" s="1">
        <v>43983</v>
      </c>
      <c r="C258" t="s">
        <v>157</v>
      </c>
      <c r="D258" t="s">
        <v>48</v>
      </c>
      <c r="E258" t="s">
        <v>49</v>
      </c>
      <c r="F258" t="s">
        <v>228</v>
      </c>
      <c r="G258" s="56">
        <v>44020.479664351849</v>
      </c>
      <c r="H258">
        <v>33</v>
      </c>
      <c r="I258">
        <v>14392</v>
      </c>
      <c r="J258" t="s">
        <v>50</v>
      </c>
      <c r="K258" t="s">
        <v>50</v>
      </c>
      <c r="L258" t="s">
        <v>159</v>
      </c>
      <c r="M258" t="s">
        <v>51</v>
      </c>
      <c r="N258" t="s">
        <v>92</v>
      </c>
      <c r="O258" s="1">
        <v>41335</v>
      </c>
      <c r="P258" t="s">
        <v>84</v>
      </c>
      <c r="Q258">
        <v>2</v>
      </c>
      <c r="R258" t="s">
        <v>94</v>
      </c>
      <c r="S258">
        <v>5.0652330000000001</v>
      </c>
      <c r="T258">
        <v>73.772999999999996</v>
      </c>
      <c r="U258" t="s">
        <v>351</v>
      </c>
      <c r="V258" t="s">
        <v>351</v>
      </c>
      <c r="W258">
        <v>374</v>
      </c>
    </row>
    <row r="259" spans="1:23" x14ac:dyDescent="0.25">
      <c r="A259" s="1">
        <v>43983</v>
      </c>
      <c r="B259" s="1">
        <v>43983</v>
      </c>
      <c r="C259" t="s">
        <v>157</v>
      </c>
      <c r="D259" t="s">
        <v>54</v>
      </c>
      <c r="E259" t="s">
        <v>21</v>
      </c>
      <c r="F259" t="s">
        <v>224</v>
      </c>
      <c r="G259" s="56">
        <v>44020.479664351849</v>
      </c>
      <c r="H259">
        <v>33</v>
      </c>
      <c r="I259">
        <v>14392</v>
      </c>
      <c r="J259" t="s">
        <v>50</v>
      </c>
      <c r="K259" t="s">
        <v>50</v>
      </c>
      <c r="L259" t="s">
        <v>159</v>
      </c>
      <c r="M259" t="s">
        <v>51</v>
      </c>
      <c r="N259" t="s">
        <v>92</v>
      </c>
      <c r="O259" s="1">
        <v>41335</v>
      </c>
      <c r="P259" t="s">
        <v>84</v>
      </c>
      <c r="Q259">
        <v>3</v>
      </c>
      <c r="R259" t="s">
        <v>81</v>
      </c>
      <c r="S259" t="s">
        <v>351</v>
      </c>
      <c r="T259" t="s">
        <v>351</v>
      </c>
      <c r="U259">
        <v>0</v>
      </c>
      <c r="V259">
        <v>5767.18</v>
      </c>
      <c r="W259">
        <v>0</v>
      </c>
    </row>
    <row r="260" spans="1:23" x14ac:dyDescent="0.25">
      <c r="A260" s="1">
        <v>43983</v>
      </c>
      <c r="B260" s="1">
        <v>43983</v>
      </c>
      <c r="C260" t="s">
        <v>157</v>
      </c>
      <c r="D260" t="s">
        <v>93</v>
      </c>
      <c r="E260" t="s">
        <v>49</v>
      </c>
      <c r="F260" t="s">
        <v>229</v>
      </c>
      <c r="G260" s="56">
        <v>44057.743877314817</v>
      </c>
      <c r="H260">
        <v>61</v>
      </c>
      <c r="I260" t="s">
        <v>351</v>
      </c>
      <c r="J260" t="s">
        <v>50</v>
      </c>
      <c r="K260" t="s">
        <v>50</v>
      </c>
      <c r="L260" t="s">
        <v>159</v>
      </c>
      <c r="M260" t="s">
        <v>51</v>
      </c>
      <c r="N260" t="s">
        <v>92</v>
      </c>
      <c r="O260" s="1">
        <v>41335</v>
      </c>
      <c r="P260" t="s">
        <v>84</v>
      </c>
      <c r="Q260">
        <v>3</v>
      </c>
      <c r="R260" t="s">
        <v>81</v>
      </c>
      <c r="S260">
        <v>1</v>
      </c>
      <c r="T260">
        <v>-200</v>
      </c>
      <c r="U260" t="s">
        <v>351</v>
      </c>
      <c r="V260" t="s">
        <v>351</v>
      </c>
      <c r="W260">
        <v>-200</v>
      </c>
    </row>
    <row r="261" spans="1:23" x14ac:dyDescent="0.25">
      <c r="A261" s="1">
        <v>43983</v>
      </c>
      <c r="B261" s="1">
        <v>43983</v>
      </c>
      <c r="C261" t="s">
        <v>157</v>
      </c>
      <c r="D261" t="s">
        <v>48</v>
      </c>
      <c r="E261" t="s">
        <v>49</v>
      </c>
      <c r="F261" t="s">
        <v>228</v>
      </c>
      <c r="G261" s="56">
        <v>44020.479664351849</v>
      </c>
      <c r="H261">
        <v>33</v>
      </c>
      <c r="I261">
        <v>14392</v>
      </c>
      <c r="J261" t="s">
        <v>50</v>
      </c>
      <c r="K261" t="s">
        <v>50</v>
      </c>
      <c r="L261" t="s">
        <v>159</v>
      </c>
      <c r="M261" t="s">
        <v>51</v>
      </c>
      <c r="N261" t="s">
        <v>92</v>
      </c>
      <c r="O261" s="1">
        <v>41335</v>
      </c>
      <c r="P261" t="s">
        <v>84</v>
      </c>
      <c r="Q261">
        <v>3</v>
      </c>
      <c r="R261" t="s">
        <v>81</v>
      </c>
      <c r="S261">
        <v>361.77921099999998</v>
      </c>
      <c r="T261">
        <v>67.765000000000001</v>
      </c>
      <c r="U261" t="s">
        <v>351</v>
      </c>
      <c r="V261" t="s">
        <v>351</v>
      </c>
      <c r="W261">
        <v>24516</v>
      </c>
    </row>
    <row r="262" spans="1:23" x14ac:dyDescent="0.25">
      <c r="A262" s="1">
        <v>43983</v>
      </c>
      <c r="B262" s="1">
        <v>43983</v>
      </c>
      <c r="C262" t="s">
        <v>157</v>
      </c>
      <c r="D262" t="s">
        <v>54</v>
      </c>
      <c r="E262" t="s">
        <v>21</v>
      </c>
      <c r="F262" t="s">
        <v>224</v>
      </c>
      <c r="G262" s="56">
        <v>44020.479664351849</v>
      </c>
      <c r="H262">
        <v>33</v>
      </c>
      <c r="I262">
        <v>14392</v>
      </c>
      <c r="J262" t="s">
        <v>50</v>
      </c>
      <c r="K262" t="s">
        <v>50</v>
      </c>
      <c r="L262" t="s">
        <v>159</v>
      </c>
      <c r="M262" t="s">
        <v>51</v>
      </c>
      <c r="N262" t="s">
        <v>92</v>
      </c>
      <c r="O262" s="1">
        <v>41335</v>
      </c>
      <c r="P262" t="s">
        <v>84</v>
      </c>
      <c r="Q262">
        <v>4</v>
      </c>
      <c r="R262" t="s">
        <v>27</v>
      </c>
      <c r="S262" t="s">
        <v>351</v>
      </c>
      <c r="T262" t="s">
        <v>351</v>
      </c>
      <c r="U262">
        <v>0</v>
      </c>
      <c r="V262">
        <v>5963.14</v>
      </c>
      <c r="W262">
        <v>0</v>
      </c>
    </row>
    <row r="263" spans="1:23" x14ac:dyDescent="0.25">
      <c r="A263" s="1">
        <v>43983</v>
      </c>
      <c r="B263" s="1">
        <v>43983</v>
      </c>
      <c r="C263" t="s">
        <v>157</v>
      </c>
      <c r="D263" t="s">
        <v>93</v>
      </c>
      <c r="E263" t="s">
        <v>49</v>
      </c>
      <c r="F263" t="s">
        <v>229</v>
      </c>
      <c r="G263" s="56">
        <v>44057.743877314817</v>
      </c>
      <c r="H263">
        <v>61</v>
      </c>
      <c r="I263" t="s">
        <v>351</v>
      </c>
      <c r="J263" t="s">
        <v>50</v>
      </c>
      <c r="K263" t="s">
        <v>50</v>
      </c>
      <c r="L263" t="s">
        <v>159</v>
      </c>
      <c r="M263" t="s">
        <v>51</v>
      </c>
      <c r="N263" t="s">
        <v>92</v>
      </c>
      <c r="O263" s="1">
        <v>41335</v>
      </c>
      <c r="P263" t="s">
        <v>84</v>
      </c>
      <c r="Q263">
        <v>4</v>
      </c>
      <c r="R263" t="s">
        <v>27</v>
      </c>
      <c r="S263">
        <v>1</v>
      </c>
      <c r="T263">
        <v>-1279</v>
      </c>
      <c r="U263" t="s">
        <v>351</v>
      </c>
      <c r="V263" t="s">
        <v>351</v>
      </c>
      <c r="W263">
        <v>-1279</v>
      </c>
    </row>
    <row r="264" spans="1:23" x14ac:dyDescent="0.25">
      <c r="A264" s="1">
        <v>43983</v>
      </c>
      <c r="B264" s="1">
        <v>43983</v>
      </c>
      <c r="C264" t="s">
        <v>157</v>
      </c>
      <c r="D264" t="s">
        <v>48</v>
      </c>
      <c r="E264" t="s">
        <v>49</v>
      </c>
      <c r="F264" t="s">
        <v>228</v>
      </c>
      <c r="G264" s="56">
        <v>44020.479664351849</v>
      </c>
      <c r="H264">
        <v>33</v>
      </c>
      <c r="I264">
        <v>14392</v>
      </c>
      <c r="J264" t="s">
        <v>50</v>
      </c>
      <c r="K264" t="s">
        <v>50</v>
      </c>
      <c r="L264" t="s">
        <v>159</v>
      </c>
      <c r="M264" t="s">
        <v>51</v>
      </c>
      <c r="N264" t="s">
        <v>92</v>
      </c>
      <c r="O264" s="1">
        <v>41335</v>
      </c>
      <c r="P264" t="s">
        <v>84</v>
      </c>
      <c r="Q264">
        <v>4</v>
      </c>
      <c r="R264" t="s">
        <v>27</v>
      </c>
      <c r="S264">
        <v>2272.4959020000001</v>
      </c>
      <c r="T264">
        <v>69.12</v>
      </c>
      <c r="U264" t="s">
        <v>351</v>
      </c>
      <c r="V264" t="s">
        <v>351</v>
      </c>
      <c r="W264">
        <v>157075</v>
      </c>
    </row>
    <row r="265" spans="1:23" x14ac:dyDescent="0.25">
      <c r="A265" s="1">
        <v>43983</v>
      </c>
      <c r="B265" s="1">
        <v>43983</v>
      </c>
      <c r="C265" t="s">
        <v>157</v>
      </c>
      <c r="D265" t="s">
        <v>54</v>
      </c>
      <c r="E265" t="s">
        <v>21</v>
      </c>
      <c r="F265" t="s">
        <v>224</v>
      </c>
      <c r="G265" s="56">
        <v>44020.479664351849</v>
      </c>
      <c r="H265">
        <v>33</v>
      </c>
      <c r="I265">
        <v>14392</v>
      </c>
      <c r="J265" t="s">
        <v>50</v>
      </c>
      <c r="K265" t="s">
        <v>50</v>
      </c>
      <c r="L265" t="s">
        <v>159</v>
      </c>
      <c r="M265" t="s">
        <v>51</v>
      </c>
      <c r="N265" t="s">
        <v>92</v>
      </c>
      <c r="O265" s="1">
        <v>41335</v>
      </c>
      <c r="P265" t="s">
        <v>84</v>
      </c>
      <c r="Q265">
        <v>5</v>
      </c>
      <c r="R265" t="s">
        <v>28</v>
      </c>
      <c r="S265" t="s">
        <v>351</v>
      </c>
      <c r="T265" t="s">
        <v>351</v>
      </c>
      <c r="U265">
        <v>0</v>
      </c>
      <c r="V265">
        <v>5783.56</v>
      </c>
      <c r="W265">
        <v>0</v>
      </c>
    </row>
    <row r="266" spans="1:23" x14ac:dyDescent="0.25">
      <c r="A266" s="1">
        <v>43983</v>
      </c>
      <c r="B266" s="1">
        <v>43983</v>
      </c>
      <c r="C266" t="s">
        <v>157</v>
      </c>
      <c r="D266" t="s">
        <v>93</v>
      </c>
      <c r="E266" t="s">
        <v>49</v>
      </c>
      <c r="F266" t="s">
        <v>229</v>
      </c>
      <c r="G266" s="56">
        <v>44057.743877314817</v>
      </c>
      <c r="H266">
        <v>61</v>
      </c>
      <c r="I266" t="s">
        <v>351</v>
      </c>
      <c r="J266" t="s">
        <v>50</v>
      </c>
      <c r="K266" t="s">
        <v>50</v>
      </c>
      <c r="L266" t="s">
        <v>159</v>
      </c>
      <c r="M266" t="s">
        <v>51</v>
      </c>
      <c r="N266" t="s">
        <v>92</v>
      </c>
      <c r="O266" s="1">
        <v>41335</v>
      </c>
      <c r="P266" t="s">
        <v>84</v>
      </c>
      <c r="Q266">
        <v>5</v>
      </c>
      <c r="R266" t="s">
        <v>28</v>
      </c>
      <c r="S266">
        <v>1</v>
      </c>
      <c r="T266">
        <v>-8</v>
      </c>
      <c r="U266" t="s">
        <v>351</v>
      </c>
      <c r="V266" t="s">
        <v>351</v>
      </c>
      <c r="W266">
        <v>-8</v>
      </c>
    </row>
    <row r="267" spans="1:23" x14ac:dyDescent="0.25">
      <c r="A267" s="1">
        <v>43983</v>
      </c>
      <c r="B267" s="1">
        <v>43983</v>
      </c>
      <c r="C267" t="s">
        <v>157</v>
      </c>
      <c r="D267" t="s">
        <v>48</v>
      </c>
      <c r="E267" t="s">
        <v>49</v>
      </c>
      <c r="F267" t="s">
        <v>228</v>
      </c>
      <c r="G267" s="56">
        <v>44020.479664351849</v>
      </c>
      <c r="H267">
        <v>33</v>
      </c>
      <c r="I267">
        <v>14392</v>
      </c>
      <c r="J267" t="s">
        <v>50</v>
      </c>
      <c r="K267" t="s">
        <v>50</v>
      </c>
      <c r="L267" t="s">
        <v>159</v>
      </c>
      <c r="M267" t="s">
        <v>51</v>
      </c>
      <c r="N267" t="s">
        <v>92</v>
      </c>
      <c r="O267" s="1">
        <v>41335</v>
      </c>
      <c r="P267" t="s">
        <v>84</v>
      </c>
      <c r="Q267">
        <v>5</v>
      </c>
      <c r="R267" t="s">
        <v>28</v>
      </c>
      <c r="S267">
        <v>13.447563000000001</v>
      </c>
      <c r="T267">
        <v>71.932000000000002</v>
      </c>
      <c r="U267" t="s">
        <v>351</v>
      </c>
      <c r="V267" t="s">
        <v>351</v>
      </c>
      <c r="W267">
        <v>967</v>
      </c>
    </row>
    <row r="268" spans="1:23" x14ac:dyDescent="0.25">
      <c r="A268" s="1">
        <v>44013</v>
      </c>
      <c r="B268" s="1">
        <v>44013</v>
      </c>
      <c r="C268" t="s">
        <v>157</v>
      </c>
      <c r="D268" t="s">
        <v>54</v>
      </c>
      <c r="E268" t="s">
        <v>21</v>
      </c>
      <c r="F268" t="s">
        <v>231</v>
      </c>
      <c r="G268" s="56">
        <v>44053.449259259258</v>
      </c>
      <c r="H268">
        <v>33</v>
      </c>
      <c r="I268">
        <v>14796</v>
      </c>
      <c r="J268" t="s">
        <v>50</v>
      </c>
      <c r="K268" t="s">
        <v>50</v>
      </c>
      <c r="L268" t="s">
        <v>159</v>
      </c>
      <c r="M268" t="s">
        <v>51</v>
      </c>
      <c r="N268" t="s">
        <v>92</v>
      </c>
      <c r="O268" s="1">
        <v>41335</v>
      </c>
      <c r="P268" t="s">
        <v>84</v>
      </c>
      <c r="Q268">
        <v>1</v>
      </c>
      <c r="R268" t="s">
        <v>83</v>
      </c>
      <c r="S268" t="s">
        <v>351</v>
      </c>
      <c r="T268" t="s">
        <v>351</v>
      </c>
      <c r="U268">
        <v>0</v>
      </c>
      <c r="V268">
        <v>6059.26</v>
      </c>
      <c r="W268">
        <v>0</v>
      </c>
    </row>
    <row r="269" spans="1:23" x14ac:dyDescent="0.25">
      <c r="A269" s="1">
        <v>44013</v>
      </c>
      <c r="B269" s="1">
        <v>44013</v>
      </c>
      <c r="C269" t="s">
        <v>157</v>
      </c>
      <c r="D269" t="s">
        <v>93</v>
      </c>
      <c r="E269" t="s">
        <v>49</v>
      </c>
      <c r="F269" t="s">
        <v>236</v>
      </c>
      <c r="G269" s="56">
        <v>44082.485532407409</v>
      </c>
      <c r="H269">
        <v>33</v>
      </c>
      <c r="I269" t="s">
        <v>351</v>
      </c>
      <c r="J269" t="s">
        <v>50</v>
      </c>
      <c r="K269" t="s">
        <v>50</v>
      </c>
      <c r="L269" t="s">
        <v>159</v>
      </c>
      <c r="M269" t="s">
        <v>51</v>
      </c>
      <c r="N269" t="s">
        <v>92</v>
      </c>
      <c r="O269" s="1">
        <v>41335</v>
      </c>
      <c r="P269" t="s">
        <v>84</v>
      </c>
      <c r="Q269">
        <v>1</v>
      </c>
      <c r="R269" t="s">
        <v>83</v>
      </c>
      <c r="S269">
        <v>1</v>
      </c>
      <c r="T269">
        <v>7664</v>
      </c>
      <c r="U269" t="s">
        <v>351</v>
      </c>
      <c r="V269" t="s">
        <v>351</v>
      </c>
      <c r="W269">
        <v>7664</v>
      </c>
    </row>
    <row r="270" spans="1:23" x14ac:dyDescent="0.25">
      <c r="A270" s="1">
        <v>44013</v>
      </c>
      <c r="B270" s="1">
        <v>44013</v>
      </c>
      <c r="C270" t="s">
        <v>157</v>
      </c>
      <c r="D270" t="s">
        <v>48</v>
      </c>
      <c r="E270" t="s">
        <v>49</v>
      </c>
      <c r="F270" t="s">
        <v>235</v>
      </c>
      <c r="G270" s="56">
        <v>44053.449259259258</v>
      </c>
      <c r="H270">
        <v>33</v>
      </c>
      <c r="I270">
        <v>14796</v>
      </c>
      <c r="J270" t="s">
        <v>50</v>
      </c>
      <c r="K270" t="s">
        <v>50</v>
      </c>
      <c r="L270" t="s">
        <v>159</v>
      </c>
      <c r="M270" t="s">
        <v>51</v>
      </c>
      <c r="N270" t="s">
        <v>92</v>
      </c>
      <c r="O270" s="1">
        <v>41335</v>
      </c>
      <c r="P270" t="s">
        <v>84</v>
      </c>
      <c r="Q270">
        <v>1</v>
      </c>
      <c r="R270" t="s">
        <v>83</v>
      </c>
      <c r="S270">
        <v>2138.52</v>
      </c>
      <c r="T270">
        <v>76.587000000000003</v>
      </c>
      <c r="U270" t="s">
        <v>351</v>
      </c>
      <c r="V270" t="s">
        <v>351</v>
      </c>
      <c r="W270">
        <v>163783</v>
      </c>
    </row>
    <row r="271" spans="1:23" x14ac:dyDescent="0.25">
      <c r="A271" s="1">
        <v>44013</v>
      </c>
      <c r="B271" s="1">
        <v>44013</v>
      </c>
      <c r="C271" t="s">
        <v>157</v>
      </c>
      <c r="D271" t="s">
        <v>54</v>
      </c>
      <c r="E271" t="s">
        <v>21</v>
      </c>
      <c r="F271" t="s">
        <v>231</v>
      </c>
      <c r="G271" s="56">
        <v>44053.449259259258</v>
      </c>
      <c r="H271">
        <v>33</v>
      </c>
      <c r="I271">
        <v>14796</v>
      </c>
      <c r="J271" t="s">
        <v>50</v>
      </c>
      <c r="K271" t="s">
        <v>50</v>
      </c>
      <c r="L271" t="s">
        <v>159</v>
      </c>
      <c r="M271" t="s">
        <v>51</v>
      </c>
      <c r="N271" t="s">
        <v>92</v>
      </c>
      <c r="O271" s="1">
        <v>41335</v>
      </c>
      <c r="P271" t="s">
        <v>84</v>
      </c>
      <c r="Q271">
        <v>2</v>
      </c>
      <c r="R271" t="s">
        <v>94</v>
      </c>
      <c r="S271" t="s">
        <v>351</v>
      </c>
      <c r="T271" t="s">
        <v>351</v>
      </c>
      <c r="U271">
        <v>0</v>
      </c>
      <c r="V271">
        <v>6135.34</v>
      </c>
      <c r="W271">
        <v>0</v>
      </c>
    </row>
    <row r="272" spans="1:23" x14ac:dyDescent="0.25">
      <c r="A272" s="1">
        <v>44013</v>
      </c>
      <c r="B272" s="1">
        <v>44013</v>
      </c>
      <c r="C272" t="s">
        <v>157</v>
      </c>
      <c r="D272" t="s">
        <v>93</v>
      </c>
      <c r="E272" t="s">
        <v>49</v>
      </c>
      <c r="F272" t="s">
        <v>236</v>
      </c>
      <c r="G272" s="56">
        <v>44082.485532407409</v>
      </c>
      <c r="H272">
        <v>33</v>
      </c>
      <c r="I272" t="s">
        <v>351</v>
      </c>
      <c r="J272" t="s">
        <v>50</v>
      </c>
      <c r="K272" t="s">
        <v>50</v>
      </c>
      <c r="L272" t="s">
        <v>159</v>
      </c>
      <c r="M272" t="s">
        <v>51</v>
      </c>
      <c r="N272" t="s">
        <v>92</v>
      </c>
      <c r="O272" s="1">
        <v>41335</v>
      </c>
      <c r="P272" t="s">
        <v>84</v>
      </c>
      <c r="Q272">
        <v>2</v>
      </c>
      <c r="R272" t="s">
        <v>94</v>
      </c>
      <c r="S272">
        <v>1</v>
      </c>
      <c r="T272">
        <v>35</v>
      </c>
      <c r="U272" t="s">
        <v>351</v>
      </c>
      <c r="V272" t="s">
        <v>351</v>
      </c>
      <c r="W272">
        <v>35</v>
      </c>
    </row>
    <row r="273" spans="1:23" x14ac:dyDescent="0.25">
      <c r="A273" s="1">
        <v>44013</v>
      </c>
      <c r="B273" s="1">
        <v>44013</v>
      </c>
      <c r="C273" t="s">
        <v>157</v>
      </c>
      <c r="D273" t="s">
        <v>48</v>
      </c>
      <c r="E273" t="s">
        <v>49</v>
      </c>
      <c r="F273" t="s">
        <v>235</v>
      </c>
      <c r="G273" s="56">
        <v>44053.449259259258</v>
      </c>
      <c r="H273">
        <v>33</v>
      </c>
      <c r="I273">
        <v>14796</v>
      </c>
      <c r="J273" t="s">
        <v>50</v>
      </c>
      <c r="K273" t="s">
        <v>50</v>
      </c>
      <c r="L273" t="s">
        <v>159</v>
      </c>
      <c r="M273" t="s">
        <v>51</v>
      </c>
      <c r="N273" t="s">
        <v>92</v>
      </c>
      <c r="O273" s="1">
        <v>41335</v>
      </c>
      <c r="P273" t="s">
        <v>84</v>
      </c>
      <c r="Q273">
        <v>2</v>
      </c>
      <c r="R273" t="s">
        <v>94</v>
      </c>
      <c r="S273">
        <v>9.5288520000000005</v>
      </c>
      <c r="T273">
        <v>77.677999999999997</v>
      </c>
      <c r="U273" t="s">
        <v>351</v>
      </c>
      <c r="V273" t="s">
        <v>351</v>
      </c>
      <c r="W273">
        <v>740</v>
      </c>
    </row>
    <row r="274" spans="1:23" x14ac:dyDescent="0.25">
      <c r="A274" s="1">
        <v>44013</v>
      </c>
      <c r="B274" s="1">
        <v>44013</v>
      </c>
      <c r="C274" t="s">
        <v>157</v>
      </c>
      <c r="D274" t="s">
        <v>54</v>
      </c>
      <c r="E274" t="s">
        <v>21</v>
      </c>
      <c r="F274" t="s">
        <v>231</v>
      </c>
      <c r="G274" s="56">
        <v>44053.449259259258</v>
      </c>
      <c r="H274">
        <v>33</v>
      </c>
      <c r="I274">
        <v>14796</v>
      </c>
      <c r="J274" t="s">
        <v>50</v>
      </c>
      <c r="K274" t="s">
        <v>50</v>
      </c>
      <c r="L274" t="s">
        <v>159</v>
      </c>
      <c r="M274" t="s">
        <v>51</v>
      </c>
      <c r="N274" t="s">
        <v>92</v>
      </c>
      <c r="O274" s="1">
        <v>41335</v>
      </c>
      <c r="P274" t="s">
        <v>84</v>
      </c>
      <c r="Q274">
        <v>3</v>
      </c>
      <c r="R274" t="s">
        <v>81</v>
      </c>
      <c r="S274" t="s">
        <v>351</v>
      </c>
      <c r="T274" t="s">
        <v>351</v>
      </c>
      <c r="U274">
        <v>0</v>
      </c>
      <c r="V274">
        <v>5857.61</v>
      </c>
      <c r="W274">
        <v>0</v>
      </c>
    </row>
    <row r="275" spans="1:23" x14ac:dyDescent="0.25">
      <c r="A275" s="1">
        <v>44013</v>
      </c>
      <c r="B275" s="1">
        <v>44013</v>
      </c>
      <c r="C275" t="s">
        <v>157</v>
      </c>
      <c r="D275" t="s">
        <v>93</v>
      </c>
      <c r="E275" t="s">
        <v>49</v>
      </c>
      <c r="F275" t="s">
        <v>236</v>
      </c>
      <c r="G275" s="56">
        <v>44082.485532407409</v>
      </c>
      <c r="H275">
        <v>33</v>
      </c>
      <c r="I275" t="s">
        <v>351</v>
      </c>
      <c r="J275" t="s">
        <v>50</v>
      </c>
      <c r="K275" t="s">
        <v>50</v>
      </c>
      <c r="L275" t="s">
        <v>159</v>
      </c>
      <c r="M275" t="s">
        <v>51</v>
      </c>
      <c r="N275" t="s">
        <v>92</v>
      </c>
      <c r="O275" s="1">
        <v>41335</v>
      </c>
      <c r="P275" t="s">
        <v>84</v>
      </c>
      <c r="Q275">
        <v>3</v>
      </c>
      <c r="R275" t="s">
        <v>81</v>
      </c>
      <c r="S275">
        <v>1</v>
      </c>
      <c r="T275">
        <v>1075</v>
      </c>
      <c r="U275" t="s">
        <v>351</v>
      </c>
      <c r="V275" t="s">
        <v>351</v>
      </c>
      <c r="W275">
        <v>1075</v>
      </c>
    </row>
    <row r="276" spans="1:23" x14ac:dyDescent="0.25">
      <c r="A276" s="1">
        <v>44013</v>
      </c>
      <c r="B276" s="1">
        <v>44013</v>
      </c>
      <c r="C276" t="s">
        <v>157</v>
      </c>
      <c r="D276" t="s">
        <v>48</v>
      </c>
      <c r="E276" t="s">
        <v>49</v>
      </c>
      <c r="F276" t="s">
        <v>235</v>
      </c>
      <c r="G276" s="56">
        <v>44053.449259259258</v>
      </c>
      <c r="H276">
        <v>33</v>
      </c>
      <c r="I276">
        <v>14796</v>
      </c>
      <c r="J276" t="s">
        <v>50</v>
      </c>
      <c r="K276" t="s">
        <v>50</v>
      </c>
      <c r="L276" t="s">
        <v>159</v>
      </c>
      <c r="M276" t="s">
        <v>51</v>
      </c>
      <c r="N276" t="s">
        <v>92</v>
      </c>
      <c r="O276" s="1">
        <v>41335</v>
      </c>
      <c r="P276" t="s">
        <v>84</v>
      </c>
      <c r="Q276">
        <v>3</v>
      </c>
      <c r="R276" t="s">
        <v>81</v>
      </c>
      <c r="S276">
        <v>314.28954700000003</v>
      </c>
      <c r="T276">
        <v>73.070999999999998</v>
      </c>
      <c r="U276" t="s">
        <v>351</v>
      </c>
      <c r="V276" t="s">
        <v>351</v>
      </c>
      <c r="W276">
        <v>22965</v>
      </c>
    </row>
    <row r="277" spans="1:23" x14ac:dyDescent="0.25">
      <c r="A277" s="1">
        <v>44013</v>
      </c>
      <c r="B277" s="1">
        <v>44013</v>
      </c>
      <c r="C277" t="s">
        <v>157</v>
      </c>
      <c r="D277" t="s">
        <v>54</v>
      </c>
      <c r="E277" t="s">
        <v>21</v>
      </c>
      <c r="F277" t="s">
        <v>231</v>
      </c>
      <c r="G277" s="56">
        <v>44053.449259259258</v>
      </c>
      <c r="H277">
        <v>33</v>
      </c>
      <c r="I277">
        <v>14796</v>
      </c>
      <c r="J277" t="s">
        <v>50</v>
      </c>
      <c r="K277" t="s">
        <v>50</v>
      </c>
      <c r="L277" t="s">
        <v>159</v>
      </c>
      <c r="M277" t="s">
        <v>51</v>
      </c>
      <c r="N277" t="s">
        <v>92</v>
      </c>
      <c r="O277" s="1">
        <v>41335</v>
      </c>
      <c r="P277" t="s">
        <v>84</v>
      </c>
      <c r="Q277">
        <v>4</v>
      </c>
      <c r="R277" t="s">
        <v>27</v>
      </c>
      <c r="S277" t="s">
        <v>351</v>
      </c>
      <c r="T277" t="s">
        <v>351</v>
      </c>
      <c r="U277">
        <v>0</v>
      </c>
      <c r="V277">
        <v>5984.4</v>
      </c>
      <c r="W277">
        <v>0</v>
      </c>
    </row>
    <row r="278" spans="1:23" x14ac:dyDescent="0.25">
      <c r="A278" s="1">
        <v>44013</v>
      </c>
      <c r="B278" s="1">
        <v>44013</v>
      </c>
      <c r="C278" t="s">
        <v>157</v>
      </c>
      <c r="D278" t="s">
        <v>93</v>
      </c>
      <c r="E278" t="s">
        <v>49</v>
      </c>
      <c r="F278" t="s">
        <v>236</v>
      </c>
      <c r="G278" s="56">
        <v>44082.485532407409</v>
      </c>
      <c r="H278">
        <v>33</v>
      </c>
      <c r="I278" t="s">
        <v>351</v>
      </c>
      <c r="J278" t="s">
        <v>50</v>
      </c>
      <c r="K278" t="s">
        <v>50</v>
      </c>
      <c r="L278" t="s">
        <v>159</v>
      </c>
      <c r="M278" t="s">
        <v>51</v>
      </c>
      <c r="N278" t="s">
        <v>92</v>
      </c>
      <c r="O278" s="1">
        <v>41335</v>
      </c>
      <c r="P278" t="s">
        <v>84</v>
      </c>
      <c r="Q278">
        <v>4</v>
      </c>
      <c r="R278" t="s">
        <v>27</v>
      </c>
      <c r="S278">
        <v>1</v>
      </c>
      <c r="T278">
        <v>9294</v>
      </c>
      <c r="U278" t="s">
        <v>351</v>
      </c>
      <c r="V278" t="s">
        <v>351</v>
      </c>
      <c r="W278">
        <v>9294</v>
      </c>
    </row>
    <row r="279" spans="1:23" x14ac:dyDescent="0.25">
      <c r="A279" s="1">
        <v>44013</v>
      </c>
      <c r="B279" s="1">
        <v>44013</v>
      </c>
      <c r="C279" t="s">
        <v>157</v>
      </c>
      <c r="D279" t="s">
        <v>48</v>
      </c>
      <c r="E279" t="s">
        <v>49</v>
      </c>
      <c r="F279" t="s">
        <v>235</v>
      </c>
      <c r="G279" s="56">
        <v>44053.449259259258</v>
      </c>
      <c r="H279">
        <v>33</v>
      </c>
      <c r="I279">
        <v>14796</v>
      </c>
      <c r="J279" t="s">
        <v>50</v>
      </c>
      <c r="K279" t="s">
        <v>50</v>
      </c>
      <c r="L279" t="s">
        <v>159</v>
      </c>
      <c r="M279" t="s">
        <v>51</v>
      </c>
      <c r="N279" t="s">
        <v>92</v>
      </c>
      <c r="O279" s="1">
        <v>41335</v>
      </c>
      <c r="P279" t="s">
        <v>84</v>
      </c>
      <c r="Q279">
        <v>4</v>
      </c>
      <c r="R279" t="s">
        <v>27</v>
      </c>
      <c r="S279">
        <v>2713.5583329999999</v>
      </c>
      <c r="T279">
        <v>73.188999999999993</v>
      </c>
      <c r="U279" t="s">
        <v>351</v>
      </c>
      <c r="V279" t="s">
        <v>351</v>
      </c>
      <c r="W279">
        <v>198603</v>
      </c>
    </row>
    <row r="280" spans="1:23" x14ac:dyDescent="0.25">
      <c r="A280" s="1">
        <v>44013</v>
      </c>
      <c r="B280" s="1">
        <v>44013</v>
      </c>
      <c r="C280" t="s">
        <v>157</v>
      </c>
      <c r="D280" t="s">
        <v>54</v>
      </c>
      <c r="E280" t="s">
        <v>21</v>
      </c>
      <c r="F280" t="s">
        <v>231</v>
      </c>
      <c r="G280" s="56">
        <v>44053.449259259258</v>
      </c>
      <c r="H280">
        <v>33</v>
      </c>
      <c r="I280">
        <v>14796</v>
      </c>
      <c r="J280" t="s">
        <v>50</v>
      </c>
      <c r="K280" t="s">
        <v>50</v>
      </c>
      <c r="L280" t="s">
        <v>159</v>
      </c>
      <c r="M280" t="s">
        <v>51</v>
      </c>
      <c r="N280" t="s">
        <v>92</v>
      </c>
      <c r="O280" s="1">
        <v>41335</v>
      </c>
      <c r="P280" t="s">
        <v>84</v>
      </c>
      <c r="Q280">
        <v>5</v>
      </c>
      <c r="R280" t="s">
        <v>28</v>
      </c>
      <c r="S280" t="s">
        <v>351</v>
      </c>
      <c r="T280" t="s">
        <v>351</v>
      </c>
      <c r="U280">
        <v>0</v>
      </c>
      <c r="V280">
        <v>5746.52</v>
      </c>
      <c r="W280">
        <v>0</v>
      </c>
    </row>
    <row r="281" spans="1:23" x14ac:dyDescent="0.25">
      <c r="A281" s="1">
        <v>44013</v>
      </c>
      <c r="B281" s="1">
        <v>44013</v>
      </c>
      <c r="C281" t="s">
        <v>157</v>
      </c>
      <c r="D281" t="s">
        <v>93</v>
      </c>
      <c r="E281" t="s">
        <v>49</v>
      </c>
      <c r="F281" t="s">
        <v>236</v>
      </c>
      <c r="G281" s="56">
        <v>44082.485532407409</v>
      </c>
      <c r="H281">
        <v>33</v>
      </c>
      <c r="I281" t="s">
        <v>351</v>
      </c>
      <c r="J281" t="s">
        <v>50</v>
      </c>
      <c r="K281" t="s">
        <v>50</v>
      </c>
      <c r="L281" t="s">
        <v>159</v>
      </c>
      <c r="M281" t="s">
        <v>51</v>
      </c>
      <c r="N281" t="s">
        <v>92</v>
      </c>
      <c r="O281" s="1">
        <v>41335</v>
      </c>
      <c r="P281" t="s">
        <v>84</v>
      </c>
      <c r="Q281">
        <v>5</v>
      </c>
      <c r="R281" t="s">
        <v>28</v>
      </c>
      <c r="S281">
        <v>1</v>
      </c>
      <c r="T281">
        <v>40</v>
      </c>
      <c r="U281" t="s">
        <v>351</v>
      </c>
      <c r="V281" t="s">
        <v>351</v>
      </c>
      <c r="W281">
        <v>40</v>
      </c>
    </row>
    <row r="282" spans="1:23" x14ac:dyDescent="0.25">
      <c r="A282" s="1">
        <v>44013</v>
      </c>
      <c r="B282" s="1">
        <v>44013</v>
      </c>
      <c r="C282" t="s">
        <v>157</v>
      </c>
      <c r="D282" t="s">
        <v>48</v>
      </c>
      <c r="E282" t="s">
        <v>49</v>
      </c>
      <c r="F282" t="s">
        <v>235</v>
      </c>
      <c r="G282" s="56">
        <v>44053.449259259258</v>
      </c>
      <c r="H282">
        <v>33</v>
      </c>
      <c r="I282">
        <v>14796</v>
      </c>
      <c r="J282" t="s">
        <v>50</v>
      </c>
      <c r="K282" t="s">
        <v>50</v>
      </c>
      <c r="L282" t="s">
        <v>159</v>
      </c>
      <c r="M282" t="s">
        <v>51</v>
      </c>
      <c r="N282" t="s">
        <v>92</v>
      </c>
      <c r="O282" s="1">
        <v>41335</v>
      </c>
      <c r="P282" t="s">
        <v>84</v>
      </c>
      <c r="Q282">
        <v>5</v>
      </c>
      <c r="R282" t="s">
        <v>28</v>
      </c>
      <c r="S282">
        <v>11.248535</v>
      </c>
      <c r="T282">
        <v>75.629000000000005</v>
      </c>
      <c r="U282" t="s">
        <v>351</v>
      </c>
      <c r="V282" t="s">
        <v>351</v>
      </c>
      <c r="W282">
        <v>851</v>
      </c>
    </row>
    <row r="283" spans="1:23" x14ac:dyDescent="0.25">
      <c r="A283" s="1">
        <v>44044</v>
      </c>
      <c r="B283" s="1">
        <v>44044</v>
      </c>
      <c r="C283" t="s">
        <v>157</v>
      </c>
      <c r="D283" t="s">
        <v>54</v>
      </c>
      <c r="E283" t="s">
        <v>21</v>
      </c>
      <c r="F283" t="s">
        <v>238</v>
      </c>
      <c r="G283" s="56">
        <v>44081.950659722221</v>
      </c>
      <c r="H283">
        <v>33</v>
      </c>
      <c r="I283">
        <v>15128</v>
      </c>
      <c r="J283" t="s">
        <v>50</v>
      </c>
      <c r="K283" t="s">
        <v>50</v>
      </c>
      <c r="L283" t="s">
        <v>159</v>
      </c>
      <c r="M283" t="s">
        <v>51</v>
      </c>
      <c r="N283" t="s">
        <v>92</v>
      </c>
      <c r="O283" s="1">
        <v>41335</v>
      </c>
      <c r="P283" t="s">
        <v>84</v>
      </c>
      <c r="Q283">
        <v>1</v>
      </c>
      <c r="R283" t="s">
        <v>83</v>
      </c>
      <c r="S283" t="s">
        <v>351</v>
      </c>
      <c r="T283" t="s">
        <v>351</v>
      </c>
      <c r="U283">
        <v>0</v>
      </c>
      <c r="V283">
        <v>6060.78</v>
      </c>
      <c r="W283">
        <v>0</v>
      </c>
    </row>
    <row r="284" spans="1:23" x14ac:dyDescent="0.25">
      <c r="A284" s="1">
        <v>44044</v>
      </c>
      <c r="B284" s="1">
        <v>44044</v>
      </c>
      <c r="C284" t="s">
        <v>157</v>
      </c>
      <c r="D284" t="s">
        <v>93</v>
      </c>
      <c r="E284" t="s">
        <v>49</v>
      </c>
      <c r="F284" t="s">
        <v>243</v>
      </c>
      <c r="G284" s="56">
        <v>44119.739837962959</v>
      </c>
      <c r="H284">
        <v>33</v>
      </c>
      <c r="I284" t="s">
        <v>351</v>
      </c>
      <c r="J284" t="s">
        <v>50</v>
      </c>
      <c r="K284" t="s">
        <v>50</v>
      </c>
      <c r="L284" t="s">
        <v>159</v>
      </c>
      <c r="M284" t="s">
        <v>51</v>
      </c>
      <c r="N284" t="s">
        <v>92</v>
      </c>
      <c r="O284" s="1">
        <v>41335</v>
      </c>
      <c r="P284" t="s">
        <v>84</v>
      </c>
      <c r="Q284">
        <v>1</v>
      </c>
      <c r="R284" t="s">
        <v>83</v>
      </c>
      <c r="S284">
        <v>1</v>
      </c>
      <c r="T284">
        <v>689</v>
      </c>
      <c r="U284" t="s">
        <v>351</v>
      </c>
      <c r="V284" t="s">
        <v>351</v>
      </c>
      <c r="W284">
        <v>689</v>
      </c>
    </row>
    <row r="285" spans="1:23" x14ac:dyDescent="0.25">
      <c r="A285" s="1">
        <v>44044</v>
      </c>
      <c r="B285" s="1">
        <v>44044</v>
      </c>
      <c r="C285" t="s">
        <v>157</v>
      </c>
      <c r="D285" t="s">
        <v>48</v>
      </c>
      <c r="E285" t="s">
        <v>49</v>
      </c>
      <c r="F285" t="s">
        <v>239</v>
      </c>
      <c r="G285" s="56">
        <v>44081.950659722221</v>
      </c>
      <c r="H285">
        <v>33</v>
      </c>
      <c r="I285">
        <v>15128</v>
      </c>
      <c r="J285" t="s">
        <v>50</v>
      </c>
      <c r="K285" t="s">
        <v>50</v>
      </c>
      <c r="L285" t="s">
        <v>159</v>
      </c>
      <c r="M285" t="s">
        <v>51</v>
      </c>
      <c r="N285" t="s">
        <v>92</v>
      </c>
      <c r="O285" s="1">
        <v>41335</v>
      </c>
      <c r="P285" t="s">
        <v>84</v>
      </c>
      <c r="Q285">
        <v>1</v>
      </c>
      <c r="R285" t="s">
        <v>83</v>
      </c>
      <c r="S285">
        <v>2023.204197</v>
      </c>
      <c r="T285">
        <v>80.305999999999997</v>
      </c>
      <c r="U285" t="s">
        <v>351</v>
      </c>
      <c r="V285" t="s">
        <v>351</v>
      </c>
      <c r="W285">
        <v>162475</v>
      </c>
    </row>
    <row r="286" spans="1:23" x14ac:dyDescent="0.25">
      <c r="A286" s="1">
        <v>44044</v>
      </c>
      <c r="B286" s="1">
        <v>44044</v>
      </c>
      <c r="C286" t="s">
        <v>157</v>
      </c>
      <c r="D286" t="s">
        <v>54</v>
      </c>
      <c r="E286" t="s">
        <v>21</v>
      </c>
      <c r="F286" t="s">
        <v>238</v>
      </c>
      <c r="G286" s="56">
        <v>44081.950659722221</v>
      </c>
      <c r="H286">
        <v>33</v>
      </c>
      <c r="I286">
        <v>15128</v>
      </c>
      <c r="J286" t="s">
        <v>50</v>
      </c>
      <c r="K286" t="s">
        <v>50</v>
      </c>
      <c r="L286" t="s">
        <v>159</v>
      </c>
      <c r="M286" t="s">
        <v>51</v>
      </c>
      <c r="N286" t="s">
        <v>92</v>
      </c>
      <c r="O286" s="1">
        <v>41335</v>
      </c>
      <c r="P286" t="s">
        <v>84</v>
      </c>
      <c r="Q286">
        <v>2</v>
      </c>
      <c r="R286" t="s">
        <v>94</v>
      </c>
      <c r="S286" t="s">
        <v>351</v>
      </c>
      <c r="T286" t="s">
        <v>351</v>
      </c>
      <c r="U286">
        <v>0</v>
      </c>
      <c r="V286">
        <v>6136.88</v>
      </c>
      <c r="W286">
        <v>0</v>
      </c>
    </row>
    <row r="287" spans="1:23" x14ac:dyDescent="0.25">
      <c r="A287" s="1">
        <v>44044</v>
      </c>
      <c r="B287" s="1">
        <v>44044</v>
      </c>
      <c r="C287" t="s">
        <v>157</v>
      </c>
      <c r="D287" t="s">
        <v>93</v>
      </c>
      <c r="E287" t="s">
        <v>49</v>
      </c>
      <c r="F287" t="s">
        <v>243</v>
      </c>
      <c r="G287" s="56">
        <v>44119.739837962959</v>
      </c>
      <c r="H287">
        <v>33</v>
      </c>
      <c r="I287" t="s">
        <v>351</v>
      </c>
      <c r="J287" t="s">
        <v>50</v>
      </c>
      <c r="K287" t="s">
        <v>50</v>
      </c>
      <c r="L287" t="s">
        <v>159</v>
      </c>
      <c r="M287" t="s">
        <v>51</v>
      </c>
      <c r="N287" t="s">
        <v>92</v>
      </c>
      <c r="O287" s="1">
        <v>41335</v>
      </c>
      <c r="P287" t="s">
        <v>84</v>
      </c>
      <c r="Q287">
        <v>2</v>
      </c>
      <c r="R287" t="s">
        <v>94</v>
      </c>
      <c r="S287">
        <v>1</v>
      </c>
      <c r="T287">
        <v>2</v>
      </c>
      <c r="U287" t="s">
        <v>351</v>
      </c>
      <c r="V287" t="s">
        <v>351</v>
      </c>
      <c r="W287">
        <v>2</v>
      </c>
    </row>
    <row r="288" spans="1:23" x14ac:dyDescent="0.25">
      <c r="A288" s="1">
        <v>44044</v>
      </c>
      <c r="B288" s="1">
        <v>44044</v>
      </c>
      <c r="C288" t="s">
        <v>157</v>
      </c>
      <c r="D288" t="s">
        <v>48</v>
      </c>
      <c r="E288" t="s">
        <v>49</v>
      </c>
      <c r="F288" t="s">
        <v>239</v>
      </c>
      <c r="G288" s="56">
        <v>44081.950659722221</v>
      </c>
      <c r="H288">
        <v>33</v>
      </c>
      <c r="I288">
        <v>15128</v>
      </c>
      <c r="J288" t="s">
        <v>50</v>
      </c>
      <c r="K288" t="s">
        <v>50</v>
      </c>
      <c r="L288" t="s">
        <v>159</v>
      </c>
      <c r="M288" t="s">
        <v>51</v>
      </c>
      <c r="N288" t="s">
        <v>92</v>
      </c>
      <c r="O288" s="1">
        <v>41335</v>
      </c>
      <c r="P288" t="s">
        <v>84</v>
      </c>
      <c r="Q288">
        <v>2</v>
      </c>
      <c r="R288" t="s">
        <v>94</v>
      </c>
      <c r="S288">
        <v>8.7799999999999994</v>
      </c>
      <c r="T288">
        <v>81.448999999999998</v>
      </c>
      <c r="U288" t="s">
        <v>351</v>
      </c>
      <c r="V288" t="s">
        <v>351</v>
      </c>
      <c r="W288">
        <v>715</v>
      </c>
    </row>
    <row r="289" spans="1:23" x14ac:dyDescent="0.25">
      <c r="A289" s="1">
        <v>44044</v>
      </c>
      <c r="B289" s="1">
        <v>44044</v>
      </c>
      <c r="C289" t="s">
        <v>157</v>
      </c>
      <c r="D289" t="s">
        <v>54</v>
      </c>
      <c r="E289" t="s">
        <v>21</v>
      </c>
      <c r="F289" t="s">
        <v>238</v>
      </c>
      <c r="G289" s="56">
        <v>44081.950659722221</v>
      </c>
      <c r="H289">
        <v>33</v>
      </c>
      <c r="I289">
        <v>15128</v>
      </c>
      <c r="J289" t="s">
        <v>50</v>
      </c>
      <c r="K289" t="s">
        <v>50</v>
      </c>
      <c r="L289" t="s">
        <v>159</v>
      </c>
      <c r="M289" t="s">
        <v>51</v>
      </c>
      <c r="N289" t="s">
        <v>92</v>
      </c>
      <c r="O289" s="1">
        <v>41335</v>
      </c>
      <c r="P289" t="s">
        <v>84</v>
      </c>
      <c r="Q289">
        <v>3</v>
      </c>
      <c r="R289" t="s">
        <v>81</v>
      </c>
      <c r="S289" t="s">
        <v>351</v>
      </c>
      <c r="T289" t="s">
        <v>351</v>
      </c>
      <c r="U289">
        <v>0</v>
      </c>
      <c r="V289">
        <v>5859.08</v>
      </c>
      <c r="W289">
        <v>0</v>
      </c>
    </row>
    <row r="290" spans="1:23" x14ac:dyDescent="0.25">
      <c r="A290" s="1">
        <v>44044</v>
      </c>
      <c r="B290" s="1">
        <v>44044</v>
      </c>
      <c r="C290" t="s">
        <v>157</v>
      </c>
      <c r="D290" t="s">
        <v>93</v>
      </c>
      <c r="E290" t="s">
        <v>49</v>
      </c>
      <c r="F290" t="s">
        <v>243</v>
      </c>
      <c r="G290" s="56">
        <v>44119.739837962959</v>
      </c>
      <c r="H290">
        <v>33</v>
      </c>
      <c r="I290" t="s">
        <v>351</v>
      </c>
      <c r="J290" t="s">
        <v>50</v>
      </c>
      <c r="K290" t="s">
        <v>50</v>
      </c>
      <c r="L290" t="s">
        <v>159</v>
      </c>
      <c r="M290" t="s">
        <v>51</v>
      </c>
      <c r="N290" t="s">
        <v>92</v>
      </c>
      <c r="O290" s="1">
        <v>41335</v>
      </c>
      <c r="P290" t="s">
        <v>84</v>
      </c>
      <c r="Q290">
        <v>3</v>
      </c>
      <c r="R290" t="s">
        <v>81</v>
      </c>
      <c r="S290">
        <v>1</v>
      </c>
      <c r="T290">
        <v>99</v>
      </c>
      <c r="U290" t="s">
        <v>351</v>
      </c>
      <c r="V290" t="s">
        <v>351</v>
      </c>
      <c r="W290">
        <v>99</v>
      </c>
    </row>
    <row r="291" spans="1:23" x14ac:dyDescent="0.25">
      <c r="A291" s="1">
        <v>44044</v>
      </c>
      <c r="B291" s="1">
        <v>44044</v>
      </c>
      <c r="C291" t="s">
        <v>157</v>
      </c>
      <c r="D291" t="s">
        <v>48</v>
      </c>
      <c r="E291" t="s">
        <v>49</v>
      </c>
      <c r="F291" t="s">
        <v>239</v>
      </c>
      <c r="G291" s="56">
        <v>44081.950659722221</v>
      </c>
      <c r="H291">
        <v>33</v>
      </c>
      <c r="I291">
        <v>15128</v>
      </c>
      <c r="J291" t="s">
        <v>50</v>
      </c>
      <c r="K291" t="s">
        <v>50</v>
      </c>
      <c r="L291" t="s">
        <v>159</v>
      </c>
      <c r="M291" t="s">
        <v>51</v>
      </c>
      <c r="N291" t="s">
        <v>92</v>
      </c>
      <c r="O291" s="1">
        <v>41335</v>
      </c>
      <c r="P291" t="s">
        <v>84</v>
      </c>
      <c r="Q291">
        <v>3</v>
      </c>
      <c r="R291" t="s">
        <v>81</v>
      </c>
      <c r="S291">
        <v>304.37409600000001</v>
      </c>
      <c r="T291">
        <v>76.619</v>
      </c>
      <c r="U291" t="s">
        <v>351</v>
      </c>
      <c r="V291" t="s">
        <v>351</v>
      </c>
      <c r="W291">
        <v>23321</v>
      </c>
    </row>
    <row r="292" spans="1:23" x14ac:dyDescent="0.25">
      <c r="A292" s="1">
        <v>44044</v>
      </c>
      <c r="B292" s="1">
        <v>44044</v>
      </c>
      <c r="C292" t="s">
        <v>157</v>
      </c>
      <c r="D292" t="s">
        <v>54</v>
      </c>
      <c r="E292" t="s">
        <v>21</v>
      </c>
      <c r="F292" t="s">
        <v>238</v>
      </c>
      <c r="G292" s="56">
        <v>44081.950659722221</v>
      </c>
      <c r="H292">
        <v>33</v>
      </c>
      <c r="I292">
        <v>15128</v>
      </c>
      <c r="J292" t="s">
        <v>50</v>
      </c>
      <c r="K292" t="s">
        <v>50</v>
      </c>
      <c r="L292" t="s">
        <v>159</v>
      </c>
      <c r="M292" t="s">
        <v>51</v>
      </c>
      <c r="N292" t="s">
        <v>92</v>
      </c>
      <c r="O292" s="1">
        <v>41335</v>
      </c>
      <c r="P292" t="s">
        <v>84</v>
      </c>
      <c r="Q292">
        <v>4</v>
      </c>
      <c r="R292" t="s">
        <v>27</v>
      </c>
      <c r="S292" t="s">
        <v>351</v>
      </c>
      <c r="T292" t="s">
        <v>351</v>
      </c>
      <c r="U292">
        <v>0</v>
      </c>
      <c r="V292">
        <v>5985.9</v>
      </c>
      <c r="W292">
        <v>0</v>
      </c>
    </row>
    <row r="293" spans="1:23" x14ac:dyDescent="0.25">
      <c r="A293" s="1">
        <v>44044</v>
      </c>
      <c r="B293" s="1">
        <v>44044</v>
      </c>
      <c r="C293" t="s">
        <v>157</v>
      </c>
      <c r="D293" t="s">
        <v>93</v>
      </c>
      <c r="E293" t="s">
        <v>49</v>
      </c>
      <c r="F293" t="s">
        <v>243</v>
      </c>
      <c r="G293" s="56">
        <v>44119.739837962959</v>
      </c>
      <c r="H293">
        <v>33</v>
      </c>
      <c r="I293" t="s">
        <v>351</v>
      </c>
      <c r="J293" t="s">
        <v>50</v>
      </c>
      <c r="K293" t="s">
        <v>50</v>
      </c>
      <c r="L293" t="s">
        <v>159</v>
      </c>
      <c r="M293" t="s">
        <v>51</v>
      </c>
      <c r="N293" t="s">
        <v>92</v>
      </c>
      <c r="O293" s="1">
        <v>41335</v>
      </c>
      <c r="P293" t="s">
        <v>84</v>
      </c>
      <c r="Q293">
        <v>4</v>
      </c>
      <c r="R293" t="s">
        <v>27</v>
      </c>
      <c r="S293">
        <v>1</v>
      </c>
      <c r="T293">
        <v>835</v>
      </c>
      <c r="U293" t="s">
        <v>351</v>
      </c>
      <c r="V293" t="s">
        <v>351</v>
      </c>
      <c r="W293">
        <v>835</v>
      </c>
    </row>
    <row r="294" spans="1:23" x14ac:dyDescent="0.25">
      <c r="A294" s="1">
        <v>44044</v>
      </c>
      <c r="B294" s="1">
        <v>44044</v>
      </c>
      <c r="C294" t="s">
        <v>157</v>
      </c>
      <c r="D294" t="s">
        <v>48</v>
      </c>
      <c r="E294" t="s">
        <v>49</v>
      </c>
      <c r="F294" t="s">
        <v>239</v>
      </c>
      <c r="G294" s="56">
        <v>44081.950659722221</v>
      </c>
      <c r="H294">
        <v>33</v>
      </c>
      <c r="I294">
        <v>15128</v>
      </c>
      <c r="J294" t="s">
        <v>50</v>
      </c>
      <c r="K294" t="s">
        <v>50</v>
      </c>
      <c r="L294" t="s">
        <v>159</v>
      </c>
      <c r="M294" t="s">
        <v>51</v>
      </c>
      <c r="N294" t="s">
        <v>92</v>
      </c>
      <c r="O294" s="1">
        <v>41335</v>
      </c>
      <c r="P294" t="s">
        <v>84</v>
      </c>
      <c r="Q294">
        <v>4</v>
      </c>
      <c r="R294" t="s">
        <v>27</v>
      </c>
      <c r="S294">
        <v>2559.6909580000001</v>
      </c>
      <c r="T294">
        <v>76.742999999999995</v>
      </c>
      <c r="U294" t="s">
        <v>351</v>
      </c>
      <c r="V294" t="s">
        <v>351</v>
      </c>
      <c r="W294">
        <v>196438</v>
      </c>
    </row>
    <row r="295" spans="1:23" x14ac:dyDescent="0.25">
      <c r="A295" s="1">
        <v>44044</v>
      </c>
      <c r="B295" s="1">
        <v>44044</v>
      </c>
      <c r="C295" t="s">
        <v>157</v>
      </c>
      <c r="D295" t="s">
        <v>54</v>
      </c>
      <c r="E295" t="s">
        <v>21</v>
      </c>
      <c r="F295" t="s">
        <v>238</v>
      </c>
      <c r="G295" s="56">
        <v>44081.950659722221</v>
      </c>
      <c r="H295">
        <v>33</v>
      </c>
      <c r="I295">
        <v>15128</v>
      </c>
      <c r="J295" t="s">
        <v>50</v>
      </c>
      <c r="K295" t="s">
        <v>50</v>
      </c>
      <c r="L295" t="s">
        <v>159</v>
      </c>
      <c r="M295" t="s">
        <v>51</v>
      </c>
      <c r="N295" t="s">
        <v>92</v>
      </c>
      <c r="O295" s="1">
        <v>41335</v>
      </c>
      <c r="P295" t="s">
        <v>84</v>
      </c>
      <c r="Q295">
        <v>5</v>
      </c>
      <c r="R295" t="s">
        <v>28</v>
      </c>
      <c r="S295" t="s">
        <v>351</v>
      </c>
      <c r="T295" t="s">
        <v>351</v>
      </c>
      <c r="U295">
        <v>0</v>
      </c>
      <c r="V295">
        <v>5747.96</v>
      </c>
      <c r="W295">
        <v>0</v>
      </c>
    </row>
    <row r="296" spans="1:23" x14ac:dyDescent="0.25">
      <c r="A296" s="1">
        <v>44044</v>
      </c>
      <c r="B296" s="1">
        <v>44044</v>
      </c>
      <c r="C296" t="s">
        <v>157</v>
      </c>
      <c r="D296" t="s">
        <v>93</v>
      </c>
      <c r="E296" t="s">
        <v>49</v>
      </c>
      <c r="F296" t="s">
        <v>243</v>
      </c>
      <c r="G296" s="56">
        <v>44119.739837962959</v>
      </c>
      <c r="H296">
        <v>33</v>
      </c>
      <c r="I296" t="s">
        <v>351</v>
      </c>
      <c r="J296" t="s">
        <v>50</v>
      </c>
      <c r="K296" t="s">
        <v>50</v>
      </c>
      <c r="L296" t="s">
        <v>159</v>
      </c>
      <c r="M296" t="s">
        <v>51</v>
      </c>
      <c r="N296" t="s">
        <v>92</v>
      </c>
      <c r="O296" s="1">
        <v>41335</v>
      </c>
      <c r="P296" t="s">
        <v>84</v>
      </c>
      <c r="Q296">
        <v>5</v>
      </c>
      <c r="R296" t="s">
        <v>28</v>
      </c>
      <c r="S296">
        <v>1</v>
      </c>
      <c r="T296">
        <v>4</v>
      </c>
      <c r="U296" t="s">
        <v>351</v>
      </c>
      <c r="V296" t="s">
        <v>351</v>
      </c>
      <c r="W296">
        <v>4</v>
      </c>
    </row>
    <row r="297" spans="1:23" x14ac:dyDescent="0.25">
      <c r="A297" s="1">
        <v>44044</v>
      </c>
      <c r="B297" s="1">
        <v>44044</v>
      </c>
      <c r="C297" t="s">
        <v>157</v>
      </c>
      <c r="D297" t="s">
        <v>48</v>
      </c>
      <c r="E297" t="s">
        <v>49</v>
      </c>
      <c r="F297" t="s">
        <v>239</v>
      </c>
      <c r="G297" s="56">
        <v>44081.950659722221</v>
      </c>
      <c r="H297">
        <v>33</v>
      </c>
      <c r="I297">
        <v>15128</v>
      </c>
      <c r="J297" t="s">
        <v>50</v>
      </c>
      <c r="K297" t="s">
        <v>50</v>
      </c>
      <c r="L297" t="s">
        <v>159</v>
      </c>
      <c r="M297" t="s">
        <v>51</v>
      </c>
      <c r="N297" t="s">
        <v>92</v>
      </c>
      <c r="O297" s="1">
        <v>41335</v>
      </c>
      <c r="P297" t="s">
        <v>84</v>
      </c>
      <c r="Q297">
        <v>5</v>
      </c>
      <c r="R297" t="s">
        <v>28</v>
      </c>
      <c r="S297">
        <v>10.585311000000001</v>
      </c>
      <c r="T297">
        <v>79.302000000000007</v>
      </c>
      <c r="U297" t="s">
        <v>351</v>
      </c>
      <c r="V297" t="s">
        <v>351</v>
      </c>
      <c r="W297">
        <v>839</v>
      </c>
    </row>
    <row r="298" spans="1:23" x14ac:dyDescent="0.25">
      <c r="A298" s="1">
        <v>44075</v>
      </c>
      <c r="B298" s="1">
        <v>44075</v>
      </c>
      <c r="C298" t="s">
        <v>157</v>
      </c>
      <c r="D298" t="s">
        <v>54</v>
      </c>
      <c r="E298" t="s">
        <v>21</v>
      </c>
      <c r="F298" t="s">
        <v>248</v>
      </c>
      <c r="G298" s="56">
        <v>44111.714999999997</v>
      </c>
      <c r="H298">
        <v>33</v>
      </c>
      <c r="I298">
        <v>15552</v>
      </c>
      <c r="J298" t="s">
        <v>50</v>
      </c>
      <c r="K298" t="s">
        <v>50</v>
      </c>
      <c r="L298" t="s">
        <v>159</v>
      </c>
      <c r="M298" t="s">
        <v>51</v>
      </c>
      <c r="N298" t="s">
        <v>92</v>
      </c>
      <c r="O298" s="1">
        <v>41335</v>
      </c>
      <c r="P298" t="s">
        <v>84</v>
      </c>
      <c r="Q298">
        <v>1</v>
      </c>
      <c r="R298" t="s">
        <v>83</v>
      </c>
      <c r="S298" t="s">
        <v>351</v>
      </c>
      <c r="T298" t="s">
        <v>351</v>
      </c>
      <c r="U298">
        <v>0</v>
      </c>
      <c r="V298">
        <v>6059.26</v>
      </c>
      <c r="W298">
        <v>0</v>
      </c>
    </row>
    <row r="299" spans="1:23" x14ac:dyDescent="0.25">
      <c r="A299" s="1">
        <v>44075</v>
      </c>
      <c r="B299" s="1">
        <v>44075</v>
      </c>
      <c r="C299" t="s">
        <v>157</v>
      </c>
      <c r="D299" t="s">
        <v>93</v>
      </c>
      <c r="E299" t="s">
        <v>49</v>
      </c>
      <c r="F299" t="s">
        <v>245</v>
      </c>
      <c r="G299" s="56">
        <v>44153.723773148151</v>
      </c>
      <c r="H299">
        <v>61</v>
      </c>
      <c r="I299" t="s">
        <v>351</v>
      </c>
      <c r="J299" t="s">
        <v>50</v>
      </c>
      <c r="K299" t="s">
        <v>50</v>
      </c>
      <c r="L299" t="s">
        <v>159</v>
      </c>
      <c r="M299" t="s">
        <v>51</v>
      </c>
      <c r="N299" t="s">
        <v>92</v>
      </c>
      <c r="O299" s="1">
        <v>41335</v>
      </c>
      <c r="P299" t="s">
        <v>84</v>
      </c>
      <c r="Q299">
        <v>1</v>
      </c>
      <c r="R299" t="s">
        <v>83</v>
      </c>
      <c r="S299">
        <v>1</v>
      </c>
      <c r="T299">
        <v>-323</v>
      </c>
      <c r="U299" t="s">
        <v>351</v>
      </c>
      <c r="V299" t="s">
        <v>351</v>
      </c>
      <c r="W299">
        <v>-323</v>
      </c>
    </row>
    <row r="300" spans="1:23" x14ac:dyDescent="0.25">
      <c r="A300" s="1">
        <v>44075</v>
      </c>
      <c r="B300" s="1">
        <v>44075</v>
      </c>
      <c r="C300" t="s">
        <v>157</v>
      </c>
      <c r="D300" t="s">
        <v>48</v>
      </c>
      <c r="E300" t="s">
        <v>49</v>
      </c>
      <c r="F300" t="s">
        <v>249</v>
      </c>
      <c r="G300" s="56">
        <v>44111.714999999997</v>
      </c>
      <c r="H300">
        <v>33</v>
      </c>
      <c r="I300">
        <v>15552</v>
      </c>
      <c r="J300" t="s">
        <v>50</v>
      </c>
      <c r="K300" t="s">
        <v>50</v>
      </c>
      <c r="L300" t="s">
        <v>159</v>
      </c>
      <c r="M300" t="s">
        <v>51</v>
      </c>
      <c r="N300" t="s">
        <v>92</v>
      </c>
      <c r="O300" s="1">
        <v>41335</v>
      </c>
      <c r="P300" t="s">
        <v>84</v>
      </c>
      <c r="Q300">
        <v>1</v>
      </c>
      <c r="R300" t="s">
        <v>83</v>
      </c>
      <c r="S300">
        <v>1931.180057</v>
      </c>
      <c r="T300">
        <v>80.344999999999999</v>
      </c>
      <c r="U300" t="s">
        <v>351</v>
      </c>
      <c r="V300" t="s">
        <v>351</v>
      </c>
      <c r="W300">
        <v>155161</v>
      </c>
    </row>
    <row r="301" spans="1:23" x14ac:dyDescent="0.25">
      <c r="A301" s="1">
        <v>44075</v>
      </c>
      <c r="B301" s="1">
        <v>44075</v>
      </c>
      <c r="C301" t="s">
        <v>157</v>
      </c>
      <c r="D301" t="s">
        <v>54</v>
      </c>
      <c r="E301" t="s">
        <v>21</v>
      </c>
      <c r="F301" t="s">
        <v>248</v>
      </c>
      <c r="G301" s="56">
        <v>44111.714999999997</v>
      </c>
      <c r="H301">
        <v>33</v>
      </c>
      <c r="I301">
        <v>15552</v>
      </c>
      <c r="J301" t="s">
        <v>50</v>
      </c>
      <c r="K301" t="s">
        <v>50</v>
      </c>
      <c r="L301" t="s">
        <v>159</v>
      </c>
      <c r="M301" t="s">
        <v>51</v>
      </c>
      <c r="N301" t="s">
        <v>92</v>
      </c>
      <c r="O301" s="1">
        <v>41335</v>
      </c>
      <c r="P301" t="s">
        <v>84</v>
      </c>
      <c r="Q301">
        <v>2</v>
      </c>
      <c r="R301" t="s">
        <v>94</v>
      </c>
      <c r="S301" t="s">
        <v>351</v>
      </c>
      <c r="T301" t="s">
        <v>351</v>
      </c>
      <c r="U301">
        <v>0</v>
      </c>
      <c r="V301">
        <v>6135.33</v>
      </c>
      <c r="W301">
        <v>0</v>
      </c>
    </row>
    <row r="302" spans="1:23" x14ac:dyDescent="0.25">
      <c r="A302" s="1">
        <v>44075</v>
      </c>
      <c r="B302" s="1">
        <v>44075</v>
      </c>
      <c r="C302" t="s">
        <v>157</v>
      </c>
      <c r="D302" t="s">
        <v>93</v>
      </c>
      <c r="E302" t="s">
        <v>49</v>
      </c>
      <c r="F302" t="s">
        <v>245</v>
      </c>
      <c r="G302" s="56">
        <v>44153.723773148151</v>
      </c>
      <c r="H302">
        <v>61</v>
      </c>
      <c r="I302" t="s">
        <v>351</v>
      </c>
      <c r="J302" t="s">
        <v>50</v>
      </c>
      <c r="K302" t="s">
        <v>50</v>
      </c>
      <c r="L302" t="s">
        <v>159</v>
      </c>
      <c r="M302" t="s">
        <v>51</v>
      </c>
      <c r="N302" t="s">
        <v>92</v>
      </c>
      <c r="O302" s="1">
        <v>41335</v>
      </c>
      <c r="P302" t="s">
        <v>84</v>
      </c>
      <c r="Q302">
        <v>2</v>
      </c>
      <c r="R302" t="s">
        <v>94</v>
      </c>
      <c r="S302">
        <v>1</v>
      </c>
      <c r="T302">
        <v>-2</v>
      </c>
      <c r="U302" t="s">
        <v>351</v>
      </c>
      <c r="V302" t="s">
        <v>351</v>
      </c>
      <c r="W302">
        <v>-2</v>
      </c>
    </row>
    <row r="303" spans="1:23" x14ac:dyDescent="0.25">
      <c r="A303" s="1">
        <v>44075</v>
      </c>
      <c r="B303" s="1">
        <v>44075</v>
      </c>
      <c r="C303" t="s">
        <v>157</v>
      </c>
      <c r="D303" t="s">
        <v>48</v>
      </c>
      <c r="E303" t="s">
        <v>49</v>
      </c>
      <c r="F303" t="s">
        <v>249</v>
      </c>
      <c r="G303" s="56">
        <v>44111.714999999997</v>
      </c>
      <c r="H303">
        <v>33</v>
      </c>
      <c r="I303">
        <v>15552</v>
      </c>
      <c r="J303" t="s">
        <v>50</v>
      </c>
      <c r="K303" t="s">
        <v>50</v>
      </c>
      <c r="L303" t="s">
        <v>159</v>
      </c>
      <c r="M303" t="s">
        <v>51</v>
      </c>
      <c r="N303" t="s">
        <v>92</v>
      </c>
      <c r="O303" s="1">
        <v>41335</v>
      </c>
      <c r="P303" t="s">
        <v>84</v>
      </c>
      <c r="Q303">
        <v>2</v>
      </c>
      <c r="R303" t="s">
        <v>94</v>
      </c>
      <c r="S303">
        <v>8.5106800000000007</v>
      </c>
      <c r="T303">
        <v>81.489000000000004</v>
      </c>
      <c r="U303" t="s">
        <v>351</v>
      </c>
      <c r="V303" t="s">
        <v>351</v>
      </c>
      <c r="W303">
        <v>694</v>
      </c>
    </row>
    <row r="304" spans="1:23" x14ac:dyDescent="0.25">
      <c r="A304" s="1">
        <v>44075</v>
      </c>
      <c r="B304" s="1">
        <v>44075</v>
      </c>
      <c r="C304" t="s">
        <v>157</v>
      </c>
      <c r="D304" t="s">
        <v>54</v>
      </c>
      <c r="E304" t="s">
        <v>21</v>
      </c>
      <c r="F304" t="s">
        <v>248</v>
      </c>
      <c r="G304" s="56">
        <v>44111.714999999997</v>
      </c>
      <c r="H304">
        <v>33</v>
      </c>
      <c r="I304">
        <v>15552</v>
      </c>
      <c r="J304" t="s">
        <v>50</v>
      </c>
      <c r="K304" t="s">
        <v>50</v>
      </c>
      <c r="L304" t="s">
        <v>159</v>
      </c>
      <c r="M304" t="s">
        <v>51</v>
      </c>
      <c r="N304" t="s">
        <v>92</v>
      </c>
      <c r="O304" s="1">
        <v>41335</v>
      </c>
      <c r="P304" t="s">
        <v>84</v>
      </c>
      <c r="Q304">
        <v>3</v>
      </c>
      <c r="R304" t="s">
        <v>81</v>
      </c>
      <c r="S304" t="s">
        <v>351</v>
      </c>
      <c r="T304" t="s">
        <v>351</v>
      </c>
      <c r="U304">
        <v>0</v>
      </c>
      <c r="V304">
        <v>5857.6</v>
      </c>
      <c r="W304">
        <v>0</v>
      </c>
    </row>
    <row r="305" spans="1:23" x14ac:dyDescent="0.25">
      <c r="A305" s="1">
        <v>44075</v>
      </c>
      <c r="B305" s="1">
        <v>44075</v>
      </c>
      <c r="C305" t="s">
        <v>157</v>
      </c>
      <c r="D305" t="s">
        <v>93</v>
      </c>
      <c r="E305" t="s">
        <v>49</v>
      </c>
      <c r="F305" t="s">
        <v>245</v>
      </c>
      <c r="G305" s="56">
        <v>44153.723773148151</v>
      </c>
      <c r="H305">
        <v>61</v>
      </c>
      <c r="I305" t="s">
        <v>351</v>
      </c>
      <c r="J305" t="s">
        <v>50</v>
      </c>
      <c r="K305" t="s">
        <v>50</v>
      </c>
      <c r="L305" t="s">
        <v>159</v>
      </c>
      <c r="M305" t="s">
        <v>51</v>
      </c>
      <c r="N305" t="s">
        <v>92</v>
      </c>
      <c r="O305" s="1">
        <v>41335</v>
      </c>
      <c r="P305" t="s">
        <v>84</v>
      </c>
      <c r="Q305">
        <v>3</v>
      </c>
      <c r="R305" t="s">
        <v>81</v>
      </c>
      <c r="S305">
        <v>1</v>
      </c>
      <c r="T305">
        <v>-44</v>
      </c>
      <c r="U305" t="s">
        <v>351</v>
      </c>
      <c r="V305" t="s">
        <v>351</v>
      </c>
      <c r="W305">
        <v>-44</v>
      </c>
    </row>
    <row r="306" spans="1:23" x14ac:dyDescent="0.25">
      <c r="A306" s="1">
        <v>44075</v>
      </c>
      <c r="B306" s="1">
        <v>44075</v>
      </c>
      <c r="C306" t="s">
        <v>157</v>
      </c>
      <c r="D306" t="s">
        <v>48</v>
      </c>
      <c r="E306" t="s">
        <v>49</v>
      </c>
      <c r="F306" t="s">
        <v>249</v>
      </c>
      <c r="G306" s="56">
        <v>44111.714999999997</v>
      </c>
      <c r="H306">
        <v>33</v>
      </c>
      <c r="I306">
        <v>15552</v>
      </c>
      <c r="J306" t="s">
        <v>50</v>
      </c>
      <c r="K306" t="s">
        <v>50</v>
      </c>
      <c r="L306" t="s">
        <v>159</v>
      </c>
      <c r="M306" t="s">
        <v>51</v>
      </c>
      <c r="N306" t="s">
        <v>92</v>
      </c>
      <c r="O306" s="1">
        <v>41335</v>
      </c>
      <c r="P306" t="s">
        <v>84</v>
      </c>
      <c r="Q306">
        <v>3</v>
      </c>
      <c r="R306" t="s">
        <v>81</v>
      </c>
      <c r="S306">
        <v>286.86</v>
      </c>
      <c r="T306">
        <v>76.656999999999996</v>
      </c>
      <c r="U306" t="s">
        <v>351</v>
      </c>
      <c r="V306" t="s">
        <v>351</v>
      </c>
      <c r="W306">
        <v>21990</v>
      </c>
    </row>
    <row r="307" spans="1:23" x14ac:dyDescent="0.25">
      <c r="A307" s="1">
        <v>44075</v>
      </c>
      <c r="B307" s="1">
        <v>44075</v>
      </c>
      <c r="C307" t="s">
        <v>157</v>
      </c>
      <c r="D307" t="s">
        <v>54</v>
      </c>
      <c r="E307" t="s">
        <v>21</v>
      </c>
      <c r="F307" t="s">
        <v>248</v>
      </c>
      <c r="G307" s="56">
        <v>44111.714999999997</v>
      </c>
      <c r="H307">
        <v>33</v>
      </c>
      <c r="I307">
        <v>15552</v>
      </c>
      <c r="J307" t="s">
        <v>50</v>
      </c>
      <c r="K307" t="s">
        <v>50</v>
      </c>
      <c r="L307" t="s">
        <v>159</v>
      </c>
      <c r="M307" t="s">
        <v>51</v>
      </c>
      <c r="N307" t="s">
        <v>92</v>
      </c>
      <c r="O307" s="1">
        <v>41335</v>
      </c>
      <c r="P307" t="s">
        <v>84</v>
      </c>
      <c r="Q307">
        <v>4</v>
      </c>
      <c r="R307" t="s">
        <v>27</v>
      </c>
      <c r="S307" t="s">
        <v>351</v>
      </c>
      <c r="T307" t="s">
        <v>351</v>
      </c>
      <c r="U307">
        <v>0</v>
      </c>
      <c r="V307">
        <v>5984.39</v>
      </c>
      <c r="W307">
        <v>0</v>
      </c>
    </row>
    <row r="308" spans="1:23" x14ac:dyDescent="0.25">
      <c r="A308" s="1">
        <v>44075</v>
      </c>
      <c r="B308" s="1">
        <v>44075</v>
      </c>
      <c r="C308" t="s">
        <v>157</v>
      </c>
      <c r="D308" t="s">
        <v>93</v>
      </c>
      <c r="E308" t="s">
        <v>49</v>
      </c>
      <c r="F308" t="s">
        <v>245</v>
      </c>
      <c r="G308" s="56">
        <v>44153.723773148151</v>
      </c>
      <c r="H308">
        <v>61</v>
      </c>
      <c r="I308" t="s">
        <v>351</v>
      </c>
      <c r="J308" t="s">
        <v>50</v>
      </c>
      <c r="K308" t="s">
        <v>50</v>
      </c>
      <c r="L308" t="s">
        <v>159</v>
      </c>
      <c r="M308" t="s">
        <v>51</v>
      </c>
      <c r="N308" t="s">
        <v>92</v>
      </c>
      <c r="O308" s="1">
        <v>41335</v>
      </c>
      <c r="P308" t="s">
        <v>84</v>
      </c>
      <c r="Q308">
        <v>4</v>
      </c>
      <c r="R308" t="s">
        <v>27</v>
      </c>
      <c r="S308">
        <v>1</v>
      </c>
      <c r="T308">
        <v>-390</v>
      </c>
      <c r="U308" t="s">
        <v>351</v>
      </c>
      <c r="V308" t="s">
        <v>351</v>
      </c>
      <c r="W308">
        <v>-390</v>
      </c>
    </row>
    <row r="309" spans="1:23" x14ac:dyDescent="0.25">
      <c r="A309" s="1">
        <v>44075</v>
      </c>
      <c r="B309" s="1">
        <v>44075</v>
      </c>
      <c r="C309" t="s">
        <v>157</v>
      </c>
      <c r="D309" t="s">
        <v>48</v>
      </c>
      <c r="E309" t="s">
        <v>49</v>
      </c>
      <c r="F309" t="s">
        <v>249</v>
      </c>
      <c r="G309" s="56">
        <v>44111.714999999997</v>
      </c>
      <c r="H309">
        <v>33</v>
      </c>
      <c r="I309">
        <v>15552</v>
      </c>
      <c r="J309" t="s">
        <v>50</v>
      </c>
      <c r="K309" t="s">
        <v>50</v>
      </c>
      <c r="L309" t="s">
        <v>159</v>
      </c>
      <c r="M309" t="s">
        <v>51</v>
      </c>
      <c r="N309" t="s">
        <v>92</v>
      </c>
      <c r="O309" s="1">
        <v>41335</v>
      </c>
      <c r="P309" t="s">
        <v>84</v>
      </c>
      <c r="Q309">
        <v>4</v>
      </c>
      <c r="R309" t="s">
        <v>27</v>
      </c>
      <c r="S309">
        <v>2447.9884910000001</v>
      </c>
      <c r="T309">
        <v>76.781000000000006</v>
      </c>
      <c r="U309" t="s">
        <v>351</v>
      </c>
      <c r="V309" t="s">
        <v>351</v>
      </c>
      <c r="W309">
        <v>187959</v>
      </c>
    </row>
    <row r="310" spans="1:23" x14ac:dyDescent="0.25">
      <c r="A310" s="1">
        <v>44075</v>
      </c>
      <c r="B310" s="1">
        <v>44075</v>
      </c>
      <c r="C310" t="s">
        <v>157</v>
      </c>
      <c r="D310" t="s">
        <v>54</v>
      </c>
      <c r="E310" t="s">
        <v>21</v>
      </c>
      <c r="F310" t="s">
        <v>248</v>
      </c>
      <c r="G310" s="56">
        <v>44111.714999999997</v>
      </c>
      <c r="H310">
        <v>33</v>
      </c>
      <c r="I310">
        <v>15552</v>
      </c>
      <c r="J310" t="s">
        <v>50</v>
      </c>
      <c r="K310" t="s">
        <v>50</v>
      </c>
      <c r="L310" t="s">
        <v>159</v>
      </c>
      <c r="M310" t="s">
        <v>51</v>
      </c>
      <c r="N310" t="s">
        <v>92</v>
      </c>
      <c r="O310" s="1">
        <v>41335</v>
      </c>
      <c r="P310" t="s">
        <v>84</v>
      </c>
      <c r="Q310">
        <v>5</v>
      </c>
      <c r="R310" t="s">
        <v>28</v>
      </c>
      <c r="S310" t="s">
        <v>351</v>
      </c>
      <c r="T310" t="s">
        <v>351</v>
      </c>
      <c r="U310">
        <v>0</v>
      </c>
      <c r="V310">
        <v>5746.51</v>
      </c>
      <c r="W310">
        <v>0</v>
      </c>
    </row>
    <row r="311" spans="1:23" x14ac:dyDescent="0.25">
      <c r="A311" s="1">
        <v>44075</v>
      </c>
      <c r="B311" s="1">
        <v>44075</v>
      </c>
      <c r="C311" t="s">
        <v>157</v>
      </c>
      <c r="D311" t="s">
        <v>93</v>
      </c>
      <c r="E311" t="s">
        <v>49</v>
      </c>
      <c r="F311" t="s">
        <v>245</v>
      </c>
      <c r="G311" s="56">
        <v>44153.723773148151</v>
      </c>
      <c r="H311">
        <v>61</v>
      </c>
      <c r="I311" t="s">
        <v>351</v>
      </c>
      <c r="J311" t="s">
        <v>50</v>
      </c>
      <c r="K311" t="s">
        <v>50</v>
      </c>
      <c r="L311" t="s">
        <v>159</v>
      </c>
      <c r="M311" t="s">
        <v>51</v>
      </c>
      <c r="N311" t="s">
        <v>92</v>
      </c>
      <c r="O311" s="1">
        <v>41335</v>
      </c>
      <c r="P311" t="s">
        <v>84</v>
      </c>
      <c r="Q311">
        <v>5</v>
      </c>
      <c r="R311" t="s">
        <v>28</v>
      </c>
      <c r="S311">
        <v>1</v>
      </c>
      <c r="T311">
        <v>-2</v>
      </c>
      <c r="U311" t="s">
        <v>351</v>
      </c>
      <c r="V311" t="s">
        <v>351</v>
      </c>
      <c r="W311">
        <v>-2</v>
      </c>
    </row>
    <row r="312" spans="1:23" x14ac:dyDescent="0.25">
      <c r="A312" s="1">
        <v>44075</v>
      </c>
      <c r="B312" s="1">
        <v>44075</v>
      </c>
      <c r="C312" t="s">
        <v>157</v>
      </c>
      <c r="D312" t="s">
        <v>48</v>
      </c>
      <c r="E312" t="s">
        <v>49</v>
      </c>
      <c r="F312" t="s">
        <v>249</v>
      </c>
      <c r="G312" s="56">
        <v>44111.714999999997</v>
      </c>
      <c r="H312">
        <v>33</v>
      </c>
      <c r="I312">
        <v>15552</v>
      </c>
      <c r="J312" t="s">
        <v>50</v>
      </c>
      <c r="K312" t="s">
        <v>50</v>
      </c>
      <c r="L312" t="s">
        <v>159</v>
      </c>
      <c r="M312" t="s">
        <v>51</v>
      </c>
      <c r="N312" t="s">
        <v>92</v>
      </c>
      <c r="O312" s="1">
        <v>41335</v>
      </c>
      <c r="P312" t="s">
        <v>84</v>
      </c>
      <c r="Q312">
        <v>5</v>
      </c>
      <c r="R312" t="s">
        <v>28</v>
      </c>
      <c r="S312">
        <v>10.140453000000001</v>
      </c>
      <c r="T312">
        <v>79.340999999999994</v>
      </c>
      <c r="U312" t="s">
        <v>351</v>
      </c>
      <c r="V312" t="s">
        <v>351</v>
      </c>
      <c r="W312">
        <v>805</v>
      </c>
    </row>
    <row r="313" spans="1:23" x14ac:dyDescent="0.25">
      <c r="A313" s="1">
        <v>44105</v>
      </c>
      <c r="B313" s="1">
        <v>44105</v>
      </c>
      <c r="C313" t="s">
        <v>157</v>
      </c>
      <c r="D313" t="s">
        <v>54</v>
      </c>
      <c r="E313" t="s">
        <v>21</v>
      </c>
      <c r="F313" t="s">
        <v>251</v>
      </c>
      <c r="G313" s="56">
        <v>44141.821956018517</v>
      </c>
      <c r="H313">
        <v>33</v>
      </c>
      <c r="I313">
        <v>15894</v>
      </c>
      <c r="J313" t="s">
        <v>50</v>
      </c>
      <c r="K313" t="s">
        <v>50</v>
      </c>
      <c r="L313" t="s">
        <v>159</v>
      </c>
      <c r="M313" t="s">
        <v>51</v>
      </c>
      <c r="N313" t="s">
        <v>92</v>
      </c>
      <c r="O313" s="1">
        <v>41335</v>
      </c>
      <c r="P313" t="s">
        <v>84</v>
      </c>
      <c r="Q313">
        <v>1</v>
      </c>
      <c r="R313" t="s">
        <v>83</v>
      </c>
      <c r="S313" t="s">
        <v>351</v>
      </c>
      <c r="T313" t="s">
        <v>351</v>
      </c>
      <c r="U313">
        <v>0</v>
      </c>
      <c r="V313">
        <v>6059.26</v>
      </c>
      <c r="W313">
        <v>0</v>
      </c>
    </row>
    <row r="314" spans="1:23" x14ac:dyDescent="0.25">
      <c r="A314" s="1">
        <v>44105</v>
      </c>
      <c r="B314" s="1">
        <v>44105</v>
      </c>
      <c r="C314" t="s">
        <v>157</v>
      </c>
      <c r="D314" t="s">
        <v>93</v>
      </c>
      <c r="E314" t="s">
        <v>49</v>
      </c>
      <c r="F314" t="s">
        <v>253</v>
      </c>
      <c r="G314" s="56">
        <v>44221.697384259256</v>
      </c>
      <c r="H314">
        <v>61</v>
      </c>
      <c r="I314" t="s">
        <v>351</v>
      </c>
      <c r="J314" t="s">
        <v>50</v>
      </c>
      <c r="K314" t="s">
        <v>50</v>
      </c>
      <c r="L314" t="s">
        <v>159</v>
      </c>
      <c r="M314" t="s">
        <v>51</v>
      </c>
      <c r="N314" t="s">
        <v>92</v>
      </c>
      <c r="O314" s="1">
        <v>41335</v>
      </c>
      <c r="P314" t="s">
        <v>84</v>
      </c>
      <c r="Q314">
        <v>1</v>
      </c>
      <c r="R314" t="s">
        <v>83</v>
      </c>
      <c r="S314">
        <v>1</v>
      </c>
      <c r="T314">
        <v>-570</v>
      </c>
      <c r="U314" t="s">
        <v>351</v>
      </c>
      <c r="V314" t="s">
        <v>351</v>
      </c>
      <c r="W314">
        <v>-570</v>
      </c>
    </row>
    <row r="315" spans="1:23" x14ac:dyDescent="0.25">
      <c r="A315" s="1">
        <v>44105</v>
      </c>
      <c r="B315" s="1">
        <v>44105</v>
      </c>
      <c r="C315" t="s">
        <v>157</v>
      </c>
      <c r="D315" t="s">
        <v>48</v>
      </c>
      <c r="E315" t="s">
        <v>49</v>
      </c>
      <c r="F315" t="s">
        <v>256</v>
      </c>
      <c r="G315" s="56">
        <v>44141.821956018517</v>
      </c>
      <c r="H315">
        <v>33</v>
      </c>
      <c r="I315">
        <v>15894</v>
      </c>
      <c r="J315" t="s">
        <v>50</v>
      </c>
      <c r="K315" t="s">
        <v>50</v>
      </c>
      <c r="L315" t="s">
        <v>159</v>
      </c>
      <c r="M315" t="s">
        <v>51</v>
      </c>
      <c r="N315" t="s">
        <v>92</v>
      </c>
      <c r="O315" s="1">
        <v>41335</v>
      </c>
      <c r="P315" t="s">
        <v>84</v>
      </c>
      <c r="Q315">
        <v>1</v>
      </c>
      <c r="R315" t="s">
        <v>83</v>
      </c>
      <c r="S315">
        <v>2430.743117</v>
      </c>
      <c r="T315">
        <v>80.344999999999999</v>
      </c>
      <c r="U315" t="s">
        <v>351</v>
      </c>
      <c r="V315" t="s">
        <v>351</v>
      </c>
      <c r="W315">
        <v>195298</v>
      </c>
    </row>
    <row r="316" spans="1:23" x14ac:dyDescent="0.25">
      <c r="A316" s="1">
        <v>44105</v>
      </c>
      <c r="B316" s="1">
        <v>44105</v>
      </c>
      <c r="C316" t="s">
        <v>157</v>
      </c>
      <c r="D316" t="s">
        <v>54</v>
      </c>
      <c r="E316" t="s">
        <v>21</v>
      </c>
      <c r="F316" t="s">
        <v>251</v>
      </c>
      <c r="G316" s="56">
        <v>44141.821956018517</v>
      </c>
      <c r="H316">
        <v>33</v>
      </c>
      <c r="I316">
        <v>15894</v>
      </c>
      <c r="J316" t="s">
        <v>50</v>
      </c>
      <c r="K316" t="s">
        <v>50</v>
      </c>
      <c r="L316" t="s">
        <v>159</v>
      </c>
      <c r="M316" t="s">
        <v>51</v>
      </c>
      <c r="N316" t="s">
        <v>92</v>
      </c>
      <c r="O316" s="1">
        <v>41335</v>
      </c>
      <c r="P316" t="s">
        <v>84</v>
      </c>
      <c r="Q316">
        <v>2</v>
      </c>
      <c r="R316" t="s">
        <v>94</v>
      </c>
      <c r="S316" t="s">
        <v>351</v>
      </c>
      <c r="T316" t="s">
        <v>351</v>
      </c>
      <c r="U316">
        <v>0</v>
      </c>
      <c r="V316">
        <v>6135.33</v>
      </c>
      <c r="W316">
        <v>0</v>
      </c>
    </row>
    <row r="317" spans="1:23" x14ac:dyDescent="0.25">
      <c r="A317" s="1">
        <v>44105</v>
      </c>
      <c r="B317" s="1">
        <v>44105</v>
      </c>
      <c r="C317" t="s">
        <v>157</v>
      </c>
      <c r="D317" t="s">
        <v>93</v>
      </c>
      <c r="E317" t="s">
        <v>49</v>
      </c>
      <c r="F317" t="s">
        <v>253</v>
      </c>
      <c r="G317" s="56">
        <v>44221.697384259256</v>
      </c>
      <c r="H317">
        <v>61</v>
      </c>
      <c r="I317" t="s">
        <v>351</v>
      </c>
      <c r="J317" t="s">
        <v>50</v>
      </c>
      <c r="K317" t="s">
        <v>50</v>
      </c>
      <c r="L317" t="s">
        <v>159</v>
      </c>
      <c r="M317" t="s">
        <v>51</v>
      </c>
      <c r="N317" t="s">
        <v>92</v>
      </c>
      <c r="O317" s="1">
        <v>41335</v>
      </c>
      <c r="P317" t="s">
        <v>84</v>
      </c>
      <c r="Q317">
        <v>2</v>
      </c>
      <c r="R317" t="s">
        <v>94</v>
      </c>
      <c r="S317">
        <v>1</v>
      </c>
      <c r="T317">
        <v>-3</v>
      </c>
      <c r="U317" t="s">
        <v>351</v>
      </c>
      <c r="V317" t="s">
        <v>351</v>
      </c>
      <c r="W317">
        <v>-3</v>
      </c>
    </row>
    <row r="318" spans="1:23" x14ac:dyDescent="0.25">
      <c r="A318" s="1">
        <v>44105</v>
      </c>
      <c r="B318" s="1">
        <v>44105</v>
      </c>
      <c r="C318" t="s">
        <v>157</v>
      </c>
      <c r="D318" t="s">
        <v>48</v>
      </c>
      <c r="E318" t="s">
        <v>49</v>
      </c>
      <c r="F318" t="s">
        <v>256</v>
      </c>
      <c r="G318" s="56">
        <v>44141.821956018517</v>
      </c>
      <c r="H318">
        <v>33</v>
      </c>
      <c r="I318">
        <v>15894</v>
      </c>
      <c r="J318" t="s">
        <v>50</v>
      </c>
      <c r="K318" t="s">
        <v>50</v>
      </c>
      <c r="L318" t="s">
        <v>159</v>
      </c>
      <c r="M318" t="s">
        <v>51</v>
      </c>
      <c r="N318" t="s">
        <v>92</v>
      </c>
      <c r="O318" s="1">
        <v>41335</v>
      </c>
      <c r="P318" t="s">
        <v>84</v>
      </c>
      <c r="Q318">
        <v>2</v>
      </c>
      <c r="R318" t="s">
        <v>94</v>
      </c>
      <c r="S318">
        <v>10.588209000000001</v>
      </c>
      <c r="T318">
        <v>81.489000000000004</v>
      </c>
      <c r="U318" t="s">
        <v>351</v>
      </c>
      <c r="V318" t="s">
        <v>351</v>
      </c>
      <c r="W318">
        <v>863</v>
      </c>
    </row>
    <row r="319" spans="1:23" x14ac:dyDescent="0.25">
      <c r="A319" s="1">
        <v>44105</v>
      </c>
      <c r="B319" s="1">
        <v>44105</v>
      </c>
      <c r="C319" t="s">
        <v>157</v>
      </c>
      <c r="D319" t="s">
        <v>54</v>
      </c>
      <c r="E319" t="s">
        <v>21</v>
      </c>
      <c r="F319" t="s">
        <v>251</v>
      </c>
      <c r="G319" s="56">
        <v>44141.821956018517</v>
      </c>
      <c r="H319">
        <v>33</v>
      </c>
      <c r="I319">
        <v>15894</v>
      </c>
      <c r="J319" t="s">
        <v>50</v>
      </c>
      <c r="K319" t="s">
        <v>50</v>
      </c>
      <c r="L319" t="s">
        <v>159</v>
      </c>
      <c r="M319" t="s">
        <v>51</v>
      </c>
      <c r="N319" t="s">
        <v>92</v>
      </c>
      <c r="O319" s="1">
        <v>41335</v>
      </c>
      <c r="P319" t="s">
        <v>84</v>
      </c>
      <c r="Q319">
        <v>3</v>
      </c>
      <c r="R319" t="s">
        <v>81</v>
      </c>
      <c r="S319" t="s">
        <v>351</v>
      </c>
      <c r="T319" t="s">
        <v>351</v>
      </c>
      <c r="U319">
        <v>0</v>
      </c>
      <c r="V319">
        <v>5857.6</v>
      </c>
      <c r="W319">
        <v>0</v>
      </c>
    </row>
    <row r="320" spans="1:23" x14ac:dyDescent="0.25">
      <c r="A320" s="1">
        <v>44105</v>
      </c>
      <c r="B320" s="1">
        <v>44105</v>
      </c>
      <c r="C320" t="s">
        <v>157</v>
      </c>
      <c r="D320" t="s">
        <v>93</v>
      </c>
      <c r="E320" t="s">
        <v>49</v>
      </c>
      <c r="F320" t="s">
        <v>253</v>
      </c>
      <c r="G320" s="56">
        <v>44221.697384259256</v>
      </c>
      <c r="H320">
        <v>61</v>
      </c>
      <c r="I320" t="s">
        <v>351</v>
      </c>
      <c r="J320" t="s">
        <v>50</v>
      </c>
      <c r="K320" t="s">
        <v>50</v>
      </c>
      <c r="L320" t="s">
        <v>159</v>
      </c>
      <c r="M320" t="s">
        <v>51</v>
      </c>
      <c r="N320" t="s">
        <v>92</v>
      </c>
      <c r="O320" s="1">
        <v>41335</v>
      </c>
      <c r="P320" t="s">
        <v>84</v>
      </c>
      <c r="Q320">
        <v>3</v>
      </c>
      <c r="R320" t="s">
        <v>81</v>
      </c>
      <c r="S320">
        <v>1</v>
      </c>
      <c r="T320">
        <v>-80</v>
      </c>
      <c r="U320" t="s">
        <v>351</v>
      </c>
      <c r="V320" t="s">
        <v>351</v>
      </c>
      <c r="W320">
        <v>-80</v>
      </c>
    </row>
    <row r="321" spans="1:23" x14ac:dyDescent="0.25">
      <c r="A321" s="1">
        <v>44105</v>
      </c>
      <c r="B321" s="1">
        <v>44105</v>
      </c>
      <c r="C321" t="s">
        <v>157</v>
      </c>
      <c r="D321" t="s">
        <v>48</v>
      </c>
      <c r="E321" t="s">
        <v>49</v>
      </c>
      <c r="F321" t="s">
        <v>256</v>
      </c>
      <c r="G321" s="56">
        <v>44141.821956018517</v>
      </c>
      <c r="H321">
        <v>33</v>
      </c>
      <c r="I321">
        <v>15894</v>
      </c>
      <c r="J321" t="s">
        <v>50</v>
      </c>
      <c r="K321" t="s">
        <v>50</v>
      </c>
      <c r="L321" t="s">
        <v>159</v>
      </c>
      <c r="M321" t="s">
        <v>51</v>
      </c>
      <c r="N321" t="s">
        <v>92</v>
      </c>
      <c r="O321" s="1">
        <v>41335</v>
      </c>
      <c r="P321" t="s">
        <v>84</v>
      </c>
      <c r="Q321">
        <v>3</v>
      </c>
      <c r="R321" t="s">
        <v>81</v>
      </c>
      <c r="S321">
        <v>359.39598799999999</v>
      </c>
      <c r="T321">
        <v>76.656999999999996</v>
      </c>
      <c r="U321" t="s">
        <v>351</v>
      </c>
      <c r="V321" t="s">
        <v>351</v>
      </c>
      <c r="W321">
        <v>27550</v>
      </c>
    </row>
    <row r="322" spans="1:23" x14ac:dyDescent="0.25">
      <c r="A322" s="1">
        <v>44105</v>
      </c>
      <c r="B322" s="1">
        <v>44105</v>
      </c>
      <c r="C322" t="s">
        <v>157</v>
      </c>
      <c r="D322" t="s">
        <v>54</v>
      </c>
      <c r="E322" t="s">
        <v>21</v>
      </c>
      <c r="F322" t="s">
        <v>251</v>
      </c>
      <c r="G322" s="56">
        <v>44141.821956018517</v>
      </c>
      <c r="H322">
        <v>33</v>
      </c>
      <c r="I322">
        <v>15894</v>
      </c>
      <c r="J322" t="s">
        <v>50</v>
      </c>
      <c r="K322" t="s">
        <v>50</v>
      </c>
      <c r="L322" t="s">
        <v>159</v>
      </c>
      <c r="M322" t="s">
        <v>51</v>
      </c>
      <c r="N322" t="s">
        <v>92</v>
      </c>
      <c r="O322" s="1">
        <v>41335</v>
      </c>
      <c r="P322" t="s">
        <v>84</v>
      </c>
      <c r="Q322">
        <v>4</v>
      </c>
      <c r="R322" t="s">
        <v>27</v>
      </c>
      <c r="S322" t="s">
        <v>351</v>
      </c>
      <c r="T322" t="s">
        <v>351</v>
      </c>
      <c r="U322">
        <v>0</v>
      </c>
      <c r="V322">
        <v>5984.39</v>
      </c>
      <c r="W322">
        <v>0</v>
      </c>
    </row>
    <row r="323" spans="1:23" x14ac:dyDescent="0.25">
      <c r="A323" s="1">
        <v>44105</v>
      </c>
      <c r="B323" s="1">
        <v>44105</v>
      </c>
      <c r="C323" t="s">
        <v>157</v>
      </c>
      <c r="D323" t="s">
        <v>93</v>
      </c>
      <c r="E323" t="s">
        <v>49</v>
      </c>
      <c r="F323" t="s">
        <v>253</v>
      </c>
      <c r="G323" s="56">
        <v>44221.697384259256</v>
      </c>
      <c r="H323">
        <v>61</v>
      </c>
      <c r="I323" t="s">
        <v>351</v>
      </c>
      <c r="J323" t="s">
        <v>50</v>
      </c>
      <c r="K323" t="s">
        <v>50</v>
      </c>
      <c r="L323" t="s">
        <v>159</v>
      </c>
      <c r="M323" t="s">
        <v>51</v>
      </c>
      <c r="N323" t="s">
        <v>92</v>
      </c>
      <c r="O323" s="1">
        <v>41335</v>
      </c>
      <c r="P323" t="s">
        <v>84</v>
      </c>
      <c r="Q323">
        <v>4</v>
      </c>
      <c r="R323" t="s">
        <v>27</v>
      </c>
      <c r="S323">
        <v>1</v>
      </c>
      <c r="T323">
        <v>-689</v>
      </c>
      <c r="U323" t="s">
        <v>351</v>
      </c>
      <c r="V323" t="s">
        <v>351</v>
      </c>
      <c r="W323">
        <v>-689</v>
      </c>
    </row>
    <row r="324" spans="1:23" x14ac:dyDescent="0.25">
      <c r="A324" s="1">
        <v>44105</v>
      </c>
      <c r="B324" s="1">
        <v>44105</v>
      </c>
      <c r="C324" t="s">
        <v>157</v>
      </c>
      <c r="D324" t="s">
        <v>48</v>
      </c>
      <c r="E324" t="s">
        <v>49</v>
      </c>
      <c r="F324" t="s">
        <v>256</v>
      </c>
      <c r="G324" s="56">
        <v>44141.821956018517</v>
      </c>
      <c r="H324">
        <v>33</v>
      </c>
      <c r="I324">
        <v>15894</v>
      </c>
      <c r="J324" t="s">
        <v>50</v>
      </c>
      <c r="K324" t="s">
        <v>50</v>
      </c>
      <c r="L324" t="s">
        <v>159</v>
      </c>
      <c r="M324" t="s">
        <v>51</v>
      </c>
      <c r="N324" t="s">
        <v>92</v>
      </c>
      <c r="O324" s="1">
        <v>41335</v>
      </c>
      <c r="P324" t="s">
        <v>84</v>
      </c>
      <c r="Q324">
        <v>4</v>
      </c>
      <c r="R324" t="s">
        <v>27</v>
      </c>
      <c r="S324">
        <v>3072.8331600000001</v>
      </c>
      <c r="T324">
        <v>76.781000000000006</v>
      </c>
      <c r="U324" t="s">
        <v>351</v>
      </c>
      <c r="V324" t="s">
        <v>351</v>
      </c>
      <c r="W324">
        <v>235935</v>
      </c>
    </row>
    <row r="325" spans="1:23" x14ac:dyDescent="0.25">
      <c r="A325" s="1">
        <v>44105</v>
      </c>
      <c r="B325" s="1">
        <v>44105</v>
      </c>
      <c r="C325" t="s">
        <v>157</v>
      </c>
      <c r="D325" t="s">
        <v>54</v>
      </c>
      <c r="E325" t="s">
        <v>21</v>
      </c>
      <c r="F325" t="s">
        <v>251</v>
      </c>
      <c r="G325" s="56">
        <v>44141.821956018517</v>
      </c>
      <c r="H325">
        <v>33</v>
      </c>
      <c r="I325">
        <v>15894</v>
      </c>
      <c r="J325" t="s">
        <v>50</v>
      </c>
      <c r="K325" t="s">
        <v>50</v>
      </c>
      <c r="L325" t="s">
        <v>159</v>
      </c>
      <c r="M325" t="s">
        <v>51</v>
      </c>
      <c r="N325" t="s">
        <v>92</v>
      </c>
      <c r="O325" s="1">
        <v>41335</v>
      </c>
      <c r="P325" t="s">
        <v>84</v>
      </c>
      <c r="Q325">
        <v>5</v>
      </c>
      <c r="R325" t="s">
        <v>28</v>
      </c>
      <c r="S325" t="s">
        <v>351</v>
      </c>
      <c r="T325" t="s">
        <v>351</v>
      </c>
      <c r="U325">
        <v>0</v>
      </c>
      <c r="V325">
        <v>5746.51</v>
      </c>
      <c r="W325">
        <v>0</v>
      </c>
    </row>
    <row r="326" spans="1:23" x14ac:dyDescent="0.25">
      <c r="A326" s="1">
        <v>44105</v>
      </c>
      <c r="B326" s="1">
        <v>44105</v>
      </c>
      <c r="C326" t="s">
        <v>157</v>
      </c>
      <c r="D326" t="s">
        <v>93</v>
      </c>
      <c r="E326" t="s">
        <v>49</v>
      </c>
      <c r="F326" t="s">
        <v>253</v>
      </c>
      <c r="G326" s="56">
        <v>44221.697384259256</v>
      </c>
      <c r="H326">
        <v>61</v>
      </c>
      <c r="I326" t="s">
        <v>351</v>
      </c>
      <c r="J326" t="s">
        <v>50</v>
      </c>
      <c r="K326" t="s">
        <v>50</v>
      </c>
      <c r="L326" t="s">
        <v>159</v>
      </c>
      <c r="M326" t="s">
        <v>51</v>
      </c>
      <c r="N326" t="s">
        <v>92</v>
      </c>
      <c r="O326" s="1">
        <v>41335</v>
      </c>
      <c r="P326" t="s">
        <v>84</v>
      </c>
      <c r="Q326">
        <v>5</v>
      </c>
      <c r="R326" t="s">
        <v>28</v>
      </c>
      <c r="S326">
        <v>1</v>
      </c>
      <c r="T326">
        <v>-3</v>
      </c>
      <c r="U326" t="s">
        <v>351</v>
      </c>
      <c r="V326" t="s">
        <v>351</v>
      </c>
      <c r="W326">
        <v>-3</v>
      </c>
    </row>
    <row r="327" spans="1:23" x14ac:dyDescent="0.25">
      <c r="A327" s="1">
        <v>44105</v>
      </c>
      <c r="B327" s="1">
        <v>44105</v>
      </c>
      <c r="C327" t="s">
        <v>157</v>
      </c>
      <c r="D327" t="s">
        <v>48</v>
      </c>
      <c r="E327" t="s">
        <v>49</v>
      </c>
      <c r="F327" t="s">
        <v>256</v>
      </c>
      <c r="G327" s="56">
        <v>44141.821956018517</v>
      </c>
      <c r="H327">
        <v>33</v>
      </c>
      <c r="I327">
        <v>15894</v>
      </c>
      <c r="J327" t="s">
        <v>50</v>
      </c>
      <c r="K327" t="s">
        <v>50</v>
      </c>
      <c r="L327" t="s">
        <v>159</v>
      </c>
      <c r="M327" t="s">
        <v>51</v>
      </c>
      <c r="N327" t="s">
        <v>92</v>
      </c>
      <c r="O327" s="1">
        <v>41335</v>
      </c>
      <c r="P327" t="s">
        <v>84</v>
      </c>
      <c r="Q327">
        <v>5</v>
      </c>
      <c r="R327" t="s">
        <v>28</v>
      </c>
      <c r="S327">
        <v>12.686017</v>
      </c>
      <c r="T327">
        <v>79.340999999999994</v>
      </c>
      <c r="U327" t="s">
        <v>351</v>
      </c>
      <c r="V327" t="s">
        <v>351</v>
      </c>
      <c r="W327">
        <v>1007</v>
      </c>
    </row>
    <row r="328" spans="1:23" x14ac:dyDescent="0.25">
      <c r="A328" s="1">
        <v>44136</v>
      </c>
      <c r="B328" s="1">
        <v>44136</v>
      </c>
      <c r="C328" t="s">
        <v>157</v>
      </c>
      <c r="D328" t="s">
        <v>54</v>
      </c>
      <c r="E328" t="s">
        <v>21</v>
      </c>
      <c r="F328" t="s">
        <v>261</v>
      </c>
      <c r="G328" s="56">
        <v>44169.666030092594</v>
      </c>
      <c r="H328">
        <v>33</v>
      </c>
      <c r="I328">
        <v>16653</v>
      </c>
      <c r="J328" t="s">
        <v>50</v>
      </c>
      <c r="K328" t="s">
        <v>50</v>
      </c>
      <c r="L328" t="s">
        <v>159</v>
      </c>
      <c r="M328" t="s">
        <v>51</v>
      </c>
      <c r="N328" t="s">
        <v>92</v>
      </c>
      <c r="O328" s="1">
        <v>41335</v>
      </c>
      <c r="P328" t="s">
        <v>84</v>
      </c>
      <c r="Q328">
        <v>1</v>
      </c>
      <c r="R328" t="s">
        <v>83</v>
      </c>
      <c r="S328" t="s">
        <v>351</v>
      </c>
      <c r="T328" t="s">
        <v>351</v>
      </c>
      <c r="U328">
        <v>0</v>
      </c>
      <c r="V328">
        <v>6059.26</v>
      </c>
      <c r="W328">
        <v>0</v>
      </c>
    </row>
    <row r="329" spans="1:23" x14ac:dyDescent="0.25">
      <c r="A329" s="1">
        <v>44136</v>
      </c>
      <c r="B329" s="1">
        <v>44136</v>
      </c>
      <c r="C329" t="s">
        <v>157</v>
      </c>
      <c r="D329" t="s">
        <v>93</v>
      </c>
      <c r="E329" t="s">
        <v>49</v>
      </c>
      <c r="F329" t="s">
        <v>259</v>
      </c>
      <c r="G329" s="56">
        <v>44215.508055555554</v>
      </c>
      <c r="H329">
        <v>61</v>
      </c>
      <c r="I329" t="s">
        <v>351</v>
      </c>
      <c r="J329" t="s">
        <v>50</v>
      </c>
      <c r="K329" t="s">
        <v>50</v>
      </c>
      <c r="L329" t="s">
        <v>159</v>
      </c>
      <c r="M329" t="s">
        <v>51</v>
      </c>
      <c r="N329" t="s">
        <v>92</v>
      </c>
      <c r="O329" s="1">
        <v>41335</v>
      </c>
      <c r="P329" t="s">
        <v>84</v>
      </c>
      <c r="Q329">
        <v>1</v>
      </c>
      <c r="R329" t="s">
        <v>83</v>
      </c>
      <c r="S329">
        <v>1</v>
      </c>
      <c r="T329">
        <v>-1312</v>
      </c>
      <c r="U329" t="s">
        <v>351</v>
      </c>
      <c r="V329" t="s">
        <v>351</v>
      </c>
      <c r="W329">
        <v>-1312</v>
      </c>
    </row>
    <row r="330" spans="1:23" x14ac:dyDescent="0.25">
      <c r="A330" s="1">
        <v>44136</v>
      </c>
      <c r="B330" s="1">
        <v>44136</v>
      </c>
      <c r="C330" t="s">
        <v>157</v>
      </c>
      <c r="D330" t="s">
        <v>48</v>
      </c>
      <c r="E330" t="s">
        <v>49</v>
      </c>
      <c r="F330" t="s">
        <v>264</v>
      </c>
      <c r="G330" s="56">
        <v>44169.666030092594</v>
      </c>
      <c r="H330">
        <v>33</v>
      </c>
      <c r="I330">
        <v>16653</v>
      </c>
      <c r="J330" t="s">
        <v>50</v>
      </c>
      <c r="K330" t="s">
        <v>50</v>
      </c>
      <c r="L330" t="s">
        <v>159</v>
      </c>
      <c r="M330" t="s">
        <v>51</v>
      </c>
      <c r="N330" t="s">
        <v>92</v>
      </c>
      <c r="O330" s="1">
        <v>41335</v>
      </c>
      <c r="P330" t="s">
        <v>84</v>
      </c>
      <c r="Q330">
        <v>1</v>
      </c>
      <c r="R330" t="s">
        <v>83</v>
      </c>
      <c r="S330">
        <v>2836.8555449999999</v>
      </c>
      <c r="T330">
        <v>80.344999999999999</v>
      </c>
      <c r="U330" t="s">
        <v>351</v>
      </c>
      <c r="V330" t="s">
        <v>351</v>
      </c>
      <c r="W330">
        <v>227927</v>
      </c>
    </row>
    <row r="331" spans="1:23" x14ac:dyDescent="0.25">
      <c r="A331" s="1">
        <v>44136</v>
      </c>
      <c r="B331" s="1">
        <v>44136</v>
      </c>
      <c r="C331" t="s">
        <v>157</v>
      </c>
      <c r="D331" t="s">
        <v>54</v>
      </c>
      <c r="E331" t="s">
        <v>21</v>
      </c>
      <c r="F331" t="s">
        <v>261</v>
      </c>
      <c r="G331" s="56">
        <v>44169.666030092594</v>
      </c>
      <c r="H331">
        <v>33</v>
      </c>
      <c r="I331">
        <v>16653</v>
      </c>
      <c r="J331" t="s">
        <v>50</v>
      </c>
      <c r="K331" t="s">
        <v>50</v>
      </c>
      <c r="L331" t="s">
        <v>159</v>
      </c>
      <c r="M331" t="s">
        <v>51</v>
      </c>
      <c r="N331" t="s">
        <v>92</v>
      </c>
      <c r="O331" s="1">
        <v>41335</v>
      </c>
      <c r="P331" t="s">
        <v>84</v>
      </c>
      <c r="Q331">
        <v>2</v>
      </c>
      <c r="R331" t="s">
        <v>94</v>
      </c>
      <c r="S331" t="s">
        <v>351</v>
      </c>
      <c r="T331" t="s">
        <v>351</v>
      </c>
      <c r="U331">
        <v>0</v>
      </c>
      <c r="V331">
        <v>6135.33</v>
      </c>
      <c r="W331">
        <v>0</v>
      </c>
    </row>
    <row r="332" spans="1:23" x14ac:dyDescent="0.25">
      <c r="A332" s="1">
        <v>44136</v>
      </c>
      <c r="B332" s="1">
        <v>44136</v>
      </c>
      <c r="C332" t="s">
        <v>157</v>
      </c>
      <c r="D332" t="s">
        <v>93</v>
      </c>
      <c r="E332" t="s">
        <v>49</v>
      </c>
      <c r="F332" t="s">
        <v>259</v>
      </c>
      <c r="G332" s="56">
        <v>44215.508055555554</v>
      </c>
      <c r="H332">
        <v>61</v>
      </c>
      <c r="I332" t="s">
        <v>351</v>
      </c>
      <c r="J332" t="s">
        <v>50</v>
      </c>
      <c r="K332" t="s">
        <v>50</v>
      </c>
      <c r="L332" t="s">
        <v>159</v>
      </c>
      <c r="M332" t="s">
        <v>51</v>
      </c>
      <c r="N332" t="s">
        <v>92</v>
      </c>
      <c r="O332" s="1">
        <v>41335</v>
      </c>
      <c r="P332" t="s">
        <v>84</v>
      </c>
      <c r="Q332">
        <v>2</v>
      </c>
      <c r="R332" t="s">
        <v>94</v>
      </c>
      <c r="S332">
        <v>1</v>
      </c>
      <c r="T332">
        <v>-6</v>
      </c>
      <c r="U332" t="s">
        <v>351</v>
      </c>
      <c r="V332" t="s">
        <v>351</v>
      </c>
      <c r="W332">
        <v>-6</v>
      </c>
    </row>
    <row r="333" spans="1:23" x14ac:dyDescent="0.25">
      <c r="A333" s="1">
        <v>44136</v>
      </c>
      <c r="B333" s="1">
        <v>44136</v>
      </c>
      <c r="C333" t="s">
        <v>157</v>
      </c>
      <c r="D333" t="s">
        <v>48</v>
      </c>
      <c r="E333" t="s">
        <v>49</v>
      </c>
      <c r="F333" t="s">
        <v>264</v>
      </c>
      <c r="G333" s="56">
        <v>44169.666030092594</v>
      </c>
      <c r="H333">
        <v>33</v>
      </c>
      <c r="I333">
        <v>16653</v>
      </c>
      <c r="J333" t="s">
        <v>50</v>
      </c>
      <c r="K333" t="s">
        <v>50</v>
      </c>
      <c r="L333" t="s">
        <v>159</v>
      </c>
      <c r="M333" t="s">
        <v>51</v>
      </c>
      <c r="N333" t="s">
        <v>92</v>
      </c>
      <c r="O333" s="1">
        <v>41335</v>
      </c>
      <c r="P333" t="s">
        <v>84</v>
      </c>
      <c r="Q333">
        <v>2</v>
      </c>
      <c r="R333" t="s">
        <v>94</v>
      </c>
      <c r="S333">
        <v>11.915349000000001</v>
      </c>
      <c r="T333">
        <v>81.489000000000004</v>
      </c>
      <c r="U333" t="s">
        <v>351</v>
      </c>
      <c r="V333" t="s">
        <v>351</v>
      </c>
      <c r="W333">
        <v>971</v>
      </c>
    </row>
    <row r="334" spans="1:23" x14ac:dyDescent="0.25">
      <c r="A334" s="1">
        <v>44136</v>
      </c>
      <c r="B334" s="1">
        <v>44136</v>
      </c>
      <c r="C334" t="s">
        <v>157</v>
      </c>
      <c r="D334" t="s">
        <v>54</v>
      </c>
      <c r="E334" t="s">
        <v>21</v>
      </c>
      <c r="F334" t="s">
        <v>261</v>
      </c>
      <c r="G334" s="56">
        <v>44169.666030092594</v>
      </c>
      <c r="H334">
        <v>33</v>
      </c>
      <c r="I334">
        <v>16653</v>
      </c>
      <c r="J334" t="s">
        <v>50</v>
      </c>
      <c r="K334" t="s">
        <v>50</v>
      </c>
      <c r="L334" t="s">
        <v>159</v>
      </c>
      <c r="M334" t="s">
        <v>51</v>
      </c>
      <c r="N334" t="s">
        <v>92</v>
      </c>
      <c r="O334" s="1">
        <v>41335</v>
      </c>
      <c r="P334" t="s">
        <v>84</v>
      </c>
      <c r="Q334">
        <v>3</v>
      </c>
      <c r="R334" t="s">
        <v>81</v>
      </c>
      <c r="S334" t="s">
        <v>351</v>
      </c>
      <c r="T334" t="s">
        <v>351</v>
      </c>
      <c r="U334">
        <v>0</v>
      </c>
      <c r="V334">
        <v>5857.6</v>
      </c>
      <c r="W334">
        <v>0</v>
      </c>
    </row>
    <row r="335" spans="1:23" x14ac:dyDescent="0.25">
      <c r="A335" s="1">
        <v>44136</v>
      </c>
      <c r="B335" s="1">
        <v>44136</v>
      </c>
      <c r="C335" t="s">
        <v>157</v>
      </c>
      <c r="D335" t="s">
        <v>93</v>
      </c>
      <c r="E335" t="s">
        <v>49</v>
      </c>
      <c r="F335" t="s">
        <v>259</v>
      </c>
      <c r="G335" s="56">
        <v>44215.508055555554</v>
      </c>
      <c r="H335">
        <v>61</v>
      </c>
      <c r="I335" t="s">
        <v>351</v>
      </c>
      <c r="J335" t="s">
        <v>50</v>
      </c>
      <c r="K335" t="s">
        <v>50</v>
      </c>
      <c r="L335" t="s">
        <v>159</v>
      </c>
      <c r="M335" t="s">
        <v>51</v>
      </c>
      <c r="N335" t="s">
        <v>92</v>
      </c>
      <c r="O335" s="1">
        <v>41335</v>
      </c>
      <c r="P335" t="s">
        <v>84</v>
      </c>
      <c r="Q335">
        <v>3</v>
      </c>
      <c r="R335" t="s">
        <v>81</v>
      </c>
      <c r="S335">
        <v>1</v>
      </c>
      <c r="T335">
        <v>-189</v>
      </c>
      <c r="U335" t="s">
        <v>351</v>
      </c>
      <c r="V335" t="s">
        <v>351</v>
      </c>
      <c r="W335">
        <v>-189</v>
      </c>
    </row>
    <row r="336" spans="1:23" x14ac:dyDescent="0.25">
      <c r="A336" s="1">
        <v>44136</v>
      </c>
      <c r="B336" s="1">
        <v>44136</v>
      </c>
      <c r="C336" t="s">
        <v>157</v>
      </c>
      <c r="D336" t="s">
        <v>48</v>
      </c>
      <c r="E336" t="s">
        <v>49</v>
      </c>
      <c r="F336" t="s">
        <v>264</v>
      </c>
      <c r="G336" s="56">
        <v>44169.666030092594</v>
      </c>
      <c r="H336">
        <v>33</v>
      </c>
      <c r="I336">
        <v>16653</v>
      </c>
      <c r="J336" t="s">
        <v>50</v>
      </c>
      <c r="K336" t="s">
        <v>50</v>
      </c>
      <c r="L336" t="s">
        <v>159</v>
      </c>
      <c r="M336" t="s">
        <v>51</v>
      </c>
      <c r="N336" t="s">
        <v>92</v>
      </c>
      <c r="O336" s="1">
        <v>41335</v>
      </c>
      <c r="P336" t="s">
        <v>84</v>
      </c>
      <c r="Q336">
        <v>3</v>
      </c>
      <c r="R336" t="s">
        <v>81</v>
      </c>
      <c r="S336">
        <v>427.739485</v>
      </c>
      <c r="T336">
        <v>76.656999999999996</v>
      </c>
      <c r="U336" t="s">
        <v>351</v>
      </c>
      <c r="V336" t="s">
        <v>351</v>
      </c>
      <c r="W336">
        <v>32789</v>
      </c>
    </row>
    <row r="337" spans="1:23" x14ac:dyDescent="0.25">
      <c r="A337" s="1">
        <v>44136</v>
      </c>
      <c r="B337" s="1">
        <v>44136</v>
      </c>
      <c r="C337" t="s">
        <v>157</v>
      </c>
      <c r="D337" t="s">
        <v>54</v>
      </c>
      <c r="E337" t="s">
        <v>21</v>
      </c>
      <c r="F337" t="s">
        <v>261</v>
      </c>
      <c r="G337" s="56">
        <v>44169.666030092594</v>
      </c>
      <c r="H337">
        <v>33</v>
      </c>
      <c r="I337">
        <v>16653</v>
      </c>
      <c r="J337" t="s">
        <v>50</v>
      </c>
      <c r="K337" t="s">
        <v>50</v>
      </c>
      <c r="L337" t="s">
        <v>159</v>
      </c>
      <c r="M337" t="s">
        <v>51</v>
      </c>
      <c r="N337" t="s">
        <v>92</v>
      </c>
      <c r="O337" s="1">
        <v>41335</v>
      </c>
      <c r="P337" t="s">
        <v>84</v>
      </c>
      <c r="Q337">
        <v>4</v>
      </c>
      <c r="R337" t="s">
        <v>27</v>
      </c>
      <c r="S337" t="s">
        <v>351</v>
      </c>
      <c r="T337" t="s">
        <v>351</v>
      </c>
      <c r="U337">
        <v>0</v>
      </c>
      <c r="V337">
        <v>5984.39</v>
      </c>
      <c r="W337">
        <v>0</v>
      </c>
    </row>
    <row r="338" spans="1:23" x14ac:dyDescent="0.25">
      <c r="A338" s="1">
        <v>44136</v>
      </c>
      <c r="B338" s="1">
        <v>44136</v>
      </c>
      <c r="C338" t="s">
        <v>157</v>
      </c>
      <c r="D338" t="s">
        <v>93</v>
      </c>
      <c r="E338" t="s">
        <v>49</v>
      </c>
      <c r="F338" t="s">
        <v>259</v>
      </c>
      <c r="G338" s="56">
        <v>44215.508055555554</v>
      </c>
      <c r="H338">
        <v>61</v>
      </c>
      <c r="I338" t="s">
        <v>351</v>
      </c>
      <c r="J338" t="s">
        <v>50</v>
      </c>
      <c r="K338" t="s">
        <v>50</v>
      </c>
      <c r="L338" t="s">
        <v>159</v>
      </c>
      <c r="M338" t="s">
        <v>51</v>
      </c>
      <c r="N338" t="s">
        <v>92</v>
      </c>
      <c r="O338" s="1">
        <v>41335</v>
      </c>
      <c r="P338" t="s">
        <v>84</v>
      </c>
      <c r="Q338">
        <v>4</v>
      </c>
      <c r="R338" t="s">
        <v>27</v>
      </c>
      <c r="S338">
        <v>1</v>
      </c>
      <c r="T338">
        <v>-1578</v>
      </c>
      <c r="U338" t="s">
        <v>351</v>
      </c>
      <c r="V338" t="s">
        <v>351</v>
      </c>
      <c r="W338">
        <v>-1578</v>
      </c>
    </row>
    <row r="339" spans="1:23" x14ac:dyDescent="0.25">
      <c r="A339" s="1">
        <v>44136</v>
      </c>
      <c r="B339" s="1">
        <v>44136</v>
      </c>
      <c r="C339" t="s">
        <v>157</v>
      </c>
      <c r="D339" t="s">
        <v>48</v>
      </c>
      <c r="E339" t="s">
        <v>49</v>
      </c>
      <c r="F339" t="s">
        <v>264</v>
      </c>
      <c r="G339" s="56">
        <v>44169.666030092594</v>
      </c>
      <c r="H339">
        <v>33</v>
      </c>
      <c r="I339">
        <v>16653</v>
      </c>
      <c r="J339" t="s">
        <v>50</v>
      </c>
      <c r="K339" t="s">
        <v>50</v>
      </c>
      <c r="L339" t="s">
        <v>159</v>
      </c>
      <c r="M339" t="s">
        <v>51</v>
      </c>
      <c r="N339" t="s">
        <v>92</v>
      </c>
      <c r="O339" s="1">
        <v>41335</v>
      </c>
      <c r="P339" t="s">
        <v>84</v>
      </c>
      <c r="Q339">
        <v>4</v>
      </c>
      <c r="R339" t="s">
        <v>27</v>
      </c>
      <c r="S339">
        <v>3569.1454020000001</v>
      </c>
      <c r="T339">
        <v>76.781000000000006</v>
      </c>
      <c r="U339" t="s">
        <v>351</v>
      </c>
      <c r="V339" t="s">
        <v>351</v>
      </c>
      <c r="W339">
        <v>274043</v>
      </c>
    </row>
    <row r="340" spans="1:23" x14ac:dyDescent="0.25">
      <c r="A340" s="1">
        <v>44136</v>
      </c>
      <c r="B340" s="1">
        <v>44136</v>
      </c>
      <c r="C340" t="s">
        <v>157</v>
      </c>
      <c r="D340" t="s">
        <v>54</v>
      </c>
      <c r="E340" t="s">
        <v>21</v>
      </c>
      <c r="F340" t="s">
        <v>261</v>
      </c>
      <c r="G340" s="56">
        <v>44169.666030092594</v>
      </c>
      <c r="H340">
        <v>33</v>
      </c>
      <c r="I340">
        <v>16653</v>
      </c>
      <c r="J340" t="s">
        <v>50</v>
      </c>
      <c r="K340" t="s">
        <v>50</v>
      </c>
      <c r="L340" t="s">
        <v>159</v>
      </c>
      <c r="M340" t="s">
        <v>51</v>
      </c>
      <c r="N340" t="s">
        <v>92</v>
      </c>
      <c r="O340" s="1">
        <v>41335</v>
      </c>
      <c r="P340" t="s">
        <v>84</v>
      </c>
      <c r="Q340">
        <v>5</v>
      </c>
      <c r="R340" t="s">
        <v>28</v>
      </c>
      <c r="S340" t="s">
        <v>351</v>
      </c>
      <c r="T340" t="s">
        <v>351</v>
      </c>
      <c r="U340">
        <v>0</v>
      </c>
      <c r="V340">
        <v>5746.51</v>
      </c>
      <c r="W340">
        <v>0</v>
      </c>
    </row>
    <row r="341" spans="1:23" x14ac:dyDescent="0.25">
      <c r="A341" s="1">
        <v>44136</v>
      </c>
      <c r="B341" s="1">
        <v>44136</v>
      </c>
      <c r="C341" t="s">
        <v>157</v>
      </c>
      <c r="D341" t="s">
        <v>93</v>
      </c>
      <c r="E341" t="s">
        <v>49</v>
      </c>
      <c r="F341" t="s">
        <v>259</v>
      </c>
      <c r="G341" s="56">
        <v>44215.508055555554</v>
      </c>
      <c r="H341">
        <v>61</v>
      </c>
      <c r="I341" t="s">
        <v>351</v>
      </c>
      <c r="J341" t="s">
        <v>50</v>
      </c>
      <c r="K341" t="s">
        <v>50</v>
      </c>
      <c r="L341" t="s">
        <v>159</v>
      </c>
      <c r="M341" t="s">
        <v>51</v>
      </c>
      <c r="N341" t="s">
        <v>92</v>
      </c>
      <c r="O341" s="1">
        <v>41335</v>
      </c>
      <c r="P341" t="s">
        <v>84</v>
      </c>
      <c r="Q341">
        <v>5</v>
      </c>
      <c r="R341" t="s">
        <v>28</v>
      </c>
      <c r="S341">
        <v>1</v>
      </c>
      <c r="T341">
        <v>-7</v>
      </c>
      <c r="U341" t="s">
        <v>351</v>
      </c>
      <c r="V341" t="s">
        <v>351</v>
      </c>
      <c r="W341">
        <v>-7</v>
      </c>
    </row>
    <row r="342" spans="1:23" x14ac:dyDescent="0.25">
      <c r="A342" s="1">
        <v>44136</v>
      </c>
      <c r="B342" s="1">
        <v>44136</v>
      </c>
      <c r="C342" t="s">
        <v>157</v>
      </c>
      <c r="D342" t="s">
        <v>48</v>
      </c>
      <c r="E342" t="s">
        <v>49</v>
      </c>
      <c r="F342" t="s">
        <v>264</v>
      </c>
      <c r="G342" s="56">
        <v>44169.666030092594</v>
      </c>
      <c r="H342">
        <v>33</v>
      </c>
      <c r="I342">
        <v>16653</v>
      </c>
      <c r="J342" t="s">
        <v>50</v>
      </c>
      <c r="K342" t="s">
        <v>50</v>
      </c>
      <c r="L342" t="s">
        <v>159</v>
      </c>
      <c r="M342" t="s">
        <v>51</v>
      </c>
      <c r="N342" t="s">
        <v>92</v>
      </c>
      <c r="O342" s="1">
        <v>41335</v>
      </c>
      <c r="P342" t="s">
        <v>84</v>
      </c>
      <c r="Q342">
        <v>5</v>
      </c>
      <c r="R342" t="s">
        <v>28</v>
      </c>
      <c r="S342">
        <v>14.665755000000001</v>
      </c>
      <c r="T342">
        <v>79.340999999999994</v>
      </c>
      <c r="U342" t="s">
        <v>351</v>
      </c>
      <c r="V342" t="s">
        <v>351</v>
      </c>
      <c r="W342">
        <v>1164</v>
      </c>
    </row>
    <row r="343" spans="1:23" x14ac:dyDescent="0.25">
      <c r="A343" s="1">
        <v>44166</v>
      </c>
      <c r="B343" s="1">
        <v>44166</v>
      </c>
      <c r="C343" t="s">
        <v>157</v>
      </c>
      <c r="D343" t="s">
        <v>54</v>
      </c>
      <c r="E343" t="s">
        <v>21</v>
      </c>
      <c r="F343" t="s">
        <v>265</v>
      </c>
      <c r="G343" s="56">
        <v>44203.692604166667</v>
      </c>
      <c r="H343">
        <v>33</v>
      </c>
      <c r="I343">
        <v>16938</v>
      </c>
      <c r="J343" t="s">
        <v>50</v>
      </c>
      <c r="K343" t="s">
        <v>50</v>
      </c>
      <c r="L343" t="s">
        <v>159</v>
      </c>
      <c r="M343" t="s">
        <v>51</v>
      </c>
      <c r="N343" t="s">
        <v>92</v>
      </c>
      <c r="O343" s="1">
        <v>41335</v>
      </c>
      <c r="P343" t="s">
        <v>84</v>
      </c>
      <c r="Q343">
        <v>1</v>
      </c>
      <c r="R343" t="s">
        <v>83</v>
      </c>
      <c r="S343" t="s">
        <v>351</v>
      </c>
      <c r="T343" t="s">
        <v>351</v>
      </c>
      <c r="U343">
        <v>0</v>
      </c>
      <c r="V343">
        <v>6059.26</v>
      </c>
      <c r="W343">
        <v>0</v>
      </c>
    </row>
    <row r="344" spans="1:23" x14ac:dyDescent="0.25">
      <c r="A344" s="1">
        <v>44166</v>
      </c>
      <c r="B344" s="1">
        <v>44166</v>
      </c>
      <c r="C344" t="s">
        <v>157</v>
      </c>
      <c r="D344" t="s">
        <v>93</v>
      </c>
      <c r="E344" t="s">
        <v>49</v>
      </c>
      <c r="F344" t="s">
        <v>268</v>
      </c>
      <c r="G344" s="56">
        <v>44251.474293981482</v>
      </c>
      <c r="H344">
        <v>33</v>
      </c>
      <c r="I344" t="s">
        <v>351</v>
      </c>
      <c r="J344" t="s">
        <v>50</v>
      </c>
      <c r="K344" t="s">
        <v>50</v>
      </c>
      <c r="L344" t="s">
        <v>159</v>
      </c>
      <c r="M344" t="s">
        <v>51</v>
      </c>
      <c r="N344" t="s">
        <v>92</v>
      </c>
      <c r="O344" s="1">
        <v>41335</v>
      </c>
      <c r="P344" t="s">
        <v>84</v>
      </c>
      <c r="Q344">
        <v>1</v>
      </c>
      <c r="R344" t="s">
        <v>83</v>
      </c>
      <c r="S344">
        <v>1</v>
      </c>
      <c r="T344">
        <v>882</v>
      </c>
      <c r="U344" t="s">
        <v>351</v>
      </c>
      <c r="V344" t="s">
        <v>351</v>
      </c>
      <c r="W344">
        <v>882</v>
      </c>
    </row>
    <row r="345" spans="1:23" x14ac:dyDescent="0.25">
      <c r="A345" s="1">
        <v>44166</v>
      </c>
      <c r="B345" s="1">
        <v>44166</v>
      </c>
      <c r="C345" t="s">
        <v>157</v>
      </c>
      <c r="D345" t="s">
        <v>48</v>
      </c>
      <c r="E345" t="s">
        <v>49</v>
      </c>
      <c r="F345" t="s">
        <v>267</v>
      </c>
      <c r="G345" s="56">
        <v>44203.692604166667</v>
      </c>
      <c r="H345">
        <v>33</v>
      </c>
      <c r="I345">
        <v>16938</v>
      </c>
      <c r="J345" t="s">
        <v>50</v>
      </c>
      <c r="K345" t="s">
        <v>50</v>
      </c>
      <c r="L345" t="s">
        <v>159</v>
      </c>
      <c r="M345" t="s">
        <v>51</v>
      </c>
      <c r="N345" t="s">
        <v>92</v>
      </c>
      <c r="O345" s="1">
        <v>41335</v>
      </c>
      <c r="P345" t="s">
        <v>84</v>
      </c>
      <c r="Q345">
        <v>1</v>
      </c>
      <c r="R345" t="s">
        <v>83</v>
      </c>
      <c r="S345">
        <v>3655.0122390000001</v>
      </c>
      <c r="T345">
        <v>80.344999999999999</v>
      </c>
      <c r="U345" t="s">
        <v>351</v>
      </c>
      <c r="V345" t="s">
        <v>351</v>
      </c>
      <c r="W345">
        <v>293662</v>
      </c>
    </row>
    <row r="346" spans="1:23" x14ac:dyDescent="0.25">
      <c r="A346" s="1">
        <v>44166</v>
      </c>
      <c r="B346" s="1">
        <v>44166</v>
      </c>
      <c r="C346" t="s">
        <v>157</v>
      </c>
      <c r="D346" t="s">
        <v>54</v>
      </c>
      <c r="E346" t="s">
        <v>21</v>
      </c>
      <c r="F346" t="s">
        <v>265</v>
      </c>
      <c r="G346" s="56">
        <v>44203.692604166667</v>
      </c>
      <c r="H346">
        <v>33</v>
      </c>
      <c r="I346">
        <v>16938</v>
      </c>
      <c r="J346" t="s">
        <v>50</v>
      </c>
      <c r="K346" t="s">
        <v>50</v>
      </c>
      <c r="L346" t="s">
        <v>159</v>
      </c>
      <c r="M346" t="s">
        <v>51</v>
      </c>
      <c r="N346" t="s">
        <v>92</v>
      </c>
      <c r="O346" s="1">
        <v>41335</v>
      </c>
      <c r="P346" t="s">
        <v>84</v>
      </c>
      <c r="Q346">
        <v>2</v>
      </c>
      <c r="R346" t="s">
        <v>94</v>
      </c>
      <c r="S346" t="s">
        <v>351</v>
      </c>
      <c r="T346" t="s">
        <v>351</v>
      </c>
      <c r="U346">
        <v>0</v>
      </c>
      <c r="V346">
        <v>6135.33</v>
      </c>
      <c r="W346">
        <v>0</v>
      </c>
    </row>
    <row r="347" spans="1:23" x14ac:dyDescent="0.25">
      <c r="A347" s="1">
        <v>44166</v>
      </c>
      <c r="B347" s="1">
        <v>44166</v>
      </c>
      <c r="C347" t="s">
        <v>157</v>
      </c>
      <c r="D347" t="s">
        <v>93</v>
      </c>
      <c r="E347" t="s">
        <v>49</v>
      </c>
      <c r="F347" t="s">
        <v>268</v>
      </c>
      <c r="G347" s="56">
        <v>44251.474293981482</v>
      </c>
      <c r="H347">
        <v>33</v>
      </c>
      <c r="I347" t="s">
        <v>351</v>
      </c>
      <c r="J347" t="s">
        <v>50</v>
      </c>
      <c r="K347" t="s">
        <v>50</v>
      </c>
      <c r="L347" t="s">
        <v>159</v>
      </c>
      <c r="M347" t="s">
        <v>51</v>
      </c>
      <c r="N347" t="s">
        <v>92</v>
      </c>
      <c r="O347" s="1">
        <v>41335</v>
      </c>
      <c r="P347" t="s">
        <v>84</v>
      </c>
      <c r="Q347">
        <v>2</v>
      </c>
      <c r="R347" t="s">
        <v>94</v>
      </c>
      <c r="S347">
        <v>1</v>
      </c>
      <c r="T347">
        <v>4</v>
      </c>
      <c r="U347" t="s">
        <v>351</v>
      </c>
      <c r="V347" t="s">
        <v>351</v>
      </c>
      <c r="W347">
        <v>4</v>
      </c>
    </row>
    <row r="348" spans="1:23" x14ac:dyDescent="0.25">
      <c r="A348" s="1">
        <v>44166</v>
      </c>
      <c r="B348" s="1">
        <v>44166</v>
      </c>
      <c r="C348" t="s">
        <v>157</v>
      </c>
      <c r="D348" t="s">
        <v>48</v>
      </c>
      <c r="E348" t="s">
        <v>49</v>
      </c>
      <c r="F348" t="s">
        <v>267</v>
      </c>
      <c r="G348" s="56">
        <v>44203.692604166667</v>
      </c>
      <c r="H348">
        <v>33</v>
      </c>
      <c r="I348">
        <v>16938</v>
      </c>
      <c r="J348" t="s">
        <v>50</v>
      </c>
      <c r="K348" t="s">
        <v>50</v>
      </c>
      <c r="L348" t="s">
        <v>159</v>
      </c>
      <c r="M348" t="s">
        <v>51</v>
      </c>
      <c r="N348" t="s">
        <v>92</v>
      </c>
      <c r="O348" s="1">
        <v>41335</v>
      </c>
      <c r="P348" t="s">
        <v>84</v>
      </c>
      <c r="Q348">
        <v>2</v>
      </c>
      <c r="R348" t="s">
        <v>94</v>
      </c>
      <c r="S348">
        <v>14.851406000000001</v>
      </c>
      <c r="T348">
        <v>81.489000000000004</v>
      </c>
      <c r="U348" t="s">
        <v>351</v>
      </c>
      <c r="V348" t="s">
        <v>351</v>
      </c>
      <c r="W348">
        <v>1210</v>
      </c>
    </row>
    <row r="349" spans="1:23" x14ac:dyDescent="0.25">
      <c r="A349" s="1">
        <v>44166</v>
      </c>
      <c r="B349" s="1">
        <v>44166</v>
      </c>
      <c r="C349" t="s">
        <v>157</v>
      </c>
      <c r="D349" t="s">
        <v>54</v>
      </c>
      <c r="E349" t="s">
        <v>21</v>
      </c>
      <c r="F349" t="s">
        <v>265</v>
      </c>
      <c r="G349" s="56">
        <v>44203.692604166667</v>
      </c>
      <c r="H349">
        <v>33</v>
      </c>
      <c r="I349">
        <v>16938</v>
      </c>
      <c r="J349" t="s">
        <v>50</v>
      </c>
      <c r="K349" t="s">
        <v>50</v>
      </c>
      <c r="L349" t="s">
        <v>159</v>
      </c>
      <c r="M349" t="s">
        <v>51</v>
      </c>
      <c r="N349" t="s">
        <v>92</v>
      </c>
      <c r="O349" s="1">
        <v>41335</v>
      </c>
      <c r="P349" t="s">
        <v>84</v>
      </c>
      <c r="Q349">
        <v>3</v>
      </c>
      <c r="R349" t="s">
        <v>81</v>
      </c>
      <c r="S349" t="s">
        <v>351</v>
      </c>
      <c r="T349" t="s">
        <v>351</v>
      </c>
      <c r="U349">
        <v>0</v>
      </c>
      <c r="V349">
        <v>5857.6</v>
      </c>
      <c r="W349">
        <v>0</v>
      </c>
    </row>
    <row r="350" spans="1:23" x14ac:dyDescent="0.25">
      <c r="A350" s="1">
        <v>44166</v>
      </c>
      <c r="B350" s="1">
        <v>44166</v>
      </c>
      <c r="C350" t="s">
        <v>157</v>
      </c>
      <c r="D350" t="s">
        <v>93</v>
      </c>
      <c r="E350" t="s">
        <v>49</v>
      </c>
      <c r="F350" t="s">
        <v>268</v>
      </c>
      <c r="G350" s="56">
        <v>44251.474293981482</v>
      </c>
      <c r="H350">
        <v>33</v>
      </c>
      <c r="I350" t="s">
        <v>351</v>
      </c>
      <c r="J350" t="s">
        <v>50</v>
      </c>
      <c r="K350" t="s">
        <v>50</v>
      </c>
      <c r="L350" t="s">
        <v>159</v>
      </c>
      <c r="M350" t="s">
        <v>51</v>
      </c>
      <c r="N350" t="s">
        <v>92</v>
      </c>
      <c r="O350" s="1">
        <v>41335</v>
      </c>
      <c r="P350" t="s">
        <v>84</v>
      </c>
      <c r="Q350">
        <v>3</v>
      </c>
      <c r="R350" t="s">
        <v>81</v>
      </c>
      <c r="S350">
        <v>1</v>
      </c>
      <c r="T350">
        <v>128</v>
      </c>
      <c r="U350" t="s">
        <v>351</v>
      </c>
      <c r="V350" t="s">
        <v>351</v>
      </c>
      <c r="W350">
        <v>128</v>
      </c>
    </row>
    <row r="351" spans="1:23" x14ac:dyDescent="0.25">
      <c r="A351" s="1">
        <v>44166</v>
      </c>
      <c r="B351" s="1">
        <v>44166</v>
      </c>
      <c r="C351" t="s">
        <v>157</v>
      </c>
      <c r="D351" t="s">
        <v>48</v>
      </c>
      <c r="E351" t="s">
        <v>49</v>
      </c>
      <c r="F351" t="s">
        <v>267</v>
      </c>
      <c r="G351" s="56">
        <v>44203.692604166667</v>
      </c>
      <c r="H351">
        <v>33</v>
      </c>
      <c r="I351">
        <v>16938</v>
      </c>
      <c r="J351" t="s">
        <v>50</v>
      </c>
      <c r="K351" t="s">
        <v>50</v>
      </c>
      <c r="L351" t="s">
        <v>159</v>
      </c>
      <c r="M351" t="s">
        <v>51</v>
      </c>
      <c r="N351" t="s">
        <v>92</v>
      </c>
      <c r="O351" s="1">
        <v>41335</v>
      </c>
      <c r="P351" t="s">
        <v>84</v>
      </c>
      <c r="Q351">
        <v>3</v>
      </c>
      <c r="R351" t="s">
        <v>81</v>
      </c>
      <c r="S351">
        <v>555.09301300000004</v>
      </c>
      <c r="T351">
        <v>76.656999999999996</v>
      </c>
      <c r="U351" t="s">
        <v>351</v>
      </c>
      <c r="V351" t="s">
        <v>351</v>
      </c>
      <c r="W351">
        <v>42552</v>
      </c>
    </row>
    <row r="352" spans="1:23" x14ac:dyDescent="0.25">
      <c r="A352" s="1">
        <v>44166</v>
      </c>
      <c r="B352" s="1">
        <v>44166</v>
      </c>
      <c r="C352" t="s">
        <v>157</v>
      </c>
      <c r="D352" t="s">
        <v>54</v>
      </c>
      <c r="E352" t="s">
        <v>21</v>
      </c>
      <c r="F352" t="s">
        <v>265</v>
      </c>
      <c r="G352" s="56">
        <v>44203.692604166667</v>
      </c>
      <c r="H352">
        <v>33</v>
      </c>
      <c r="I352">
        <v>16938</v>
      </c>
      <c r="J352" t="s">
        <v>50</v>
      </c>
      <c r="K352" t="s">
        <v>50</v>
      </c>
      <c r="L352" t="s">
        <v>159</v>
      </c>
      <c r="M352" t="s">
        <v>51</v>
      </c>
      <c r="N352" t="s">
        <v>92</v>
      </c>
      <c r="O352" s="1">
        <v>41335</v>
      </c>
      <c r="P352" t="s">
        <v>84</v>
      </c>
      <c r="Q352">
        <v>4</v>
      </c>
      <c r="R352" t="s">
        <v>27</v>
      </c>
      <c r="S352" t="s">
        <v>351</v>
      </c>
      <c r="T352" t="s">
        <v>351</v>
      </c>
      <c r="U352">
        <v>0</v>
      </c>
      <c r="V352">
        <v>5984.39</v>
      </c>
      <c r="W352">
        <v>0</v>
      </c>
    </row>
    <row r="353" spans="1:23" x14ac:dyDescent="0.25">
      <c r="A353" s="1">
        <v>44166</v>
      </c>
      <c r="B353" s="1">
        <v>44166</v>
      </c>
      <c r="C353" t="s">
        <v>157</v>
      </c>
      <c r="D353" t="s">
        <v>93</v>
      </c>
      <c r="E353" t="s">
        <v>49</v>
      </c>
      <c r="F353" t="s">
        <v>268</v>
      </c>
      <c r="G353" s="56">
        <v>44251.474293981482</v>
      </c>
      <c r="H353">
        <v>33</v>
      </c>
      <c r="I353" t="s">
        <v>351</v>
      </c>
      <c r="J353" t="s">
        <v>50</v>
      </c>
      <c r="K353" t="s">
        <v>50</v>
      </c>
      <c r="L353" t="s">
        <v>159</v>
      </c>
      <c r="M353" t="s">
        <v>51</v>
      </c>
      <c r="N353" t="s">
        <v>92</v>
      </c>
      <c r="O353" s="1">
        <v>41335</v>
      </c>
      <c r="P353" t="s">
        <v>84</v>
      </c>
      <c r="Q353">
        <v>4</v>
      </c>
      <c r="R353" t="s">
        <v>27</v>
      </c>
      <c r="S353">
        <v>1</v>
      </c>
      <c r="T353">
        <v>1055</v>
      </c>
      <c r="U353" t="s">
        <v>351</v>
      </c>
      <c r="V353" t="s">
        <v>351</v>
      </c>
      <c r="W353">
        <v>1055</v>
      </c>
    </row>
    <row r="354" spans="1:23" x14ac:dyDescent="0.25">
      <c r="A354" s="1">
        <v>44166</v>
      </c>
      <c r="B354" s="1">
        <v>44166</v>
      </c>
      <c r="C354" t="s">
        <v>157</v>
      </c>
      <c r="D354" t="s">
        <v>48</v>
      </c>
      <c r="E354" t="s">
        <v>49</v>
      </c>
      <c r="F354" t="s">
        <v>267</v>
      </c>
      <c r="G354" s="56">
        <v>44203.692604166667</v>
      </c>
      <c r="H354">
        <v>33</v>
      </c>
      <c r="I354">
        <v>16938</v>
      </c>
      <c r="J354" t="s">
        <v>50</v>
      </c>
      <c r="K354" t="s">
        <v>50</v>
      </c>
      <c r="L354" t="s">
        <v>159</v>
      </c>
      <c r="M354" t="s">
        <v>51</v>
      </c>
      <c r="N354" t="s">
        <v>92</v>
      </c>
      <c r="O354" s="1">
        <v>41335</v>
      </c>
      <c r="P354" t="s">
        <v>84</v>
      </c>
      <c r="Q354">
        <v>4</v>
      </c>
      <c r="R354" t="s">
        <v>27</v>
      </c>
      <c r="S354">
        <v>4574.312688</v>
      </c>
      <c r="T354">
        <v>76.781000000000006</v>
      </c>
      <c r="U354" t="s">
        <v>351</v>
      </c>
      <c r="V354" t="s">
        <v>351</v>
      </c>
      <c r="W354">
        <v>351220</v>
      </c>
    </row>
    <row r="355" spans="1:23" x14ac:dyDescent="0.25">
      <c r="A355" s="1">
        <v>44166</v>
      </c>
      <c r="B355" s="1">
        <v>44166</v>
      </c>
      <c r="C355" t="s">
        <v>157</v>
      </c>
      <c r="D355" t="s">
        <v>54</v>
      </c>
      <c r="E355" t="s">
        <v>21</v>
      </c>
      <c r="F355" t="s">
        <v>265</v>
      </c>
      <c r="G355" s="56">
        <v>44203.692604166667</v>
      </c>
      <c r="H355">
        <v>33</v>
      </c>
      <c r="I355">
        <v>16938</v>
      </c>
      <c r="J355" t="s">
        <v>50</v>
      </c>
      <c r="K355" t="s">
        <v>50</v>
      </c>
      <c r="L355" t="s">
        <v>159</v>
      </c>
      <c r="M355" t="s">
        <v>51</v>
      </c>
      <c r="N355" t="s">
        <v>92</v>
      </c>
      <c r="O355" s="1">
        <v>41335</v>
      </c>
      <c r="P355" t="s">
        <v>84</v>
      </c>
      <c r="Q355">
        <v>5</v>
      </c>
      <c r="R355" t="s">
        <v>28</v>
      </c>
      <c r="S355" t="s">
        <v>351</v>
      </c>
      <c r="T355" t="s">
        <v>351</v>
      </c>
      <c r="U355">
        <v>0</v>
      </c>
      <c r="V355">
        <v>5746.51</v>
      </c>
      <c r="W355">
        <v>0</v>
      </c>
    </row>
    <row r="356" spans="1:23" x14ac:dyDescent="0.25">
      <c r="A356" s="1">
        <v>44166</v>
      </c>
      <c r="B356" s="1">
        <v>44166</v>
      </c>
      <c r="C356" t="s">
        <v>157</v>
      </c>
      <c r="D356" t="s">
        <v>93</v>
      </c>
      <c r="E356" t="s">
        <v>49</v>
      </c>
      <c r="F356" t="s">
        <v>268</v>
      </c>
      <c r="G356" s="56">
        <v>44251.474293981482</v>
      </c>
      <c r="H356">
        <v>33</v>
      </c>
      <c r="I356" t="s">
        <v>351</v>
      </c>
      <c r="J356" t="s">
        <v>50</v>
      </c>
      <c r="K356" t="s">
        <v>50</v>
      </c>
      <c r="L356" t="s">
        <v>159</v>
      </c>
      <c r="M356" t="s">
        <v>51</v>
      </c>
      <c r="N356" t="s">
        <v>92</v>
      </c>
      <c r="O356" s="1">
        <v>41335</v>
      </c>
      <c r="P356" t="s">
        <v>84</v>
      </c>
      <c r="Q356">
        <v>5</v>
      </c>
      <c r="R356" t="s">
        <v>28</v>
      </c>
      <c r="S356">
        <v>1</v>
      </c>
      <c r="T356">
        <v>4</v>
      </c>
      <c r="U356" t="s">
        <v>351</v>
      </c>
      <c r="V356" t="s">
        <v>351</v>
      </c>
      <c r="W356">
        <v>4</v>
      </c>
    </row>
    <row r="357" spans="1:23" x14ac:dyDescent="0.25">
      <c r="A357" s="1">
        <v>44166</v>
      </c>
      <c r="B357" s="1">
        <v>44166</v>
      </c>
      <c r="C357" t="s">
        <v>157</v>
      </c>
      <c r="D357" t="s">
        <v>48</v>
      </c>
      <c r="E357" t="s">
        <v>49</v>
      </c>
      <c r="F357" t="s">
        <v>267</v>
      </c>
      <c r="G357" s="56">
        <v>44203.692604166667</v>
      </c>
      <c r="H357">
        <v>33</v>
      </c>
      <c r="I357">
        <v>16938</v>
      </c>
      <c r="J357" t="s">
        <v>50</v>
      </c>
      <c r="K357" t="s">
        <v>50</v>
      </c>
      <c r="L357" t="s">
        <v>159</v>
      </c>
      <c r="M357" t="s">
        <v>51</v>
      </c>
      <c r="N357" t="s">
        <v>92</v>
      </c>
      <c r="O357" s="1">
        <v>41335</v>
      </c>
      <c r="P357" t="s">
        <v>84</v>
      </c>
      <c r="Q357">
        <v>5</v>
      </c>
      <c r="R357" t="s">
        <v>28</v>
      </c>
      <c r="S357">
        <v>18.685690000000001</v>
      </c>
      <c r="T357">
        <v>79.340999999999994</v>
      </c>
      <c r="U357" t="s">
        <v>351</v>
      </c>
      <c r="V357" t="s">
        <v>351</v>
      </c>
      <c r="W357">
        <v>1483</v>
      </c>
    </row>
    <row r="358" spans="1:23" x14ac:dyDescent="0.25">
      <c r="A358" s="1">
        <v>44197</v>
      </c>
      <c r="B358" s="1">
        <v>44197</v>
      </c>
      <c r="C358" t="s">
        <v>157</v>
      </c>
      <c r="D358" t="s">
        <v>54</v>
      </c>
      <c r="E358" t="s">
        <v>21</v>
      </c>
      <c r="F358" t="s">
        <v>274</v>
      </c>
      <c r="G358" s="56">
        <v>44235.838287037041</v>
      </c>
      <c r="H358">
        <v>33</v>
      </c>
      <c r="I358">
        <v>17339</v>
      </c>
      <c r="J358" t="s">
        <v>50</v>
      </c>
      <c r="K358" t="s">
        <v>50</v>
      </c>
      <c r="L358" t="s">
        <v>159</v>
      </c>
      <c r="M358" t="s">
        <v>51</v>
      </c>
      <c r="N358" t="s">
        <v>92</v>
      </c>
      <c r="O358" s="1">
        <v>41335</v>
      </c>
      <c r="P358" t="s">
        <v>84</v>
      </c>
      <c r="Q358">
        <v>1</v>
      </c>
      <c r="R358" t="s">
        <v>83</v>
      </c>
      <c r="S358" t="s">
        <v>351</v>
      </c>
      <c r="T358" t="s">
        <v>351</v>
      </c>
      <c r="U358">
        <v>0</v>
      </c>
      <c r="V358">
        <v>5914.42</v>
      </c>
      <c r="W358">
        <v>0</v>
      </c>
    </row>
    <row r="359" spans="1:23" x14ac:dyDescent="0.25">
      <c r="A359" s="1">
        <v>44197</v>
      </c>
      <c r="B359" s="1">
        <v>44197</v>
      </c>
      <c r="C359" t="s">
        <v>157</v>
      </c>
      <c r="D359" t="s">
        <v>93</v>
      </c>
      <c r="E359" t="s">
        <v>49</v>
      </c>
      <c r="F359" t="s">
        <v>270</v>
      </c>
      <c r="G359" s="56">
        <v>44273.429872685185</v>
      </c>
      <c r="H359">
        <v>61</v>
      </c>
      <c r="I359" t="s">
        <v>351</v>
      </c>
      <c r="J359" t="s">
        <v>50</v>
      </c>
      <c r="K359" t="s">
        <v>50</v>
      </c>
      <c r="L359" t="s">
        <v>159</v>
      </c>
      <c r="M359" t="s">
        <v>51</v>
      </c>
      <c r="N359" t="s">
        <v>92</v>
      </c>
      <c r="O359" s="1">
        <v>41335</v>
      </c>
      <c r="P359" t="s">
        <v>84</v>
      </c>
      <c r="Q359">
        <v>1</v>
      </c>
      <c r="R359" t="s">
        <v>83</v>
      </c>
      <c r="S359">
        <v>1</v>
      </c>
      <c r="T359">
        <v>-332</v>
      </c>
      <c r="U359" t="s">
        <v>351</v>
      </c>
      <c r="V359" t="s">
        <v>351</v>
      </c>
      <c r="W359">
        <v>-332</v>
      </c>
    </row>
    <row r="360" spans="1:23" x14ac:dyDescent="0.25">
      <c r="A360" s="1">
        <v>44197</v>
      </c>
      <c r="B360" s="1">
        <v>44197</v>
      </c>
      <c r="C360" t="s">
        <v>157</v>
      </c>
      <c r="D360" t="s">
        <v>48</v>
      </c>
      <c r="E360" t="s">
        <v>49</v>
      </c>
      <c r="F360" t="s">
        <v>272</v>
      </c>
      <c r="G360" s="56">
        <v>44235.838287037041</v>
      </c>
      <c r="H360">
        <v>33</v>
      </c>
      <c r="I360">
        <v>17339</v>
      </c>
      <c r="J360" t="s">
        <v>50</v>
      </c>
      <c r="K360" t="s">
        <v>50</v>
      </c>
      <c r="L360" t="s">
        <v>159</v>
      </c>
      <c r="M360" t="s">
        <v>51</v>
      </c>
      <c r="N360" t="s">
        <v>92</v>
      </c>
      <c r="O360" s="1">
        <v>41335</v>
      </c>
      <c r="P360" t="s">
        <v>84</v>
      </c>
      <c r="Q360">
        <v>1</v>
      </c>
      <c r="R360" t="s">
        <v>83</v>
      </c>
      <c r="S360">
        <v>2962.3663649999999</v>
      </c>
      <c r="T360">
        <v>85.203000000000003</v>
      </c>
      <c r="U360" t="s">
        <v>351</v>
      </c>
      <c r="V360" t="s">
        <v>351</v>
      </c>
      <c r="W360">
        <v>252403</v>
      </c>
    </row>
    <row r="361" spans="1:23" x14ac:dyDescent="0.25">
      <c r="A361" s="1">
        <v>44197</v>
      </c>
      <c r="B361" s="1">
        <v>44197</v>
      </c>
      <c r="C361" t="s">
        <v>157</v>
      </c>
      <c r="D361" t="s">
        <v>54</v>
      </c>
      <c r="E361" t="s">
        <v>21</v>
      </c>
      <c r="F361" t="s">
        <v>274</v>
      </c>
      <c r="G361" s="56">
        <v>44235.838287037041</v>
      </c>
      <c r="H361">
        <v>33</v>
      </c>
      <c r="I361">
        <v>17339</v>
      </c>
      <c r="J361" t="s">
        <v>50</v>
      </c>
      <c r="K361" t="s">
        <v>50</v>
      </c>
      <c r="L361" t="s">
        <v>159</v>
      </c>
      <c r="M361" t="s">
        <v>51</v>
      </c>
      <c r="N361" t="s">
        <v>92</v>
      </c>
      <c r="O361" s="1">
        <v>41335</v>
      </c>
      <c r="P361" t="s">
        <v>84</v>
      </c>
      <c r="Q361">
        <v>2</v>
      </c>
      <c r="R361" t="s">
        <v>94</v>
      </c>
      <c r="S361" t="s">
        <v>351</v>
      </c>
      <c r="T361" t="s">
        <v>351</v>
      </c>
      <c r="U361">
        <v>0</v>
      </c>
      <c r="V361">
        <v>6007.37</v>
      </c>
      <c r="W361">
        <v>0</v>
      </c>
    </row>
    <row r="362" spans="1:23" x14ac:dyDescent="0.25">
      <c r="A362" s="1">
        <v>44197</v>
      </c>
      <c r="B362" s="1">
        <v>44197</v>
      </c>
      <c r="C362" t="s">
        <v>157</v>
      </c>
      <c r="D362" t="s">
        <v>93</v>
      </c>
      <c r="E362" t="s">
        <v>49</v>
      </c>
      <c r="F362" t="s">
        <v>270</v>
      </c>
      <c r="G362" s="56">
        <v>44273.429872685185</v>
      </c>
      <c r="H362">
        <v>61</v>
      </c>
      <c r="I362" t="s">
        <v>351</v>
      </c>
      <c r="J362" t="s">
        <v>50</v>
      </c>
      <c r="K362" t="s">
        <v>50</v>
      </c>
      <c r="L362" t="s">
        <v>159</v>
      </c>
      <c r="M362" t="s">
        <v>51</v>
      </c>
      <c r="N362" t="s">
        <v>92</v>
      </c>
      <c r="O362" s="1">
        <v>41335</v>
      </c>
      <c r="P362" t="s">
        <v>84</v>
      </c>
      <c r="Q362">
        <v>2</v>
      </c>
      <c r="R362" t="s">
        <v>94</v>
      </c>
      <c r="S362">
        <v>1</v>
      </c>
      <c r="T362">
        <v>-1</v>
      </c>
      <c r="U362" t="s">
        <v>351</v>
      </c>
      <c r="V362" t="s">
        <v>351</v>
      </c>
      <c r="W362">
        <v>-1</v>
      </c>
    </row>
    <row r="363" spans="1:23" x14ac:dyDescent="0.25">
      <c r="A363" s="1">
        <v>44197</v>
      </c>
      <c r="B363" s="1">
        <v>44197</v>
      </c>
      <c r="C363" t="s">
        <v>157</v>
      </c>
      <c r="D363" t="s">
        <v>48</v>
      </c>
      <c r="E363" t="s">
        <v>49</v>
      </c>
      <c r="F363" t="s">
        <v>272</v>
      </c>
      <c r="G363" s="56">
        <v>44235.838287037041</v>
      </c>
      <c r="H363">
        <v>33</v>
      </c>
      <c r="I363">
        <v>17339</v>
      </c>
      <c r="J363" t="s">
        <v>50</v>
      </c>
      <c r="K363" t="s">
        <v>50</v>
      </c>
      <c r="L363" t="s">
        <v>159</v>
      </c>
      <c r="M363" t="s">
        <v>51</v>
      </c>
      <c r="N363" t="s">
        <v>92</v>
      </c>
      <c r="O363" s="1">
        <v>41335</v>
      </c>
      <c r="P363" t="s">
        <v>84</v>
      </c>
      <c r="Q363">
        <v>2</v>
      </c>
      <c r="R363" t="s">
        <v>94</v>
      </c>
      <c r="S363">
        <v>9.6260829999999995</v>
      </c>
      <c r="T363">
        <v>86.819000000000003</v>
      </c>
      <c r="U363" t="s">
        <v>351</v>
      </c>
      <c r="V363" t="s">
        <v>351</v>
      </c>
      <c r="W363">
        <v>836</v>
      </c>
    </row>
    <row r="364" spans="1:23" x14ac:dyDescent="0.25">
      <c r="A364" s="1">
        <v>44197</v>
      </c>
      <c r="B364" s="1">
        <v>44197</v>
      </c>
      <c r="C364" t="s">
        <v>157</v>
      </c>
      <c r="D364" t="s">
        <v>54</v>
      </c>
      <c r="E364" t="s">
        <v>21</v>
      </c>
      <c r="F364" t="s">
        <v>274</v>
      </c>
      <c r="G364" s="56">
        <v>44235.838287037041</v>
      </c>
      <c r="H364">
        <v>33</v>
      </c>
      <c r="I364">
        <v>17339</v>
      </c>
      <c r="J364" t="s">
        <v>50</v>
      </c>
      <c r="K364" t="s">
        <v>50</v>
      </c>
      <c r="L364" t="s">
        <v>159</v>
      </c>
      <c r="M364" t="s">
        <v>51</v>
      </c>
      <c r="N364" t="s">
        <v>92</v>
      </c>
      <c r="O364" s="1">
        <v>41335</v>
      </c>
      <c r="P364" t="s">
        <v>84</v>
      </c>
      <c r="Q364">
        <v>3</v>
      </c>
      <c r="R364" t="s">
        <v>81</v>
      </c>
      <c r="S364" t="s">
        <v>351</v>
      </c>
      <c r="T364" t="s">
        <v>351</v>
      </c>
      <c r="U364">
        <v>0</v>
      </c>
      <c r="V364">
        <v>5302.48</v>
      </c>
      <c r="W364">
        <v>0</v>
      </c>
    </row>
    <row r="365" spans="1:23" x14ac:dyDescent="0.25">
      <c r="A365" s="1">
        <v>44197</v>
      </c>
      <c r="B365" s="1">
        <v>44197</v>
      </c>
      <c r="C365" t="s">
        <v>157</v>
      </c>
      <c r="D365" t="s">
        <v>93</v>
      </c>
      <c r="E365" t="s">
        <v>49</v>
      </c>
      <c r="F365" t="s">
        <v>270</v>
      </c>
      <c r="G365" s="56">
        <v>44273.429872685185</v>
      </c>
      <c r="H365">
        <v>61</v>
      </c>
      <c r="I365" t="s">
        <v>351</v>
      </c>
      <c r="J365" t="s">
        <v>50</v>
      </c>
      <c r="K365" t="s">
        <v>50</v>
      </c>
      <c r="L365" t="s">
        <v>159</v>
      </c>
      <c r="M365" t="s">
        <v>51</v>
      </c>
      <c r="N365" t="s">
        <v>92</v>
      </c>
      <c r="O365" s="1">
        <v>41335</v>
      </c>
      <c r="P365" t="s">
        <v>84</v>
      </c>
      <c r="Q365">
        <v>3</v>
      </c>
      <c r="R365" t="s">
        <v>81</v>
      </c>
      <c r="S365">
        <v>1</v>
      </c>
      <c r="T365">
        <v>-33</v>
      </c>
      <c r="U365" t="s">
        <v>351</v>
      </c>
      <c r="V365" t="s">
        <v>351</v>
      </c>
      <c r="W365">
        <v>-33</v>
      </c>
    </row>
    <row r="366" spans="1:23" x14ac:dyDescent="0.25">
      <c r="A366" s="1">
        <v>44197</v>
      </c>
      <c r="B366" s="1">
        <v>44197</v>
      </c>
      <c r="C366" t="s">
        <v>157</v>
      </c>
      <c r="D366" t="s">
        <v>48</v>
      </c>
      <c r="E366" t="s">
        <v>49</v>
      </c>
      <c r="F366" t="s">
        <v>272</v>
      </c>
      <c r="G366" s="56">
        <v>44235.838287037041</v>
      </c>
      <c r="H366">
        <v>33</v>
      </c>
      <c r="I366">
        <v>17339</v>
      </c>
      <c r="J366" t="s">
        <v>50</v>
      </c>
      <c r="K366" t="s">
        <v>50</v>
      </c>
      <c r="L366" t="s">
        <v>159</v>
      </c>
      <c r="M366" t="s">
        <v>51</v>
      </c>
      <c r="N366" t="s">
        <v>92</v>
      </c>
      <c r="O366" s="1">
        <v>41335</v>
      </c>
      <c r="P366" t="s">
        <v>84</v>
      </c>
      <c r="Q366">
        <v>3</v>
      </c>
      <c r="R366" t="s">
        <v>81</v>
      </c>
      <c r="S366">
        <v>320.36813000000001</v>
      </c>
      <c r="T366">
        <v>78.597999999999999</v>
      </c>
      <c r="U366" t="s">
        <v>351</v>
      </c>
      <c r="V366" t="s">
        <v>351</v>
      </c>
      <c r="W366">
        <v>25180</v>
      </c>
    </row>
    <row r="367" spans="1:23" x14ac:dyDescent="0.25">
      <c r="A367" s="1">
        <v>44197</v>
      </c>
      <c r="B367" s="1">
        <v>44197</v>
      </c>
      <c r="C367" t="s">
        <v>157</v>
      </c>
      <c r="D367" t="s">
        <v>54</v>
      </c>
      <c r="E367" t="s">
        <v>21</v>
      </c>
      <c r="F367" t="s">
        <v>274</v>
      </c>
      <c r="G367" s="56">
        <v>44235.838287037041</v>
      </c>
      <c r="H367">
        <v>33</v>
      </c>
      <c r="I367">
        <v>17339</v>
      </c>
      <c r="J367" t="s">
        <v>50</v>
      </c>
      <c r="K367" t="s">
        <v>50</v>
      </c>
      <c r="L367" t="s">
        <v>159</v>
      </c>
      <c r="M367" t="s">
        <v>51</v>
      </c>
      <c r="N367" t="s">
        <v>92</v>
      </c>
      <c r="O367" s="1">
        <v>41335</v>
      </c>
      <c r="P367" t="s">
        <v>84</v>
      </c>
      <c r="Q367">
        <v>4</v>
      </c>
      <c r="R367" t="s">
        <v>27</v>
      </c>
      <c r="S367" t="s">
        <v>351</v>
      </c>
      <c r="T367" t="s">
        <v>351</v>
      </c>
      <c r="U367">
        <v>0</v>
      </c>
      <c r="V367">
        <v>5512.82</v>
      </c>
      <c r="W367">
        <v>0</v>
      </c>
    </row>
    <row r="368" spans="1:23" x14ac:dyDescent="0.25">
      <c r="A368" s="1">
        <v>44197</v>
      </c>
      <c r="B368" s="1">
        <v>44197</v>
      </c>
      <c r="C368" t="s">
        <v>157</v>
      </c>
      <c r="D368" t="s">
        <v>93</v>
      </c>
      <c r="E368" t="s">
        <v>49</v>
      </c>
      <c r="F368" t="s">
        <v>270</v>
      </c>
      <c r="G368" s="56">
        <v>44273.429872685185</v>
      </c>
      <c r="H368">
        <v>61</v>
      </c>
      <c r="I368" t="s">
        <v>351</v>
      </c>
      <c r="J368" t="s">
        <v>50</v>
      </c>
      <c r="K368" t="s">
        <v>50</v>
      </c>
      <c r="L368" t="s">
        <v>159</v>
      </c>
      <c r="M368" t="s">
        <v>51</v>
      </c>
      <c r="N368" t="s">
        <v>92</v>
      </c>
      <c r="O368" s="1">
        <v>41335</v>
      </c>
      <c r="P368" t="s">
        <v>84</v>
      </c>
      <c r="Q368">
        <v>4</v>
      </c>
      <c r="R368" t="s">
        <v>27</v>
      </c>
      <c r="S368">
        <v>1</v>
      </c>
      <c r="T368">
        <v>-385</v>
      </c>
      <c r="U368" t="s">
        <v>351</v>
      </c>
      <c r="V368" t="s">
        <v>351</v>
      </c>
      <c r="W368">
        <v>-385</v>
      </c>
    </row>
    <row r="369" spans="1:23" x14ac:dyDescent="0.25">
      <c r="A369" s="1">
        <v>44197</v>
      </c>
      <c r="B369" s="1">
        <v>44197</v>
      </c>
      <c r="C369" t="s">
        <v>157</v>
      </c>
      <c r="D369" t="s">
        <v>48</v>
      </c>
      <c r="E369" t="s">
        <v>49</v>
      </c>
      <c r="F369" t="s">
        <v>272</v>
      </c>
      <c r="G369" s="56">
        <v>44235.838287037041</v>
      </c>
      <c r="H369">
        <v>33</v>
      </c>
      <c r="I369">
        <v>17339</v>
      </c>
      <c r="J369" t="s">
        <v>50</v>
      </c>
      <c r="K369" t="s">
        <v>50</v>
      </c>
      <c r="L369" t="s">
        <v>159</v>
      </c>
      <c r="M369" t="s">
        <v>51</v>
      </c>
      <c r="N369" t="s">
        <v>92</v>
      </c>
      <c r="O369" s="1">
        <v>41335</v>
      </c>
      <c r="P369" t="s">
        <v>84</v>
      </c>
      <c r="Q369">
        <v>4</v>
      </c>
      <c r="R369" t="s">
        <v>27</v>
      </c>
      <c r="S369">
        <v>3662.8658420000002</v>
      </c>
      <c r="T369">
        <v>80.213999999999999</v>
      </c>
      <c r="U369" t="s">
        <v>351</v>
      </c>
      <c r="V369" t="s">
        <v>351</v>
      </c>
      <c r="W369">
        <v>293813</v>
      </c>
    </row>
    <row r="370" spans="1:23" x14ac:dyDescent="0.25">
      <c r="A370" s="1">
        <v>44197</v>
      </c>
      <c r="B370" s="1">
        <v>44197</v>
      </c>
      <c r="C370" t="s">
        <v>157</v>
      </c>
      <c r="D370" t="s">
        <v>54</v>
      </c>
      <c r="E370" t="s">
        <v>21</v>
      </c>
      <c r="F370" t="s">
        <v>274</v>
      </c>
      <c r="G370" s="56">
        <v>44235.838287037041</v>
      </c>
      <c r="H370">
        <v>33</v>
      </c>
      <c r="I370">
        <v>17339</v>
      </c>
      <c r="J370" t="s">
        <v>50</v>
      </c>
      <c r="K370" t="s">
        <v>50</v>
      </c>
      <c r="L370" t="s">
        <v>159</v>
      </c>
      <c r="M370" t="s">
        <v>51</v>
      </c>
      <c r="N370" t="s">
        <v>92</v>
      </c>
      <c r="O370" s="1">
        <v>41335</v>
      </c>
      <c r="P370" t="s">
        <v>84</v>
      </c>
      <c r="Q370">
        <v>5</v>
      </c>
      <c r="R370" t="s">
        <v>28</v>
      </c>
      <c r="S370" t="s">
        <v>351</v>
      </c>
      <c r="T370" t="s">
        <v>351</v>
      </c>
      <c r="U370">
        <v>0</v>
      </c>
      <c r="V370">
        <v>5963.28</v>
      </c>
      <c r="W370">
        <v>0</v>
      </c>
    </row>
    <row r="371" spans="1:23" x14ac:dyDescent="0.25">
      <c r="A371" s="1">
        <v>44197</v>
      </c>
      <c r="B371" s="1">
        <v>44197</v>
      </c>
      <c r="C371" t="s">
        <v>157</v>
      </c>
      <c r="D371" t="s">
        <v>93</v>
      </c>
      <c r="E371" t="s">
        <v>49</v>
      </c>
      <c r="F371" t="s">
        <v>270</v>
      </c>
      <c r="G371" s="56">
        <v>44273.429872685185</v>
      </c>
      <c r="H371">
        <v>61</v>
      </c>
      <c r="I371" t="s">
        <v>351</v>
      </c>
      <c r="J371" t="s">
        <v>50</v>
      </c>
      <c r="K371" t="s">
        <v>50</v>
      </c>
      <c r="L371" t="s">
        <v>159</v>
      </c>
      <c r="M371" t="s">
        <v>51</v>
      </c>
      <c r="N371" t="s">
        <v>92</v>
      </c>
      <c r="O371" s="1">
        <v>41335</v>
      </c>
      <c r="P371" t="s">
        <v>84</v>
      </c>
      <c r="Q371">
        <v>5</v>
      </c>
      <c r="R371" t="s">
        <v>28</v>
      </c>
      <c r="S371">
        <v>1</v>
      </c>
      <c r="T371">
        <v>-1</v>
      </c>
      <c r="U371" t="s">
        <v>351</v>
      </c>
      <c r="V371" t="s">
        <v>351</v>
      </c>
      <c r="W371">
        <v>-1</v>
      </c>
    </row>
    <row r="372" spans="1:23" x14ac:dyDescent="0.25">
      <c r="A372" s="1">
        <v>44197</v>
      </c>
      <c r="B372" s="1">
        <v>44197</v>
      </c>
      <c r="C372" t="s">
        <v>157</v>
      </c>
      <c r="D372" t="s">
        <v>48</v>
      </c>
      <c r="E372" t="s">
        <v>49</v>
      </c>
      <c r="F372" t="s">
        <v>272</v>
      </c>
      <c r="G372" s="56">
        <v>44235.838287037041</v>
      </c>
      <c r="H372">
        <v>33</v>
      </c>
      <c r="I372">
        <v>17339</v>
      </c>
      <c r="J372" t="s">
        <v>50</v>
      </c>
      <c r="K372" t="s">
        <v>50</v>
      </c>
      <c r="L372" t="s">
        <v>159</v>
      </c>
      <c r="M372" t="s">
        <v>51</v>
      </c>
      <c r="N372" t="s">
        <v>92</v>
      </c>
      <c r="O372" s="1">
        <v>41335</v>
      </c>
      <c r="P372" t="s">
        <v>84</v>
      </c>
      <c r="Q372">
        <v>5</v>
      </c>
      <c r="R372" t="s">
        <v>28</v>
      </c>
      <c r="S372">
        <v>10.591604999999999</v>
      </c>
      <c r="T372">
        <v>86.617999999999995</v>
      </c>
      <c r="U372" t="s">
        <v>351</v>
      </c>
      <c r="V372" t="s">
        <v>351</v>
      </c>
      <c r="W372">
        <v>917</v>
      </c>
    </row>
    <row r="373" spans="1:23" x14ac:dyDescent="0.25">
      <c r="A373" s="1">
        <v>44228</v>
      </c>
      <c r="B373" s="1">
        <v>44228</v>
      </c>
      <c r="C373" t="s">
        <v>157</v>
      </c>
      <c r="D373" t="s">
        <v>54</v>
      </c>
      <c r="E373" t="s">
        <v>21</v>
      </c>
      <c r="F373" t="s">
        <v>275</v>
      </c>
      <c r="G373" s="56">
        <v>44259.815057870372</v>
      </c>
      <c r="H373">
        <v>33</v>
      </c>
      <c r="I373">
        <v>17645</v>
      </c>
      <c r="J373" t="s">
        <v>50</v>
      </c>
      <c r="K373" t="s">
        <v>50</v>
      </c>
      <c r="L373" t="s">
        <v>159</v>
      </c>
      <c r="M373" t="s">
        <v>51</v>
      </c>
      <c r="N373" t="s">
        <v>92</v>
      </c>
      <c r="O373" s="1">
        <v>41335</v>
      </c>
      <c r="P373" t="s">
        <v>84</v>
      </c>
      <c r="Q373">
        <v>1</v>
      </c>
      <c r="R373" t="s">
        <v>83</v>
      </c>
      <c r="S373" t="s">
        <v>351</v>
      </c>
      <c r="T373" t="s">
        <v>351</v>
      </c>
      <c r="U373">
        <v>0</v>
      </c>
      <c r="V373">
        <v>5914.42</v>
      </c>
      <c r="W373">
        <v>0</v>
      </c>
    </row>
    <row r="374" spans="1:23" x14ac:dyDescent="0.25">
      <c r="A374" s="1">
        <v>44228</v>
      </c>
      <c r="B374" s="1">
        <v>44228</v>
      </c>
      <c r="C374" t="s">
        <v>157</v>
      </c>
      <c r="D374" t="s">
        <v>93</v>
      </c>
      <c r="E374" t="s">
        <v>49</v>
      </c>
      <c r="F374" t="s">
        <v>278</v>
      </c>
      <c r="G374" s="56">
        <v>44302.769236111111</v>
      </c>
      <c r="H374">
        <v>33</v>
      </c>
      <c r="I374" t="s">
        <v>351</v>
      </c>
      <c r="J374" t="s">
        <v>50</v>
      </c>
      <c r="K374" t="s">
        <v>50</v>
      </c>
      <c r="L374" t="s">
        <v>159</v>
      </c>
      <c r="M374" t="s">
        <v>51</v>
      </c>
      <c r="N374" t="s">
        <v>92</v>
      </c>
      <c r="O374" s="1">
        <v>41335</v>
      </c>
      <c r="P374" t="s">
        <v>84</v>
      </c>
      <c r="Q374">
        <v>1</v>
      </c>
      <c r="R374" t="s">
        <v>83</v>
      </c>
      <c r="S374">
        <v>1</v>
      </c>
      <c r="T374">
        <v>1042</v>
      </c>
      <c r="U374" t="s">
        <v>351</v>
      </c>
      <c r="V374" t="s">
        <v>351</v>
      </c>
      <c r="W374">
        <v>1042</v>
      </c>
    </row>
    <row r="375" spans="1:23" x14ac:dyDescent="0.25">
      <c r="A375" s="1">
        <v>44228</v>
      </c>
      <c r="B375" s="1">
        <v>44228</v>
      </c>
      <c r="C375" t="s">
        <v>157</v>
      </c>
      <c r="D375" t="s">
        <v>48</v>
      </c>
      <c r="E375" t="s">
        <v>49</v>
      </c>
      <c r="F375" t="s">
        <v>277</v>
      </c>
      <c r="G375" s="56">
        <v>44259.815057870372</v>
      </c>
      <c r="H375">
        <v>33</v>
      </c>
      <c r="I375">
        <v>17645</v>
      </c>
      <c r="J375" t="s">
        <v>50</v>
      </c>
      <c r="K375" t="s">
        <v>50</v>
      </c>
      <c r="L375" t="s">
        <v>159</v>
      </c>
      <c r="M375" t="s">
        <v>51</v>
      </c>
      <c r="N375" t="s">
        <v>92</v>
      </c>
      <c r="O375" s="1">
        <v>41335</v>
      </c>
      <c r="P375" t="s">
        <v>84</v>
      </c>
      <c r="Q375">
        <v>1</v>
      </c>
      <c r="R375" t="s">
        <v>83</v>
      </c>
      <c r="S375">
        <v>2149.7309340000002</v>
      </c>
      <c r="T375">
        <v>85.203000000000003</v>
      </c>
      <c r="U375" t="s">
        <v>351</v>
      </c>
      <c r="V375" t="s">
        <v>351</v>
      </c>
      <c r="W375">
        <v>183164</v>
      </c>
    </row>
    <row r="376" spans="1:23" x14ac:dyDescent="0.25">
      <c r="A376" s="1">
        <v>44228</v>
      </c>
      <c r="B376" s="1">
        <v>44228</v>
      </c>
      <c r="C376" t="s">
        <v>157</v>
      </c>
      <c r="D376" t="s">
        <v>54</v>
      </c>
      <c r="E376" t="s">
        <v>21</v>
      </c>
      <c r="F376" t="s">
        <v>275</v>
      </c>
      <c r="G376" s="56">
        <v>44259.815057870372</v>
      </c>
      <c r="H376">
        <v>33</v>
      </c>
      <c r="I376">
        <v>17645</v>
      </c>
      <c r="J376" t="s">
        <v>50</v>
      </c>
      <c r="K376" t="s">
        <v>50</v>
      </c>
      <c r="L376" t="s">
        <v>159</v>
      </c>
      <c r="M376" t="s">
        <v>51</v>
      </c>
      <c r="N376" t="s">
        <v>92</v>
      </c>
      <c r="O376" s="1">
        <v>41335</v>
      </c>
      <c r="P376" t="s">
        <v>84</v>
      </c>
      <c r="Q376">
        <v>2</v>
      </c>
      <c r="R376" t="s">
        <v>94</v>
      </c>
      <c r="S376" t="s">
        <v>351</v>
      </c>
      <c r="T376" t="s">
        <v>351</v>
      </c>
      <c r="U376">
        <v>0</v>
      </c>
      <c r="V376">
        <v>6007.37</v>
      </c>
      <c r="W376">
        <v>0</v>
      </c>
    </row>
    <row r="377" spans="1:23" x14ac:dyDescent="0.25">
      <c r="A377" s="1">
        <v>44228</v>
      </c>
      <c r="B377" s="1">
        <v>44228</v>
      </c>
      <c r="C377" t="s">
        <v>157</v>
      </c>
      <c r="D377" t="s">
        <v>93</v>
      </c>
      <c r="E377" t="s">
        <v>49</v>
      </c>
      <c r="F377" t="s">
        <v>278</v>
      </c>
      <c r="G377" s="56">
        <v>44302.769236111111</v>
      </c>
      <c r="H377">
        <v>33</v>
      </c>
      <c r="I377" t="s">
        <v>351</v>
      </c>
      <c r="J377" t="s">
        <v>50</v>
      </c>
      <c r="K377" t="s">
        <v>50</v>
      </c>
      <c r="L377" t="s">
        <v>159</v>
      </c>
      <c r="M377" t="s">
        <v>51</v>
      </c>
      <c r="N377" t="s">
        <v>92</v>
      </c>
      <c r="O377" s="1">
        <v>41335</v>
      </c>
      <c r="P377" t="s">
        <v>84</v>
      </c>
      <c r="Q377">
        <v>2</v>
      </c>
      <c r="R377" t="s">
        <v>94</v>
      </c>
      <c r="S377">
        <v>1</v>
      </c>
      <c r="T377">
        <v>4</v>
      </c>
      <c r="U377" t="s">
        <v>351</v>
      </c>
      <c r="V377" t="s">
        <v>351</v>
      </c>
      <c r="W377">
        <v>4</v>
      </c>
    </row>
    <row r="378" spans="1:23" x14ac:dyDescent="0.25">
      <c r="A378" s="1">
        <v>44228</v>
      </c>
      <c r="B378" s="1">
        <v>44228</v>
      </c>
      <c r="C378" t="s">
        <v>157</v>
      </c>
      <c r="D378" t="s">
        <v>48</v>
      </c>
      <c r="E378" t="s">
        <v>49</v>
      </c>
      <c r="F378" t="s">
        <v>277</v>
      </c>
      <c r="G378" s="56">
        <v>44259.815057870372</v>
      </c>
      <c r="H378">
        <v>33</v>
      </c>
      <c r="I378">
        <v>17645</v>
      </c>
      <c r="J378" t="s">
        <v>50</v>
      </c>
      <c r="K378" t="s">
        <v>50</v>
      </c>
      <c r="L378" t="s">
        <v>159</v>
      </c>
      <c r="M378" t="s">
        <v>51</v>
      </c>
      <c r="N378" t="s">
        <v>92</v>
      </c>
      <c r="O378" s="1">
        <v>41335</v>
      </c>
      <c r="P378" t="s">
        <v>84</v>
      </c>
      <c r="Q378">
        <v>2</v>
      </c>
      <c r="R378" t="s">
        <v>94</v>
      </c>
      <c r="S378">
        <v>7.2339039999999999</v>
      </c>
      <c r="T378">
        <v>86.819000000000003</v>
      </c>
      <c r="U378" t="s">
        <v>351</v>
      </c>
      <c r="V378" t="s">
        <v>351</v>
      </c>
      <c r="W378">
        <v>628</v>
      </c>
    </row>
    <row r="379" spans="1:23" x14ac:dyDescent="0.25">
      <c r="A379" s="1">
        <v>44228</v>
      </c>
      <c r="B379" s="1">
        <v>44228</v>
      </c>
      <c r="C379" t="s">
        <v>157</v>
      </c>
      <c r="D379" t="s">
        <v>54</v>
      </c>
      <c r="E379" t="s">
        <v>21</v>
      </c>
      <c r="F379" t="s">
        <v>275</v>
      </c>
      <c r="G379" s="56">
        <v>44259.815057870372</v>
      </c>
      <c r="H379">
        <v>33</v>
      </c>
      <c r="I379">
        <v>17645</v>
      </c>
      <c r="J379" t="s">
        <v>50</v>
      </c>
      <c r="K379" t="s">
        <v>50</v>
      </c>
      <c r="L379" t="s">
        <v>159</v>
      </c>
      <c r="M379" t="s">
        <v>51</v>
      </c>
      <c r="N379" t="s">
        <v>92</v>
      </c>
      <c r="O379" s="1">
        <v>41335</v>
      </c>
      <c r="P379" t="s">
        <v>84</v>
      </c>
      <c r="Q379">
        <v>3</v>
      </c>
      <c r="R379" t="s">
        <v>81</v>
      </c>
      <c r="S379" t="s">
        <v>351</v>
      </c>
      <c r="T379" t="s">
        <v>351</v>
      </c>
      <c r="U379">
        <v>0</v>
      </c>
      <c r="V379">
        <v>5302.48</v>
      </c>
      <c r="W379">
        <v>0</v>
      </c>
    </row>
    <row r="380" spans="1:23" x14ac:dyDescent="0.25">
      <c r="A380" s="1">
        <v>44228</v>
      </c>
      <c r="B380" s="1">
        <v>44228</v>
      </c>
      <c r="C380" t="s">
        <v>157</v>
      </c>
      <c r="D380" t="s">
        <v>93</v>
      </c>
      <c r="E380" t="s">
        <v>49</v>
      </c>
      <c r="F380" t="s">
        <v>278</v>
      </c>
      <c r="G380" s="56">
        <v>44302.769236111111</v>
      </c>
      <c r="H380">
        <v>33</v>
      </c>
      <c r="I380" t="s">
        <v>351</v>
      </c>
      <c r="J380" t="s">
        <v>50</v>
      </c>
      <c r="K380" t="s">
        <v>50</v>
      </c>
      <c r="L380" t="s">
        <v>159</v>
      </c>
      <c r="M380" t="s">
        <v>51</v>
      </c>
      <c r="N380" t="s">
        <v>92</v>
      </c>
      <c r="O380" s="1">
        <v>41335</v>
      </c>
      <c r="P380" t="s">
        <v>84</v>
      </c>
      <c r="Q380">
        <v>3</v>
      </c>
      <c r="R380" t="s">
        <v>81</v>
      </c>
      <c r="S380">
        <v>1</v>
      </c>
      <c r="T380">
        <v>105</v>
      </c>
      <c r="U380" t="s">
        <v>351</v>
      </c>
      <c r="V380" t="s">
        <v>351</v>
      </c>
      <c r="W380">
        <v>105</v>
      </c>
    </row>
    <row r="381" spans="1:23" x14ac:dyDescent="0.25">
      <c r="A381" s="1">
        <v>44228</v>
      </c>
      <c r="B381" s="1">
        <v>44228</v>
      </c>
      <c r="C381" t="s">
        <v>157</v>
      </c>
      <c r="D381" t="s">
        <v>48</v>
      </c>
      <c r="E381" t="s">
        <v>49</v>
      </c>
      <c r="F381" t="s">
        <v>277</v>
      </c>
      <c r="G381" s="56">
        <v>44259.815057870372</v>
      </c>
      <c r="H381">
        <v>33</v>
      </c>
      <c r="I381">
        <v>17645</v>
      </c>
      <c r="J381" t="s">
        <v>50</v>
      </c>
      <c r="K381" t="s">
        <v>50</v>
      </c>
      <c r="L381" t="s">
        <v>159</v>
      </c>
      <c r="M381" t="s">
        <v>51</v>
      </c>
      <c r="N381" t="s">
        <v>92</v>
      </c>
      <c r="O381" s="1">
        <v>41335</v>
      </c>
      <c r="P381" t="s">
        <v>84</v>
      </c>
      <c r="Q381">
        <v>3</v>
      </c>
      <c r="R381" t="s">
        <v>81</v>
      </c>
      <c r="S381">
        <v>234.44251299999999</v>
      </c>
      <c r="T381">
        <v>78.597999999999999</v>
      </c>
      <c r="U381" t="s">
        <v>351</v>
      </c>
      <c r="V381" t="s">
        <v>351</v>
      </c>
      <c r="W381">
        <v>18427</v>
      </c>
    </row>
    <row r="382" spans="1:23" x14ac:dyDescent="0.25">
      <c r="A382" s="1">
        <v>44228</v>
      </c>
      <c r="B382" s="1">
        <v>44228</v>
      </c>
      <c r="C382" t="s">
        <v>157</v>
      </c>
      <c r="D382" t="s">
        <v>54</v>
      </c>
      <c r="E382" t="s">
        <v>21</v>
      </c>
      <c r="F382" t="s">
        <v>275</v>
      </c>
      <c r="G382" s="56">
        <v>44259.815057870372</v>
      </c>
      <c r="H382">
        <v>33</v>
      </c>
      <c r="I382">
        <v>17645</v>
      </c>
      <c r="J382" t="s">
        <v>50</v>
      </c>
      <c r="K382" t="s">
        <v>50</v>
      </c>
      <c r="L382" t="s">
        <v>159</v>
      </c>
      <c r="M382" t="s">
        <v>51</v>
      </c>
      <c r="N382" t="s">
        <v>92</v>
      </c>
      <c r="O382" s="1">
        <v>41335</v>
      </c>
      <c r="P382" t="s">
        <v>84</v>
      </c>
      <c r="Q382">
        <v>4</v>
      </c>
      <c r="R382" t="s">
        <v>27</v>
      </c>
      <c r="S382" t="s">
        <v>351</v>
      </c>
      <c r="T382" t="s">
        <v>351</v>
      </c>
      <c r="U382">
        <v>0</v>
      </c>
      <c r="V382">
        <v>5512.82</v>
      </c>
      <c r="W382">
        <v>0</v>
      </c>
    </row>
    <row r="383" spans="1:23" x14ac:dyDescent="0.25">
      <c r="A383" s="1">
        <v>44228</v>
      </c>
      <c r="B383" s="1">
        <v>44228</v>
      </c>
      <c r="C383" t="s">
        <v>157</v>
      </c>
      <c r="D383" t="s">
        <v>93</v>
      </c>
      <c r="E383" t="s">
        <v>49</v>
      </c>
      <c r="F383" t="s">
        <v>278</v>
      </c>
      <c r="G383" s="56">
        <v>44302.769236111111</v>
      </c>
      <c r="H383">
        <v>33</v>
      </c>
      <c r="I383" t="s">
        <v>351</v>
      </c>
      <c r="J383" t="s">
        <v>50</v>
      </c>
      <c r="K383" t="s">
        <v>50</v>
      </c>
      <c r="L383" t="s">
        <v>159</v>
      </c>
      <c r="M383" t="s">
        <v>51</v>
      </c>
      <c r="N383" t="s">
        <v>92</v>
      </c>
      <c r="O383" s="1">
        <v>41335</v>
      </c>
      <c r="P383" t="s">
        <v>84</v>
      </c>
      <c r="Q383">
        <v>4</v>
      </c>
      <c r="R383" t="s">
        <v>27</v>
      </c>
      <c r="S383">
        <v>1</v>
      </c>
      <c r="T383">
        <v>1221</v>
      </c>
      <c r="U383" t="s">
        <v>351</v>
      </c>
      <c r="V383" t="s">
        <v>351</v>
      </c>
      <c r="W383">
        <v>1221</v>
      </c>
    </row>
    <row r="384" spans="1:23" x14ac:dyDescent="0.25">
      <c r="A384" s="1">
        <v>44228</v>
      </c>
      <c r="B384" s="1">
        <v>44228</v>
      </c>
      <c r="C384" t="s">
        <v>157</v>
      </c>
      <c r="D384" t="s">
        <v>48</v>
      </c>
      <c r="E384" t="s">
        <v>49</v>
      </c>
      <c r="F384" t="s">
        <v>277</v>
      </c>
      <c r="G384" s="56">
        <v>44259.815057870372</v>
      </c>
      <c r="H384">
        <v>33</v>
      </c>
      <c r="I384">
        <v>17645</v>
      </c>
      <c r="J384" t="s">
        <v>50</v>
      </c>
      <c r="K384" t="s">
        <v>50</v>
      </c>
      <c r="L384" t="s">
        <v>159</v>
      </c>
      <c r="M384" t="s">
        <v>51</v>
      </c>
      <c r="N384" t="s">
        <v>92</v>
      </c>
      <c r="O384" s="1">
        <v>41335</v>
      </c>
      <c r="P384" t="s">
        <v>84</v>
      </c>
      <c r="Q384">
        <v>4</v>
      </c>
      <c r="R384" t="s">
        <v>27</v>
      </c>
      <c r="S384">
        <v>2674.997464</v>
      </c>
      <c r="T384">
        <v>80.213999999999999</v>
      </c>
      <c r="U384" t="s">
        <v>351</v>
      </c>
      <c r="V384" t="s">
        <v>351</v>
      </c>
      <c r="W384">
        <v>214572</v>
      </c>
    </row>
    <row r="385" spans="1:23" x14ac:dyDescent="0.25">
      <c r="A385" s="1">
        <v>44228</v>
      </c>
      <c r="B385" s="1">
        <v>44228</v>
      </c>
      <c r="C385" t="s">
        <v>157</v>
      </c>
      <c r="D385" t="s">
        <v>54</v>
      </c>
      <c r="E385" t="s">
        <v>21</v>
      </c>
      <c r="F385" t="s">
        <v>275</v>
      </c>
      <c r="G385" s="56">
        <v>44259.815057870372</v>
      </c>
      <c r="H385">
        <v>33</v>
      </c>
      <c r="I385">
        <v>17645</v>
      </c>
      <c r="J385" t="s">
        <v>50</v>
      </c>
      <c r="K385" t="s">
        <v>50</v>
      </c>
      <c r="L385" t="s">
        <v>159</v>
      </c>
      <c r="M385" t="s">
        <v>51</v>
      </c>
      <c r="N385" t="s">
        <v>92</v>
      </c>
      <c r="O385" s="1">
        <v>41335</v>
      </c>
      <c r="P385" t="s">
        <v>84</v>
      </c>
      <c r="Q385">
        <v>5</v>
      </c>
      <c r="R385" t="s">
        <v>28</v>
      </c>
      <c r="S385" t="s">
        <v>351</v>
      </c>
      <c r="T385" t="s">
        <v>351</v>
      </c>
      <c r="U385">
        <v>0</v>
      </c>
      <c r="V385">
        <v>5963.28</v>
      </c>
      <c r="W385">
        <v>0</v>
      </c>
    </row>
    <row r="386" spans="1:23" x14ac:dyDescent="0.25">
      <c r="A386" s="1">
        <v>44228</v>
      </c>
      <c r="B386" s="1">
        <v>44228</v>
      </c>
      <c r="C386" t="s">
        <v>157</v>
      </c>
      <c r="D386" t="s">
        <v>93</v>
      </c>
      <c r="E386" t="s">
        <v>49</v>
      </c>
      <c r="F386" t="s">
        <v>278</v>
      </c>
      <c r="G386" s="56">
        <v>44302.769236111111</v>
      </c>
      <c r="H386">
        <v>33</v>
      </c>
      <c r="I386" t="s">
        <v>351</v>
      </c>
      <c r="J386" t="s">
        <v>50</v>
      </c>
      <c r="K386" t="s">
        <v>50</v>
      </c>
      <c r="L386" t="s">
        <v>159</v>
      </c>
      <c r="M386" t="s">
        <v>51</v>
      </c>
      <c r="N386" t="s">
        <v>92</v>
      </c>
      <c r="O386" s="1">
        <v>41335</v>
      </c>
      <c r="P386" t="s">
        <v>84</v>
      </c>
      <c r="Q386">
        <v>5</v>
      </c>
      <c r="R386" t="s">
        <v>28</v>
      </c>
      <c r="S386">
        <v>1</v>
      </c>
      <c r="T386">
        <v>3</v>
      </c>
      <c r="U386" t="s">
        <v>351</v>
      </c>
      <c r="V386" t="s">
        <v>351</v>
      </c>
      <c r="W386">
        <v>3</v>
      </c>
    </row>
    <row r="387" spans="1:23" x14ac:dyDescent="0.25">
      <c r="A387" s="1">
        <v>44228</v>
      </c>
      <c r="B387" s="1">
        <v>44228</v>
      </c>
      <c r="C387" t="s">
        <v>157</v>
      </c>
      <c r="D387" t="s">
        <v>48</v>
      </c>
      <c r="E387" t="s">
        <v>49</v>
      </c>
      <c r="F387" t="s">
        <v>277</v>
      </c>
      <c r="G387" s="56">
        <v>44259.815057870372</v>
      </c>
      <c r="H387">
        <v>33</v>
      </c>
      <c r="I387">
        <v>17645</v>
      </c>
      <c r="J387" t="s">
        <v>50</v>
      </c>
      <c r="K387" t="s">
        <v>50</v>
      </c>
      <c r="L387" t="s">
        <v>159</v>
      </c>
      <c r="M387" t="s">
        <v>51</v>
      </c>
      <c r="N387" t="s">
        <v>92</v>
      </c>
      <c r="O387" s="1">
        <v>41335</v>
      </c>
      <c r="P387" t="s">
        <v>84</v>
      </c>
      <c r="Q387">
        <v>5</v>
      </c>
      <c r="R387" t="s">
        <v>28</v>
      </c>
      <c r="S387">
        <v>7.8341200000000004</v>
      </c>
      <c r="T387">
        <v>86.617999999999995</v>
      </c>
      <c r="U387" t="s">
        <v>351</v>
      </c>
      <c r="V387" t="s">
        <v>351</v>
      </c>
      <c r="W387">
        <v>679</v>
      </c>
    </row>
    <row r="388" spans="1:23" x14ac:dyDescent="0.25">
      <c r="A388" s="1">
        <v>44256</v>
      </c>
      <c r="B388" s="1">
        <v>44256</v>
      </c>
      <c r="C388" t="s">
        <v>157</v>
      </c>
      <c r="D388" t="s">
        <v>54</v>
      </c>
      <c r="E388" t="s">
        <v>21</v>
      </c>
      <c r="F388" t="s">
        <v>280</v>
      </c>
      <c r="G388" s="56">
        <v>44294.484247685185</v>
      </c>
      <c r="H388">
        <v>33</v>
      </c>
      <c r="I388">
        <v>18264</v>
      </c>
      <c r="J388" t="s">
        <v>50</v>
      </c>
      <c r="K388" t="s">
        <v>50</v>
      </c>
      <c r="L388" t="s">
        <v>159</v>
      </c>
      <c r="M388" t="s">
        <v>51</v>
      </c>
      <c r="N388" t="s">
        <v>92</v>
      </c>
      <c r="O388" s="1">
        <v>41335</v>
      </c>
      <c r="P388" t="s">
        <v>84</v>
      </c>
      <c r="Q388">
        <v>1</v>
      </c>
      <c r="R388" t="s">
        <v>83</v>
      </c>
      <c r="S388" t="s">
        <v>351</v>
      </c>
      <c r="T388" t="s">
        <v>351</v>
      </c>
      <c r="U388">
        <v>0</v>
      </c>
      <c r="V388">
        <v>5914.4219999999996</v>
      </c>
      <c r="W388">
        <v>0</v>
      </c>
    </row>
    <row r="389" spans="1:23" x14ac:dyDescent="0.25">
      <c r="A389" s="1">
        <v>44256</v>
      </c>
      <c r="B389" s="1">
        <v>44256</v>
      </c>
      <c r="C389" t="s">
        <v>157</v>
      </c>
      <c r="D389" t="s">
        <v>93</v>
      </c>
      <c r="E389" t="s">
        <v>49</v>
      </c>
      <c r="F389" t="s">
        <v>284</v>
      </c>
      <c r="G389" s="56">
        <v>44327.522789351853</v>
      </c>
      <c r="H389">
        <v>33</v>
      </c>
      <c r="I389" t="s">
        <v>351</v>
      </c>
      <c r="J389" t="s">
        <v>50</v>
      </c>
      <c r="K389" t="s">
        <v>50</v>
      </c>
      <c r="L389" t="s">
        <v>159</v>
      </c>
      <c r="M389" t="s">
        <v>51</v>
      </c>
      <c r="N389" t="s">
        <v>92</v>
      </c>
      <c r="O389" s="1">
        <v>41335</v>
      </c>
      <c r="P389" t="s">
        <v>84</v>
      </c>
      <c r="Q389">
        <v>1</v>
      </c>
      <c r="R389" t="s">
        <v>83</v>
      </c>
      <c r="S389">
        <v>1</v>
      </c>
      <c r="T389">
        <v>1933</v>
      </c>
      <c r="U389" t="s">
        <v>351</v>
      </c>
      <c r="V389" t="s">
        <v>351</v>
      </c>
      <c r="W389">
        <v>1933</v>
      </c>
    </row>
    <row r="390" spans="1:23" x14ac:dyDescent="0.25">
      <c r="A390" s="1">
        <v>44256</v>
      </c>
      <c r="B390" s="1">
        <v>44256</v>
      </c>
      <c r="C390" t="s">
        <v>157</v>
      </c>
      <c r="D390" t="s">
        <v>48</v>
      </c>
      <c r="E390" t="s">
        <v>49</v>
      </c>
      <c r="F390" t="s">
        <v>282</v>
      </c>
      <c r="G390" s="56">
        <v>44294.484247685185</v>
      </c>
      <c r="H390">
        <v>33</v>
      </c>
      <c r="I390">
        <v>18264</v>
      </c>
      <c r="J390" t="s">
        <v>50</v>
      </c>
      <c r="K390" t="s">
        <v>50</v>
      </c>
      <c r="L390" t="s">
        <v>159</v>
      </c>
      <c r="M390" t="s">
        <v>51</v>
      </c>
      <c r="N390" t="s">
        <v>92</v>
      </c>
      <c r="O390" s="1">
        <v>41335</v>
      </c>
      <c r="P390" t="s">
        <v>84</v>
      </c>
      <c r="Q390">
        <v>1</v>
      </c>
      <c r="R390" t="s">
        <v>83</v>
      </c>
      <c r="S390">
        <v>2429.5084940000002</v>
      </c>
      <c r="T390">
        <v>85.203000000000003</v>
      </c>
      <c r="U390" t="s">
        <v>351</v>
      </c>
      <c r="V390" t="s">
        <v>351</v>
      </c>
      <c r="W390">
        <v>207001</v>
      </c>
    </row>
    <row r="391" spans="1:23" x14ac:dyDescent="0.25">
      <c r="A391" s="1">
        <v>44256</v>
      </c>
      <c r="B391" s="1">
        <v>44256</v>
      </c>
      <c r="C391" t="s">
        <v>157</v>
      </c>
      <c r="D391" t="s">
        <v>54</v>
      </c>
      <c r="E391" t="s">
        <v>21</v>
      </c>
      <c r="F391" t="s">
        <v>280</v>
      </c>
      <c r="G391" s="56">
        <v>44294.484247685185</v>
      </c>
      <c r="H391">
        <v>33</v>
      </c>
      <c r="I391">
        <v>18264</v>
      </c>
      <c r="J391" t="s">
        <v>50</v>
      </c>
      <c r="K391" t="s">
        <v>50</v>
      </c>
      <c r="L391" t="s">
        <v>159</v>
      </c>
      <c r="M391" t="s">
        <v>51</v>
      </c>
      <c r="N391" t="s">
        <v>92</v>
      </c>
      <c r="O391" s="1">
        <v>41335</v>
      </c>
      <c r="P391" t="s">
        <v>84</v>
      </c>
      <c r="Q391">
        <v>2</v>
      </c>
      <c r="R391" t="s">
        <v>94</v>
      </c>
      <c r="S391" t="s">
        <v>351</v>
      </c>
      <c r="T391" t="s">
        <v>351</v>
      </c>
      <c r="U391">
        <v>0</v>
      </c>
      <c r="V391">
        <v>6007.3739999999998</v>
      </c>
      <c r="W391">
        <v>0</v>
      </c>
    </row>
    <row r="392" spans="1:23" x14ac:dyDescent="0.25">
      <c r="A392" s="1">
        <v>44256</v>
      </c>
      <c r="B392" s="1">
        <v>44256</v>
      </c>
      <c r="C392" t="s">
        <v>157</v>
      </c>
      <c r="D392" t="s">
        <v>93</v>
      </c>
      <c r="E392" t="s">
        <v>49</v>
      </c>
      <c r="F392" t="s">
        <v>284</v>
      </c>
      <c r="G392" s="56">
        <v>44327.522789351853</v>
      </c>
      <c r="H392">
        <v>33</v>
      </c>
      <c r="I392" t="s">
        <v>351</v>
      </c>
      <c r="J392" t="s">
        <v>50</v>
      </c>
      <c r="K392" t="s">
        <v>50</v>
      </c>
      <c r="L392" t="s">
        <v>159</v>
      </c>
      <c r="M392" t="s">
        <v>51</v>
      </c>
      <c r="N392" t="s">
        <v>92</v>
      </c>
      <c r="O392" s="1">
        <v>41335</v>
      </c>
      <c r="P392" t="s">
        <v>84</v>
      </c>
      <c r="Q392">
        <v>2</v>
      </c>
      <c r="R392" t="s">
        <v>94</v>
      </c>
      <c r="S392">
        <v>1</v>
      </c>
      <c r="T392">
        <v>6</v>
      </c>
      <c r="U392" t="s">
        <v>351</v>
      </c>
      <c r="V392" t="s">
        <v>351</v>
      </c>
      <c r="W392">
        <v>6</v>
      </c>
    </row>
    <row r="393" spans="1:23" x14ac:dyDescent="0.25">
      <c r="A393" s="1">
        <v>44256</v>
      </c>
      <c r="B393" s="1">
        <v>44256</v>
      </c>
      <c r="C393" t="s">
        <v>157</v>
      </c>
      <c r="D393" t="s">
        <v>48</v>
      </c>
      <c r="E393" t="s">
        <v>49</v>
      </c>
      <c r="F393" t="s">
        <v>282</v>
      </c>
      <c r="G393" s="56">
        <v>44294.484247685185</v>
      </c>
      <c r="H393">
        <v>33</v>
      </c>
      <c r="I393">
        <v>18264</v>
      </c>
      <c r="J393" t="s">
        <v>50</v>
      </c>
      <c r="K393" t="s">
        <v>50</v>
      </c>
      <c r="L393" t="s">
        <v>159</v>
      </c>
      <c r="M393" t="s">
        <v>51</v>
      </c>
      <c r="N393" t="s">
        <v>92</v>
      </c>
      <c r="O393" s="1">
        <v>41335</v>
      </c>
      <c r="P393" t="s">
        <v>84</v>
      </c>
      <c r="Q393">
        <v>2</v>
      </c>
      <c r="R393" t="s">
        <v>94</v>
      </c>
      <c r="S393">
        <v>8.2069919999999996</v>
      </c>
      <c r="T393">
        <v>86.819000000000003</v>
      </c>
      <c r="U393" t="s">
        <v>351</v>
      </c>
      <c r="V393" t="s">
        <v>351</v>
      </c>
      <c r="W393">
        <v>713</v>
      </c>
    </row>
    <row r="394" spans="1:23" x14ac:dyDescent="0.25">
      <c r="A394" s="1">
        <v>44256</v>
      </c>
      <c r="B394" s="1">
        <v>44256</v>
      </c>
      <c r="C394" t="s">
        <v>157</v>
      </c>
      <c r="D394" t="s">
        <v>54</v>
      </c>
      <c r="E394" t="s">
        <v>21</v>
      </c>
      <c r="F394" t="s">
        <v>280</v>
      </c>
      <c r="G394" s="56">
        <v>44294.484247685185</v>
      </c>
      <c r="H394">
        <v>33</v>
      </c>
      <c r="I394">
        <v>18264</v>
      </c>
      <c r="J394" t="s">
        <v>50</v>
      </c>
      <c r="K394" t="s">
        <v>50</v>
      </c>
      <c r="L394" t="s">
        <v>159</v>
      </c>
      <c r="M394" t="s">
        <v>51</v>
      </c>
      <c r="N394" t="s">
        <v>92</v>
      </c>
      <c r="O394" s="1">
        <v>41335</v>
      </c>
      <c r="P394" t="s">
        <v>84</v>
      </c>
      <c r="Q394">
        <v>3</v>
      </c>
      <c r="R394" t="s">
        <v>81</v>
      </c>
      <c r="S394" t="s">
        <v>351</v>
      </c>
      <c r="T394" t="s">
        <v>351</v>
      </c>
      <c r="U394">
        <v>0</v>
      </c>
      <c r="V394">
        <v>5302.482</v>
      </c>
      <c r="W394">
        <v>0</v>
      </c>
    </row>
    <row r="395" spans="1:23" x14ac:dyDescent="0.25">
      <c r="A395" s="1">
        <v>44256</v>
      </c>
      <c r="B395" s="1">
        <v>44256</v>
      </c>
      <c r="C395" t="s">
        <v>157</v>
      </c>
      <c r="D395" t="s">
        <v>93</v>
      </c>
      <c r="E395" t="s">
        <v>49</v>
      </c>
      <c r="F395" t="s">
        <v>284</v>
      </c>
      <c r="G395" s="56">
        <v>44327.522789351853</v>
      </c>
      <c r="H395">
        <v>33</v>
      </c>
      <c r="I395" t="s">
        <v>351</v>
      </c>
      <c r="J395" t="s">
        <v>50</v>
      </c>
      <c r="K395" t="s">
        <v>50</v>
      </c>
      <c r="L395" t="s">
        <v>159</v>
      </c>
      <c r="M395" t="s">
        <v>51</v>
      </c>
      <c r="N395" t="s">
        <v>92</v>
      </c>
      <c r="O395" s="1">
        <v>41335</v>
      </c>
      <c r="P395" t="s">
        <v>84</v>
      </c>
      <c r="Q395">
        <v>3</v>
      </c>
      <c r="R395" t="s">
        <v>81</v>
      </c>
      <c r="S395">
        <v>1</v>
      </c>
      <c r="T395">
        <v>196</v>
      </c>
      <c r="U395" t="s">
        <v>351</v>
      </c>
      <c r="V395" t="s">
        <v>351</v>
      </c>
      <c r="W395">
        <v>196</v>
      </c>
    </row>
    <row r="396" spans="1:23" x14ac:dyDescent="0.25">
      <c r="A396" s="1">
        <v>44256</v>
      </c>
      <c r="B396" s="1">
        <v>44256</v>
      </c>
      <c r="C396" t="s">
        <v>157</v>
      </c>
      <c r="D396" t="s">
        <v>48</v>
      </c>
      <c r="E396" t="s">
        <v>49</v>
      </c>
      <c r="F396" t="s">
        <v>282</v>
      </c>
      <c r="G396" s="56">
        <v>44294.484247685185</v>
      </c>
      <c r="H396">
        <v>33</v>
      </c>
      <c r="I396">
        <v>18264</v>
      </c>
      <c r="J396" t="s">
        <v>50</v>
      </c>
      <c r="K396" t="s">
        <v>50</v>
      </c>
      <c r="L396" t="s">
        <v>159</v>
      </c>
      <c r="M396" t="s">
        <v>51</v>
      </c>
      <c r="N396" t="s">
        <v>92</v>
      </c>
      <c r="O396" s="1">
        <v>41335</v>
      </c>
      <c r="P396" t="s">
        <v>84</v>
      </c>
      <c r="Q396">
        <v>3</v>
      </c>
      <c r="R396" t="s">
        <v>81</v>
      </c>
      <c r="S396">
        <v>266.55027999999999</v>
      </c>
      <c r="T396">
        <v>78.597999999999999</v>
      </c>
      <c r="U396" t="s">
        <v>351</v>
      </c>
      <c r="V396" t="s">
        <v>351</v>
      </c>
      <c r="W396">
        <v>20950</v>
      </c>
    </row>
    <row r="397" spans="1:23" x14ac:dyDescent="0.25">
      <c r="A397" s="1">
        <v>44256</v>
      </c>
      <c r="B397" s="1">
        <v>44256</v>
      </c>
      <c r="C397" t="s">
        <v>157</v>
      </c>
      <c r="D397" t="s">
        <v>54</v>
      </c>
      <c r="E397" t="s">
        <v>21</v>
      </c>
      <c r="F397" t="s">
        <v>280</v>
      </c>
      <c r="G397" s="56">
        <v>44294.484247685185</v>
      </c>
      <c r="H397">
        <v>33</v>
      </c>
      <c r="I397">
        <v>18264</v>
      </c>
      <c r="J397" t="s">
        <v>50</v>
      </c>
      <c r="K397" t="s">
        <v>50</v>
      </c>
      <c r="L397" t="s">
        <v>159</v>
      </c>
      <c r="M397" t="s">
        <v>51</v>
      </c>
      <c r="N397" t="s">
        <v>92</v>
      </c>
      <c r="O397" s="1">
        <v>41335</v>
      </c>
      <c r="P397" t="s">
        <v>84</v>
      </c>
      <c r="Q397">
        <v>4</v>
      </c>
      <c r="R397" t="s">
        <v>27</v>
      </c>
      <c r="S397" t="s">
        <v>351</v>
      </c>
      <c r="T397" t="s">
        <v>351</v>
      </c>
      <c r="U397">
        <v>0</v>
      </c>
      <c r="V397">
        <v>5512.8180000000002</v>
      </c>
      <c r="W397">
        <v>0</v>
      </c>
    </row>
    <row r="398" spans="1:23" x14ac:dyDescent="0.25">
      <c r="A398" s="1">
        <v>44256</v>
      </c>
      <c r="B398" s="1">
        <v>44256</v>
      </c>
      <c r="C398" t="s">
        <v>157</v>
      </c>
      <c r="D398" t="s">
        <v>93</v>
      </c>
      <c r="E398" t="s">
        <v>49</v>
      </c>
      <c r="F398" t="s">
        <v>284</v>
      </c>
      <c r="G398" s="56">
        <v>44327.522789351853</v>
      </c>
      <c r="H398">
        <v>33</v>
      </c>
      <c r="I398" t="s">
        <v>351</v>
      </c>
      <c r="J398" t="s">
        <v>50</v>
      </c>
      <c r="K398" t="s">
        <v>50</v>
      </c>
      <c r="L398" t="s">
        <v>159</v>
      </c>
      <c r="M398" t="s">
        <v>51</v>
      </c>
      <c r="N398" t="s">
        <v>92</v>
      </c>
      <c r="O398" s="1">
        <v>41335</v>
      </c>
      <c r="P398" t="s">
        <v>84</v>
      </c>
      <c r="Q398">
        <v>4</v>
      </c>
      <c r="R398" t="s">
        <v>27</v>
      </c>
      <c r="S398">
        <v>1</v>
      </c>
      <c r="T398">
        <v>2266</v>
      </c>
      <c r="U398" t="s">
        <v>351</v>
      </c>
      <c r="V398" t="s">
        <v>351</v>
      </c>
      <c r="W398">
        <v>2266</v>
      </c>
    </row>
    <row r="399" spans="1:23" x14ac:dyDescent="0.25">
      <c r="A399" s="1">
        <v>44256</v>
      </c>
      <c r="B399" s="1">
        <v>44256</v>
      </c>
      <c r="C399" t="s">
        <v>157</v>
      </c>
      <c r="D399" t="s">
        <v>48</v>
      </c>
      <c r="E399" t="s">
        <v>49</v>
      </c>
      <c r="F399" t="s">
        <v>282</v>
      </c>
      <c r="G399" s="56">
        <v>44294.484247685185</v>
      </c>
      <c r="H399">
        <v>33</v>
      </c>
      <c r="I399">
        <v>18264</v>
      </c>
      <c r="J399" t="s">
        <v>50</v>
      </c>
      <c r="K399" t="s">
        <v>50</v>
      </c>
      <c r="L399" t="s">
        <v>159</v>
      </c>
      <c r="M399" t="s">
        <v>51</v>
      </c>
      <c r="N399" t="s">
        <v>92</v>
      </c>
      <c r="O399" s="1">
        <v>41335</v>
      </c>
      <c r="P399" t="s">
        <v>84</v>
      </c>
      <c r="Q399">
        <v>4</v>
      </c>
      <c r="R399" t="s">
        <v>27</v>
      </c>
      <c r="S399">
        <v>3026.9486430000002</v>
      </c>
      <c r="T399">
        <v>80.213999999999999</v>
      </c>
      <c r="U399" t="s">
        <v>351</v>
      </c>
      <c r="V399" t="s">
        <v>351</v>
      </c>
      <c r="W399">
        <v>242804</v>
      </c>
    </row>
    <row r="400" spans="1:23" x14ac:dyDescent="0.25">
      <c r="A400" s="1">
        <v>44256</v>
      </c>
      <c r="B400" s="1">
        <v>44256</v>
      </c>
      <c r="C400" t="s">
        <v>157</v>
      </c>
      <c r="D400" t="s">
        <v>54</v>
      </c>
      <c r="E400" t="s">
        <v>21</v>
      </c>
      <c r="F400" t="s">
        <v>280</v>
      </c>
      <c r="G400" s="56">
        <v>44294.484247685185</v>
      </c>
      <c r="H400">
        <v>33</v>
      </c>
      <c r="I400">
        <v>18264</v>
      </c>
      <c r="J400" t="s">
        <v>50</v>
      </c>
      <c r="K400" t="s">
        <v>50</v>
      </c>
      <c r="L400" t="s">
        <v>159</v>
      </c>
      <c r="M400" t="s">
        <v>51</v>
      </c>
      <c r="N400" t="s">
        <v>92</v>
      </c>
      <c r="O400" s="1">
        <v>41335</v>
      </c>
      <c r="P400" t="s">
        <v>84</v>
      </c>
      <c r="Q400">
        <v>5</v>
      </c>
      <c r="R400" t="s">
        <v>28</v>
      </c>
      <c r="S400" t="s">
        <v>351</v>
      </c>
      <c r="T400" t="s">
        <v>351</v>
      </c>
      <c r="U400">
        <v>0</v>
      </c>
      <c r="V400">
        <v>5963.2809999999999</v>
      </c>
      <c r="W400">
        <v>0</v>
      </c>
    </row>
    <row r="401" spans="1:23" x14ac:dyDescent="0.25">
      <c r="A401" s="1">
        <v>44256</v>
      </c>
      <c r="B401" s="1">
        <v>44256</v>
      </c>
      <c r="C401" t="s">
        <v>157</v>
      </c>
      <c r="D401" t="s">
        <v>93</v>
      </c>
      <c r="E401" t="s">
        <v>49</v>
      </c>
      <c r="F401" t="s">
        <v>284</v>
      </c>
      <c r="G401" s="56">
        <v>44327.522789351853</v>
      </c>
      <c r="H401">
        <v>33</v>
      </c>
      <c r="I401" t="s">
        <v>351</v>
      </c>
      <c r="J401" t="s">
        <v>50</v>
      </c>
      <c r="K401" t="s">
        <v>50</v>
      </c>
      <c r="L401" t="s">
        <v>159</v>
      </c>
      <c r="M401" t="s">
        <v>51</v>
      </c>
      <c r="N401" t="s">
        <v>92</v>
      </c>
      <c r="O401" s="1">
        <v>41335</v>
      </c>
      <c r="P401" t="s">
        <v>84</v>
      </c>
      <c r="Q401">
        <v>5</v>
      </c>
      <c r="R401" t="s">
        <v>28</v>
      </c>
      <c r="S401">
        <v>1</v>
      </c>
      <c r="T401">
        <v>7</v>
      </c>
      <c r="U401" t="s">
        <v>351</v>
      </c>
      <c r="V401" t="s">
        <v>351</v>
      </c>
      <c r="W401">
        <v>7</v>
      </c>
    </row>
    <row r="402" spans="1:23" x14ac:dyDescent="0.25">
      <c r="A402" s="1">
        <v>44256</v>
      </c>
      <c r="B402" s="1">
        <v>44256</v>
      </c>
      <c r="C402" t="s">
        <v>157</v>
      </c>
      <c r="D402" t="s">
        <v>48</v>
      </c>
      <c r="E402" t="s">
        <v>49</v>
      </c>
      <c r="F402" t="s">
        <v>282</v>
      </c>
      <c r="G402" s="56">
        <v>44294.484247685185</v>
      </c>
      <c r="H402">
        <v>33</v>
      </c>
      <c r="I402">
        <v>18264</v>
      </c>
      <c r="J402" t="s">
        <v>50</v>
      </c>
      <c r="K402" t="s">
        <v>50</v>
      </c>
      <c r="L402" t="s">
        <v>159</v>
      </c>
      <c r="M402" t="s">
        <v>51</v>
      </c>
      <c r="N402" t="s">
        <v>92</v>
      </c>
      <c r="O402" s="1">
        <v>41335</v>
      </c>
      <c r="P402" t="s">
        <v>84</v>
      </c>
      <c r="Q402">
        <v>5</v>
      </c>
      <c r="R402" t="s">
        <v>28</v>
      </c>
      <c r="S402">
        <v>8.8766890000000007</v>
      </c>
      <c r="T402">
        <v>86.617999999999995</v>
      </c>
      <c r="U402" t="s">
        <v>351</v>
      </c>
      <c r="V402" t="s">
        <v>351</v>
      </c>
      <c r="W402">
        <v>769</v>
      </c>
    </row>
    <row r="403" spans="1:23" x14ac:dyDescent="0.25">
      <c r="A403" s="1">
        <v>44287</v>
      </c>
      <c r="B403" s="1">
        <v>44287</v>
      </c>
      <c r="C403" t="s">
        <v>157</v>
      </c>
      <c r="D403" t="s">
        <v>54</v>
      </c>
      <c r="E403" t="s">
        <v>21</v>
      </c>
      <c r="F403" t="s">
        <v>285</v>
      </c>
      <c r="G403" s="56">
        <v>44323.702997685185</v>
      </c>
      <c r="H403">
        <v>33</v>
      </c>
      <c r="I403">
        <v>18700</v>
      </c>
      <c r="J403" t="s">
        <v>50</v>
      </c>
      <c r="K403" t="s">
        <v>50</v>
      </c>
      <c r="L403" t="s">
        <v>159</v>
      </c>
      <c r="M403" t="s">
        <v>51</v>
      </c>
      <c r="N403" t="s">
        <v>92</v>
      </c>
      <c r="O403" s="1">
        <v>41335</v>
      </c>
      <c r="P403" t="s">
        <v>84</v>
      </c>
      <c r="Q403">
        <v>1</v>
      </c>
      <c r="R403" t="s">
        <v>83</v>
      </c>
      <c r="S403" t="s">
        <v>351</v>
      </c>
      <c r="T403" t="s">
        <v>351</v>
      </c>
      <c r="U403">
        <v>0</v>
      </c>
      <c r="V403">
        <v>5914.4219999999996</v>
      </c>
      <c r="W403">
        <v>0</v>
      </c>
    </row>
    <row r="404" spans="1:23" x14ac:dyDescent="0.25">
      <c r="A404" s="1">
        <v>44287</v>
      </c>
      <c r="B404" s="1">
        <v>44287</v>
      </c>
      <c r="C404" t="s">
        <v>157</v>
      </c>
      <c r="D404" t="s">
        <v>48</v>
      </c>
      <c r="E404" t="s">
        <v>49</v>
      </c>
      <c r="F404" t="s">
        <v>286</v>
      </c>
      <c r="G404" s="56">
        <v>44323.702997685185</v>
      </c>
      <c r="H404">
        <v>33</v>
      </c>
      <c r="I404">
        <v>18700</v>
      </c>
      <c r="J404" t="s">
        <v>50</v>
      </c>
      <c r="K404" t="s">
        <v>50</v>
      </c>
      <c r="L404" t="s">
        <v>159</v>
      </c>
      <c r="M404" t="s">
        <v>51</v>
      </c>
      <c r="N404" t="s">
        <v>92</v>
      </c>
      <c r="O404" s="1">
        <v>41335</v>
      </c>
      <c r="P404" t="s">
        <v>84</v>
      </c>
      <c r="Q404">
        <v>1</v>
      </c>
      <c r="R404" t="s">
        <v>83</v>
      </c>
      <c r="S404">
        <v>1898.22228</v>
      </c>
      <c r="T404">
        <v>85.203000000000003</v>
      </c>
      <c r="U404" t="s">
        <v>351</v>
      </c>
      <c r="V404" t="s">
        <v>351</v>
      </c>
      <c r="W404">
        <v>161734</v>
      </c>
    </row>
    <row r="405" spans="1:23" x14ac:dyDescent="0.25">
      <c r="A405" s="1">
        <v>44287</v>
      </c>
      <c r="B405" s="1">
        <v>44287</v>
      </c>
      <c r="C405" t="s">
        <v>157</v>
      </c>
      <c r="D405" t="s">
        <v>54</v>
      </c>
      <c r="E405" t="s">
        <v>21</v>
      </c>
      <c r="F405" t="s">
        <v>285</v>
      </c>
      <c r="G405" s="56">
        <v>44323.702997685185</v>
      </c>
      <c r="H405">
        <v>33</v>
      </c>
      <c r="I405">
        <v>18700</v>
      </c>
      <c r="J405" t="s">
        <v>50</v>
      </c>
      <c r="K405" t="s">
        <v>50</v>
      </c>
      <c r="L405" t="s">
        <v>159</v>
      </c>
      <c r="M405" t="s">
        <v>51</v>
      </c>
      <c r="N405" t="s">
        <v>92</v>
      </c>
      <c r="O405" s="1">
        <v>41335</v>
      </c>
      <c r="P405" t="s">
        <v>84</v>
      </c>
      <c r="Q405">
        <v>2</v>
      </c>
      <c r="R405" t="s">
        <v>94</v>
      </c>
      <c r="S405" t="s">
        <v>351</v>
      </c>
      <c r="T405" t="s">
        <v>351</v>
      </c>
      <c r="U405">
        <v>0</v>
      </c>
      <c r="V405">
        <v>6007.3739999999998</v>
      </c>
      <c r="W405">
        <v>0</v>
      </c>
    </row>
    <row r="406" spans="1:23" x14ac:dyDescent="0.25">
      <c r="A406" s="1">
        <v>44287</v>
      </c>
      <c r="B406" s="1">
        <v>44287</v>
      </c>
      <c r="C406" t="s">
        <v>157</v>
      </c>
      <c r="D406" t="s">
        <v>48</v>
      </c>
      <c r="E406" t="s">
        <v>49</v>
      </c>
      <c r="F406" t="s">
        <v>286</v>
      </c>
      <c r="G406" s="56">
        <v>44323.702997685185</v>
      </c>
      <c r="H406">
        <v>33</v>
      </c>
      <c r="I406">
        <v>18700</v>
      </c>
      <c r="J406" t="s">
        <v>50</v>
      </c>
      <c r="K406" t="s">
        <v>50</v>
      </c>
      <c r="L406" t="s">
        <v>159</v>
      </c>
      <c r="M406" t="s">
        <v>51</v>
      </c>
      <c r="N406" t="s">
        <v>92</v>
      </c>
      <c r="O406" s="1">
        <v>41335</v>
      </c>
      <c r="P406" t="s">
        <v>84</v>
      </c>
      <c r="Q406">
        <v>2</v>
      </c>
      <c r="R406" t="s">
        <v>94</v>
      </c>
      <c r="S406">
        <v>6.7238790000000002</v>
      </c>
      <c r="T406">
        <v>86.819000000000003</v>
      </c>
      <c r="U406" t="s">
        <v>351</v>
      </c>
      <c r="V406" t="s">
        <v>351</v>
      </c>
      <c r="W406">
        <v>584</v>
      </c>
    </row>
    <row r="407" spans="1:23" x14ac:dyDescent="0.25">
      <c r="A407" s="1">
        <v>44287</v>
      </c>
      <c r="B407" s="1">
        <v>44287</v>
      </c>
      <c r="C407" t="s">
        <v>157</v>
      </c>
      <c r="D407" t="s">
        <v>54</v>
      </c>
      <c r="E407" t="s">
        <v>21</v>
      </c>
      <c r="F407" t="s">
        <v>285</v>
      </c>
      <c r="G407" s="56">
        <v>44323.702997685185</v>
      </c>
      <c r="H407">
        <v>33</v>
      </c>
      <c r="I407">
        <v>18700</v>
      </c>
      <c r="J407" t="s">
        <v>50</v>
      </c>
      <c r="K407" t="s">
        <v>50</v>
      </c>
      <c r="L407" t="s">
        <v>159</v>
      </c>
      <c r="M407" t="s">
        <v>51</v>
      </c>
      <c r="N407" t="s">
        <v>92</v>
      </c>
      <c r="O407" s="1">
        <v>41335</v>
      </c>
      <c r="P407" t="s">
        <v>84</v>
      </c>
      <c r="Q407">
        <v>3</v>
      </c>
      <c r="R407" t="s">
        <v>81</v>
      </c>
      <c r="S407" t="s">
        <v>351</v>
      </c>
      <c r="T407" t="s">
        <v>351</v>
      </c>
      <c r="U407">
        <v>0</v>
      </c>
      <c r="V407">
        <v>5302.482</v>
      </c>
      <c r="W407">
        <v>0</v>
      </c>
    </row>
    <row r="408" spans="1:23" x14ac:dyDescent="0.25">
      <c r="A408" s="1">
        <v>44287</v>
      </c>
      <c r="B408" s="1">
        <v>44287</v>
      </c>
      <c r="C408" t="s">
        <v>157</v>
      </c>
      <c r="D408" t="s">
        <v>48</v>
      </c>
      <c r="E408" t="s">
        <v>49</v>
      </c>
      <c r="F408" t="s">
        <v>286</v>
      </c>
      <c r="G408" s="56">
        <v>44323.702997685185</v>
      </c>
      <c r="H408">
        <v>33</v>
      </c>
      <c r="I408">
        <v>18700</v>
      </c>
      <c r="J408" t="s">
        <v>50</v>
      </c>
      <c r="K408" t="s">
        <v>50</v>
      </c>
      <c r="L408" t="s">
        <v>159</v>
      </c>
      <c r="M408" t="s">
        <v>51</v>
      </c>
      <c r="N408" t="s">
        <v>92</v>
      </c>
      <c r="O408" s="1">
        <v>41335</v>
      </c>
      <c r="P408" t="s">
        <v>84</v>
      </c>
      <c r="Q408">
        <v>3</v>
      </c>
      <c r="R408" t="s">
        <v>81</v>
      </c>
      <c r="S408">
        <v>210.80923799999999</v>
      </c>
      <c r="T408">
        <v>78.597999999999999</v>
      </c>
      <c r="U408" t="s">
        <v>351</v>
      </c>
      <c r="V408" t="s">
        <v>351</v>
      </c>
      <c r="W408">
        <v>16569</v>
      </c>
    </row>
    <row r="409" spans="1:23" x14ac:dyDescent="0.25">
      <c r="A409" s="1">
        <v>44287</v>
      </c>
      <c r="B409" s="1">
        <v>44287</v>
      </c>
      <c r="C409" t="s">
        <v>157</v>
      </c>
      <c r="D409" t="s">
        <v>54</v>
      </c>
      <c r="E409" t="s">
        <v>21</v>
      </c>
      <c r="F409" t="s">
        <v>285</v>
      </c>
      <c r="G409" s="56">
        <v>44323.702997685185</v>
      </c>
      <c r="H409">
        <v>33</v>
      </c>
      <c r="I409">
        <v>18700</v>
      </c>
      <c r="J409" t="s">
        <v>50</v>
      </c>
      <c r="K409" t="s">
        <v>50</v>
      </c>
      <c r="L409" t="s">
        <v>159</v>
      </c>
      <c r="M409" t="s">
        <v>51</v>
      </c>
      <c r="N409" t="s">
        <v>92</v>
      </c>
      <c r="O409" s="1">
        <v>41335</v>
      </c>
      <c r="P409" t="s">
        <v>84</v>
      </c>
      <c r="Q409">
        <v>4</v>
      </c>
      <c r="R409" t="s">
        <v>27</v>
      </c>
      <c r="S409" t="s">
        <v>351</v>
      </c>
      <c r="T409" t="s">
        <v>351</v>
      </c>
      <c r="U409">
        <v>0</v>
      </c>
      <c r="V409">
        <v>5512.8180000000002</v>
      </c>
      <c r="W409">
        <v>0</v>
      </c>
    </row>
    <row r="410" spans="1:23" x14ac:dyDescent="0.25">
      <c r="A410" s="1">
        <v>44287</v>
      </c>
      <c r="B410" s="1">
        <v>44287</v>
      </c>
      <c r="C410" t="s">
        <v>157</v>
      </c>
      <c r="D410" t="s">
        <v>48</v>
      </c>
      <c r="E410" t="s">
        <v>49</v>
      </c>
      <c r="F410" t="s">
        <v>286</v>
      </c>
      <c r="G410" s="56">
        <v>44323.702997685185</v>
      </c>
      <c r="H410">
        <v>33</v>
      </c>
      <c r="I410">
        <v>18700</v>
      </c>
      <c r="J410" t="s">
        <v>50</v>
      </c>
      <c r="K410" t="s">
        <v>50</v>
      </c>
      <c r="L410" t="s">
        <v>159</v>
      </c>
      <c r="M410" t="s">
        <v>51</v>
      </c>
      <c r="N410" t="s">
        <v>92</v>
      </c>
      <c r="O410" s="1">
        <v>41335</v>
      </c>
      <c r="P410" t="s">
        <v>84</v>
      </c>
      <c r="Q410">
        <v>4</v>
      </c>
      <c r="R410" t="s">
        <v>27</v>
      </c>
      <c r="S410">
        <v>2386.3591110000002</v>
      </c>
      <c r="T410">
        <v>80.213999999999999</v>
      </c>
      <c r="U410" t="s">
        <v>351</v>
      </c>
      <c r="V410" t="s">
        <v>351</v>
      </c>
      <c r="W410">
        <v>191419</v>
      </c>
    </row>
    <row r="411" spans="1:23" x14ac:dyDescent="0.25">
      <c r="A411" s="1">
        <v>44287</v>
      </c>
      <c r="B411" s="1">
        <v>44287</v>
      </c>
      <c r="C411" t="s">
        <v>157</v>
      </c>
      <c r="D411" t="s">
        <v>54</v>
      </c>
      <c r="E411" t="s">
        <v>21</v>
      </c>
      <c r="F411" t="s">
        <v>285</v>
      </c>
      <c r="G411" s="56">
        <v>44323.702997685185</v>
      </c>
      <c r="H411">
        <v>33</v>
      </c>
      <c r="I411">
        <v>18700</v>
      </c>
      <c r="J411" t="s">
        <v>50</v>
      </c>
      <c r="K411" t="s">
        <v>50</v>
      </c>
      <c r="L411" t="s">
        <v>159</v>
      </c>
      <c r="M411" t="s">
        <v>51</v>
      </c>
      <c r="N411" t="s">
        <v>92</v>
      </c>
      <c r="O411" s="1">
        <v>41335</v>
      </c>
      <c r="P411" t="s">
        <v>84</v>
      </c>
      <c r="Q411">
        <v>5</v>
      </c>
      <c r="R411" t="s">
        <v>28</v>
      </c>
      <c r="S411" t="s">
        <v>351</v>
      </c>
      <c r="T411" t="s">
        <v>351</v>
      </c>
      <c r="U411">
        <v>0</v>
      </c>
      <c r="V411">
        <v>5963.2809999999999</v>
      </c>
      <c r="W411">
        <v>0</v>
      </c>
    </row>
    <row r="412" spans="1:23" x14ac:dyDescent="0.25">
      <c r="A412" s="1">
        <v>44287</v>
      </c>
      <c r="B412" s="1">
        <v>44287</v>
      </c>
      <c r="C412" t="s">
        <v>157</v>
      </c>
      <c r="D412" t="s">
        <v>48</v>
      </c>
      <c r="E412" t="s">
        <v>49</v>
      </c>
      <c r="F412" t="s">
        <v>286</v>
      </c>
      <c r="G412" s="56">
        <v>44323.702997685185</v>
      </c>
      <c r="H412">
        <v>33</v>
      </c>
      <c r="I412">
        <v>18700</v>
      </c>
      <c r="J412" t="s">
        <v>50</v>
      </c>
      <c r="K412" t="s">
        <v>50</v>
      </c>
      <c r="L412" t="s">
        <v>159</v>
      </c>
      <c r="M412" t="s">
        <v>51</v>
      </c>
      <c r="N412" t="s">
        <v>92</v>
      </c>
      <c r="O412" s="1">
        <v>41335</v>
      </c>
      <c r="P412" t="s">
        <v>84</v>
      </c>
      <c r="Q412">
        <v>5</v>
      </c>
      <c r="R412" t="s">
        <v>28</v>
      </c>
      <c r="S412">
        <v>7.1214380000000004</v>
      </c>
      <c r="T412">
        <v>86.617999999999995</v>
      </c>
      <c r="U412" t="s">
        <v>351</v>
      </c>
      <c r="V412" t="s">
        <v>351</v>
      </c>
      <c r="W412">
        <v>617</v>
      </c>
    </row>
    <row r="413" spans="1:23" x14ac:dyDescent="0.25">
      <c r="A413" s="1">
        <v>43922</v>
      </c>
      <c r="B413" s="1">
        <v>43922</v>
      </c>
      <c r="C413" t="s">
        <v>157</v>
      </c>
      <c r="D413" t="s">
        <v>52</v>
      </c>
      <c r="E413" t="s">
        <v>53</v>
      </c>
      <c r="F413" t="s">
        <v>210</v>
      </c>
      <c r="G413" s="56">
        <v>43959.644641203704</v>
      </c>
      <c r="H413">
        <v>33</v>
      </c>
      <c r="I413">
        <v>13722</v>
      </c>
      <c r="J413" t="s">
        <v>50</v>
      </c>
      <c r="K413" t="s">
        <v>50</v>
      </c>
      <c r="L413" t="s">
        <v>159</v>
      </c>
      <c r="M413" t="s">
        <v>51</v>
      </c>
      <c r="N413" t="s">
        <v>92</v>
      </c>
      <c r="O413" s="1">
        <v>41335</v>
      </c>
      <c r="P413" t="s">
        <v>84</v>
      </c>
      <c r="Q413">
        <v>5</v>
      </c>
      <c r="R413" t="s">
        <v>28</v>
      </c>
      <c r="S413">
        <v>0</v>
      </c>
      <c r="T413">
        <v>0</v>
      </c>
      <c r="U413">
        <v>0</v>
      </c>
    </row>
    <row r="414" spans="1:23" x14ac:dyDescent="0.25">
      <c r="A414" s="1">
        <v>43922</v>
      </c>
      <c r="B414" s="1">
        <v>43922</v>
      </c>
      <c r="C414" t="s">
        <v>157</v>
      </c>
      <c r="D414" t="s">
        <v>95</v>
      </c>
      <c r="E414" t="s">
        <v>56</v>
      </c>
      <c r="F414" t="s">
        <v>213</v>
      </c>
      <c r="G414" s="56">
        <v>43992.659548611111</v>
      </c>
      <c r="H414">
        <v>33</v>
      </c>
      <c r="I414" t="s">
        <v>351</v>
      </c>
      <c r="J414" t="s">
        <v>50</v>
      </c>
      <c r="K414" t="s">
        <v>50</v>
      </c>
      <c r="L414" t="s">
        <v>159</v>
      </c>
      <c r="M414" t="s">
        <v>51</v>
      </c>
      <c r="N414" t="s">
        <v>92</v>
      </c>
      <c r="O414" s="1">
        <v>41335</v>
      </c>
      <c r="P414" t="s">
        <v>84</v>
      </c>
      <c r="Q414">
        <v>5</v>
      </c>
      <c r="R414" t="s">
        <v>28</v>
      </c>
      <c r="S414">
        <v>1</v>
      </c>
      <c r="T414">
        <v>1</v>
      </c>
      <c r="U414">
        <v>1</v>
      </c>
    </row>
    <row r="415" spans="1:23" x14ac:dyDescent="0.25">
      <c r="A415" s="1">
        <v>43922</v>
      </c>
      <c r="B415" s="1">
        <v>43922</v>
      </c>
      <c r="C415" t="s">
        <v>157</v>
      </c>
      <c r="D415" t="s">
        <v>93</v>
      </c>
      <c r="E415" t="s">
        <v>49</v>
      </c>
      <c r="F415" t="s">
        <v>211</v>
      </c>
      <c r="G415" s="56">
        <v>43992.659548611111</v>
      </c>
      <c r="H415">
        <v>33</v>
      </c>
      <c r="I415" t="s">
        <v>351</v>
      </c>
      <c r="J415" t="s">
        <v>50</v>
      </c>
      <c r="K415" t="s">
        <v>50</v>
      </c>
      <c r="L415" t="s">
        <v>159</v>
      </c>
      <c r="M415" t="s">
        <v>51</v>
      </c>
      <c r="N415" t="s">
        <v>92</v>
      </c>
      <c r="O415" s="1">
        <v>41335</v>
      </c>
      <c r="P415" t="s">
        <v>84</v>
      </c>
      <c r="Q415">
        <v>5</v>
      </c>
      <c r="R415" t="s">
        <v>28</v>
      </c>
      <c r="S415">
        <v>1</v>
      </c>
      <c r="T415">
        <v>20</v>
      </c>
      <c r="U415">
        <v>20</v>
      </c>
    </row>
    <row r="416" spans="1:23" x14ac:dyDescent="0.25">
      <c r="A416" s="1">
        <v>43922</v>
      </c>
      <c r="B416" s="1">
        <v>43922</v>
      </c>
      <c r="C416" t="s">
        <v>157</v>
      </c>
      <c r="D416" t="s">
        <v>55</v>
      </c>
      <c r="E416" t="s">
        <v>56</v>
      </c>
      <c r="F416" t="s">
        <v>214</v>
      </c>
      <c r="G416" s="56">
        <v>43959.644641203704</v>
      </c>
      <c r="H416">
        <v>33</v>
      </c>
      <c r="I416">
        <v>13722</v>
      </c>
      <c r="J416" t="s">
        <v>50</v>
      </c>
      <c r="K416" t="s">
        <v>50</v>
      </c>
      <c r="L416" t="s">
        <v>159</v>
      </c>
      <c r="M416" t="s">
        <v>51</v>
      </c>
      <c r="N416" t="s">
        <v>92</v>
      </c>
      <c r="O416" s="1">
        <v>41335</v>
      </c>
      <c r="P416" t="s">
        <v>84</v>
      </c>
      <c r="Q416">
        <v>5</v>
      </c>
      <c r="R416" t="s">
        <v>28</v>
      </c>
      <c r="S416">
        <v>15.457482000000001</v>
      </c>
      <c r="T416">
        <v>1.0669999999999999</v>
      </c>
      <c r="U416">
        <v>16</v>
      </c>
    </row>
    <row r="417" spans="1:21" x14ac:dyDescent="0.25">
      <c r="A417" s="1">
        <v>43952</v>
      </c>
      <c r="B417" s="1">
        <v>43952</v>
      </c>
      <c r="C417" t="s">
        <v>157</v>
      </c>
      <c r="D417" t="s">
        <v>93</v>
      </c>
      <c r="E417" t="s">
        <v>49</v>
      </c>
      <c r="F417" t="s">
        <v>217</v>
      </c>
      <c r="G417" s="56">
        <v>44027.009201388886</v>
      </c>
      <c r="H417">
        <v>33</v>
      </c>
      <c r="I417">
        <v>14695</v>
      </c>
      <c r="J417" t="s">
        <v>50</v>
      </c>
      <c r="K417" t="s">
        <v>50</v>
      </c>
      <c r="L417" t="s">
        <v>159</v>
      </c>
      <c r="M417" t="s">
        <v>51</v>
      </c>
      <c r="N417" t="s">
        <v>92</v>
      </c>
      <c r="O417" s="1">
        <v>41335</v>
      </c>
      <c r="P417" t="s">
        <v>84</v>
      </c>
      <c r="Q417">
        <v>1</v>
      </c>
      <c r="R417" t="s">
        <v>83</v>
      </c>
      <c r="S417">
        <v>1</v>
      </c>
      <c r="T417">
        <v>269</v>
      </c>
      <c r="U417">
        <v>269</v>
      </c>
    </row>
    <row r="418" spans="1:21" x14ac:dyDescent="0.25">
      <c r="A418" s="1">
        <v>43952</v>
      </c>
      <c r="B418" s="1">
        <v>43952</v>
      </c>
      <c r="C418" t="s">
        <v>157</v>
      </c>
      <c r="D418" t="s">
        <v>95</v>
      </c>
      <c r="E418" t="s">
        <v>56</v>
      </c>
      <c r="F418" t="s">
        <v>218</v>
      </c>
      <c r="G418" s="56">
        <v>44027.009201388886</v>
      </c>
      <c r="H418">
        <v>33</v>
      </c>
      <c r="I418">
        <v>14695</v>
      </c>
      <c r="J418" t="s">
        <v>50</v>
      </c>
      <c r="K418" t="s">
        <v>50</v>
      </c>
      <c r="L418" t="s">
        <v>159</v>
      </c>
      <c r="M418" t="s">
        <v>51</v>
      </c>
      <c r="N418" t="s">
        <v>92</v>
      </c>
      <c r="O418" s="1">
        <v>41335</v>
      </c>
      <c r="P418" t="s">
        <v>84</v>
      </c>
      <c r="Q418">
        <v>1</v>
      </c>
      <c r="R418" t="s">
        <v>83</v>
      </c>
      <c r="S418">
        <v>1</v>
      </c>
      <c r="T418">
        <v>4</v>
      </c>
      <c r="U418">
        <v>4</v>
      </c>
    </row>
    <row r="419" spans="1:21" x14ac:dyDescent="0.25">
      <c r="A419" s="1">
        <v>43952</v>
      </c>
      <c r="B419" s="1">
        <v>43952</v>
      </c>
      <c r="C419" t="s">
        <v>157</v>
      </c>
      <c r="D419" t="s">
        <v>52</v>
      </c>
      <c r="E419" t="s">
        <v>53</v>
      </c>
      <c r="F419" t="s">
        <v>219</v>
      </c>
      <c r="G419" s="56">
        <v>43987.496550925927</v>
      </c>
      <c r="H419">
        <v>33</v>
      </c>
      <c r="I419">
        <v>14013</v>
      </c>
      <c r="J419" t="s">
        <v>50</v>
      </c>
      <c r="K419" t="s">
        <v>50</v>
      </c>
      <c r="L419" t="s">
        <v>159</v>
      </c>
      <c r="M419" t="s">
        <v>51</v>
      </c>
      <c r="N419" t="s">
        <v>92</v>
      </c>
      <c r="O419" s="1">
        <v>41335</v>
      </c>
      <c r="P419" t="s">
        <v>84</v>
      </c>
      <c r="Q419">
        <v>1</v>
      </c>
      <c r="R419" t="s">
        <v>83</v>
      </c>
      <c r="S419">
        <v>0</v>
      </c>
      <c r="T419">
        <v>0</v>
      </c>
      <c r="U419">
        <v>0</v>
      </c>
    </row>
    <row r="420" spans="1:21" x14ac:dyDescent="0.25">
      <c r="A420" s="1">
        <v>43952</v>
      </c>
      <c r="B420" s="1">
        <v>43952</v>
      </c>
      <c r="C420" t="s">
        <v>157</v>
      </c>
      <c r="D420" t="s">
        <v>48</v>
      </c>
      <c r="E420" t="s">
        <v>49</v>
      </c>
      <c r="F420" t="s">
        <v>220</v>
      </c>
      <c r="G420" s="56">
        <v>43987.496550925927</v>
      </c>
      <c r="H420">
        <v>33</v>
      </c>
      <c r="I420">
        <v>14013</v>
      </c>
      <c r="J420" t="s">
        <v>50</v>
      </c>
      <c r="K420" t="s">
        <v>50</v>
      </c>
      <c r="L420" t="s">
        <v>159</v>
      </c>
      <c r="M420" t="s">
        <v>51</v>
      </c>
      <c r="N420" t="s">
        <v>92</v>
      </c>
      <c r="O420" s="1">
        <v>41335</v>
      </c>
      <c r="P420" t="s">
        <v>84</v>
      </c>
      <c r="Q420">
        <v>1</v>
      </c>
      <c r="R420" t="s">
        <v>83</v>
      </c>
      <c r="S420">
        <v>2850.9896789999998</v>
      </c>
      <c r="T420">
        <v>71.221999999999994</v>
      </c>
      <c r="U420">
        <v>203053</v>
      </c>
    </row>
    <row r="421" spans="1:21" x14ac:dyDescent="0.25">
      <c r="A421" s="1">
        <v>43952</v>
      </c>
      <c r="B421" s="1">
        <v>43952</v>
      </c>
      <c r="C421" t="s">
        <v>157</v>
      </c>
      <c r="D421" t="s">
        <v>54</v>
      </c>
      <c r="E421" t="s">
        <v>21</v>
      </c>
      <c r="F421" t="s">
        <v>221</v>
      </c>
      <c r="G421" s="56">
        <v>43987.496550925927</v>
      </c>
      <c r="H421">
        <v>33</v>
      </c>
      <c r="I421">
        <v>14013</v>
      </c>
      <c r="J421" t="s">
        <v>50</v>
      </c>
      <c r="K421" t="s">
        <v>50</v>
      </c>
      <c r="L421" t="s">
        <v>159</v>
      </c>
      <c r="M421" t="s">
        <v>51</v>
      </c>
      <c r="N421" t="s">
        <v>92</v>
      </c>
      <c r="O421" s="1">
        <v>41335</v>
      </c>
      <c r="P421" t="s">
        <v>84</v>
      </c>
      <c r="Q421">
        <v>1</v>
      </c>
      <c r="R421" t="s">
        <v>83</v>
      </c>
      <c r="S421">
        <v>0</v>
      </c>
      <c r="T421">
        <v>6077.2</v>
      </c>
      <c r="U421">
        <v>0</v>
      </c>
    </row>
    <row r="422" spans="1:21" x14ac:dyDescent="0.25">
      <c r="A422" s="1">
        <v>43952</v>
      </c>
      <c r="B422" s="1">
        <v>43952</v>
      </c>
      <c r="C422" t="s">
        <v>157</v>
      </c>
      <c r="D422" t="s">
        <v>55</v>
      </c>
      <c r="E422" t="s">
        <v>56</v>
      </c>
      <c r="F422" t="s">
        <v>222</v>
      </c>
      <c r="G422" s="56">
        <v>43987.496550925927</v>
      </c>
      <c r="H422">
        <v>33</v>
      </c>
      <c r="I422">
        <v>14013</v>
      </c>
      <c r="J422" t="s">
        <v>50</v>
      </c>
      <c r="K422" t="s">
        <v>50</v>
      </c>
      <c r="L422" t="s">
        <v>159</v>
      </c>
      <c r="M422" t="s">
        <v>51</v>
      </c>
      <c r="N422" t="s">
        <v>92</v>
      </c>
      <c r="O422" s="1">
        <v>41335</v>
      </c>
      <c r="P422" t="s">
        <v>84</v>
      </c>
      <c r="Q422">
        <v>1</v>
      </c>
      <c r="R422" t="s">
        <v>83</v>
      </c>
      <c r="S422">
        <v>2850.9896789999998</v>
      </c>
      <c r="T422">
        <v>1.0669999999999999</v>
      </c>
      <c r="U422">
        <v>3042</v>
      </c>
    </row>
    <row r="423" spans="1:21" x14ac:dyDescent="0.25">
      <c r="A423" s="1">
        <v>43952</v>
      </c>
      <c r="B423" s="1">
        <v>43952</v>
      </c>
      <c r="C423" t="s">
        <v>157</v>
      </c>
      <c r="D423" t="s">
        <v>48</v>
      </c>
      <c r="E423" t="s">
        <v>49</v>
      </c>
      <c r="F423" t="s">
        <v>220</v>
      </c>
      <c r="G423" s="56">
        <v>43987.496550925927</v>
      </c>
      <c r="H423">
        <v>33</v>
      </c>
      <c r="I423">
        <v>14013</v>
      </c>
      <c r="J423" t="s">
        <v>50</v>
      </c>
      <c r="K423" t="s">
        <v>50</v>
      </c>
      <c r="L423" t="s">
        <v>159</v>
      </c>
      <c r="M423" t="s">
        <v>51</v>
      </c>
      <c r="N423" t="s">
        <v>92</v>
      </c>
      <c r="O423" s="1">
        <v>41335</v>
      </c>
      <c r="P423" t="s">
        <v>84</v>
      </c>
      <c r="Q423">
        <v>2</v>
      </c>
      <c r="R423" t="s">
        <v>94</v>
      </c>
      <c r="S423">
        <v>6.0668620000000004</v>
      </c>
      <c r="T423">
        <v>73.772999999999996</v>
      </c>
      <c r="U423">
        <v>448</v>
      </c>
    </row>
    <row r="424" spans="1:21" x14ac:dyDescent="0.25">
      <c r="A424" s="1">
        <v>43952</v>
      </c>
      <c r="B424" s="1">
        <v>43952</v>
      </c>
      <c r="C424" t="s">
        <v>157</v>
      </c>
      <c r="D424" t="s">
        <v>52</v>
      </c>
      <c r="E424" t="s">
        <v>53</v>
      </c>
      <c r="F424" t="s">
        <v>219</v>
      </c>
      <c r="G424" s="56">
        <v>43987.496550925927</v>
      </c>
      <c r="H424">
        <v>33</v>
      </c>
      <c r="I424">
        <v>14013</v>
      </c>
      <c r="J424" t="s">
        <v>50</v>
      </c>
      <c r="K424" t="s">
        <v>50</v>
      </c>
      <c r="L424" t="s">
        <v>159</v>
      </c>
      <c r="M424" t="s">
        <v>51</v>
      </c>
      <c r="N424" t="s">
        <v>92</v>
      </c>
      <c r="O424" s="1">
        <v>41335</v>
      </c>
      <c r="P424" t="s">
        <v>84</v>
      </c>
      <c r="Q424">
        <v>2</v>
      </c>
      <c r="R424" t="s">
        <v>94</v>
      </c>
      <c r="S424">
        <v>0</v>
      </c>
      <c r="T424">
        <v>0</v>
      </c>
      <c r="U424">
        <v>0</v>
      </c>
    </row>
    <row r="425" spans="1:21" x14ac:dyDescent="0.25">
      <c r="A425" s="1">
        <v>43952</v>
      </c>
      <c r="B425" s="1">
        <v>43952</v>
      </c>
      <c r="C425" t="s">
        <v>157</v>
      </c>
      <c r="D425" t="s">
        <v>54</v>
      </c>
      <c r="E425" t="s">
        <v>21</v>
      </c>
      <c r="F425" t="s">
        <v>221</v>
      </c>
      <c r="G425" s="56">
        <v>43987.496550925927</v>
      </c>
      <c r="H425">
        <v>33</v>
      </c>
      <c r="I425">
        <v>14013</v>
      </c>
      <c r="J425" t="s">
        <v>50</v>
      </c>
      <c r="K425" t="s">
        <v>50</v>
      </c>
      <c r="L425" t="s">
        <v>159</v>
      </c>
      <c r="M425" t="s">
        <v>51</v>
      </c>
      <c r="N425" t="s">
        <v>92</v>
      </c>
      <c r="O425" s="1">
        <v>41335</v>
      </c>
      <c r="P425" t="s">
        <v>84</v>
      </c>
      <c r="Q425">
        <v>2</v>
      </c>
      <c r="R425" t="s">
        <v>94</v>
      </c>
      <c r="S425">
        <v>0</v>
      </c>
      <c r="T425">
        <v>6151.21</v>
      </c>
      <c r="U425">
        <v>0</v>
      </c>
    </row>
    <row r="426" spans="1:21" x14ac:dyDescent="0.25">
      <c r="A426" s="1">
        <v>43952</v>
      </c>
      <c r="B426" s="1">
        <v>43952</v>
      </c>
      <c r="C426" t="s">
        <v>157</v>
      </c>
      <c r="D426" t="s">
        <v>55</v>
      </c>
      <c r="E426" t="s">
        <v>56</v>
      </c>
      <c r="F426" t="s">
        <v>222</v>
      </c>
      <c r="G426" s="56">
        <v>43987.496550925927</v>
      </c>
      <c r="H426">
        <v>33</v>
      </c>
      <c r="I426">
        <v>14013</v>
      </c>
      <c r="J426" t="s">
        <v>50</v>
      </c>
      <c r="K426" t="s">
        <v>50</v>
      </c>
      <c r="L426" t="s">
        <v>159</v>
      </c>
      <c r="M426" t="s">
        <v>51</v>
      </c>
      <c r="N426" t="s">
        <v>92</v>
      </c>
      <c r="O426" s="1">
        <v>41335</v>
      </c>
      <c r="P426" t="s">
        <v>84</v>
      </c>
      <c r="Q426">
        <v>2</v>
      </c>
      <c r="R426" t="s">
        <v>94</v>
      </c>
      <c r="S426">
        <v>6.9</v>
      </c>
      <c r="T426">
        <v>1.0669999999999999</v>
      </c>
      <c r="U426">
        <v>7</v>
      </c>
    </row>
    <row r="427" spans="1:21" x14ac:dyDescent="0.25">
      <c r="A427" s="1">
        <v>43952</v>
      </c>
      <c r="B427" s="1">
        <v>43952</v>
      </c>
      <c r="C427" t="s">
        <v>157</v>
      </c>
      <c r="D427" t="s">
        <v>95</v>
      </c>
      <c r="E427" t="s">
        <v>56</v>
      </c>
      <c r="F427" t="s">
        <v>218</v>
      </c>
      <c r="G427" s="56">
        <v>44027.009201388886</v>
      </c>
      <c r="H427">
        <v>33</v>
      </c>
      <c r="I427">
        <v>14695</v>
      </c>
      <c r="J427" t="s">
        <v>50</v>
      </c>
      <c r="K427" t="s">
        <v>50</v>
      </c>
      <c r="L427" t="s">
        <v>159</v>
      </c>
      <c r="M427" t="s">
        <v>51</v>
      </c>
      <c r="N427" t="s">
        <v>92</v>
      </c>
      <c r="O427" s="1">
        <v>41335</v>
      </c>
      <c r="P427" t="s">
        <v>84</v>
      </c>
      <c r="Q427">
        <v>3</v>
      </c>
      <c r="R427" t="s">
        <v>81</v>
      </c>
      <c r="S427">
        <v>1</v>
      </c>
      <c r="T427">
        <v>1</v>
      </c>
      <c r="U427">
        <v>1</v>
      </c>
    </row>
    <row r="428" spans="1:21" x14ac:dyDescent="0.25">
      <c r="A428" s="1">
        <v>43952</v>
      </c>
      <c r="B428" s="1">
        <v>43952</v>
      </c>
      <c r="C428" t="s">
        <v>157</v>
      </c>
      <c r="D428" t="s">
        <v>52</v>
      </c>
      <c r="E428" t="s">
        <v>53</v>
      </c>
      <c r="F428" t="s">
        <v>219</v>
      </c>
      <c r="G428" s="56">
        <v>43987.496550925927</v>
      </c>
      <c r="H428">
        <v>33</v>
      </c>
      <c r="I428">
        <v>14013</v>
      </c>
      <c r="J428" t="s">
        <v>50</v>
      </c>
      <c r="K428" t="s">
        <v>50</v>
      </c>
      <c r="L428" t="s">
        <v>159</v>
      </c>
      <c r="M428" t="s">
        <v>51</v>
      </c>
      <c r="N428" t="s">
        <v>92</v>
      </c>
      <c r="O428" s="1">
        <v>41335</v>
      </c>
      <c r="P428" t="s">
        <v>84</v>
      </c>
      <c r="Q428">
        <v>3</v>
      </c>
      <c r="R428" t="s">
        <v>81</v>
      </c>
      <c r="S428">
        <v>0</v>
      </c>
      <c r="T428">
        <v>0</v>
      </c>
      <c r="U428">
        <v>0</v>
      </c>
    </row>
    <row r="429" spans="1:21" x14ac:dyDescent="0.25">
      <c r="A429" s="1">
        <v>43952</v>
      </c>
      <c r="B429" s="1">
        <v>43952</v>
      </c>
      <c r="C429" t="s">
        <v>157</v>
      </c>
      <c r="D429" t="s">
        <v>93</v>
      </c>
      <c r="E429" t="s">
        <v>49</v>
      </c>
      <c r="F429" t="s">
        <v>217</v>
      </c>
      <c r="G429" s="56">
        <v>44027.009201388886</v>
      </c>
      <c r="H429">
        <v>33</v>
      </c>
      <c r="I429">
        <v>14695</v>
      </c>
      <c r="J429" t="s">
        <v>50</v>
      </c>
      <c r="K429" t="s">
        <v>50</v>
      </c>
      <c r="L429" t="s">
        <v>159</v>
      </c>
      <c r="M429" t="s">
        <v>51</v>
      </c>
      <c r="N429" t="s">
        <v>92</v>
      </c>
      <c r="O429" s="1">
        <v>41335</v>
      </c>
      <c r="P429" t="s">
        <v>84</v>
      </c>
      <c r="Q429">
        <v>3</v>
      </c>
      <c r="R429" t="s">
        <v>81</v>
      </c>
      <c r="S429">
        <v>1</v>
      </c>
      <c r="T429">
        <v>38</v>
      </c>
      <c r="U429">
        <v>38</v>
      </c>
    </row>
    <row r="430" spans="1:21" x14ac:dyDescent="0.25">
      <c r="A430" s="1">
        <v>43952</v>
      </c>
      <c r="B430" s="1">
        <v>43952</v>
      </c>
      <c r="C430" t="s">
        <v>157</v>
      </c>
      <c r="D430" t="s">
        <v>54</v>
      </c>
      <c r="E430" t="s">
        <v>21</v>
      </c>
      <c r="F430" t="s">
        <v>221</v>
      </c>
      <c r="G430" s="56">
        <v>43987.496550925927</v>
      </c>
      <c r="H430">
        <v>33</v>
      </c>
      <c r="I430">
        <v>14013</v>
      </c>
      <c r="J430" t="s">
        <v>50</v>
      </c>
      <c r="K430" t="s">
        <v>50</v>
      </c>
      <c r="L430" t="s">
        <v>159</v>
      </c>
      <c r="M430" t="s">
        <v>51</v>
      </c>
      <c r="N430" t="s">
        <v>92</v>
      </c>
      <c r="O430" s="1">
        <v>41335</v>
      </c>
      <c r="P430" t="s">
        <v>84</v>
      </c>
      <c r="Q430">
        <v>3</v>
      </c>
      <c r="R430" t="s">
        <v>81</v>
      </c>
      <c r="S430">
        <v>0</v>
      </c>
      <c r="T430">
        <v>5767.18</v>
      </c>
      <c r="U430">
        <v>0</v>
      </c>
    </row>
    <row r="431" spans="1:21" x14ac:dyDescent="0.25">
      <c r="A431" s="1">
        <v>43952</v>
      </c>
      <c r="B431" s="1">
        <v>43952</v>
      </c>
      <c r="C431" t="s">
        <v>157</v>
      </c>
      <c r="D431" t="s">
        <v>55</v>
      </c>
      <c r="E431" t="s">
        <v>56</v>
      </c>
      <c r="F431" t="s">
        <v>222</v>
      </c>
      <c r="G431" s="56">
        <v>43987.496550925927</v>
      </c>
      <c r="H431">
        <v>33</v>
      </c>
      <c r="I431">
        <v>14013</v>
      </c>
      <c r="J431" t="s">
        <v>50</v>
      </c>
      <c r="K431" t="s">
        <v>50</v>
      </c>
      <c r="L431" t="s">
        <v>159</v>
      </c>
      <c r="M431" t="s">
        <v>51</v>
      </c>
      <c r="N431" t="s">
        <v>92</v>
      </c>
      <c r="O431" s="1">
        <v>41335</v>
      </c>
      <c r="P431" t="s">
        <v>84</v>
      </c>
      <c r="Q431">
        <v>3</v>
      </c>
      <c r="R431" t="s">
        <v>81</v>
      </c>
      <c r="S431">
        <v>420.03741300000002</v>
      </c>
      <c r="T431">
        <v>1.0669999999999999</v>
      </c>
      <c r="U431">
        <v>448</v>
      </c>
    </row>
    <row r="432" spans="1:21" x14ac:dyDescent="0.25">
      <c r="A432" s="1">
        <v>43952</v>
      </c>
      <c r="B432" s="1">
        <v>43952</v>
      </c>
      <c r="C432" t="s">
        <v>157</v>
      </c>
      <c r="D432" t="s">
        <v>48</v>
      </c>
      <c r="E432" t="s">
        <v>49</v>
      </c>
      <c r="F432" t="s">
        <v>220</v>
      </c>
      <c r="G432" s="56">
        <v>43987.496550925927</v>
      </c>
      <c r="H432">
        <v>33</v>
      </c>
      <c r="I432">
        <v>14013</v>
      </c>
      <c r="J432" t="s">
        <v>50</v>
      </c>
      <c r="K432" t="s">
        <v>50</v>
      </c>
      <c r="L432" t="s">
        <v>159</v>
      </c>
      <c r="M432" t="s">
        <v>51</v>
      </c>
      <c r="N432" t="s">
        <v>92</v>
      </c>
      <c r="O432" s="1">
        <v>41335</v>
      </c>
      <c r="P432" t="s">
        <v>84</v>
      </c>
      <c r="Q432">
        <v>3</v>
      </c>
      <c r="R432" t="s">
        <v>81</v>
      </c>
      <c r="S432">
        <v>420.03741300000002</v>
      </c>
      <c r="T432">
        <v>67.765000000000001</v>
      </c>
      <c r="U432">
        <v>28464</v>
      </c>
    </row>
    <row r="433" spans="1:21" x14ac:dyDescent="0.25">
      <c r="A433" s="1">
        <v>43952</v>
      </c>
      <c r="B433" s="1">
        <v>43952</v>
      </c>
      <c r="C433" t="s">
        <v>157</v>
      </c>
      <c r="D433" t="s">
        <v>55</v>
      </c>
      <c r="E433" t="s">
        <v>56</v>
      </c>
      <c r="F433" t="s">
        <v>222</v>
      </c>
      <c r="G433" s="56">
        <v>43987.496550925927</v>
      </c>
      <c r="H433">
        <v>33</v>
      </c>
      <c r="I433">
        <v>14013</v>
      </c>
      <c r="J433" t="s">
        <v>50</v>
      </c>
      <c r="K433" t="s">
        <v>50</v>
      </c>
      <c r="L433" t="s">
        <v>159</v>
      </c>
      <c r="M433" t="s">
        <v>51</v>
      </c>
      <c r="N433" t="s">
        <v>92</v>
      </c>
      <c r="O433" s="1">
        <v>41335</v>
      </c>
      <c r="P433" t="s">
        <v>84</v>
      </c>
      <c r="Q433">
        <v>4</v>
      </c>
      <c r="R433" t="s">
        <v>27</v>
      </c>
      <c r="S433">
        <v>2600.4811690000001</v>
      </c>
      <c r="T433">
        <v>1.0669999999999999</v>
      </c>
      <c r="U433">
        <v>2775</v>
      </c>
    </row>
    <row r="434" spans="1:21" x14ac:dyDescent="0.25">
      <c r="A434" s="1">
        <v>43952</v>
      </c>
      <c r="B434" s="1">
        <v>43952</v>
      </c>
      <c r="C434" t="s">
        <v>157</v>
      </c>
      <c r="D434" t="s">
        <v>52</v>
      </c>
      <c r="E434" t="s">
        <v>53</v>
      </c>
      <c r="F434" t="s">
        <v>219</v>
      </c>
      <c r="G434" s="56">
        <v>43987.496550925927</v>
      </c>
      <c r="H434">
        <v>33</v>
      </c>
      <c r="I434">
        <v>14013</v>
      </c>
      <c r="J434" t="s">
        <v>50</v>
      </c>
      <c r="K434" t="s">
        <v>50</v>
      </c>
      <c r="L434" t="s">
        <v>159</v>
      </c>
      <c r="M434" t="s">
        <v>51</v>
      </c>
      <c r="N434" t="s">
        <v>92</v>
      </c>
      <c r="O434" s="1">
        <v>41335</v>
      </c>
      <c r="P434" t="s">
        <v>84</v>
      </c>
      <c r="Q434">
        <v>4</v>
      </c>
      <c r="R434" t="s">
        <v>27</v>
      </c>
      <c r="S434">
        <v>0</v>
      </c>
      <c r="T434">
        <v>0</v>
      </c>
      <c r="U434">
        <v>0</v>
      </c>
    </row>
    <row r="435" spans="1:21" x14ac:dyDescent="0.25">
      <c r="A435" s="1">
        <v>43952</v>
      </c>
      <c r="B435" s="1">
        <v>43952</v>
      </c>
      <c r="C435" t="s">
        <v>157</v>
      </c>
      <c r="D435" t="s">
        <v>95</v>
      </c>
      <c r="E435" t="s">
        <v>56</v>
      </c>
      <c r="F435" t="s">
        <v>218</v>
      </c>
      <c r="G435" s="56">
        <v>44027.009201388886</v>
      </c>
      <c r="H435">
        <v>33</v>
      </c>
      <c r="I435">
        <v>14695</v>
      </c>
      <c r="J435" t="s">
        <v>50</v>
      </c>
      <c r="K435" t="s">
        <v>50</v>
      </c>
      <c r="L435" t="s">
        <v>159</v>
      </c>
      <c r="M435" t="s">
        <v>51</v>
      </c>
      <c r="N435" t="s">
        <v>92</v>
      </c>
      <c r="O435" s="1">
        <v>41335</v>
      </c>
      <c r="P435" t="s">
        <v>84</v>
      </c>
      <c r="Q435">
        <v>4</v>
      </c>
      <c r="R435" t="s">
        <v>27</v>
      </c>
      <c r="S435">
        <v>1</v>
      </c>
      <c r="T435">
        <v>3</v>
      </c>
      <c r="U435">
        <v>3</v>
      </c>
    </row>
    <row r="436" spans="1:21" x14ac:dyDescent="0.25">
      <c r="A436" s="1">
        <v>43952</v>
      </c>
      <c r="B436" s="1">
        <v>43952</v>
      </c>
      <c r="C436" t="s">
        <v>157</v>
      </c>
      <c r="D436" t="s">
        <v>93</v>
      </c>
      <c r="E436" t="s">
        <v>49</v>
      </c>
      <c r="F436" t="s">
        <v>217</v>
      </c>
      <c r="G436" s="56">
        <v>44027.009201388886</v>
      </c>
      <c r="H436">
        <v>33</v>
      </c>
      <c r="I436">
        <v>14695</v>
      </c>
      <c r="J436" t="s">
        <v>50</v>
      </c>
      <c r="K436" t="s">
        <v>50</v>
      </c>
      <c r="L436" t="s">
        <v>159</v>
      </c>
      <c r="M436" t="s">
        <v>51</v>
      </c>
      <c r="N436" t="s">
        <v>92</v>
      </c>
      <c r="O436" s="1">
        <v>41335</v>
      </c>
      <c r="P436" t="s">
        <v>84</v>
      </c>
      <c r="Q436">
        <v>4</v>
      </c>
      <c r="R436" t="s">
        <v>27</v>
      </c>
      <c r="S436">
        <v>1</v>
      </c>
      <c r="T436">
        <v>238</v>
      </c>
      <c r="U436">
        <v>238</v>
      </c>
    </row>
    <row r="437" spans="1:21" x14ac:dyDescent="0.25">
      <c r="A437" s="1">
        <v>43952</v>
      </c>
      <c r="B437" s="1">
        <v>43952</v>
      </c>
      <c r="C437" t="s">
        <v>157</v>
      </c>
      <c r="D437" t="s">
        <v>48</v>
      </c>
      <c r="E437" t="s">
        <v>49</v>
      </c>
      <c r="F437" t="s">
        <v>220</v>
      </c>
      <c r="G437" s="56">
        <v>43987.496550925927</v>
      </c>
      <c r="H437">
        <v>33</v>
      </c>
      <c r="I437">
        <v>14013</v>
      </c>
      <c r="J437" t="s">
        <v>50</v>
      </c>
      <c r="K437" t="s">
        <v>50</v>
      </c>
      <c r="L437" t="s">
        <v>159</v>
      </c>
      <c r="M437" t="s">
        <v>51</v>
      </c>
      <c r="N437" t="s">
        <v>92</v>
      </c>
      <c r="O437" s="1">
        <v>41335</v>
      </c>
      <c r="P437" t="s">
        <v>84</v>
      </c>
      <c r="Q437">
        <v>4</v>
      </c>
      <c r="R437" t="s">
        <v>27</v>
      </c>
      <c r="S437">
        <v>2600.4811690000001</v>
      </c>
      <c r="T437">
        <v>69.12</v>
      </c>
      <c r="U437">
        <v>179745</v>
      </c>
    </row>
    <row r="438" spans="1:21" x14ac:dyDescent="0.25">
      <c r="A438" s="1">
        <v>43952</v>
      </c>
      <c r="B438" s="1">
        <v>43952</v>
      </c>
      <c r="C438" t="s">
        <v>157</v>
      </c>
      <c r="D438" t="s">
        <v>54</v>
      </c>
      <c r="E438" t="s">
        <v>21</v>
      </c>
      <c r="F438" t="s">
        <v>221</v>
      </c>
      <c r="G438" s="56">
        <v>43987.496550925927</v>
      </c>
      <c r="H438">
        <v>33</v>
      </c>
      <c r="I438">
        <v>14013</v>
      </c>
      <c r="J438" t="s">
        <v>50</v>
      </c>
      <c r="K438" t="s">
        <v>50</v>
      </c>
      <c r="L438" t="s">
        <v>159</v>
      </c>
      <c r="M438" t="s">
        <v>51</v>
      </c>
      <c r="N438" t="s">
        <v>92</v>
      </c>
      <c r="O438" s="1">
        <v>41335</v>
      </c>
      <c r="P438" t="s">
        <v>84</v>
      </c>
      <c r="Q438">
        <v>4</v>
      </c>
      <c r="R438" t="s">
        <v>27</v>
      </c>
      <c r="S438">
        <v>0</v>
      </c>
      <c r="T438">
        <v>5963.14</v>
      </c>
      <c r="U438">
        <v>0</v>
      </c>
    </row>
    <row r="439" spans="1:21" x14ac:dyDescent="0.25">
      <c r="A439" s="1">
        <v>43952</v>
      </c>
      <c r="B439" s="1">
        <v>43952</v>
      </c>
      <c r="C439" t="s">
        <v>157</v>
      </c>
      <c r="D439" t="s">
        <v>55</v>
      </c>
      <c r="E439" t="s">
        <v>56</v>
      </c>
      <c r="F439" t="s">
        <v>222</v>
      </c>
      <c r="G439" s="56">
        <v>43987.496550925927</v>
      </c>
      <c r="H439">
        <v>33</v>
      </c>
      <c r="I439">
        <v>14013</v>
      </c>
      <c r="J439" t="s">
        <v>50</v>
      </c>
      <c r="K439" t="s">
        <v>50</v>
      </c>
      <c r="L439" t="s">
        <v>159</v>
      </c>
      <c r="M439" t="s">
        <v>51</v>
      </c>
      <c r="N439" t="s">
        <v>92</v>
      </c>
      <c r="O439" s="1">
        <v>41335</v>
      </c>
      <c r="P439" t="s">
        <v>84</v>
      </c>
      <c r="Q439">
        <v>5</v>
      </c>
      <c r="R439" t="s">
        <v>28</v>
      </c>
      <c r="S439">
        <v>15.361321</v>
      </c>
      <c r="T439">
        <v>1.0669999999999999</v>
      </c>
      <c r="U439">
        <v>16</v>
      </c>
    </row>
    <row r="440" spans="1:21" x14ac:dyDescent="0.25">
      <c r="A440" s="1">
        <v>43952</v>
      </c>
      <c r="B440" s="1">
        <v>43952</v>
      </c>
      <c r="C440" t="s">
        <v>157</v>
      </c>
      <c r="D440" t="s">
        <v>54</v>
      </c>
      <c r="E440" t="s">
        <v>21</v>
      </c>
      <c r="F440" t="s">
        <v>221</v>
      </c>
      <c r="G440" s="56">
        <v>43987.496550925927</v>
      </c>
      <c r="H440">
        <v>33</v>
      </c>
      <c r="I440">
        <v>14013</v>
      </c>
      <c r="J440" t="s">
        <v>50</v>
      </c>
      <c r="K440" t="s">
        <v>50</v>
      </c>
      <c r="L440" t="s">
        <v>159</v>
      </c>
      <c r="M440" t="s">
        <v>51</v>
      </c>
      <c r="N440" t="s">
        <v>92</v>
      </c>
      <c r="O440" s="1">
        <v>41335</v>
      </c>
      <c r="P440" t="s">
        <v>84</v>
      </c>
      <c r="Q440">
        <v>5</v>
      </c>
      <c r="R440" t="s">
        <v>28</v>
      </c>
      <c r="S440">
        <v>0</v>
      </c>
      <c r="T440">
        <v>5783.56</v>
      </c>
      <c r="U440">
        <v>0</v>
      </c>
    </row>
    <row r="441" spans="1:21" x14ac:dyDescent="0.25">
      <c r="A441" s="1">
        <v>43952</v>
      </c>
      <c r="B441" s="1">
        <v>43952</v>
      </c>
      <c r="C441" t="s">
        <v>157</v>
      </c>
      <c r="D441" t="s">
        <v>52</v>
      </c>
      <c r="E441" t="s">
        <v>53</v>
      </c>
      <c r="F441" t="s">
        <v>219</v>
      </c>
      <c r="G441" s="56">
        <v>43987.496550925927</v>
      </c>
      <c r="H441">
        <v>33</v>
      </c>
      <c r="I441">
        <v>14013</v>
      </c>
      <c r="J441" t="s">
        <v>50</v>
      </c>
      <c r="K441" t="s">
        <v>50</v>
      </c>
      <c r="L441" t="s">
        <v>159</v>
      </c>
      <c r="M441" t="s">
        <v>51</v>
      </c>
      <c r="N441" t="s">
        <v>92</v>
      </c>
      <c r="O441" s="1">
        <v>41335</v>
      </c>
      <c r="P441" t="s">
        <v>84</v>
      </c>
      <c r="Q441">
        <v>5</v>
      </c>
      <c r="R441" t="s">
        <v>28</v>
      </c>
      <c r="S441">
        <v>0</v>
      </c>
      <c r="T441">
        <v>0</v>
      </c>
      <c r="U441">
        <v>0</v>
      </c>
    </row>
    <row r="442" spans="1:21" x14ac:dyDescent="0.25">
      <c r="A442" s="1">
        <v>43952</v>
      </c>
      <c r="B442" s="1">
        <v>43952</v>
      </c>
      <c r="C442" t="s">
        <v>157</v>
      </c>
      <c r="D442" t="s">
        <v>93</v>
      </c>
      <c r="E442" t="s">
        <v>49</v>
      </c>
      <c r="F442" t="s">
        <v>217</v>
      </c>
      <c r="G442" s="56">
        <v>44027.009201388886</v>
      </c>
      <c r="H442">
        <v>33</v>
      </c>
      <c r="I442">
        <v>14695</v>
      </c>
      <c r="J442" t="s">
        <v>50</v>
      </c>
      <c r="K442" t="s">
        <v>50</v>
      </c>
      <c r="L442" t="s">
        <v>159</v>
      </c>
      <c r="M442" t="s">
        <v>51</v>
      </c>
      <c r="N442" t="s">
        <v>92</v>
      </c>
      <c r="O442" s="1">
        <v>41335</v>
      </c>
      <c r="P442" t="s">
        <v>84</v>
      </c>
      <c r="Q442">
        <v>5</v>
      </c>
      <c r="R442" t="s">
        <v>28</v>
      </c>
      <c r="S442">
        <v>1</v>
      </c>
      <c r="T442">
        <v>1</v>
      </c>
      <c r="U442">
        <v>1</v>
      </c>
    </row>
    <row r="443" spans="1:21" x14ac:dyDescent="0.25">
      <c r="A443" s="1">
        <v>43952</v>
      </c>
      <c r="B443" s="1">
        <v>43952</v>
      </c>
      <c r="C443" t="s">
        <v>157</v>
      </c>
      <c r="D443" t="s">
        <v>48</v>
      </c>
      <c r="E443" t="s">
        <v>49</v>
      </c>
      <c r="F443" t="s">
        <v>220</v>
      </c>
      <c r="G443" s="56">
        <v>43987.496550925927</v>
      </c>
      <c r="H443">
        <v>33</v>
      </c>
      <c r="I443">
        <v>14013</v>
      </c>
      <c r="J443" t="s">
        <v>50</v>
      </c>
      <c r="K443" t="s">
        <v>50</v>
      </c>
      <c r="L443" t="s">
        <v>159</v>
      </c>
      <c r="M443" t="s">
        <v>51</v>
      </c>
      <c r="N443" t="s">
        <v>92</v>
      </c>
      <c r="O443" s="1">
        <v>41335</v>
      </c>
      <c r="P443" t="s">
        <v>84</v>
      </c>
      <c r="Q443">
        <v>5</v>
      </c>
      <c r="R443" t="s">
        <v>28</v>
      </c>
      <c r="S443">
        <v>15.361321</v>
      </c>
      <c r="T443">
        <v>71.932000000000002</v>
      </c>
      <c r="U443">
        <v>1105</v>
      </c>
    </row>
    <row r="444" spans="1:21" x14ac:dyDescent="0.25">
      <c r="A444" s="1">
        <v>43983</v>
      </c>
      <c r="B444" s="1">
        <v>43983</v>
      </c>
      <c r="C444" t="s">
        <v>157</v>
      </c>
      <c r="D444" t="s">
        <v>54</v>
      </c>
      <c r="E444" t="s">
        <v>21</v>
      </c>
      <c r="F444" t="s">
        <v>224</v>
      </c>
      <c r="G444" s="56">
        <v>44020.479664351849</v>
      </c>
      <c r="H444">
        <v>33</v>
      </c>
      <c r="I444">
        <v>14392</v>
      </c>
      <c r="J444" t="s">
        <v>50</v>
      </c>
      <c r="K444" t="s">
        <v>50</v>
      </c>
      <c r="L444" t="s">
        <v>159</v>
      </c>
      <c r="M444" t="s">
        <v>51</v>
      </c>
      <c r="N444" t="s">
        <v>92</v>
      </c>
      <c r="O444" s="1">
        <v>41335</v>
      </c>
      <c r="P444" t="s">
        <v>84</v>
      </c>
      <c r="Q444">
        <v>1</v>
      </c>
      <c r="R444" t="s">
        <v>83</v>
      </c>
      <c r="S444">
        <v>0</v>
      </c>
      <c r="T444">
        <v>6077.2</v>
      </c>
      <c r="U444">
        <v>0</v>
      </c>
    </row>
    <row r="445" spans="1:21" x14ac:dyDescent="0.25">
      <c r="A445" s="1">
        <v>43983</v>
      </c>
      <c r="B445" s="1">
        <v>43983</v>
      </c>
      <c r="C445" t="s">
        <v>157</v>
      </c>
      <c r="D445" t="s">
        <v>52</v>
      </c>
      <c r="E445" t="s">
        <v>53</v>
      </c>
      <c r="F445" t="s">
        <v>225</v>
      </c>
      <c r="G445" s="56">
        <v>44020.479664351849</v>
      </c>
      <c r="H445">
        <v>33</v>
      </c>
      <c r="I445">
        <v>14392</v>
      </c>
      <c r="J445" t="s">
        <v>50</v>
      </c>
      <c r="K445" t="s">
        <v>50</v>
      </c>
      <c r="L445" t="s">
        <v>159</v>
      </c>
      <c r="M445" t="s">
        <v>51</v>
      </c>
      <c r="N445" t="s">
        <v>92</v>
      </c>
      <c r="O445" s="1">
        <v>41335</v>
      </c>
      <c r="P445" t="s">
        <v>84</v>
      </c>
      <c r="Q445">
        <v>1</v>
      </c>
      <c r="R445" t="s">
        <v>83</v>
      </c>
      <c r="S445">
        <v>0</v>
      </c>
      <c r="T445">
        <v>0</v>
      </c>
      <c r="U445">
        <v>0</v>
      </c>
    </row>
    <row r="446" spans="1:21" x14ac:dyDescent="0.25">
      <c r="A446" s="1">
        <v>43983</v>
      </c>
      <c r="B446" s="1">
        <v>43983</v>
      </c>
      <c r="C446" t="s">
        <v>157</v>
      </c>
      <c r="D446" t="s">
        <v>55</v>
      </c>
      <c r="E446" t="s">
        <v>56</v>
      </c>
      <c r="F446" t="s">
        <v>226</v>
      </c>
      <c r="G446" s="56">
        <v>44020.479664351849</v>
      </c>
      <c r="H446">
        <v>33</v>
      </c>
      <c r="I446">
        <v>14392</v>
      </c>
      <c r="J446" t="s">
        <v>50</v>
      </c>
      <c r="K446" t="s">
        <v>50</v>
      </c>
      <c r="L446" t="s">
        <v>159</v>
      </c>
      <c r="M446" t="s">
        <v>51</v>
      </c>
      <c r="N446" t="s">
        <v>92</v>
      </c>
      <c r="O446" s="1">
        <v>41335</v>
      </c>
      <c r="P446" t="s">
        <v>84</v>
      </c>
      <c r="Q446">
        <v>1</v>
      </c>
      <c r="R446" t="s">
        <v>83</v>
      </c>
      <c r="S446">
        <v>2496.0713719999999</v>
      </c>
      <c r="T446">
        <v>1.0669999999999999</v>
      </c>
      <c r="U446">
        <v>2663</v>
      </c>
    </row>
    <row r="447" spans="1:21" x14ac:dyDescent="0.25">
      <c r="A447" s="1">
        <v>43983</v>
      </c>
      <c r="B447" s="1">
        <v>43983</v>
      </c>
      <c r="C447" t="s">
        <v>157</v>
      </c>
      <c r="D447" t="s">
        <v>95</v>
      </c>
      <c r="E447" t="s">
        <v>56</v>
      </c>
      <c r="F447" t="s">
        <v>227</v>
      </c>
      <c r="G447" s="56">
        <v>44057.743877314817</v>
      </c>
      <c r="H447">
        <v>61</v>
      </c>
      <c r="I447" t="s">
        <v>351</v>
      </c>
      <c r="J447" t="s">
        <v>50</v>
      </c>
      <c r="K447" t="s">
        <v>50</v>
      </c>
      <c r="L447" t="s">
        <v>159</v>
      </c>
      <c r="M447" t="s">
        <v>51</v>
      </c>
      <c r="N447" t="s">
        <v>92</v>
      </c>
      <c r="O447" s="1">
        <v>41335</v>
      </c>
      <c r="P447" t="s">
        <v>84</v>
      </c>
      <c r="Q447">
        <v>1</v>
      </c>
      <c r="R447" t="s">
        <v>83</v>
      </c>
      <c r="S447">
        <v>1</v>
      </c>
      <c r="T447">
        <v>-21</v>
      </c>
      <c r="U447">
        <v>-21</v>
      </c>
    </row>
    <row r="448" spans="1:21" x14ac:dyDescent="0.25">
      <c r="A448" s="1">
        <v>43983</v>
      </c>
      <c r="B448" s="1">
        <v>43983</v>
      </c>
      <c r="C448" t="s">
        <v>157</v>
      </c>
      <c r="D448" t="s">
        <v>48</v>
      </c>
      <c r="E448" t="s">
        <v>49</v>
      </c>
      <c r="F448" t="s">
        <v>228</v>
      </c>
      <c r="G448" s="56">
        <v>44020.479664351849</v>
      </c>
      <c r="H448">
        <v>33</v>
      </c>
      <c r="I448">
        <v>14392</v>
      </c>
      <c r="J448" t="s">
        <v>50</v>
      </c>
      <c r="K448" t="s">
        <v>50</v>
      </c>
      <c r="L448" t="s">
        <v>159</v>
      </c>
      <c r="M448" t="s">
        <v>51</v>
      </c>
      <c r="N448" t="s">
        <v>92</v>
      </c>
      <c r="O448" s="1">
        <v>41335</v>
      </c>
      <c r="P448" t="s">
        <v>84</v>
      </c>
      <c r="Q448">
        <v>1</v>
      </c>
      <c r="R448" t="s">
        <v>83</v>
      </c>
      <c r="S448">
        <v>2496.08</v>
      </c>
      <c r="T448">
        <v>71.221999999999994</v>
      </c>
      <c r="U448">
        <v>177776</v>
      </c>
    </row>
    <row r="449" spans="1:21" x14ac:dyDescent="0.25">
      <c r="A449" s="1">
        <v>43983</v>
      </c>
      <c r="B449" s="1">
        <v>43983</v>
      </c>
      <c r="C449" t="s">
        <v>157</v>
      </c>
      <c r="D449" t="s">
        <v>93</v>
      </c>
      <c r="E449" t="s">
        <v>49</v>
      </c>
      <c r="F449" t="s">
        <v>229</v>
      </c>
      <c r="G449" s="56">
        <v>44057.743877314817</v>
      </c>
      <c r="H449">
        <v>61</v>
      </c>
      <c r="I449" t="s">
        <v>351</v>
      </c>
      <c r="J449" t="s">
        <v>50</v>
      </c>
      <c r="K449" t="s">
        <v>50</v>
      </c>
      <c r="L449" t="s">
        <v>159</v>
      </c>
      <c r="M449" t="s">
        <v>51</v>
      </c>
      <c r="N449" t="s">
        <v>92</v>
      </c>
      <c r="O449" s="1">
        <v>41335</v>
      </c>
      <c r="P449" t="s">
        <v>84</v>
      </c>
      <c r="Q449">
        <v>1</v>
      </c>
      <c r="R449" t="s">
        <v>83</v>
      </c>
      <c r="S449">
        <v>1</v>
      </c>
      <c r="T449">
        <v>-1449</v>
      </c>
      <c r="U449">
        <v>-1449</v>
      </c>
    </row>
    <row r="450" spans="1:21" x14ac:dyDescent="0.25">
      <c r="A450" s="1">
        <v>43983</v>
      </c>
      <c r="B450" s="1">
        <v>43983</v>
      </c>
      <c r="C450" t="s">
        <v>157</v>
      </c>
      <c r="D450" t="s">
        <v>48</v>
      </c>
      <c r="E450" t="s">
        <v>49</v>
      </c>
      <c r="F450" t="s">
        <v>228</v>
      </c>
      <c r="G450" s="56">
        <v>44020.479664351849</v>
      </c>
      <c r="H450">
        <v>33</v>
      </c>
      <c r="I450">
        <v>14392</v>
      </c>
      <c r="J450" t="s">
        <v>50</v>
      </c>
      <c r="K450" t="s">
        <v>50</v>
      </c>
      <c r="L450" t="s">
        <v>159</v>
      </c>
      <c r="M450" t="s">
        <v>51</v>
      </c>
      <c r="N450" t="s">
        <v>92</v>
      </c>
      <c r="O450" s="1">
        <v>41335</v>
      </c>
      <c r="P450" t="s">
        <v>84</v>
      </c>
      <c r="Q450">
        <v>2</v>
      </c>
      <c r="R450" t="s">
        <v>94</v>
      </c>
      <c r="S450">
        <v>5.0652330000000001</v>
      </c>
      <c r="T450">
        <v>73.772999999999996</v>
      </c>
      <c r="U450">
        <v>374</v>
      </c>
    </row>
    <row r="451" spans="1:21" x14ac:dyDescent="0.25">
      <c r="A451" s="1">
        <v>43983</v>
      </c>
      <c r="B451" s="1">
        <v>43983</v>
      </c>
      <c r="C451" t="s">
        <v>157</v>
      </c>
      <c r="D451" t="s">
        <v>93</v>
      </c>
      <c r="E451" t="s">
        <v>49</v>
      </c>
      <c r="F451" t="s">
        <v>229</v>
      </c>
      <c r="G451" s="56">
        <v>44057.743877314817</v>
      </c>
      <c r="H451">
        <v>61</v>
      </c>
      <c r="I451" t="s">
        <v>351</v>
      </c>
      <c r="J451" t="s">
        <v>50</v>
      </c>
      <c r="K451" t="s">
        <v>50</v>
      </c>
      <c r="L451" t="s">
        <v>159</v>
      </c>
      <c r="M451" t="s">
        <v>51</v>
      </c>
      <c r="N451" t="s">
        <v>92</v>
      </c>
      <c r="O451" s="1">
        <v>41335</v>
      </c>
      <c r="P451" t="s">
        <v>84</v>
      </c>
      <c r="Q451">
        <v>2</v>
      </c>
      <c r="R451" t="s">
        <v>94</v>
      </c>
      <c r="S451">
        <v>1</v>
      </c>
      <c r="T451">
        <v>-3</v>
      </c>
      <c r="U451">
        <v>-3</v>
      </c>
    </row>
    <row r="452" spans="1:21" x14ac:dyDescent="0.25">
      <c r="A452" s="1">
        <v>43983</v>
      </c>
      <c r="B452" s="1">
        <v>43983</v>
      </c>
      <c r="C452" t="s">
        <v>157</v>
      </c>
      <c r="D452" t="s">
        <v>54</v>
      </c>
      <c r="E452" t="s">
        <v>21</v>
      </c>
      <c r="F452" t="s">
        <v>224</v>
      </c>
      <c r="G452" s="56">
        <v>44020.479664351849</v>
      </c>
      <c r="H452">
        <v>33</v>
      </c>
      <c r="I452">
        <v>14392</v>
      </c>
      <c r="J452" t="s">
        <v>50</v>
      </c>
      <c r="K452" t="s">
        <v>50</v>
      </c>
      <c r="L452" t="s">
        <v>159</v>
      </c>
      <c r="M452" t="s">
        <v>51</v>
      </c>
      <c r="N452" t="s">
        <v>92</v>
      </c>
      <c r="O452" s="1">
        <v>41335</v>
      </c>
      <c r="P452" t="s">
        <v>84</v>
      </c>
      <c r="Q452">
        <v>2</v>
      </c>
      <c r="R452" t="s">
        <v>94</v>
      </c>
      <c r="S452">
        <v>0</v>
      </c>
      <c r="T452">
        <v>6151.21</v>
      </c>
      <c r="U452">
        <v>0</v>
      </c>
    </row>
    <row r="453" spans="1:21" x14ac:dyDescent="0.25">
      <c r="A453" s="1">
        <v>43983</v>
      </c>
      <c r="B453" s="1">
        <v>43983</v>
      </c>
      <c r="C453" t="s">
        <v>157</v>
      </c>
      <c r="D453" t="s">
        <v>55</v>
      </c>
      <c r="E453" t="s">
        <v>56</v>
      </c>
      <c r="F453" t="s">
        <v>226</v>
      </c>
      <c r="G453" s="56">
        <v>44020.479664351849</v>
      </c>
      <c r="H453">
        <v>33</v>
      </c>
      <c r="I453">
        <v>14392</v>
      </c>
      <c r="J453" t="s">
        <v>50</v>
      </c>
      <c r="K453" t="s">
        <v>50</v>
      </c>
      <c r="L453" t="s">
        <v>159</v>
      </c>
      <c r="M453" t="s">
        <v>51</v>
      </c>
      <c r="N453" t="s">
        <v>92</v>
      </c>
      <c r="O453" s="1">
        <v>41335</v>
      </c>
      <c r="P453" t="s">
        <v>84</v>
      </c>
      <c r="Q453">
        <v>2</v>
      </c>
      <c r="R453" t="s">
        <v>94</v>
      </c>
      <c r="S453">
        <v>5.0652330000000001</v>
      </c>
      <c r="T453">
        <v>1.0669999999999999</v>
      </c>
      <c r="U453">
        <v>5</v>
      </c>
    </row>
    <row r="454" spans="1:21" x14ac:dyDescent="0.25">
      <c r="A454" s="1">
        <v>43983</v>
      </c>
      <c r="B454" s="1">
        <v>43983</v>
      </c>
      <c r="C454" t="s">
        <v>157</v>
      </c>
      <c r="D454" t="s">
        <v>52</v>
      </c>
      <c r="E454" t="s">
        <v>53</v>
      </c>
      <c r="F454" t="s">
        <v>225</v>
      </c>
      <c r="G454" s="56">
        <v>44020.479664351849</v>
      </c>
      <c r="H454">
        <v>33</v>
      </c>
      <c r="I454">
        <v>14392</v>
      </c>
      <c r="J454" t="s">
        <v>50</v>
      </c>
      <c r="K454" t="s">
        <v>50</v>
      </c>
      <c r="L454" t="s">
        <v>159</v>
      </c>
      <c r="M454" t="s">
        <v>51</v>
      </c>
      <c r="N454" t="s">
        <v>92</v>
      </c>
      <c r="O454" s="1">
        <v>41335</v>
      </c>
      <c r="P454" t="s">
        <v>84</v>
      </c>
      <c r="Q454">
        <v>2</v>
      </c>
      <c r="R454" t="s">
        <v>94</v>
      </c>
      <c r="S454">
        <v>0</v>
      </c>
      <c r="T454">
        <v>0</v>
      </c>
      <c r="U454">
        <v>0</v>
      </c>
    </row>
    <row r="455" spans="1:21" x14ac:dyDescent="0.25">
      <c r="A455" s="1">
        <v>43983</v>
      </c>
      <c r="B455" s="1">
        <v>43983</v>
      </c>
      <c r="C455" t="s">
        <v>157</v>
      </c>
      <c r="D455" t="s">
        <v>52</v>
      </c>
      <c r="E455" t="s">
        <v>53</v>
      </c>
      <c r="F455" t="s">
        <v>225</v>
      </c>
      <c r="G455" s="56">
        <v>44020.479664351849</v>
      </c>
      <c r="H455">
        <v>33</v>
      </c>
      <c r="I455">
        <v>14392</v>
      </c>
      <c r="J455" t="s">
        <v>50</v>
      </c>
      <c r="K455" t="s">
        <v>50</v>
      </c>
      <c r="L455" t="s">
        <v>159</v>
      </c>
      <c r="M455" t="s">
        <v>51</v>
      </c>
      <c r="N455" t="s">
        <v>92</v>
      </c>
      <c r="O455" s="1">
        <v>41335</v>
      </c>
      <c r="P455" t="s">
        <v>84</v>
      </c>
      <c r="Q455">
        <v>3</v>
      </c>
      <c r="R455" t="s">
        <v>81</v>
      </c>
      <c r="S455">
        <v>0</v>
      </c>
      <c r="T455">
        <v>0</v>
      </c>
      <c r="U455">
        <v>0</v>
      </c>
    </row>
    <row r="456" spans="1:21" x14ac:dyDescent="0.25">
      <c r="A456" s="1">
        <v>43983</v>
      </c>
      <c r="B456" s="1">
        <v>43983</v>
      </c>
      <c r="C456" t="s">
        <v>157</v>
      </c>
      <c r="D456" t="s">
        <v>54</v>
      </c>
      <c r="E456" t="s">
        <v>21</v>
      </c>
      <c r="F456" t="s">
        <v>224</v>
      </c>
      <c r="G456" s="56">
        <v>44020.479664351849</v>
      </c>
      <c r="H456">
        <v>33</v>
      </c>
      <c r="I456">
        <v>14392</v>
      </c>
      <c r="J456" t="s">
        <v>50</v>
      </c>
      <c r="K456" t="s">
        <v>50</v>
      </c>
      <c r="L456" t="s">
        <v>159</v>
      </c>
      <c r="M456" t="s">
        <v>51</v>
      </c>
      <c r="N456" t="s">
        <v>92</v>
      </c>
      <c r="O456" s="1">
        <v>41335</v>
      </c>
      <c r="P456" t="s">
        <v>84</v>
      </c>
      <c r="Q456">
        <v>3</v>
      </c>
      <c r="R456" t="s">
        <v>81</v>
      </c>
      <c r="S456">
        <v>0</v>
      </c>
      <c r="T456">
        <v>5767.18</v>
      </c>
      <c r="U456">
        <v>0</v>
      </c>
    </row>
    <row r="457" spans="1:21" x14ac:dyDescent="0.25">
      <c r="A457" s="1">
        <v>43983</v>
      </c>
      <c r="B457" s="1">
        <v>43983</v>
      </c>
      <c r="C457" t="s">
        <v>157</v>
      </c>
      <c r="D457" t="s">
        <v>93</v>
      </c>
      <c r="E457" t="s">
        <v>49</v>
      </c>
      <c r="F457" t="s">
        <v>229</v>
      </c>
      <c r="G457" s="56">
        <v>44057.743877314817</v>
      </c>
      <c r="H457">
        <v>61</v>
      </c>
      <c r="I457" t="s">
        <v>351</v>
      </c>
      <c r="J457" t="s">
        <v>50</v>
      </c>
      <c r="K457" t="s">
        <v>50</v>
      </c>
      <c r="L457" t="s">
        <v>159</v>
      </c>
      <c r="M457" t="s">
        <v>51</v>
      </c>
      <c r="N457" t="s">
        <v>92</v>
      </c>
      <c r="O457" s="1">
        <v>41335</v>
      </c>
      <c r="P457" t="s">
        <v>84</v>
      </c>
      <c r="Q457">
        <v>3</v>
      </c>
      <c r="R457" t="s">
        <v>81</v>
      </c>
      <c r="S457">
        <v>1</v>
      </c>
      <c r="T457">
        <v>-200</v>
      </c>
      <c r="U457">
        <v>-200</v>
      </c>
    </row>
    <row r="458" spans="1:21" x14ac:dyDescent="0.25">
      <c r="A458" s="1">
        <v>43983</v>
      </c>
      <c r="B458" s="1">
        <v>43983</v>
      </c>
      <c r="C458" t="s">
        <v>157</v>
      </c>
      <c r="D458" t="s">
        <v>95</v>
      </c>
      <c r="E458" t="s">
        <v>56</v>
      </c>
      <c r="F458" t="s">
        <v>227</v>
      </c>
      <c r="G458" s="56">
        <v>44057.743877314817</v>
      </c>
      <c r="H458">
        <v>61</v>
      </c>
      <c r="I458" t="s">
        <v>351</v>
      </c>
      <c r="J458" t="s">
        <v>50</v>
      </c>
      <c r="K458" t="s">
        <v>50</v>
      </c>
      <c r="L458" t="s">
        <v>159</v>
      </c>
      <c r="M458" t="s">
        <v>51</v>
      </c>
      <c r="N458" t="s">
        <v>92</v>
      </c>
      <c r="O458" s="1">
        <v>41335</v>
      </c>
      <c r="P458" t="s">
        <v>84</v>
      </c>
      <c r="Q458">
        <v>3</v>
      </c>
      <c r="R458" t="s">
        <v>81</v>
      </c>
      <c r="S458">
        <v>1</v>
      </c>
      <c r="T458">
        <v>-3</v>
      </c>
      <c r="U458">
        <v>-3</v>
      </c>
    </row>
    <row r="459" spans="1:21" x14ac:dyDescent="0.25">
      <c r="A459" s="1">
        <v>43983</v>
      </c>
      <c r="B459" s="1">
        <v>43983</v>
      </c>
      <c r="C459" t="s">
        <v>157</v>
      </c>
      <c r="D459" t="s">
        <v>55</v>
      </c>
      <c r="E459" t="s">
        <v>56</v>
      </c>
      <c r="F459" t="s">
        <v>226</v>
      </c>
      <c r="G459" s="56">
        <v>44020.479664351849</v>
      </c>
      <c r="H459">
        <v>33</v>
      </c>
      <c r="I459">
        <v>14392</v>
      </c>
      <c r="J459" t="s">
        <v>50</v>
      </c>
      <c r="K459" t="s">
        <v>50</v>
      </c>
      <c r="L459" t="s">
        <v>159</v>
      </c>
      <c r="M459" t="s">
        <v>51</v>
      </c>
      <c r="N459" t="s">
        <v>92</v>
      </c>
      <c r="O459" s="1">
        <v>41335</v>
      </c>
      <c r="P459" t="s">
        <v>84</v>
      </c>
      <c r="Q459">
        <v>3</v>
      </c>
      <c r="R459" t="s">
        <v>81</v>
      </c>
      <c r="S459">
        <v>361.77921099999998</v>
      </c>
      <c r="T459">
        <v>1.0669999999999999</v>
      </c>
      <c r="U459">
        <v>386</v>
      </c>
    </row>
    <row r="460" spans="1:21" x14ac:dyDescent="0.25">
      <c r="A460" s="1">
        <v>43983</v>
      </c>
      <c r="B460" s="1">
        <v>43983</v>
      </c>
      <c r="C460" t="s">
        <v>157</v>
      </c>
      <c r="D460" t="s">
        <v>48</v>
      </c>
      <c r="E460" t="s">
        <v>49</v>
      </c>
      <c r="F460" t="s">
        <v>228</v>
      </c>
      <c r="G460" s="56">
        <v>44020.479664351849</v>
      </c>
      <c r="H460">
        <v>33</v>
      </c>
      <c r="I460">
        <v>14392</v>
      </c>
      <c r="J460" t="s">
        <v>50</v>
      </c>
      <c r="K460" t="s">
        <v>50</v>
      </c>
      <c r="L460" t="s">
        <v>159</v>
      </c>
      <c r="M460" t="s">
        <v>51</v>
      </c>
      <c r="N460" t="s">
        <v>92</v>
      </c>
      <c r="O460" s="1">
        <v>41335</v>
      </c>
      <c r="P460" t="s">
        <v>84</v>
      </c>
      <c r="Q460">
        <v>3</v>
      </c>
      <c r="R460" t="s">
        <v>81</v>
      </c>
      <c r="S460">
        <v>361.77921099999998</v>
      </c>
      <c r="T460">
        <v>67.765000000000001</v>
      </c>
      <c r="U460">
        <v>24516</v>
      </c>
    </row>
    <row r="461" spans="1:21" x14ac:dyDescent="0.25">
      <c r="A461" s="1">
        <v>43983</v>
      </c>
      <c r="B461" s="1">
        <v>43983</v>
      </c>
      <c r="C461" t="s">
        <v>157</v>
      </c>
      <c r="D461" t="s">
        <v>52</v>
      </c>
      <c r="E461" t="s">
        <v>53</v>
      </c>
      <c r="F461" t="s">
        <v>225</v>
      </c>
      <c r="G461" s="56">
        <v>44020.479664351849</v>
      </c>
      <c r="H461">
        <v>33</v>
      </c>
      <c r="I461">
        <v>14392</v>
      </c>
      <c r="J461" t="s">
        <v>50</v>
      </c>
      <c r="K461" t="s">
        <v>50</v>
      </c>
      <c r="L461" t="s">
        <v>159</v>
      </c>
      <c r="M461" t="s">
        <v>51</v>
      </c>
      <c r="N461" t="s">
        <v>92</v>
      </c>
      <c r="O461" s="1">
        <v>41335</v>
      </c>
      <c r="P461" t="s">
        <v>84</v>
      </c>
      <c r="Q461">
        <v>4</v>
      </c>
      <c r="R461" t="s">
        <v>27</v>
      </c>
      <c r="S461">
        <v>0</v>
      </c>
      <c r="T461">
        <v>0</v>
      </c>
      <c r="U461">
        <v>0</v>
      </c>
    </row>
    <row r="462" spans="1:21" x14ac:dyDescent="0.25">
      <c r="A462" s="1">
        <v>43983</v>
      </c>
      <c r="B462" s="1">
        <v>43983</v>
      </c>
      <c r="C462" t="s">
        <v>157</v>
      </c>
      <c r="D462" t="s">
        <v>55</v>
      </c>
      <c r="E462" t="s">
        <v>56</v>
      </c>
      <c r="F462" t="s">
        <v>226</v>
      </c>
      <c r="G462" s="56">
        <v>44020.479664351849</v>
      </c>
      <c r="H462">
        <v>33</v>
      </c>
      <c r="I462">
        <v>14392</v>
      </c>
      <c r="J462" t="s">
        <v>50</v>
      </c>
      <c r="K462" t="s">
        <v>50</v>
      </c>
      <c r="L462" t="s">
        <v>159</v>
      </c>
      <c r="M462" t="s">
        <v>51</v>
      </c>
      <c r="N462" t="s">
        <v>92</v>
      </c>
      <c r="O462" s="1">
        <v>41335</v>
      </c>
      <c r="P462" t="s">
        <v>84</v>
      </c>
      <c r="Q462">
        <v>4</v>
      </c>
      <c r="R462" t="s">
        <v>27</v>
      </c>
      <c r="S462">
        <v>2272.4959020000001</v>
      </c>
      <c r="T462">
        <v>1.0669999999999999</v>
      </c>
      <c r="U462">
        <v>2425</v>
      </c>
    </row>
    <row r="463" spans="1:21" x14ac:dyDescent="0.25">
      <c r="A463" s="1">
        <v>43983</v>
      </c>
      <c r="B463" s="1">
        <v>43983</v>
      </c>
      <c r="C463" t="s">
        <v>157</v>
      </c>
      <c r="D463" t="s">
        <v>93</v>
      </c>
      <c r="E463" t="s">
        <v>49</v>
      </c>
      <c r="F463" t="s">
        <v>229</v>
      </c>
      <c r="G463" s="56">
        <v>44057.743877314817</v>
      </c>
      <c r="H463">
        <v>61</v>
      </c>
      <c r="I463" t="s">
        <v>351</v>
      </c>
      <c r="J463" t="s">
        <v>50</v>
      </c>
      <c r="K463" t="s">
        <v>50</v>
      </c>
      <c r="L463" t="s">
        <v>159</v>
      </c>
      <c r="M463" t="s">
        <v>51</v>
      </c>
      <c r="N463" t="s">
        <v>92</v>
      </c>
      <c r="O463" s="1">
        <v>41335</v>
      </c>
      <c r="P463" t="s">
        <v>84</v>
      </c>
      <c r="Q463">
        <v>4</v>
      </c>
      <c r="R463" t="s">
        <v>27</v>
      </c>
      <c r="S463">
        <v>1</v>
      </c>
      <c r="T463">
        <v>-1279</v>
      </c>
      <c r="U463">
        <v>-1279</v>
      </c>
    </row>
    <row r="464" spans="1:21" x14ac:dyDescent="0.25">
      <c r="A464" s="1">
        <v>43983</v>
      </c>
      <c r="B464" s="1">
        <v>43983</v>
      </c>
      <c r="C464" t="s">
        <v>157</v>
      </c>
      <c r="D464" t="s">
        <v>54</v>
      </c>
      <c r="E464" t="s">
        <v>21</v>
      </c>
      <c r="F464" t="s">
        <v>224</v>
      </c>
      <c r="G464" s="56">
        <v>44020.479664351849</v>
      </c>
      <c r="H464">
        <v>33</v>
      </c>
      <c r="I464">
        <v>14392</v>
      </c>
      <c r="J464" t="s">
        <v>50</v>
      </c>
      <c r="K464" t="s">
        <v>50</v>
      </c>
      <c r="L464" t="s">
        <v>159</v>
      </c>
      <c r="M464" t="s">
        <v>51</v>
      </c>
      <c r="N464" t="s">
        <v>92</v>
      </c>
      <c r="O464" s="1">
        <v>41335</v>
      </c>
      <c r="P464" t="s">
        <v>84</v>
      </c>
      <c r="Q464">
        <v>4</v>
      </c>
      <c r="R464" t="s">
        <v>27</v>
      </c>
      <c r="S464">
        <v>0</v>
      </c>
      <c r="T464">
        <v>5963.14</v>
      </c>
      <c r="U464">
        <v>0</v>
      </c>
    </row>
    <row r="465" spans="1:21" x14ac:dyDescent="0.25">
      <c r="A465" s="1">
        <v>43983</v>
      </c>
      <c r="B465" s="1">
        <v>43983</v>
      </c>
      <c r="C465" t="s">
        <v>157</v>
      </c>
      <c r="D465" t="s">
        <v>95</v>
      </c>
      <c r="E465" t="s">
        <v>56</v>
      </c>
      <c r="F465" t="s">
        <v>227</v>
      </c>
      <c r="G465" s="56">
        <v>44057.743877314817</v>
      </c>
      <c r="H465">
        <v>61</v>
      </c>
      <c r="I465" t="s">
        <v>351</v>
      </c>
      <c r="J465" t="s">
        <v>50</v>
      </c>
      <c r="K465" t="s">
        <v>50</v>
      </c>
      <c r="L465" t="s">
        <v>159</v>
      </c>
      <c r="M465" t="s">
        <v>51</v>
      </c>
      <c r="N465" t="s">
        <v>92</v>
      </c>
      <c r="O465" s="1">
        <v>41335</v>
      </c>
      <c r="P465" t="s">
        <v>84</v>
      </c>
      <c r="Q465">
        <v>4</v>
      </c>
      <c r="R465" t="s">
        <v>27</v>
      </c>
      <c r="S465">
        <v>1</v>
      </c>
      <c r="T465">
        <v>-20</v>
      </c>
      <c r="U465">
        <v>-20</v>
      </c>
    </row>
    <row r="466" spans="1:21" x14ac:dyDescent="0.25">
      <c r="A466" s="1">
        <v>43983</v>
      </c>
      <c r="B466" s="1">
        <v>43983</v>
      </c>
      <c r="C466" t="s">
        <v>157</v>
      </c>
      <c r="D466" t="s">
        <v>48</v>
      </c>
      <c r="E466" t="s">
        <v>49</v>
      </c>
      <c r="F466" t="s">
        <v>228</v>
      </c>
      <c r="G466" s="56">
        <v>44020.479664351849</v>
      </c>
      <c r="H466">
        <v>33</v>
      </c>
      <c r="I466">
        <v>14392</v>
      </c>
      <c r="J466" t="s">
        <v>50</v>
      </c>
      <c r="K466" t="s">
        <v>50</v>
      </c>
      <c r="L466" t="s">
        <v>159</v>
      </c>
      <c r="M466" t="s">
        <v>51</v>
      </c>
      <c r="N466" t="s">
        <v>92</v>
      </c>
      <c r="O466" s="1">
        <v>41335</v>
      </c>
      <c r="P466" t="s">
        <v>84</v>
      </c>
      <c r="Q466">
        <v>4</v>
      </c>
      <c r="R466" t="s">
        <v>27</v>
      </c>
      <c r="S466">
        <v>2272.4959020000001</v>
      </c>
      <c r="T466">
        <v>69.12</v>
      </c>
      <c r="U466">
        <v>157075</v>
      </c>
    </row>
    <row r="467" spans="1:21" x14ac:dyDescent="0.25">
      <c r="A467" s="1">
        <v>43983</v>
      </c>
      <c r="B467" s="1">
        <v>43983</v>
      </c>
      <c r="C467" t="s">
        <v>157</v>
      </c>
      <c r="D467" t="s">
        <v>48</v>
      </c>
      <c r="E467" t="s">
        <v>49</v>
      </c>
      <c r="F467" t="s">
        <v>228</v>
      </c>
      <c r="G467" s="56">
        <v>44020.479664351849</v>
      </c>
      <c r="H467">
        <v>33</v>
      </c>
      <c r="I467">
        <v>14392</v>
      </c>
      <c r="J467" t="s">
        <v>50</v>
      </c>
      <c r="K467" t="s">
        <v>50</v>
      </c>
      <c r="L467" t="s">
        <v>159</v>
      </c>
      <c r="M467" t="s">
        <v>51</v>
      </c>
      <c r="N467" t="s">
        <v>92</v>
      </c>
      <c r="O467" s="1">
        <v>41335</v>
      </c>
      <c r="P467" t="s">
        <v>84</v>
      </c>
      <c r="Q467">
        <v>5</v>
      </c>
      <c r="R467" t="s">
        <v>28</v>
      </c>
      <c r="S467">
        <v>13.447563000000001</v>
      </c>
      <c r="T467">
        <v>71.932000000000002</v>
      </c>
      <c r="U467">
        <v>967</v>
      </c>
    </row>
    <row r="468" spans="1:21" x14ac:dyDescent="0.25">
      <c r="A468" s="1">
        <v>43983</v>
      </c>
      <c r="B468" s="1">
        <v>43983</v>
      </c>
      <c r="C468" t="s">
        <v>157</v>
      </c>
      <c r="D468" t="s">
        <v>55</v>
      </c>
      <c r="E468" t="s">
        <v>56</v>
      </c>
      <c r="F468" t="s">
        <v>226</v>
      </c>
      <c r="G468" s="56">
        <v>44020.479664351849</v>
      </c>
      <c r="H468">
        <v>33</v>
      </c>
      <c r="I468">
        <v>14392</v>
      </c>
      <c r="J468" t="s">
        <v>50</v>
      </c>
      <c r="K468" t="s">
        <v>50</v>
      </c>
      <c r="L468" t="s">
        <v>159</v>
      </c>
      <c r="M468" t="s">
        <v>51</v>
      </c>
      <c r="N468" t="s">
        <v>92</v>
      </c>
      <c r="O468" s="1">
        <v>41335</v>
      </c>
      <c r="P468" t="s">
        <v>84</v>
      </c>
      <c r="Q468">
        <v>5</v>
      </c>
      <c r="R468" t="s">
        <v>28</v>
      </c>
      <c r="S468">
        <v>13.447563000000001</v>
      </c>
      <c r="T468">
        <v>1.0669999999999999</v>
      </c>
      <c r="U468">
        <v>14</v>
      </c>
    </row>
    <row r="469" spans="1:21" x14ac:dyDescent="0.25">
      <c r="A469" s="1">
        <v>43983</v>
      </c>
      <c r="B469" s="1">
        <v>43983</v>
      </c>
      <c r="C469" t="s">
        <v>157</v>
      </c>
      <c r="D469" t="s">
        <v>93</v>
      </c>
      <c r="E469" t="s">
        <v>49</v>
      </c>
      <c r="F469" t="s">
        <v>229</v>
      </c>
      <c r="G469" s="56">
        <v>44057.743877314817</v>
      </c>
      <c r="H469">
        <v>61</v>
      </c>
      <c r="I469" t="s">
        <v>351</v>
      </c>
      <c r="J469" t="s">
        <v>50</v>
      </c>
      <c r="K469" t="s">
        <v>50</v>
      </c>
      <c r="L469" t="s">
        <v>159</v>
      </c>
      <c r="M469" t="s">
        <v>51</v>
      </c>
      <c r="N469" t="s">
        <v>92</v>
      </c>
      <c r="O469" s="1">
        <v>41335</v>
      </c>
      <c r="P469" t="s">
        <v>84</v>
      </c>
      <c r="Q469">
        <v>5</v>
      </c>
      <c r="R469" t="s">
        <v>28</v>
      </c>
      <c r="S469">
        <v>1</v>
      </c>
      <c r="T469">
        <v>-8</v>
      </c>
      <c r="U469">
        <v>-8</v>
      </c>
    </row>
    <row r="470" spans="1:21" x14ac:dyDescent="0.25">
      <c r="A470" s="1">
        <v>43983</v>
      </c>
      <c r="B470" s="1">
        <v>43983</v>
      </c>
      <c r="C470" t="s">
        <v>157</v>
      </c>
      <c r="D470" t="s">
        <v>54</v>
      </c>
      <c r="E470" t="s">
        <v>21</v>
      </c>
      <c r="F470" t="s">
        <v>224</v>
      </c>
      <c r="G470" s="56">
        <v>44020.479664351849</v>
      </c>
      <c r="H470">
        <v>33</v>
      </c>
      <c r="I470">
        <v>14392</v>
      </c>
      <c r="J470" t="s">
        <v>50</v>
      </c>
      <c r="K470" t="s">
        <v>50</v>
      </c>
      <c r="L470" t="s">
        <v>159</v>
      </c>
      <c r="M470" t="s">
        <v>51</v>
      </c>
      <c r="N470" t="s">
        <v>92</v>
      </c>
      <c r="O470" s="1">
        <v>41335</v>
      </c>
      <c r="P470" t="s">
        <v>84</v>
      </c>
      <c r="Q470">
        <v>5</v>
      </c>
      <c r="R470" t="s">
        <v>28</v>
      </c>
      <c r="S470">
        <v>0</v>
      </c>
      <c r="T470">
        <v>5783.56</v>
      </c>
      <c r="U470">
        <v>0</v>
      </c>
    </row>
    <row r="471" spans="1:21" x14ac:dyDescent="0.25">
      <c r="A471" s="1">
        <v>43983</v>
      </c>
      <c r="B471" s="1">
        <v>43983</v>
      </c>
      <c r="C471" t="s">
        <v>157</v>
      </c>
      <c r="D471" t="s">
        <v>52</v>
      </c>
      <c r="E471" t="s">
        <v>53</v>
      </c>
      <c r="F471" t="s">
        <v>225</v>
      </c>
      <c r="G471" s="56">
        <v>44020.479664351849</v>
      </c>
      <c r="H471">
        <v>33</v>
      </c>
      <c r="I471">
        <v>14392</v>
      </c>
      <c r="J471" t="s">
        <v>50</v>
      </c>
      <c r="K471" t="s">
        <v>50</v>
      </c>
      <c r="L471" t="s">
        <v>159</v>
      </c>
      <c r="M471" t="s">
        <v>51</v>
      </c>
      <c r="N471" t="s">
        <v>92</v>
      </c>
      <c r="O471" s="1">
        <v>41335</v>
      </c>
      <c r="P471" t="s">
        <v>84</v>
      </c>
      <c r="Q471">
        <v>5</v>
      </c>
      <c r="R471" t="s">
        <v>28</v>
      </c>
      <c r="S471">
        <v>0</v>
      </c>
      <c r="T471">
        <v>0</v>
      </c>
      <c r="U471">
        <v>0</v>
      </c>
    </row>
    <row r="472" spans="1:21" x14ac:dyDescent="0.25">
      <c r="A472" s="1">
        <v>44013</v>
      </c>
      <c r="B472" s="1">
        <v>44013</v>
      </c>
      <c r="C472" t="s">
        <v>157</v>
      </c>
      <c r="D472" t="s">
        <v>54</v>
      </c>
      <c r="E472" t="s">
        <v>21</v>
      </c>
      <c r="F472" t="s">
        <v>231</v>
      </c>
      <c r="G472" s="56">
        <v>44053.449259259258</v>
      </c>
      <c r="H472">
        <v>33</v>
      </c>
      <c r="I472">
        <v>14796</v>
      </c>
      <c r="J472" t="s">
        <v>50</v>
      </c>
      <c r="K472" t="s">
        <v>50</v>
      </c>
      <c r="L472" t="s">
        <v>159</v>
      </c>
      <c r="M472" t="s">
        <v>51</v>
      </c>
      <c r="N472" t="s">
        <v>92</v>
      </c>
      <c r="O472" s="1">
        <v>41335</v>
      </c>
      <c r="P472" t="s">
        <v>84</v>
      </c>
      <c r="Q472">
        <v>1</v>
      </c>
      <c r="R472" t="s">
        <v>83</v>
      </c>
      <c r="S472">
        <v>0</v>
      </c>
      <c r="T472">
        <v>6059.26</v>
      </c>
      <c r="U472">
        <v>0</v>
      </c>
    </row>
    <row r="473" spans="1:21" x14ac:dyDescent="0.25">
      <c r="A473" s="1">
        <v>44013</v>
      </c>
      <c r="B473" s="1">
        <v>44013</v>
      </c>
      <c r="C473" t="s">
        <v>157</v>
      </c>
      <c r="D473" t="s">
        <v>95</v>
      </c>
      <c r="E473" t="s">
        <v>56</v>
      </c>
      <c r="F473" t="s">
        <v>232</v>
      </c>
      <c r="G473" s="56">
        <v>44082.485532407409</v>
      </c>
      <c r="H473">
        <v>33</v>
      </c>
      <c r="I473" t="s">
        <v>351</v>
      </c>
      <c r="J473" t="s">
        <v>50</v>
      </c>
      <c r="K473" t="s">
        <v>50</v>
      </c>
      <c r="L473" t="s">
        <v>159</v>
      </c>
      <c r="M473" t="s">
        <v>51</v>
      </c>
      <c r="N473" t="s">
        <v>92</v>
      </c>
      <c r="O473" s="1">
        <v>41335</v>
      </c>
      <c r="P473" t="s">
        <v>84</v>
      </c>
      <c r="Q473">
        <v>1</v>
      </c>
      <c r="R473" t="s">
        <v>83</v>
      </c>
      <c r="S473">
        <v>1</v>
      </c>
      <c r="T473">
        <v>-4</v>
      </c>
      <c r="U473">
        <v>-4</v>
      </c>
    </row>
    <row r="474" spans="1:21" x14ac:dyDescent="0.25">
      <c r="A474" s="1">
        <v>44013</v>
      </c>
      <c r="B474" s="1">
        <v>44013</v>
      </c>
      <c r="C474" t="s">
        <v>157</v>
      </c>
      <c r="D474" t="s">
        <v>52</v>
      </c>
      <c r="E474" t="s">
        <v>53</v>
      </c>
      <c r="F474" t="s">
        <v>233</v>
      </c>
      <c r="G474" s="56">
        <v>44053.449259259258</v>
      </c>
      <c r="H474">
        <v>33</v>
      </c>
      <c r="I474">
        <v>14796</v>
      </c>
      <c r="J474" t="s">
        <v>50</v>
      </c>
      <c r="K474" t="s">
        <v>50</v>
      </c>
      <c r="L474" t="s">
        <v>159</v>
      </c>
      <c r="M474" t="s">
        <v>51</v>
      </c>
      <c r="N474" t="s">
        <v>92</v>
      </c>
      <c r="O474" s="1">
        <v>41335</v>
      </c>
      <c r="P474" t="s">
        <v>84</v>
      </c>
      <c r="Q474">
        <v>1</v>
      </c>
      <c r="R474" t="s">
        <v>83</v>
      </c>
      <c r="S474">
        <v>0</v>
      </c>
      <c r="T474">
        <v>0</v>
      </c>
      <c r="U474">
        <v>0</v>
      </c>
    </row>
    <row r="475" spans="1:21" x14ac:dyDescent="0.25">
      <c r="A475" s="1">
        <v>44013</v>
      </c>
      <c r="B475" s="1">
        <v>44013</v>
      </c>
      <c r="C475" t="s">
        <v>157</v>
      </c>
      <c r="D475" t="s">
        <v>55</v>
      </c>
      <c r="E475" t="s">
        <v>56</v>
      </c>
      <c r="F475" t="s">
        <v>234</v>
      </c>
      <c r="G475" s="56">
        <v>44053.449259259258</v>
      </c>
      <c r="H475">
        <v>33</v>
      </c>
      <c r="I475">
        <v>14796</v>
      </c>
      <c r="J475" t="s">
        <v>50</v>
      </c>
      <c r="K475" t="s">
        <v>50</v>
      </c>
      <c r="L475" t="s">
        <v>159</v>
      </c>
      <c r="M475" t="s">
        <v>51</v>
      </c>
      <c r="N475" t="s">
        <v>92</v>
      </c>
      <c r="O475" s="1">
        <v>41335</v>
      </c>
      <c r="P475" t="s">
        <v>84</v>
      </c>
      <c r="Q475">
        <v>1</v>
      </c>
      <c r="R475" t="s">
        <v>83</v>
      </c>
      <c r="S475">
        <v>2138.513688</v>
      </c>
      <c r="T475">
        <v>1.0669999999999999</v>
      </c>
      <c r="U475">
        <v>2282</v>
      </c>
    </row>
    <row r="476" spans="1:21" x14ac:dyDescent="0.25">
      <c r="A476" s="1">
        <v>44013</v>
      </c>
      <c r="B476" s="1">
        <v>44013</v>
      </c>
      <c r="C476" t="s">
        <v>157</v>
      </c>
      <c r="D476" t="s">
        <v>48</v>
      </c>
      <c r="E476" t="s">
        <v>49</v>
      </c>
      <c r="F476" t="s">
        <v>235</v>
      </c>
      <c r="G476" s="56">
        <v>44053.449259259258</v>
      </c>
      <c r="H476">
        <v>33</v>
      </c>
      <c r="I476">
        <v>14796</v>
      </c>
      <c r="J476" t="s">
        <v>50</v>
      </c>
      <c r="K476" t="s">
        <v>50</v>
      </c>
      <c r="L476" t="s">
        <v>159</v>
      </c>
      <c r="M476" t="s">
        <v>51</v>
      </c>
      <c r="N476" t="s">
        <v>92</v>
      </c>
      <c r="O476" s="1">
        <v>41335</v>
      </c>
      <c r="P476" t="s">
        <v>84</v>
      </c>
      <c r="Q476">
        <v>1</v>
      </c>
      <c r="R476" t="s">
        <v>83</v>
      </c>
      <c r="S476">
        <v>2138.52</v>
      </c>
      <c r="T476">
        <v>76.587000000000003</v>
      </c>
      <c r="U476">
        <v>163783</v>
      </c>
    </row>
    <row r="477" spans="1:21" x14ac:dyDescent="0.25">
      <c r="A477" s="1">
        <v>44013</v>
      </c>
      <c r="B477" s="1">
        <v>44013</v>
      </c>
      <c r="C477" t="s">
        <v>157</v>
      </c>
      <c r="D477" t="s">
        <v>93</v>
      </c>
      <c r="E477" t="s">
        <v>49</v>
      </c>
      <c r="F477" t="s">
        <v>236</v>
      </c>
      <c r="G477" s="56">
        <v>44082.485532407409</v>
      </c>
      <c r="H477">
        <v>33</v>
      </c>
      <c r="I477" t="s">
        <v>351</v>
      </c>
      <c r="J477" t="s">
        <v>50</v>
      </c>
      <c r="K477" t="s">
        <v>50</v>
      </c>
      <c r="L477" t="s">
        <v>159</v>
      </c>
      <c r="M477" t="s">
        <v>51</v>
      </c>
      <c r="N477" t="s">
        <v>92</v>
      </c>
      <c r="O477" s="1">
        <v>41335</v>
      </c>
      <c r="P477" t="s">
        <v>84</v>
      </c>
      <c r="Q477">
        <v>1</v>
      </c>
      <c r="R477" t="s">
        <v>83</v>
      </c>
      <c r="S477">
        <v>1</v>
      </c>
      <c r="T477">
        <v>7664</v>
      </c>
      <c r="U477">
        <v>7664</v>
      </c>
    </row>
    <row r="478" spans="1:21" x14ac:dyDescent="0.25">
      <c r="A478" s="1">
        <v>44013</v>
      </c>
      <c r="B478" s="1">
        <v>44013</v>
      </c>
      <c r="C478" t="s">
        <v>157</v>
      </c>
      <c r="D478" t="s">
        <v>54</v>
      </c>
      <c r="E478" t="s">
        <v>21</v>
      </c>
      <c r="F478" t="s">
        <v>231</v>
      </c>
      <c r="G478" s="56">
        <v>44053.449259259258</v>
      </c>
      <c r="H478">
        <v>33</v>
      </c>
      <c r="I478">
        <v>14796</v>
      </c>
      <c r="J478" t="s">
        <v>50</v>
      </c>
      <c r="K478" t="s">
        <v>50</v>
      </c>
      <c r="L478" t="s">
        <v>159</v>
      </c>
      <c r="M478" t="s">
        <v>51</v>
      </c>
      <c r="N478" t="s">
        <v>92</v>
      </c>
      <c r="O478" s="1">
        <v>41335</v>
      </c>
      <c r="P478" t="s">
        <v>84</v>
      </c>
      <c r="Q478">
        <v>2</v>
      </c>
      <c r="R478" t="s">
        <v>94</v>
      </c>
      <c r="S478">
        <v>0</v>
      </c>
      <c r="T478">
        <v>6135.34</v>
      </c>
      <c r="U478">
        <v>0</v>
      </c>
    </row>
    <row r="479" spans="1:21" x14ac:dyDescent="0.25">
      <c r="A479" s="1">
        <v>44013</v>
      </c>
      <c r="B479" s="1">
        <v>44013</v>
      </c>
      <c r="C479" t="s">
        <v>157</v>
      </c>
      <c r="D479" t="s">
        <v>48</v>
      </c>
      <c r="E479" t="s">
        <v>49</v>
      </c>
      <c r="F479" t="s">
        <v>235</v>
      </c>
      <c r="G479" s="56">
        <v>44053.449259259258</v>
      </c>
      <c r="H479">
        <v>33</v>
      </c>
      <c r="I479">
        <v>14796</v>
      </c>
      <c r="J479" t="s">
        <v>50</v>
      </c>
      <c r="K479" t="s">
        <v>50</v>
      </c>
      <c r="L479" t="s">
        <v>159</v>
      </c>
      <c r="M479" t="s">
        <v>51</v>
      </c>
      <c r="N479" t="s">
        <v>92</v>
      </c>
      <c r="O479" s="1">
        <v>41335</v>
      </c>
      <c r="P479" t="s">
        <v>84</v>
      </c>
      <c r="Q479">
        <v>2</v>
      </c>
      <c r="R479" t="s">
        <v>94</v>
      </c>
      <c r="S479">
        <v>9.5288520000000005</v>
      </c>
      <c r="T479">
        <v>77.677999999999997</v>
      </c>
      <c r="U479">
        <v>740</v>
      </c>
    </row>
    <row r="480" spans="1:21" x14ac:dyDescent="0.25">
      <c r="A480" s="1">
        <v>44013</v>
      </c>
      <c r="B480" s="1">
        <v>44013</v>
      </c>
      <c r="C480" t="s">
        <v>157</v>
      </c>
      <c r="D480" t="s">
        <v>52</v>
      </c>
      <c r="E480" t="s">
        <v>53</v>
      </c>
      <c r="F480" t="s">
        <v>233</v>
      </c>
      <c r="G480" s="56">
        <v>44053.449259259258</v>
      </c>
      <c r="H480">
        <v>33</v>
      </c>
      <c r="I480">
        <v>14796</v>
      </c>
      <c r="J480" t="s">
        <v>50</v>
      </c>
      <c r="K480" t="s">
        <v>50</v>
      </c>
      <c r="L480" t="s">
        <v>159</v>
      </c>
      <c r="M480" t="s">
        <v>51</v>
      </c>
      <c r="N480" t="s">
        <v>92</v>
      </c>
      <c r="O480" s="1">
        <v>41335</v>
      </c>
      <c r="P480" t="s">
        <v>84</v>
      </c>
      <c r="Q480">
        <v>2</v>
      </c>
      <c r="R480" t="s">
        <v>94</v>
      </c>
      <c r="S480">
        <v>0</v>
      </c>
      <c r="T480">
        <v>0</v>
      </c>
      <c r="U480">
        <v>0</v>
      </c>
    </row>
    <row r="481" spans="1:21" x14ac:dyDescent="0.25">
      <c r="A481" s="1">
        <v>44013</v>
      </c>
      <c r="B481" s="1">
        <v>44013</v>
      </c>
      <c r="C481" t="s">
        <v>157</v>
      </c>
      <c r="D481" t="s">
        <v>55</v>
      </c>
      <c r="E481" t="s">
        <v>56</v>
      </c>
      <c r="F481" t="s">
        <v>234</v>
      </c>
      <c r="G481" s="56">
        <v>44053.449259259258</v>
      </c>
      <c r="H481">
        <v>33</v>
      </c>
      <c r="I481">
        <v>14796</v>
      </c>
      <c r="J481" t="s">
        <v>50</v>
      </c>
      <c r="K481" t="s">
        <v>50</v>
      </c>
      <c r="L481" t="s">
        <v>159</v>
      </c>
      <c r="M481" t="s">
        <v>51</v>
      </c>
      <c r="N481" t="s">
        <v>92</v>
      </c>
      <c r="O481" s="1">
        <v>41335</v>
      </c>
      <c r="P481" t="s">
        <v>84</v>
      </c>
      <c r="Q481">
        <v>2</v>
      </c>
      <c r="R481" t="s">
        <v>94</v>
      </c>
      <c r="S481">
        <v>9.5288520000000005</v>
      </c>
      <c r="T481">
        <v>1.0669999999999999</v>
      </c>
      <c r="U481">
        <v>10</v>
      </c>
    </row>
    <row r="482" spans="1:21" x14ac:dyDescent="0.25">
      <c r="A482" s="1">
        <v>44013</v>
      </c>
      <c r="B482" s="1">
        <v>44013</v>
      </c>
      <c r="C482" t="s">
        <v>157</v>
      </c>
      <c r="D482" t="s">
        <v>93</v>
      </c>
      <c r="E482" t="s">
        <v>49</v>
      </c>
      <c r="F482" t="s">
        <v>236</v>
      </c>
      <c r="G482" s="56">
        <v>44082.485532407409</v>
      </c>
      <c r="H482">
        <v>33</v>
      </c>
      <c r="I482" t="s">
        <v>351</v>
      </c>
      <c r="J482" t="s">
        <v>50</v>
      </c>
      <c r="K482" t="s">
        <v>50</v>
      </c>
      <c r="L482" t="s">
        <v>159</v>
      </c>
      <c r="M482" t="s">
        <v>51</v>
      </c>
      <c r="N482" t="s">
        <v>92</v>
      </c>
      <c r="O482" s="1">
        <v>41335</v>
      </c>
      <c r="P482" t="s">
        <v>84</v>
      </c>
      <c r="Q482">
        <v>2</v>
      </c>
      <c r="R482" t="s">
        <v>94</v>
      </c>
      <c r="S482">
        <v>1</v>
      </c>
      <c r="T482">
        <v>35</v>
      </c>
      <c r="U482">
        <v>35</v>
      </c>
    </row>
    <row r="483" spans="1:21" x14ac:dyDescent="0.25">
      <c r="A483" s="1">
        <v>44013</v>
      </c>
      <c r="B483" s="1">
        <v>44013</v>
      </c>
      <c r="C483" t="s">
        <v>157</v>
      </c>
      <c r="D483" t="s">
        <v>48</v>
      </c>
      <c r="E483" t="s">
        <v>49</v>
      </c>
      <c r="F483" t="s">
        <v>235</v>
      </c>
      <c r="G483" s="56">
        <v>44053.449259259258</v>
      </c>
      <c r="H483">
        <v>33</v>
      </c>
      <c r="I483">
        <v>14796</v>
      </c>
      <c r="J483" t="s">
        <v>50</v>
      </c>
      <c r="K483" t="s">
        <v>50</v>
      </c>
      <c r="L483" t="s">
        <v>159</v>
      </c>
      <c r="M483" t="s">
        <v>51</v>
      </c>
      <c r="N483" t="s">
        <v>92</v>
      </c>
      <c r="O483" s="1">
        <v>41335</v>
      </c>
      <c r="P483" t="s">
        <v>84</v>
      </c>
      <c r="Q483">
        <v>3</v>
      </c>
      <c r="R483" t="s">
        <v>81</v>
      </c>
      <c r="S483">
        <v>314.28954700000003</v>
      </c>
      <c r="T483">
        <v>73.070999999999998</v>
      </c>
      <c r="U483">
        <v>22965</v>
      </c>
    </row>
    <row r="484" spans="1:21" x14ac:dyDescent="0.25">
      <c r="A484" s="1">
        <v>44013</v>
      </c>
      <c r="B484" s="1">
        <v>44013</v>
      </c>
      <c r="C484" t="s">
        <v>157</v>
      </c>
      <c r="D484" t="s">
        <v>55</v>
      </c>
      <c r="E484" t="s">
        <v>56</v>
      </c>
      <c r="F484" t="s">
        <v>234</v>
      </c>
      <c r="G484" s="56">
        <v>44053.449259259258</v>
      </c>
      <c r="H484">
        <v>33</v>
      </c>
      <c r="I484">
        <v>14796</v>
      </c>
      <c r="J484" t="s">
        <v>50</v>
      </c>
      <c r="K484" t="s">
        <v>50</v>
      </c>
      <c r="L484" t="s">
        <v>159</v>
      </c>
      <c r="M484" t="s">
        <v>51</v>
      </c>
      <c r="N484" t="s">
        <v>92</v>
      </c>
      <c r="O484" s="1">
        <v>41335</v>
      </c>
      <c r="P484" t="s">
        <v>84</v>
      </c>
      <c r="Q484">
        <v>3</v>
      </c>
      <c r="R484" t="s">
        <v>81</v>
      </c>
      <c r="S484">
        <v>314.28954700000003</v>
      </c>
      <c r="T484">
        <v>1.0669999999999999</v>
      </c>
      <c r="U484">
        <v>335</v>
      </c>
    </row>
    <row r="485" spans="1:21" x14ac:dyDescent="0.25">
      <c r="A485" s="1">
        <v>44013</v>
      </c>
      <c r="B485" s="1">
        <v>44013</v>
      </c>
      <c r="C485" t="s">
        <v>157</v>
      </c>
      <c r="D485" t="s">
        <v>52</v>
      </c>
      <c r="E485" t="s">
        <v>53</v>
      </c>
      <c r="F485" t="s">
        <v>233</v>
      </c>
      <c r="G485" s="56">
        <v>44053.449259259258</v>
      </c>
      <c r="H485">
        <v>33</v>
      </c>
      <c r="I485">
        <v>14796</v>
      </c>
      <c r="J485" t="s">
        <v>50</v>
      </c>
      <c r="K485" t="s">
        <v>50</v>
      </c>
      <c r="L485" t="s">
        <v>159</v>
      </c>
      <c r="M485" t="s">
        <v>51</v>
      </c>
      <c r="N485" t="s">
        <v>92</v>
      </c>
      <c r="O485" s="1">
        <v>41335</v>
      </c>
      <c r="P485" t="s">
        <v>84</v>
      </c>
      <c r="Q485">
        <v>3</v>
      </c>
      <c r="R485" t="s">
        <v>81</v>
      </c>
      <c r="S485">
        <v>0</v>
      </c>
      <c r="T485">
        <v>0</v>
      </c>
      <c r="U485">
        <v>0</v>
      </c>
    </row>
    <row r="486" spans="1:21" x14ac:dyDescent="0.25">
      <c r="A486" s="1">
        <v>44013</v>
      </c>
      <c r="B486" s="1">
        <v>44013</v>
      </c>
      <c r="C486" t="s">
        <v>157</v>
      </c>
      <c r="D486" t="s">
        <v>93</v>
      </c>
      <c r="E486" t="s">
        <v>49</v>
      </c>
      <c r="F486" t="s">
        <v>236</v>
      </c>
      <c r="G486" s="56">
        <v>44082.485532407409</v>
      </c>
      <c r="H486">
        <v>33</v>
      </c>
      <c r="I486" t="s">
        <v>351</v>
      </c>
      <c r="J486" t="s">
        <v>50</v>
      </c>
      <c r="K486" t="s">
        <v>50</v>
      </c>
      <c r="L486" t="s">
        <v>159</v>
      </c>
      <c r="M486" t="s">
        <v>51</v>
      </c>
      <c r="N486" t="s">
        <v>92</v>
      </c>
      <c r="O486" s="1">
        <v>41335</v>
      </c>
      <c r="P486" t="s">
        <v>84</v>
      </c>
      <c r="Q486">
        <v>3</v>
      </c>
      <c r="R486" t="s">
        <v>81</v>
      </c>
      <c r="S486">
        <v>1</v>
      </c>
      <c r="T486">
        <v>1075</v>
      </c>
      <c r="U486">
        <v>1075</v>
      </c>
    </row>
    <row r="487" spans="1:21" x14ac:dyDescent="0.25">
      <c r="A487" s="1">
        <v>44013</v>
      </c>
      <c r="B487" s="1">
        <v>44013</v>
      </c>
      <c r="C487" t="s">
        <v>157</v>
      </c>
      <c r="D487" t="s">
        <v>54</v>
      </c>
      <c r="E487" t="s">
        <v>21</v>
      </c>
      <c r="F487" t="s">
        <v>231</v>
      </c>
      <c r="G487" s="56">
        <v>44053.449259259258</v>
      </c>
      <c r="H487">
        <v>33</v>
      </c>
      <c r="I487">
        <v>14796</v>
      </c>
      <c r="J487" t="s">
        <v>50</v>
      </c>
      <c r="K487" t="s">
        <v>50</v>
      </c>
      <c r="L487" t="s">
        <v>159</v>
      </c>
      <c r="M487" t="s">
        <v>51</v>
      </c>
      <c r="N487" t="s">
        <v>92</v>
      </c>
      <c r="O487" s="1">
        <v>41335</v>
      </c>
      <c r="P487" t="s">
        <v>84</v>
      </c>
      <c r="Q487">
        <v>3</v>
      </c>
      <c r="R487" t="s">
        <v>81</v>
      </c>
      <c r="S487">
        <v>0</v>
      </c>
      <c r="T487">
        <v>5857.61</v>
      </c>
      <c r="U487">
        <v>0</v>
      </c>
    </row>
    <row r="488" spans="1:21" x14ac:dyDescent="0.25">
      <c r="A488" s="1">
        <v>44013</v>
      </c>
      <c r="B488" s="1">
        <v>44013</v>
      </c>
      <c r="C488" t="s">
        <v>157</v>
      </c>
      <c r="D488" t="s">
        <v>48</v>
      </c>
      <c r="E488" t="s">
        <v>49</v>
      </c>
      <c r="F488" t="s">
        <v>235</v>
      </c>
      <c r="G488" s="56">
        <v>44053.449259259258</v>
      </c>
      <c r="H488">
        <v>33</v>
      </c>
      <c r="I488">
        <v>14796</v>
      </c>
      <c r="J488" t="s">
        <v>50</v>
      </c>
      <c r="K488" t="s">
        <v>50</v>
      </c>
      <c r="L488" t="s">
        <v>159</v>
      </c>
      <c r="M488" t="s">
        <v>51</v>
      </c>
      <c r="N488" t="s">
        <v>92</v>
      </c>
      <c r="O488" s="1">
        <v>41335</v>
      </c>
      <c r="P488" t="s">
        <v>84</v>
      </c>
      <c r="Q488">
        <v>4</v>
      </c>
      <c r="R488" t="s">
        <v>27</v>
      </c>
      <c r="S488">
        <v>2713.5583329999999</v>
      </c>
      <c r="T488">
        <v>73.188999999999993</v>
      </c>
      <c r="U488">
        <v>198603</v>
      </c>
    </row>
    <row r="489" spans="1:21" x14ac:dyDescent="0.25">
      <c r="A489" s="1">
        <v>44013</v>
      </c>
      <c r="B489" s="1">
        <v>44013</v>
      </c>
      <c r="C489" t="s">
        <v>157</v>
      </c>
      <c r="D489" t="s">
        <v>52</v>
      </c>
      <c r="E489" t="s">
        <v>53</v>
      </c>
      <c r="F489" t="s">
        <v>233</v>
      </c>
      <c r="G489" s="56">
        <v>44053.449259259258</v>
      </c>
      <c r="H489">
        <v>33</v>
      </c>
      <c r="I489">
        <v>14796</v>
      </c>
      <c r="J489" t="s">
        <v>50</v>
      </c>
      <c r="K489" t="s">
        <v>50</v>
      </c>
      <c r="L489" t="s">
        <v>159</v>
      </c>
      <c r="M489" t="s">
        <v>51</v>
      </c>
      <c r="N489" t="s">
        <v>92</v>
      </c>
      <c r="O489" s="1">
        <v>41335</v>
      </c>
      <c r="P489" t="s">
        <v>84</v>
      </c>
      <c r="Q489">
        <v>4</v>
      </c>
      <c r="R489" t="s">
        <v>27</v>
      </c>
      <c r="S489">
        <v>0</v>
      </c>
      <c r="T489">
        <v>0</v>
      </c>
      <c r="U489">
        <v>0</v>
      </c>
    </row>
    <row r="490" spans="1:21" x14ac:dyDescent="0.25">
      <c r="A490" s="1">
        <v>44013</v>
      </c>
      <c r="B490" s="1">
        <v>44013</v>
      </c>
      <c r="C490" t="s">
        <v>157</v>
      </c>
      <c r="D490" t="s">
        <v>54</v>
      </c>
      <c r="E490" t="s">
        <v>21</v>
      </c>
      <c r="F490" t="s">
        <v>231</v>
      </c>
      <c r="G490" s="56">
        <v>44053.449259259258</v>
      </c>
      <c r="H490">
        <v>33</v>
      </c>
      <c r="I490">
        <v>14796</v>
      </c>
      <c r="J490" t="s">
        <v>50</v>
      </c>
      <c r="K490" t="s">
        <v>50</v>
      </c>
      <c r="L490" t="s">
        <v>159</v>
      </c>
      <c r="M490" t="s">
        <v>51</v>
      </c>
      <c r="N490" t="s">
        <v>92</v>
      </c>
      <c r="O490" s="1">
        <v>41335</v>
      </c>
      <c r="P490" t="s">
        <v>84</v>
      </c>
      <c r="Q490">
        <v>4</v>
      </c>
      <c r="R490" t="s">
        <v>27</v>
      </c>
      <c r="S490">
        <v>0</v>
      </c>
      <c r="T490">
        <v>5984.4</v>
      </c>
      <c r="U490">
        <v>0</v>
      </c>
    </row>
    <row r="491" spans="1:21" x14ac:dyDescent="0.25">
      <c r="A491" s="1">
        <v>44013</v>
      </c>
      <c r="B491" s="1">
        <v>44013</v>
      </c>
      <c r="C491" t="s">
        <v>157</v>
      </c>
      <c r="D491" t="s">
        <v>55</v>
      </c>
      <c r="E491" t="s">
        <v>56</v>
      </c>
      <c r="F491" t="s">
        <v>234</v>
      </c>
      <c r="G491" s="56">
        <v>44053.449259259258</v>
      </c>
      <c r="H491">
        <v>33</v>
      </c>
      <c r="I491">
        <v>14796</v>
      </c>
      <c r="J491" t="s">
        <v>50</v>
      </c>
      <c r="K491" t="s">
        <v>50</v>
      </c>
      <c r="L491" t="s">
        <v>159</v>
      </c>
      <c r="M491" t="s">
        <v>51</v>
      </c>
      <c r="N491" t="s">
        <v>92</v>
      </c>
      <c r="O491" s="1">
        <v>41335</v>
      </c>
      <c r="P491" t="s">
        <v>84</v>
      </c>
      <c r="Q491">
        <v>4</v>
      </c>
      <c r="R491" t="s">
        <v>27</v>
      </c>
      <c r="S491">
        <v>2713.5583329999999</v>
      </c>
      <c r="T491">
        <v>1.0669999999999999</v>
      </c>
      <c r="U491">
        <v>2895</v>
      </c>
    </row>
    <row r="492" spans="1:21" x14ac:dyDescent="0.25">
      <c r="A492" s="1">
        <v>44013</v>
      </c>
      <c r="B492" s="1">
        <v>44013</v>
      </c>
      <c r="C492" t="s">
        <v>157</v>
      </c>
      <c r="D492" t="s">
        <v>95</v>
      </c>
      <c r="E492" t="s">
        <v>56</v>
      </c>
      <c r="F492" t="s">
        <v>232</v>
      </c>
      <c r="G492" s="56">
        <v>44082.485532407409</v>
      </c>
      <c r="H492">
        <v>33</v>
      </c>
      <c r="I492" t="s">
        <v>351</v>
      </c>
      <c r="J492" t="s">
        <v>50</v>
      </c>
      <c r="K492" t="s">
        <v>50</v>
      </c>
      <c r="L492" t="s">
        <v>159</v>
      </c>
      <c r="M492" t="s">
        <v>51</v>
      </c>
      <c r="N492" t="s">
        <v>92</v>
      </c>
      <c r="O492" s="1">
        <v>41335</v>
      </c>
      <c r="P492" t="s">
        <v>84</v>
      </c>
      <c r="Q492">
        <v>4</v>
      </c>
      <c r="R492" t="s">
        <v>27</v>
      </c>
      <c r="S492">
        <v>1</v>
      </c>
      <c r="T492">
        <v>-4</v>
      </c>
      <c r="U492">
        <v>-4</v>
      </c>
    </row>
    <row r="493" spans="1:21" x14ac:dyDescent="0.25">
      <c r="A493" s="1">
        <v>44013</v>
      </c>
      <c r="B493" s="1">
        <v>44013</v>
      </c>
      <c r="C493" t="s">
        <v>157</v>
      </c>
      <c r="D493" t="s">
        <v>93</v>
      </c>
      <c r="E493" t="s">
        <v>49</v>
      </c>
      <c r="F493" t="s">
        <v>236</v>
      </c>
      <c r="G493" s="56">
        <v>44082.485532407409</v>
      </c>
      <c r="H493">
        <v>33</v>
      </c>
      <c r="I493" t="s">
        <v>351</v>
      </c>
      <c r="J493" t="s">
        <v>50</v>
      </c>
      <c r="K493" t="s">
        <v>50</v>
      </c>
      <c r="L493" t="s">
        <v>159</v>
      </c>
      <c r="M493" t="s">
        <v>51</v>
      </c>
      <c r="N493" t="s">
        <v>92</v>
      </c>
      <c r="O493" s="1">
        <v>41335</v>
      </c>
      <c r="P493" t="s">
        <v>84</v>
      </c>
      <c r="Q493">
        <v>4</v>
      </c>
      <c r="R493" t="s">
        <v>27</v>
      </c>
      <c r="S493">
        <v>1</v>
      </c>
      <c r="T493">
        <v>9294</v>
      </c>
      <c r="U493">
        <v>9294</v>
      </c>
    </row>
    <row r="494" spans="1:21" x14ac:dyDescent="0.25">
      <c r="A494" s="1">
        <v>44013</v>
      </c>
      <c r="B494" s="1">
        <v>44013</v>
      </c>
      <c r="C494" t="s">
        <v>157</v>
      </c>
      <c r="D494" t="s">
        <v>54</v>
      </c>
      <c r="E494" t="s">
        <v>21</v>
      </c>
      <c r="F494" t="s">
        <v>231</v>
      </c>
      <c r="G494" s="56">
        <v>44053.449259259258</v>
      </c>
      <c r="H494">
        <v>33</v>
      </c>
      <c r="I494">
        <v>14796</v>
      </c>
      <c r="J494" t="s">
        <v>50</v>
      </c>
      <c r="K494" t="s">
        <v>50</v>
      </c>
      <c r="L494" t="s">
        <v>159</v>
      </c>
      <c r="M494" t="s">
        <v>51</v>
      </c>
      <c r="N494" t="s">
        <v>92</v>
      </c>
      <c r="O494" s="1">
        <v>41335</v>
      </c>
      <c r="P494" t="s">
        <v>84</v>
      </c>
      <c r="Q494">
        <v>5</v>
      </c>
      <c r="R494" t="s">
        <v>28</v>
      </c>
      <c r="S494">
        <v>0</v>
      </c>
      <c r="T494">
        <v>5746.52</v>
      </c>
      <c r="U494">
        <v>0</v>
      </c>
    </row>
    <row r="495" spans="1:21" x14ac:dyDescent="0.25">
      <c r="A495" s="1">
        <v>44013</v>
      </c>
      <c r="B495" s="1">
        <v>44013</v>
      </c>
      <c r="C495" t="s">
        <v>157</v>
      </c>
      <c r="D495" t="s">
        <v>93</v>
      </c>
      <c r="E495" t="s">
        <v>49</v>
      </c>
      <c r="F495" t="s">
        <v>236</v>
      </c>
      <c r="G495" s="56">
        <v>44082.485532407409</v>
      </c>
      <c r="H495">
        <v>33</v>
      </c>
      <c r="I495" t="s">
        <v>351</v>
      </c>
      <c r="J495" t="s">
        <v>50</v>
      </c>
      <c r="K495" t="s">
        <v>50</v>
      </c>
      <c r="L495" t="s">
        <v>159</v>
      </c>
      <c r="M495" t="s">
        <v>51</v>
      </c>
      <c r="N495" t="s">
        <v>92</v>
      </c>
      <c r="O495" s="1">
        <v>41335</v>
      </c>
      <c r="P495" t="s">
        <v>84</v>
      </c>
      <c r="Q495">
        <v>5</v>
      </c>
      <c r="R495" t="s">
        <v>28</v>
      </c>
      <c r="S495">
        <v>1</v>
      </c>
      <c r="T495">
        <v>40</v>
      </c>
      <c r="U495">
        <v>40</v>
      </c>
    </row>
    <row r="496" spans="1:21" x14ac:dyDescent="0.25">
      <c r="A496" s="1">
        <v>44013</v>
      </c>
      <c r="B496" s="1">
        <v>44013</v>
      </c>
      <c r="C496" t="s">
        <v>157</v>
      </c>
      <c r="D496" t="s">
        <v>52</v>
      </c>
      <c r="E496" t="s">
        <v>53</v>
      </c>
      <c r="F496" t="s">
        <v>233</v>
      </c>
      <c r="G496" s="56">
        <v>44053.449259259258</v>
      </c>
      <c r="H496">
        <v>33</v>
      </c>
      <c r="I496">
        <v>14796</v>
      </c>
      <c r="J496" t="s">
        <v>50</v>
      </c>
      <c r="K496" t="s">
        <v>50</v>
      </c>
      <c r="L496" t="s">
        <v>159</v>
      </c>
      <c r="M496" t="s">
        <v>51</v>
      </c>
      <c r="N496" t="s">
        <v>92</v>
      </c>
      <c r="O496" s="1">
        <v>41335</v>
      </c>
      <c r="P496" t="s">
        <v>84</v>
      </c>
      <c r="Q496">
        <v>5</v>
      </c>
      <c r="R496" t="s">
        <v>28</v>
      </c>
      <c r="S496">
        <v>0</v>
      </c>
      <c r="T496">
        <v>0</v>
      </c>
      <c r="U496">
        <v>0</v>
      </c>
    </row>
    <row r="497" spans="1:21" x14ac:dyDescent="0.25">
      <c r="A497" s="1">
        <v>44013</v>
      </c>
      <c r="B497" s="1">
        <v>44013</v>
      </c>
      <c r="C497" t="s">
        <v>157</v>
      </c>
      <c r="D497" t="s">
        <v>55</v>
      </c>
      <c r="E497" t="s">
        <v>56</v>
      </c>
      <c r="F497" t="s">
        <v>234</v>
      </c>
      <c r="G497" s="56">
        <v>44053.449259259258</v>
      </c>
      <c r="H497">
        <v>33</v>
      </c>
      <c r="I497">
        <v>14796</v>
      </c>
      <c r="J497" t="s">
        <v>50</v>
      </c>
      <c r="K497" t="s">
        <v>50</v>
      </c>
      <c r="L497" t="s">
        <v>159</v>
      </c>
      <c r="M497" t="s">
        <v>51</v>
      </c>
      <c r="N497" t="s">
        <v>92</v>
      </c>
      <c r="O497" s="1">
        <v>41335</v>
      </c>
      <c r="P497" t="s">
        <v>84</v>
      </c>
      <c r="Q497">
        <v>5</v>
      </c>
      <c r="R497" t="s">
        <v>28</v>
      </c>
      <c r="S497">
        <v>11.248535</v>
      </c>
      <c r="T497">
        <v>1.0669999999999999</v>
      </c>
      <c r="U497">
        <v>12</v>
      </c>
    </row>
    <row r="498" spans="1:21" x14ac:dyDescent="0.25">
      <c r="A498" s="1">
        <v>44013</v>
      </c>
      <c r="B498" s="1">
        <v>44013</v>
      </c>
      <c r="C498" t="s">
        <v>157</v>
      </c>
      <c r="D498" t="s">
        <v>48</v>
      </c>
      <c r="E498" t="s">
        <v>49</v>
      </c>
      <c r="F498" t="s">
        <v>235</v>
      </c>
      <c r="G498" s="56">
        <v>44053.449259259258</v>
      </c>
      <c r="H498">
        <v>33</v>
      </c>
      <c r="I498">
        <v>14796</v>
      </c>
      <c r="J498" t="s">
        <v>50</v>
      </c>
      <c r="K498" t="s">
        <v>50</v>
      </c>
      <c r="L498" t="s">
        <v>159</v>
      </c>
      <c r="M498" t="s">
        <v>51</v>
      </c>
      <c r="N498" t="s">
        <v>92</v>
      </c>
      <c r="O498" s="1">
        <v>41335</v>
      </c>
      <c r="P498" t="s">
        <v>84</v>
      </c>
      <c r="Q498">
        <v>5</v>
      </c>
      <c r="R498" t="s">
        <v>28</v>
      </c>
      <c r="S498">
        <v>11.248535</v>
      </c>
      <c r="T498">
        <v>75.629000000000005</v>
      </c>
      <c r="U498">
        <v>851</v>
      </c>
    </row>
    <row r="499" spans="1:21" x14ac:dyDescent="0.25">
      <c r="A499" s="1">
        <v>44044</v>
      </c>
      <c r="B499" s="1">
        <v>44044</v>
      </c>
      <c r="C499" t="s">
        <v>157</v>
      </c>
      <c r="D499" t="s">
        <v>54</v>
      </c>
      <c r="E499" t="s">
        <v>21</v>
      </c>
      <c r="F499" t="s">
        <v>238</v>
      </c>
      <c r="G499" s="56">
        <v>44081.950659722221</v>
      </c>
      <c r="H499">
        <v>33</v>
      </c>
      <c r="I499">
        <v>15128</v>
      </c>
      <c r="J499" t="s">
        <v>50</v>
      </c>
      <c r="K499" t="s">
        <v>50</v>
      </c>
      <c r="L499" t="s">
        <v>159</v>
      </c>
      <c r="M499" t="s">
        <v>51</v>
      </c>
      <c r="N499" t="s">
        <v>92</v>
      </c>
      <c r="O499" s="1">
        <v>41335</v>
      </c>
      <c r="P499" t="s">
        <v>84</v>
      </c>
      <c r="Q499">
        <v>1</v>
      </c>
      <c r="R499" t="s">
        <v>83</v>
      </c>
      <c r="S499">
        <v>0</v>
      </c>
      <c r="T499">
        <v>6060.78</v>
      </c>
      <c r="U499">
        <v>0</v>
      </c>
    </row>
    <row r="500" spans="1:21" x14ac:dyDescent="0.25">
      <c r="A500" s="1">
        <v>44044</v>
      </c>
      <c r="B500" s="1">
        <v>44044</v>
      </c>
      <c r="C500" t="s">
        <v>157</v>
      </c>
      <c r="D500" t="s">
        <v>48</v>
      </c>
      <c r="E500" t="s">
        <v>49</v>
      </c>
      <c r="F500" t="s">
        <v>239</v>
      </c>
      <c r="G500" s="56">
        <v>44081.950659722221</v>
      </c>
      <c r="H500">
        <v>33</v>
      </c>
      <c r="I500">
        <v>15128</v>
      </c>
      <c r="J500" t="s">
        <v>50</v>
      </c>
      <c r="K500" t="s">
        <v>50</v>
      </c>
      <c r="L500" t="s">
        <v>159</v>
      </c>
      <c r="M500" t="s">
        <v>51</v>
      </c>
      <c r="N500" t="s">
        <v>92</v>
      </c>
      <c r="O500" s="1">
        <v>41335</v>
      </c>
      <c r="P500" t="s">
        <v>84</v>
      </c>
      <c r="Q500">
        <v>1</v>
      </c>
      <c r="R500" t="s">
        <v>83</v>
      </c>
      <c r="S500">
        <v>2023.204197</v>
      </c>
      <c r="T500">
        <v>80.305999999999997</v>
      </c>
      <c r="U500">
        <v>162475</v>
      </c>
    </row>
    <row r="501" spans="1:21" x14ac:dyDescent="0.25">
      <c r="A501" s="1">
        <v>44044</v>
      </c>
      <c r="B501" s="1">
        <v>44044</v>
      </c>
      <c r="C501" t="s">
        <v>157</v>
      </c>
      <c r="D501" t="s">
        <v>95</v>
      </c>
      <c r="E501" t="s">
        <v>56</v>
      </c>
      <c r="F501" t="s">
        <v>240</v>
      </c>
      <c r="G501" s="56">
        <v>44119.739837962959</v>
      </c>
      <c r="H501">
        <v>33</v>
      </c>
      <c r="I501" t="s">
        <v>351</v>
      </c>
      <c r="J501" t="s">
        <v>50</v>
      </c>
      <c r="K501" t="s">
        <v>50</v>
      </c>
      <c r="L501" t="s">
        <v>159</v>
      </c>
      <c r="M501" t="s">
        <v>51</v>
      </c>
      <c r="N501" t="s">
        <v>92</v>
      </c>
      <c r="O501" s="1">
        <v>41335</v>
      </c>
      <c r="P501" t="s">
        <v>84</v>
      </c>
      <c r="Q501">
        <v>1</v>
      </c>
      <c r="R501" t="s">
        <v>83</v>
      </c>
      <c r="S501">
        <v>1</v>
      </c>
      <c r="T501">
        <v>8</v>
      </c>
      <c r="U501">
        <v>8</v>
      </c>
    </row>
    <row r="502" spans="1:21" x14ac:dyDescent="0.25">
      <c r="A502" s="1">
        <v>44044</v>
      </c>
      <c r="B502" s="1">
        <v>44044</v>
      </c>
      <c r="C502" t="s">
        <v>157</v>
      </c>
      <c r="D502" t="s">
        <v>55</v>
      </c>
      <c r="E502" t="s">
        <v>56</v>
      </c>
      <c r="F502" t="s">
        <v>241</v>
      </c>
      <c r="G502" s="56">
        <v>44081.950659722221</v>
      </c>
      <c r="H502">
        <v>33</v>
      </c>
      <c r="I502">
        <v>15128</v>
      </c>
      <c r="J502" t="s">
        <v>50</v>
      </c>
      <c r="K502" t="s">
        <v>50</v>
      </c>
      <c r="L502" t="s">
        <v>159</v>
      </c>
      <c r="M502" t="s">
        <v>51</v>
      </c>
      <c r="N502" t="s">
        <v>92</v>
      </c>
      <c r="O502" s="1">
        <v>41335</v>
      </c>
      <c r="P502" t="s">
        <v>84</v>
      </c>
      <c r="Q502">
        <v>1</v>
      </c>
      <c r="R502" t="s">
        <v>83</v>
      </c>
      <c r="S502">
        <v>2023.204197</v>
      </c>
      <c r="T502">
        <v>1.0669999999999999</v>
      </c>
      <c r="U502">
        <v>2159</v>
      </c>
    </row>
    <row r="503" spans="1:21" x14ac:dyDescent="0.25">
      <c r="A503" s="1">
        <v>44044</v>
      </c>
      <c r="B503" s="1">
        <v>44044</v>
      </c>
      <c r="C503" t="s">
        <v>157</v>
      </c>
      <c r="D503" t="s">
        <v>52</v>
      </c>
      <c r="E503" t="s">
        <v>53</v>
      </c>
      <c r="F503" t="s">
        <v>242</v>
      </c>
      <c r="G503" s="56">
        <v>44081.950659722221</v>
      </c>
      <c r="H503">
        <v>33</v>
      </c>
      <c r="I503">
        <v>15128</v>
      </c>
      <c r="J503" t="s">
        <v>50</v>
      </c>
      <c r="K503" t="s">
        <v>50</v>
      </c>
      <c r="L503" t="s">
        <v>159</v>
      </c>
      <c r="M503" t="s">
        <v>51</v>
      </c>
      <c r="N503" t="s">
        <v>92</v>
      </c>
      <c r="O503" s="1">
        <v>41335</v>
      </c>
      <c r="P503" t="s">
        <v>84</v>
      </c>
      <c r="Q503">
        <v>1</v>
      </c>
      <c r="R503" t="s">
        <v>83</v>
      </c>
      <c r="S503">
        <v>0</v>
      </c>
      <c r="T503">
        <v>0</v>
      </c>
      <c r="U503">
        <v>0</v>
      </c>
    </row>
    <row r="504" spans="1:21" x14ac:dyDescent="0.25">
      <c r="A504" s="1">
        <v>44044</v>
      </c>
      <c r="B504" s="1">
        <v>44044</v>
      </c>
      <c r="C504" t="s">
        <v>157</v>
      </c>
      <c r="D504" t="s">
        <v>93</v>
      </c>
      <c r="E504" t="s">
        <v>49</v>
      </c>
      <c r="F504" t="s">
        <v>243</v>
      </c>
      <c r="G504" s="56">
        <v>44119.739837962959</v>
      </c>
      <c r="H504">
        <v>33</v>
      </c>
      <c r="I504" t="s">
        <v>351</v>
      </c>
      <c r="J504" t="s">
        <v>50</v>
      </c>
      <c r="K504" t="s">
        <v>50</v>
      </c>
      <c r="L504" t="s">
        <v>159</v>
      </c>
      <c r="M504" t="s">
        <v>51</v>
      </c>
      <c r="N504" t="s">
        <v>92</v>
      </c>
      <c r="O504" s="1">
        <v>41335</v>
      </c>
      <c r="P504" t="s">
        <v>84</v>
      </c>
      <c r="Q504">
        <v>1</v>
      </c>
      <c r="R504" t="s">
        <v>83</v>
      </c>
      <c r="S504">
        <v>1</v>
      </c>
      <c r="T504">
        <v>689</v>
      </c>
      <c r="U504">
        <v>689</v>
      </c>
    </row>
    <row r="505" spans="1:21" x14ac:dyDescent="0.25">
      <c r="A505" s="1">
        <v>44044</v>
      </c>
      <c r="B505" s="1">
        <v>44044</v>
      </c>
      <c r="C505" t="s">
        <v>157</v>
      </c>
      <c r="D505" t="s">
        <v>93</v>
      </c>
      <c r="E505" t="s">
        <v>49</v>
      </c>
      <c r="F505" t="s">
        <v>243</v>
      </c>
      <c r="G505" s="56">
        <v>44119.739837962959</v>
      </c>
      <c r="H505">
        <v>33</v>
      </c>
      <c r="I505" t="s">
        <v>351</v>
      </c>
      <c r="J505" t="s">
        <v>50</v>
      </c>
      <c r="K505" t="s">
        <v>50</v>
      </c>
      <c r="L505" t="s">
        <v>159</v>
      </c>
      <c r="M505" t="s">
        <v>51</v>
      </c>
      <c r="N505" t="s">
        <v>92</v>
      </c>
      <c r="O505" s="1">
        <v>41335</v>
      </c>
      <c r="P505" t="s">
        <v>84</v>
      </c>
      <c r="Q505">
        <v>2</v>
      </c>
      <c r="R505" t="s">
        <v>94</v>
      </c>
      <c r="S505">
        <v>1</v>
      </c>
      <c r="T505">
        <v>2</v>
      </c>
      <c r="U505">
        <v>2</v>
      </c>
    </row>
    <row r="506" spans="1:21" x14ac:dyDescent="0.25">
      <c r="A506" s="1">
        <v>44044</v>
      </c>
      <c r="B506" s="1">
        <v>44044</v>
      </c>
      <c r="C506" t="s">
        <v>157</v>
      </c>
      <c r="D506" t="s">
        <v>52</v>
      </c>
      <c r="E506" t="s">
        <v>53</v>
      </c>
      <c r="F506" t="s">
        <v>242</v>
      </c>
      <c r="G506" s="56">
        <v>44081.950659722221</v>
      </c>
      <c r="H506">
        <v>33</v>
      </c>
      <c r="I506">
        <v>15128</v>
      </c>
      <c r="J506" t="s">
        <v>50</v>
      </c>
      <c r="K506" t="s">
        <v>50</v>
      </c>
      <c r="L506" t="s">
        <v>159</v>
      </c>
      <c r="M506" t="s">
        <v>51</v>
      </c>
      <c r="N506" t="s">
        <v>92</v>
      </c>
      <c r="O506" s="1">
        <v>41335</v>
      </c>
      <c r="P506" t="s">
        <v>84</v>
      </c>
      <c r="Q506">
        <v>2</v>
      </c>
      <c r="R506" t="s">
        <v>94</v>
      </c>
      <c r="S506">
        <v>0</v>
      </c>
      <c r="T506">
        <v>0</v>
      </c>
      <c r="U506">
        <v>0</v>
      </c>
    </row>
    <row r="507" spans="1:21" x14ac:dyDescent="0.25">
      <c r="A507" s="1">
        <v>44044</v>
      </c>
      <c r="B507" s="1">
        <v>44044</v>
      </c>
      <c r="C507" t="s">
        <v>157</v>
      </c>
      <c r="D507" t="s">
        <v>55</v>
      </c>
      <c r="E507" t="s">
        <v>56</v>
      </c>
      <c r="F507" t="s">
        <v>241</v>
      </c>
      <c r="G507" s="56">
        <v>44081.950659722221</v>
      </c>
      <c r="H507">
        <v>33</v>
      </c>
      <c r="I507">
        <v>15128</v>
      </c>
      <c r="J507" t="s">
        <v>50</v>
      </c>
      <c r="K507" t="s">
        <v>50</v>
      </c>
      <c r="L507" t="s">
        <v>159</v>
      </c>
      <c r="M507" t="s">
        <v>51</v>
      </c>
      <c r="N507" t="s">
        <v>92</v>
      </c>
      <c r="O507" s="1">
        <v>41335</v>
      </c>
      <c r="P507" t="s">
        <v>84</v>
      </c>
      <c r="Q507">
        <v>2</v>
      </c>
      <c r="R507" t="s">
        <v>94</v>
      </c>
      <c r="S507">
        <v>8.7653189999999999</v>
      </c>
      <c r="T507">
        <v>1.0669999999999999</v>
      </c>
      <c r="U507">
        <v>9</v>
      </c>
    </row>
    <row r="508" spans="1:21" x14ac:dyDescent="0.25">
      <c r="A508" s="1">
        <v>44044</v>
      </c>
      <c r="B508" s="1">
        <v>44044</v>
      </c>
      <c r="C508" t="s">
        <v>157</v>
      </c>
      <c r="D508" t="s">
        <v>54</v>
      </c>
      <c r="E508" t="s">
        <v>21</v>
      </c>
      <c r="F508" t="s">
        <v>238</v>
      </c>
      <c r="G508" s="56">
        <v>44081.950659722221</v>
      </c>
      <c r="H508">
        <v>33</v>
      </c>
      <c r="I508">
        <v>15128</v>
      </c>
      <c r="J508" t="s">
        <v>50</v>
      </c>
      <c r="K508" t="s">
        <v>50</v>
      </c>
      <c r="L508" t="s">
        <v>159</v>
      </c>
      <c r="M508" t="s">
        <v>51</v>
      </c>
      <c r="N508" t="s">
        <v>92</v>
      </c>
      <c r="O508" s="1">
        <v>41335</v>
      </c>
      <c r="P508" t="s">
        <v>84</v>
      </c>
      <c r="Q508">
        <v>2</v>
      </c>
      <c r="R508" t="s">
        <v>94</v>
      </c>
      <c r="S508">
        <v>0</v>
      </c>
      <c r="T508">
        <v>6136.88</v>
      </c>
      <c r="U508">
        <v>0</v>
      </c>
    </row>
    <row r="509" spans="1:21" x14ac:dyDescent="0.25">
      <c r="A509" s="1">
        <v>44044</v>
      </c>
      <c r="B509" s="1">
        <v>44044</v>
      </c>
      <c r="C509" t="s">
        <v>157</v>
      </c>
      <c r="D509" t="s">
        <v>48</v>
      </c>
      <c r="E509" t="s">
        <v>49</v>
      </c>
      <c r="F509" t="s">
        <v>239</v>
      </c>
      <c r="G509" s="56">
        <v>44081.950659722221</v>
      </c>
      <c r="H509">
        <v>33</v>
      </c>
      <c r="I509">
        <v>15128</v>
      </c>
      <c r="J509" t="s">
        <v>50</v>
      </c>
      <c r="K509" t="s">
        <v>50</v>
      </c>
      <c r="L509" t="s">
        <v>159</v>
      </c>
      <c r="M509" t="s">
        <v>51</v>
      </c>
      <c r="N509" t="s">
        <v>92</v>
      </c>
      <c r="O509" s="1">
        <v>41335</v>
      </c>
      <c r="P509" t="s">
        <v>84</v>
      </c>
      <c r="Q509">
        <v>2</v>
      </c>
      <c r="R509" t="s">
        <v>94</v>
      </c>
      <c r="S509">
        <v>8.7799999999999994</v>
      </c>
      <c r="T509">
        <v>81.448999999999998</v>
      </c>
      <c r="U509">
        <v>715</v>
      </c>
    </row>
    <row r="510" spans="1:21" x14ac:dyDescent="0.25">
      <c r="A510" s="1">
        <v>44044</v>
      </c>
      <c r="B510" s="1">
        <v>44044</v>
      </c>
      <c r="C510" t="s">
        <v>157</v>
      </c>
      <c r="D510" t="s">
        <v>52</v>
      </c>
      <c r="E510" t="s">
        <v>53</v>
      </c>
      <c r="F510" t="s">
        <v>242</v>
      </c>
      <c r="G510" s="56">
        <v>44081.950659722221</v>
      </c>
      <c r="H510">
        <v>33</v>
      </c>
      <c r="I510">
        <v>15128</v>
      </c>
      <c r="J510" t="s">
        <v>50</v>
      </c>
      <c r="K510" t="s">
        <v>50</v>
      </c>
      <c r="L510" t="s">
        <v>159</v>
      </c>
      <c r="M510" t="s">
        <v>51</v>
      </c>
      <c r="N510" t="s">
        <v>92</v>
      </c>
      <c r="O510" s="1">
        <v>41335</v>
      </c>
      <c r="P510" t="s">
        <v>84</v>
      </c>
      <c r="Q510">
        <v>3</v>
      </c>
      <c r="R510" t="s">
        <v>81</v>
      </c>
      <c r="S510">
        <v>0</v>
      </c>
      <c r="T510">
        <v>0</v>
      </c>
      <c r="U510">
        <v>0</v>
      </c>
    </row>
    <row r="511" spans="1:21" x14ac:dyDescent="0.25">
      <c r="A511" s="1">
        <v>44044</v>
      </c>
      <c r="B511" s="1">
        <v>44044</v>
      </c>
      <c r="C511" t="s">
        <v>157</v>
      </c>
      <c r="D511" t="s">
        <v>55</v>
      </c>
      <c r="E511" t="s">
        <v>56</v>
      </c>
      <c r="F511" t="s">
        <v>241</v>
      </c>
      <c r="G511" s="56">
        <v>44081.950659722221</v>
      </c>
      <c r="H511">
        <v>33</v>
      </c>
      <c r="I511">
        <v>15128</v>
      </c>
      <c r="J511" t="s">
        <v>50</v>
      </c>
      <c r="K511" t="s">
        <v>50</v>
      </c>
      <c r="L511" t="s">
        <v>159</v>
      </c>
      <c r="M511" t="s">
        <v>51</v>
      </c>
      <c r="N511" t="s">
        <v>92</v>
      </c>
      <c r="O511" s="1">
        <v>41335</v>
      </c>
      <c r="P511" t="s">
        <v>84</v>
      </c>
      <c r="Q511">
        <v>3</v>
      </c>
      <c r="R511" t="s">
        <v>81</v>
      </c>
      <c r="S511">
        <v>304.37409600000001</v>
      </c>
      <c r="T511">
        <v>1.0669999999999999</v>
      </c>
      <c r="U511">
        <v>325</v>
      </c>
    </row>
    <row r="512" spans="1:21" x14ac:dyDescent="0.25">
      <c r="A512" s="1">
        <v>44044</v>
      </c>
      <c r="B512" s="1">
        <v>44044</v>
      </c>
      <c r="C512" t="s">
        <v>157</v>
      </c>
      <c r="D512" t="s">
        <v>48</v>
      </c>
      <c r="E512" t="s">
        <v>49</v>
      </c>
      <c r="F512" t="s">
        <v>239</v>
      </c>
      <c r="G512" s="56">
        <v>44081.950659722221</v>
      </c>
      <c r="H512">
        <v>33</v>
      </c>
      <c r="I512">
        <v>15128</v>
      </c>
      <c r="J512" t="s">
        <v>50</v>
      </c>
      <c r="K512" t="s">
        <v>50</v>
      </c>
      <c r="L512" t="s">
        <v>159</v>
      </c>
      <c r="M512" t="s">
        <v>51</v>
      </c>
      <c r="N512" t="s">
        <v>92</v>
      </c>
      <c r="O512" s="1">
        <v>41335</v>
      </c>
      <c r="P512" t="s">
        <v>84</v>
      </c>
      <c r="Q512">
        <v>3</v>
      </c>
      <c r="R512" t="s">
        <v>81</v>
      </c>
      <c r="S512">
        <v>304.37409600000001</v>
      </c>
      <c r="T512">
        <v>76.619</v>
      </c>
      <c r="U512">
        <v>23321</v>
      </c>
    </row>
    <row r="513" spans="1:21" x14ac:dyDescent="0.25">
      <c r="A513" s="1">
        <v>44044</v>
      </c>
      <c r="B513" s="1">
        <v>44044</v>
      </c>
      <c r="C513" t="s">
        <v>157</v>
      </c>
      <c r="D513" t="s">
        <v>95</v>
      </c>
      <c r="E513" t="s">
        <v>56</v>
      </c>
      <c r="F513" t="s">
        <v>240</v>
      </c>
      <c r="G513" s="56">
        <v>44119.739837962959</v>
      </c>
      <c r="H513">
        <v>33</v>
      </c>
      <c r="I513" t="s">
        <v>351</v>
      </c>
      <c r="J513" t="s">
        <v>50</v>
      </c>
      <c r="K513" t="s">
        <v>50</v>
      </c>
      <c r="L513" t="s">
        <v>159</v>
      </c>
      <c r="M513" t="s">
        <v>51</v>
      </c>
      <c r="N513" t="s">
        <v>92</v>
      </c>
      <c r="O513" s="1">
        <v>41335</v>
      </c>
      <c r="P513" t="s">
        <v>84</v>
      </c>
      <c r="Q513">
        <v>3</v>
      </c>
      <c r="R513" t="s">
        <v>81</v>
      </c>
      <c r="S513">
        <v>1</v>
      </c>
      <c r="T513">
        <v>2</v>
      </c>
      <c r="U513">
        <v>2</v>
      </c>
    </row>
    <row r="514" spans="1:21" x14ac:dyDescent="0.25">
      <c r="A514" s="1">
        <v>44044</v>
      </c>
      <c r="B514" s="1">
        <v>44044</v>
      </c>
      <c r="C514" t="s">
        <v>157</v>
      </c>
      <c r="D514" t="s">
        <v>93</v>
      </c>
      <c r="E514" t="s">
        <v>49</v>
      </c>
      <c r="F514" t="s">
        <v>243</v>
      </c>
      <c r="G514" s="56">
        <v>44119.739837962959</v>
      </c>
      <c r="H514">
        <v>33</v>
      </c>
      <c r="I514" t="s">
        <v>351</v>
      </c>
      <c r="J514" t="s">
        <v>50</v>
      </c>
      <c r="K514" t="s">
        <v>50</v>
      </c>
      <c r="L514" t="s">
        <v>159</v>
      </c>
      <c r="M514" t="s">
        <v>51</v>
      </c>
      <c r="N514" t="s">
        <v>92</v>
      </c>
      <c r="O514" s="1">
        <v>41335</v>
      </c>
      <c r="P514" t="s">
        <v>84</v>
      </c>
      <c r="Q514">
        <v>3</v>
      </c>
      <c r="R514" t="s">
        <v>81</v>
      </c>
      <c r="S514">
        <v>1</v>
      </c>
      <c r="T514">
        <v>99</v>
      </c>
      <c r="U514">
        <v>99</v>
      </c>
    </row>
    <row r="515" spans="1:21" x14ac:dyDescent="0.25">
      <c r="A515" s="1">
        <v>44044</v>
      </c>
      <c r="B515" s="1">
        <v>44044</v>
      </c>
      <c r="C515" t="s">
        <v>157</v>
      </c>
      <c r="D515" t="s">
        <v>54</v>
      </c>
      <c r="E515" t="s">
        <v>21</v>
      </c>
      <c r="F515" t="s">
        <v>238</v>
      </c>
      <c r="G515" s="56">
        <v>44081.950659722221</v>
      </c>
      <c r="H515">
        <v>33</v>
      </c>
      <c r="I515">
        <v>15128</v>
      </c>
      <c r="J515" t="s">
        <v>50</v>
      </c>
      <c r="K515" t="s">
        <v>50</v>
      </c>
      <c r="L515" t="s">
        <v>159</v>
      </c>
      <c r="M515" t="s">
        <v>51</v>
      </c>
      <c r="N515" t="s">
        <v>92</v>
      </c>
      <c r="O515" s="1">
        <v>41335</v>
      </c>
      <c r="P515" t="s">
        <v>84</v>
      </c>
      <c r="Q515">
        <v>3</v>
      </c>
      <c r="R515" t="s">
        <v>81</v>
      </c>
      <c r="S515">
        <v>0</v>
      </c>
      <c r="T515">
        <v>5859.08</v>
      </c>
      <c r="U515">
        <v>0</v>
      </c>
    </row>
    <row r="516" spans="1:21" x14ac:dyDescent="0.25">
      <c r="A516" s="1">
        <v>44044</v>
      </c>
      <c r="B516" s="1">
        <v>44044</v>
      </c>
      <c r="C516" t="s">
        <v>157</v>
      </c>
      <c r="D516" t="s">
        <v>55</v>
      </c>
      <c r="E516" t="s">
        <v>56</v>
      </c>
      <c r="F516" t="s">
        <v>241</v>
      </c>
      <c r="G516" s="56">
        <v>44081.950659722221</v>
      </c>
      <c r="H516">
        <v>33</v>
      </c>
      <c r="I516">
        <v>15128</v>
      </c>
      <c r="J516" t="s">
        <v>50</v>
      </c>
      <c r="K516" t="s">
        <v>50</v>
      </c>
      <c r="L516" t="s">
        <v>159</v>
      </c>
      <c r="M516" t="s">
        <v>51</v>
      </c>
      <c r="N516" t="s">
        <v>92</v>
      </c>
      <c r="O516" s="1">
        <v>41335</v>
      </c>
      <c r="P516" t="s">
        <v>84</v>
      </c>
      <c r="Q516">
        <v>4</v>
      </c>
      <c r="R516" t="s">
        <v>27</v>
      </c>
      <c r="S516">
        <v>2559.6909580000001</v>
      </c>
      <c r="T516">
        <v>1.0669999999999999</v>
      </c>
      <c r="U516">
        <v>2731</v>
      </c>
    </row>
    <row r="517" spans="1:21" x14ac:dyDescent="0.25">
      <c r="A517" s="1">
        <v>44044</v>
      </c>
      <c r="B517" s="1">
        <v>44044</v>
      </c>
      <c r="C517" t="s">
        <v>157</v>
      </c>
      <c r="D517" t="s">
        <v>48</v>
      </c>
      <c r="E517" t="s">
        <v>49</v>
      </c>
      <c r="F517" t="s">
        <v>239</v>
      </c>
      <c r="G517" s="56">
        <v>44081.950659722221</v>
      </c>
      <c r="H517">
        <v>33</v>
      </c>
      <c r="I517">
        <v>15128</v>
      </c>
      <c r="J517" t="s">
        <v>50</v>
      </c>
      <c r="K517" t="s">
        <v>50</v>
      </c>
      <c r="L517" t="s">
        <v>159</v>
      </c>
      <c r="M517" t="s">
        <v>51</v>
      </c>
      <c r="N517" t="s">
        <v>92</v>
      </c>
      <c r="O517" s="1">
        <v>41335</v>
      </c>
      <c r="P517" t="s">
        <v>84</v>
      </c>
      <c r="Q517">
        <v>4</v>
      </c>
      <c r="R517" t="s">
        <v>27</v>
      </c>
      <c r="S517">
        <v>2559.6909580000001</v>
      </c>
      <c r="T517">
        <v>76.742999999999995</v>
      </c>
      <c r="U517">
        <v>196438</v>
      </c>
    </row>
    <row r="518" spans="1:21" x14ac:dyDescent="0.25">
      <c r="A518" s="1">
        <v>44044</v>
      </c>
      <c r="B518" s="1">
        <v>44044</v>
      </c>
      <c r="C518" t="s">
        <v>157</v>
      </c>
      <c r="D518" t="s">
        <v>95</v>
      </c>
      <c r="E518" t="s">
        <v>56</v>
      </c>
      <c r="F518" t="s">
        <v>240</v>
      </c>
      <c r="G518" s="56">
        <v>44119.739837962959</v>
      </c>
      <c r="H518">
        <v>33</v>
      </c>
      <c r="I518" t="s">
        <v>351</v>
      </c>
      <c r="J518" t="s">
        <v>50</v>
      </c>
      <c r="K518" t="s">
        <v>50</v>
      </c>
      <c r="L518" t="s">
        <v>159</v>
      </c>
      <c r="M518" t="s">
        <v>51</v>
      </c>
      <c r="N518" t="s">
        <v>92</v>
      </c>
      <c r="O518" s="1">
        <v>41335</v>
      </c>
      <c r="P518" t="s">
        <v>84</v>
      </c>
      <c r="Q518">
        <v>4</v>
      </c>
      <c r="R518" t="s">
        <v>27</v>
      </c>
      <c r="S518">
        <v>1</v>
      </c>
      <c r="T518">
        <v>10</v>
      </c>
      <c r="U518">
        <v>10</v>
      </c>
    </row>
    <row r="519" spans="1:21" x14ac:dyDescent="0.25">
      <c r="A519" s="1">
        <v>44044</v>
      </c>
      <c r="B519" s="1">
        <v>44044</v>
      </c>
      <c r="C519" t="s">
        <v>157</v>
      </c>
      <c r="D519" t="s">
        <v>52</v>
      </c>
      <c r="E519" t="s">
        <v>53</v>
      </c>
      <c r="F519" t="s">
        <v>242</v>
      </c>
      <c r="G519" s="56">
        <v>44081.950659722221</v>
      </c>
      <c r="H519">
        <v>33</v>
      </c>
      <c r="I519">
        <v>15128</v>
      </c>
      <c r="J519" t="s">
        <v>50</v>
      </c>
      <c r="K519" t="s">
        <v>50</v>
      </c>
      <c r="L519" t="s">
        <v>159</v>
      </c>
      <c r="M519" t="s">
        <v>51</v>
      </c>
      <c r="N519" t="s">
        <v>92</v>
      </c>
      <c r="O519" s="1">
        <v>41335</v>
      </c>
      <c r="P519" t="s">
        <v>84</v>
      </c>
      <c r="Q519">
        <v>4</v>
      </c>
      <c r="R519" t="s">
        <v>27</v>
      </c>
      <c r="S519">
        <v>0</v>
      </c>
      <c r="T519">
        <v>0</v>
      </c>
      <c r="U519">
        <v>0</v>
      </c>
    </row>
    <row r="520" spans="1:21" x14ac:dyDescent="0.25">
      <c r="A520" s="1">
        <v>44044</v>
      </c>
      <c r="B520" s="1">
        <v>44044</v>
      </c>
      <c r="C520" t="s">
        <v>157</v>
      </c>
      <c r="D520" t="s">
        <v>93</v>
      </c>
      <c r="E520" t="s">
        <v>49</v>
      </c>
      <c r="F520" t="s">
        <v>243</v>
      </c>
      <c r="G520" s="56">
        <v>44119.739837962959</v>
      </c>
      <c r="H520">
        <v>33</v>
      </c>
      <c r="I520" t="s">
        <v>351</v>
      </c>
      <c r="J520" t="s">
        <v>50</v>
      </c>
      <c r="K520" t="s">
        <v>50</v>
      </c>
      <c r="L520" t="s">
        <v>159</v>
      </c>
      <c r="M520" t="s">
        <v>51</v>
      </c>
      <c r="N520" t="s">
        <v>92</v>
      </c>
      <c r="O520" s="1">
        <v>41335</v>
      </c>
      <c r="P520" t="s">
        <v>84</v>
      </c>
      <c r="Q520">
        <v>4</v>
      </c>
      <c r="R520" t="s">
        <v>27</v>
      </c>
      <c r="S520">
        <v>1</v>
      </c>
      <c r="T520">
        <v>835</v>
      </c>
      <c r="U520">
        <v>835</v>
      </c>
    </row>
    <row r="521" spans="1:21" x14ac:dyDescent="0.25">
      <c r="A521" s="1">
        <v>44044</v>
      </c>
      <c r="B521" s="1">
        <v>44044</v>
      </c>
      <c r="C521" t="s">
        <v>157</v>
      </c>
      <c r="D521" t="s">
        <v>54</v>
      </c>
      <c r="E521" t="s">
        <v>21</v>
      </c>
      <c r="F521" t="s">
        <v>238</v>
      </c>
      <c r="G521" s="56">
        <v>44081.950659722221</v>
      </c>
      <c r="H521">
        <v>33</v>
      </c>
      <c r="I521">
        <v>15128</v>
      </c>
      <c r="J521" t="s">
        <v>50</v>
      </c>
      <c r="K521" t="s">
        <v>50</v>
      </c>
      <c r="L521" t="s">
        <v>159</v>
      </c>
      <c r="M521" t="s">
        <v>51</v>
      </c>
      <c r="N521" t="s">
        <v>92</v>
      </c>
      <c r="O521" s="1">
        <v>41335</v>
      </c>
      <c r="P521" t="s">
        <v>84</v>
      </c>
      <c r="Q521">
        <v>4</v>
      </c>
      <c r="R521" t="s">
        <v>27</v>
      </c>
      <c r="S521">
        <v>0</v>
      </c>
      <c r="T521">
        <v>5985.9</v>
      </c>
      <c r="U521">
        <v>0</v>
      </c>
    </row>
    <row r="522" spans="1:21" x14ac:dyDescent="0.25">
      <c r="A522" s="1">
        <v>44044</v>
      </c>
      <c r="B522" s="1">
        <v>44044</v>
      </c>
      <c r="C522" t="s">
        <v>157</v>
      </c>
      <c r="D522" t="s">
        <v>52</v>
      </c>
      <c r="E522" t="s">
        <v>53</v>
      </c>
      <c r="F522" t="s">
        <v>242</v>
      </c>
      <c r="G522" s="56">
        <v>44081.950659722221</v>
      </c>
      <c r="H522">
        <v>33</v>
      </c>
      <c r="I522">
        <v>15128</v>
      </c>
      <c r="J522" t="s">
        <v>50</v>
      </c>
      <c r="K522" t="s">
        <v>50</v>
      </c>
      <c r="L522" t="s">
        <v>159</v>
      </c>
      <c r="M522" t="s">
        <v>51</v>
      </c>
      <c r="N522" t="s">
        <v>92</v>
      </c>
      <c r="O522" s="1">
        <v>41335</v>
      </c>
      <c r="P522" t="s">
        <v>84</v>
      </c>
      <c r="Q522">
        <v>5</v>
      </c>
      <c r="R522" t="s">
        <v>28</v>
      </c>
      <c r="S522">
        <v>0</v>
      </c>
      <c r="T522">
        <v>0</v>
      </c>
      <c r="U522">
        <v>0</v>
      </c>
    </row>
    <row r="523" spans="1:21" x14ac:dyDescent="0.25">
      <c r="A523" s="1">
        <v>44044</v>
      </c>
      <c r="B523" s="1">
        <v>44044</v>
      </c>
      <c r="C523" t="s">
        <v>157</v>
      </c>
      <c r="D523" t="s">
        <v>93</v>
      </c>
      <c r="E523" t="s">
        <v>49</v>
      </c>
      <c r="F523" t="s">
        <v>243</v>
      </c>
      <c r="G523" s="56">
        <v>44119.739837962959</v>
      </c>
      <c r="H523">
        <v>33</v>
      </c>
      <c r="I523" t="s">
        <v>351</v>
      </c>
      <c r="J523" t="s">
        <v>50</v>
      </c>
      <c r="K523" t="s">
        <v>50</v>
      </c>
      <c r="L523" t="s">
        <v>159</v>
      </c>
      <c r="M523" t="s">
        <v>51</v>
      </c>
      <c r="N523" t="s">
        <v>92</v>
      </c>
      <c r="O523" s="1">
        <v>41335</v>
      </c>
      <c r="P523" t="s">
        <v>84</v>
      </c>
      <c r="Q523">
        <v>5</v>
      </c>
      <c r="R523" t="s">
        <v>28</v>
      </c>
      <c r="S523">
        <v>1</v>
      </c>
      <c r="T523">
        <v>4</v>
      </c>
      <c r="U523">
        <v>4</v>
      </c>
    </row>
    <row r="524" spans="1:21" x14ac:dyDescent="0.25">
      <c r="A524" s="1">
        <v>44044</v>
      </c>
      <c r="B524" s="1">
        <v>44044</v>
      </c>
      <c r="C524" t="s">
        <v>157</v>
      </c>
      <c r="D524" t="s">
        <v>48</v>
      </c>
      <c r="E524" t="s">
        <v>49</v>
      </c>
      <c r="F524" t="s">
        <v>239</v>
      </c>
      <c r="G524" s="56">
        <v>44081.950659722221</v>
      </c>
      <c r="H524">
        <v>33</v>
      </c>
      <c r="I524">
        <v>15128</v>
      </c>
      <c r="J524" t="s">
        <v>50</v>
      </c>
      <c r="K524" t="s">
        <v>50</v>
      </c>
      <c r="L524" t="s">
        <v>159</v>
      </c>
      <c r="M524" t="s">
        <v>51</v>
      </c>
      <c r="N524" t="s">
        <v>92</v>
      </c>
      <c r="O524" s="1">
        <v>41335</v>
      </c>
      <c r="P524" t="s">
        <v>84</v>
      </c>
      <c r="Q524">
        <v>5</v>
      </c>
      <c r="R524" t="s">
        <v>28</v>
      </c>
      <c r="S524">
        <v>10.585311000000001</v>
      </c>
      <c r="T524">
        <v>79.302000000000007</v>
      </c>
      <c r="U524">
        <v>839</v>
      </c>
    </row>
    <row r="525" spans="1:21" x14ac:dyDescent="0.25">
      <c r="A525" s="1">
        <v>44044</v>
      </c>
      <c r="B525" s="1">
        <v>44044</v>
      </c>
      <c r="C525" t="s">
        <v>157</v>
      </c>
      <c r="D525" t="s">
        <v>54</v>
      </c>
      <c r="E525" t="s">
        <v>21</v>
      </c>
      <c r="F525" t="s">
        <v>238</v>
      </c>
      <c r="G525" s="56">
        <v>44081.950659722221</v>
      </c>
      <c r="H525">
        <v>33</v>
      </c>
      <c r="I525">
        <v>15128</v>
      </c>
      <c r="J525" t="s">
        <v>50</v>
      </c>
      <c r="K525" t="s">
        <v>50</v>
      </c>
      <c r="L525" t="s">
        <v>159</v>
      </c>
      <c r="M525" t="s">
        <v>51</v>
      </c>
      <c r="N525" t="s">
        <v>92</v>
      </c>
      <c r="O525" s="1">
        <v>41335</v>
      </c>
      <c r="P525" t="s">
        <v>84</v>
      </c>
      <c r="Q525">
        <v>5</v>
      </c>
      <c r="R525" t="s">
        <v>28</v>
      </c>
      <c r="S525">
        <v>0</v>
      </c>
      <c r="T525">
        <v>5747.96</v>
      </c>
      <c r="U525">
        <v>0</v>
      </c>
    </row>
    <row r="526" spans="1:21" x14ac:dyDescent="0.25">
      <c r="A526" s="1">
        <v>44044</v>
      </c>
      <c r="B526" s="1">
        <v>44044</v>
      </c>
      <c r="C526" t="s">
        <v>157</v>
      </c>
      <c r="D526" t="s">
        <v>55</v>
      </c>
      <c r="E526" t="s">
        <v>56</v>
      </c>
      <c r="F526" t="s">
        <v>241</v>
      </c>
      <c r="G526" s="56">
        <v>44081.950659722221</v>
      </c>
      <c r="H526">
        <v>33</v>
      </c>
      <c r="I526">
        <v>15128</v>
      </c>
      <c r="J526" t="s">
        <v>50</v>
      </c>
      <c r="K526" t="s">
        <v>50</v>
      </c>
      <c r="L526" t="s">
        <v>159</v>
      </c>
      <c r="M526" t="s">
        <v>51</v>
      </c>
      <c r="N526" t="s">
        <v>92</v>
      </c>
      <c r="O526" s="1">
        <v>41335</v>
      </c>
      <c r="P526" t="s">
        <v>84</v>
      </c>
      <c r="Q526">
        <v>5</v>
      </c>
      <c r="R526" t="s">
        <v>28</v>
      </c>
      <c r="S526">
        <v>10.585311000000001</v>
      </c>
      <c r="T526">
        <v>1.0669999999999999</v>
      </c>
      <c r="U526">
        <v>11</v>
      </c>
    </row>
    <row r="527" spans="1:21" x14ac:dyDescent="0.25">
      <c r="A527" s="1">
        <v>44075</v>
      </c>
      <c r="B527" s="1">
        <v>44075</v>
      </c>
      <c r="C527" t="s">
        <v>157</v>
      </c>
      <c r="D527" t="s">
        <v>93</v>
      </c>
      <c r="E527" t="s">
        <v>49</v>
      </c>
      <c r="F527" t="s">
        <v>245</v>
      </c>
      <c r="G527" s="56">
        <v>44153.723773148151</v>
      </c>
      <c r="H527">
        <v>61</v>
      </c>
      <c r="I527" t="s">
        <v>351</v>
      </c>
      <c r="J527" t="s">
        <v>50</v>
      </c>
      <c r="K527" t="s">
        <v>50</v>
      </c>
      <c r="L527" t="s">
        <v>159</v>
      </c>
      <c r="M527" t="s">
        <v>51</v>
      </c>
      <c r="N527" t="s">
        <v>92</v>
      </c>
      <c r="O527" s="1">
        <v>41335</v>
      </c>
      <c r="P527" t="s">
        <v>84</v>
      </c>
      <c r="Q527">
        <v>1</v>
      </c>
      <c r="R527" t="s">
        <v>83</v>
      </c>
      <c r="S527">
        <v>1</v>
      </c>
      <c r="T527">
        <v>-323</v>
      </c>
      <c r="U527">
        <v>-323</v>
      </c>
    </row>
    <row r="528" spans="1:21" x14ac:dyDescent="0.25">
      <c r="A528" s="1">
        <v>44075</v>
      </c>
      <c r="B528" s="1">
        <v>44075</v>
      </c>
      <c r="C528" t="s">
        <v>157</v>
      </c>
      <c r="D528" t="s">
        <v>52</v>
      </c>
      <c r="E528" t="s">
        <v>53</v>
      </c>
      <c r="F528" t="s">
        <v>246</v>
      </c>
      <c r="G528" s="56">
        <v>44111.714999999997</v>
      </c>
      <c r="H528">
        <v>33</v>
      </c>
      <c r="I528">
        <v>15552</v>
      </c>
      <c r="J528" t="s">
        <v>50</v>
      </c>
      <c r="K528" t="s">
        <v>50</v>
      </c>
      <c r="L528" t="s">
        <v>159</v>
      </c>
      <c r="M528" t="s">
        <v>51</v>
      </c>
      <c r="N528" t="s">
        <v>92</v>
      </c>
      <c r="O528" s="1">
        <v>41335</v>
      </c>
      <c r="P528" t="s">
        <v>84</v>
      </c>
      <c r="Q528">
        <v>1</v>
      </c>
      <c r="R528" t="s">
        <v>83</v>
      </c>
      <c r="S528">
        <v>0</v>
      </c>
      <c r="T528">
        <v>0</v>
      </c>
      <c r="U528">
        <v>0</v>
      </c>
    </row>
    <row r="529" spans="1:21" x14ac:dyDescent="0.25">
      <c r="A529" s="1">
        <v>44075</v>
      </c>
      <c r="B529" s="1">
        <v>44075</v>
      </c>
      <c r="C529" t="s">
        <v>157</v>
      </c>
      <c r="D529" t="s">
        <v>95</v>
      </c>
      <c r="E529" t="s">
        <v>56</v>
      </c>
      <c r="F529" t="s">
        <v>247</v>
      </c>
      <c r="G529" s="56">
        <v>44153.723773148151</v>
      </c>
      <c r="H529">
        <v>61</v>
      </c>
      <c r="I529" t="s">
        <v>351</v>
      </c>
      <c r="J529" t="s">
        <v>50</v>
      </c>
      <c r="K529" t="s">
        <v>50</v>
      </c>
      <c r="L529" t="s">
        <v>159</v>
      </c>
      <c r="M529" t="s">
        <v>51</v>
      </c>
      <c r="N529" t="s">
        <v>92</v>
      </c>
      <c r="O529" s="1">
        <v>41335</v>
      </c>
      <c r="P529" t="s">
        <v>84</v>
      </c>
      <c r="Q529">
        <v>1</v>
      </c>
      <c r="R529" t="s">
        <v>83</v>
      </c>
      <c r="S529">
        <v>1</v>
      </c>
      <c r="T529">
        <v>-5</v>
      </c>
      <c r="U529">
        <v>-5</v>
      </c>
    </row>
    <row r="530" spans="1:21" x14ac:dyDescent="0.25">
      <c r="A530" s="1">
        <v>44075</v>
      </c>
      <c r="B530" s="1">
        <v>44075</v>
      </c>
      <c r="C530" t="s">
        <v>157</v>
      </c>
      <c r="D530" t="s">
        <v>54</v>
      </c>
      <c r="E530" t="s">
        <v>21</v>
      </c>
      <c r="F530" t="s">
        <v>248</v>
      </c>
      <c r="G530" s="56">
        <v>44111.714999999997</v>
      </c>
      <c r="H530">
        <v>33</v>
      </c>
      <c r="I530">
        <v>15552</v>
      </c>
      <c r="J530" t="s">
        <v>50</v>
      </c>
      <c r="K530" t="s">
        <v>50</v>
      </c>
      <c r="L530" t="s">
        <v>159</v>
      </c>
      <c r="M530" t="s">
        <v>51</v>
      </c>
      <c r="N530" t="s">
        <v>92</v>
      </c>
      <c r="O530" s="1">
        <v>41335</v>
      </c>
      <c r="P530" t="s">
        <v>84</v>
      </c>
      <c r="Q530">
        <v>1</v>
      </c>
      <c r="R530" t="s">
        <v>83</v>
      </c>
      <c r="S530">
        <v>0</v>
      </c>
      <c r="T530">
        <v>6059.26</v>
      </c>
      <c r="U530">
        <v>0</v>
      </c>
    </row>
    <row r="531" spans="1:21" x14ac:dyDescent="0.25">
      <c r="A531" s="1">
        <v>44075</v>
      </c>
      <c r="B531" s="1">
        <v>44075</v>
      </c>
      <c r="C531" t="s">
        <v>157</v>
      </c>
      <c r="D531" t="s">
        <v>48</v>
      </c>
      <c r="E531" t="s">
        <v>49</v>
      </c>
      <c r="F531" t="s">
        <v>249</v>
      </c>
      <c r="G531" s="56">
        <v>44111.714999999997</v>
      </c>
      <c r="H531">
        <v>33</v>
      </c>
      <c r="I531">
        <v>15552</v>
      </c>
      <c r="J531" t="s">
        <v>50</v>
      </c>
      <c r="K531" t="s">
        <v>50</v>
      </c>
      <c r="L531" t="s">
        <v>159</v>
      </c>
      <c r="M531" t="s">
        <v>51</v>
      </c>
      <c r="N531" t="s">
        <v>92</v>
      </c>
      <c r="O531" s="1">
        <v>41335</v>
      </c>
      <c r="P531" t="s">
        <v>84</v>
      </c>
      <c r="Q531">
        <v>1</v>
      </c>
      <c r="R531" t="s">
        <v>83</v>
      </c>
      <c r="S531">
        <v>1931.180057</v>
      </c>
      <c r="T531">
        <v>80.344999999999999</v>
      </c>
      <c r="U531">
        <v>155161</v>
      </c>
    </row>
    <row r="532" spans="1:21" x14ac:dyDescent="0.25">
      <c r="A532" s="1">
        <v>44075</v>
      </c>
      <c r="B532" s="1">
        <v>44075</v>
      </c>
      <c r="C532" t="s">
        <v>157</v>
      </c>
      <c r="D532" t="s">
        <v>55</v>
      </c>
      <c r="E532" t="s">
        <v>56</v>
      </c>
      <c r="F532" t="s">
        <v>250</v>
      </c>
      <c r="G532" s="56">
        <v>44111.714999999997</v>
      </c>
      <c r="H532">
        <v>33</v>
      </c>
      <c r="I532">
        <v>15552</v>
      </c>
      <c r="J532" t="s">
        <v>50</v>
      </c>
      <c r="K532" t="s">
        <v>50</v>
      </c>
      <c r="L532" t="s">
        <v>159</v>
      </c>
      <c r="M532" t="s">
        <v>51</v>
      </c>
      <c r="N532" t="s">
        <v>92</v>
      </c>
      <c r="O532" s="1">
        <v>41335</v>
      </c>
      <c r="P532" t="s">
        <v>84</v>
      </c>
      <c r="Q532">
        <v>1</v>
      </c>
      <c r="R532" t="s">
        <v>83</v>
      </c>
      <c r="S532">
        <v>1931.180057</v>
      </c>
      <c r="T532">
        <v>1.0669999999999999</v>
      </c>
      <c r="U532">
        <v>2061</v>
      </c>
    </row>
    <row r="533" spans="1:21" x14ac:dyDescent="0.25">
      <c r="A533" s="1">
        <v>44075</v>
      </c>
      <c r="B533" s="1">
        <v>44075</v>
      </c>
      <c r="C533" t="s">
        <v>157</v>
      </c>
      <c r="D533" t="s">
        <v>54</v>
      </c>
      <c r="E533" t="s">
        <v>21</v>
      </c>
      <c r="F533" t="s">
        <v>248</v>
      </c>
      <c r="G533" s="56">
        <v>44111.714999999997</v>
      </c>
      <c r="H533">
        <v>33</v>
      </c>
      <c r="I533">
        <v>15552</v>
      </c>
      <c r="J533" t="s">
        <v>50</v>
      </c>
      <c r="K533" t="s">
        <v>50</v>
      </c>
      <c r="L533" t="s">
        <v>159</v>
      </c>
      <c r="M533" t="s">
        <v>51</v>
      </c>
      <c r="N533" t="s">
        <v>92</v>
      </c>
      <c r="O533" s="1">
        <v>41335</v>
      </c>
      <c r="P533" t="s">
        <v>84</v>
      </c>
      <c r="Q533">
        <v>2</v>
      </c>
      <c r="R533" t="s">
        <v>94</v>
      </c>
      <c r="S533">
        <v>0</v>
      </c>
      <c r="T533">
        <v>6135.33</v>
      </c>
      <c r="U533">
        <v>0</v>
      </c>
    </row>
    <row r="534" spans="1:21" x14ac:dyDescent="0.25">
      <c r="A534" s="1">
        <v>44075</v>
      </c>
      <c r="B534" s="1">
        <v>44075</v>
      </c>
      <c r="C534" t="s">
        <v>157</v>
      </c>
      <c r="D534" t="s">
        <v>93</v>
      </c>
      <c r="E534" t="s">
        <v>49</v>
      </c>
      <c r="F534" t="s">
        <v>245</v>
      </c>
      <c r="G534" s="56">
        <v>44153.723773148151</v>
      </c>
      <c r="H534">
        <v>61</v>
      </c>
      <c r="I534" t="s">
        <v>351</v>
      </c>
      <c r="J534" t="s">
        <v>50</v>
      </c>
      <c r="K534" t="s">
        <v>50</v>
      </c>
      <c r="L534" t="s">
        <v>159</v>
      </c>
      <c r="M534" t="s">
        <v>51</v>
      </c>
      <c r="N534" t="s">
        <v>92</v>
      </c>
      <c r="O534" s="1">
        <v>41335</v>
      </c>
      <c r="P534" t="s">
        <v>84</v>
      </c>
      <c r="Q534">
        <v>2</v>
      </c>
      <c r="R534" t="s">
        <v>94</v>
      </c>
      <c r="S534">
        <v>1</v>
      </c>
      <c r="T534">
        <v>-2</v>
      </c>
      <c r="U534">
        <v>-2</v>
      </c>
    </row>
    <row r="535" spans="1:21" x14ac:dyDescent="0.25">
      <c r="A535" s="1">
        <v>44075</v>
      </c>
      <c r="B535" s="1">
        <v>44075</v>
      </c>
      <c r="C535" t="s">
        <v>157</v>
      </c>
      <c r="D535" t="s">
        <v>52</v>
      </c>
      <c r="E535" t="s">
        <v>53</v>
      </c>
      <c r="F535" t="s">
        <v>246</v>
      </c>
      <c r="G535" s="56">
        <v>44111.714999999997</v>
      </c>
      <c r="H535">
        <v>33</v>
      </c>
      <c r="I535">
        <v>15552</v>
      </c>
      <c r="J535" t="s">
        <v>50</v>
      </c>
      <c r="K535" t="s">
        <v>50</v>
      </c>
      <c r="L535" t="s">
        <v>159</v>
      </c>
      <c r="M535" t="s">
        <v>51</v>
      </c>
      <c r="N535" t="s">
        <v>92</v>
      </c>
      <c r="O535" s="1">
        <v>41335</v>
      </c>
      <c r="P535" t="s">
        <v>84</v>
      </c>
      <c r="Q535">
        <v>2</v>
      </c>
      <c r="R535" t="s">
        <v>94</v>
      </c>
      <c r="S535">
        <v>0</v>
      </c>
      <c r="T535">
        <v>0</v>
      </c>
      <c r="U535">
        <v>0</v>
      </c>
    </row>
    <row r="536" spans="1:21" x14ac:dyDescent="0.25">
      <c r="A536" s="1">
        <v>44075</v>
      </c>
      <c r="B536" s="1">
        <v>44075</v>
      </c>
      <c r="C536" t="s">
        <v>157</v>
      </c>
      <c r="D536" t="s">
        <v>48</v>
      </c>
      <c r="E536" t="s">
        <v>49</v>
      </c>
      <c r="F536" t="s">
        <v>249</v>
      </c>
      <c r="G536" s="56">
        <v>44111.714999999997</v>
      </c>
      <c r="H536">
        <v>33</v>
      </c>
      <c r="I536">
        <v>15552</v>
      </c>
      <c r="J536" t="s">
        <v>50</v>
      </c>
      <c r="K536" t="s">
        <v>50</v>
      </c>
      <c r="L536" t="s">
        <v>159</v>
      </c>
      <c r="M536" t="s">
        <v>51</v>
      </c>
      <c r="N536" t="s">
        <v>92</v>
      </c>
      <c r="O536" s="1">
        <v>41335</v>
      </c>
      <c r="P536" t="s">
        <v>84</v>
      </c>
      <c r="Q536">
        <v>2</v>
      </c>
      <c r="R536" t="s">
        <v>94</v>
      </c>
      <c r="S536">
        <v>8.5106800000000007</v>
      </c>
      <c r="T536">
        <v>81.489000000000004</v>
      </c>
      <c r="U536">
        <v>694</v>
      </c>
    </row>
    <row r="537" spans="1:21" x14ac:dyDescent="0.25">
      <c r="A537" s="1">
        <v>44075</v>
      </c>
      <c r="B537" s="1">
        <v>44075</v>
      </c>
      <c r="C537" t="s">
        <v>157</v>
      </c>
      <c r="D537" t="s">
        <v>55</v>
      </c>
      <c r="E537" t="s">
        <v>56</v>
      </c>
      <c r="F537" t="s">
        <v>250</v>
      </c>
      <c r="G537" s="56">
        <v>44111.714999999997</v>
      </c>
      <c r="H537">
        <v>33</v>
      </c>
      <c r="I537">
        <v>15552</v>
      </c>
      <c r="J537" t="s">
        <v>50</v>
      </c>
      <c r="K537" t="s">
        <v>50</v>
      </c>
      <c r="L537" t="s">
        <v>159</v>
      </c>
      <c r="M537" t="s">
        <v>51</v>
      </c>
      <c r="N537" t="s">
        <v>92</v>
      </c>
      <c r="O537" s="1">
        <v>41335</v>
      </c>
      <c r="P537" t="s">
        <v>84</v>
      </c>
      <c r="Q537">
        <v>2</v>
      </c>
      <c r="R537" t="s">
        <v>94</v>
      </c>
      <c r="S537">
        <v>8.5106800000000007</v>
      </c>
      <c r="T537">
        <v>1.0669999999999999</v>
      </c>
      <c r="U537">
        <v>9</v>
      </c>
    </row>
    <row r="538" spans="1:21" x14ac:dyDescent="0.25">
      <c r="A538" s="1">
        <v>44075</v>
      </c>
      <c r="B538" s="1">
        <v>44075</v>
      </c>
      <c r="C538" t="s">
        <v>157</v>
      </c>
      <c r="D538" t="s">
        <v>55</v>
      </c>
      <c r="E538" t="s">
        <v>56</v>
      </c>
      <c r="F538" t="s">
        <v>250</v>
      </c>
      <c r="G538" s="56">
        <v>44111.714999999997</v>
      </c>
      <c r="H538">
        <v>33</v>
      </c>
      <c r="I538">
        <v>15552</v>
      </c>
      <c r="J538" t="s">
        <v>50</v>
      </c>
      <c r="K538" t="s">
        <v>50</v>
      </c>
      <c r="L538" t="s">
        <v>159</v>
      </c>
      <c r="M538" t="s">
        <v>51</v>
      </c>
      <c r="N538" t="s">
        <v>92</v>
      </c>
      <c r="O538" s="1">
        <v>41335</v>
      </c>
      <c r="P538" t="s">
        <v>84</v>
      </c>
      <c r="Q538">
        <v>3</v>
      </c>
      <c r="R538" t="s">
        <v>81</v>
      </c>
      <c r="S538">
        <v>286.88444600000003</v>
      </c>
      <c r="T538">
        <v>1.0669999999999999</v>
      </c>
      <c r="U538">
        <v>306</v>
      </c>
    </row>
    <row r="539" spans="1:21" x14ac:dyDescent="0.25">
      <c r="A539" s="1">
        <v>44075</v>
      </c>
      <c r="B539" s="1">
        <v>44075</v>
      </c>
      <c r="C539" t="s">
        <v>157</v>
      </c>
      <c r="D539" t="s">
        <v>52</v>
      </c>
      <c r="E539" t="s">
        <v>53</v>
      </c>
      <c r="F539" t="s">
        <v>246</v>
      </c>
      <c r="G539" s="56">
        <v>44111.714999999997</v>
      </c>
      <c r="H539">
        <v>33</v>
      </c>
      <c r="I539">
        <v>15552</v>
      </c>
      <c r="J539" t="s">
        <v>50</v>
      </c>
      <c r="K539" t="s">
        <v>50</v>
      </c>
      <c r="L539" t="s">
        <v>159</v>
      </c>
      <c r="M539" t="s">
        <v>51</v>
      </c>
      <c r="N539" t="s">
        <v>92</v>
      </c>
      <c r="O539" s="1">
        <v>41335</v>
      </c>
      <c r="P539" t="s">
        <v>84</v>
      </c>
      <c r="Q539">
        <v>3</v>
      </c>
      <c r="R539" t="s">
        <v>81</v>
      </c>
      <c r="S539">
        <v>0</v>
      </c>
      <c r="T539">
        <v>0</v>
      </c>
      <c r="U539">
        <v>0</v>
      </c>
    </row>
    <row r="540" spans="1:21" x14ac:dyDescent="0.25">
      <c r="A540" s="1">
        <v>44075</v>
      </c>
      <c r="B540" s="1">
        <v>44075</v>
      </c>
      <c r="C540" t="s">
        <v>157</v>
      </c>
      <c r="D540" t="s">
        <v>93</v>
      </c>
      <c r="E540" t="s">
        <v>49</v>
      </c>
      <c r="F540" t="s">
        <v>245</v>
      </c>
      <c r="G540" s="56">
        <v>44153.723773148151</v>
      </c>
      <c r="H540">
        <v>61</v>
      </c>
      <c r="I540" t="s">
        <v>351</v>
      </c>
      <c r="J540" t="s">
        <v>50</v>
      </c>
      <c r="K540" t="s">
        <v>50</v>
      </c>
      <c r="L540" t="s">
        <v>159</v>
      </c>
      <c r="M540" t="s">
        <v>51</v>
      </c>
      <c r="N540" t="s">
        <v>92</v>
      </c>
      <c r="O540" s="1">
        <v>41335</v>
      </c>
      <c r="P540" t="s">
        <v>84</v>
      </c>
      <c r="Q540">
        <v>3</v>
      </c>
      <c r="R540" t="s">
        <v>81</v>
      </c>
      <c r="S540">
        <v>1</v>
      </c>
      <c r="T540">
        <v>-44</v>
      </c>
      <c r="U540">
        <v>-44</v>
      </c>
    </row>
    <row r="541" spans="1:21" x14ac:dyDescent="0.25">
      <c r="A541" s="1">
        <v>44075</v>
      </c>
      <c r="B541" s="1">
        <v>44075</v>
      </c>
      <c r="C541" t="s">
        <v>157</v>
      </c>
      <c r="D541" t="s">
        <v>48</v>
      </c>
      <c r="E541" t="s">
        <v>49</v>
      </c>
      <c r="F541" t="s">
        <v>249</v>
      </c>
      <c r="G541" s="56">
        <v>44111.714999999997</v>
      </c>
      <c r="H541">
        <v>33</v>
      </c>
      <c r="I541">
        <v>15552</v>
      </c>
      <c r="J541" t="s">
        <v>50</v>
      </c>
      <c r="K541" t="s">
        <v>50</v>
      </c>
      <c r="L541" t="s">
        <v>159</v>
      </c>
      <c r="M541" t="s">
        <v>51</v>
      </c>
      <c r="N541" t="s">
        <v>92</v>
      </c>
      <c r="O541" s="1">
        <v>41335</v>
      </c>
      <c r="P541" t="s">
        <v>84</v>
      </c>
      <c r="Q541">
        <v>3</v>
      </c>
      <c r="R541" t="s">
        <v>81</v>
      </c>
      <c r="S541">
        <v>286.86</v>
      </c>
      <c r="T541">
        <v>76.656999999999996</v>
      </c>
      <c r="U541">
        <v>21990</v>
      </c>
    </row>
    <row r="542" spans="1:21" x14ac:dyDescent="0.25">
      <c r="A542" s="1">
        <v>44075</v>
      </c>
      <c r="B542" s="1">
        <v>44075</v>
      </c>
      <c r="C542" t="s">
        <v>157</v>
      </c>
      <c r="D542" t="s">
        <v>54</v>
      </c>
      <c r="E542" t="s">
        <v>21</v>
      </c>
      <c r="F542" t="s">
        <v>248</v>
      </c>
      <c r="G542" s="56">
        <v>44111.714999999997</v>
      </c>
      <c r="H542">
        <v>33</v>
      </c>
      <c r="I542">
        <v>15552</v>
      </c>
      <c r="J542" t="s">
        <v>50</v>
      </c>
      <c r="K542" t="s">
        <v>50</v>
      </c>
      <c r="L542" t="s">
        <v>159</v>
      </c>
      <c r="M542" t="s">
        <v>51</v>
      </c>
      <c r="N542" t="s">
        <v>92</v>
      </c>
      <c r="O542" s="1">
        <v>41335</v>
      </c>
      <c r="P542" t="s">
        <v>84</v>
      </c>
      <c r="Q542">
        <v>3</v>
      </c>
      <c r="R542" t="s">
        <v>81</v>
      </c>
      <c r="S542">
        <v>0</v>
      </c>
      <c r="T542">
        <v>5857.6</v>
      </c>
      <c r="U542">
        <v>0</v>
      </c>
    </row>
    <row r="543" spans="1:21" x14ac:dyDescent="0.25">
      <c r="A543" s="1">
        <v>44075</v>
      </c>
      <c r="B543" s="1">
        <v>44075</v>
      </c>
      <c r="C543" t="s">
        <v>157</v>
      </c>
      <c r="D543" t="s">
        <v>95</v>
      </c>
      <c r="E543" t="s">
        <v>56</v>
      </c>
      <c r="F543" t="s">
        <v>247</v>
      </c>
      <c r="G543" s="56">
        <v>44153.723773148151</v>
      </c>
      <c r="H543">
        <v>61</v>
      </c>
      <c r="I543" t="s">
        <v>351</v>
      </c>
      <c r="J543" t="s">
        <v>50</v>
      </c>
      <c r="K543" t="s">
        <v>50</v>
      </c>
      <c r="L543" t="s">
        <v>159</v>
      </c>
      <c r="M543" t="s">
        <v>51</v>
      </c>
      <c r="N543" t="s">
        <v>92</v>
      </c>
      <c r="O543" s="1">
        <v>41335</v>
      </c>
      <c r="P543" t="s">
        <v>84</v>
      </c>
      <c r="Q543">
        <v>3</v>
      </c>
      <c r="R543" t="s">
        <v>81</v>
      </c>
      <c r="S543">
        <v>1</v>
      </c>
      <c r="T543">
        <v>-1</v>
      </c>
      <c r="U543">
        <v>-1</v>
      </c>
    </row>
    <row r="544" spans="1:21" x14ac:dyDescent="0.25">
      <c r="A544" s="1">
        <v>44075</v>
      </c>
      <c r="B544" s="1">
        <v>44075</v>
      </c>
      <c r="C544" t="s">
        <v>157</v>
      </c>
      <c r="D544" t="s">
        <v>52</v>
      </c>
      <c r="E544" t="s">
        <v>53</v>
      </c>
      <c r="F544" t="s">
        <v>246</v>
      </c>
      <c r="G544" s="56">
        <v>44111.714999999997</v>
      </c>
      <c r="H544">
        <v>33</v>
      </c>
      <c r="I544">
        <v>15552</v>
      </c>
      <c r="J544" t="s">
        <v>50</v>
      </c>
      <c r="K544" t="s">
        <v>50</v>
      </c>
      <c r="L544" t="s">
        <v>159</v>
      </c>
      <c r="M544" t="s">
        <v>51</v>
      </c>
      <c r="N544" t="s">
        <v>92</v>
      </c>
      <c r="O544" s="1">
        <v>41335</v>
      </c>
      <c r="P544" t="s">
        <v>84</v>
      </c>
      <c r="Q544">
        <v>4</v>
      </c>
      <c r="R544" t="s">
        <v>27</v>
      </c>
      <c r="S544">
        <v>0</v>
      </c>
      <c r="T544">
        <v>0</v>
      </c>
      <c r="U544">
        <v>0</v>
      </c>
    </row>
    <row r="545" spans="1:21" x14ac:dyDescent="0.25">
      <c r="A545" s="1">
        <v>44075</v>
      </c>
      <c r="B545" s="1">
        <v>44075</v>
      </c>
      <c r="C545" t="s">
        <v>157</v>
      </c>
      <c r="D545" t="s">
        <v>54</v>
      </c>
      <c r="E545" t="s">
        <v>21</v>
      </c>
      <c r="F545" t="s">
        <v>248</v>
      </c>
      <c r="G545" s="56">
        <v>44111.714999999997</v>
      </c>
      <c r="H545">
        <v>33</v>
      </c>
      <c r="I545">
        <v>15552</v>
      </c>
      <c r="J545" t="s">
        <v>50</v>
      </c>
      <c r="K545" t="s">
        <v>50</v>
      </c>
      <c r="L545" t="s">
        <v>159</v>
      </c>
      <c r="M545" t="s">
        <v>51</v>
      </c>
      <c r="N545" t="s">
        <v>92</v>
      </c>
      <c r="O545" s="1">
        <v>41335</v>
      </c>
      <c r="P545" t="s">
        <v>84</v>
      </c>
      <c r="Q545">
        <v>4</v>
      </c>
      <c r="R545" t="s">
        <v>27</v>
      </c>
      <c r="S545">
        <v>0</v>
      </c>
      <c r="T545">
        <v>5984.39</v>
      </c>
      <c r="U545">
        <v>0</v>
      </c>
    </row>
    <row r="546" spans="1:21" x14ac:dyDescent="0.25">
      <c r="A546" s="1">
        <v>44075</v>
      </c>
      <c r="B546" s="1">
        <v>44075</v>
      </c>
      <c r="C546" t="s">
        <v>157</v>
      </c>
      <c r="D546" t="s">
        <v>95</v>
      </c>
      <c r="E546" t="s">
        <v>56</v>
      </c>
      <c r="F546" t="s">
        <v>247</v>
      </c>
      <c r="G546" s="56">
        <v>44153.723773148151</v>
      </c>
      <c r="H546">
        <v>61</v>
      </c>
      <c r="I546" t="s">
        <v>351</v>
      </c>
      <c r="J546" t="s">
        <v>50</v>
      </c>
      <c r="K546" t="s">
        <v>50</v>
      </c>
      <c r="L546" t="s">
        <v>159</v>
      </c>
      <c r="M546" t="s">
        <v>51</v>
      </c>
      <c r="N546" t="s">
        <v>92</v>
      </c>
      <c r="O546" s="1">
        <v>41335</v>
      </c>
      <c r="P546" t="s">
        <v>84</v>
      </c>
      <c r="Q546">
        <v>4</v>
      </c>
      <c r="R546" t="s">
        <v>27</v>
      </c>
      <c r="S546">
        <v>1</v>
      </c>
      <c r="T546">
        <v>-5</v>
      </c>
      <c r="U546">
        <v>-5</v>
      </c>
    </row>
    <row r="547" spans="1:21" x14ac:dyDescent="0.25">
      <c r="A547" s="1">
        <v>44075</v>
      </c>
      <c r="B547" s="1">
        <v>44075</v>
      </c>
      <c r="C547" t="s">
        <v>157</v>
      </c>
      <c r="D547" t="s">
        <v>55</v>
      </c>
      <c r="E547" t="s">
        <v>56</v>
      </c>
      <c r="F547" t="s">
        <v>250</v>
      </c>
      <c r="G547" s="56">
        <v>44111.714999999997</v>
      </c>
      <c r="H547">
        <v>33</v>
      </c>
      <c r="I547">
        <v>15552</v>
      </c>
      <c r="J547" t="s">
        <v>50</v>
      </c>
      <c r="K547" t="s">
        <v>50</v>
      </c>
      <c r="L547" t="s">
        <v>159</v>
      </c>
      <c r="M547" t="s">
        <v>51</v>
      </c>
      <c r="N547" t="s">
        <v>92</v>
      </c>
      <c r="O547" s="1">
        <v>41335</v>
      </c>
      <c r="P547" t="s">
        <v>84</v>
      </c>
      <c r="Q547">
        <v>4</v>
      </c>
      <c r="R547" t="s">
        <v>27</v>
      </c>
      <c r="S547">
        <v>2447.9884910000001</v>
      </c>
      <c r="T547">
        <v>1.0669999999999999</v>
      </c>
      <c r="U547">
        <v>2612</v>
      </c>
    </row>
    <row r="548" spans="1:21" x14ac:dyDescent="0.25">
      <c r="A548" s="1">
        <v>44075</v>
      </c>
      <c r="B548" s="1">
        <v>44075</v>
      </c>
      <c r="C548" t="s">
        <v>157</v>
      </c>
      <c r="D548" t="s">
        <v>93</v>
      </c>
      <c r="E548" t="s">
        <v>49</v>
      </c>
      <c r="F548" t="s">
        <v>245</v>
      </c>
      <c r="G548" s="56">
        <v>44153.723773148151</v>
      </c>
      <c r="H548">
        <v>61</v>
      </c>
      <c r="I548" t="s">
        <v>351</v>
      </c>
      <c r="J548" t="s">
        <v>50</v>
      </c>
      <c r="K548" t="s">
        <v>50</v>
      </c>
      <c r="L548" t="s">
        <v>159</v>
      </c>
      <c r="M548" t="s">
        <v>51</v>
      </c>
      <c r="N548" t="s">
        <v>92</v>
      </c>
      <c r="O548" s="1">
        <v>41335</v>
      </c>
      <c r="P548" t="s">
        <v>84</v>
      </c>
      <c r="Q548">
        <v>4</v>
      </c>
      <c r="R548" t="s">
        <v>27</v>
      </c>
      <c r="S548">
        <v>1</v>
      </c>
      <c r="T548">
        <v>-390</v>
      </c>
      <c r="U548">
        <v>-390</v>
      </c>
    </row>
    <row r="549" spans="1:21" x14ac:dyDescent="0.25">
      <c r="A549" s="1">
        <v>44075</v>
      </c>
      <c r="B549" s="1">
        <v>44075</v>
      </c>
      <c r="C549" t="s">
        <v>157</v>
      </c>
      <c r="D549" t="s">
        <v>48</v>
      </c>
      <c r="E549" t="s">
        <v>49</v>
      </c>
      <c r="F549" t="s">
        <v>249</v>
      </c>
      <c r="G549" s="56">
        <v>44111.714999999997</v>
      </c>
      <c r="H549">
        <v>33</v>
      </c>
      <c r="I549">
        <v>15552</v>
      </c>
      <c r="J549" t="s">
        <v>50</v>
      </c>
      <c r="K549" t="s">
        <v>50</v>
      </c>
      <c r="L549" t="s">
        <v>159</v>
      </c>
      <c r="M549" t="s">
        <v>51</v>
      </c>
      <c r="N549" t="s">
        <v>92</v>
      </c>
      <c r="O549" s="1">
        <v>41335</v>
      </c>
      <c r="P549" t="s">
        <v>84</v>
      </c>
      <c r="Q549">
        <v>4</v>
      </c>
      <c r="R549" t="s">
        <v>27</v>
      </c>
      <c r="S549">
        <v>2447.9884910000001</v>
      </c>
      <c r="T549">
        <v>76.781000000000006</v>
      </c>
      <c r="U549">
        <v>187959</v>
      </c>
    </row>
    <row r="550" spans="1:21" x14ac:dyDescent="0.25">
      <c r="A550" s="1">
        <v>44075</v>
      </c>
      <c r="B550" s="1">
        <v>44075</v>
      </c>
      <c r="C550" t="s">
        <v>157</v>
      </c>
      <c r="D550" t="s">
        <v>55</v>
      </c>
      <c r="E550" t="s">
        <v>56</v>
      </c>
      <c r="F550" t="s">
        <v>250</v>
      </c>
      <c r="G550" s="56">
        <v>44111.714999999997</v>
      </c>
      <c r="H550">
        <v>33</v>
      </c>
      <c r="I550">
        <v>15552</v>
      </c>
      <c r="J550" t="s">
        <v>50</v>
      </c>
      <c r="K550" t="s">
        <v>50</v>
      </c>
      <c r="L550" t="s">
        <v>159</v>
      </c>
      <c r="M550" t="s">
        <v>51</v>
      </c>
      <c r="N550" t="s">
        <v>92</v>
      </c>
      <c r="O550" s="1">
        <v>41335</v>
      </c>
      <c r="P550" t="s">
        <v>84</v>
      </c>
      <c r="Q550">
        <v>5</v>
      </c>
      <c r="R550" t="s">
        <v>28</v>
      </c>
      <c r="S550">
        <v>10.140453000000001</v>
      </c>
      <c r="T550">
        <v>1.0669999999999999</v>
      </c>
      <c r="U550">
        <v>11</v>
      </c>
    </row>
    <row r="551" spans="1:21" x14ac:dyDescent="0.25">
      <c r="A551" s="1">
        <v>44075</v>
      </c>
      <c r="B551" s="1">
        <v>44075</v>
      </c>
      <c r="C551" t="s">
        <v>157</v>
      </c>
      <c r="D551" t="s">
        <v>54</v>
      </c>
      <c r="E551" t="s">
        <v>21</v>
      </c>
      <c r="F551" t="s">
        <v>248</v>
      </c>
      <c r="G551" s="56">
        <v>44111.714999999997</v>
      </c>
      <c r="H551">
        <v>33</v>
      </c>
      <c r="I551">
        <v>15552</v>
      </c>
      <c r="J551" t="s">
        <v>50</v>
      </c>
      <c r="K551" t="s">
        <v>50</v>
      </c>
      <c r="L551" t="s">
        <v>159</v>
      </c>
      <c r="M551" t="s">
        <v>51</v>
      </c>
      <c r="N551" t="s">
        <v>92</v>
      </c>
      <c r="O551" s="1">
        <v>41335</v>
      </c>
      <c r="P551" t="s">
        <v>84</v>
      </c>
      <c r="Q551">
        <v>5</v>
      </c>
      <c r="R551" t="s">
        <v>28</v>
      </c>
      <c r="S551">
        <v>0</v>
      </c>
      <c r="T551">
        <v>5746.51</v>
      </c>
      <c r="U551">
        <v>0</v>
      </c>
    </row>
    <row r="552" spans="1:21" x14ac:dyDescent="0.25">
      <c r="A552" s="1">
        <v>44075</v>
      </c>
      <c r="B552" s="1">
        <v>44075</v>
      </c>
      <c r="C552" t="s">
        <v>157</v>
      </c>
      <c r="D552" t="s">
        <v>93</v>
      </c>
      <c r="E552" t="s">
        <v>49</v>
      </c>
      <c r="F552" t="s">
        <v>245</v>
      </c>
      <c r="G552" s="56">
        <v>44153.723773148151</v>
      </c>
      <c r="H552">
        <v>61</v>
      </c>
      <c r="I552" t="s">
        <v>351</v>
      </c>
      <c r="J552" t="s">
        <v>50</v>
      </c>
      <c r="K552" t="s">
        <v>50</v>
      </c>
      <c r="L552" t="s">
        <v>159</v>
      </c>
      <c r="M552" t="s">
        <v>51</v>
      </c>
      <c r="N552" t="s">
        <v>92</v>
      </c>
      <c r="O552" s="1">
        <v>41335</v>
      </c>
      <c r="P552" t="s">
        <v>84</v>
      </c>
      <c r="Q552">
        <v>5</v>
      </c>
      <c r="R552" t="s">
        <v>28</v>
      </c>
      <c r="S552">
        <v>1</v>
      </c>
      <c r="T552">
        <v>-2</v>
      </c>
      <c r="U552">
        <v>-2</v>
      </c>
    </row>
    <row r="553" spans="1:21" x14ac:dyDescent="0.25">
      <c r="A553" s="1">
        <v>44075</v>
      </c>
      <c r="B553" s="1">
        <v>44075</v>
      </c>
      <c r="C553" t="s">
        <v>157</v>
      </c>
      <c r="D553" t="s">
        <v>52</v>
      </c>
      <c r="E553" t="s">
        <v>53</v>
      </c>
      <c r="F553" t="s">
        <v>246</v>
      </c>
      <c r="G553" s="56">
        <v>44111.714999999997</v>
      </c>
      <c r="H553">
        <v>33</v>
      </c>
      <c r="I553">
        <v>15552</v>
      </c>
      <c r="J553" t="s">
        <v>50</v>
      </c>
      <c r="K553" t="s">
        <v>50</v>
      </c>
      <c r="L553" t="s">
        <v>159</v>
      </c>
      <c r="M553" t="s">
        <v>51</v>
      </c>
      <c r="N553" t="s">
        <v>92</v>
      </c>
      <c r="O553" s="1">
        <v>41335</v>
      </c>
      <c r="P553" t="s">
        <v>84</v>
      </c>
      <c r="Q553">
        <v>5</v>
      </c>
      <c r="R553" t="s">
        <v>28</v>
      </c>
      <c r="S553">
        <v>0</v>
      </c>
      <c r="T553">
        <v>0</v>
      </c>
      <c r="U553">
        <v>0</v>
      </c>
    </row>
    <row r="554" spans="1:21" x14ac:dyDescent="0.25">
      <c r="A554" s="1">
        <v>44075</v>
      </c>
      <c r="B554" s="1">
        <v>44075</v>
      </c>
      <c r="C554" t="s">
        <v>157</v>
      </c>
      <c r="D554" t="s">
        <v>48</v>
      </c>
      <c r="E554" t="s">
        <v>49</v>
      </c>
      <c r="F554" t="s">
        <v>249</v>
      </c>
      <c r="G554" s="56">
        <v>44111.714999999997</v>
      </c>
      <c r="H554">
        <v>33</v>
      </c>
      <c r="I554">
        <v>15552</v>
      </c>
      <c r="J554" t="s">
        <v>50</v>
      </c>
      <c r="K554" t="s">
        <v>50</v>
      </c>
      <c r="L554" t="s">
        <v>159</v>
      </c>
      <c r="M554" t="s">
        <v>51</v>
      </c>
      <c r="N554" t="s">
        <v>92</v>
      </c>
      <c r="O554" s="1">
        <v>41335</v>
      </c>
      <c r="P554" t="s">
        <v>84</v>
      </c>
      <c r="Q554">
        <v>5</v>
      </c>
      <c r="R554" t="s">
        <v>28</v>
      </c>
      <c r="S554">
        <v>10.140453000000001</v>
      </c>
      <c r="T554">
        <v>79.340999999999994</v>
      </c>
      <c r="U554">
        <v>805</v>
      </c>
    </row>
    <row r="555" spans="1:21" x14ac:dyDescent="0.25">
      <c r="A555" s="1">
        <v>44105</v>
      </c>
      <c r="B555" s="1">
        <v>44105</v>
      </c>
      <c r="C555" t="s">
        <v>157</v>
      </c>
      <c r="D555" t="s">
        <v>54</v>
      </c>
      <c r="E555" t="s">
        <v>21</v>
      </c>
      <c r="F555" t="s">
        <v>251</v>
      </c>
      <c r="G555" s="56">
        <v>44141.821956018517</v>
      </c>
      <c r="H555">
        <v>33</v>
      </c>
      <c r="I555">
        <v>15894</v>
      </c>
      <c r="J555" t="s">
        <v>50</v>
      </c>
      <c r="K555" t="s">
        <v>50</v>
      </c>
      <c r="L555" t="s">
        <v>159</v>
      </c>
      <c r="M555" t="s">
        <v>51</v>
      </c>
      <c r="N555" t="s">
        <v>92</v>
      </c>
      <c r="O555" s="1">
        <v>41335</v>
      </c>
      <c r="P555" t="s">
        <v>84</v>
      </c>
      <c r="Q555">
        <v>1</v>
      </c>
      <c r="R555" t="s">
        <v>83</v>
      </c>
      <c r="S555">
        <v>0</v>
      </c>
      <c r="T555">
        <v>6059.26</v>
      </c>
      <c r="U555">
        <v>0</v>
      </c>
    </row>
    <row r="556" spans="1:21" x14ac:dyDescent="0.25">
      <c r="A556" s="1">
        <v>44105</v>
      </c>
      <c r="B556" s="1">
        <v>44105</v>
      </c>
      <c r="C556" t="s">
        <v>157</v>
      </c>
      <c r="D556" t="s">
        <v>52</v>
      </c>
      <c r="E556" t="s">
        <v>53</v>
      </c>
      <c r="F556" t="s">
        <v>252</v>
      </c>
      <c r="G556" s="56">
        <v>44141.821956018517</v>
      </c>
      <c r="H556">
        <v>33</v>
      </c>
      <c r="I556">
        <v>15894</v>
      </c>
      <c r="J556" t="s">
        <v>50</v>
      </c>
      <c r="K556" t="s">
        <v>50</v>
      </c>
      <c r="L556" t="s">
        <v>159</v>
      </c>
      <c r="M556" t="s">
        <v>51</v>
      </c>
      <c r="N556" t="s">
        <v>92</v>
      </c>
      <c r="O556" s="1">
        <v>41335</v>
      </c>
      <c r="P556" t="s">
        <v>84</v>
      </c>
      <c r="Q556">
        <v>1</v>
      </c>
      <c r="R556" t="s">
        <v>83</v>
      </c>
      <c r="S556">
        <v>0</v>
      </c>
      <c r="T556">
        <v>2.32504</v>
      </c>
      <c r="U556">
        <v>2</v>
      </c>
    </row>
    <row r="557" spans="1:21" x14ac:dyDescent="0.25">
      <c r="A557" s="1">
        <v>44105</v>
      </c>
      <c r="B557" s="1">
        <v>44105</v>
      </c>
      <c r="C557" t="s">
        <v>157</v>
      </c>
      <c r="D557" t="s">
        <v>93</v>
      </c>
      <c r="E557" t="s">
        <v>49</v>
      </c>
      <c r="F557" t="s">
        <v>253</v>
      </c>
      <c r="G557" s="56">
        <v>44221.697384259256</v>
      </c>
      <c r="H557">
        <v>61</v>
      </c>
      <c r="I557" t="s">
        <v>351</v>
      </c>
      <c r="J557" t="s">
        <v>50</v>
      </c>
      <c r="K557" t="s">
        <v>50</v>
      </c>
      <c r="L557" t="s">
        <v>159</v>
      </c>
      <c r="M557" t="s">
        <v>51</v>
      </c>
      <c r="N557" t="s">
        <v>92</v>
      </c>
      <c r="O557" s="1">
        <v>41335</v>
      </c>
      <c r="P557" t="s">
        <v>84</v>
      </c>
      <c r="Q557">
        <v>1</v>
      </c>
      <c r="R557" t="s">
        <v>83</v>
      </c>
      <c r="S557">
        <v>1</v>
      </c>
      <c r="T557">
        <v>-570</v>
      </c>
      <c r="U557">
        <v>-570</v>
      </c>
    </row>
    <row r="558" spans="1:21" x14ac:dyDescent="0.25">
      <c r="A558" s="1">
        <v>44105</v>
      </c>
      <c r="B558" s="1">
        <v>44105</v>
      </c>
      <c r="C558" t="s">
        <v>157</v>
      </c>
      <c r="D558" t="s">
        <v>95</v>
      </c>
      <c r="E558" t="s">
        <v>56</v>
      </c>
      <c r="F558" t="s">
        <v>254</v>
      </c>
      <c r="G558" s="56">
        <v>44221.697384259256</v>
      </c>
      <c r="H558">
        <v>61</v>
      </c>
      <c r="I558" t="s">
        <v>351</v>
      </c>
      <c r="J558" t="s">
        <v>50</v>
      </c>
      <c r="K558" t="s">
        <v>50</v>
      </c>
      <c r="L558" t="s">
        <v>159</v>
      </c>
      <c r="M558" t="s">
        <v>51</v>
      </c>
      <c r="N558" t="s">
        <v>92</v>
      </c>
      <c r="O558" s="1">
        <v>41335</v>
      </c>
      <c r="P558" t="s">
        <v>84</v>
      </c>
      <c r="Q558">
        <v>1</v>
      </c>
      <c r="R558" t="s">
        <v>83</v>
      </c>
      <c r="S558">
        <v>1</v>
      </c>
      <c r="T558">
        <v>-2594</v>
      </c>
      <c r="U558">
        <v>-2594</v>
      </c>
    </row>
    <row r="559" spans="1:21" x14ac:dyDescent="0.25">
      <c r="A559" s="1">
        <v>44105</v>
      </c>
      <c r="B559" s="1">
        <v>44105</v>
      </c>
      <c r="C559" t="s">
        <v>157</v>
      </c>
      <c r="D559" t="s">
        <v>55</v>
      </c>
      <c r="E559" t="s">
        <v>56</v>
      </c>
      <c r="F559" t="s">
        <v>255</v>
      </c>
      <c r="G559" s="56">
        <v>44141.821956018517</v>
      </c>
      <c r="H559">
        <v>33</v>
      </c>
      <c r="I559">
        <v>15894</v>
      </c>
      <c r="J559" t="s">
        <v>50</v>
      </c>
      <c r="K559" t="s">
        <v>50</v>
      </c>
      <c r="L559" t="s">
        <v>159</v>
      </c>
      <c r="M559" t="s">
        <v>51</v>
      </c>
      <c r="N559" t="s">
        <v>92</v>
      </c>
      <c r="O559" s="1">
        <v>41335</v>
      </c>
      <c r="P559" t="s">
        <v>84</v>
      </c>
      <c r="Q559">
        <v>1</v>
      </c>
      <c r="R559" t="s">
        <v>83</v>
      </c>
      <c r="S559">
        <v>2430.743117</v>
      </c>
      <c r="T559">
        <v>1.0669999999999999</v>
      </c>
      <c r="U559">
        <v>2594</v>
      </c>
    </row>
    <row r="560" spans="1:21" x14ac:dyDescent="0.25">
      <c r="A560" s="1">
        <v>44105</v>
      </c>
      <c r="B560" s="1">
        <v>44105</v>
      </c>
      <c r="C560" t="s">
        <v>157</v>
      </c>
      <c r="D560" t="s">
        <v>48</v>
      </c>
      <c r="E560" t="s">
        <v>49</v>
      </c>
      <c r="F560" t="s">
        <v>256</v>
      </c>
      <c r="G560" s="56">
        <v>44141.821956018517</v>
      </c>
      <c r="H560">
        <v>33</v>
      </c>
      <c r="I560">
        <v>15894</v>
      </c>
      <c r="J560" t="s">
        <v>50</v>
      </c>
      <c r="K560" t="s">
        <v>50</v>
      </c>
      <c r="L560" t="s">
        <v>159</v>
      </c>
      <c r="M560" t="s">
        <v>51</v>
      </c>
      <c r="N560" t="s">
        <v>92</v>
      </c>
      <c r="O560" s="1">
        <v>41335</v>
      </c>
      <c r="P560" t="s">
        <v>84</v>
      </c>
      <c r="Q560">
        <v>1</v>
      </c>
      <c r="R560" t="s">
        <v>83</v>
      </c>
      <c r="S560">
        <v>2430.743117</v>
      </c>
      <c r="T560">
        <v>80.344999999999999</v>
      </c>
      <c r="U560">
        <v>195298</v>
      </c>
    </row>
    <row r="561" spans="1:21" x14ac:dyDescent="0.25">
      <c r="A561" s="1">
        <v>44105</v>
      </c>
      <c r="B561" s="1">
        <v>44105</v>
      </c>
      <c r="C561" t="s">
        <v>157</v>
      </c>
      <c r="D561" t="s">
        <v>95</v>
      </c>
      <c r="E561" t="s">
        <v>56</v>
      </c>
      <c r="F561" t="s">
        <v>254</v>
      </c>
      <c r="G561" s="56">
        <v>44221.697384259256</v>
      </c>
      <c r="H561">
        <v>61</v>
      </c>
      <c r="I561" t="s">
        <v>351</v>
      </c>
      <c r="J561" t="s">
        <v>50</v>
      </c>
      <c r="K561" t="s">
        <v>50</v>
      </c>
      <c r="L561" t="s">
        <v>159</v>
      </c>
      <c r="M561" t="s">
        <v>51</v>
      </c>
      <c r="N561" t="s">
        <v>92</v>
      </c>
      <c r="O561" s="1">
        <v>41335</v>
      </c>
      <c r="P561" t="s">
        <v>84</v>
      </c>
      <c r="Q561">
        <v>2</v>
      </c>
      <c r="R561" t="s">
        <v>94</v>
      </c>
      <c r="S561">
        <v>1</v>
      </c>
      <c r="T561">
        <v>-11</v>
      </c>
      <c r="U561">
        <v>-11</v>
      </c>
    </row>
    <row r="562" spans="1:21" x14ac:dyDescent="0.25">
      <c r="A562" s="1">
        <v>44105</v>
      </c>
      <c r="B562" s="1">
        <v>44105</v>
      </c>
      <c r="C562" t="s">
        <v>157</v>
      </c>
      <c r="D562" t="s">
        <v>54</v>
      </c>
      <c r="E562" t="s">
        <v>21</v>
      </c>
      <c r="F562" t="s">
        <v>251</v>
      </c>
      <c r="G562" s="56">
        <v>44141.821956018517</v>
      </c>
      <c r="H562">
        <v>33</v>
      </c>
      <c r="I562">
        <v>15894</v>
      </c>
      <c r="J562" t="s">
        <v>50</v>
      </c>
      <c r="K562" t="s">
        <v>50</v>
      </c>
      <c r="L562" t="s">
        <v>159</v>
      </c>
      <c r="M562" t="s">
        <v>51</v>
      </c>
      <c r="N562" t="s">
        <v>92</v>
      </c>
      <c r="O562" s="1">
        <v>41335</v>
      </c>
      <c r="P562" t="s">
        <v>84</v>
      </c>
      <c r="Q562">
        <v>2</v>
      </c>
      <c r="R562" t="s">
        <v>94</v>
      </c>
      <c r="S562">
        <v>0</v>
      </c>
      <c r="T562">
        <v>6135.33</v>
      </c>
      <c r="U562">
        <v>0</v>
      </c>
    </row>
    <row r="563" spans="1:21" x14ac:dyDescent="0.25">
      <c r="A563" s="1">
        <v>44105</v>
      </c>
      <c r="B563" s="1">
        <v>44105</v>
      </c>
      <c r="C563" t="s">
        <v>157</v>
      </c>
      <c r="D563" t="s">
        <v>93</v>
      </c>
      <c r="E563" t="s">
        <v>49</v>
      </c>
      <c r="F563" t="s">
        <v>253</v>
      </c>
      <c r="G563" s="56">
        <v>44221.697384259256</v>
      </c>
      <c r="H563">
        <v>61</v>
      </c>
      <c r="I563" t="s">
        <v>351</v>
      </c>
      <c r="J563" t="s">
        <v>50</v>
      </c>
      <c r="K563" t="s">
        <v>50</v>
      </c>
      <c r="L563" t="s">
        <v>159</v>
      </c>
      <c r="M563" t="s">
        <v>51</v>
      </c>
      <c r="N563" t="s">
        <v>92</v>
      </c>
      <c r="O563" s="1">
        <v>41335</v>
      </c>
      <c r="P563" t="s">
        <v>84</v>
      </c>
      <c r="Q563">
        <v>2</v>
      </c>
      <c r="R563" t="s">
        <v>94</v>
      </c>
      <c r="S563">
        <v>1</v>
      </c>
      <c r="T563">
        <v>-3</v>
      </c>
      <c r="U563">
        <v>-3</v>
      </c>
    </row>
    <row r="564" spans="1:21" x14ac:dyDescent="0.25">
      <c r="A564" s="1">
        <v>44105</v>
      </c>
      <c r="B564" s="1">
        <v>44105</v>
      </c>
      <c r="C564" t="s">
        <v>157</v>
      </c>
      <c r="D564" t="s">
        <v>52</v>
      </c>
      <c r="E564" t="s">
        <v>53</v>
      </c>
      <c r="F564" t="s">
        <v>252</v>
      </c>
      <c r="G564" s="56">
        <v>44141.821956018517</v>
      </c>
      <c r="H564">
        <v>33</v>
      </c>
      <c r="I564">
        <v>15894</v>
      </c>
      <c r="J564" t="s">
        <v>50</v>
      </c>
      <c r="K564" t="s">
        <v>50</v>
      </c>
      <c r="L564" t="s">
        <v>159</v>
      </c>
      <c r="M564" t="s">
        <v>51</v>
      </c>
      <c r="N564" t="s">
        <v>92</v>
      </c>
      <c r="O564" s="1">
        <v>41335</v>
      </c>
      <c r="P564" t="s">
        <v>84</v>
      </c>
      <c r="Q564">
        <v>2</v>
      </c>
      <c r="R564" t="s">
        <v>94</v>
      </c>
      <c r="S564">
        <v>0</v>
      </c>
      <c r="T564">
        <v>0</v>
      </c>
      <c r="U564">
        <v>0</v>
      </c>
    </row>
    <row r="565" spans="1:21" x14ac:dyDescent="0.25">
      <c r="A565" s="1">
        <v>44105</v>
      </c>
      <c r="B565" s="1">
        <v>44105</v>
      </c>
      <c r="C565" t="s">
        <v>157</v>
      </c>
      <c r="D565" t="s">
        <v>48</v>
      </c>
      <c r="E565" t="s">
        <v>49</v>
      </c>
      <c r="F565" t="s">
        <v>256</v>
      </c>
      <c r="G565" s="56">
        <v>44141.821956018517</v>
      </c>
      <c r="H565">
        <v>33</v>
      </c>
      <c r="I565">
        <v>15894</v>
      </c>
      <c r="J565" t="s">
        <v>50</v>
      </c>
      <c r="K565" t="s">
        <v>50</v>
      </c>
      <c r="L565" t="s">
        <v>159</v>
      </c>
      <c r="M565" t="s">
        <v>51</v>
      </c>
      <c r="N565" t="s">
        <v>92</v>
      </c>
      <c r="O565" s="1">
        <v>41335</v>
      </c>
      <c r="P565" t="s">
        <v>84</v>
      </c>
      <c r="Q565">
        <v>2</v>
      </c>
      <c r="R565" t="s">
        <v>94</v>
      </c>
      <c r="S565">
        <v>10.588209000000001</v>
      </c>
      <c r="T565">
        <v>81.489000000000004</v>
      </c>
      <c r="U565">
        <v>863</v>
      </c>
    </row>
    <row r="566" spans="1:21" x14ac:dyDescent="0.25">
      <c r="A566" s="1">
        <v>44105</v>
      </c>
      <c r="B566" s="1">
        <v>44105</v>
      </c>
      <c r="C566" t="s">
        <v>157</v>
      </c>
      <c r="D566" t="s">
        <v>55</v>
      </c>
      <c r="E566" t="s">
        <v>56</v>
      </c>
      <c r="F566" t="s">
        <v>255</v>
      </c>
      <c r="G566" s="56">
        <v>44141.821956018517</v>
      </c>
      <c r="H566">
        <v>33</v>
      </c>
      <c r="I566">
        <v>15894</v>
      </c>
      <c r="J566" t="s">
        <v>50</v>
      </c>
      <c r="K566" t="s">
        <v>50</v>
      </c>
      <c r="L566" t="s">
        <v>159</v>
      </c>
      <c r="M566" t="s">
        <v>51</v>
      </c>
      <c r="N566" t="s">
        <v>92</v>
      </c>
      <c r="O566" s="1">
        <v>41335</v>
      </c>
      <c r="P566" t="s">
        <v>84</v>
      </c>
      <c r="Q566">
        <v>2</v>
      </c>
      <c r="R566" t="s">
        <v>94</v>
      </c>
      <c r="S566">
        <v>10.588209000000001</v>
      </c>
      <c r="T566">
        <v>1.0669999999999999</v>
      </c>
      <c r="U566">
        <v>11</v>
      </c>
    </row>
    <row r="567" spans="1:21" x14ac:dyDescent="0.25">
      <c r="A567" s="1">
        <v>44105</v>
      </c>
      <c r="B567" s="1">
        <v>44105</v>
      </c>
      <c r="C567" t="s">
        <v>157</v>
      </c>
      <c r="D567" t="s">
        <v>52</v>
      </c>
      <c r="E567" t="s">
        <v>53</v>
      </c>
      <c r="F567" t="s">
        <v>252</v>
      </c>
      <c r="G567" s="56">
        <v>44141.821956018517</v>
      </c>
      <c r="H567">
        <v>33</v>
      </c>
      <c r="I567">
        <v>15894</v>
      </c>
      <c r="J567" t="s">
        <v>50</v>
      </c>
      <c r="K567" t="s">
        <v>50</v>
      </c>
      <c r="L567" t="s">
        <v>159</v>
      </c>
      <c r="M567" t="s">
        <v>51</v>
      </c>
      <c r="N567" t="s">
        <v>92</v>
      </c>
      <c r="O567" s="1">
        <v>41335</v>
      </c>
      <c r="P567" t="s">
        <v>84</v>
      </c>
      <c r="Q567">
        <v>3</v>
      </c>
      <c r="R567" t="s">
        <v>81</v>
      </c>
      <c r="S567">
        <v>0</v>
      </c>
      <c r="T567">
        <v>0</v>
      </c>
      <c r="U567">
        <v>0</v>
      </c>
    </row>
    <row r="568" spans="1:21" x14ac:dyDescent="0.25">
      <c r="A568" s="1">
        <v>44105</v>
      </c>
      <c r="B568" s="1">
        <v>44105</v>
      </c>
      <c r="C568" t="s">
        <v>157</v>
      </c>
      <c r="D568" t="s">
        <v>95</v>
      </c>
      <c r="E568" t="s">
        <v>56</v>
      </c>
      <c r="F568" t="s">
        <v>254</v>
      </c>
      <c r="G568" s="56">
        <v>44221.697384259256</v>
      </c>
      <c r="H568">
        <v>61</v>
      </c>
      <c r="I568" t="s">
        <v>351</v>
      </c>
      <c r="J568" t="s">
        <v>50</v>
      </c>
      <c r="K568" t="s">
        <v>50</v>
      </c>
      <c r="L568" t="s">
        <v>159</v>
      </c>
      <c r="M568" t="s">
        <v>51</v>
      </c>
      <c r="N568" t="s">
        <v>92</v>
      </c>
      <c r="O568" s="1">
        <v>41335</v>
      </c>
      <c r="P568" t="s">
        <v>84</v>
      </c>
      <c r="Q568">
        <v>3</v>
      </c>
      <c r="R568" t="s">
        <v>81</v>
      </c>
      <c r="S568">
        <v>1</v>
      </c>
      <c r="T568">
        <v>-383</v>
      </c>
      <c r="U568">
        <v>-383</v>
      </c>
    </row>
    <row r="569" spans="1:21" x14ac:dyDescent="0.25">
      <c r="A569" s="1">
        <v>44105</v>
      </c>
      <c r="B569" s="1">
        <v>44105</v>
      </c>
      <c r="C569" t="s">
        <v>157</v>
      </c>
      <c r="D569" t="s">
        <v>55</v>
      </c>
      <c r="E569" t="s">
        <v>56</v>
      </c>
      <c r="F569" t="s">
        <v>255</v>
      </c>
      <c r="G569" s="56">
        <v>44141.821956018517</v>
      </c>
      <c r="H569">
        <v>33</v>
      </c>
      <c r="I569">
        <v>15894</v>
      </c>
      <c r="J569" t="s">
        <v>50</v>
      </c>
      <c r="K569" t="s">
        <v>50</v>
      </c>
      <c r="L569" t="s">
        <v>159</v>
      </c>
      <c r="M569" t="s">
        <v>51</v>
      </c>
      <c r="N569" t="s">
        <v>92</v>
      </c>
      <c r="O569" s="1">
        <v>41335</v>
      </c>
      <c r="P569" t="s">
        <v>84</v>
      </c>
      <c r="Q569">
        <v>3</v>
      </c>
      <c r="R569" t="s">
        <v>81</v>
      </c>
      <c r="S569">
        <v>359.39598799999999</v>
      </c>
      <c r="T569">
        <v>1.0669999999999999</v>
      </c>
      <c r="U569">
        <v>383</v>
      </c>
    </row>
    <row r="570" spans="1:21" x14ac:dyDescent="0.25">
      <c r="A570" s="1">
        <v>44105</v>
      </c>
      <c r="B570" s="1">
        <v>44105</v>
      </c>
      <c r="C570" t="s">
        <v>157</v>
      </c>
      <c r="D570" t="s">
        <v>48</v>
      </c>
      <c r="E570" t="s">
        <v>49</v>
      </c>
      <c r="F570" t="s">
        <v>256</v>
      </c>
      <c r="G570" s="56">
        <v>44141.821956018517</v>
      </c>
      <c r="H570">
        <v>33</v>
      </c>
      <c r="I570">
        <v>15894</v>
      </c>
      <c r="J570" t="s">
        <v>50</v>
      </c>
      <c r="K570" t="s">
        <v>50</v>
      </c>
      <c r="L570" t="s">
        <v>159</v>
      </c>
      <c r="M570" t="s">
        <v>51</v>
      </c>
      <c r="N570" t="s">
        <v>92</v>
      </c>
      <c r="O570" s="1">
        <v>41335</v>
      </c>
      <c r="P570" t="s">
        <v>84</v>
      </c>
      <c r="Q570">
        <v>3</v>
      </c>
      <c r="R570" t="s">
        <v>81</v>
      </c>
      <c r="S570">
        <v>359.39598799999999</v>
      </c>
      <c r="T570">
        <v>76.656999999999996</v>
      </c>
      <c r="U570">
        <v>27550</v>
      </c>
    </row>
    <row r="571" spans="1:21" x14ac:dyDescent="0.25">
      <c r="A571" s="1">
        <v>44105</v>
      </c>
      <c r="B571" s="1">
        <v>44105</v>
      </c>
      <c r="C571" t="s">
        <v>157</v>
      </c>
      <c r="D571" t="s">
        <v>93</v>
      </c>
      <c r="E571" t="s">
        <v>49</v>
      </c>
      <c r="F571" t="s">
        <v>253</v>
      </c>
      <c r="G571" s="56">
        <v>44221.697384259256</v>
      </c>
      <c r="H571">
        <v>61</v>
      </c>
      <c r="I571" t="s">
        <v>351</v>
      </c>
      <c r="J571" t="s">
        <v>50</v>
      </c>
      <c r="K571" t="s">
        <v>50</v>
      </c>
      <c r="L571" t="s">
        <v>159</v>
      </c>
      <c r="M571" t="s">
        <v>51</v>
      </c>
      <c r="N571" t="s">
        <v>92</v>
      </c>
      <c r="O571" s="1">
        <v>41335</v>
      </c>
      <c r="P571" t="s">
        <v>84</v>
      </c>
      <c r="Q571">
        <v>3</v>
      </c>
      <c r="R571" t="s">
        <v>81</v>
      </c>
      <c r="S571">
        <v>1</v>
      </c>
      <c r="T571">
        <v>-80</v>
      </c>
      <c r="U571">
        <v>-80</v>
      </c>
    </row>
    <row r="572" spans="1:21" x14ac:dyDescent="0.25">
      <c r="A572" s="1">
        <v>44105</v>
      </c>
      <c r="B572" s="1">
        <v>44105</v>
      </c>
      <c r="C572" t="s">
        <v>157</v>
      </c>
      <c r="D572" t="s">
        <v>54</v>
      </c>
      <c r="E572" t="s">
        <v>21</v>
      </c>
      <c r="F572" t="s">
        <v>251</v>
      </c>
      <c r="G572" s="56">
        <v>44141.821956018517</v>
      </c>
      <c r="H572">
        <v>33</v>
      </c>
      <c r="I572">
        <v>15894</v>
      </c>
      <c r="J572" t="s">
        <v>50</v>
      </c>
      <c r="K572" t="s">
        <v>50</v>
      </c>
      <c r="L572" t="s">
        <v>159</v>
      </c>
      <c r="M572" t="s">
        <v>51</v>
      </c>
      <c r="N572" t="s">
        <v>92</v>
      </c>
      <c r="O572" s="1">
        <v>41335</v>
      </c>
      <c r="P572" t="s">
        <v>84</v>
      </c>
      <c r="Q572">
        <v>3</v>
      </c>
      <c r="R572" t="s">
        <v>81</v>
      </c>
      <c r="S572">
        <v>0</v>
      </c>
      <c r="T572">
        <v>5857.6</v>
      </c>
      <c r="U572">
        <v>0</v>
      </c>
    </row>
    <row r="573" spans="1:21" x14ac:dyDescent="0.25">
      <c r="A573" s="1">
        <v>44105</v>
      </c>
      <c r="B573" s="1">
        <v>44105</v>
      </c>
      <c r="C573" t="s">
        <v>157</v>
      </c>
      <c r="D573" t="s">
        <v>52</v>
      </c>
      <c r="E573" t="s">
        <v>53</v>
      </c>
      <c r="F573" t="s">
        <v>252</v>
      </c>
      <c r="G573" s="56">
        <v>44141.821956018517</v>
      </c>
      <c r="H573">
        <v>33</v>
      </c>
      <c r="I573">
        <v>15894</v>
      </c>
      <c r="J573" t="s">
        <v>50</v>
      </c>
      <c r="K573" t="s">
        <v>50</v>
      </c>
      <c r="L573" t="s">
        <v>159</v>
      </c>
      <c r="M573" t="s">
        <v>51</v>
      </c>
      <c r="N573" t="s">
        <v>92</v>
      </c>
      <c r="O573" s="1">
        <v>41335</v>
      </c>
      <c r="P573" t="s">
        <v>84</v>
      </c>
      <c r="Q573">
        <v>4</v>
      </c>
      <c r="R573" t="s">
        <v>27</v>
      </c>
      <c r="S573">
        <v>0</v>
      </c>
      <c r="T573">
        <v>0</v>
      </c>
      <c r="U573">
        <v>0</v>
      </c>
    </row>
    <row r="574" spans="1:21" x14ac:dyDescent="0.25">
      <c r="A574" s="1">
        <v>44105</v>
      </c>
      <c r="B574" s="1">
        <v>44105</v>
      </c>
      <c r="C574" t="s">
        <v>157</v>
      </c>
      <c r="D574" t="s">
        <v>54</v>
      </c>
      <c r="E574" t="s">
        <v>21</v>
      </c>
      <c r="F574" t="s">
        <v>251</v>
      </c>
      <c r="G574" s="56">
        <v>44141.821956018517</v>
      </c>
      <c r="H574">
        <v>33</v>
      </c>
      <c r="I574">
        <v>15894</v>
      </c>
      <c r="J574" t="s">
        <v>50</v>
      </c>
      <c r="K574" t="s">
        <v>50</v>
      </c>
      <c r="L574" t="s">
        <v>159</v>
      </c>
      <c r="M574" t="s">
        <v>51</v>
      </c>
      <c r="N574" t="s">
        <v>92</v>
      </c>
      <c r="O574" s="1">
        <v>41335</v>
      </c>
      <c r="P574" t="s">
        <v>84</v>
      </c>
      <c r="Q574">
        <v>4</v>
      </c>
      <c r="R574" t="s">
        <v>27</v>
      </c>
      <c r="S574">
        <v>0</v>
      </c>
      <c r="T574">
        <v>5984.39</v>
      </c>
      <c r="U574">
        <v>0</v>
      </c>
    </row>
    <row r="575" spans="1:21" x14ac:dyDescent="0.25">
      <c r="A575" s="1">
        <v>44105</v>
      </c>
      <c r="B575" s="1">
        <v>44105</v>
      </c>
      <c r="C575" t="s">
        <v>157</v>
      </c>
      <c r="D575" t="s">
        <v>48</v>
      </c>
      <c r="E575" t="s">
        <v>49</v>
      </c>
      <c r="F575" t="s">
        <v>256</v>
      </c>
      <c r="G575" s="56">
        <v>44141.821956018517</v>
      </c>
      <c r="H575">
        <v>33</v>
      </c>
      <c r="I575">
        <v>15894</v>
      </c>
      <c r="J575" t="s">
        <v>50</v>
      </c>
      <c r="K575" t="s">
        <v>50</v>
      </c>
      <c r="L575" t="s">
        <v>159</v>
      </c>
      <c r="M575" t="s">
        <v>51</v>
      </c>
      <c r="N575" t="s">
        <v>92</v>
      </c>
      <c r="O575" s="1">
        <v>41335</v>
      </c>
      <c r="P575" t="s">
        <v>84</v>
      </c>
      <c r="Q575">
        <v>4</v>
      </c>
      <c r="R575" t="s">
        <v>27</v>
      </c>
      <c r="S575">
        <v>3072.8331600000001</v>
      </c>
      <c r="T575">
        <v>76.781000000000006</v>
      </c>
      <c r="U575">
        <v>235935</v>
      </c>
    </row>
    <row r="576" spans="1:21" x14ac:dyDescent="0.25">
      <c r="A576" s="1">
        <v>44105</v>
      </c>
      <c r="B576" s="1">
        <v>44105</v>
      </c>
      <c r="C576" t="s">
        <v>157</v>
      </c>
      <c r="D576" t="s">
        <v>95</v>
      </c>
      <c r="E576" t="s">
        <v>56</v>
      </c>
      <c r="F576" t="s">
        <v>254</v>
      </c>
      <c r="G576" s="56">
        <v>44221.697384259256</v>
      </c>
      <c r="H576">
        <v>61</v>
      </c>
      <c r="I576" t="s">
        <v>351</v>
      </c>
      <c r="J576" t="s">
        <v>50</v>
      </c>
      <c r="K576" t="s">
        <v>50</v>
      </c>
      <c r="L576" t="s">
        <v>159</v>
      </c>
      <c r="M576" t="s">
        <v>51</v>
      </c>
      <c r="N576" t="s">
        <v>92</v>
      </c>
      <c r="O576" s="1">
        <v>41335</v>
      </c>
      <c r="P576" t="s">
        <v>84</v>
      </c>
      <c r="Q576">
        <v>4</v>
      </c>
      <c r="R576" t="s">
        <v>27</v>
      </c>
      <c r="S576">
        <v>1</v>
      </c>
      <c r="T576">
        <v>-3279</v>
      </c>
      <c r="U576">
        <v>-3279</v>
      </c>
    </row>
    <row r="577" spans="1:21" x14ac:dyDescent="0.25">
      <c r="A577" s="1">
        <v>44105</v>
      </c>
      <c r="B577" s="1">
        <v>44105</v>
      </c>
      <c r="C577" t="s">
        <v>157</v>
      </c>
      <c r="D577" t="s">
        <v>93</v>
      </c>
      <c r="E577" t="s">
        <v>49</v>
      </c>
      <c r="F577" t="s">
        <v>253</v>
      </c>
      <c r="G577" s="56">
        <v>44221.697384259256</v>
      </c>
      <c r="H577">
        <v>61</v>
      </c>
      <c r="I577" t="s">
        <v>351</v>
      </c>
      <c r="J577" t="s">
        <v>50</v>
      </c>
      <c r="K577" t="s">
        <v>50</v>
      </c>
      <c r="L577" t="s">
        <v>159</v>
      </c>
      <c r="M577" t="s">
        <v>51</v>
      </c>
      <c r="N577" t="s">
        <v>92</v>
      </c>
      <c r="O577" s="1">
        <v>41335</v>
      </c>
      <c r="P577" t="s">
        <v>84</v>
      </c>
      <c r="Q577">
        <v>4</v>
      </c>
      <c r="R577" t="s">
        <v>27</v>
      </c>
      <c r="S577">
        <v>1</v>
      </c>
      <c r="T577">
        <v>-689</v>
      </c>
      <c r="U577">
        <v>-689</v>
      </c>
    </row>
    <row r="578" spans="1:21" x14ac:dyDescent="0.25">
      <c r="A578" s="1">
        <v>44105</v>
      </c>
      <c r="B578" s="1">
        <v>44105</v>
      </c>
      <c r="C578" t="s">
        <v>157</v>
      </c>
      <c r="D578" t="s">
        <v>55</v>
      </c>
      <c r="E578" t="s">
        <v>56</v>
      </c>
      <c r="F578" t="s">
        <v>255</v>
      </c>
      <c r="G578" s="56">
        <v>44141.821956018517</v>
      </c>
      <c r="H578">
        <v>33</v>
      </c>
      <c r="I578">
        <v>15894</v>
      </c>
      <c r="J578" t="s">
        <v>50</v>
      </c>
      <c r="K578" t="s">
        <v>50</v>
      </c>
      <c r="L578" t="s">
        <v>159</v>
      </c>
      <c r="M578" t="s">
        <v>51</v>
      </c>
      <c r="N578" t="s">
        <v>92</v>
      </c>
      <c r="O578" s="1">
        <v>41335</v>
      </c>
      <c r="P578" t="s">
        <v>84</v>
      </c>
      <c r="Q578">
        <v>4</v>
      </c>
      <c r="R578" t="s">
        <v>27</v>
      </c>
      <c r="S578">
        <v>3072.8331600000001</v>
      </c>
      <c r="T578">
        <v>1.0669999999999999</v>
      </c>
      <c r="U578">
        <v>3279</v>
      </c>
    </row>
    <row r="579" spans="1:21" x14ac:dyDescent="0.25">
      <c r="A579" s="1">
        <v>44105</v>
      </c>
      <c r="B579" s="1">
        <v>44105</v>
      </c>
      <c r="C579" t="s">
        <v>157</v>
      </c>
      <c r="D579" t="s">
        <v>54</v>
      </c>
      <c r="E579" t="s">
        <v>21</v>
      </c>
      <c r="F579" t="s">
        <v>251</v>
      </c>
      <c r="G579" s="56">
        <v>44141.821956018517</v>
      </c>
      <c r="H579">
        <v>33</v>
      </c>
      <c r="I579">
        <v>15894</v>
      </c>
      <c r="J579" t="s">
        <v>50</v>
      </c>
      <c r="K579" t="s">
        <v>50</v>
      </c>
      <c r="L579" t="s">
        <v>159</v>
      </c>
      <c r="M579" t="s">
        <v>51</v>
      </c>
      <c r="N579" t="s">
        <v>92</v>
      </c>
      <c r="O579" s="1">
        <v>41335</v>
      </c>
      <c r="P579" t="s">
        <v>84</v>
      </c>
      <c r="Q579">
        <v>5</v>
      </c>
      <c r="R579" t="s">
        <v>28</v>
      </c>
      <c r="S579">
        <v>0</v>
      </c>
      <c r="T579">
        <v>5746.51</v>
      </c>
      <c r="U579">
        <v>0</v>
      </c>
    </row>
    <row r="580" spans="1:21" x14ac:dyDescent="0.25">
      <c r="A580" s="1">
        <v>44105</v>
      </c>
      <c r="B580" s="1">
        <v>44105</v>
      </c>
      <c r="C580" t="s">
        <v>157</v>
      </c>
      <c r="D580" t="s">
        <v>52</v>
      </c>
      <c r="E580" t="s">
        <v>53</v>
      </c>
      <c r="F580" t="s">
        <v>252</v>
      </c>
      <c r="G580" s="56">
        <v>44141.821956018517</v>
      </c>
      <c r="H580">
        <v>33</v>
      </c>
      <c r="I580">
        <v>15894</v>
      </c>
      <c r="J580" t="s">
        <v>50</v>
      </c>
      <c r="K580" t="s">
        <v>50</v>
      </c>
      <c r="L580" t="s">
        <v>159</v>
      </c>
      <c r="M580" t="s">
        <v>51</v>
      </c>
      <c r="N580" t="s">
        <v>92</v>
      </c>
      <c r="O580" s="1">
        <v>41335</v>
      </c>
      <c r="P580" t="s">
        <v>84</v>
      </c>
      <c r="Q580">
        <v>5</v>
      </c>
      <c r="R580" t="s">
        <v>28</v>
      </c>
      <c r="S580">
        <v>0</v>
      </c>
      <c r="T580">
        <v>0</v>
      </c>
      <c r="U580">
        <v>0</v>
      </c>
    </row>
    <row r="581" spans="1:21" x14ac:dyDescent="0.25">
      <c r="A581" s="1">
        <v>44105</v>
      </c>
      <c r="B581" s="1">
        <v>44105</v>
      </c>
      <c r="C581" t="s">
        <v>157</v>
      </c>
      <c r="D581" t="s">
        <v>48</v>
      </c>
      <c r="E581" t="s">
        <v>49</v>
      </c>
      <c r="F581" t="s">
        <v>256</v>
      </c>
      <c r="G581" s="56">
        <v>44141.821956018517</v>
      </c>
      <c r="H581">
        <v>33</v>
      </c>
      <c r="I581">
        <v>15894</v>
      </c>
      <c r="J581" t="s">
        <v>50</v>
      </c>
      <c r="K581" t="s">
        <v>50</v>
      </c>
      <c r="L581" t="s">
        <v>159</v>
      </c>
      <c r="M581" t="s">
        <v>51</v>
      </c>
      <c r="N581" t="s">
        <v>92</v>
      </c>
      <c r="O581" s="1">
        <v>41335</v>
      </c>
      <c r="P581" t="s">
        <v>84</v>
      </c>
      <c r="Q581">
        <v>5</v>
      </c>
      <c r="R581" t="s">
        <v>28</v>
      </c>
      <c r="S581">
        <v>12.686017</v>
      </c>
      <c r="T581">
        <v>79.340999999999994</v>
      </c>
      <c r="U581">
        <v>1007</v>
      </c>
    </row>
    <row r="582" spans="1:21" x14ac:dyDescent="0.25">
      <c r="A582" s="1">
        <v>44105</v>
      </c>
      <c r="B582" s="1">
        <v>44105</v>
      </c>
      <c r="C582" t="s">
        <v>157</v>
      </c>
      <c r="D582" t="s">
        <v>95</v>
      </c>
      <c r="E582" t="s">
        <v>56</v>
      </c>
      <c r="F582" t="s">
        <v>254</v>
      </c>
      <c r="G582" s="56">
        <v>44221.697384259256</v>
      </c>
      <c r="H582">
        <v>61</v>
      </c>
      <c r="I582" t="s">
        <v>351</v>
      </c>
      <c r="J582" t="s">
        <v>50</v>
      </c>
      <c r="K582" t="s">
        <v>50</v>
      </c>
      <c r="L582" t="s">
        <v>159</v>
      </c>
      <c r="M582" t="s">
        <v>51</v>
      </c>
      <c r="N582" t="s">
        <v>92</v>
      </c>
      <c r="O582" s="1">
        <v>41335</v>
      </c>
      <c r="P582" t="s">
        <v>84</v>
      </c>
      <c r="Q582">
        <v>5</v>
      </c>
      <c r="R582" t="s">
        <v>28</v>
      </c>
      <c r="S582">
        <v>1</v>
      </c>
      <c r="T582">
        <v>-14</v>
      </c>
      <c r="U582">
        <v>-14</v>
      </c>
    </row>
    <row r="583" spans="1:21" x14ac:dyDescent="0.25">
      <c r="A583" s="1">
        <v>44105</v>
      </c>
      <c r="B583" s="1">
        <v>44105</v>
      </c>
      <c r="C583" t="s">
        <v>157</v>
      </c>
      <c r="D583" t="s">
        <v>55</v>
      </c>
      <c r="E583" t="s">
        <v>56</v>
      </c>
      <c r="F583" t="s">
        <v>255</v>
      </c>
      <c r="G583" s="56">
        <v>44141.821956018517</v>
      </c>
      <c r="H583">
        <v>33</v>
      </c>
      <c r="I583">
        <v>15894</v>
      </c>
      <c r="J583" t="s">
        <v>50</v>
      </c>
      <c r="K583" t="s">
        <v>50</v>
      </c>
      <c r="L583" t="s">
        <v>159</v>
      </c>
      <c r="M583" t="s">
        <v>51</v>
      </c>
      <c r="N583" t="s">
        <v>92</v>
      </c>
      <c r="O583" s="1">
        <v>41335</v>
      </c>
      <c r="P583" t="s">
        <v>84</v>
      </c>
      <c r="Q583">
        <v>5</v>
      </c>
      <c r="R583" t="s">
        <v>28</v>
      </c>
      <c r="S583">
        <v>12.686017</v>
      </c>
      <c r="T583">
        <v>1.0669999999999999</v>
      </c>
      <c r="U583">
        <v>14</v>
      </c>
    </row>
    <row r="584" spans="1:21" x14ac:dyDescent="0.25">
      <c r="A584" s="1">
        <v>44105</v>
      </c>
      <c r="B584" s="1">
        <v>44105</v>
      </c>
      <c r="C584" t="s">
        <v>157</v>
      </c>
      <c r="D584" t="s">
        <v>93</v>
      </c>
      <c r="E584" t="s">
        <v>49</v>
      </c>
      <c r="F584" t="s">
        <v>253</v>
      </c>
      <c r="G584" s="56">
        <v>44221.697384259256</v>
      </c>
      <c r="H584">
        <v>61</v>
      </c>
      <c r="I584" t="s">
        <v>351</v>
      </c>
      <c r="J584" t="s">
        <v>50</v>
      </c>
      <c r="K584" t="s">
        <v>50</v>
      </c>
      <c r="L584" t="s">
        <v>159</v>
      </c>
      <c r="M584" t="s">
        <v>51</v>
      </c>
      <c r="N584" t="s">
        <v>92</v>
      </c>
      <c r="O584" s="1">
        <v>41335</v>
      </c>
      <c r="P584" t="s">
        <v>84</v>
      </c>
      <c r="Q584">
        <v>5</v>
      </c>
      <c r="R584" t="s">
        <v>28</v>
      </c>
      <c r="S584">
        <v>1</v>
      </c>
      <c r="T584">
        <v>-3</v>
      </c>
      <c r="U584">
        <v>-3</v>
      </c>
    </row>
    <row r="585" spans="1:21" x14ac:dyDescent="0.25">
      <c r="A585" s="1">
        <v>44136</v>
      </c>
      <c r="B585" s="1">
        <v>44136</v>
      </c>
      <c r="C585" t="s">
        <v>157</v>
      </c>
      <c r="D585" t="s">
        <v>55</v>
      </c>
      <c r="E585" t="s">
        <v>56</v>
      </c>
      <c r="F585" t="s">
        <v>257</v>
      </c>
      <c r="G585" s="56">
        <v>44169.666030092594</v>
      </c>
      <c r="H585">
        <v>33</v>
      </c>
      <c r="I585">
        <v>16653</v>
      </c>
      <c r="J585" t="s">
        <v>50</v>
      </c>
      <c r="K585" t="s">
        <v>50</v>
      </c>
      <c r="L585" t="s">
        <v>159</v>
      </c>
      <c r="M585" t="s">
        <v>51</v>
      </c>
      <c r="N585" t="s">
        <v>92</v>
      </c>
      <c r="O585" s="1">
        <v>41335</v>
      </c>
      <c r="P585" t="s">
        <v>84</v>
      </c>
      <c r="Q585">
        <v>1</v>
      </c>
      <c r="R585" t="s">
        <v>83</v>
      </c>
      <c r="S585">
        <v>2836.8555449999999</v>
      </c>
      <c r="T585">
        <v>1.0669999999999999</v>
      </c>
      <c r="U585">
        <v>3027</v>
      </c>
    </row>
    <row r="586" spans="1:21" x14ac:dyDescent="0.25">
      <c r="A586" s="1">
        <v>44136</v>
      </c>
      <c r="B586" s="1">
        <v>44136</v>
      </c>
      <c r="C586" t="s">
        <v>157</v>
      </c>
      <c r="D586" t="s">
        <v>52</v>
      </c>
      <c r="E586" t="s">
        <v>53</v>
      </c>
      <c r="F586" t="s">
        <v>258</v>
      </c>
      <c r="G586" s="56">
        <v>44169.666030092594</v>
      </c>
      <c r="H586">
        <v>33</v>
      </c>
      <c r="I586">
        <v>16653</v>
      </c>
      <c r="J586" t="s">
        <v>50</v>
      </c>
      <c r="K586" t="s">
        <v>50</v>
      </c>
      <c r="L586" t="s">
        <v>159</v>
      </c>
      <c r="M586" t="s">
        <v>51</v>
      </c>
      <c r="N586" t="s">
        <v>92</v>
      </c>
      <c r="O586" s="1">
        <v>41335</v>
      </c>
      <c r="P586" t="s">
        <v>84</v>
      </c>
      <c r="Q586">
        <v>1</v>
      </c>
      <c r="R586" t="s">
        <v>83</v>
      </c>
      <c r="S586">
        <v>0</v>
      </c>
      <c r="T586">
        <v>152.77614</v>
      </c>
      <c r="U586">
        <v>153</v>
      </c>
    </row>
    <row r="587" spans="1:21" x14ac:dyDescent="0.25">
      <c r="A587" s="1">
        <v>44136</v>
      </c>
      <c r="B587" s="1">
        <v>44136</v>
      </c>
      <c r="C587" t="s">
        <v>157</v>
      </c>
      <c r="D587" t="s">
        <v>93</v>
      </c>
      <c r="E587" t="s">
        <v>49</v>
      </c>
      <c r="F587" t="s">
        <v>259</v>
      </c>
      <c r="G587" s="56">
        <v>44215.508055555554</v>
      </c>
      <c r="H587">
        <v>61</v>
      </c>
      <c r="I587" t="s">
        <v>351</v>
      </c>
      <c r="J587" t="s">
        <v>50</v>
      </c>
      <c r="K587" t="s">
        <v>50</v>
      </c>
      <c r="L587" t="s">
        <v>159</v>
      </c>
      <c r="M587" t="s">
        <v>51</v>
      </c>
      <c r="N587" t="s">
        <v>92</v>
      </c>
      <c r="O587" s="1">
        <v>41335</v>
      </c>
      <c r="P587" t="s">
        <v>84</v>
      </c>
      <c r="Q587">
        <v>1</v>
      </c>
      <c r="R587" t="s">
        <v>83</v>
      </c>
      <c r="S587">
        <v>1</v>
      </c>
      <c r="T587">
        <v>-1312</v>
      </c>
      <c r="U587">
        <v>-1312</v>
      </c>
    </row>
    <row r="588" spans="1:21" x14ac:dyDescent="0.25">
      <c r="A588" s="1">
        <v>44136</v>
      </c>
      <c r="B588" s="1">
        <v>44136</v>
      </c>
      <c r="C588" t="s">
        <v>157</v>
      </c>
      <c r="D588" t="s">
        <v>95</v>
      </c>
      <c r="E588" t="s">
        <v>56</v>
      </c>
      <c r="F588" t="s">
        <v>260</v>
      </c>
      <c r="G588" s="56">
        <v>44215.706747685188</v>
      </c>
      <c r="H588">
        <v>61</v>
      </c>
      <c r="I588" t="s">
        <v>351</v>
      </c>
      <c r="J588" t="s">
        <v>50</v>
      </c>
      <c r="K588" t="s">
        <v>50</v>
      </c>
      <c r="L588" t="s">
        <v>159</v>
      </c>
      <c r="M588" t="s">
        <v>51</v>
      </c>
      <c r="N588" t="s">
        <v>92</v>
      </c>
      <c r="O588" s="1">
        <v>41335</v>
      </c>
      <c r="P588" t="s">
        <v>84</v>
      </c>
      <c r="Q588">
        <v>1</v>
      </c>
      <c r="R588" t="s">
        <v>83</v>
      </c>
      <c r="S588">
        <v>1</v>
      </c>
      <c r="T588">
        <v>-3027</v>
      </c>
      <c r="U588">
        <v>-3027</v>
      </c>
    </row>
    <row r="589" spans="1:21" x14ac:dyDescent="0.25">
      <c r="A589" s="1">
        <v>44136</v>
      </c>
      <c r="B589" s="1">
        <v>44136</v>
      </c>
      <c r="C589" t="s">
        <v>157</v>
      </c>
      <c r="D589" t="s">
        <v>54</v>
      </c>
      <c r="E589" t="s">
        <v>21</v>
      </c>
      <c r="F589" t="s">
        <v>261</v>
      </c>
      <c r="G589" s="56">
        <v>44169.666030092594</v>
      </c>
      <c r="H589">
        <v>33</v>
      </c>
      <c r="I589">
        <v>16653</v>
      </c>
      <c r="J589" t="s">
        <v>50</v>
      </c>
      <c r="K589" t="s">
        <v>50</v>
      </c>
      <c r="L589" t="s">
        <v>159</v>
      </c>
      <c r="M589" t="s">
        <v>51</v>
      </c>
      <c r="N589" t="s">
        <v>92</v>
      </c>
      <c r="O589" s="1">
        <v>41335</v>
      </c>
      <c r="P589" t="s">
        <v>84</v>
      </c>
      <c r="Q589">
        <v>1</v>
      </c>
      <c r="R589" t="s">
        <v>83</v>
      </c>
      <c r="S589">
        <v>0</v>
      </c>
      <c r="T589">
        <v>6059.26</v>
      </c>
      <c r="U589">
        <v>0</v>
      </c>
    </row>
    <row r="590" spans="1:21" x14ac:dyDescent="0.25">
      <c r="A590" s="1">
        <v>44136</v>
      </c>
      <c r="B590" s="1">
        <v>44136</v>
      </c>
      <c r="C590" t="s">
        <v>157</v>
      </c>
      <c r="D590" t="s">
        <v>262</v>
      </c>
      <c r="E590" t="s">
        <v>53</v>
      </c>
      <c r="F590" t="s">
        <v>263</v>
      </c>
      <c r="G590" s="56">
        <v>44215.508055555554</v>
      </c>
      <c r="H590">
        <v>61</v>
      </c>
      <c r="I590" t="s">
        <v>351</v>
      </c>
      <c r="J590" t="s">
        <v>50</v>
      </c>
      <c r="K590" t="s">
        <v>50</v>
      </c>
      <c r="L590" t="s">
        <v>159</v>
      </c>
      <c r="M590" t="s">
        <v>51</v>
      </c>
      <c r="N590" t="s">
        <v>92</v>
      </c>
      <c r="O590" s="1">
        <v>41335</v>
      </c>
      <c r="P590" t="s">
        <v>84</v>
      </c>
      <c r="Q590">
        <v>1</v>
      </c>
      <c r="R590" t="s">
        <v>83</v>
      </c>
      <c r="S590">
        <v>1</v>
      </c>
      <c r="T590">
        <v>10</v>
      </c>
      <c r="U590">
        <v>10</v>
      </c>
    </row>
    <row r="591" spans="1:21" x14ac:dyDescent="0.25">
      <c r="A591" s="1">
        <v>44136</v>
      </c>
      <c r="B591" s="1">
        <v>44136</v>
      </c>
      <c r="C591" t="s">
        <v>157</v>
      </c>
      <c r="D591" t="s">
        <v>48</v>
      </c>
      <c r="E591" t="s">
        <v>49</v>
      </c>
      <c r="F591" t="s">
        <v>264</v>
      </c>
      <c r="G591" s="56">
        <v>44169.666030092594</v>
      </c>
      <c r="H591">
        <v>33</v>
      </c>
      <c r="I591">
        <v>16653</v>
      </c>
      <c r="J591" t="s">
        <v>50</v>
      </c>
      <c r="K591" t="s">
        <v>50</v>
      </c>
      <c r="L591" t="s">
        <v>159</v>
      </c>
      <c r="M591" t="s">
        <v>51</v>
      </c>
      <c r="N591" t="s">
        <v>92</v>
      </c>
      <c r="O591" s="1">
        <v>41335</v>
      </c>
      <c r="P591" t="s">
        <v>84</v>
      </c>
      <c r="Q591">
        <v>1</v>
      </c>
      <c r="R591" t="s">
        <v>83</v>
      </c>
      <c r="S591">
        <v>2836.8555449999999</v>
      </c>
      <c r="T591">
        <v>80.344999999999999</v>
      </c>
      <c r="U591">
        <v>227927</v>
      </c>
    </row>
    <row r="592" spans="1:21" x14ac:dyDescent="0.25">
      <c r="A592" s="1">
        <v>44136</v>
      </c>
      <c r="B592" s="1">
        <v>44136</v>
      </c>
      <c r="C592" t="s">
        <v>157</v>
      </c>
      <c r="D592" t="s">
        <v>52</v>
      </c>
      <c r="E592" t="s">
        <v>53</v>
      </c>
      <c r="F592" t="s">
        <v>258</v>
      </c>
      <c r="G592" s="56">
        <v>44169.666030092594</v>
      </c>
      <c r="H592">
        <v>33</v>
      </c>
      <c r="I592">
        <v>16653</v>
      </c>
      <c r="J592" t="s">
        <v>50</v>
      </c>
      <c r="K592" t="s">
        <v>50</v>
      </c>
      <c r="L592" t="s">
        <v>159</v>
      </c>
      <c r="M592" t="s">
        <v>51</v>
      </c>
      <c r="N592" t="s">
        <v>92</v>
      </c>
      <c r="O592" s="1">
        <v>41335</v>
      </c>
      <c r="P592" t="s">
        <v>84</v>
      </c>
      <c r="Q592">
        <v>2</v>
      </c>
      <c r="R592" t="s">
        <v>94</v>
      </c>
      <c r="S592">
        <v>0</v>
      </c>
      <c r="T592">
        <v>0</v>
      </c>
      <c r="U592">
        <v>0</v>
      </c>
    </row>
    <row r="593" spans="1:21" x14ac:dyDescent="0.25">
      <c r="A593" s="1">
        <v>44136</v>
      </c>
      <c r="B593" s="1">
        <v>44136</v>
      </c>
      <c r="C593" t="s">
        <v>157</v>
      </c>
      <c r="D593" t="s">
        <v>95</v>
      </c>
      <c r="E593" t="s">
        <v>56</v>
      </c>
      <c r="F593" t="s">
        <v>260</v>
      </c>
      <c r="G593" s="56">
        <v>44215.706747685188</v>
      </c>
      <c r="H593">
        <v>61</v>
      </c>
      <c r="I593" t="s">
        <v>351</v>
      </c>
      <c r="J593" t="s">
        <v>50</v>
      </c>
      <c r="K593" t="s">
        <v>50</v>
      </c>
      <c r="L593" t="s">
        <v>159</v>
      </c>
      <c r="M593" t="s">
        <v>51</v>
      </c>
      <c r="N593" t="s">
        <v>92</v>
      </c>
      <c r="O593" s="1">
        <v>41335</v>
      </c>
      <c r="P593" t="s">
        <v>84</v>
      </c>
      <c r="Q593">
        <v>2</v>
      </c>
      <c r="R593" t="s">
        <v>94</v>
      </c>
      <c r="S593">
        <v>1</v>
      </c>
      <c r="T593">
        <v>-13</v>
      </c>
      <c r="U593">
        <v>-13</v>
      </c>
    </row>
    <row r="594" spans="1:21" x14ac:dyDescent="0.25">
      <c r="A594" s="1">
        <v>44136</v>
      </c>
      <c r="B594" s="1">
        <v>44136</v>
      </c>
      <c r="C594" t="s">
        <v>157</v>
      </c>
      <c r="D594" t="s">
        <v>54</v>
      </c>
      <c r="E594" t="s">
        <v>21</v>
      </c>
      <c r="F594" t="s">
        <v>261</v>
      </c>
      <c r="G594" s="56">
        <v>44169.666030092594</v>
      </c>
      <c r="H594">
        <v>33</v>
      </c>
      <c r="I594">
        <v>16653</v>
      </c>
      <c r="J594" t="s">
        <v>50</v>
      </c>
      <c r="K594" t="s">
        <v>50</v>
      </c>
      <c r="L594" t="s">
        <v>159</v>
      </c>
      <c r="M594" t="s">
        <v>51</v>
      </c>
      <c r="N594" t="s">
        <v>92</v>
      </c>
      <c r="O594" s="1">
        <v>41335</v>
      </c>
      <c r="P594" t="s">
        <v>84</v>
      </c>
      <c r="Q594">
        <v>2</v>
      </c>
      <c r="R594" t="s">
        <v>94</v>
      </c>
      <c r="S594">
        <v>0</v>
      </c>
      <c r="T594">
        <v>6135.33</v>
      </c>
      <c r="U594">
        <v>0</v>
      </c>
    </row>
    <row r="595" spans="1:21" x14ac:dyDescent="0.25">
      <c r="A595" s="1">
        <v>44136</v>
      </c>
      <c r="B595" s="1">
        <v>44136</v>
      </c>
      <c r="C595" t="s">
        <v>157</v>
      </c>
      <c r="D595" t="s">
        <v>48</v>
      </c>
      <c r="E595" t="s">
        <v>49</v>
      </c>
      <c r="F595" t="s">
        <v>264</v>
      </c>
      <c r="G595" s="56">
        <v>44169.666030092594</v>
      </c>
      <c r="H595">
        <v>33</v>
      </c>
      <c r="I595">
        <v>16653</v>
      </c>
      <c r="J595" t="s">
        <v>50</v>
      </c>
      <c r="K595" t="s">
        <v>50</v>
      </c>
      <c r="L595" t="s">
        <v>159</v>
      </c>
      <c r="M595" t="s">
        <v>51</v>
      </c>
      <c r="N595" t="s">
        <v>92</v>
      </c>
      <c r="O595" s="1">
        <v>41335</v>
      </c>
      <c r="P595" t="s">
        <v>84</v>
      </c>
      <c r="Q595">
        <v>2</v>
      </c>
      <c r="R595" t="s">
        <v>94</v>
      </c>
      <c r="S595">
        <v>11.915349000000001</v>
      </c>
      <c r="T595">
        <v>81.489000000000004</v>
      </c>
      <c r="U595">
        <v>971</v>
      </c>
    </row>
    <row r="596" spans="1:21" x14ac:dyDescent="0.25">
      <c r="A596" s="1">
        <v>44136</v>
      </c>
      <c r="B596" s="1">
        <v>44136</v>
      </c>
      <c r="C596" t="s">
        <v>157</v>
      </c>
      <c r="D596" t="s">
        <v>93</v>
      </c>
      <c r="E596" t="s">
        <v>49</v>
      </c>
      <c r="F596" t="s">
        <v>259</v>
      </c>
      <c r="G596" s="56">
        <v>44215.508055555554</v>
      </c>
      <c r="H596">
        <v>61</v>
      </c>
      <c r="I596" t="s">
        <v>351</v>
      </c>
      <c r="J596" t="s">
        <v>50</v>
      </c>
      <c r="K596" t="s">
        <v>50</v>
      </c>
      <c r="L596" t="s">
        <v>159</v>
      </c>
      <c r="M596" t="s">
        <v>51</v>
      </c>
      <c r="N596" t="s">
        <v>92</v>
      </c>
      <c r="O596" s="1">
        <v>41335</v>
      </c>
      <c r="P596" t="s">
        <v>84</v>
      </c>
      <c r="Q596">
        <v>2</v>
      </c>
      <c r="R596" t="s">
        <v>94</v>
      </c>
      <c r="S596">
        <v>1</v>
      </c>
      <c r="T596">
        <v>-6</v>
      </c>
      <c r="U596">
        <v>-6</v>
      </c>
    </row>
    <row r="597" spans="1:21" x14ac:dyDescent="0.25">
      <c r="A597" s="1">
        <v>44136</v>
      </c>
      <c r="B597" s="1">
        <v>44136</v>
      </c>
      <c r="C597" t="s">
        <v>157</v>
      </c>
      <c r="D597" t="s">
        <v>55</v>
      </c>
      <c r="E597" t="s">
        <v>56</v>
      </c>
      <c r="F597" t="s">
        <v>257</v>
      </c>
      <c r="G597" s="56">
        <v>44169.666030092594</v>
      </c>
      <c r="H597">
        <v>33</v>
      </c>
      <c r="I597">
        <v>16653</v>
      </c>
      <c r="J597" t="s">
        <v>50</v>
      </c>
      <c r="K597" t="s">
        <v>50</v>
      </c>
      <c r="L597" t="s">
        <v>159</v>
      </c>
      <c r="M597" t="s">
        <v>51</v>
      </c>
      <c r="N597" t="s">
        <v>92</v>
      </c>
      <c r="O597" s="1">
        <v>41335</v>
      </c>
      <c r="P597" t="s">
        <v>84</v>
      </c>
      <c r="Q597">
        <v>2</v>
      </c>
      <c r="R597" t="s">
        <v>94</v>
      </c>
      <c r="S597">
        <v>11.915349000000001</v>
      </c>
      <c r="T597">
        <v>1.0669999999999999</v>
      </c>
      <c r="U597">
        <v>13</v>
      </c>
    </row>
    <row r="598" spans="1:21" x14ac:dyDescent="0.25">
      <c r="A598" s="1">
        <v>44136</v>
      </c>
      <c r="B598" s="1">
        <v>44136</v>
      </c>
      <c r="C598" t="s">
        <v>157</v>
      </c>
      <c r="D598" t="s">
        <v>52</v>
      </c>
      <c r="E598" t="s">
        <v>53</v>
      </c>
      <c r="F598" t="s">
        <v>258</v>
      </c>
      <c r="G598" s="56">
        <v>44169.666030092594</v>
      </c>
      <c r="H598">
        <v>33</v>
      </c>
      <c r="I598">
        <v>16653</v>
      </c>
      <c r="J598" t="s">
        <v>50</v>
      </c>
      <c r="K598" t="s">
        <v>50</v>
      </c>
      <c r="L598" t="s">
        <v>159</v>
      </c>
      <c r="M598" t="s">
        <v>51</v>
      </c>
      <c r="N598" t="s">
        <v>92</v>
      </c>
      <c r="O598" s="1">
        <v>41335</v>
      </c>
      <c r="P598" t="s">
        <v>84</v>
      </c>
      <c r="Q598">
        <v>3</v>
      </c>
      <c r="R598" t="s">
        <v>81</v>
      </c>
      <c r="S598">
        <v>0</v>
      </c>
      <c r="T598">
        <v>0</v>
      </c>
      <c r="U598">
        <v>0</v>
      </c>
    </row>
    <row r="599" spans="1:21" x14ac:dyDescent="0.25">
      <c r="A599" s="1">
        <v>44136</v>
      </c>
      <c r="B599" s="1">
        <v>44136</v>
      </c>
      <c r="C599" t="s">
        <v>157</v>
      </c>
      <c r="D599" t="s">
        <v>48</v>
      </c>
      <c r="E599" t="s">
        <v>49</v>
      </c>
      <c r="F599" t="s">
        <v>264</v>
      </c>
      <c r="G599" s="56">
        <v>44169.666030092594</v>
      </c>
      <c r="H599">
        <v>33</v>
      </c>
      <c r="I599">
        <v>16653</v>
      </c>
      <c r="J599" t="s">
        <v>50</v>
      </c>
      <c r="K599" t="s">
        <v>50</v>
      </c>
      <c r="L599" t="s">
        <v>159</v>
      </c>
      <c r="M599" t="s">
        <v>51</v>
      </c>
      <c r="N599" t="s">
        <v>92</v>
      </c>
      <c r="O599" s="1">
        <v>41335</v>
      </c>
      <c r="P599" t="s">
        <v>84</v>
      </c>
      <c r="Q599">
        <v>3</v>
      </c>
      <c r="R599" t="s">
        <v>81</v>
      </c>
      <c r="S599">
        <v>427.739485</v>
      </c>
      <c r="T599">
        <v>76.656999999999996</v>
      </c>
      <c r="U599">
        <v>32789</v>
      </c>
    </row>
    <row r="600" spans="1:21" x14ac:dyDescent="0.25">
      <c r="A600" s="1">
        <v>44136</v>
      </c>
      <c r="B600" s="1">
        <v>44136</v>
      </c>
      <c r="C600" t="s">
        <v>157</v>
      </c>
      <c r="D600" t="s">
        <v>54</v>
      </c>
      <c r="E600" t="s">
        <v>21</v>
      </c>
      <c r="F600" t="s">
        <v>261</v>
      </c>
      <c r="G600" s="56">
        <v>44169.666030092594</v>
      </c>
      <c r="H600">
        <v>33</v>
      </c>
      <c r="I600">
        <v>16653</v>
      </c>
      <c r="J600" t="s">
        <v>50</v>
      </c>
      <c r="K600" t="s">
        <v>50</v>
      </c>
      <c r="L600" t="s">
        <v>159</v>
      </c>
      <c r="M600" t="s">
        <v>51</v>
      </c>
      <c r="N600" t="s">
        <v>92</v>
      </c>
      <c r="O600" s="1">
        <v>41335</v>
      </c>
      <c r="P600" t="s">
        <v>84</v>
      </c>
      <c r="Q600">
        <v>3</v>
      </c>
      <c r="R600" t="s">
        <v>81</v>
      </c>
      <c r="S600">
        <v>0</v>
      </c>
      <c r="T600">
        <v>5857.6</v>
      </c>
      <c r="U600">
        <v>0</v>
      </c>
    </row>
    <row r="601" spans="1:21" x14ac:dyDescent="0.25">
      <c r="A601" s="1">
        <v>44136</v>
      </c>
      <c r="B601" s="1">
        <v>44136</v>
      </c>
      <c r="C601" t="s">
        <v>157</v>
      </c>
      <c r="D601" t="s">
        <v>55</v>
      </c>
      <c r="E601" t="s">
        <v>56</v>
      </c>
      <c r="F601" t="s">
        <v>257</v>
      </c>
      <c r="G601" s="56">
        <v>44169.666030092594</v>
      </c>
      <c r="H601">
        <v>33</v>
      </c>
      <c r="I601">
        <v>16653</v>
      </c>
      <c r="J601" t="s">
        <v>50</v>
      </c>
      <c r="K601" t="s">
        <v>50</v>
      </c>
      <c r="L601" t="s">
        <v>159</v>
      </c>
      <c r="M601" t="s">
        <v>51</v>
      </c>
      <c r="N601" t="s">
        <v>92</v>
      </c>
      <c r="O601" s="1">
        <v>41335</v>
      </c>
      <c r="P601" t="s">
        <v>84</v>
      </c>
      <c r="Q601">
        <v>3</v>
      </c>
      <c r="R601" t="s">
        <v>81</v>
      </c>
      <c r="S601">
        <v>427.739485</v>
      </c>
      <c r="T601">
        <v>1.0669999999999999</v>
      </c>
      <c r="U601">
        <v>456</v>
      </c>
    </row>
    <row r="602" spans="1:21" x14ac:dyDescent="0.25">
      <c r="A602" s="1">
        <v>44136</v>
      </c>
      <c r="B602" s="1">
        <v>44136</v>
      </c>
      <c r="C602" t="s">
        <v>157</v>
      </c>
      <c r="D602" t="s">
        <v>95</v>
      </c>
      <c r="E602" t="s">
        <v>56</v>
      </c>
      <c r="F602" t="s">
        <v>260</v>
      </c>
      <c r="G602" s="56">
        <v>44215.706747685188</v>
      </c>
      <c r="H602">
        <v>61</v>
      </c>
      <c r="I602" t="s">
        <v>351</v>
      </c>
      <c r="J602" t="s">
        <v>50</v>
      </c>
      <c r="K602" t="s">
        <v>50</v>
      </c>
      <c r="L602" t="s">
        <v>159</v>
      </c>
      <c r="M602" t="s">
        <v>51</v>
      </c>
      <c r="N602" t="s">
        <v>92</v>
      </c>
      <c r="O602" s="1">
        <v>41335</v>
      </c>
      <c r="P602" t="s">
        <v>84</v>
      </c>
      <c r="Q602">
        <v>3</v>
      </c>
      <c r="R602" t="s">
        <v>81</v>
      </c>
      <c r="S602">
        <v>1</v>
      </c>
      <c r="T602">
        <v>-456</v>
      </c>
      <c r="U602">
        <v>-456</v>
      </c>
    </row>
    <row r="603" spans="1:21" x14ac:dyDescent="0.25">
      <c r="A603" s="1">
        <v>44136</v>
      </c>
      <c r="B603" s="1">
        <v>44136</v>
      </c>
      <c r="C603" t="s">
        <v>157</v>
      </c>
      <c r="D603" t="s">
        <v>93</v>
      </c>
      <c r="E603" t="s">
        <v>49</v>
      </c>
      <c r="F603" t="s">
        <v>259</v>
      </c>
      <c r="G603" s="56">
        <v>44215.508055555554</v>
      </c>
      <c r="H603">
        <v>61</v>
      </c>
      <c r="I603" t="s">
        <v>351</v>
      </c>
      <c r="J603" t="s">
        <v>50</v>
      </c>
      <c r="K603" t="s">
        <v>50</v>
      </c>
      <c r="L603" t="s">
        <v>159</v>
      </c>
      <c r="M603" t="s">
        <v>51</v>
      </c>
      <c r="N603" t="s">
        <v>92</v>
      </c>
      <c r="O603" s="1">
        <v>41335</v>
      </c>
      <c r="P603" t="s">
        <v>84</v>
      </c>
      <c r="Q603">
        <v>3</v>
      </c>
      <c r="R603" t="s">
        <v>81</v>
      </c>
      <c r="S603">
        <v>1</v>
      </c>
      <c r="T603">
        <v>-189</v>
      </c>
      <c r="U603">
        <v>-189</v>
      </c>
    </row>
    <row r="604" spans="1:21" x14ac:dyDescent="0.25">
      <c r="A604" s="1">
        <v>44136</v>
      </c>
      <c r="B604" s="1">
        <v>44136</v>
      </c>
      <c r="C604" t="s">
        <v>157</v>
      </c>
      <c r="D604" t="s">
        <v>55</v>
      </c>
      <c r="E604" t="s">
        <v>56</v>
      </c>
      <c r="F604" t="s">
        <v>257</v>
      </c>
      <c r="G604" s="56">
        <v>44169.666030092594</v>
      </c>
      <c r="H604">
        <v>33</v>
      </c>
      <c r="I604">
        <v>16653</v>
      </c>
      <c r="J604" t="s">
        <v>50</v>
      </c>
      <c r="K604" t="s">
        <v>50</v>
      </c>
      <c r="L604" t="s">
        <v>159</v>
      </c>
      <c r="M604" t="s">
        <v>51</v>
      </c>
      <c r="N604" t="s">
        <v>92</v>
      </c>
      <c r="O604" s="1">
        <v>41335</v>
      </c>
      <c r="P604" t="s">
        <v>84</v>
      </c>
      <c r="Q604">
        <v>4</v>
      </c>
      <c r="R604" t="s">
        <v>27</v>
      </c>
      <c r="S604">
        <v>3569.1454020000001</v>
      </c>
      <c r="T604">
        <v>1.0669999999999999</v>
      </c>
      <c r="U604">
        <v>3808</v>
      </c>
    </row>
    <row r="605" spans="1:21" x14ac:dyDescent="0.25">
      <c r="A605" s="1">
        <v>44136</v>
      </c>
      <c r="B605" s="1">
        <v>44136</v>
      </c>
      <c r="C605" t="s">
        <v>157</v>
      </c>
      <c r="D605" t="s">
        <v>93</v>
      </c>
      <c r="E605" t="s">
        <v>49</v>
      </c>
      <c r="F605" t="s">
        <v>259</v>
      </c>
      <c r="G605" s="56">
        <v>44215.508055555554</v>
      </c>
      <c r="H605">
        <v>61</v>
      </c>
      <c r="I605" t="s">
        <v>351</v>
      </c>
      <c r="J605" t="s">
        <v>50</v>
      </c>
      <c r="K605" t="s">
        <v>50</v>
      </c>
      <c r="L605" t="s">
        <v>159</v>
      </c>
      <c r="M605" t="s">
        <v>51</v>
      </c>
      <c r="N605" t="s">
        <v>92</v>
      </c>
      <c r="O605" s="1">
        <v>41335</v>
      </c>
      <c r="P605" t="s">
        <v>84</v>
      </c>
      <c r="Q605">
        <v>4</v>
      </c>
      <c r="R605" t="s">
        <v>27</v>
      </c>
      <c r="S605">
        <v>1</v>
      </c>
      <c r="T605">
        <v>-1578</v>
      </c>
      <c r="U605">
        <v>-1578</v>
      </c>
    </row>
    <row r="606" spans="1:21" x14ac:dyDescent="0.25">
      <c r="A606" s="1">
        <v>44136</v>
      </c>
      <c r="B606" s="1">
        <v>44136</v>
      </c>
      <c r="C606" t="s">
        <v>157</v>
      </c>
      <c r="D606" t="s">
        <v>95</v>
      </c>
      <c r="E606" t="s">
        <v>56</v>
      </c>
      <c r="F606" t="s">
        <v>260</v>
      </c>
      <c r="G606" s="56">
        <v>44215.706747685188</v>
      </c>
      <c r="H606">
        <v>61</v>
      </c>
      <c r="I606" t="s">
        <v>351</v>
      </c>
      <c r="J606" t="s">
        <v>50</v>
      </c>
      <c r="K606" t="s">
        <v>50</v>
      </c>
      <c r="L606" t="s">
        <v>159</v>
      </c>
      <c r="M606" t="s">
        <v>51</v>
      </c>
      <c r="N606" t="s">
        <v>92</v>
      </c>
      <c r="O606" s="1">
        <v>41335</v>
      </c>
      <c r="P606" t="s">
        <v>84</v>
      </c>
      <c r="Q606">
        <v>4</v>
      </c>
      <c r="R606" t="s">
        <v>27</v>
      </c>
      <c r="S606">
        <v>1</v>
      </c>
      <c r="T606">
        <v>-3808</v>
      </c>
      <c r="U606">
        <v>-3808</v>
      </c>
    </row>
    <row r="607" spans="1:21" x14ac:dyDescent="0.25">
      <c r="A607" s="1">
        <v>44136</v>
      </c>
      <c r="B607" s="1">
        <v>44136</v>
      </c>
      <c r="C607" t="s">
        <v>157</v>
      </c>
      <c r="D607" t="s">
        <v>48</v>
      </c>
      <c r="E607" t="s">
        <v>49</v>
      </c>
      <c r="F607" t="s">
        <v>264</v>
      </c>
      <c r="G607" s="56">
        <v>44169.666030092594</v>
      </c>
      <c r="H607">
        <v>33</v>
      </c>
      <c r="I607">
        <v>16653</v>
      </c>
      <c r="J607" t="s">
        <v>50</v>
      </c>
      <c r="K607" t="s">
        <v>50</v>
      </c>
      <c r="L607" t="s">
        <v>159</v>
      </c>
      <c r="M607" t="s">
        <v>51</v>
      </c>
      <c r="N607" t="s">
        <v>92</v>
      </c>
      <c r="O607" s="1">
        <v>41335</v>
      </c>
      <c r="P607" t="s">
        <v>84</v>
      </c>
      <c r="Q607">
        <v>4</v>
      </c>
      <c r="R607" t="s">
        <v>27</v>
      </c>
      <c r="S607">
        <v>3569.1454020000001</v>
      </c>
      <c r="T607">
        <v>76.781000000000006</v>
      </c>
      <c r="U607">
        <v>274043</v>
      </c>
    </row>
    <row r="608" spans="1:21" x14ac:dyDescent="0.25">
      <c r="A608" s="1">
        <v>44136</v>
      </c>
      <c r="B608" s="1">
        <v>44136</v>
      </c>
      <c r="C608" t="s">
        <v>157</v>
      </c>
      <c r="D608" t="s">
        <v>52</v>
      </c>
      <c r="E608" t="s">
        <v>53</v>
      </c>
      <c r="F608" t="s">
        <v>258</v>
      </c>
      <c r="G608" s="56">
        <v>44169.666030092594</v>
      </c>
      <c r="H608">
        <v>33</v>
      </c>
      <c r="I608">
        <v>16653</v>
      </c>
      <c r="J608" t="s">
        <v>50</v>
      </c>
      <c r="K608" t="s">
        <v>50</v>
      </c>
      <c r="L608" t="s">
        <v>159</v>
      </c>
      <c r="M608" t="s">
        <v>51</v>
      </c>
      <c r="N608" t="s">
        <v>92</v>
      </c>
      <c r="O608" s="1">
        <v>41335</v>
      </c>
      <c r="P608" t="s">
        <v>84</v>
      </c>
      <c r="Q608">
        <v>4</v>
      </c>
      <c r="R608" t="s">
        <v>27</v>
      </c>
      <c r="S608">
        <v>0</v>
      </c>
      <c r="T608">
        <v>0</v>
      </c>
      <c r="U608">
        <v>0</v>
      </c>
    </row>
    <row r="609" spans="1:21" x14ac:dyDescent="0.25">
      <c r="A609" s="1">
        <v>44136</v>
      </c>
      <c r="B609" s="1">
        <v>44136</v>
      </c>
      <c r="C609" t="s">
        <v>157</v>
      </c>
      <c r="D609" t="s">
        <v>54</v>
      </c>
      <c r="E609" t="s">
        <v>21</v>
      </c>
      <c r="F609" t="s">
        <v>261</v>
      </c>
      <c r="G609" s="56">
        <v>44169.666030092594</v>
      </c>
      <c r="H609">
        <v>33</v>
      </c>
      <c r="I609">
        <v>16653</v>
      </c>
      <c r="J609" t="s">
        <v>50</v>
      </c>
      <c r="K609" t="s">
        <v>50</v>
      </c>
      <c r="L609" t="s">
        <v>159</v>
      </c>
      <c r="M609" t="s">
        <v>51</v>
      </c>
      <c r="N609" t="s">
        <v>92</v>
      </c>
      <c r="O609" s="1">
        <v>41335</v>
      </c>
      <c r="P609" t="s">
        <v>84</v>
      </c>
      <c r="Q609">
        <v>4</v>
      </c>
      <c r="R609" t="s">
        <v>27</v>
      </c>
      <c r="S609">
        <v>0</v>
      </c>
      <c r="T609">
        <v>5984.39</v>
      </c>
      <c r="U609">
        <v>0</v>
      </c>
    </row>
    <row r="610" spans="1:21" x14ac:dyDescent="0.25">
      <c r="A610" s="1">
        <v>44136</v>
      </c>
      <c r="B610" s="1">
        <v>44136</v>
      </c>
      <c r="C610" t="s">
        <v>157</v>
      </c>
      <c r="D610" t="s">
        <v>52</v>
      </c>
      <c r="E610" t="s">
        <v>53</v>
      </c>
      <c r="F610" t="s">
        <v>258</v>
      </c>
      <c r="G610" s="56">
        <v>44169.666030092594</v>
      </c>
      <c r="H610">
        <v>33</v>
      </c>
      <c r="I610">
        <v>16653</v>
      </c>
      <c r="J610" t="s">
        <v>50</v>
      </c>
      <c r="K610" t="s">
        <v>50</v>
      </c>
      <c r="L610" t="s">
        <v>159</v>
      </c>
      <c r="M610" t="s">
        <v>51</v>
      </c>
      <c r="N610" t="s">
        <v>92</v>
      </c>
      <c r="O610" s="1">
        <v>41335</v>
      </c>
      <c r="P610" t="s">
        <v>84</v>
      </c>
      <c r="Q610">
        <v>5</v>
      </c>
      <c r="R610" t="s">
        <v>28</v>
      </c>
      <c r="S610">
        <v>0</v>
      </c>
      <c r="T610">
        <v>0</v>
      </c>
      <c r="U610">
        <v>0</v>
      </c>
    </row>
    <row r="611" spans="1:21" x14ac:dyDescent="0.25">
      <c r="A611" s="1">
        <v>44136</v>
      </c>
      <c r="B611" s="1">
        <v>44136</v>
      </c>
      <c r="C611" t="s">
        <v>157</v>
      </c>
      <c r="D611" t="s">
        <v>54</v>
      </c>
      <c r="E611" t="s">
        <v>21</v>
      </c>
      <c r="F611" t="s">
        <v>261</v>
      </c>
      <c r="G611" s="56">
        <v>44169.666030092594</v>
      </c>
      <c r="H611">
        <v>33</v>
      </c>
      <c r="I611">
        <v>16653</v>
      </c>
      <c r="J611" t="s">
        <v>50</v>
      </c>
      <c r="K611" t="s">
        <v>50</v>
      </c>
      <c r="L611" t="s">
        <v>159</v>
      </c>
      <c r="M611" t="s">
        <v>51</v>
      </c>
      <c r="N611" t="s">
        <v>92</v>
      </c>
      <c r="O611" s="1">
        <v>41335</v>
      </c>
      <c r="P611" t="s">
        <v>84</v>
      </c>
      <c r="Q611">
        <v>5</v>
      </c>
      <c r="R611" t="s">
        <v>28</v>
      </c>
      <c r="S611">
        <v>0</v>
      </c>
      <c r="T611">
        <v>5746.51</v>
      </c>
      <c r="U611">
        <v>0</v>
      </c>
    </row>
    <row r="612" spans="1:21" x14ac:dyDescent="0.25">
      <c r="A612" s="1">
        <v>44136</v>
      </c>
      <c r="B612" s="1">
        <v>44136</v>
      </c>
      <c r="C612" t="s">
        <v>157</v>
      </c>
      <c r="D612" t="s">
        <v>93</v>
      </c>
      <c r="E612" t="s">
        <v>49</v>
      </c>
      <c r="F612" t="s">
        <v>259</v>
      </c>
      <c r="G612" s="56">
        <v>44215.508055555554</v>
      </c>
      <c r="H612">
        <v>61</v>
      </c>
      <c r="I612" t="s">
        <v>351</v>
      </c>
      <c r="J612" t="s">
        <v>50</v>
      </c>
      <c r="K612" t="s">
        <v>50</v>
      </c>
      <c r="L612" t="s">
        <v>159</v>
      </c>
      <c r="M612" t="s">
        <v>51</v>
      </c>
      <c r="N612" t="s">
        <v>92</v>
      </c>
      <c r="O612" s="1">
        <v>41335</v>
      </c>
      <c r="P612" t="s">
        <v>84</v>
      </c>
      <c r="Q612">
        <v>5</v>
      </c>
      <c r="R612" t="s">
        <v>28</v>
      </c>
      <c r="S612">
        <v>1</v>
      </c>
      <c r="T612">
        <v>-7</v>
      </c>
      <c r="U612">
        <v>-7</v>
      </c>
    </row>
    <row r="613" spans="1:21" x14ac:dyDescent="0.25">
      <c r="A613" s="1">
        <v>44136</v>
      </c>
      <c r="B613" s="1">
        <v>44136</v>
      </c>
      <c r="C613" t="s">
        <v>157</v>
      </c>
      <c r="D613" t="s">
        <v>55</v>
      </c>
      <c r="E613" t="s">
        <v>56</v>
      </c>
      <c r="F613" t="s">
        <v>257</v>
      </c>
      <c r="G613" s="56">
        <v>44169.666030092594</v>
      </c>
      <c r="H613">
        <v>33</v>
      </c>
      <c r="I613">
        <v>16653</v>
      </c>
      <c r="J613" t="s">
        <v>50</v>
      </c>
      <c r="K613" t="s">
        <v>50</v>
      </c>
      <c r="L613" t="s">
        <v>159</v>
      </c>
      <c r="M613" t="s">
        <v>51</v>
      </c>
      <c r="N613" t="s">
        <v>92</v>
      </c>
      <c r="O613" s="1">
        <v>41335</v>
      </c>
      <c r="P613" t="s">
        <v>84</v>
      </c>
      <c r="Q613">
        <v>5</v>
      </c>
      <c r="R613" t="s">
        <v>28</v>
      </c>
      <c r="S613">
        <v>14.665755000000001</v>
      </c>
      <c r="T613">
        <v>1.0669999999999999</v>
      </c>
      <c r="U613">
        <v>16</v>
      </c>
    </row>
    <row r="614" spans="1:21" x14ac:dyDescent="0.25">
      <c r="A614" s="1">
        <v>44136</v>
      </c>
      <c r="B614" s="1">
        <v>44136</v>
      </c>
      <c r="C614" t="s">
        <v>157</v>
      </c>
      <c r="D614" t="s">
        <v>95</v>
      </c>
      <c r="E614" t="s">
        <v>56</v>
      </c>
      <c r="F614" t="s">
        <v>260</v>
      </c>
      <c r="G614" s="56">
        <v>44215.706747685188</v>
      </c>
      <c r="H614">
        <v>61</v>
      </c>
      <c r="I614" t="s">
        <v>351</v>
      </c>
      <c r="J614" t="s">
        <v>50</v>
      </c>
      <c r="K614" t="s">
        <v>50</v>
      </c>
      <c r="L614" t="s">
        <v>159</v>
      </c>
      <c r="M614" t="s">
        <v>51</v>
      </c>
      <c r="N614" t="s">
        <v>92</v>
      </c>
      <c r="O614" s="1">
        <v>41335</v>
      </c>
      <c r="P614" t="s">
        <v>84</v>
      </c>
      <c r="Q614">
        <v>5</v>
      </c>
      <c r="R614" t="s">
        <v>28</v>
      </c>
      <c r="S614">
        <v>1</v>
      </c>
      <c r="T614">
        <v>-16</v>
      </c>
      <c r="U614">
        <v>-16</v>
      </c>
    </row>
    <row r="615" spans="1:21" x14ac:dyDescent="0.25">
      <c r="A615" s="1">
        <v>44136</v>
      </c>
      <c r="B615" s="1">
        <v>44136</v>
      </c>
      <c r="C615" t="s">
        <v>157</v>
      </c>
      <c r="D615" t="s">
        <v>48</v>
      </c>
      <c r="E615" t="s">
        <v>49</v>
      </c>
      <c r="F615" t="s">
        <v>264</v>
      </c>
      <c r="G615" s="56">
        <v>44169.666030092594</v>
      </c>
      <c r="H615">
        <v>33</v>
      </c>
      <c r="I615">
        <v>16653</v>
      </c>
      <c r="J615" t="s">
        <v>50</v>
      </c>
      <c r="K615" t="s">
        <v>50</v>
      </c>
      <c r="L615" t="s">
        <v>159</v>
      </c>
      <c r="M615" t="s">
        <v>51</v>
      </c>
      <c r="N615" t="s">
        <v>92</v>
      </c>
      <c r="O615" s="1">
        <v>41335</v>
      </c>
      <c r="P615" t="s">
        <v>84</v>
      </c>
      <c r="Q615">
        <v>5</v>
      </c>
      <c r="R615" t="s">
        <v>28</v>
      </c>
      <c r="S615">
        <v>14.665755000000001</v>
      </c>
      <c r="T615">
        <v>79.340999999999994</v>
      </c>
      <c r="U615">
        <v>1164</v>
      </c>
    </row>
    <row r="616" spans="1:21" x14ac:dyDescent="0.25">
      <c r="A616" s="1">
        <v>44166</v>
      </c>
      <c r="B616" s="1">
        <v>44166</v>
      </c>
      <c r="C616" t="s">
        <v>157</v>
      </c>
      <c r="D616" t="s">
        <v>54</v>
      </c>
      <c r="E616" t="s">
        <v>21</v>
      </c>
      <c r="F616" t="s">
        <v>265</v>
      </c>
      <c r="G616" s="56">
        <v>44203.692604166667</v>
      </c>
      <c r="H616">
        <v>33</v>
      </c>
      <c r="I616">
        <v>16938</v>
      </c>
      <c r="J616" t="s">
        <v>50</v>
      </c>
      <c r="K616" t="s">
        <v>50</v>
      </c>
      <c r="L616" t="s">
        <v>159</v>
      </c>
      <c r="M616" t="s">
        <v>51</v>
      </c>
      <c r="N616" t="s">
        <v>92</v>
      </c>
      <c r="O616" s="1">
        <v>41335</v>
      </c>
      <c r="P616" t="s">
        <v>84</v>
      </c>
      <c r="Q616">
        <v>1</v>
      </c>
      <c r="R616" t="s">
        <v>83</v>
      </c>
      <c r="S616">
        <v>0</v>
      </c>
      <c r="T616">
        <v>6059.26</v>
      </c>
      <c r="U616">
        <v>0</v>
      </c>
    </row>
    <row r="617" spans="1:21" x14ac:dyDescent="0.25">
      <c r="A617" s="1">
        <v>44166</v>
      </c>
      <c r="B617" s="1">
        <v>44166</v>
      </c>
      <c r="C617" t="s">
        <v>157</v>
      </c>
      <c r="D617" t="s">
        <v>52</v>
      </c>
      <c r="E617" t="s">
        <v>53</v>
      </c>
      <c r="F617" t="s">
        <v>266</v>
      </c>
      <c r="G617" s="56">
        <v>44203.692604166667</v>
      </c>
      <c r="H617">
        <v>33</v>
      </c>
      <c r="I617">
        <v>16938</v>
      </c>
      <c r="J617" t="s">
        <v>50</v>
      </c>
      <c r="K617" t="s">
        <v>50</v>
      </c>
      <c r="L617" t="s">
        <v>159</v>
      </c>
      <c r="M617" t="s">
        <v>51</v>
      </c>
      <c r="N617" t="s">
        <v>92</v>
      </c>
      <c r="O617" s="1">
        <v>41335</v>
      </c>
      <c r="P617" t="s">
        <v>84</v>
      </c>
      <c r="Q617">
        <v>1</v>
      </c>
      <c r="R617" t="s">
        <v>83</v>
      </c>
      <c r="S617">
        <v>0</v>
      </c>
      <c r="T617">
        <v>1725.83041</v>
      </c>
      <c r="U617">
        <v>1726</v>
      </c>
    </row>
    <row r="618" spans="1:21" x14ac:dyDescent="0.25">
      <c r="A618" s="1">
        <v>44166</v>
      </c>
      <c r="B618" s="1">
        <v>44166</v>
      </c>
      <c r="C618" t="s">
        <v>157</v>
      </c>
      <c r="D618" t="s">
        <v>48</v>
      </c>
      <c r="E618" t="s">
        <v>49</v>
      </c>
      <c r="F618" t="s">
        <v>267</v>
      </c>
      <c r="G618" s="56">
        <v>44203.692604166667</v>
      </c>
      <c r="H618">
        <v>33</v>
      </c>
      <c r="I618">
        <v>16938</v>
      </c>
      <c r="J618" t="s">
        <v>50</v>
      </c>
      <c r="K618" t="s">
        <v>50</v>
      </c>
      <c r="L618" t="s">
        <v>159</v>
      </c>
      <c r="M618" t="s">
        <v>51</v>
      </c>
      <c r="N618" t="s">
        <v>92</v>
      </c>
      <c r="O618" s="1">
        <v>41335</v>
      </c>
      <c r="P618" t="s">
        <v>84</v>
      </c>
      <c r="Q618">
        <v>1</v>
      </c>
      <c r="R618" t="s">
        <v>83</v>
      </c>
      <c r="S618">
        <v>3655.0122390000001</v>
      </c>
      <c r="T618">
        <v>80.344999999999999</v>
      </c>
      <c r="U618">
        <v>293662</v>
      </c>
    </row>
    <row r="619" spans="1:21" x14ac:dyDescent="0.25">
      <c r="A619" s="1">
        <v>44166</v>
      </c>
      <c r="B619" s="1">
        <v>44166</v>
      </c>
      <c r="C619" t="s">
        <v>157</v>
      </c>
      <c r="D619" t="s">
        <v>93</v>
      </c>
      <c r="E619" t="s">
        <v>49</v>
      </c>
      <c r="F619" t="s">
        <v>268</v>
      </c>
      <c r="G619" s="56">
        <v>44251.474293981482</v>
      </c>
      <c r="H619">
        <v>33</v>
      </c>
      <c r="I619" t="s">
        <v>351</v>
      </c>
      <c r="J619" t="s">
        <v>50</v>
      </c>
      <c r="K619" t="s">
        <v>50</v>
      </c>
      <c r="L619" t="s">
        <v>159</v>
      </c>
      <c r="M619" t="s">
        <v>51</v>
      </c>
      <c r="N619" t="s">
        <v>92</v>
      </c>
      <c r="O619" s="1">
        <v>41335</v>
      </c>
      <c r="P619" t="s">
        <v>84</v>
      </c>
      <c r="Q619">
        <v>1</v>
      </c>
      <c r="R619" t="s">
        <v>83</v>
      </c>
      <c r="S619">
        <v>1</v>
      </c>
      <c r="T619">
        <v>882</v>
      </c>
      <c r="U619">
        <v>882</v>
      </c>
    </row>
    <row r="620" spans="1:21" x14ac:dyDescent="0.25">
      <c r="A620" s="1">
        <v>44166</v>
      </c>
      <c r="B620" s="1">
        <v>44166</v>
      </c>
      <c r="C620" t="s">
        <v>157</v>
      </c>
      <c r="D620" t="s">
        <v>55</v>
      </c>
      <c r="E620" t="s">
        <v>56</v>
      </c>
      <c r="F620" t="s">
        <v>269</v>
      </c>
      <c r="G620" s="56">
        <v>44203.692604166667</v>
      </c>
      <c r="H620">
        <v>33</v>
      </c>
      <c r="I620">
        <v>16938</v>
      </c>
      <c r="J620" t="s">
        <v>50</v>
      </c>
      <c r="K620" t="s">
        <v>50</v>
      </c>
      <c r="L620" t="s">
        <v>159</v>
      </c>
      <c r="M620" t="s">
        <v>51</v>
      </c>
      <c r="N620" t="s">
        <v>92</v>
      </c>
      <c r="O620" s="1">
        <v>41335</v>
      </c>
      <c r="P620" t="s">
        <v>84</v>
      </c>
      <c r="Q620">
        <v>1</v>
      </c>
      <c r="R620" t="s">
        <v>83</v>
      </c>
      <c r="S620">
        <v>3655.0122390000001</v>
      </c>
      <c r="T620">
        <v>0</v>
      </c>
      <c r="U620">
        <v>0</v>
      </c>
    </row>
    <row r="621" spans="1:21" x14ac:dyDescent="0.25">
      <c r="A621" s="1">
        <v>44166</v>
      </c>
      <c r="B621" s="1">
        <v>44166</v>
      </c>
      <c r="C621" t="s">
        <v>157</v>
      </c>
      <c r="D621" t="s">
        <v>48</v>
      </c>
      <c r="E621" t="s">
        <v>49</v>
      </c>
      <c r="F621" t="s">
        <v>267</v>
      </c>
      <c r="G621" s="56">
        <v>44203.692604166667</v>
      </c>
      <c r="H621">
        <v>33</v>
      </c>
      <c r="I621">
        <v>16938</v>
      </c>
      <c r="J621" t="s">
        <v>50</v>
      </c>
      <c r="K621" t="s">
        <v>50</v>
      </c>
      <c r="L621" t="s">
        <v>159</v>
      </c>
      <c r="M621" t="s">
        <v>51</v>
      </c>
      <c r="N621" t="s">
        <v>92</v>
      </c>
      <c r="O621" s="1">
        <v>41335</v>
      </c>
      <c r="P621" t="s">
        <v>84</v>
      </c>
      <c r="Q621">
        <v>2</v>
      </c>
      <c r="R621" t="s">
        <v>94</v>
      </c>
      <c r="S621">
        <v>14.851406000000001</v>
      </c>
      <c r="T621">
        <v>81.489000000000004</v>
      </c>
      <c r="U621">
        <v>1210</v>
      </c>
    </row>
    <row r="622" spans="1:21" x14ac:dyDescent="0.25">
      <c r="A622" s="1">
        <v>44166</v>
      </c>
      <c r="B622" s="1">
        <v>44166</v>
      </c>
      <c r="C622" t="s">
        <v>157</v>
      </c>
      <c r="D622" t="s">
        <v>52</v>
      </c>
      <c r="E622" t="s">
        <v>53</v>
      </c>
      <c r="F622" t="s">
        <v>266</v>
      </c>
      <c r="G622" s="56">
        <v>44203.692604166667</v>
      </c>
      <c r="H622">
        <v>33</v>
      </c>
      <c r="I622">
        <v>16938</v>
      </c>
      <c r="J622" t="s">
        <v>50</v>
      </c>
      <c r="K622" t="s">
        <v>50</v>
      </c>
      <c r="L622" t="s">
        <v>159</v>
      </c>
      <c r="M622" t="s">
        <v>51</v>
      </c>
      <c r="N622" t="s">
        <v>92</v>
      </c>
      <c r="O622" s="1">
        <v>41335</v>
      </c>
      <c r="P622" t="s">
        <v>84</v>
      </c>
      <c r="Q622">
        <v>2</v>
      </c>
      <c r="R622" t="s">
        <v>94</v>
      </c>
      <c r="S622">
        <v>0</v>
      </c>
      <c r="T622">
        <v>0</v>
      </c>
      <c r="U622">
        <v>0</v>
      </c>
    </row>
    <row r="623" spans="1:21" x14ac:dyDescent="0.25">
      <c r="A623" s="1">
        <v>44166</v>
      </c>
      <c r="B623" s="1">
        <v>44166</v>
      </c>
      <c r="C623" t="s">
        <v>157</v>
      </c>
      <c r="D623" t="s">
        <v>93</v>
      </c>
      <c r="E623" t="s">
        <v>49</v>
      </c>
      <c r="F623" t="s">
        <v>268</v>
      </c>
      <c r="G623" s="56">
        <v>44251.474293981482</v>
      </c>
      <c r="H623">
        <v>33</v>
      </c>
      <c r="I623" t="s">
        <v>351</v>
      </c>
      <c r="J623" t="s">
        <v>50</v>
      </c>
      <c r="K623" t="s">
        <v>50</v>
      </c>
      <c r="L623" t="s">
        <v>159</v>
      </c>
      <c r="M623" t="s">
        <v>51</v>
      </c>
      <c r="N623" t="s">
        <v>92</v>
      </c>
      <c r="O623" s="1">
        <v>41335</v>
      </c>
      <c r="P623" t="s">
        <v>84</v>
      </c>
      <c r="Q623">
        <v>2</v>
      </c>
      <c r="R623" t="s">
        <v>94</v>
      </c>
      <c r="S623">
        <v>1</v>
      </c>
      <c r="T623">
        <v>4</v>
      </c>
      <c r="U623">
        <v>4</v>
      </c>
    </row>
    <row r="624" spans="1:21" x14ac:dyDescent="0.25">
      <c r="A624" s="1">
        <v>44166</v>
      </c>
      <c r="B624" s="1">
        <v>44166</v>
      </c>
      <c r="C624" t="s">
        <v>157</v>
      </c>
      <c r="D624" t="s">
        <v>54</v>
      </c>
      <c r="E624" t="s">
        <v>21</v>
      </c>
      <c r="F624" t="s">
        <v>265</v>
      </c>
      <c r="G624" s="56">
        <v>44203.692604166667</v>
      </c>
      <c r="H624">
        <v>33</v>
      </c>
      <c r="I624">
        <v>16938</v>
      </c>
      <c r="J624" t="s">
        <v>50</v>
      </c>
      <c r="K624" t="s">
        <v>50</v>
      </c>
      <c r="L624" t="s">
        <v>159</v>
      </c>
      <c r="M624" t="s">
        <v>51</v>
      </c>
      <c r="N624" t="s">
        <v>92</v>
      </c>
      <c r="O624" s="1">
        <v>41335</v>
      </c>
      <c r="P624" t="s">
        <v>84</v>
      </c>
      <c r="Q624">
        <v>2</v>
      </c>
      <c r="R624" t="s">
        <v>94</v>
      </c>
      <c r="S624">
        <v>0</v>
      </c>
      <c r="T624">
        <v>6135.33</v>
      </c>
      <c r="U624">
        <v>0</v>
      </c>
    </row>
    <row r="625" spans="1:21" x14ac:dyDescent="0.25">
      <c r="A625" s="1">
        <v>44166</v>
      </c>
      <c r="B625" s="1">
        <v>44166</v>
      </c>
      <c r="C625" t="s">
        <v>157</v>
      </c>
      <c r="D625" t="s">
        <v>55</v>
      </c>
      <c r="E625" t="s">
        <v>56</v>
      </c>
      <c r="F625" t="s">
        <v>269</v>
      </c>
      <c r="G625" s="56">
        <v>44203.692604166667</v>
      </c>
      <c r="H625">
        <v>33</v>
      </c>
      <c r="I625">
        <v>16938</v>
      </c>
      <c r="J625" t="s">
        <v>50</v>
      </c>
      <c r="K625" t="s">
        <v>50</v>
      </c>
      <c r="L625" t="s">
        <v>159</v>
      </c>
      <c r="M625" t="s">
        <v>51</v>
      </c>
      <c r="N625" t="s">
        <v>92</v>
      </c>
      <c r="O625" s="1">
        <v>41335</v>
      </c>
      <c r="P625" t="s">
        <v>84</v>
      </c>
      <c r="Q625">
        <v>2</v>
      </c>
      <c r="R625" t="s">
        <v>94</v>
      </c>
      <c r="S625">
        <v>14.851406000000001</v>
      </c>
      <c r="T625">
        <v>0</v>
      </c>
      <c r="U625">
        <v>0</v>
      </c>
    </row>
    <row r="626" spans="1:21" x14ac:dyDescent="0.25">
      <c r="A626" s="1">
        <v>44166</v>
      </c>
      <c r="B626" s="1">
        <v>44166</v>
      </c>
      <c r="C626" t="s">
        <v>157</v>
      </c>
      <c r="D626" t="s">
        <v>54</v>
      </c>
      <c r="E626" t="s">
        <v>21</v>
      </c>
      <c r="F626" t="s">
        <v>265</v>
      </c>
      <c r="G626" s="56">
        <v>44203.692604166667</v>
      </c>
      <c r="H626">
        <v>33</v>
      </c>
      <c r="I626">
        <v>16938</v>
      </c>
      <c r="J626" t="s">
        <v>50</v>
      </c>
      <c r="K626" t="s">
        <v>50</v>
      </c>
      <c r="L626" t="s">
        <v>159</v>
      </c>
      <c r="M626" t="s">
        <v>51</v>
      </c>
      <c r="N626" t="s">
        <v>92</v>
      </c>
      <c r="O626" s="1">
        <v>41335</v>
      </c>
      <c r="P626" t="s">
        <v>84</v>
      </c>
      <c r="Q626">
        <v>3</v>
      </c>
      <c r="R626" t="s">
        <v>81</v>
      </c>
      <c r="S626">
        <v>0</v>
      </c>
      <c r="T626">
        <v>5857.6</v>
      </c>
      <c r="U626">
        <v>0</v>
      </c>
    </row>
    <row r="627" spans="1:21" x14ac:dyDescent="0.25">
      <c r="A627" s="1">
        <v>44166</v>
      </c>
      <c r="B627" s="1">
        <v>44166</v>
      </c>
      <c r="C627" t="s">
        <v>157</v>
      </c>
      <c r="D627" t="s">
        <v>52</v>
      </c>
      <c r="E627" t="s">
        <v>53</v>
      </c>
      <c r="F627" t="s">
        <v>266</v>
      </c>
      <c r="G627" s="56">
        <v>44203.692604166667</v>
      </c>
      <c r="H627">
        <v>33</v>
      </c>
      <c r="I627">
        <v>16938</v>
      </c>
      <c r="J627" t="s">
        <v>50</v>
      </c>
      <c r="K627" t="s">
        <v>50</v>
      </c>
      <c r="L627" t="s">
        <v>159</v>
      </c>
      <c r="M627" t="s">
        <v>51</v>
      </c>
      <c r="N627" t="s">
        <v>92</v>
      </c>
      <c r="O627" s="1">
        <v>41335</v>
      </c>
      <c r="P627" t="s">
        <v>84</v>
      </c>
      <c r="Q627">
        <v>3</v>
      </c>
      <c r="R627" t="s">
        <v>81</v>
      </c>
      <c r="S627">
        <v>0</v>
      </c>
      <c r="T627">
        <v>0</v>
      </c>
      <c r="U627">
        <v>0</v>
      </c>
    </row>
    <row r="628" spans="1:21" x14ac:dyDescent="0.25">
      <c r="A628" s="1">
        <v>44166</v>
      </c>
      <c r="B628" s="1">
        <v>44166</v>
      </c>
      <c r="C628" t="s">
        <v>157</v>
      </c>
      <c r="D628" t="s">
        <v>93</v>
      </c>
      <c r="E628" t="s">
        <v>49</v>
      </c>
      <c r="F628" t="s">
        <v>268</v>
      </c>
      <c r="G628" s="56">
        <v>44251.474293981482</v>
      </c>
      <c r="H628">
        <v>33</v>
      </c>
      <c r="I628" t="s">
        <v>351</v>
      </c>
      <c r="J628" t="s">
        <v>50</v>
      </c>
      <c r="K628" t="s">
        <v>50</v>
      </c>
      <c r="L628" t="s">
        <v>159</v>
      </c>
      <c r="M628" t="s">
        <v>51</v>
      </c>
      <c r="N628" t="s">
        <v>92</v>
      </c>
      <c r="O628" s="1">
        <v>41335</v>
      </c>
      <c r="P628" t="s">
        <v>84</v>
      </c>
      <c r="Q628">
        <v>3</v>
      </c>
      <c r="R628" t="s">
        <v>81</v>
      </c>
      <c r="S628">
        <v>1</v>
      </c>
      <c r="T628">
        <v>128</v>
      </c>
      <c r="U628">
        <v>128</v>
      </c>
    </row>
    <row r="629" spans="1:21" x14ac:dyDescent="0.25">
      <c r="A629" s="1">
        <v>44166</v>
      </c>
      <c r="B629" s="1">
        <v>44166</v>
      </c>
      <c r="C629" t="s">
        <v>157</v>
      </c>
      <c r="D629" t="s">
        <v>55</v>
      </c>
      <c r="E629" t="s">
        <v>56</v>
      </c>
      <c r="F629" t="s">
        <v>269</v>
      </c>
      <c r="G629" s="56">
        <v>44203.692604166667</v>
      </c>
      <c r="H629">
        <v>33</v>
      </c>
      <c r="I629">
        <v>16938</v>
      </c>
      <c r="J629" t="s">
        <v>50</v>
      </c>
      <c r="K629" t="s">
        <v>50</v>
      </c>
      <c r="L629" t="s">
        <v>159</v>
      </c>
      <c r="M629" t="s">
        <v>51</v>
      </c>
      <c r="N629" t="s">
        <v>92</v>
      </c>
      <c r="O629" s="1">
        <v>41335</v>
      </c>
      <c r="P629" t="s">
        <v>84</v>
      </c>
      <c r="Q629">
        <v>3</v>
      </c>
      <c r="R629" t="s">
        <v>81</v>
      </c>
      <c r="S629">
        <v>555.09301300000004</v>
      </c>
      <c r="T629">
        <v>0</v>
      </c>
      <c r="U629">
        <v>0</v>
      </c>
    </row>
    <row r="630" spans="1:21" x14ac:dyDescent="0.25">
      <c r="A630" s="1">
        <v>44166</v>
      </c>
      <c r="B630" s="1">
        <v>44166</v>
      </c>
      <c r="C630" t="s">
        <v>157</v>
      </c>
      <c r="D630" t="s">
        <v>48</v>
      </c>
      <c r="E630" t="s">
        <v>49</v>
      </c>
      <c r="F630" t="s">
        <v>267</v>
      </c>
      <c r="G630" s="56">
        <v>44203.692604166667</v>
      </c>
      <c r="H630">
        <v>33</v>
      </c>
      <c r="I630">
        <v>16938</v>
      </c>
      <c r="J630" t="s">
        <v>50</v>
      </c>
      <c r="K630" t="s">
        <v>50</v>
      </c>
      <c r="L630" t="s">
        <v>159</v>
      </c>
      <c r="M630" t="s">
        <v>51</v>
      </c>
      <c r="N630" t="s">
        <v>92</v>
      </c>
      <c r="O630" s="1">
        <v>41335</v>
      </c>
      <c r="P630" t="s">
        <v>84</v>
      </c>
      <c r="Q630">
        <v>3</v>
      </c>
      <c r="R630" t="s">
        <v>81</v>
      </c>
      <c r="S630">
        <v>555.09301300000004</v>
      </c>
      <c r="T630">
        <v>76.656999999999996</v>
      </c>
      <c r="U630">
        <v>42552</v>
      </c>
    </row>
    <row r="631" spans="1:21" x14ac:dyDescent="0.25">
      <c r="A631" s="1">
        <v>44166</v>
      </c>
      <c r="B631" s="1">
        <v>44166</v>
      </c>
      <c r="C631" t="s">
        <v>157</v>
      </c>
      <c r="D631" t="s">
        <v>55</v>
      </c>
      <c r="E631" t="s">
        <v>56</v>
      </c>
      <c r="F631" t="s">
        <v>269</v>
      </c>
      <c r="G631" s="56">
        <v>44203.692604166667</v>
      </c>
      <c r="H631">
        <v>33</v>
      </c>
      <c r="I631">
        <v>16938</v>
      </c>
      <c r="J631" t="s">
        <v>50</v>
      </c>
      <c r="K631" t="s">
        <v>50</v>
      </c>
      <c r="L631" t="s">
        <v>159</v>
      </c>
      <c r="M631" t="s">
        <v>51</v>
      </c>
      <c r="N631" t="s">
        <v>92</v>
      </c>
      <c r="O631" s="1">
        <v>41335</v>
      </c>
      <c r="P631" t="s">
        <v>84</v>
      </c>
      <c r="Q631">
        <v>4</v>
      </c>
      <c r="R631" t="s">
        <v>27</v>
      </c>
      <c r="S631">
        <v>4574.312688</v>
      </c>
      <c r="T631">
        <v>0</v>
      </c>
      <c r="U631">
        <v>0</v>
      </c>
    </row>
    <row r="632" spans="1:21" x14ac:dyDescent="0.25">
      <c r="A632" s="1">
        <v>44166</v>
      </c>
      <c r="B632" s="1">
        <v>44166</v>
      </c>
      <c r="C632" t="s">
        <v>157</v>
      </c>
      <c r="D632" t="s">
        <v>48</v>
      </c>
      <c r="E632" t="s">
        <v>49</v>
      </c>
      <c r="F632" t="s">
        <v>267</v>
      </c>
      <c r="G632" s="56">
        <v>44203.692604166667</v>
      </c>
      <c r="H632">
        <v>33</v>
      </c>
      <c r="I632">
        <v>16938</v>
      </c>
      <c r="J632" t="s">
        <v>50</v>
      </c>
      <c r="K632" t="s">
        <v>50</v>
      </c>
      <c r="L632" t="s">
        <v>159</v>
      </c>
      <c r="M632" t="s">
        <v>51</v>
      </c>
      <c r="N632" t="s">
        <v>92</v>
      </c>
      <c r="O632" s="1">
        <v>41335</v>
      </c>
      <c r="P632" t="s">
        <v>84</v>
      </c>
      <c r="Q632">
        <v>4</v>
      </c>
      <c r="R632" t="s">
        <v>27</v>
      </c>
      <c r="S632">
        <v>4574.312688</v>
      </c>
      <c r="T632">
        <v>76.781000000000006</v>
      </c>
      <c r="U632">
        <v>351220</v>
      </c>
    </row>
    <row r="633" spans="1:21" x14ac:dyDescent="0.25">
      <c r="A633" s="1">
        <v>44166</v>
      </c>
      <c r="B633" s="1">
        <v>44166</v>
      </c>
      <c r="C633" t="s">
        <v>157</v>
      </c>
      <c r="D633" t="s">
        <v>52</v>
      </c>
      <c r="E633" t="s">
        <v>53</v>
      </c>
      <c r="F633" t="s">
        <v>266</v>
      </c>
      <c r="G633" s="56">
        <v>44203.692604166667</v>
      </c>
      <c r="H633">
        <v>33</v>
      </c>
      <c r="I633">
        <v>16938</v>
      </c>
      <c r="J633" t="s">
        <v>50</v>
      </c>
      <c r="K633" t="s">
        <v>50</v>
      </c>
      <c r="L633" t="s">
        <v>159</v>
      </c>
      <c r="M633" t="s">
        <v>51</v>
      </c>
      <c r="N633" t="s">
        <v>92</v>
      </c>
      <c r="O633" s="1">
        <v>41335</v>
      </c>
      <c r="P633" t="s">
        <v>84</v>
      </c>
      <c r="Q633">
        <v>4</v>
      </c>
      <c r="R633" t="s">
        <v>27</v>
      </c>
      <c r="S633">
        <v>0</v>
      </c>
      <c r="T633">
        <v>0</v>
      </c>
      <c r="U633">
        <v>0</v>
      </c>
    </row>
    <row r="634" spans="1:21" x14ac:dyDescent="0.25">
      <c r="A634" s="1">
        <v>44166</v>
      </c>
      <c r="B634" s="1">
        <v>44166</v>
      </c>
      <c r="C634" t="s">
        <v>157</v>
      </c>
      <c r="D634" t="s">
        <v>54</v>
      </c>
      <c r="E634" t="s">
        <v>21</v>
      </c>
      <c r="F634" t="s">
        <v>265</v>
      </c>
      <c r="G634" s="56">
        <v>44203.692604166667</v>
      </c>
      <c r="H634">
        <v>33</v>
      </c>
      <c r="I634">
        <v>16938</v>
      </c>
      <c r="J634" t="s">
        <v>50</v>
      </c>
      <c r="K634" t="s">
        <v>50</v>
      </c>
      <c r="L634" t="s">
        <v>159</v>
      </c>
      <c r="M634" t="s">
        <v>51</v>
      </c>
      <c r="N634" t="s">
        <v>92</v>
      </c>
      <c r="O634" s="1">
        <v>41335</v>
      </c>
      <c r="P634" t="s">
        <v>84</v>
      </c>
      <c r="Q634">
        <v>4</v>
      </c>
      <c r="R634" t="s">
        <v>27</v>
      </c>
      <c r="S634">
        <v>0</v>
      </c>
      <c r="T634">
        <v>5984.39</v>
      </c>
      <c r="U634">
        <v>0</v>
      </c>
    </row>
    <row r="635" spans="1:21" x14ac:dyDescent="0.25">
      <c r="A635" s="1">
        <v>44166</v>
      </c>
      <c r="B635" s="1">
        <v>44166</v>
      </c>
      <c r="C635" t="s">
        <v>157</v>
      </c>
      <c r="D635" t="s">
        <v>93</v>
      </c>
      <c r="E635" t="s">
        <v>49</v>
      </c>
      <c r="F635" t="s">
        <v>268</v>
      </c>
      <c r="G635" s="56">
        <v>44251.474293981482</v>
      </c>
      <c r="H635">
        <v>33</v>
      </c>
      <c r="I635" t="s">
        <v>351</v>
      </c>
      <c r="J635" t="s">
        <v>50</v>
      </c>
      <c r="K635" t="s">
        <v>50</v>
      </c>
      <c r="L635" t="s">
        <v>159</v>
      </c>
      <c r="M635" t="s">
        <v>51</v>
      </c>
      <c r="N635" t="s">
        <v>92</v>
      </c>
      <c r="O635" s="1">
        <v>41335</v>
      </c>
      <c r="P635" t="s">
        <v>84</v>
      </c>
      <c r="Q635">
        <v>4</v>
      </c>
      <c r="R635" t="s">
        <v>27</v>
      </c>
      <c r="S635">
        <v>1</v>
      </c>
      <c r="T635">
        <v>1055</v>
      </c>
      <c r="U635">
        <v>1055</v>
      </c>
    </row>
    <row r="636" spans="1:21" x14ac:dyDescent="0.25">
      <c r="A636" s="1">
        <v>44166</v>
      </c>
      <c r="B636" s="1">
        <v>44166</v>
      </c>
      <c r="C636" t="s">
        <v>157</v>
      </c>
      <c r="D636" t="s">
        <v>52</v>
      </c>
      <c r="E636" t="s">
        <v>53</v>
      </c>
      <c r="F636" t="s">
        <v>266</v>
      </c>
      <c r="G636" s="56">
        <v>44203.692604166667</v>
      </c>
      <c r="H636">
        <v>33</v>
      </c>
      <c r="I636">
        <v>16938</v>
      </c>
      <c r="J636" t="s">
        <v>50</v>
      </c>
      <c r="K636" t="s">
        <v>50</v>
      </c>
      <c r="L636" t="s">
        <v>159</v>
      </c>
      <c r="M636" t="s">
        <v>51</v>
      </c>
      <c r="N636" t="s">
        <v>92</v>
      </c>
      <c r="O636" s="1">
        <v>41335</v>
      </c>
      <c r="P636" t="s">
        <v>84</v>
      </c>
      <c r="Q636">
        <v>5</v>
      </c>
      <c r="R636" t="s">
        <v>28</v>
      </c>
      <c r="S636">
        <v>0</v>
      </c>
      <c r="T636">
        <v>0</v>
      </c>
      <c r="U636">
        <v>0</v>
      </c>
    </row>
    <row r="637" spans="1:21" x14ac:dyDescent="0.25">
      <c r="A637" s="1">
        <v>44166</v>
      </c>
      <c r="B637" s="1">
        <v>44166</v>
      </c>
      <c r="C637" t="s">
        <v>157</v>
      </c>
      <c r="D637" t="s">
        <v>54</v>
      </c>
      <c r="E637" t="s">
        <v>21</v>
      </c>
      <c r="F637" t="s">
        <v>265</v>
      </c>
      <c r="G637" s="56">
        <v>44203.692604166667</v>
      </c>
      <c r="H637">
        <v>33</v>
      </c>
      <c r="I637">
        <v>16938</v>
      </c>
      <c r="J637" t="s">
        <v>50</v>
      </c>
      <c r="K637" t="s">
        <v>50</v>
      </c>
      <c r="L637" t="s">
        <v>159</v>
      </c>
      <c r="M637" t="s">
        <v>51</v>
      </c>
      <c r="N637" t="s">
        <v>92</v>
      </c>
      <c r="O637" s="1">
        <v>41335</v>
      </c>
      <c r="P637" t="s">
        <v>84</v>
      </c>
      <c r="Q637">
        <v>5</v>
      </c>
      <c r="R637" t="s">
        <v>28</v>
      </c>
      <c r="S637">
        <v>0</v>
      </c>
      <c r="T637">
        <v>5746.51</v>
      </c>
      <c r="U637">
        <v>0</v>
      </c>
    </row>
    <row r="638" spans="1:21" x14ac:dyDescent="0.25">
      <c r="A638" s="1">
        <v>44166</v>
      </c>
      <c r="B638" s="1">
        <v>44166</v>
      </c>
      <c r="C638" t="s">
        <v>157</v>
      </c>
      <c r="D638" t="s">
        <v>93</v>
      </c>
      <c r="E638" t="s">
        <v>49</v>
      </c>
      <c r="F638" t="s">
        <v>268</v>
      </c>
      <c r="G638" s="56">
        <v>44251.474293981482</v>
      </c>
      <c r="H638">
        <v>33</v>
      </c>
      <c r="I638" t="s">
        <v>351</v>
      </c>
      <c r="J638" t="s">
        <v>50</v>
      </c>
      <c r="K638" t="s">
        <v>50</v>
      </c>
      <c r="L638" t="s">
        <v>159</v>
      </c>
      <c r="M638" t="s">
        <v>51</v>
      </c>
      <c r="N638" t="s">
        <v>92</v>
      </c>
      <c r="O638" s="1">
        <v>41335</v>
      </c>
      <c r="P638" t="s">
        <v>84</v>
      </c>
      <c r="Q638">
        <v>5</v>
      </c>
      <c r="R638" t="s">
        <v>28</v>
      </c>
      <c r="S638">
        <v>1</v>
      </c>
      <c r="T638">
        <v>4</v>
      </c>
      <c r="U638">
        <v>4</v>
      </c>
    </row>
    <row r="639" spans="1:21" x14ac:dyDescent="0.25">
      <c r="A639" s="1">
        <v>44166</v>
      </c>
      <c r="B639" s="1">
        <v>44166</v>
      </c>
      <c r="C639" t="s">
        <v>157</v>
      </c>
      <c r="D639" t="s">
        <v>55</v>
      </c>
      <c r="E639" t="s">
        <v>56</v>
      </c>
      <c r="F639" t="s">
        <v>269</v>
      </c>
      <c r="G639" s="56">
        <v>44203.692604166667</v>
      </c>
      <c r="H639">
        <v>33</v>
      </c>
      <c r="I639">
        <v>16938</v>
      </c>
      <c r="J639" t="s">
        <v>50</v>
      </c>
      <c r="K639" t="s">
        <v>50</v>
      </c>
      <c r="L639" t="s">
        <v>159</v>
      </c>
      <c r="M639" t="s">
        <v>51</v>
      </c>
      <c r="N639" t="s">
        <v>92</v>
      </c>
      <c r="O639" s="1">
        <v>41335</v>
      </c>
      <c r="P639" t="s">
        <v>84</v>
      </c>
      <c r="Q639">
        <v>5</v>
      </c>
      <c r="R639" t="s">
        <v>28</v>
      </c>
      <c r="S639">
        <v>18.685690000000001</v>
      </c>
      <c r="T639">
        <v>0</v>
      </c>
      <c r="U639">
        <v>0</v>
      </c>
    </row>
    <row r="640" spans="1:21" x14ac:dyDescent="0.25">
      <c r="A640" s="1">
        <v>44166</v>
      </c>
      <c r="B640" s="1">
        <v>44166</v>
      </c>
      <c r="C640" t="s">
        <v>157</v>
      </c>
      <c r="D640" t="s">
        <v>48</v>
      </c>
      <c r="E640" t="s">
        <v>49</v>
      </c>
      <c r="F640" t="s">
        <v>267</v>
      </c>
      <c r="G640" s="56">
        <v>44203.692604166667</v>
      </c>
      <c r="H640">
        <v>33</v>
      </c>
      <c r="I640">
        <v>16938</v>
      </c>
      <c r="J640" t="s">
        <v>50</v>
      </c>
      <c r="K640" t="s">
        <v>50</v>
      </c>
      <c r="L640" t="s">
        <v>159</v>
      </c>
      <c r="M640" t="s">
        <v>51</v>
      </c>
      <c r="N640" t="s">
        <v>92</v>
      </c>
      <c r="O640" s="1">
        <v>41335</v>
      </c>
      <c r="P640" t="s">
        <v>84</v>
      </c>
      <c r="Q640">
        <v>5</v>
      </c>
      <c r="R640" t="s">
        <v>28</v>
      </c>
      <c r="S640">
        <v>18.685690000000001</v>
      </c>
      <c r="T640">
        <v>79.340999999999994</v>
      </c>
      <c r="U640">
        <v>1483</v>
      </c>
    </row>
    <row r="641" spans="1:21" x14ac:dyDescent="0.25">
      <c r="A641" s="1">
        <v>44197</v>
      </c>
      <c r="B641" s="1">
        <v>44197</v>
      </c>
      <c r="C641" t="s">
        <v>157</v>
      </c>
      <c r="D641" t="s">
        <v>93</v>
      </c>
      <c r="E641" t="s">
        <v>49</v>
      </c>
      <c r="F641" t="s">
        <v>270</v>
      </c>
      <c r="G641" s="56">
        <v>44273.429872685185</v>
      </c>
      <c r="H641">
        <v>61</v>
      </c>
      <c r="I641" t="s">
        <v>351</v>
      </c>
      <c r="J641" t="s">
        <v>50</v>
      </c>
      <c r="K641" t="s">
        <v>50</v>
      </c>
      <c r="L641" t="s">
        <v>159</v>
      </c>
      <c r="M641" t="s">
        <v>51</v>
      </c>
      <c r="N641" t="s">
        <v>92</v>
      </c>
      <c r="O641" s="1">
        <v>41335</v>
      </c>
      <c r="P641" t="s">
        <v>84</v>
      </c>
      <c r="Q641">
        <v>1</v>
      </c>
      <c r="R641" t="s">
        <v>83</v>
      </c>
      <c r="S641">
        <v>1</v>
      </c>
      <c r="T641">
        <v>-332</v>
      </c>
      <c r="U641">
        <v>-332</v>
      </c>
    </row>
    <row r="642" spans="1:21" x14ac:dyDescent="0.25">
      <c r="A642" s="1">
        <v>44197</v>
      </c>
      <c r="B642" s="1">
        <v>44197</v>
      </c>
      <c r="C642" t="s">
        <v>157</v>
      </c>
      <c r="D642" t="s">
        <v>55</v>
      </c>
      <c r="E642" t="s">
        <v>56</v>
      </c>
      <c r="F642" t="s">
        <v>271</v>
      </c>
      <c r="G642" s="56">
        <v>44235.838287037041</v>
      </c>
      <c r="H642">
        <v>33</v>
      </c>
      <c r="I642">
        <v>17339</v>
      </c>
      <c r="J642" t="s">
        <v>50</v>
      </c>
      <c r="K642" t="s">
        <v>50</v>
      </c>
      <c r="L642" t="s">
        <v>159</v>
      </c>
      <c r="M642" t="s">
        <v>51</v>
      </c>
      <c r="N642" t="s">
        <v>92</v>
      </c>
      <c r="O642" s="1">
        <v>41335</v>
      </c>
      <c r="P642" t="s">
        <v>84</v>
      </c>
      <c r="Q642">
        <v>1</v>
      </c>
      <c r="R642" t="s">
        <v>83</v>
      </c>
      <c r="S642">
        <v>2962.3663649999999</v>
      </c>
      <c r="T642">
        <v>0</v>
      </c>
      <c r="U642">
        <v>0</v>
      </c>
    </row>
    <row r="643" spans="1:21" x14ac:dyDescent="0.25">
      <c r="A643" s="1">
        <v>44197</v>
      </c>
      <c r="B643" s="1">
        <v>44197</v>
      </c>
      <c r="C643" t="s">
        <v>157</v>
      </c>
      <c r="D643" t="s">
        <v>48</v>
      </c>
      <c r="E643" t="s">
        <v>49</v>
      </c>
      <c r="F643" t="s">
        <v>272</v>
      </c>
      <c r="G643" s="56">
        <v>44235.838287037041</v>
      </c>
      <c r="H643">
        <v>33</v>
      </c>
      <c r="I643">
        <v>17339</v>
      </c>
      <c r="J643" t="s">
        <v>50</v>
      </c>
      <c r="K643" t="s">
        <v>50</v>
      </c>
      <c r="L643" t="s">
        <v>159</v>
      </c>
      <c r="M643" t="s">
        <v>51</v>
      </c>
      <c r="N643" t="s">
        <v>92</v>
      </c>
      <c r="O643" s="1">
        <v>41335</v>
      </c>
      <c r="P643" t="s">
        <v>84</v>
      </c>
      <c r="Q643">
        <v>1</v>
      </c>
      <c r="R643" t="s">
        <v>83</v>
      </c>
      <c r="S643">
        <v>2962.3663649999999</v>
      </c>
      <c r="T643">
        <v>85.203000000000003</v>
      </c>
      <c r="U643">
        <v>252403</v>
      </c>
    </row>
    <row r="644" spans="1:21" x14ac:dyDescent="0.25">
      <c r="A644" s="1">
        <v>44197</v>
      </c>
      <c r="B644" s="1">
        <v>44197</v>
      </c>
      <c r="C644" t="s">
        <v>157</v>
      </c>
      <c r="D644" t="s">
        <v>52</v>
      </c>
      <c r="E644" t="s">
        <v>53</v>
      </c>
      <c r="F644" t="s">
        <v>273</v>
      </c>
      <c r="G644" s="56">
        <v>44235.838287037041</v>
      </c>
      <c r="H644">
        <v>33</v>
      </c>
      <c r="I644">
        <v>17339</v>
      </c>
      <c r="J644" t="s">
        <v>50</v>
      </c>
      <c r="K644" t="s">
        <v>50</v>
      </c>
      <c r="L644" t="s">
        <v>159</v>
      </c>
      <c r="M644" t="s">
        <v>51</v>
      </c>
      <c r="N644" t="s">
        <v>92</v>
      </c>
      <c r="O644" s="1">
        <v>41335</v>
      </c>
      <c r="P644" t="s">
        <v>84</v>
      </c>
      <c r="Q644">
        <v>1</v>
      </c>
      <c r="R644" t="s">
        <v>83</v>
      </c>
      <c r="S644">
        <v>0</v>
      </c>
      <c r="T644">
        <v>534.30332399999998</v>
      </c>
      <c r="U644">
        <v>534</v>
      </c>
    </row>
    <row r="645" spans="1:21" x14ac:dyDescent="0.25">
      <c r="A645" s="1">
        <v>44197</v>
      </c>
      <c r="B645" s="1">
        <v>44197</v>
      </c>
      <c r="C645" t="s">
        <v>157</v>
      </c>
      <c r="D645" t="s">
        <v>54</v>
      </c>
      <c r="E645" t="s">
        <v>21</v>
      </c>
      <c r="F645" t="s">
        <v>274</v>
      </c>
      <c r="G645" s="56">
        <v>44235.838287037041</v>
      </c>
      <c r="H645">
        <v>33</v>
      </c>
      <c r="I645">
        <v>17339</v>
      </c>
      <c r="J645" t="s">
        <v>50</v>
      </c>
      <c r="K645" t="s">
        <v>50</v>
      </c>
      <c r="L645" t="s">
        <v>159</v>
      </c>
      <c r="M645" t="s">
        <v>51</v>
      </c>
      <c r="N645" t="s">
        <v>92</v>
      </c>
      <c r="O645" s="1">
        <v>41335</v>
      </c>
      <c r="P645" t="s">
        <v>84</v>
      </c>
      <c r="Q645">
        <v>1</v>
      </c>
      <c r="R645" t="s">
        <v>83</v>
      </c>
      <c r="S645">
        <v>0</v>
      </c>
      <c r="T645">
        <v>5914.42</v>
      </c>
      <c r="U645">
        <v>0</v>
      </c>
    </row>
    <row r="646" spans="1:21" x14ac:dyDescent="0.25">
      <c r="A646" s="1">
        <v>44197</v>
      </c>
      <c r="B646" s="1">
        <v>44197</v>
      </c>
      <c r="C646" t="s">
        <v>157</v>
      </c>
      <c r="D646" t="s">
        <v>55</v>
      </c>
      <c r="E646" t="s">
        <v>56</v>
      </c>
      <c r="F646" t="s">
        <v>271</v>
      </c>
      <c r="G646" s="56">
        <v>44235.838287037041</v>
      </c>
      <c r="H646">
        <v>33</v>
      </c>
      <c r="I646">
        <v>17339</v>
      </c>
      <c r="J646" t="s">
        <v>50</v>
      </c>
      <c r="K646" t="s">
        <v>50</v>
      </c>
      <c r="L646" t="s">
        <v>159</v>
      </c>
      <c r="M646" t="s">
        <v>51</v>
      </c>
      <c r="N646" t="s">
        <v>92</v>
      </c>
      <c r="O646" s="1">
        <v>41335</v>
      </c>
      <c r="P646" t="s">
        <v>84</v>
      </c>
      <c r="Q646">
        <v>2</v>
      </c>
      <c r="R646" t="s">
        <v>94</v>
      </c>
      <c r="S646">
        <v>9.6260829999999995</v>
      </c>
      <c r="T646">
        <v>0</v>
      </c>
      <c r="U646">
        <v>0</v>
      </c>
    </row>
    <row r="647" spans="1:21" x14ac:dyDescent="0.25">
      <c r="A647" s="1">
        <v>44197</v>
      </c>
      <c r="B647" s="1">
        <v>44197</v>
      </c>
      <c r="C647" t="s">
        <v>157</v>
      </c>
      <c r="D647" t="s">
        <v>48</v>
      </c>
      <c r="E647" t="s">
        <v>49</v>
      </c>
      <c r="F647" t="s">
        <v>272</v>
      </c>
      <c r="G647" s="56">
        <v>44235.838287037041</v>
      </c>
      <c r="H647">
        <v>33</v>
      </c>
      <c r="I647">
        <v>17339</v>
      </c>
      <c r="J647" t="s">
        <v>50</v>
      </c>
      <c r="K647" t="s">
        <v>50</v>
      </c>
      <c r="L647" t="s">
        <v>159</v>
      </c>
      <c r="M647" t="s">
        <v>51</v>
      </c>
      <c r="N647" t="s">
        <v>92</v>
      </c>
      <c r="O647" s="1">
        <v>41335</v>
      </c>
      <c r="P647" t="s">
        <v>84</v>
      </c>
      <c r="Q647">
        <v>2</v>
      </c>
      <c r="R647" t="s">
        <v>94</v>
      </c>
      <c r="S647">
        <v>9.6260829999999995</v>
      </c>
      <c r="T647">
        <v>86.819000000000003</v>
      </c>
      <c r="U647">
        <v>836</v>
      </c>
    </row>
    <row r="648" spans="1:21" x14ac:dyDescent="0.25">
      <c r="A648" s="1">
        <v>44197</v>
      </c>
      <c r="B648" s="1">
        <v>44197</v>
      </c>
      <c r="C648" t="s">
        <v>157</v>
      </c>
      <c r="D648" t="s">
        <v>52</v>
      </c>
      <c r="E648" t="s">
        <v>53</v>
      </c>
      <c r="F648" t="s">
        <v>273</v>
      </c>
      <c r="G648" s="56">
        <v>44235.838287037041</v>
      </c>
      <c r="H648">
        <v>33</v>
      </c>
      <c r="I648">
        <v>17339</v>
      </c>
      <c r="J648" t="s">
        <v>50</v>
      </c>
      <c r="K648" t="s">
        <v>50</v>
      </c>
      <c r="L648" t="s">
        <v>159</v>
      </c>
      <c r="M648" t="s">
        <v>51</v>
      </c>
      <c r="N648" t="s">
        <v>92</v>
      </c>
      <c r="O648" s="1">
        <v>41335</v>
      </c>
      <c r="P648" t="s">
        <v>84</v>
      </c>
      <c r="Q648">
        <v>2</v>
      </c>
      <c r="R648" t="s">
        <v>94</v>
      </c>
      <c r="S648">
        <v>0</v>
      </c>
      <c r="T648">
        <v>0</v>
      </c>
      <c r="U648">
        <v>0</v>
      </c>
    </row>
    <row r="649" spans="1:21" x14ac:dyDescent="0.25">
      <c r="A649" s="1">
        <v>44197</v>
      </c>
      <c r="B649" s="1">
        <v>44197</v>
      </c>
      <c r="C649" t="s">
        <v>157</v>
      </c>
      <c r="D649" t="s">
        <v>54</v>
      </c>
      <c r="E649" t="s">
        <v>21</v>
      </c>
      <c r="F649" t="s">
        <v>274</v>
      </c>
      <c r="G649" s="56">
        <v>44235.838287037041</v>
      </c>
      <c r="H649">
        <v>33</v>
      </c>
      <c r="I649">
        <v>17339</v>
      </c>
      <c r="J649" t="s">
        <v>50</v>
      </c>
      <c r="K649" t="s">
        <v>50</v>
      </c>
      <c r="L649" t="s">
        <v>159</v>
      </c>
      <c r="M649" t="s">
        <v>51</v>
      </c>
      <c r="N649" t="s">
        <v>92</v>
      </c>
      <c r="O649" s="1">
        <v>41335</v>
      </c>
      <c r="P649" t="s">
        <v>84</v>
      </c>
      <c r="Q649">
        <v>2</v>
      </c>
      <c r="R649" t="s">
        <v>94</v>
      </c>
      <c r="S649">
        <v>0</v>
      </c>
      <c r="T649">
        <v>6007.37</v>
      </c>
      <c r="U649">
        <v>0</v>
      </c>
    </row>
    <row r="650" spans="1:21" x14ac:dyDescent="0.25">
      <c r="A650" s="1">
        <v>44197</v>
      </c>
      <c r="B650" s="1">
        <v>44197</v>
      </c>
      <c r="C650" t="s">
        <v>157</v>
      </c>
      <c r="D650" t="s">
        <v>93</v>
      </c>
      <c r="E650" t="s">
        <v>49</v>
      </c>
      <c r="F650" t="s">
        <v>270</v>
      </c>
      <c r="G650" s="56">
        <v>44273.429872685185</v>
      </c>
      <c r="H650">
        <v>61</v>
      </c>
      <c r="I650" t="s">
        <v>351</v>
      </c>
      <c r="J650" t="s">
        <v>50</v>
      </c>
      <c r="K650" t="s">
        <v>50</v>
      </c>
      <c r="L650" t="s">
        <v>159</v>
      </c>
      <c r="M650" t="s">
        <v>51</v>
      </c>
      <c r="N650" t="s">
        <v>92</v>
      </c>
      <c r="O650" s="1">
        <v>41335</v>
      </c>
      <c r="P650" t="s">
        <v>84</v>
      </c>
      <c r="Q650">
        <v>2</v>
      </c>
      <c r="R650" t="s">
        <v>94</v>
      </c>
      <c r="S650">
        <v>1</v>
      </c>
      <c r="T650">
        <v>-1</v>
      </c>
      <c r="U650">
        <v>-1</v>
      </c>
    </row>
    <row r="651" spans="1:21" x14ac:dyDescent="0.25">
      <c r="A651" s="1">
        <v>44197</v>
      </c>
      <c r="B651" s="1">
        <v>44197</v>
      </c>
      <c r="C651" t="s">
        <v>157</v>
      </c>
      <c r="D651" t="s">
        <v>55</v>
      </c>
      <c r="E651" t="s">
        <v>56</v>
      </c>
      <c r="F651" t="s">
        <v>271</v>
      </c>
      <c r="G651" s="56">
        <v>44235.838287037041</v>
      </c>
      <c r="H651">
        <v>33</v>
      </c>
      <c r="I651">
        <v>17339</v>
      </c>
      <c r="J651" t="s">
        <v>50</v>
      </c>
      <c r="K651" t="s">
        <v>50</v>
      </c>
      <c r="L651" t="s">
        <v>159</v>
      </c>
      <c r="M651" t="s">
        <v>51</v>
      </c>
      <c r="N651" t="s">
        <v>92</v>
      </c>
      <c r="O651" s="1">
        <v>41335</v>
      </c>
      <c r="P651" t="s">
        <v>84</v>
      </c>
      <c r="Q651">
        <v>3</v>
      </c>
      <c r="R651" t="s">
        <v>81</v>
      </c>
      <c r="S651">
        <v>320.36813000000001</v>
      </c>
      <c r="T651">
        <v>0</v>
      </c>
      <c r="U651">
        <v>0</v>
      </c>
    </row>
    <row r="652" spans="1:21" x14ac:dyDescent="0.25">
      <c r="A652" s="1">
        <v>44197</v>
      </c>
      <c r="B652" s="1">
        <v>44197</v>
      </c>
      <c r="C652" t="s">
        <v>157</v>
      </c>
      <c r="D652" t="s">
        <v>54</v>
      </c>
      <c r="E652" t="s">
        <v>21</v>
      </c>
      <c r="F652" t="s">
        <v>274</v>
      </c>
      <c r="G652" s="56">
        <v>44235.838287037041</v>
      </c>
      <c r="H652">
        <v>33</v>
      </c>
      <c r="I652">
        <v>17339</v>
      </c>
      <c r="J652" t="s">
        <v>50</v>
      </c>
      <c r="K652" t="s">
        <v>50</v>
      </c>
      <c r="L652" t="s">
        <v>159</v>
      </c>
      <c r="M652" t="s">
        <v>51</v>
      </c>
      <c r="N652" t="s">
        <v>92</v>
      </c>
      <c r="O652" s="1">
        <v>41335</v>
      </c>
      <c r="P652" t="s">
        <v>84</v>
      </c>
      <c r="Q652">
        <v>3</v>
      </c>
      <c r="R652" t="s">
        <v>81</v>
      </c>
      <c r="S652">
        <v>0</v>
      </c>
      <c r="T652">
        <v>5302.48</v>
      </c>
      <c r="U652">
        <v>0</v>
      </c>
    </row>
    <row r="653" spans="1:21" x14ac:dyDescent="0.25">
      <c r="A653" s="1">
        <v>44197</v>
      </c>
      <c r="B653" s="1">
        <v>44197</v>
      </c>
      <c r="C653" t="s">
        <v>157</v>
      </c>
      <c r="D653" t="s">
        <v>52</v>
      </c>
      <c r="E653" t="s">
        <v>53</v>
      </c>
      <c r="F653" t="s">
        <v>273</v>
      </c>
      <c r="G653" s="56">
        <v>44235.838287037041</v>
      </c>
      <c r="H653">
        <v>33</v>
      </c>
      <c r="I653">
        <v>17339</v>
      </c>
      <c r="J653" t="s">
        <v>50</v>
      </c>
      <c r="K653" t="s">
        <v>50</v>
      </c>
      <c r="L653" t="s">
        <v>159</v>
      </c>
      <c r="M653" t="s">
        <v>51</v>
      </c>
      <c r="N653" t="s">
        <v>92</v>
      </c>
      <c r="O653" s="1">
        <v>41335</v>
      </c>
      <c r="P653" t="s">
        <v>84</v>
      </c>
      <c r="Q653">
        <v>3</v>
      </c>
      <c r="R653" t="s">
        <v>81</v>
      </c>
      <c r="S653">
        <v>0</v>
      </c>
      <c r="T653">
        <v>0</v>
      </c>
      <c r="U653">
        <v>0</v>
      </c>
    </row>
    <row r="654" spans="1:21" x14ac:dyDescent="0.25">
      <c r="A654" s="1">
        <v>44197</v>
      </c>
      <c r="B654" s="1">
        <v>44197</v>
      </c>
      <c r="C654" t="s">
        <v>157</v>
      </c>
      <c r="D654" t="s">
        <v>48</v>
      </c>
      <c r="E654" t="s">
        <v>49</v>
      </c>
      <c r="F654" t="s">
        <v>272</v>
      </c>
      <c r="G654" s="56">
        <v>44235.838287037041</v>
      </c>
      <c r="H654">
        <v>33</v>
      </c>
      <c r="I654">
        <v>17339</v>
      </c>
      <c r="J654" t="s">
        <v>50</v>
      </c>
      <c r="K654" t="s">
        <v>50</v>
      </c>
      <c r="L654" t="s">
        <v>159</v>
      </c>
      <c r="M654" t="s">
        <v>51</v>
      </c>
      <c r="N654" t="s">
        <v>92</v>
      </c>
      <c r="O654" s="1">
        <v>41335</v>
      </c>
      <c r="P654" t="s">
        <v>84</v>
      </c>
      <c r="Q654">
        <v>3</v>
      </c>
      <c r="R654" t="s">
        <v>81</v>
      </c>
      <c r="S654">
        <v>320.36813000000001</v>
      </c>
      <c r="T654">
        <v>78.597999999999999</v>
      </c>
      <c r="U654">
        <v>25180</v>
      </c>
    </row>
    <row r="655" spans="1:21" x14ac:dyDescent="0.25">
      <c r="A655" s="1">
        <v>44197</v>
      </c>
      <c r="B655" s="1">
        <v>44197</v>
      </c>
      <c r="C655" t="s">
        <v>157</v>
      </c>
      <c r="D655" t="s">
        <v>93</v>
      </c>
      <c r="E655" t="s">
        <v>49</v>
      </c>
      <c r="F655" t="s">
        <v>270</v>
      </c>
      <c r="G655" s="56">
        <v>44273.429872685185</v>
      </c>
      <c r="H655">
        <v>61</v>
      </c>
      <c r="I655" t="s">
        <v>351</v>
      </c>
      <c r="J655" t="s">
        <v>50</v>
      </c>
      <c r="K655" t="s">
        <v>50</v>
      </c>
      <c r="L655" t="s">
        <v>159</v>
      </c>
      <c r="M655" t="s">
        <v>51</v>
      </c>
      <c r="N655" t="s">
        <v>92</v>
      </c>
      <c r="O655" s="1">
        <v>41335</v>
      </c>
      <c r="P655" t="s">
        <v>84</v>
      </c>
      <c r="Q655">
        <v>3</v>
      </c>
      <c r="R655" t="s">
        <v>81</v>
      </c>
      <c r="S655">
        <v>1</v>
      </c>
      <c r="T655">
        <v>-33</v>
      </c>
      <c r="U655">
        <v>-33</v>
      </c>
    </row>
    <row r="656" spans="1:21" x14ac:dyDescent="0.25">
      <c r="A656" s="1">
        <v>44197</v>
      </c>
      <c r="B656" s="1">
        <v>44197</v>
      </c>
      <c r="C656" t="s">
        <v>157</v>
      </c>
      <c r="D656" t="s">
        <v>93</v>
      </c>
      <c r="E656" t="s">
        <v>49</v>
      </c>
      <c r="F656" t="s">
        <v>270</v>
      </c>
      <c r="G656" s="56">
        <v>44273.429872685185</v>
      </c>
      <c r="H656">
        <v>61</v>
      </c>
      <c r="I656" t="s">
        <v>351</v>
      </c>
      <c r="J656" t="s">
        <v>50</v>
      </c>
      <c r="K656" t="s">
        <v>50</v>
      </c>
      <c r="L656" t="s">
        <v>159</v>
      </c>
      <c r="M656" t="s">
        <v>51</v>
      </c>
      <c r="N656" t="s">
        <v>92</v>
      </c>
      <c r="O656" s="1">
        <v>41335</v>
      </c>
      <c r="P656" t="s">
        <v>84</v>
      </c>
      <c r="Q656">
        <v>4</v>
      </c>
      <c r="R656" t="s">
        <v>27</v>
      </c>
      <c r="S656">
        <v>1</v>
      </c>
      <c r="T656">
        <v>-385</v>
      </c>
      <c r="U656">
        <v>-385</v>
      </c>
    </row>
    <row r="657" spans="1:21" x14ac:dyDescent="0.25">
      <c r="A657" s="1">
        <v>44197</v>
      </c>
      <c r="B657" s="1">
        <v>44197</v>
      </c>
      <c r="C657" t="s">
        <v>157</v>
      </c>
      <c r="D657" t="s">
        <v>54</v>
      </c>
      <c r="E657" t="s">
        <v>21</v>
      </c>
      <c r="F657" t="s">
        <v>274</v>
      </c>
      <c r="G657" s="56">
        <v>44235.838287037041</v>
      </c>
      <c r="H657">
        <v>33</v>
      </c>
      <c r="I657">
        <v>17339</v>
      </c>
      <c r="J657" t="s">
        <v>50</v>
      </c>
      <c r="K657" t="s">
        <v>50</v>
      </c>
      <c r="L657" t="s">
        <v>159</v>
      </c>
      <c r="M657" t="s">
        <v>51</v>
      </c>
      <c r="N657" t="s">
        <v>92</v>
      </c>
      <c r="O657" s="1">
        <v>41335</v>
      </c>
      <c r="P657" t="s">
        <v>84</v>
      </c>
      <c r="Q657">
        <v>4</v>
      </c>
      <c r="R657" t="s">
        <v>27</v>
      </c>
      <c r="S657">
        <v>0</v>
      </c>
      <c r="T657">
        <v>5512.82</v>
      </c>
      <c r="U657">
        <v>0</v>
      </c>
    </row>
    <row r="658" spans="1:21" x14ac:dyDescent="0.25">
      <c r="A658" s="1">
        <v>44197</v>
      </c>
      <c r="B658" s="1">
        <v>44197</v>
      </c>
      <c r="C658" t="s">
        <v>157</v>
      </c>
      <c r="D658" t="s">
        <v>52</v>
      </c>
      <c r="E658" t="s">
        <v>53</v>
      </c>
      <c r="F658" t="s">
        <v>273</v>
      </c>
      <c r="G658" s="56">
        <v>44235.838287037041</v>
      </c>
      <c r="H658">
        <v>33</v>
      </c>
      <c r="I658">
        <v>17339</v>
      </c>
      <c r="J658" t="s">
        <v>50</v>
      </c>
      <c r="K658" t="s">
        <v>50</v>
      </c>
      <c r="L658" t="s">
        <v>159</v>
      </c>
      <c r="M658" t="s">
        <v>51</v>
      </c>
      <c r="N658" t="s">
        <v>92</v>
      </c>
      <c r="O658" s="1">
        <v>41335</v>
      </c>
      <c r="P658" t="s">
        <v>84</v>
      </c>
      <c r="Q658">
        <v>4</v>
      </c>
      <c r="R658" t="s">
        <v>27</v>
      </c>
      <c r="S658">
        <v>0</v>
      </c>
      <c r="T658">
        <v>0</v>
      </c>
      <c r="U658">
        <v>0</v>
      </c>
    </row>
    <row r="659" spans="1:21" x14ac:dyDescent="0.25">
      <c r="A659" s="1">
        <v>44197</v>
      </c>
      <c r="B659" s="1">
        <v>44197</v>
      </c>
      <c r="C659" t="s">
        <v>157</v>
      </c>
      <c r="D659" t="s">
        <v>55</v>
      </c>
      <c r="E659" t="s">
        <v>56</v>
      </c>
      <c r="F659" t="s">
        <v>271</v>
      </c>
      <c r="G659" s="56">
        <v>44235.838287037041</v>
      </c>
      <c r="H659">
        <v>33</v>
      </c>
      <c r="I659">
        <v>17339</v>
      </c>
      <c r="J659" t="s">
        <v>50</v>
      </c>
      <c r="K659" t="s">
        <v>50</v>
      </c>
      <c r="L659" t="s">
        <v>159</v>
      </c>
      <c r="M659" t="s">
        <v>51</v>
      </c>
      <c r="N659" t="s">
        <v>92</v>
      </c>
      <c r="O659" s="1">
        <v>41335</v>
      </c>
      <c r="P659" t="s">
        <v>84</v>
      </c>
      <c r="Q659">
        <v>4</v>
      </c>
      <c r="R659" t="s">
        <v>27</v>
      </c>
      <c r="S659">
        <v>3662.8658420000002</v>
      </c>
      <c r="T659">
        <v>0</v>
      </c>
      <c r="U659">
        <v>0</v>
      </c>
    </row>
    <row r="660" spans="1:21" x14ac:dyDescent="0.25">
      <c r="A660" s="1">
        <v>44197</v>
      </c>
      <c r="B660" s="1">
        <v>44197</v>
      </c>
      <c r="C660" t="s">
        <v>157</v>
      </c>
      <c r="D660" t="s">
        <v>48</v>
      </c>
      <c r="E660" t="s">
        <v>49</v>
      </c>
      <c r="F660" t="s">
        <v>272</v>
      </c>
      <c r="G660" s="56">
        <v>44235.838287037041</v>
      </c>
      <c r="H660">
        <v>33</v>
      </c>
      <c r="I660">
        <v>17339</v>
      </c>
      <c r="J660" t="s">
        <v>50</v>
      </c>
      <c r="K660" t="s">
        <v>50</v>
      </c>
      <c r="L660" t="s">
        <v>159</v>
      </c>
      <c r="M660" t="s">
        <v>51</v>
      </c>
      <c r="N660" t="s">
        <v>92</v>
      </c>
      <c r="O660" s="1">
        <v>41335</v>
      </c>
      <c r="P660" t="s">
        <v>84</v>
      </c>
      <c r="Q660">
        <v>4</v>
      </c>
      <c r="R660" t="s">
        <v>27</v>
      </c>
      <c r="S660">
        <v>3662.8658420000002</v>
      </c>
      <c r="T660">
        <v>80.213999999999999</v>
      </c>
      <c r="U660">
        <v>293813</v>
      </c>
    </row>
    <row r="661" spans="1:21" x14ac:dyDescent="0.25">
      <c r="A661" s="1">
        <v>44197</v>
      </c>
      <c r="B661" s="1">
        <v>44197</v>
      </c>
      <c r="C661" t="s">
        <v>157</v>
      </c>
      <c r="D661" t="s">
        <v>54</v>
      </c>
      <c r="E661" t="s">
        <v>21</v>
      </c>
      <c r="F661" t="s">
        <v>274</v>
      </c>
      <c r="G661" s="56">
        <v>44235.838287037041</v>
      </c>
      <c r="H661">
        <v>33</v>
      </c>
      <c r="I661">
        <v>17339</v>
      </c>
      <c r="J661" t="s">
        <v>50</v>
      </c>
      <c r="K661" t="s">
        <v>50</v>
      </c>
      <c r="L661" t="s">
        <v>159</v>
      </c>
      <c r="M661" t="s">
        <v>51</v>
      </c>
      <c r="N661" t="s">
        <v>92</v>
      </c>
      <c r="O661" s="1">
        <v>41335</v>
      </c>
      <c r="P661" t="s">
        <v>84</v>
      </c>
      <c r="Q661">
        <v>5</v>
      </c>
      <c r="R661" t="s">
        <v>28</v>
      </c>
      <c r="S661">
        <v>0</v>
      </c>
      <c r="T661">
        <v>5963.28</v>
      </c>
      <c r="U661">
        <v>0</v>
      </c>
    </row>
    <row r="662" spans="1:21" x14ac:dyDescent="0.25">
      <c r="A662" s="1">
        <v>44197</v>
      </c>
      <c r="B662" s="1">
        <v>44197</v>
      </c>
      <c r="C662" t="s">
        <v>157</v>
      </c>
      <c r="D662" t="s">
        <v>52</v>
      </c>
      <c r="E662" t="s">
        <v>53</v>
      </c>
      <c r="F662" t="s">
        <v>273</v>
      </c>
      <c r="G662" s="56">
        <v>44235.838287037041</v>
      </c>
      <c r="H662">
        <v>33</v>
      </c>
      <c r="I662">
        <v>17339</v>
      </c>
      <c r="J662" t="s">
        <v>50</v>
      </c>
      <c r="K662" t="s">
        <v>50</v>
      </c>
      <c r="L662" t="s">
        <v>159</v>
      </c>
      <c r="M662" t="s">
        <v>51</v>
      </c>
      <c r="N662" t="s">
        <v>92</v>
      </c>
      <c r="O662" s="1">
        <v>41335</v>
      </c>
      <c r="P662" t="s">
        <v>84</v>
      </c>
      <c r="Q662">
        <v>5</v>
      </c>
      <c r="R662" t="s">
        <v>28</v>
      </c>
      <c r="S662">
        <v>0</v>
      </c>
      <c r="T662">
        <v>0</v>
      </c>
      <c r="U662">
        <v>0</v>
      </c>
    </row>
    <row r="663" spans="1:21" x14ac:dyDescent="0.25">
      <c r="A663" s="1">
        <v>44197</v>
      </c>
      <c r="B663" s="1">
        <v>44197</v>
      </c>
      <c r="C663" t="s">
        <v>157</v>
      </c>
      <c r="D663" t="s">
        <v>93</v>
      </c>
      <c r="E663" t="s">
        <v>49</v>
      </c>
      <c r="F663" t="s">
        <v>270</v>
      </c>
      <c r="G663" s="56">
        <v>44273.429872685185</v>
      </c>
      <c r="H663">
        <v>61</v>
      </c>
      <c r="I663" t="s">
        <v>351</v>
      </c>
      <c r="J663" t="s">
        <v>50</v>
      </c>
      <c r="K663" t="s">
        <v>50</v>
      </c>
      <c r="L663" t="s">
        <v>159</v>
      </c>
      <c r="M663" t="s">
        <v>51</v>
      </c>
      <c r="N663" t="s">
        <v>92</v>
      </c>
      <c r="O663" s="1">
        <v>41335</v>
      </c>
      <c r="P663" t="s">
        <v>84</v>
      </c>
      <c r="Q663">
        <v>5</v>
      </c>
      <c r="R663" t="s">
        <v>28</v>
      </c>
      <c r="S663">
        <v>1</v>
      </c>
      <c r="T663">
        <v>-1</v>
      </c>
      <c r="U663">
        <v>-1</v>
      </c>
    </row>
    <row r="664" spans="1:21" x14ac:dyDescent="0.25">
      <c r="A664" s="1">
        <v>44197</v>
      </c>
      <c r="B664" s="1">
        <v>44197</v>
      </c>
      <c r="C664" t="s">
        <v>157</v>
      </c>
      <c r="D664" t="s">
        <v>48</v>
      </c>
      <c r="E664" t="s">
        <v>49</v>
      </c>
      <c r="F664" t="s">
        <v>272</v>
      </c>
      <c r="G664" s="56">
        <v>44235.838287037041</v>
      </c>
      <c r="H664">
        <v>33</v>
      </c>
      <c r="I664">
        <v>17339</v>
      </c>
      <c r="J664" t="s">
        <v>50</v>
      </c>
      <c r="K664" t="s">
        <v>50</v>
      </c>
      <c r="L664" t="s">
        <v>159</v>
      </c>
      <c r="M664" t="s">
        <v>51</v>
      </c>
      <c r="N664" t="s">
        <v>92</v>
      </c>
      <c r="O664" s="1">
        <v>41335</v>
      </c>
      <c r="P664" t="s">
        <v>84</v>
      </c>
      <c r="Q664">
        <v>5</v>
      </c>
      <c r="R664" t="s">
        <v>28</v>
      </c>
      <c r="S664">
        <v>10.591604999999999</v>
      </c>
      <c r="T664">
        <v>86.617999999999995</v>
      </c>
      <c r="U664">
        <v>917</v>
      </c>
    </row>
    <row r="665" spans="1:21" x14ac:dyDescent="0.25">
      <c r="A665" s="1">
        <v>44197</v>
      </c>
      <c r="B665" s="1">
        <v>44197</v>
      </c>
      <c r="C665" t="s">
        <v>157</v>
      </c>
      <c r="D665" t="s">
        <v>55</v>
      </c>
      <c r="E665" t="s">
        <v>56</v>
      </c>
      <c r="F665" t="s">
        <v>271</v>
      </c>
      <c r="G665" s="56">
        <v>44235.838287037041</v>
      </c>
      <c r="H665">
        <v>33</v>
      </c>
      <c r="I665">
        <v>17339</v>
      </c>
      <c r="J665" t="s">
        <v>50</v>
      </c>
      <c r="K665" t="s">
        <v>50</v>
      </c>
      <c r="L665" t="s">
        <v>159</v>
      </c>
      <c r="M665" t="s">
        <v>51</v>
      </c>
      <c r="N665" t="s">
        <v>92</v>
      </c>
      <c r="O665" s="1">
        <v>41335</v>
      </c>
      <c r="P665" t="s">
        <v>84</v>
      </c>
      <c r="Q665">
        <v>5</v>
      </c>
      <c r="R665" t="s">
        <v>28</v>
      </c>
      <c r="S665">
        <v>10.591604999999999</v>
      </c>
      <c r="T665">
        <v>0</v>
      </c>
      <c r="U665">
        <v>0</v>
      </c>
    </row>
    <row r="666" spans="1:21" x14ac:dyDescent="0.25">
      <c r="A666" s="1">
        <v>44228</v>
      </c>
      <c r="B666" s="1">
        <v>44228</v>
      </c>
      <c r="C666" t="s">
        <v>157</v>
      </c>
      <c r="D666" t="s">
        <v>54</v>
      </c>
      <c r="E666" t="s">
        <v>21</v>
      </c>
      <c r="F666" t="s">
        <v>275</v>
      </c>
      <c r="G666" s="56">
        <v>44259.815057870372</v>
      </c>
      <c r="H666">
        <v>33</v>
      </c>
      <c r="I666">
        <v>17645</v>
      </c>
      <c r="J666" t="s">
        <v>50</v>
      </c>
      <c r="K666" t="s">
        <v>50</v>
      </c>
      <c r="L666" t="s">
        <v>159</v>
      </c>
      <c r="M666" t="s">
        <v>51</v>
      </c>
      <c r="N666" t="s">
        <v>92</v>
      </c>
      <c r="O666" s="1">
        <v>41335</v>
      </c>
      <c r="P666" t="s">
        <v>84</v>
      </c>
      <c r="Q666">
        <v>1</v>
      </c>
      <c r="R666" t="s">
        <v>83</v>
      </c>
      <c r="S666">
        <v>0</v>
      </c>
      <c r="T666">
        <v>5914.42</v>
      </c>
      <c r="U666">
        <v>0</v>
      </c>
    </row>
    <row r="667" spans="1:21" x14ac:dyDescent="0.25">
      <c r="A667" s="1">
        <v>44228</v>
      </c>
      <c r="B667" s="1">
        <v>44228</v>
      </c>
      <c r="C667" t="s">
        <v>157</v>
      </c>
      <c r="D667" t="s">
        <v>52</v>
      </c>
      <c r="E667" t="s">
        <v>53</v>
      </c>
      <c r="F667" t="s">
        <v>276</v>
      </c>
      <c r="G667" s="56">
        <v>44259.815057870372</v>
      </c>
      <c r="H667">
        <v>33</v>
      </c>
      <c r="I667">
        <v>17645</v>
      </c>
      <c r="J667" t="s">
        <v>50</v>
      </c>
      <c r="K667" t="s">
        <v>50</v>
      </c>
      <c r="L667" t="s">
        <v>159</v>
      </c>
      <c r="M667" t="s">
        <v>51</v>
      </c>
      <c r="N667" t="s">
        <v>92</v>
      </c>
      <c r="O667" s="1">
        <v>41335</v>
      </c>
      <c r="P667" t="s">
        <v>84</v>
      </c>
      <c r="Q667">
        <v>1</v>
      </c>
      <c r="R667" t="s">
        <v>83</v>
      </c>
      <c r="S667">
        <v>0</v>
      </c>
      <c r="T667">
        <v>514</v>
      </c>
      <c r="U667">
        <v>514</v>
      </c>
    </row>
    <row r="668" spans="1:21" x14ac:dyDescent="0.25">
      <c r="A668" s="1">
        <v>44228</v>
      </c>
      <c r="B668" s="1">
        <v>44228</v>
      </c>
      <c r="C668" t="s">
        <v>157</v>
      </c>
      <c r="D668" t="s">
        <v>48</v>
      </c>
      <c r="E668" t="s">
        <v>49</v>
      </c>
      <c r="F668" t="s">
        <v>277</v>
      </c>
      <c r="G668" s="56">
        <v>44259.815057870372</v>
      </c>
      <c r="H668">
        <v>33</v>
      </c>
      <c r="I668">
        <v>17645</v>
      </c>
      <c r="J668" t="s">
        <v>50</v>
      </c>
      <c r="K668" t="s">
        <v>50</v>
      </c>
      <c r="L668" t="s">
        <v>159</v>
      </c>
      <c r="M668" t="s">
        <v>51</v>
      </c>
      <c r="N668" t="s">
        <v>92</v>
      </c>
      <c r="O668" s="1">
        <v>41335</v>
      </c>
      <c r="P668" t="s">
        <v>84</v>
      </c>
      <c r="Q668">
        <v>1</v>
      </c>
      <c r="R668" t="s">
        <v>83</v>
      </c>
      <c r="S668">
        <v>2149.7309340000002</v>
      </c>
      <c r="T668">
        <v>85.203000000000003</v>
      </c>
      <c r="U668">
        <v>183164</v>
      </c>
    </row>
    <row r="669" spans="1:21" x14ac:dyDescent="0.25">
      <c r="A669" s="1">
        <v>44228</v>
      </c>
      <c r="B669" s="1">
        <v>44228</v>
      </c>
      <c r="C669" t="s">
        <v>157</v>
      </c>
      <c r="D669" t="s">
        <v>93</v>
      </c>
      <c r="E669" t="s">
        <v>49</v>
      </c>
      <c r="F669" t="s">
        <v>278</v>
      </c>
      <c r="G669" s="56">
        <v>44302.769236111111</v>
      </c>
      <c r="H669">
        <v>33</v>
      </c>
      <c r="I669" t="s">
        <v>351</v>
      </c>
      <c r="J669" t="s">
        <v>50</v>
      </c>
      <c r="K669" t="s">
        <v>50</v>
      </c>
      <c r="L669" t="s">
        <v>159</v>
      </c>
      <c r="M669" t="s">
        <v>51</v>
      </c>
      <c r="N669" t="s">
        <v>92</v>
      </c>
      <c r="O669" s="1">
        <v>41335</v>
      </c>
      <c r="P669" t="s">
        <v>84</v>
      </c>
      <c r="Q669">
        <v>1</v>
      </c>
      <c r="R669" t="s">
        <v>83</v>
      </c>
      <c r="S669">
        <v>1</v>
      </c>
      <c r="T669">
        <v>1042</v>
      </c>
      <c r="U669">
        <v>1042</v>
      </c>
    </row>
    <row r="670" spans="1:21" x14ac:dyDescent="0.25">
      <c r="A670" s="1">
        <v>44228</v>
      </c>
      <c r="B670" s="1">
        <v>44228</v>
      </c>
      <c r="C670" t="s">
        <v>157</v>
      </c>
      <c r="D670" t="s">
        <v>55</v>
      </c>
      <c r="E670" t="s">
        <v>56</v>
      </c>
      <c r="F670" t="s">
        <v>279</v>
      </c>
      <c r="G670" s="56">
        <v>44259.815057870372</v>
      </c>
      <c r="H670">
        <v>33</v>
      </c>
      <c r="I670">
        <v>17645</v>
      </c>
      <c r="J670" t="s">
        <v>50</v>
      </c>
      <c r="K670" t="s">
        <v>50</v>
      </c>
      <c r="L670" t="s">
        <v>159</v>
      </c>
      <c r="M670" t="s">
        <v>51</v>
      </c>
      <c r="N670" t="s">
        <v>92</v>
      </c>
      <c r="O670" s="1">
        <v>41335</v>
      </c>
      <c r="P670" t="s">
        <v>84</v>
      </c>
      <c r="Q670">
        <v>1</v>
      </c>
      <c r="R670" t="s">
        <v>83</v>
      </c>
      <c r="S670">
        <v>2149.7309340000002</v>
      </c>
      <c r="T670">
        <v>0</v>
      </c>
      <c r="U670">
        <v>0</v>
      </c>
    </row>
    <row r="671" spans="1:21" x14ac:dyDescent="0.25">
      <c r="A671" s="1">
        <v>44228</v>
      </c>
      <c r="B671" s="1">
        <v>44228</v>
      </c>
      <c r="C671" t="s">
        <v>157</v>
      </c>
      <c r="D671" t="s">
        <v>54</v>
      </c>
      <c r="E671" t="s">
        <v>21</v>
      </c>
      <c r="F671" t="s">
        <v>275</v>
      </c>
      <c r="G671" s="56">
        <v>44259.815057870372</v>
      </c>
      <c r="H671">
        <v>33</v>
      </c>
      <c r="I671">
        <v>17645</v>
      </c>
      <c r="J671" t="s">
        <v>50</v>
      </c>
      <c r="K671" t="s">
        <v>50</v>
      </c>
      <c r="L671" t="s">
        <v>159</v>
      </c>
      <c r="M671" t="s">
        <v>51</v>
      </c>
      <c r="N671" t="s">
        <v>92</v>
      </c>
      <c r="O671" s="1">
        <v>41335</v>
      </c>
      <c r="P671" t="s">
        <v>84</v>
      </c>
      <c r="Q671">
        <v>2</v>
      </c>
      <c r="R671" t="s">
        <v>94</v>
      </c>
      <c r="S671">
        <v>0</v>
      </c>
      <c r="T671">
        <v>6007.37</v>
      </c>
      <c r="U671">
        <v>0</v>
      </c>
    </row>
    <row r="672" spans="1:21" x14ac:dyDescent="0.25">
      <c r="A672" s="1">
        <v>44228</v>
      </c>
      <c r="B672" s="1">
        <v>44228</v>
      </c>
      <c r="C672" t="s">
        <v>157</v>
      </c>
      <c r="D672" t="s">
        <v>48</v>
      </c>
      <c r="E672" t="s">
        <v>49</v>
      </c>
      <c r="F672" t="s">
        <v>277</v>
      </c>
      <c r="G672" s="56">
        <v>44259.815057870372</v>
      </c>
      <c r="H672">
        <v>33</v>
      </c>
      <c r="I672">
        <v>17645</v>
      </c>
      <c r="J672" t="s">
        <v>50</v>
      </c>
      <c r="K672" t="s">
        <v>50</v>
      </c>
      <c r="L672" t="s">
        <v>159</v>
      </c>
      <c r="M672" t="s">
        <v>51</v>
      </c>
      <c r="N672" t="s">
        <v>92</v>
      </c>
      <c r="O672" s="1">
        <v>41335</v>
      </c>
      <c r="P672" t="s">
        <v>84</v>
      </c>
      <c r="Q672">
        <v>2</v>
      </c>
      <c r="R672" t="s">
        <v>94</v>
      </c>
      <c r="S672">
        <v>7.2339039999999999</v>
      </c>
      <c r="T672">
        <v>86.819000000000003</v>
      </c>
      <c r="U672">
        <v>628</v>
      </c>
    </row>
    <row r="673" spans="1:21" x14ac:dyDescent="0.25">
      <c r="A673" s="1">
        <v>44228</v>
      </c>
      <c r="B673" s="1">
        <v>44228</v>
      </c>
      <c r="C673" t="s">
        <v>157</v>
      </c>
      <c r="D673" t="s">
        <v>52</v>
      </c>
      <c r="E673" t="s">
        <v>53</v>
      </c>
      <c r="F673" t="s">
        <v>276</v>
      </c>
      <c r="G673" s="56">
        <v>44259.815057870372</v>
      </c>
      <c r="H673">
        <v>33</v>
      </c>
      <c r="I673">
        <v>17645</v>
      </c>
      <c r="J673" t="s">
        <v>50</v>
      </c>
      <c r="K673" t="s">
        <v>50</v>
      </c>
      <c r="L673" t="s">
        <v>159</v>
      </c>
      <c r="M673" t="s">
        <v>51</v>
      </c>
      <c r="N673" t="s">
        <v>92</v>
      </c>
      <c r="O673" s="1">
        <v>41335</v>
      </c>
      <c r="P673" t="s">
        <v>84</v>
      </c>
      <c r="Q673">
        <v>2</v>
      </c>
      <c r="R673" t="s">
        <v>94</v>
      </c>
      <c r="S673">
        <v>0</v>
      </c>
      <c r="T673">
        <v>0</v>
      </c>
      <c r="U673">
        <v>0</v>
      </c>
    </row>
    <row r="674" spans="1:21" x14ac:dyDescent="0.25">
      <c r="A674" s="1">
        <v>44228</v>
      </c>
      <c r="B674" s="1">
        <v>44228</v>
      </c>
      <c r="C674" t="s">
        <v>157</v>
      </c>
      <c r="D674" t="s">
        <v>93</v>
      </c>
      <c r="E674" t="s">
        <v>49</v>
      </c>
      <c r="F674" t="s">
        <v>278</v>
      </c>
      <c r="G674" s="56">
        <v>44302.769236111111</v>
      </c>
      <c r="H674">
        <v>33</v>
      </c>
      <c r="I674" t="s">
        <v>351</v>
      </c>
      <c r="J674" t="s">
        <v>50</v>
      </c>
      <c r="K674" t="s">
        <v>50</v>
      </c>
      <c r="L674" t="s">
        <v>159</v>
      </c>
      <c r="M674" t="s">
        <v>51</v>
      </c>
      <c r="N674" t="s">
        <v>92</v>
      </c>
      <c r="O674" s="1">
        <v>41335</v>
      </c>
      <c r="P674" t="s">
        <v>84</v>
      </c>
      <c r="Q674">
        <v>2</v>
      </c>
      <c r="R674" t="s">
        <v>94</v>
      </c>
      <c r="S674">
        <v>1</v>
      </c>
      <c r="T674">
        <v>4</v>
      </c>
      <c r="U674">
        <v>4</v>
      </c>
    </row>
    <row r="675" spans="1:21" x14ac:dyDescent="0.25">
      <c r="A675" s="1">
        <v>44228</v>
      </c>
      <c r="B675" s="1">
        <v>44228</v>
      </c>
      <c r="C675" t="s">
        <v>157</v>
      </c>
      <c r="D675" t="s">
        <v>55</v>
      </c>
      <c r="E675" t="s">
        <v>56</v>
      </c>
      <c r="F675" t="s">
        <v>279</v>
      </c>
      <c r="G675" s="56">
        <v>44259.815057870372</v>
      </c>
      <c r="H675">
        <v>33</v>
      </c>
      <c r="I675">
        <v>17645</v>
      </c>
      <c r="J675" t="s">
        <v>50</v>
      </c>
      <c r="K675" t="s">
        <v>50</v>
      </c>
      <c r="L675" t="s">
        <v>159</v>
      </c>
      <c r="M675" t="s">
        <v>51</v>
      </c>
      <c r="N675" t="s">
        <v>92</v>
      </c>
      <c r="O675" s="1">
        <v>41335</v>
      </c>
      <c r="P675" t="s">
        <v>84</v>
      </c>
      <c r="Q675">
        <v>2</v>
      </c>
      <c r="R675" t="s">
        <v>94</v>
      </c>
      <c r="S675">
        <v>7.2339039999999999</v>
      </c>
      <c r="T675">
        <v>0</v>
      </c>
      <c r="U675">
        <v>0</v>
      </c>
    </row>
    <row r="676" spans="1:21" x14ac:dyDescent="0.25">
      <c r="A676" s="1">
        <v>44228</v>
      </c>
      <c r="B676" s="1">
        <v>44228</v>
      </c>
      <c r="C676" t="s">
        <v>157</v>
      </c>
      <c r="D676" t="s">
        <v>54</v>
      </c>
      <c r="E676" t="s">
        <v>21</v>
      </c>
      <c r="F676" t="s">
        <v>275</v>
      </c>
      <c r="G676" s="56">
        <v>44259.815057870372</v>
      </c>
      <c r="H676">
        <v>33</v>
      </c>
      <c r="I676">
        <v>17645</v>
      </c>
      <c r="J676" t="s">
        <v>50</v>
      </c>
      <c r="K676" t="s">
        <v>50</v>
      </c>
      <c r="L676" t="s">
        <v>159</v>
      </c>
      <c r="M676" t="s">
        <v>51</v>
      </c>
      <c r="N676" t="s">
        <v>92</v>
      </c>
      <c r="O676" s="1">
        <v>41335</v>
      </c>
      <c r="P676" t="s">
        <v>84</v>
      </c>
      <c r="Q676">
        <v>3</v>
      </c>
      <c r="R676" t="s">
        <v>81</v>
      </c>
      <c r="S676">
        <v>0</v>
      </c>
      <c r="T676">
        <v>5302.48</v>
      </c>
      <c r="U676">
        <v>0</v>
      </c>
    </row>
    <row r="677" spans="1:21" x14ac:dyDescent="0.25">
      <c r="A677" s="1">
        <v>44228</v>
      </c>
      <c r="B677" s="1">
        <v>44228</v>
      </c>
      <c r="C677" t="s">
        <v>157</v>
      </c>
      <c r="D677" t="s">
        <v>48</v>
      </c>
      <c r="E677" t="s">
        <v>49</v>
      </c>
      <c r="F677" t="s">
        <v>277</v>
      </c>
      <c r="G677" s="56">
        <v>44259.815057870372</v>
      </c>
      <c r="H677">
        <v>33</v>
      </c>
      <c r="I677">
        <v>17645</v>
      </c>
      <c r="J677" t="s">
        <v>50</v>
      </c>
      <c r="K677" t="s">
        <v>50</v>
      </c>
      <c r="L677" t="s">
        <v>159</v>
      </c>
      <c r="M677" t="s">
        <v>51</v>
      </c>
      <c r="N677" t="s">
        <v>92</v>
      </c>
      <c r="O677" s="1">
        <v>41335</v>
      </c>
      <c r="P677" t="s">
        <v>84</v>
      </c>
      <c r="Q677">
        <v>3</v>
      </c>
      <c r="R677" t="s">
        <v>81</v>
      </c>
      <c r="S677">
        <v>234.44251299999999</v>
      </c>
      <c r="T677">
        <v>78.597999999999999</v>
      </c>
      <c r="U677">
        <v>18427</v>
      </c>
    </row>
    <row r="678" spans="1:21" x14ac:dyDescent="0.25">
      <c r="A678" s="1">
        <v>44228</v>
      </c>
      <c r="B678" s="1">
        <v>44228</v>
      </c>
      <c r="C678" t="s">
        <v>157</v>
      </c>
      <c r="D678" t="s">
        <v>55</v>
      </c>
      <c r="E678" t="s">
        <v>56</v>
      </c>
      <c r="F678" t="s">
        <v>279</v>
      </c>
      <c r="G678" s="56">
        <v>44259.815057870372</v>
      </c>
      <c r="H678">
        <v>33</v>
      </c>
      <c r="I678">
        <v>17645</v>
      </c>
      <c r="J678" t="s">
        <v>50</v>
      </c>
      <c r="K678" t="s">
        <v>50</v>
      </c>
      <c r="L678" t="s">
        <v>159</v>
      </c>
      <c r="M678" t="s">
        <v>51</v>
      </c>
      <c r="N678" t="s">
        <v>92</v>
      </c>
      <c r="O678" s="1">
        <v>41335</v>
      </c>
      <c r="P678" t="s">
        <v>84</v>
      </c>
      <c r="Q678">
        <v>3</v>
      </c>
      <c r="R678" t="s">
        <v>81</v>
      </c>
      <c r="S678">
        <v>234.44251299999999</v>
      </c>
      <c r="T678">
        <v>0</v>
      </c>
      <c r="U678">
        <v>0</v>
      </c>
    </row>
    <row r="679" spans="1:21" x14ac:dyDescent="0.25">
      <c r="A679" s="1">
        <v>44228</v>
      </c>
      <c r="B679" s="1">
        <v>44228</v>
      </c>
      <c r="C679" t="s">
        <v>157</v>
      </c>
      <c r="D679" t="s">
        <v>52</v>
      </c>
      <c r="E679" t="s">
        <v>53</v>
      </c>
      <c r="F679" t="s">
        <v>276</v>
      </c>
      <c r="G679" s="56">
        <v>44259.815057870372</v>
      </c>
      <c r="H679">
        <v>33</v>
      </c>
      <c r="I679">
        <v>17645</v>
      </c>
      <c r="J679" t="s">
        <v>50</v>
      </c>
      <c r="K679" t="s">
        <v>50</v>
      </c>
      <c r="L679" t="s">
        <v>159</v>
      </c>
      <c r="M679" t="s">
        <v>51</v>
      </c>
      <c r="N679" t="s">
        <v>92</v>
      </c>
      <c r="O679" s="1">
        <v>41335</v>
      </c>
      <c r="P679" t="s">
        <v>84</v>
      </c>
      <c r="Q679">
        <v>3</v>
      </c>
      <c r="R679" t="s">
        <v>81</v>
      </c>
      <c r="S679">
        <v>0</v>
      </c>
      <c r="T679">
        <v>0</v>
      </c>
      <c r="U679">
        <v>0</v>
      </c>
    </row>
    <row r="680" spans="1:21" x14ac:dyDescent="0.25">
      <c r="A680" s="1">
        <v>44228</v>
      </c>
      <c r="B680" s="1">
        <v>44228</v>
      </c>
      <c r="C680" t="s">
        <v>157</v>
      </c>
      <c r="D680" t="s">
        <v>93</v>
      </c>
      <c r="E680" t="s">
        <v>49</v>
      </c>
      <c r="F680" t="s">
        <v>278</v>
      </c>
      <c r="G680" s="56">
        <v>44302.769236111111</v>
      </c>
      <c r="H680">
        <v>33</v>
      </c>
      <c r="I680" t="s">
        <v>351</v>
      </c>
      <c r="J680" t="s">
        <v>50</v>
      </c>
      <c r="K680" t="s">
        <v>50</v>
      </c>
      <c r="L680" t="s">
        <v>159</v>
      </c>
      <c r="M680" t="s">
        <v>51</v>
      </c>
      <c r="N680" t="s">
        <v>92</v>
      </c>
      <c r="O680" s="1">
        <v>41335</v>
      </c>
      <c r="P680" t="s">
        <v>84</v>
      </c>
      <c r="Q680">
        <v>3</v>
      </c>
      <c r="R680" t="s">
        <v>81</v>
      </c>
      <c r="S680">
        <v>1</v>
      </c>
      <c r="T680">
        <v>105</v>
      </c>
      <c r="U680">
        <v>105</v>
      </c>
    </row>
    <row r="681" spans="1:21" x14ac:dyDescent="0.25">
      <c r="A681" s="1">
        <v>44228</v>
      </c>
      <c r="B681" s="1">
        <v>44228</v>
      </c>
      <c r="C681" t="s">
        <v>157</v>
      </c>
      <c r="D681" t="s">
        <v>93</v>
      </c>
      <c r="E681" t="s">
        <v>49</v>
      </c>
      <c r="F681" t="s">
        <v>278</v>
      </c>
      <c r="G681" s="56">
        <v>44302.769236111111</v>
      </c>
      <c r="H681">
        <v>33</v>
      </c>
      <c r="I681" t="s">
        <v>351</v>
      </c>
      <c r="J681" t="s">
        <v>50</v>
      </c>
      <c r="K681" t="s">
        <v>50</v>
      </c>
      <c r="L681" t="s">
        <v>159</v>
      </c>
      <c r="M681" t="s">
        <v>51</v>
      </c>
      <c r="N681" t="s">
        <v>92</v>
      </c>
      <c r="O681" s="1">
        <v>41335</v>
      </c>
      <c r="P681" t="s">
        <v>84</v>
      </c>
      <c r="Q681">
        <v>4</v>
      </c>
      <c r="R681" t="s">
        <v>27</v>
      </c>
      <c r="S681">
        <v>1</v>
      </c>
      <c r="T681">
        <v>1221</v>
      </c>
      <c r="U681">
        <v>1221</v>
      </c>
    </row>
    <row r="682" spans="1:21" x14ac:dyDescent="0.25">
      <c r="A682" s="1">
        <v>44228</v>
      </c>
      <c r="B682" s="1">
        <v>44228</v>
      </c>
      <c r="C682" t="s">
        <v>157</v>
      </c>
      <c r="D682" t="s">
        <v>52</v>
      </c>
      <c r="E682" t="s">
        <v>53</v>
      </c>
      <c r="F682" t="s">
        <v>276</v>
      </c>
      <c r="G682" s="56">
        <v>44259.815057870372</v>
      </c>
      <c r="H682">
        <v>33</v>
      </c>
      <c r="I682">
        <v>17645</v>
      </c>
      <c r="J682" t="s">
        <v>50</v>
      </c>
      <c r="K682" t="s">
        <v>50</v>
      </c>
      <c r="L682" t="s">
        <v>159</v>
      </c>
      <c r="M682" t="s">
        <v>51</v>
      </c>
      <c r="N682" t="s">
        <v>92</v>
      </c>
      <c r="O682" s="1">
        <v>41335</v>
      </c>
      <c r="P682" t="s">
        <v>84</v>
      </c>
      <c r="Q682">
        <v>4</v>
      </c>
      <c r="R682" t="s">
        <v>27</v>
      </c>
      <c r="S682">
        <v>0</v>
      </c>
      <c r="T682">
        <v>0</v>
      </c>
      <c r="U682">
        <v>0</v>
      </c>
    </row>
    <row r="683" spans="1:21" x14ac:dyDescent="0.25">
      <c r="A683" s="1">
        <v>44228</v>
      </c>
      <c r="B683" s="1">
        <v>44228</v>
      </c>
      <c r="C683" t="s">
        <v>157</v>
      </c>
      <c r="D683" t="s">
        <v>54</v>
      </c>
      <c r="E683" t="s">
        <v>21</v>
      </c>
      <c r="F683" t="s">
        <v>275</v>
      </c>
      <c r="G683" s="56">
        <v>44259.815057870372</v>
      </c>
      <c r="H683">
        <v>33</v>
      </c>
      <c r="I683">
        <v>17645</v>
      </c>
      <c r="J683" t="s">
        <v>50</v>
      </c>
      <c r="K683" t="s">
        <v>50</v>
      </c>
      <c r="L683" t="s">
        <v>159</v>
      </c>
      <c r="M683" t="s">
        <v>51</v>
      </c>
      <c r="N683" t="s">
        <v>92</v>
      </c>
      <c r="O683" s="1">
        <v>41335</v>
      </c>
      <c r="P683" t="s">
        <v>84</v>
      </c>
      <c r="Q683">
        <v>4</v>
      </c>
      <c r="R683" t="s">
        <v>27</v>
      </c>
      <c r="S683">
        <v>0</v>
      </c>
      <c r="T683">
        <v>5512.82</v>
      </c>
      <c r="U683">
        <v>0</v>
      </c>
    </row>
    <row r="684" spans="1:21" x14ac:dyDescent="0.25">
      <c r="A684" s="1">
        <v>44228</v>
      </c>
      <c r="B684" s="1">
        <v>44228</v>
      </c>
      <c r="C684" t="s">
        <v>157</v>
      </c>
      <c r="D684" t="s">
        <v>55</v>
      </c>
      <c r="E684" t="s">
        <v>56</v>
      </c>
      <c r="F684" t="s">
        <v>279</v>
      </c>
      <c r="G684" s="56">
        <v>44259.815057870372</v>
      </c>
      <c r="H684">
        <v>33</v>
      </c>
      <c r="I684">
        <v>17645</v>
      </c>
      <c r="J684" t="s">
        <v>50</v>
      </c>
      <c r="K684" t="s">
        <v>50</v>
      </c>
      <c r="L684" t="s">
        <v>159</v>
      </c>
      <c r="M684" t="s">
        <v>51</v>
      </c>
      <c r="N684" t="s">
        <v>92</v>
      </c>
      <c r="O684" s="1">
        <v>41335</v>
      </c>
      <c r="P684" t="s">
        <v>84</v>
      </c>
      <c r="Q684">
        <v>4</v>
      </c>
      <c r="R684" t="s">
        <v>27</v>
      </c>
      <c r="S684">
        <v>2674.997464</v>
      </c>
      <c r="T684">
        <v>0</v>
      </c>
      <c r="U684">
        <v>0</v>
      </c>
    </row>
    <row r="685" spans="1:21" x14ac:dyDescent="0.25">
      <c r="A685" s="1">
        <v>44228</v>
      </c>
      <c r="B685" s="1">
        <v>44228</v>
      </c>
      <c r="C685" t="s">
        <v>157</v>
      </c>
      <c r="D685" t="s">
        <v>48</v>
      </c>
      <c r="E685" t="s">
        <v>49</v>
      </c>
      <c r="F685" t="s">
        <v>277</v>
      </c>
      <c r="G685" s="56">
        <v>44259.815057870372</v>
      </c>
      <c r="H685">
        <v>33</v>
      </c>
      <c r="I685">
        <v>17645</v>
      </c>
      <c r="J685" t="s">
        <v>50</v>
      </c>
      <c r="K685" t="s">
        <v>50</v>
      </c>
      <c r="L685" t="s">
        <v>159</v>
      </c>
      <c r="M685" t="s">
        <v>51</v>
      </c>
      <c r="N685" t="s">
        <v>92</v>
      </c>
      <c r="O685" s="1">
        <v>41335</v>
      </c>
      <c r="P685" t="s">
        <v>84</v>
      </c>
      <c r="Q685">
        <v>4</v>
      </c>
      <c r="R685" t="s">
        <v>27</v>
      </c>
      <c r="S685">
        <v>2674.997464</v>
      </c>
      <c r="T685">
        <v>80.213999999999999</v>
      </c>
      <c r="U685">
        <v>214572</v>
      </c>
    </row>
    <row r="686" spans="1:21" x14ac:dyDescent="0.25">
      <c r="A686" s="1">
        <v>44228</v>
      </c>
      <c r="B686" s="1">
        <v>44228</v>
      </c>
      <c r="C686" t="s">
        <v>157</v>
      </c>
      <c r="D686" t="s">
        <v>93</v>
      </c>
      <c r="E686" t="s">
        <v>49</v>
      </c>
      <c r="F686" t="s">
        <v>278</v>
      </c>
      <c r="G686" s="56">
        <v>44302.769236111111</v>
      </c>
      <c r="H686">
        <v>33</v>
      </c>
      <c r="I686" t="s">
        <v>351</v>
      </c>
      <c r="J686" t="s">
        <v>50</v>
      </c>
      <c r="K686" t="s">
        <v>50</v>
      </c>
      <c r="L686" t="s">
        <v>159</v>
      </c>
      <c r="M686" t="s">
        <v>51</v>
      </c>
      <c r="N686" t="s">
        <v>92</v>
      </c>
      <c r="O686" s="1">
        <v>41335</v>
      </c>
      <c r="P686" t="s">
        <v>84</v>
      </c>
      <c r="Q686">
        <v>5</v>
      </c>
      <c r="R686" t="s">
        <v>28</v>
      </c>
      <c r="S686">
        <v>1</v>
      </c>
      <c r="T686">
        <v>3</v>
      </c>
      <c r="U686">
        <v>3</v>
      </c>
    </row>
    <row r="687" spans="1:21" x14ac:dyDescent="0.25">
      <c r="A687" s="1">
        <v>44228</v>
      </c>
      <c r="B687" s="1">
        <v>44228</v>
      </c>
      <c r="C687" t="s">
        <v>157</v>
      </c>
      <c r="D687" t="s">
        <v>52</v>
      </c>
      <c r="E687" t="s">
        <v>53</v>
      </c>
      <c r="F687" t="s">
        <v>276</v>
      </c>
      <c r="G687" s="56">
        <v>44259.815057870372</v>
      </c>
      <c r="H687">
        <v>33</v>
      </c>
      <c r="I687">
        <v>17645</v>
      </c>
      <c r="J687" t="s">
        <v>50</v>
      </c>
      <c r="K687" t="s">
        <v>50</v>
      </c>
      <c r="L687" t="s">
        <v>159</v>
      </c>
      <c r="M687" t="s">
        <v>51</v>
      </c>
      <c r="N687" t="s">
        <v>92</v>
      </c>
      <c r="O687" s="1">
        <v>41335</v>
      </c>
      <c r="P687" t="s">
        <v>84</v>
      </c>
      <c r="Q687">
        <v>5</v>
      </c>
      <c r="R687" t="s">
        <v>28</v>
      </c>
      <c r="S687">
        <v>0</v>
      </c>
      <c r="T687">
        <v>0</v>
      </c>
      <c r="U687">
        <v>0</v>
      </c>
    </row>
    <row r="688" spans="1:21" x14ac:dyDescent="0.25">
      <c r="A688" s="1">
        <v>44228</v>
      </c>
      <c r="B688" s="1">
        <v>44228</v>
      </c>
      <c r="C688" t="s">
        <v>157</v>
      </c>
      <c r="D688" t="s">
        <v>54</v>
      </c>
      <c r="E688" t="s">
        <v>21</v>
      </c>
      <c r="F688" t="s">
        <v>275</v>
      </c>
      <c r="G688" s="56">
        <v>44259.815057870372</v>
      </c>
      <c r="H688">
        <v>33</v>
      </c>
      <c r="I688">
        <v>17645</v>
      </c>
      <c r="J688" t="s">
        <v>50</v>
      </c>
      <c r="K688" t="s">
        <v>50</v>
      </c>
      <c r="L688" t="s">
        <v>159</v>
      </c>
      <c r="M688" t="s">
        <v>51</v>
      </c>
      <c r="N688" t="s">
        <v>92</v>
      </c>
      <c r="O688" s="1">
        <v>41335</v>
      </c>
      <c r="P688" t="s">
        <v>84</v>
      </c>
      <c r="Q688">
        <v>5</v>
      </c>
      <c r="R688" t="s">
        <v>28</v>
      </c>
      <c r="S688">
        <v>0</v>
      </c>
      <c r="T688">
        <v>5963.28</v>
      </c>
      <c r="U688">
        <v>0</v>
      </c>
    </row>
    <row r="689" spans="1:21" x14ac:dyDescent="0.25">
      <c r="A689" s="1">
        <v>44228</v>
      </c>
      <c r="B689" s="1">
        <v>44228</v>
      </c>
      <c r="C689" t="s">
        <v>157</v>
      </c>
      <c r="D689" t="s">
        <v>55</v>
      </c>
      <c r="E689" t="s">
        <v>56</v>
      </c>
      <c r="F689" t="s">
        <v>279</v>
      </c>
      <c r="G689" s="56">
        <v>44259.815057870372</v>
      </c>
      <c r="H689">
        <v>33</v>
      </c>
      <c r="I689">
        <v>17645</v>
      </c>
      <c r="J689" t="s">
        <v>50</v>
      </c>
      <c r="K689" t="s">
        <v>50</v>
      </c>
      <c r="L689" t="s">
        <v>159</v>
      </c>
      <c r="M689" t="s">
        <v>51</v>
      </c>
      <c r="N689" t="s">
        <v>92</v>
      </c>
      <c r="O689" s="1">
        <v>41335</v>
      </c>
      <c r="P689" t="s">
        <v>84</v>
      </c>
      <c r="Q689">
        <v>5</v>
      </c>
      <c r="R689" t="s">
        <v>28</v>
      </c>
      <c r="S689">
        <v>7.8341200000000004</v>
      </c>
      <c r="T689">
        <v>0</v>
      </c>
      <c r="U689">
        <v>0</v>
      </c>
    </row>
    <row r="690" spans="1:21" x14ac:dyDescent="0.25">
      <c r="A690" s="1">
        <v>44228</v>
      </c>
      <c r="B690" s="1">
        <v>44228</v>
      </c>
      <c r="C690" t="s">
        <v>157</v>
      </c>
      <c r="D690" t="s">
        <v>48</v>
      </c>
      <c r="E690" t="s">
        <v>49</v>
      </c>
      <c r="F690" t="s">
        <v>277</v>
      </c>
      <c r="G690" s="56">
        <v>44259.815057870372</v>
      </c>
      <c r="H690">
        <v>33</v>
      </c>
      <c r="I690">
        <v>17645</v>
      </c>
      <c r="J690" t="s">
        <v>50</v>
      </c>
      <c r="K690" t="s">
        <v>50</v>
      </c>
      <c r="L690" t="s">
        <v>159</v>
      </c>
      <c r="M690" t="s">
        <v>51</v>
      </c>
      <c r="N690" t="s">
        <v>92</v>
      </c>
      <c r="O690" s="1">
        <v>41335</v>
      </c>
      <c r="P690" t="s">
        <v>84</v>
      </c>
      <c r="Q690">
        <v>5</v>
      </c>
      <c r="R690" t="s">
        <v>28</v>
      </c>
      <c r="S690">
        <v>7.8341200000000004</v>
      </c>
      <c r="T690">
        <v>86.617999999999995</v>
      </c>
      <c r="U690">
        <v>679</v>
      </c>
    </row>
    <row r="691" spans="1:21" x14ac:dyDescent="0.25">
      <c r="A691" s="1">
        <v>44256</v>
      </c>
      <c r="B691" s="1">
        <v>44256</v>
      </c>
      <c r="C691" t="s">
        <v>157</v>
      </c>
      <c r="D691" t="s">
        <v>54</v>
      </c>
      <c r="E691" t="s">
        <v>21</v>
      </c>
      <c r="F691" t="s">
        <v>280</v>
      </c>
      <c r="G691" s="56">
        <v>44294.484247685185</v>
      </c>
      <c r="H691">
        <v>33</v>
      </c>
      <c r="I691">
        <v>18264</v>
      </c>
      <c r="J691" t="s">
        <v>50</v>
      </c>
      <c r="K691" t="s">
        <v>50</v>
      </c>
      <c r="L691" t="s">
        <v>159</v>
      </c>
      <c r="M691" t="s">
        <v>51</v>
      </c>
      <c r="N691" t="s">
        <v>92</v>
      </c>
      <c r="O691" s="1">
        <v>41335</v>
      </c>
      <c r="P691" t="s">
        <v>84</v>
      </c>
      <c r="Q691">
        <v>1</v>
      </c>
      <c r="R691" t="s">
        <v>83</v>
      </c>
      <c r="S691">
        <v>0</v>
      </c>
      <c r="T691">
        <v>5914.4219999999996</v>
      </c>
      <c r="U691">
        <v>0</v>
      </c>
    </row>
    <row r="692" spans="1:21" x14ac:dyDescent="0.25">
      <c r="A692" s="1">
        <v>44256</v>
      </c>
      <c r="B692" s="1">
        <v>44256</v>
      </c>
      <c r="C692" t="s">
        <v>157</v>
      </c>
      <c r="D692" t="s">
        <v>55</v>
      </c>
      <c r="E692" t="s">
        <v>56</v>
      </c>
      <c r="F692" t="s">
        <v>281</v>
      </c>
      <c r="G692" s="56">
        <v>44294.484247685185</v>
      </c>
      <c r="H692">
        <v>33</v>
      </c>
      <c r="I692">
        <v>18264</v>
      </c>
      <c r="J692" t="s">
        <v>50</v>
      </c>
      <c r="K692" t="s">
        <v>50</v>
      </c>
      <c r="L692" t="s">
        <v>159</v>
      </c>
      <c r="M692" t="s">
        <v>51</v>
      </c>
      <c r="N692" t="s">
        <v>92</v>
      </c>
      <c r="O692" s="1">
        <v>41335</v>
      </c>
      <c r="P692" t="s">
        <v>84</v>
      </c>
      <c r="Q692">
        <v>1</v>
      </c>
      <c r="R692" t="s">
        <v>83</v>
      </c>
      <c r="S692">
        <v>2429.5084940000002</v>
      </c>
      <c r="T692">
        <v>0</v>
      </c>
      <c r="U692">
        <v>0</v>
      </c>
    </row>
    <row r="693" spans="1:21" x14ac:dyDescent="0.25">
      <c r="A693" s="1">
        <v>44256</v>
      </c>
      <c r="B693" s="1">
        <v>44256</v>
      </c>
      <c r="C693" t="s">
        <v>157</v>
      </c>
      <c r="D693" t="s">
        <v>48</v>
      </c>
      <c r="E693" t="s">
        <v>49</v>
      </c>
      <c r="F693" t="s">
        <v>282</v>
      </c>
      <c r="G693" s="56">
        <v>44294.484247685185</v>
      </c>
      <c r="H693">
        <v>33</v>
      </c>
      <c r="I693">
        <v>18264</v>
      </c>
      <c r="J693" t="s">
        <v>50</v>
      </c>
      <c r="K693" t="s">
        <v>50</v>
      </c>
      <c r="L693" t="s">
        <v>159</v>
      </c>
      <c r="M693" t="s">
        <v>51</v>
      </c>
      <c r="N693" t="s">
        <v>92</v>
      </c>
      <c r="O693" s="1">
        <v>41335</v>
      </c>
      <c r="P693" t="s">
        <v>84</v>
      </c>
      <c r="Q693">
        <v>1</v>
      </c>
      <c r="R693" t="s">
        <v>83</v>
      </c>
      <c r="S693">
        <v>2429.5084940000002</v>
      </c>
      <c r="T693">
        <v>85.203000000000003</v>
      </c>
      <c r="U693">
        <v>207001</v>
      </c>
    </row>
    <row r="694" spans="1:21" x14ac:dyDescent="0.25">
      <c r="A694" s="1">
        <v>44256</v>
      </c>
      <c r="B694" s="1">
        <v>44256</v>
      </c>
      <c r="C694" t="s">
        <v>157</v>
      </c>
      <c r="D694" t="s">
        <v>52</v>
      </c>
      <c r="E694" t="s">
        <v>53</v>
      </c>
      <c r="F694" t="s">
        <v>283</v>
      </c>
      <c r="G694" s="56">
        <v>44294.484247685185</v>
      </c>
      <c r="H694">
        <v>33</v>
      </c>
      <c r="I694">
        <v>18264</v>
      </c>
      <c r="J694" t="s">
        <v>50</v>
      </c>
      <c r="K694" t="s">
        <v>50</v>
      </c>
      <c r="L694" t="s">
        <v>159</v>
      </c>
      <c r="M694" t="s">
        <v>51</v>
      </c>
      <c r="N694" t="s">
        <v>92</v>
      </c>
      <c r="O694" s="1">
        <v>41335</v>
      </c>
      <c r="P694" t="s">
        <v>84</v>
      </c>
      <c r="Q694">
        <v>1</v>
      </c>
      <c r="R694" t="s">
        <v>83</v>
      </c>
      <c r="S694">
        <v>0</v>
      </c>
      <c r="T694">
        <v>1547.9605300000001</v>
      </c>
      <c r="U694">
        <v>1548</v>
      </c>
    </row>
    <row r="695" spans="1:21" x14ac:dyDescent="0.25">
      <c r="A695" s="1">
        <v>44256</v>
      </c>
      <c r="B695" s="1">
        <v>44256</v>
      </c>
      <c r="C695" t="s">
        <v>157</v>
      </c>
      <c r="D695" t="s">
        <v>93</v>
      </c>
      <c r="E695" t="s">
        <v>49</v>
      </c>
      <c r="F695" t="s">
        <v>284</v>
      </c>
      <c r="G695" s="56">
        <v>44327.522789351853</v>
      </c>
      <c r="H695">
        <v>33</v>
      </c>
      <c r="I695" t="s">
        <v>351</v>
      </c>
      <c r="J695" t="s">
        <v>50</v>
      </c>
      <c r="K695" t="s">
        <v>50</v>
      </c>
      <c r="L695" t="s">
        <v>159</v>
      </c>
      <c r="M695" t="s">
        <v>51</v>
      </c>
      <c r="N695" t="s">
        <v>92</v>
      </c>
      <c r="O695" s="1">
        <v>41335</v>
      </c>
      <c r="P695" t="s">
        <v>84</v>
      </c>
      <c r="Q695">
        <v>1</v>
      </c>
      <c r="R695" t="s">
        <v>83</v>
      </c>
      <c r="S695">
        <v>1</v>
      </c>
      <c r="T695">
        <v>1933</v>
      </c>
      <c r="U695">
        <v>1933</v>
      </c>
    </row>
    <row r="696" spans="1:21" x14ac:dyDescent="0.25">
      <c r="A696" s="1">
        <v>44256</v>
      </c>
      <c r="B696" s="1">
        <v>44256</v>
      </c>
      <c r="C696" t="s">
        <v>157</v>
      </c>
      <c r="D696" t="s">
        <v>48</v>
      </c>
      <c r="E696" t="s">
        <v>49</v>
      </c>
      <c r="F696" t="s">
        <v>282</v>
      </c>
      <c r="G696" s="56">
        <v>44294.484247685185</v>
      </c>
      <c r="H696">
        <v>33</v>
      </c>
      <c r="I696">
        <v>18264</v>
      </c>
      <c r="J696" t="s">
        <v>50</v>
      </c>
      <c r="K696" t="s">
        <v>50</v>
      </c>
      <c r="L696" t="s">
        <v>159</v>
      </c>
      <c r="M696" t="s">
        <v>51</v>
      </c>
      <c r="N696" t="s">
        <v>92</v>
      </c>
      <c r="O696" s="1">
        <v>41335</v>
      </c>
      <c r="P696" t="s">
        <v>84</v>
      </c>
      <c r="Q696">
        <v>2</v>
      </c>
      <c r="R696" t="s">
        <v>94</v>
      </c>
      <c r="S696">
        <v>8.2069919999999996</v>
      </c>
      <c r="T696">
        <v>86.819000000000003</v>
      </c>
      <c r="U696">
        <v>713</v>
      </c>
    </row>
    <row r="697" spans="1:21" x14ac:dyDescent="0.25">
      <c r="A697" s="1">
        <v>44256</v>
      </c>
      <c r="B697" s="1">
        <v>44256</v>
      </c>
      <c r="C697" t="s">
        <v>157</v>
      </c>
      <c r="D697" t="s">
        <v>93</v>
      </c>
      <c r="E697" t="s">
        <v>49</v>
      </c>
      <c r="F697" t="s">
        <v>284</v>
      </c>
      <c r="G697" s="56">
        <v>44327.522789351853</v>
      </c>
      <c r="H697">
        <v>33</v>
      </c>
      <c r="I697" t="s">
        <v>351</v>
      </c>
      <c r="J697" t="s">
        <v>50</v>
      </c>
      <c r="K697" t="s">
        <v>50</v>
      </c>
      <c r="L697" t="s">
        <v>159</v>
      </c>
      <c r="M697" t="s">
        <v>51</v>
      </c>
      <c r="N697" t="s">
        <v>92</v>
      </c>
      <c r="O697" s="1">
        <v>41335</v>
      </c>
      <c r="P697" t="s">
        <v>84</v>
      </c>
      <c r="Q697">
        <v>2</v>
      </c>
      <c r="R697" t="s">
        <v>94</v>
      </c>
      <c r="S697">
        <v>1</v>
      </c>
      <c r="T697">
        <v>6</v>
      </c>
      <c r="U697">
        <v>6</v>
      </c>
    </row>
    <row r="698" spans="1:21" x14ac:dyDescent="0.25">
      <c r="A698" s="1">
        <v>44256</v>
      </c>
      <c r="B698" s="1">
        <v>44256</v>
      </c>
      <c r="C698" t="s">
        <v>157</v>
      </c>
      <c r="D698" t="s">
        <v>55</v>
      </c>
      <c r="E698" t="s">
        <v>56</v>
      </c>
      <c r="F698" t="s">
        <v>281</v>
      </c>
      <c r="G698" s="56">
        <v>44294.484247685185</v>
      </c>
      <c r="H698">
        <v>33</v>
      </c>
      <c r="I698">
        <v>18264</v>
      </c>
      <c r="J698" t="s">
        <v>50</v>
      </c>
      <c r="K698" t="s">
        <v>50</v>
      </c>
      <c r="L698" t="s">
        <v>159</v>
      </c>
      <c r="M698" t="s">
        <v>51</v>
      </c>
      <c r="N698" t="s">
        <v>92</v>
      </c>
      <c r="O698" s="1">
        <v>41335</v>
      </c>
      <c r="P698" t="s">
        <v>84</v>
      </c>
      <c r="Q698">
        <v>2</v>
      </c>
      <c r="R698" t="s">
        <v>94</v>
      </c>
      <c r="S698">
        <v>8.2069919999999996</v>
      </c>
      <c r="T698">
        <v>0</v>
      </c>
      <c r="U698">
        <v>0</v>
      </c>
    </row>
    <row r="699" spans="1:21" x14ac:dyDescent="0.25">
      <c r="A699" s="1">
        <v>44256</v>
      </c>
      <c r="B699" s="1">
        <v>44256</v>
      </c>
      <c r="C699" t="s">
        <v>157</v>
      </c>
      <c r="D699" t="s">
        <v>52</v>
      </c>
      <c r="E699" t="s">
        <v>53</v>
      </c>
      <c r="F699" t="s">
        <v>283</v>
      </c>
      <c r="G699" s="56">
        <v>44294.484247685185</v>
      </c>
      <c r="H699">
        <v>33</v>
      </c>
      <c r="I699">
        <v>18264</v>
      </c>
      <c r="J699" t="s">
        <v>50</v>
      </c>
      <c r="K699" t="s">
        <v>50</v>
      </c>
      <c r="L699" t="s">
        <v>159</v>
      </c>
      <c r="M699" t="s">
        <v>51</v>
      </c>
      <c r="N699" t="s">
        <v>92</v>
      </c>
      <c r="O699" s="1">
        <v>41335</v>
      </c>
      <c r="P699" t="s">
        <v>84</v>
      </c>
      <c r="Q699">
        <v>2</v>
      </c>
      <c r="R699" t="s">
        <v>94</v>
      </c>
      <c r="S699">
        <v>0</v>
      </c>
      <c r="T699">
        <v>0</v>
      </c>
      <c r="U699">
        <v>0</v>
      </c>
    </row>
    <row r="700" spans="1:21" x14ac:dyDescent="0.25">
      <c r="A700" s="1">
        <v>44256</v>
      </c>
      <c r="B700" s="1">
        <v>44256</v>
      </c>
      <c r="C700" t="s">
        <v>157</v>
      </c>
      <c r="D700" t="s">
        <v>54</v>
      </c>
      <c r="E700" t="s">
        <v>21</v>
      </c>
      <c r="F700" t="s">
        <v>280</v>
      </c>
      <c r="G700" s="56">
        <v>44294.484247685185</v>
      </c>
      <c r="H700">
        <v>33</v>
      </c>
      <c r="I700">
        <v>18264</v>
      </c>
      <c r="J700" t="s">
        <v>50</v>
      </c>
      <c r="K700" t="s">
        <v>50</v>
      </c>
      <c r="L700" t="s">
        <v>159</v>
      </c>
      <c r="M700" t="s">
        <v>51</v>
      </c>
      <c r="N700" t="s">
        <v>92</v>
      </c>
      <c r="O700" s="1">
        <v>41335</v>
      </c>
      <c r="P700" t="s">
        <v>84</v>
      </c>
      <c r="Q700">
        <v>2</v>
      </c>
      <c r="R700" t="s">
        <v>94</v>
      </c>
      <c r="S700">
        <v>0</v>
      </c>
      <c r="T700">
        <v>6007.3739999999998</v>
      </c>
      <c r="U700">
        <v>0</v>
      </c>
    </row>
    <row r="701" spans="1:21" x14ac:dyDescent="0.25">
      <c r="A701" s="1">
        <v>44256</v>
      </c>
      <c r="B701" s="1">
        <v>44256</v>
      </c>
      <c r="C701" t="s">
        <v>157</v>
      </c>
      <c r="D701" t="s">
        <v>52</v>
      </c>
      <c r="E701" t="s">
        <v>53</v>
      </c>
      <c r="F701" t="s">
        <v>283</v>
      </c>
      <c r="G701" s="56">
        <v>44294.484247685185</v>
      </c>
      <c r="H701">
        <v>33</v>
      </c>
      <c r="I701">
        <v>18264</v>
      </c>
      <c r="J701" t="s">
        <v>50</v>
      </c>
      <c r="K701" t="s">
        <v>50</v>
      </c>
      <c r="L701" t="s">
        <v>159</v>
      </c>
      <c r="M701" t="s">
        <v>51</v>
      </c>
      <c r="N701" t="s">
        <v>92</v>
      </c>
      <c r="O701" s="1">
        <v>41335</v>
      </c>
      <c r="P701" t="s">
        <v>84</v>
      </c>
      <c r="Q701">
        <v>3</v>
      </c>
      <c r="R701" t="s">
        <v>81</v>
      </c>
      <c r="S701">
        <v>0</v>
      </c>
      <c r="T701">
        <v>0</v>
      </c>
      <c r="U701">
        <v>0</v>
      </c>
    </row>
    <row r="702" spans="1:21" x14ac:dyDescent="0.25">
      <c r="A702" s="1">
        <v>44256</v>
      </c>
      <c r="B702" s="1">
        <v>44256</v>
      </c>
      <c r="C702" t="s">
        <v>157</v>
      </c>
      <c r="D702" t="s">
        <v>48</v>
      </c>
      <c r="E702" t="s">
        <v>49</v>
      </c>
      <c r="F702" t="s">
        <v>282</v>
      </c>
      <c r="G702" s="56">
        <v>44294.484247685185</v>
      </c>
      <c r="H702">
        <v>33</v>
      </c>
      <c r="I702">
        <v>18264</v>
      </c>
      <c r="J702" t="s">
        <v>50</v>
      </c>
      <c r="K702" t="s">
        <v>50</v>
      </c>
      <c r="L702" t="s">
        <v>159</v>
      </c>
      <c r="M702" t="s">
        <v>51</v>
      </c>
      <c r="N702" t="s">
        <v>92</v>
      </c>
      <c r="O702" s="1">
        <v>41335</v>
      </c>
      <c r="P702" t="s">
        <v>84</v>
      </c>
      <c r="Q702">
        <v>3</v>
      </c>
      <c r="R702" t="s">
        <v>81</v>
      </c>
      <c r="S702">
        <v>266.55027999999999</v>
      </c>
      <c r="T702">
        <v>78.597999999999999</v>
      </c>
      <c r="U702">
        <v>20950</v>
      </c>
    </row>
    <row r="703" spans="1:21" x14ac:dyDescent="0.25">
      <c r="A703" s="1">
        <v>44256</v>
      </c>
      <c r="B703" s="1">
        <v>44256</v>
      </c>
      <c r="C703" t="s">
        <v>157</v>
      </c>
      <c r="D703" t="s">
        <v>93</v>
      </c>
      <c r="E703" t="s">
        <v>49</v>
      </c>
      <c r="F703" t="s">
        <v>284</v>
      </c>
      <c r="G703" s="56">
        <v>44327.522789351853</v>
      </c>
      <c r="H703">
        <v>33</v>
      </c>
      <c r="I703" t="s">
        <v>351</v>
      </c>
      <c r="J703" t="s">
        <v>50</v>
      </c>
      <c r="K703" t="s">
        <v>50</v>
      </c>
      <c r="L703" t="s">
        <v>159</v>
      </c>
      <c r="M703" t="s">
        <v>51</v>
      </c>
      <c r="N703" t="s">
        <v>92</v>
      </c>
      <c r="O703" s="1">
        <v>41335</v>
      </c>
      <c r="P703" t="s">
        <v>84</v>
      </c>
      <c r="Q703">
        <v>3</v>
      </c>
      <c r="R703" t="s">
        <v>81</v>
      </c>
      <c r="S703">
        <v>1</v>
      </c>
      <c r="T703">
        <v>196</v>
      </c>
      <c r="U703">
        <v>196</v>
      </c>
    </row>
    <row r="704" spans="1:21" x14ac:dyDescent="0.25">
      <c r="A704" s="1">
        <v>44256</v>
      </c>
      <c r="B704" s="1">
        <v>44256</v>
      </c>
      <c r="C704" t="s">
        <v>157</v>
      </c>
      <c r="D704" t="s">
        <v>54</v>
      </c>
      <c r="E704" t="s">
        <v>21</v>
      </c>
      <c r="F704" t="s">
        <v>280</v>
      </c>
      <c r="G704" s="56">
        <v>44294.484247685185</v>
      </c>
      <c r="H704">
        <v>33</v>
      </c>
      <c r="I704">
        <v>18264</v>
      </c>
      <c r="J704" t="s">
        <v>50</v>
      </c>
      <c r="K704" t="s">
        <v>50</v>
      </c>
      <c r="L704" t="s">
        <v>159</v>
      </c>
      <c r="M704" t="s">
        <v>51</v>
      </c>
      <c r="N704" t="s">
        <v>92</v>
      </c>
      <c r="O704" s="1">
        <v>41335</v>
      </c>
      <c r="P704" t="s">
        <v>84</v>
      </c>
      <c r="Q704">
        <v>3</v>
      </c>
      <c r="R704" t="s">
        <v>81</v>
      </c>
      <c r="S704">
        <v>0</v>
      </c>
      <c r="T704">
        <v>5302.482</v>
      </c>
      <c r="U704">
        <v>0</v>
      </c>
    </row>
    <row r="705" spans="1:21" x14ac:dyDescent="0.25">
      <c r="A705" s="1">
        <v>44256</v>
      </c>
      <c r="B705" s="1">
        <v>44256</v>
      </c>
      <c r="C705" t="s">
        <v>157</v>
      </c>
      <c r="D705" t="s">
        <v>55</v>
      </c>
      <c r="E705" t="s">
        <v>56</v>
      </c>
      <c r="F705" t="s">
        <v>281</v>
      </c>
      <c r="G705" s="56">
        <v>44294.484247685185</v>
      </c>
      <c r="H705">
        <v>33</v>
      </c>
      <c r="I705">
        <v>18264</v>
      </c>
      <c r="J705" t="s">
        <v>50</v>
      </c>
      <c r="K705" t="s">
        <v>50</v>
      </c>
      <c r="L705" t="s">
        <v>159</v>
      </c>
      <c r="M705" t="s">
        <v>51</v>
      </c>
      <c r="N705" t="s">
        <v>92</v>
      </c>
      <c r="O705" s="1">
        <v>41335</v>
      </c>
      <c r="P705" t="s">
        <v>84</v>
      </c>
      <c r="Q705">
        <v>3</v>
      </c>
      <c r="R705" t="s">
        <v>81</v>
      </c>
      <c r="S705">
        <v>266.55027999999999</v>
      </c>
      <c r="T705">
        <v>0</v>
      </c>
      <c r="U705">
        <v>0</v>
      </c>
    </row>
    <row r="706" spans="1:21" x14ac:dyDescent="0.25">
      <c r="A706" s="1">
        <v>44256</v>
      </c>
      <c r="B706" s="1">
        <v>44256</v>
      </c>
      <c r="C706" t="s">
        <v>157</v>
      </c>
      <c r="D706" t="s">
        <v>52</v>
      </c>
      <c r="E706" t="s">
        <v>53</v>
      </c>
      <c r="F706" t="s">
        <v>283</v>
      </c>
      <c r="G706" s="56">
        <v>44294.484247685185</v>
      </c>
      <c r="H706">
        <v>33</v>
      </c>
      <c r="I706">
        <v>18264</v>
      </c>
      <c r="J706" t="s">
        <v>50</v>
      </c>
      <c r="K706" t="s">
        <v>50</v>
      </c>
      <c r="L706" t="s">
        <v>159</v>
      </c>
      <c r="M706" t="s">
        <v>51</v>
      </c>
      <c r="N706" t="s">
        <v>92</v>
      </c>
      <c r="O706" s="1">
        <v>41335</v>
      </c>
      <c r="P706" t="s">
        <v>84</v>
      </c>
      <c r="Q706">
        <v>4</v>
      </c>
      <c r="R706" t="s">
        <v>27</v>
      </c>
      <c r="S706">
        <v>0</v>
      </c>
      <c r="T706">
        <v>0</v>
      </c>
      <c r="U706">
        <v>0</v>
      </c>
    </row>
    <row r="707" spans="1:21" x14ac:dyDescent="0.25">
      <c r="A707" s="1">
        <v>44256</v>
      </c>
      <c r="B707" s="1">
        <v>44256</v>
      </c>
      <c r="C707" t="s">
        <v>157</v>
      </c>
      <c r="D707" t="s">
        <v>55</v>
      </c>
      <c r="E707" t="s">
        <v>56</v>
      </c>
      <c r="F707" t="s">
        <v>281</v>
      </c>
      <c r="G707" s="56">
        <v>44294.484247685185</v>
      </c>
      <c r="H707">
        <v>33</v>
      </c>
      <c r="I707">
        <v>18264</v>
      </c>
      <c r="J707" t="s">
        <v>50</v>
      </c>
      <c r="K707" t="s">
        <v>50</v>
      </c>
      <c r="L707" t="s">
        <v>159</v>
      </c>
      <c r="M707" t="s">
        <v>51</v>
      </c>
      <c r="N707" t="s">
        <v>92</v>
      </c>
      <c r="O707" s="1">
        <v>41335</v>
      </c>
      <c r="P707" t="s">
        <v>84</v>
      </c>
      <c r="Q707">
        <v>4</v>
      </c>
      <c r="R707" t="s">
        <v>27</v>
      </c>
      <c r="S707">
        <v>3026.9486430000002</v>
      </c>
      <c r="T707">
        <v>0</v>
      </c>
      <c r="U707">
        <v>0</v>
      </c>
    </row>
    <row r="708" spans="1:21" x14ac:dyDescent="0.25">
      <c r="A708" s="1">
        <v>44256</v>
      </c>
      <c r="B708" s="1">
        <v>44256</v>
      </c>
      <c r="C708" t="s">
        <v>157</v>
      </c>
      <c r="D708" t="s">
        <v>93</v>
      </c>
      <c r="E708" t="s">
        <v>49</v>
      </c>
      <c r="F708" t="s">
        <v>284</v>
      </c>
      <c r="G708" s="56">
        <v>44327.522789351853</v>
      </c>
      <c r="H708">
        <v>33</v>
      </c>
      <c r="I708" t="s">
        <v>351</v>
      </c>
      <c r="J708" t="s">
        <v>50</v>
      </c>
      <c r="K708" t="s">
        <v>50</v>
      </c>
      <c r="L708" t="s">
        <v>159</v>
      </c>
      <c r="M708" t="s">
        <v>51</v>
      </c>
      <c r="N708" t="s">
        <v>92</v>
      </c>
      <c r="O708" s="1">
        <v>41335</v>
      </c>
      <c r="P708" t="s">
        <v>84</v>
      </c>
      <c r="Q708">
        <v>4</v>
      </c>
      <c r="R708" t="s">
        <v>27</v>
      </c>
      <c r="S708">
        <v>1</v>
      </c>
      <c r="T708">
        <v>2266</v>
      </c>
      <c r="U708">
        <v>2266</v>
      </c>
    </row>
    <row r="709" spans="1:21" x14ac:dyDescent="0.25">
      <c r="A709" s="1">
        <v>44256</v>
      </c>
      <c r="B709" s="1">
        <v>44256</v>
      </c>
      <c r="C709" t="s">
        <v>157</v>
      </c>
      <c r="D709" t="s">
        <v>48</v>
      </c>
      <c r="E709" t="s">
        <v>49</v>
      </c>
      <c r="F709" t="s">
        <v>282</v>
      </c>
      <c r="G709" s="56">
        <v>44294.484247685185</v>
      </c>
      <c r="H709">
        <v>33</v>
      </c>
      <c r="I709">
        <v>18264</v>
      </c>
      <c r="J709" t="s">
        <v>50</v>
      </c>
      <c r="K709" t="s">
        <v>50</v>
      </c>
      <c r="L709" t="s">
        <v>159</v>
      </c>
      <c r="M709" t="s">
        <v>51</v>
      </c>
      <c r="N709" t="s">
        <v>92</v>
      </c>
      <c r="O709" s="1">
        <v>41335</v>
      </c>
      <c r="P709" t="s">
        <v>84</v>
      </c>
      <c r="Q709">
        <v>4</v>
      </c>
      <c r="R709" t="s">
        <v>27</v>
      </c>
      <c r="S709">
        <v>3026.9486430000002</v>
      </c>
      <c r="T709">
        <v>80.213999999999999</v>
      </c>
      <c r="U709">
        <v>242804</v>
      </c>
    </row>
    <row r="710" spans="1:21" x14ac:dyDescent="0.25">
      <c r="A710" s="1">
        <v>44256</v>
      </c>
      <c r="B710" s="1">
        <v>44256</v>
      </c>
      <c r="C710" t="s">
        <v>157</v>
      </c>
      <c r="D710" t="s">
        <v>54</v>
      </c>
      <c r="E710" t="s">
        <v>21</v>
      </c>
      <c r="F710" t="s">
        <v>280</v>
      </c>
      <c r="G710" s="56">
        <v>44294.484247685185</v>
      </c>
      <c r="H710">
        <v>33</v>
      </c>
      <c r="I710">
        <v>18264</v>
      </c>
      <c r="J710" t="s">
        <v>50</v>
      </c>
      <c r="K710" t="s">
        <v>50</v>
      </c>
      <c r="L710" t="s">
        <v>159</v>
      </c>
      <c r="M710" t="s">
        <v>51</v>
      </c>
      <c r="N710" t="s">
        <v>92</v>
      </c>
      <c r="O710" s="1">
        <v>41335</v>
      </c>
      <c r="P710" t="s">
        <v>84</v>
      </c>
      <c r="Q710">
        <v>4</v>
      </c>
      <c r="R710" t="s">
        <v>27</v>
      </c>
      <c r="S710">
        <v>0</v>
      </c>
      <c r="T710">
        <v>5512.8180000000002</v>
      </c>
      <c r="U710">
        <v>0</v>
      </c>
    </row>
    <row r="711" spans="1:21" x14ac:dyDescent="0.25">
      <c r="A711" s="1">
        <v>44256</v>
      </c>
      <c r="B711" s="1">
        <v>44256</v>
      </c>
      <c r="C711" t="s">
        <v>157</v>
      </c>
      <c r="D711" t="s">
        <v>48</v>
      </c>
      <c r="E711" t="s">
        <v>49</v>
      </c>
      <c r="F711" t="s">
        <v>282</v>
      </c>
      <c r="G711" s="56">
        <v>44294.484247685185</v>
      </c>
      <c r="H711">
        <v>33</v>
      </c>
      <c r="I711">
        <v>18264</v>
      </c>
      <c r="J711" t="s">
        <v>50</v>
      </c>
      <c r="K711" t="s">
        <v>50</v>
      </c>
      <c r="L711" t="s">
        <v>159</v>
      </c>
      <c r="M711" t="s">
        <v>51</v>
      </c>
      <c r="N711" t="s">
        <v>92</v>
      </c>
      <c r="O711" s="1">
        <v>41335</v>
      </c>
      <c r="P711" t="s">
        <v>84</v>
      </c>
      <c r="Q711">
        <v>5</v>
      </c>
      <c r="R711" t="s">
        <v>28</v>
      </c>
      <c r="S711">
        <v>8.8766890000000007</v>
      </c>
      <c r="T711">
        <v>86.617999999999995</v>
      </c>
      <c r="U711">
        <v>769</v>
      </c>
    </row>
    <row r="712" spans="1:21" x14ac:dyDescent="0.25">
      <c r="A712" s="1">
        <v>44256</v>
      </c>
      <c r="B712" s="1">
        <v>44256</v>
      </c>
      <c r="C712" t="s">
        <v>157</v>
      </c>
      <c r="D712" t="s">
        <v>52</v>
      </c>
      <c r="E712" t="s">
        <v>53</v>
      </c>
      <c r="F712" t="s">
        <v>283</v>
      </c>
      <c r="G712" s="56">
        <v>44294.484247685185</v>
      </c>
      <c r="H712">
        <v>33</v>
      </c>
      <c r="I712">
        <v>18264</v>
      </c>
      <c r="J712" t="s">
        <v>50</v>
      </c>
      <c r="K712" t="s">
        <v>50</v>
      </c>
      <c r="L712" t="s">
        <v>159</v>
      </c>
      <c r="M712" t="s">
        <v>51</v>
      </c>
      <c r="N712" t="s">
        <v>92</v>
      </c>
      <c r="O712" s="1">
        <v>41335</v>
      </c>
      <c r="P712" t="s">
        <v>84</v>
      </c>
      <c r="Q712">
        <v>5</v>
      </c>
      <c r="R712" t="s">
        <v>28</v>
      </c>
      <c r="S712">
        <v>0</v>
      </c>
      <c r="T712">
        <v>0</v>
      </c>
      <c r="U712">
        <v>0</v>
      </c>
    </row>
    <row r="713" spans="1:21" x14ac:dyDescent="0.25">
      <c r="A713" s="1">
        <v>44256</v>
      </c>
      <c r="B713" s="1">
        <v>44256</v>
      </c>
      <c r="C713" t="s">
        <v>157</v>
      </c>
      <c r="D713" t="s">
        <v>54</v>
      </c>
      <c r="E713" t="s">
        <v>21</v>
      </c>
      <c r="F713" t="s">
        <v>280</v>
      </c>
      <c r="G713" s="56">
        <v>44294.484247685185</v>
      </c>
      <c r="H713">
        <v>33</v>
      </c>
      <c r="I713">
        <v>18264</v>
      </c>
      <c r="J713" t="s">
        <v>50</v>
      </c>
      <c r="K713" t="s">
        <v>50</v>
      </c>
      <c r="L713" t="s">
        <v>159</v>
      </c>
      <c r="M713" t="s">
        <v>51</v>
      </c>
      <c r="N713" t="s">
        <v>92</v>
      </c>
      <c r="O713" s="1">
        <v>41335</v>
      </c>
      <c r="P713" t="s">
        <v>84</v>
      </c>
      <c r="Q713">
        <v>5</v>
      </c>
      <c r="R713" t="s">
        <v>28</v>
      </c>
      <c r="S713">
        <v>0</v>
      </c>
      <c r="T713">
        <v>5963.2809999999999</v>
      </c>
      <c r="U713">
        <v>0</v>
      </c>
    </row>
    <row r="714" spans="1:21" x14ac:dyDescent="0.25">
      <c r="A714" s="1">
        <v>44256</v>
      </c>
      <c r="B714" s="1">
        <v>44256</v>
      </c>
      <c r="C714" t="s">
        <v>157</v>
      </c>
      <c r="D714" t="s">
        <v>55</v>
      </c>
      <c r="E714" t="s">
        <v>56</v>
      </c>
      <c r="F714" t="s">
        <v>281</v>
      </c>
      <c r="G714" s="56">
        <v>44294.484247685185</v>
      </c>
      <c r="H714">
        <v>33</v>
      </c>
      <c r="I714">
        <v>18264</v>
      </c>
      <c r="J714" t="s">
        <v>50</v>
      </c>
      <c r="K714" t="s">
        <v>50</v>
      </c>
      <c r="L714" t="s">
        <v>159</v>
      </c>
      <c r="M714" t="s">
        <v>51</v>
      </c>
      <c r="N714" t="s">
        <v>92</v>
      </c>
      <c r="O714" s="1">
        <v>41335</v>
      </c>
      <c r="P714" t="s">
        <v>84</v>
      </c>
      <c r="Q714">
        <v>5</v>
      </c>
      <c r="R714" t="s">
        <v>28</v>
      </c>
      <c r="S714">
        <v>8.8766890000000007</v>
      </c>
      <c r="T714">
        <v>0</v>
      </c>
      <c r="U714">
        <v>0</v>
      </c>
    </row>
    <row r="715" spans="1:21" x14ac:dyDescent="0.25">
      <c r="A715" s="1">
        <v>44256</v>
      </c>
      <c r="B715" s="1">
        <v>44256</v>
      </c>
      <c r="C715" t="s">
        <v>157</v>
      </c>
      <c r="D715" t="s">
        <v>93</v>
      </c>
      <c r="E715" t="s">
        <v>49</v>
      </c>
      <c r="F715" t="s">
        <v>284</v>
      </c>
      <c r="G715" s="56">
        <v>44327.522789351853</v>
      </c>
      <c r="H715">
        <v>33</v>
      </c>
      <c r="I715" t="s">
        <v>351</v>
      </c>
      <c r="J715" t="s">
        <v>50</v>
      </c>
      <c r="K715" t="s">
        <v>50</v>
      </c>
      <c r="L715" t="s">
        <v>159</v>
      </c>
      <c r="M715" t="s">
        <v>51</v>
      </c>
      <c r="N715" t="s">
        <v>92</v>
      </c>
      <c r="O715" s="1">
        <v>41335</v>
      </c>
      <c r="P715" t="s">
        <v>84</v>
      </c>
      <c r="Q715">
        <v>5</v>
      </c>
      <c r="R715" t="s">
        <v>28</v>
      </c>
      <c r="S715">
        <v>1</v>
      </c>
      <c r="T715">
        <v>7</v>
      </c>
      <c r="U715">
        <v>7</v>
      </c>
    </row>
    <row r="716" spans="1:21" x14ac:dyDescent="0.25">
      <c r="A716" s="1">
        <v>44287</v>
      </c>
      <c r="B716" s="1">
        <v>44287</v>
      </c>
      <c r="C716" t="s">
        <v>157</v>
      </c>
      <c r="D716" t="s">
        <v>54</v>
      </c>
      <c r="E716" t="s">
        <v>21</v>
      </c>
      <c r="F716" t="s">
        <v>285</v>
      </c>
      <c r="G716" s="56">
        <v>44323.702997685185</v>
      </c>
      <c r="H716">
        <v>33</v>
      </c>
      <c r="I716">
        <v>18700</v>
      </c>
      <c r="J716" t="s">
        <v>50</v>
      </c>
      <c r="K716" t="s">
        <v>50</v>
      </c>
      <c r="L716" t="s">
        <v>159</v>
      </c>
      <c r="M716" t="s">
        <v>51</v>
      </c>
      <c r="N716" t="s">
        <v>92</v>
      </c>
      <c r="O716" s="1">
        <v>41335</v>
      </c>
      <c r="P716" t="s">
        <v>84</v>
      </c>
      <c r="Q716">
        <v>1</v>
      </c>
      <c r="R716" t="s">
        <v>83</v>
      </c>
      <c r="S716">
        <v>0</v>
      </c>
      <c r="T716">
        <v>5914.4219999999996</v>
      </c>
      <c r="U716">
        <v>0</v>
      </c>
    </row>
    <row r="717" spans="1:21" x14ac:dyDescent="0.25">
      <c r="A717" s="1">
        <v>44287</v>
      </c>
      <c r="B717" s="1">
        <v>44287</v>
      </c>
      <c r="C717" t="s">
        <v>157</v>
      </c>
      <c r="D717" t="s">
        <v>48</v>
      </c>
      <c r="E717" t="s">
        <v>49</v>
      </c>
      <c r="F717" t="s">
        <v>286</v>
      </c>
      <c r="G717" s="56">
        <v>44323.702997685185</v>
      </c>
      <c r="H717">
        <v>33</v>
      </c>
      <c r="I717">
        <v>18700</v>
      </c>
      <c r="J717" t="s">
        <v>50</v>
      </c>
      <c r="K717" t="s">
        <v>50</v>
      </c>
      <c r="L717" t="s">
        <v>159</v>
      </c>
      <c r="M717" t="s">
        <v>51</v>
      </c>
      <c r="N717" t="s">
        <v>92</v>
      </c>
      <c r="O717" s="1">
        <v>41335</v>
      </c>
      <c r="P717" t="s">
        <v>84</v>
      </c>
      <c r="Q717">
        <v>1</v>
      </c>
      <c r="R717" t="s">
        <v>83</v>
      </c>
      <c r="S717">
        <v>1898.22228</v>
      </c>
      <c r="T717">
        <v>85.203000000000003</v>
      </c>
      <c r="U717">
        <v>161734</v>
      </c>
    </row>
    <row r="718" spans="1:21" x14ac:dyDescent="0.25">
      <c r="A718" s="1">
        <v>44287</v>
      </c>
      <c r="B718" s="1">
        <v>44287</v>
      </c>
      <c r="C718" t="s">
        <v>157</v>
      </c>
      <c r="D718" t="s">
        <v>55</v>
      </c>
      <c r="E718" t="s">
        <v>56</v>
      </c>
      <c r="F718" t="s">
        <v>287</v>
      </c>
      <c r="G718" s="56">
        <v>44323.702997685185</v>
      </c>
      <c r="H718">
        <v>33</v>
      </c>
      <c r="I718">
        <v>18700</v>
      </c>
      <c r="J718" t="s">
        <v>50</v>
      </c>
      <c r="K718" t="s">
        <v>50</v>
      </c>
      <c r="L718" t="s">
        <v>159</v>
      </c>
      <c r="M718" t="s">
        <v>51</v>
      </c>
      <c r="N718" t="s">
        <v>92</v>
      </c>
      <c r="O718" s="1">
        <v>41335</v>
      </c>
      <c r="P718" t="s">
        <v>84</v>
      </c>
      <c r="Q718">
        <v>1</v>
      </c>
      <c r="R718" t="s">
        <v>83</v>
      </c>
      <c r="S718">
        <v>1898.22228</v>
      </c>
      <c r="T718">
        <v>0</v>
      </c>
      <c r="U718">
        <v>0</v>
      </c>
    </row>
    <row r="719" spans="1:21" x14ac:dyDescent="0.25">
      <c r="A719" s="1">
        <v>44287</v>
      </c>
      <c r="B719" s="1">
        <v>44287</v>
      </c>
      <c r="C719" t="s">
        <v>157</v>
      </c>
      <c r="D719" t="s">
        <v>52</v>
      </c>
      <c r="E719" t="s">
        <v>53</v>
      </c>
      <c r="F719" t="s">
        <v>288</v>
      </c>
      <c r="G719" s="56">
        <v>44323.702997685185</v>
      </c>
      <c r="H719">
        <v>33</v>
      </c>
      <c r="I719">
        <v>18700</v>
      </c>
      <c r="J719" t="s">
        <v>50</v>
      </c>
      <c r="K719" t="s">
        <v>50</v>
      </c>
      <c r="L719" t="s">
        <v>159</v>
      </c>
      <c r="M719" t="s">
        <v>51</v>
      </c>
      <c r="N719" t="s">
        <v>92</v>
      </c>
      <c r="O719" s="1">
        <v>41335</v>
      </c>
      <c r="P719" t="s">
        <v>84</v>
      </c>
      <c r="Q719">
        <v>1</v>
      </c>
      <c r="R719" t="s">
        <v>83</v>
      </c>
      <c r="S719">
        <v>0</v>
      </c>
      <c r="T719">
        <v>28.577739999999999</v>
      </c>
      <c r="U719">
        <v>29</v>
      </c>
    </row>
    <row r="720" spans="1:21" x14ac:dyDescent="0.25">
      <c r="A720" s="1">
        <v>44287</v>
      </c>
      <c r="B720" s="1">
        <v>44287</v>
      </c>
      <c r="C720" t="s">
        <v>157</v>
      </c>
      <c r="D720" t="s">
        <v>48</v>
      </c>
      <c r="E720" t="s">
        <v>49</v>
      </c>
      <c r="F720" t="s">
        <v>286</v>
      </c>
      <c r="G720" s="56">
        <v>44323.702997685185</v>
      </c>
      <c r="H720">
        <v>33</v>
      </c>
      <c r="I720">
        <v>18700</v>
      </c>
      <c r="J720" t="s">
        <v>50</v>
      </c>
      <c r="K720" t="s">
        <v>50</v>
      </c>
      <c r="L720" t="s">
        <v>159</v>
      </c>
      <c r="M720" t="s">
        <v>51</v>
      </c>
      <c r="N720" t="s">
        <v>92</v>
      </c>
      <c r="O720" s="1">
        <v>41335</v>
      </c>
      <c r="P720" t="s">
        <v>84</v>
      </c>
      <c r="Q720">
        <v>2</v>
      </c>
      <c r="R720" t="s">
        <v>94</v>
      </c>
      <c r="S720">
        <v>6.7238790000000002</v>
      </c>
      <c r="T720">
        <v>86.819000000000003</v>
      </c>
      <c r="U720">
        <v>584</v>
      </c>
    </row>
    <row r="721" spans="1:21" x14ac:dyDescent="0.25">
      <c r="A721" s="1">
        <v>44287</v>
      </c>
      <c r="B721" s="1">
        <v>44287</v>
      </c>
      <c r="C721" t="s">
        <v>157</v>
      </c>
      <c r="D721" t="s">
        <v>55</v>
      </c>
      <c r="E721" t="s">
        <v>56</v>
      </c>
      <c r="F721" t="s">
        <v>287</v>
      </c>
      <c r="G721" s="56">
        <v>44323.702997685185</v>
      </c>
      <c r="H721">
        <v>33</v>
      </c>
      <c r="I721">
        <v>18700</v>
      </c>
      <c r="J721" t="s">
        <v>50</v>
      </c>
      <c r="K721" t="s">
        <v>50</v>
      </c>
      <c r="L721" t="s">
        <v>159</v>
      </c>
      <c r="M721" t="s">
        <v>51</v>
      </c>
      <c r="N721" t="s">
        <v>92</v>
      </c>
      <c r="O721" s="1">
        <v>41335</v>
      </c>
      <c r="P721" t="s">
        <v>84</v>
      </c>
      <c r="Q721">
        <v>2</v>
      </c>
      <c r="R721" t="s">
        <v>94</v>
      </c>
      <c r="S721">
        <v>6.7238790000000002</v>
      </c>
      <c r="T721">
        <v>0</v>
      </c>
      <c r="U721">
        <v>0</v>
      </c>
    </row>
    <row r="722" spans="1:21" x14ac:dyDescent="0.25">
      <c r="A722" s="1">
        <v>44287</v>
      </c>
      <c r="B722" s="1">
        <v>44287</v>
      </c>
      <c r="C722" t="s">
        <v>157</v>
      </c>
      <c r="D722" t="s">
        <v>52</v>
      </c>
      <c r="E722" t="s">
        <v>53</v>
      </c>
      <c r="F722" t="s">
        <v>288</v>
      </c>
      <c r="G722" s="56">
        <v>44323.702997685185</v>
      </c>
      <c r="H722">
        <v>33</v>
      </c>
      <c r="I722">
        <v>18700</v>
      </c>
      <c r="J722" t="s">
        <v>50</v>
      </c>
      <c r="K722" t="s">
        <v>50</v>
      </c>
      <c r="L722" t="s">
        <v>159</v>
      </c>
      <c r="M722" t="s">
        <v>51</v>
      </c>
      <c r="N722" t="s">
        <v>92</v>
      </c>
      <c r="O722" s="1">
        <v>41335</v>
      </c>
      <c r="P722" t="s">
        <v>84</v>
      </c>
      <c r="Q722">
        <v>2</v>
      </c>
      <c r="R722" t="s">
        <v>94</v>
      </c>
      <c r="S722">
        <v>0</v>
      </c>
      <c r="T722">
        <v>0</v>
      </c>
      <c r="U722">
        <v>0</v>
      </c>
    </row>
    <row r="723" spans="1:21" x14ac:dyDescent="0.25">
      <c r="A723" s="1">
        <v>44287</v>
      </c>
      <c r="B723" s="1">
        <v>44287</v>
      </c>
      <c r="C723" t="s">
        <v>157</v>
      </c>
      <c r="D723" t="s">
        <v>54</v>
      </c>
      <c r="E723" t="s">
        <v>21</v>
      </c>
      <c r="F723" t="s">
        <v>285</v>
      </c>
      <c r="G723" s="56">
        <v>44323.702997685185</v>
      </c>
      <c r="H723">
        <v>33</v>
      </c>
      <c r="I723">
        <v>18700</v>
      </c>
      <c r="J723" t="s">
        <v>50</v>
      </c>
      <c r="K723" t="s">
        <v>50</v>
      </c>
      <c r="L723" t="s">
        <v>159</v>
      </c>
      <c r="M723" t="s">
        <v>51</v>
      </c>
      <c r="N723" t="s">
        <v>92</v>
      </c>
      <c r="O723" s="1">
        <v>41335</v>
      </c>
      <c r="P723" t="s">
        <v>84</v>
      </c>
      <c r="Q723">
        <v>2</v>
      </c>
      <c r="R723" t="s">
        <v>94</v>
      </c>
      <c r="S723">
        <v>0</v>
      </c>
      <c r="T723">
        <v>6007.3739999999998</v>
      </c>
      <c r="U723">
        <v>0</v>
      </c>
    </row>
    <row r="724" spans="1:21" x14ac:dyDescent="0.25">
      <c r="A724" s="1">
        <v>44287</v>
      </c>
      <c r="B724" s="1">
        <v>44287</v>
      </c>
      <c r="C724" t="s">
        <v>157</v>
      </c>
      <c r="D724" t="s">
        <v>52</v>
      </c>
      <c r="E724" t="s">
        <v>53</v>
      </c>
      <c r="F724" t="s">
        <v>288</v>
      </c>
      <c r="G724" s="56">
        <v>44323.702997685185</v>
      </c>
      <c r="H724">
        <v>33</v>
      </c>
      <c r="I724">
        <v>18700</v>
      </c>
      <c r="J724" t="s">
        <v>50</v>
      </c>
      <c r="K724" t="s">
        <v>50</v>
      </c>
      <c r="L724" t="s">
        <v>159</v>
      </c>
      <c r="M724" t="s">
        <v>51</v>
      </c>
      <c r="N724" t="s">
        <v>92</v>
      </c>
      <c r="O724" s="1">
        <v>41335</v>
      </c>
      <c r="P724" t="s">
        <v>84</v>
      </c>
      <c r="Q724">
        <v>3</v>
      </c>
      <c r="R724" t="s">
        <v>81</v>
      </c>
      <c r="S724">
        <v>0</v>
      </c>
      <c r="T724">
        <v>0</v>
      </c>
      <c r="U724">
        <v>0</v>
      </c>
    </row>
    <row r="725" spans="1:21" x14ac:dyDescent="0.25">
      <c r="A725" s="1">
        <v>44287</v>
      </c>
      <c r="B725" s="1">
        <v>44287</v>
      </c>
      <c r="C725" t="s">
        <v>157</v>
      </c>
      <c r="D725" t="s">
        <v>48</v>
      </c>
      <c r="E725" t="s">
        <v>49</v>
      </c>
      <c r="F725" t="s">
        <v>286</v>
      </c>
      <c r="G725" s="56">
        <v>44323.702997685185</v>
      </c>
      <c r="H725">
        <v>33</v>
      </c>
      <c r="I725">
        <v>18700</v>
      </c>
      <c r="J725" t="s">
        <v>50</v>
      </c>
      <c r="K725" t="s">
        <v>50</v>
      </c>
      <c r="L725" t="s">
        <v>159</v>
      </c>
      <c r="M725" t="s">
        <v>51</v>
      </c>
      <c r="N725" t="s">
        <v>92</v>
      </c>
      <c r="O725" s="1">
        <v>41335</v>
      </c>
      <c r="P725" t="s">
        <v>84</v>
      </c>
      <c r="Q725">
        <v>3</v>
      </c>
      <c r="R725" t="s">
        <v>81</v>
      </c>
      <c r="S725">
        <v>210.80923799999999</v>
      </c>
      <c r="T725">
        <v>78.597999999999999</v>
      </c>
      <c r="U725">
        <v>16569</v>
      </c>
    </row>
    <row r="726" spans="1:21" x14ac:dyDescent="0.25">
      <c r="A726" s="1">
        <v>44287</v>
      </c>
      <c r="B726" s="1">
        <v>44287</v>
      </c>
      <c r="C726" t="s">
        <v>157</v>
      </c>
      <c r="D726" t="s">
        <v>54</v>
      </c>
      <c r="E726" t="s">
        <v>21</v>
      </c>
      <c r="F726" t="s">
        <v>285</v>
      </c>
      <c r="G726" s="56">
        <v>44323.702997685185</v>
      </c>
      <c r="H726">
        <v>33</v>
      </c>
      <c r="I726">
        <v>18700</v>
      </c>
      <c r="J726" t="s">
        <v>50</v>
      </c>
      <c r="K726" t="s">
        <v>50</v>
      </c>
      <c r="L726" t="s">
        <v>159</v>
      </c>
      <c r="M726" t="s">
        <v>51</v>
      </c>
      <c r="N726" t="s">
        <v>92</v>
      </c>
      <c r="O726" s="1">
        <v>41335</v>
      </c>
      <c r="P726" t="s">
        <v>84</v>
      </c>
      <c r="Q726">
        <v>3</v>
      </c>
      <c r="R726" t="s">
        <v>81</v>
      </c>
      <c r="S726">
        <v>0</v>
      </c>
      <c r="T726">
        <v>5302.482</v>
      </c>
      <c r="U726">
        <v>0</v>
      </c>
    </row>
    <row r="727" spans="1:21" x14ac:dyDescent="0.25">
      <c r="A727" s="1">
        <v>44287</v>
      </c>
      <c r="B727" s="1">
        <v>44287</v>
      </c>
      <c r="C727" t="s">
        <v>157</v>
      </c>
      <c r="D727" t="s">
        <v>55</v>
      </c>
      <c r="E727" t="s">
        <v>56</v>
      </c>
      <c r="F727" t="s">
        <v>287</v>
      </c>
      <c r="G727" s="56">
        <v>44323.702997685185</v>
      </c>
      <c r="H727">
        <v>33</v>
      </c>
      <c r="I727">
        <v>18700</v>
      </c>
      <c r="J727" t="s">
        <v>50</v>
      </c>
      <c r="K727" t="s">
        <v>50</v>
      </c>
      <c r="L727" t="s">
        <v>159</v>
      </c>
      <c r="M727" t="s">
        <v>51</v>
      </c>
      <c r="N727" t="s">
        <v>92</v>
      </c>
      <c r="O727" s="1">
        <v>41335</v>
      </c>
      <c r="P727" t="s">
        <v>84</v>
      </c>
      <c r="Q727">
        <v>3</v>
      </c>
      <c r="R727" t="s">
        <v>81</v>
      </c>
      <c r="S727">
        <v>210.80923799999999</v>
      </c>
      <c r="T727">
        <v>0</v>
      </c>
      <c r="U727">
        <v>0</v>
      </c>
    </row>
    <row r="728" spans="1:21" x14ac:dyDescent="0.25">
      <c r="A728" s="1">
        <v>44287</v>
      </c>
      <c r="B728" s="1">
        <v>44287</v>
      </c>
      <c r="C728" t="s">
        <v>157</v>
      </c>
      <c r="D728" t="s">
        <v>55</v>
      </c>
      <c r="E728" t="s">
        <v>56</v>
      </c>
      <c r="F728" t="s">
        <v>287</v>
      </c>
      <c r="G728" s="56">
        <v>44323.702997685185</v>
      </c>
      <c r="H728">
        <v>33</v>
      </c>
      <c r="I728">
        <v>18700</v>
      </c>
      <c r="J728" t="s">
        <v>50</v>
      </c>
      <c r="K728" t="s">
        <v>50</v>
      </c>
      <c r="L728" t="s">
        <v>159</v>
      </c>
      <c r="M728" t="s">
        <v>51</v>
      </c>
      <c r="N728" t="s">
        <v>92</v>
      </c>
      <c r="O728" s="1">
        <v>41335</v>
      </c>
      <c r="P728" t="s">
        <v>84</v>
      </c>
      <c r="Q728">
        <v>4</v>
      </c>
      <c r="R728" t="s">
        <v>27</v>
      </c>
      <c r="S728">
        <v>2386.3591110000002</v>
      </c>
      <c r="T728">
        <v>0</v>
      </c>
      <c r="U728">
        <v>0</v>
      </c>
    </row>
    <row r="729" spans="1:21" x14ac:dyDescent="0.25">
      <c r="A729" s="1">
        <v>44287</v>
      </c>
      <c r="B729" s="1">
        <v>44287</v>
      </c>
      <c r="C729" t="s">
        <v>157</v>
      </c>
      <c r="D729" t="s">
        <v>48</v>
      </c>
      <c r="E729" t="s">
        <v>49</v>
      </c>
      <c r="F729" t="s">
        <v>286</v>
      </c>
      <c r="G729" s="56">
        <v>44323.702997685185</v>
      </c>
      <c r="H729">
        <v>33</v>
      </c>
      <c r="I729">
        <v>18700</v>
      </c>
      <c r="J729" t="s">
        <v>50</v>
      </c>
      <c r="K729" t="s">
        <v>50</v>
      </c>
      <c r="L729" t="s">
        <v>159</v>
      </c>
      <c r="M729" t="s">
        <v>51</v>
      </c>
      <c r="N729" t="s">
        <v>92</v>
      </c>
      <c r="O729" s="1">
        <v>41335</v>
      </c>
      <c r="P729" t="s">
        <v>84</v>
      </c>
      <c r="Q729">
        <v>4</v>
      </c>
      <c r="R729" t="s">
        <v>27</v>
      </c>
      <c r="S729">
        <v>2386.3591110000002</v>
      </c>
      <c r="T729">
        <v>80.213999999999999</v>
      </c>
      <c r="U729">
        <v>191419</v>
      </c>
    </row>
    <row r="730" spans="1:21" x14ac:dyDescent="0.25">
      <c r="A730" s="1">
        <v>44287</v>
      </c>
      <c r="B730" s="1">
        <v>44287</v>
      </c>
      <c r="C730" t="s">
        <v>157</v>
      </c>
      <c r="D730" t="s">
        <v>54</v>
      </c>
      <c r="E730" t="s">
        <v>21</v>
      </c>
      <c r="F730" t="s">
        <v>285</v>
      </c>
      <c r="G730" s="56">
        <v>44323.702997685185</v>
      </c>
      <c r="H730">
        <v>33</v>
      </c>
      <c r="I730">
        <v>18700</v>
      </c>
      <c r="J730" t="s">
        <v>50</v>
      </c>
      <c r="K730" t="s">
        <v>50</v>
      </c>
      <c r="L730" t="s">
        <v>159</v>
      </c>
      <c r="M730" t="s">
        <v>51</v>
      </c>
      <c r="N730" t="s">
        <v>92</v>
      </c>
      <c r="O730" s="1">
        <v>41335</v>
      </c>
      <c r="P730" t="s">
        <v>84</v>
      </c>
      <c r="Q730">
        <v>4</v>
      </c>
      <c r="R730" t="s">
        <v>27</v>
      </c>
      <c r="S730">
        <v>0</v>
      </c>
      <c r="T730">
        <v>5512.8180000000002</v>
      </c>
      <c r="U730">
        <v>0</v>
      </c>
    </row>
    <row r="731" spans="1:21" x14ac:dyDescent="0.25">
      <c r="A731" s="1">
        <v>44287</v>
      </c>
      <c r="B731" s="1">
        <v>44287</v>
      </c>
      <c r="C731" t="s">
        <v>157</v>
      </c>
      <c r="D731" t="s">
        <v>52</v>
      </c>
      <c r="E731" t="s">
        <v>53</v>
      </c>
      <c r="F731" t="s">
        <v>288</v>
      </c>
      <c r="G731" s="56">
        <v>44323.702997685185</v>
      </c>
      <c r="H731">
        <v>33</v>
      </c>
      <c r="I731">
        <v>18700</v>
      </c>
      <c r="J731" t="s">
        <v>50</v>
      </c>
      <c r="K731" t="s">
        <v>50</v>
      </c>
      <c r="L731" t="s">
        <v>159</v>
      </c>
      <c r="M731" t="s">
        <v>51</v>
      </c>
      <c r="N731" t="s">
        <v>92</v>
      </c>
      <c r="O731" s="1">
        <v>41335</v>
      </c>
      <c r="P731" t="s">
        <v>84</v>
      </c>
      <c r="Q731">
        <v>4</v>
      </c>
      <c r="R731" t="s">
        <v>27</v>
      </c>
      <c r="S731">
        <v>0</v>
      </c>
      <c r="T731">
        <v>0</v>
      </c>
      <c r="U731">
        <v>0</v>
      </c>
    </row>
    <row r="732" spans="1:21" x14ac:dyDescent="0.25">
      <c r="A732" s="1">
        <v>44287</v>
      </c>
      <c r="B732" s="1">
        <v>44287</v>
      </c>
      <c r="C732" t="s">
        <v>157</v>
      </c>
      <c r="D732" t="s">
        <v>52</v>
      </c>
      <c r="E732" t="s">
        <v>53</v>
      </c>
      <c r="F732" t="s">
        <v>288</v>
      </c>
      <c r="G732" s="56">
        <v>44323.702997685185</v>
      </c>
      <c r="H732">
        <v>33</v>
      </c>
      <c r="I732">
        <v>18700</v>
      </c>
      <c r="J732" t="s">
        <v>50</v>
      </c>
      <c r="K732" t="s">
        <v>50</v>
      </c>
      <c r="L732" t="s">
        <v>159</v>
      </c>
      <c r="M732" t="s">
        <v>51</v>
      </c>
      <c r="N732" t="s">
        <v>92</v>
      </c>
      <c r="O732" s="1">
        <v>41335</v>
      </c>
      <c r="P732" t="s">
        <v>84</v>
      </c>
      <c r="Q732">
        <v>5</v>
      </c>
      <c r="R732" t="s">
        <v>28</v>
      </c>
      <c r="S732">
        <v>0</v>
      </c>
      <c r="T732">
        <v>0</v>
      </c>
      <c r="U732">
        <v>0</v>
      </c>
    </row>
    <row r="733" spans="1:21" x14ac:dyDescent="0.25">
      <c r="A733" s="1">
        <v>44287</v>
      </c>
      <c r="B733" s="1">
        <v>44287</v>
      </c>
      <c r="C733" t="s">
        <v>157</v>
      </c>
      <c r="D733" t="s">
        <v>55</v>
      </c>
      <c r="E733" t="s">
        <v>56</v>
      </c>
      <c r="F733" t="s">
        <v>287</v>
      </c>
      <c r="G733" s="56">
        <v>44323.702997685185</v>
      </c>
      <c r="H733">
        <v>33</v>
      </c>
      <c r="I733">
        <v>18700</v>
      </c>
      <c r="J733" t="s">
        <v>50</v>
      </c>
      <c r="K733" t="s">
        <v>50</v>
      </c>
      <c r="L733" t="s">
        <v>159</v>
      </c>
      <c r="M733" t="s">
        <v>51</v>
      </c>
      <c r="N733" t="s">
        <v>92</v>
      </c>
      <c r="O733" s="1">
        <v>41335</v>
      </c>
      <c r="P733" t="s">
        <v>84</v>
      </c>
      <c r="Q733">
        <v>5</v>
      </c>
      <c r="R733" t="s">
        <v>28</v>
      </c>
      <c r="S733">
        <v>7.1214380000000004</v>
      </c>
      <c r="T733">
        <v>0</v>
      </c>
      <c r="U733">
        <v>0</v>
      </c>
    </row>
    <row r="734" spans="1:21" x14ac:dyDescent="0.25">
      <c r="A734" s="1">
        <v>44287</v>
      </c>
      <c r="B734" s="1">
        <v>44287</v>
      </c>
      <c r="C734" t="s">
        <v>157</v>
      </c>
      <c r="D734" t="s">
        <v>54</v>
      </c>
      <c r="E734" t="s">
        <v>21</v>
      </c>
      <c r="F734" t="s">
        <v>285</v>
      </c>
      <c r="G734" s="56">
        <v>44323.702997685185</v>
      </c>
      <c r="H734">
        <v>33</v>
      </c>
      <c r="I734">
        <v>18700</v>
      </c>
      <c r="J734" t="s">
        <v>50</v>
      </c>
      <c r="K734" t="s">
        <v>50</v>
      </c>
      <c r="L734" t="s">
        <v>159</v>
      </c>
      <c r="M734" t="s">
        <v>51</v>
      </c>
      <c r="N734" t="s">
        <v>92</v>
      </c>
      <c r="O734" s="1">
        <v>41335</v>
      </c>
      <c r="P734" t="s">
        <v>84</v>
      </c>
      <c r="Q734">
        <v>5</v>
      </c>
      <c r="R734" t="s">
        <v>28</v>
      </c>
      <c r="S734">
        <v>0</v>
      </c>
      <c r="T734">
        <v>5963.2809999999999</v>
      </c>
      <c r="U734">
        <v>0</v>
      </c>
    </row>
    <row r="735" spans="1:21" x14ac:dyDescent="0.25">
      <c r="A735" s="1">
        <v>44287</v>
      </c>
      <c r="B735" s="1">
        <v>44287</v>
      </c>
      <c r="C735" t="s">
        <v>157</v>
      </c>
      <c r="D735" t="s">
        <v>48</v>
      </c>
      <c r="E735" t="s">
        <v>49</v>
      </c>
      <c r="F735" t="s">
        <v>286</v>
      </c>
      <c r="G735" s="56">
        <v>44323.702997685185</v>
      </c>
      <c r="H735">
        <v>33</v>
      </c>
      <c r="I735">
        <v>18700</v>
      </c>
      <c r="J735" t="s">
        <v>50</v>
      </c>
      <c r="K735" t="s">
        <v>50</v>
      </c>
      <c r="L735" t="s">
        <v>159</v>
      </c>
      <c r="M735" t="s">
        <v>51</v>
      </c>
      <c r="N735" t="s">
        <v>92</v>
      </c>
      <c r="O735" s="1">
        <v>41335</v>
      </c>
      <c r="P735" t="s">
        <v>84</v>
      </c>
      <c r="Q735">
        <v>5</v>
      </c>
      <c r="R735" t="s">
        <v>28</v>
      </c>
      <c r="S735">
        <v>7.1214380000000004</v>
      </c>
      <c r="T735">
        <v>86.617999999999995</v>
      </c>
      <c r="U735">
        <v>617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W735"/>
  <sheetViews>
    <sheetView topLeftCell="D1" zoomScale="60" zoomScaleNormal="60" workbookViewId="0">
      <selection activeCell="V1" sqref="V1:V1048576"/>
    </sheetView>
  </sheetViews>
  <sheetFormatPr baseColWidth="10" defaultRowHeight="15" x14ac:dyDescent="0.25"/>
  <cols>
    <col min="1" max="1" width="12" customWidth="1"/>
    <col min="2" max="2" width="21.140625" style="1" bestFit="1" customWidth="1"/>
    <col min="3" max="3" width="45.85546875" bestFit="1" customWidth="1"/>
    <col min="4" max="4" width="37.28515625" bestFit="1" customWidth="1"/>
    <col min="5" max="5" width="15.85546875" bestFit="1" customWidth="1"/>
    <col min="6" max="6" width="64" bestFit="1" customWidth="1"/>
    <col min="7" max="7" width="18.28515625" bestFit="1" customWidth="1"/>
    <col min="8" max="8" width="21.85546875" bestFit="1" customWidth="1"/>
    <col min="9" max="9" width="8.42578125" bestFit="1" customWidth="1"/>
    <col min="10" max="10" width="13.42578125" bestFit="1" customWidth="1"/>
    <col min="11" max="11" width="15.5703125" bestFit="1" customWidth="1"/>
    <col min="12" max="12" width="10.5703125" bestFit="1" customWidth="1"/>
    <col min="13" max="13" width="12.5703125" bestFit="1" customWidth="1"/>
    <col min="14" max="14" width="16.140625" bestFit="1" customWidth="1"/>
    <col min="15" max="15" width="14" bestFit="1" customWidth="1"/>
    <col min="16" max="16" width="21.85546875" bestFit="1" customWidth="1"/>
    <col min="17" max="17" width="7.5703125" bestFit="1" customWidth="1"/>
    <col min="18" max="18" width="17" bestFit="1" customWidth="1"/>
    <col min="19" max="19" width="15.42578125" bestFit="1" customWidth="1"/>
    <col min="20" max="20" width="19.140625" bestFit="1" customWidth="1"/>
    <col min="21" max="21" width="13" bestFit="1" customWidth="1"/>
    <col min="22" max="22" width="21.28515625" bestFit="1" customWidth="1"/>
    <col min="23" max="23" width="10.140625" bestFit="1" customWidth="1"/>
  </cols>
  <sheetData>
    <row r="1" spans="1:23" s="2" customFormat="1" x14ac:dyDescent="0.25">
      <c r="A1" s="38" t="s">
        <v>29</v>
      </c>
      <c r="B1" s="38" t="s">
        <v>1</v>
      </c>
      <c r="C1" s="38" t="s">
        <v>30</v>
      </c>
      <c r="D1" s="38" t="s">
        <v>34</v>
      </c>
      <c r="E1" s="38" t="s">
        <v>35</v>
      </c>
      <c r="F1" s="38" t="s">
        <v>36</v>
      </c>
      <c r="G1" s="38" t="s">
        <v>37</v>
      </c>
      <c r="H1" s="38" t="s">
        <v>38</v>
      </c>
      <c r="I1" s="38" t="s">
        <v>39</v>
      </c>
      <c r="J1" s="38" t="s">
        <v>40</v>
      </c>
      <c r="K1" s="38" t="s">
        <v>41</v>
      </c>
      <c r="L1" s="38" t="s">
        <v>42</v>
      </c>
      <c r="M1" s="38" t="s">
        <v>43</v>
      </c>
      <c r="N1" s="38" t="s">
        <v>44</v>
      </c>
      <c r="O1" s="38" t="s">
        <v>45</v>
      </c>
      <c r="P1" s="38" t="s">
        <v>46</v>
      </c>
      <c r="Q1" s="38" t="s">
        <v>31</v>
      </c>
      <c r="R1" s="38" t="s">
        <v>32</v>
      </c>
      <c r="S1" s="38" t="s">
        <v>18</v>
      </c>
      <c r="T1" s="38" t="s">
        <v>19</v>
      </c>
      <c r="U1" s="38" t="s">
        <v>21</v>
      </c>
      <c r="V1" s="2" t="s">
        <v>22</v>
      </c>
      <c r="W1" s="2" t="s">
        <v>33</v>
      </c>
    </row>
    <row r="2" spans="1:23" x14ac:dyDescent="0.25">
      <c r="A2" s="1">
        <v>43344</v>
      </c>
      <c r="B2" s="1">
        <v>43344</v>
      </c>
      <c r="C2" t="s">
        <v>157</v>
      </c>
      <c r="D2" t="s">
        <v>48</v>
      </c>
      <c r="E2" t="s">
        <v>49</v>
      </c>
      <c r="F2" t="s">
        <v>158</v>
      </c>
      <c r="G2" s="56">
        <v>43392</v>
      </c>
      <c r="H2">
        <v>33</v>
      </c>
      <c r="I2">
        <v>6305</v>
      </c>
      <c r="J2" t="s">
        <v>50</v>
      </c>
      <c r="K2" t="s">
        <v>50</v>
      </c>
      <c r="L2" t="s">
        <v>159</v>
      </c>
      <c r="M2" t="s">
        <v>51</v>
      </c>
      <c r="N2" t="s">
        <v>92</v>
      </c>
      <c r="O2" s="1">
        <v>41335</v>
      </c>
      <c r="P2" t="s">
        <v>84</v>
      </c>
      <c r="Q2">
        <v>1</v>
      </c>
      <c r="R2" t="s">
        <v>47</v>
      </c>
      <c r="S2">
        <v>3000</v>
      </c>
      <c r="T2">
        <v>58.085000000000001</v>
      </c>
      <c r="U2" t="s">
        <v>351</v>
      </c>
      <c r="V2" t="s">
        <v>351</v>
      </c>
      <c r="W2">
        <v>174255</v>
      </c>
    </row>
    <row r="3" spans="1:23" x14ac:dyDescent="0.25">
      <c r="A3" s="1">
        <v>43374</v>
      </c>
      <c r="B3" s="1">
        <v>43374</v>
      </c>
      <c r="C3" t="s">
        <v>157</v>
      </c>
      <c r="D3" t="s">
        <v>48</v>
      </c>
      <c r="E3" t="s">
        <v>49</v>
      </c>
      <c r="F3" t="s">
        <v>160</v>
      </c>
      <c r="G3" s="56">
        <v>43431</v>
      </c>
      <c r="H3">
        <v>33</v>
      </c>
      <c r="I3">
        <v>6796</v>
      </c>
      <c r="J3" t="s">
        <v>50</v>
      </c>
      <c r="K3" t="s">
        <v>50</v>
      </c>
      <c r="L3" t="s">
        <v>159</v>
      </c>
      <c r="M3" t="s">
        <v>51</v>
      </c>
      <c r="N3" t="s">
        <v>92</v>
      </c>
      <c r="O3" s="1">
        <v>41335</v>
      </c>
      <c r="P3" t="s">
        <v>84</v>
      </c>
      <c r="Q3">
        <v>1</v>
      </c>
      <c r="R3" t="s">
        <v>47</v>
      </c>
      <c r="S3">
        <v>3000</v>
      </c>
      <c r="T3">
        <v>59.677999999999997</v>
      </c>
      <c r="U3" t="s">
        <v>351</v>
      </c>
      <c r="V3" t="s">
        <v>351</v>
      </c>
      <c r="W3">
        <v>179035</v>
      </c>
    </row>
    <row r="4" spans="1:23" x14ac:dyDescent="0.25">
      <c r="A4" s="1">
        <v>43405</v>
      </c>
      <c r="B4" s="1">
        <v>43405</v>
      </c>
      <c r="C4" t="s">
        <v>157</v>
      </c>
      <c r="D4" t="s">
        <v>48</v>
      </c>
      <c r="E4" t="s">
        <v>49</v>
      </c>
      <c r="F4" t="s">
        <v>161</v>
      </c>
      <c r="G4" s="56">
        <v>43448</v>
      </c>
      <c r="H4">
        <v>33</v>
      </c>
      <c r="I4">
        <v>6939</v>
      </c>
      <c r="J4" t="s">
        <v>50</v>
      </c>
      <c r="K4" t="s">
        <v>50</v>
      </c>
      <c r="L4" t="s">
        <v>159</v>
      </c>
      <c r="M4" t="s">
        <v>51</v>
      </c>
      <c r="N4" t="s">
        <v>92</v>
      </c>
      <c r="O4" s="1">
        <v>41335</v>
      </c>
      <c r="P4" t="s">
        <v>84</v>
      </c>
      <c r="Q4">
        <v>1</v>
      </c>
      <c r="R4" t="s">
        <v>47</v>
      </c>
      <c r="S4">
        <v>4000</v>
      </c>
      <c r="T4">
        <v>59.634999999999998</v>
      </c>
      <c r="U4" t="s">
        <v>351</v>
      </c>
      <c r="V4" t="s">
        <v>351</v>
      </c>
      <c r="W4">
        <v>238540</v>
      </c>
    </row>
    <row r="5" spans="1:23" x14ac:dyDescent="0.25">
      <c r="A5" s="1">
        <v>43435</v>
      </c>
      <c r="B5" s="1">
        <v>43435</v>
      </c>
      <c r="C5" t="s">
        <v>157</v>
      </c>
      <c r="D5" t="s">
        <v>48</v>
      </c>
      <c r="E5" t="s">
        <v>49</v>
      </c>
      <c r="F5" t="s">
        <v>162</v>
      </c>
      <c r="G5" s="56">
        <v>43486</v>
      </c>
      <c r="H5">
        <v>33</v>
      </c>
      <c r="I5">
        <v>7194</v>
      </c>
      <c r="J5" t="s">
        <v>50</v>
      </c>
      <c r="K5" t="s">
        <v>50</v>
      </c>
      <c r="L5" t="s">
        <v>159</v>
      </c>
      <c r="M5" t="s">
        <v>51</v>
      </c>
      <c r="N5" t="s">
        <v>92</v>
      </c>
      <c r="O5" s="1">
        <v>41335</v>
      </c>
      <c r="P5" t="s">
        <v>84</v>
      </c>
      <c r="Q5">
        <v>1</v>
      </c>
      <c r="R5" t="s">
        <v>47</v>
      </c>
      <c r="S5">
        <v>5000</v>
      </c>
      <c r="T5">
        <v>67.950999999999993</v>
      </c>
      <c r="U5" t="s">
        <v>351</v>
      </c>
      <c r="V5" t="s">
        <v>351</v>
      </c>
      <c r="W5">
        <v>339757</v>
      </c>
    </row>
    <row r="6" spans="1:23" x14ac:dyDescent="0.25">
      <c r="A6" s="1">
        <v>43466</v>
      </c>
      <c r="B6" s="1">
        <v>43466</v>
      </c>
      <c r="C6" t="s">
        <v>157</v>
      </c>
      <c r="D6" t="s">
        <v>93</v>
      </c>
      <c r="E6" t="s">
        <v>49</v>
      </c>
      <c r="F6" t="s">
        <v>163</v>
      </c>
      <c r="G6" s="56">
        <v>43539</v>
      </c>
      <c r="H6">
        <v>33</v>
      </c>
      <c r="I6" t="s">
        <v>351</v>
      </c>
      <c r="J6" t="s">
        <v>50</v>
      </c>
      <c r="K6" t="s">
        <v>50</v>
      </c>
      <c r="L6" t="s">
        <v>159</v>
      </c>
      <c r="M6" t="s">
        <v>51</v>
      </c>
      <c r="N6" t="s">
        <v>92</v>
      </c>
      <c r="O6" s="1">
        <v>41335</v>
      </c>
      <c r="P6" t="s">
        <v>84</v>
      </c>
      <c r="Q6">
        <v>1</v>
      </c>
      <c r="R6" t="s">
        <v>83</v>
      </c>
      <c r="S6">
        <v>1.4618800000000001</v>
      </c>
      <c r="T6">
        <v>66.900000000000006</v>
      </c>
      <c r="U6" t="s">
        <v>351</v>
      </c>
      <c r="V6" t="s">
        <v>351</v>
      </c>
      <c r="W6">
        <v>98</v>
      </c>
    </row>
    <row r="7" spans="1:23" x14ac:dyDescent="0.25">
      <c r="A7" s="1">
        <v>43466</v>
      </c>
      <c r="B7" s="1">
        <v>43466</v>
      </c>
      <c r="C7" t="s">
        <v>157</v>
      </c>
      <c r="D7" t="s">
        <v>48</v>
      </c>
      <c r="E7" t="s">
        <v>49</v>
      </c>
      <c r="F7" t="s">
        <v>164</v>
      </c>
      <c r="G7" s="56">
        <v>43504</v>
      </c>
      <c r="H7">
        <v>33</v>
      </c>
      <c r="I7">
        <v>7513</v>
      </c>
      <c r="J7" t="s">
        <v>50</v>
      </c>
      <c r="K7" t="s">
        <v>50</v>
      </c>
      <c r="L7" t="s">
        <v>159</v>
      </c>
      <c r="M7" t="s">
        <v>51</v>
      </c>
      <c r="N7" t="s">
        <v>92</v>
      </c>
      <c r="O7" s="1">
        <v>41335</v>
      </c>
      <c r="P7" t="s">
        <v>84</v>
      </c>
      <c r="Q7">
        <v>1</v>
      </c>
      <c r="R7" t="s">
        <v>83</v>
      </c>
      <c r="S7">
        <v>1371.3060350000001</v>
      </c>
      <c r="T7">
        <v>66.900000000000006</v>
      </c>
      <c r="U7" t="s">
        <v>351</v>
      </c>
      <c r="V7" t="s">
        <v>351</v>
      </c>
      <c r="W7">
        <v>91740</v>
      </c>
    </row>
    <row r="8" spans="1:23" x14ac:dyDescent="0.25">
      <c r="A8" s="1">
        <v>43466</v>
      </c>
      <c r="B8" s="1">
        <v>43466</v>
      </c>
      <c r="C8" t="s">
        <v>157</v>
      </c>
      <c r="D8" t="s">
        <v>93</v>
      </c>
      <c r="E8" t="s">
        <v>49</v>
      </c>
      <c r="F8" t="s">
        <v>163</v>
      </c>
      <c r="G8" s="56">
        <v>43539</v>
      </c>
      <c r="H8">
        <v>33</v>
      </c>
      <c r="I8" t="s">
        <v>351</v>
      </c>
      <c r="J8" t="s">
        <v>50</v>
      </c>
      <c r="K8" t="s">
        <v>50</v>
      </c>
      <c r="L8" t="s">
        <v>159</v>
      </c>
      <c r="M8" t="s">
        <v>51</v>
      </c>
      <c r="N8" t="s">
        <v>92</v>
      </c>
      <c r="O8" s="1">
        <v>41335</v>
      </c>
      <c r="P8" t="s">
        <v>84</v>
      </c>
      <c r="Q8">
        <v>2</v>
      </c>
      <c r="R8" t="s">
        <v>94</v>
      </c>
      <c r="S8">
        <v>9.3880000000000005E-3</v>
      </c>
      <c r="T8">
        <v>69.013999999999996</v>
      </c>
      <c r="U8" t="s">
        <v>351</v>
      </c>
      <c r="V8" t="s">
        <v>351</v>
      </c>
      <c r="W8">
        <v>1</v>
      </c>
    </row>
    <row r="9" spans="1:23" x14ac:dyDescent="0.25">
      <c r="A9" s="1">
        <v>43466</v>
      </c>
      <c r="B9" s="1">
        <v>43466</v>
      </c>
      <c r="C9" t="s">
        <v>157</v>
      </c>
      <c r="D9" t="s">
        <v>48</v>
      </c>
      <c r="E9" t="s">
        <v>49</v>
      </c>
      <c r="F9" t="s">
        <v>164</v>
      </c>
      <c r="G9" s="56">
        <v>43504</v>
      </c>
      <c r="H9">
        <v>33</v>
      </c>
      <c r="I9">
        <v>7513</v>
      </c>
      <c r="J9" t="s">
        <v>50</v>
      </c>
      <c r="K9" t="s">
        <v>50</v>
      </c>
      <c r="L9" t="s">
        <v>159</v>
      </c>
      <c r="M9" t="s">
        <v>51</v>
      </c>
      <c r="N9" t="s">
        <v>92</v>
      </c>
      <c r="O9" s="1">
        <v>41335</v>
      </c>
      <c r="P9" t="s">
        <v>84</v>
      </c>
      <c r="Q9">
        <v>2</v>
      </c>
      <c r="R9" t="s">
        <v>94</v>
      </c>
      <c r="S9">
        <v>8.8061659999999993</v>
      </c>
      <c r="T9">
        <v>69.013999999999996</v>
      </c>
      <c r="U9" t="s">
        <v>351</v>
      </c>
      <c r="V9" t="s">
        <v>351</v>
      </c>
      <c r="W9">
        <v>608</v>
      </c>
    </row>
    <row r="10" spans="1:23" x14ac:dyDescent="0.25">
      <c r="A10" s="1">
        <v>43466</v>
      </c>
      <c r="B10" s="1">
        <v>43466</v>
      </c>
      <c r="C10" t="s">
        <v>157</v>
      </c>
      <c r="D10" t="s">
        <v>93</v>
      </c>
      <c r="E10" t="s">
        <v>49</v>
      </c>
      <c r="F10" t="s">
        <v>163</v>
      </c>
      <c r="G10" s="56">
        <v>43539</v>
      </c>
      <c r="H10">
        <v>33</v>
      </c>
      <c r="I10" t="s">
        <v>351</v>
      </c>
      <c r="J10" t="s">
        <v>50</v>
      </c>
      <c r="K10" t="s">
        <v>50</v>
      </c>
      <c r="L10" t="s">
        <v>159</v>
      </c>
      <c r="M10" t="s">
        <v>51</v>
      </c>
      <c r="N10" t="s">
        <v>92</v>
      </c>
      <c r="O10" s="1">
        <v>41335</v>
      </c>
      <c r="P10" t="s">
        <v>84</v>
      </c>
      <c r="Q10">
        <v>3</v>
      </c>
      <c r="R10" t="s">
        <v>81</v>
      </c>
      <c r="S10">
        <v>0.45372099999999999</v>
      </c>
      <c r="T10">
        <v>63.27</v>
      </c>
      <c r="U10" t="s">
        <v>351</v>
      </c>
      <c r="V10" t="s">
        <v>351</v>
      </c>
      <c r="W10">
        <v>29</v>
      </c>
    </row>
    <row r="11" spans="1:23" x14ac:dyDescent="0.25">
      <c r="A11" s="1">
        <v>43466</v>
      </c>
      <c r="B11" s="1">
        <v>43466</v>
      </c>
      <c r="C11" t="s">
        <v>157</v>
      </c>
      <c r="D11" t="s">
        <v>48</v>
      </c>
      <c r="E11" t="s">
        <v>49</v>
      </c>
      <c r="F11" t="s">
        <v>164</v>
      </c>
      <c r="G11" s="56">
        <v>43504</v>
      </c>
      <c r="H11">
        <v>33</v>
      </c>
      <c r="I11">
        <v>7513</v>
      </c>
      <c r="J11" t="s">
        <v>50</v>
      </c>
      <c r="K11" t="s">
        <v>50</v>
      </c>
      <c r="L11" t="s">
        <v>159</v>
      </c>
      <c r="M11" t="s">
        <v>51</v>
      </c>
      <c r="N11" t="s">
        <v>92</v>
      </c>
      <c r="O11" s="1">
        <v>41335</v>
      </c>
      <c r="P11" t="s">
        <v>84</v>
      </c>
      <c r="Q11">
        <v>3</v>
      </c>
      <c r="R11" t="s">
        <v>81</v>
      </c>
      <c r="S11">
        <v>425.60960999999998</v>
      </c>
      <c r="T11">
        <v>63.27</v>
      </c>
      <c r="U11" t="s">
        <v>351</v>
      </c>
      <c r="V11" t="s">
        <v>351</v>
      </c>
      <c r="W11">
        <v>26928</v>
      </c>
    </row>
    <row r="12" spans="1:23" x14ac:dyDescent="0.25">
      <c r="A12" s="1">
        <v>43466</v>
      </c>
      <c r="B12" s="1">
        <v>43466</v>
      </c>
      <c r="C12" t="s">
        <v>157</v>
      </c>
      <c r="D12" t="s">
        <v>93</v>
      </c>
      <c r="E12" t="s">
        <v>49</v>
      </c>
      <c r="F12" t="s">
        <v>163</v>
      </c>
      <c r="G12" s="56">
        <v>43539</v>
      </c>
      <c r="H12">
        <v>33</v>
      </c>
      <c r="I12" t="s">
        <v>351</v>
      </c>
      <c r="J12" t="s">
        <v>50</v>
      </c>
      <c r="K12" t="s">
        <v>50</v>
      </c>
      <c r="L12" t="s">
        <v>159</v>
      </c>
      <c r="M12" t="s">
        <v>51</v>
      </c>
      <c r="N12" t="s">
        <v>92</v>
      </c>
      <c r="O12" s="1">
        <v>41335</v>
      </c>
      <c r="P12" t="s">
        <v>84</v>
      </c>
      <c r="Q12">
        <v>4</v>
      </c>
      <c r="R12" t="s">
        <v>27</v>
      </c>
      <c r="S12">
        <v>2.2124519999999999</v>
      </c>
      <c r="T12">
        <v>65.349000000000004</v>
      </c>
      <c r="U12" t="s">
        <v>351</v>
      </c>
      <c r="V12" t="s">
        <v>351</v>
      </c>
      <c r="W12">
        <v>145</v>
      </c>
    </row>
    <row r="13" spans="1:23" x14ac:dyDescent="0.25">
      <c r="A13" s="1">
        <v>43466</v>
      </c>
      <c r="B13" s="1">
        <v>43466</v>
      </c>
      <c r="C13" t="s">
        <v>157</v>
      </c>
      <c r="D13" t="s">
        <v>48</v>
      </c>
      <c r="E13" t="s">
        <v>49</v>
      </c>
      <c r="F13" t="s">
        <v>164</v>
      </c>
      <c r="G13" s="56">
        <v>43504</v>
      </c>
      <c r="H13">
        <v>33</v>
      </c>
      <c r="I13">
        <v>7513</v>
      </c>
      <c r="J13" t="s">
        <v>50</v>
      </c>
      <c r="K13" t="s">
        <v>50</v>
      </c>
      <c r="L13" t="s">
        <v>159</v>
      </c>
      <c r="M13" t="s">
        <v>51</v>
      </c>
      <c r="N13" t="s">
        <v>92</v>
      </c>
      <c r="O13" s="1">
        <v>41335</v>
      </c>
      <c r="P13" t="s">
        <v>84</v>
      </c>
      <c r="Q13">
        <v>4</v>
      </c>
      <c r="R13" t="s">
        <v>27</v>
      </c>
      <c r="S13">
        <v>2075.3740229999999</v>
      </c>
      <c r="T13">
        <v>65.349000000000004</v>
      </c>
      <c r="U13" t="s">
        <v>351</v>
      </c>
      <c r="V13" t="s">
        <v>351</v>
      </c>
      <c r="W13">
        <v>135624</v>
      </c>
    </row>
    <row r="14" spans="1:23" x14ac:dyDescent="0.25">
      <c r="A14" s="1">
        <v>43466</v>
      </c>
      <c r="B14" s="1">
        <v>43466</v>
      </c>
      <c r="C14" t="s">
        <v>157</v>
      </c>
      <c r="D14" t="s">
        <v>93</v>
      </c>
      <c r="E14" t="s">
        <v>49</v>
      </c>
      <c r="F14" t="s">
        <v>163</v>
      </c>
      <c r="G14" s="56">
        <v>43539</v>
      </c>
      <c r="H14">
        <v>33</v>
      </c>
      <c r="I14" t="s">
        <v>351</v>
      </c>
      <c r="J14" t="s">
        <v>50</v>
      </c>
      <c r="K14" t="s">
        <v>50</v>
      </c>
      <c r="L14" t="s">
        <v>159</v>
      </c>
      <c r="M14" t="s">
        <v>51</v>
      </c>
      <c r="N14" t="s">
        <v>92</v>
      </c>
      <c r="O14" s="1">
        <v>41335</v>
      </c>
      <c r="P14" t="s">
        <v>84</v>
      </c>
      <c r="Q14">
        <v>5</v>
      </c>
      <c r="R14" t="s">
        <v>28</v>
      </c>
      <c r="S14">
        <v>8.6370000000000006E-3</v>
      </c>
      <c r="T14">
        <v>69.367999999999995</v>
      </c>
      <c r="U14" t="s">
        <v>351</v>
      </c>
      <c r="V14" t="s">
        <v>351</v>
      </c>
      <c r="W14">
        <v>1</v>
      </c>
    </row>
    <row r="15" spans="1:23" x14ac:dyDescent="0.25">
      <c r="A15" s="1">
        <v>43466</v>
      </c>
      <c r="B15" s="1">
        <v>43466</v>
      </c>
      <c r="C15" t="s">
        <v>157</v>
      </c>
      <c r="D15" t="s">
        <v>48</v>
      </c>
      <c r="E15" t="s">
        <v>49</v>
      </c>
      <c r="F15" t="s">
        <v>164</v>
      </c>
      <c r="G15" s="56">
        <v>43504</v>
      </c>
      <c r="H15">
        <v>33</v>
      </c>
      <c r="I15">
        <v>7513</v>
      </c>
      <c r="J15" t="s">
        <v>50</v>
      </c>
      <c r="K15" t="s">
        <v>50</v>
      </c>
      <c r="L15" t="s">
        <v>159</v>
      </c>
      <c r="M15" t="s">
        <v>51</v>
      </c>
      <c r="N15" t="s">
        <v>92</v>
      </c>
      <c r="O15" s="1">
        <v>41335</v>
      </c>
      <c r="P15" t="s">
        <v>84</v>
      </c>
      <c r="Q15">
        <v>5</v>
      </c>
      <c r="R15" t="s">
        <v>28</v>
      </c>
      <c r="S15">
        <v>8.1020570000000003</v>
      </c>
      <c r="T15">
        <v>69.367999999999995</v>
      </c>
      <c r="U15" t="s">
        <v>351</v>
      </c>
      <c r="V15" t="s">
        <v>351</v>
      </c>
      <c r="W15">
        <v>562</v>
      </c>
    </row>
    <row r="16" spans="1:23" x14ac:dyDescent="0.25">
      <c r="A16" s="1">
        <v>43497</v>
      </c>
      <c r="B16" s="1">
        <v>43497</v>
      </c>
      <c r="C16" t="s">
        <v>157</v>
      </c>
      <c r="D16" t="s">
        <v>93</v>
      </c>
      <c r="E16" t="s">
        <v>49</v>
      </c>
      <c r="F16" t="s">
        <v>166</v>
      </c>
      <c r="G16" s="56">
        <v>43564</v>
      </c>
      <c r="H16">
        <v>61</v>
      </c>
      <c r="I16" t="s">
        <v>351</v>
      </c>
      <c r="J16" t="s">
        <v>50</v>
      </c>
      <c r="K16" t="s">
        <v>50</v>
      </c>
      <c r="L16" t="s">
        <v>159</v>
      </c>
      <c r="M16" t="s">
        <v>51</v>
      </c>
      <c r="N16" t="s">
        <v>92</v>
      </c>
      <c r="O16" s="1">
        <v>41335</v>
      </c>
      <c r="P16" t="s">
        <v>84</v>
      </c>
      <c r="Q16">
        <v>1</v>
      </c>
      <c r="R16" t="s">
        <v>83</v>
      </c>
      <c r="S16">
        <v>0.23349</v>
      </c>
      <c r="T16">
        <v>66.900000000000006</v>
      </c>
      <c r="U16" t="s">
        <v>351</v>
      </c>
      <c r="V16" t="s">
        <v>351</v>
      </c>
      <c r="W16">
        <v>16</v>
      </c>
    </row>
    <row r="17" spans="1:23" x14ac:dyDescent="0.25">
      <c r="A17" s="1">
        <v>43497</v>
      </c>
      <c r="B17" s="1">
        <v>43497</v>
      </c>
      <c r="C17" t="s">
        <v>157</v>
      </c>
      <c r="D17" t="s">
        <v>48</v>
      </c>
      <c r="E17" t="s">
        <v>49</v>
      </c>
      <c r="F17" t="s">
        <v>165</v>
      </c>
      <c r="G17" s="56">
        <v>43532</v>
      </c>
      <c r="H17">
        <v>33</v>
      </c>
      <c r="I17">
        <v>7798</v>
      </c>
      <c r="J17" t="s">
        <v>50</v>
      </c>
      <c r="K17" t="s">
        <v>50</v>
      </c>
      <c r="L17" t="s">
        <v>159</v>
      </c>
      <c r="M17" t="s">
        <v>51</v>
      </c>
      <c r="N17" t="s">
        <v>92</v>
      </c>
      <c r="O17" s="1">
        <v>41335</v>
      </c>
      <c r="P17" t="s">
        <v>84</v>
      </c>
      <c r="Q17">
        <v>1</v>
      </c>
      <c r="R17" t="s">
        <v>83</v>
      </c>
      <c r="S17">
        <v>1368.5298740000001</v>
      </c>
      <c r="T17">
        <v>66.900000000000006</v>
      </c>
      <c r="U17" t="s">
        <v>351</v>
      </c>
      <c r="V17" t="s">
        <v>351</v>
      </c>
      <c r="W17">
        <v>91555</v>
      </c>
    </row>
    <row r="18" spans="1:23" x14ac:dyDescent="0.25">
      <c r="A18" s="1">
        <v>43497</v>
      </c>
      <c r="B18" s="1">
        <v>43497</v>
      </c>
      <c r="C18" t="s">
        <v>157</v>
      </c>
      <c r="D18" t="s">
        <v>48</v>
      </c>
      <c r="E18" t="s">
        <v>49</v>
      </c>
      <c r="F18" t="s">
        <v>165</v>
      </c>
      <c r="G18" s="56">
        <v>43532</v>
      </c>
      <c r="H18">
        <v>33</v>
      </c>
      <c r="I18">
        <v>7798</v>
      </c>
      <c r="J18" t="s">
        <v>50</v>
      </c>
      <c r="K18" t="s">
        <v>50</v>
      </c>
      <c r="L18" t="s">
        <v>159</v>
      </c>
      <c r="M18" t="s">
        <v>51</v>
      </c>
      <c r="N18" t="s">
        <v>92</v>
      </c>
      <c r="O18" s="1">
        <v>41335</v>
      </c>
      <c r="P18" t="s">
        <v>84</v>
      </c>
      <c r="Q18">
        <v>2</v>
      </c>
      <c r="R18" t="s">
        <v>94</v>
      </c>
      <c r="S18">
        <v>8.8166320000000002</v>
      </c>
      <c r="T18">
        <v>69.013999999999996</v>
      </c>
      <c r="U18" t="s">
        <v>351</v>
      </c>
      <c r="V18" t="s">
        <v>351</v>
      </c>
      <c r="W18">
        <v>608</v>
      </c>
    </row>
    <row r="19" spans="1:23" x14ac:dyDescent="0.25">
      <c r="A19" s="1">
        <v>43497</v>
      </c>
      <c r="B19" s="1">
        <v>43497</v>
      </c>
      <c r="C19" t="s">
        <v>157</v>
      </c>
      <c r="D19" t="s">
        <v>93</v>
      </c>
      <c r="E19" t="s">
        <v>49</v>
      </c>
      <c r="F19" t="s">
        <v>166</v>
      </c>
      <c r="G19" s="56">
        <v>43564</v>
      </c>
      <c r="H19">
        <v>61</v>
      </c>
      <c r="I19" t="s">
        <v>351</v>
      </c>
      <c r="J19" t="s">
        <v>50</v>
      </c>
      <c r="K19" t="s">
        <v>50</v>
      </c>
      <c r="L19" t="s">
        <v>159</v>
      </c>
      <c r="M19" t="s">
        <v>51</v>
      </c>
      <c r="N19" t="s">
        <v>92</v>
      </c>
      <c r="O19" s="1">
        <v>41335</v>
      </c>
      <c r="P19" t="s">
        <v>84</v>
      </c>
      <c r="Q19">
        <v>3</v>
      </c>
      <c r="R19" t="s">
        <v>81</v>
      </c>
      <c r="S19">
        <v>7.2089E-2</v>
      </c>
      <c r="T19">
        <v>63.27</v>
      </c>
      <c r="U19" t="s">
        <v>351</v>
      </c>
      <c r="V19" t="s">
        <v>351</v>
      </c>
      <c r="W19">
        <v>5</v>
      </c>
    </row>
    <row r="20" spans="1:23" x14ac:dyDescent="0.25">
      <c r="A20" s="1">
        <v>43497</v>
      </c>
      <c r="B20" s="1">
        <v>43497</v>
      </c>
      <c r="C20" t="s">
        <v>157</v>
      </c>
      <c r="D20" t="s">
        <v>48</v>
      </c>
      <c r="E20" t="s">
        <v>49</v>
      </c>
      <c r="F20" t="s">
        <v>165</v>
      </c>
      <c r="G20" s="56">
        <v>43532</v>
      </c>
      <c r="H20">
        <v>33</v>
      </c>
      <c r="I20">
        <v>7798</v>
      </c>
      <c r="J20" t="s">
        <v>50</v>
      </c>
      <c r="K20" t="s">
        <v>50</v>
      </c>
      <c r="L20" t="s">
        <v>159</v>
      </c>
      <c r="M20" t="s">
        <v>51</v>
      </c>
      <c r="N20" t="s">
        <v>92</v>
      </c>
      <c r="O20" s="1">
        <v>41335</v>
      </c>
      <c r="P20" t="s">
        <v>84</v>
      </c>
      <c r="Q20">
        <v>3</v>
      </c>
      <c r="R20" t="s">
        <v>81</v>
      </c>
      <c r="S20">
        <v>422.52677699999998</v>
      </c>
      <c r="T20">
        <v>63.27</v>
      </c>
      <c r="U20" t="s">
        <v>351</v>
      </c>
      <c r="V20" t="s">
        <v>351</v>
      </c>
      <c r="W20">
        <v>26733</v>
      </c>
    </row>
    <row r="21" spans="1:23" x14ac:dyDescent="0.25">
      <c r="A21" s="1">
        <v>43497</v>
      </c>
      <c r="B21" s="1">
        <v>43497</v>
      </c>
      <c r="C21" t="s">
        <v>157</v>
      </c>
      <c r="D21" t="s">
        <v>93</v>
      </c>
      <c r="E21" t="s">
        <v>49</v>
      </c>
      <c r="F21" t="s">
        <v>166</v>
      </c>
      <c r="G21" s="56">
        <v>43564</v>
      </c>
      <c r="H21">
        <v>61</v>
      </c>
      <c r="I21" t="s">
        <v>351</v>
      </c>
      <c r="J21" t="s">
        <v>50</v>
      </c>
      <c r="K21" t="s">
        <v>50</v>
      </c>
      <c r="L21" t="s">
        <v>159</v>
      </c>
      <c r="M21" t="s">
        <v>51</v>
      </c>
      <c r="N21" t="s">
        <v>92</v>
      </c>
      <c r="O21" s="1">
        <v>41335</v>
      </c>
      <c r="P21" t="s">
        <v>84</v>
      </c>
      <c r="Q21">
        <v>4</v>
      </c>
      <c r="R21" t="s">
        <v>27</v>
      </c>
      <c r="S21">
        <v>0.353269</v>
      </c>
      <c r="T21">
        <v>65.349000000000004</v>
      </c>
      <c r="U21" t="s">
        <v>351</v>
      </c>
      <c r="V21" t="s">
        <v>351</v>
      </c>
      <c r="W21">
        <v>23</v>
      </c>
    </row>
    <row r="22" spans="1:23" x14ac:dyDescent="0.25">
      <c r="A22" s="1">
        <v>43497</v>
      </c>
      <c r="B22" s="1">
        <v>43497</v>
      </c>
      <c r="C22" t="s">
        <v>157</v>
      </c>
      <c r="D22" t="s">
        <v>48</v>
      </c>
      <c r="E22" t="s">
        <v>49</v>
      </c>
      <c r="F22" t="s">
        <v>165</v>
      </c>
      <c r="G22" s="56">
        <v>43532</v>
      </c>
      <c r="H22">
        <v>33</v>
      </c>
      <c r="I22">
        <v>7798</v>
      </c>
      <c r="J22" t="s">
        <v>50</v>
      </c>
      <c r="K22" t="s">
        <v>50</v>
      </c>
      <c r="L22" t="s">
        <v>159</v>
      </c>
      <c r="M22" t="s">
        <v>51</v>
      </c>
      <c r="N22" t="s">
        <v>92</v>
      </c>
      <c r="O22" s="1">
        <v>41335</v>
      </c>
      <c r="P22" t="s">
        <v>84</v>
      </c>
      <c r="Q22">
        <v>4</v>
      </c>
      <c r="R22" t="s">
        <v>27</v>
      </c>
      <c r="S22">
        <v>2070.5800789999998</v>
      </c>
      <c r="T22">
        <v>65.349000000000004</v>
      </c>
      <c r="U22" t="s">
        <v>351</v>
      </c>
      <c r="V22" t="s">
        <v>351</v>
      </c>
      <c r="W22">
        <v>135310</v>
      </c>
    </row>
    <row r="23" spans="1:23" x14ac:dyDescent="0.25">
      <c r="A23" s="1">
        <v>43497</v>
      </c>
      <c r="B23" s="1">
        <v>43497</v>
      </c>
      <c r="C23" t="s">
        <v>157</v>
      </c>
      <c r="D23" t="s">
        <v>48</v>
      </c>
      <c r="E23" t="s">
        <v>49</v>
      </c>
      <c r="F23" t="s">
        <v>165</v>
      </c>
      <c r="G23" s="56">
        <v>43532</v>
      </c>
      <c r="H23">
        <v>33</v>
      </c>
      <c r="I23">
        <v>7798</v>
      </c>
      <c r="J23" t="s">
        <v>50</v>
      </c>
      <c r="K23" t="s">
        <v>50</v>
      </c>
      <c r="L23" t="s">
        <v>159</v>
      </c>
      <c r="M23" t="s">
        <v>51</v>
      </c>
      <c r="N23" t="s">
        <v>92</v>
      </c>
      <c r="O23" s="1">
        <v>41335</v>
      </c>
      <c r="P23" t="s">
        <v>84</v>
      </c>
      <c r="Q23">
        <v>5</v>
      </c>
      <c r="R23" t="s">
        <v>28</v>
      </c>
      <c r="S23">
        <v>8.102328</v>
      </c>
      <c r="T23">
        <v>69.367999999999995</v>
      </c>
      <c r="U23" t="s">
        <v>351</v>
      </c>
      <c r="V23" t="s">
        <v>351</v>
      </c>
      <c r="W23">
        <v>562</v>
      </c>
    </row>
    <row r="24" spans="1:23" x14ac:dyDescent="0.25">
      <c r="A24" s="1">
        <v>43525</v>
      </c>
      <c r="B24" s="1">
        <v>43525</v>
      </c>
      <c r="C24" t="s">
        <v>157</v>
      </c>
      <c r="D24" t="s">
        <v>93</v>
      </c>
      <c r="E24" t="s">
        <v>49</v>
      </c>
      <c r="F24" t="s">
        <v>168</v>
      </c>
      <c r="G24" s="56">
        <v>43598</v>
      </c>
      <c r="H24">
        <v>33</v>
      </c>
      <c r="I24" t="s">
        <v>351</v>
      </c>
      <c r="J24" t="s">
        <v>50</v>
      </c>
      <c r="K24" t="s">
        <v>50</v>
      </c>
      <c r="L24" t="s">
        <v>159</v>
      </c>
      <c r="M24" t="s">
        <v>51</v>
      </c>
      <c r="N24" t="s">
        <v>92</v>
      </c>
      <c r="O24" s="1">
        <v>41335</v>
      </c>
      <c r="P24" t="s">
        <v>84</v>
      </c>
      <c r="Q24">
        <v>1</v>
      </c>
      <c r="R24" t="s">
        <v>83</v>
      </c>
      <c r="S24">
        <v>0.58060900000000004</v>
      </c>
      <c r="T24">
        <v>66.900000000000006</v>
      </c>
      <c r="U24" t="s">
        <v>351</v>
      </c>
      <c r="V24" t="s">
        <v>351</v>
      </c>
      <c r="W24">
        <v>39</v>
      </c>
    </row>
    <row r="25" spans="1:23" x14ac:dyDescent="0.25">
      <c r="A25" s="1">
        <v>43525</v>
      </c>
      <c r="B25" s="1">
        <v>43525</v>
      </c>
      <c r="C25" t="s">
        <v>157</v>
      </c>
      <c r="D25" t="s">
        <v>48</v>
      </c>
      <c r="E25" t="s">
        <v>49</v>
      </c>
      <c r="F25" t="s">
        <v>167</v>
      </c>
      <c r="G25" s="56">
        <v>43563</v>
      </c>
      <c r="H25">
        <v>33</v>
      </c>
      <c r="I25">
        <v>8389</v>
      </c>
      <c r="J25" t="s">
        <v>50</v>
      </c>
      <c r="K25" t="s">
        <v>50</v>
      </c>
      <c r="L25" t="s">
        <v>159</v>
      </c>
      <c r="M25" t="s">
        <v>51</v>
      </c>
      <c r="N25" t="s">
        <v>92</v>
      </c>
      <c r="O25" s="1">
        <v>41335</v>
      </c>
      <c r="P25" t="s">
        <v>84</v>
      </c>
      <c r="Q25">
        <v>1</v>
      </c>
      <c r="R25" t="s">
        <v>83</v>
      </c>
      <c r="S25">
        <v>1311.623335</v>
      </c>
      <c r="T25">
        <v>66.900000000000006</v>
      </c>
      <c r="U25" t="s">
        <v>351</v>
      </c>
      <c r="V25" t="s">
        <v>351</v>
      </c>
      <c r="W25">
        <v>87748</v>
      </c>
    </row>
    <row r="26" spans="1:23" x14ac:dyDescent="0.25">
      <c r="A26" s="1">
        <v>43525</v>
      </c>
      <c r="B26" s="1">
        <v>43525</v>
      </c>
      <c r="C26" t="s">
        <v>157</v>
      </c>
      <c r="D26" t="s">
        <v>48</v>
      </c>
      <c r="E26" t="s">
        <v>49</v>
      </c>
      <c r="F26" t="s">
        <v>167</v>
      </c>
      <c r="G26" s="56">
        <v>43563</v>
      </c>
      <c r="H26">
        <v>33</v>
      </c>
      <c r="I26">
        <v>8389</v>
      </c>
      <c r="J26" t="s">
        <v>50</v>
      </c>
      <c r="K26" t="s">
        <v>50</v>
      </c>
      <c r="L26" t="s">
        <v>159</v>
      </c>
      <c r="M26" t="s">
        <v>51</v>
      </c>
      <c r="N26" t="s">
        <v>92</v>
      </c>
      <c r="O26" s="1">
        <v>41335</v>
      </c>
      <c r="P26" t="s">
        <v>84</v>
      </c>
      <c r="Q26">
        <v>2</v>
      </c>
      <c r="R26" t="s">
        <v>94</v>
      </c>
      <c r="S26">
        <v>8.1736970000000007</v>
      </c>
      <c r="T26">
        <v>69.013999999999996</v>
      </c>
      <c r="U26" t="s">
        <v>351</v>
      </c>
      <c r="V26" t="s">
        <v>351</v>
      </c>
      <c r="W26">
        <v>564</v>
      </c>
    </row>
    <row r="27" spans="1:23" x14ac:dyDescent="0.25">
      <c r="A27" s="1">
        <v>43525</v>
      </c>
      <c r="B27" s="1">
        <v>43525</v>
      </c>
      <c r="C27" t="s">
        <v>157</v>
      </c>
      <c r="D27" t="s">
        <v>93</v>
      </c>
      <c r="E27" t="s">
        <v>49</v>
      </c>
      <c r="F27" t="s">
        <v>168</v>
      </c>
      <c r="G27" s="56">
        <v>43598</v>
      </c>
      <c r="H27">
        <v>33</v>
      </c>
      <c r="I27" t="s">
        <v>351</v>
      </c>
      <c r="J27" t="s">
        <v>50</v>
      </c>
      <c r="K27" t="s">
        <v>50</v>
      </c>
      <c r="L27" t="s">
        <v>159</v>
      </c>
      <c r="M27" t="s">
        <v>51</v>
      </c>
      <c r="N27" t="s">
        <v>92</v>
      </c>
      <c r="O27" s="1">
        <v>41335</v>
      </c>
      <c r="P27" t="s">
        <v>84</v>
      </c>
      <c r="Q27">
        <v>3</v>
      </c>
      <c r="R27" t="s">
        <v>81</v>
      </c>
      <c r="S27">
        <v>0.17821799999999999</v>
      </c>
      <c r="T27">
        <v>63.27</v>
      </c>
      <c r="U27" t="s">
        <v>351</v>
      </c>
      <c r="V27" t="s">
        <v>351</v>
      </c>
      <c r="W27">
        <v>11</v>
      </c>
    </row>
    <row r="28" spans="1:23" x14ac:dyDescent="0.25">
      <c r="A28" s="1">
        <v>43525</v>
      </c>
      <c r="B28" s="1">
        <v>43525</v>
      </c>
      <c r="C28" t="s">
        <v>157</v>
      </c>
      <c r="D28" t="s">
        <v>48</v>
      </c>
      <c r="E28" t="s">
        <v>49</v>
      </c>
      <c r="F28" t="s">
        <v>167</v>
      </c>
      <c r="G28" s="56">
        <v>43563</v>
      </c>
      <c r="H28">
        <v>33</v>
      </c>
      <c r="I28">
        <v>8389</v>
      </c>
      <c r="J28" t="s">
        <v>50</v>
      </c>
      <c r="K28" t="s">
        <v>50</v>
      </c>
      <c r="L28" t="s">
        <v>159</v>
      </c>
      <c r="M28" t="s">
        <v>51</v>
      </c>
      <c r="N28" t="s">
        <v>92</v>
      </c>
      <c r="O28" s="1">
        <v>41335</v>
      </c>
      <c r="P28" t="s">
        <v>84</v>
      </c>
      <c r="Q28">
        <v>3</v>
      </c>
      <c r="R28" t="s">
        <v>81</v>
      </c>
      <c r="S28">
        <v>402.603993</v>
      </c>
      <c r="T28">
        <v>63.27</v>
      </c>
      <c r="U28" t="s">
        <v>351</v>
      </c>
      <c r="V28" t="s">
        <v>351</v>
      </c>
      <c r="W28">
        <v>25473</v>
      </c>
    </row>
    <row r="29" spans="1:23" x14ac:dyDescent="0.25">
      <c r="A29" s="1">
        <v>43525</v>
      </c>
      <c r="B29" s="1">
        <v>43525</v>
      </c>
      <c r="C29" t="s">
        <v>157</v>
      </c>
      <c r="D29" t="s">
        <v>93</v>
      </c>
      <c r="E29" t="s">
        <v>49</v>
      </c>
      <c r="F29" t="s">
        <v>168</v>
      </c>
      <c r="G29" s="56">
        <v>43598</v>
      </c>
      <c r="H29">
        <v>33</v>
      </c>
      <c r="I29" t="s">
        <v>351</v>
      </c>
      <c r="J29" t="s">
        <v>50</v>
      </c>
      <c r="K29" t="s">
        <v>50</v>
      </c>
      <c r="L29" t="s">
        <v>159</v>
      </c>
      <c r="M29" t="s">
        <v>51</v>
      </c>
      <c r="N29" t="s">
        <v>92</v>
      </c>
      <c r="O29" s="1">
        <v>41335</v>
      </c>
      <c r="P29" t="s">
        <v>84</v>
      </c>
      <c r="Q29">
        <v>4</v>
      </c>
      <c r="R29" t="s">
        <v>27</v>
      </c>
      <c r="S29">
        <v>0.87116000000000005</v>
      </c>
      <c r="T29">
        <v>65.349000000000004</v>
      </c>
      <c r="U29" t="s">
        <v>351</v>
      </c>
      <c r="V29" t="s">
        <v>351</v>
      </c>
      <c r="W29">
        <v>57</v>
      </c>
    </row>
    <row r="30" spans="1:23" x14ac:dyDescent="0.25">
      <c r="A30" s="1">
        <v>43525</v>
      </c>
      <c r="B30" s="1">
        <v>43525</v>
      </c>
      <c r="C30" t="s">
        <v>157</v>
      </c>
      <c r="D30" t="s">
        <v>48</v>
      </c>
      <c r="E30" t="s">
        <v>49</v>
      </c>
      <c r="F30" t="s">
        <v>167</v>
      </c>
      <c r="G30" s="56">
        <v>43563</v>
      </c>
      <c r="H30">
        <v>33</v>
      </c>
      <c r="I30">
        <v>8389</v>
      </c>
      <c r="J30" t="s">
        <v>50</v>
      </c>
      <c r="K30" t="s">
        <v>50</v>
      </c>
      <c r="L30" t="s">
        <v>159</v>
      </c>
      <c r="M30" t="s">
        <v>51</v>
      </c>
      <c r="N30" t="s">
        <v>92</v>
      </c>
      <c r="O30" s="1">
        <v>41335</v>
      </c>
      <c r="P30" t="s">
        <v>84</v>
      </c>
      <c r="Q30">
        <v>4</v>
      </c>
      <c r="R30" t="s">
        <v>27</v>
      </c>
      <c r="S30">
        <v>1967.9945319999999</v>
      </c>
      <c r="T30">
        <v>65.349000000000004</v>
      </c>
      <c r="U30" t="s">
        <v>351</v>
      </c>
      <c r="V30" t="s">
        <v>351</v>
      </c>
      <c r="W30">
        <v>128606</v>
      </c>
    </row>
    <row r="31" spans="1:23" x14ac:dyDescent="0.25">
      <c r="A31" s="1">
        <v>43525</v>
      </c>
      <c r="B31" s="1">
        <v>43525</v>
      </c>
      <c r="C31" t="s">
        <v>157</v>
      </c>
      <c r="D31" t="s">
        <v>48</v>
      </c>
      <c r="E31" t="s">
        <v>49</v>
      </c>
      <c r="F31" t="s">
        <v>167</v>
      </c>
      <c r="G31" s="56">
        <v>43563</v>
      </c>
      <c r="H31">
        <v>33</v>
      </c>
      <c r="I31">
        <v>8389</v>
      </c>
      <c r="J31" t="s">
        <v>50</v>
      </c>
      <c r="K31" t="s">
        <v>50</v>
      </c>
      <c r="L31" t="s">
        <v>159</v>
      </c>
      <c r="M31" t="s">
        <v>51</v>
      </c>
      <c r="N31" t="s">
        <v>92</v>
      </c>
      <c r="O31" s="1">
        <v>41335</v>
      </c>
      <c r="P31" t="s">
        <v>84</v>
      </c>
      <c r="Q31">
        <v>5</v>
      </c>
      <c r="R31" t="s">
        <v>28</v>
      </c>
      <c r="S31">
        <v>7.5148950000000001</v>
      </c>
      <c r="T31">
        <v>69.367999999999995</v>
      </c>
      <c r="U31" t="s">
        <v>351</v>
      </c>
      <c r="V31" t="s">
        <v>351</v>
      </c>
      <c r="W31">
        <v>521</v>
      </c>
    </row>
    <row r="32" spans="1:23" x14ac:dyDescent="0.25">
      <c r="A32" s="1">
        <v>43556</v>
      </c>
      <c r="B32" s="1">
        <v>43556</v>
      </c>
      <c r="C32" t="s">
        <v>157</v>
      </c>
      <c r="D32" t="s">
        <v>93</v>
      </c>
      <c r="E32" t="s">
        <v>49</v>
      </c>
      <c r="F32" t="s">
        <v>169</v>
      </c>
      <c r="G32" s="56">
        <v>43913.49763888889</v>
      </c>
      <c r="H32">
        <v>61</v>
      </c>
      <c r="I32" t="s">
        <v>351</v>
      </c>
      <c r="J32" t="s">
        <v>50</v>
      </c>
      <c r="K32" t="s">
        <v>50</v>
      </c>
      <c r="L32" t="s">
        <v>159</v>
      </c>
      <c r="M32" t="s">
        <v>51</v>
      </c>
      <c r="N32" t="s">
        <v>92</v>
      </c>
      <c r="O32" s="1">
        <v>41335</v>
      </c>
      <c r="P32" t="s">
        <v>84</v>
      </c>
      <c r="Q32">
        <v>1</v>
      </c>
      <c r="R32" t="s">
        <v>83</v>
      </c>
      <c r="S32">
        <v>1</v>
      </c>
      <c r="T32">
        <v>-1091</v>
      </c>
      <c r="U32" t="s">
        <v>351</v>
      </c>
      <c r="V32" t="s">
        <v>351</v>
      </c>
      <c r="W32">
        <v>-1091</v>
      </c>
    </row>
    <row r="33" spans="1:23" x14ac:dyDescent="0.25">
      <c r="A33" s="1">
        <v>43556</v>
      </c>
      <c r="B33" s="1">
        <v>43556</v>
      </c>
      <c r="C33" t="s">
        <v>157</v>
      </c>
      <c r="D33" t="s">
        <v>48</v>
      </c>
      <c r="E33" t="s">
        <v>49</v>
      </c>
      <c r="F33" t="s">
        <v>171</v>
      </c>
      <c r="G33" s="56">
        <v>43598</v>
      </c>
      <c r="H33">
        <v>33</v>
      </c>
      <c r="I33">
        <v>8451</v>
      </c>
      <c r="J33" t="s">
        <v>50</v>
      </c>
      <c r="K33" t="s">
        <v>50</v>
      </c>
      <c r="L33" t="s">
        <v>159</v>
      </c>
      <c r="M33" t="s">
        <v>51</v>
      </c>
      <c r="N33" t="s">
        <v>92</v>
      </c>
      <c r="O33" s="1">
        <v>41335</v>
      </c>
      <c r="P33" t="s">
        <v>84</v>
      </c>
      <c r="Q33">
        <v>1</v>
      </c>
      <c r="R33" t="s">
        <v>83</v>
      </c>
      <c r="S33">
        <v>897.96509900000001</v>
      </c>
      <c r="T33">
        <v>66.900000000000006</v>
      </c>
      <c r="U33" t="s">
        <v>351</v>
      </c>
      <c r="V33" t="s">
        <v>351</v>
      </c>
      <c r="W33">
        <v>60074</v>
      </c>
    </row>
    <row r="34" spans="1:23" x14ac:dyDescent="0.25">
      <c r="A34" s="1">
        <v>43556</v>
      </c>
      <c r="B34" s="1">
        <v>43556</v>
      </c>
      <c r="C34" t="s">
        <v>157</v>
      </c>
      <c r="D34" t="s">
        <v>93</v>
      </c>
      <c r="E34" t="s">
        <v>49</v>
      </c>
      <c r="F34" t="s">
        <v>169</v>
      </c>
      <c r="G34" s="56">
        <v>43913.49763888889</v>
      </c>
      <c r="H34">
        <v>61</v>
      </c>
      <c r="I34" t="s">
        <v>351</v>
      </c>
      <c r="J34" t="s">
        <v>50</v>
      </c>
      <c r="K34" t="s">
        <v>50</v>
      </c>
      <c r="L34" t="s">
        <v>159</v>
      </c>
      <c r="M34" t="s">
        <v>51</v>
      </c>
      <c r="N34" t="s">
        <v>92</v>
      </c>
      <c r="O34" s="1">
        <v>41335</v>
      </c>
      <c r="P34" t="s">
        <v>84</v>
      </c>
      <c r="Q34">
        <v>2</v>
      </c>
      <c r="R34" t="s">
        <v>94</v>
      </c>
      <c r="S34">
        <v>1</v>
      </c>
      <c r="T34">
        <v>-8</v>
      </c>
      <c r="U34" t="s">
        <v>351</v>
      </c>
      <c r="V34" t="s">
        <v>351</v>
      </c>
      <c r="W34">
        <v>-8</v>
      </c>
    </row>
    <row r="35" spans="1:23" x14ac:dyDescent="0.25">
      <c r="A35" s="1">
        <v>43556</v>
      </c>
      <c r="B35" s="1">
        <v>43556</v>
      </c>
      <c r="C35" t="s">
        <v>157</v>
      </c>
      <c r="D35" t="s">
        <v>48</v>
      </c>
      <c r="E35" t="s">
        <v>49</v>
      </c>
      <c r="F35" t="s">
        <v>171</v>
      </c>
      <c r="G35" s="56">
        <v>43598</v>
      </c>
      <c r="H35">
        <v>33</v>
      </c>
      <c r="I35">
        <v>8451</v>
      </c>
      <c r="J35" t="s">
        <v>50</v>
      </c>
      <c r="K35" t="s">
        <v>50</v>
      </c>
      <c r="L35" t="s">
        <v>159</v>
      </c>
      <c r="M35" t="s">
        <v>51</v>
      </c>
      <c r="N35" t="s">
        <v>92</v>
      </c>
      <c r="O35" s="1">
        <v>41335</v>
      </c>
      <c r="P35" t="s">
        <v>84</v>
      </c>
      <c r="Q35">
        <v>2</v>
      </c>
      <c r="R35" t="s">
        <v>94</v>
      </c>
      <c r="S35">
        <v>5.9124509999999999</v>
      </c>
      <c r="T35">
        <v>69.013999999999996</v>
      </c>
      <c r="U35" t="s">
        <v>351</v>
      </c>
      <c r="V35" t="s">
        <v>351</v>
      </c>
      <c r="W35">
        <v>408</v>
      </c>
    </row>
    <row r="36" spans="1:23" x14ac:dyDescent="0.25">
      <c r="A36" s="1">
        <v>43556</v>
      </c>
      <c r="B36" s="1">
        <v>43556</v>
      </c>
      <c r="C36" t="s">
        <v>157</v>
      </c>
      <c r="D36" t="s">
        <v>93</v>
      </c>
      <c r="E36" t="s">
        <v>49</v>
      </c>
      <c r="F36" t="s">
        <v>169</v>
      </c>
      <c r="G36" s="56">
        <v>43913.49763888889</v>
      </c>
      <c r="H36">
        <v>61</v>
      </c>
      <c r="I36" t="s">
        <v>351</v>
      </c>
      <c r="J36" t="s">
        <v>50</v>
      </c>
      <c r="K36" t="s">
        <v>50</v>
      </c>
      <c r="L36" t="s">
        <v>159</v>
      </c>
      <c r="M36" t="s">
        <v>51</v>
      </c>
      <c r="N36" t="s">
        <v>92</v>
      </c>
      <c r="O36" s="1">
        <v>41335</v>
      </c>
      <c r="P36" t="s">
        <v>84</v>
      </c>
      <c r="Q36">
        <v>3</v>
      </c>
      <c r="R36" t="s">
        <v>81</v>
      </c>
      <c r="S36">
        <v>1</v>
      </c>
      <c r="T36">
        <v>-327</v>
      </c>
      <c r="U36" t="s">
        <v>351</v>
      </c>
      <c r="V36" t="s">
        <v>351</v>
      </c>
      <c r="W36">
        <v>-327</v>
      </c>
    </row>
    <row r="37" spans="1:23" x14ac:dyDescent="0.25">
      <c r="A37" s="1">
        <v>43556</v>
      </c>
      <c r="B37" s="1">
        <v>43556</v>
      </c>
      <c r="C37" t="s">
        <v>157</v>
      </c>
      <c r="D37" t="s">
        <v>48</v>
      </c>
      <c r="E37" t="s">
        <v>49</v>
      </c>
      <c r="F37" t="s">
        <v>171</v>
      </c>
      <c r="G37" s="56">
        <v>43598</v>
      </c>
      <c r="H37">
        <v>33</v>
      </c>
      <c r="I37">
        <v>8451</v>
      </c>
      <c r="J37" t="s">
        <v>50</v>
      </c>
      <c r="K37" t="s">
        <v>50</v>
      </c>
      <c r="L37" t="s">
        <v>159</v>
      </c>
      <c r="M37" t="s">
        <v>51</v>
      </c>
      <c r="N37" t="s">
        <v>92</v>
      </c>
      <c r="O37" s="1">
        <v>41335</v>
      </c>
      <c r="P37" t="s">
        <v>84</v>
      </c>
      <c r="Q37">
        <v>3</v>
      </c>
      <c r="R37" t="s">
        <v>81</v>
      </c>
      <c r="S37">
        <v>278.37088999999997</v>
      </c>
      <c r="T37">
        <v>63.27</v>
      </c>
      <c r="U37" t="s">
        <v>351</v>
      </c>
      <c r="V37" t="s">
        <v>351</v>
      </c>
      <c r="W37">
        <v>17613</v>
      </c>
    </row>
    <row r="38" spans="1:23" x14ac:dyDescent="0.25">
      <c r="A38" s="1">
        <v>43556</v>
      </c>
      <c r="B38" s="1">
        <v>43556</v>
      </c>
      <c r="C38" t="s">
        <v>157</v>
      </c>
      <c r="D38" t="s">
        <v>93</v>
      </c>
      <c r="E38" t="s">
        <v>49</v>
      </c>
      <c r="F38" t="s">
        <v>169</v>
      </c>
      <c r="G38" s="56">
        <v>43913.49763888889</v>
      </c>
      <c r="H38">
        <v>61</v>
      </c>
      <c r="I38" t="s">
        <v>351</v>
      </c>
      <c r="J38" t="s">
        <v>50</v>
      </c>
      <c r="K38" t="s">
        <v>50</v>
      </c>
      <c r="L38" t="s">
        <v>159</v>
      </c>
      <c r="M38" t="s">
        <v>51</v>
      </c>
      <c r="N38" t="s">
        <v>92</v>
      </c>
      <c r="O38" s="1">
        <v>41335</v>
      </c>
      <c r="P38" t="s">
        <v>84</v>
      </c>
      <c r="Q38">
        <v>4</v>
      </c>
      <c r="R38" t="s">
        <v>27</v>
      </c>
      <c r="S38">
        <v>1</v>
      </c>
      <c r="T38">
        <v>-1638</v>
      </c>
      <c r="U38" t="s">
        <v>351</v>
      </c>
      <c r="V38" t="s">
        <v>351</v>
      </c>
      <c r="W38">
        <v>-1638</v>
      </c>
    </row>
    <row r="39" spans="1:23" x14ac:dyDescent="0.25">
      <c r="A39" s="1">
        <v>43556</v>
      </c>
      <c r="B39" s="1">
        <v>43556</v>
      </c>
      <c r="C39" t="s">
        <v>157</v>
      </c>
      <c r="D39" t="s">
        <v>48</v>
      </c>
      <c r="E39" t="s">
        <v>49</v>
      </c>
      <c r="F39" t="s">
        <v>171</v>
      </c>
      <c r="G39" s="56">
        <v>43598</v>
      </c>
      <c r="H39">
        <v>33</v>
      </c>
      <c r="I39">
        <v>8451</v>
      </c>
      <c r="J39" t="s">
        <v>50</v>
      </c>
      <c r="K39" t="s">
        <v>50</v>
      </c>
      <c r="L39" t="s">
        <v>159</v>
      </c>
      <c r="M39" t="s">
        <v>51</v>
      </c>
      <c r="N39" t="s">
        <v>92</v>
      </c>
      <c r="O39" s="1">
        <v>41335</v>
      </c>
      <c r="P39" t="s">
        <v>84</v>
      </c>
      <c r="Q39">
        <v>4</v>
      </c>
      <c r="R39" t="s">
        <v>27</v>
      </c>
      <c r="S39">
        <v>1366.2586240000001</v>
      </c>
      <c r="T39">
        <v>65.349000000000004</v>
      </c>
      <c r="U39" t="s">
        <v>351</v>
      </c>
      <c r="V39" t="s">
        <v>351</v>
      </c>
      <c r="W39">
        <v>89284</v>
      </c>
    </row>
    <row r="40" spans="1:23" x14ac:dyDescent="0.25">
      <c r="A40" s="1">
        <v>43556</v>
      </c>
      <c r="B40" s="1">
        <v>43556</v>
      </c>
      <c r="C40" t="s">
        <v>157</v>
      </c>
      <c r="D40" t="s">
        <v>93</v>
      </c>
      <c r="E40" t="s">
        <v>49</v>
      </c>
      <c r="F40" t="s">
        <v>169</v>
      </c>
      <c r="G40" s="56">
        <v>43913.49763888889</v>
      </c>
      <c r="H40">
        <v>61</v>
      </c>
      <c r="I40" t="s">
        <v>351</v>
      </c>
      <c r="J40" t="s">
        <v>50</v>
      </c>
      <c r="K40" t="s">
        <v>50</v>
      </c>
      <c r="L40" t="s">
        <v>159</v>
      </c>
      <c r="M40" t="s">
        <v>51</v>
      </c>
      <c r="N40" t="s">
        <v>92</v>
      </c>
      <c r="O40" s="1">
        <v>41335</v>
      </c>
      <c r="P40" t="s">
        <v>84</v>
      </c>
      <c r="Q40">
        <v>5</v>
      </c>
      <c r="R40" t="s">
        <v>28</v>
      </c>
      <c r="S40">
        <v>1</v>
      </c>
      <c r="T40">
        <v>-7</v>
      </c>
      <c r="U40" t="s">
        <v>351</v>
      </c>
      <c r="V40" t="s">
        <v>351</v>
      </c>
      <c r="W40">
        <v>-7</v>
      </c>
    </row>
    <row r="41" spans="1:23" x14ac:dyDescent="0.25">
      <c r="A41" s="1">
        <v>43556</v>
      </c>
      <c r="B41" s="1">
        <v>43556</v>
      </c>
      <c r="C41" t="s">
        <v>157</v>
      </c>
      <c r="D41" t="s">
        <v>48</v>
      </c>
      <c r="E41" t="s">
        <v>49</v>
      </c>
      <c r="F41" t="s">
        <v>171</v>
      </c>
      <c r="G41" s="56">
        <v>43598</v>
      </c>
      <c r="H41">
        <v>33</v>
      </c>
      <c r="I41">
        <v>8451</v>
      </c>
      <c r="J41" t="s">
        <v>50</v>
      </c>
      <c r="K41" t="s">
        <v>50</v>
      </c>
      <c r="L41" t="s">
        <v>159</v>
      </c>
      <c r="M41" t="s">
        <v>51</v>
      </c>
      <c r="N41" t="s">
        <v>92</v>
      </c>
      <c r="O41" s="1">
        <v>41335</v>
      </c>
      <c r="P41" t="s">
        <v>84</v>
      </c>
      <c r="Q41">
        <v>5</v>
      </c>
      <c r="R41" t="s">
        <v>28</v>
      </c>
      <c r="S41">
        <v>5.4320240000000002</v>
      </c>
      <c r="T41">
        <v>69.367999999999995</v>
      </c>
      <c r="U41" t="s">
        <v>351</v>
      </c>
      <c r="V41" t="s">
        <v>351</v>
      </c>
      <c r="W41">
        <v>377</v>
      </c>
    </row>
    <row r="42" spans="1:23" x14ac:dyDescent="0.25">
      <c r="A42" s="1">
        <v>43586</v>
      </c>
      <c r="B42" s="1">
        <v>43586</v>
      </c>
      <c r="C42" t="s">
        <v>157</v>
      </c>
      <c r="D42" t="s">
        <v>93</v>
      </c>
      <c r="E42" t="s">
        <v>49</v>
      </c>
      <c r="F42" t="s">
        <v>172</v>
      </c>
      <c r="G42" s="56">
        <v>43915.631481481483</v>
      </c>
      <c r="H42">
        <v>61</v>
      </c>
      <c r="I42" t="s">
        <v>351</v>
      </c>
      <c r="J42" t="s">
        <v>50</v>
      </c>
      <c r="K42" t="s">
        <v>50</v>
      </c>
      <c r="L42" t="s">
        <v>159</v>
      </c>
      <c r="M42" t="s">
        <v>51</v>
      </c>
      <c r="N42" t="s">
        <v>92</v>
      </c>
      <c r="O42" s="1">
        <v>41335</v>
      </c>
      <c r="P42" t="s">
        <v>84</v>
      </c>
      <c r="Q42">
        <v>1</v>
      </c>
      <c r="R42" t="s">
        <v>83</v>
      </c>
      <c r="S42">
        <v>1</v>
      </c>
      <c r="T42">
        <v>-337</v>
      </c>
      <c r="U42" t="s">
        <v>351</v>
      </c>
      <c r="V42" t="s">
        <v>351</v>
      </c>
      <c r="W42">
        <v>-337</v>
      </c>
    </row>
    <row r="43" spans="1:23" x14ac:dyDescent="0.25">
      <c r="A43" s="1">
        <v>43586</v>
      </c>
      <c r="B43" s="1">
        <v>43586</v>
      </c>
      <c r="C43" t="s">
        <v>157</v>
      </c>
      <c r="D43" t="s">
        <v>48</v>
      </c>
      <c r="E43" t="s">
        <v>49</v>
      </c>
      <c r="F43" t="s">
        <v>174</v>
      </c>
      <c r="G43" s="56">
        <v>43627</v>
      </c>
      <c r="H43">
        <v>33</v>
      </c>
      <c r="I43">
        <v>8768</v>
      </c>
      <c r="J43" t="s">
        <v>50</v>
      </c>
      <c r="K43" t="s">
        <v>50</v>
      </c>
      <c r="L43" t="s">
        <v>159</v>
      </c>
      <c r="M43" t="s">
        <v>51</v>
      </c>
      <c r="N43" t="s">
        <v>92</v>
      </c>
      <c r="O43" s="1">
        <v>41335</v>
      </c>
      <c r="P43" t="s">
        <v>84</v>
      </c>
      <c r="Q43">
        <v>1</v>
      </c>
      <c r="R43" t="s">
        <v>83</v>
      </c>
      <c r="S43">
        <v>885.88966900000003</v>
      </c>
      <c r="T43">
        <v>74.400999999999996</v>
      </c>
      <c r="U43" t="s">
        <v>351</v>
      </c>
      <c r="V43" t="s">
        <v>351</v>
      </c>
      <c r="W43">
        <v>65911</v>
      </c>
    </row>
    <row r="44" spans="1:23" x14ac:dyDescent="0.25">
      <c r="A44" s="1">
        <v>43586</v>
      </c>
      <c r="B44" s="1">
        <v>43586</v>
      </c>
      <c r="C44" t="s">
        <v>157</v>
      </c>
      <c r="D44" t="s">
        <v>93</v>
      </c>
      <c r="E44" t="s">
        <v>49</v>
      </c>
      <c r="F44" t="s">
        <v>172</v>
      </c>
      <c r="G44" s="56">
        <v>43915.631481481483</v>
      </c>
      <c r="H44">
        <v>61</v>
      </c>
      <c r="I44" t="s">
        <v>351</v>
      </c>
      <c r="J44" t="s">
        <v>50</v>
      </c>
      <c r="K44" t="s">
        <v>50</v>
      </c>
      <c r="L44" t="s">
        <v>159</v>
      </c>
      <c r="M44" t="s">
        <v>51</v>
      </c>
      <c r="N44" t="s">
        <v>92</v>
      </c>
      <c r="O44" s="1">
        <v>41335</v>
      </c>
      <c r="P44" t="s">
        <v>84</v>
      </c>
      <c r="Q44">
        <v>2</v>
      </c>
      <c r="R44" t="s">
        <v>94</v>
      </c>
      <c r="S44">
        <v>1</v>
      </c>
      <c r="T44">
        <v>-2</v>
      </c>
      <c r="U44" t="s">
        <v>351</v>
      </c>
      <c r="V44" t="s">
        <v>351</v>
      </c>
      <c r="W44">
        <v>-2</v>
      </c>
    </row>
    <row r="45" spans="1:23" x14ac:dyDescent="0.25">
      <c r="A45" s="1">
        <v>43586</v>
      </c>
      <c r="B45" s="1">
        <v>43586</v>
      </c>
      <c r="C45" t="s">
        <v>157</v>
      </c>
      <c r="D45" t="s">
        <v>48</v>
      </c>
      <c r="E45" t="s">
        <v>49</v>
      </c>
      <c r="F45" t="s">
        <v>174</v>
      </c>
      <c r="G45" s="56">
        <v>43627</v>
      </c>
      <c r="H45">
        <v>33</v>
      </c>
      <c r="I45">
        <v>8768</v>
      </c>
      <c r="J45" t="s">
        <v>50</v>
      </c>
      <c r="K45" t="s">
        <v>50</v>
      </c>
      <c r="L45" t="s">
        <v>159</v>
      </c>
      <c r="M45" t="s">
        <v>51</v>
      </c>
      <c r="N45" t="s">
        <v>92</v>
      </c>
      <c r="O45" s="1">
        <v>41335</v>
      </c>
      <c r="P45" t="s">
        <v>84</v>
      </c>
      <c r="Q45">
        <v>2</v>
      </c>
      <c r="R45" t="s">
        <v>94</v>
      </c>
      <c r="S45">
        <v>5.7284470000000001</v>
      </c>
      <c r="T45">
        <v>75.736999999999995</v>
      </c>
      <c r="U45" t="s">
        <v>351</v>
      </c>
      <c r="V45" t="s">
        <v>351</v>
      </c>
      <c r="W45">
        <v>434</v>
      </c>
    </row>
    <row r="46" spans="1:23" x14ac:dyDescent="0.25">
      <c r="A46" s="1">
        <v>43586</v>
      </c>
      <c r="B46" s="1">
        <v>43586</v>
      </c>
      <c r="C46" t="s">
        <v>157</v>
      </c>
      <c r="D46" t="s">
        <v>93</v>
      </c>
      <c r="E46" t="s">
        <v>49</v>
      </c>
      <c r="F46" t="s">
        <v>172</v>
      </c>
      <c r="G46" s="56">
        <v>43915.631481481483</v>
      </c>
      <c r="H46">
        <v>61</v>
      </c>
      <c r="I46" t="s">
        <v>351</v>
      </c>
      <c r="J46" t="s">
        <v>50</v>
      </c>
      <c r="K46" t="s">
        <v>50</v>
      </c>
      <c r="L46" t="s">
        <v>159</v>
      </c>
      <c r="M46" t="s">
        <v>51</v>
      </c>
      <c r="N46" t="s">
        <v>92</v>
      </c>
      <c r="O46" s="1">
        <v>41335</v>
      </c>
      <c r="P46" t="s">
        <v>84</v>
      </c>
      <c r="Q46">
        <v>3</v>
      </c>
      <c r="R46" t="s">
        <v>81</v>
      </c>
      <c r="S46">
        <v>1</v>
      </c>
      <c r="T46">
        <v>-99</v>
      </c>
      <c r="U46" t="s">
        <v>351</v>
      </c>
      <c r="V46" t="s">
        <v>351</v>
      </c>
      <c r="W46">
        <v>-99</v>
      </c>
    </row>
    <row r="47" spans="1:23" x14ac:dyDescent="0.25">
      <c r="A47" s="1">
        <v>43586</v>
      </c>
      <c r="B47" s="1">
        <v>43586</v>
      </c>
      <c r="C47" t="s">
        <v>157</v>
      </c>
      <c r="D47" t="s">
        <v>48</v>
      </c>
      <c r="E47" t="s">
        <v>49</v>
      </c>
      <c r="F47" t="s">
        <v>174</v>
      </c>
      <c r="G47" s="56">
        <v>43627</v>
      </c>
      <c r="H47">
        <v>33</v>
      </c>
      <c r="I47">
        <v>8768</v>
      </c>
      <c r="J47" t="s">
        <v>50</v>
      </c>
      <c r="K47" t="s">
        <v>50</v>
      </c>
      <c r="L47" t="s">
        <v>159</v>
      </c>
      <c r="M47" t="s">
        <v>51</v>
      </c>
      <c r="N47" t="s">
        <v>92</v>
      </c>
      <c r="O47" s="1">
        <v>41335</v>
      </c>
      <c r="P47" t="s">
        <v>84</v>
      </c>
      <c r="Q47">
        <v>3</v>
      </c>
      <c r="R47" t="s">
        <v>81</v>
      </c>
      <c r="S47">
        <v>273.818037</v>
      </c>
      <c r="T47">
        <v>70.436999999999998</v>
      </c>
      <c r="U47" t="s">
        <v>351</v>
      </c>
      <c r="V47" t="s">
        <v>351</v>
      </c>
      <c r="W47">
        <v>19287</v>
      </c>
    </row>
    <row r="48" spans="1:23" x14ac:dyDescent="0.25">
      <c r="A48" s="1">
        <v>43586</v>
      </c>
      <c r="B48" s="1">
        <v>43586</v>
      </c>
      <c r="C48" t="s">
        <v>157</v>
      </c>
      <c r="D48" t="s">
        <v>93</v>
      </c>
      <c r="E48" t="s">
        <v>49</v>
      </c>
      <c r="F48" t="s">
        <v>172</v>
      </c>
      <c r="G48" s="56">
        <v>43915.631481481483</v>
      </c>
      <c r="H48">
        <v>61</v>
      </c>
      <c r="I48" t="s">
        <v>351</v>
      </c>
      <c r="J48" t="s">
        <v>50</v>
      </c>
      <c r="K48" t="s">
        <v>50</v>
      </c>
      <c r="L48" t="s">
        <v>159</v>
      </c>
      <c r="M48" t="s">
        <v>51</v>
      </c>
      <c r="N48" t="s">
        <v>92</v>
      </c>
      <c r="O48" s="1">
        <v>41335</v>
      </c>
      <c r="P48" t="s">
        <v>84</v>
      </c>
      <c r="Q48">
        <v>4</v>
      </c>
      <c r="R48" t="s">
        <v>27</v>
      </c>
      <c r="S48">
        <v>1</v>
      </c>
      <c r="T48">
        <v>-494</v>
      </c>
      <c r="U48" t="s">
        <v>351</v>
      </c>
      <c r="V48" t="s">
        <v>351</v>
      </c>
      <c r="W48">
        <v>-494</v>
      </c>
    </row>
    <row r="49" spans="1:23" x14ac:dyDescent="0.25">
      <c r="A49" s="1">
        <v>43586</v>
      </c>
      <c r="B49" s="1">
        <v>43586</v>
      </c>
      <c r="C49" t="s">
        <v>157</v>
      </c>
      <c r="D49" t="s">
        <v>48</v>
      </c>
      <c r="E49" t="s">
        <v>49</v>
      </c>
      <c r="F49" t="s">
        <v>174</v>
      </c>
      <c r="G49" s="56">
        <v>43627</v>
      </c>
      <c r="H49">
        <v>33</v>
      </c>
      <c r="I49">
        <v>8768</v>
      </c>
      <c r="J49" t="s">
        <v>50</v>
      </c>
      <c r="K49" t="s">
        <v>50</v>
      </c>
      <c r="L49" t="s">
        <v>159</v>
      </c>
      <c r="M49" t="s">
        <v>51</v>
      </c>
      <c r="N49" t="s">
        <v>92</v>
      </c>
      <c r="O49" s="1">
        <v>41335</v>
      </c>
      <c r="P49" t="s">
        <v>84</v>
      </c>
      <c r="Q49">
        <v>4</v>
      </c>
      <c r="R49" t="s">
        <v>27</v>
      </c>
      <c r="S49">
        <v>1341.725692</v>
      </c>
      <c r="T49">
        <v>71.983999999999995</v>
      </c>
      <c r="U49" t="s">
        <v>351</v>
      </c>
      <c r="V49" t="s">
        <v>351</v>
      </c>
      <c r="W49">
        <v>96583</v>
      </c>
    </row>
    <row r="50" spans="1:23" x14ac:dyDescent="0.25">
      <c r="A50" s="1">
        <v>43586</v>
      </c>
      <c r="B50" s="1">
        <v>43586</v>
      </c>
      <c r="C50" t="s">
        <v>157</v>
      </c>
      <c r="D50" t="s">
        <v>93</v>
      </c>
      <c r="E50" t="s">
        <v>49</v>
      </c>
      <c r="F50" t="s">
        <v>172</v>
      </c>
      <c r="G50" s="56">
        <v>43915.631481481483</v>
      </c>
      <c r="H50">
        <v>61</v>
      </c>
      <c r="I50" t="s">
        <v>351</v>
      </c>
      <c r="J50" t="s">
        <v>50</v>
      </c>
      <c r="K50" t="s">
        <v>50</v>
      </c>
      <c r="L50" t="s">
        <v>159</v>
      </c>
      <c r="M50" t="s">
        <v>51</v>
      </c>
      <c r="N50" t="s">
        <v>92</v>
      </c>
      <c r="O50" s="1">
        <v>41335</v>
      </c>
      <c r="P50" t="s">
        <v>84</v>
      </c>
      <c r="Q50">
        <v>5</v>
      </c>
      <c r="R50" t="s">
        <v>28</v>
      </c>
      <c r="S50">
        <v>1</v>
      </c>
      <c r="T50">
        <v>-2</v>
      </c>
      <c r="U50" t="s">
        <v>351</v>
      </c>
      <c r="V50" t="s">
        <v>351</v>
      </c>
      <c r="W50">
        <v>-2</v>
      </c>
    </row>
    <row r="51" spans="1:23" x14ac:dyDescent="0.25">
      <c r="A51" s="1">
        <v>43586</v>
      </c>
      <c r="B51" s="1">
        <v>43586</v>
      </c>
      <c r="C51" t="s">
        <v>157</v>
      </c>
      <c r="D51" t="s">
        <v>48</v>
      </c>
      <c r="E51" t="s">
        <v>49</v>
      </c>
      <c r="F51" t="s">
        <v>174</v>
      </c>
      <c r="G51" s="56">
        <v>43627</v>
      </c>
      <c r="H51">
        <v>33</v>
      </c>
      <c r="I51">
        <v>8768</v>
      </c>
      <c r="J51" t="s">
        <v>50</v>
      </c>
      <c r="K51" t="s">
        <v>50</v>
      </c>
      <c r="L51" t="s">
        <v>159</v>
      </c>
      <c r="M51" t="s">
        <v>51</v>
      </c>
      <c r="N51" t="s">
        <v>92</v>
      </c>
      <c r="O51" s="1">
        <v>41335</v>
      </c>
      <c r="P51" t="s">
        <v>84</v>
      </c>
      <c r="Q51">
        <v>5</v>
      </c>
      <c r="R51" t="s">
        <v>28</v>
      </c>
      <c r="S51">
        <v>5.2645299999999997</v>
      </c>
      <c r="T51">
        <v>75.617000000000004</v>
      </c>
      <c r="U51" t="s">
        <v>351</v>
      </c>
      <c r="V51" t="s">
        <v>351</v>
      </c>
      <c r="W51">
        <v>398</v>
      </c>
    </row>
    <row r="52" spans="1:23" x14ac:dyDescent="0.25">
      <c r="A52" s="1">
        <v>43617</v>
      </c>
      <c r="B52" s="1">
        <v>43617</v>
      </c>
      <c r="C52" t="s">
        <v>157</v>
      </c>
      <c r="D52" t="s">
        <v>93</v>
      </c>
      <c r="E52" t="s">
        <v>49</v>
      </c>
      <c r="F52" t="s">
        <v>176</v>
      </c>
      <c r="G52" s="56">
        <v>43693</v>
      </c>
      <c r="H52">
        <v>33</v>
      </c>
      <c r="I52" t="s">
        <v>351</v>
      </c>
      <c r="J52" t="s">
        <v>50</v>
      </c>
      <c r="K52" t="s">
        <v>50</v>
      </c>
      <c r="L52" t="s">
        <v>159</v>
      </c>
      <c r="M52" t="s">
        <v>51</v>
      </c>
      <c r="N52" t="s">
        <v>92</v>
      </c>
      <c r="O52" s="1">
        <v>41335</v>
      </c>
      <c r="P52" t="s">
        <v>84</v>
      </c>
      <c r="Q52">
        <v>1</v>
      </c>
      <c r="R52" t="s">
        <v>83</v>
      </c>
      <c r="S52">
        <v>1.7759450000000001</v>
      </c>
      <c r="T52">
        <v>74.400999999999996</v>
      </c>
      <c r="U52" t="s">
        <v>351</v>
      </c>
      <c r="V52" t="s">
        <v>351</v>
      </c>
      <c r="W52">
        <v>132</v>
      </c>
    </row>
    <row r="53" spans="1:23" x14ac:dyDescent="0.25">
      <c r="A53" s="1">
        <v>43617</v>
      </c>
      <c r="B53" s="1">
        <v>43617</v>
      </c>
      <c r="C53" t="s">
        <v>157</v>
      </c>
      <c r="D53" t="s">
        <v>48</v>
      </c>
      <c r="E53" t="s">
        <v>49</v>
      </c>
      <c r="F53" t="s">
        <v>177</v>
      </c>
      <c r="G53" s="56">
        <v>43655</v>
      </c>
      <c r="H53">
        <v>33</v>
      </c>
      <c r="I53">
        <v>9022</v>
      </c>
      <c r="J53" t="s">
        <v>50</v>
      </c>
      <c r="K53" t="s">
        <v>50</v>
      </c>
      <c r="L53" t="s">
        <v>159</v>
      </c>
      <c r="M53" t="s">
        <v>51</v>
      </c>
      <c r="N53" t="s">
        <v>92</v>
      </c>
      <c r="O53" s="1">
        <v>41335</v>
      </c>
      <c r="P53" t="s">
        <v>84</v>
      </c>
      <c r="Q53">
        <v>1</v>
      </c>
      <c r="R53" t="s">
        <v>83</v>
      </c>
      <c r="S53">
        <v>790.40862500000003</v>
      </c>
      <c r="T53">
        <v>74.400999999999996</v>
      </c>
      <c r="U53" t="s">
        <v>351</v>
      </c>
      <c r="V53" t="s">
        <v>351</v>
      </c>
      <c r="W53">
        <v>58807</v>
      </c>
    </row>
    <row r="54" spans="1:23" x14ac:dyDescent="0.25">
      <c r="A54" s="1">
        <v>43617</v>
      </c>
      <c r="B54" s="1">
        <v>43617</v>
      </c>
      <c r="C54" t="s">
        <v>157</v>
      </c>
      <c r="D54" t="s">
        <v>93</v>
      </c>
      <c r="E54" t="s">
        <v>49</v>
      </c>
      <c r="F54" t="s">
        <v>176</v>
      </c>
      <c r="G54" s="56">
        <v>43693</v>
      </c>
      <c r="H54">
        <v>33</v>
      </c>
      <c r="I54" t="s">
        <v>351</v>
      </c>
      <c r="J54" t="s">
        <v>50</v>
      </c>
      <c r="K54" t="s">
        <v>50</v>
      </c>
      <c r="L54" t="s">
        <v>159</v>
      </c>
      <c r="M54" t="s">
        <v>51</v>
      </c>
      <c r="N54" t="s">
        <v>92</v>
      </c>
      <c r="O54" s="1">
        <v>41335</v>
      </c>
      <c r="P54" t="s">
        <v>84</v>
      </c>
      <c r="Q54">
        <v>2</v>
      </c>
      <c r="R54" t="s">
        <v>94</v>
      </c>
      <c r="S54">
        <v>1.1665999999999999E-2</v>
      </c>
      <c r="T54">
        <v>75.736999999999995</v>
      </c>
      <c r="U54" t="s">
        <v>351</v>
      </c>
      <c r="V54" t="s">
        <v>351</v>
      </c>
      <c r="W54">
        <v>1</v>
      </c>
    </row>
    <row r="55" spans="1:23" x14ac:dyDescent="0.25">
      <c r="A55" s="1">
        <v>43617</v>
      </c>
      <c r="B55" s="1">
        <v>43617</v>
      </c>
      <c r="C55" t="s">
        <v>157</v>
      </c>
      <c r="D55" t="s">
        <v>48</v>
      </c>
      <c r="E55" t="s">
        <v>49</v>
      </c>
      <c r="F55" t="s">
        <v>177</v>
      </c>
      <c r="G55" s="56">
        <v>43655</v>
      </c>
      <c r="H55">
        <v>33</v>
      </c>
      <c r="I55">
        <v>9022</v>
      </c>
      <c r="J55" t="s">
        <v>50</v>
      </c>
      <c r="K55" t="s">
        <v>50</v>
      </c>
      <c r="L55" t="s">
        <v>159</v>
      </c>
      <c r="M55" t="s">
        <v>51</v>
      </c>
      <c r="N55" t="s">
        <v>92</v>
      </c>
      <c r="O55" s="1">
        <v>41335</v>
      </c>
      <c r="P55" t="s">
        <v>84</v>
      </c>
      <c r="Q55">
        <v>2</v>
      </c>
      <c r="R55" t="s">
        <v>94</v>
      </c>
      <c r="S55">
        <v>5.1920700000000002</v>
      </c>
      <c r="T55">
        <v>75.736999999999995</v>
      </c>
      <c r="U55" t="s">
        <v>351</v>
      </c>
      <c r="V55" t="s">
        <v>351</v>
      </c>
      <c r="W55">
        <v>393</v>
      </c>
    </row>
    <row r="56" spans="1:23" x14ac:dyDescent="0.25">
      <c r="A56" s="1">
        <v>43617</v>
      </c>
      <c r="B56" s="1">
        <v>43617</v>
      </c>
      <c r="C56" t="s">
        <v>157</v>
      </c>
      <c r="D56" t="s">
        <v>93</v>
      </c>
      <c r="E56" t="s">
        <v>49</v>
      </c>
      <c r="F56" t="s">
        <v>176</v>
      </c>
      <c r="G56" s="56">
        <v>43693</v>
      </c>
      <c r="H56">
        <v>33</v>
      </c>
      <c r="I56" t="s">
        <v>351</v>
      </c>
      <c r="J56" t="s">
        <v>50</v>
      </c>
      <c r="K56" t="s">
        <v>50</v>
      </c>
      <c r="L56" t="s">
        <v>159</v>
      </c>
      <c r="M56" t="s">
        <v>51</v>
      </c>
      <c r="N56" t="s">
        <v>92</v>
      </c>
      <c r="O56" s="1">
        <v>41335</v>
      </c>
      <c r="P56" t="s">
        <v>84</v>
      </c>
      <c r="Q56">
        <v>3</v>
      </c>
      <c r="R56" t="s">
        <v>81</v>
      </c>
      <c r="S56">
        <v>0.55193199999999998</v>
      </c>
      <c r="T56">
        <v>70.436999999999998</v>
      </c>
      <c r="U56" t="s">
        <v>351</v>
      </c>
      <c r="V56" t="s">
        <v>351</v>
      </c>
      <c r="W56">
        <v>39</v>
      </c>
    </row>
    <row r="57" spans="1:23" x14ac:dyDescent="0.25">
      <c r="A57" s="1">
        <v>43617</v>
      </c>
      <c r="B57" s="1">
        <v>43617</v>
      </c>
      <c r="C57" t="s">
        <v>157</v>
      </c>
      <c r="D57" t="s">
        <v>48</v>
      </c>
      <c r="E57" t="s">
        <v>49</v>
      </c>
      <c r="F57" t="s">
        <v>177</v>
      </c>
      <c r="G57" s="56">
        <v>43655</v>
      </c>
      <c r="H57">
        <v>33</v>
      </c>
      <c r="I57">
        <v>9022</v>
      </c>
      <c r="J57" t="s">
        <v>50</v>
      </c>
      <c r="K57" t="s">
        <v>50</v>
      </c>
      <c r="L57" t="s">
        <v>159</v>
      </c>
      <c r="M57" t="s">
        <v>51</v>
      </c>
      <c r="N57" t="s">
        <v>92</v>
      </c>
      <c r="O57" s="1">
        <v>41335</v>
      </c>
      <c r="P57" t="s">
        <v>84</v>
      </c>
      <c r="Q57">
        <v>3</v>
      </c>
      <c r="R57" t="s">
        <v>81</v>
      </c>
      <c r="S57">
        <v>245.64497900000001</v>
      </c>
      <c r="T57">
        <v>70.436999999999998</v>
      </c>
      <c r="U57" t="s">
        <v>351</v>
      </c>
      <c r="V57" t="s">
        <v>351</v>
      </c>
      <c r="W57">
        <v>17302</v>
      </c>
    </row>
    <row r="58" spans="1:23" x14ac:dyDescent="0.25">
      <c r="A58" s="1">
        <v>43617</v>
      </c>
      <c r="B58" s="1">
        <v>43617</v>
      </c>
      <c r="C58" t="s">
        <v>157</v>
      </c>
      <c r="D58" t="s">
        <v>93</v>
      </c>
      <c r="E58" t="s">
        <v>49</v>
      </c>
      <c r="F58" t="s">
        <v>176</v>
      </c>
      <c r="G58" s="56">
        <v>43693</v>
      </c>
      <c r="H58">
        <v>33</v>
      </c>
      <c r="I58" t="s">
        <v>351</v>
      </c>
      <c r="J58" t="s">
        <v>50</v>
      </c>
      <c r="K58" t="s">
        <v>50</v>
      </c>
      <c r="L58" t="s">
        <v>159</v>
      </c>
      <c r="M58" t="s">
        <v>51</v>
      </c>
      <c r="N58" t="s">
        <v>92</v>
      </c>
      <c r="O58" s="1">
        <v>41335</v>
      </c>
      <c r="P58" t="s">
        <v>84</v>
      </c>
      <c r="Q58">
        <v>4</v>
      </c>
      <c r="R58" t="s">
        <v>27</v>
      </c>
      <c r="S58">
        <v>2.701975</v>
      </c>
      <c r="T58">
        <v>71.983999999999995</v>
      </c>
      <c r="U58" t="s">
        <v>351</v>
      </c>
      <c r="V58" t="s">
        <v>351</v>
      </c>
      <c r="W58">
        <v>194</v>
      </c>
    </row>
    <row r="59" spans="1:23" x14ac:dyDescent="0.25">
      <c r="A59" s="1">
        <v>43617</v>
      </c>
      <c r="B59" s="1">
        <v>43617</v>
      </c>
      <c r="C59" t="s">
        <v>157</v>
      </c>
      <c r="D59" t="s">
        <v>48</v>
      </c>
      <c r="E59" t="s">
        <v>49</v>
      </c>
      <c r="F59" t="s">
        <v>177</v>
      </c>
      <c r="G59" s="56">
        <v>43655</v>
      </c>
      <c r="H59">
        <v>33</v>
      </c>
      <c r="I59">
        <v>9022</v>
      </c>
      <c r="J59" t="s">
        <v>50</v>
      </c>
      <c r="K59" t="s">
        <v>50</v>
      </c>
      <c r="L59" t="s">
        <v>159</v>
      </c>
      <c r="M59" t="s">
        <v>51</v>
      </c>
      <c r="N59" t="s">
        <v>92</v>
      </c>
      <c r="O59" s="1">
        <v>41335</v>
      </c>
      <c r="P59" t="s">
        <v>84</v>
      </c>
      <c r="Q59">
        <v>4</v>
      </c>
      <c r="R59" t="s">
        <v>27</v>
      </c>
      <c r="S59">
        <v>1202.550551</v>
      </c>
      <c r="T59">
        <v>71.983999999999995</v>
      </c>
      <c r="U59" t="s">
        <v>351</v>
      </c>
      <c r="V59" t="s">
        <v>351</v>
      </c>
      <c r="W59">
        <v>86564</v>
      </c>
    </row>
    <row r="60" spans="1:23" x14ac:dyDescent="0.25">
      <c r="A60" s="1">
        <v>43617</v>
      </c>
      <c r="B60" s="1">
        <v>43617</v>
      </c>
      <c r="C60" t="s">
        <v>157</v>
      </c>
      <c r="D60" t="s">
        <v>93</v>
      </c>
      <c r="E60" t="s">
        <v>49</v>
      </c>
      <c r="F60" t="s">
        <v>176</v>
      </c>
      <c r="G60" s="56">
        <v>43693</v>
      </c>
      <c r="H60">
        <v>33</v>
      </c>
      <c r="I60" t="s">
        <v>351</v>
      </c>
      <c r="J60" t="s">
        <v>50</v>
      </c>
      <c r="K60" t="s">
        <v>50</v>
      </c>
      <c r="L60" t="s">
        <v>159</v>
      </c>
      <c r="M60" t="s">
        <v>51</v>
      </c>
      <c r="N60" t="s">
        <v>92</v>
      </c>
      <c r="O60" s="1">
        <v>41335</v>
      </c>
      <c r="P60" t="s">
        <v>84</v>
      </c>
      <c r="Q60">
        <v>5</v>
      </c>
      <c r="R60" t="s">
        <v>28</v>
      </c>
      <c r="S60">
        <v>1.0723999999999999E-2</v>
      </c>
      <c r="T60">
        <v>75.617000000000004</v>
      </c>
      <c r="U60" t="s">
        <v>351</v>
      </c>
      <c r="V60" t="s">
        <v>351</v>
      </c>
      <c r="W60">
        <v>1</v>
      </c>
    </row>
    <row r="61" spans="1:23" x14ac:dyDescent="0.25">
      <c r="A61" s="1">
        <v>43617</v>
      </c>
      <c r="B61" s="1">
        <v>43617</v>
      </c>
      <c r="C61" t="s">
        <v>157</v>
      </c>
      <c r="D61" t="s">
        <v>48</v>
      </c>
      <c r="E61" t="s">
        <v>49</v>
      </c>
      <c r="F61" t="s">
        <v>177</v>
      </c>
      <c r="G61" s="56">
        <v>43655</v>
      </c>
      <c r="H61">
        <v>33</v>
      </c>
      <c r="I61">
        <v>9022</v>
      </c>
      <c r="J61" t="s">
        <v>50</v>
      </c>
      <c r="K61" t="s">
        <v>50</v>
      </c>
      <c r="L61" t="s">
        <v>159</v>
      </c>
      <c r="M61" t="s">
        <v>51</v>
      </c>
      <c r="N61" t="s">
        <v>92</v>
      </c>
      <c r="O61" s="1">
        <v>41335</v>
      </c>
      <c r="P61" t="s">
        <v>84</v>
      </c>
      <c r="Q61">
        <v>5</v>
      </c>
      <c r="R61" t="s">
        <v>28</v>
      </c>
      <c r="S61">
        <v>4.7729540000000004</v>
      </c>
      <c r="T61">
        <v>75.617000000000004</v>
      </c>
      <c r="U61" t="s">
        <v>351</v>
      </c>
      <c r="V61" t="s">
        <v>351</v>
      </c>
      <c r="W61">
        <v>361</v>
      </c>
    </row>
    <row r="62" spans="1:23" x14ac:dyDescent="0.25">
      <c r="A62" s="1">
        <v>43647</v>
      </c>
      <c r="B62" s="1">
        <v>43647</v>
      </c>
      <c r="C62" t="s">
        <v>157</v>
      </c>
      <c r="D62" t="s">
        <v>93</v>
      </c>
      <c r="E62" t="s">
        <v>49</v>
      </c>
      <c r="F62" t="s">
        <v>179</v>
      </c>
      <c r="G62" s="56">
        <v>43914.908402777779</v>
      </c>
      <c r="H62">
        <v>61</v>
      </c>
      <c r="I62" t="s">
        <v>351</v>
      </c>
      <c r="J62" t="s">
        <v>50</v>
      </c>
      <c r="K62" t="s">
        <v>50</v>
      </c>
      <c r="L62" t="s">
        <v>159</v>
      </c>
      <c r="M62" t="s">
        <v>51</v>
      </c>
      <c r="N62" t="s">
        <v>92</v>
      </c>
      <c r="O62" s="1">
        <v>41335</v>
      </c>
      <c r="P62" t="s">
        <v>84</v>
      </c>
      <c r="Q62">
        <v>1</v>
      </c>
      <c r="R62" t="s">
        <v>83</v>
      </c>
      <c r="S62">
        <v>1</v>
      </c>
      <c r="T62">
        <v>-19</v>
      </c>
      <c r="U62" t="s">
        <v>351</v>
      </c>
      <c r="V62" t="s">
        <v>351</v>
      </c>
      <c r="W62">
        <v>-19</v>
      </c>
    </row>
    <row r="63" spans="1:23" x14ac:dyDescent="0.25">
      <c r="A63" s="1">
        <v>43647</v>
      </c>
      <c r="B63" s="1">
        <v>43647</v>
      </c>
      <c r="C63" t="s">
        <v>157</v>
      </c>
      <c r="D63" t="s">
        <v>48</v>
      </c>
      <c r="E63" t="s">
        <v>49</v>
      </c>
      <c r="F63" t="s">
        <v>178</v>
      </c>
      <c r="G63" s="56">
        <v>43686</v>
      </c>
      <c r="H63">
        <v>33</v>
      </c>
      <c r="I63">
        <v>9466</v>
      </c>
      <c r="J63" t="s">
        <v>50</v>
      </c>
      <c r="K63" t="s">
        <v>50</v>
      </c>
      <c r="L63" t="s">
        <v>159</v>
      </c>
      <c r="M63" t="s">
        <v>51</v>
      </c>
      <c r="N63" t="s">
        <v>92</v>
      </c>
      <c r="O63" s="1">
        <v>41335</v>
      </c>
      <c r="P63" t="s">
        <v>84</v>
      </c>
      <c r="Q63">
        <v>1</v>
      </c>
      <c r="R63" t="s">
        <v>83</v>
      </c>
      <c r="S63">
        <v>842.75503100000003</v>
      </c>
      <c r="T63">
        <v>74.400999999999996</v>
      </c>
      <c r="U63" t="s">
        <v>351</v>
      </c>
      <c r="V63" t="s">
        <v>351</v>
      </c>
      <c r="W63">
        <v>62702</v>
      </c>
    </row>
    <row r="64" spans="1:23" x14ac:dyDescent="0.25">
      <c r="A64" s="1">
        <v>43647</v>
      </c>
      <c r="B64" s="1">
        <v>43647</v>
      </c>
      <c r="C64" t="s">
        <v>157</v>
      </c>
      <c r="D64" t="s">
        <v>48</v>
      </c>
      <c r="E64" t="s">
        <v>49</v>
      </c>
      <c r="F64" t="s">
        <v>178</v>
      </c>
      <c r="G64" s="56">
        <v>43686</v>
      </c>
      <c r="H64">
        <v>33</v>
      </c>
      <c r="I64">
        <v>9466</v>
      </c>
      <c r="J64" t="s">
        <v>50</v>
      </c>
      <c r="K64" t="s">
        <v>50</v>
      </c>
      <c r="L64" t="s">
        <v>159</v>
      </c>
      <c r="M64" t="s">
        <v>51</v>
      </c>
      <c r="N64" t="s">
        <v>92</v>
      </c>
      <c r="O64" s="1">
        <v>41335</v>
      </c>
      <c r="P64" t="s">
        <v>84</v>
      </c>
      <c r="Q64">
        <v>2</v>
      </c>
      <c r="R64" t="s">
        <v>94</v>
      </c>
      <c r="S64">
        <v>3.6725080000000001</v>
      </c>
      <c r="T64">
        <v>75.736999999999995</v>
      </c>
      <c r="U64" t="s">
        <v>351</v>
      </c>
      <c r="V64" t="s">
        <v>351</v>
      </c>
      <c r="W64">
        <v>278</v>
      </c>
    </row>
    <row r="65" spans="1:23" x14ac:dyDescent="0.25">
      <c r="A65" s="1">
        <v>43647</v>
      </c>
      <c r="B65" s="1">
        <v>43647</v>
      </c>
      <c r="C65" t="s">
        <v>157</v>
      </c>
      <c r="D65" t="s">
        <v>93</v>
      </c>
      <c r="E65" t="s">
        <v>49</v>
      </c>
      <c r="F65" t="s">
        <v>179</v>
      </c>
      <c r="G65" s="56">
        <v>43914.908402777779</v>
      </c>
      <c r="H65">
        <v>61</v>
      </c>
      <c r="I65" t="s">
        <v>351</v>
      </c>
      <c r="J65" t="s">
        <v>50</v>
      </c>
      <c r="K65" t="s">
        <v>50</v>
      </c>
      <c r="L65" t="s">
        <v>159</v>
      </c>
      <c r="M65" t="s">
        <v>51</v>
      </c>
      <c r="N65" t="s">
        <v>92</v>
      </c>
      <c r="O65" s="1">
        <v>41335</v>
      </c>
      <c r="P65" t="s">
        <v>84</v>
      </c>
      <c r="Q65">
        <v>3</v>
      </c>
      <c r="R65" t="s">
        <v>81</v>
      </c>
      <c r="S65">
        <v>1</v>
      </c>
      <c r="T65">
        <v>-3</v>
      </c>
      <c r="U65" t="s">
        <v>351</v>
      </c>
      <c r="V65" t="s">
        <v>351</v>
      </c>
      <c r="W65">
        <v>-3</v>
      </c>
    </row>
    <row r="66" spans="1:23" x14ac:dyDescent="0.25">
      <c r="A66" s="1">
        <v>43647</v>
      </c>
      <c r="B66" s="1">
        <v>43647</v>
      </c>
      <c r="C66" t="s">
        <v>157</v>
      </c>
      <c r="D66" t="s">
        <v>48</v>
      </c>
      <c r="E66" t="s">
        <v>49</v>
      </c>
      <c r="F66" t="s">
        <v>178</v>
      </c>
      <c r="G66" s="56">
        <v>43686</v>
      </c>
      <c r="H66">
        <v>33</v>
      </c>
      <c r="I66">
        <v>9466</v>
      </c>
      <c r="J66" t="s">
        <v>50</v>
      </c>
      <c r="K66" t="s">
        <v>50</v>
      </c>
      <c r="L66" t="s">
        <v>159</v>
      </c>
      <c r="M66" t="s">
        <v>51</v>
      </c>
      <c r="N66" t="s">
        <v>92</v>
      </c>
      <c r="O66" s="1">
        <v>41335</v>
      </c>
      <c r="P66" t="s">
        <v>84</v>
      </c>
      <c r="Q66">
        <v>3</v>
      </c>
      <c r="R66" t="s">
        <v>81</v>
      </c>
      <c r="S66">
        <v>171.56035499999999</v>
      </c>
      <c r="T66">
        <v>70.436999999999998</v>
      </c>
      <c r="U66" t="s">
        <v>351</v>
      </c>
      <c r="V66" t="s">
        <v>351</v>
      </c>
      <c r="W66">
        <v>12084</v>
      </c>
    </row>
    <row r="67" spans="1:23" x14ac:dyDescent="0.25">
      <c r="A67" s="1">
        <v>43647</v>
      </c>
      <c r="B67" s="1">
        <v>43647</v>
      </c>
      <c r="C67" t="s">
        <v>157</v>
      </c>
      <c r="D67" t="s">
        <v>93</v>
      </c>
      <c r="E67" t="s">
        <v>49</v>
      </c>
      <c r="F67" t="s">
        <v>179</v>
      </c>
      <c r="G67" s="56">
        <v>43914.908402777779</v>
      </c>
      <c r="H67">
        <v>61</v>
      </c>
      <c r="I67" t="s">
        <v>351</v>
      </c>
      <c r="J67" t="s">
        <v>50</v>
      </c>
      <c r="K67" t="s">
        <v>50</v>
      </c>
      <c r="L67" t="s">
        <v>159</v>
      </c>
      <c r="M67" t="s">
        <v>51</v>
      </c>
      <c r="N67" t="s">
        <v>92</v>
      </c>
      <c r="O67" s="1">
        <v>41335</v>
      </c>
      <c r="P67" t="s">
        <v>84</v>
      </c>
      <c r="Q67">
        <v>4</v>
      </c>
      <c r="R67" t="s">
        <v>27</v>
      </c>
      <c r="S67">
        <v>1</v>
      </c>
      <c r="T67">
        <v>-25</v>
      </c>
      <c r="U67" t="s">
        <v>351</v>
      </c>
      <c r="V67" t="s">
        <v>351</v>
      </c>
      <c r="W67">
        <v>-25</v>
      </c>
    </row>
    <row r="68" spans="1:23" x14ac:dyDescent="0.25">
      <c r="A68" s="1">
        <v>43647</v>
      </c>
      <c r="B68" s="1">
        <v>43647</v>
      </c>
      <c r="C68" t="s">
        <v>157</v>
      </c>
      <c r="D68" t="s">
        <v>48</v>
      </c>
      <c r="E68" t="s">
        <v>49</v>
      </c>
      <c r="F68" t="s">
        <v>178</v>
      </c>
      <c r="G68" s="56">
        <v>43686</v>
      </c>
      <c r="H68">
        <v>33</v>
      </c>
      <c r="I68">
        <v>9466</v>
      </c>
      <c r="J68" t="s">
        <v>50</v>
      </c>
      <c r="K68" t="s">
        <v>50</v>
      </c>
      <c r="L68" t="s">
        <v>159</v>
      </c>
      <c r="M68" t="s">
        <v>51</v>
      </c>
      <c r="N68" t="s">
        <v>92</v>
      </c>
      <c r="O68" s="1">
        <v>41335</v>
      </c>
      <c r="P68" t="s">
        <v>84</v>
      </c>
      <c r="Q68">
        <v>4</v>
      </c>
      <c r="R68" t="s">
        <v>27</v>
      </c>
      <c r="S68">
        <v>1210.3736879999999</v>
      </c>
      <c r="T68">
        <v>71.983999999999995</v>
      </c>
      <c r="U68" t="s">
        <v>351</v>
      </c>
      <c r="V68" t="s">
        <v>351</v>
      </c>
      <c r="W68">
        <v>87128</v>
      </c>
    </row>
    <row r="69" spans="1:23" x14ac:dyDescent="0.25">
      <c r="A69" s="1">
        <v>43647</v>
      </c>
      <c r="B69" s="1">
        <v>43647</v>
      </c>
      <c r="C69" t="s">
        <v>157</v>
      </c>
      <c r="D69" t="s">
        <v>48</v>
      </c>
      <c r="E69" t="s">
        <v>49</v>
      </c>
      <c r="F69" t="s">
        <v>178</v>
      </c>
      <c r="G69" s="56">
        <v>43686</v>
      </c>
      <c r="H69">
        <v>33</v>
      </c>
      <c r="I69">
        <v>9466</v>
      </c>
      <c r="J69" t="s">
        <v>50</v>
      </c>
      <c r="K69" t="s">
        <v>50</v>
      </c>
      <c r="L69" t="s">
        <v>159</v>
      </c>
      <c r="M69" t="s">
        <v>51</v>
      </c>
      <c r="N69" t="s">
        <v>92</v>
      </c>
      <c r="O69" s="1">
        <v>41335</v>
      </c>
      <c r="P69" t="s">
        <v>84</v>
      </c>
      <c r="Q69">
        <v>5</v>
      </c>
      <c r="R69" t="s">
        <v>28</v>
      </c>
      <c r="S69">
        <v>3.7772670000000002</v>
      </c>
      <c r="T69">
        <v>75.617000000000004</v>
      </c>
      <c r="U69" t="s">
        <v>351</v>
      </c>
      <c r="V69" t="s">
        <v>351</v>
      </c>
      <c r="W69">
        <v>286</v>
      </c>
    </row>
    <row r="70" spans="1:23" x14ac:dyDescent="0.25">
      <c r="A70" s="1">
        <v>43678</v>
      </c>
      <c r="B70" s="1">
        <v>43678</v>
      </c>
      <c r="C70" t="s">
        <v>157</v>
      </c>
      <c r="D70" t="s">
        <v>93</v>
      </c>
      <c r="E70" t="s">
        <v>49</v>
      </c>
      <c r="F70" t="s">
        <v>182</v>
      </c>
      <c r="G70" s="56">
        <v>43915.393750000003</v>
      </c>
      <c r="H70">
        <v>61</v>
      </c>
      <c r="I70" t="s">
        <v>351</v>
      </c>
      <c r="J70" t="s">
        <v>50</v>
      </c>
      <c r="K70" t="s">
        <v>50</v>
      </c>
      <c r="L70" t="s">
        <v>159</v>
      </c>
      <c r="M70" t="s">
        <v>51</v>
      </c>
      <c r="N70" t="s">
        <v>92</v>
      </c>
      <c r="O70" s="1">
        <v>41335</v>
      </c>
      <c r="P70" t="s">
        <v>84</v>
      </c>
      <c r="Q70">
        <v>1</v>
      </c>
      <c r="R70" t="s">
        <v>83</v>
      </c>
      <c r="S70">
        <v>1</v>
      </c>
      <c r="T70">
        <v>-415</v>
      </c>
      <c r="U70" t="s">
        <v>351</v>
      </c>
      <c r="V70" t="s">
        <v>351</v>
      </c>
      <c r="W70">
        <v>-415</v>
      </c>
    </row>
    <row r="71" spans="1:23" x14ac:dyDescent="0.25">
      <c r="A71" s="1">
        <v>43678</v>
      </c>
      <c r="B71" s="1">
        <v>43678</v>
      </c>
      <c r="C71" t="s">
        <v>157</v>
      </c>
      <c r="D71" t="s">
        <v>48</v>
      </c>
      <c r="E71" t="s">
        <v>49</v>
      </c>
      <c r="F71" t="s">
        <v>181</v>
      </c>
      <c r="G71" s="56">
        <v>43719</v>
      </c>
      <c r="H71">
        <v>33</v>
      </c>
      <c r="I71">
        <v>9996</v>
      </c>
      <c r="J71" t="s">
        <v>50</v>
      </c>
      <c r="K71" t="s">
        <v>50</v>
      </c>
      <c r="L71" t="s">
        <v>159</v>
      </c>
      <c r="M71" t="s">
        <v>51</v>
      </c>
      <c r="N71" t="s">
        <v>92</v>
      </c>
      <c r="O71" s="1">
        <v>41335</v>
      </c>
      <c r="P71" t="s">
        <v>84</v>
      </c>
      <c r="Q71">
        <v>1</v>
      </c>
      <c r="R71" t="s">
        <v>83</v>
      </c>
      <c r="S71">
        <v>797.16753600000004</v>
      </c>
      <c r="T71">
        <v>74.400999999999996</v>
      </c>
      <c r="U71" t="s">
        <v>351</v>
      </c>
      <c r="V71" t="s">
        <v>351</v>
      </c>
      <c r="W71">
        <v>59310</v>
      </c>
    </row>
    <row r="72" spans="1:23" x14ac:dyDescent="0.25">
      <c r="A72" s="1">
        <v>43678</v>
      </c>
      <c r="B72" s="1">
        <v>43678</v>
      </c>
      <c r="C72" t="s">
        <v>157</v>
      </c>
      <c r="D72" t="s">
        <v>93</v>
      </c>
      <c r="E72" t="s">
        <v>49</v>
      </c>
      <c r="F72" t="s">
        <v>182</v>
      </c>
      <c r="G72" s="56">
        <v>43915.393750000003</v>
      </c>
      <c r="H72">
        <v>61</v>
      </c>
      <c r="I72" t="s">
        <v>351</v>
      </c>
      <c r="J72" t="s">
        <v>50</v>
      </c>
      <c r="K72" t="s">
        <v>50</v>
      </c>
      <c r="L72" t="s">
        <v>159</v>
      </c>
      <c r="M72" t="s">
        <v>51</v>
      </c>
      <c r="N72" t="s">
        <v>92</v>
      </c>
      <c r="O72" s="1">
        <v>41335</v>
      </c>
      <c r="P72" t="s">
        <v>84</v>
      </c>
      <c r="Q72">
        <v>2</v>
      </c>
      <c r="R72" t="s">
        <v>94</v>
      </c>
      <c r="S72">
        <v>1</v>
      </c>
      <c r="T72">
        <v>-2</v>
      </c>
      <c r="U72" t="s">
        <v>351</v>
      </c>
      <c r="V72" t="s">
        <v>351</v>
      </c>
      <c r="W72">
        <v>-2</v>
      </c>
    </row>
    <row r="73" spans="1:23" x14ac:dyDescent="0.25">
      <c r="A73" s="1">
        <v>43678</v>
      </c>
      <c r="B73" s="1">
        <v>43678</v>
      </c>
      <c r="C73" t="s">
        <v>157</v>
      </c>
      <c r="D73" t="s">
        <v>48</v>
      </c>
      <c r="E73" t="s">
        <v>49</v>
      </c>
      <c r="F73" t="s">
        <v>181</v>
      </c>
      <c r="G73" s="56">
        <v>43719</v>
      </c>
      <c r="H73">
        <v>33</v>
      </c>
      <c r="I73">
        <v>9996</v>
      </c>
      <c r="J73" t="s">
        <v>50</v>
      </c>
      <c r="K73" t="s">
        <v>50</v>
      </c>
      <c r="L73" t="s">
        <v>159</v>
      </c>
      <c r="M73" t="s">
        <v>51</v>
      </c>
      <c r="N73" t="s">
        <v>92</v>
      </c>
      <c r="O73" s="1">
        <v>41335</v>
      </c>
      <c r="P73" t="s">
        <v>84</v>
      </c>
      <c r="Q73">
        <v>2</v>
      </c>
      <c r="R73" t="s">
        <v>94</v>
      </c>
      <c r="S73">
        <v>3.3512949999999999</v>
      </c>
      <c r="T73">
        <v>75.736999999999995</v>
      </c>
      <c r="U73" t="s">
        <v>351</v>
      </c>
      <c r="V73" t="s">
        <v>351</v>
      </c>
      <c r="W73">
        <v>254</v>
      </c>
    </row>
    <row r="74" spans="1:23" x14ac:dyDescent="0.25">
      <c r="A74" s="1">
        <v>43678</v>
      </c>
      <c r="B74" s="1">
        <v>43678</v>
      </c>
      <c r="C74" t="s">
        <v>157</v>
      </c>
      <c r="D74" t="s">
        <v>93</v>
      </c>
      <c r="E74" t="s">
        <v>49</v>
      </c>
      <c r="F74" t="s">
        <v>182</v>
      </c>
      <c r="G74" s="56">
        <v>43915.393750000003</v>
      </c>
      <c r="H74">
        <v>61</v>
      </c>
      <c r="I74" t="s">
        <v>351</v>
      </c>
      <c r="J74" t="s">
        <v>50</v>
      </c>
      <c r="K74" t="s">
        <v>50</v>
      </c>
      <c r="L74" t="s">
        <v>159</v>
      </c>
      <c r="M74" t="s">
        <v>51</v>
      </c>
      <c r="N74" t="s">
        <v>92</v>
      </c>
      <c r="O74" s="1">
        <v>41335</v>
      </c>
      <c r="P74" t="s">
        <v>84</v>
      </c>
      <c r="Q74">
        <v>3</v>
      </c>
      <c r="R74" t="s">
        <v>81</v>
      </c>
      <c r="S74">
        <v>1</v>
      </c>
      <c r="T74">
        <v>-80</v>
      </c>
      <c r="U74" t="s">
        <v>351</v>
      </c>
      <c r="V74" t="s">
        <v>351</v>
      </c>
      <c r="W74">
        <v>-80</v>
      </c>
    </row>
    <row r="75" spans="1:23" x14ac:dyDescent="0.25">
      <c r="A75" s="1">
        <v>43678</v>
      </c>
      <c r="B75" s="1">
        <v>43678</v>
      </c>
      <c r="C75" t="s">
        <v>157</v>
      </c>
      <c r="D75" t="s">
        <v>48</v>
      </c>
      <c r="E75" t="s">
        <v>49</v>
      </c>
      <c r="F75" t="s">
        <v>181</v>
      </c>
      <c r="G75" s="56">
        <v>43719</v>
      </c>
      <c r="H75">
        <v>33</v>
      </c>
      <c r="I75">
        <v>9996</v>
      </c>
      <c r="J75" t="s">
        <v>50</v>
      </c>
      <c r="K75" t="s">
        <v>50</v>
      </c>
      <c r="L75" t="s">
        <v>159</v>
      </c>
      <c r="M75" t="s">
        <v>51</v>
      </c>
      <c r="N75" t="s">
        <v>92</v>
      </c>
      <c r="O75" s="1">
        <v>41335</v>
      </c>
      <c r="P75" t="s">
        <v>84</v>
      </c>
      <c r="Q75">
        <v>3</v>
      </c>
      <c r="R75" t="s">
        <v>81</v>
      </c>
      <c r="S75">
        <v>162.116804</v>
      </c>
      <c r="T75">
        <v>70.436999999999998</v>
      </c>
      <c r="U75" t="s">
        <v>351</v>
      </c>
      <c r="V75" t="s">
        <v>351</v>
      </c>
      <c r="W75">
        <v>11419</v>
      </c>
    </row>
    <row r="76" spans="1:23" x14ac:dyDescent="0.25">
      <c r="A76" s="1">
        <v>43678</v>
      </c>
      <c r="B76" s="1">
        <v>43678</v>
      </c>
      <c r="C76" t="s">
        <v>157</v>
      </c>
      <c r="D76" t="s">
        <v>93</v>
      </c>
      <c r="E76" t="s">
        <v>49</v>
      </c>
      <c r="F76" t="s">
        <v>182</v>
      </c>
      <c r="G76" s="56">
        <v>43915.393750000003</v>
      </c>
      <c r="H76">
        <v>61</v>
      </c>
      <c r="I76" t="s">
        <v>351</v>
      </c>
      <c r="J76" t="s">
        <v>50</v>
      </c>
      <c r="K76" t="s">
        <v>50</v>
      </c>
      <c r="L76" t="s">
        <v>159</v>
      </c>
      <c r="M76" t="s">
        <v>51</v>
      </c>
      <c r="N76" t="s">
        <v>92</v>
      </c>
      <c r="O76" s="1">
        <v>41335</v>
      </c>
      <c r="P76" t="s">
        <v>84</v>
      </c>
      <c r="Q76">
        <v>4</v>
      </c>
      <c r="R76" t="s">
        <v>27</v>
      </c>
      <c r="S76">
        <v>1</v>
      </c>
      <c r="T76">
        <v>-572</v>
      </c>
      <c r="U76" t="s">
        <v>351</v>
      </c>
      <c r="V76" t="s">
        <v>351</v>
      </c>
      <c r="W76">
        <v>-572</v>
      </c>
    </row>
    <row r="77" spans="1:23" x14ac:dyDescent="0.25">
      <c r="A77" s="1">
        <v>43678</v>
      </c>
      <c r="B77" s="1">
        <v>43678</v>
      </c>
      <c r="C77" t="s">
        <v>157</v>
      </c>
      <c r="D77" t="s">
        <v>48</v>
      </c>
      <c r="E77" t="s">
        <v>49</v>
      </c>
      <c r="F77" t="s">
        <v>181</v>
      </c>
      <c r="G77" s="56">
        <v>43719</v>
      </c>
      <c r="H77">
        <v>33</v>
      </c>
      <c r="I77">
        <v>9996</v>
      </c>
      <c r="J77" t="s">
        <v>50</v>
      </c>
      <c r="K77" t="s">
        <v>50</v>
      </c>
      <c r="L77" t="s">
        <v>159</v>
      </c>
      <c r="M77" t="s">
        <v>51</v>
      </c>
      <c r="N77" t="s">
        <v>92</v>
      </c>
      <c r="O77" s="1">
        <v>41335</v>
      </c>
      <c r="P77" t="s">
        <v>84</v>
      </c>
      <c r="Q77">
        <v>4</v>
      </c>
      <c r="R77" t="s">
        <v>27</v>
      </c>
      <c r="S77">
        <v>1136.702366</v>
      </c>
      <c r="T77">
        <v>71.983999999999995</v>
      </c>
      <c r="U77" t="s">
        <v>351</v>
      </c>
      <c r="V77" t="s">
        <v>351</v>
      </c>
      <c r="W77">
        <v>81824</v>
      </c>
    </row>
    <row r="78" spans="1:23" x14ac:dyDescent="0.25">
      <c r="A78" s="1">
        <v>43678</v>
      </c>
      <c r="B78" s="1">
        <v>43678</v>
      </c>
      <c r="C78" t="s">
        <v>157</v>
      </c>
      <c r="D78" t="s">
        <v>93</v>
      </c>
      <c r="E78" t="s">
        <v>49</v>
      </c>
      <c r="F78" t="s">
        <v>182</v>
      </c>
      <c r="G78" s="56">
        <v>43915.393750000003</v>
      </c>
      <c r="H78">
        <v>61</v>
      </c>
      <c r="I78" t="s">
        <v>351</v>
      </c>
      <c r="J78" t="s">
        <v>50</v>
      </c>
      <c r="K78" t="s">
        <v>50</v>
      </c>
      <c r="L78" t="s">
        <v>159</v>
      </c>
      <c r="M78" t="s">
        <v>51</v>
      </c>
      <c r="N78" t="s">
        <v>92</v>
      </c>
      <c r="O78" s="1">
        <v>41335</v>
      </c>
      <c r="P78" t="s">
        <v>84</v>
      </c>
      <c r="Q78">
        <v>5</v>
      </c>
      <c r="R78" t="s">
        <v>28</v>
      </c>
      <c r="S78">
        <v>1</v>
      </c>
      <c r="T78">
        <v>-2</v>
      </c>
      <c r="U78" t="s">
        <v>351</v>
      </c>
      <c r="V78" t="s">
        <v>351</v>
      </c>
      <c r="W78">
        <v>-2</v>
      </c>
    </row>
    <row r="79" spans="1:23" x14ac:dyDescent="0.25">
      <c r="A79" s="1">
        <v>43678</v>
      </c>
      <c r="B79" s="1">
        <v>43678</v>
      </c>
      <c r="C79" t="s">
        <v>157</v>
      </c>
      <c r="D79" t="s">
        <v>48</v>
      </c>
      <c r="E79" t="s">
        <v>49</v>
      </c>
      <c r="F79" t="s">
        <v>181</v>
      </c>
      <c r="G79" s="56">
        <v>43719</v>
      </c>
      <c r="H79">
        <v>33</v>
      </c>
      <c r="I79">
        <v>9996</v>
      </c>
      <c r="J79" t="s">
        <v>50</v>
      </c>
      <c r="K79" t="s">
        <v>50</v>
      </c>
      <c r="L79" t="s">
        <v>159</v>
      </c>
      <c r="M79" t="s">
        <v>51</v>
      </c>
      <c r="N79" t="s">
        <v>92</v>
      </c>
      <c r="O79" s="1">
        <v>41335</v>
      </c>
      <c r="P79" t="s">
        <v>84</v>
      </c>
      <c r="Q79">
        <v>5</v>
      </c>
      <c r="R79" t="s">
        <v>28</v>
      </c>
      <c r="S79">
        <v>3.471597</v>
      </c>
      <c r="T79">
        <v>75.617000000000004</v>
      </c>
      <c r="U79" t="s">
        <v>351</v>
      </c>
      <c r="V79" t="s">
        <v>351</v>
      </c>
      <c r="W79">
        <v>263</v>
      </c>
    </row>
    <row r="80" spans="1:23" x14ac:dyDescent="0.25">
      <c r="A80" s="1">
        <v>43709</v>
      </c>
      <c r="B80" s="1">
        <v>43709</v>
      </c>
      <c r="C80" t="s">
        <v>157</v>
      </c>
      <c r="D80" t="s">
        <v>48</v>
      </c>
      <c r="E80" t="s">
        <v>49</v>
      </c>
      <c r="F80" t="s">
        <v>184</v>
      </c>
      <c r="G80" s="56">
        <v>43748</v>
      </c>
      <c r="H80">
        <v>33</v>
      </c>
      <c r="I80">
        <v>10390</v>
      </c>
      <c r="J80" t="s">
        <v>50</v>
      </c>
      <c r="K80" t="s">
        <v>50</v>
      </c>
      <c r="L80" t="s">
        <v>159</v>
      </c>
      <c r="M80" t="s">
        <v>51</v>
      </c>
      <c r="N80" t="s">
        <v>92</v>
      </c>
      <c r="O80" s="1">
        <v>41335</v>
      </c>
      <c r="P80" t="s">
        <v>84</v>
      </c>
      <c r="Q80">
        <v>1</v>
      </c>
      <c r="R80" t="s">
        <v>83</v>
      </c>
      <c r="S80">
        <v>755.96651699999995</v>
      </c>
      <c r="T80">
        <v>77.384</v>
      </c>
      <c r="U80" t="s">
        <v>351</v>
      </c>
      <c r="V80" t="s">
        <v>351</v>
      </c>
      <c r="W80">
        <v>58500</v>
      </c>
    </row>
    <row r="81" spans="1:23" x14ac:dyDescent="0.25">
      <c r="A81" s="1">
        <v>43709</v>
      </c>
      <c r="B81" s="1">
        <v>43709</v>
      </c>
      <c r="C81" t="s">
        <v>157</v>
      </c>
      <c r="D81" t="s">
        <v>48</v>
      </c>
      <c r="E81" t="s">
        <v>49</v>
      </c>
      <c r="F81" t="s">
        <v>184</v>
      </c>
      <c r="G81" s="56">
        <v>43748</v>
      </c>
      <c r="H81">
        <v>33</v>
      </c>
      <c r="I81">
        <v>10390</v>
      </c>
      <c r="J81" t="s">
        <v>50</v>
      </c>
      <c r="K81" t="s">
        <v>50</v>
      </c>
      <c r="L81" t="s">
        <v>159</v>
      </c>
      <c r="M81" t="s">
        <v>51</v>
      </c>
      <c r="N81" t="s">
        <v>92</v>
      </c>
      <c r="O81" s="1">
        <v>41335</v>
      </c>
      <c r="P81" t="s">
        <v>84</v>
      </c>
      <c r="Q81">
        <v>2</v>
      </c>
      <c r="R81" t="s">
        <v>94</v>
      </c>
      <c r="S81">
        <v>3.2400500000000001</v>
      </c>
      <c r="T81">
        <v>79.429000000000002</v>
      </c>
      <c r="U81" t="s">
        <v>351</v>
      </c>
      <c r="V81" t="s">
        <v>351</v>
      </c>
      <c r="W81">
        <v>257</v>
      </c>
    </row>
    <row r="82" spans="1:23" x14ac:dyDescent="0.25">
      <c r="A82" s="1">
        <v>43709</v>
      </c>
      <c r="B82" s="1">
        <v>43709</v>
      </c>
      <c r="C82" t="s">
        <v>157</v>
      </c>
      <c r="D82" t="s">
        <v>48</v>
      </c>
      <c r="E82" t="s">
        <v>49</v>
      </c>
      <c r="F82" t="s">
        <v>184</v>
      </c>
      <c r="G82" s="56">
        <v>43748</v>
      </c>
      <c r="H82">
        <v>33</v>
      </c>
      <c r="I82">
        <v>10390</v>
      </c>
      <c r="J82" t="s">
        <v>50</v>
      </c>
      <c r="K82" t="s">
        <v>50</v>
      </c>
      <c r="L82" t="s">
        <v>159</v>
      </c>
      <c r="M82" t="s">
        <v>51</v>
      </c>
      <c r="N82" t="s">
        <v>92</v>
      </c>
      <c r="O82" s="1">
        <v>41335</v>
      </c>
      <c r="P82" t="s">
        <v>84</v>
      </c>
      <c r="Q82">
        <v>3</v>
      </c>
      <c r="R82" t="s">
        <v>81</v>
      </c>
      <c r="S82">
        <v>154.713278</v>
      </c>
      <c r="T82">
        <v>72.400000000000006</v>
      </c>
      <c r="U82" t="s">
        <v>351</v>
      </c>
      <c r="V82" t="s">
        <v>351</v>
      </c>
      <c r="W82">
        <v>11201</v>
      </c>
    </row>
    <row r="83" spans="1:23" x14ac:dyDescent="0.25">
      <c r="A83" s="1">
        <v>43709</v>
      </c>
      <c r="B83" s="1">
        <v>43709</v>
      </c>
      <c r="C83" t="s">
        <v>157</v>
      </c>
      <c r="D83" t="s">
        <v>48</v>
      </c>
      <c r="E83" t="s">
        <v>49</v>
      </c>
      <c r="F83" t="s">
        <v>184</v>
      </c>
      <c r="G83" s="56">
        <v>43748</v>
      </c>
      <c r="H83">
        <v>33</v>
      </c>
      <c r="I83">
        <v>10390</v>
      </c>
      <c r="J83" t="s">
        <v>50</v>
      </c>
      <c r="K83" t="s">
        <v>50</v>
      </c>
      <c r="L83" t="s">
        <v>159</v>
      </c>
      <c r="M83" t="s">
        <v>51</v>
      </c>
      <c r="N83" t="s">
        <v>92</v>
      </c>
      <c r="O83" s="1">
        <v>41335</v>
      </c>
      <c r="P83" t="s">
        <v>84</v>
      </c>
      <c r="Q83">
        <v>4</v>
      </c>
      <c r="R83" t="s">
        <v>27</v>
      </c>
      <c r="S83">
        <v>1084.175843</v>
      </c>
      <c r="T83">
        <v>74.936000000000007</v>
      </c>
      <c r="U83" t="s">
        <v>351</v>
      </c>
      <c r="V83" t="s">
        <v>351</v>
      </c>
      <c r="W83">
        <v>81244</v>
      </c>
    </row>
    <row r="84" spans="1:23" x14ac:dyDescent="0.25">
      <c r="A84" s="1">
        <v>43709</v>
      </c>
      <c r="B84" s="1">
        <v>43709</v>
      </c>
      <c r="C84" t="s">
        <v>157</v>
      </c>
      <c r="D84" t="s">
        <v>48</v>
      </c>
      <c r="E84" t="s">
        <v>49</v>
      </c>
      <c r="F84" t="s">
        <v>184</v>
      </c>
      <c r="G84" s="56">
        <v>43748</v>
      </c>
      <c r="H84">
        <v>33</v>
      </c>
      <c r="I84">
        <v>10390</v>
      </c>
      <c r="J84" t="s">
        <v>50</v>
      </c>
      <c r="K84" t="s">
        <v>50</v>
      </c>
      <c r="L84" t="s">
        <v>159</v>
      </c>
      <c r="M84" t="s">
        <v>51</v>
      </c>
      <c r="N84" t="s">
        <v>92</v>
      </c>
      <c r="O84" s="1">
        <v>41335</v>
      </c>
      <c r="P84" t="s">
        <v>84</v>
      </c>
      <c r="Q84">
        <v>5</v>
      </c>
      <c r="R84" t="s">
        <v>28</v>
      </c>
      <c r="S84">
        <v>3.3587340000000001</v>
      </c>
      <c r="T84">
        <v>75.665000000000006</v>
      </c>
      <c r="U84" t="s">
        <v>351</v>
      </c>
      <c r="V84" t="s">
        <v>351</v>
      </c>
      <c r="W84">
        <v>254</v>
      </c>
    </row>
    <row r="85" spans="1:23" x14ac:dyDescent="0.25">
      <c r="A85" s="1">
        <v>43739</v>
      </c>
      <c r="B85" s="1">
        <v>43709</v>
      </c>
      <c r="C85" t="s">
        <v>157</v>
      </c>
      <c r="D85" t="s">
        <v>57</v>
      </c>
      <c r="E85" t="s">
        <v>49</v>
      </c>
      <c r="F85" t="s">
        <v>185</v>
      </c>
      <c r="G85" s="56">
        <v>43944.47278935185</v>
      </c>
      <c r="H85">
        <v>61</v>
      </c>
      <c r="I85" t="s">
        <v>351</v>
      </c>
      <c r="J85" t="s">
        <v>50</v>
      </c>
      <c r="K85" t="s">
        <v>50</v>
      </c>
      <c r="L85" t="s">
        <v>159</v>
      </c>
      <c r="M85" t="s">
        <v>51</v>
      </c>
      <c r="N85" t="s">
        <v>92</v>
      </c>
      <c r="O85" s="1">
        <v>41335</v>
      </c>
      <c r="P85" t="s">
        <v>84</v>
      </c>
      <c r="Q85">
        <v>1</v>
      </c>
      <c r="R85" t="s">
        <v>83</v>
      </c>
      <c r="S85">
        <v>-755.96651699999995</v>
      </c>
      <c r="T85">
        <v>77.384</v>
      </c>
      <c r="U85" t="s">
        <v>351</v>
      </c>
      <c r="V85" t="s">
        <v>351</v>
      </c>
      <c r="W85">
        <v>-58500</v>
      </c>
    </row>
    <row r="86" spans="1:23" x14ac:dyDescent="0.25">
      <c r="A86" s="1">
        <v>43739</v>
      </c>
      <c r="B86" s="1">
        <v>43709</v>
      </c>
      <c r="C86" t="s">
        <v>157</v>
      </c>
      <c r="D86" t="s">
        <v>57</v>
      </c>
      <c r="E86" t="s">
        <v>49</v>
      </c>
      <c r="F86" t="s">
        <v>188</v>
      </c>
      <c r="G86" s="56">
        <v>43944.47278935185</v>
      </c>
      <c r="H86">
        <v>61</v>
      </c>
      <c r="I86" t="s">
        <v>351</v>
      </c>
      <c r="J86" t="s">
        <v>50</v>
      </c>
      <c r="K86" t="s">
        <v>50</v>
      </c>
      <c r="L86" t="s">
        <v>159</v>
      </c>
      <c r="M86" t="s">
        <v>51</v>
      </c>
      <c r="N86" t="s">
        <v>92</v>
      </c>
      <c r="O86" s="1">
        <v>41335</v>
      </c>
      <c r="P86" t="s">
        <v>84</v>
      </c>
      <c r="Q86">
        <v>1</v>
      </c>
      <c r="R86" t="s">
        <v>83</v>
      </c>
      <c r="S86">
        <v>764.87856799999997</v>
      </c>
      <c r="T86">
        <v>74.400999999999996</v>
      </c>
      <c r="U86" t="s">
        <v>351</v>
      </c>
      <c r="V86" t="s">
        <v>351</v>
      </c>
      <c r="W86">
        <v>56908</v>
      </c>
    </row>
    <row r="87" spans="1:23" x14ac:dyDescent="0.25">
      <c r="A87" s="1">
        <v>43739</v>
      </c>
      <c r="B87" s="1">
        <v>43739</v>
      </c>
      <c r="C87" t="s">
        <v>157</v>
      </c>
      <c r="D87" t="s">
        <v>93</v>
      </c>
      <c r="E87" t="s">
        <v>49</v>
      </c>
      <c r="F87" t="s">
        <v>187</v>
      </c>
      <c r="G87" s="56">
        <v>43812</v>
      </c>
      <c r="H87">
        <v>61</v>
      </c>
      <c r="I87" t="s">
        <v>351</v>
      </c>
      <c r="J87" t="s">
        <v>50</v>
      </c>
      <c r="K87" t="s">
        <v>50</v>
      </c>
      <c r="L87" t="s">
        <v>159</v>
      </c>
      <c r="M87" t="s">
        <v>51</v>
      </c>
      <c r="N87" t="s">
        <v>92</v>
      </c>
      <c r="O87" s="1">
        <v>41335</v>
      </c>
      <c r="P87" t="s">
        <v>84</v>
      </c>
      <c r="Q87">
        <v>1</v>
      </c>
      <c r="R87" t="s">
        <v>83</v>
      </c>
      <c r="S87">
        <v>1</v>
      </c>
      <c r="T87">
        <v>-194</v>
      </c>
      <c r="U87" t="s">
        <v>351</v>
      </c>
      <c r="V87" t="s">
        <v>351</v>
      </c>
      <c r="W87">
        <v>-194</v>
      </c>
    </row>
    <row r="88" spans="1:23" x14ac:dyDescent="0.25">
      <c r="A88" s="1">
        <v>43739</v>
      </c>
      <c r="B88" s="1">
        <v>43739</v>
      </c>
      <c r="C88" t="s">
        <v>157</v>
      </c>
      <c r="D88" t="s">
        <v>48</v>
      </c>
      <c r="E88" t="s">
        <v>49</v>
      </c>
      <c r="F88" t="s">
        <v>189</v>
      </c>
      <c r="G88" s="56">
        <v>43781</v>
      </c>
      <c r="H88">
        <v>33</v>
      </c>
      <c r="I88">
        <v>10809</v>
      </c>
      <c r="J88" t="s">
        <v>50</v>
      </c>
      <c r="K88" t="s">
        <v>50</v>
      </c>
      <c r="L88" t="s">
        <v>159</v>
      </c>
      <c r="M88" t="s">
        <v>51</v>
      </c>
      <c r="N88" t="s">
        <v>92</v>
      </c>
      <c r="O88" s="1">
        <v>41335</v>
      </c>
      <c r="P88" t="s">
        <v>84</v>
      </c>
      <c r="Q88">
        <v>1</v>
      </c>
      <c r="R88" t="s">
        <v>83</v>
      </c>
      <c r="S88">
        <v>910.42412200000001</v>
      </c>
      <c r="T88">
        <v>74.400999999999996</v>
      </c>
      <c r="U88" t="s">
        <v>351</v>
      </c>
      <c r="V88" t="s">
        <v>351</v>
      </c>
      <c r="W88">
        <v>67736</v>
      </c>
    </row>
    <row r="89" spans="1:23" x14ac:dyDescent="0.25">
      <c r="A89" s="1">
        <v>43739</v>
      </c>
      <c r="B89" s="1">
        <v>43709</v>
      </c>
      <c r="C89" t="s">
        <v>157</v>
      </c>
      <c r="D89" t="s">
        <v>57</v>
      </c>
      <c r="E89" t="s">
        <v>49</v>
      </c>
      <c r="F89" t="s">
        <v>185</v>
      </c>
      <c r="G89" s="56">
        <v>43944.47278935185</v>
      </c>
      <c r="H89">
        <v>61</v>
      </c>
      <c r="I89" t="s">
        <v>351</v>
      </c>
      <c r="J89" t="s">
        <v>50</v>
      </c>
      <c r="K89" t="s">
        <v>50</v>
      </c>
      <c r="L89" t="s">
        <v>159</v>
      </c>
      <c r="M89" t="s">
        <v>51</v>
      </c>
      <c r="N89" t="s">
        <v>92</v>
      </c>
      <c r="O89" s="1">
        <v>41335</v>
      </c>
      <c r="P89" t="s">
        <v>84</v>
      </c>
      <c r="Q89">
        <v>2</v>
      </c>
      <c r="R89" t="s">
        <v>94</v>
      </c>
      <c r="S89">
        <v>-3.2400500000000001</v>
      </c>
      <c r="T89">
        <v>79.429000000000002</v>
      </c>
      <c r="U89" t="s">
        <v>351</v>
      </c>
      <c r="V89" t="s">
        <v>351</v>
      </c>
      <c r="W89">
        <v>-257</v>
      </c>
    </row>
    <row r="90" spans="1:23" x14ac:dyDescent="0.25">
      <c r="A90" s="1">
        <v>43739</v>
      </c>
      <c r="B90" s="1">
        <v>43709</v>
      </c>
      <c r="C90" t="s">
        <v>157</v>
      </c>
      <c r="D90" t="s">
        <v>57</v>
      </c>
      <c r="E90" t="s">
        <v>49</v>
      </c>
      <c r="F90" t="s">
        <v>188</v>
      </c>
      <c r="G90" s="56">
        <v>43944.47278935185</v>
      </c>
      <c r="H90">
        <v>61</v>
      </c>
      <c r="I90" t="s">
        <v>351</v>
      </c>
      <c r="J90" t="s">
        <v>50</v>
      </c>
      <c r="K90" t="s">
        <v>50</v>
      </c>
      <c r="L90" t="s">
        <v>159</v>
      </c>
      <c r="M90" t="s">
        <v>51</v>
      </c>
      <c r="N90" t="s">
        <v>92</v>
      </c>
      <c r="O90" s="1">
        <v>41335</v>
      </c>
      <c r="P90" t="s">
        <v>84</v>
      </c>
      <c r="Q90">
        <v>2</v>
      </c>
      <c r="R90" t="s">
        <v>94</v>
      </c>
      <c r="S90">
        <v>3.2782469999999999</v>
      </c>
      <c r="T90">
        <v>75.736999999999995</v>
      </c>
      <c r="U90" t="s">
        <v>351</v>
      </c>
      <c r="V90" t="s">
        <v>351</v>
      </c>
      <c r="W90">
        <v>248</v>
      </c>
    </row>
    <row r="91" spans="1:23" x14ac:dyDescent="0.25">
      <c r="A91" s="1">
        <v>43739</v>
      </c>
      <c r="B91" s="1">
        <v>43739</v>
      </c>
      <c r="C91" t="s">
        <v>157</v>
      </c>
      <c r="D91" t="s">
        <v>93</v>
      </c>
      <c r="E91" t="s">
        <v>49</v>
      </c>
      <c r="F91" t="s">
        <v>187</v>
      </c>
      <c r="G91" s="56">
        <v>43812</v>
      </c>
      <c r="H91">
        <v>61</v>
      </c>
      <c r="I91" t="s">
        <v>351</v>
      </c>
      <c r="J91" t="s">
        <v>50</v>
      </c>
      <c r="K91" t="s">
        <v>50</v>
      </c>
      <c r="L91" t="s">
        <v>159</v>
      </c>
      <c r="M91" t="s">
        <v>51</v>
      </c>
      <c r="N91" t="s">
        <v>92</v>
      </c>
      <c r="O91" s="1">
        <v>41335</v>
      </c>
      <c r="P91" t="s">
        <v>84</v>
      </c>
      <c r="Q91">
        <v>2</v>
      </c>
      <c r="R91" t="s">
        <v>94</v>
      </c>
      <c r="S91">
        <v>1</v>
      </c>
      <c r="T91">
        <v>-1</v>
      </c>
      <c r="U91" t="s">
        <v>351</v>
      </c>
      <c r="V91" t="s">
        <v>351</v>
      </c>
      <c r="W91">
        <v>-1</v>
      </c>
    </row>
    <row r="92" spans="1:23" x14ac:dyDescent="0.25">
      <c r="A92" s="1">
        <v>43739</v>
      </c>
      <c r="B92" s="1">
        <v>43739</v>
      </c>
      <c r="C92" t="s">
        <v>157</v>
      </c>
      <c r="D92" t="s">
        <v>48</v>
      </c>
      <c r="E92" t="s">
        <v>49</v>
      </c>
      <c r="F92" t="s">
        <v>189</v>
      </c>
      <c r="G92" s="56">
        <v>43781</v>
      </c>
      <c r="H92">
        <v>33</v>
      </c>
      <c r="I92">
        <v>10809</v>
      </c>
      <c r="J92" t="s">
        <v>50</v>
      </c>
      <c r="K92" t="s">
        <v>50</v>
      </c>
      <c r="L92" t="s">
        <v>159</v>
      </c>
      <c r="M92" t="s">
        <v>51</v>
      </c>
      <c r="N92" t="s">
        <v>92</v>
      </c>
      <c r="O92" s="1">
        <v>41335</v>
      </c>
      <c r="P92" t="s">
        <v>84</v>
      </c>
      <c r="Q92">
        <v>2</v>
      </c>
      <c r="R92" t="s">
        <v>94</v>
      </c>
      <c r="S92">
        <v>3.9241600000000001</v>
      </c>
      <c r="T92">
        <v>75.736999999999995</v>
      </c>
      <c r="U92" t="s">
        <v>351</v>
      </c>
      <c r="V92" t="s">
        <v>351</v>
      </c>
      <c r="W92">
        <v>297</v>
      </c>
    </row>
    <row r="93" spans="1:23" x14ac:dyDescent="0.25">
      <c r="A93" s="1">
        <v>43739</v>
      </c>
      <c r="B93" s="1">
        <v>43709</v>
      </c>
      <c r="C93" t="s">
        <v>157</v>
      </c>
      <c r="D93" t="s">
        <v>57</v>
      </c>
      <c r="E93" t="s">
        <v>49</v>
      </c>
      <c r="F93" t="s">
        <v>185</v>
      </c>
      <c r="G93" s="56">
        <v>43944.47278935185</v>
      </c>
      <c r="H93">
        <v>61</v>
      </c>
      <c r="I93" t="s">
        <v>351</v>
      </c>
      <c r="J93" t="s">
        <v>50</v>
      </c>
      <c r="K93" t="s">
        <v>50</v>
      </c>
      <c r="L93" t="s">
        <v>159</v>
      </c>
      <c r="M93" t="s">
        <v>51</v>
      </c>
      <c r="N93" t="s">
        <v>92</v>
      </c>
      <c r="O93" s="1">
        <v>41335</v>
      </c>
      <c r="P93" t="s">
        <v>84</v>
      </c>
      <c r="Q93">
        <v>3</v>
      </c>
      <c r="R93" t="s">
        <v>81</v>
      </c>
      <c r="S93">
        <v>-154.713278</v>
      </c>
      <c r="T93">
        <v>72.400000000000006</v>
      </c>
      <c r="U93" t="s">
        <v>351</v>
      </c>
      <c r="V93" t="s">
        <v>351</v>
      </c>
      <c r="W93">
        <v>-11201</v>
      </c>
    </row>
    <row r="94" spans="1:23" x14ac:dyDescent="0.25">
      <c r="A94" s="1">
        <v>43739</v>
      </c>
      <c r="B94" s="1">
        <v>43709</v>
      </c>
      <c r="C94" t="s">
        <v>157</v>
      </c>
      <c r="D94" t="s">
        <v>57</v>
      </c>
      <c r="E94" t="s">
        <v>49</v>
      </c>
      <c r="F94" t="s">
        <v>188</v>
      </c>
      <c r="G94" s="56">
        <v>43944.47278935185</v>
      </c>
      <c r="H94">
        <v>61</v>
      </c>
      <c r="I94" t="s">
        <v>351</v>
      </c>
      <c r="J94" t="s">
        <v>50</v>
      </c>
      <c r="K94" t="s">
        <v>50</v>
      </c>
      <c r="L94" t="s">
        <v>159</v>
      </c>
      <c r="M94" t="s">
        <v>51</v>
      </c>
      <c r="N94" t="s">
        <v>92</v>
      </c>
      <c r="O94" s="1">
        <v>41335</v>
      </c>
      <c r="P94" t="s">
        <v>84</v>
      </c>
      <c r="Q94">
        <v>3</v>
      </c>
      <c r="R94" t="s">
        <v>81</v>
      </c>
      <c r="S94">
        <v>156.53718499999999</v>
      </c>
      <c r="T94">
        <v>70.436999999999998</v>
      </c>
      <c r="U94" t="s">
        <v>351</v>
      </c>
      <c r="V94" t="s">
        <v>351</v>
      </c>
      <c r="W94">
        <v>11026</v>
      </c>
    </row>
    <row r="95" spans="1:23" x14ac:dyDescent="0.25">
      <c r="A95" s="1">
        <v>43739</v>
      </c>
      <c r="B95" s="1">
        <v>43739</v>
      </c>
      <c r="C95" t="s">
        <v>157</v>
      </c>
      <c r="D95" t="s">
        <v>93</v>
      </c>
      <c r="E95" t="s">
        <v>49</v>
      </c>
      <c r="F95" t="s">
        <v>187</v>
      </c>
      <c r="G95" s="56">
        <v>43812</v>
      </c>
      <c r="H95">
        <v>61</v>
      </c>
      <c r="I95" t="s">
        <v>351</v>
      </c>
      <c r="J95" t="s">
        <v>50</v>
      </c>
      <c r="K95" t="s">
        <v>50</v>
      </c>
      <c r="L95" t="s">
        <v>159</v>
      </c>
      <c r="M95" t="s">
        <v>51</v>
      </c>
      <c r="N95" t="s">
        <v>92</v>
      </c>
      <c r="O95" s="1">
        <v>41335</v>
      </c>
      <c r="P95" t="s">
        <v>84</v>
      </c>
      <c r="Q95">
        <v>3</v>
      </c>
      <c r="R95" t="s">
        <v>81</v>
      </c>
      <c r="S95">
        <v>1</v>
      </c>
      <c r="T95">
        <v>-38</v>
      </c>
      <c r="U95" t="s">
        <v>351</v>
      </c>
      <c r="V95" t="s">
        <v>351</v>
      </c>
      <c r="W95">
        <v>-38</v>
      </c>
    </row>
    <row r="96" spans="1:23" x14ac:dyDescent="0.25">
      <c r="A96" s="1">
        <v>43739</v>
      </c>
      <c r="B96" s="1">
        <v>43739</v>
      </c>
      <c r="C96" t="s">
        <v>157</v>
      </c>
      <c r="D96" t="s">
        <v>48</v>
      </c>
      <c r="E96" t="s">
        <v>49</v>
      </c>
      <c r="F96" t="s">
        <v>189</v>
      </c>
      <c r="G96" s="56">
        <v>43781</v>
      </c>
      <c r="H96">
        <v>33</v>
      </c>
      <c r="I96">
        <v>10809</v>
      </c>
      <c r="J96" t="s">
        <v>50</v>
      </c>
      <c r="K96" t="s">
        <v>50</v>
      </c>
      <c r="L96" t="s">
        <v>159</v>
      </c>
      <c r="M96" t="s">
        <v>51</v>
      </c>
      <c r="N96" t="s">
        <v>92</v>
      </c>
      <c r="O96" s="1">
        <v>41335</v>
      </c>
      <c r="P96" t="s">
        <v>84</v>
      </c>
      <c r="Q96">
        <v>3</v>
      </c>
      <c r="R96" t="s">
        <v>81</v>
      </c>
      <c r="S96">
        <v>188.286708</v>
      </c>
      <c r="T96">
        <v>70.436999999999998</v>
      </c>
      <c r="U96" t="s">
        <v>351</v>
      </c>
      <c r="V96" t="s">
        <v>351</v>
      </c>
      <c r="W96">
        <v>13262</v>
      </c>
    </row>
    <row r="97" spans="1:23" x14ac:dyDescent="0.25">
      <c r="A97" s="1">
        <v>43739</v>
      </c>
      <c r="B97" s="1">
        <v>43709</v>
      </c>
      <c r="C97" t="s">
        <v>157</v>
      </c>
      <c r="D97" t="s">
        <v>57</v>
      </c>
      <c r="E97" t="s">
        <v>49</v>
      </c>
      <c r="F97" t="s">
        <v>185</v>
      </c>
      <c r="G97" s="56">
        <v>43944.47278935185</v>
      </c>
      <c r="H97">
        <v>61</v>
      </c>
      <c r="I97" t="s">
        <v>351</v>
      </c>
      <c r="J97" t="s">
        <v>50</v>
      </c>
      <c r="K97" t="s">
        <v>50</v>
      </c>
      <c r="L97" t="s">
        <v>159</v>
      </c>
      <c r="M97" t="s">
        <v>51</v>
      </c>
      <c r="N97" t="s">
        <v>92</v>
      </c>
      <c r="O97" s="1">
        <v>41335</v>
      </c>
      <c r="P97" t="s">
        <v>84</v>
      </c>
      <c r="Q97">
        <v>4</v>
      </c>
      <c r="R97" t="s">
        <v>27</v>
      </c>
      <c r="S97">
        <v>-1084.175843</v>
      </c>
      <c r="T97">
        <v>74.936000000000007</v>
      </c>
      <c r="U97" t="s">
        <v>351</v>
      </c>
      <c r="V97" t="s">
        <v>351</v>
      </c>
      <c r="W97">
        <v>-81244</v>
      </c>
    </row>
    <row r="98" spans="1:23" x14ac:dyDescent="0.25">
      <c r="A98" s="1">
        <v>43739</v>
      </c>
      <c r="B98" s="1">
        <v>43709</v>
      </c>
      <c r="C98" t="s">
        <v>157</v>
      </c>
      <c r="D98" t="s">
        <v>57</v>
      </c>
      <c r="E98" t="s">
        <v>49</v>
      </c>
      <c r="F98" t="s">
        <v>188</v>
      </c>
      <c r="G98" s="56">
        <v>43944.47278935185</v>
      </c>
      <c r="H98">
        <v>61</v>
      </c>
      <c r="I98" t="s">
        <v>351</v>
      </c>
      <c r="J98" t="s">
        <v>50</v>
      </c>
      <c r="K98" t="s">
        <v>50</v>
      </c>
      <c r="L98" t="s">
        <v>159</v>
      </c>
      <c r="M98" t="s">
        <v>51</v>
      </c>
      <c r="N98" t="s">
        <v>92</v>
      </c>
      <c r="O98" s="1">
        <v>41335</v>
      </c>
      <c r="P98" t="s">
        <v>84</v>
      </c>
      <c r="Q98">
        <v>4</v>
      </c>
      <c r="R98" t="s">
        <v>27</v>
      </c>
      <c r="S98">
        <v>1096.9571370000001</v>
      </c>
      <c r="T98">
        <v>71.983999999999995</v>
      </c>
      <c r="U98" t="s">
        <v>351</v>
      </c>
      <c r="V98" t="s">
        <v>351</v>
      </c>
      <c r="W98">
        <v>78963</v>
      </c>
    </row>
    <row r="99" spans="1:23" x14ac:dyDescent="0.25">
      <c r="A99" s="1">
        <v>43739</v>
      </c>
      <c r="B99" s="1">
        <v>43739</v>
      </c>
      <c r="C99" t="s">
        <v>157</v>
      </c>
      <c r="D99" t="s">
        <v>93</v>
      </c>
      <c r="E99" t="s">
        <v>49</v>
      </c>
      <c r="F99" t="s">
        <v>187</v>
      </c>
      <c r="G99" s="56">
        <v>43812</v>
      </c>
      <c r="H99">
        <v>61</v>
      </c>
      <c r="I99" t="s">
        <v>351</v>
      </c>
      <c r="J99" t="s">
        <v>50</v>
      </c>
      <c r="K99" t="s">
        <v>50</v>
      </c>
      <c r="L99" t="s">
        <v>159</v>
      </c>
      <c r="M99" t="s">
        <v>51</v>
      </c>
      <c r="N99" t="s">
        <v>92</v>
      </c>
      <c r="O99" s="1">
        <v>41335</v>
      </c>
      <c r="P99" t="s">
        <v>84</v>
      </c>
      <c r="Q99">
        <v>4</v>
      </c>
      <c r="R99" t="s">
        <v>27</v>
      </c>
      <c r="S99">
        <v>1</v>
      </c>
      <c r="T99">
        <v>-270</v>
      </c>
      <c r="U99" t="s">
        <v>351</v>
      </c>
      <c r="V99" t="s">
        <v>351</v>
      </c>
      <c r="W99">
        <v>-270</v>
      </c>
    </row>
    <row r="100" spans="1:23" x14ac:dyDescent="0.25">
      <c r="A100" s="1">
        <v>43739</v>
      </c>
      <c r="B100" s="1">
        <v>43739</v>
      </c>
      <c r="C100" t="s">
        <v>157</v>
      </c>
      <c r="D100" t="s">
        <v>48</v>
      </c>
      <c r="E100" t="s">
        <v>49</v>
      </c>
      <c r="F100" t="s">
        <v>189</v>
      </c>
      <c r="G100" s="56">
        <v>43781</v>
      </c>
      <c r="H100">
        <v>33</v>
      </c>
      <c r="I100">
        <v>10809</v>
      </c>
      <c r="J100" t="s">
        <v>50</v>
      </c>
      <c r="K100" t="s">
        <v>50</v>
      </c>
      <c r="L100" t="s">
        <v>159</v>
      </c>
      <c r="M100" t="s">
        <v>51</v>
      </c>
      <c r="N100" t="s">
        <v>92</v>
      </c>
      <c r="O100" s="1">
        <v>41335</v>
      </c>
      <c r="P100" t="s">
        <v>84</v>
      </c>
      <c r="Q100">
        <v>4</v>
      </c>
      <c r="R100" t="s">
        <v>27</v>
      </c>
      <c r="S100">
        <v>1311.6713199999999</v>
      </c>
      <c r="T100">
        <v>71.983999999999995</v>
      </c>
      <c r="U100" t="s">
        <v>351</v>
      </c>
      <c r="V100" t="s">
        <v>351</v>
      </c>
      <c r="W100">
        <v>94419</v>
      </c>
    </row>
    <row r="101" spans="1:23" x14ac:dyDescent="0.25">
      <c r="A101" s="1">
        <v>43739</v>
      </c>
      <c r="B101" s="1">
        <v>43709</v>
      </c>
      <c r="C101" t="s">
        <v>157</v>
      </c>
      <c r="D101" t="s">
        <v>57</v>
      </c>
      <c r="E101" t="s">
        <v>49</v>
      </c>
      <c r="F101" t="s">
        <v>185</v>
      </c>
      <c r="G101" s="56">
        <v>43944.47278935185</v>
      </c>
      <c r="H101">
        <v>61</v>
      </c>
      <c r="I101" t="s">
        <v>351</v>
      </c>
      <c r="J101" t="s">
        <v>50</v>
      </c>
      <c r="K101" t="s">
        <v>50</v>
      </c>
      <c r="L101" t="s">
        <v>159</v>
      </c>
      <c r="M101" t="s">
        <v>51</v>
      </c>
      <c r="N101" t="s">
        <v>92</v>
      </c>
      <c r="O101" s="1">
        <v>41335</v>
      </c>
      <c r="P101" t="s">
        <v>84</v>
      </c>
      <c r="Q101">
        <v>5</v>
      </c>
      <c r="R101" t="s">
        <v>28</v>
      </c>
      <c r="S101">
        <v>-3.3587340000000001</v>
      </c>
      <c r="T101">
        <v>75.665000000000006</v>
      </c>
      <c r="U101" t="s">
        <v>351</v>
      </c>
      <c r="V101" t="s">
        <v>351</v>
      </c>
      <c r="W101">
        <v>-254</v>
      </c>
    </row>
    <row r="102" spans="1:23" x14ac:dyDescent="0.25">
      <c r="A102" s="1">
        <v>43739</v>
      </c>
      <c r="B102" s="1">
        <v>43709</v>
      </c>
      <c r="C102" t="s">
        <v>157</v>
      </c>
      <c r="D102" t="s">
        <v>57</v>
      </c>
      <c r="E102" t="s">
        <v>49</v>
      </c>
      <c r="F102" t="s">
        <v>188</v>
      </c>
      <c r="G102" s="56">
        <v>43944.47278935185</v>
      </c>
      <c r="H102">
        <v>61</v>
      </c>
      <c r="I102" t="s">
        <v>351</v>
      </c>
      <c r="J102" t="s">
        <v>50</v>
      </c>
      <c r="K102" t="s">
        <v>50</v>
      </c>
      <c r="L102" t="s">
        <v>159</v>
      </c>
      <c r="M102" t="s">
        <v>51</v>
      </c>
      <c r="N102" t="s">
        <v>92</v>
      </c>
      <c r="O102" s="1">
        <v>41335</v>
      </c>
      <c r="P102" t="s">
        <v>84</v>
      </c>
      <c r="Q102">
        <v>5</v>
      </c>
      <c r="R102" t="s">
        <v>28</v>
      </c>
      <c r="S102">
        <v>3.3983300000000001</v>
      </c>
      <c r="T102">
        <v>75.617000000000004</v>
      </c>
      <c r="U102" t="s">
        <v>351</v>
      </c>
      <c r="V102" t="s">
        <v>351</v>
      </c>
      <c r="W102">
        <v>257</v>
      </c>
    </row>
    <row r="103" spans="1:23" x14ac:dyDescent="0.25">
      <c r="A103" s="1">
        <v>43739</v>
      </c>
      <c r="B103" s="1">
        <v>43739</v>
      </c>
      <c r="C103" t="s">
        <v>157</v>
      </c>
      <c r="D103" t="s">
        <v>93</v>
      </c>
      <c r="E103" t="s">
        <v>49</v>
      </c>
      <c r="F103" t="s">
        <v>187</v>
      </c>
      <c r="G103" s="56">
        <v>43812</v>
      </c>
      <c r="H103">
        <v>61</v>
      </c>
      <c r="I103" t="s">
        <v>351</v>
      </c>
      <c r="J103" t="s">
        <v>50</v>
      </c>
      <c r="K103" t="s">
        <v>50</v>
      </c>
      <c r="L103" t="s">
        <v>159</v>
      </c>
      <c r="M103" t="s">
        <v>51</v>
      </c>
      <c r="N103" t="s">
        <v>92</v>
      </c>
      <c r="O103" s="1">
        <v>41335</v>
      </c>
      <c r="P103" t="s">
        <v>84</v>
      </c>
      <c r="Q103">
        <v>5</v>
      </c>
      <c r="R103" t="s">
        <v>28</v>
      </c>
      <c r="S103">
        <v>1</v>
      </c>
      <c r="T103">
        <v>-1</v>
      </c>
      <c r="U103" t="s">
        <v>351</v>
      </c>
      <c r="V103" t="s">
        <v>351</v>
      </c>
      <c r="W103">
        <v>-1</v>
      </c>
    </row>
    <row r="104" spans="1:23" x14ac:dyDescent="0.25">
      <c r="A104" s="1">
        <v>43739</v>
      </c>
      <c r="B104" s="1">
        <v>43739</v>
      </c>
      <c r="C104" t="s">
        <v>157</v>
      </c>
      <c r="D104" t="s">
        <v>48</v>
      </c>
      <c r="E104" t="s">
        <v>49</v>
      </c>
      <c r="F104" t="s">
        <v>189</v>
      </c>
      <c r="G104" s="56">
        <v>43781</v>
      </c>
      <c r="H104">
        <v>33</v>
      </c>
      <c r="I104">
        <v>10809</v>
      </c>
      <c r="J104" t="s">
        <v>50</v>
      </c>
      <c r="K104" t="s">
        <v>50</v>
      </c>
      <c r="L104" t="s">
        <v>159</v>
      </c>
      <c r="M104" t="s">
        <v>51</v>
      </c>
      <c r="N104" t="s">
        <v>92</v>
      </c>
      <c r="O104" s="1">
        <v>41335</v>
      </c>
      <c r="P104" t="s">
        <v>84</v>
      </c>
      <c r="Q104">
        <v>5</v>
      </c>
      <c r="R104" t="s">
        <v>28</v>
      </c>
      <c r="S104">
        <v>4.0964470000000004</v>
      </c>
      <c r="T104">
        <v>75.617000000000004</v>
      </c>
      <c r="U104" t="s">
        <v>351</v>
      </c>
      <c r="V104" t="s">
        <v>351</v>
      </c>
      <c r="W104">
        <v>310</v>
      </c>
    </row>
    <row r="105" spans="1:23" x14ac:dyDescent="0.25">
      <c r="A105" s="1">
        <v>43770</v>
      </c>
      <c r="B105" s="1">
        <v>43770</v>
      </c>
      <c r="C105" t="s">
        <v>157</v>
      </c>
      <c r="D105" t="s">
        <v>93</v>
      </c>
      <c r="E105" t="s">
        <v>49</v>
      </c>
      <c r="F105" t="s">
        <v>192</v>
      </c>
      <c r="G105" s="56">
        <v>43837</v>
      </c>
      <c r="H105">
        <v>61</v>
      </c>
      <c r="I105" t="s">
        <v>351</v>
      </c>
      <c r="J105" t="s">
        <v>50</v>
      </c>
      <c r="K105" t="s">
        <v>50</v>
      </c>
      <c r="L105" t="s">
        <v>159</v>
      </c>
      <c r="M105" t="s">
        <v>51</v>
      </c>
      <c r="N105" t="s">
        <v>92</v>
      </c>
      <c r="O105" s="1">
        <v>41335</v>
      </c>
      <c r="P105" t="s">
        <v>84</v>
      </c>
      <c r="Q105">
        <v>1</v>
      </c>
      <c r="R105" t="s">
        <v>83</v>
      </c>
      <c r="S105">
        <v>1</v>
      </c>
      <c r="T105">
        <v>-130</v>
      </c>
      <c r="U105" t="s">
        <v>351</v>
      </c>
      <c r="V105" t="s">
        <v>351</v>
      </c>
      <c r="W105">
        <v>-130</v>
      </c>
    </row>
    <row r="106" spans="1:23" x14ac:dyDescent="0.25">
      <c r="A106" s="1">
        <v>43770</v>
      </c>
      <c r="B106" s="1">
        <v>43770</v>
      </c>
      <c r="C106" t="s">
        <v>157</v>
      </c>
      <c r="D106" t="s">
        <v>48</v>
      </c>
      <c r="E106" t="s">
        <v>49</v>
      </c>
      <c r="F106" t="s">
        <v>193</v>
      </c>
      <c r="G106" s="56">
        <v>43805</v>
      </c>
      <c r="H106">
        <v>33</v>
      </c>
      <c r="I106">
        <v>11167</v>
      </c>
      <c r="J106" t="s">
        <v>50</v>
      </c>
      <c r="K106" t="s">
        <v>50</v>
      </c>
      <c r="L106" t="s">
        <v>159</v>
      </c>
      <c r="M106" t="s">
        <v>51</v>
      </c>
      <c r="N106" t="s">
        <v>92</v>
      </c>
      <c r="O106" s="1">
        <v>41335</v>
      </c>
      <c r="P106" t="s">
        <v>84</v>
      </c>
      <c r="Q106">
        <v>1</v>
      </c>
      <c r="R106" t="s">
        <v>83</v>
      </c>
      <c r="S106">
        <v>1175.9684259999999</v>
      </c>
      <c r="T106">
        <v>74.400999999999996</v>
      </c>
      <c r="U106" t="s">
        <v>351</v>
      </c>
      <c r="V106" t="s">
        <v>351</v>
      </c>
      <c r="W106">
        <v>87493</v>
      </c>
    </row>
    <row r="107" spans="1:23" x14ac:dyDescent="0.25">
      <c r="A107" s="1">
        <v>43770</v>
      </c>
      <c r="B107" s="1">
        <v>43770</v>
      </c>
      <c r="C107" t="s">
        <v>157</v>
      </c>
      <c r="D107" t="s">
        <v>48</v>
      </c>
      <c r="E107" t="s">
        <v>49</v>
      </c>
      <c r="F107" t="s">
        <v>193</v>
      </c>
      <c r="G107" s="56">
        <v>43805</v>
      </c>
      <c r="H107">
        <v>33</v>
      </c>
      <c r="I107">
        <v>11167</v>
      </c>
      <c r="J107" t="s">
        <v>50</v>
      </c>
      <c r="K107" t="s">
        <v>50</v>
      </c>
      <c r="L107" t="s">
        <v>159</v>
      </c>
      <c r="M107" t="s">
        <v>51</v>
      </c>
      <c r="N107" t="s">
        <v>92</v>
      </c>
      <c r="O107" s="1">
        <v>41335</v>
      </c>
      <c r="P107" t="s">
        <v>84</v>
      </c>
      <c r="Q107">
        <v>2</v>
      </c>
      <c r="R107" t="s">
        <v>94</v>
      </c>
      <c r="S107">
        <v>4.4374760000000002</v>
      </c>
      <c r="T107">
        <v>75.736999999999995</v>
      </c>
      <c r="U107" t="s">
        <v>351</v>
      </c>
      <c r="V107" t="s">
        <v>351</v>
      </c>
      <c r="W107">
        <v>336</v>
      </c>
    </row>
    <row r="108" spans="1:23" x14ac:dyDescent="0.25">
      <c r="A108" s="1">
        <v>43770</v>
      </c>
      <c r="B108" s="1">
        <v>43770</v>
      </c>
      <c r="C108" t="s">
        <v>157</v>
      </c>
      <c r="D108" t="s">
        <v>93</v>
      </c>
      <c r="E108" t="s">
        <v>49</v>
      </c>
      <c r="F108" t="s">
        <v>192</v>
      </c>
      <c r="G108" s="56">
        <v>43837</v>
      </c>
      <c r="H108">
        <v>61</v>
      </c>
      <c r="I108" t="s">
        <v>351</v>
      </c>
      <c r="J108" t="s">
        <v>50</v>
      </c>
      <c r="K108" t="s">
        <v>50</v>
      </c>
      <c r="L108" t="s">
        <v>159</v>
      </c>
      <c r="M108" t="s">
        <v>51</v>
      </c>
      <c r="N108" t="s">
        <v>92</v>
      </c>
      <c r="O108" s="1">
        <v>41335</v>
      </c>
      <c r="P108" t="s">
        <v>84</v>
      </c>
      <c r="Q108">
        <v>3</v>
      </c>
      <c r="R108" t="s">
        <v>81</v>
      </c>
      <c r="S108">
        <v>1</v>
      </c>
      <c r="T108">
        <v>-25</v>
      </c>
      <c r="U108" t="s">
        <v>351</v>
      </c>
      <c r="V108" t="s">
        <v>351</v>
      </c>
      <c r="W108">
        <v>-25</v>
      </c>
    </row>
    <row r="109" spans="1:23" x14ac:dyDescent="0.25">
      <c r="A109" s="1">
        <v>43770</v>
      </c>
      <c r="B109" s="1">
        <v>43770</v>
      </c>
      <c r="C109" t="s">
        <v>157</v>
      </c>
      <c r="D109" t="s">
        <v>48</v>
      </c>
      <c r="E109" t="s">
        <v>49</v>
      </c>
      <c r="F109" t="s">
        <v>193</v>
      </c>
      <c r="G109" s="56">
        <v>43805</v>
      </c>
      <c r="H109">
        <v>33</v>
      </c>
      <c r="I109">
        <v>11167</v>
      </c>
      <c r="J109" t="s">
        <v>50</v>
      </c>
      <c r="K109" t="s">
        <v>50</v>
      </c>
      <c r="L109" t="s">
        <v>159</v>
      </c>
      <c r="M109" t="s">
        <v>51</v>
      </c>
      <c r="N109" t="s">
        <v>92</v>
      </c>
      <c r="O109" s="1">
        <v>41335</v>
      </c>
      <c r="P109" t="s">
        <v>84</v>
      </c>
      <c r="Q109">
        <v>3</v>
      </c>
      <c r="R109" t="s">
        <v>81</v>
      </c>
      <c r="S109">
        <v>237.000969</v>
      </c>
      <c r="T109">
        <v>70.436999999999998</v>
      </c>
      <c r="U109" t="s">
        <v>351</v>
      </c>
      <c r="V109" t="s">
        <v>351</v>
      </c>
      <c r="W109">
        <v>16694</v>
      </c>
    </row>
    <row r="110" spans="1:23" x14ac:dyDescent="0.25">
      <c r="A110" s="1">
        <v>43770</v>
      </c>
      <c r="B110" s="1">
        <v>43770</v>
      </c>
      <c r="C110" t="s">
        <v>157</v>
      </c>
      <c r="D110" t="s">
        <v>93</v>
      </c>
      <c r="E110" t="s">
        <v>49</v>
      </c>
      <c r="F110" t="s">
        <v>192</v>
      </c>
      <c r="G110" s="56">
        <v>43837</v>
      </c>
      <c r="H110">
        <v>61</v>
      </c>
      <c r="I110" t="s">
        <v>351</v>
      </c>
      <c r="J110" t="s">
        <v>50</v>
      </c>
      <c r="K110" t="s">
        <v>50</v>
      </c>
      <c r="L110" t="s">
        <v>159</v>
      </c>
      <c r="M110" t="s">
        <v>51</v>
      </c>
      <c r="N110" t="s">
        <v>92</v>
      </c>
      <c r="O110" s="1">
        <v>41335</v>
      </c>
      <c r="P110" t="s">
        <v>84</v>
      </c>
      <c r="Q110">
        <v>4</v>
      </c>
      <c r="R110" t="s">
        <v>27</v>
      </c>
      <c r="S110">
        <v>1</v>
      </c>
      <c r="T110">
        <v>-176</v>
      </c>
      <c r="U110" t="s">
        <v>351</v>
      </c>
      <c r="V110" t="s">
        <v>351</v>
      </c>
      <c r="W110">
        <v>-176</v>
      </c>
    </row>
    <row r="111" spans="1:23" x14ac:dyDescent="0.25">
      <c r="A111" s="1">
        <v>43770</v>
      </c>
      <c r="B111" s="1">
        <v>43770</v>
      </c>
      <c r="C111" t="s">
        <v>157</v>
      </c>
      <c r="D111" t="s">
        <v>48</v>
      </c>
      <c r="E111" t="s">
        <v>49</v>
      </c>
      <c r="F111" t="s">
        <v>193</v>
      </c>
      <c r="G111" s="56">
        <v>43805</v>
      </c>
      <c r="H111">
        <v>33</v>
      </c>
      <c r="I111">
        <v>11167</v>
      </c>
      <c r="J111" t="s">
        <v>50</v>
      </c>
      <c r="K111" t="s">
        <v>50</v>
      </c>
      <c r="L111" t="s">
        <v>159</v>
      </c>
      <c r="M111" t="s">
        <v>51</v>
      </c>
      <c r="N111" t="s">
        <v>92</v>
      </c>
      <c r="O111" s="1">
        <v>41335</v>
      </c>
      <c r="P111" t="s">
        <v>84</v>
      </c>
      <c r="Q111">
        <v>4</v>
      </c>
      <c r="R111" t="s">
        <v>27</v>
      </c>
      <c r="S111">
        <v>1639.539798</v>
      </c>
      <c r="T111">
        <v>71.983999999999995</v>
      </c>
      <c r="U111" t="s">
        <v>351</v>
      </c>
      <c r="V111" t="s">
        <v>351</v>
      </c>
      <c r="W111">
        <v>118021</v>
      </c>
    </row>
    <row r="112" spans="1:23" x14ac:dyDescent="0.25">
      <c r="A112" s="1">
        <v>43770</v>
      </c>
      <c r="B112" s="1">
        <v>43770</v>
      </c>
      <c r="C112" t="s">
        <v>157</v>
      </c>
      <c r="D112" t="s">
        <v>93</v>
      </c>
      <c r="E112" t="s">
        <v>49</v>
      </c>
      <c r="F112" t="s">
        <v>192</v>
      </c>
      <c r="G112" s="56">
        <v>43837</v>
      </c>
      <c r="H112">
        <v>61</v>
      </c>
      <c r="I112" t="s">
        <v>351</v>
      </c>
      <c r="J112" t="s">
        <v>50</v>
      </c>
      <c r="K112" t="s">
        <v>50</v>
      </c>
      <c r="L112" t="s">
        <v>159</v>
      </c>
      <c r="M112" t="s">
        <v>51</v>
      </c>
      <c r="N112" t="s">
        <v>92</v>
      </c>
      <c r="O112" s="1">
        <v>41335</v>
      </c>
      <c r="P112" t="s">
        <v>84</v>
      </c>
      <c r="Q112">
        <v>5</v>
      </c>
      <c r="R112" t="s">
        <v>28</v>
      </c>
      <c r="S112">
        <v>1</v>
      </c>
      <c r="T112">
        <v>-1</v>
      </c>
      <c r="U112" t="s">
        <v>351</v>
      </c>
      <c r="V112" t="s">
        <v>351</v>
      </c>
      <c r="W112">
        <v>-1</v>
      </c>
    </row>
    <row r="113" spans="1:23" x14ac:dyDescent="0.25">
      <c r="A113" s="1">
        <v>43770</v>
      </c>
      <c r="B113" s="1">
        <v>43770</v>
      </c>
      <c r="C113" t="s">
        <v>157</v>
      </c>
      <c r="D113" t="s">
        <v>48</v>
      </c>
      <c r="E113" t="s">
        <v>49</v>
      </c>
      <c r="F113" t="s">
        <v>193</v>
      </c>
      <c r="G113" s="56">
        <v>43805</v>
      </c>
      <c r="H113">
        <v>33</v>
      </c>
      <c r="I113">
        <v>11167</v>
      </c>
      <c r="J113" t="s">
        <v>50</v>
      </c>
      <c r="K113" t="s">
        <v>50</v>
      </c>
      <c r="L113" t="s">
        <v>159</v>
      </c>
      <c r="M113" t="s">
        <v>51</v>
      </c>
      <c r="N113" t="s">
        <v>92</v>
      </c>
      <c r="O113" s="1">
        <v>41335</v>
      </c>
      <c r="P113" t="s">
        <v>84</v>
      </c>
      <c r="Q113">
        <v>5</v>
      </c>
      <c r="R113" t="s">
        <v>28</v>
      </c>
      <c r="S113">
        <v>4.6772220000000004</v>
      </c>
      <c r="T113">
        <v>75.617000000000004</v>
      </c>
      <c r="U113" t="s">
        <v>351</v>
      </c>
      <c r="V113" t="s">
        <v>351</v>
      </c>
      <c r="W113">
        <v>354</v>
      </c>
    </row>
    <row r="114" spans="1:23" x14ac:dyDescent="0.25">
      <c r="A114" s="1">
        <v>43800</v>
      </c>
      <c r="B114" s="1">
        <v>43800</v>
      </c>
      <c r="C114" t="s">
        <v>157</v>
      </c>
      <c r="D114" t="s">
        <v>93</v>
      </c>
      <c r="E114" t="s">
        <v>49</v>
      </c>
      <c r="F114" t="s">
        <v>194</v>
      </c>
      <c r="G114" s="56">
        <v>43928.729247685187</v>
      </c>
      <c r="H114">
        <v>33</v>
      </c>
      <c r="I114" t="s">
        <v>351</v>
      </c>
      <c r="J114" t="s">
        <v>50</v>
      </c>
      <c r="K114" t="s">
        <v>50</v>
      </c>
      <c r="L114" t="s">
        <v>159</v>
      </c>
      <c r="M114" t="s">
        <v>51</v>
      </c>
      <c r="N114" t="s">
        <v>92</v>
      </c>
      <c r="O114" s="1">
        <v>41335</v>
      </c>
      <c r="P114" t="s">
        <v>84</v>
      </c>
      <c r="Q114">
        <v>1</v>
      </c>
      <c r="R114" t="s">
        <v>83</v>
      </c>
      <c r="S114">
        <v>1</v>
      </c>
      <c r="T114">
        <v>598</v>
      </c>
      <c r="U114" t="s">
        <v>351</v>
      </c>
      <c r="V114" t="s">
        <v>351</v>
      </c>
      <c r="W114">
        <v>598</v>
      </c>
    </row>
    <row r="115" spans="1:23" x14ac:dyDescent="0.25">
      <c r="A115" s="1">
        <v>43800</v>
      </c>
      <c r="B115" s="1">
        <v>43800</v>
      </c>
      <c r="C115" t="s">
        <v>157</v>
      </c>
      <c r="D115" t="s">
        <v>48</v>
      </c>
      <c r="E115" t="s">
        <v>49</v>
      </c>
      <c r="F115" t="s">
        <v>196</v>
      </c>
      <c r="G115" s="56">
        <v>43837</v>
      </c>
      <c r="H115">
        <v>33</v>
      </c>
      <c r="I115">
        <v>11902</v>
      </c>
      <c r="J115" t="s">
        <v>50</v>
      </c>
      <c r="K115" t="s">
        <v>50</v>
      </c>
      <c r="L115" t="s">
        <v>159</v>
      </c>
      <c r="M115" t="s">
        <v>51</v>
      </c>
      <c r="N115" t="s">
        <v>92</v>
      </c>
      <c r="O115" s="1">
        <v>41335</v>
      </c>
      <c r="P115" t="s">
        <v>84</v>
      </c>
      <c r="Q115">
        <v>1</v>
      </c>
      <c r="R115" t="s">
        <v>83</v>
      </c>
      <c r="S115">
        <v>1541.900316</v>
      </c>
      <c r="T115">
        <v>74.400999999999996</v>
      </c>
      <c r="U115" t="s">
        <v>351</v>
      </c>
      <c r="V115" t="s">
        <v>351</v>
      </c>
      <c r="W115">
        <v>114719</v>
      </c>
    </row>
    <row r="116" spans="1:23" x14ac:dyDescent="0.25">
      <c r="A116" s="1">
        <v>43800</v>
      </c>
      <c r="B116" s="1">
        <v>43800</v>
      </c>
      <c r="C116" t="s">
        <v>157</v>
      </c>
      <c r="D116" t="s">
        <v>93</v>
      </c>
      <c r="E116" t="s">
        <v>49</v>
      </c>
      <c r="F116" t="s">
        <v>194</v>
      </c>
      <c r="G116" s="56">
        <v>43928.729247685187</v>
      </c>
      <c r="H116">
        <v>33</v>
      </c>
      <c r="I116" t="s">
        <v>351</v>
      </c>
      <c r="J116" t="s">
        <v>50</v>
      </c>
      <c r="K116" t="s">
        <v>50</v>
      </c>
      <c r="L116" t="s">
        <v>159</v>
      </c>
      <c r="M116" t="s">
        <v>51</v>
      </c>
      <c r="N116" t="s">
        <v>92</v>
      </c>
      <c r="O116" s="1">
        <v>41335</v>
      </c>
      <c r="P116" t="s">
        <v>84</v>
      </c>
      <c r="Q116">
        <v>2</v>
      </c>
      <c r="R116" t="s">
        <v>94</v>
      </c>
      <c r="S116">
        <v>1</v>
      </c>
      <c r="T116">
        <v>2</v>
      </c>
      <c r="U116" t="s">
        <v>351</v>
      </c>
      <c r="V116" t="s">
        <v>351</v>
      </c>
      <c r="W116">
        <v>2</v>
      </c>
    </row>
    <row r="117" spans="1:23" x14ac:dyDescent="0.25">
      <c r="A117" s="1">
        <v>43800</v>
      </c>
      <c r="B117" s="1">
        <v>43800</v>
      </c>
      <c r="C117" t="s">
        <v>157</v>
      </c>
      <c r="D117" t="s">
        <v>48</v>
      </c>
      <c r="E117" t="s">
        <v>49</v>
      </c>
      <c r="F117" t="s">
        <v>196</v>
      </c>
      <c r="G117" s="56">
        <v>43837</v>
      </c>
      <c r="H117">
        <v>33</v>
      </c>
      <c r="I117">
        <v>11902</v>
      </c>
      <c r="J117" t="s">
        <v>50</v>
      </c>
      <c r="K117" t="s">
        <v>50</v>
      </c>
      <c r="L117" t="s">
        <v>159</v>
      </c>
      <c r="M117" t="s">
        <v>51</v>
      </c>
      <c r="N117" t="s">
        <v>92</v>
      </c>
      <c r="O117" s="1">
        <v>41335</v>
      </c>
      <c r="P117" t="s">
        <v>84</v>
      </c>
      <c r="Q117">
        <v>2</v>
      </c>
      <c r="R117" t="s">
        <v>94</v>
      </c>
      <c r="S117">
        <v>4.9920920000000004</v>
      </c>
      <c r="T117">
        <v>75.736999999999995</v>
      </c>
      <c r="U117" t="s">
        <v>351</v>
      </c>
      <c r="V117" t="s">
        <v>351</v>
      </c>
      <c r="W117">
        <v>378</v>
      </c>
    </row>
    <row r="118" spans="1:23" x14ac:dyDescent="0.25">
      <c r="A118" s="1">
        <v>43800</v>
      </c>
      <c r="B118" s="1">
        <v>43800</v>
      </c>
      <c r="C118" t="s">
        <v>157</v>
      </c>
      <c r="D118" t="s">
        <v>93</v>
      </c>
      <c r="E118" t="s">
        <v>49</v>
      </c>
      <c r="F118" t="s">
        <v>194</v>
      </c>
      <c r="G118" s="56">
        <v>43928.729247685187</v>
      </c>
      <c r="H118">
        <v>33</v>
      </c>
      <c r="I118" t="s">
        <v>351</v>
      </c>
      <c r="J118" t="s">
        <v>50</v>
      </c>
      <c r="K118" t="s">
        <v>50</v>
      </c>
      <c r="L118" t="s">
        <v>159</v>
      </c>
      <c r="M118" t="s">
        <v>51</v>
      </c>
      <c r="N118" t="s">
        <v>92</v>
      </c>
      <c r="O118" s="1">
        <v>41335</v>
      </c>
      <c r="P118" t="s">
        <v>84</v>
      </c>
      <c r="Q118">
        <v>3</v>
      </c>
      <c r="R118" t="s">
        <v>81</v>
      </c>
      <c r="S118">
        <v>1</v>
      </c>
      <c r="T118">
        <v>111</v>
      </c>
      <c r="U118" t="s">
        <v>351</v>
      </c>
      <c r="V118" t="s">
        <v>351</v>
      </c>
      <c r="W118">
        <v>111</v>
      </c>
    </row>
    <row r="119" spans="1:23" x14ac:dyDescent="0.25">
      <c r="A119" s="1">
        <v>43800</v>
      </c>
      <c r="B119" s="1">
        <v>43800</v>
      </c>
      <c r="C119" t="s">
        <v>157</v>
      </c>
      <c r="D119" t="s">
        <v>48</v>
      </c>
      <c r="E119" t="s">
        <v>49</v>
      </c>
      <c r="F119" t="s">
        <v>196</v>
      </c>
      <c r="G119" s="56">
        <v>43837</v>
      </c>
      <c r="H119">
        <v>33</v>
      </c>
      <c r="I119">
        <v>11902</v>
      </c>
      <c r="J119" t="s">
        <v>50</v>
      </c>
      <c r="K119" t="s">
        <v>50</v>
      </c>
      <c r="L119" t="s">
        <v>159</v>
      </c>
      <c r="M119" t="s">
        <v>51</v>
      </c>
      <c r="N119" t="s">
        <v>92</v>
      </c>
      <c r="O119" s="1">
        <v>41335</v>
      </c>
      <c r="P119" t="s">
        <v>84</v>
      </c>
      <c r="Q119">
        <v>3</v>
      </c>
      <c r="R119" t="s">
        <v>81</v>
      </c>
      <c r="S119">
        <v>302.289739</v>
      </c>
      <c r="T119">
        <v>70.436999999999998</v>
      </c>
      <c r="U119" t="s">
        <v>351</v>
      </c>
      <c r="V119" t="s">
        <v>351</v>
      </c>
      <c r="W119">
        <v>21292</v>
      </c>
    </row>
    <row r="120" spans="1:23" x14ac:dyDescent="0.25">
      <c r="A120" s="1">
        <v>43800</v>
      </c>
      <c r="B120" s="1">
        <v>43800</v>
      </c>
      <c r="C120" t="s">
        <v>157</v>
      </c>
      <c r="D120" t="s">
        <v>93</v>
      </c>
      <c r="E120" t="s">
        <v>49</v>
      </c>
      <c r="F120" t="s">
        <v>194</v>
      </c>
      <c r="G120" s="56">
        <v>43928.729247685187</v>
      </c>
      <c r="H120">
        <v>33</v>
      </c>
      <c r="I120" t="s">
        <v>351</v>
      </c>
      <c r="J120" t="s">
        <v>50</v>
      </c>
      <c r="K120" t="s">
        <v>50</v>
      </c>
      <c r="L120" t="s">
        <v>159</v>
      </c>
      <c r="M120" t="s">
        <v>51</v>
      </c>
      <c r="N120" t="s">
        <v>92</v>
      </c>
      <c r="O120" s="1">
        <v>41335</v>
      </c>
      <c r="P120" t="s">
        <v>84</v>
      </c>
      <c r="Q120">
        <v>4</v>
      </c>
      <c r="R120" t="s">
        <v>27</v>
      </c>
      <c r="S120">
        <v>1</v>
      </c>
      <c r="T120">
        <v>780</v>
      </c>
      <c r="U120" t="s">
        <v>351</v>
      </c>
      <c r="V120" t="s">
        <v>351</v>
      </c>
      <c r="W120">
        <v>780</v>
      </c>
    </row>
    <row r="121" spans="1:23" x14ac:dyDescent="0.25">
      <c r="A121" s="1">
        <v>43800</v>
      </c>
      <c r="B121" s="1">
        <v>43800</v>
      </c>
      <c r="C121" t="s">
        <v>157</v>
      </c>
      <c r="D121" t="s">
        <v>48</v>
      </c>
      <c r="E121" t="s">
        <v>49</v>
      </c>
      <c r="F121" t="s">
        <v>196</v>
      </c>
      <c r="G121" s="56">
        <v>43837</v>
      </c>
      <c r="H121">
        <v>33</v>
      </c>
      <c r="I121">
        <v>11902</v>
      </c>
      <c r="J121" t="s">
        <v>50</v>
      </c>
      <c r="K121" t="s">
        <v>50</v>
      </c>
      <c r="L121" t="s">
        <v>159</v>
      </c>
      <c r="M121" t="s">
        <v>51</v>
      </c>
      <c r="N121" t="s">
        <v>92</v>
      </c>
      <c r="O121" s="1">
        <v>41335</v>
      </c>
      <c r="P121" t="s">
        <v>84</v>
      </c>
      <c r="Q121">
        <v>4</v>
      </c>
      <c r="R121" t="s">
        <v>27</v>
      </c>
      <c r="S121">
        <v>2077.3259159999998</v>
      </c>
      <c r="T121">
        <v>71.983999999999995</v>
      </c>
      <c r="U121" t="s">
        <v>351</v>
      </c>
      <c r="V121" t="s">
        <v>351</v>
      </c>
      <c r="W121">
        <v>149534</v>
      </c>
    </row>
    <row r="122" spans="1:23" x14ac:dyDescent="0.25">
      <c r="A122" s="1">
        <v>43800</v>
      </c>
      <c r="B122" s="1">
        <v>43800</v>
      </c>
      <c r="C122" t="s">
        <v>157</v>
      </c>
      <c r="D122" t="s">
        <v>93</v>
      </c>
      <c r="E122" t="s">
        <v>49</v>
      </c>
      <c r="F122" t="s">
        <v>194</v>
      </c>
      <c r="G122" s="56">
        <v>43928.729247685187</v>
      </c>
      <c r="H122">
        <v>33</v>
      </c>
      <c r="I122" t="s">
        <v>351</v>
      </c>
      <c r="J122" t="s">
        <v>50</v>
      </c>
      <c r="K122" t="s">
        <v>50</v>
      </c>
      <c r="L122" t="s">
        <v>159</v>
      </c>
      <c r="M122" t="s">
        <v>51</v>
      </c>
      <c r="N122" t="s">
        <v>92</v>
      </c>
      <c r="O122" s="1">
        <v>41335</v>
      </c>
      <c r="P122" t="s">
        <v>84</v>
      </c>
      <c r="Q122">
        <v>5</v>
      </c>
      <c r="R122" t="s">
        <v>28</v>
      </c>
      <c r="S122">
        <v>1</v>
      </c>
      <c r="T122">
        <v>4</v>
      </c>
      <c r="U122" t="s">
        <v>351</v>
      </c>
      <c r="V122" t="s">
        <v>351</v>
      </c>
      <c r="W122">
        <v>4</v>
      </c>
    </row>
    <row r="123" spans="1:23" x14ac:dyDescent="0.25">
      <c r="A123" s="1">
        <v>43800</v>
      </c>
      <c r="B123" s="1">
        <v>43800</v>
      </c>
      <c r="C123" t="s">
        <v>157</v>
      </c>
      <c r="D123" t="s">
        <v>48</v>
      </c>
      <c r="E123" t="s">
        <v>49</v>
      </c>
      <c r="F123" t="s">
        <v>196</v>
      </c>
      <c r="G123" s="56">
        <v>43837</v>
      </c>
      <c r="H123">
        <v>33</v>
      </c>
      <c r="I123">
        <v>11902</v>
      </c>
      <c r="J123" t="s">
        <v>50</v>
      </c>
      <c r="K123" t="s">
        <v>50</v>
      </c>
      <c r="L123" t="s">
        <v>159</v>
      </c>
      <c r="M123" t="s">
        <v>51</v>
      </c>
      <c r="N123" t="s">
        <v>92</v>
      </c>
      <c r="O123" s="1">
        <v>41335</v>
      </c>
      <c r="P123" t="s">
        <v>84</v>
      </c>
      <c r="Q123">
        <v>5</v>
      </c>
      <c r="R123" t="s">
        <v>28</v>
      </c>
      <c r="S123">
        <v>5.3231200000000003</v>
      </c>
      <c r="T123">
        <v>75.617000000000004</v>
      </c>
      <c r="U123" t="s">
        <v>351</v>
      </c>
      <c r="V123" t="s">
        <v>351</v>
      </c>
      <c r="W123">
        <v>403</v>
      </c>
    </row>
    <row r="124" spans="1:23" x14ac:dyDescent="0.25">
      <c r="A124" s="1">
        <v>43831</v>
      </c>
      <c r="B124" s="1">
        <v>43831</v>
      </c>
      <c r="C124" t="s">
        <v>157</v>
      </c>
      <c r="D124" t="s">
        <v>93</v>
      </c>
      <c r="E124" t="s">
        <v>49</v>
      </c>
      <c r="F124" t="s">
        <v>198</v>
      </c>
      <c r="G124" s="56">
        <v>43917.77002314815</v>
      </c>
      <c r="H124">
        <v>33</v>
      </c>
      <c r="I124">
        <v>13702</v>
      </c>
      <c r="J124" t="s">
        <v>50</v>
      </c>
      <c r="K124" t="s">
        <v>50</v>
      </c>
      <c r="L124" t="s">
        <v>159</v>
      </c>
      <c r="M124" t="s">
        <v>51</v>
      </c>
      <c r="N124" t="s">
        <v>92</v>
      </c>
      <c r="O124" s="1">
        <v>41335</v>
      </c>
      <c r="P124" t="s">
        <v>84</v>
      </c>
      <c r="Q124">
        <v>1</v>
      </c>
      <c r="R124" t="s">
        <v>83</v>
      </c>
      <c r="S124">
        <v>1</v>
      </c>
      <c r="T124">
        <v>29633</v>
      </c>
      <c r="U124" t="s">
        <v>351</v>
      </c>
      <c r="V124" t="s">
        <v>351</v>
      </c>
      <c r="W124">
        <v>29633</v>
      </c>
    </row>
    <row r="125" spans="1:23" x14ac:dyDescent="0.25">
      <c r="A125" s="1">
        <v>43831</v>
      </c>
      <c r="B125" s="1">
        <v>43831</v>
      </c>
      <c r="C125" t="s">
        <v>157</v>
      </c>
      <c r="D125" t="s">
        <v>48</v>
      </c>
      <c r="E125" t="s">
        <v>49</v>
      </c>
      <c r="F125" t="s">
        <v>200</v>
      </c>
      <c r="G125" s="56">
        <v>43910.518553240741</v>
      </c>
      <c r="H125">
        <v>33</v>
      </c>
      <c r="I125">
        <v>13159</v>
      </c>
      <c r="J125" t="s">
        <v>50</v>
      </c>
      <c r="K125" t="s">
        <v>50</v>
      </c>
      <c r="L125" t="s">
        <v>159</v>
      </c>
      <c r="M125" t="s">
        <v>51</v>
      </c>
      <c r="N125" t="s">
        <v>92</v>
      </c>
      <c r="O125" s="1">
        <v>41335</v>
      </c>
      <c r="P125" t="s">
        <v>84</v>
      </c>
      <c r="Q125">
        <v>1</v>
      </c>
      <c r="R125" t="s">
        <v>83</v>
      </c>
      <c r="S125">
        <v>4352.0722839999999</v>
      </c>
      <c r="T125">
        <v>62.720154999999998</v>
      </c>
      <c r="U125" t="s">
        <v>351</v>
      </c>
      <c r="V125" t="s">
        <v>351</v>
      </c>
      <c r="W125">
        <v>272963</v>
      </c>
    </row>
    <row r="126" spans="1:23" x14ac:dyDescent="0.25">
      <c r="A126" s="1">
        <v>43831</v>
      </c>
      <c r="B126" s="1">
        <v>43831</v>
      </c>
      <c r="C126" t="s">
        <v>157</v>
      </c>
      <c r="D126" t="s">
        <v>93</v>
      </c>
      <c r="E126" t="s">
        <v>49</v>
      </c>
      <c r="F126" t="s">
        <v>198</v>
      </c>
      <c r="G126" s="56">
        <v>43917.77002314815</v>
      </c>
      <c r="H126">
        <v>33</v>
      </c>
      <c r="I126">
        <v>13702</v>
      </c>
      <c r="J126" t="s">
        <v>50</v>
      </c>
      <c r="K126" t="s">
        <v>50</v>
      </c>
      <c r="L126" t="s">
        <v>159</v>
      </c>
      <c r="M126" t="s">
        <v>51</v>
      </c>
      <c r="N126" t="s">
        <v>92</v>
      </c>
      <c r="O126" s="1">
        <v>41335</v>
      </c>
      <c r="P126" t="s">
        <v>84</v>
      </c>
      <c r="Q126">
        <v>2</v>
      </c>
      <c r="R126" t="s">
        <v>94</v>
      </c>
      <c r="S126">
        <v>1</v>
      </c>
      <c r="T126">
        <v>68</v>
      </c>
      <c r="U126" t="s">
        <v>351</v>
      </c>
      <c r="V126" t="s">
        <v>351</v>
      </c>
      <c r="W126">
        <v>68</v>
      </c>
    </row>
    <row r="127" spans="1:23" x14ac:dyDescent="0.25">
      <c r="A127" s="1">
        <v>43831</v>
      </c>
      <c r="B127" s="1">
        <v>43831</v>
      </c>
      <c r="C127" t="s">
        <v>157</v>
      </c>
      <c r="D127" t="s">
        <v>48</v>
      </c>
      <c r="E127" t="s">
        <v>49</v>
      </c>
      <c r="F127" t="s">
        <v>200</v>
      </c>
      <c r="G127" s="56">
        <v>43910.518553240741</v>
      </c>
      <c r="H127">
        <v>33</v>
      </c>
      <c r="I127">
        <v>13159</v>
      </c>
      <c r="J127" t="s">
        <v>50</v>
      </c>
      <c r="K127" t="s">
        <v>50</v>
      </c>
      <c r="L127" t="s">
        <v>159</v>
      </c>
      <c r="M127" t="s">
        <v>51</v>
      </c>
      <c r="N127" t="s">
        <v>92</v>
      </c>
      <c r="O127" s="1">
        <v>41335</v>
      </c>
      <c r="P127" t="s">
        <v>84</v>
      </c>
      <c r="Q127">
        <v>2</v>
      </c>
      <c r="R127" t="s">
        <v>94</v>
      </c>
      <c r="S127">
        <v>8.3147540000000006</v>
      </c>
      <c r="T127">
        <v>63.846404999999997</v>
      </c>
      <c r="U127" t="s">
        <v>351</v>
      </c>
      <c r="V127" t="s">
        <v>351</v>
      </c>
      <c r="W127">
        <v>531</v>
      </c>
    </row>
    <row r="128" spans="1:23" x14ac:dyDescent="0.25">
      <c r="A128" s="1">
        <v>43831</v>
      </c>
      <c r="B128" s="1">
        <v>43831</v>
      </c>
      <c r="C128" t="s">
        <v>157</v>
      </c>
      <c r="D128" t="s">
        <v>93</v>
      </c>
      <c r="E128" t="s">
        <v>49</v>
      </c>
      <c r="F128" t="s">
        <v>198</v>
      </c>
      <c r="G128" s="56">
        <v>43917.77002314815</v>
      </c>
      <c r="H128">
        <v>33</v>
      </c>
      <c r="I128">
        <v>13702</v>
      </c>
      <c r="J128" t="s">
        <v>50</v>
      </c>
      <c r="K128" t="s">
        <v>50</v>
      </c>
      <c r="L128" t="s">
        <v>159</v>
      </c>
      <c r="M128" t="s">
        <v>51</v>
      </c>
      <c r="N128" t="s">
        <v>92</v>
      </c>
      <c r="O128" s="1">
        <v>41335</v>
      </c>
      <c r="P128" t="s">
        <v>84</v>
      </c>
      <c r="Q128">
        <v>3</v>
      </c>
      <c r="R128" t="s">
        <v>81</v>
      </c>
      <c r="S128">
        <v>1</v>
      </c>
      <c r="T128">
        <v>4168</v>
      </c>
      <c r="U128" t="s">
        <v>351</v>
      </c>
      <c r="V128" t="s">
        <v>351</v>
      </c>
      <c r="W128">
        <v>4168</v>
      </c>
    </row>
    <row r="129" spans="1:23" x14ac:dyDescent="0.25">
      <c r="A129" s="1">
        <v>43831</v>
      </c>
      <c r="B129" s="1">
        <v>43831</v>
      </c>
      <c r="C129" t="s">
        <v>157</v>
      </c>
      <c r="D129" t="s">
        <v>48</v>
      </c>
      <c r="E129" t="s">
        <v>49</v>
      </c>
      <c r="F129" t="s">
        <v>200</v>
      </c>
      <c r="G129" s="56">
        <v>43910.518553240741</v>
      </c>
      <c r="H129">
        <v>33</v>
      </c>
      <c r="I129">
        <v>13159</v>
      </c>
      <c r="J129" t="s">
        <v>50</v>
      </c>
      <c r="K129" t="s">
        <v>50</v>
      </c>
      <c r="L129" t="s">
        <v>159</v>
      </c>
      <c r="M129" t="s">
        <v>51</v>
      </c>
      <c r="N129" t="s">
        <v>92</v>
      </c>
      <c r="O129" s="1">
        <v>41335</v>
      </c>
      <c r="P129" t="s">
        <v>84</v>
      </c>
      <c r="Q129">
        <v>3</v>
      </c>
      <c r="R129" t="s">
        <v>81</v>
      </c>
      <c r="S129">
        <v>615.07463700000005</v>
      </c>
      <c r="T129">
        <v>59.378497000000003</v>
      </c>
      <c r="U129" t="s">
        <v>351</v>
      </c>
      <c r="V129" t="s">
        <v>351</v>
      </c>
      <c r="W129">
        <v>36522</v>
      </c>
    </row>
    <row r="130" spans="1:23" x14ac:dyDescent="0.25">
      <c r="A130" s="1">
        <v>43831</v>
      </c>
      <c r="B130" s="1">
        <v>43831</v>
      </c>
      <c r="C130" t="s">
        <v>157</v>
      </c>
      <c r="D130" t="s">
        <v>93</v>
      </c>
      <c r="E130" t="s">
        <v>49</v>
      </c>
      <c r="F130" t="s">
        <v>198</v>
      </c>
      <c r="G130" s="56">
        <v>43917.77002314815</v>
      </c>
      <c r="H130">
        <v>33</v>
      </c>
      <c r="I130">
        <v>13702</v>
      </c>
      <c r="J130" t="s">
        <v>50</v>
      </c>
      <c r="K130" t="s">
        <v>50</v>
      </c>
      <c r="L130" t="s">
        <v>159</v>
      </c>
      <c r="M130" t="s">
        <v>51</v>
      </c>
      <c r="N130" t="s">
        <v>92</v>
      </c>
      <c r="O130" s="1">
        <v>41335</v>
      </c>
      <c r="P130" t="s">
        <v>84</v>
      </c>
      <c r="Q130">
        <v>4</v>
      </c>
      <c r="R130" t="s">
        <v>27</v>
      </c>
      <c r="S130">
        <v>1</v>
      </c>
      <c r="T130">
        <v>25632</v>
      </c>
      <c r="U130" t="s">
        <v>351</v>
      </c>
      <c r="V130" t="s">
        <v>351</v>
      </c>
      <c r="W130">
        <v>25632</v>
      </c>
    </row>
    <row r="131" spans="1:23" x14ac:dyDescent="0.25">
      <c r="A131" s="1">
        <v>43831</v>
      </c>
      <c r="B131" s="1">
        <v>43831</v>
      </c>
      <c r="C131" t="s">
        <v>157</v>
      </c>
      <c r="D131" t="s">
        <v>48</v>
      </c>
      <c r="E131" t="s">
        <v>49</v>
      </c>
      <c r="F131" t="s">
        <v>200</v>
      </c>
      <c r="G131" s="56">
        <v>43910.518553240741</v>
      </c>
      <c r="H131">
        <v>33</v>
      </c>
      <c r="I131">
        <v>13159</v>
      </c>
      <c r="J131" t="s">
        <v>50</v>
      </c>
      <c r="K131" t="s">
        <v>50</v>
      </c>
      <c r="L131" t="s">
        <v>159</v>
      </c>
      <c r="M131" t="s">
        <v>51</v>
      </c>
      <c r="N131" t="s">
        <v>92</v>
      </c>
      <c r="O131" s="1">
        <v>41335</v>
      </c>
      <c r="P131" t="s">
        <v>84</v>
      </c>
      <c r="Q131">
        <v>4</v>
      </c>
      <c r="R131" t="s">
        <v>27</v>
      </c>
      <c r="S131">
        <v>3772.6657449999998</v>
      </c>
      <c r="T131">
        <v>60.68262</v>
      </c>
      <c r="U131" t="s">
        <v>351</v>
      </c>
      <c r="V131" t="s">
        <v>351</v>
      </c>
      <c r="W131">
        <v>228935</v>
      </c>
    </row>
    <row r="132" spans="1:23" x14ac:dyDescent="0.25">
      <c r="A132" s="1">
        <v>43831</v>
      </c>
      <c r="B132" s="1">
        <v>43831</v>
      </c>
      <c r="C132" t="s">
        <v>157</v>
      </c>
      <c r="D132" t="s">
        <v>93</v>
      </c>
      <c r="E132" t="s">
        <v>49</v>
      </c>
      <c r="F132" t="s">
        <v>198</v>
      </c>
      <c r="G132" s="56">
        <v>43917.77002314815</v>
      </c>
      <c r="H132">
        <v>33</v>
      </c>
      <c r="I132">
        <v>13702</v>
      </c>
      <c r="J132" t="s">
        <v>50</v>
      </c>
      <c r="K132" t="s">
        <v>50</v>
      </c>
      <c r="L132" t="s">
        <v>159</v>
      </c>
      <c r="M132" t="s">
        <v>51</v>
      </c>
      <c r="N132" t="s">
        <v>92</v>
      </c>
      <c r="O132" s="1">
        <v>41335</v>
      </c>
      <c r="P132" t="s">
        <v>84</v>
      </c>
      <c r="Q132">
        <v>5</v>
      </c>
      <c r="R132" t="s">
        <v>28</v>
      </c>
      <c r="S132">
        <v>1</v>
      </c>
      <c r="T132">
        <v>130</v>
      </c>
      <c r="U132" t="s">
        <v>351</v>
      </c>
      <c r="V132" t="s">
        <v>351</v>
      </c>
      <c r="W132">
        <v>130</v>
      </c>
    </row>
    <row r="133" spans="1:23" x14ac:dyDescent="0.25">
      <c r="A133" s="1">
        <v>43831</v>
      </c>
      <c r="B133" s="1">
        <v>43831</v>
      </c>
      <c r="C133" t="s">
        <v>157</v>
      </c>
      <c r="D133" t="s">
        <v>48</v>
      </c>
      <c r="E133" t="s">
        <v>49</v>
      </c>
      <c r="F133" t="s">
        <v>200</v>
      </c>
      <c r="G133" s="56">
        <v>43910.518553240741</v>
      </c>
      <c r="H133">
        <v>33</v>
      </c>
      <c r="I133">
        <v>13159</v>
      </c>
      <c r="J133" t="s">
        <v>50</v>
      </c>
      <c r="K133" t="s">
        <v>50</v>
      </c>
      <c r="L133" t="s">
        <v>159</v>
      </c>
      <c r="M133" t="s">
        <v>51</v>
      </c>
      <c r="N133" t="s">
        <v>92</v>
      </c>
      <c r="O133" s="1">
        <v>41335</v>
      </c>
      <c r="P133" t="s">
        <v>84</v>
      </c>
      <c r="Q133">
        <v>5</v>
      </c>
      <c r="R133" t="s">
        <v>28</v>
      </c>
      <c r="S133">
        <v>19.961974999999999</v>
      </c>
      <c r="T133">
        <v>63.745244</v>
      </c>
      <c r="U133" t="s">
        <v>351</v>
      </c>
      <c r="V133" t="s">
        <v>351</v>
      </c>
      <c r="W133">
        <v>1272</v>
      </c>
    </row>
    <row r="134" spans="1:23" x14ac:dyDescent="0.25">
      <c r="A134" s="1">
        <v>43862</v>
      </c>
      <c r="B134" s="1">
        <v>43862</v>
      </c>
      <c r="C134" t="s">
        <v>157</v>
      </c>
      <c r="D134" t="s">
        <v>93</v>
      </c>
      <c r="E134" t="s">
        <v>49</v>
      </c>
      <c r="F134" t="s">
        <v>204</v>
      </c>
      <c r="G134" s="56">
        <v>43928.689675925925</v>
      </c>
      <c r="H134">
        <v>33</v>
      </c>
      <c r="I134">
        <v>13670</v>
      </c>
      <c r="J134" t="s">
        <v>50</v>
      </c>
      <c r="K134" t="s">
        <v>50</v>
      </c>
      <c r="L134" t="s">
        <v>159</v>
      </c>
      <c r="M134" t="s">
        <v>51</v>
      </c>
      <c r="N134" t="s">
        <v>92</v>
      </c>
      <c r="O134" s="1">
        <v>41335</v>
      </c>
      <c r="P134" t="s">
        <v>84</v>
      </c>
      <c r="Q134">
        <v>1</v>
      </c>
      <c r="R134" t="s">
        <v>83</v>
      </c>
      <c r="S134">
        <v>1</v>
      </c>
      <c r="T134">
        <v>698</v>
      </c>
      <c r="U134" t="s">
        <v>351</v>
      </c>
      <c r="V134" t="s">
        <v>351</v>
      </c>
      <c r="W134">
        <v>698</v>
      </c>
    </row>
    <row r="135" spans="1:23" x14ac:dyDescent="0.25">
      <c r="A135" s="1">
        <v>43862</v>
      </c>
      <c r="B135" s="1">
        <v>43862</v>
      </c>
      <c r="C135" t="s">
        <v>157</v>
      </c>
      <c r="D135" t="s">
        <v>48</v>
      </c>
      <c r="E135" t="s">
        <v>49</v>
      </c>
      <c r="F135" t="s">
        <v>202</v>
      </c>
      <c r="G135" s="56">
        <v>43902.628391203703</v>
      </c>
      <c r="H135">
        <v>33</v>
      </c>
      <c r="I135">
        <v>13209</v>
      </c>
      <c r="J135" t="s">
        <v>50</v>
      </c>
      <c r="K135" t="s">
        <v>50</v>
      </c>
      <c r="L135" t="s">
        <v>159</v>
      </c>
      <c r="M135" t="s">
        <v>51</v>
      </c>
      <c r="N135" t="s">
        <v>92</v>
      </c>
      <c r="O135" s="1">
        <v>41335</v>
      </c>
      <c r="P135" t="s">
        <v>84</v>
      </c>
      <c r="Q135">
        <v>1</v>
      </c>
      <c r="R135" t="s">
        <v>83</v>
      </c>
      <c r="S135">
        <v>4259.97</v>
      </c>
      <c r="T135">
        <v>69.512</v>
      </c>
      <c r="U135" t="s">
        <v>351</v>
      </c>
      <c r="V135" t="s">
        <v>351</v>
      </c>
      <c r="W135">
        <v>296119</v>
      </c>
    </row>
    <row r="136" spans="1:23" x14ac:dyDescent="0.25">
      <c r="A136" s="1">
        <v>43862</v>
      </c>
      <c r="B136" s="1">
        <v>43862</v>
      </c>
      <c r="C136" t="s">
        <v>157</v>
      </c>
      <c r="D136" t="s">
        <v>93</v>
      </c>
      <c r="E136" t="s">
        <v>49</v>
      </c>
      <c r="F136" t="s">
        <v>204</v>
      </c>
      <c r="G136" s="56">
        <v>43928.689675925925</v>
      </c>
      <c r="H136">
        <v>33</v>
      </c>
      <c r="I136">
        <v>13670</v>
      </c>
      <c r="J136" t="s">
        <v>50</v>
      </c>
      <c r="K136" t="s">
        <v>50</v>
      </c>
      <c r="L136" t="s">
        <v>159</v>
      </c>
      <c r="M136" t="s">
        <v>51</v>
      </c>
      <c r="N136" t="s">
        <v>92</v>
      </c>
      <c r="O136" s="1">
        <v>41335</v>
      </c>
      <c r="P136" t="s">
        <v>84</v>
      </c>
      <c r="Q136">
        <v>2</v>
      </c>
      <c r="R136" t="s">
        <v>94</v>
      </c>
      <c r="S136">
        <v>1</v>
      </c>
      <c r="T136">
        <v>2</v>
      </c>
      <c r="U136" t="s">
        <v>351</v>
      </c>
      <c r="V136" t="s">
        <v>351</v>
      </c>
      <c r="W136">
        <v>2</v>
      </c>
    </row>
    <row r="137" spans="1:23" x14ac:dyDescent="0.25">
      <c r="A137" s="1">
        <v>43862</v>
      </c>
      <c r="B137" s="1">
        <v>43862</v>
      </c>
      <c r="C137" t="s">
        <v>157</v>
      </c>
      <c r="D137" t="s">
        <v>48</v>
      </c>
      <c r="E137" t="s">
        <v>49</v>
      </c>
      <c r="F137" t="s">
        <v>202</v>
      </c>
      <c r="G137" s="56">
        <v>43902.628391203703</v>
      </c>
      <c r="H137">
        <v>33</v>
      </c>
      <c r="I137">
        <v>13209</v>
      </c>
      <c r="J137" t="s">
        <v>50</v>
      </c>
      <c r="K137" t="s">
        <v>50</v>
      </c>
      <c r="L137" t="s">
        <v>159</v>
      </c>
      <c r="M137" t="s">
        <v>51</v>
      </c>
      <c r="N137" t="s">
        <v>92</v>
      </c>
      <c r="O137" s="1">
        <v>41335</v>
      </c>
      <c r="P137" t="s">
        <v>84</v>
      </c>
      <c r="Q137">
        <v>2</v>
      </c>
      <c r="R137" t="s">
        <v>94</v>
      </c>
      <c r="S137">
        <v>8.2387359999999994</v>
      </c>
      <c r="T137">
        <v>72.001000000000005</v>
      </c>
      <c r="U137" t="s">
        <v>351</v>
      </c>
      <c r="V137" t="s">
        <v>351</v>
      </c>
      <c r="W137">
        <v>593</v>
      </c>
    </row>
    <row r="138" spans="1:23" x14ac:dyDescent="0.25">
      <c r="A138" s="1">
        <v>43862</v>
      </c>
      <c r="B138" s="1">
        <v>43862</v>
      </c>
      <c r="C138" t="s">
        <v>157</v>
      </c>
      <c r="D138" t="s">
        <v>93</v>
      </c>
      <c r="E138" t="s">
        <v>49</v>
      </c>
      <c r="F138" t="s">
        <v>204</v>
      </c>
      <c r="G138" s="56">
        <v>43928.689675925925</v>
      </c>
      <c r="H138">
        <v>33</v>
      </c>
      <c r="I138">
        <v>13670</v>
      </c>
      <c r="J138" t="s">
        <v>50</v>
      </c>
      <c r="K138" t="s">
        <v>50</v>
      </c>
      <c r="L138" t="s">
        <v>159</v>
      </c>
      <c r="M138" t="s">
        <v>51</v>
      </c>
      <c r="N138" t="s">
        <v>92</v>
      </c>
      <c r="O138" s="1">
        <v>41335</v>
      </c>
      <c r="P138" t="s">
        <v>84</v>
      </c>
      <c r="Q138">
        <v>3</v>
      </c>
      <c r="R138" t="s">
        <v>81</v>
      </c>
      <c r="S138">
        <v>1</v>
      </c>
      <c r="T138">
        <v>94</v>
      </c>
      <c r="U138" t="s">
        <v>351</v>
      </c>
      <c r="V138" t="s">
        <v>351</v>
      </c>
      <c r="W138">
        <v>94</v>
      </c>
    </row>
    <row r="139" spans="1:23" x14ac:dyDescent="0.25">
      <c r="A139" s="1">
        <v>43862</v>
      </c>
      <c r="B139" s="1">
        <v>43862</v>
      </c>
      <c r="C139" t="s">
        <v>157</v>
      </c>
      <c r="D139" t="s">
        <v>48</v>
      </c>
      <c r="E139" t="s">
        <v>49</v>
      </c>
      <c r="F139" t="s">
        <v>202</v>
      </c>
      <c r="G139" s="56">
        <v>43902.628391203703</v>
      </c>
      <c r="H139">
        <v>33</v>
      </c>
      <c r="I139">
        <v>13209</v>
      </c>
      <c r="J139" t="s">
        <v>50</v>
      </c>
      <c r="K139" t="s">
        <v>50</v>
      </c>
      <c r="L139" t="s">
        <v>159</v>
      </c>
      <c r="M139" t="s">
        <v>51</v>
      </c>
      <c r="N139" t="s">
        <v>92</v>
      </c>
      <c r="O139" s="1">
        <v>41335</v>
      </c>
      <c r="P139" t="s">
        <v>84</v>
      </c>
      <c r="Q139">
        <v>3</v>
      </c>
      <c r="R139" t="s">
        <v>81</v>
      </c>
      <c r="S139">
        <v>604.49491499999999</v>
      </c>
      <c r="T139">
        <v>66.138000000000005</v>
      </c>
      <c r="U139" t="s">
        <v>351</v>
      </c>
      <c r="V139" t="s">
        <v>351</v>
      </c>
      <c r="W139">
        <v>39980</v>
      </c>
    </row>
    <row r="140" spans="1:23" x14ac:dyDescent="0.25">
      <c r="A140" s="1">
        <v>43862</v>
      </c>
      <c r="B140" s="1">
        <v>43862</v>
      </c>
      <c r="C140" t="s">
        <v>157</v>
      </c>
      <c r="D140" t="s">
        <v>93</v>
      </c>
      <c r="E140" t="s">
        <v>49</v>
      </c>
      <c r="F140" t="s">
        <v>204</v>
      </c>
      <c r="G140" s="56">
        <v>43928.689675925925</v>
      </c>
      <c r="H140">
        <v>33</v>
      </c>
      <c r="I140">
        <v>13670</v>
      </c>
      <c r="J140" t="s">
        <v>50</v>
      </c>
      <c r="K140" t="s">
        <v>50</v>
      </c>
      <c r="L140" t="s">
        <v>159</v>
      </c>
      <c r="M140" t="s">
        <v>51</v>
      </c>
      <c r="N140" t="s">
        <v>92</v>
      </c>
      <c r="O140" s="1">
        <v>41335</v>
      </c>
      <c r="P140" t="s">
        <v>84</v>
      </c>
      <c r="Q140">
        <v>4</v>
      </c>
      <c r="R140" t="s">
        <v>27</v>
      </c>
      <c r="S140">
        <v>1</v>
      </c>
      <c r="T140">
        <v>589</v>
      </c>
      <c r="U140" t="s">
        <v>351</v>
      </c>
      <c r="V140" t="s">
        <v>351</v>
      </c>
      <c r="W140">
        <v>589</v>
      </c>
    </row>
    <row r="141" spans="1:23" x14ac:dyDescent="0.25">
      <c r="A141" s="1">
        <v>43862</v>
      </c>
      <c r="B141" s="1">
        <v>43862</v>
      </c>
      <c r="C141" t="s">
        <v>157</v>
      </c>
      <c r="D141" t="s">
        <v>48</v>
      </c>
      <c r="E141" t="s">
        <v>49</v>
      </c>
      <c r="F141" t="s">
        <v>202</v>
      </c>
      <c r="G141" s="56">
        <v>43902.628391203703</v>
      </c>
      <c r="H141">
        <v>33</v>
      </c>
      <c r="I141">
        <v>13209</v>
      </c>
      <c r="J141" t="s">
        <v>50</v>
      </c>
      <c r="K141" t="s">
        <v>50</v>
      </c>
      <c r="L141" t="s">
        <v>159</v>
      </c>
      <c r="M141" t="s">
        <v>51</v>
      </c>
      <c r="N141" t="s">
        <v>92</v>
      </c>
      <c r="O141" s="1">
        <v>41335</v>
      </c>
      <c r="P141" t="s">
        <v>84</v>
      </c>
      <c r="Q141">
        <v>4</v>
      </c>
      <c r="R141" t="s">
        <v>27</v>
      </c>
      <c r="S141">
        <v>3695.5145980000002</v>
      </c>
      <c r="T141">
        <v>67.459999999999994</v>
      </c>
      <c r="U141" t="s">
        <v>351</v>
      </c>
      <c r="V141" t="s">
        <v>351</v>
      </c>
      <c r="W141">
        <v>249299</v>
      </c>
    </row>
    <row r="142" spans="1:23" x14ac:dyDescent="0.25">
      <c r="A142" s="1">
        <v>43862</v>
      </c>
      <c r="B142" s="1">
        <v>43862</v>
      </c>
      <c r="C142" t="s">
        <v>157</v>
      </c>
      <c r="D142" t="s">
        <v>93</v>
      </c>
      <c r="E142" t="s">
        <v>49</v>
      </c>
      <c r="F142" t="s">
        <v>204</v>
      </c>
      <c r="G142" s="56">
        <v>43928.689675925925</v>
      </c>
      <c r="H142">
        <v>33</v>
      </c>
      <c r="I142">
        <v>13670</v>
      </c>
      <c r="J142" t="s">
        <v>50</v>
      </c>
      <c r="K142" t="s">
        <v>50</v>
      </c>
      <c r="L142" t="s">
        <v>159</v>
      </c>
      <c r="M142" t="s">
        <v>51</v>
      </c>
      <c r="N142" t="s">
        <v>92</v>
      </c>
      <c r="O142" s="1">
        <v>41335</v>
      </c>
      <c r="P142" t="s">
        <v>84</v>
      </c>
      <c r="Q142">
        <v>5</v>
      </c>
      <c r="R142" t="s">
        <v>28</v>
      </c>
      <c r="S142">
        <v>1</v>
      </c>
      <c r="T142">
        <v>3</v>
      </c>
      <c r="U142" t="s">
        <v>351</v>
      </c>
      <c r="V142" t="s">
        <v>351</v>
      </c>
      <c r="W142">
        <v>3</v>
      </c>
    </row>
    <row r="143" spans="1:23" x14ac:dyDescent="0.25">
      <c r="A143" s="1">
        <v>43862</v>
      </c>
      <c r="B143" s="1">
        <v>43862</v>
      </c>
      <c r="C143" t="s">
        <v>157</v>
      </c>
      <c r="D143" t="s">
        <v>48</v>
      </c>
      <c r="E143" t="s">
        <v>49</v>
      </c>
      <c r="F143" t="s">
        <v>202</v>
      </c>
      <c r="G143" s="56">
        <v>43902.628391203703</v>
      </c>
      <c r="H143">
        <v>33</v>
      </c>
      <c r="I143">
        <v>13209</v>
      </c>
      <c r="J143" t="s">
        <v>50</v>
      </c>
      <c r="K143" t="s">
        <v>50</v>
      </c>
      <c r="L143" t="s">
        <v>159</v>
      </c>
      <c r="M143" t="s">
        <v>51</v>
      </c>
      <c r="N143" t="s">
        <v>92</v>
      </c>
      <c r="O143" s="1">
        <v>41335</v>
      </c>
      <c r="P143" t="s">
        <v>84</v>
      </c>
      <c r="Q143">
        <v>5</v>
      </c>
      <c r="R143" t="s">
        <v>28</v>
      </c>
      <c r="S143">
        <v>19.558841000000001</v>
      </c>
      <c r="T143">
        <v>70.204999999999998</v>
      </c>
      <c r="U143" t="s">
        <v>351</v>
      </c>
      <c r="V143" t="s">
        <v>351</v>
      </c>
      <c r="W143">
        <v>1373</v>
      </c>
    </row>
    <row r="144" spans="1:23" x14ac:dyDescent="0.25">
      <c r="A144" s="1">
        <v>43891</v>
      </c>
      <c r="B144" s="1">
        <v>43891</v>
      </c>
      <c r="C144" t="s">
        <v>157</v>
      </c>
      <c r="D144" t="s">
        <v>93</v>
      </c>
      <c r="E144" t="s">
        <v>49</v>
      </c>
      <c r="F144" t="s">
        <v>207</v>
      </c>
      <c r="G144" s="56">
        <v>43970.737210648149</v>
      </c>
      <c r="H144">
        <v>33</v>
      </c>
      <c r="I144" t="s">
        <v>351</v>
      </c>
      <c r="J144" t="s">
        <v>50</v>
      </c>
      <c r="K144" t="s">
        <v>50</v>
      </c>
      <c r="L144" t="s">
        <v>159</v>
      </c>
      <c r="M144" t="s">
        <v>51</v>
      </c>
      <c r="N144" t="s">
        <v>92</v>
      </c>
      <c r="O144" s="1">
        <v>41335</v>
      </c>
      <c r="P144" t="s">
        <v>84</v>
      </c>
      <c r="Q144">
        <v>1</v>
      </c>
      <c r="R144" t="s">
        <v>83</v>
      </c>
      <c r="S144">
        <v>1</v>
      </c>
      <c r="T144">
        <v>7163</v>
      </c>
      <c r="U144" t="s">
        <v>351</v>
      </c>
      <c r="V144" t="s">
        <v>351</v>
      </c>
      <c r="W144">
        <v>7163</v>
      </c>
    </row>
    <row r="145" spans="1:23" x14ac:dyDescent="0.25">
      <c r="A145" s="1">
        <v>43891</v>
      </c>
      <c r="B145" s="1">
        <v>43891</v>
      </c>
      <c r="C145" t="s">
        <v>157</v>
      </c>
      <c r="D145" t="s">
        <v>48</v>
      </c>
      <c r="E145" t="s">
        <v>49</v>
      </c>
      <c r="F145" t="s">
        <v>208</v>
      </c>
      <c r="G145" s="56">
        <v>43928.620706018519</v>
      </c>
      <c r="H145">
        <v>33</v>
      </c>
      <c r="I145">
        <v>13219</v>
      </c>
      <c r="J145" t="s">
        <v>50</v>
      </c>
      <c r="K145" t="s">
        <v>50</v>
      </c>
      <c r="L145" t="s">
        <v>159</v>
      </c>
      <c r="M145" t="s">
        <v>51</v>
      </c>
      <c r="N145" t="s">
        <v>92</v>
      </c>
      <c r="O145" s="1">
        <v>41335</v>
      </c>
      <c r="P145" t="s">
        <v>84</v>
      </c>
      <c r="Q145">
        <v>1</v>
      </c>
      <c r="R145" t="s">
        <v>83</v>
      </c>
      <c r="S145">
        <v>4075.112783</v>
      </c>
      <c r="T145">
        <v>69.512</v>
      </c>
      <c r="U145" t="s">
        <v>351</v>
      </c>
      <c r="V145" t="s">
        <v>351</v>
      </c>
      <c r="W145">
        <v>283269</v>
      </c>
    </row>
    <row r="146" spans="1:23" x14ac:dyDescent="0.25">
      <c r="A146" s="1">
        <v>43891</v>
      </c>
      <c r="B146" s="1">
        <v>43891</v>
      </c>
      <c r="C146" t="s">
        <v>157</v>
      </c>
      <c r="D146" t="s">
        <v>93</v>
      </c>
      <c r="E146" t="s">
        <v>49</v>
      </c>
      <c r="F146" t="s">
        <v>207</v>
      </c>
      <c r="G146" s="56">
        <v>43970.737210648149</v>
      </c>
      <c r="H146">
        <v>33</v>
      </c>
      <c r="I146" t="s">
        <v>351</v>
      </c>
      <c r="J146" t="s">
        <v>50</v>
      </c>
      <c r="K146" t="s">
        <v>50</v>
      </c>
      <c r="L146" t="s">
        <v>159</v>
      </c>
      <c r="M146" t="s">
        <v>51</v>
      </c>
      <c r="N146" t="s">
        <v>92</v>
      </c>
      <c r="O146" s="1">
        <v>41335</v>
      </c>
      <c r="P146" t="s">
        <v>84</v>
      </c>
      <c r="Q146">
        <v>2</v>
      </c>
      <c r="R146" t="s">
        <v>94</v>
      </c>
      <c r="S146">
        <v>1</v>
      </c>
      <c r="T146">
        <v>14</v>
      </c>
      <c r="U146" t="s">
        <v>351</v>
      </c>
      <c r="V146" t="s">
        <v>351</v>
      </c>
      <c r="W146">
        <v>14</v>
      </c>
    </row>
    <row r="147" spans="1:23" x14ac:dyDescent="0.25">
      <c r="A147" s="1">
        <v>43891</v>
      </c>
      <c r="B147" s="1">
        <v>43891</v>
      </c>
      <c r="C147" t="s">
        <v>157</v>
      </c>
      <c r="D147" t="s">
        <v>48</v>
      </c>
      <c r="E147" t="s">
        <v>49</v>
      </c>
      <c r="F147" t="s">
        <v>208</v>
      </c>
      <c r="G147" s="56">
        <v>43928.620706018519</v>
      </c>
      <c r="H147">
        <v>33</v>
      </c>
      <c r="I147">
        <v>13219</v>
      </c>
      <c r="J147" t="s">
        <v>50</v>
      </c>
      <c r="K147" t="s">
        <v>50</v>
      </c>
      <c r="L147" t="s">
        <v>159</v>
      </c>
      <c r="M147" t="s">
        <v>51</v>
      </c>
      <c r="N147" t="s">
        <v>92</v>
      </c>
      <c r="O147" s="1">
        <v>41335</v>
      </c>
      <c r="P147" t="s">
        <v>84</v>
      </c>
      <c r="Q147">
        <v>2</v>
      </c>
      <c r="R147" t="s">
        <v>94</v>
      </c>
      <c r="S147">
        <v>7.8423639999999999</v>
      </c>
      <c r="T147">
        <v>72.001000000000005</v>
      </c>
      <c r="U147" t="s">
        <v>351</v>
      </c>
      <c r="V147" t="s">
        <v>351</v>
      </c>
      <c r="W147">
        <v>565</v>
      </c>
    </row>
    <row r="148" spans="1:23" x14ac:dyDescent="0.25">
      <c r="A148" s="1">
        <v>43891</v>
      </c>
      <c r="B148" s="1">
        <v>43891</v>
      </c>
      <c r="C148" t="s">
        <v>157</v>
      </c>
      <c r="D148" t="s">
        <v>93</v>
      </c>
      <c r="E148" t="s">
        <v>49</v>
      </c>
      <c r="F148" t="s">
        <v>207</v>
      </c>
      <c r="G148" s="56">
        <v>43970.737210648149</v>
      </c>
      <c r="H148">
        <v>33</v>
      </c>
      <c r="I148" t="s">
        <v>351</v>
      </c>
      <c r="J148" t="s">
        <v>50</v>
      </c>
      <c r="K148" t="s">
        <v>50</v>
      </c>
      <c r="L148" t="s">
        <v>159</v>
      </c>
      <c r="M148" t="s">
        <v>51</v>
      </c>
      <c r="N148" t="s">
        <v>92</v>
      </c>
      <c r="O148" s="1">
        <v>41335</v>
      </c>
      <c r="P148" t="s">
        <v>84</v>
      </c>
      <c r="Q148">
        <v>3</v>
      </c>
      <c r="R148" t="s">
        <v>81</v>
      </c>
      <c r="S148">
        <v>1</v>
      </c>
      <c r="T148">
        <v>965</v>
      </c>
      <c r="U148" t="s">
        <v>351</v>
      </c>
      <c r="V148" t="s">
        <v>351</v>
      </c>
      <c r="W148">
        <v>965</v>
      </c>
    </row>
    <row r="149" spans="1:23" x14ac:dyDescent="0.25">
      <c r="A149" s="1">
        <v>43891</v>
      </c>
      <c r="B149" s="1">
        <v>43891</v>
      </c>
      <c r="C149" t="s">
        <v>157</v>
      </c>
      <c r="D149" t="s">
        <v>48</v>
      </c>
      <c r="E149" t="s">
        <v>49</v>
      </c>
      <c r="F149" t="s">
        <v>208</v>
      </c>
      <c r="G149" s="56">
        <v>43928.620706018519</v>
      </c>
      <c r="H149">
        <v>33</v>
      </c>
      <c r="I149">
        <v>13219</v>
      </c>
      <c r="J149" t="s">
        <v>50</v>
      </c>
      <c r="K149" t="s">
        <v>50</v>
      </c>
      <c r="L149" t="s">
        <v>159</v>
      </c>
      <c r="M149" t="s">
        <v>51</v>
      </c>
      <c r="N149" t="s">
        <v>92</v>
      </c>
      <c r="O149" s="1">
        <v>41335</v>
      </c>
      <c r="P149" t="s">
        <v>84</v>
      </c>
      <c r="Q149">
        <v>3</v>
      </c>
      <c r="R149" t="s">
        <v>81</v>
      </c>
      <c r="S149">
        <v>577.13526899999999</v>
      </c>
      <c r="T149">
        <v>66.138000000000005</v>
      </c>
      <c r="U149" t="s">
        <v>351</v>
      </c>
      <c r="V149" t="s">
        <v>351</v>
      </c>
      <c r="W149">
        <v>38171</v>
      </c>
    </row>
    <row r="150" spans="1:23" x14ac:dyDescent="0.25">
      <c r="A150" s="1">
        <v>43891</v>
      </c>
      <c r="B150" s="1">
        <v>43891</v>
      </c>
      <c r="C150" t="s">
        <v>157</v>
      </c>
      <c r="D150" t="s">
        <v>93</v>
      </c>
      <c r="E150" t="s">
        <v>49</v>
      </c>
      <c r="F150" t="s">
        <v>207</v>
      </c>
      <c r="G150" s="56">
        <v>43970.737210648149</v>
      </c>
      <c r="H150">
        <v>33</v>
      </c>
      <c r="I150" t="s">
        <v>351</v>
      </c>
      <c r="J150" t="s">
        <v>50</v>
      </c>
      <c r="K150" t="s">
        <v>50</v>
      </c>
      <c r="L150" t="s">
        <v>159</v>
      </c>
      <c r="M150" t="s">
        <v>51</v>
      </c>
      <c r="N150" t="s">
        <v>92</v>
      </c>
      <c r="O150" s="1">
        <v>41335</v>
      </c>
      <c r="P150" t="s">
        <v>84</v>
      </c>
      <c r="Q150">
        <v>4</v>
      </c>
      <c r="R150" t="s">
        <v>27</v>
      </c>
      <c r="S150">
        <v>1</v>
      </c>
      <c r="T150">
        <v>6012</v>
      </c>
      <c r="U150" t="s">
        <v>351</v>
      </c>
      <c r="V150" t="s">
        <v>351</v>
      </c>
      <c r="W150">
        <v>6012</v>
      </c>
    </row>
    <row r="151" spans="1:23" x14ac:dyDescent="0.25">
      <c r="A151" s="1">
        <v>43891</v>
      </c>
      <c r="B151" s="1">
        <v>43891</v>
      </c>
      <c r="C151" t="s">
        <v>157</v>
      </c>
      <c r="D151" t="s">
        <v>48</v>
      </c>
      <c r="E151" t="s">
        <v>49</v>
      </c>
      <c r="F151" t="s">
        <v>208</v>
      </c>
      <c r="G151" s="56">
        <v>43928.620706018519</v>
      </c>
      <c r="H151">
        <v>33</v>
      </c>
      <c r="I151">
        <v>13219</v>
      </c>
      <c r="J151" t="s">
        <v>50</v>
      </c>
      <c r="K151" t="s">
        <v>50</v>
      </c>
      <c r="L151" t="s">
        <v>159</v>
      </c>
      <c r="M151" t="s">
        <v>51</v>
      </c>
      <c r="N151" t="s">
        <v>92</v>
      </c>
      <c r="O151" s="1">
        <v>41335</v>
      </c>
      <c r="P151" t="s">
        <v>84</v>
      </c>
      <c r="Q151">
        <v>4</v>
      </c>
      <c r="R151" t="s">
        <v>27</v>
      </c>
      <c r="S151">
        <v>3523.8486549999998</v>
      </c>
      <c r="T151">
        <v>67.459999999999994</v>
      </c>
      <c r="U151" t="s">
        <v>351</v>
      </c>
      <c r="V151" t="s">
        <v>351</v>
      </c>
      <c r="W151">
        <v>237719</v>
      </c>
    </row>
    <row r="152" spans="1:23" x14ac:dyDescent="0.25">
      <c r="A152" s="1">
        <v>43891</v>
      </c>
      <c r="B152" s="1">
        <v>43891</v>
      </c>
      <c r="C152" t="s">
        <v>157</v>
      </c>
      <c r="D152" t="s">
        <v>93</v>
      </c>
      <c r="E152" t="s">
        <v>49</v>
      </c>
      <c r="F152" t="s">
        <v>207</v>
      </c>
      <c r="G152" s="56">
        <v>43970.737210648149</v>
      </c>
      <c r="H152">
        <v>33</v>
      </c>
      <c r="I152" t="s">
        <v>351</v>
      </c>
      <c r="J152" t="s">
        <v>50</v>
      </c>
      <c r="K152" t="s">
        <v>50</v>
      </c>
      <c r="L152" t="s">
        <v>159</v>
      </c>
      <c r="M152" t="s">
        <v>51</v>
      </c>
      <c r="N152" t="s">
        <v>92</v>
      </c>
      <c r="O152" s="1">
        <v>41335</v>
      </c>
      <c r="P152" t="s">
        <v>84</v>
      </c>
      <c r="Q152">
        <v>5</v>
      </c>
      <c r="R152" t="s">
        <v>28</v>
      </c>
      <c r="S152">
        <v>1</v>
      </c>
      <c r="T152">
        <v>33</v>
      </c>
      <c r="U152" t="s">
        <v>351</v>
      </c>
      <c r="V152" t="s">
        <v>351</v>
      </c>
      <c r="W152">
        <v>33</v>
      </c>
    </row>
    <row r="153" spans="1:23" x14ac:dyDescent="0.25">
      <c r="A153" s="1">
        <v>43891</v>
      </c>
      <c r="B153" s="1">
        <v>43891</v>
      </c>
      <c r="C153" t="s">
        <v>157</v>
      </c>
      <c r="D153" t="s">
        <v>48</v>
      </c>
      <c r="E153" t="s">
        <v>49</v>
      </c>
      <c r="F153" t="s">
        <v>208</v>
      </c>
      <c r="G153" s="56">
        <v>43928.620706018519</v>
      </c>
      <c r="H153">
        <v>33</v>
      </c>
      <c r="I153">
        <v>13219</v>
      </c>
      <c r="J153" t="s">
        <v>50</v>
      </c>
      <c r="K153" t="s">
        <v>50</v>
      </c>
      <c r="L153" t="s">
        <v>159</v>
      </c>
      <c r="M153" t="s">
        <v>51</v>
      </c>
      <c r="N153" t="s">
        <v>92</v>
      </c>
      <c r="O153" s="1">
        <v>41335</v>
      </c>
      <c r="P153" t="s">
        <v>84</v>
      </c>
      <c r="Q153">
        <v>5</v>
      </c>
      <c r="R153" t="s">
        <v>28</v>
      </c>
      <c r="S153">
        <v>18.504829999999998</v>
      </c>
      <c r="T153">
        <v>70.204999999999998</v>
      </c>
      <c r="U153" t="s">
        <v>351</v>
      </c>
      <c r="V153" t="s">
        <v>351</v>
      </c>
      <c r="W153">
        <v>1299</v>
      </c>
    </row>
    <row r="154" spans="1:23" x14ac:dyDescent="0.25">
      <c r="A154" s="1">
        <v>43922</v>
      </c>
      <c r="B154" s="1">
        <v>43922</v>
      </c>
      <c r="C154" t="s">
        <v>157</v>
      </c>
      <c r="D154" t="s">
        <v>93</v>
      </c>
      <c r="E154" t="s">
        <v>49</v>
      </c>
      <c r="F154" t="s">
        <v>211</v>
      </c>
      <c r="G154" s="56">
        <v>43992.659548611111</v>
      </c>
      <c r="H154">
        <v>33</v>
      </c>
      <c r="I154" t="s">
        <v>351</v>
      </c>
      <c r="J154" t="s">
        <v>50</v>
      </c>
      <c r="K154" t="s">
        <v>50</v>
      </c>
      <c r="L154" t="s">
        <v>159</v>
      </c>
      <c r="M154" t="s">
        <v>51</v>
      </c>
      <c r="N154" t="s">
        <v>92</v>
      </c>
      <c r="O154" s="1">
        <v>41335</v>
      </c>
      <c r="P154" t="s">
        <v>84</v>
      </c>
      <c r="Q154">
        <v>1</v>
      </c>
      <c r="R154" t="s">
        <v>83</v>
      </c>
      <c r="S154">
        <v>1</v>
      </c>
      <c r="T154">
        <v>3814</v>
      </c>
      <c r="U154" t="s">
        <v>351</v>
      </c>
      <c r="V154" t="s">
        <v>351</v>
      </c>
      <c r="W154">
        <v>3814</v>
      </c>
    </row>
    <row r="155" spans="1:23" x14ac:dyDescent="0.25">
      <c r="A155" s="1">
        <v>43922</v>
      </c>
      <c r="B155" s="1">
        <v>43922</v>
      </c>
      <c r="C155" t="s">
        <v>157</v>
      </c>
      <c r="D155" t="s">
        <v>48</v>
      </c>
      <c r="E155" t="s">
        <v>49</v>
      </c>
      <c r="F155" t="s">
        <v>215</v>
      </c>
      <c r="G155" s="56">
        <v>43959.644641203704</v>
      </c>
      <c r="H155">
        <v>33</v>
      </c>
      <c r="I155">
        <v>13722</v>
      </c>
      <c r="J155" t="s">
        <v>50</v>
      </c>
      <c r="K155" t="s">
        <v>50</v>
      </c>
      <c r="L155" t="s">
        <v>159</v>
      </c>
      <c r="M155" t="s">
        <v>51</v>
      </c>
      <c r="N155" t="s">
        <v>92</v>
      </c>
      <c r="O155" s="1">
        <v>41335</v>
      </c>
      <c r="P155" t="s">
        <v>84</v>
      </c>
      <c r="Q155">
        <v>1</v>
      </c>
      <c r="R155" t="s">
        <v>83</v>
      </c>
      <c r="S155">
        <v>2937.81</v>
      </c>
      <c r="T155">
        <v>71.221999999999994</v>
      </c>
      <c r="U155" t="s">
        <v>351</v>
      </c>
      <c r="V155" t="s">
        <v>351</v>
      </c>
      <c r="W155">
        <v>209237</v>
      </c>
    </row>
    <row r="156" spans="1:23" x14ac:dyDescent="0.25">
      <c r="A156" s="1">
        <v>43922</v>
      </c>
      <c r="B156" s="1">
        <v>43922</v>
      </c>
      <c r="C156" t="s">
        <v>157</v>
      </c>
      <c r="D156" t="s">
        <v>93</v>
      </c>
      <c r="E156" t="s">
        <v>49</v>
      </c>
      <c r="F156" t="s">
        <v>211</v>
      </c>
      <c r="G156" s="56">
        <v>43992.659548611111</v>
      </c>
      <c r="H156">
        <v>33</v>
      </c>
      <c r="I156" t="s">
        <v>351</v>
      </c>
      <c r="J156" t="s">
        <v>50</v>
      </c>
      <c r="K156" t="s">
        <v>50</v>
      </c>
      <c r="L156" t="s">
        <v>159</v>
      </c>
      <c r="M156" t="s">
        <v>51</v>
      </c>
      <c r="N156" t="s">
        <v>92</v>
      </c>
      <c r="O156" s="1">
        <v>41335</v>
      </c>
      <c r="P156" t="s">
        <v>84</v>
      </c>
      <c r="Q156">
        <v>2</v>
      </c>
      <c r="R156" t="s">
        <v>94</v>
      </c>
      <c r="S156">
        <v>1</v>
      </c>
      <c r="T156">
        <v>8</v>
      </c>
      <c r="U156" t="s">
        <v>351</v>
      </c>
      <c r="V156" t="s">
        <v>351</v>
      </c>
      <c r="W156">
        <v>8</v>
      </c>
    </row>
    <row r="157" spans="1:23" x14ac:dyDescent="0.25">
      <c r="A157" s="1">
        <v>43922</v>
      </c>
      <c r="B157" s="1">
        <v>43922</v>
      </c>
      <c r="C157" t="s">
        <v>157</v>
      </c>
      <c r="D157" t="s">
        <v>48</v>
      </c>
      <c r="E157" t="s">
        <v>49</v>
      </c>
      <c r="F157" t="s">
        <v>215</v>
      </c>
      <c r="G157" s="56">
        <v>43959.644641203704</v>
      </c>
      <c r="H157">
        <v>33</v>
      </c>
      <c r="I157">
        <v>13722</v>
      </c>
      <c r="J157" t="s">
        <v>50</v>
      </c>
      <c r="K157" t="s">
        <v>50</v>
      </c>
      <c r="L157" t="s">
        <v>159</v>
      </c>
      <c r="M157" t="s">
        <v>51</v>
      </c>
      <c r="N157" t="s">
        <v>92</v>
      </c>
      <c r="O157" s="1">
        <v>41335</v>
      </c>
      <c r="P157" t="s">
        <v>84</v>
      </c>
      <c r="Q157">
        <v>2</v>
      </c>
      <c r="R157" t="s">
        <v>94</v>
      </c>
      <c r="S157">
        <v>6.150766</v>
      </c>
      <c r="T157">
        <v>73.772999999999996</v>
      </c>
      <c r="U157" t="s">
        <v>351</v>
      </c>
      <c r="V157" t="s">
        <v>351</v>
      </c>
      <c r="W157">
        <v>454</v>
      </c>
    </row>
    <row r="158" spans="1:23" x14ac:dyDescent="0.25">
      <c r="A158" s="1">
        <v>43922</v>
      </c>
      <c r="B158" s="1">
        <v>43922</v>
      </c>
      <c r="C158" t="s">
        <v>157</v>
      </c>
      <c r="D158" t="s">
        <v>93</v>
      </c>
      <c r="E158" t="s">
        <v>49</v>
      </c>
      <c r="F158" t="s">
        <v>211</v>
      </c>
      <c r="G158" s="56">
        <v>43992.659548611111</v>
      </c>
      <c r="H158">
        <v>33</v>
      </c>
      <c r="I158" t="s">
        <v>351</v>
      </c>
      <c r="J158" t="s">
        <v>50</v>
      </c>
      <c r="K158" t="s">
        <v>50</v>
      </c>
      <c r="L158" t="s">
        <v>159</v>
      </c>
      <c r="M158" t="s">
        <v>51</v>
      </c>
      <c r="N158" t="s">
        <v>92</v>
      </c>
      <c r="O158" s="1">
        <v>41335</v>
      </c>
      <c r="P158" t="s">
        <v>84</v>
      </c>
      <c r="Q158">
        <v>3</v>
      </c>
      <c r="R158" t="s">
        <v>81</v>
      </c>
      <c r="S158">
        <v>1</v>
      </c>
      <c r="T158">
        <v>531</v>
      </c>
      <c r="U158" t="s">
        <v>351</v>
      </c>
      <c r="V158" t="s">
        <v>351</v>
      </c>
      <c r="W158">
        <v>531</v>
      </c>
    </row>
    <row r="159" spans="1:23" x14ac:dyDescent="0.25">
      <c r="A159" s="1">
        <v>43922</v>
      </c>
      <c r="B159" s="1">
        <v>43922</v>
      </c>
      <c r="C159" t="s">
        <v>157</v>
      </c>
      <c r="D159" t="s">
        <v>48</v>
      </c>
      <c r="E159" t="s">
        <v>49</v>
      </c>
      <c r="F159" t="s">
        <v>215</v>
      </c>
      <c r="G159" s="56">
        <v>43959.644641203704</v>
      </c>
      <c r="H159">
        <v>33</v>
      </c>
      <c r="I159">
        <v>13722</v>
      </c>
      <c r="J159" t="s">
        <v>50</v>
      </c>
      <c r="K159" t="s">
        <v>50</v>
      </c>
      <c r="L159" t="s">
        <v>159</v>
      </c>
      <c r="M159" t="s">
        <v>51</v>
      </c>
      <c r="N159" t="s">
        <v>92</v>
      </c>
      <c r="O159" s="1">
        <v>41335</v>
      </c>
      <c r="P159" t="s">
        <v>84</v>
      </c>
      <c r="Q159">
        <v>3</v>
      </c>
      <c r="R159" t="s">
        <v>81</v>
      </c>
      <c r="S159">
        <v>430.04700800000001</v>
      </c>
      <c r="T159">
        <v>67.765000000000001</v>
      </c>
      <c r="U159" t="s">
        <v>351</v>
      </c>
      <c r="V159" t="s">
        <v>351</v>
      </c>
      <c r="W159">
        <v>29142</v>
      </c>
    </row>
    <row r="160" spans="1:23" x14ac:dyDescent="0.25">
      <c r="A160" s="1">
        <v>43922</v>
      </c>
      <c r="B160" s="1">
        <v>43922</v>
      </c>
      <c r="C160" t="s">
        <v>157</v>
      </c>
      <c r="D160" t="s">
        <v>93</v>
      </c>
      <c r="E160" t="s">
        <v>49</v>
      </c>
      <c r="F160" t="s">
        <v>211</v>
      </c>
      <c r="G160" s="56">
        <v>43992.659548611111</v>
      </c>
      <c r="H160">
        <v>33</v>
      </c>
      <c r="I160" t="s">
        <v>351</v>
      </c>
      <c r="J160" t="s">
        <v>50</v>
      </c>
      <c r="K160" t="s">
        <v>50</v>
      </c>
      <c r="L160" t="s">
        <v>159</v>
      </c>
      <c r="M160" t="s">
        <v>51</v>
      </c>
      <c r="N160" t="s">
        <v>92</v>
      </c>
      <c r="O160" s="1">
        <v>41335</v>
      </c>
      <c r="P160" t="s">
        <v>84</v>
      </c>
      <c r="Q160">
        <v>4</v>
      </c>
      <c r="R160" t="s">
        <v>27</v>
      </c>
      <c r="S160">
        <v>1</v>
      </c>
      <c r="T160">
        <v>3349</v>
      </c>
      <c r="U160" t="s">
        <v>351</v>
      </c>
      <c r="V160" t="s">
        <v>351</v>
      </c>
      <c r="W160">
        <v>3349</v>
      </c>
    </row>
    <row r="161" spans="1:23" x14ac:dyDescent="0.25">
      <c r="A161" s="1">
        <v>43922</v>
      </c>
      <c r="B161" s="1">
        <v>43922</v>
      </c>
      <c r="C161" t="s">
        <v>157</v>
      </c>
      <c r="D161" t="s">
        <v>48</v>
      </c>
      <c r="E161" t="s">
        <v>49</v>
      </c>
      <c r="F161" t="s">
        <v>215</v>
      </c>
      <c r="G161" s="56">
        <v>43959.644641203704</v>
      </c>
      <c r="H161">
        <v>33</v>
      </c>
      <c r="I161">
        <v>13722</v>
      </c>
      <c r="J161" t="s">
        <v>50</v>
      </c>
      <c r="K161" t="s">
        <v>50</v>
      </c>
      <c r="L161" t="s">
        <v>159</v>
      </c>
      <c r="M161" t="s">
        <v>51</v>
      </c>
      <c r="N161" t="s">
        <v>92</v>
      </c>
      <c r="O161" s="1">
        <v>41335</v>
      </c>
      <c r="P161" t="s">
        <v>84</v>
      </c>
      <c r="Q161">
        <v>4</v>
      </c>
      <c r="R161" t="s">
        <v>27</v>
      </c>
      <c r="S161">
        <v>2658.6885689999999</v>
      </c>
      <c r="T161">
        <v>69.12</v>
      </c>
      <c r="U161" t="s">
        <v>351</v>
      </c>
      <c r="V161" t="s">
        <v>351</v>
      </c>
      <c r="W161">
        <v>183769</v>
      </c>
    </row>
    <row r="162" spans="1:23" x14ac:dyDescent="0.25">
      <c r="A162" s="1">
        <v>43922</v>
      </c>
      <c r="B162" s="1">
        <v>43922</v>
      </c>
      <c r="C162" t="s">
        <v>157</v>
      </c>
      <c r="D162" t="s">
        <v>93</v>
      </c>
      <c r="E162" t="s">
        <v>49</v>
      </c>
      <c r="F162" t="s">
        <v>211</v>
      </c>
      <c r="G162" s="56">
        <v>43992.659548611111</v>
      </c>
      <c r="H162">
        <v>33</v>
      </c>
      <c r="I162" t="s">
        <v>351</v>
      </c>
      <c r="J162" t="s">
        <v>50</v>
      </c>
      <c r="K162" t="s">
        <v>50</v>
      </c>
      <c r="L162" t="s">
        <v>159</v>
      </c>
      <c r="M162" t="s">
        <v>51</v>
      </c>
      <c r="N162" t="s">
        <v>92</v>
      </c>
      <c r="O162" s="1">
        <v>41335</v>
      </c>
      <c r="P162" t="s">
        <v>84</v>
      </c>
      <c r="Q162">
        <v>5</v>
      </c>
      <c r="R162" t="s">
        <v>28</v>
      </c>
      <c r="S162">
        <v>1</v>
      </c>
      <c r="T162">
        <v>20</v>
      </c>
      <c r="U162" t="s">
        <v>351</v>
      </c>
      <c r="V162" t="s">
        <v>351</v>
      </c>
      <c r="W162">
        <v>20</v>
      </c>
    </row>
    <row r="163" spans="1:23" x14ac:dyDescent="0.25">
      <c r="A163" s="1">
        <v>43922</v>
      </c>
      <c r="B163" s="1">
        <v>43922</v>
      </c>
      <c r="C163" t="s">
        <v>157</v>
      </c>
      <c r="D163" t="s">
        <v>48</v>
      </c>
      <c r="E163" t="s">
        <v>49</v>
      </c>
      <c r="F163" t="s">
        <v>215</v>
      </c>
      <c r="G163" s="56">
        <v>43959.644641203704</v>
      </c>
      <c r="H163">
        <v>33</v>
      </c>
      <c r="I163">
        <v>13722</v>
      </c>
      <c r="J163" t="s">
        <v>50</v>
      </c>
      <c r="K163" t="s">
        <v>50</v>
      </c>
      <c r="L163" t="s">
        <v>159</v>
      </c>
      <c r="M163" t="s">
        <v>51</v>
      </c>
      <c r="N163" t="s">
        <v>92</v>
      </c>
      <c r="O163" s="1">
        <v>41335</v>
      </c>
      <c r="P163" t="s">
        <v>84</v>
      </c>
      <c r="Q163">
        <v>5</v>
      </c>
      <c r="R163" t="s">
        <v>28</v>
      </c>
      <c r="S163">
        <v>15.457482000000001</v>
      </c>
      <c r="T163">
        <v>71.932000000000002</v>
      </c>
      <c r="U163" t="s">
        <v>351</v>
      </c>
      <c r="V163" t="s">
        <v>351</v>
      </c>
      <c r="W163">
        <v>1112</v>
      </c>
    </row>
    <row r="164" spans="1:23" x14ac:dyDescent="0.25">
      <c r="A164" s="1">
        <v>43952</v>
      </c>
      <c r="B164" s="1">
        <v>43952</v>
      </c>
      <c r="C164" t="s">
        <v>157</v>
      </c>
      <c r="D164" t="s">
        <v>93</v>
      </c>
      <c r="E164" t="s">
        <v>49</v>
      </c>
      <c r="F164" t="s">
        <v>217</v>
      </c>
      <c r="G164" s="56">
        <v>44027.009201388886</v>
      </c>
      <c r="H164">
        <v>33</v>
      </c>
      <c r="I164">
        <v>14695</v>
      </c>
      <c r="J164" t="s">
        <v>50</v>
      </c>
      <c r="K164" t="s">
        <v>50</v>
      </c>
      <c r="L164" t="s">
        <v>159</v>
      </c>
      <c r="M164" t="s">
        <v>51</v>
      </c>
      <c r="N164" t="s">
        <v>92</v>
      </c>
      <c r="O164" s="1">
        <v>41335</v>
      </c>
      <c r="P164" t="s">
        <v>84</v>
      </c>
      <c r="Q164">
        <v>1</v>
      </c>
      <c r="R164" t="s">
        <v>83</v>
      </c>
      <c r="S164">
        <v>1</v>
      </c>
      <c r="T164">
        <v>269</v>
      </c>
      <c r="U164" t="s">
        <v>351</v>
      </c>
      <c r="V164" t="s">
        <v>351</v>
      </c>
      <c r="W164">
        <v>269</v>
      </c>
    </row>
    <row r="165" spans="1:23" x14ac:dyDescent="0.25">
      <c r="A165" s="1">
        <v>43952</v>
      </c>
      <c r="B165" s="1">
        <v>43952</v>
      </c>
      <c r="C165" t="s">
        <v>157</v>
      </c>
      <c r="D165" t="s">
        <v>48</v>
      </c>
      <c r="E165" t="s">
        <v>49</v>
      </c>
      <c r="F165" t="s">
        <v>220</v>
      </c>
      <c r="G165" s="56">
        <v>43987.496550925927</v>
      </c>
      <c r="H165">
        <v>33</v>
      </c>
      <c r="I165">
        <v>14013</v>
      </c>
      <c r="J165" t="s">
        <v>50</v>
      </c>
      <c r="K165" t="s">
        <v>50</v>
      </c>
      <c r="L165" t="s">
        <v>159</v>
      </c>
      <c r="M165" t="s">
        <v>51</v>
      </c>
      <c r="N165" t="s">
        <v>92</v>
      </c>
      <c r="O165" s="1">
        <v>41335</v>
      </c>
      <c r="P165" t="s">
        <v>84</v>
      </c>
      <c r="Q165">
        <v>1</v>
      </c>
      <c r="R165" t="s">
        <v>83</v>
      </c>
      <c r="S165">
        <v>2850.9896789999998</v>
      </c>
      <c r="T165">
        <v>71.221999999999994</v>
      </c>
      <c r="U165" t="s">
        <v>351</v>
      </c>
      <c r="V165" t="s">
        <v>351</v>
      </c>
      <c r="W165">
        <v>203053</v>
      </c>
    </row>
    <row r="166" spans="1:23" x14ac:dyDescent="0.25">
      <c r="A166" s="1">
        <v>43952</v>
      </c>
      <c r="B166" s="1">
        <v>43952</v>
      </c>
      <c r="C166" t="s">
        <v>157</v>
      </c>
      <c r="D166" t="s">
        <v>48</v>
      </c>
      <c r="E166" t="s">
        <v>49</v>
      </c>
      <c r="F166" t="s">
        <v>220</v>
      </c>
      <c r="G166" s="56">
        <v>43987.496550925927</v>
      </c>
      <c r="H166">
        <v>33</v>
      </c>
      <c r="I166">
        <v>14013</v>
      </c>
      <c r="J166" t="s">
        <v>50</v>
      </c>
      <c r="K166" t="s">
        <v>50</v>
      </c>
      <c r="L166" t="s">
        <v>159</v>
      </c>
      <c r="M166" t="s">
        <v>51</v>
      </c>
      <c r="N166" t="s">
        <v>92</v>
      </c>
      <c r="O166" s="1">
        <v>41335</v>
      </c>
      <c r="P166" t="s">
        <v>84</v>
      </c>
      <c r="Q166">
        <v>2</v>
      </c>
      <c r="R166" t="s">
        <v>94</v>
      </c>
      <c r="S166">
        <v>6.0668620000000004</v>
      </c>
      <c r="T166">
        <v>73.772999999999996</v>
      </c>
      <c r="U166" t="s">
        <v>351</v>
      </c>
      <c r="V166" t="s">
        <v>351</v>
      </c>
      <c r="W166">
        <v>448</v>
      </c>
    </row>
    <row r="167" spans="1:23" x14ac:dyDescent="0.25">
      <c r="A167" s="1">
        <v>43952</v>
      </c>
      <c r="B167" s="1">
        <v>43952</v>
      </c>
      <c r="C167" t="s">
        <v>157</v>
      </c>
      <c r="D167" t="s">
        <v>93</v>
      </c>
      <c r="E167" t="s">
        <v>49</v>
      </c>
      <c r="F167" t="s">
        <v>217</v>
      </c>
      <c r="G167" s="56">
        <v>44027.009201388886</v>
      </c>
      <c r="H167">
        <v>33</v>
      </c>
      <c r="I167">
        <v>14695</v>
      </c>
      <c r="J167" t="s">
        <v>50</v>
      </c>
      <c r="K167" t="s">
        <v>50</v>
      </c>
      <c r="L167" t="s">
        <v>159</v>
      </c>
      <c r="M167" t="s">
        <v>51</v>
      </c>
      <c r="N167" t="s">
        <v>92</v>
      </c>
      <c r="O167" s="1">
        <v>41335</v>
      </c>
      <c r="P167" t="s">
        <v>84</v>
      </c>
      <c r="Q167">
        <v>3</v>
      </c>
      <c r="R167" t="s">
        <v>81</v>
      </c>
      <c r="S167">
        <v>1</v>
      </c>
      <c r="T167">
        <v>38</v>
      </c>
      <c r="U167" t="s">
        <v>351</v>
      </c>
      <c r="V167" t="s">
        <v>351</v>
      </c>
      <c r="W167">
        <v>38</v>
      </c>
    </row>
    <row r="168" spans="1:23" x14ac:dyDescent="0.25">
      <c r="A168" s="1">
        <v>43952</v>
      </c>
      <c r="B168" s="1">
        <v>43952</v>
      </c>
      <c r="C168" t="s">
        <v>157</v>
      </c>
      <c r="D168" t="s">
        <v>48</v>
      </c>
      <c r="E168" t="s">
        <v>49</v>
      </c>
      <c r="F168" t="s">
        <v>220</v>
      </c>
      <c r="G168" s="56">
        <v>43987.496550925927</v>
      </c>
      <c r="H168">
        <v>33</v>
      </c>
      <c r="I168">
        <v>14013</v>
      </c>
      <c r="J168" t="s">
        <v>50</v>
      </c>
      <c r="K168" t="s">
        <v>50</v>
      </c>
      <c r="L168" t="s">
        <v>159</v>
      </c>
      <c r="M168" t="s">
        <v>51</v>
      </c>
      <c r="N168" t="s">
        <v>92</v>
      </c>
      <c r="O168" s="1">
        <v>41335</v>
      </c>
      <c r="P168" t="s">
        <v>84</v>
      </c>
      <c r="Q168">
        <v>3</v>
      </c>
      <c r="R168" t="s">
        <v>81</v>
      </c>
      <c r="S168">
        <v>420.03741300000002</v>
      </c>
      <c r="T168">
        <v>67.765000000000001</v>
      </c>
      <c r="U168" t="s">
        <v>351</v>
      </c>
      <c r="V168" t="s">
        <v>351</v>
      </c>
      <c r="W168">
        <v>28464</v>
      </c>
    </row>
    <row r="169" spans="1:23" x14ac:dyDescent="0.25">
      <c r="A169" s="1">
        <v>43952</v>
      </c>
      <c r="B169" s="1">
        <v>43952</v>
      </c>
      <c r="C169" t="s">
        <v>157</v>
      </c>
      <c r="D169" t="s">
        <v>93</v>
      </c>
      <c r="E169" t="s">
        <v>49</v>
      </c>
      <c r="F169" t="s">
        <v>217</v>
      </c>
      <c r="G169" s="56">
        <v>44027.009201388886</v>
      </c>
      <c r="H169">
        <v>33</v>
      </c>
      <c r="I169">
        <v>14695</v>
      </c>
      <c r="J169" t="s">
        <v>50</v>
      </c>
      <c r="K169" t="s">
        <v>50</v>
      </c>
      <c r="L169" t="s">
        <v>159</v>
      </c>
      <c r="M169" t="s">
        <v>51</v>
      </c>
      <c r="N169" t="s">
        <v>92</v>
      </c>
      <c r="O169" s="1">
        <v>41335</v>
      </c>
      <c r="P169" t="s">
        <v>84</v>
      </c>
      <c r="Q169">
        <v>4</v>
      </c>
      <c r="R169" t="s">
        <v>27</v>
      </c>
      <c r="S169">
        <v>1</v>
      </c>
      <c r="T169">
        <v>238</v>
      </c>
      <c r="U169" t="s">
        <v>351</v>
      </c>
      <c r="V169" t="s">
        <v>351</v>
      </c>
      <c r="W169">
        <v>238</v>
      </c>
    </row>
    <row r="170" spans="1:23" x14ac:dyDescent="0.25">
      <c r="A170" s="1">
        <v>43952</v>
      </c>
      <c r="B170" s="1">
        <v>43952</v>
      </c>
      <c r="C170" t="s">
        <v>157</v>
      </c>
      <c r="D170" t="s">
        <v>48</v>
      </c>
      <c r="E170" t="s">
        <v>49</v>
      </c>
      <c r="F170" t="s">
        <v>220</v>
      </c>
      <c r="G170" s="56">
        <v>43987.496550925927</v>
      </c>
      <c r="H170">
        <v>33</v>
      </c>
      <c r="I170">
        <v>14013</v>
      </c>
      <c r="J170" t="s">
        <v>50</v>
      </c>
      <c r="K170" t="s">
        <v>50</v>
      </c>
      <c r="L170" t="s">
        <v>159</v>
      </c>
      <c r="M170" t="s">
        <v>51</v>
      </c>
      <c r="N170" t="s">
        <v>92</v>
      </c>
      <c r="O170" s="1">
        <v>41335</v>
      </c>
      <c r="P170" t="s">
        <v>84</v>
      </c>
      <c r="Q170">
        <v>4</v>
      </c>
      <c r="R170" t="s">
        <v>27</v>
      </c>
      <c r="S170">
        <v>2600.4811690000001</v>
      </c>
      <c r="T170">
        <v>69.12</v>
      </c>
      <c r="U170" t="s">
        <v>351</v>
      </c>
      <c r="V170" t="s">
        <v>351</v>
      </c>
      <c r="W170">
        <v>179745</v>
      </c>
    </row>
    <row r="171" spans="1:23" x14ac:dyDescent="0.25">
      <c r="A171" s="1">
        <v>43952</v>
      </c>
      <c r="B171" s="1">
        <v>43952</v>
      </c>
      <c r="C171" t="s">
        <v>157</v>
      </c>
      <c r="D171" t="s">
        <v>93</v>
      </c>
      <c r="E171" t="s">
        <v>49</v>
      </c>
      <c r="F171" t="s">
        <v>217</v>
      </c>
      <c r="G171" s="56">
        <v>44027.009201388886</v>
      </c>
      <c r="H171">
        <v>33</v>
      </c>
      <c r="I171">
        <v>14695</v>
      </c>
      <c r="J171" t="s">
        <v>50</v>
      </c>
      <c r="K171" t="s">
        <v>50</v>
      </c>
      <c r="L171" t="s">
        <v>159</v>
      </c>
      <c r="M171" t="s">
        <v>51</v>
      </c>
      <c r="N171" t="s">
        <v>92</v>
      </c>
      <c r="O171" s="1">
        <v>41335</v>
      </c>
      <c r="P171" t="s">
        <v>84</v>
      </c>
      <c r="Q171">
        <v>5</v>
      </c>
      <c r="R171" t="s">
        <v>28</v>
      </c>
      <c r="S171">
        <v>1</v>
      </c>
      <c r="T171">
        <v>1</v>
      </c>
      <c r="U171" t="s">
        <v>351</v>
      </c>
      <c r="V171" t="s">
        <v>351</v>
      </c>
      <c r="W171">
        <v>1</v>
      </c>
    </row>
    <row r="172" spans="1:23" x14ac:dyDescent="0.25">
      <c r="A172" s="1">
        <v>43952</v>
      </c>
      <c r="B172" s="1">
        <v>43952</v>
      </c>
      <c r="C172" t="s">
        <v>157</v>
      </c>
      <c r="D172" t="s">
        <v>48</v>
      </c>
      <c r="E172" t="s">
        <v>49</v>
      </c>
      <c r="F172" t="s">
        <v>220</v>
      </c>
      <c r="G172" s="56">
        <v>43987.496550925927</v>
      </c>
      <c r="H172">
        <v>33</v>
      </c>
      <c r="I172">
        <v>14013</v>
      </c>
      <c r="J172" t="s">
        <v>50</v>
      </c>
      <c r="K172" t="s">
        <v>50</v>
      </c>
      <c r="L172" t="s">
        <v>159</v>
      </c>
      <c r="M172" t="s">
        <v>51</v>
      </c>
      <c r="N172" t="s">
        <v>92</v>
      </c>
      <c r="O172" s="1">
        <v>41335</v>
      </c>
      <c r="P172" t="s">
        <v>84</v>
      </c>
      <c r="Q172">
        <v>5</v>
      </c>
      <c r="R172" t="s">
        <v>28</v>
      </c>
      <c r="S172">
        <v>15.361321</v>
      </c>
      <c r="T172">
        <v>71.932000000000002</v>
      </c>
      <c r="U172" t="s">
        <v>351</v>
      </c>
      <c r="V172" t="s">
        <v>351</v>
      </c>
      <c r="W172">
        <v>1105</v>
      </c>
    </row>
    <row r="173" spans="1:23" x14ac:dyDescent="0.25">
      <c r="A173" s="1">
        <v>43983</v>
      </c>
      <c r="B173" s="1">
        <v>43983</v>
      </c>
      <c r="C173" t="s">
        <v>157</v>
      </c>
      <c r="D173" t="s">
        <v>93</v>
      </c>
      <c r="E173" t="s">
        <v>49</v>
      </c>
      <c r="F173" t="s">
        <v>229</v>
      </c>
      <c r="G173" s="56">
        <v>44057.743877314817</v>
      </c>
      <c r="H173">
        <v>61</v>
      </c>
      <c r="I173" t="s">
        <v>351</v>
      </c>
      <c r="J173" t="s">
        <v>50</v>
      </c>
      <c r="K173" t="s">
        <v>50</v>
      </c>
      <c r="L173" t="s">
        <v>159</v>
      </c>
      <c r="M173" t="s">
        <v>51</v>
      </c>
      <c r="N173" t="s">
        <v>92</v>
      </c>
      <c r="O173" s="1">
        <v>41335</v>
      </c>
      <c r="P173" t="s">
        <v>84</v>
      </c>
      <c r="Q173">
        <v>1</v>
      </c>
      <c r="R173" t="s">
        <v>83</v>
      </c>
      <c r="S173">
        <v>1</v>
      </c>
      <c r="T173">
        <v>-1449</v>
      </c>
      <c r="U173" t="s">
        <v>351</v>
      </c>
      <c r="V173" t="s">
        <v>351</v>
      </c>
      <c r="W173">
        <v>-1449</v>
      </c>
    </row>
    <row r="174" spans="1:23" x14ac:dyDescent="0.25">
      <c r="A174" s="1">
        <v>43983</v>
      </c>
      <c r="B174" s="1">
        <v>43983</v>
      </c>
      <c r="C174" t="s">
        <v>157</v>
      </c>
      <c r="D174" t="s">
        <v>48</v>
      </c>
      <c r="E174" t="s">
        <v>49</v>
      </c>
      <c r="F174" t="s">
        <v>228</v>
      </c>
      <c r="G174" s="56">
        <v>44020.479664351849</v>
      </c>
      <c r="H174">
        <v>33</v>
      </c>
      <c r="I174">
        <v>14392</v>
      </c>
      <c r="J174" t="s">
        <v>50</v>
      </c>
      <c r="K174" t="s">
        <v>50</v>
      </c>
      <c r="L174" t="s">
        <v>159</v>
      </c>
      <c r="M174" t="s">
        <v>51</v>
      </c>
      <c r="N174" t="s">
        <v>92</v>
      </c>
      <c r="O174" s="1">
        <v>41335</v>
      </c>
      <c r="P174" t="s">
        <v>84</v>
      </c>
      <c r="Q174">
        <v>1</v>
      </c>
      <c r="R174" t="s">
        <v>83</v>
      </c>
      <c r="S174">
        <v>2496.08</v>
      </c>
      <c r="T174">
        <v>71.221999999999994</v>
      </c>
      <c r="U174" t="s">
        <v>351</v>
      </c>
      <c r="V174" t="s">
        <v>351</v>
      </c>
      <c r="W174">
        <v>177776</v>
      </c>
    </row>
    <row r="175" spans="1:23" x14ac:dyDescent="0.25">
      <c r="A175" s="1">
        <v>43983</v>
      </c>
      <c r="B175" s="1">
        <v>43983</v>
      </c>
      <c r="C175" t="s">
        <v>157</v>
      </c>
      <c r="D175" t="s">
        <v>93</v>
      </c>
      <c r="E175" t="s">
        <v>49</v>
      </c>
      <c r="F175" t="s">
        <v>229</v>
      </c>
      <c r="G175" s="56">
        <v>44057.743877314817</v>
      </c>
      <c r="H175">
        <v>61</v>
      </c>
      <c r="I175" t="s">
        <v>351</v>
      </c>
      <c r="J175" t="s">
        <v>50</v>
      </c>
      <c r="K175" t="s">
        <v>50</v>
      </c>
      <c r="L175" t="s">
        <v>159</v>
      </c>
      <c r="M175" t="s">
        <v>51</v>
      </c>
      <c r="N175" t="s">
        <v>92</v>
      </c>
      <c r="O175" s="1">
        <v>41335</v>
      </c>
      <c r="P175" t="s">
        <v>84</v>
      </c>
      <c r="Q175">
        <v>2</v>
      </c>
      <c r="R175" t="s">
        <v>94</v>
      </c>
      <c r="S175">
        <v>1</v>
      </c>
      <c r="T175">
        <v>-3</v>
      </c>
      <c r="U175" t="s">
        <v>351</v>
      </c>
      <c r="V175" t="s">
        <v>351</v>
      </c>
      <c r="W175">
        <v>-3</v>
      </c>
    </row>
    <row r="176" spans="1:23" x14ac:dyDescent="0.25">
      <c r="A176" s="1">
        <v>43983</v>
      </c>
      <c r="B176" s="1">
        <v>43983</v>
      </c>
      <c r="C176" t="s">
        <v>157</v>
      </c>
      <c r="D176" t="s">
        <v>48</v>
      </c>
      <c r="E176" t="s">
        <v>49</v>
      </c>
      <c r="F176" t="s">
        <v>228</v>
      </c>
      <c r="G176" s="56">
        <v>44020.479664351849</v>
      </c>
      <c r="H176">
        <v>33</v>
      </c>
      <c r="I176">
        <v>14392</v>
      </c>
      <c r="J176" t="s">
        <v>50</v>
      </c>
      <c r="K176" t="s">
        <v>50</v>
      </c>
      <c r="L176" t="s">
        <v>159</v>
      </c>
      <c r="M176" t="s">
        <v>51</v>
      </c>
      <c r="N176" t="s">
        <v>92</v>
      </c>
      <c r="O176" s="1">
        <v>41335</v>
      </c>
      <c r="P176" t="s">
        <v>84</v>
      </c>
      <c r="Q176">
        <v>2</v>
      </c>
      <c r="R176" t="s">
        <v>94</v>
      </c>
      <c r="S176">
        <v>5.0652330000000001</v>
      </c>
      <c r="T176">
        <v>73.772999999999996</v>
      </c>
      <c r="U176" t="s">
        <v>351</v>
      </c>
      <c r="V176" t="s">
        <v>351</v>
      </c>
      <c r="W176">
        <v>374</v>
      </c>
    </row>
    <row r="177" spans="1:23" x14ac:dyDescent="0.25">
      <c r="A177" s="1">
        <v>43983</v>
      </c>
      <c r="B177" s="1">
        <v>43983</v>
      </c>
      <c r="C177" t="s">
        <v>157</v>
      </c>
      <c r="D177" t="s">
        <v>93</v>
      </c>
      <c r="E177" t="s">
        <v>49</v>
      </c>
      <c r="F177" t="s">
        <v>229</v>
      </c>
      <c r="G177" s="56">
        <v>44057.743877314817</v>
      </c>
      <c r="H177">
        <v>61</v>
      </c>
      <c r="I177" t="s">
        <v>351</v>
      </c>
      <c r="J177" t="s">
        <v>50</v>
      </c>
      <c r="K177" t="s">
        <v>50</v>
      </c>
      <c r="L177" t="s">
        <v>159</v>
      </c>
      <c r="M177" t="s">
        <v>51</v>
      </c>
      <c r="N177" t="s">
        <v>92</v>
      </c>
      <c r="O177" s="1">
        <v>41335</v>
      </c>
      <c r="P177" t="s">
        <v>84</v>
      </c>
      <c r="Q177">
        <v>3</v>
      </c>
      <c r="R177" t="s">
        <v>81</v>
      </c>
      <c r="S177">
        <v>1</v>
      </c>
      <c r="T177">
        <v>-200</v>
      </c>
      <c r="U177" t="s">
        <v>351</v>
      </c>
      <c r="V177" t="s">
        <v>351</v>
      </c>
      <c r="W177">
        <v>-200</v>
      </c>
    </row>
    <row r="178" spans="1:23" x14ac:dyDescent="0.25">
      <c r="A178" s="1">
        <v>43983</v>
      </c>
      <c r="B178" s="1">
        <v>43983</v>
      </c>
      <c r="C178" t="s">
        <v>157</v>
      </c>
      <c r="D178" t="s">
        <v>48</v>
      </c>
      <c r="E178" t="s">
        <v>49</v>
      </c>
      <c r="F178" t="s">
        <v>228</v>
      </c>
      <c r="G178" s="56">
        <v>44020.479664351849</v>
      </c>
      <c r="H178">
        <v>33</v>
      </c>
      <c r="I178">
        <v>14392</v>
      </c>
      <c r="J178" t="s">
        <v>50</v>
      </c>
      <c r="K178" t="s">
        <v>50</v>
      </c>
      <c r="L178" t="s">
        <v>159</v>
      </c>
      <c r="M178" t="s">
        <v>51</v>
      </c>
      <c r="N178" t="s">
        <v>92</v>
      </c>
      <c r="O178" s="1">
        <v>41335</v>
      </c>
      <c r="P178" t="s">
        <v>84</v>
      </c>
      <c r="Q178">
        <v>3</v>
      </c>
      <c r="R178" t="s">
        <v>81</v>
      </c>
      <c r="S178">
        <v>361.77921099999998</v>
      </c>
      <c r="T178">
        <v>67.765000000000001</v>
      </c>
      <c r="U178" t="s">
        <v>351</v>
      </c>
      <c r="V178" t="s">
        <v>351</v>
      </c>
      <c r="W178">
        <v>24516</v>
      </c>
    </row>
    <row r="179" spans="1:23" x14ac:dyDescent="0.25">
      <c r="A179" s="1">
        <v>43983</v>
      </c>
      <c r="B179" s="1">
        <v>43983</v>
      </c>
      <c r="C179" t="s">
        <v>157</v>
      </c>
      <c r="D179" t="s">
        <v>93</v>
      </c>
      <c r="E179" t="s">
        <v>49</v>
      </c>
      <c r="F179" t="s">
        <v>229</v>
      </c>
      <c r="G179" s="56">
        <v>44057.743877314817</v>
      </c>
      <c r="H179">
        <v>61</v>
      </c>
      <c r="I179" t="s">
        <v>351</v>
      </c>
      <c r="J179" t="s">
        <v>50</v>
      </c>
      <c r="K179" t="s">
        <v>50</v>
      </c>
      <c r="L179" t="s">
        <v>159</v>
      </c>
      <c r="M179" t="s">
        <v>51</v>
      </c>
      <c r="N179" t="s">
        <v>92</v>
      </c>
      <c r="O179" s="1">
        <v>41335</v>
      </c>
      <c r="P179" t="s">
        <v>84</v>
      </c>
      <c r="Q179">
        <v>4</v>
      </c>
      <c r="R179" t="s">
        <v>27</v>
      </c>
      <c r="S179">
        <v>1</v>
      </c>
      <c r="T179">
        <v>-1279</v>
      </c>
      <c r="U179" t="s">
        <v>351</v>
      </c>
      <c r="V179" t="s">
        <v>351</v>
      </c>
      <c r="W179">
        <v>-1279</v>
      </c>
    </row>
    <row r="180" spans="1:23" x14ac:dyDescent="0.25">
      <c r="A180" s="1">
        <v>43983</v>
      </c>
      <c r="B180" s="1">
        <v>43983</v>
      </c>
      <c r="C180" t="s">
        <v>157</v>
      </c>
      <c r="D180" t="s">
        <v>48</v>
      </c>
      <c r="E180" t="s">
        <v>49</v>
      </c>
      <c r="F180" t="s">
        <v>228</v>
      </c>
      <c r="G180" s="56">
        <v>44020.479664351849</v>
      </c>
      <c r="H180">
        <v>33</v>
      </c>
      <c r="I180">
        <v>14392</v>
      </c>
      <c r="J180" t="s">
        <v>50</v>
      </c>
      <c r="K180" t="s">
        <v>50</v>
      </c>
      <c r="L180" t="s">
        <v>159</v>
      </c>
      <c r="M180" t="s">
        <v>51</v>
      </c>
      <c r="N180" t="s">
        <v>92</v>
      </c>
      <c r="O180" s="1">
        <v>41335</v>
      </c>
      <c r="P180" t="s">
        <v>84</v>
      </c>
      <c r="Q180">
        <v>4</v>
      </c>
      <c r="R180" t="s">
        <v>27</v>
      </c>
      <c r="S180">
        <v>2272.4959020000001</v>
      </c>
      <c r="T180">
        <v>69.12</v>
      </c>
      <c r="U180" t="s">
        <v>351</v>
      </c>
      <c r="V180" t="s">
        <v>351</v>
      </c>
      <c r="W180">
        <v>157075</v>
      </c>
    </row>
    <row r="181" spans="1:23" x14ac:dyDescent="0.25">
      <c r="A181" s="1">
        <v>43983</v>
      </c>
      <c r="B181" s="1">
        <v>43983</v>
      </c>
      <c r="C181" t="s">
        <v>157</v>
      </c>
      <c r="D181" t="s">
        <v>93</v>
      </c>
      <c r="E181" t="s">
        <v>49</v>
      </c>
      <c r="F181" t="s">
        <v>229</v>
      </c>
      <c r="G181" s="56">
        <v>44057.743877314817</v>
      </c>
      <c r="H181">
        <v>61</v>
      </c>
      <c r="I181" t="s">
        <v>351</v>
      </c>
      <c r="J181" t="s">
        <v>50</v>
      </c>
      <c r="K181" t="s">
        <v>50</v>
      </c>
      <c r="L181" t="s">
        <v>159</v>
      </c>
      <c r="M181" t="s">
        <v>51</v>
      </c>
      <c r="N181" t="s">
        <v>92</v>
      </c>
      <c r="O181" s="1">
        <v>41335</v>
      </c>
      <c r="P181" t="s">
        <v>84</v>
      </c>
      <c r="Q181">
        <v>5</v>
      </c>
      <c r="R181" t="s">
        <v>28</v>
      </c>
      <c r="S181">
        <v>1</v>
      </c>
      <c r="T181">
        <v>-8</v>
      </c>
      <c r="U181" t="s">
        <v>351</v>
      </c>
      <c r="V181" t="s">
        <v>351</v>
      </c>
      <c r="W181">
        <v>-8</v>
      </c>
    </row>
    <row r="182" spans="1:23" x14ac:dyDescent="0.25">
      <c r="A182" s="1">
        <v>43983</v>
      </c>
      <c r="B182" s="1">
        <v>43983</v>
      </c>
      <c r="C182" t="s">
        <v>157</v>
      </c>
      <c r="D182" t="s">
        <v>48</v>
      </c>
      <c r="E182" t="s">
        <v>49</v>
      </c>
      <c r="F182" t="s">
        <v>228</v>
      </c>
      <c r="G182" s="56">
        <v>44020.479664351849</v>
      </c>
      <c r="H182">
        <v>33</v>
      </c>
      <c r="I182">
        <v>14392</v>
      </c>
      <c r="J182" t="s">
        <v>50</v>
      </c>
      <c r="K182" t="s">
        <v>50</v>
      </c>
      <c r="L182" t="s">
        <v>159</v>
      </c>
      <c r="M182" t="s">
        <v>51</v>
      </c>
      <c r="N182" t="s">
        <v>92</v>
      </c>
      <c r="O182" s="1">
        <v>41335</v>
      </c>
      <c r="P182" t="s">
        <v>84</v>
      </c>
      <c r="Q182">
        <v>5</v>
      </c>
      <c r="R182" t="s">
        <v>28</v>
      </c>
      <c r="S182">
        <v>13.447563000000001</v>
      </c>
      <c r="T182">
        <v>71.932000000000002</v>
      </c>
      <c r="U182" t="s">
        <v>351</v>
      </c>
      <c r="V182" t="s">
        <v>351</v>
      </c>
      <c r="W182">
        <v>967</v>
      </c>
    </row>
    <row r="183" spans="1:23" x14ac:dyDescent="0.25">
      <c r="A183" s="1">
        <v>44013</v>
      </c>
      <c r="B183" s="1">
        <v>44013</v>
      </c>
      <c r="C183" t="s">
        <v>157</v>
      </c>
      <c r="D183" t="s">
        <v>93</v>
      </c>
      <c r="E183" t="s">
        <v>49</v>
      </c>
      <c r="F183" t="s">
        <v>236</v>
      </c>
      <c r="G183" s="56">
        <v>44082.485532407409</v>
      </c>
      <c r="H183">
        <v>33</v>
      </c>
      <c r="I183" t="s">
        <v>351</v>
      </c>
      <c r="J183" t="s">
        <v>50</v>
      </c>
      <c r="K183" t="s">
        <v>50</v>
      </c>
      <c r="L183" t="s">
        <v>159</v>
      </c>
      <c r="M183" t="s">
        <v>51</v>
      </c>
      <c r="N183" t="s">
        <v>92</v>
      </c>
      <c r="O183" s="1">
        <v>41335</v>
      </c>
      <c r="P183" t="s">
        <v>84</v>
      </c>
      <c r="Q183">
        <v>1</v>
      </c>
      <c r="R183" t="s">
        <v>83</v>
      </c>
      <c r="S183">
        <v>1</v>
      </c>
      <c r="T183">
        <v>7664</v>
      </c>
      <c r="U183" t="s">
        <v>351</v>
      </c>
      <c r="V183" t="s">
        <v>351</v>
      </c>
      <c r="W183">
        <v>7664</v>
      </c>
    </row>
    <row r="184" spans="1:23" x14ac:dyDescent="0.25">
      <c r="A184" s="1">
        <v>44013</v>
      </c>
      <c r="B184" s="1">
        <v>44013</v>
      </c>
      <c r="C184" t="s">
        <v>157</v>
      </c>
      <c r="D184" t="s">
        <v>48</v>
      </c>
      <c r="E184" t="s">
        <v>49</v>
      </c>
      <c r="F184" t="s">
        <v>235</v>
      </c>
      <c r="G184" s="56">
        <v>44053.449259259258</v>
      </c>
      <c r="H184">
        <v>33</v>
      </c>
      <c r="I184">
        <v>14796</v>
      </c>
      <c r="J184" t="s">
        <v>50</v>
      </c>
      <c r="K184" t="s">
        <v>50</v>
      </c>
      <c r="L184" t="s">
        <v>159</v>
      </c>
      <c r="M184" t="s">
        <v>51</v>
      </c>
      <c r="N184" t="s">
        <v>92</v>
      </c>
      <c r="O184" s="1">
        <v>41335</v>
      </c>
      <c r="P184" t="s">
        <v>84</v>
      </c>
      <c r="Q184">
        <v>1</v>
      </c>
      <c r="R184" t="s">
        <v>83</v>
      </c>
      <c r="S184">
        <v>2138.52</v>
      </c>
      <c r="T184">
        <v>76.587000000000003</v>
      </c>
      <c r="U184" t="s">
        <v>351</v>
      </c>
      <c r="V184" t="s">
        <v>351</v>
      </c>
      <c r="W184">
        <v>163783</v>
      </c>
    </row>
    <row r="185" spans="1:23" x14ac:dyDescent="0.25">
      <c r="A185" s="1">
        <v>44013</v>
      </c>
      <c r="B185" s="1">
        <v>44013</v>
      </c>
      <c r="C185" t="s">
        <v>157</v>
      </c>
      <c r="D185" t="s">
        <v>93</v>
      </c>
      <c r="E185" t="s">
        <v>49</v>
      </c>
      <c r="F185" t="s">
        <v>236</v>
      </c>
      <c r="G185" s="56">
        <v>44082.485532407409</v>
      </c>
      <c r="H185">
        <v>33</v>
      </c>
      <c r="I185" t="s">
        <v>351</v>
      </c>
      <c r="J185" t="s">
        <v>50</v>
      </c>
      <c r="K185" t="s">
        <v>50</v>
      </c>
      <c r="L185" t="s">
        <v>159</v>
      </c>
      <c r="M185" t="s">
        <v>51</v>
      </c>
      <c r="N185" t="s">
        <v>92</v>
      </c>
      <c r="O185" s="1">
        <v>41335</v>
      </c>
      <c r="P185" t="s">
        <v>84</v>
      </c>
      <c r="Q185">
        <v>2</v>
      </c>
      <c r="R185" t="s">
        <v>94</v>
      </c>
      <c r="S185">
        <v>1</v>
      </c>
      <c r="T185">
        <v>35</v>
      </c>
      <c r="U185" t="s">
        <v>351</v>
      </c>
      <c r="V185" t="s">
        <v>351</v>
      </c>
      <c r="W185">
        <v>35</v>
      </c>
    </row>
    <row r="186" spans="1:23" x14ac:dyDescent="0.25">
      <c r="A186" s="1">
        <v>44013</v>
      </c>
      <c r="B186" s="1">
        <v>44013</v>
      </c>
      <c r="C186" t="s">
        <v>157</v>
      </c>
      <c r="D186" t="s">
        <v>48</v>
      </c>
      <c r="E186" t="s">
        <v>49</v>
      </c>
      <c r="F186" t="s">
        <v>235</v>
      </c>
      <c r="G186" s="56">
        <v>44053.449259259258</v>
      </c>
      <c r="H186">
        <v>33</v>
      </c>
      <c r="I186">
        <v>14796</v>
      </c>
      <c r="J186" t="s">
        <v>50</v>
      </c>
      <c r="K186" t="s">
        <v>50</v>
      </c>
      <c r="L186" t="s">
        <v>159</v>
      </c>
      <c r="M186" t="s">
        <v>51</v>
      </c>
      <c r="N186" t="s">
        <v>92</v>
      </c>
      <c r="O186" s="1">
        <v>41335</v>
      </c>
      <c r="P186" t="s">
        <v>84</v>
      </c>
      <c r="Q186">
        <v>2</v>
      </c>
      <c r="R186" t="s">
        <v>94</v>
      </c>
      <c r="S186">
        <v>9.5288520000000005</v>
      </c>
      <c r="T186">
        <v>77.677999999999997</v>
      </c>
      <c r="U186" t="s">
        <v>351</v>
      </c>
      <c r="V186" t="s">
        <v>351</v>
      </c>
      <c r="W186">
        <v>740</v>
      </c>
    </row>
    <row r="187" spans="1:23" x14ac:dyDescent="0.25">
      <c r="A187" s="1">
        <v>44013</v>
      </c>
      <c r="B187" s="1">
        <v>44013</v>
      </c>
      <c r="C187" t="s">
        <v>157</v>
      </c>
      <c r="D187" t="s">
        <v>93</v>
      </c>
      <c r="E187" t="s">
        <v>49</v>
      </c>
      <c r="F187" t="s">
        <v>236</v>
      </c>
      <c r="G187" s="56">
        <v>44082.485532407409</v>
      </c>
      <c r="H187">
        <v>33</v>
      </c>
      <c r="I187" t="s">
        <v>351</v>
      </c>
      <c r="J187" t="s">
        <v>50</v>
      </c>
      <c r="K187" t="s">
        <v>50</v>
      </c>
      <c r="L187" t="s">
        <v>159</v>
      </c>
      <c r="M187" t="s">
        <v>51</v>
      </c>
      <c r="N187" t="s">
        <v>92</v>
      </c>
      <c r="O187" s="1">
        <v>41335</v>
      </c>
      <c r="P187" t="s">
        <v>84</v>
      </c>
      <c r="Q187">
        <v>3</v>
      </c>
      <c r="R187" t="s">
        <v>81</v>
      </c>
      <c r="S187">
        <v>1</v>
      </c>
      <c r="T187">
        <v>1075</v>
      </c>
      <c r="U187" t="s">
        <v>351</v>
      </c>
      <c r="V187" t="s">
        <v>351</v>
      </c>
      <c r="W187">
        <v>1075</v>
      </c>
    </row>
    <row r="188" spans="1:23" x14ac:dyDescent="0.25">
      <c r="A188" s="1">
        <v>44013</v>
      </c>
      <c r="B188" s="1">
        <v>44013</v>
      </c>
      <c r="C188" t="s">
        <v>157</v>
      </c>
      <c r="D188" t="s">
        <v>48</v>
      </c>
      <c r="E188" t="s">
        <v>49</v>
      </c>
      <c r="F188" t="s">
        <v>235</v>
      </c>
      <c r="G188" s="56">
        <v>44053.449259259258</v>
      </c>
      <c r="H188">
        <v>33</v>
      </c>
      <c r="I188">
        <v>14796</v>
      </c>
      <c r="J188" t="s">
        <v>50</v>
      </c>
      <c r="K188" t="s">
        <v>50</v>
      </c>
      <c r="L188" t="s">
        <v>159</v>
      </c>
      <c r="M188" t="s">
        <v>51</v>
      </c>
      <c r="N188" t="s">
        <v>92</v>
      </c>
      <c r="O188" s="1">
        <v>41335</v>
      </c>
      <c r="P188" t="s">
        <v>84</v>
      </c>
      <c r="Q188">
        <v>3</v>
      </c>
      <c r="R188" t="s">
        <v>81</v>
      </c>
      <c r="S188">
        <v>314.28954700000003</v>
      </c>
      <c r="T188">
        <v>73.070999999999998</v>
      </c>
      <c r="U188" t="s">
        <v>351</v>
      </c>
      <c r="V188" t="s">
        <v>351</v>
      </c>
      <c r="W188">
        <v>22965</v>
      </c>
    </row>
    <row r="189" spans="1:23" x14ac:dyDescent="0.25">
      <c r="A189" s="1">
        <v>44013</v>
      </c>
      <c r="B189" s="1">
        <v>44013</v>
      </c>
      <c r="C189" t="s">
        <v>157</v>
      </c>
      <c r="D189" t="s">
        <v>93</v>
      </c>
      <c r="E189" t="s">
        <v>49</v>
      </c>
      <c r="F189" t="s">
        <v>236</v>
      </c>
      <c r="G189" s="56">
        <v>44082.485532407409</v>
      </c>
      <c r="H189">
        <v>33</v>
      </c>
      <c r="I189" t="s">
        <v>351</v>
      </c>
      <c r="J189" t="s">
        <v>50</v>
      </c>
      <c r="K189" t="s">
        <v>50</v>
      </c>
      <c r="L189" t="s">
        <v>159</v>
      </c>
      <c r="M189" t="s">
        <v>51</v>
      </c>
      <c r="N189" t="s">
        <v>92</v>
      </c>
      <c r="O189" s="1">
        <v>41335</v>
      </c>
      <c r="P189" t="s">
        <v>84</v>
      </c>
      <c r="Q189">
        <v>4</v>
      </c>
      <c r="R189" t="s">
        <v>27</v>
      </c>
      <c r="S189">
        <v>1</v>
      </c>
      <c r="T189">
        <v>9294</v>
      </c>
      <c r="U189" t="s">
        <v>351</v>
      </c>
      <c r="V189" t="s">
        <v>351</v>
      </c>
      <c r="W189">
        <v>9294</v>
      </c>
    </row>
    <row r="190" spans="1:23" x14ac:dyDescent="0.25">
      <c r="A190" s="1">
        <v>44013</v>
      </c>
      <c r="B190" s="1">
        <v>44013</v>
      </c>
      <c r="C190" t="s">
        <v>157</v>
      </c>
      <c r="D190" t="s">
        <v>48</v>
      </c>
      <c r="E190" t="s">
        <v>49</v>
      </c>
      <c r="F190" t="s">
        <v>235</v>
      </c>
      <c r="G190" s="56">
        <v>44053.449259259258</v>
      </c>
      <c r="H190">
        <v>33</v>
      </c>
      <c r="I190">
        <v>14796</v>
      </c>
      <c r="J190" t="s">
        <v>50</v>
      </c>
      <c r="K190" t="s">
        <v>50</v>
      </c>
      <c r="L190" t="s">
        <v>159</v>
      </c>
      <c r="M190" t="s">
        <v>51</v>
      </c>
      <c r="N190" t="s">
        <v>92</v>
      </c>
      <c r="O190" s="1">
        <v>41335</v>
      </c>
      <c r="P190" t="s">
        <v>84</v>
      </c>
      <c r="Q190">
        <v>4</v>
      </c>
      <c r="R190" t="s">
        <v>27</v>
      </c>
      <c r="S190">
        <v>2713.5583329999999</v>
      </c>
      <c r="T190">
        <v>73.188999999999993</v>
      </c>
      <c r="U190" t="s">
        <v>351</v>
      </c>
      <c r="V190" t="s">
        <v>351</v>
      </c>
      <c r="W190">
        <v>198603</v>
      </c>
    </row>
    <row r="191" spans="1:23" x14ac:dyDescent="0.25">
      <c r="A191" s="1">
        <v>44013</v>
      </c>
      <c r="B191" s="1">
        <v>44013</v>
      </c>
      <c r="C191" t="s">
        <v>157</v>
      </c>
      <c r="D191" t="s">
        <v>93</v>
      </c>
      <c r="E191" t="s">
        <v>49</v>
      </c>
      <c r="F191" t="s">
        <v>236</v>
      </c>
      <c r="G191" s="56">
        <v>44082.485532407409</v>
      </c>
      <c r="H191">
        <v>33</v>
      </c>
      <c r="I191" t="s">
        <v>351</v>
      </c>
      <c r="J191" t="s">
        <v>50</v>
      </c>
      <c r="K191" t="s">
        <v>50</v>
      </c>
      <c r="L191" t="s">
        <v>159</v>
      </c>
      <c r="M191" t="s">
        <v>51</v>
      </c>
      <c r="N191" t="s">
        <v>92</v>
      </c>
      <c r="O191" s="1">
        <v>41335</v>
      </c>
      <c r="P191" t="s">
        <v>84</v>
      </c>
      <c r="Q191">
        <v>5</v>
      </c>
      <c r="R191" t="s">
        <v>28</v>
      </c>
      <c r="S191">
        <v>1</v>
      </c>
      <c r="T191">
        <v>40</v>
      </c>
      <c r="U191" t="s">
        <v>351</v>
      </c>
      <c r="V191" t="s">
        <v>351</v>
      </c>
      <c r="W191">
        <v>40</v>
      </c>
    </row>
    <row r="192" spans="1:23" x14ac:dyDescent="0.25">
      <c r="A192" s="1">
        <v>44013</v>
      </c>
      <c r="B192" s="1">
        <v>44013</v>
      </c>
      <c r="C192" t="s">
        <v>157</v>
      </c>
      <c r="D192" t="s">
        <v>48</v>
      </c>
      <c r="E192" t="s">
        <v>49</v>
      </c>
      <c r="F192" t="s">
        <v>235</v>
      </c>
      <c r="G192" s="56">
        <v>44053.449259259258</v>
      </c>
      <c r="H192">
        <v>33</v>
      </c>
      <c r="I192">
        <v>14796</v>
      </c>
      <c r="J192" t="s">
        <v>50</v>
      </c>
      <c r="K192" t="s">
        <v>50</v>
      </c>
      <c r="L192" t="s">
        <v>159</v>
      </c>
      <c r="M192" t="s">
        <v>51</v>
      </c>
      <c r="N192" t="s">
        <v>92</v>
      </c>
      <c r="O192" s="1">
        <v>41335</v>
      </c>
      <c r="P192" t="s">
        <v>84</v>
      </c>
      <c r="Q192">
        <v>5</v>
      </c>
      <c r="R192" t="s">
        <v>28</v>
      </c>
      <c r="S192">
        <v>11.248535</v>
      </c>
      <c r="T192">
        <v>75.629000000000005</v>
      </c>
      <c r="U192" t="s">
        <v>351</v>
      </c>
      <c r="V192" t="s">
        <v>351</v>
      </c>
      <c r="W192">
        <v>851</v>
      </c>
    </row>
    <row r="193" spans="1:23" x14ac:dyDescent="0.25">
      <c r="A193" s="1">
        <v>44044</v>
      </c>
      <c r="B193" s="1">
        <v>44044</v>
      </c>
      <c r="C193" t="s">
        <v>157</v>
      </c>
      <c r="D193" t="s">
        <v>93</v>
      </c>
      <c r="E193" t="s">
        <v>49</v>
      </c>
      <c r="F193" t="s">
        <v>243</v>
      </c>
      <c r="G193" s="56">
        <v>44119.739837962959</v>
      </c>
      <c r="H193">
        <v>33</v>
      </c>
      <c r="I193" t="s">
        <v>351</v>
      </c>
      <c r="J193" t="s">
        <v>50</v>
      </c>
      <c r="K193" t="s">
        <v>50</v>
      </c>
      <c r="L193" t="s">
        <v>159</v>
      </c>
      <c r="M193" t="s">
        <v>51</v>
      </c>
      <c r="N193" t="s">
        <v>92</v>
      </c>
      <c r="O193" s="1">
        <v>41335</v>
      </c>
      <c r="P193" t="s">
        <v>84</v>
      </c>
      <c r="Q193">
        <v>1</v>
      </c>
      <c r="R193" t="s">
        <v>83</v>
      </c>
      <c r="S193">
        <v>1</v>
      </c>
      <c r="T193">
        <v>689</v>
      </c>
      <c r="U193" t="s">
        <v>351</v>
      </c>
      <c r="V193" t="s">
        <v>351</v>
      </c>
      <c r="W193">
        <v>689</v>
      </c>
    </row>
    <row r="194" spans="1:23" x14ac:dyDescent="0.25">
      <c r="A194" s="1">
        <v>44044</v>
      </c>
      <c r="B194" s="1">
        <v>44044</v>
      </c>
      <c r="C194" t="s">
        <v>157</v>
      </c>
      <c r="D194" t="s">
        <v>48</v>
      </c>
      <c r="E194" t="s">
        <v>49</v>
      </c>
      <c r="F194" t="s">
        <v>239</v>
      </c>
      <c r="G194" s="56">
        <v>44081.950659722221</v>
      </c>
      <c r="H194">
        <v>33</v>
      </c>
      <c r="I194">
        <v>15128</v>
      </c>
      <c r="J194" t="s">
        <v>50</v>
      </c>
      <c r="K194" t="s">
        <v>50</v>
      </c>
      <c r="L194" t="s">
        <v>159</v>
      </c>
      <c r="M194" t="s">
        <v>51</v>
      </c>
      <c r="N194" t="s">
        <v>92</v>
      </c>
      <c r="O194" s="1">
        <v>41335</v>
      </c>
      <c r="P194" t="s">
        <v>84</v>
      </c>
      <c r="Q194">
        <v>1</v>
      </c>
      <c r="R194" t="s">
        <v>83</v>
      </c>
      <c r="S194">
        <v>2023.204197</v>
      </c>
      <c r="T194">
        <v>80.305999999999997</v>
      </c>
      <c r="U194" t="s">
        <v>351</v>
      </c>
      <c r="V194" t="s">
        <v>351</v>
      </c>
      <c r="W194">
        <v>162475</v>
      </c>
    </row>
    <row r="195" spans="1:23" x14ac:dyDescent="0.25">
      <c r="A195" s="1">
        <v>44044</v>
      </c>
      <c r="B195" s="1">
        <v>44044</v>
      </c>
      <c r="C195" t="s">
        <v>157</v>
      </c>
      <c r="D195" t="s">
        <v>93</v>
      </c>
      <c r="E195" t="s">
        <v>49</v>
      </c>
      <c r="F195" t="s">
        <v>243</v>
      </c>
      <c r="G195" s="56">
        <v>44119.739837962959</v>
      </c>
      <c r="H195">
        <v>33</v>
      </c>
      <c r="I195" t="s">
        <v>351</v>
      </c>
      <c r="J195" t="s">
        <v>50</v>
      </c>
      <c r="K195" t="s">
        <v>50</v>
      </c>
      <c r="L195" t="s">
        <v>159</v>
      </c>
      <c r="M195" t="s">
        <v>51</v>
      </c>
      <c r="N195" t="s">
        <v>92</v>
      </c>
      <c r="O195" s="1">
        <v>41335</v>
      </c>
      <c r="P195" t="s">
        <v>84</v>
      </c>
      <c r="Q195">
        <v>2</v>
      </c>
      <c r="R195" t="s">
        <v>94</v>
      </c>
      <c r="S195">
        <v>1</v>
      </c>
      <c r="T195">
        <v>2</v>
      </c>
      <c r="U195" t="s">
        <v>351</v>
      </c>
      <c r="V195" t="s">
        <v>351</v>
      </c>
      <c r="W195">
        <v>2</v>
      </c>
    </row>
    <row r="196" spans="1:23" x14ac:dyDescent="0.25">
      <c r="A196" s="1">
        <v>44044</v>
      </c>
      <c r="B196" s="1">
        <v>44044</v>
      </c>
      <c r="C196" t="s">
        <v>157</v>
      </c>
      <c r="D196" t="s">
        <v>48</v>
      </c>
      <c r="E196" t="s">
        <v>49</v>
      </c>
      <c r="F196" t="s">
        <v>239</v>
      </c>
      <c r="G196" s="56">
        <v>44081.950659722221</v>
      </c>
      <c r="H196">
        <v>33</v>
      </c>
      <c r="I196">
        <v>15128</v>
      </c>
      <c r="J196" t="s">
        <v>50</v>
      </c>
      <c r="K196" t="s">
        <v>50</v>
      </c>
      <c r="L196" t="s">
        <v>159</v>
      </c>
      <c r="M196" t="s">
        <v>51</v>
      </c>
      <c r="N196" t="s">
        <v>92</v>
      </c>
      <c r="O196" s="1">
        <v>41335</v>
      </c>
      <c r="P196" t="s">
        <v>84</v>
      </c>
      <c r="Q196">
        <v>2</v>
      </c>
      <c r="R196" t="s">
        <v>94</v>
      </c>
      <c r="S196">
        <v>8.7799999999999994</v>
      </c>
      <c r="T196">
        <v>81.448999999999998</v>
      </c>
      <c r="U196" t="s">
        <v>351</v>
      </c>
      <c r="V196" t="s">
        <v>351</v>
      </c>
      <c r="W196">
        <v>715</v>
      </c>
    </row>
    <row r="197" spans="1:23" x14ac:dyDescent="0.25">
      <c r="A197" s="1">
        <v>44044</v>
      </c>
      <c r="B197" s="1">
        <v>44044</v>
      </c>
      <c r="C197" t="s">
        <v>157</v>
      </c>
      <c r="D197" t="s">
        <v>93</v>
      </c>
      <c r="E197" t="s">
        <v>49</v>
      </c>
      <c r="F197" t="s">
        <v>243</v>
      </c>
      <c r="G197" s="56">
        <v>44119.739837962959</v>
      </c>
      <c r="H197">
        <v>33</v>
      </c>
      <c r="I197" t="s">
        <v>351</v>
      </c>
      <c r="J197" t="s">
        <v>50</v>
      </c>
      <c r="K197" t="s">
        <v>50</v>
      </c>
      <c r="L197" t="s">
        <v>159</v>
      </c>
      <c r="M197" t="s">
        <v>51</v>
      </c>
      <c r="N197" t="s">
        <v>92</v>
      </c>
      <c r="O197" s="1">
        <v>41335</v>
      </c>
      <c r="P197" t="s">
        <v>84</v>
      </c>
      <c r="Q197">
        <v>3</v>
      </c>
      <c r="R197" t="s">
        <v>81</v>
      </c>
      <c r="S197">
        <v>1</v>
      </c>
      <c r="T197">
        <v>99</v>
      </c>
      <c r="U197" t="s">
        <v>351</v>
      </c>
      <c r="V197" t="s">
        <v>351</v>
      </c>
      <c r="W197">
        <v>99</v>
      </c>
    </row>
    <row r="198" spans="1:23" x14ac:dyDescent="0.25">
      <c r="A198" s="1">
        <v>44044</v>
      </c>
      <c r="B198" s="1">
        <v>44044</v>
      </c>
      <c r="C198" t="s">
        <v>157</v>
      </c>
      <c r="D198" t="s">
        <v>48</v>
      </c>
      <c r="E198" t="s">
        <v>49</v>
      </c>
      <c r="F198" t="s">
        <v>239</v>
      </c>
      <c r="G198" s="56">
        <v>44081.950659722221</v>
      </c>
      <c r="H198">
        <v>33</v>
      </c>
      <c r="I198">
        <v>15128</v>
      </c>
      <c r="J198" t="s">
        <v>50</v>
      </c>
      <c r="K198" t="s">
        <v>50</v>
      </c>
      <c r="L198" t="s">
        <v>159</v>
      </c>
      <c r="M198" t="s">
        <v>51</v>
      </c>
      <c r="N198" t="s">
        <v>92</v>
      </c>
      <c r="O198" s="1">
        <v>41335</v>
      </c>
      <c r="P198" t="s">
        <v>84</v>
      </c>
      <c r="Q198">
        <v>3</v>
      </c>
      <c r="R198" t="s">
        <v>81</v>
      </c>
      <c r="S198">
        <v>304.37409600000001</v>
      </c>
      <c r="T198">
        <v>76.619</v>
      </c>
      <c r="U198" t="s">
        <v>351</v>
      </c>
      <c r="V198" t="s">
        <v>351</v>
      </c>
      <c r="W198">
        <v>23321</v>
      </c>
    </row>
    <row r="199" spans="1:23" x14ac:dyDescent="0.25">
      <c r="A199" s="1">
        <v>44044</v>
      </c>
      <c r="B199" s="1">
        <v>44044</v>
      </c>
      <c r="C199" t="s">
        <v>157</v>
      </c>
      <c r="D199" t="s">
        <v>93</v>
      </c>
      <c r="E199" t="s">
        <v>49</v>
      </c>
      <c r="F199" t="s">
        <v>243</v>
      </c>
      <c r="G199" s="56">
        <v>44119.739837962959</v>
      </c>
      <c r="H199">
        <v>33</v>
      </c>
      <c r="I199" t="s">
        <v>351</v>
      </c>
      <c r="J199" t="s">
        <v>50</v>
      </c>
      <c r="K199" t="s">
        <v>50</v>
      </c>
      <c r="L199" t="s">
        <v>159</v>
      </c>
      <c r="M199" t="s">
        <v>51</v>
      </c>
      <c r="N199" t="s">
        <v>92</v>
      </c>
      <c r="O199" s="1">
        <v>41335</v>
      </c>
      <c r="P199" t="s">
        <v>84</v>
      </c>
      <c r="Q199">
        <v>4</v>
      </c>
      <c r="R199" t="s">
        <v>27</v>
      </c>
      <c r="S199">
        <v>1</v>
      </c>
      <c r="T199">
        <v>835</v>
      </c>
      <c r="U199" t="s">
        <v>351</v>
      </c>
      <c r="V199" t="s">
        <v>351</v>
      </c>
      <c r="W199">
        <v>835</v>
      </c>
    </row>
    <row r="200" spans="1:23" x14ac:dyDescent="0.25">
      <c r="A200" s="1">
        <v>44044</v>
      </c>
      <c r="B200" s="1">
        <v>44044</v>
      </c>
      <c r="C200" t="s">
        <v>157</v>
      </c>
      <c r="D200" t="s">
        <v>48</v>
      </c>
      <c r="E200" t="s">
        <v>49</v>
      </c>
      <c r="F200" t="s">
        <v>239</v>
      </c>
      <c r="G200" s="56">
        <v>44081.950659722221</v>
      </c>
      <c r="H200">
        <v>33</v>
      </c>
      <c r="I200">
        <v>15128</v>
      </c>
      <c r="J200" t="s">
        <v>50</v>
      </c>
      <c r="K200" t="s">
        <v>50</v>
      </c>
      <c r="L200" t="s">
        <v>159</v>
      </c>
      <c r="M200" t="s">
        <v>51</v>
      </c>
      <c r="N200" t="s">
        <v>92</v>
      </c>
      <c r="O200" s="1">
        <v>41335</v>
      </c>
      <c r="P200" t="s">
        <v>84</v>
      </c>
      <c r="Q200">
        <v>4</v>
      </c>
      <c r="R200" t="s">
        <v>27</v>
      </c>
      <c r="S200">
        <v>2559.6909580000001</v>
      </c>
      <c r="T200">
        <v>76.742999999999995</v>
      </c>
      <c r="U200" t="s">
        <v>351</v>
      </c>
      <c r="V200" t="s">
        <v>351</v>
      </c>
      <c r="W200">
        <v>196438</v>
      </c>
    </row>
    <row r="201" spans="1:23" x14ac:dyDescent="0.25">
      <c r="A201" s="1">
        <v>44044</v>
      </c>
      <c r="B201" s="1">
        <v>44044</v>
      </c>
      <c r="C201" t="s">
        <v>157</v>
      </c>
      <c r="D201" t="s">
        <v>93</v>
      </c>
      <c r="E201" t="s">
        <v>49</v>
      </c>
      <c r="F201" t="s">
        <v>243</v>
      </c>
      <c r="G201" s="56">
        <v>44119.739837962959</v>
      </c>
      <c r="H201">
        <v>33</v>
      </c>
      <c r="I201" t="s">
        <v>351</v>
      </c>
      <c r="J201" t="s">
        <v>50</v>
      </c>
      <c r="K201" t="s">
        <v>50</v>
      </c>
      <c r="L201" t="s">
        <v>159</v>
      </c>
      <c r="M201" t="s">
        <v>51</v>
      </c>
      <c r="N201" t="s">
        <v>92</v>
      </c>
      <c r="O201" s="1">
        <v>41335</v>
      </c>
      <c r="P201" t="s">
        <v>84</v>
      </c>
      <c r="Q201">
        <v>5</v>
      </c>
      <c r="R201" t="s">
        <v>28</v>
      </c>
      <c r="S201">
        <v>1</v>
      </c>
      <c r="T201">
        <v>4</v>
      </c>
      <c r="U201" t="s">
        <v>351</v>
      </c>
      <c r="V201" t="s">
        <v>351</v>
      </c>
      <c r="W201">
        <v>4</v>
      </c>
    </row>
    <row r="202" spans="1:23" x14ac:dyDescent="0.25">
      <c r="A202" s="1">
        <v>44044</v>
      </c>
      <c r="B202" s="1">
        <v>44044</v>
      </c>
      <c r="C202" t="s">
        <v>157</v>
      </c>
      <c r="D202" t="s">
        <v>48</v>
      </c>
      <c r="E202" t="s">
        <v>49</v>
      </c>
      <c r="F202" t="s">
        <v>239</v>
      </c>
      <c r="G202" s="56">
        <v>44081.950659722221</v>
      </c>
      <c r="H202">
        <v>33</v>
      </c>
      <c r="I202">
        <v>15128</v>
      </c>
      <c r="J202" t="s">
        <v>50</v>
      </c>
      <c r="K202" t="s">
        <v>50</v>
      </c>
      <c r="L202" t="s">
        <v>159</v>
      </c>
      <c r="M202" t="s">
        <v>51</v>
      </c>
      <c r="N202" t="s">
        <v>92</v>
      </c>
      <c r="O202" s="1">
        <v>41335</v>
      </c>
      <c r="P202" t="s">
        <v>84</v>
      </c>
      <c r="Q202">
        <v>5</v>
      </c>
      <c r="R202" t="s">
        <v>28</v>
      </c>
      <c r="S202">
        <v>10.585311000000001</v>
      </c>
      <c r="T202">
        <v>79.302000000000007</v>
      </c>
      <c r="U202" t="s">
        <v>351</v>
      </c>
      <c r="V202" t="s">
        <v>351</v>
      </c>
      <c r="W202">
        <v>839</v>
      </c>
    </row>
    <row r="203" spans="1:23" x14ac:dyDescent="0.25">
      <c r="A203" s="1">
        <v>44075</v>
      </c>
      <c r="B203" s="1">
        <v>44075</v>
      </c>
      <c r="C203" t="s">
        <v>157</v>
      </c>
      <c r="D203" t="s">
        <v>93</v>
      </c>
      <c r="E203" t="s">
        <v>49</v>
      </c>
      <c r="F203" t="s">
        <v>245</v>
      </c>
      <c r="G203" s="56">
        <v>44153.723773148151</v>
      </c>
      <c r="H203">
        <v>61</v>
      </c>
      <c r="I203" t="s">
        <v>351</v>
      </c>
      <c r="J203" t="s">
        <v>50</v>
      </c>
      <c r="K203" t="s">
        <v>50</v>
      </c>
      <c r="L203" t="s">
        <v>159</v>
      </c>
      <c r="M203" t="s">
        <v>51</v>
      </c>
      <c r="N203" t="s">
        <v>92</v>
      </c>
      <c r="O203" s="1">
        <v>41335</v>
      </c>
      <c r="P203" t="s">
        <v>84</v>
      </c>
      <c r="Q203">
        <v>1</v>
      </c>
      <c r="R203" t="s">
        <v>83</v>
      </c>
      <c r="S203">
        <v>1</v>
      </c>
      <c r="T203">
        <v>-323</v>
      </c>
      <c r="U203" t="s">
        <v>351</v>
      </c>
      <c r="V203" t="s">
        <v>351</v>
      </c>
      <c r="W203">
        <v>-323</v>
      </c>
    </row>
    <row r="204" spans="1:23" x14ac:dyDescent="0.25">
      <c r="A204" s="1">
        <v>44075</v>
      </c>
      <c r="B204" s="1">
        <v>44075</v>
      </c>
      <c r="C204" t="s">
        <v>157</v>
      </c>
      <c r="D204" t="s">
        <v>48</v>
      </c>
      <c r="E204" t="s">
        <v>49</v>
      </c>
      <c r="F204" t="s">
        <v>249</v>
      </c>
      <c r="G204" s="56">
        <v>44111.714999999997</v>
      </c>
      <c r="H204">
        <v>33</v>
      </c>
      <c r="I204">
        <v>15552</v>
      </c>
      <c r="J204" t="s">
        <v>50</v>
      </c>
      <c r="K204" t="s">
        <v>50</v>
      </c>
      <c r="L204" t="s">
        <v>159</v>
      </c>
      <c r="M204" t="s">
        <v>51</v>
      </c>
      <c r="N204" t="s">
        <v>92</v>
      </c>
      <c r="O204" s="1">
        <v>41335</v>
      </c>
      <c r="P204" t="s">
        <v>84</v>
      </c>
      <c r="Q204">
        <v>1</v>
      </c>
      <c r="R204" t="s">
        <v>83</v>
      </c>
      <c r="S204">
        <v>1931.180057</v>
      </c>
      <c r="T204">
        <v>80.344999999999999</v>
      </c>
      <c r="U204" t="s">
        <v>351</v>
      </c>
      <c r="V204" t="s">
        <v>351</v>
      </c>
      <c r="W204">
        <v>155161</v>
      </c>
    </row>
    <row r="205" spans="1:23" x14ac:dyDescent="0.25">
      <c r="A205" s="1">
        <v>44075</v>
      </c>
      <c r="B205" s="1">
        <v>44075</v>
      </c>
      <c r="C205" t="s">
        <v>157</v>
      </c>
      <c r="D205" t="s">
        <v>93</v>
      </c>
      <c r="E205" t="s">
        <v>49</v>
      </c>
      <c r="F205" t="s">
        <v>245</v>
      </c>
      <c r="G205" s="56">
        <v>44153.723773148151</v>
      </c>
      <c r="H205">
        <v>61</v>
      </c>
      <c r="I205" t="s">
        <v>351</v>
      </c>
      <c r="J205" t="s">
        <v>50</v>
      </c>
      <c r="K205" t="s">
        <v>50</v>
      </c>
      <c r="L205" t="s">
        <v>159</v>
      </c>
      <c r="M205" t="s">
        <v>51</v>
      </c>
      <c r="N205" t="s">
        <v>92</v>
      </c>
      <c r="O205" s="1">
        <v>41335</v>
      </c>
      <c r="P205" t="s">
        <v>84</v>
      </c>
      <c r="Q205">
        <v>2</v>
      </c>
      <c r="R205" t="s">
        <v>94</v>
      </c>
      <c r="S205">
        <v>1</v>
      </c>
      <c r="T205">
        <v>-2</v>
      </c>
      <c r="U205" t="s">
        <v>351</v>
      </c>
      <c r="V205" t="s">
        <v>351</v>
      </c>
      <c r="W205">
        <v>-2</v>
      </c>
    </row>
    <row r="206" spans="1:23" x14ac:dyDescent="0.25">
      <c r="A206" s="1">
        <v>44075</v>
      </c>
      <c r="B206" s="1">
        <v>44075</v>
      </c>
      <c r="C206" t="s">
        <v>157</v>
      </c>
      <c r="D206" t="s">
        <v>48</v>
      </c>
      <c r="E206" t="s">
        <v>49</v>
      </c>
      <c r="F206" t="s">
        <v>249</v>
      </c>
      <c r="G206" s="56">
        <v>44111.714999999997</v>
      </c>
      <c r="H206">
        <v>33</v>
      </c>
      <c r="I206">
        <v>15552</v>
      </c>
      <c r="J206" t="s">
        <v>50</v>
      </c>
      <c r="K206" t="s">
        <v>50</v>
      </c>
      <c r="L206" t="s">
        <v>159</v>
      </c>
      <c r="M206" t="s">
        <v>51</v>
      </c>
      <c r="N206" t="s">
        <v>92</v>
      </c>
      <c r="O206" s="1">
        <v>41335</v>
      </c>
      <c r="P206" t="s">
        <v>84</v>
      </c>
      <c r="Q206">
        <v>2</v>
      </c>
      <c r="R206" t="s">
        <v>94</v>
      </c>
      <c r="S206">
        <v>8.5106800000000007</v>
      </c>
      <c r="T206">
        <v>81.489000000000004</v>
      </c>
      <c r="U206" t="s">
        <v>351</v>
      </c>
      <c r="V206" t="s">
        <v>351</v>
      </c>
      <c r="W206">
        <v>694</v>
      </c>
    </row>
    <row r="207" spans="1:23" x14ac:dyDescent="0.25">
      <c r="A207" s="1">
        <v>44075</v>
      </c>
      <c r="B207" s="1">
        <v>44075</v>
      </c>
      <c r="C207" t="s">
        <v>157</v>
      </c>
      <c r="D207" t="s">
        <v>93</v>
      </c>
      <c r="E207" t="s">
        <v>49</v>
      </c>
      <c r="F207" t="s">
        <v>245</v>
      </c>
      <c r="G207" s="56">
        <v>44153.723773148151</v>
      </c>
      <c r="H207">
        <v>61</v>
      </c>
      <c r="I207" t="s">
        <v>351</v>
      </c>
      <c r="J207" t="s">
        <v>50</v>
      </c>
      <c r="K207" t="s">
        <v>50</v>
      </c>
      <c r="L207" t="s">
        <v>159</v>
      </c>
      <c r="M207" t="s">
        <v>51</v>
      </c>
      <c r="N207" t="s">
        <v>92</v>
      </c>
      <c r="O207" s="1">
        <v>41335</v>
      </c>
      <c r="P207" t="s">
        <v>84</v>
      </c>
      <c r="Q207">
        <v>3</v>
      </c>
      <c r="R207" t="s">
        <v>81</v>
      </c>
      <c r="S207">
        <v>1</v>
      </c>
      <c r="T207">
        <v>-44</v>
      </c>
      <c r="U207" t="s">
        <v>351</v>
      </c>
      <c r="V207" t="s">
        <v>351</v>
      </c>
      <c r="W207">
        <v>-44</v>
      </c>
    </row>
    <row r="208" spans="1:23" x14ac:dyDescent="0.25">
      <c r="A208" s="1">
        <v>44075</v>
      </c>
      <c r="B208" s="1">
        <v>44075</v>
      </c>
      <c r="C208" t="s">
        <v>157</v>
      </c>
      <c r="D208" t="s">
        <v>48</v>
      </c>
      <c r="E208" t="s">
        <v>49</v>
      </c>
      <c r="F208" t="s">
        <v>249</v>
      </c>
      <c r="G208" s="56">
        <v>44111.714999999997</v>
      </c>
      <c r="H208">
        <v>33</v>
      </c>
      <c r="I208">
        <v>15552</v>
      </c>
      <c r="J208" t="s">
        <v>50</v>
      </c>
      <c r="K208" t="s">
        <v>50</v>
      </c>
      <c r="L208" t="s">
        <v>159</v>
      </c>
      <c r="M208" t="s">
        <v>51</v>
      </c>
      <c r="N208" t="s">
        <v>92</v>
      </c>
      <c r="O208" s="1">
        <v>41335</v>
      </c>
      <c r="P208" t="s">
        <v>84</v>
      </c>
      <c r="Q208">
        <v>3</v>
      </c>
      <c r="R208" t="s">
        <v>81</v>
      </c>
      <c r="S208">
        <v>286.86</v>
      </c>
      <c r="T208">
        <v>76.656999999999996</v>
      </c>
      <c r="U208" t="s">
        <v>351</v>
      </c>
      <c r="V208" t="s">
        <v>351</v>
      </c>
      <c r="W208">
        <v>21990</v>
      </c>
    </row>
    <row r="209" spans="1:23" x14ac:dyDescent="0.25">
      <c r="A209" s="1">
        <v>44075</v>
      </c>
      <c r="B209" s="1">
        <v>44075</v>
      </c>
      <c r="C209" t="s">
        <v>157</v>
      </c>
      <c r="D209" t="s">
        <v>93</v>
      </c>
      <c r="E209" t="s">
        <v>49</v>
      </c>
      <c r="F209" t="s">
        <v>245</v>
      </c>
      <c r="G209" s="56">
        <v>44153.723773148151</v>
      </c>
      <c r="H209">
        <v>61</v>
      </c>
      <c r="I209" t="s">
        <v>351</v>
      </c>
      <c r="J209" t="s">
        <v>50</v>
      </c>
      <c r="K209" t="s">
        <v>50</v>
      </c>
      <c r="L209" t="s">
        <v>159</v>
      </c>
      <c r="M209" t="s">
        <v>51</v>
      </c>
      <c r="N209" t="s">
        <v>92</v>
      </c>
      <c r="O209" s="1">
        <v>41335</v>
      </c>
      <c r="P209" t="s">
        <v>84</v>
      </c>
      <c r="Q209">
        <v>4</v>
      </c>
      <c r="R209" t="s">
        <v>27</v>
      </c>
      <c r="S209">
        <v>1</v>
      </c>
      <c r="T209">
        <v>-390</v>
      </c>
      <c r="U209" t="s">
        <v>351</v>
      </c>
      <c r="V209" t="s">
        <v>351</v>
      </c>
      <c r="W209">
        <v>-390</v>
      </c>
    </row>
    <row r="210" spans="1:23" x14ac:dyDescent="0.25">
      <c r="A210" s="1">
        <v>44075</v>
      </c>
      <c r="B210" s="1">
        <v>44075</v>
      </c>
      <c r="C210" t="s">
        <v>157</v>
      </c>
      <c r="D210" t="s">
        <v>48</v>
      </c>
      <c r="E210" t="s">
        <v>49</v>
      </c>
      <c r="F210" t="s">
        <v>249</v>
      </c>
      <c r="G210" s="56">
        <v>44111.714999999997</v>
      </c>
      <c r="H210">
        <v>33</v>
      </c>
      <c r="I210">
        <v>15552</v>
      </c>
      <c r="J210" t="s">
        <v>50</v>
      </c>
      <c r="K210" t="s">
        <v>50</v>
      </c>
      <c r="L210" t="s">
        <v>159</v>
      </c>
      <c r="M210" t="s">
        <v>51</v>
      </c>
      <c r="N210" t="s">
        <v>92</v>
      </c>
      <c r="O210" s="1">
        <v>41335</v>
      </c>
      <c r="P210" t="s">
        <v>84</v>
      </c>
      <c r="Q210">
        <v>4</v>
      </c>
      <c r="R210" t="s">
        <v>27</v>
      </c>
      <c r="S210">
        <v>2447.9884910000001</v>
      </c>
      <c r="T210">
        <v>76.781000000000006</v>
      </c>
      <c r="U210" t="s">
        <v>351</v>
      </c>
      <c r="V210" t="s">
        <v>351</v>
      </c>
      <c r="W210">
        <v>187959</v>
      </c>
    </row>
    <row r="211" spans="1:23" x14ac:dyDescent="0.25">
      <c r="A211" s="1">
        <v>44075</v>
      </c>
      <c r="B211" s="1">
        <v>44075</v>
      </c>
      <c r="C211" t="s">
        <v>157</v>
      </c>
      <c r="D211" t="s">
        <v>93</v>
      </c>
      <c r="E211" t="s">
        <v>49</v>
      </c>
      <c r="F211" t="s">
        <v>245</v>
      </c>
      <c r="G211" s="56">
        <v>44153.723773148151</v>
      </c>
      <c r="H211">
        <v>61</v>
      </c>
      <c r="I211" t="s">
        <v>351</v>
      </c>
      <c r="J211" t="s">
        <v>50</v>
      </c>
      <c r="K211" t="s">
        <v>50</v>
      </c>
      <c r="L211" t="s">
        <v>159</v>
      </c>
      <c r="M211" t="s">
        <v>51</v>
      </c>
      <c r="N211" t="s">
        <v>92</v>
      </c>
      <c r="O211" s="1">
        <v>41335</v>
      </c>
      <c r="P211" t="s">
        <v>84</v>
      </c>
      <c r="Q211">
        <v>5</v>
      </c>
      <c r="R211" t="s">
        <v>28</v>
      </c>
      <c r="S211">
        <v>1</v>
      </c>
      <c r="T211">
        <v>-2</v>
      </c>
      <c r="U211" t="s">
        <v>351</v>
      </c>
      <c r="V211" t="s">
        <v>351</v>
      </c>
      <c r="W211">
        <v>-2</v>
      </c>
    </row>
    <row r="212" spans="1:23" x14ac:dyDescent="0.25">
      <c r="A212" s="1">
        <v>44075</v>
      </c>
      <c r="B212" s="1">
        <v>44075</v>
      </c>
      <c r="C212" t="s">
        <v>157</v>
      </c>
      <c r="D212" t="s">
        <v>48</v>
      </c>
      <c r="E212" t="s">
        <v>49</v>
      </c>
      <c r="F212" t="s">
        <v>249</v>
      </c>
      <c r="G212" s="56">
        <v>44111.714999999997</v>
      </c>
      <c r="H212">
        <v>33</v>
      </c>
      <c r="I212">
        <v>15552</v>
      </c>
      <c r="J212" t="s">
        <v>50</v>
      </c>
      <c r="K212" t="s">
        <v>50</v>
      </c>
      <c r="L212" t="s">
        <v>159</v>
      </c>
      <c r="M212" t="s">
        <v>51</v>
      </c>
      <c r="N212" t="s">
        <v>92</v>
      </c>
      <c r="O212" s="1">
        <v>41335</v>
      </c>
      <c r="P212" t="s">
        <v>84</v>
      </c>
      <c r="Q212">
        <v>5</v>
      </c>
      <c r="R212" t="s">
        <v>28</v>
      </c>
      <c r="S212">
        <v>10.140453000000001</v>
      </c>
      <c r="T212">
        <v>79.340999999999994</v>
      </c>
      <c r="U212" t="s">
        <v>351</v>
      </c>
      <c r="V212" t="s">
        <v>351</v>
      </c>
      <c r="W212">
        <v>805</v>
      </c>
    </row>
    <row r="213" spans="1:23" x14ac:dyDescent="0.25">
      <c r="A213" s="1">
        <v>44105</v>
      </c>
      <c r="B213" s="1">
        <v>44105</v>
      </c>
      <c r="C213" t="s">
        <v>157</v>
      </c>
      <c r="D213" t="s">
        <v>93</v>
      </c>
      <c r="E213" t="s">
        <v>49</v>
      </c>
      <c r="F213" t="s">
        <v>253</v>
      </c>
      <c r="G213" s="56">
        <v>44221.697384259256</v>
      </c>
      <c r="H213">
        <v>61</v>
      </c>
      <c r="I213" t="s">
        <v>351</v>
      </c>
      <c r="J213" t="s">
        <v>50</v>
      </c>
      <c r="K213" t="s">
        <v>50</v>
      </c>
      <c r="L213" t="s">
        <v>159</v>
      </c>
      <c r="M213" t="s">
        <v>51</v>
      </c>
      <c r="N213" t="s">
        <v>92</v>
      </c>
      <c r="O213" s="1">
        <v>41335</v>
      </c>
      <c r="P213" t="s">
        <v>84</v>
      </c>
      <c r="Q213">
        <v>1</v>
      </c>
      <c r="R213" t="s">
        <v>83</v>
      </c>
      <c r="S213">
        <v>1</v>
      </c>
      <c r="T213">
        <v>-570</v>
      </c>
      <c r="U213" t="s">
        <v>351</v>
      </c>
      <c r="V213" t="s">
        <v>351</v>
      </c>
      <c r="W213">
        <v>-570</v>
      </c>
    </row>
    <row r="214" spans="1:23" x14ac:dyDescent="0.25">
      <c r="A214" s="1">
        <v>44105</v>
      </c>
      <c r="B214" s="1">
        <v>44105</v>
      </c>
      <c r="C214" t="s">
        <v>157</v>
      </c>
      <c r="D214" t="s">
        <v>48</v>
      </c>
      <c r="E214" t="s">
        <v>49</v>
      </c>
      <c r="F214" t="s">
        <v>256</v>
      </c>
      <c r="G214" s="56">
        <v>44141.821956018517</v>
      </c>
      <c r="H214">
        <v>33</v>
      </c>
      <c r="I214">
        <v>15894</v>
      </c>
      <c r="J214" t="s">
        <v>50</v>
      </c>
      <c r="K214" t="s">
        <v>50</v>
      </c>
      <c r="L214" t="s">
        <v>159</v>
      </c>
      <c r="M214" t="s">
        <v>51</v>
      </c>
      <c r="N214" t="s">
        <v>92</v>
      </c>
      <c r="O214" s="1">
        <v>41335</v>
      </c>
      <c r="P214" t="s">
        <v>84</v>
      </c>
      <c r="Q214">
        <v>1</v>
      </c>
      <c r="R214" t="s">
        <v>83</v>
      </c>
      <c r="S214">
        <v>2430.743117</v>
      </c>
      <c r="T214">
        <v>80.344999999999999</v>
      </c>
      <c r="U214" t="s">
        <v>351</v>
      </c>
      <c r="V214" t="s">
        <v>351</v>
      </c>
      <c r="W214">
        <v>195298</v>
      </c>
    </row>
    <row r="215" spans="1:23" x14ac:dyDescent="0.25">
      <c r="A215" s="1">
        <v>44105</v>
      </c>
      <c r="B215" s="1">
        <v>44105</v>
      </c>
      <c r="C215" t="s">
        <v>157</v>
      </c>
      <c r="D215" t="s">
        <v>93</v>
      </c>
      <c r="E215" t="s">
        <v>49</v>
      </c>
      <c r="F215" t="s">
        <v>253</v>
      </c>
      <c r="G215" s="56">
        <v>44221.697384259256</v>
      </c>
      <c r="H215">
        <v>61</v>
      </c>
      <c r="I215" t="s">
        <v>351</v>
      </c>
      <c r="J215" t="s">
        <v>50</v>
      </c>
      <c r="K215" t="s">
        <v>50</v>
      </c>
      <c r="L215" t="s">
        <v>159</v>
      </c>
      <c r="M215" t="s">
        <v>51</v>
      </c>
      <c r="N215" t="s">
        <v>92</v>
      </c>
      <c r="O215" s="1">
        <v>41335</v>
      </c>
      <c r="P215" t="s">
        <v>84</v>
      </c>
      <c r="Q215">
        <v>2</v>
      </c>
      <c r="R215" t="s">
        <v>94</v>
      </c>
      <c r="S215">
        <v>1</v>
      </c>
      <c r="T215">
        <v>-3</v>
      </c>
      <c r="U215" t="s">
        <v>351</v>
      </c>
      <c r="V215" t="s">
        <v>351</v>
      </c>
      <c r="W215">
        <v>-3</v>
      </c>
    </row>
    <row r="216" spans="1:23" x14ac:dyDescent="0.25">
      <c r="A216" s="1">
        <v>44105</v>
      </c>
      <c r="B216" s="1">
        <v>44105</v>
      </c>
      <c r="C216" t="s">
        <v>157</v>
      </c>
      <c r="D216" t="s">
        <v>48</v>
      </c>
      <c r="E216" t="s">
        <v>49</v>
      </c>
      <c r="F216" t="s">
        <v>256</v>
      </c>
      <c r="G216" s="56">
        <v>44141.821956018517</v>
      </c>
      <c r="H216">
        <v>33</v>
      </c>
      <c r="I216">
        <v>15894</v>
      </c>
      <c r="J216" t="s">
        <v>50</v>
      </c>
      <c r="K216" t="s">
        <v>50</v>
      </c>
      <c r="L216" t="s">
        <v>159</v>
      </c>
      <c r="M216" t="s">
        <v>51</v>
      </c>
      <c r="N216" t="s">
        <v>92</v>
      </c>
      <c r="O216" s="1">
        <v>41335</v>
      </c>
      <c r="P216" t="s">
        <v>84</v>
      </c>
      <c r="Q216">
        <v>2</v>
      </c>
      <c r="R216" t="s">
        <v>94</v>
      </c>
      <c r="S216">
        <v>10.588209000000001</v>
      </c>
      <c r="T216">
        <v>81.489000000000004</v>
      </c>
      <c r="U216" t="s">
        <v>351</v>
      </c>
      <c r="V216" t="s">
        <v>351</v>
      </c>
      <c r="W216">
        <v>863</v>
      </c>
    </row>
    <row r="217" spans="1:23" x14ac:dyDescent="0.25">
      <c r="A217" s="1">
        <v>44105</v>
      </c>
      <c r="B217" s="1">
        <v>44105</v>
      </c>
      <c r="C217" t="s">
        <v>157</v>
      </c>
      <c r="D217" t="s">
        <v>93</v>
      </c>
      <c r="E217" t="s">
        <v>49</v>
      </c>
      <c r="F217" t="s">
        <v>253</v>
      </c>
      <c r="G217" s="56">
        <v>44221.697384259256</v>
      </c>
      <c r="H217">
        <v>61</v>
      </c>
      <c r="I217" t="s">
        <v>351</v>
      </c>
      <c r="J217" t="s">
        <v>50</v>
      </c>
      <c r="K217" t="s">
        <v>50</v>
      </c>
      <c r="L217" t="s">
        <v>159</v>
      </c>
      <c r="M217" t="s">
        <v>51</v>
      </c>
      <c r="N217" t="s">
        <v>92</v>
      </c>
      <c r="O217" s="1">
        <v>41335</v>
      </c>
      <c r="P217" t="s">
        <v>84</v>
      </c>
      <c r="Q217">
        <v>3</v>
      </c>
      <c r="R217" t="s">
        <v>81</v>
      </c>
      <c r="S217">
        <v>1</v>
      </c>
      <c r="T217">
        <v>-80</v>
      </c>
      <c r="U217" t="s">
        <v>351</v>
      </c>
      <c r="V217" t="s">
        <v>351</v>
      </c>
      <c r="W217">
        <v>-80</v>
      </c>
    </row>
    <row r="218" spans="1:23" x14ac:dyDescent="0.25">
      <c r="A218" s="1">
        <v>44105</v>
      </c>
      <c r="B218" s="1">
        <v>44105</v>
      </c>
      <c r="C218" t="s">
        <v>157</v>
      </c>
      <c r="D218" t="s">
        <v>48</v>
      </c>
      <c r="E218" t="s">
        <v>49</v>
      </c>
      <c r="F218" t="s">
        <v>256</v>
      </c>
      <c r="G218" s="56">
        <v>44141.821956018517</v>
      </c>
      <c r="H218">
        <v>33</v>
      </c>
      <c r="I218">
        <v>15894</v>
      </c>
      <c r="J218" t="s">
        <v>50</v>
      </c>
      <c r="K218" t="s">
        <v>50</v>
      </c>
      <c r="L218" t="s">
        <v>159</v>
      </c>
      <c r="M218" t="s">
        <v>51</v>
      </c>
      <c r="N218" t="s">
        <v>92</v>
      </c>
      <c r="O218" s="1">
        <v>41335</v>
      </c>
      <c r="P218" t="s">
        <v>84</v>
      </c>
      <c r="Q218">
        <v>3</v>
      </c>
      <c r="R218" t="s">
        <v>81</v>
      </c>
      <c r="S218">
        <v>359.39598799999999</v>
      </c>
      <c r="T218">
        <v>76.656999999999996</v>
      </c>
      <c r="U218" t="s">
        <v>351</v>
      </c>
      <c r="V218" t="s">
        <v>351</v>
      </c>
      <c r="W218">
        <v>27550</v>
      </c>
    </row>
    <row r="219" spans="1:23" x14ac:dyDescent="0.25">
      <c r="A219" s="1">
        <v>44105</v>
      </c>
      <c r="B219" s="1">
        <v>44105</v>
      </c>
      <c r="C219" t="s">
        <v>157</v>
      </c>
      <c r="D219" t="s">
        <v>93</v>
      </c>
      <c r="E219" t="s">
        <v>49</v>
      </c>
      <c r="F219" t="s">
        <v>253</v>
      </c>
      <c r="G219" s="56">
        <v>44221.697384259256</v>
      </c>
      <c r="H219">
        <v>61</v>
      </c>
      <c r="I219" t="s">
        <v>351</v>
      </c>
      <c r="J219" t="s">
        <v>50</v>
      </c>
      <c r="K219" t="s">
        <v>50</v>
      </c>
      <c r="L219" t="s">
        <v>159</v>
      </c>
      <c r="M219" t="s">
        <v>51</v>
      </c>
      <c r="N219" t="s">
        <v>92</v>
      </c>
      <c r="O219" s="1">
        <v>41335</v>
      </c>
      <c r="P219" t="s">
        <v>84</v>
      </c>
      <c r="Q219">
        <v>4</v>
      </c>
      <c r="R219" t="s">
        <v>27</v>
      </c>
      <c r="S219">
        <v>1</v>
      </c>
      <c r="T219">
        <v>-689</v>
      </c>
      <c r="U219" t="s">
        <v>351</v>
      </c>
      <c r="V219" t="s">
        <v>351</v>
      </c>
      <c r="W219">
        <v>-689</v>
      </c>
    </row>
    <row r="220" spans="1:23" x14ac:dyDescent="0.25">
      <c r="A220" s="1">
        <v>44105</v>
      </c>
      <c r="B220" s="1">
        <v>44105</v>
      </c>
      <c r="C220" t="s">
        <v>157</v>
      </c>
      <c r="D220" t="s">
        <v>48</v>
      </c>
      <c r="E220" t="s">
        <v>49</v>
      </c>
      <c r="F220" t="s">
        <v>256</v>
      </c>
      <c r="G220" s="56">
        <v>44141.821956018517</v>
      </c>
      <c r="H220">
        <v>33</v>
      </c>
      <c r="I220">
        <v>15894</v>
      </c>
      <c r="J220" t="s">
        <v>50</v>
      </c>
      <c r="K220" t="s">
        <v>50</v>
      </c>
      <c r="L220" t="s">
        <v>159</v>
      </c>
      <c r="M220" t="s">
        <v>51</v>
      </c>
      <c r="N220" t="s">
        <v>92</v>
      </c>
      <c r="O220" s="1">
        <v>41335</v>
      </c>
      <c r="P220" t="s">
        <v>84</v>
      </c>
      <c r="Q220">
        <v>4</v>
      </c>
      <c r="R220" t="s">
        <v>27</v>
      </c>
      <c r="S220">
        <v>3072.8331600000001</v>
      </c>
      <c r="T220">
        <v>76.781000000000006</v>
      </c>
      <c r="U220" t="s">
        <v>351</v>
      </c>
      <c r="V220" t="s">
        <v>351</v>
      </c>
      <c r="W220">
        <v>235935</v>
      </c>
    </row>
    <row r="221" spans="1:23" x14ac:dyDescent="0.25">
      <c r="A221" s="1">
        <v>44105</v>
      </c>
      <c r="B221" s="1">
        <v>44105</v>
      </c>
      <c r="C221" t="s">
        <v>157</v>
      </c>
      <c r="D221" t="s">
        <v>93</v>
      </c>
      <c r="E221" t="s">
        <v>49</v>
      </c>
      <c r="F221" t="s">
        <v>253</v>
      </c>
      <c r="G221" s="56">
        <v>44221.697384259256</v>
      </c>
      <c r="H221">
        <v>61</v>
      </c>
      <c r="I221" t="s">
        <v>351</v>
      </c>
      <c r="J221" t="s">
        <v>50</v>
      </c>
      <c r="K221" t="s">
        <v>50</v>
      </c>
      <c r="L221" t="s">
        <v>159</v>
      </c>
      <c r="M221" t="s">
        <v>51</v>
      </c>
      <c r="N221" t="s">
        <v>92</v>
      </c>
      <c r="O221" s="1">
        <v>41335</v>
      </c>
      <c r="P221" t="s">
        <v>84</v>
      </c>
      <c r="Q221">
        <v>5</v>
      </c>
      <c r="R221" t="s">
        <v>28</v>
      </c>
      <c r="S221">
        <v>1</v>
      </c>
      <c r="T221">
        <v>-3</v>
      </c>
      <c r="U221" t="s">
        <v>351</v>
      </c>
      <c r="V221" t="s">
        <v>351</v>
      </c>
      <c r="W221">
        <v>-3</v>
      </c>
    </row>
    <row r="222" spans="1:23" x14ac:dyDescent="0.25">
      <c r="A222" s="1">
        <v>44105</v>
      </c>
      <c r="B222" s="1">
        <v>44105</v>
      </c>
      <c r="C222" t="s">
        <v>157</v>
      </c>
      <c r="D222" t="s">
        <v>48</v>
      </c>
      <c r="E222" t="s">
        <v>49</v>
      </c>
      <c r="F222" t="s">
        <v>256</v>
      </c>
      <c r="G222" s="56">
        <v>44141.821956018517</v>
      </c>
      <c r="H222">
        <v>33</v>
      </c>
      <c r="I222">
        <v>15894</v>
      </c>
      <c r="J222" t="s">
        <v>50</v>
      </c>
      <c r="K222" t="s">
        <v>50</v>
      </c>
      <c r="L222" t="s">
        <v>159</v>
      </c>
      <c r="M222" t="s">
        <v>51</v>
      </c>
      <c r="N222" t="s">
        <v>92</v>
      </c>
      <c r="O222" s="1">
        <v>41335</v>
      </c>
      <c r="P222" t="s">
        <v>84</v>
      </c>
      <c r="Q222">
        <v>5</v>
      </c>
      <c r="R222" t="s">
        <v>28</v>
      </c>
      <c r="S222">
        <v>12.686017</v>
      </c>
      <c r="T222">
        <v>79.340999999999994</v>
      </c>
      <c r="U222" t="s">
        <v>351</v>
      </c>
      <c r="V222" t="s">
        <v>351</v>
      </c>
      <c r="W222">
        <v>1007</v>
      </c>
    </row>
    <row r="223" spans="1:23" x14ac:dyDescent="0.25">
      <c r="A223" s="1">
        <v>44136</v>
      </c>
      <c r="B223" s="1">
        <v>44136</v>
      </c>
      <c r="C223" t="s">
        <v>157</v>
      </c>
      <c r="D223" t="s">
        <v>93</v>
      </c>
      <c r="E223" t="s">
        <v>49</v>
      </c>
      <c r="F223" t="s">
        <v>259</v>
      </c>
      <c r="G223" s="56">
        <v>44215.508055555554</v>
      </c>
      <c r="H223">
        <v>61</v>
      </c>
      <c r="I223" t="s">
        <v>351</v>
      </c>
      <c r="J223" t="s">
        <v>50</v>
      </c>
      <c r="K223" t="s">
        <v>50</v>
      </c>
      <c r="L223" t="s">
        <v>159</v>
      </c>
      <c r="M223" t="s">
        <v>51</v>
      </c>
      <c r="N223" t="s">
        <v>92</v>
      </c>
      <c r="O223" s="1">
        <v>41335</v>
      </c>
      <c r="P223" t="s">
        <v>84</v>
      </c>
      <c r="Q223">
        <v>1</v>
      </c>
      <c r="R223" t="s">
        <v>83</v>
      </c>
      <c r="S223">
        <v>1</v>
      </c>
      <c r="T223">
        <v>-1312</v>
      </c>
      <c r="U223" t="s">
        <v>351</v>
      </c>
      <c r="V223" t="s">
        <v>351</v>
      </c>
      <c r="W223">
        <v>-1312</v>
      </c>
    </row>
    <row r="224" spans="1:23" x14ac:dyDescent="0.25">
      <c r="A224" s="1">
        <v>44136</v>
      </c>
      <c r="B224" s="1">
        <v>44136</v>
      </c>
      <c r="C224" t="s">
        <v>157</v>
      </c>
      <c r="D224" t="s">
        <v>48</v>
      </c>
      <c r="E224" t="s">
        <v>49</v>
      </c>
      <c r="F224" t="s">
        <v>264</v>
      </c>
      <c r="G224" s="56">
        <v>44169.666030092594</v>
      </c>
      <c r="H224">
        <v>33</v>
      </c>
      <c r="I224">
        <v>16653</v>
      </c>
      <c r="J224" t="s">
        <v>50</v>
      </c>
      <c r="K224" t="s">
        <v>50</v>
      </c>
      <c r="L224" t="s">
        <v>159</v>
      </c>
      <c r="M224" t="s">
        <v>51</v>
      </c>
      <c r="N224" t="s">
        <v>92</v>
      </c>
      <c r="O224" s="1">
        <v>41335</v>
      </c>
      <c r="P224" t="s">
        <v>84</v>
      </c>
      <c r="Q224">
        <v>1</v>
      </c>
      <c r="R224" t="s">
        <v>83</v>
      </c>
      <c r="S224">
        <v>2836.8555449999999</v>
      </c>
      <c r="T224">
        <v>80.344999999999999</v>
      </c>
      <c r="U224" t="s">
        <v>351</v>
      </c>
      <c r="V224" t="s">
        <v>351</v>
      </c>
      <c r="W224">
        <v>227927</v>
      </c>
    </row>
    <row r="225" spans="1:23" x14ac:dyDescent="0.25">
      <c r="A225" s="1">
        <v>44136</v>
      </c>
      <c r="B225" s="1">
        <v>44136</v>
      </c>
      <c r="C225" t="s">
        <v>157</v>
      </c>
      <c r="D225" t="s">
        <v>93</v>
      </c>
      <c r="E225" t="s">
        <v>49</v>
      </c>
      <c r="F225" t="s">
        <v>259</v>
      </c>
      <c r="G225" s="56">
        <v>44215.508055555554</v>
      </c>
      <c r="H225">
        <v>61</v>
      </c>
      <c r="I225" t="s">
        <v>351</v>
      </c>
      <c r="J225" t="s">
        <v>50</v>
      </c>
      <c r="K225" t="s">
        <v>50</v>
      </c>
      <c r="L225" t="s">
        <v>159</v>
      </c>
      <c r="M225" t="s">
        <v>51</v>
      </c>
      <c r="N225" t="s">
        <v>92</v>
      </c>
      <c r="O225" s="1">
        <v>41335</v>
      </c>
      <c r="P225" t="s">
        <v>84</v>
      </c>
      <c r="Q225">
        <v>2</v>
      </c>
      <c r="R225" t="s">
        <v>94</v>
      </c>
      <c r="S225">
        <v>1</v>
      </c>
      <c r="T225">
        <v>-6</v>
      </c>
      <c r="U225" t="s">
        <v>351</v>
      </c>
      <c r="V225" t="s">
        <v>351</v>
      </c>
      <c r="W225">
        <v>-6</v>
      </c>
    </row>
    <row r="226" spans="1:23" x14ac:dyDescent="0.25">
      <c r="A226" s="1">
        <v>44136</v>
      </c>
      <c r="B226" s="1">
        <v>44136</v>
      </c>
      <c r="C226" t="s">
        <v>157</v>
      </c>
      <c r="D226" t="s">
        <v>48</v>
      </c>
      <c r="E226" t="s">
        <v>49</v>
      </c>
      <c r="F226" t="s">
        <v>264</v>
      </c>
      <c r="G226" s="56">
        <v>44169.666030092594</v>
      </c>
      <c r="H226">
        <v>33</v>
      </c>
      <c r="I226">
        <v>16653</v>
      </c>
      <c r="J226" t="s">
        <v>50</v>
      </c>
      <c r="K226" t="s">
        <v>50</v>
      </c>
      <c r="L226" t="s">
        <v>159</v>
      </c>
      <c r="M226" t="s">
        <v>51</v>
      </c>
      <c r="N226" t="s">
        <v>92</v>
      </c>
      <c r="O226" s="1">
        <v>41335</v>
      </c>
      <c r="P226" t="s">
        <v>84</v>
      </c>
      <c r="Q226">
        <v>2</v>
      </c>
      <c r="R226" t="s">
        <v>94</v>
      </c>
      <c r="S226">
        <v>11.915349000000001</v>
      </c>
      <c r="T226">
        <v>81.489000000000004</v>
      </c>
      <c r="U226" t="s">
        <v>351</v>
      </c>
      <c r="V226" t="s">
        <v>351</v>
      </c>
      <c r="W226">
        <v>971</v>
      </c>
    </row>
    <row r="227" spans="1:23" x14ac:dyDescent="0.25">
      <c r="A227" s="1">
        <v>44136</v>
      </c>
      <c r="B227" s="1">
        <v>44136</v>
      </c>
      <c r="C227" t="s">
        <v>157</v>
      </c>
      <c r="D227" t="s">
        <v>93</v>
      </c>
      <c r="E227" t="s">
        <v>49</v>
      </c>
      <c r="F227" t="s">
        <v>259</v>
      </c>
      <c r="G227" s="56">
        <v>44215.508055555554</v>
      </c>
      <c r="H227">
        <v>61</v>
      </c>
      <c r="I227" t="s">
        <v>351</v>
      </c>
      <c r="J227" t="s">
        <v>50</v>
      </c>
      <c r="K227" t="s">
        <v>50</v>
      </c>
      <c r="L227" t="s">
        <v>159</v>
      </c>
      <c r="M227" t="s">
        <v>51</v>
      </c>
      <c r="N227" t="s">
        <v>92</v>
      </c>
      <c r="O227" s="1">
        <v>41335</v>
      </c>
      <c r="P227" t="s">
        <v>84</v>
      </c>
      <c r="Q227">
        <v>3</v>
      </c>
      <c r="R227" t="s">
        <v>81</v>
      </c>
      <c r="S227">
        <v>1</v>
      </c>
      <c r="T227">
        <v>-189</v>
      </c>
      <c r="U227" t="s">
        <v>351</v>
      </c>
      <c r="V227" t="s">
        <v>351</v>
      </c>
      <c r="W227">
        <v>-189</v>
      </c>
    </row>
    <row r="228" spans="1:23" x14ac:dyDescent="0.25">
      <c r="A228" s="1">
        <v>44136</v>
      </c>
      <c r="B228" s="1">
        <v>44136</v>
      </c>
      <c r="C228" t="s">
        <v>157</v>
      </c>
      <c r="D228" t="s">
        <v>48</v>
      </c>
      <c r="E228" t="s">
        <v>49</v>
      </c>
      <c r="F228" t="s">
        <v>264</v>
      </c>
      <c r="G228" s="56">
        <v>44169.666030092594</v>
      </c>
      <c r="H228">
        <v>33</v>
      </c>
      <c r="I228">
        <v>16653</v>
      </c>
      <c r="J228" t="s">
        <v>50</v>
      </c>
      <c r="K228" t="s">
        <v>50</v>
      </c>
      <c r="L228" t="s">
        <v>159</v>
      </c>
      <c r="M228" t="s">
        <v>51</v>
      </c>
      <c r="N228" t="s">
        <v>92</v>
      </c>
      <c r="O228" s="1">
        <v>41335</v>
      </c>
      <c r="P228" t="s">
        <v>84</v>
      </c>
      <c r="Q228">
        <v>3</v>
      </c>
      <c r="R228" t="s">
        <v>81</v>
      </c>
      <c r="S228">
        <v>427.739485</v>
      </c>
      <c r="T228">
        <v>76.656999999999996</v>
      </c>
      <c r="U228" t="s">
        <v>351</v>
      </c>
      <c r="V228" t="s">
        <v>351</v>
      </c>
      <c r="W228">
        <v>32789</v>
      </c>
    </row>
    <row r="229" spans="1:23" x14ac:dyDescent="0.25">
      <c r="A229" s="1">
        <v>44136</v>
      </c>
      <c r="B229" s="1">
        <v>44136</v>
      </c>
      <c r="C229" t="s">
        <v>157</v>
      </c>
      <c r="D229" t="s">
        <v>93</v>
      </c>
      <c r="E229" t="s">
        <v>49</v>
      </c>
      <c r="F229" t="s">
        <v>259</v>
      </c>
      <c r="G229" s="56">
        <v>44215.508055555554</v>
      </c>
      <c r="H229">
        <v>61</v>
      </c>
      <c r="I229" t="s">
        <v>351</v>
      </c>
      <c r="J229" t="s">
        <v>50</v>
      </c>
      <c r="K229" t="s">
        <v>50</v>
      </c>
      <c r="L229" t="s">
        <v>159</v>
      </c>
      <c r="M229" t="s">
        <v>51</v>
      </c>
      <c r="N229" t="s">
        <v>92</v>
      </c>
      <c r="O229" s="1">
        <v>41335</v>
      </c>
      <c r="P229" t="s">
        <v>84</v>
      </c>
      <c r="Q229">
        <v>4</v>
      </c>
      <c r="R229" t="s">
        <v>27</v>
      </c>
      <c r="S229">
        <v>1</v>
      </c>
      <c r="T229">
        <v>-1578</v>
      </c>
      <c r="U229" t="s">
        <v>351</v>
      </c>
      <c r="V229" t="s">
        <v>351</v>
      </c>
      <c r="W229">
        <v>-1578</v>
      </c>
    </row>
    <row r="230" spans="1:23" x14ac:dyDescent="0.25">
      <c r="A230" s="1">
        <v>44136</v>
      </c>
      <c r="B230" s="1">
        <v>44136</v>
      </c>
      <c r="C230" t="s">
        <v>157</v>
      </c>
      <c r="D230" t="s">
        <v>48</v>
      </c>
      <c r="E230" t="s">
        <v>49</v>
      </c>
      <c r="F230" t="s">
        <v>264</v>
      </c>
      <c r="G230" s="56">
        <v>44169.666030092594</v>
      </c>
      <c r="H230">
        <v>33</v>
      </c>
      <c r="I230">
        <v>16653</v>
      </c>
      <c r="J230" t="s">
        <v>50</v>
      </c>
      <c r="K230" t="s">
        <v>50</v>
      </c>
      <c r="L230" t="s">
        <v>159</v>
      </c>
      <c r="M230" t="s">
        <v>51</v>
      </c>
      <c r="N230" t="s">
        <v>92</v>
      </c>
      <c r="O230" s="1">
        <v>41335</v>
      </c>
      <c r="P230" t="s">
        <v>84</v>
      </c>
      <c r="Q230">
        <v>4</v>
      </c>
      <c r="R230" t="s">
        <v>27</v>
      </c>
      <c r="S230">
        <v>3569.1454020000001</v>
      </c>
      <c r="T230">
        <v>76.781000000000006</v>
      </c>
      <c r="U230" t="s">
        <v>351</v>
      </c>
      <c r="V230" t="s">
        <v>351</v>
      </c>
      <c r="W230">
        <v>274043</v>
      </c>
    </row>
    <row r="231" spans="1:23" x14ac:dyDescent="0.25">
      <c r="A231" s="1">
        <v>44136</v>
      </c>
      <c r="B231" s="1">
        <v>44136</v>
      </c>
      <c r="C231" t="s">
        <v>157</v>
      </c>
      <c r="D231" t="s">
        <v>93</v>
      </c>
      <c r="E231" t="s">
        <v>49</v>
      </c>
      <c r="F231" t="s">
        <v>259</v>
      </c>
      <c r="G231" s="56">
        <v>44215.508055555554</v>
      </c>
      <c r="H231">
        <v>61</v>
      </c>
      <c r="I231" t="s">
        <v>351</v>
      </c>
      <c r="J231" t="s">
        <v>50</v>
      </c>
      <c r="K231" t="s">
        <v>50</v>
      </c>
      <c r="L231" t="s">
        <v>159</v>
      </c>
      <c r="M231" t="s">
        <v>51</v>
      </c>
      <c r="N231" t="s">
        <v>92</v>
      </c>
      <c r="O231" s="1">
        <v>41335</v>
      </c>
      <c r="P231" t="s">
        <v>84</v>
      </c>
      <c r="Q231">
        <v>5</v>
      </c>
      <c r="R231" t="s">
        <v>28</v>
      </c>
      <c r="S231">
        <v>1</v>
      </c>
      <c r="T231">
        <v>-7</v>
      </c>
      <c r="U231" t="s">
        <v>351</v>
      </c>
      <c r="V231" t="s">
        <v>351</v>
      </c>
      <c r="W231">
        <v>-7</v>
      </c>
    </row>
    <row r="232" spans="1:23" x14ac:dyDescent="0.25">
      <c r="A232" s="1">
        <v>44136</v>
      </c>
      <c r="B232" s="1">
        <v>44136</v>
      </c>
      <c r="C232" t="s">
        <v>157</v>
      </c>
      <c r="D232" t="s">
        <v>48</v>
      </c>
      <c r="E232" t="s">
        <v>49</v>
      </c>
      <c r="F232" t="s">
        <v>264</v>
      </c>
      <c r="G232" s="56">
        <v>44169.666030092594</v>
      </c>
      <c r="H232">
        <v>33</v>
      </c>
      <c r="I232">
        <v>16653</v>
      </c>
      <c r="J232" t="s">
        <v>50</v>
      </c>
      <c r="K232" t="s">
        <v>50</v>
      </c>
      <c r="L232" t="s">
        <v>159</v>
      </c>
      <c r="M232" t="s">
        <v>51</v>
      </c>
      <c r="N232" t="s">
        <v>92</v>
      </c>
      <c r="O232" s="1">
        <v>41335</v>
      </c>
      <c r="P232" t="s">
        <v>84</v>
      </c>
      <c r="Q232">
        <v>5</v>
      </c>
      <c r="R232" t="s">
        <v>28</v>
      </c>
      <c r="S232">
        <v>14.665755000000001</v>
      </c>
      <c r="T232">
        <v>79.340999999999994</v>
      </c>
      <c r="U232" t="s">
        <v>351</v>
      </c>
      <c r="V232" t="s">
        <v>351</v>
      </c>
      <c r="W232">
        <v>1164</v>
      </c>
    </row>
    <row r="233" spans="1:23" x14ac:dyDescent="0.25">
      <c r="A233" s="1">
        <v>44166</v>
      </c>
      <c r="B233" s="1">
        <v>44166</v>
      </c>
      <c r="C233" t="s">
        <v>157</v>
      </c>
      <c r="D233" t="s">
        <v>93</v>
      </c>
      <c r="E233" t="s">
        <v>49</v>
      </c>
      <c r="F233" t="s">
        <v>268</v>
      </c>
      <c r="G233" s="56">
        <v>44251.474293981482</v>
      </c>
      <c r="H233">
        <v>33</v>
      </c>
      <c r="I233" t="s">
        <v>351</v>
      </c>
      <c r="J233" t="s">
        <v>50</v>
      </c>
      <c r="K233" t="s">
        <v>50</v>
      </c>
      <c r="L233" t="s">
        <v>159</v>
      </c>
      <c r="M233" t="s">
        <v>51</v>
      </c>
      <c r="N233" t="s">
        <v>92</v>
      </c>
      <c r="O233" s="1">
        <v>41335</v>
      </c>
      <c r="P233" t="s">
        <v>84</v>
      </c>
      <c r="Q233">
        <v>1</v>
      </c>
      <c r="R233" t="s">
        <v>83</v>
      </c>
      <c r="S233">
        <v>1</v>
      </c>
      <c r="T233">
        <v>882</v>
      </c>
      <c r="U233" t="s">
        <v>351</v>
      </c>
      <c r="V233" t="s">
        <v>351</v>
      </c>
      <c r="W233">
        <v>882</v>
      </c>
    </row>
    <row r="234" spans="1:23" x14ac:dyDescent="0.25">
      <c r="A234" s="1">
        <v>44166</v>
      </c>
      <c r="B234" s="1">
        <v>44166</v>
      </c>
      <c r="C234" t="s">
        <v>157</v>
      </c>
      <c r="D234" t="s">
        <v>48</v>
      </c>
      <c r="E234" t="s">
        <v>49</v>
      </c>
      <c r="F234" t="s">
        <v>267</v>
      </c>
      <c r="G234" s="56">
        <v>44203.692604166667</v>
      </c>
      <c r="H234">
        <v>33</v>
      </c>
      <c r="I234">
        <v>16938</v>
      </c>
      <c r="J234" t="s">
        <v>50</v>
      </c>
      <c r="K234" t="s">
        <v>50</v>
      </c>
      <c r="L234" t="s">
        <v>159</v>
      </c>
      <c r="M234" t="s">
        <v>51</v>
      </c>
      <c r="N234" t="s">
        <v>92</v>
      </c>
      <c r="O234" s="1">
        <v>41335</v>
      </c>
      <c r="P234" t="s">
        <v>84</v>
      </c>
      <c r="Q234">
        <v>1</v>
      </c>
      <c r="R234" t="s">
        <v>83</v>
      </c>
      <c r="S234">
        <v>3655.0122390000001</v>
      </c>
      <c r="T234">
        <v>80.344999999999999</v>
      </c>
      <c r="U234" t="s">
        <v>351</v>
      </c>
      <c r="V234" t="s">
        <v>351</v>
      </c>
      <c r="W234">
        <v>293662</v>
      </c>
    </row>
    <row r="235" spans="1:23" x14ac:dyDescent="0.25">
      <c r="A235" s="1">
        <v>44166</v>
      </c>
      <c r="B235" s="1">
        <v>44166</v>
      </c>
      <c r="C235" t="s">
        <v>157</v>
      </c>
      <c r="D235" t="s">
        <v>93</v>
      </c>
      <c r="E235" t="s">
        <v>49</v>
      </c>
      <c r="F235" t="s">
        <v>268</v>
      </c>
      <c r="G235" s="56">
        <v>44251.474293981482</v>
      </c>
      <c r="H235">
        <v>33</v>
      </c>
      <c r="I235" t="s">
        <v>351</v>
      </c>
      <c r="J235" t="s">
        <v>50</v>
      </c>
      <c r="K235" t="s">
        <v>50</v>
      </c>
      <c r="L235" t="s">
        <v>159</v>
      </c>
      <c r="M235" t="s">
        <v>51</v>
      </c>
      <c r="N235" t="s">
        <v>92</v>
      </c>
      <c r="O235" s="1">
        <v>41335</v>
      </c>
      <c r="P235" t="s">
        <v>84</v>
      </c>
      <c r="Q235">
        <v>2</v>
      </c>
      <c r="R235" t="s">
        <v>94</v>
      </c>
      <c r="S235">
        <v>1</v>
      </c>
      <c r="T235">
        <v>4</v>
      </c>
      <c r="U235" t="s">
        <v>351</v>
      </c>
      <c r="V235" t="s">
        <v>351</v>
      </c>
      <c r="W235">
        <v>4</v>
      </c>
    </row>
    <row r="236" spans="1:23" x14ac:dyDescent="0.25">
      <c r="A236" s="1">
        <v>44166</v>
      </c>
      <c r="B236" s="1">
        <v>44166</v>
      </c>
      <c r="C236" t="s">
        <v>157</v>
      </c>
      <c r="D236" t="s">
        <v>48</v>
      </c>
      <c r="E236" t="s">
        <v>49</v>
      </c>
      <c r="F236" t="s">
        <v>267</v>
      </c>
      <c r="G236" s="56">
        <v>44203.692604166667</v>
      </c>
      <c r="H236">
        <v>33</v>
      </c>
      <c r="I236">
        <v>16938</v>
      </c>
      <c r="J236" t="s">
        <v>50</v>
      </c>
      <c r="K236" t="s">
        <v>50</v>
      </c>
      <c r="L236" t="s">
        <v>159</v>
      </c>
      <c r="M236" t="s">
        <v>51</v>
      </c>
      <c r="N236" t="s">
        <v>92</v>
      </c>
      <c r="O236" s="1">
        <v>41335</v>
      </c>
      <c r="P236" t="s">
        <v>84</v>
      </c>
      <c r="Q236">
        <v>2</v>
      </c>
      <c r="R236" t="s">
        <v>94</v>
      </c>
      <c r="S236">
        <v>14.851406000000001</v>
      </c>
      <c r="T236">
        <v>81.489000000000004</v>
      </c>
      <c r="U236" t="s">
        <v>351</v>
      </c>
      <c r="V236" t="s">
        <v>351</v>
      </c>
      <c r="W236">
        <v>1210</v>
      </c>
    </row>
    <row r="237" spans="1:23" x14ac:dyDescent="0.25">
      <c r="A237" s="1">
        <v>44166</v>
      </c>
      <c r="B237" s="1">
        <v>44166</v>
      </c>
      <c r="C237" t="s">
        <v>157</v>
      </c>
      <c r="D237" t="s">
        <v>93</v>
      </c>
      <c r="E237" t="s">
        <v>49</v>
      </c>
      <c r="F237" t="s">
        <v>268</v>
      </c>
      <c r="G237" s="56">
        <v>44251.474293981482</v>
      </c>
      <c r="H237">
        <v>33</v>
      </c>
      <c r="I237" t="s">
        <v>351</v>
      </c>
      <c r="J237" t="s">
        <v>50</v>
      </c>
      <c r="K237" t="s">
        <v>50</v>
      </c>
      <c r="L237" t="s">
        <v>159</v>
      </c>
      <c r="M237" t="s">
        <v>51</v>
      </c>
      <c r="N237" t="s">
        <v>92</v>
      </c>
      <c r="O237" s="1">
        <v>41335</v>
      </c>
      <c r="P237" t="s">
        <v>84</v>
      </c>
      <c r="Q237">
        <v>3</v>
      </c>
      <c r="R237" t="s">
        <v>81</v>
      </c>
      <c r="S237">
        <v>1</v>
      </c>
      <c r="T237">
        <v>128</v>
      </c>
      <c r="U237" t="s">
        <v>351</v>
      </c>
      <c r="V237" t="s">
        <v>351</v>
      </c>
      <c r="W237">
        <v>128</v>
      </c>
    </row>
    <row r="238" spans="1:23" x14ac:dyDescent="0.25">
      <c r="A238" s="1">
        <v>44166</v>
      </c>
      <c r="B238" s="1">
        <v>44166</v>
      </c>
      <c r="C238" t="s">
        <v>157</v>
      </c>
      <c r="D238" t="s">
        <v>48</v>
      </c>
      <c r="E238" t="s">
        <v>49</v>
      </c>
      <c r="F238" t="s">
        <v>267</v>
      </c>
      <c r="G238" s="56">
        <v>44203.692604166667</v>
      </c>
      <c r="H238">
        <v>33</v>
      </c>
      <c r="I238">
        <v>16938</v>
      </c>
      <c r="J238" t="s">
        <v>50</v>
      </c>
      <c r="K238" t="s">
        <v>50</v>
      </c>
      <c r="L238" t="s">
        <v>159</v>
      </c>
      <c r="M238" t="s">
        <v>51</v>
      </c>
      <c r="N238" t="s">
        <v>92</v>
      </c>
      <c r="O238" s="1">
        <v>41335</v>
      </c>
      <c r="P238" t="s">
        <v>84</v>
      </c>
      <c r="Q238">
        <v>3</v>
      </c>
      <c r="R238" t="s">
        <v>81</v>
      </c>
      <c r="S238">
        <v>555.09301300000004</v>
      </c>
      <c r="T238">
        <v>76.656999999999996</v>
      </c>
      <c r="U238" t="s">
        <v>351</v>
      </c>
      <c r="V238" t="s">
        <v>351</v>
      </c>
      <c r="W238">
        <v>42552</v>
      </c>
    </row>
    <row r="239" spans="1:23" x14ac:dyDescent="0.25">
      <c r="A239" s="1">
        <v>44166</v>
      </c>
      <c r="B239" s="1">
        <v>44166</v>
      </c>
      <c r="C239" t="s">
        <v>157</v>
      </c>
      <c r="D239" t="s">
        <v>93</v>
      </c>
      <c r="E239" t="s">
        <v>49</v>
      </c>
      <c r="F239" t="s">
        <v>268</v>
      </c>
      <c r="G239" s="56">
        <v>44251.474293981482</v>
      </c>
      <c r="H239">
        <v>33</v>
      </c>
      <c r="I239" t="s">
        <v>351</v>
      </c>
      <c r="J239" t="s">
        <v>50</v>
      </c>
      <c r="K239" t="s">
        <v>50</v>
      </c>
      <c r="L239" t="s">
        <v>159</v>
      </c>
      <c r="M239" t="s">
        <v>51</v>
      </c>
      <c r="N239" t="s">
        <v>92</v>
      </c>
      <c r="O239" s="1">
        <v>41335</v>
      </c>
      <c r="P239" t="s">
        <v>84</v>
      </c>
      <c r="Q239">
        <v>4</v>
      </c>
      <c r="R239" t="s">
        <v>27</v>
      </c>
      <c r="S239">
        <v>1</v>
      </c>
      <c r="T239">
        <v>1055</v>
      </c>
      <c r="U239" t="s">
        <v>351</v>
      </c>
      <c r="V239" t="s">
        <v>351</v>
      </c>
      <c r="W239">
        <v>1055</v>
      </c>
    </row>
    <row r="240" spans="1:23" x14ac:dyDescent="0.25">
      <c r="A240" s="1">
        <v>44166</v>
      </c>
      <c r="B240" s="1">
        <v>44166</v>
      </c>
      <c r="C240" t="s">
        <v>157</v>
      </c>
      <c r="D240" t="s">
        <v>48</v>
      </c>
      <c r="E240" t="s">
        <v>49</v>
      </c>
      <c r="F240" t="s">
        <v>267</v>
      </c>
      <c r="G240" s="56">
        <v>44203.692604166667</v>
      </c>
      <c r="H240">
        <v>33</v>
      </c>
      <c r="I240">
        <v>16938</v>
      </c>
      <c r="J240" t="s">
        <v>50</v>
      </c>
      <c r="K240" t="s">
        <v>50</v>
      </c>
      <c r="L240" t="s">
        <v>159</v>
      </c>
      <c r="M240" t="s">
        <v>51</v>
      </c>
      <c r="N240" t="s">
        <v>92</v>
      </c>
      <c r="O240" s="1">
        <v>41335</v>
      </c>
      <c r="P240" t="s">
        <v>84</v>
      </c>
      <c r="Q240">
        <v>4</v>
      </c>
      <c r="R240" t="s">
        <v>27</v>
      </c>
      <c r="S240">
        <v>4574.312688</v>
      </c>
      <c r="T240">
        <v>76.781000000000006</v>
      </c>
      <c r="U240" t="s">
        <v>351</v>
      </c>
      <c r="V240" t="s">
        <v>351</v>
      </c>
      <c r="W240">
        <v>351220</v>
      </c>
    </row>
    <row r="241" spans="1:23" x14ac:dyDescent="0.25">
      <c r="A241" s="1">
        <v>44166</v>
      </c>
      <c r="B241" s="1">
        <v>44166</v>
      </c>
      <c r="C241" t="s">
        <v>157</v>
      </c>
      <c r="D241" t="s">
        <v>93</v>
      </c>
      <c r="E241" t="s">
        <v>49</v>
      </c>
      <c r="F241" t="s">
        <v>268</v>
      </c>
      <c r="G241" s="56">
        <v>44251.474293981482</v>
      </c>
      <c r="H241">
        <v>33</v>
      </c>
      <c r="I241" t="s">
        <v>351</v>
      </c>
      <c r="J241" t="s">
        <v>50</v>
      </c>
      <c r="K241" t="s">
        <v>50</v>
      </c>
      <c r="L241" t="s">
        <v>159</v>
      </c>
      <c r="M241" t="s">
        <v>51</v>
      </c>
      <c r="N241" t="s">
        <v>92</v>
      </c>
      <c r="O241" s="1">
        <v>41335</v>
      </c>
      <c r="P241" t="s">
        <v>84</v>
      </c>
      <c r="Q241">
        <v>5</v>
      </c>
      <c r="R241" t="s">
        <v>28</v>
      </c>
      <c r="S241">
        <v>1</v>
      </c>
      <c r="T241">
        <v>4</v>
      </c>
      <c r="U241" t="s">
        <v>351</v>
      </c>
      <c r="V241" t="s">
        <v>351</v>
      </c>
      <c r="W241">
        <v>4</v>
      </c>
    </row>
    <row r="242" spans="1:23" x14ac:dyDescent="0.25">
      <c r="A242" s="1">
        <v>44166</v>
      </c>
      <c r="B242" s="1">
        <v>44166</v>
      </c>
      <c r="C242" t="s">
        <v>157</v>
      </c>
      <c r="D242" t="s">
        <v>48</v>
      </c>
      <c r="E242" t="s">
        <v>49</v>
      </c>
      <c r="F242" t="s">
        <v>267</v>
      </c>
      <c r="G242" s="56">
        <v>44203.692604166667</v>
      </c>
      <c r="H242">
        <v>33</v>
      </c>
      <c r="I242">
        <v>16938</v>
      </c>
      <c r="J242" t="s">
        <v>50</v>
      </c>
      <c r="K242" t="s">
        <v>50</v>
      </c>
      <c r="L242" t="s">
        <v>159</v>
      </c>
      <c r="M242" t="s">
        <v>51</v>
      </c>
      <c r="N242" t="s">
        <v>92</v>
      </c>
      <c r="O242" s="1">
        <v>41335</v>
      </c>
      <c r="P242" t="s">
        <v>84</v>
      </c>
      <c r="Q242">
        <v>5</v>
      </c>
      <c r="R242" t="s">
        <v>28</v>
      </c>
      <c r="S242">
        <v>18.685690000000001</v>
      </c>
      <c r="T242">
        <v>79.340999999999994</v>
      </c>
      <c r="U242" t="s">
        <v>351</v>
      </c>
      <c r="V242" t="s">
        <v>351</v>
      </c>
      <c r="W242">
        <v>1483</v>
      </c>
    </row>
    <row r="243" spans="1:23" x14ac:dyDescent="0.25">
      <c r="A243" s="1">
        <v>44197</v>
      </c>
      <c r="B243" s="1">
        <v>44197</v>
      </c>
      <c r="C243" t="s">
        <v>157</v>
      </c>
      <c r="D243" t="s">
        <v>93</v>
      </c>
      <c r="E243" t="s">
        <v>49</v>
      </c>
      <c r="F243" t="s">
        <v>270</v>
      </c>
      <c r="G243" s="56">
        <v>44273.429872685185</v>
      </c>
      <c r="H243">
        <v>61</v>
      </c>
      <c r="I243" t="s">
        <v>351</v>
      </c>
      <c r="J243" t="s">
        <v>50</v>
      </c>
      <c r="K243" t="s">
        <v>50</v>
      </c>
      <c r="L243" t="s">
        <v>159</v>
      </c>
      <c r="M243" t="s">
        <v>51</v>
      </c>
      <c r="N243" t="s">
        <v>92</v>
      </c>
      <c r="O243" s="1">
        <v>41335</v>
      </c>
      <c r="P243" t="s">
        <v>84</v>
      </c>
      <c r="Q243">
        <v>1</v>
      </c>
      <c r="R243" t="s">
        <v>83</v>
      </c>
      <c r="S243">
        <v>1</v>
      </c>
      <c r="T243">
        <v>-332</v>
      </c>
      <c r="U243" t="s">
        <v>351</v>
      </c>
      <c r="V243" t="s">
        <v>351</v>
      </c>
      <c r="W243">
        <v>-332</v>
      </c>
    </row>
    <row r="244" spans="1:23" x14ac:dyDescent="0.25">
      <c r="A244" s="1">
        <v>44197</v>
      </c>
      <c r="B244" s="1">
        <v>44197</v>
      </c>
      <c r="C244" t="s">
        <v>157</v>
      </c>
      <c r="D244" t="s">
        <v>48</v>
      </c>
      <c r="E244" t="s">
        <v>49</v>
      </c>
      <c r="F244" t="s">
        <v>272</v>
      </c>
      <c r="G244" s="56">
        <v>44235.838287037041</v>
      </c>
      <c r="H244">
        <v>33</v>
      </c>
      <c r="I244">
        <v>17339</v>
      </c>
      <c r="J244" t="s">
        <v>50</v>
      </c>
      <c r="K244" t="s">
        <v>50</v>
      </c>
      <c r="L244" t="s">
        <v>159</v>
      </c>
      <c r="M244" t="s">
        <v>51</v>
      </c>
      <c r="N244" t="s">
        <v>92</v>
      </c>
      <c r="O244" s="1">
        <v>41335</v>
      </c>
      <c r="P244" t="s">
        <v>84</v>
      </c>
      <c r="Q244">
        <v>1</v>
      </c>
      <c r="R244" t="s">
        <v>83</v>
      </c>
      <c r="S244">
        <v>2962.3663649999999</v>
      </c>
      <c r="T244">
        <v>85.203000000000003</v>
      </c>
      <c r="U244" t="s">
        <v>351</v>
      </c>
      <c r="V244" t="s">
        <v>351</v>
      </c>
      <c r="W244">
        <v>252403</v>
      </c>
    </row>
    <row r="245" spans="1:23" x14ac:dyDescent="0.25">
      <c r="A245" s="1">
        <v>44197</v>
      </c>
      <c r="B245" s="1">
        <v>44197</v>
      </c>
      <c r="C245" t="s">
        <v>157</v>
      </c>
      <c r="D245" t="s">
        <v>93</v>
      </c>
      <c r="E245" t="s">
        <v>49</v>
      </c>
      <c r="F245" t="s">
        <v>270</v>
      </c>
      <c r="G245" s="56">
        <v>44273.429872685185</v>
      </c>
      <c r="H245">
        <v>61</v>
      </c>
      <c r="I245" t="s">
        <v>351</v>
      </c>
      <c r="J245" t="s">
        <v>50</v>
      </c>
      <c r="K245" t="s">
        <v>50</v>
      </c>
      <c r="L245" t="s">
        <v>159</v>
      </c>
      <c r="M245" t="s">
        <v>51</v>
      </c>
      <c r="N245" t="s">
        <v>92</v>
      </c>
      <c r="O245" s="1">
        <v>41335</v>
      </c>
      <c r="P245" t="s">
        <v>84</v>
      </c>
      <c r="Q245">
        <v>2</v>
      </c>
      <c r="R245" t="s">
        <v>94</v>
      </c>
      <c r="S245">
        <v>1</v>
      </c>
      <c r="T245">
        <v>-1</v>
      </c>
      <c r="U245" t="s">
        <v>351</v>
      </c>
      <c r="V245" t="s">
        <v>351</v>
      </c>
      <c r="W245">
        <v>-1</v>
      </c>
    </row>
    <row r="246" spans="1:23" x14ac:dyDescent="0.25">
      <c r="A246" s="1">
        <v>44197</v>
      </c>
      <c r="B246" s="1">
        <v>44197</v>
      </c>
      <c r="C246" t="s">
        <v>157</v>
      </c>
      <c r="D246" t="s">
        <v>48</v>
      </c>
      <c r="E246" t="s">
        <v>49</v>
      </c>
      <c r="F246" t="s">
        <v>272</v>
      </c>
      <c r="G246" s="56">
        <v>44235.838287037041</v>
      </c>
      <c r="H246">
        <v>33</v>
      </c>
      <c r="I246">
        <v>17339</v>
      </c>
      <c r="J246" t="s">
        <v>50</v>
      </c>
      <c r="K246" t="s">
        <v>50</v>
      </c>
      <c r="L246" t="s">
        <v>159</v>
      </c>
      <c r="M246" t="s">
        <v>51</v>
      </c>
      <c r="N246" t="s">
        <v>92</v>
      </c>
      <c r="O246" s="1">
        <v>41335</v>
      </c>
      <c r="P246" t="s">
        <v>84</v>
      </c>
      <c r="Q246">
        <v>2</v>
      </c>
      <c r="R246" t="s">
        <v>94</v>
      </c>
      <c r="S246">
        <v>9.6260829999999995</v>
      </c>
      <c r="T246">
        <v>86.819000000000003</v>
      </c>
      <c r="U246" t="s">
        <v>351</v>
      </c>
      <c r="V246" t="s">
        <v>351</v>
      </c>
      <c r="W246">
        <v>836</v>
      </c>
    </row>
    <row r="247" spans="1:23" x14ac:dyDescent="0.25">
      <c r="A247" s="1">
        <v>44197</v>
      </c>
      <c r="B247" s="1">
        <v>44197</v>
      </c>
      <c r="C247" t="s">
        <v>157</v>
      </c>
      <c r="D247" t="s">
        <v>93</v>
      </c>
      <c r="E247" t="s">
        <v>49</v>
      </c>
      <c r="F247" t="s">
        <v>270</v>
      </c>
      <c r="G247" s="56">
        <v>44273.429872685185</v>
      </c>
      <c r="H247">
        <v>61</v>
      </c>
      <c r="I247" t="s">
        <v>351</v>
      </c>
      <c r="J247" t="s">
        <v>50</v>
      </c>
      <c r="K247" t="s">
        <v>50</v>
      </c>
      <c r="L247" t="s">
        <v>159</v>
      </c>
      <c r="M247" t="s">
        <v>51</v>
      </c>
      <c r="N247" t="s">
        <v>92</v>
      </c>
      <c r="O247" s="1">
        <v>41335</v>
      </c>
      <c r="P247" t="s">
        <v>84</v>
      </c>
      <c r="Q247">
        <v>3</v>
      </c>
      <c r="R247" t="s">
        <v>81</v>
      </c>
      <c r="S247">
        <v>1</v>
      </c>
      <c r="T247">
        <v>-33</v>
      </c>
      <c r="U247" t="s">
        <v>351</v>
      </c>
      <c r="V247" t="s">
        <v>351</v>
      </c>
      <c r="W247">
        <v>-33</v>
      </c>
    </row>
    <row r="248" spans="1:23" x14ac:dyDescent="0.25">
      <c r="A248" s="1">
        <v>44197</v>
      </c>
      <c r="B248" s="1">
        <v>44197</v>
      </c>
      <c r="C248" t="s">
        <v>157</v>
      </c>
      <c r="D248" t="s">
        <v>48</v>
      </c>
      <c r="E248" t="s">
        <v>49</v>
      </c>
      <c r="F248" t="s">
        <v>272</v>
      </c>
      <c r="G248" s="56">
        <v>44235.838287037041</v>
      </c>
      <c r="H248">
        <v>33</v>
      </c>
      <c r="I248">
        <v>17339</v>
      </c>
      <c r="J248" t="s">
        <v>50</v>
      </c>
      <c r="K248" t="s">
        <v>50</v>
      </c>
      <c r="L248" t="s">
        <v>159</v>
      </c>
      <c r="M248" t="s">
        <v>51</v>
      </c>
      <c r="N248" t="s">
        <v>92</v>
      </c>
      <c r="O248" s="1">
        <v>41335</v>
      </c>
      <c r="P248" t="s">
        <v>84</v>
      </c>
      <c r="Q248">
        <v>3</v>
      </c>
      <c r="R248" t="s">
        <v>81</v>
      </c>
      <c r="S248">
        <v>320.36813000000001</v>
      </c>
      <c r="T248">
        <v>78.597999999999999</v>
      </c>
      <c r="U248" t="s">
        <v>351</v>
      </c>
      <c r="V248" t="s">
        <v>351</v>
      </c>
      <c r="W248">
        <v>25180</v>
      </c>
    </row>
    <row r="249" spans="1:23" x14ac:dyDescent="0.25">
      <c r="A249" s="1">
        <v>44197</v>
      </c>
      <c r="B249" s="1">
        <v>44197</v>
      </c>
      <c r="C249" t="s">
        <v>157</v>
      </c>
      <c r="D249" t="s">
        <v>93</v>
      </c>
      <c r="E249" t="s">
        <v>49</v>
      </c>
      <c r="F249" t="s">
        <v>270</v>
      </c>
      <c r="G249" s="56">
        <v>44273.429872685185</v>
      </c>
      <c r="H249">
        <v>61</v>
      </c>
      <c r="I249" t="s">
        <v>351</v>
      </c>
      <c r="J249" t="s">
        <v>50</v>
      </c>
      <c r="K249" t="s">
        <v>50</v>
      </c>
      <c r="L249" t="s">
        <v>159</v>
      </c>
      <c r="M249" t="s">
        <v>51</v>
      </c>
      <c r="N249" t="s">
        <v>92</v>
      </c>
      <c r="O249" s="1">
        <v>41335</v>
      </c>
      <c r="P249" t="s">
        <v>84</v>
      </c>
      <c r="Q249">
        <v>4</v>
      </c>
      <c r="R249" t="s">
        <v>27</v>
      </c>
      <c r="S249">
        <v>1</v>
      </c>
      <c r="T249">
        <v>-385</v>
      </c>
      <c r="U249" t="s">
        <v>351</v>
      </c>
      <c r="V249" t="s">
        <v>351</v>
      </c>
      <c r="W249">
        <v>-385</v>
      </c>
    </row>
    <row r="250" spans="1:23" x14ac:dyDescent="0.25">
      <c r="A250" s="1">
        <v>44197</v>
      </c>
      <c r="B250" s="1">
        <v>44197</v>
      </c>
      <c r="C250" t="s">
        <v>157</v>
      </c>
      <c r="D250" t="s">
        <v>48</v>
      </c>
      <c r="E250" t="s">
        <v>49</v>
      </c>
      <c r="F250" t="s">
        <v>272</v>
      </c>
      <c r="G250" s="56">
        <v>44235.838287037041</v>
      </c>
      <c r="H250">
        <v>33</v>
      </c>
      <c r="I250">
        <v>17339</v>
      </c>
      <c r="J250" t="s">
        <v>50</v>
      </c>
      <c r="K250" t="s">
        <v>50</v>
      </c>
      <c r="L250" t="s">
        <v>159</v>
      </c>
      <c r="M250" t="s">
        <v>51</v>
      </c>
      <c r="N250" t="s">
        <v>92</v>
      </c>
      <c r="O250" s="1">
        <v>41335</v>
      </c>
      <c r="P250" t="s">
        <v>84</v>
      </c>
      <c r="Q250">
        <v>4</v>
      </c>
      <c r="R250" t="s">
        <v>27</v>
      </c>
      <c r="S250">
        <v>3662.8658420000002</v>
      </c>
      <c r="T250">
        <v>80.213999999999999</v>
      </c>
      <c r="U250" t="s">
        <v>351</v>
      </c>
      <c r="V250" t="s">
        <v>351</v>
      </c>
      <c r="W250">
        <v>293813</v>
      </c>
    </row>
    <row r="251" spans="1:23" x14ac:dyDescent="0.25">
      <c r="A251" s="1">
        <v>44197</v>
      </c>
      <c r="B251" s="1">
        <v>44197</v>
      </c>
      <c r="C251" t="s">
        <v>157</v>
      </c>
      <c r="D251" t="s">
        <v>93</v>
      </c>
      <c r="E251" t="s">
        <v>49</v>
      </c>
      <c r="F251" t="s">
        <v>270</v>
      </c>
      <c r="G251" s="56">
        <v>44273.429872685185</v>
      </c>
      <c r="H251">
        <v>61</v>
      </c>
      <c r="I251" t="s">
        <v>351</v>
      </c>
      <c r="J251" t="s">
        <v>50</v>
      </c>
      <c r="K251" t="s">
        <v>50</v>
      </c>
      <c r="L251" t="s">
        <v>159</v>
      </c>
      <c r="M251" t="s">
        <v>51</v>
      </c>
      <c r="N251" t="s">
        <v>92</v>
      </c>
      <c r="O251" s="1">
        <v>41335</v>
      </c>
      <c r="P251" t="s">
        <v>84</v>
      </c>
      <c r="Q251">
        <v>5</v>
      </c>
      <c r="R251" t="s">
        <v>28</v>
      </c>
      <c r="S251">
        <v>1</v>
      </c>
      <c r="T251">
        <v>-1</v>
      </c>
      <c r="U251" t="s">
        <v>351</v>
      </c>
      <c r="V251" t="s">
        <v>351</v>
      </c>
      <c r="W251">
        <v>-1</v>
      </c>
    </row>
    <row r="252" spans="1:23" x14ac:dyDescent="0.25">
      <c r="A252" s="1">
        <v>44197</v>
      </c>
      <c r="B252" s="1">
        <v>44197</v>
      </c>
      <c r="C252" t="s">
        <v>157</v>
      </c>
      <c r="D252" t="s">
        <v>48</v>
      </c>
      <c r="E252" t="s">
        <v>49</v>
      </c>
      <c r="F252" t="s">
        <v>272</v>
      </c>
      <c r="G252" s="56">
        <v>44235.838287037041</v>
      </c>
      <c r="H252">
        <v>33</v>
      </c>
      <c r="I252">
        <v>17339</v>
      </c>
      <c r="J252" t="s">
        <v>50</v>
      </c>
      <c r="K252" t="s">
        <v>50</v>
      </c>
      <c r="L252" t="s">
        <v>159</v>
      </c>
      <c r="M252" t="s">
        <v>51</v>
      </c>
      <c r="N252" t="s">
        <v>92</v>
      </c>
      <c r="O252" s="1">
        <v>41335</v>
      </c>
      <c r="P252" t="s">
        <v>84</v>
      </c>
      <c r="Q252">
        <v>5</v>
      </c>
      <c r="R252" t="s">
        <v>28</v>
      </c>
      <c r="S252">
        <v>10.591604999999999</v>
      </c>
      <c r="T252">
        <v>86.617999999999995</v>
      </c>
      <c r="U252" t="s">
        <v>351</v>
      </c>
      <c r="V252" t="s">
        <v>351</v>
      </c>
      <c r="W252">
        <v>917</v>
      </c>
    </row>
    <row r="253" spans="1:23" x14ac:dyDescent="0.25">
      <c r="A253" s="1">
        <v>44228</v>
      </c>
      <c r="B253" s="1">
        <v>44228</v>
      </c>
      <c r="C253" t="s">
        <v>157</v>
      </c>
      <c r="D253" t="s">
        <v>93</v>
      </c>
      <c r="E253" t="s">
        <v>49</v>
      </c>
      <c r="F253" t="s">
        <v>278</v>
      </c>
      <c r="G253" s="56">
        <v>44302.769236111111</v>
      </c>
      <c r="H253">
        <v>33</v>
      </c>
      <c r="I253" t="s">
        <v>351</v>
      </c>
      <c r="J253" t="s">
        <v>50</v>
      </c>
      <c r="K253" t="s">
        <v>50</v>
      </c>
      <c r="L253" t="s">
        <v>159</v>
      </c>
      <c r="M253" t="s">
        <v>51</v>
      </c>
      <c r="N253" t="s">
        <v>92</v>
      </c>
      <c r="O253" s="1">
        <v>41335</v>
      </c>
      <c r="P253" t="s">
        <v>84</v>
      </c>
      <c r="Q253">
        <v>1</v>
      </c>
      <c r="R253" t="s">
        <v>83</v>
      </c>
      <c r="S253">
        <v>1</v>
      </c>
      <c r="T253">
        <v>1042</v>
      </c>
      <c r="U253" t="s">
        <v>351</v>
      </c>
      <c r="V253" t="s">
        <v>351</v>
      </c>
      <c r="W253">
        <v>1042</v>
      </c>
    </row>
    <row r="254" spans="1:23" x14ac:dyDescent="0.25">
      <c r="A254" s="1">
        <v>44228</v>
      </c>
      <c r="B254" s="1">
        <v>44228</v>
      </c>
      <c r="C254" t="s">
        <v>157</v>
      </c>
      <c r="D254" t="s">
        <v>48</v>
      </c>
      <c r="E254" t="s">
        <v>49</v>
      </c>
      <c r="F254" t="s">
        <v>277</v>
      </c>
      <c r="G254" s="56">
        <v>44259.815057870372</v>
      </c>
      <c r="H254">
        <v>33</v>
      </c>
      <c r="I254">
        <v>17645</v>
      </c>
      <c r="J254" t="s">
        <v>50</v>
      </c>
      <c r="K254" t="s">
        <v>50</v>
      </c>
      <c r="L254" t="s">
        <v>159</v>
      </c>
      <c r="M254" t="s">
        <v>51</v>
      </c>
      <c r="N254" t="s">
        <v>92</v>
      </c>
      <c r="O254" s="1">
        <v>41335</v>
      </c>
      <c r="P254" t="s">
        <v>84</v>
      </c>
      <c r="Q254">
        <v>1</v>
      </c>
      <c r="R254" t="s">
        <v>83</v>
      </c>
      <c r="S254">
        <v>2149.7309340000002</v>
      </c>
      <c r="T254">
        <v>85.203000000000003</v>
      </c>
      <c r="U254" t="s">
        <v>351</v>
      </c>
      <c r="V254" t="s">
        <v>351</v>
      </c>
      <c r="W254">
        <v>183164</v>
      </c>
    </row>
    <row r="255" spans="1:23" x14ac:dyDescent="0.25">
      <c r="A255" s="1">
        <v>44228</v>
      </c>
      <c r="B255" s="1">
        <v>44228</v>
      </c>
      <c r="C255" t="s">
        <v>157</v>
      </c>
      <c r="D255" t="s">
        <v>93</v>
      </c>
      <c r="E255" t="s">
        <v>49</v>
      </c>
      <c r="F255" t="s">
        <v>278</v>
      </c>
      <c r="G255" s="56">
        <v>44302.769236111111</v>
      </c>
      <c r="H255">
        <v>33</v>
      </c>
      <c r="I255" t="s">
        <v>351</v>
      </c>
      <c r="J255" t="s">
        <v>50</v>
      </c>
      <c r="K255" t="s">
        <v>50</v>
      </c>
      <c r="L255" t="s">
        <v>159</v>
      </c>
      <c r="M255" t="s">
        <v>51</v>
      </c>
      <c r="N255" t="s">
        <v>92</v>
      </c>
      <c r="O255" s="1">
        <v>41335</v>
      </c>
      <c r="P255" t="s">
        <v>84</v>
      </c>
      <c r="Q255">
        <v>2</v>
      </c>
      <c r="R255" t="s">
        <v>94</v>
      </c>
      <c r="S255">
        <v>1</v>
      </c>
      <c r="T255">
        <v>4</v>
      </c>
      <c r="U255" t="s">
        <v>351</v>
      </c>
      <c r="V255" t="s">
        <v>351</v>
      </c>
      <c r="W255">
        <v>4</v>
      </c>
    </row>
    <row r="256" spans="1:23" x14ac:dyDescent="0.25">
      <c r="A256" s="1">
        <v>44228</v>
      </c>
      <c r="B256" s="1">
        <v>44228</v>
      </c>
      <c r="C256" t="s">
        <v>157</v>
      </c>
      <c r="D256" t="s">
        <v>48</v>
      </c>
      <c r="E256" t="s">
        <v>49</v>
      </c>
      <c r="F256" t="s">
        <v>277</v>
      </c>
      <c r="G256" s="56">
        <v>44259.815057870372</v>
      </c>
      <c r="H256">
        <v>33</v>
      </c>
      <c r="I256">
        <v>17645</v>
      </c>
      <c r="J256" t="s">
        <v>50</v>
      </c>
      <c r="K256" t="s">
        <v>50</v>
      </c>
      <c r="L256" t="s">
        <v>159</v>
      </c>
      <c r="M256" t="s">
        <v>51</v>
      </c>
      <c r="N256" t="s">
        <v>92</v>
      </c>
      <c r="O256" s="1">
        <v>41335</v>
      </c>
      <c r="P256" t="s">
        <v>84</v>
      </c>
      <c r="Q256">
        <v>2</v>
      </c>
      <c r="R256" t="s">
        <v>94</v>
      </c>
      <c r="S256">
        <v>7.2339039999999999</v>
      </c>
      <c r="T256">
        <v>86.819000000000003</v>
      </c>
      <c r="U256" t="s">
        <v>351</v>
      </c>
      <c r="V256" t="s">
        <v>351</v>
      </c>
      <c r="W256">
        <v>628</v>
      </c>
    </row>
    <row r="257" spans="1:23" x14ac:dyDescent="0.25">
      <c r="A257" s="1">
        <v>44228</v>
      </c>
      <c r="B257" s="1">
        <v>44228</v>
      </c>
      <c r="C257" t="s">
        <v>157</v>
      </c>
      <c r="D257" t="s">
        <v>93</v>
      </c>
      <c r="E257" t="s">
        <v>49</v>
      </c>
      <c r="F257" t="s">
        <v>278</v>
      </c>
      <c r="G257" s="56">
        <v>44302.769236111111</v>
      </c>
      <c r="H257">
        <v>33</v>
      </c>
      <c r="I257" t="s">
        <v>351</v>
      </c>
      <c r="J257" t="s">
        <v>50</v>
      </c>
      <c r="K257" t="s">
        <v>50</v>
      </c>
      <c r="L257" t="s">
        <v>159</v>
      </c>
      <c r="M257" t="s">
        <v>51</v>
      </c>
      <c r="N257" t="s">
        <v>92</v>
      </c>
      <c r="O257" s="1">
        <v>41335</v>
      </c>
      <c r="P257" t="s">
        <v>84</v>
      </c>
      <c r="Q257">
        <v>3</v>
      </c>
      <c r="R257" t="s">
        <v>81</v>
      </c>
      <c r="S257">
        <v>1</v>
      </c>
      <c r="T257">
        <v>105</v>
      </c>
      <c r="U257" t="s">
        <v>351</v>
      </c>
      <c r="V257" t="s">
        <v>351</v>
      </c>
      <c r="W257">
        <v>105</v>
      </c>
    </row>
    <row r="258" spans="1:23" x14ac:dyDescent="0.25">
      <c r="A258" s="1">
        <v>44228</v>
      </c>
      <c r="B258" s="1">
        <v>44228</v>
      </c>
      <c r="C258" t="s">
        <v>157</v>
      </c>
      <c r="D258" t="s">
        <v>48</v>
      </c>
      <c r="E258" t="s">
        <v>49</v>
      </c>
      <c r="F258" t="s">
        <v>277</v>
      </c>
      <c r="G258" s="56">
        <v>44259.815057870372</v>
      </c>
      <c r="H258">
        <v>33</v>
      </c>
      <c r="I258">
        <v>17645</v>
      </c>
      <c r="J258" t="s">
        <v>50</v>
      </c>
      <c r="K258" t="s">
        <v>50</v>
      </c>
      <c r="L258" t="s">
        <v>159</v>
      </c>
      <c r="M258" t="s">
        <v>51</v>
      </c>
      <c r="N258" t="s">
        <v>92</v>
      </c>
      <c r="O258" s="1">
        <v>41335</v>
      </c>
      <c r="P258" t="s">
        <v>84</v>
      </c>
      <c r="Q258">
        <v>3</v>
      </c>
      <c r="R258" t="s">
        <v>81</v>
      </c>
      <c r="S258">
        <v>234.44251299999999</v>
      </c>
      <c r="T258">
        <v>78.597999999999999</v>
      </c>
      <c r="U258" t="s">
        <v>351</v>
      </c>
      <c r="V258" t="s">
        <v>351</v>
      </c>
      <c r="W258">
        <v>18427</v>
      </c>
    </row>
    <row r="259" spans="1:23" x14ac:dyDescent="0.25">
      <c r="A259" s="1">
        <v>44228</v>
      </c>
      <c r="B259" s="1">
        <v>44228</v>
      </c>
      <c r="C259" t="s">
        <v>157</v>
      </c>
      <c r="D259" t="s">
        <v>93</v>
      </c>
      <c r="E259" t="s">
        <v>49</v>
      </c>
      <c r="F259" t="s">
        <v>278</v>
      </c>
      <c r="G259" s="56">
        <v>44302.769236111111</v>
      </c>
      <c r="H259">
        <v>33</v>
      </c>
      <c r="I259" t="s">
        <v>351</v>
      </c>
      <c r="J259" t="s">
        <v>50</v>
      </c>
      <c r="K259" t="s">
        <v>50</v>
      </c>
      <c r="L259" t="s">
        <v>159</v>
      </c>
      <c r="M259" t="s">
        <v>51</v>
      </c>
      <c r="N259" t="s">
        <v>92</v>
      </c>
      <c r="O259" s="1">
        <v>41335</v>
      </c>
      <c r="P259" t="s">
        <v>84</v>
      </c>
      <c r="Q259">
        <v>4</v>
      </c>
      <c r="R259" t="s">
        <v>27</v>
      </c>
      <c r="S259">
        <v>1</v>
      </c>
      <c r="T259">
        <v>1221</v>
      </c>
      <c r="U259" t="s">
        <v>351</v>
      </c>
      <c r="V259" t="s">
        <v>351</v>
      </c>
      <c r="W259">
        <v>1221</v>
      </c>
    </row>
    <row r="260" spans="1:23" x14ac:dyDescent="0.25">
      <c r="A260" s="1">
        <v>44228</v>
      </c>
      <c r="B260" s="1">
        <v>44228</v>
      </c>
      <c r="C260" t="s">
        <v>157</v>
      </c>
      <c r="D260" t="s">
        <v>48</v>
      </c>
      <c r="E260" t="s">
        <v>49</v>
      </c>
      <c r="F260" t="s">
        <v>277</v>
      </c>
      <c r="G260" s="56">
        <v>44259.815057870372</v>
      </c>
      <c r="H260">
        <v>33</v>
      </c>
      <c r="I260">
        <v>17645</v>
      </c>
      <c r="J260" t="s">
        <v>50</v>
      </c>
      <c r="K260" t="s">
        <v>50</v>
      </c>
      <c r="L260" t="s">
        <v>159</v>
      </c>
      <c r="M260" t="s">
        <v>51</v>
      </c>
      <c r="N260" t="s">
        <v>92</v>
      </c>
      <c r="O260" s="1">
        <v>41335</v>
      </c>
      <c r="P260" t="s">
        <v>84</v>
      </c>
      <c r="Q260">
        <v>4</v>
      </c>
      <c r="R260" t="s">
        <v>27</v>
      </c>
      <c r="S260">
        <v>2674.997464</v>
      </c>
      <c r="T260">
        <v>80.213999999999999</v>
      </c>
      <c r="U260" t="s">
        <v>351</v>
      </c>
      <c r="V260" t="s">
        <v>351</v>
      </c>
      <c r="W260">
        <v>214572</v>
      </c>
    </row>
    <row r="261" spans="1:23" x14ac:dyDescent="0.25">
      <c r="A261" s="1">
        <v>44228</v>
      </c>
      <c r="B261" s="1">
        <v>44228</v>
      </c>
      <c r="C261" t="s">
        <v>157</v>
      </c>
      <c r="D261" t="s">
        <v>93</v>
      </c>
      <c r="E261" t="s">
        <v>49</v>
      </c>
      <c r="F261" t="s">
        <v>278</v>
      </c>
      <c r="G261" s="56">
        <v>44302.769236111111</v>
      </c>
      <c r="H261">
        <v>33</v>
      </c>
      <c r="I261" t="s">
        <v>351</v>
      </c>
      <c r="J261" t="s">
        <v>50</v>
      </c>
      <c r="K261" t="s">
        <v>50</v>
      </c>
      <c r="L261" t="s">
        <v>159</v>
      </c>
      <c r="M261" t="s">
        <v>51</v>
      </c>
      <c r="N261" t="s">
        <v>92</v>
      </c>
      <c r="O261" s="1">
        <v>41335</v>
      </c>
      <c r="P261" t="s">
        <v>84</v>
      </c>
      <c r="Q261">
        <v>5</v>
      </c>
      <c r="R261" t="s">
        <v>28</v>
      </c>
      <c r="S261">
        <v>1</v>
      </c>
      <c r="T261">
        <v>3</v>
      </c>
      <c r="U261" t="s">
        <v>351</v>
      </c>
      <c r="V261" t="s">
        <v>351</v>
      </c>
      <c r="W261">
        <v>3</v>
      </c>
    </row>
    <row r="262" spans="1:23" x14ac:dyDescent="0.25">
      <c r="A262" s="1">
        <v>44228</v>
      </c>
      <c r="B262" s="1">
        <v>44228</v>
      </c>
      <c r="C262" t="s">
        <v>157</v>
      </c>
      <c r="D262" t="s">
        <v>48</v>
      </c>
      <c r="E262" t="s">
        <v>49</v>
      </c>
      <c r="F262" t="s">
        <v>277</v>
      </c>
      <c r="G262" s="56">
        <v>44259.815057870372</v>
      </c>
      <c r="H262">
        <v>33</v>
      </c>
      <c r="I262">
        <v>17645</v>
      </c>
      <c r="J262" t="s">
        <v>50</v>
      </c>
      <c r="K262" t="s">
        <v>50</v>
      </c>
      <c r="L262" t="s">
        <v>159</v>
      </c>
      <c r="M262" t="s">
        <v>51</v>
      </c>
      <c r="N262" t="s">
        <v>92</v>
      </c>
      <c r="O262" s="1">
        <v>41335</v>
      </c>
      <c r="P262" t="s">
        <v>84</v>
      </c>
      <c r="Q262">
        <v>5</v>
      </c>
      <c r="R262" t="s">
        <v>28</v>
      </c>
      <c r="S262">
        <v>7.8341200000000004</v>
      </c>
      <c r="T262">
        <v>86.617999999999995</v>
      </c>
      <c r="U262" t="s">
        <v>351</v>
      </c>
      <c r="V262" t="s">
        <v>351</v>
      </c>
      <c r="W262">
        <v>679</v>
      </c>
    </row>
    <row r="263" spans="1:23" x14ac:dyDescent="0.25">
      <c r="A263" s="1">
        <v>44256</v>
      </c>
      <c r="B263" s="1">
        <v>44256</v>
      </c>
      <c r="C263" t="s">
        <v>157</v>
      </c>
      <c r="D263" t="s">
        <v>93</v>
      </c>
      <c r="E263" t="s">
        <v>49</v>
      </c>
      <c r="F263" t="s">
        <v>284</v>
      </c>
      <c r="G263" s="56">
        <v>44327.522789351853</v>
      </c>
      <c r="H263">
        <v>33</v>
      </c>
      <c r="I263" t="s">
        <v>351</v>
      </c>
      <c r="J263" t="s">
        <v>50</v>
      </c>
      <c r="K263" t="s">
        <v>50</v>
      </c>
      <c r="L263" t="s">
        <v>159</v>
      </c>
      <c r="M263" t="s">
        <v>51</v>
      </c>
      <c r="N263" t="s">
        <v>92</v>
      </c>
      <c r="O263" s="1">
        <v>41335</v>
      </c>
      <c r="P263" t="s">
        <v>84</v>
      </c>
      <c r="Q263">
        <v>1</v>
      </c>
      <c r="R263" t="s">
        <v>83</v>
      </c>
      <c r="S263">
        <v>1</v>
      </c>
      <c r="T263">
        <v>1933</v>
      </c>
      <c r="U263" t="s">
        <v>351</v>
      </c>
      <c r="V263" t="s">
        <v>351</v>
      </c>
      <c r="W263">
        <v>1933</v>
      </c>
    </row>
    <row r="264" spans="1:23" x14ac:dyDescent="0.25">
      <c r="A264" s="1">
        <v>44256</v>
      </c>
      <c r="B264" s="1">
        <v>44256</v>
      </c>
      <c r="C264" t="s">
        <v>157</v>
      </c>
      <c r="D264" t="s">
        <v>48</v>
      </c>
      <c r="E264" t="s">
        <v>49</v>
      </c>
      <c r="F264" t="s">
        <v>282</v>
      </c>
      <c r="G264" s="56">
        <v>44294.484247685185</v>
      </c>
      <c r="H264">
        <v>33</v>
      </c>
      <c r="I264">
        <v>18264</v>
      </c>
      <c r="J264" t="s">
        <v>50</v>
      </c>
      <c r="K264" t="s">
        <v>50</v>
      </c>
      <c r="L264" t="s">
        <v>159</v>
      </c>
      <c r="M264" t="s">
        <v>51</v>
      </c>
      <c r="N264" t="s">
        <v>92</v>
      </c>
      <c r="O264" s="1">
        <v>41335</v>
      </c>
      <c r="P264" t="s">
        <v>84</v>
      </c>
      <c r="Q264">
        <v>1</v>
      </c>
      <c r="R264" t="s">
        <v>83</v>
      </c>
      <c r="S264">
        <v>2429.5084940000002</v>
      </c>
      <c r="T264">
        <v>85.203000000000003</v>
      </c>
      <c r="U264" t="s">
        <v>351</v>
      </c>
      <c r="V264" t="s">
        <v>351</v>
      </c>
      <c r="W264">
        <v>207001</v>
      </c>
    </row>
    <row r="265" spans="1:23" x14ac:dyDescent="0.25">
      <c r="A265" s="1">
        <v>44256</v>
      </c>
      <c r="B265" s="1">
        <v>44256</v>
      </c>
      <c r="C265" t="s">
        <v>157</v>
      </c>
      <c r="D265" t="s">
        <v>93</v>
      </c>
      <c r="E265" t="s">
        <v>49</v>
      </c>
      <c r="F265" t="s">
        <v>284</v>
      </c>
      <c r="G265" s="56">
        <v>44327.522789351853</v>
      </c>
      <c r="H265">
        <v>33</v>
      </c>
      <c r="I265" t="s">
        <v>351</v>
      </c>
      <c r="J265" t="s">
        <v>50</v>
      </c>
      <c r="K265" t="s">
        <v>50</v>
      </c>
      <c r="L265" t="s">
        <v>159</v>
      </c>
      <c r="M265" t="s">
        <v>51</v>
      </c>
      <c r="N265" t="s">
        <v>92</v>
      </c>
      <c r="O265" s="1">
        <v>41335</v>
      </c>
      <c r="P265" t="s">
        <v>84</v>
      </c>
      <c r="Q265">
        <v>2</v>
      </c>
      <c r="R265" t="s">
        <v>94</v>
      </c>
      <c r="S265">
        <v>1</v>
      </c>
      <c r="T265">
        <v>6</v>
      </c>
      <c r="U265" t="s">
        <v>351</v>
      </c>
      <c r="V265" t="s">
        <v>351</v>
      </c>
      <c r="W265">
        <v>6</v>
      </c>
    </row>
    <row r="266" spans="1:23" x14ac:dyDescent="0.25">
      <c r="A266" s="1">
        <v>44256</v>
      </c>
      <c r="B266" s="1">
        <v>44256</v>
      </c>
      <c r="C266" t="s">
        <v>157</v>
      </c>
      <c r="D266" t="s">
        <v>48</v>
      </c>
      <c r="E266" t="s">
        <v>49</v>
      </c>
      <c r="F266" t="s">
        <v>282</v>
      </c>
      <c r="G266" s="56">
        <v>44294.484247685185</v>
      </c>
      <c r="H266">
        <v>33</v>
      </c>
      <c r="I266">
        <v>18264</v>
      </c>
      <c r="J266" t="s">
        <v>50</v>
      </c>
      <c r="K266" t="s">
        <v>50</v>
      </c>
      <c r="L266" t="s">
        <v>159</v>
      </c>
      <c r="M266" t="s">
        <v>51</v>
      </c>
      <c r="N266" t="s">
        <v>92</v>
      </c>
      <c r="O266" s="1">
        <v>41335</v>
      </c>
      <c r="P266" t="s">
        <v>84</v>
      </c>
      <c r="Q266">
        <v>2</v>
      </c>
      <c r="R266" t="s">
        <v>94</v>
      </c>
      <c r="S266">
        <v>8.2069919999999996</v>
      </c>
      <c r="T266">
        <v>86.819000000000003</v>
      </c>
      <c r="U266" t="s">
        <v>351</v>
      </c>
      <c r="V266" t="s">
        <v>351</v>
      </c>
      <c r="W266">
        <v>713</v>
      </c>
    </row>
    <row r="267" spans="1:23" x14ac:dyDescent="0.25">
      <c r="A267" s="1">
        <v>44256</v>
      </c>
      <c r="B267" s="1">
        <v>44256</v>
      </c>
      <c r="C267" t="s">
        <v>157</v>
      </c>
      <c r="D267" t="s">
        <v>93</v>
      </c>
      <c r="E267" t="s">
        <v>49</v>
      </c>
      <c r="F267" t="s">
        <v>284</v>
      </c>
      <c r="G267" s="56">
        <v>44327.522789351853</v>
      </c>
      <c r="H267">
        <v>33</v>
      </c>
      <c r="I267" t="s">
        <v>351</v>
      </c>
      <c r="J267" t="s">
        <v>50</v>
      </c>
      <c r="K267" t="s">
        <v>50</v>
      </c>
      <c r="L267" t="s">
        <v>159</v>
      </c>
      <c r="M267" t="s">
        <v>51</v>
      </c>
      <c r="N267" t="s">
        <v>92</v>
      </c>
      <c r="O267" s="1">
        <v>41335</v>
      </c>
      <c r="P267" t="s">
        <v>84</v>
      </c>
      <c r="Q267">
        <v>3</v>
      </c>
      <c r="R267" t="s">
        <v>81</v>
      </c>
      <c r="S267">
        <v>1</v>
      </c>
      <c r="T267">
        <v>196</v>
      </c>
      <c r="U267" t="s">
        <v>351</v>
      </c>
      <c r="V267" t="s">
        <v>351</v>
      </c>
      <c r="W267">
        <v>196</v>
      </c>
    </row>
    <row r="268" spans="1:23" x14ac:dyDescent="0.25">
      <c r="A268" s="1">
        <v>44256</v>
      </c>
      <c r="B268" s="1">
        <v>44256</v>
      </c>
      <c r="C268" t="s">
        <v>157</v>
      </c>
      <c r="D268" t="s">
        <v>48</v>
      </c>
      <c r="E268" t="s">
        <v>49</v>
      </c>
      <c r="F268" t="s">
        <v>282</v>
      </c>
      <c r="G268" s="56">
        <v>44294.484247685185</v>
      </c>
      <c r="H268">
        <v>33</v>
      </c>
      <c r="I268">
        <v>18264</v>
      </c>
      <c r="J268" t="s">
        <v>50</v>
      </c>
      <c r="K268" t="s">
        <v>50</v>
      </c>
      <c r="L268" t="s">
        <v>159</v>
      </c>
      <c r="M268" t="s">
        <v>51</v>
      </c>
      <c r="N268" t="s">
        <v>92</v>
      </c>
      <c r="O268" s="1">
        <v>41335</v>
      </c>
      <c r="P268" t="s">
        <v>84</v>
      </c>
      <c r="Q268">
        <v>3</v>
      </c>
      <c r="R268" t="s">
        <v>81</v>
      </c>
      <c r="S268">
        <v>266.55027999999999</v>
      </c>
      <c r="T268">
        <v>78.597999999999999</v>
      </c>
      <c r="U268" t="s">
        <v>351</v>
      </c>
      <c r="V268" t="s">
        <v>351</v>
      </c>
      <c r="W268">
        <v>20950</v>
      </c>
    </row>
    <row r="269" spans="1:23" x14ac:dyDescent="0.25">
      <c r="A269" s="1">
        <v>44256</v>
      </c>
      <c r="B269" s="1">
        <v>44256</v>
      </c>
      <c r="C269" t="s">
        <v>157</v>
      </c>
      <c r="D269" t="s">
        <v>93</v>
      </c>
      <c r="E269" t="s">
        <v>49</v>
      </c>
      <c r="F269" t="s">
        <v>284</v>
      </c>
      <c r="G269" s="56">
        <v>44327.522789351853</v>
      </c>
      <c r="H269">
        <v>33</v>
      </c>
      <c r="I269" t="s">
        <v>351</v>
      </c>
      <c r="J269" t="s">
        <v>50</v>
      </c>
      <c r="K269" t="s">
        <v>50</v>
      </c>
      <c r="L269" t="s">
        <v>159</v>
      </c>
      <c r="M269" t="s">
        <v>51</v>
      </c>
      <c r="N269" t="s">
        <v>92</v>
      </c>
      <c r="O269" s="1">
        <v>41335</v>
      </c>
      <c r="P269" t="s">
        <v>84</v>
      </c>
      <c r="Q269">
        <v>4</v>
      </c>
      <c r="R269" t="s">
        <v>27</v>
      </c>
      <c r="S269">
        <v>1</v>
      </c>
      <c r="T269">
        <v>2266</v>
      </c>
      <c r="U269" t="s">
        <v>351</v>
      </c>
      <c r="V269" t="s">
        <v>351</v>
      </c>
      <c r="W269">
        <v>2266</v>
      </c>
    </row>
    <row r="270" spans="1:23" x14ac:dyDescent="0.25">
      <c r="A270" s="1">
        <v>44256</v>
      </c>
      <c r="B270" s="1">
        <v>44256</v>
      </c>
      <c r="C270" t="s">
        <v>157</v>
      </c>
      <c r="D270" t="s">
        <v>48</v>
      </c>
      <c r="E270" t="s">
        <v>49</v>
      </c>
      <c r="F270" t="s">
        <v>282</v>
      </c>
      <c r="G270" s="56">
        <v>44294.484247685185</v>
      </c>
      <c r="H270">
        <v>33</v>
      </c>
      <c r="I270">
        <v>18264</v>
      </c>
      <c r="J270" t="s">
        <v>50</v>
      </c>
      <c r="K270" t="s">
        <v>50</v>
      </c>
      <c r="L270" t="s">
        <v>159</v>
      </c>
      <c r="M270" t="s">
        <v>51</v>
      </c>
      <c r="N270" t="s">
        <v>92</v>
      </c>
      <c r="O270" s="1">
        <v>41335</v>
      </c>
      <c r="P270" t="s">
        <v>84</v>
      </c>
      <c r="Q270">
        <v>4</v>
      </c>
      <c r="R270" t="s">
        <v>27</v>
      </c>
      <c r="S270">
        <v>3026.9486430000002</v>
      </c>
      <c r="T270">
        <v>80.213999999999999</v>
      </c>
      <c r="U270" t="s">
        <v>351</v>
      </c>
      <c r="V270" t="s">
        <v>351</v>
      </c>
      <c r="W270">
        <v>242804</v>
      </c>
    </row>
    <row r="271" spans="1:23" x14ac:dyDescent="0.25">
      <c r="A271" s="1">
        <v>44256</v>
      </c>
      <c r="B271" s="1">
        <v>44256</v>
      </c>
      <c r="C271" t="s">
        <v>157</v>
      </c>
      <c r="D271" t="s">
        <v>93</v>
      </c>
      <c r="E271" t="s">
        <v>49</v>
      </c>
      <c r="F271" t="s">
        <v>284</v>
      </c>
      <c r="G271" s="56">
        <v>44327.522789351853</v>
      </c>
      <c r="H271">
        <v>33</v>
      </c>
      <c r="I271" t="s">
        <v>351</v>
      </c>
      <c r="J271" t="s">
        <v>50</v>
      </c>
      <c r="K271" t="s">
        <v>50</v>
      </c>
      <c r="L271" t="s">
        <v>159</v>
      </c>
      <c r="M271" t="s">
        <v>51</v>
      </c>
      <c r="N271" t="s">
        <v>92</v>
      </c>
      <c r="O271" s="1">
        <v>41335</v>
      </c>
      <c r="P271" t="s">
        <v>84</v>
      </c>
      <c r="Q271">
        <v>5</v>
      </c>
      <c r="R271" t="s">
        <v>28</v>
      </c>
      <c r="S271">
        <v>1</v>
      </c>
      <c r="T271">
        <v>7</v>
      </c>
      <c r="U271" t="s">
        <v>351</v>
      </c>
      <c r="V271" t="s">
        <v>351</v>
      </c>
      <c r="W271">
        <v>7</v>
      </c>
    </row>
    <row r="272" spans="1:23" x14ac:dyDescent="0.25">
      <c r="A272" s="1">
        <v>44256</v>
      </c>
      <c r="B272" s="1">
        <v>44256</v>
      </c>
      <c r="C272" t="s">
        <v>157</v>
      </c>
      <c r="D272" t="s">
        <v>48</v>
      </c>
      <c r="E272" t="s">
        <v>49</v>
      </c>
      <c r="F272" t="s">
        <v>282</v>
      </c>
      <c r="G272" s="56">
        <v>44294.484247685185</v>
      </c>
      <c r="H272">
        <v>33</v>
      </c>
      <c r="I272">
        <v>18264</v>
      </c>
      <c r="J272" t="s">
        <v>50</v>
      </c>
      <c r="K272" t="s">
        <v>50</v>
      </c>
      <c r="L272" t="s">
        <v>159</v>
      </c>
      <c r="M272" t="s">
        <v>51</v>
      </c>
      <c r="N272" t="s">
        <v>92</v>
      </c>
      <c r="O272" s="1">
        <v>41335</v>
      </c>
      <c r="P272" t="s">
        <v>84</v>
      </c>
      <c r="Q272">
        <v>5</v>
      </c>
      <c r="R272" t="s">
        <v>28</v>
      </c>
      <c r="S272">
        <v>8.8766890000000007</v>
      </c>
      <c r="T272">
        <v>86.617999999999995</v>
      </c>
      <c r="U272" t="s">
        <v>351</v>
      </c>
      <c r="V272" t="s">
        <v>351</v>
      </c>
      <c r="W272">
        <v>769</v>
      </c>
    </row>
    <row r="273" spans="1:23" x14ac:dyDescent="0.25">
      <c r="A273" s="1">
        <v>44287</v>
      </c>
      <c r="B273" s="1">
        <v>44287</v>
      </c>
      <c r="C273" t="s">
        <v>157</v>
      </c>
      <c r="D273" t="s">
        <v>48</v>
      </c>
      <c r="E273" t="s">
        <v>49</v>
      </c>
      <c r="F273" t="s">
        <v>286</v>
      </c>
      <c r="G273" s="56">
        <v>44323.702997685185</v>
      </c>
      <c r="H273">
        <v>33</v>
      </c>
      <c r="I273">
        <v>18700</v>
      </c>
      <c r="J273" t="s">
        <v>50</v>
      </c>
      <c r="K273" t="s">
        <v>50</v>
      </c>
      <c r="L273" t="s">
        <v>159</v>
      </c>
      <c r="M273" t="s">
        <v>51</v>
      </c>
      <c r="N273" t="s">
        <v>92</v>
      </c>
      <c r="O273" s="1">
        <v>41335</v>
      </c>
      <c r="P273" t="s">
        <v>84</v>
      </c>
      <c r="Q273">
        <v>1</v>
      </c>
      <c r="R273" t="s">
        <v>83</v>
      </c>
      <c r="S273">
        <v>1898.22228</v>
      </c>
      <c r="T273">
        <v>85.203000000000003</v>
      </c>
      <c r="U273" t="s">
        <v>351</v>
      </c>
      <c r="V273" t="s">
        <v>351</v>
      </c>
      <c r="W273">
        <v>161734</v>
      </c>
    </row>
    <row r="274" spans="1:23" x14ac:dyDescent="0.25">
      <c r="A274" s="1">
        <v>44287</v>
      </c>
      <c r="B274" s="1">
        <v>44287</v>
      </c>
      <c r="C274" t="s">
        <v>157</v>
      </c>
      <c r="D274" t="s">
        <v>48</v>
      </c>
      <c r="E274" t="s">
        <v>49</v>
      </c>
      <c r="F274" t="s">
        <v>286</v>
      </c>
      <c r="G274" s="56">
        <v>44323.702997685185</v>
      </c>
      <c r="H274">
        <v>33</v>
      </c>
      <c r="I274">
        <v>18700</v>
      </c>
      <c r="J274" t="s">
        <v>50</v>
      </c>
      <c r="K274" t="s">
        <v>50</v>
      </c>
      <c r="L274" t="s">
        <v>159</v>
      </c>
      <c r="M274" t="s">
        <v>51</v>
      </c>
      <c r="N274" t="s">
        <v>92</v>
      </c>
      <c r="O274" s="1">
        <v>41335</v>
      </c>
      <c r="P274" t="s">
        <v>84</v>
      </c>
      <c r="Q274">
        <v>2</v>
      </c>
      <c r="R274" t="s">
        <v>94</v>
      </c>
      <c r="S274">
        <v>6.7238790000000002</v>
      </c>
      <c r="T274">
        <v>86.819000000000003</v>
      </c>
      <c r="U274" t="s">
        <v>351</v>
      </c>
      <c r="V274" t="s">
        <v>351</v>
      </c>
      <c r="W274">
        <v>584</v>
      </c>
    </row>
    <row r="275" spans="1:23" x14ac:dyDescent="0.25">
      <c r="A275" s="1">
        <v>44287</v>
      </c>
      <c r="B275" s="1">
        <v>44287</v>
      </c>
      <c r="C275" t="s">
        <v>157</v>
      </c>
      <c r="D275" t="s">
        <v>48</v>
      </c>
      <c r="E275" t="s">
        <v>49</v>
      </c>
      <c r="F275" t="s">
        <v>286</v>
      </c>
      <c r="G275" s="56">
        <v>44323.702997685185</v>
      </c>
      <c r="H275">
        <v>33</v>
      </c>
      <c r="I275">
        <v>18700</v>
      </c>
      <c r="J275" t="s">
        <v>50</v>
      </c>
      <c r="K275" t="s">
        <v>50</v>
      </c>
      <c r="L275" t="s">
        <v>159</v>
      </c>
      <c r="M275" t="s">
        <v>51</v>
      </c>
      <c r="N275" t="s">
        <v>92</v>
      </c>
      <c r="O275" s="1">
        <v>41335</v>
      </c>
      <c r="P275" t="s">
        <v>84</v>
      </c>
      <c r="Q275">
        <v>3</v>
      </c>
      <c r="R275" t="s">
        <v>81</v>
      </c>
      <c r="S275">
        <v>210.80923799999999</v>
      </c>
      <c r="T275">
        <v>78.597999999999999</v>
      </c>
      <c r="U275" t="s">
        <v>351</v>
      </c>
      <c r="V275" t="s">
        <v>351</v>
      </c>
      <c r="W275">
        <v>16569</v>
      </c>
    </row>
    <row r="276" spans="1:23" x14ac:dyDescent="0.25">
      <c r="A276" s="1">
        <v>44287</v>
      </c>
      <c r="B276" s="1">
        <v>44287</v>
      </c>
      <c r="C276" t="s">
        <v>157</v>
      </c>
      <c r="D276" t="s">
        <v>48</v>
      </c>
      <c r="E276" t="s">
        <v>49</v>
      </c>
      <c r="F276" t="s">
        <v>286</v>
      </c>
      <c r="G276" s="56">
        <v>44323.702997685185</v>
      </c>
      <c r="H276">
        <v>33</v>
      </c>
      <c r="I276">
        <v>18700</v>
      </c>
      <c r="J276" t="s">
        <v>50</v>
      </c>
      <c r="K276" t="s">
        <v>50</v>
      </c>
      <c r="L276" t="s">
        <v>159</v>
      </c>
      <c r="M276" t="s">
        <v>51</v>
      </c>
      <c r="N276" t="s">
        <v>92</v>
      </c>
      <c r="O276" s="1">
        <v>41335</v>
      </c>
      <c r="P276" t="s">
        <v>84</v>
      </c>
      <c r="Q276">
        <v>4</v>
      </c>
      <c r="R276" t="s">
        <v>27</v>
      </c>
      <c r="S276">
        <v>2386.3591110000002</v>
      </c>
      <c r="T276">
        <v>80.213999999999999</v>
      </c>
      <c r="U276" t="s">
        <v>351</v>
      </c>
      <c r="V276" t="s">
        <v>351</v>
      </c>
      <c r="W276">
        <v>191419</v>
      </c>
    </row>
    <row r="277" spans="1:23" x14ac:dyDescent="0.25">
      <c r="A277" s="1">
        <v>44287</v>
      </c>
      <c r="B277" s="1">
        <v>44287</v>
      </c>
      <c r="C277" t="s">
        <v>157</v>
      </c>
      <c r="D277" t="s">
        <v>48</v>
      </c>
      <c r="E277" t="s">
        <v>49</v>
      </c>
      <c r="F277" t="s">
        <v>286</v>
      </c>
      <c r="G277" s="56">
        <v>44323.702997685185</v>
      </c>
      <c r="H277">
        <v>33</v>
      </c>
      <c r="I277">
        <v>18700</v>
      </c>
      <c r="J277" t="s">
        <v>50</v>
      </c>
      <c r="K277" t="s">
        <v>50</v>
      </c>
      <c r="L277" t="s">
        <v>159</v>
      </c>
      <c r="M277" t="s">
        <v>51</v>
      </c>
      <c r="N277" t="s">
        <v>92</v>
      </c>
      <c r="O277" s="1">
        <v>41335</v>
      </c>
      <c r="P277" t="s">
        <v>84</v>
      </c>
      <c r="Q277">
        <v>5</v>
      </c>
      <c r="R277" t="s">
        <v>28</v>
      </c>
      <c r="S277">
        <v>7.1214380000000004</v>
      </c>
      <c r="T277">
        <v>86.617999999999995</v>
      </c>
      <c r="U277" t="s">
        <v>351</v>
      </c>
      <c r="V277" t="s">
        <v>351</v>
      </c>
      <c r="W277">
        <v>617</v>
      </c>
    </row>
    <row r="278" spans="1:23" x14ac:dyDescent="0.25">
      <c r="B278"/>
    </row>
    <row r="279" spans="1:23" x14ac:dyDescent="0.25">
      <c r="B279"/>
    </row>
    <row r="280" spans="1:23" x14ac:dyDescent="0.25">
      <c r="B280"/>
    </row>
    <row r="281" spans="1:23" x14ac:dyDescent="0.25">
      <c r="B281"/>
    </row>
    <row r="282" spans="1:23" x14ac:dyDescent="0.25">
      <c r="B282"/>
    </row>
    <row r="283" spans="1:23" x14ac:dyDescent="0.25">
      <c r="B283"/>
    </row>
    <row r="284" spans="1:23" x14ac:dyDescent="0.25">
      <c r="B284"/>
    </row>
    <row r="285" spans="1:23" x14ac:dyDescent="0.25">
      <c r="B285"/>
    </row>
    <row r="286" spans="1:23" x14ac:dyDescent="0.25">
      <c r="B286"/>
    </row>
    <row r="287" spans="1:23" x14ac:dyDescent="0.25">
      <c r="B287"/>
    </row>
    <row r="288" spans="1:23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W735"/>
  <sheetViews>
    <sheetView zoomScale="60" zoomScaleNormal="60" workbookViewId="0">
      <selection activeCell="T5" sqref="T5"/>
    </sheetView>
  </sheetViews>
  <sheetFormatPr baseColWidth="10" defaultRowHeight="15" x14ac:dyDescent="0.25"/>
  <cols>
    <col min="1" max="1" width="12" customWidth="1"/>
    <col min="2" max="2" width="21.140625" style="1" bestFit="1" customWidth="1"/>
    <col min="3" max="3" width="45.85546875" bestFit="1" customWidth="1"/>
    <col min="4" max="4" width="39.140625" bestFit="1" customWidth="1"/>
    <col min="5" max="5" width="15.85546875" bestFit="1" customWidth="1"/>
    <col min="6" max="6" width="65.42578125" bestFit="1" customWidth="1"/>
    <col min="7" max="7" width="18.28515625" bestFit="1" customWidth="1"/>
    <col min="8" max="8" width="21.85546875" bestFit="1" customWidth="1"/>
    <col min="9" max="9" width="8.42578125" bestFit="1" customWidth="1"/>
    <col min="10" max="10" width="13.42578125" bestFit="1" customWidth="1"/>
    <col min="11" max="11" width="15.5703125" bestFit="1" customWidth="1"/>
    <col min="12" max="12" width="10.5703125" bestFit="1" customWidth="1"/>
    <col min="13" max="13" width="12.5703125" bestFit="1" customWidth="1"/>
    <col min="14" max="14" width="16.140625" bestFit="1" customWidth="1"/>
    <col min="15" max="15" width="14" bestFit="1" customWidth="1"/>
    <col min="16" max="16" width="21.85546875" bestFit="1" customWidth="1"/>
    <col min="17" max="17" width="7.5703125" bestFit="1" customWidth="1"/>
    <col min="18" max="18" width="17" bestFit="1" customWidth="1"/>
    <col min="19" max="19" width="11.140625" bestFit="1" customWidth="1"/>
    <col min="20" max="20" width="19.140625" bestFit="1" customWidth="1"/>
    <col min="21" max="21" width="13" bestFit="1" customWidth="1"/>
    <col min="22" max="22" width="21.28515625" bestFit="1" customWidth="1"/>
    <col min="23" max="23" width="10.140625" bestFit="1" customWidth="1"/>
  </cols>
  <sheetData>
    <row r="1" spans="1:23" s="2" customFormat="1" x14ac:dyDescent="0.25">
      <c r="A1" s="38" t="s">
        <v>29</v>
      </c>
      <c r="B1" s="38" t="s">
        <v>1</v>
      </c>
      <c r="C1" s="38" t="s">
        <v>30</v>
      </c>
      <c r="D1" s="38" t="s">
        <v>34</v>
      </c>
      <c r="E1" s="38" t="s">
        <v>35</v>
      </c>
      <c r="F1" s="38" t="s">
        <v>36</v>
      </c>
      <c r="G1" s="38" t="s">
        <v>37</v>
      </c>
      <c r="H1" s="38" t="s">
        <v>38</v>
      </c>
      <c r="I1" s="38" t="s">
        <v>39</v>
      </c>
      <c r="J1" s="38" t="s">
        <v>40</v>
      </c>
      <c r="K1" s="38" t="s">
        <v>41</v>
      </c>
      <c r="L1" s="38" t="s">
        <v>42</v>
      </c>
      <c r="M1" s="38" t="s">
        <v>43</v>
      </c>
      <c r="N1" s="38" t="s">
        <v>44</v>
      </c>
      <c r="O1" s="38" t="s">
        <v>45</v>
      </c>
      <c r="P1" s="38" t="s">
        <v>46</v>
      </c>
      <c r="Q1" s="38" t="s">
        <v>31</v>
      </c>
      <c r="R1" s="38" t="s">
        <v>32</v>
      </c>
      <c r="S1" s="38" t="s">
        <v>18</v>
      </c>
      <c r="T1" s="38" t="s">
        <v>19</v>
      </c>
      <c r="U1" s="38" t="s">
        <v>21</v>
      </c>
      <c r="V1" s="2" t="s">
        <v>22</v>
      </c>
      <c r="W1" s="2" t="s">
        <v>33</v>
      </c>
    </row>
    <row r="2" spans="1:23" x14ac:dyDescent="0.25">
      <c r="A2" s="1">
        <v>43556</v>
      </c>
      <c r="B2" s="1">
        <v>43556</v>
      </c>
      <c r="C2" t="s">
        <v>157</v>
      </c>
      <c r="D2" t="s">
        <v>54</v>
      </c>
      <c r="E2" t="s">
        <v>21</v>
      </c>
      <c r="F2" t="s">
        <v>170</v>
      </c>
      <c r="G2" s="56">
        <v>43598</v>
      </c>
      <c r="H2">
        <v>33</v>
      </c>
      <c r="I2">
        <v>8451</v>
      </c>
      <c r="J2" t="s">
        <v>50</v>
      </c>
      <c r="K2" t="s">
        <v>50</v>
      </c>
      <c r="L2" t="s">
        <v>159</v>
      </c>
      <c r="M2" t="s">
        <v>51</v>
      </c>
      <c r="N2" t="s">
        <v>92</v>
      </c>
      <c r="O2" s="1">
        <v>41335</v>
      </c>
      <c r="P2" t="s">
        <v>84</v>
      </c>
      <c r="Q2">
        <v>1</v>
      </c>
      <c r="R2" t="s">
        <v>83</v>
      </c>
      <c r="S2" t="s">
        <v>351</v>
      </c>
      <c r="T2" t="s">
        <v>351</v>
      </c>
      <c r="U2">
        <v>0</v>
      </c>
      <c r="V2">
        <v>0</v>
      </c>
      <c r="W2">
        <v>0</v>
      </c>
    </row>
    <row r="3" spans="1:23" x14ac:dyDescent="0.25">
      <c r="A3" s="1">
        <v>43556</v>
      </c>
      <c r="B3" s="1">
        <v>43556</v>
      </c>
      <c r="C3" t="s">
        <v>157</v>
      </c>
      <c r="D3" t="s">
        <v>54</v>
      </c>
      <c r="E3" t="s">
        <v>21</v>
      </c>
      <c r="F3" t="s">
        <v>170</v>
      </c>
      <c r="G3" s="56">
        <v>43598</v>
      </c>
      <c r="H3">
        <v>33</v>
      </c>
      <c r="I3">
        <v>8451</v>
      </c>
      <c r="J3" t="s">
        <v>50</v>
      </c>
      <c r="K3" t="s">
        <v>50</v>
      </c>
      <c r="L3" t="s">
        <v>159</v>
      </c>
      <c r="M3" t="s">
        <v>51</v>
      </c>
      <c r="N3" t="s">
        <v>92</v>
      </c>
      <c r="O3" s="1">
        <v>41335</v>
      </c>
      <c r="P3" t="s">
        <v>84</v>
      </c>
      <c r="Q3">
        <v>2</v>
      </c>
      <c r="R3" t="s">
        <v>94</v>
      </c>
      <c r="S3" t="s">
        <v>351</v>
      </c>
      <c r="T3" t="s">
        <v>351</v>
      </c>
      <c r="U3">
        <v>0</v>
      </c>
      <c r="V3">
        <v>0</v>
      </c>
      <c r="W3">
        <v>0</v>
      </c>
    </row>
    <row r="4" spans="1:23" x14ac:dyDescent="0.25">
      <c r="A4" s="1">
        <v>43556</v>
      </c>
      <c r="B4" s="1">
        <v>43556</v>
      </c>
      <c r="C4" t="s">
        <v>157</v>
      </c>
      <c r="D4" t="s">
        <v>54</v>
      </c>
      <c r="E4" t="s">
        <v>21</v>
      </c>
      <c r="F4" t="s">
        <v>170</v>
      </c>
      <c r="G4" s="56">
        <v>43598</v>
      </c>
      <c r="H4">
        <v>33</v>
      </c>
      <c r="I4">
        <v>8451</v>
      </c>
      <c r="J4" t="s">
        <v>50</v>
      </c>
      <c r="K4" t="s">
        <v>50</v>
      </c>
      <c r="L4" t="s">
        <v>159</v>
      </c>
      <c r="M4" t="s">
        <v>51</v>
      </c>
      <c r="N4" t="s">
        <v>92</v>
      </c>
      <c r="O4" s="1">
        <v>41335</v>
      </c>
      <c r="P4" t="s">
        <v>84</v>
      </c>
      <c r="Q4">
        <v>3</v>
      </c>
      <c r="R4" t="s">
        <v>81</v>
      </c>
      <c r="S4" t="s">
        <v>351</v>
      </c>
      <c r="T4" t="s">
        <v>351</v>
      </c>
      <c r="U4">
        <v>0</v>
      </c>
      <c r="V4">
        <v>0</v>
      </c>
      <c r="W4">
        <v>0</v>
      </c>
    </row>
    <row r="5" spans="1:23" x14ac:dyDescent="0.25">
      <c r="A5" s="1">
        <v>43556</v>
      </c>
      <c r="B5" s="1">
        <v>43556</v>
      </c>
      <c r="C5" t="s">
        <v>157</v>
      </c>
      <c r="D5" t="s">
        <v>54</v>
      </c>
      <c r="E5" t="s">
        <v>21</v>
      </c>
      <c r="F5" t="s">
        <v>170</v>
      </c>
      <c r="G5" s="56">
        <v>43598</v>
      </c>
      <c r="H5">
        <v>33</v>
      </c>
      <c r="I5">
        <v>8451</v>
      </c>
      <c r="J5" t="s">
        <v>50</v>
      </c>
      <c r="K5" t="s">
        <v>50</v>
      </c>
      <c r="L5" t="s">
        <v>159</v>
      </c>
      <c r="M5" t="s">
        <v>51</v>
      </c>
      <c r="N5" t="s">
        <v>92</v>
      </c>
      <c r="O5" s="1">
        <v>41335</v>
      </c>
      <c r="P5" t="s">
        <v>84</v>
      </c>
      <c r="Q5">
        <v>4</v>
      </c>
      <c r="R5" t="s">
        <v>27</v>
      </c>
      <c r="S5" t="s">
        <v>351</v>
      </c>
      <c r="T5" t="s">
        <v>351</v>
      </c>
      <c r="U5">
        <v>0</v>
      </c>
      <c r="V5">
        <v>0</v>
      </c>
      <c r="W5">
        <v>0</v>
      </c>
    </row>
    <row r="6" spans="1:23" x14ac:dyDescent="0.25">
      <c r="A6" s="1">
        <v>43556</v>
      </c>
      <c r="B6" s="1">
        <v>43556</v>
      </c>
      <c r="C6" t="s">
        <v>157</v>
      </c>
      <c r="D6" t="s">
        <v>54</v>
      </c>
      <c r="E6" t="s">
        <v>21</v>
      </c>
      <c r="F6" t="s">
        <v>170</v>
      </c>
      <c r="G6" s="56">
        <v>43598</v>
      </c>
      <c r="H6">
        <v>33</v>
      </c>
      <c r="I6">
        <v>8451</v>
      </c>
      <c r="J6" t="s">
        <v>50</v>
      </c>
      <c r="K6" t="s">
        <v>50</v>
      </c>
      <c r="L6" t="s">
        <v>159</v>
      </c>
      <c r="M6" t="s">
        <v>51</v>
      </c>
      <c r="N6" t="s">
        <v>92</v>
      </c>
      <c r="O6" s="1">
        <v>41335</v>
      </c>
      <c r="P6" t="s">
        <v>84</v>
      </c>
      <c r="Q6">
        <v>5</v>
      </c>
      <c r="R6" t="s">
        <v>28</v>
      </c>
      <c r="S6" t="s">
        <v>351</v>
      </c>
      <c r="T6" t="s">
        <v>351</v>
      </c>
      <c r="U6">
        <v>0</v>
      </c>
      <c r="V6">
        <v>0</v>
      </c>
      <c r="W6">
        <v>0</v>
      </c>
    </row>
    <row r="7" spans="1:23" x14ac:dyDescent="0.25">
      <c r="A7" s="1">
        <v>43586</v>
      </c>
      <c r="B7" s="1">
        <v>43586</v>
      </c>
      <c r="C7" t="s">
        <v>157</v>
      </c>
      <c r="D7" t="s">
        <v>54</v>
      </c>
      <c r="E7" t="s">
        <v>21</v>
      </c>
      <c r="F7" t="s">
        <v>173</v>
      </c>
      <c r="G7" s="56">
        <v>43627</v>
      </c>
      <c r="H7">
        <v>33</v>
      </c>
      <c r="I7">
        <v>8768</v>
      </c>
      <c r="J7" t="s">
        <v>50</v>
      </c>
      <c r="K7" t="s">
        <v>50</v>
      </c>
      <c r="L7" t="s">
        <v>159</v>
      </c>
      <c r="M7" t="s">
        <v>51</v>
      </c>
      <c r="N7" t="s">
        <v>92</v>
      </c>
      <c r="O7" s="1">
        <v>41335</v>
      </c>
      <c r="P7" t="s">
        <v>84</v>
      </c>
      <c r="Q7">
        <v>1</v>
      </c>
      <c r="R7" t="s">
        <v>83</v>
      </c>
      <c r="S7" t="s">
        <v>351</v>
      </c>
      <c r="T7" t="s">
        <v>351</v>
      </c>
      <c r="U7">
        <v>0</v>
      </c>
      <c r="V7">
        <v>0</v>
      </c>
      <c r="W7">
        <v>0</v>
      </c>
    </row>
    <row r="8" spans="1:23" x14ac:dyDescent="0.25">
      <c r="A8" s="1">
        <v>43586</v>
      </c>
      <c r="B8" s="1">
        <v>43586</v>
      </c>
      <c r="C8" t="s">
        <v>157</v>
      </c>
      <c r="D8" t="s">
        <v>54</v>
      </c>
      <c r="E8" t="s">
        <v>21</v>
      </c>
      <c r="F8" t="s">
        <v>173</v>
      </c>
      <c r="G8" s="56">
        <v>43627</v>
      </c>
      <c r="H8">
        <v>33</v>
      </c>
      <c r="I8">
        <v>8768</v>
      </c>
      <c r="J8" t="s">
        <v>50</v>
      </c>
      <c r="K8" t="s">
        <v>50</v>
      </c>
      <c r="L8" t="s">
        <v>159</v>
      </c>
      <c r="M8" t="s">
        <v>51</v>
      </c>
      <c r="N8" t="s">
        <v>92</v>
      </c>
      <c r="O8" s="1">
        <v>41335</v>
      </c>
      <c r="P8" t="s">
        <v>84</v>
      </c>
      <c r="Q8">
        <v>2</v>
      </c>
      <c r="R8" t="s">
        <v>94</v>
      </c>
      <c r="S8" t="s">
        <v>351</v>
      </c>
      <c r="T8" t="s">
        <v>351</v>
      </c>
      <c r="U8">
        <v>0</v>
      </c>
      <c r="V8">
        <v>0</v>
      </c>
      <c r="W8">
        <v>0</v>
      </c>
    </row>
    <row r="9" spans="1:23" x14ac:dyDescent="0.25">
      <c r="A9" s="1">
        <v>43586</v>
      </c>
      <c r="B9" s="1">
        <v>43586</v>
      </c>
      <c r="C9" t="s">
        <v>157</v>
      </c>
      <c r="D9" t="s">
        <v>54</v>
      </c>
      <c r="E9" t="s">
        <v>21</v>
      </c>
      <c r="F9" t="s">
        <v>173</v>
      </c>
      <c r="G9" s="56">
        <v>43627</v>
      </c>
      <c r="H9">
        <v>33</v>
      </c>
      <c r="I9">
        <v>8768</v>
      </c>
      <c r="J9" t="s">
        <v>50</v>
      </c>
      <c r="K9" t="s">
        <v>50</v>
      </c>
      <c r="L9" t="s">
        <v>159</v>
      </c>
      <c r="M9" t="s">
        <v>51</v>
      </c>
      <c r="N9" t="s">
        <v>92</v>
      </c>
      <c r="O9" s="1">
        <v>41335</v>
      </c>
      <c r="P9" t="s">
        <v>84</v>
      </c>
      <c r="Q9">
        <v>3</v>
      </c>
      <c r="R9" t="s">
        <v>81</v>
      </c>
      <c r="S9" t="s">
        <v>351</v>
      </c>
      <c r="T9" t="s">
        <v>351</v>
      </c>
      <c r="U9">
        <v>0</v>
      </c>
      <c r="V9">
        <v>0</v>
      </c>
      <c r="W9">
        <v>0</v>
      </c>
    </row>
    <row r="10" spans="1:23" x14ac:dyDescent="0.25">
      <c r="A10" s="1">
        <v>43586</v>
      </c>
      <c r="B10" s="1">
        <v>43586</v>
      </c>
      <c r="C10" t="s">
        <v>157</v>
      </c>
      <c r="D10" t="s">
        <v>54</v>
      </c>
      <c r="E10" t="s">
        <v>21</v>
      </c>
      <c r="F10" t="s">
        <v>173</v>
      </c>
      <c r="G10" s="56">
        <v>43627</v>
      </c>
      <c r="H10">
        <v>33</v>
      </c>
      <c r="I10">
        <v>8768</v>
      </c>
      <c r="J10" t="s">
        <v>50</v>
      </c>
      <c r="K10" t="s">
        <v>50</v>
      </c>
      <c r="L10" t="s">
        <v>159</v>
      </c>
      <c r="M10" t="s">
        <v>51</v>
      </c>
      <c r="N10" t="s">
        <v>92</v>
      </c>
      <c r="O10" s="1">
        <v>41335</v>
      </c>
      <c r="P10" t="s">
        <v>84</v>
      </c>
      <c r="Q10">
        <v>4</v>
      </c>
      <c r="R10" t="s">
        <v>27</v>
      </c>
      <c r="S10" t="s">
        <v>351</v>
      </c>
      <c r="T10" t="s">
        <v>351</v>
      </c>
      <c r="U10">
        <v>0</v>
      </c>
      <c r="V10">
        <v>0</v>
      </c>
      <c r="W10">
        <v>0</v>
      </c>
    </row>
    <row r="11" spans="1:23" x14ac:dyDescent="0.25">
      <c r="A11" s="1">
        <v>43586</v>
      </c>
      <c r="B11" s="1">
        <v>43586</v>
      </c>
      <c r="C11" t="s">
        <v>157</v>
      </c>
      <c r="D11" t="s">
        <v>54</v>
      </c>
      <c r="E11" t="s">
        <v>21</v>
      </c>
      <c r="F11" t="s">
        <v>173</v>
      </c>
      <c r="G11" s="56">
        <v>43627</v>
      </c>
      <c r="H11">
        <v>33</v>
      </c>
      <c r="I11">
        <v>8768</v>
      </c>
      <c r="J11" t="s">
        <v>50</v>
      </c>
      <c r="K11" t="s">
        <v>50</v>
      </c>
      <c r="L11" t="s">
        <v>159</v>
      </c>
      <c r="M11" t="s">
        <v>51</v>
      </c>
      <c r="N11" t="s">
        <v>92</v>
      </c>
      <c r="O11" s="1">
        <v>41335</v>
      </c>
      <c r="P11" t="s">
        <v>84</v>
      </c>
      <c r="Q11">
        <v>5</v>
      </c>
      <c r="R11" t="s">
        <v>28</v>
      </c>
      <c r="S11" t="s">
        <v>351</v>
      </c>
      <c r="T11" t="s">
        <v>351</v>
      </c>
      <c r="U11">
        <v>0</v>
      </c>
      <c r="V11">
        <v>0</v>
      </c>
      <c r="W11">
        <v>0</v>
      </c>
    </row>
    <row r="12" spans="1:23" x14ac:dyDescent="0.25">
      <c r="A12" s="1">
        <v>43617</v>
      </c>
      <c r="B12" s="1">
        <v>43617</v>
      </c>
      <c r="C12" t="s">
        <v>157</v>
      </c>
      <c r="D12" t="s">
        <v>54</v>
      </c>
      <c r="E12" t="s">
        <v>21</v>
      </c>
      <c r="F12" t="s">
        <v>175</v>
      </c>
      <c r="G12" s="56">
        <v>43655</v>
      </c>
      <c r="H12">
        <v>33</v>
      </c>
      <c r="I12">
        <v>9022</v>
      </c>
      <c r="J12" t="s">
        <v>50</v>
      </c>
      <c r="K12" t="s">
        <v>50</v>
      </c>
      <c r="L12" t="s">
        <v>159</v>
      </c>
      <c r="M12" t="s">
        <v>51</v>
      </c>
      <c r="N12" t="s">
        <v>92</v>
      </c>
      <c r="O12" s="1">
        <v>41335</v>
      </c>
      <c r="P12" t="s">
        <v>84</v>
      </c>
      <c r="Q12">
        <v>1</v>
      </c>
      <c r="R12" t="s">
        <v>83</v>
      </c>
      <c r="S12" t="s">
        <v>351</v>
      </c>
      <c r="T12" t="s">
        <v>351</v>
      </c>
      <c r="U12">
        <v>0</v>
      </c>
      <c r="V12">
        <v>0</v>
      </c>
      <c r="W12">
        <v>0</v>
      </c>
    </row>
    <row r="13" spans="1:23" x14ac:dyDescent="0.25">
      <c r="A13" s="1">
        <v>43617</v>
      </c>
      <c r="B13" s="1">
        <v>43617</v>
      </c>
      <c r="C13" t="s">
        <v>157</v>
      </c>
      <c r="D13" t="s">
        <v>54</v>
      </c>
      <c r="E13" t="s">
        <v>21</v>
      </c>
      <c r="F13" t="s">
        <v>175</v>
      </c>
      <c r="G13" s="56">
        <v>43655</v>
      </c>
      <c r="H13">
        <v>33</v>
      </c>
      <c r="I13">
        <v>9022</v>
      </c>
      <c r="J13" t="s">
        <v>50</v>
      </c>
      <c r="K13" t="s">
        <v>50</v>
      </c>
      <c r="L13" t="s">
        <v>159</v>
      </c>
      <c r="M13" t="s">
        <v>51</v>
      </c>
      <c r="N13" t="s">
        <v>92</v>
      </c>
      <c r="O13" s="1">
        <v>41335</v>
      </c>
      <c r="P13" t="s">
        <v>84</v>
      </c>
      <c r="Q13">
        <v>2</v>
      </c>
      <c r="R13" t="s">
        <v>94</v>
      </c>
      <c r="S13" t="s">
        <v>351</v>
      </c>
      <c r="T13" t="s">
        <v>351</v>
      </c>
      <c r="U13">
        <v>0</v>
      </c>
      <c r="V13">
        <v>0</v>
      </c>
      <c r="W13">
        <v>0</v>
      </c>
    </row>
    <row r="14" spans="1:23" x14ac:dyDescent="0.25">
      <c r="A14" s="1">
        <v>43617</v>
      </c>
      <c r="B14" s="1">
        <v>43617</v>
      </c>
      <c r="C14" t="s">
        <v>157</v>
      </c>
      <c r="D14" t="s">
        <v>54</v>
      </c>
      <c r="E14" t="s">
        <v>21</v>
      </c>
      <c r="F14" t="s">
        <v>175</v>
      </c>
      <c r="G14" s="56">
        <v>43655</v>
      </c>
      <c r="H14">
        <v>33</v>
      </c>
      <c r="I14">
        <v>9022</v>
      </c>
      <c r="J14" t="s">
        <v>50</v>
      </c>
      <c r="K14" t="s">
        <v>50</v>
      </c>
      <c r="L14" t="s">
        <v>159</v>
      </c>
      <c r="M14" t="s">
        <v>51</v>
      </c>
      <c r="N14" t="s">
        <v>92</v>
      </c>
      <c r="O14" s="1">
        <v>41335</v>
      </c>
      <c r="P14" t="s">
        <v>84</v>
      </c>
      <c r="Q14">
        <v>3</v>
      </c>
      <c r="R14" t="s">
        <v>81</v>
      </c>
      <c r="S14" t="s">
        <v>351</v>
      </c>
      <c r="T14" t="s">
        <v>351</v>
      </c>
      <c r="U14">
        <v>0</v>
      </c>
      <c r="V14">
        <v>0</v>
      </c>
      <c r="W14">
        <v>0</v>
      </c>
    </row>
    <row r="15" spans="1:23" x14ac:dyDescent="0.25">
      <c r="A15" s="1">
        <v>43617</v>
      </c>
      <c r="B15" s="1">
        <v>43617</v>
      </c>
      <c r="C15" t="s">
        <v>157</v>
      </c>
      <c r="D15" t="s">
        <v>54</v>
      </c>
      <c r="E15" t="s">
        <v>21</v>
      </c>
      <c r="F15" t="s">
        <v>175</v>
      </c>
      <c r="G15" s="56">
        <v>43655</v>
      </c>
      <c r="H15">
        <v>33</v>
      </c>
      <c r="I15">
        <v>9022</v>
      </c>
      <c r="J15" t="s">
        <v>50</v>
      </c>
      <c r="K15" t="s">
        <v>50</v>
      </c>
      <c r="L15" t="s">
        <v>159</v>
      </c>
      <c r="M15" t="s">
        <v>51</v>
      </c>
      <c r="N15" t="s">
        <v>92</v>
      </c>
      <c r="O15" s="1">
        <v>41335</v>
      </c>
      <c r="P15" t="s">
        <v>84</v>
      </c>
      <c r="Q15">
        <v>4</v>
      </c>
      <c r="R15" t="s">
        <v>27</v>
      </c>
      <c r="S15" t="s">
        <v>351</v>
      </c>
      <c r="T15" t="s">
        <v>351</v>
      </c>
      <c r="U15">
        <v>0</v>
      </c>
      <c r="V15">
        <v>0</v>
      </c>
      <c r="W15">
        <v>0</v>
      </c>
    </row>
    <row r="16" spans="1:23" x14ac:dyDescent="0.25">
      <c r="A16" s="1">
        <v>43617</v>
      </c>
      <c r="B16" s="1">
        <v>43617</v>
      </c>
      <c r="C16" t="s">
        <v>157</v>
      </c>
      <c r="D16" t="s">
        <v>54</v>
      </c>
      <c r="E16" t="s">
        <v>21</v>
      </c>
      <c r="F16" t="s">
        <v>175</v>
      </c>
      <c r="G16" s="56">
        <v>43655</v>
      </c>
      <c r="H16">
        <v>33</v>
      </c>
      <c r="I16">
        <v>9022</v>
      </c>
      <c r="J16" t="s">
        <v>50</v>
      </c>
      <c r="K16" t="s">
        <v>50</v>
      </c>
      <c r="L16" t="s">
        <v>159</v>
      </c>
      <c r="M16" t="s">
        <v>51</v>
      </c>
      <c r="N16" t="s">
        <v>92</v>
      </c>
      <c r="O16" s="1">
        <v>41335</v>
      </c>
      <c r="P16" t="s">
        <v>84</v>
      </c>
      <c r="Q16">
        <v>5</v>
      </c>
      <c r="R16" t="s">
        <v>28</v>
      </c>
      <c r="S16" t="s">
        <v>351</v>
      </c>
      <c r="T16" t="s">
        <v>351</v>
      </c>
      <c r="U16">
        <v>0</v>
      </c>
      <c r="V16">
        <v>0</v>
      </c>
      <c r="W16">
        <v>0</v>
      </c>
    </row>
    <row r="17" spans="1:23" x14ac:dyDescent="0.25">
      <c r="A17" s="1">
        <v>43647</v>
      </c>
      <c r="B17" s="1">
        <v>43647</v>
      </c>
      <c r="C17" t="s">
        <v>157</v>
      </c>
      <c r="D17" t="s">
        <v>54</v>
      </c>
      <c r="E17" t="s">
        <v>21</v>
      </c>
      <c r="F17" t="s">
        <v>180</v>
      </c>
      <c r="G17" s="56">
        <v>43686</v>
      </c>
      <c r="H17">
        <v>33</v>
      </c>
      <c r="I17">
        <v>9466</v>
      </c>
      <c r="J17" t="s">
        <v>50</v>
      </c>
      <c r="K17" t="s">
        <v>50</v>
      </c>
      <c r="L17" t="s">
        <v>159</v>
      </c>
      <c r="M17" t="s">
        <v>51</v>
      </c>
      <c r="N17" t="s">
        <v>92</v>
      </c>
      <c r="O17" s="1">
        <v>41335</v>
      </c>
      <c r="P17" t="s">
        <v>84</v>
      </c>
      <c r="Q17">
        <v>1</v>
      </c>
      <c r="R17" t="s">
        <v>83</v>
      </c>
      <c r="S17" t="s">
        <v>351</v>
      </c>
      <c r="T17" t="s">
        <v>351</v>
      </c>
      <c r="U17">
        <v>0</v>
      </c>
      <c r="V17">
        <v>0</v>
      </c>
      <c r="W17">
        <v>0</v>
      </c>
    </row>
    <row r="18" spans="1:23" x14ac:dyDescent="0.25">
      <c r="A18" s="1">
        <v>43647</v>
      </c>
      <c r="B18" s="1">
        <v>43647</v>
      </c>
      <c r="C18" t="s">
        <v>157</v>
      </c>
      <c r="D18" t="s">
        <v>54</v>
      </c>
      <c r="E18" t="s">
        <v>21</v>
      </c>
      <c r="F18" t="s">
        <v>180</v>
      </c>
      <c r="G18" s="56">
        <v>43686</v>
      </c>
      <c r="H18">
        <v>33</v>
      </c>
      <c r="I18">
        <v>9466</v>
      </c>
      <c r="J18" t="s">
        <v>50</v>
      </c>
      <c r="K18" t="s">
        <v>50</v>
      </c>
      <c r="L18" t="s">
        <v>159</v>
      </c>
      <c r="M18" t="s">
        <v>51</v>
      </c>
      <c r="N18" t="s">
        <v>92</v>
      </c>
      <c r="O18" s="1">
        <v>41335</v>
      </c>
      <c r="P18" t="s">
        <v>84</v>
      </c>
      <c r="Q18">
        <v>2</v>
      </c>
      <c r="R18" t="s">
        <v>94</v>
      </c>
      <c r="S18" t="s">
        <v>351</v>
      </c>
      <c r="T18" t="s">
        <v>351</v>
      </c>
      <c r="U18">
        <v>0</v>
      </c>
      <c r="V18">
        <v>0</v>
      </c>
      <c r="W18">
        <v>0</v>
      </c>
    </row>
    <row r="19" spans="1:23" x14ac:dyDescent="0.25">
      <c r="A19" s="1">
        <v>43647</v>
      </c>
      <c r="B19" s="1">
        <v>43647</v>
      </c>
      <c r="C19" t="s">
        <v>157</v>
      </c>
      <c r="D19" t="s">
        <v>54</v>
      </c>
      <c r="E19" t="s">
        <v>21</v>
      </c>
      <c r="F19" t="s">
        <v>180</v>
      </c>
      <c r="G19" s="56">
        <v>43686</v>
      </c>
      <c r="H19">
        <v>33</v>
      </c>
      <c r="I19">
        <v>9466</v>
      </c>
      <c r="J19" t="s">
        <v>50</v>
      </c>
      <c r="K19" t="s">
        <v>50</v>
      </c>
      <c r="L19" t="s">
        <v>159</v>
      </c>
      <c r="M19" t="s">
        <v>51</v>
      </c>
      <c r="N19" t="s">
        <v>92</v>
      </c>
      <c r="O19" s="1">
        <v>41335</v>
      </c>
      <c r="P19" t="s">
        <v>84</v>
      </c>
      <c r="Q19">
        <v>3</v>
      </c>
      <c r="R19" t="s">
        <v>81</v>
      </c>
      <c r="S19" t="s">
        <v>351</v>
      </c>
      <c r="T19" t="s">
        <v>351</v>
      </c>
      <c r="U19">
        <v>0</v>
      </c>
      <c r="V19">
        <v>0</v>
      </c>
      <c r="W19">
        <v>0</v>
      </c>
    </row>
    <row r="20" spans="1:23" x14ac:dyDescent="0.25">
      <c r="A20" s="1">
        <v>43647</v>
      </c>
      <c r="B20" s="1">
        <v>43647</v>
      </c>
      <c r="C20" t="s">
        <v>157</v>
      </c>
      <c r="D20" t="s">
        <v>54</v>
      </c>
      <c r="E20" t="s">
        <v>21</v>
      </c>
      <c r="F20" t="s">
        <v>180</v>
      </c>
      <c r="G20" s="56">
        <v>43686</v>
      </c>
      <c r="H20">
        <v>33</v>
      </c>
      <c r="I20">
        <v>9466</v>
      </c>
      <c r="J20" t="s">
        <v>50</v>
      </c>
      <c r="K20" t="s">
        <v>50</v>
      </c>
      <c r="L20" t="s">
        <v>159</v>
      </c>
      <c r="M20" t="s">
        <v>51</v>
      </c>
      <c r="N20" t="s">
        <v>92</v>
      </c>
      <c r="O20" s="1">
        <v>41335</v>
      </c>
      <c r="P20" t="s">
        <v>84</v>
      </c>
      <c r="Q20">
        <v>4</v>
      </c>
      <c r="R20" t="s">
        <v>27</v>
      </c>
      <c r="S20" t="s">
        <v>351</v>
      </c>
      <c r="T20" t="s">
        <v>351</v>
      </c>
      <c r="U20">
        <v>0</v>
      </c>
      <c r="V20">
        <v>0</v>
      </c>
      <c r="W20">
        <v>0</v>
      </c>
    </row>
    <row r="21" spans="1:23" x14ac:dyDescent="0.25">
      <c r="A21" s="1">
        <v>43647</v>
      </c>
      <c r="B21" s="1">
        <v>43647</v>
      </c>
      <c r="C21" t="s">
        <v>157</v>
      </c>
      <c r="D21" t="s">
        <v>54</v>
      </c>
      <c r="E21" t="s">
        <v>21</v>
      </c>
      <c r="F21" t="s">
        <v>180</v>
      </c>
      <c r="G21" s="56">
        <v>43686</v>
      </c>
      <c r="H21">
        <v>33</v>
      </c>
      <c r="I21">
        <v>9466</v>
      </c>
      <c r="J21" t="s">
        <v>50</v>
      </c>
      <c r="K21" t="s">
        <v>50</v>
      </c>
      <c r="L21" t="s">
        <v>159</v>
      </c>
      <c r="M21" t="s">
        <v>51</v>
      </c>
      <c r="N21" t="s">
        <v>92</v>
      </c>
      <c r="O21" s="1">
        <v>41335</v>
      </c>
      <c r="P21" t="s">
        <v>84</v>
      </c>
      <c r="Q21">
        <v>5</v>
      </c>
      <c r="R21" t="s">
        <v>28</v>
      </c>
      <c r="S21" t="s">
        <v>351</v>
      </c>
      <c r="T21" t="s">
        <v>351</v>
      </c>
      <c r="U21">
        <v>0</v>
      </c>
      <c r="V21">
        <v>0</v>
      </c>
      <c r="W21">
        <v>0</v>
      </c>
    </row>
    <row r="22" spans="1:23" x14ac:dyDescent="0.25">
      <c r="A22" s="1">
        <v>43678</v>
      </c>
      <c r="B22" s="1">
        <v>43739</v>
      </c>
      <c r="C22" t="s">
        <v>157</v>
      </c>
      <c r="D22" t="s">
        <v>54</v>
      </c>
      <c r="E22" t="s">
        <v>21</v>
      </c>
      <c r="F22" t="s">
        <v>183</v>
      </c>
      <c r="G22" s="56">
        <v>43719</v>
      </c>
      <c r="H22">
        <v>33</v>
      </c>
      <c r="I22">
        <v>9996</v>
      </c>
      <c r="J22" t="s">
        <v>50</v>
      </c>
      <c r="K22" t="s">
        <v>50</v>
      </c>
      <c r="L22" t="s">
        <v>159</v>
      </c>
      <c r="M22" t="s">
        <v>51</v>
      </c>
      <c r="N22" t="s">
        <v>92</v>
      </c>
      <c r="O22" s="1">
        <v>41335</v>
      </c>
      <c r="P22" t="s">
        <v>84</v>
      </c>
      <c r="Q22">
        <v>1</v>
      </c>
      <c r="R22" t="s">
        <v>83</v>
      </c>
      <c r="S22" t="s">
        <v>351</v>
      </c>
      <c r="T22" t="s">
        <v>351</v>
      </c>
      <c r="U22">
        <v>0</v>
      </c>
      <c r="V22">
        <v>0</v>
      </c>
      <c r="W22">
        <v>0</v>
      </c>
    </row>
    <row r="23" spans="1:23" x14ac:dyDescent="0.25">
      <c r="A23" s="1">
        <v>43678</v>
      </c>
      <c r="B23" s="1">
        <v>43739</v>
      </c>
      <c r="C23" t="s">
        <v>157</v>
      </c>
      <c r="D23" t="s">
        <v>54</v>
      </c>
      <c r="E23" t="s">
        <v>21</v>
      </c>
      <c r="F23" t="s">
        <v>183</v>
      </c>
      <c r="G23" s="56">
        <v>43719</v>
      </c>
      <c r="H23">
        <v>33</v>
      </c>
      <c r="I23">
        <v>9996</v>
      </c>
      <c r="J23" t="s">
        <v>50</v>
      </c>
      <c r="K23" t="s">
        <v>50</v>
      </c>
      <c r="L23" t="s">
        <v>159</v>
      </c>
      <c r="M23" t="s">
        <v>51</v>
      </c>
      <c r="N23" t="s">
        <v>92</v>
      </c>
      <c r="O23" s="1">
        <v>41335</v>
      </c>
      <c r="P23" t="s">
        <v>84</v>
      </c>
      <c r="Q23">
        <v>2</v>
      </c>
      <c r="R23" t="s">
        <v>94</v>
      </c>
      <c r="S23" t="s">
        <v>351</v>
      </c>
      <c r="T23" t="s">
        <v>351</v>
      </c>
      <c r="U23">
        <v>0</v>
      </c>
      <c r="V23">
        <v>0</v>
      </c>
      <c r="W23">
        <v>0</v>
      </c>
    </row>
    <row r="24" spans="1:23" x14ac:dyDescent="0.25">
      <c r="A24" s="1">
        <v>43678</v>
      </c>
      <c r="B24" s="1">
        <v>43739</v>
      </c>
      <c r="C24" t="s">
        <v>157</v>
      </c>
      <c r="D24" t="s">
        <v>54</v>
      </c>
      <c r="E24" t="s">
        <v>21</v>
      </c>
      <c r="F24" t="s">
        <v>183</v>
      </c>
      <c r="G24" s="56">
        <v>43719</v>
      </c>
      <c r="H24">
        <v>33</v>
      </c>
      <c r="I24">
        <v>9996</v>
      </c>
      <c r="J24" t="s">
        <v>50</v>
      </c>
      <c r="K24" t="s">
        <v>50</v>
      </c>
      <c r="L24" t="s">
        <v>159</v>
      </c>
      <c r="M24" t="s">
        <v>51</v>
      </c>
      <c r="N24" t="s">
        <v>92</v>
      </c>
      <c r="O24" s="1">
        <v>41335</v>
      </c>
      <c r="P24" t="s">
        <v>84</v>
      </c>
      <c r="Q24">
        <v>3</v>
      </c>
      <c r="R24" t="s">
        <v>81</v>
      </c>
      <c r="S24" t="s">
        <v>351</v>
      </c>
      <c r="T24" t="s">
        <v>351</v>
      </c>
      <c r="U24">
        <v>0</v>
      </c>
      <c r="V24">
        <v>0</v>
      </c>
      <c r="W24">
        <v>0</v>
      </c>
    </row>
    <row r="25" spans="1:23" x14ac:dyDescent="0.25">
      <c r="A25" s="1">
        <v>43678</v>
      </c>
      <c r="B25" s="1">
        <v>43739</v>
      </c>
      <c r="C25" t="s">
        <v>157</v>
      </c>
      <c r="D25" t="s">
        <v>54</v>
      </c>
      <c r="E25" t="s">
        <v>21</v>
      </c>
      <c r="F25" t="s">
        <v>183</v>
      </c>
      <c r="G25" s="56">
        <v>43719</v>
      </c>
      <c r="H25">
        <v>33</v>
      </c>
      <c r="I25">
        <v>9996</v>
      </c>
      <c r="J25" t="s">
        <v>50</v>
      </c>
      <c r="K25" t="s">
        <v>50</v>
      </c>
      <c r="L25" t="s">
        <v>159</v>
      </c>
      <c r="M25" t="s">
        <v>51</v>
      </c>
      <c r="N25" t="s">
        <v>92</v>
      </c>
      <c r="O25" s="1">
        <v>41335</v>
      </c>
      <c r="P25" t="s">
        <v>84</v>
      </c>
      <c r="Q25">
        <v>4</v>
      </c>
      <c r="R25" t="s">
        <v>27</v>
      </c>
      <c r="S25" t="s">
        <v>351</v>
      </c>
      <c r="T25" t="s">
        <v>351</v>
      </c>
      <c r="U25">
        <v>0</v>
      </c>
      <c r="V25">
        <v>0</v>
      </c>
      <c r="W25">
        <v>0</v>
      </c>
    </row>
    <row r="26" spans="1:23" x14ac:dyDescent="0.25">
      <c r="A26" s="1">
        <v>43678</v>
      </c>
      <c r="B26" s="1">
        <v>43739</v>
      </c>
      <c r="C26" t="s">
        <v>157</v>
      </c>
      <c r="D26" t="s">
        <v>54</v>
      </c>
      <c r="E26" t="s">
        <v>21</v>
      </c>
      <c r="F26" t="s">
        <v>183</v>
      </c>
      <c r="G26" s="56">
        <v>43719</v>
      </c>
      <c r="H26">
        <v>33</v>
      </c>
      <c r="I26">
        <v>9996</v>
      </c>
      <c r="J26" t="s">
        <v>50</v>
      </c>
      <c r="K26" t="s">
        <v>50</v>
      </c>
      <c r="L26" t="s">
        <v>159</v>
      </c>
      <c r="M26" t="s">
        <v>51</v>
      </c>
      <c r="N26" t="s">
        <v>92</v>
      </c>
      <c r="O26" s="1">
        <v>41335</v>
      </c>
      <c r="P26" t="s">
        <v>84</v>
      </c>
      <c r="Q26">
        <v>5</v>
      </c>
      <c r="R26" t="s">
        <v>28</v>
      </c>
      <c r="S26" t="s">
        <v>351</v>
      </c>
      <c r="T26" t="s">
        <v>351</v>
      </c>
      <c r="U26">
        <v>0</v>
      </c>
      <c r="V26">
        <v>0</v>
      </c>
      <c r="W26">
        <v>0</v>
      </c>
    </row>
    <row r="27" spans="1:23" x14ac:dyDescent="0.25">
      <c r="A27" s="1">
        <v>43709</v>
      </c>
      <c r="B27" s="1">
        <v>43739</v>
      </c>
      <c r="C27" t="s">
        <v>157</v>
      </c>
      <c r="D27" t="s">
        <v>54</v>
      </c>
      <c r="E27" t="s">
        <v>21</v>
      </c>
      <c r="F27" t="s">
        <v>183</v>
      </c>
      <c r="G27" s="56">
        <v>43748</v>
      </c>
      <c r="H27">
        <v>33</v>
      </c>
      <c r="I27">
        <v>10390</v>
      </c>
      <c r="J27" t="s">
        <v>50</v>
      </c>
      <c r="K27" t="s">
        <v>50</v>
      </c>
      <c r="L27" t="s">
        <v>159</v>
      </c>
      <c r="M27" t="s">
        <v>51</v>
      </c>
      <c r="N27" t="s">
        <v>92</v>
      </c>
      <c r="O27" s="1">
        <v>41335</v>
      </c>
      <c r="P27" t="s">
        <v>84</v>
      </c>
      <c r="Q27">
        <v>1</v>
      </c>
      <c r="R27" t="s">
        <v>83</v>
      </c>
      <c r="S27" t="s">
        <v>351</v>
      </c>
      <c r="T27" t="s">
        <v>351</v>
      </c>
      <c r="U27">
        <v>0</v>
      </c>
      <c r="V27">
        <v>0</v>
      </c>
      <c r="W27">
        <v>0</v>
      </c>
    </row>
    <row r="28" spans="1:23" x14ac:dyDescent="0.25">
      <c r="A28" s="1">
        <v>43709</v>
      </c>
      <c r="B28" s="1">
        <v>43739</v>
      </c>
      <c r="C28" t="s">
        <v>157</v>
      </c>
      <c r="D28" t="s">
        <v>54</v>
      </c>
      <c r="E28" t="s">
        <v>21</v>
      </c>
      <c r="F28" t="s">
        <v>183</v>
      </c>
      <c r="G28" s="56">
        <v>43748</v>
      </c>
      <c r="H28">
        <v>33</v>
      </c>
      <c r="I28">
        <v>10390</v>
      </c>
      <c r="J28" t="s">
        <v>50</v>
      </c>
      <c r="K28" t="s">
        <v>50</v>
      </c>
      <c r="L28" t="s">
        <v>159</v>
      </c>
      <c r="M28" t="s">
        <v>51</v>
      </c>
      <c r="N28" t="s">
        <v>92</v>
      </c>
      <c r="O28" s="1">
        <v>41335</v>
      </c>
      <c r="P28" t="s">
        <v>84</v>
      </c>
      <c r="Q28">
        <v>2</v>
      </c>
      <c r="R28" t="s">
        <v>94</v>
      </c>
      <c r="S28" t="s">
        <v>351</v>
      </c>
      <c r="T28" t="s">
        <v>351</v>
      </c>
      <c r="U28">
        <v>0</v>
      </c>
      <c r="V28">
        <v>0</v>
      </c>
      <c r="W28">
        <v>0</v>
      </c>
    </row>
    <row r="29" spans="1:23" x14ac:dyDescent="0.25">
      <c r="A29" s="1">
        <v>43709</v>
      </c>
      <c r="B29" s="1">
        <v>43739</v>
      </c>
      <c r="C29" t="s">
        <v>157</v>
      </c>
      <c r="D29" t="s">
        <v>54</v>
      </c>
      <c r="E29" t="s">
        <v>21</v>
      </c>
      <c r="F29" t="s">
        <v>183</v>
      </c>
      <c r="G29" s="56">
        <v>43748</v>
      </c>
      <c r="H29">
        <v>33</v>
      </c>
      <c r="I29">
        <v>10390</v>
      </c>
      <c r="J29" t="s">
        <v>50</v>
      </c>
      <c r="K29" t="s">
        <v>50</v>
      </c>
      <c r="L29" t="s">
        <v>159</v>
      </c>
      <c r="M29" t="s">
        <v>51</v>
      </c>
      <c r="N29" t="s">
        <v>92</v>
      </c>
      <c r="O29" s="1">
        <v>41335</v>
      </c>
      <c r="P29" t="s">
        <v>84</v>
      </c>
      <c r="Q29">
        <v>3</v>
      </c>
      <c r="R29" t="s">
        <v>81</v>
      </c>
      <c r="S29" t="s">
        <v>351</v>
      </c>
      <c r="T29" t="s">
        <v>351</v>
      </c>
      <c r="U29">
        <v>0</v>
      </c>
      <c r="V29">
        <v>0</v>
      </c>
      <c r="W29">
        <v>0</v>
      </c>
    </row>
    <row r="30" spans="1:23" x14ac:dyDescent="0.25">
      <c r="A30" s="1">
        <v>43709</v>
      </c>
      <c r="B30" s="1">
        <v>43739</v>
      </c>
      <c r="C30" t="s">
        <v>157</v>
      </c>
      <c r="D30" t="s">
        <v>54</v>
      </c>
      <c r="E30" t="s">
        <v>21</v>
      </c>
      <c r="F30" t="s">
        <v>183</v>
      </c>
      <c r="G30" s="56">
        <v>43748</v>
      </c>
      <c r="H30">
        <v>33</v>
      </c>
      <c r="I30">
        <v>10390</v>
      </c>
      <c r="J30" t="s">
        <v>50</v>
      </c>
      <c r="K30" t="s">
        <v>50</v>
      </c>
      <c r="L30" t="s">
        <v>159</v>
      </c>
      <c r="M30" t="s">
        <v>51</v>
      </c>
      <c r="N30" t="s">
        <v>92</v>
      </c>
      <c r="O30" s="1">
        <v>41335</v>
      </c>
      <c r="P30" t="s">
        <v>84</v>
      </c>
      <c r="Q30">
        <v>4</v>
      </c>
      <c r="R30" t="s">
        <v>27</v>
      </c>
      <c r="S30" t="s">
        <v>351</v>
      </c>
      <c r="T30" t="s">
        <v>351</v>
      </c>
      <c r="U30">
        <v>0</v>
      </c>
      <c r="V30">
        <v>0</v>
      </c>
      <c r="W30">
        <v>0</v>
      </c>
    </row>
    <row r="31" spans="1:23" x14ac:dyDescent="0.25">
      <c r="A31" s="1">
        <v>43709</v>
      </c>
      <c r="B31" s="1">
        <v>43739</v>
      </c>
      <c r="C31" t="s">
        <v>157</v>
      </c>
      <c r="D31" t="s">
        <v>54</v>
      </c>
      <c r="E31" t="s">
        <v>21</v>
      </c>
      <c r="F31" t="s">
        <v>183</v>
      </c>
      <c r="G31" s="56">
        <v>43748</v>
      </c>
      <c r="H31">
        <v>33</v>
      </c>
      <c r="I31">
        <v>10390</v>
      </c>
      <c r="J31" t="s">
        <v>50</v>
      </c>
      <c r="K31" t="s">
        <v>50</v>
      </c>
      <c r="L31" t="s">
        <v>159</v>
      </c>
      <c r="M31" t="s">
        <v>51</v>
      </c>
      <c r="N31" t="s">
        <v>92</v>
      </c>
      <c r="O31" s="1">
        <v>41335</v>
      </c>
      <c r="P31" t="s">
        <v>84</v>
      </c>
      <c r="Q31">
        <v>5</v>
      </c>
      <c r="R31" t="s">
        <v>28</v>
      </c>
      <c r="S31" t="s">
        <v>351</v>
      </c>
      <c r="T31" t="s">
        <v>351</v>
      </c>
      <c r="U31">
        <v>0</v>
      </c>
      <c r="V31">
        <v>0</v>
      </c>
      <c r="W31">
        <v>0</v>
      </c>
    </row>
    <row r="32" spans="1:23" x14ac:dyDescent="0.25">
      <c r="A32" s="1">
        <v>43739</v>
      </c>
      <c r="B32" s="1">
        <v>43709</v>
      </c>
      <c r="C32" t="s">
        <v>157</v>
      </c>
      <c r="D32" t="s">
        <v>58</v>
      </c>
      <c r="E32" t="s">
        <v>21</v>
      </c>
      <c r="F32" t="s">
        <v>186</v>
      </c>
      <c r="G32" s="56">
        <v>43944.47278935185</v>
      </c>
      <c r="H32">
        <v>61</v>
      </c>
      <c r="I32" t="s">
        <v>351</v>
      </c>
      <c r="J32" t="s">
        <v>50</v>
      </c>
      <c r="K32" t="s">
        <v>50</v>
      </c>
      <c r="L32" t="s">
        <v>159</v>
      </c>
      <c r="M32" t="s">
        <v>51</v>
      </c>
      <c r="N32" t="s">
        <v>92</v>
      </c>
      <c r="O32" s="1">
        <v>41335</v>
      </c>
      <c r="P32" t="s">
        <v>84</v>
      </c>
      <c r="Q32">
        <v>1</v>
      </c>
      <c r="R32" t="s">
        <v>83</v>
      </c>
      <c r="S32" t="s">
        <v>351</v>
      </c>
      <c r="T32" t="s">
        <v>351</v>
      </c>
      <c r="U32">
        <v>0</v>
      </c>
      <c r="V32">
        <v>5969.53</v>
      </c>
      <c r="W32">
        <v>0</v>
      </c>
    </row>
    <row r="33" spans="1:23" x14ac:dyDescent="0.25">
      <c r="A33" s="1">
        <v>43739</v>
      </c>
      <c r="B33" s="1">
        <v>43709</v>
      </c>
      <c r="C33" t="s">
        <v>157</v>
      </c>
      <c r="D33" t="s">
        <v>58</v>
      </c>
      <c r="E33" t="s">
        <v>21</v>
      </c>
      <c r="F33" t="s">
        <v>190</v>
      </c>
      <c r="G33" s="56">
        <v>43944.47278935185</v>
      </c>
      <c r="H33">
        <v>61</v>
      </c>
      <c r="I33" t="s">
        <v>351</v>
      </c>
      <c r="J33" t="s">
        <v>50</v>
      </c>
      <c r="K33" t="s">
        <v>50</v>
      </c>
      <c r="L33" t="s">
        <v>159</v>
      </c>
      <c r="M33" t="s">
        <v>51</v>
      </c>
      <c r="N33" t="s">
        <v>92</v>
      </c>
      <c r="O33" s="1">
        <v>41335</v>
      </c>
      <c r="P33" t="s">
        <v>84</v>
      </c>
      <c r="Q33">
        <v>1</v>
      </c>
      <c r="R33" t="s">
        <v>83</v>
      </c>
      <c r="S33" t="s">
        <v>351</v>
      </c>
      <c r="T33" t="s">
        <v>351</v>
      </c>
      <c r="U33">
        <v>0</v>
      </c>
      <c r="V33">
        <v>6360.2</v>
      </c>
      <c r="W33">
        <v>0</v>
      </c>
    </row>
    <row r="34" spans="1:23" x14ac:dyDescent="0.25">
      <c r="A34" s="1">
        <v>43739</v>
      </c>
      <c r="B34" s="1">
        <v>43739</v>
      </c>
      <c r="C34" t="s">
        <v>157</v>
      </c>
      <c r="D34" t="s">
        <v>54</v>
      </c>
      <c r="E34" t="s">
        <v>21</v>
      </c>
      <c r="F34" t="s">
        <v>183</v>
      </c>
      <c r="G34" s="56">
        <v>43781</v>
      </c>
      <c r="H34">
        <v>33</v>
      </c>
      <c r="I34">
        <v>10809</v>
      </c>
      <c r="J34" t="s">
        <v>50</v>
      </c>
      <c r="K34" t="s">
        <v>50</v>
      </c>
      <c r="L34" t="s">
        <v>159</v>
      </c>
      <c r="M34" t="s">
        <v>51</v>
      </c>
      <c r="N34" t="s">
        <v>92</v>
      </c>
      <c r="O34" s="1">
        <v>41335</v>
      </c>
      <c r="P34" t="s">
        <v>84</v>
      </c>
      <c r="Q34">
        <v>1</v>
      </c>
      <c r="R34" t="s">
        <v>83</v>
      </c>
      <c r="S34" t="s">
        <v>351</v>
      </c>
      <c r="T34" t="s">
        <v>351</v>
      </c>
      <c r="U34">
        <v>0</v>
      </c>
      <c r="V34">
        <v>5969.53</v>
      </c>
      <c r="W34">
        <v>0</v>
      </c>
    </row>
    <row r="35" spans="1:23" x14ac:dyDescent="0.25">
      <c r="A35" s="1">
        <v>43739</v>
      </c>
      <c r="B35" s="1">
        <v>43709</v>
      </c>
      <c r="C35" t="s">
        <v>157</v>
      </c>
      <c r="D35" t="s">
        <v>58</v>
      </c>
      <c r="E35" t="s">
        <v>21</v>
      </c>
      <c r="F35" t="s">
        <v>186</v>
      </c>
      <c r="G35" s="56">
        <v>43944.47278935185</v>
      </c>
      <c r="H35">
        <v>61</v>
      </c>
      <c r="I35" t="s">
        <v>351</v>
      </c>
      <c r="J35" t="s">
        <v>50</v>
      </c>
      <c r="K35" t="s">
        <v>50</v>
      </c>
      <c r="L35" t="s">
        <v>159</v>
      </c>
      <c r="M35" t="s">
        <v>51</v>
      </c>
      <c r="N35" t="s">
        <v>92</v>
      </c>
      <c r="O35" s="1">
        <v>41335</v>
      </c>
      <c r="P35" t="s">
        <v>84</v>
      </c>
      <c r="Q35">
        <v>2</v>
      </c>
      <c r="R35" t="s">
        <v>94</v>
      </c>
      <c r="S35" t="s">
        <v>351</v>
      </c>
      <c r="T35" t="s">
        <v>351</v>
      </c>
      <c r="U35">
        <v>0</v>
      </c>
      <c r="V35">
        <v>6128.55</v>
      </c>
      <c r="W35">
        <v>0</v>
      </c>
    </row>
    <row r="36" spans="1:23" x14ac:dyDescent="0.25">
      <c r="A36" s="1">
        <v>43739</v>
      </c>
      <c r="B36" s="1">
        <v>43709</v>
      </c>
      <c r="C36" t="s">
        <v>157</v>
      </c>
      <c r="D36" t="s">
        <v>58</v>
      </c>
      <c r="E36" t="s">
        <v>21</v>
      </c>
      <c r="F36" t="s">
        <v>190</v>
      </c>
      <c r="G36" s="56">
        <v>43944.47278935185</v>
      </c>
      <c r="H36">
        <v>61</v>
      </c>
      <c r="I36" t="s">
        <v>351</v>
      </c>
      <c r="J36" t="s">
        <v>50</v>
      </c>
      <c r="K36" t="s">
        <v>50</v>
      </c>
      <c r="L36" t="s">
        <v>159</v>
      </c>
      <c r="M36" t="s">
        <v>51</v>
      </c>
      <c r="N36" t="s">
        <v>92</v>
      </c>
      <c r="O36" s="1">
        <v>41335</v>
      </c>
      <c r="P36" t="s">
        <v>84</v>
      </c>
      <c r="Q36">
        <v>2</v>
      </c>
      <c r="R36" t="s">
        <v>94</v>
      </c>
      <c r="S36" t="s">
        <v>351</v>
      </c>
      <c r="T36" t="s">
        <v>351</v>
      </c>
      <c r="U36">
        <v>0</v>
      </c>
      <c r="V36">
        <v>6409.16</v>
      </c>
      <c r="W36">
        <v>0</v>
      </c>
    </row>
    <row r="37" spans="1:23" x14ac:dyDescent="0.25">
      <c r="A37" s="1">
        <v>43739</v>
      </c>
      <c r="B37" s="1">
        <v>43739</v>
      </c>
      <c r="C37" t="s">
        <v>157</v>
      </c>
      <c r="D37" t="s">
        <v>54</v>
      </c>
      <c r="E37" t="s">
        <v>21</v>
      </c>
      <c r="F37" t="s">
        <v>183</v>
      </c>
      <c r="G37" s="56">
        <v>43781</v>
      </c>
      <c r="H37">
        <v>33</v>
      </c>
      <c r="I37">
        <v>10809</v>
      </c>
      <c r="J37" t="s">
        <v>50</v>
      </c>
      <c r="K37" t="s">
        <v>50</v>
      </c>
      <c r="L37" t="s">
        <v>159</v>
      </c>
      <c r="M37" t="s">
        <v>51</v>
      </c>
      <c r="N37" t="s">
        <v>92</v>
      </c>
      <c r="O37" s="1">
        <v>41335</v>
      </c>
      <c r="P37" t="s">
        <v>84</v>
      </c>
      <c r="Q37">
        <v>2</v>
      </c>
      <c r="R37" t="s">
        <v>94</v>
      </c>
      <c r="S37" t="s">
        <v>351</v>
      </c>
      <c r="T37" t="s">
        <v>351</v>
      </c>
      <c r="U37">
        <v>0</v>
      </c>
      <c r="V37">
        <v>6128.55</v>
      </c>
      <c r="W37">
        <v>0</v>
      </c>
    </row>
    <row r="38" spans="1:23" x14ac:dyDescent="0.25">
      <c r="A38" s="1">
        <v>43739</v>
      </c>
      <c r="B38" s="1">
        <v>43709</v>
      </c>
      <c r="C38" t="s">
        <v>157</v>
      </c>
      <c r="D38" t="s">
        <v>58</v>
      </c>
      <c r="E38" t="s">
        <v>21</v>
      </c>
      <c r="F38" t="s">
        <v>186</v>
      </c>
      <c r="G38" s="56">
        <v>43944.47278935185</v>
      </c>
      <c r="H38">
        <v>61</v>
      </c>
      <c r="I38" t="s">
        <v>351</v>
      </c>
      <c r="J38" t="s">
        <v>50</v>
      </c>
      <c r="K38" t="s">
        <v>50</v>
      </c>
      <c r="L38" t="s">
        <v>159</v>
      </c>
      <c r="M38" t="s">
        <v>51</v>
      </c>
      <c r="N38" t="s">
        <v>92</v>
      </c>
      <c r="O38" s="1">
        <v>41335</v>
      </c>
      <c r="P38" t="s">
        <v>84</v>
      </c>
      <c r="Q38">
        <v>3</v>
      </c>
      <c r="R38" t="s">
        <v>81</v>
      </c>
      <c r="S38" t="s">
        <v>351</v>
      </c>
      <c r="T38" t="s">
        <v>351</v>
      </c>
      <c r="U38">
        <v>0</v>
      </c>
      <c r="V38">
        <v>5735.8</v>
      </c>
      <c r="W38">
        <v>0</v>
      </c>
    </row>
    <row r="39" spans="1:23" x14ac:dyDescent="0.25">
      <c r="A39" s="1">
        <v>43739</v>
      </c>
      <c r="B39" s="1">
        <v>43709</v>
      </c>
      <c r="C39" t="s">
        <v>157</v>
      </c>
      <c r="D39" t="s">
        <v>58</v>
      </c>
      <c r="E39" t="s">
        <v>21</v>
      </c>
      <c r="F39" t="s">
        <v>190</v>
      </c>
      <c r="G39" s="56">
        <v>43944.47278935185</v>
      </c>
      <c r="H39">
        <v>61</v>
      </c>
      <c r="I39" t="s">
        <v>351</v>
      </c>
      <c r="J39" t="s">
        <v>50</v>
      </c>
      <c r="K39" t="s">
        <v>50</v>
      </c>
      <c r="L39" t="s">
        <v>159</v>
      </c>
      <c r="M39" t="s">
        <v>51</v>
      </c>
      <c r="N39" t="s">
        <v>92</v>
      </c>
      <c r="O39" s="1">
        <v>41335</v>
      </c>
      <c r="P39" t="s">
        <v>84</v>
      </c>
      <c r="Q39">
        <v>3</v>
      </c>
      <c r="R39" t="s">
        <v>81</v>
      </c>
      <c r="S39" t="s">
        <v>351</v>
      </c>
      <c r="T39" t="s">
        <v>351</v>
      </c>
      <c r="U39">
        <v>0</v>
      </c>
      <c r="V39">
        <v>6046.73</v>
      </c>
      <c r="W39">
        <v>0</v>
      </c>
    </row>
    <row r="40" spans="1:23" x14ac:dyDescent="0.25">
      <c r="A40" s="1">
        <v>43739</v>
      </c>
      <c r="B40" s="1">
        <v>43739</v>
      </c>
      <c r="C40" t="s">
        <v>157</v>
      </c>
      <c r="D40" t="s">
        <v>54</v>
      </c>
      <c r="E40" t="s">
        <v>21</v>
      </c>
      <c r="F40" t="s">
        <v>183</v>
      </c>
      <c r="G40" s="56">
        <v>43781</v>
      </c>
      <c r="H40">
        <v>33</v>
      </c>
      <c r="I40">
        <v>10809</v>
      </c>
      <c r="J40" t="s">
        <v>50</v>
      </c>
      <c r="K40" t="s">
        <v>50</v>
      </c>
      <c r="L40" t="s">
        <v>159</v>
      </c>
      <c r="M40" t="s">
        <v>51</v>
      </c>
      <c r="N40" t="s">
        <v>92</v>
      </c>
      <c r="O40" s="1">
        <v>41335</v>
      </c>
      <c r="P40" t="s">
        <v>84</v>
      </c>
      <c r="Q40">
        <v>3</v>
      </c>
      <c r="R40" t="s">
        <v>81</v>
      </c>
      <c r="S40" t="s">
        <v>351</v>
      </c>
      <c r="T40" t="s">
        <v>351</v>
      </c>
      <c r="U40">
        <v>0</v>
      </c>
      <c r="V40">
        <v>5735.8</v>
      </c>
      <c r="W40">
        <v>0</v>
      </c>
    </row>
    <row r="41" spans="1:23" x14ac:dyDescent="0.25">
      <c r="A41" s="1">
        <v>43739</v>
      </c>
      <c r="B41" s="1">
        <v>43709</v>
      </c>
      <c r="C41" t="s">
        <v>157</v>
      </c>
      <c r="D41" t="s">
        <v>58</v>
      </c>
      <c r="E41" t="s">
        <v>21</v>
      </c>
      <c r="F41" t="s">
        <v>186</v>
      </c>
      <c r="G41" s="56">
        <v>43944.47278935185</v>
      </c>
      <c r="H41">
        <v>61</v>
      </c>
      <c r="I41" t="s">
        <v>351</v>
      </c>
      <c r="J41" t="s">
        <v>50</v>
      </c>
      <c r="K41" t="s">
        <v>50</v>
      </c>
      <c r="L41" t="s">
        <v>159</v>
      </c>
      <c r="M41" t="s">
        <v>51</v>
      </c>
      <c r="N41" t="s">
        <v>92</v>
      </c>
      <c r="O41" s="1">
        <v>41335</v>
      </c>
      <c r="P41" t="s">
        <v>84</v>
      </c>
      <c r="Q41">
        <v>4</v>
      </c>
      <c r="R41" t="s">
        <v>27</v>
      </c>
      <c r="S41" t="s">
        <v>351</v>
      </c>
      <c r="T41" t="s">
        <v>351</v>
      </c>
      <c r="U41">
        <v>0</v>
      </c>
      <c r="V41">
        <v>5821.34</v>
      </c>
      <c r="W41">
        <v>0</v>
      </c>
    </row>
    <row r="42" spans="1:23" x14ac:dyDescent="0.25">
      <c r="A42" s="1">
        <v>43739</v>
      </c>
      <c r="B42" s="1">
        <v>43709</v>
      </c>
      <c r="C42" t="s">
        <v>157</v>
      </c>
      <c r="D42" t="s">
        <v>58</v>
      </c>
      <c r="E42" t="s">
        <v>21</v>
      </c>
      <c r="F42" t="s">
        <v>190</v>
      </c>
      <c r="G42" s="56">
        <v>43944.47278935185</v>
      </c>
      <c r="H42">
        <v>61</v>
      </c>
      <c r="I42" t="s">
        <v>351</v>
      </c>
      <c r="J42" t="s">
        <v>50</v>
      </c>
      <c r="K42" t="s">
        <v>50</v>
      </c>
      <c r="L42" t="s">
        <v>159</v>
      </c>
      <c r="M42" t="s">
        <v>51</v>
      </c>
      <c r="N42" t="s">
        <v>92</v>
      </c>
      <c r="O42" s="1">
        <v>41335</v>
      </c>
      <c r="P42" t="s">
        <v>84</v>
      </c>
      <c r="Q42">
        <v>4</v>
      </c>
      <c r="R42" t="s">
        <v>27</v>
      </c>
      <c r="S42" t="s">
        <v>351</v>
      </c>
      <c r="T42" t="s">
        <v>351</v>
      </c>
      <c r="U42">
        <v>0</v>
      </c>
      <c r="V42">
        <v>6160.55</v>
      </c>
      <c r="W42">
        <v>0</v>
      </c>
    </row>
    <row r="43" spans="1:23" x14ac:dyDescent="0.25">
      <c r="A43" s="1">
        <v>43739</v>
      </c>
      <c r="B43" s="1">
        <v>43739</v>
      </c>
      <c r="C43" t="s">
        <v>157</v>
      </c>
      <c r="D43" t="s">
        <v>54</v>
      </c>
      <c r="E43" t="s">
        <v>21</v>
      </c>
      <c r="F43" t="s">
        <v>183</v>
      </c>
      <c r="G43" s="56">
        <v>43781</v>
      </c>
      <c r="H43">
        <v>33</v>
      </c>
      <c r="I43">
        <v>10809</v>
      </c>
      <c r="J43" t="s">
        <v>50</v>
      </c>
      <c r="K43" t="s">
        <v>50</v>
      </c>
      <c r="L43" t="s">
        <v>159</v>
      </c>
      <c r="M43" t="s">
        <v>51</v>
      </c>
      <c r="N43" t="s">
        <v>92</v>
      </c>
      <c r="O43" s="1">
        <v>41335</v>
      </c>
      <c r="P43" t="s">
        <v>84</v>
      </c>
      <c r="Q43">
        <v>4</v>
      </c>
      <c r="R43" t="s">
        <v>27</v>
      </c>
      <c r="S43" t="s">
        <v>351</v>
      </c>
      <c r="T43" t="s">
        <v>351</v>
      </c>
      <c r="U43">
        <v>0</v>
      </c>
      <c r="V43">
        <v>5821.34</v>
      </c>
      <c r="W43">
        <v>0</v>
      </c>
    </row>
    <row r="44" spans="1:23" x14ac:dyDescent="0.25">
      <c r="A44" s="1">
        <v>43739</v>
      </c>
      <c r="B44" s="1">
        <v>43709</v>
      </c>
      <c r="C44" t="s">
        <v>157</v>
      </c>
      <c r="D44" t="s">
        <v>58</v>
      </c>
      <c r="E44" t="s">
        <v>21</v>
      </c>
      <c r="F44" t="s">
        <v>190</v>
      </c>
      <c r="G44" s="56">
        <v>43944.47278935185</v>
      </c>
      <c r="H44">
        <v>61</v>
      </c>
      <c r="I44" t="s">
        <v>351</v>
      </c>
      <c r="J44" t="s">
        <v>50</v>
      </c>
      <c r="K44" t="s">
        <v>50</v>
      </c>
      <c r="L44" t="s">
        <v>159</v>
      </c>
      <c r="M44" t="s">
        <v>51</v>
      </c>
      <c r="N44" t="s">
        <v>92</v>
      </c>
      <c r="O44" s="1">
        <v>41335</v>
      </c>
      <c r="P44" t="s">
        <v>84</v>
      </c>
      <c r="Q44">
        <v>5</v>
      </c>
      <c r="R44" t="s">
        <v>28</v>
      </c>
      <c r="S44" t="s">
        <v>351</v>
      </c>
      <c r="T44" t="s">
        <v>351</v>
      </c>
      <c r="U44">
        <v>0</v>
      </c>
      <c r="V44">
        <v>5634.08</v>
      </c>
      <c r="W44">
        <v>0</v>
      </c>
    </row>
    <row r="45" spans="1:23" x14ac:dyDescent="0.25">
      <c r="A45" s="1">
        <v>43739</v>
      </c>
      <c r="B45" s="1">
        <v>43709</v>
      </c>
      <c r="C45" t="s">
        <v>157</v>
      </c>
      <c r="D45" t="s">
        <v>58</v>
      </c>
      <c r="E45" t="s">
        <v>21</v>
      </c>
      <c r="F45" t="s">
        <v>186</v>
      </c>
      <c r="G45" s="56">
        <v>43944.47278935185</v>
      </c>
      <c r="H45">
        <v>61</v>
      </c>
      <c r="I45" t="s">
        <v>351</v>
      </c>
      <c r="J45" t="s">
        <v>50</v>
      </c>
      <c r="K45" t="s">
        <v>50</v>
      </c>
      <c r="L45" t="s">
        <v>159</v>
      </c>
      <c r="M45" t="s">
        <v>51</v>
      </c>
      <c r="N45" t="s">
        <v>92</v>
      </c>
      <c r="O45" s="1">
        <v>41335</v>
      </c>
      <c r="P45" t="s">
        <v>84</v>
      </c>
      <c r="Q45">
        <v>5</v>
      </c>
      <c r="R45" t="s">
        <v>28</v>
      </c>
      <c r="S45" t="s">
        <v>351</v>
      </c>
      <c r="T45" t="s">
        <v>351</v>
      </c>
      <c r="U45">
        <v>0</v>
      </c>
      <c r="V45">
        <v>6082.17</v>
      </c>
      <c r="W45">
        <v>0</v>
      </c>
    </row>
    <row r="46" spans="1:23" x14ac:dyDescent="0.25">
      <c r="A46" s="1">
        <v>43739</v>
      </c>
      <c r="B46" s="1">
        <v>43739</v>
      </c>
      <c r="C46" t="s">
        <v>157</v>
      </c>
      <c r="D46" t="s">
        <v>54</v>
      </c>
      <c r="E46" t="s">
        <v>21</v>
      </c>
      <c r="F46" t="s">
        <v>183</v>
      </c>
      <c r="G46" s="56">
        <v>43781</v>
      </c>
      <c r="H46">
        <v>33</v>
      </c>
      <c r="I46">
        <v>10809</v>
      </c>
      <c r="J46" t="s">
        <v>50</v>
      </c>
      <c r="K46" t="s">
        <v>50</v>
      </c>
      <c r="L46" t="s">
        <v>159</v>
      </c>
      <c r="M46" t="s">
        <v>51</v>
      </c>
      <c r="N46" t="s">
        <v>92</v>
      </c>
      <c r="O46" s="1">
        <v>41335</v>
      </c>
      <c r="P46" t="s">
        <v>84</v>
      </c>
      <c r="Q46">
        <v>5</v>
      </c>
      <c r="R46" t="s">
        <v>28</v>
      </c>
      <c r="S46" t="s">
        <v>351</v>
      </c>
      <c r="T46" t="s">
        <v>351</v>
      </c>
      <c r="U46">
        <v>0</v>
      </c>
      <c r="V46">
        <v>6082.17</v>
      </c>
      <c r="W46">
        <v>0</v>
      </c>
    </row>
    <row r="47" spans="1:23" x14ac:dyDescent="0.25">
      <c r="A47" s="1">
        <v>43770</v>
      </c>
      <c r="B47" s="1">
        <v>43770</v>
      </c>
      <c r="C47" t="s">
        <v>157</v>
      </c>
      <c r="D47" t="s">
        <v>54</v>
      </c>
      <c r="E47" t="s">
        <v>21</v>
      </c>
      <c r="F47" t="s">
        <v>191</v>
      </c>
      <c r="G47" s="56">
        <v>43805</v>
      </c>
      <c r="H47">
        <v>33</v>
      </c>
      <c r="I47">
        <v>11167</v>
      </c>
      <c r="J47" t="s">
        <v>50</v>
      </c>
      <c r="K47" t="s">
        <v>50</v>
      </c>
      <c r="L47" t="s">
        <v>159</v>
      </c>
      <c r="M47" t="s">
        <v>51</v>
      </c>
      <c r="N47" t="s">
        <v>92</v>
      </c>
      <c r="O47" s="1">
        <v>41335</v>
      </c>
      <c r="P47" t="s">
        <v>84</v>
      </c>
      <c r="Q47">
        <v>1</v>
      </c>
      <c r="R47" t="s">
        <v>83</v>
      </c>
      <c r="S47" t="s">
        <v>351</v>
      </c>
      <c r="T47" t="s">
        <v>351</v>
      </c>
      <c r="U47">
        <v>0</v>
      </c>
      <c r="V47">
        <v>5969.53</v>
      </c>
      <c r="W47">
        <v>0</v>
      </c>
    </row>
    <row r="48" spans="1:23" x14ac:dyDescent="0.25">
      <c r="A48" s="1">
        <v>43770</v>
      </c>
      <c r="B48" s="1">
        <v>43770</v>
      </c>
      <c r="C48" t="s">
        <v>157</v>
      </c>
      <c r="D48" t="s">
        <v>54</v>
      </c>
      <c r="E48" t="s">
        <v>21</v>
      </c>
      <c r="F48" t="s">
        <v>191</v>
      </c>
      <c r="G48" s="56">
        <v>43805</v>
      </c>
      <c r="H48">
        <v>33</v>
      </c>
      <c r="I48">
        <v>11167</v>
      </c>
      <c r="J48" t="s">
        <v>50</v>
      </c>
      <c r="K48" t="s">
        <v>50</v>
      </c>
      <c r="L48" t="s">
        <v>159</v>
      </c>
      <c r="M48" t="s">
        <v>51</v>
      </c>
      <c r="N48" t="s">
        <v>92</v>
      </c>
      <c r="O48" s="1">
        <v>41335</v>
      </c>
      <c r="P48" t="s">
        <v>84</v>
      </c>
      <c r="Q48">
        <v>2</v>
      </c>
      <c r="R48" t="s">
        <v>94</v>
      </c>
      <c r="S48" t="s">
        <v>351</v>
      </c>
      <c r="T48" t="s">
        <v>351</v>
      </c>
      <c r="U48">
        <v>0</v>
      </c>
      <c r="V48">
        <v>6128.55</v>
      </c>
      <c r="W48">
        <v>0</v>
      </c>
    </row>
    <row r="49" spans="1:23" x14ac:dyDescent="0.25">
      <c r="A49" s="1">
        <v>43770</v>
      </c>
      <c r="B49" s="1">
        <v>43770</v>
      </c>
      <c r="C49" t="s">
        <v>157</v>
      </c>
      <c r="D49" t="s">
        <v>54</v>
      </c>
      <c r="E49" t="s">
        <v>21</v>
      </c>
      <c r="F49" t="s">
        <v>191</v>
      </c>
      <c r="G49" s="56">
        <v>43805</v>
      </c>
      <c r="H49">
        <v>33</v>
      </c>
      <c r="I49">
        <v>11167</v>
      </c>
      <c r="J49" t="s">
        <v>50</v>
      </c>
      <c r="K49" t="s">
        <v>50</v>
      </c>
      <c r="L49" t="s">
        <v>159</v>
      </c>
      <c r="M49" t="s">
        <v>51</v>
      </c>
      <c r="N49" t="s">
        <v>92</v>
      </c>
      <c r="O49" s="1">
        <v>41335</v>
      </c>
      <c r="P49" t="s">
        <v>84</v>
      </c>
      <c r="Q49">
        <v>3</v>
      </c>
      <c r="R49" t="s">
        <v>81</v>
      </c>
      <c r="S49" t="s">
        <v>351</v>
      </c>
      <c r="T49" t="s">
        <v>351</v>
      </c>
      <c r="U49">
        <v>0</v>
      </c>
      <c r="V49">
        <v>5735.8</v>
      </c>
      <c r="W49">
        <v>0</v>
      </c>
    </row>
    <row r="50" spans="1:23" x14ac:dyDescent="0.25">
      <c r="A50" s="1">
        <v>43770</v>
      </c>
      <c r="B50" s="1">
        <v>43770</v>
      </c>
      <c r="C50" t="s">
        <v>157</v>
      </c>
      <c r="D50" t="s">
        <v>54</v>
      </c>
      <c r="E50" t="s">
        <v>21</v>
      </c>
      <c r="F50" t="s">
        <v>191</v>
      </c>
      <c r="G50" s="56">
        <v>43805</v>
      </c>
      <c r="H50">
        <v>33</v>
      </c>
      <c r="I50">
        <v>11167</v>
      </c>
      <c r="J50" t="s">
        <v>50</v>
      </c>
      <c r="K50" t="s">
        <v>50</v>
      </c>
      <c r="L50" t="s">
        <v>159</v>
      </c>
      <c r="M50" t="s">
        <v>51</v>
      </c>
      <c r="N50" t="s">
        <v>92</v>
      </c>
      <c r="O50" s="1">
        <v>41335</v>
      </c>
      <c r="P50" t="s">
        <v>84</v>
      </c>
      <c r="Q50">
        <v>4</v>
      </c>
      <c r="R50" t="s">
        <v>27</v>
      </c>
      <c r="S50" t="s">
        <v>351</v>
      </c>
      <c r="T50" t="s">
        <v>351</v>
      </c>
      <c r="U50">
        <v>0</v>
      </c>
      <c r="V50">
        <v>5821.34</v>
      </c>
      <c r="W50">
        <v>0</v>
      </c>
    </row>
    <row r="51" spans="1:23" x14ac:dyDescent="0.25">
      <c r="A51" s="1">
        <v>43770</v>
      </c>
      <c r="B51" s="1">
        <v>43770</v>
      </c>
      <c r="C51" t="s">
        <v>157</v>
      </c>
      <c r="D51" t="s">
        <v>54</v>
      </c>
      <c r="E51" t="s">
        <v>21</v>
      </c>
      <c r="F51" t="s">
        <v>191</v>
      </c>
      <c r="G51" s="56">
        <v>43805</v>
      </c>
      <c r="H51">
        <v>33</v>
      </c>
      <c r="I51">
        <v>11167</v>
      </c>
      <c r="J51" t="s">
        <v>50</v>
      </c>
      <c r="K51" t="s">
        <v>50</v>
      </c>
      <c r="L51" t="s">
        <v>159</v>
      </c>
      <c r="M51" t="s">
        <v>51</v>
      </c>
      <c r="N51" t="s">
        <v>92</v>
      </c>
      <c r="O51" s="1">
        <v>41335</v>
      </c>
      <c r="P51" t="s">
        <v>84</v>
      </c>
      <c r="Q51">
        <v>5</v>
      </c>
      <c r="R51" t="s">
        <v>28</v>
      </c>
      <c r="S51" t="s">
        <v>351</v>
      </c>
      <c r="T51" t="s">
        <v>351</v>
      </c>
      <c r="U51">
        <v>0</v>
      </c>
      <c r="V51">
        <v>6082.17</v>
      </c>
      <c r="W51">
        <v>0</v>
      </c>
    </row>
    <row r="52" spans="1:23" x14ac:dyDescent="0.25">
      <c r="A52" s="1">
        <v>43800</v>
      </c>
      <c r="B52" s="1">
        <v>43800</v>
      </c>
      <c r="C52" t="s">
        <v>157</v>
      </c>
      <c r="D52" t="s">
        <v>54</v>
      </c>
      <c r="E52" t="s">
        <v>21</v>
      </c>
      <c r="F52" t="s">
        <v>195</v>
      </c>
      <c r="G52" s="56">
        <v>43837</v>
      </c>
      <c r="H52">
        <v>33</v>
      </c>
      <c r="I52">
        <v>11902</v>
      </c>
      <c r="J52" t="s">
        <v>50</v>
      </c>
      <c r="K52" t="s">
        <v>50</v>
      </c>
      <c r="L52" t="s">
        <v>159</v>
      </c>
      <c r="M52" t="s">
        <v>51</v>
      </c>
      <c r="N52" t="s">
        <v>92</v>
      </c>
      <c r="O52" s="1">
        <v>41335</v>
      </c>
      <c r="P52" t="s">
        <v>84</v>
      </c>
      <c r="Q52">
        <v>1</v>
      </c>
      <c r="R52" t="s">
        <v>83</v>
      </c>
      <c r="S52" t="s">
        <v>351</v>
      </c>
      <c r="T52" t="s">
        <v>351</v>
      </c>
      <c r="U52">
        <v>0</v>
      </c>
      <c r="V52">
        <v>5969.53</v>
      </c>
      <c r="W52">
        <v>0</v>
      </c>
    </row>
    <row r="53" spans="1:23" x14ac:dyDescent="0.25">
      <c r="A53" s="1">
        <v>43800</v>
      </c>
      <c r="B53" s="1">
        <v>43800</v>
      </c>
      <c r="C53" t="s">
        <v>157</v>
      </c>
      <c r="D53" t="s">
        <v>54</v>
      </c>
      <c r="E53" t="s">
        <v>21</v>
      </c>
      <c r="F53" t="s">
        <v>195</v>
      </c>
      <c r="G53" s="56">
        <v>43837</v>
      </c>
      <c r="H53">
        <v>33</v>
      </c>
      <c r="I53">
        <v>11902</v>
      </c>
      <c r="J53" t="s">
        <v>50</v>
      </c>
      <c r="K53" t="s">
        <v>50</v>
      </c>
      <c r="L53" t="s">
        <v>159</v>
      </c>
      <c r="M53" t="s">
        <v>51</v>
      </c>
      <c r="N53" t="s">
        <v>92</v>
      </c>
      <c r="O53" s="1">
        <v>41335</v>
      </c>
      <c r="P53" t="s">
        <v>84</v>
      </c>
      <c r="Q53">
        <v>2</v>
      </c>
      <c r="R53" t="s">
        <v>94</v>
      </c>
      <c r="S53" t="s">
        <v>351</v>
      </c>
      <c r="T53" t="s">
        <v>351</v>
      </c>
      <c r="U53">
        <v>0</v>
      </c>
      <c r="V53">
        <v>6128.55</v>
      </c>
      <c r="W53">
        <v>0</v>
      </c>
    </row>
    <row r="54" spans="1:23" x14ac:dyDescent="0.25">
      <c r="A54" s="1">
        <v>43800</v>
      </c>
      <c r="B54" s="1">
        <v>43800</v>
      </c>
      <c r="C54" t="s">
        <v>157</v>
      </c>
      <c r="D54" t="s">
        <v>54</v>
      </c>
      <c r="E54" t="s">
        <v>21</v>
      </c>
      <c r="F54" t="s">
        <v>195</v>
      </c>
      <c r="G54" s="56">
        <v>43837</v>
      </c>
      <c r="H54">
        <v>33</v>
      </c>
      <c r="I54">
        <v>11902</v>
      </c>
      <c r="J54" t="s">
        <v>50</v>
      </c>
      <c r="K54" t="s">
        <v>50</v>
      </c>
      <c r="L54" t="s">
        <v>159</v>
      </c>
      <c r="M54" t="s">
        <v>51</v>
      </c>
      <c r="N54" t="s">
        <v>92</v>
      </c>
      <c r="O54" s="1">
        <v>41335</v>
      </c>
      <c r="P54" t="s">
        <v>84</v>
      </c>
      <c r="Q54">
        <v>3</v>
      </c>
      <c r="R54" t="s">
        <v>81</v>
      </c>
      <c r="S54" t="s">
        <v>351</v>
      </c>
      <c r="T54" t="s">
        <v>351</v>
      </c>
      <c r="U54">
        <v>0</v>
      </c>
      <c r="V54">
        <v>5735.8</v>
      </c>
      <c r="W54">
        <v>0</v>
      </c>
    </row>
    <row r="55" spans="1:23" x14ac:dyDescent="0.25">
      <c r="A55" s="1">
        <v>43800</v>
      </c>
      <c r="B55" s="1">
        <v>43800</v>
      </c>
      <c r="C55" t="s">
        <v>157</v>
      </c>
      <c r="D55" t="s">
        <v>54</v>
      </c>
      <c r="E55" t="s">
        <v>21</v>
      </c>
      <c r="F55" t="s">
        <v>195</v>
      </c>
      <c r="G55" s="56">
        <v>43837</v>
      </c>
      <c r="H55">
        <v>33</v>
      </c>
      <c r="I55">
        <v>11902</v>
      </c>
      <c r="J55" t="s">
        <v>50</v>
      </c>
      <c r="K55" t="s">
        <v>50</v>
      </c>
      <c r="L55" t="s">
        <v>159</v>
      </c>
      <c r="M55" t="s">
        <v>51</v>
      </c>
      <c r="N55" t="s">
        <v>92</v>
      </c>
      <c r="O55" s="1">
        <v>41335</v>
      </c>
      <c r="P55" t="s">
        <v>84</v>
      </c>
      <c r="Q55">
        <v>4</v>
      </c>
      <c r="R55" t="s">
        <v>27</v>
      </c>
      <c r="S55" t="s">
        <v>351</v>
      </c>
      <c r="T55" t="s">
        <v>351</v>
      </c>
      <c r="U55">
        <v>0</v>
      </c>
      <c r="V55">
        <v>5821.34</v>
      </c>
      <c r="W55">
        <v>0</v>
      </c>
    </row>
    <row r="56" spans="1:23" x14ac:dyDescent="0.25">
      <c r="A56" s="1">
        <v>43800</v>
      </c>
      <c r="B56" s="1">
        <v>43800</v>
      </c>
      <c r="C56" t="s">
        <v>157</v>
      </c>
      <c r="D56" t="s">
        <v>54</v>
      </c>
      <c r="E56" t="s">
        <v>21</v>
      </c>
      <c r="F56" t="s">
        <v>195</v>
      </c>
      <c r="G56" s="56">
        <v>43837</v>
      </c>
      <c r="H56">
        <v>33</v>
      </c>
      <c r="I56">
        <v>11902</v>
      </c>
      <c r="J56" t="s">
        <v>50</v>
      </c>
      <c r="K56" t="s">
        <v>50</v>
      </c>
      <c r="L56" t="s">
        <v>159</v>
      </c>
      <c r="M56" t="s">
        <v>51</v>
      </c>
      <c r="N56" t="s">
        <v>92</v>
      </c>
      <c r="O56" s="1">
        <v>41335</v>
      </c>
      <c r="P56" t="s">
        <v>84</v>
      </c>
      <c r="Q56">
        <v>5</v>
      </c>
      <c r="R56" t="s">
        <v>28</v>
      </c>
      <c r="S56" t="s">
        <v>351</v>
      </c>
      <c r="T56" t="s">
        <v>351</v>
      </c>
      <c r="U56">
        <v>0</v>
      </c>
      <c r="V56">
        <v>6082.17</v>
      </c>
      <c r="W56">
        <v>0</v>
      </c>
    </row>
    <row r="57" spans="1:23" x14ac:dyDescent="0.25">
      <c r="A57" s="1">
        <v>43831</v>
      </c>
      <c r="B57" s="1">
        <v>43831</v>
      </c>
      <c r="C57" t="s">
        <v>157</v>
      </c>
      <c r="D57" t="s">
        <v>54</v>
      </c>
      <c r="E57" t="s">
        <v>21</v>
      </c>
      <c r="F57" t="s">
        <v>199</v>
      </c>
      <c r="G57" s="56">
        <v>43910.518553240741</v>
      </c>
      <c r="H57">
        <v>33</v>
      </c>
      <c r="I57">
        <v>13159</v>
      </c>
      <c r="J57" t="s">
        <v>50</v>
      </c>
      <c r="K57" t="s">
        <v>50</v>
      </c>
      <c r="L57" t="s">
        <v>159</v>
      </c>
      <c r="M57" t="s">
        <v>51</v>
      </c>
      <c r="N57" t="s">
        <v>92</v>
      </c>
      <c r="O57" s="1">
        <v>41335</v>
      </c>
      <c r="P57" t="s">
        <v>84</v>
      </c>
      <c r="Q57">
        <v>1</v>
      </c>
      <c r="R57" t="s">
        <v>83</v>
      </c>
      <c r="S57" t="s">
        <v>351</v>
      </c>
      <c r="T57" t="s">
        <v>351</v>
      </c>
      <c r="U57">
        <v>0</v>
      </c>
      <c r="V57">
        <v>5969.53</v>
      </c>
      <c r="W57">
        <v>0</v>
      </c>
    </row>
    <row r="58" spans="1:23" x14ac:dyDescent="0.25">
      <c r="A58" s="1">
        <v>43831</v>
      </c>
      <c r="B58" s="1">
        <v>43831</v>
      </c>
      <c r="C58" t="s">
        <v>157</v>
      </c>
      <c r="D58" t="s">
        <v>54</v>
      </c>
      <c r="E58" t="s">
        <v>21</v>
      </c>
      <c r="F58" t="s">
        <v>199</v>
      </c>
      <c r="G58" s="56">
        <v>43910.518553240741</v>
      </c>
      <c r="H58">
        <v>33</v>
      </c>
      <c r="I58">
        <v>13159</v>
      </c>
      <c r="J58" t="s">
        <v>50</v>
      </c>
      <c r="K58" t="s">
        <v>50</v>
      </c>
      <c r="L58" t="s">
        <v>159</v>
      </c>
      <c r="M58" t="s">
        <v>51</v>
      </c>
      <c r="N58" t="s">
        <v>92</v>
      </c>
      <c r="O58" s="1">
        <v>41335</v>
      </c>
      <c r="P58" t="s">
        <v>84</v>
      </c>
      <c r="Q58">
        <v>2</v>
      </c>
      <c r="R58" t="s">
        <v>94</v>
      </c>
      <c r="S58" t="s">
        <v>351</v>
      </c>
      <c r="T58" t="s">
        <v>351</v>
      </c>
      <c r="U58">
        <v>0</v>
      </c>
      <c r="V58">
        <v>6128.55</v>
      </c>
      <c r="W58">
        <v>0</v>
      </c>
    </row>
    <row r="59" spans="1:23" x14ac:dyDescent="0.25">
      <c r="A59" s="1">
        <v>43831</v>
      </c>
      <c r="B59" s="1">
        <v>43831</v>
      </c>
      <c r="C59" t="s">
        <v>157</v>
      </c>
      <c r="D59" t="s">
        <v>54</v>
      </c>
      <c r="E59" t="s">
        <v>21</v>
      </c>
      <c r="F59" t="s">
        <v>199</v>
      </c>
      <c r="G59" s="56">
        <v>43910.518553240741</v>
      </c>
      <c r="H59">
        <v>33</v>
      </c>
      <c r="I59">
        <v>13159</v>
      </c>
      <c r="J59" t="s">
        <v>50</v>
      </c>
      <c r="K59" t="s">
        <v>50</v>
      </c>
      <c r="L59" t="s">
        <v>159</v>
      </c>
      <c r="M59" t="s">
        <v>51</v>
      </c>
      <c r="N59" t="s">
        <v>92</v>
      </c>
      <c r="O59" s="1">
        <v>41335</v>
      </c>
      <c r="P59" t="s">
        <v>84</v>
      </c>
      <c r="Q59">
        <v>3</v>
      </c>
      <c r="R59" t="s">
        <v>81</v>
      </c>
      <c r="S59" t="s">
        <v>351</v>
      </c>
      <c r="T59" t="s">
        <v>351</v>
      </c>
      <c r="U59">
        <v>0</v>
      </c>
      <c r="V59">
        <v>5735.8</v>
      </c>
      <c r="W59">
        <v>0</v>
      </c>
    </row>
    <row r="60" spans="1:23" x14ac:dyDescent="0.25">
      <c r="A60" s="1">
        <v>43831</v>
      </c>
      <c r="B60" s="1">
        <v>43831</v>
      </c>
      <c r="C60" t="s">
        <v>157</v>
      </c>
      <c r="D60" t="s">
        <v>54</v>
      </c>
      <c r="E60" t="s">
        <v>21</v>
      </c>
      <c r="F60" t="s">
        <v>199</v>
      </c>
      <c r="G60" s="56">
        <v>43910.518553240741</v>
      </c>
      <c r="H60">
        <v>33</v>
      </c>
      <c r="I60">
        <v>13159</v>
      </c>
      <c r="J60" t="s">
        <v>50</v>
      </c>
      <c r="K60" t="s">
        <v>50</v>
      </c>
      <c r="L60" t="s">
        <v>159</v>
      </c>
      <c r="M60" t="s">
        <v>51</v>
      </c>
      <c r="N60" t="s">
        <v>92</v>
      </c>
      <c r="O60" s="1">
        <v>41335</v>
      </c>
      <c r="P60" t="s">
        <v>84</v>
      </c>
      <c r="Q60">
        <v>4</v>
      </c>
      <c r="R60" t="s">
        <v>27</v>
      </c>
      <c r="S60" t="s">
        <v>351</v>
      </c>
      <c r="T60" t="s">
        <v>351</v>
      </c>
      <c r="U60">
        <v>0</v>
      </c>
      <c r="V60">
        <v>5821.34</v>
      </c>
      <c r="W60">
        <v>0</v>
      </c>
    </row>
    <row r="61" spans="1:23" x14ac:dyDescent="0.25">
      <c r="A61" s="1">
        <v>43831</v>
      </c>
      <c r="B61" s="1">
        <v>43831</v>
      </c>
      <c r="C61" t="s">
        <v>157</v>
      </c>
      <c r="D61" t="s">
        <v>54</v>
      </c>
      <c r="E61" t="s">
        <v>21</v>
      </c>
      <c r="F61" t="s">
        <v>199</v>
      </c>
      <c r="G61" s="56">
        <v>43910.518553240741</v>
      </c>
      <c r="H61">
        <v>33</v>
      </c>
      <c r="I61">
        <v>13159</v>
      </c>
      <c r="J61" t="s">
        <v>50</v>
      </c>
      <c r="K61" t="s">
        <v>50</v>
      </c>
      <c r="L61" t="s">
        <v>159</v>
      </c>
      <c r="M61" t="s">
        <v>51</v>
      </c>
      <c r="N61" t="s">
        <v>92</v>
      </c>
      <c r="O61" s="1">
        <v>41335</v>
      </c>
      <c r="P61" t="s">
        <v>84</v>
      </c>
      <c r="Q61">
        <v>5</v>
      </c>
      <c r="R61" t="s">
        <v>28</v>
      </c>
      <c r="S61" t="s">
        <v>351</v>
      </c>
      <c r="T61" t="s">
        <v>351</v>
      </c>
      <c r="U61">
        <v>0</v>
      </c>
      <c r="V61">
        <v>6082.17</v>
      </c>
      <c r="W61">
        <v>0</v>
      </c>
    </row>
    <row r="62" spans="1:23" x14ac:dyDescent="0.25">
      <c r="A62" s="1">
        <v>43862</v>
      </c>
      <c r="B62" s="1">
        <v>43862</v>
      </c>
      <c r="C62" t="s">
        <v>157</v>
      </c>
      <c r="D62" t="s">
        <v>54</v>
      </c>
      <c r="E62" t="s">
        <v>21</v>
      </c>
      <c r="F62" t="s">
        <v>203</v>
      </c>
      <c r="G62" s="56">
        <v>43902.628391203703</v>
      </c>
      <c r="H62">
        <v>33</v>
      </c>
      <c r="I62">
        <v>13209</v>
      </c>
      <c r="J62" t="s">
        <v>50</v>
      </c>
      <c r="K62" t="s">
        <v>50</v>
      </c>
      <c r="L62" t="s">
        <v>159</v>
      </c>
      <c r="M62" t="s">
        <v>51</v>
      </c>
      <c r="N62" t="s">
        <v>92</v>
      </c>
      <c r="O62" s="1">
        <v>41335</v>
      </c>
      <c r="P62" t="s">
        <v>84</v>
      </c>
      <c r="Q62">
        <v>1</v>
      </c>
      <c r="R62" t="s">
        <v>83</v>
      </c>
      <c r="S62" t="s">
        <v>351</v>
      </c>
      <c r="T62" t="s">
        <v>351</v>
      </c>
      <c r="U62">
        <v>0</v>
      </c>
      <c r="V62">
        <v>6208.06</v>
      </c>
      <c r="W62">
        <v>0</v>
      </c>
    </row>
    <row r="63" spans="1:23" x14ac:dyDescent="0.25">
      <c r="A63" s="1">
        <v>43862</v>
      </c>
      <c r="B63" s="1">
        <v>43862</v>
      </c>
      <c r="C63" t="s">
        <v>157</v>
      </c>
      <c r="D63" t="s">
        <v>54</v>
      </c>
      <c r="E63" t="s">
        <v>21</v>
      </c>
      <c r="F63" t="s">
        <v>203</v>
      </c>
      <c r="G63" s="56">
        <v>43902.628391203703</v>
      </c>
      <c r="H63">
        <v>33</v>
      </c>
      <c r="I63">
        <v>13209</v>
      </c>
      <c r="J63" t="s">
        <v>50</v>
      </c>
      <c r="K63" t="s">
        <v>50</v>
      </c>
      <c r="L63" t="s">
        <v>159</v>
      </c>
      <c r="M63" t="s">
        <v>51</v>
      </c>
      <c r="N63" t="s">
        <v>92</v>
      </c>
      <c r="O63" s="1">
        <v>41335</v>
      </c>
      <c r="P63" t="s">
        <v>84</v>
      </c>
      <c r="Q63">
        <v>2</v>
      </c>
      <c r="R63" t="s">
        <v>94</v>
      </c>
      <c r="S63" t="s">
        <v>351</v>
      </c>
      <c r="T63" t="s">
        <v>351</v>
      </c>
      <c r="U63">
        <v>0</v>
      </c>
      <c r="V63">
        <v>6283.67</v>
      </c>
      <c r="W63">
        <v>0</v>
      </c>
    </row>
    <row r="64" spans="1:23" x14ac:dyDescent="0.25">
      <c r="A64" s="1">
        <v>43862</v>
      </c>
      <c r="B64" s="1">
        <v>43862</v>
      </c>
      <c r="C64" t="s">
        <v>157</v>
      </c>
      <c r="D64" t="s">
        <v>54</v>
      </c>
      <c r="E64" t="s">
        <v>21</v>
      </c>
      <c r="F64" t="s">
        <v>203</v>
      </c>
      <c r="G64" s="56">
        <v>43902.628391203703</v>
      </c>
      <c r="H64">
        <v>33</v>
      </c>
      <c r="I64">
        <v>13209</v>
      </c>
      <c r="J64" t="s">
        <v>50</v>
      </c>
      <c r="K64" t="s">
        <v>50</v>
      </c>
      <c r="L64" t="s">
        <v>159</v>
      </c>
      <c r="M64" t="s">
        <v>51</v>
      </c>
      <c r="N64" t="s">
        <v>92</v>
      </c>
      <c r="O64" s="1">
        <v>41335</v>
      </c>
      <c r="P64" t="s">
        <v>84</v>
      </c>
      <c r="Q64">
        <v>3</v>
      </c>
      <c r="R64" t="s">
        <v>81</v>
      </c>
      <c r="S64" t="s">
        <v>351</v>
      </c>
      <c r="T64" t="s">
        <v>351</v>
      </c>
      <c r="U64">
        <v>0</v>
      </c>
      <c r="V64">
        <v>5891.37</v>
      </c>
      <c r="W64">
        <v>0</v>
      </c>
    </row>
    <row r="65" spans="1:23" x14ac:dyDescent="0.25">
      <c r="A65" s="1">
        <v>43862</v>
      </c>
      <c r="B65" s="1">
        <v>43862</v>
      </c>
      <c r="C65" t="s">
        <v>157</v>
      </c>
      <c r="D65" t="s">
        <v>54</v>
      </c>
      <c r="E65" t="s">
        <v>21</v>
      </c>
      <c r="F65" t="s">
        <v>203</v>
      </c>
      <c r="G65" s="56">
        <v>43902.628391203703</v>
      </c>
      <c r="H65">
        <v>33</v>
      </c>
      <c r="I65">
        <v>13209</v>
      </c>
      <c r="J65" t="s">
        <v>50</v>
      </c>
      <c r="K65" t="s">
        <v>50</v>
      </c>
      <c r="L65" t="s">
        <v>159</v>
      </c>
      <c r="M65" t="s">
        <v>51</v>
      </c>
      <c r="N65" t="s">
        <v>92</v>
      </c>
      <c r="O65" s="1">
        <v>41335</v>
      </c>
      <c r="P65" t="s">
        <v>84</v>
      </c>
      <c r="Q65">
        <v>4</v>
      </c>
      <c r="R65" t="s">
        <v>27</v>
      </c>
      <c r="S65" t="s">
        <v>351</v>
      </c>
      <c r="T65" t="s">
        <v>351</v>
      </c>
      <c r="U65">
        <v>0</v>
      </c>
      <c r="V65">
        <v>6091.55</v>
      </c>
      <c r="W65">
        <v>0</v>
      </c>
    </row>
    <row r="66" spans="1:23" x14ac:dyDescent="0.25">
      <c r="A66" s="1">
        <v>43862</v>
      </c>
      <c r="B66" s="1">
        <v>43862</v>
      </c>
      <c r="C66" t="s">
        <v>157</v>
      </c>
      <c r="D66" t="s">
        <v>54</v>
      </c>
      <c r="E66" t="s">
        <v>21</v>
      </c>
      <c r="F66" t="s">
        <v>203</v>
      </c>
      <c r="G66" s="56">
        <v>43902.628391203703</v>
      </c>
      <c r="H66">
        <v>33</v>
      </c>
      <c r="I66">
        <v>13209</v>
      </c>
      <c r="J66" t="s">
        <v>50</v>
      </c>
      <c r="K66" t="s">
        <v>50</v>
      </c>
      <c r="L66" t="s">
        <v>159</v>
      </c>
      <c r="M66" t="s">
        <v>51</v>
      </c>
      <c r="N66" t="s">
        <v>92</v>
      </c>
      <c r="O66" s="1">
        <v>41335</v>
      </c>
      <c r="P66" t="s">
        <v>84</v>
      </c>
      <c r="Q66">
        <v>5</v>
      </c>
      <c r="R66" t="s">
        <v>28</v>
      </c>
      <c r="S66" t="s">
        <v>351</v>
      </c>
      <c r="T66" t="s">
        <v>351</v>
      </c>
      <c r="U66">
        <v>0</v>
      </c>
      <c r="V66">
        <v>5908.1</v>
      </c>
      <c r="W66">
        <v>0</v>
      </c>
    </row>
    <row r="67" spans="1:23" x14ac:dyDescent="0.25">
      <c r="A67" s="1">
        <v>43891</v>
      </c>
      <c r="B67" s="1">
        <v>43891</v>
      </c>
      <c r="C67" t="s">
        <v>157</v>
      </c>
      <c r="D67" t="s">
        <v>54</v>
      </c>
      <c r="E67" t="s">
        <v>21</v>
      </c>
      <c r="F67" t="s">
        <v>206</v>
      </c>
      <c r="G67" s="56">
        <v>43928.620706018519</v>
      </c>
      <c r="H67">
        <v>33</v>
      </c>
      <c r="I67">
        <v>13219</v>
      </c>
      <c r="J67" t="s">
        <v>50</v>
      </c>
      <c r="K67" t="s">
        <v>50</v>
      </c>
      <c r="L67" t="s">
        <v>159</v>
      </c>
      <c r="M67" t="s">
        <v>51</v>
      </c>
      <c r="N67" t="s">
        <v>92</v>
      </c>
      <c r="O67" s="1">
        <v>41335</v>
      </c>
      <c r="P67" t="s">
        <v>84</v>
      </c>
      <c r="Q67">
        <v>1</v>
      </c>
      <c r="R67" t="s">
        <v>83</v>
      </c>
      <c r="S67" t="s">
        <v>351</v>
      </c>
      <c r="T67" t="s">
        <v>351</v>
      </c>
      <c r="U67">
        <v>0</v>
      </c>
      <c r="V67">
        <v>6208.06</v>
      </c>
      <c r="W67">
        <v>0</v>
      </c>
    </row>
    <row r="68" spans="1:23" x14ac:dyDescent="0.25">
      <c r="A68" s="1">
        <v>43891</v>
      </c>
      <c r="B68" s="1">
        <v>43891</v>
      </c>
      <c r="C68" t="s">
        <v>157</v>
      </c>
      <c r="D68" t="s">
        <v>54</v>
      </c>
      <c r="E68" t="s">
        <v>21</v>
      </c>
      <c r="F68" t="s">
        <v>206</v>
      </c>
      <c r="G68" s="56">
        <v>43928.620706018519</v>
      </c>
      <c r="H68">
        <v>33</v>
      </c>
      <c r="I68">
        <v>13219</v>
      </c>
      <c r="J68" t="s">
        <v>50</v>
      </c>
      <c r="K68" t="s">
        <v>50</v>
      </c>
      <c r="L68" t="s">
        <v>159</v>
      </c>
      <c r="M68" t="s">
        <v>51</v>
      </c>
      <c r="N68" t="s">
        <v>92</v>
      </c>
      <c r="O68" s="1">
        <v>41335</v>
      </c>
      <c r="P68" t="s">
        <v>84</v>
      </c>
      <c r="Q68">
        <v>2</v>
      </c>
      <c r="R68" t="s">
        <v>94</v>
      </c>
      <c r="S68" t="s">
        <v>351</v>
      </c>
      <c r="T68" t="s">
        <v>351</v>
      </c>
      <c r="U68">
        <v>0</v>
      </c>
      <c r="V68">
        <v>6283.67</v>
      </c>
      <c r="W68">
        <v>0</v>
      </c>
    </row>
    <row r="69" spans="1:23" x14ac:dyDescent="0.25">
      <c r="A69" s="1">
        <v>43891</v>
      </c>
      <c r="B69" s="1">
        <v>43891</v>
      </c>
      <c r="C69" t="s">
        <v>157</v>
      </c>
      <c r="D69" t="s">
        <v>54</v>
      </c>
      <c r="E69" t="s">
        <v>21</v>
      </c>
      <c r="F69" t="s">
        <v>206</v>
      </c>
      <c r="G69" s="56">
        <v>43928.620706018519</v>
      </c>
      <c r="H69">
        <v>33</v>
      </c>
      <c r="I69">
        <v>13219</v>
      </c>
      <c r="J69" t="s">
        <v>50</v>
      </c>
      <c r="K69" t="s">
        <v>50</v>
      </c>
      <c r="L69" t="s">
        <v>159</v>
      </c>
      <c r="M69" t="s">
        <v>51</v>
      </c>
      <c r="N69" t="s">
        <v>92</v>
      </c>
      <c r="O69" s="1">
        <v>41335</v>
      </c>
      <c r="P69" t="s">
        <v>84</v>
      </c>
      <c r="Q69">
        <v>3</v>
      </c>
      <c r="R69" t="s">
        <v>81</v>
      </c>
      <c r="S69" t="s">
        <v>351</v>
      </c>
      <c r="T69" t="s">
        <v>351</v>
      </c>
      <c r="U69">
        <v>0</v>
      </c>
      <c r="V69">
        <v>5891.37</v>
      </c>
      <c r="W69">
        <v>0</v>
      </c>
    </row>
    <row r="70" spans="1:23" x14ac:dyDescent="0.25">
      <c r="A70" s="1">
        <v>43891</v>
      </c>
      <c r="B70" s="1">
        <v>43891</v>
      </c>
      <c r="C70" t="s">
        <v>157</v>
      </c>
      <c r="D70" t="s">
        <v>54</v>
      </c>
      <c r="E70" t="s">
        <v>21</v>
      </c>
      <c r="F70" t="s">
        <v>206</v>
      </c>
      <c r="G70" s="56">
        <v>43928.620706018519</v>
      </c>
      <c r="H70">
        <v>33</v>
      </c>
      <c r="I70">
        <v>13219</v>
      </c>
      <c r="J70" t="s">
        <v>50</v>
      </c>
      <c r="K70" t="s">
        <v>50</v>
      </c>
      <c r="L70" t="s">
        <v>159</v>
      </c>
      <c r="M70" t="s">
        <v>51</v>
      </c>
      <c r="N70" t="s">
        <v>92</v>
      </c>
      <c r="O70" s="1">
        <v>41335</v>
      </c>
      <c r="P70" t="s">
        <v>84</v>
      </c>
      <c r="Q70">
        <v>4</v>
      </c>
      <c r="R70" t="s">
        <v>27</v>
      </c>
      <c r="S70" t="s">
        <v>351</v>
      </c>
      <c r="T70" t="s">
        <v>351</v>
      </c>
      <c r="U70">
        <v>0</v>
      </c>
      <c r="V70">
        <v>6091.55</v>
      </c>
      <c r="W70">
        <v>0</v>
      </c>
    </row>
    <row r="71" spans="1:23" x14ac:dyDescent="0.25">
      <c r="A71" s="1">
        <v>43891</v>
      </c>
      <c r="B71" s="1">
        <v>43891</v>
      </c>
      <c r="C71" t="s">
        <v>157</v>
      </c>
      <c r="D71" t="s">
        <v>54</v>
      </c>
      <c r="E71" t="s">
        <v>21</v>
      </c>
      <c r="F71" t="s">
        <v>206</v>
      </c>
      <c r="G71" s="56">
        <v>43928.620706018519</v>
      </c>
      <c r="H71">
        <v>33</v>
      </c>
      <c r="I71">
        <v>13219</v>
      </c>
      <c r="J71" t="s">
        <v>50</v>
      </c>
      <c r="K71" t="s">
        <v>50</v>
      </c>
      <c r="L71" t="s">
        <v>159</v>
      </c>
      <c r="M71" t="s">
        <v>51</v>
      </c>
      <c r="N71" t="s">
        <v>92</v>
      </c>
      <c r="O71" s="1">
        <v>41335</v>
      </c>
      <c r="P71" t="s">
        <v>84</v>
      </c>
      <c r="Q71">
        <v>5</v>
      </c>
      <c r="R71" t="s">
        <v>28</v>
      </c>
      <c r="S71" t="s">
        <v>351</v>
      </c>
      <c r="T71" t="s">
        <v>351</v>
      </c>
      <c r="U71">
        <v>0</v>
      </c>
      <c r="V71">
        <v>5908.1</v>
      </c>
      <c r="W71">
        <v>0</v>
      </c>
    </row>
    <row r="72" spans="1:23" x14ac:dyDescent="0.25">
      <c r="A72" s="1">
        <v>43922</v>
      </c>
      <c r="B72" s="1">
        <v>43922</v>
      </c>
      <c r="C72" t="s">
        <v>157</v>
      </c>
      <c r="D72" t="s">
        <v>54</v>
      </c>
      <c r="E72" t="s">
        <v>21</v>
      </c>
      <c r="F72" t="s">
        <v>212</v>
      </c>
      <c r="G72" s="56">
        <v>43959.644641203704</v>
      </c>
      <c r="H72">
        <v>33</v>
      </c>
      <c r="I72">
        <v>13722</v>
      </c>
      <c r="J72" t="s">
        <v>50</v>
      </c>
      <c r="K72" t="s">
        <v>50</v>
      </c>
      <c r="L72" t="s">
        <v>159</v>
      </c>
      <c r="M72" t="s">
        <v>51</v>
      </c>
      <c r="N72" t="s">
        <v>92</v>
      </c>
      <c r="O72" s="1">
        <v>41335</v>
      </c>
      <c r="P72" t="s">
        <v>84</v>
      </c>
      <c r="Q72">
        <v>1</v>
      </c>
      <c r="R72" t="s">
        <v>83</v>
      </c>
      <c r="S72" t="s">
        <v>351</v>
      </c>
      <c r="T72" t="s">
        <v>351</v>
      </c>
      <c r="U72">
        <v>0</v>
      </c>
      <c r="V72">
        <v>6077.2</v>
      </c>
      <c r="W72">
        <v>0</v>
      </c>
    </row>
    <row r="73" spans="1:23" x14ac:dyDescent="0.25">
      <c r="A73" s="1">
        <v>43922</v>
      </c>
      <c r="B73" s="1">
        <v>43922</v>
      </c>
      <c r="C73" t="s">
        <v>157</v>
      </c>
      <c r="D73" t="s">
        <v>54</v>
      </c>
      <c r="E73" t="s">
        <v>21</v>
      </c>
      <c r="F73" t="s">
        <v>212</v>
      </c>
      <c r="G73" s="56">
        <v>43959.644641203704</v>
      </c>
      <c r="H73">
        <v>33</v>
      </c>
      <c r="I73">
        <v>13722</v>
      </c>
      <c r="J73" t="s">
        <v>50</v>
      </c>
      <c r="K73" t="s">
        <v>50</v>
      </c>
      <c r="L73" t="s">
        <v>159</v>
      </c>
      <c r="M73" t="s">
        <v>51</v>
      </c>
      <c r="N73" t="s">
        <v>92</v>
      </c>
      <c r="O73" s="1">
        <v>41335</v>
      </c>
      <c r="P73" t="s">
        <v>84</v>
      </c>
      <c r="Q73">
        <v>2</v>
      </c>
      <c r="R73" t="s">
        <v>94</v>
      </c>
      <c r="S73" t="s">
        <v>351</v>
      </c>
      <c r="T73" t="s">
        <v>351</v>
      </c>
      <c r="U73">
        <v>0</v>
      </c>
      <c r="V73">
        <v>6151.21</v>
      </c>
      <c r="W73">
        <v>0</v>
      </c>
    </row>
    <row r="74" spans="1:23" x14ac:dyDescent="0.25">
      <c r="A74" s="1">
        <v>43922</v>
      </c>
      <c r="B74" s="1">
        <v>43922</v>
      </c>
      <c r="C74" t="s">
        <v>157</v>
      </c>
      <c r="D74" t="s">
        <v>54</v>
      </c>
      <c r="E74" t="s">
        <v>21</v>
      </c>
      <c r="F74" t="s">
        <v>212</v>
      </c>
      <c r="G74" s="56">
        <v>43959.644641203704</v>
      </c>
      <c r="H74">
        <v>33</v>
      </c>
      <c r="I74">
        <v>13722</v>
      </c>
      <c r="J74" t="s">
        <v>50</v>
      </c>
      <c r="K74" t="s">
        <v>50</v>
      </c>
      <c r="L74" t="s">
        <v>159</v>
      </c>
      <c r="M74" t="s">
        <v>51</v>
      </c>
      <c r="N74" t="s">
        <v>92</v>
      </c>
      <c r="O74" s="1">
        <v>41335</v>
      </c>
      <c r="P74" t="s">
        <v>84</v>
      </c>
      <c r="Q74">
        <v>3</v>
      </c>
      <c r="R74" t="s">
        <v>81</v>
      </c>
      <c r="S74" t="s">
        <v>351</v>
      </c>
      <c r="T74" t="s">
        <v>351</v>
      </c>
      <c r="U74">
        <v>0</v>
      </c>
      <c r="V74">
        <v>5767.18</v>
      </c>
      <c r="W74">
        <v>0</v>
      </c>
    </row>
    <row r="75" spans="1:23" x14ac:dyDescent="0.25">
      <c r="A75" s="1">
        <v>43922</v>
      </c>
      <c r="B75" s="1">
        <v>43922</v>
      </c>
      <c r="C75" t="s">
        <v>157</v>
      </c>
      <c r="D75" t="s">
        <v>54</v>
      </c>
      <c r="E75" t="s">
        <v>21</v>
      </c>
      <c r="F75" t="s">
        <v>212</v>
      </c>
      <c r="G75" s="56">
        <v>43959.644641203704</v>
      </c>
      <c r="H75">
        <v>33</v>
      </c>
      <c r="I75">
        <v>13722</v>
      </c>
      <c r="J75" t="s">
        <v>50</v>
      </c>
      <c r="K75" t="s">
        <v>50</v>
      </c>
      <c r="L75" t="s">
        <v>159</v>
      </c>
      <c r="M75" t="s">
        <v>51</v>
      </c>
      <c r="N75" t="s">
        <v>92</v>
      </c>
      <c r="O75" s="1">
        <v>41335</v>
      </c>
      <c r="P75" t="s">
        <v>84</v>
      </c>
      <c r="Q75">
        <v>4</v>
      </c>
      <c r="R75" t="s">
        <v>27</v>
      </c>
      <c r="S75" t="s">
        <v>351</v>
      </c>
      <c r="T75" t="s">
        <v>351</v>
      </c>
      <c r="U75">
        <v>0</v>
      </c>
      <c r="V75">
        <v>5963.14</v>
      </c>
      <c r="W75">
        <v>0</v>
      </c>
    </row>
    <row r="76" spans="1:23" x14ac:dyDescent="0.25">
      <c r="A76" s="1">
        <v>43922</v>
      </c>
      <c r="B76" s="1">
        <v>43922</v>
      </c>
      <c r="C76" t="s">
        <v>157</v>
      </c>
      <c r="D76" t="s">
        <v>54</v>
      </c>
      <c r="E76" t="s">
        <v>21</v>
      </c>
      <c r="F76" t="s">
        <v>212</v>
      </c>
      <c r="G76" s="56">
        <v>43959.644641203704</v>
      </c>
      <c r="H76">
        <v>33</v>
      </c>
      <c r="I76">
        <v>13722</v>
      </c>
      <c r="J76" t="s">
        <v>50</v>
      </c>
      <c r="K76" t="s">
        <v>50</v>
      </c>
      <c r="L76" t="s">
        <v>159</v>
      </c>
      <c r="M76" t="s">
        <v>51</v>
      </c>
      <c r="N76" t="s">
        <v>92</v>
      </c>
      <c r="O76" s="1">
        <v>41335</v>
      </c>
      <c r="P76" t="s">
        <v>84</v>
      </c>
      <c r="Q76">
        <v>5</v>
      </c>
      <c r="R76" t="s">
        <v>28</v>
      </c>
      <c r="S76" t="s">
        <v>351</v>
      </c>
      <c r="T76" t="s">
        <v>351</v>
      </c>
      <c r="U76">
        <v>0</v>
      </c>
      <c r="V76">
        <v>5783.56</v>
      </c>
      <c r="W76">
        <v>0</v>
      </c>
    </row>
    <row r="77" spans="1:23" x14ac:dyDescent="0.25">
      <c r="A77" s="1">
        <v>43952</v>
      </c>
      <c r="B77" s="1">
        <v>43952</v>
      </c>
      <c r="C77" t="s">
        <v>157</v>
      </c>
      <c r="D77" t="s">
        <v>54</v>
      </c>
      <c r="E77" t="s">
        <v>21</v>
      </c>
      <c r="F77" t="s">
        <v>221</v>
      </c>
      <c r="G77" s="56">
        <v>43987.496550925927</v>
      </c>
      <c r="H77">
        <v>33</v>
      </c>
      <c r="I77">
        <v>14013</v>
      </c>
      <c r="J77" t="s">
        <v>50</v>
      </c>
      <c r="K77" t="s">
        <v>50</v>
      </c>
      <c r="L77" t="s">
        <v>159</v>
      </c>
      <c r="M77" t="s">
        <v>51</v>
      </c>
      <c r="N77" t="s">
        <v>92</v>
      </c>
      <c r="O77" s="1">
        <v>41335</v>
      </c>
      <c r="P77" t="s">
        <v>84</v>
      </c>
      <c r="Q77">
        <v>1</v>
      </c>
      <c r="R77" t="s">
        <v>83</v>
      </c>
      <c r="S77" t="s">
        <v>351</v>
      </c>
      <c r="T77" t="s">
        <v>351</v>
      </c>
      <c r="U77">
        <v>0</v>
      </c>
      <c r="V77">
        <v>6077.2</v>
      </c>
      <c r="W77">
        <v>0</v>
      </c>
    </row>
    <row r="78" spans="1:23" x14ac:dyDescent="0.25">
      <c r="A78" s="1">
        <v>43952</v>
      </c>
      <c r="B78" s="1">
        <v>43952</v>
      </c>
      <c r="C78" t="s">
        <v>157</v>
      </c>
      <c r="D78" t="s">
        <v>54</v>
      </c>
      <c r="E78" t="s">
        <v>21</v>
      </c>
      <c r="F78" t="s">
        <v>221</v>
      </c>
      <c r="G78" s="56">
        <v>43987.496550925927</v>
      </c>
      <c r="H78">
        <v>33</v>
      </c>
      <c r="I78">
        <v>14013</v>
      </c>
      <c r="J78" t="s">
        <v>50</v>
      </c>
      <c r="K78" t="s">
        <v>50</v>
      </c>
      <c r="L78" t="s">
        <v>159</v>
      </c>
      <c r="M78" t="s">
        <v>51</v>
      </c>
      <c r="N78" t="s">
        <v>92</v>
      </c>
      <c r="O78" s="1">
        <v>41335</v>
      </c>
      <c r="P78" t="s">
        <v>84</v>
      </c>
      <c r="Q78">
        <v>2</v>
      </c>
      <c r="R78" t="s">
        <v>94</v>
      </c>
      <c r="S78" t="s">
        <v>351</v>
      </c>
      <c r="T78" t="s">
        <v>351</v>
      </c>
      <c r="U78">
        <v>0</v>
      </c>
      <c r="V78">
        <v>6151.21</v>
      </c>
      <c r="W78">
        <v>0</v>
      </c>
    </row>
    <row r="79" spans="1:23" x14ac:dyDescent="0.25">
      <c r="A79" s="1">
        <v>43952</v>
      </c>
      <c r="B79" s="1">
        <v>43952</v>
      </c>
      <c r="C79" t="s">
        <v>157</v>
      </c>
      <c r="D79" t="s">
        <v>54</v>
      </c>
      <c r="E79" t="s">
        <v>21</v>
      </c>
      <c r="F79" t="s">
        <v>221</v>
      </c>
      <c r="G79" s="56">
        <v>43987.496550925927</v>
      </c>
      <c r="H79">
        <v>33</v>
      </c>
      <c r="I79">
        <v>14013</v>
      </c>
      <c r="J79" t="s">
        <v>50</v>
      </c>
      <c r="K79" t="s">
        <v>50</v>
      </c>
      <c r="L79" t="s">
        <v>159</v>
      </c>
      <c r="M79" t="s">
        <v>51</v>
      </c>
      <c r="N79" t="s">
        <v>92</v>
      </c>
      <c r="O79" s="1">
        <v>41335</v>
      </c>
      <c r="P79" t="s">
        <v>84</v>
      </c>
      <c r="Q79">
        <v>3</v>
      </c>
      <c r="R79" t="s">
        <v>81</v>
      </c>
      <c r="S79" t="s">
        <v>351</v>
      </c>
      <c r="T79" t="s">
        <v>351</v>
      </c>
      <c r="U79">
        <v>0</v>
      </c>
      <c r="V79">
        <v>5767.18</v>
      </c>
      <c r="W79">
        <v>0</v>
      </c>
    </row>
    <row r="80" spans="1:23" x14ac:dyDescent="0.25">
      <c r="A80" s="1">
        <v>43952</v>
      </c>
      <c r="B80" s="1">
        <v>43952</v>
      </c>
      <c r="C80" t="s">
        <v>157</v>
      </c>
      <c r="D80" t="s">
        <v>54</v>
      </c>
      <c r="E80" t="s">
        <v>21</v>
      </c>
      <c r="F80" t="s">
        <v>221</v>
      </c>
      <c r="G80" s="56">
        <v>43987.496550925927</v>
      </c>
      <c r="H80">
        <v>33</v>
      </c>
      <c r="I80">
        <v>14013</v>
      </c>
      <c r="J80" t="s">
        <v>50</v>
      </c>
      <c r="K80" t="s">
        <v>50</v>
      </c>
      <c r="L80" t="s">
        <v>159</v>
      </c>
      <c r="M80" t="s">
        <v>51</v>
      </c>
      <c r="N80" t="s">
        <v>92</v>
      </c>
      <c r="O80" s="1">
        <v>41335</v>
      </c>
      <c r="P80" t="s">
        <v>84</v>
      </c>
      <c r="Q80">
        <v>4</v>
      </c>
      <c r="R80" t="s">
        <v>27</v>
      </c>
      <c r="S80" t="s">
        <v>351</v>
      </c>
      <c r="T80" t="s">
        <v>351</v>
      </c>
      <c r="U80">
        <v>0</v>
      </c>
      <c r="V80">
        <v>5963.14</v>
      </c>
      <c r="W80">
        <v>0</v>
      </c>
    </row>
    <row r="81" spans="1:23" x14ac:dyDescent="0.25">
      <c r="A81" s="1">
        <v>43952</v>
      </c>
      <c r="B81" s="1">
        <v>43952</v>
      </c>
      <c r="C81" t="s">
        <v>157</v>
      </c>
      <c r="D81" t="s">
        <v>54</v>
      </c>
      <c r="E81" t="s">
        <v>21</v>
      </c>
      <c r="F81" t="s">
        <v>221</v>
      </c>
      <c r="G81" s="56">
        <v>43987.496550925927</v>
      </c>
      <c r="H81">
        <v>33</v>
      </c>
      <c r="I81">
        <v>14013</v>
      </c>
      <c r="J81" t="s">
        <v>50</v>
      </c>
      <c r="K81" t="s">
        <v>50</v>
      </c>
      <c r="L81" t="s">
        <v>159</v>
      </c>
      <c r="M81" t="s">
        <v>51</v>
      </c>
      <c r="N81" t="s">
        <v>92</v>
      </c>
      <c r="O81" s="1">
        <v>41335</v>
      </c>
      <c r="P81" t="s">
        <v>84</v>
      </c>
      <c r="Q81">
        <v>5</v>
      </c>
      <c r="R81" t="s">
        <v>28</v>
      </c>
      <c r="S81" t="s">
        <v>351</v>
      </c>
      <c r="T81" t="s">
        <v>351</v>
      </c>
      <c r="U81">
        <v>0</v>
      </c>
      <c r="V81">
        <v>5783.56</v>
      </c>
      <c r="W81">
        <v>0</v>
      </c>
    </row>
    <row r="82" spans="1:23" x14ac:dyDescent="0.25">
      <c r="A82" s="1">
        <v>43983</v>
      </c>
      <c r="B82" s="1">
        <v>43983</v>
      </c>
      <c r="C82" t="s">
        <v>157</v>
      </c>
      <c r="D82" t="s">
        <v>54</v>
      </c>
      <c r="E82" t="s">
        <v>21</v>
      </c>
      <c r="F82" t="s">
        <v>224</v>
      </c>
      <c r="G82" s="56">
        <v>44020.479664351849</v>
      </c>
      <c r="H82">
        <v>33</v>
      </c>
      <c r="I82">
        <v>14392</v>
      </c>
      <c r="J82" t="s">
        <v>50</v>
      </c>
      <c r="K82" t="s">
        <v>50</v>
      </c>
      <c r="L82" t="s">
        <v>159</v>
      </c>
      <c r="M82" t="s">
        <v>51</v>
      </c>
      <c r="N82" t="s">
        <v>92</v>
      </c>
      <c r="O82" s="1">
        <v>41335</v>
      </c>
      <c r="P82" t="s">
        <v>84</v>
      </c>
      <c r="Q82">
        <v>1</v>
      </c>
      <c r="R82" t="s">
        <v>83</v>
      </c>
      <c r="S82" t="s">
        <v>351</v>
      </c>
      <c r="T82" t="s">
        <v>351</v>
      </c>
      <c r="U82">
        <v>0</v>
      </c>
      <c r="V82">
        <v>6077.2</v>
      </c>
      <c r="W82">
        <v>0</v>
      </c>
    </row>
    <row r="83" spans="1:23" x14ac:dyDescent="0.25">
      <c r="A83" s="1">
        <v>43983</v>
      </c>
      <c r="B83" s="1">
        <v>43983</v>
      </c>
      <c r="C83" t="s">
        <v>157</v>
      </c>
      <c r="D83" t="s">
        <v>54</v>
      </c>
      <c r="E83" t="s">
        <v>21</v>
      </c>
      <c r="F83" t="s">
        <v>224</v>
      </c>
      <c r="G83" s="56">
        <v>44020.479664351849</v>
      </c>
      <c r="H83">
        <v>33</v>
      </c>
      <c r="I83">
        <v>14392</v>
      </c>
      <c r="J83" t="s">
        <v>50</v>
      </c>
      <c r="K83" t="s">
        <v>50</v>
      </c>
      <c r="L83" t="s">
        <v>159</v>
      </c>
      <c r="M83" t="s">
        <v>51</v>
      </c>
      <c r="N83" t="s">
        <v>92</v>
      </c>
      <c r="O83" s="1">
        <v>41335</v>
      </c>
      <c r="P83" t="s">
        <v>84</v>
      </c>
      <c r="Q83">
        <v>2</v>
      </c>
      <c r="R83" t="s">
        <v>94</v>
      </c>
      <c r="S83" t="s">
        <v>351</v>
      </c>
      <c r="T83" t="s">
        <v>351</v>
      </c>
      <c r="U83">
        <v>0</v>
      </c>
      <c r="V83">
        <v>6151.21</v>
      </c>
      <c r="W83">
        <v>0</v>
      </c>
    </row>
    <row r="84" spans="1:23" x14ac:dyDescent="0.25">
      <c r="A84" s="1">
        <v>43983</v>
      </c>
      <c r="B84" s="1">
        <v>43983</v>
      </c>
      <c r="C84" t="s">
        <v>157</v>
      </c>
      <c r="D84" t="s">
        <v>54</v>
      </c>
      <c r="E84" t="s">
        <v>21</v>
      </c>
      <c r="F84" t="s">
        <v>224</v>
      </c>
      <c r="G84" s="56">
        <v>44020.479664351849</v>
      </c>
      <c r="H84">
        <v>33</v>
      </c>
      <c r="I84">
        <v>14392</v>
      </c>
      <c r="J84" t="s">
        <v>50</v>
      </c>
      <c r="K84" t="s">
        <v>50</v>
      </c>
      <c r="L84" t="s">
        <v>159</v>
      </c>
      <c r="M84" t="s">
        <v>51</v>
      </c>
      <c r="N84" t="s">
        <v>92</v>
      </c>
      <c r="O84" s="1">
        <v>41335</v>
      </c>
      <c r="P84" t="s">
        <v>84</v>
      </c>
      <c r="Q84">
        <v>3</v>
      </c>
      <c r="R84" t="s">
        <v>81</v>
      </c>
      <c r="S84" t="s">
        <v>351</v>
      </c>
      <c r="T84" t="s">
        <v>351</v>
      </c>
      <c r="U84">
        <v>0</v>
      </c>
      <c r="V84">
        <v>5767.18</v>
      </c>
      <c r="W84">
        <v>0</v>
      </c>
    </row>
    <row r="85" spans="1:23" x14ac:dyDescent="0.25">
      <c r="A85" s="1">
        <v>43983</v>
      </c>
      <c r="B85" s="1">
        <v>43983</v>
      </c>
      <c r="C85" t="s">
        <v>157</v>
      </c>
      <c r="D85" t="s">
        <v>54</v>
      </c>
      <c r="E85" t="s">
        <v>21</v>
      </c>
      <c r="F85" t="s">
        <v>224</v>
      </c>
      <c r="G85" s="56">
        <v>44020.479664351849</v>
      </c>
      <c r="H85">
        <v>33</v>
      </c>
      <c r="I85">
        <v>14392</v>
      </c>
      <c r="J85" t="s">
        <v>50</v>
      </c>
      <c r="K85" t="s">
        <v>50</v>
      </c>
      <c r="L85" t="s">
        <v>159</v>
      </c>
      <c r="M85" t="s">
        <v>51</v>
      </c>
      <c r="N85" t="s">
        <v>92</v>
      </c>
      <c r="O85" s="1">
        <v>41335</v>
      </c>
      <c r="P85" t="s">
        <v>84</v>
      </c>
      <c r="Q85">
        <v>4</v>
      </c>
      <c r="R85" t="s">
        <v>27</v>
      </c>
      <c r="S85" t="s">
        <v>351</v>
      </c>
      <c r="T85" t="s">
        <v>351</v>
      </c>
      <c r="U85">
        <v>0</v>
      </c>
      <c r="V85">
        <v>5963.14</v>
      </c>
      <c r="W85">
        <v>0</v>
      </c>
    </row>
    <row r="86" spans="1:23" x14ac:dyDescent="0.25">
      <c r="A86" s="1">
        <v>43983</v>
      </c>
      <c r="B86" s="1">
        <v>43983</v>
      </c>
      <c r="C86" t="s">
        <v>157</v>
      </c>
      <c r="D86" t="s">
        <v>54</v>
      </c>
      <c r="E86" t="s">
        <v>21</v>
      </c>
      <c r="F86" t="s">
        <v>224</v>
      </c>
      <c r="G86" s="56">
        <v>44020.479664351849</v>
      </c>
      <c r="H86">
        <v>33</v>
      </c>
      <c r="I86">
        <v>14392</v>
      </c>
      <c r="J86" t="s">
        <v>50</v>
      </c>
      <c r="K86" t="s">
        <v>50</v>
      </c>
      <c r="L86" t="s">
        <v>159</v>
      </c>
      <c r="M86" t="s">
        <v>51</v>
      </c>
      <c r="N86" t="s">
        <v>92</v>
      </c>
      <c r="O86" s="1">
        <v>41335</v>
      </c>
      <c r="P86" t="s">
        <v>84</v>
      </c>
      <c r="Q86">
        <v>5</v>
      </c>
      <c r="R86" t="s">
        <v>28</v>
      </c>
      <c r="S86" t="s">
        <v>351</v>
      </c>
      <c r="T86" t="s">
        <v>351</v>
      </c>
      <c r="U86">
        <v>0</v>
      </c>
      <c r="V86">
        <v>5783.56</v>
      </c>
      <c r="W86">
        <v>0</v>
      </c>
    </row>
    <row r="87" spans="1:23" x14ac:dyDescent="0.25">
      <c r="A87" s="1">
        <v>44013</v>
      </c>
      <c r="B87" s="1">
        <v>44013</v>
      </c>
      <c r="C87" t="s">
        <v>157</v>
      </c>
      <c r="D87" t="s">
        <v>54</v>
      </c>
      <c r="E87" t="s">
        <v>21</v>
      </c>
      <c r="F87" t="s">
        <v>231</v>
      </c>
      <c r="G87" s="56">
        <v>44053.449259259258</v>
      </c>
      <c r="H87">
        <v>33</v>
      </c>
      <c r="I87">
        <v>14796</v>
      </c>
      <c r="J87" t="s">
        <v>50</v>
      </c>
      <c r="K87" t="s">
        <v>50</v>
      </c>
      <c r="L87" t="s">
        <v>159</v>
      </c>
      <c r="M87" t="s">
        <v>51</v>
      </c>
      <c r="N87" t="s">
        <v>92</v>
      </c>
      <c r="O87" s="1">
        <v>41335</v>
      </c>
      <c r="P87" t="s">
        <v>84</v>
      </c>
      <c r="Q87">
        <v>1</v>
      </c>
      <c r="R87" t="s">
        <v>83</v>
      </c>
      <c r="S87" t="s">
        <v>351</v>
      </c>
      <c r="T87" t="s">
        <v>351</v>
      </c>
      <c r="U87">
        <v>0</v>
      </c>
      <c r="V87">
        <v>6059.26</v>
      </c>
      <c r="W87">
        <v>0</v>
      </c>
    </row>
    <row r="88" spans="1:23" x14ac:dyDescent="0.25">
      <c r="A88" s="1">
        <v>44013</v>
      </c>
      <c r="B88" s="1">
        <v>44013</v>
      </c>
      <c r="C88" t="s">
        <v>157</v>
      </c>
      <c r="D88" t="s">
        <v>54</v>
      </c>
      <c r="E88" t="s">
        <v>21</v>
      </c>
      <c r="F88" t="s">
        <v>231</v>
      </c>
      <c r="G88" s="56">
        <v>44053.449259259258</v>
      </c>
      <c r="H88">
        <v>33</v>
      </c>
      <c r="I88">
        <v>14796</v>
      </c>
      <c r="J88" t="s">
        <v>50</v>
      </c>
      <c r="K88" t="s">
        <v>50</v>
      </c>
      <c r="L88" t="s">
        <v>159</v>
      </c>
      <c r="M88" t="s">
        <v>51</v>
      </c>
      <c r="N88" t="s">
        <v>92</v>
      </c>
      <c r="O88" s="1">
        <v>41335</v>
      </c>
      <c r="P88" t="s">
        <v>84</v>
      </c>
      <c r="Q88">
        <v>2</v>
      </c>
      <c r="R88" t="s">
        <v>94</v>
      </c>
      <c r="S88" t="s">
        <v>351</v>
      </c>
      <c r="T88" t="s">
        <v>351</v>
      </c>
      <c r="U88">
        <v>0</v>
      </c>
      <c r="V88">
        <v>6135.34</v>
      </c>
      <c r="W88">
        <v>0</v>
      </c>
    </row>
    <row r="89" spans="1:23" x14ac:dyDescent="0.25">
      <c r="A89" s="1">
        <v>44013</v>
      </c>
      <c r="B89" s="1">
        <v>44013</v>
      </c>
      <c r="C89" t="s">
        <v>157</v>
      </c>
      <c r="D89" t="s">
        <v>54</v>
      </c>
      <c r="E89" t="s">
        <v>21</v>
      </c>
      <c r="F89" t="s">
        <v>231</v>
      </c>
      <c r="G89" s="56">
        <v>44053.449259259258</v>
      </c>
      <c r="H89">
        <v>33</v>
      </c>
      <c r="I89">
        <v>14796</v>
      </c>
      <c r="J89" t="s">
        <v>50</v>
      </c>
      <c r="K89" t="s">
        <v>50</v>
      </c>
      <c r="L89" t="s">
        <v>159</v>
      </c>
      <c r="M89" t="s">
        <v>51</v>
      </c>
      <c r="N89" t="s">
        <v>92</v>
      </c>
      <c r="O89" s="1">
        <v>41335</v>
      </c>
      <c r="P89" t="s">
        <v>84</v>
      </c>
      <c r="Q89">
        <v>3</v>
      </c>
      <c r="R89" t="s">
        <v>81</v>
      </c>
      <c r="S89" t="s">
        <v>351</v>
      </c>
      <c r="T89" t="s">
        <v>351</v>
      </c>
      <c r="U89">
        <v>0</v>
      </c>
      <c r="V89">
        <v>5857.61</v>
      </c>
      <c r="W89">
        <v>0</v>
      </c>
    </row>
    <row r="90" spans="1:23" x14ac:dyDescent="0.25">
      <c r="A90" s="1">
        <v>44013</v>
      </c>
      <c r="B90" s="1">
        <v>44013</v>
      </c>
      <c r="C90" t="s">
        <v>157</v>
      </c>
      <c r="D90" t="s">
        <v>54</v>
      </c>
      <c r="E90" t="s">
        <v>21</v>
      </c>
      <c r="F90" t="s">
        <v>231</v>
      </c>
      <c r="G90" s="56">
        <v>44053.449259259258</v>
      </c>
      <c r="H90">
        <v>33</v>
      </c>
      <c r="I90">
        <v>14796</v>
      </c>
      <c r="J90" t="s">
        <v>50</v>
      </c>
      <c r="K90" t="s">
        <v>50</v>
      </c>
      <c r="L90" t="s">
        <v>159</v>
      </c>
      <c r="M90" t="s">
        <v>51</v>
      </c>
      <c r="N90" t="s">
        <v>92</v>
      </c>
      <c r="O90" s="1">
        <v>41335</v>
      </c>
      <c r="P90" t="s">
        <v>84</v>
      </c>
      <c r="Q90">
        <v>4</v>
      </c>
      <c r="R90" t="s">
        <v>27</v>
      </c>
      <c r="S90" t="s">
        <v>351</v>
      </c>
      <c r="T90" t="s">
        <v>351</v>
      </c>
      <c r="U90">
        <v>0</v>
      </c>
      <c r="V90">
        <v>5984.4</v>
      </c>
      <c r="W90">
        <v>0</v>
      </c>
    </row>
    <row r="91" spans="1:23" x14ac:dyDescent="0.25">
      <c r="A91" s="1">
        <v>44013</v>
      </c>
      <c r="B91" s="1">
        <v>44013</v>
      </c>
      <c r="C91" t="s">
        <v>157</v>
      </c>
      <c r="D91" t="s">
        <v>54</v>
      </c>
      <c r="E91" t="s">
        <v>21</v>
      </c>
      <c r="F91" t="s">
        <v>231</v>
      </c>
      <c r="G91" s="56">
        <v>44053.449259259258</v>
      </c>
      <c r="H91">
        <v>33</v>
      </c>
      <c r="I91">
        <v>14796</v>
      </c>
      <c r="J91" t="s">
        <v>50</v>
      </c>
      <c r="K91" t="s">
        <v>50</v>
      </c>
      <c r="L91" t="s">
        <v>159</v>
      </c>
      <c r="M91" t="s">
        <v>51</v>
      </c>
      <c r="N91" t="s">
        <v>92</v>
      </c>
      <c r="O91" s="1">
        <v>41335</v>
      </c>
      <c r="P91" t="s">
        <v>84</v>
      </c>
      <c r="Q91">
        <v>5</v>
      </c>
      <c r="R91" t="s">
        <v>28</v>
      </c>
      <c r="S91" t="s">
        <v>351</v>
      </c>
      <c r="T91" t="s">
        <v>351</v>
      </c>
      <c r="U91">
        <v>0</v>
      </c>
      <c r="V91">
        <v>5746.52</v>
      </c>
      <c r="W91">
        <v>0</v>
      </c>
    </row>
    <row r="92" spans="1:23" x14ac:dyDescent="0.25">
      <c r="A92" s="1">
        <v>44044</v>
      </c>
      <c r="B92" s="1">
        <v>44044</v>
      </c>
      <c r="C92" t="s">
        <v>157</v>
      </c>
      <c r="D92" t="s">
        <v>54</v>
      </c>
      <c r="E92" t="s">
        <v>21</v>
      </c>
      <c r="F92" t="s">
        <v>238</v>
      </c>
      <c r="G92" s="56">
        <v>44081.950659722221</v>
      </c>
      <c r="H92">
        <v>33</v>
      </c>
      <c r="I92">
        <v>15128</v>
      </c>
      <c r="J92" t="s">
        <v>50</v>
      </c>
      <c r="K92" t="s">
        <v>50</v>
      </c>
      <c r="L92" t="s">
        <v>159</v>
      </c>
      <c r="M92" t="s">
        <v>51</v>
      </c>
      <c r="N92" t="s">
        <v>92</v>
      </c>
      <c r="O92" s="1">
        <v>41335</v>
      </c>
      <c r="P92" t="s">
        <v>84</v>
      </c>
      <c r="Q92">
        <v>1</v>
      </c>
      <c r="R92" t="s">
        <v>83</v>
      </c>
      <c r="S92" t="s">
        <v>351</v>
      </c>
      <c r="T92" t="s">
        <v>351</v>
      </c>
      <c r="U92">
        <v>0</v>
      </c>
      <c r="V92">
        <v>6060.78</v>
      </c>
      <c r="W92">
        <v>0</v>
      </c>
    </row>
    <row r="93" spans="1:23" x14ac:dyDescent="0.25">
      <c r="A93" s="1">
        <v>44044</v>
      </c>
      <c r="B93" s="1">
        <v>44044</v>
      </c>
      <c r="C93" t="s">
        <v>157</v>
      </c>
      <c r="D93" t="s">
        <v>54</v>
      </c>
      <c r="E93" t="s">
        <v>21</v>
      </c>
      <c r="F93" t="s">
        <v>238</v>
      </c>
      <c r="G93" s="56">
        <v>44081.950659722221</v>
      </c>
      <c r="H93">
        <v>33</v>
      </c>
      <c r="I93">
        <v>15128</v>
      </c>
      <c r="J93" t="s">
        <v>50</v>
      </c>
      <c r="K93" t="s">
        <v>50</v>
      </c>
      <c r="L93" t="s">
        <v>159</v>
      </c>
      <c r="M93" t="s">
        <v>51</v>
      </c>
      <c r="N93" t="s">
        <v>92</v>
      </c>
      <c r="O93" s="1">
        <v>41335</v>
      </c>
      <c r="P93" t="s">
        <v>84</v>
      </c>
      <c r="Q93">
        <v>2</v>
      </c>
      <c r="R93" t="s">
        <v>94</v>
      </c>
      <c r="S93" t="s">
        <v>351</v>
      </c>
      <c r="T93" t="s">
        <v>351</v>
      </c>
      <c r="U93">
        <v>0</v>
      </c>
      <c r="V93">
        <v>6136.88</v>
      </c>
      <c r="W93">
        <v>0</v>
      </c>
    </row>
    <row r="94" spans="1:23" x14ac:dyDescent="0.25">
      <c r="A94" s="1">
        <v>44044</v>
      </c>
      <c r="B94" s="1">
        <v>44044</v>
      </c>
      <c r="C94" t="s">
        <v>157</v>
      </c>
      <c r="D94" t="s">
        <v>54</v>
      </c>
      <c r="E94" t="s">
        <v>21</v>
      </c>
      <c r="F94" t="s">
        <v>238</v>
      </c>
      <c r="G94" s="56">
        <v>44081.950659722221</v>
      </c>
      <c r="H94">
        <v>33</v>
      </c>
      <c r="I94">
        <v>15128</v>
      </c>
      <c r="J94" t="s">
        <v>50</v>
      </c>
      <c r="K94" t="s">
        <v>50</v>
      </c>
      <c r="L94" t="s">
        <v>159</v>
      </c>
      <c r="M94" t="s">
        <v>51</v>
      </c>
      <c r="N94" t="s">
        <v>92</v>
      </c>
      <c r="O94" s="1">
        <v>41335</v>
      </c>
      <c r="P94" t="s">
        <v>84</v>
      </c>
      <c r="Q94">
        <v>3</v>
      </c>
      <c r="R94" t="s">
        <v>81</v>
      </c>
      <c r="S94" t="s">
        <v>351</v>
      </c>
      <c r="T94" t="s">
        <v>351</v>
      </c>
      <c r="U94">
        <v>0</v>
      </c>
      <c r="V94">
        <v>5859.08</v>
      </c>
      <c r="W94">
        <v>0</v>
      </c>
    </row>
    <row r="95" spans="1:23" x14ac:dyDescent="0.25">
      <c r="A95" s="1">
        <v>44044</v>
      </c>
      <c r="B95" s="1">
        <v>44044</v>
      </c>
      <c r="C95" t="s">
        <v>157</v>
      </c>
      <c r="D95" t="s">
        <v>54</v>
      </c>
      <c r="E95" t="s">
        <v>21</v>
      </c>
      <c r="F95" t="s">
        <v>238</v>
      </c>
      <c r="G95" s="56">
        <v>44081.950659722221</v>
      </c>
      <c r="H95">
        <v>33</v>
      </c>
      <c r="I95">
        <v>15128</v>
      </c>
      <c r="J95" t="s">
        <v>50</v>
      </c>
      <c r="K95" t="s">
        <v>50</v>
      </c>
      <c r="L95" t="s">
        <v>159</v>
      </c>
      <c r="M95" t="s">
        <v>51</v>
      </c>
      <c r="N95" t="s">
        <v>92</v>
      </c>
      <c r="O95" s="1">
        <v>41335</v>
      </c>
      <c r="P95" t="s">
        <v>84</v>
      </c>
      <c r="Q95">
        <v>4</v>
      </c>
      <c r="R95" t="s">
        <v>27</v>
      </c>
      <c r="S95" t="s">
        <v>351</v>
      </c>
      <c r="T95" t="s">
        <v>351</v>
      </c>
      <c r="U95">
        <v>0</v>
      </c>
      <c r="V95">
        <v>5985.9</v>
      </c>
      <c r="W95">
        <v>0</v>
      </c>
    </row>
    <row r="96" spans="1:23" x14ac:dyDescent="0.25">
      <c r="A96" s="1">
        <v>44044</v>
      </c>
      <c r="B96" s="1">
        <v>44044</v>
      </c>
      <c r="C96" t="s">
        <v>157</v>
      </c>
      <c r="D96" t="s">
        <v>54</v>
      </c>
      <c r="E96" t="s">
        <v>21</v>
      </c>
      <c r="F96" t="s">
        <v>238</v>
      </c>
      <c r="G96" s="56">
        <v>44081.950659722221</v>
      </c>
      <c r="H96">
        <v>33</v>
      </c>
      <c r="I96">
        <v>15128</v>
      </c>
      <c r="J96" t="s">
        <v>50</v>
      </c>
      <c r="K96" t="s">
        <v>50</v>
      </c>
      <c r="L96" t="s">
        <v>159</v>
      </c>
      <c r="M96" t="s">
        <v>51</v>
      </c>
      <c r="N96" t="s">
        <v>92</v>
      </c>
      <c r="O96" s="1">
        <v>41335</v>
      </c>
      <c r="P96" t="s">
        <v>84</v>
      </c>
      <c r="Q96">
        <v>5</v>
      </c>
      <c r="R96" t="s">
        <v>28</v>
      </c>
      <c r="S96" t="s">
        <v>351</v>
      </c>
      <c r="T96" t="s">
        <v>351</v>
      </c>
      <c r="U96">
        <v>0</v>
      </c>
      <c r="V96">
        <v>5747.96</v>
      </c>
      <c r="W96">
        <v>0</v>
      </c>
    </row>
    <row r="97" spans="1:23" x14ac:dyDescent="0.25">
      <c r="A97" s="1">
        <v>44075</v>
      </c>
      <c r="B97" s="1">
        <v>44075</v>
      </c>
      <c r="C97" t="s">
        <v>157</v>
      </c>
      <c r="D97" t="s">
        <v>54</v>
      </c>
      <c r="E97" t="s">
        <v>21</v>
      </c>
      <c r="F97" t="s">
        <v>248</v>
      </c>
      <c r="G97" s="56">
        <v>44111.714999999997</v>
      </c>
      <c r="H97">
        <v>33</v>
      </c>
      <c r="I97">
        <v>15552</v>
      </c>
      <c r="J97" t="s">
        <v>50</v>
      </c>
      <c r="K97" t="s">
        <v>50</v>
      </c>
      <c r="L97" t="s">
        <v>159</v>
      </c>
      <c r="M97" t="s">
        <v>51</v>
      </c>
      <c r="N97" t="s">
        <v>92</v>
      </c>
      <c r="O97" s="1">
        <v>41335</v>
      </c>
      <c r="P97" t="s">
        <v>84</v>
      </c>
      <c r="Q97">
        <v>1</v>
      </c>
      <c r="R97" t="s">
        <v>83</v>
      </c>
      <c r="S97" t="s">
        <v>351</v>
      </c>
      <c r="T97" t="s">
        <v>351</v>
      </c>
      <c r="U97">
        <v>0</v>
      </c>
      <c r="V97">
        <v>6059.26</v>
      </c>
      <c r="W97">
        <v>0</v>
      </c>
    </row>
    <row r="98" spans="1:23" x14ac:dyDescent="0.25">
      <c r="A98" s="1">
        <v>44075</v>
      </c>
      <c r="B98" s="1">
        <v>44075</v>
      </c>
      <c r="C98" t="s">
        <v>157</v>
      </c>
      <c r="D98" t="s">
        <v>54</v>
      </c>
      <c r="E98" t="s">
        <v>21</v>
      </c>
      <c r="F98" t="s">
        <v>248</v>
      </c>
      <c r="G98" s="56">
        <v>44111.714999999997</v>
      </c>
      <c r="H98">
        <v>33</v>
      </c>
      <c r="I98">
        <v>15552</v>
      </c>
      <c r="J98" t="s">
        <v>50</v>
      </c>
      <c r="K98" t="s">
        <v>50</v>
      </c>
      <c r="L98" t="s">
        <v>159</v>
      </c>
      <c r="M98" t="s">
        <v>51</v>
      </c>
      <c r="N98" t="s">
        <v>92</v>
      </c>
      <c r="O98" s="1">
        <v>41335</v>
      </c>
      <c r="P98" t="s">
        <v>84</v>
      </c>
      <c r="Q98">
        <v>2</v>
      </c>
      <c r="R98" t="s">
        <v>94</v>
      </c>
      <c r="S98" t="s">
        <v>351</v>
      </c>
      <c r="T98" t="s">
        <v>351</v>
      </c>
      <c r="U98">
        <v>0</v>
      </c>
      <c r="V98">
        <v>6135.33</v>
      </c>
      <c r="W98">
        <v>0</v>
      </c>
    </row>
    <row r="99" spans="1:23" x14ac:dyDescent="0.25">
      <c r="A99" s="1">
        <v>44075</v>
      </c>
      <c r="B99" s="1">
        <v>44075</v>
      </c>
      <c r="C99" t="s">
        <v>157</v>
      </c>
      <c r="D99" t="s">
        <v>54</v>
      </c>
      <c r="E99" t="s">
        <v>21</v>
      </c>
      <c r="F99" t="s">
        <v>248</v>
      </c>
      <c r="G99" s="56">
        <v>44111.714999999997</v>
      </c>
      <c r="H99">
        <v>33</v>
      </c>
      <c r="I99">
        <v>15552</v>
      </c>
      <c r="J99" t="s">
        <v>50</v>
      </c>
      <c r="K99" t="s">
        <v>50</v>
      </c>
      <c r="L99" t="s">
        <v>159</v>
      </c>
      <c r="M99" t="s">
        <v>51</v>
      </c>
      <c r="N99" t="s">
        <v>92</v>
      </c>
      <c r="O99" s="1">
        <v>41335</v>
      </c>
      <c r="P99" t="s">
        <v>84</v>
      </c>
      <c r="Q99">
        <v>3</v>
      </c>
      <c r="R99" t="s">
        <v>81</v>
      </c>
      <c r="S99" t="s">
        <v>351</v>
      </c>
      <c r="T99" t="s">
        <v>351</v>
      </c>
      <c r="U99">
        <v>0</v>
      </c>
      <c r="V99">
        <v>5857.6</v>
      </c>
      <c r="W99">
        <v>0</v>
      </c>
    </row>
    <row r="100" spans="1:23" x14ac:dyDescent="0.25">
      <c r="A100" s="1">
        <v>44075</v>
      </c>
      <c r="B100" s="1">
        <v>44075</v>
      </c>
      <c r="C100" t="s">
        <v>157</v>
      </c>
      <c r="D100" t="s">
        <v>54</v>
      </c>
      <c r="E100" t="s">
        <v>21</v>
      </c>
      <c r="F100" t="s">
        <v>248</v>
      </c>
      <c r="G100" s="56">
        <v>44111.714999999997</v>
      </c>
      <c r="H100">
        <v>33</v>
      </c>
      <c r="I100">
        <v>15552</v>
      </c>
      <c r="J100" t="s">
        <v>50</v>
      </c>
      <c r="K100" t="s">
        <v>50</v>
      </c>
      <c r="L100" t="s">
        <v>159</v>
      </c>
      <c r="M100" t="s">
        <v>51</v>
      </c>
      <c r="N100" t="s">
        <v>92</v>
      </c>
      <c r="O100" s="1">
        <v>41335</v>
      </c>
      <c r="P100" t="s">
        <v>84</v>
      </c>
      <c r="Q100">
        <v>4</v>
      </c>
      <c r="R100" t="s">
        <v>27</v>
      </c>
      <c r="S100" t="s">
        <v>351</v>
      </c>
      <c r="T100" t="s">
        <v>351</v>
      </c>
      <c r="U100">
        <v>0</v>
      </c>
      <c r="V100">
        <v>5984.39</v>
      </c>
      <c r="W100">
        <v>0</v>
      </c>
    </row>
    <row r="101" spans="1:23" x14ac:dyDescent="0.25">
      <c r="A101" s="1">
        <v>44075</v>
      </c>
      <c r="B101" s="1">
        <v>44075</v>
      </c>
      <c r="C101" t="s">
        <v>157</v>
      </c>
      <c r="D101" t="s">
        <v>54</v>
      </c>
      <c r="E101" t="s">
        <v>21</v>
      </c>
      <c r="F101" t="s">
        <v>248</v>
      </c>
      <c r="G101" s="56">
        <v>44111.714999999997</v>
      </c>
      <c r="H101">
        <v>33</v>
      </c>
      <c r="I101">
        <v>15552</v>
      </c>
      <c r="J101" t="s">
        <v>50</v>
      </c>
      <c r="K101" t="s">
        <v>50</v>
      </c>
      <c r="L101" t="s">
        <v>159</v>
      </c>
      <c r="M101" t="s">
        <v>51</v>
      </c>
      <c r="N101" t="s">
        <v>92</v>
      </c>
      <c r="O101" s="1">
        <v>41335</v>
      </c>
      <c r="P101" t="s">
        <v>84</v>
      </c>
      <c r="Q101">
        <v>5</v>
      </c>
      <c r="R101" t="s">
        <v>28</v>
      </c>
      <c r="S101" t="s">
        <v>351</v>
      </c>
      <c r="T101" t="s">
        <v>351</v>
      </c>
      <c r="U101">
        <v>0</v>
      </c>
      <c r="V101">
        <v>5746.51</v>
      </c>
      <c r="W101">
        <v>0</v>
      </c>
    </row>
    <row r="102" spans="1:23" x14ac:dyDescent="0.25">
      <c r="A102" s="1">
        <v>44105</v>
      </c>
      <c r="B102" s="1">
        <v>44105</v>
      </c>
      <c r="C102" t="s">
        <v>157</v>
      </c>
      <c r="D102" t="s">
        <v>54</v>
      </c>
      <c r="E102" t="s">
        <v>21</v>
      </c>
      <c r="F102" t="s">
        <v>251</v>
      </c>
      <c r="G102" s="56">
        <v>44141.821956018517</v>
      </c>
      <c r="H102">
        <v>33</v>
      </c>
      <c r="I102">
        <v>15894</v>
      </c>
      <c r="J102" t="s">
        <v>50</v>
      </c>
      <c r="K102" t="s">
        <v>50</v>
      </c>
      <c r="L102" t="s">
        <v>159</v>
      </c>
      <c r="M102" t="s">
        <v>51</v>
      </c>
      <c r="N102" t="s">
        <v>92</v>
      </c>
      <c r="O102" s="1">
        <v>41335</v>
      </c>
      <c r="P102" t="s">
        <v>84</v>
      </c>
      <c r="Q102">
        <v>1</v>
      </c>
      <c r="R102" t="s">
        <v>83</v>
      </c>
      <c r="S102" t="s">
        <v>351</v>
      </c>
      <c r="T102" t="s">
        <v>351</v>
      </c>
      <c r="U102">
        <v>0</v>
      </c>
      <c r="V102">
        <v>6059.26</v>
      </c>
      <c r="W102">
        <v>0</v>
      </c>
    </row>
    <row r="103" spans="1:23" x14ac:dyDescent="0.25">
      <c r="A103" s="1">
        <v>44105</v>
      </c>
      <c r="B103" s="1">
        <v>44105</v>
      </c>
      <c r="C103" t="s">
        <v>157</v>
      </c>
      <c r="D103" t="s">
        <v>54</v>
      </c>
      <c r="E103" t="s">
        <v>21</v>
      </c>
      <c r="F103" t="s">
        <v>251</v>
      </c>
      <c r="G103" s="56">
        <v>44141.821956018517</v>
      </c>
      <c r="H103">
        <v>33</v>
      </c>
      <c r="I103">
        <v>15894</v>
      </c>
      <c r="J103" t="s">
        <v>50</v>
      </c>
      <c r="K103" t="s">
        <v>50</v>
      </c>
      <c r="L103" t="s">
        <v>159</v>
      </c>
      <c r="M103" t="s">
        <v>51</v>
      </c>
      <c r="N103" t="s">
        <v>92</v>
      </c>
      <c r="O103" s="1">
        <v>41335</v>
      </c>
      <c r="P103" t="s">
        <v>84</v>
      </c>
      <c r="Q103">
        <v>2</v>
      </c>
      <c r="R103" t="s">
        <v>94</v>
      </c>
      <c r="S103" t="s">
        <v>351</v>
      </c>
      <c r="T103" t="s">
        <v>351</v>
      </c>
      <c r="U103">
        <v>0</v>
      </c>
      <c r="V103">
        <v>6135.33</v>
      </c>
      <c r="W103">
        <v>0</v>
      </c>
    </row>
    <row r="104" spans="1:23" x14ac:dyDescent="0.25">
      <c r="A104" s="1">
        <v>44105</v>
      </c>
      <c r="B104" s="1">
        <v>44105</v>
      </c>
      <c r="C104" t="s">
        <v>157</v>
      </c>
      <c r="D104" t="s">
        <v>54</v>
      </c>
      <c r="E104" t="s">
        <v>21</v>
      </c>
      <c r="F104" t="s">
        <v>251</v>
      </c>
      <c r="G104" s="56">
        <v>44141.821956018517</v>
      </c>
      <c r="H104">
        <v>33</v>
      </c>
      <c r="I104">
        <v>15894</v>
      </c>
      <c r="J104" t="s">
        <v>50</v>
      </c>
      <c r="K104" t="s">
        <v>50</v>
      </c>
      <c r="L104" t="s">
        <v>159</v>
      </c>
      <c r="M104" t="s">
        <v>51</v>
      </c>
      <c r="N104" t="s">
        <v>92</v>
      </c>
      <c r="O104" s="1">
        <v>41335</v>
      </c>
      <c r="P104" t="s">
        <v>84</v>
      </c>
      <c r="Q104">
        <v>3</v>
      </c>
      <c r="R104" t="s">
        <v>81</v>
      </c>
      <c r="S104" t="s">
        <v>351</v>
      </c>
      <c r="T104" t="s">
        <v>351</v>
      </c>
      <c r="U104">
        <v>0</v>
      </c>
      <c r="V104">
        <v>5857.6</v>
      </c>
      <c r="W104">
        <v>0</v>
      </c>
    </row>
    <row r="105" spans="1:23" x14ac:dyDescent="0.25">
      <c r="A105" s="1">
        <v>44105</v>
      </c>
      <c r="B105" s="1">
        <v>44105</v>
      </c>
      <c r="C105" t="s">
        <v>157</v>
      </c>
      <c r="D105" t="s">
        <v>54</v>
      </c>
      <c r="E105" t="s">
        <v>21</v>
      </c>
      <c r="F105" t="s">
        <v>251</v>
      </c>
      <c r="G105" s="56">
        <v>44141.821956018517</v>
      </c>
      <c r="H105">
        <v>33</v>
      </c>
      <c r="I105">
        <v>15894</v>
      </c>
      <c r="J105" t="s">
        <v>50</v>
      </c>
      <c r="K105" t="s">
        <v>50</v>
      </c>
      <c r="L105" t="s">
        <v>159</v>
      </c>
      <c r="M105" t="s">
        <v>51</v>
      </c>
      <c r="N105" t="s">
        <v>92</v>
      </c>
      <c r="O105" s="1">
        <v>41335</v>
      </c>
      <c r="P105" t="s">
        <v>84</v>
      </c>
      <c r="Q105">
        <v>4</v>
      </c>
      <c r="R105" t="s">
        <v>27</v>
      </c>
      <c r="S105" t="s">
        <v>351</v>
      </c>
      <c r="T105" t="s">
        <v>351</v>
      </c>
      <c r="U105">
        <v>0</v>
      </c>
      <c r="V105">
        <v>5984.39</v>
      </c>
      <c r="W105">
        <v>0</v>
      </c>
    </row>
    <row r="106" spans="1:23" x14ac:dyDescent="0.25">
      <c r="A106" s="1">
        <v>44105</v>
      </c>
      <c r="B106" s="1">
        <v>44105</v>
      </c>
      <c r="C106" t="s">
        <v>157</v>
      </c>
      <c r="D106" t="s">
        <v>54</v>
      </c>
      <c r="E106" t="s">
        <v>21</v>
      </c>
      <c r="F106" t="s">
        <v>251</v>
      </c>
      <c r="G106" s="56">
        <v>44141.821956018517</v>
      </c>
      <c r="H106">
        <v>33</v>
      </c>
      <c r="I106">
        <v>15894</v>
      </c>
      <c r="J106" t="s">
        <v>50</v>
      </c>
      <c r="K106" t="s">
        <v>50</v>
      </c>
      <c r="L106" t="s">
        <v>159</v>
      </c>
      <c r="M106" t="s">
        <v>51</v>
      </c>
      <c r="N106" t="s">
        <v>92</v>
      </c>
      <c r="O106" s="1">
        <v>41335</v>
      </c>
      <c r="P106" t="s">
        <v>84</v>
      </c>
      <c r="Q106">
        <v>5</v>
      </c>
      <c r="R106" t="s">
        <v>28</v>
      </c>
      <c r="S106" t="s">
        <v>351</v>
      </c>
      <c r="T106" t="s">
        <v>351</v>
      </c>
      <c r="U106">
        <v>0</v>
      </c>
      <c r="V106">
        <v>5746.51</v>
      </c>
      <c r="W106">
        <v>0</v>
      </c>
    </row>
    <row r="107" spans="1:23" x14ac:dyDescent="0.25">
      <c r="A107" s="1">
        <v>44136</v>
      </c>
      <c r="B107" s="1">
        <v>44136</v>
      </c>
      <c r="C107" t="s">
        <v>157</v>
      </c>
      <c r="D107" t="s">
        <v>54</v>
      </c>
      <c r="E107" t="s">
        <v>21</v>
      </c>
      <c r="F107" t="s">
        <v>261</v>
      </c>
      <c r="G107" s="56">
        <v>44169.666030092594</v>
      </c>
      <c r="H107">
        <v>33</v>
      </c>
      <c r="I107">
        <v>16653</v>
      </c>
      <c r="J107" t="s">
        <v>50</v>
      </c>
      <c r="K107" t="s">
        <v>50</v>
      </c>
      <c r="L107" t="s">
        <v>159</v>
      </c>
      <c r="M107" t="s">
        <v>51</v>
      </c>
      <c r="N107" t="s">
        <v>92</v>
      </c>
      <c r="O107" s="1">
        <v>41335</v>
      </c>
      <c r="P107" t="s">
        <v>84</v>
      </c>
      <c r="Q107">
        <v>1</v>
      </c>
      <c r="R107" t="s">
        <v>83</v>
      </c>
      <c r="S107" t="s">
        <v>351</v>
      </c>
      <c r="T107" t="s">
        <v>351</v>
      </c>
      <c r="U107">
        <v>0</v>
      </c>
      <c r="V107">
        <v>6059.26</v>
      </c>
      <c r="W107">
        <v>0</v>
      </c>
    </row>
    <row r="108" spans="1:23" x14ac:dyDescent="0.25">
      <c r="A108" s="1">
        <v>44136</v>
      </c>
      <c r="B108" s="1">
        <v>44136</v>
      </c>
      <c r="C108" t="s">
        <v>157</v>
      </c>
      <c r="D108" t="s">
        <v>54</v>
      </c>
      <c r="E108" t="s">
        <v>21</v>
      </c>
      <c r="F108" t="s">
        <v>261</v>
      </c>
      <c r="G108" s="56">
        <v>44169.666030092594</v>
      </c>
      <c r="H108">
        <v>33</v>
      </c>
      <c r="I108">
        <v>16653</v>
      </c>
      <c r="J108" t="s">
        <v>50</v>
      </c>
      <c r="K108" t="s">
        <v>50</v>
      </c>
      <c r="L108" t="s">
        <v>159</v>
      </c>
      <c r="M108" t="s">
        <v>51</v>
      </c>
      <c r="N108" t="s">
        <v>92</v>
      </c>
      <c r="O108" s="1">
        <v>41335</v>
      </c>
      <c r="P108" t="s">
        <v>84</v>
      </c>
      <c r="Q108">
        <v>2</v>
      </c>
      <c r="R108" t="s">
        <v>94</v>
      </c>
      <c r="S108" t="s">
        <v>351</v>
      </c>
      <c r="T108" t="s">
        <v>351</v>
      </c>
      <c r="U108">
        <v>0</v>
      </c>
      <c r="V108">
        <v>6135.33</v>
      </c>
      <c r="W108">
        <v>0</v>
      </c>
    </row>
    <row r="109" spans="1:23" x14ac:dyDescent="0.25">
      <c r="A109" s="1">
        <v>44136</v>
      </c>
      <c r="B109" s="1">
        <v>44136</v>
      </c>
      <c r="C109" t="s">
        <v>157</v>
      </c>
      <c r="D109" t="s">
        <v>54</v>
      </c>
      <c r="E109" t="s">
        <v>21</v>
      </c>
      <c r="F109" t="s">
        <v>261</v>
      </c>
      <c r="G109" s="56">
        <v>44169.666030092594</v>
      </c>
      <c r="H109">
        <v>33</v>
      </c>
      <c r="I109">
        <v>16653</v>
      </c>
      <c r="J109" t="s">
        <v>50</v>
      </c>
      <c r="K109" t="s">
        <v>50</v>
      </c>
      <c r="L109" t="s">
        <v>159</v>
      </c>
      <c r="M109" t="s">
        <v>51</v>
      </c>
      <c r="N109" t="s">
        <v>92</v>
      </c>
      <c r="O109" s="1">
        <v>41335</v>
      </c>
      <c r="P109" t="s">
        <v>84</v>
      </c>
      <c r="Q109">
        <v>3</v>
      </c>
      <c r="R109" t="s">
        <v>81</v>
      </c>
      <c r="S109" t="s">
        <v>351</v>
      </c>
      <c r="T109" t="s">
        <v>351</v>
      </c>
      <c r="U109">
        <v>0</v>
      </c>
      <c r="V109">
        <v>5857.6</v>
      </c>
      <c r="W109">
        <v>0</v>
      </c>
    </row>
    <row r="110" spans="1:23" x14ac:dyDescent="0.25">
      <c r="A110" s="1">
        <v>44136</v>
      </c>
      <c r="B110" s="1">
        <v>44136</v>
      </c>
      <c r="C110" t="s">
        <v>157</v>
      </c>
      <c r="D110" t="s">
        <v>54</v>
      </c>
      <c r="E110" t="s">
        <v>21</v>
      </c>
      <c r="F110" t="s">
        <v>261</v>
      </c>
      <c r="G110" s="56">
        <v>44169.666030092594</v>
      </c>
      <c r="H110">
        <v>33</v>
      </c>
      <c r="I110">
        <v>16653</v>
      </c>
      <c r="J110" t="s">
        <v>50</v>
      </c>
      <c r="K110" t="s">
        <v>50</v>
      </c>
      <c r="L110" t="s">
        <v>159</v>
      </c>
      <c r="M110" t="s">
        <v>51</v>
      </c>
      <c r="N110" t="s">
        <v>92</v>
      </c>
      <c r="O110" s="1">
        <v>41335</v>
      </c>
      <c r="P110" t="s">
        <v>84</v>
      </c>
      <c r="Q110">
        <v>4</v>
      </c>
      <c r="R110" t="s">
        <v>27</v>
      </c>
      <c r="S110" t="s">
        <v>351</v>
      </c>
      <c r="T110" t="s">
        <v>351</v>
      </c>
      <c r="U110">
        <v>0</v>
      </c>
      <c r="V110">
        <v>5984.39</v>
      </c>
      <c r="W110">
        <v>0</v>
      </c>
    </row>
    <row r="111" spans="1:23" x14ac:dyDescent="0.25">
      <c r="A111" s="1">
        <v>44136</v>
      </c>
      <c r="B111" s="1">
        <v>44136</v>
      </c>
      <c r="C111" t="s">
        <v>157</v>
      </c>
      <c r="D111" t="s">
        <v>54</v>
      </c>
      <c r="E111" t="s">
        <v>21</v>
      </c>
      <c r="F111" t="s">
        <v>261</v>
      </c>
      <c r="G111" s="56">
        <v>44169.666030092594</v>
      </c>
      <c r="H111">
        <v>33</v>
      </c>
      <c r="I111">
        <v>16653</v>
      </c>
      <c r="J111" t="s">
        <v>50</v>
      </c>
      <c r="K111" t="s">
        <v>50</v>
      </c>
      <c r="L111" t="s">
        <v>159</v>
      </c>
      <c r="M111" t="s">
        <v>51</v>
      </c>
      <c r="N111" t="s">
        <v>92</v>
      </c>
      <c r="O111" s="1">
        <v>41335</v>
      </c>
      <c r="P111" t="s">
        <v>84</v>
      </c>
      <c r="Q111">
        <v>5</v>
      </c>
      <c r="R111" t="s">
        <v>28</v>
      </c>
      <c r="S111" t="s">
        <v>351</v>
      </c>
      <c r="T111" t="s">
        <v>351</v>
      </c>
      <c r="U111">
        <v>0</v>
      </c>
      <c r="V111">
        <v>5746.51</v>
      </c>
      <c r="W111">
        <v>0</v>
      </c>
    </row>
    <row r="112" spans="1:23" x14ac:dyDescent="0.25">
      <c r="A112" s="1">
        <v>44166</v>
      </c>
      <c r="B112" s="1">
        <v>44166</v>
      </c>
      <c r="C112" t="s">
        <v>157</v>
      </c>
      <c r="D112" t="s">
        <v>54</v>
      </c>
      <c r="E112" t="s">
        <v>21</v>
      </c>
      <c r="F112" t="s">
        <v>265</v>
      </c>
      <c r="G112" s="56">
        <v>44203.692604166667</v>
      </c>
      <c r="H112">
        <v>33</v>
      </c>
      <c r="I112">
        <v>16938</v>
      </c>
      <c r="J112" t="s">
        <v>50</v>
      </c>
      <c r="K112" t="s">
        <v>50</v>
      </c>
      <c r="L112" t="s">
        <v>159</v>
      </c>
      <c r="M112" t="s">
        <v>51</v>
      </c>
      <c r="N112" t="s">
        <v>92</v>
      </c>
      <c r="O112" s="1">
        <v>41335</v>
      </c>
      <c r="P112" t="s">
        <v>84</v>
      </c>
      <c r="Q112">
        <v>1</v>
      </c>
      <c r="R112" t="s">
        <v>83</v>
      </c>
      <c r="S112" t="s">
        <v>351</v>
      </c>
      <c r="T112" t="s">
        <v>351</v>
      </c>
      <c r="U112">
        <v>0</v>
      </c>
      <c r="V112">
        <v>6059.26</v>
      </c>
      <c r="W112">
        <v>0</v>
      </c>
    </row>
    <row r="113" spans="1:23" x14ac:dyDescent="0.25">
      <c r="A113" s="1">
        <v>44166</v>
      </c>
      <c r="B113" s="1">
        <v>44166</v>
      </c>
      <c r="C113" t="s">
        <v>157</v>
      </c>
      <c r="D113" t="s">
        <v>54</v>
      </c>
      <c r="E113" t="s">
        <v>21</v>
      </c>
      <c r="F113" t="s">
        <v>265</v>
      </c>
      <c r="G113" s="56">
        <v>44203.692604166667</v>
      </c>
      <c r="H113">
        <v>33</v>
      </c>
      <c r="I113">
        <v>16938</v>
      </c>
      <c r="J113" t="s">
        <v>50</v>
      </c>
      <c r="K113" t="s">
        <v>50</v>
      </c>
      <c r="L113" t="s">
        <v>159</v>
      </c>
      <c r="M113" t="s">
        <v>51</v>
      </c>
      <c r="N113" t="s">
        <v>92</v>
      </c>
      <c r="O113" s="1">
        <v>41335</v>
      </c>
      <c r="P113" t="s">
        <v>84</v>
      </c>
      <c r="Q113">
        <v>2</v>
      </c>
      <c r="R113" t="s">
        <v>94</v>
      </c>
      <c r="S113" t="s">
        <v>351</v>
      </c>
      <c r="T113" t="s">
        <v>351</v>
      </c>
      <c r="U113">
        <v>0</v>
      </c>
      <c r="V113">
        <v>6135.33</v>
      </c>
      <c r="W113">
        <v>0</v>
      </c>
    </row>
    <row r="114" spans="1:23" x14ac:dyDescent="0.25">
      <c r="A114" s="1">
        <v>44166</v>
      </c>
      <c r="B114" s="1">
        <v>44166</v>
      </c>
      <c r="C114" t="s">
        <v>157</v>
      </c>
      <c r="D114" t="s">
        <v>54</v>
      </c>
      <c r="E114" t="s">
        <v>21</v>
      </c>
      <c r="F114" t="s">
        <v>265</v>
      </c>
      <c r="G114" s="56">
        <v>44203.692604166667</v>
      </c>
      <c r="H114">
        <v>33</v>
      </c>
      <c r="I114">
        <v>16938</v>
      </c>
      <c r="J114" t="s">
        <v>50</v>
      </c>
      <c r="K114" t="s">
        <v>50</v>
      </c>
      <c r="L114" t="s">
        <v>159</v>
      </c>
      <c r="M114" t="s">
        <v>51</v>
      </c>
      <c r="N114" t="s">
        <v>92</v>
      </c>
      <c r="O114" s="1">
        <v>41335</v>
      </c>
      <c r="P114" t="s">
        <v>84</v>
      </c>
      <c r="Q114">
        <v>3</v>
      </c>
      <c r="R114" t="s">
        <v>81</v>
      </c>
      <c r="S114" t="s">
        <v>351</v>
      </c>
      <c r="T114" t="s">
        <v>351</v>
      </c>
      <c r="U114">
        <v>0</v>
      </c>
      <c r="V114">
        <v>5857.6</v>
      </c>
      <c r="W114">
        <v>0</v>
      </c>
    </row>
    <row r="115" spans="1:23" x14ac:dyDescent="0.25">
      <c r="A115" s="1">
        <v>44166</v>
      </c>
      <c r="B115" s="1">
        <v>44166</v>
      </c>
      <c r="C115" t="s">
        <v>157</v>
      </c>
      <c r="D115" t="s">
        <v>54</v>
      </c>
      <c r="E115" t="s">
        <v>21</v>
      </c>
      <c r="F115" t="s">
        <v>265</v>
      </c>
      <c r="G115" s="56">
        <v>44203.692604166667</v>
      </c>
      <c r="H115">
        <v>33</v>
      </c>
      <c r="I115">
        <v>16938</v>
      </c>
      <c r="J115" t="s">
        <v>50</v>
      </c>
      <c r="K115" t="s">
        <v>50</v>
      </c>
      <c r="L115" t="s">
        <v>159</v>
      </c>
      <c r="M115" t="s">
        <v>51</v>
      </c>
      <c r="N115" t="s">
        <v>92</v>
      </c>
      <c r="O115" s="1">
        <v>41335</v>
      </c>
      <c r="P115" t="s">
        <v>84</v>
      </c>
      <c r="Q115">
        <v>4</v>
      </c>
      <c r="R115" t="s">
        <v>27</v>
      </c>
      <c r="S115" t="s">
        <v>351</v>
      </c>
      <c r="T115" t="s">
        <v>351</v>
      </c>
      <c r="U115">
        <v>0</v>
      </c>
      <c r="V115">
        <v>5984.39</v>
      </c>
      <c r="W115">
        <v>0</v>
      </c>
    </row>
    <row r="116" spans="1:23" x14ac:dyDescent="0.25">
      <c r="A116" s="1">
        <v>44166</v>
      </c>
      <c r="B116" s="1">
        <v>44166</v>
      </c>
      <c r="C116" t="s">
        <v>157</v>
      </c>
      <c r="D116" t="s">
        <v>54</v>
      </c>
      <c r="E116" t="s">
        <v>21</v>
      </c>
      <c r="F116" t="s">
        <v>265</v>
      </c>
      <c r="G116" s="56">
        <v>44203.692604166667</v>
      </c>
      <c r="H116">
        <v>33</v>
      </c>
      <c r="I116">
        <v>16938</v>
      </c>
      <c r="J116" t="s">
        <v>50</v>
      </c>
      <c r="K116" t="s">
        <v>50</v>
      </c>
      <c r="L116" t="s">
        <v>159</v>
      </c>
      <c r="M116" t="s">
        <v>51</v>
      </c>
      <c r="N116" t="s">
        <v>92</v>
      </c>
      <c r="O116" s="1">
        <v>41335</v>
      </c>
      <c r="P116" t="s">
        <v>84</v>
      </c>
      <c r="Q116">
        <v>5</v>
      </c>
      <c r="R116" t="s">
        <v>28</v>
      </c>
      <c r="S116" t="s">
        <v>351</v>
      </c>
      <c r="T116" t="s">
        <v>351</v>
      </c>
      <c r="U116">
        <v>0</v>
      </c>
      <c r="V116">
        <v>5746.51</v>
      </c>
      <c r="W116">
        <v>0</v>
      </c>
    </row>
    <row r="117" spans="1:23" x14ac:dyDescent="0.25">
      <c r="A117" s="1">
        <v>44197</v>
      </c>
      <c r="B117" s="1">
        <v>44197</v>
      </c>
      <c r="C117" t="s">
        <v>157</v>
      </c>
      <c r="D117" t="s">
        <v>54</v>
      </c>
      <c r="E117" t="s">
        <v>21</v>
      </c>
      <c r="F117" t="s">
        <v>274</v>
      </c>
      <c r="G117" s="56">
        <v>44235.838287037041</v>
      </c>
      <c r="H117">
        <v>33</v>
      </c>
      <c r="I117">
        <v>17339</v>
      </c>
      <c r="J117" t="s">
        <v>50</v>
      </c>
      <c r="K117" t="s">
        <v>50</v>
      </c>
      <c r="L117" t="s">
        <v>159</v>
      </c>
      <c r="M117" t="s">
        <v>51</v>
      </c>
      <c r="N117" t="s">
        <v>92</v>
      </c>
      <c r="O117" s="1">
        <v>41335</v>
      </c>
      <c r="P117" t="s">
        <v>84</v>
      </c>
      <c r="Q117">
        <v>1</v>
      </c>
      <c r="R117" t="s">
        <v>83</v>
      </c>
      <c r="S117" t="s">
        <v>351</v>
      </c>
      <c r="T117" t="s">
        <v>351</v>
      </c>
      <c r="U117">
        <v>0</v>
      </c>
      <c r="V117">
        <v>5914.42</v>
      </c>
      <c r="W117">
        <v>0</v>
      </c>
    </row>
    <row r="118" spans="1:23" x14ac:dyDescent="0.25">
      <c r="A118" s="1">
        <v>44197</v>
      </c>
      <c r="B118" s="1">
        <v>44197</v>
      </c>
      <c r="C118" t="s">
        <v>157</v>
      </c>
      <c r="D118" t="s">
        <v>54</v>
      </c>
      <c r="E118" t="s">
        <v>21</v>
      </c>
      <c r="F118" t="s">
        <v>274</v>
      </c>
      <c r="G118" s="56">
        <v>44235.838287037041</v>
      </c>
      <c r="H118">
        <v>33</v>
      </c>
      <c r="I118">
        <v>17339</v>
      </c>
      <c r="J118" t="s">
        <v>50</v>
      </c>
      <c r="K118" t="s">
        <v>50</v>
      </c>
      <c r="L118" t="s">
        <v>159</v>
      </c>
      <c r="M118" t="s">
        <v>51</v>
      </c>
      <c r="N118" t="s">
        <v>92</v>
      </c>
      <c r="O118" s="1">
        <v>41335</v>
      </c>
      <c r="P118" t="s">
        <v>84</v>
      </c>
      <c r="Q118">
        <v>2</v>
      </c>
      <c r="R118" t="s">
        <v>94</v>
      </c>
      <c r="S118" t="s">
        <v>351</v>
      </c>
      <c r="T118" t="s">
        <v>351</v>
      </c>
      <c r="U118">
        <v>0</v>
      </c>
      <c r="V118">
        <v>6007.37</v>
      </c>
      <c r="W118">
        <v>0</v>
      </c>
    </row>
    <row r="119" spans="1:23" x14ac:dyDescent="0.25">
      <c r="A119" s="1">
        <v>44197</v>
      </c>
      <c r="B119" s="1">
        <v>44197</v>
      </c>
      <c r="C119" t="s">
        <v>157</v>
      </c>
      <c r="D119" t="s">
        <v>54</v>
      </c>
      <c r="E119" t="s">
        <v>21</v>
      </c>
      <c r="F119" t="s">
        <v>274</v>
      </c>
      <c r="G119" s="56">
        <v>44235.838287037041</v>
      </c>
      <c r="H119">
        <v>33</v>
      </c>
      <c r="I119">
        <v>17339</v>
      </c>
      <c r="J119" t="s">
        <v>50</v>
      </c>
      <c r="K119" t="s">
        <v>50</v>
      </c>
      <c r="L119" t="s">
        <v>159</v>
      </c>
      <c r="M119" t="s">
        <v>51</v>
      </c>
      <c r="N119" t="s">
        <v>92</v>
      </c>
      <c r="O119" s="1">
        <v>41335</v>
      </c>
      <c r="P119" t="s">
        <v>84</v>
      </c>
      <c r="Q119">
        <v>3</v>
      </c>
      <c r="R119" t="s">
        <v>81</v>
      </c>
      <c r="S119" t="s">
        <v>351</v>
      </c>
      <c r="T119" t="s">
        <v>351</v>
      </c>
      <c r="U119">
        <v>0</v>
      </c>
      <c r="V119">
        <v>5302.48</v>
      </c>
      <c r="W119">
        <v>0</v>
      </c>
    </row>
    <row r="120" spans="1:23" x14ac:dyDescent="0.25">
      <c r="A120" s="1">
        <v>44197</v>
      </c>
      <c r="B120" s="1">
        <v>44197</v>
      </c>
      <c r="C120" t="s">
        <v>157</v>
      </c>
      <c r="D120" t="s">
        <v>54</v>
      </c>
      <c r="E120" t="s">
        <v>21</v>
      </c>
      <c r="F120" t="s">
        <v>274</v>
      </c>
      <c r="G120" s="56">
        <v>44235.838287037041</v>
      </c>
      <c r="H120">
        <v>33</v>
      </c>
      <c r="I120">
        <v>17339</v>
      </c>
      <c r="J120" t="s">
        <v>50</v>
      </c>
      <c r="K120" t="s">
        <v>50</v>
      </c>
      <c r="L120" t="s">
        <v>159</v>
      </c>
      <c r="M120" t="s">
        <v>51</v>
      </c>
      <c r="N120" t="s">
        <v>92</v>
      </c>
      <c r="O120" s="1">
        <v>41335</v>
      </c>
      <c r="P120" t="s">
        <v>84</v>
      </c>
      <c r="Q120">
        <v>4</v>
      </c>
      <c r="R120" t="s">
        <v>27</v>
      </c>
      <c r="S120" t="s">
        <v>351</v>
      </c>
      <c r="T120" t="s">
        <v>351</v>
      </c>
      <c r="U120">
        <v>0</v>
      </c>
      <c r="V120">
        <v>5512.82</v>
      </c>
      <c r="W120">
        <v>0</v>
      </c>
    </row>
    <row r="121" spans="1:23" x14ac:dyDescent="0.25">
      <c r="A121" s="1">
        <v>44197</v>
      </c>
      <c r="B121" s="1">
        <v>44197</v>
      </c>
      <c r="C121" t="s">
        <v>157</v>
      </c>
      <c r="D121" t="s">
        <v>54</v>
      </c>
      <c r="E121" t="s">
        <v>21</v>
      </c>
      <c r="F121" t="s">
        <v>274</v>
      </c>
      <c r="G121" s="56">
        <v>44235.838287037041</v>
      </c>
      <c r="H121">
        <v>33</v>
      </c>
      <c r="I121">
        <v>17339</v>
      </c>
      <c r="J121" t="s">
        <v>50</v>
      </c>
      <c r="K121" t="s">
        <v>50</v>
      </c>
      <c r="L121" t="s">
        <v>159</v>
      </c>
      <c r="M121" t="s">
        <v>51</v>
      </c>
      <c r="N121" t="s">
        <v>92</v>
      </c>
      <c r="O121" s="1">
        <v>41335</v>
      </c>
      <c r="P121" t="s">
        <v>84</v>
      </c>
      <c r="Q121">
        <v>5</v>
      </c>
      <c r="R121" t="s">
        <v>28</v>
      </c>
      <c r="S121" t="s">
        <v>351</v>
      </c>
      <c r="T121" t="s">
        <v>351</v>
      </c>
      <c r="U121">
        <v>0</v>
      </c>
      <c r="V121">
        <v>5963.28</v>
      </c>
      <c r="W121">
        <v>0</v>
      </c>
    </row>
    <row r="122" spans="1:23" x14ac:dyDescent="0.25">
      <c r="A122" s="1">
        <v>44228</v>
      </c>
      <c r="B122" s="1">
        <v>44228</v>
      </c>
      <c r="C122" t="s">
        <v>157</v>
      </c>
      <c r="D122" t="s">
        <v>54</v>
      </c>
      <c r="E122" t="s">
        <v>21</v>
      </c>
      <c r="F122" t="s">
        <v>275</v>
      </c>
      <c r="G122" s="56">
        <v>44259.815057870372</v>
      </c>
      <c r="H122">
        <v>33</v>
      </c>
      <c r="I122">
        <v>17645</v>
      </c>
      <c r="J122" t="s">
        <v>50</v>
      </c>
      <c r="K122" t="s">
        <v>50</v>
      </c>
      <c r="L122" t="s">
        <v>159</v>
      </c>
      <c r="M122" t="s">
        <v>51</v>
      </c>
      <c r="N122" t="s">
        <v>92</v>
      </c>
      <c r="O122" s="1">
        <v>41335</v>
      </c>
      <c r="P122" t="s">
        <v>84</v>
      </c>
      <c r="Q122">
        <v>1</v>
      </c>
      <c r="R122" t="s">
        <v>83</v>
      </c>
      <c r="S122" t="s">
        <v>351</v>
      </c>
      <c r="T122" t="s">
        <v>351</v>
      </c>
      <c r="U122">
        <v>0</v>
      </c>
      <c r="V122">
        <v>5914.42</v>
      </c>
      <c r="W122">
        <v>0</v>
      </c>
    </row>
    <row r="123" spans="1:23" x14ac:dyDescent="0.25">
      <c r="A123" s="1">
        <v>44228</v>
      </c>
      <c r="B123" s="1">
        <v>44228</v>
      </c>
      <c r="C123" t="s">
        <v>157</v>
      </c>
      <c r="D123" t="s">
        <v>54</v>
      </c>
      <c r="E123" t="s">
        <v>21</v>
      </c>
      <c r="F123" t="s">
        <v>275</v>
      </c>
      <c r="G123" s="56">
        <v>44259.815057870372</v>
      </c>
      <c r="H123">
        <v>33</v>
      </c>
      <c r="I123">
        <v>17645</v>
      </c>
      <c r="J123" t="s">
        <v>50</v>
      </c>
      <c r="K123" t="s">
        <v>50</v>
      </c>
      <c r="L123" t="s">
        <v>159</v>
      </c>
      <c r="M123" t="s">
        <v>51</v>
      </c>
      <c r="N123" t="s">
        <v>92</v>
      </c>
      <c r="O123" s="1">
        <v>41335</v>
      </c>
      <c r="P123" t="s">
        <v>84</v>
      </c>
      <c r="Q123">
        <v>2</v>
      </c>
      <c r="R123" t="s">
        <v>94</v>
      </c>
      <c r="S123" t="s">
        <v>351</v>
      </c>
      <c r="T123" t="s">
        <v>351</v>
      </c>
      <c r="U123">
        <v>0</v>
      </c>
      <c r="V123">
        <v>6007.37</v>
      </c>
      <c r="W123">
        <v>0</v>
      </c>
    </row>
    <row r="124" spans="1:23" x14ac:dyDescent="0.25">
      <c r="A124" s="1">
        <v>44228</v>
      </c>
      <c r="B124" s="1">
        <v>44228</v>
      </c>
      <c r="C124" t="s">
        <v>157</v>
      </c>
      <c r="D124" t="s">
        <v>54</v>
      </c>
      <c r="E124" t="s">
        <v>21</v>
      </c>
      <c r="F124" t="s">
        <v>275</v>
      </c>
      <c r="G124" s="56">
        <v>44259.815057870372</v>
      </c>
      <c r="H124">
        <v>33</v>
      </c>
      <c r="I124">
        <v>17645</v>
      </c>
      <c r="J124" t="s">
        <v>50</v>
      </c>
      <c r="K124" t="s">
        <v>50</v>
      </c>
      <c r="L124" t="s">
        <v>159</v>
      </c>
      <c r="M124" t="s">
        <v>51</v>
      </c>
      <c r="N124" t="s">
        <v>92</v>
      </c>
      <c r="O124" s="1">
        <v>41335</v>
      </c>
      <c r="P124" t="s">
        <v>84</v>
      </c>
      <c r="Q124">
        <v>3</v>
      </c>
      <c r="R124" t="s">
        <v>81</v>
      </c>
      <c r="S124" t="s">
        <v>351</v>
      </c>
      <c r="T124" t="s">
        <v>351</v>
      </c>
      <c r="U124">
        <v>0</v>
      </c>
      <c r="V124">
        <v>5302.48</v>
      </c>
      <c r="W124">
        <v>0</v>
      </c>
    </row>
    <row r="125" spans="1:23" x14ac:dyDescent="0.25">
      <c r="A125" s="1">
        <v>44228</v>
      </c>
      <c r="B125" s="1">
        <v>44228</v>
      </c>
      <c r="C125" t="s">
        <v>157</v>
      </c>
      <c r="D125" t="s">
        <v>54</v>
      </c>
      <c r="E125" t="s">
        <v>21</v>
      </c>
      <c r="F125" t="s">
        <v>275</v>
      </c>
      <c r="G125" s="56">
        <v>44259.815057870372</v>
      </c>
      <c r="H125">
        <v>33</v>
      </c>
      <c r="I125">
        <v>17645</v>
      </c>
      <c r="J125" t="s">
        <v>50</v>
      </c>
      <c r="K125" t="s">
        <v>50</v>
      </c>
      <c r="L125" t="s">
        <v>159</v>
      </c>
      <c r="M125" t="s">
        <v>51</v>
      </c>
      <c r="N125" t="s">
        <v>92</v>
      </c>
      <c r="O125" s="1">
        <v>41335</v>
      </c>
      <c r="P125" t="s">
        <v>84</v>
      </c>
      <c r="Q125">
        <v>4</v>
      </c>
      <c r="R125" t="s">
        <v>27</v>
      </c>
      <c r="S125" t="s">
        <v>351</v>
      </c>
      <c r="T125" t="s">
        <v>351</v>
      </c>
      <c r="U125">
        <v>0</v>
      </c>
      <c r="V125">
        <v>5512.82</v>
      </c>
      <c r="W125">
        <v>0</v>
      </c>
    </row>
    <row r="126" spans="1:23" x14ac:dyDescent="0.25">
      <c r="A126" s="1">
        <v>44228</v>
      </c>
      <c r="B126" s="1">
        <v>44228</v>
      </c>
      <c r="C126" t="s">
        <v>157</v>
      </c>
      <c r="D126" t="s">
        <v>54</v>
      </c>
      <c r="E126" t="s">
        <v>21</v>
      </c>
      <c r="F126" t="s">
        <v>275</v>
      </c>
      <c r="G126" s="56">
        <v>44259.815057870372</v>
      </c>
      <c r="H126">
        <v>33</v>
      </c>
      <c r="I126">
        <v>17645</v>
      </c>
      <c r="J126" t="s">
        <v>50</v>
      </c>
      <c r="K126" t="s">
        <v>50</v>
      </c>
      <c r="L126" t="s">
        <v>159</v>
      </c>
      <c r="M126" t="s">
        <v>51</v>
      </c>
      <c r="N126" t="s">
        <v>92</v>
      </c>
      <c r="O126" s="1">
        <v>41335</v>
      </c>
      <c r="P126" t="s">
        <v>84</v>
      </c>
      <c r="Q126">
        <v>5</v>
      </c>
      <c r="R126" t="s">
        <v>28</v>
      </c>
      <c r="S126" t="s">
        <v>351</v>
      </c>
      <c r="T126" t="s">
        <v>351</v>
      </c>
      <c r="U126">
        <v>0</v>
      </c>
      <c r="V126">
        <v>5963.28</v>
      </c>
      <c r="W126">
        <v>0</v>
      </c>
    </row>
    <row r="127" spans="1:23" x14ac:dyDescent="0.25">
      <c r="A127" s="1">
        <v>44256</v>
      </c>
      <c r="B127" s="1">
        <v>44256</v>
      </c>
      <c r="C127" t="s">
        <v>157</v>
      </c>
      <c r="D127" t="s">
        <v>54</v>
      </c>
      <c r="E127" t="s">
        <v>21</v>
      </c>
      <c r="F127" t="s">
        <v>280</v>
      </c>
      <c r="G127" s="56">
        <v>44294.484247685185</v>
      </c>
      <c r="H127">
        <v>33</v>
      </c>
      <c r="I127">
        <v>18264</v>
      </c>
      <c r="J127" t="s">
        <v>50</v>
      </c>
      <c r="K127" t="s">
        <v>50</v>
      </c>
      <c r="L127" t="s">
        <v>159</v>
      </c>
      <c r="M127" t="s">
        <v>51</v>
      </c>
      <c r="N127" t="s">
        <v>92</v>
      </c>
      <c r="O127" s="1">
        <v>41335</v>
      </c>
      <c r="P127" t="s">
        <v>84</v>
      </c>
      <c r="Q127">
        <v>1</v>
      </c>
      <c r="R127" t="s">
        <v>83</v>
      </c>
      <c r="S127" t="s">
        <v>351</v>
      </c>
      <c r="T127" t="s">
        <v>351</v>
      </c>
      <c r="U127">
        <v>0</v>
      </c>
      <c r="V127">
        <v>5914.4219999999996</v>
      </c>
      <c r="W127">
        <v>0</v>
      </c>
    </row>
    <row r="128" spans="1:23" x14ac:dyDescent="0.25">
      <c r="A128" s="1">
        <v>44256</v>
      </c>
      <c r="B128" s="1">
        <v>44256</v>
      </c>
      <c r="C128" t="s">
        <v>157</v>
      </c>
      <c r="D128" t="s">
        <v>54</v>
      </c>
      <c r="E128" t="s">
        <v>21</v>
      </c>
      <c r="F128" t="s">
        <v>280</v>
      </c>
      <c r="G128" s="56">
        <v>44294.484247685185</v>
      </c>
      <c r="H128">
        <v>33</v>
      </c>
      <c r="I128">
        <v>18264</v>
      </c>
      <c r="J128" t="s">
        <v>50</v>
      </c>
      <c r="K128" t="s">
        <v>50</v>
      </c>
      <c r="L128" t="s">
        <v>159</v>
      </c>
      <c r="M128" t="s">
        <v>51</v>
      </c>
      <c r="N128" t="s">
        <v>92</v>
      </c>
      <c r="O128" s="1">
        <v>41335</v>
      </c>
      <c r="P128" t="s">
        <v>84</v>
      </c>
      <c r="Q128">
        <v>2</v>
      </c>
      <c r="R128" t="s">
        <v>94</v>
      </c>
      <c r="S128" t="s">
        <v>351</v>
      </c>
      <c r="T128" t="s">
        <v>351</v>
      </c>
      <c r="U128">
        <v>0</v>
      </c>
      <c r="V128">
        <v>6007.3739999999998</v>
      </c>
      <c r="W128">
        <v>0</v>
      </c>
    </row>
    <row r="129" spans="1:23" x14ac:dyDescent="0.25">
      <c r="A129" s="1">
        <v>44256</v>
      </c>
      <c r="B129" s="1">
        <v>44256</v>
      </c>
      <c r="C129" t="s">
        <v>157</v>
      </c>
      <c r="D129" t="s">
        <v>54</v>
      </c>
      <c r="E129" t="s">
        <v>21</v>
      </c>
      <c r="F129" t="s">
        <v>280</v>
      </c>
      <c r="G129" s="56">
        <v>44294.484247685185</v>
      </c>
      <c r="H129">
        <v>33</v>
      </c>
      <c r="I129">
        <v>18264</v>
      </c>
      <c r="J129" t="s">
        <v>50</v>
      </c>
      <c r="K129" t="s">
        <v>50</v>
      </c>
      <c r="L129" t="s">
        <v>159</v>
      </c>
      <c r="M129" t="s">
        <v>51</v>
      </c>
      <c r="N129" t="s">
        <v>92</v>
      </c>
      <c r="O129" s="1">
        <v>41335</v>
      </c>
      <c r="P129" t="s">
        <v>84</v>
      </c>
      <c r="Q129">
        <v>3</v>
      </c>
      <c r="R129" t="s">
        <v>81</v>
      </c>
      <c r="S129" t="s">
        <v>351</v>
      </c>
      <c r="T129" t="s">
        <v>351</v>
      </c>
      <c r="U129">
        <v>0</v>
      </c>
      <c r="V129">
        <v>5302.482</v>
      </c>
      <c r="W129">
        <v>0</v>
      </c>
    </row>
    <row r="130" spans="1:23" x14ac:dyDescent="0.25">
      <c r="A130" s="1">
        <v>44256</v>
      </c>
      <c r="B130" s="1">
        <v>44256</v>
      </c>
      <c r="C130" t="s">
        <v>157</v>
      </c>
      <c r="D130" t="s">
        <v>54</v>
      </c>
      <c r="E130" t="s">
        <v>21</v>
      </c>
      <c r="F130" t="s">
        <v>280</v>
      </c>
      <c r="G130" s="56">
        <v>44294.484247685185</v>
      </c>
      <c r="H130">
        <v>33</v>
      </c>
      <c r="I130">
        <v>18264</v>
      </c>
      <c r="J130" t="s">
        <v>50</v>
      </c>
      <c r="K130" t="s">
        <v>50</v>
      </c>
      <c r="L130" t="s">
        <v>159</v>
      </c>
      <c r="M130" t="s">
        <v>51</v>
      </c>
      <c r="N130" t="s">
        <v>92</v>
      </c>
      <c r="O130" s="1">
        <v>41335</v>
      </c>
      <c r="P130" t="s">
        <v>84</v>
      </c>
      <c r="Q130">
        <v>4</v>
      </c>
      <c r="R130" t="s">
        <v>27</v>
      </c>
      <c r="S130" t="s">
        <v>351</v>
      </c>
      <c r="T130" t="s">
        <v>351</v>
      </c>
      <c r="U130">
        <v>0</v>
      </c>
      <c r="V130">
        <v>5512.8180000000002</v>
      </c>
      <c r="W130">
        <v>0</v>
      </c>
    </row>
    <row r="131" spans="1:23" x14ac:dyDescent="0.25">
      <c r="A131" s="1">
        <v>44256</v>
      </c>
      <c r="B131" s="1">
        <v>44256</v>
      </c>
      <c r="C131" t="s">
        <v>157</v>
      </c>
      <c r="D131" t="s">
        <v>54</v>
      </c>
      <c r="E131" t="s">
        <v>21</v>
      </c>
      <c r="F131" t="s">
        <v>280</v>
      </c>
      <c r="G131" s="56">
        <v>44294.484247685185</v>
      </c>
      <c r="H131">
        <v>33</v>
      </c>
      <c r="I131">
        <v>18264</v>
      </c>
      <c r="J131" t="s">
        <v>50</v>
      </c>
      <c r="K131" t="s">
        <v>50</v>
      </c>
      <c r="L131" t="s">
        <v>159</v>
      </c>
      <c r="M131" t="s">
        <v>51</v>
      </c>
      <c r="N131" t="s">
        <v>92</v>
      </c>
      <c r="O131" s="1">
        <v>41335</v>
      </c>
      <c r="P131" t="s">
        <v>84</v>
      </c>
      <c r="Q131">
        <v>5</v>
      </c>
      <c r="R131" t="s">
        <v>28</v>
      </c>
      <c r="S131" t="s">
        <v>351</v>
      </c>
      <c r="T131" t="s">
        <v>351</v>
      </c>
      <c r="U131">
        <v>0</v>
      </c>
      <c r="V131">
        <v>5963.2809999999999</v>
      </c>
      <c r="W131">
        <v>0</v>
      </c>
    </row>
    <row r="132" spans="1:23" x14ac:dyDescent="0.25">
      <c r="A132" s="1">
        <v>44287</v>
      </c>
      <c r="B132" s="1">
        <v>44287</v>
      </c>
      <c r="C132" t="s">
        <v>157</v>
      </c>
      <c r="D132" t="s">
        <v>54</v>
      </c>
      <c r="E132" t="s">
        <v>21</v>
      </c>
      <c r="F132" t="s">
        <v>285</v>
      </c>
      <c r="G132" s="56">
        <v>44323.702997685185</v>
      </c>
      <c r="H132">
        <v>33</v>
      </c>
      <c r="I132">
        <v>18700</v>
      </c>
      <c r="J132" t="s">
        <v>50</v>
      </c>
      <c r="K132" t="s">
        <v>50</v>
      </c>
      <c r="L132" t="s">
        <v>159</v>
      </c>
      <c r="M132" t="s">
        <v>51</v>
      </c>
      <c r="N132" t="s">
        <v>92</v>
      </c>
      <c r="O132" s="1">
        <v>41335</v>
      </c>
      <c r="P132" t="s">
        <v>84</v>
      </c>
      <c r="Q132">
        <v>1</v>
      </c>
      <c r="R132" t="s">
        <v>83</v>
      </c>
      <c r="S132" t="s">
        <v>351</v>
      </c>
      <c r="T132" t="s">
        <v>351</v>
      </c>
      <c r="U132">
        <v>0</v>
      </c>
      <c r="V132">
        <v>5914.4219999999996</v>
      </c>
      <c r="W132">
        <v>0</v>
      </c>
    </row>
    <row r="133" spans="1:23" x14ac:dyDescent="0.25">
      <c r="A133" s="1">
        <v>44287</v>
      </c>
      <c r="B133" s="1">
        <v>44287</v>
      </c>
      <c r="C133" t="s">
        <v>157</v>
      </c>
      <c r="D133" t="s">
        <v>54</v>
      </c>
      <c r="E133" t="s">
        <v>21</v>
      </c>
      <c r="F133" t="s">
        <v>285</v>
      </c>
      <c r="G133" s="56">
        <v>44323.702997685185</v>
      </c>
      <c r="H133">
        <v>33</v>
      </c>
      <c r="I133">
        <v>18700</v>
      </c>
      <c r="J133" t="s">
        <v>50</v>
      </c>
      <c r="K133" t="s">
        <v>50</v>
      </c>
      <c r="L133" t="s">
        <v>159</v>
      </c>
      <c r="M133" t="s">
        <v>51</v>
      </c>
      <c r="N133" t="s">
        <v>92</v>
      </c>
      <c r="O133" s="1">
        <v>41335</v>
      </c>
      <c r="P133" t="s">
        <v>84</v>
      </c>
      <c r="Q133">
        <v>2</v>
      </c>
      <c r="R133" t="s">
        <v>94</v>
      </c>
      <c r="S133" t="s">
        <v>351</v>
      </c>
      <c r="T133" t="s">
        <v>351</v>
      </c>
      <c r="U133">
        <v>0</v>
      </c>
      <c r="V133">
        <v>6007.3739999999998</v>
      </c>
      <c r="W133">
        <v>0</v>
      </c>
    </row>
    <row r="134" spans="1:23" x14ac:dyDescent="0.25">
      <c r="A134" s="1">
        <v>44287</v>
      </c>
      <c r="B134" s="1">
        <v>44287</v>
      </c>
      <c r="C134" t="s">
        <v>157</v>
      </c>
      <c r="D134" t="s">
        <v>54</v>
      </c>
      <c r="E134" t="s">
        <v>21</v>
      </c>
      <c r="F134" t="s">
        <v>285</v>
      </c>
      <c r="G134" s="56">
        <v>44323.702997685185</v>
      </c>
      <c r="H134">
        <v>33</v>
      </c>
      <c r="I134">
        <v>18700</v>
      </c>
      <c r="J134" t="s">
        <v>50</v>
      </c>
      <c r="K134" t="s">
        <v>50</v>
      </c>
      <c r="L134" t="s">
        <v>159</v>
      </c>
      <c r="M134" t="s">
        <v>51</v>
      </c>
      <c r="N134" t="s">
        <v>92</v>
      </c>
      <c r="O134" s="1">
        <v>41335</v>
      </c>
      <c r="P134" t="s">
        <v>84</v>
      </c>
      <c r="Q134">
        <v>3</v>
      </c>
      <c r="R134" t="s">
        <v>81</v>
      </c>
      <c r="S134" t="s">
        <v>351</v>
      </c>
      <c r="T134" t="s">
        <v>351</v>
      </c>
      <c r="U134">
        <v>0</v>
      </c>
      <c r="V134">
        <v>5302.482</v>
      </c>
      <c r="W134">
        <v>0</v>
      </c>
    </row>
    <row r="135" spans="1:23" x14ac:dyDescent="0.25">
      <c r="A135" s="1">
        <v>44287</v>
      </c>
      <c r="B135" s="1">
        <v>44287</v>
      </c>
      <c r="C135" t="s">
        <v>157</v>
      </c>
      <c r="D135" t="s">
        <v>54</v>
      </c>
      <c r="E135" t="s">
        <v>21</v>
      </c>
      <c r="F135" t="s">
        <v>285</v>
      </c>
      <c r="G135" s="56">
        <v>44323.702997685185</v>
      </c>
      <c r="H135">
        <v>33</v>
      </c>
      <c r="I135">
        <v>18700</v>
      </c>
      <c r="J135" t="s">
        <v>50</v>
      </c>
      <c r="K135" t="s">
        <v>50</v>
      </c>
      <c r="L135" t="s">
        <v>159</v>
      </c>
      <c r="M135" t="s">
        <v>51</v>
      </c>
      <c r="N135" t="s">
        <v>92</v>
      </c>
      <c r="O135" s="1">
        <v>41335</v>
      </c>
      <c r="P135" t="s">
        <v>84</v>
      </c>
      <c r="Q135">
        <v>4</v>
      </c>
      <c r="R135" t="s">
        <v>27</v>
      </c>
      <c r="S135" t="s">
        <v>351</v>
      </c>
      <c r="T135" t="s">
        <v>351</v>
      </c>
      <c r="U135">
        <v>0</v>
      </c>
      <c r="V135">
        <v>5512.8180000000002</v>
      </c>
      <c r="W135">
        <v>0</v>
      </c>
    </row>
    <row r="136" spans="1:23" x14ac:dyDescent="0.25">
      <c r="A136" s="1">
        <v>44287</v>
      </c>
      <c r="B136" s="1">
        <v>44287</v>
      </c>
      <c r="C136" t="s">
        <v>157</v>
      </c>
      <c r="D136" t="s">
        <v>54</v>
      </c>
      <c r="E136" t="s">
        <v>21</v>
      </c>
      <c r="F136" t="s">
        <v>285</v>
      </c>
      <c r="G136" s="56">
        <v>44323.702997685185</v>
      </c>
      <c r="H136">
        <v>33</v>
      </c>
      <c r="I136">
        <v>18700</v>
      </c>
      <c r="J136" t="s">
        <v>50</v>
      </c>
      <c r="K136" t="s">
        <v>50</v>
      </c>
      <c r="L136" t="s">
        <v>159</v>
      </c>
      <c r="M136" t="s">
        <v>51</v>
      </c>
      <c r="N136" t="s">
        <v>92</v>
      </c>
      <c r="O136" s="1">
        <v>41335</v>
      </c>
      <c r="P136" t="s">
        <v>84</v>
      </c>
      <c r="Q136">
        <v>5</v>
      </c>
      <c r="R136" t="s">
        <v>28</v>
      </c>
      <c r="S136" t="s">
        <v>351</v>
      </c>
      <c r="T136" t="s">
        <v>351</v>
      </c>
      <c r="U136">
        <v>0</v>
      </c>
      <c r="V136">
        <v>5963.2809999999999</v>
      </c>
      <c r="W136">
        <v>0</v>
      </c>
    </row>
    <row r="137" spans="1:23" x14ac:dyDescent="0.25">
      <c r="B137"/>
    </row>
    <row r="138" spans="1:23" x14ac:dyDescent="0.25">
      <c r="B138"/>
    </row>
    <row r="139" spans="1:23" x14ac:dyDescent="0.25">
      <c r="B139"/>
    </row>
    <row r="140" spans="1:23" x14ac:dyDescent="0.25">
      <c r="B140"/>
    </row>
    <row r="141" spans="1:23" x14ac:dyDescent="0.25">
      <c r="B141"/>
    </row>
    <row r="142" spans="1:23" x14ac:dyDescent="0.25">
      <c r="B142"/>
    </row>
    <row r="143" spans="1:23" x14ac:dyDescent="0.25">
      <c r="B143"/>
    </row>
    <row r="144" spans="1:23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AE11713"/>
  <sheetViews>
    <sheetView topLeftCell="I1" zoomScale="60" zoomScaleNormal="60" workbookViewId="0">
      <selection activeCell="U1" sqref="U1:U1048576"/>
    </sheetView>
  </sheetViews>
  <sheetFormatPr baseColWidth="10" defaultRowHeight="15" x14ac:dyDescent="0.25"/>
  <cols>
    <col min="1" max="1" width="12.7109375" bestFit="1" customWidth="1"/>
    <col min="2" max="2" width="17.140625" style="1" bestFit="1" customWidth="1"/>
    <col min="3" max="3" width="8" bestFit="1" customWidth="1"/>
    <col min="4" max="4" width="7.140625" bestFit="1" customWidth="1"/>
    <col min="5" max="5" width="16.7109375" bestFit="1" customWidth="1"/>
    <col min="6" max="6" width="11.85546875" bestFit="1" customWidth="1"/>
    <col min="7" max="7" width="27" bestFit="1" customWidth="1"/>
    <col min="8" max="9" width="26.140625" bestFit="1" customWidth="1"/>
    <col min="10" max="10" width="59.42578125" bestFit="1" customWidth="1"/>
    <col min="11" max="11" width="16.7109375" bestFit="1" customWidth="1"/>
    <col min="12" max="12" width="21.28515625" bestFit="1" customWidth="1"/>
    <col min="13" max="14" width="15" bestFit="1" customWidth="1"/>
    <col min="15" max="15" width="10.28515625" bestFit="1" customWidth="1"/>
    <col min="16" max="16" width="21.85546875" bestFit="1" customWidth="1"/>
    <col min="17" max="17" width="9.5703125" bestFit="1" customWidth="1"/>
    <col min="18" max="18" width="15.85546875" bestFit="1" customWidth="1"/>
    <col min="19" max="19" width="12" style="4" bestFit="1" customWidth="1"/>
    <col min="20" max="20" width="14.7109375" customWidth="1"/>
    <col min="21" max="21" width="17.42578125" bestFit="1" customWidth="1"/>
    <col min="22" max="22" width="15.85546875" bestFit="1" customWidth="1"/>
    <col min="23" max="23" width="19.42578125" style="10" bestFit="1" customWidth="1"/>
    <col min="24" max="24" width="19.140625" bestFit="1" customWidth="1"/>
    <col min="25" max="25" width="17.42578125" bestFit="1" customWidth="1"/>
    <col min="26" max="26" width="23.5703125" bestFit="1" customWidth="1"/>
    <col min="27" max="27" width="13.140625" bestFit="1" customWidth="1"/>
    <col min="28" max="28" width="21.140625" bestFit="1" customWidth="1"/>
    <col min="30" max="30" width="25.85546875" bestFit="1" customWidth="1"/>
    <col min="31" max="31" width="11.5703125" style="27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7" t="s">
        <v>18</v>
      </c>
      <c r="T1" s="2" t="s">
        <v>19</v>
      </c>
      <c r="U1" s="2" t="s">
        <v>75</v>
      </c>
      <c r="V1" s="2" t="s">
        <v>20</v>
      </c>
      <c r="W1" s="26" t="s">
        <v>76</v>
      </c>
      <c r="X1" s="2" t="s">
        <v>21</v>
      </c>
      <c r="Y1" s="2" t="s">
        <v>22</v>
      </c>
      <c r="Z1" s="2" t="s">
        <v>77</v>
      </c>
      <c r="AA1" t="s">
        <v>23</v>
      </c>
      <c r="AB1" t="s">
        <v>78</v>
      </c>
      <c r="AC1" t="s">
        <v>24</v>
      </c>
      <c r="AD1" t="s">
        <v>71</v>
      </c>
    </row>
    <row r="2" spans="1:30" x14ac:dyDescent="0.25">
      <c r="A2">
        <v>607827</v>
      </c>
      <c r="B2" t="s">
        <v>105</v>
      </c>
      <c r="C2">
        <v>2016</v>
      </c>
      <c r="D2">
        <v>3</v>
      </c>
      <c r="E2" t="s">
        <v>87</v>
      </c>
      <c r="F2" t="s">
        <v>84</v>
      </c>
      <c r="G2" t="s">
        <v>84</v>
      </c>
      <c r="H2" t="s">
        <v>25</v>
      </c>
      <c r="I2" t="s">
        <v>100</v>
      </c>
      <c r="J2" t="s">
        <v>101</v>
      </c>
      <c r="K2" t="s">
        <v>104</v>
      </c>
      <c r="L2" t="s">
        <v>103</v>
      </c>
      <c r="M2">
        <v>1703.6853574199999</v>
      </c>
      <c r="N2">
        <v>0</v>
      </c>
      <c r="O2" t="s">
        <v>79</v>
      </c>
      <c r="P2" s="39">
        <v>44330.494940509263</v>
      </c>
      <c r="Q2">
        <v>5439222</v>
      </c>
      <c r="R2" t="s">
        <v>74</v>
      </c>
      <c r="S2" s="4">
        <v>45.689989320000002</v>
      </c>
      <c r="W2"/>
      <c r="X2">
        <v>0</v>
      </c>
      <c r="AC2" t="s">
        <v>84</v>
      </c>
      <c r="AD2" s="39">
        <v>42430</v>
      </c>
    </row>
    <row r="3" spans="1:30" x14ac:dyDescent="0.25">
      <c r="A3">
        <v>607809</v>
      </c>
      <c r="B3" t="s">
        <v>105</v>
      </c>
      <c r="C3">
        <v>2016</v>
      </c>
      <c r="D3">
        <v>3</v>
      </c>
      <c r="E3" t="s">
        <v>85</v>
      </c>
      <c r="F3" t="s">
        <v>84</v>
      </c>
      <c r="G3" t="s">
        <v>84</v>
      </c>
      <c r="H3" t="s">
        <v>25</v>
      </c>
      <c r="I3" t="s">
        <v>100</v>
      </c>
      <c r="J3" t="s">
        <v>101</v>
      </c>
      <c r="K3" t="s">
        <v>102</v>
      </c>
      <c r="L3" t="s">
        <v>103</v>
      </c>
      <c r="M3">
        <v>6396.77665523</v>
      </c>
      <c r="N3">
        <v>0</v>
      </c>
      <c r="O3" t="s">
        <v>79</v>
      </c>
      <c r="P3" s="39">
        <v>44330.494939849537</v>
      </c>
      <c r="Q3">
        <v>5439188</v>
      </c>
      <c r="R3" t="s">
        <v>74</v>
      </c>
      <c r="S3" s="4">
        <v>95.084381250000007</v>
      </c>
      <c r="W3"/>
      <c r="X3">
        <v>0</v>
      </c>
      <c r="AC3" t="s">
        <v>84</v>
      </c>
      <c r="AD3" s="39">
        <v>42430</v>
      </c>
    </row>
    <row r="4" spans="1:30" x14ac:dyDescent="0.25">
      <c r="A4">
        <v>607845</v>
      </c>
      <c r="B4" t="s">
        <v>105</v>
      </c>
      <c r="C4">
        <v>2016</v>
      </c>
      <c r="D4">
        <v>3</v>
      </c>
      <c r="E4" t="s">
        <v>59</v>
      </c>
      <c r="F4" t="s">
        <v>84</v>
      </c>
      <c r="G4" t="s">
        <v>84</v>
      </c>
      <c r="H4" t="s">
        <v>25</v>
      </c>
      <c r="I4" t="s">
        <v>100</v>
      </c>
      <c r="J4" t="s">
        <v>101</v>
      </c>
      <c r="K4" t="s">
        <v>106</v>
      </c>
      <c r="L4" t="s">
        <v>103</v>
      </c>
      <c r="M4">
        <v>2312.6677555199999</v>
      </c>
      <c r="N4">
        <v>0</v>
      </c>
      <c r="O4" t="s">
        <v>79</v>
      </c>
      <c r="P4" s="39">
        <v>44330.494941122677</v>
      </c>
      <c r="Q4">
        <v>5439256</v>
      </c>
      <c r="R4" t="s">
        <v>74</v>
      </c>
      <c r="S4" s="4">
        <v>61.060298299999999</v>
      </c>
      <c r="W4"/>
      <c r="X4">
        <v>0</v>
      </c>
      <c r="AC4" t="s">
        <v>84</v>
      </c>
      <c r="AD4" s="39">
        <v>42430</v>
      </c>
    </row>
    <row r="5" spans="1:30" x14ac:dyDescent="0.25">
      <c r="A5">
        <v>607827</v>
      </c>
      <c r="B5" t="s">
        <v>105</v>
      </c>
      <c r="C5">
        <v>2016</v>
      </c>
      <c r="D5">
        <v>3</v>
      </c>
      <c r="E5" t="s">
        <v>87</v>
      </c>
      <c r="F5" t="s">
        <v>84</v>
      </c>
      <c r="G5" t="s">
        <v>84</v>
      </c>
      <c r="H5" t="s">
        <v>25</v>
      </c>
      <c r="I5" t="s">
        <v>100</v>
      </c>
      <c r="J5" t="s">
        <v>101</v>
      </c>
      <c r="K5" t="s">
        <v>104</v>
      </c>
      <c r="L5" t="s">
        <v>103</v>
      </c>
      <c r="M5">
        <v>1703.6853574199999</v>
      </c>
      <c r="N5">
        <v>0</v>
      </c>
      <c r="O5" t="s">
        <v>79</v>
      </c>
      <c r="P5" s="39">
        <v>44330.494940509263</v>
      </c>
      <c r="Q5">
        <v>5439221</v>
      </c>
      <c r="R5" t="s">
        <v>82</v>
      </c>
      <c r="S5" s="4">
        <v>1725.23982916</v>
      </c>
      <c r="W5"/>
      <c r="X5">
        <v>0</v>
      </c>
      <c r="AC5" t="s">
        <v>84</v>
      </c>
      <c r="AD5" s="39">
        <v>42430</v>
      </c>
    </row>
    <row r="6" spans="1:30" x14ac:dyDescent="0.25">
      <c r="A6">
        <v>607845</v>
      </c>
      <c r="B6" t="s">
        <v>105</v>
      </c>
      <c r="C6">
        <v>2016</v>
      </c>
      <c r="D6">
        <v>3</v>
      </c>
      <c r="E6" t="s">
        <v>59</v>
      </c>
      <c r="F6" t="s">
        <v>84</v>
      </c>
      <c r="G6" t="s">
        <v>84</v>
      </c>
      <c r="H6" t="s">
        <v>25</v>
      </c>
      <c r="I6" t="s">
        <v>100</v>
      </c>
      <c r="J6" t="s">
        <v>101</v>
      </c>
      <c r="K6" t="s">
        <v>106</v>
      </c>
      <c r="L6" t="s">
        <v>103</v>
      </c>
      <c r="M6">
        <v>2312.6677555199999</v>
      </c>
      <c r="N6">
        <v>0</v>
      </c>
      <c r="O6" t="s">
        <v>79</v>
      </c>
      <c r="P6" s="39">
        <v>44330.494941122677</v>
      </c>
      <c r="Q6">
        <v>5439255</v>
      </c>
      <c r="R6" t="s">
        <v>82</v>
      </c>
      <c r="S6" s="4">
        <v>2342.8884535299999</v>
      </c>
      <c r="W6"/>
      <c r="X6">
        <v>0</v>
      </c>
      <c r="AC6" t="s">
        <v>84</v>
      </c>
      <c r="AD6" s="39">
        <v>42430</v>
      </c>
    </row>
    <row r="7" spans="1:30" x14ac:dyDescent="0.25">
      <c r="A7">
        <v>607809</v>
      </c>
      <c r="B7" t="s">
        <v>105</v>
      </c>
      <c r="C7">
        <v>2016</v>
      </c>
      <c r="D7">
        <v>3</v>
      </c>
      <c r="E7" t="s">
        <v>85</v>
      </c>
      <c r="F7" t="s">
        <v>84</v>
      </c>
      <c r="G7" t="s">
        <v>84</v>
      </c>
      <c r="H7" t="s">
        <v>25</v>
      </c>
      <c r="I7" t="s">
        <v>100</v>
      </c>
      <c r="J7" t="s">
        <v>101</v>
      </c>
      <c r="K7" t="s">
        <v>102</v>
      </c>
      <c r="L7" t="s">
        <v>103</v>
      </c>
      <c r="M7">
        <v>6396.77665523</v>
      </c>
      <c r="N7">
        <v>0</v>
      </c>
      <c r="O7" t="s">
        <v>79</v>
      </c>
      <c r="P7" s="39">
        <v>44330.494939849537</v>
      </c>
      <c r="Q7">
        <v>5439187</v>
      </c>
      <c r="R7" t="s">
        <v>82</v>
      </c>
      <c r="S7" s="4">
        <v>6554.1730485600001</v>
      </c>
      <c r="W7"/>
      <c r="X7">
        <v>0</v>
      </c>
      <c r="AC7" t="s">
        <v>84</v>
      </c>
      <c r="AD7" s="39">
        <v>42430</v>
      </c>
    </row>
    <row r="8" spans="1:30" x14ac:dyDescent="0.25">
      <c r="A8">
        <v>600911</v>
      </c>
      <c r="B8" t="s">
        <v>99</v>
      </c>
      <c r="C8">
        <v>2016</v>
      </c>
      <c r="D8">
        <v>4</v>
      </c>
      <c r="E8" t="s">
        <v>85</v>
      </c>
      <c r="F8" t="s">
        <v>84</v>
      </c>
      <c r="G8" t="s">
        <v>84</v>
      </c>
      <c r="H8" t="s">
        <v>25</v>
      </c>
      <c r="I8" t="s">
        <v>100</v>
      </c>
      <c r="J8" t="s">
        <v>101</v>
      </c>
      <c r="K8" t="s">
        <v>102</v>
      </c>
      <c r="L8" t="s">
        <v>103</v>
      </c>
      <c r="M8">
        <v>4919.3408924699997</v>
      </c>
      <c r="N8">
        <v>0</v>
      </c>
      <c r="O8" t="s">
        <v>79</v>
      </c>
      <c r="P8" s="39">
        <v>44330.488381134259</v>
      </c>
      <c r="Q8">
        <v>5423000</v>
      </c>
      <c r="R8" t="s">
        <v>74</v>
      </c>
      <c r="S8" s="4">
        <v>73.123154069999998</v>
      </c>
      <c r="W8"/>
      <c r="X8">
        <v>0</v>
      </c>
      <c r="AC8" t="s">
        <v>84</v>
      </c>
      <c r="AD8" s="39">
        <v>42461</v>
      </c>
    </row>
    <row r="9" spans="1:30" x14ac:dyDescent="0.25">
      <c r="A9">
        <v>600947</v>
      </c>
      <c r="B9" t="s">
        <v>99</v>
      </c>
      <c r="C9">
        <v>2016</v>
      </c>
      <c r="D9">
        <v>4</v>
      </c>
      <c r="E9" t="s">
        <v>59</v>
      </c>
      <c r="F9" t="s">
        <v>84</v>
      </c>
      <c r="G9" t="s">
        <v>84</v>
      </c>
      <c r="H9" t="s">
        <v>25</v>
      </c>
      <c r="I9" t="s">
        <v>100</v>
      </c>
      <c r="J9" t="s">
        <v>101</v>
      </c>
      <c r="K9" t="s">
        <v>106</v>
      </c>
      <c r="L9" t="s">
        <v>103</v>
      </c>
      <c r="M9">
        <v>2065.7815005799998</v>
      </c>
      <c r="N9">
        <v>0</v>
      </c>
      <c r="O9" t="s">
        <v>79</v>
      </c>
      <c r="P9" s="39">
        <v>44330.488382442127</v>
      </c>
      <c r="Q9">
        <v>5423068</v>
      </c>
      <c r="R9" t="s">
        <v>74</v>
      </c>
      <c r="S9" s="4">
        <v>54.541874569999997</v>
      </c>
      <c r="W9"/>
      <c r="X9">
        <v>0</v>
      </c>
      <c r="AC9" t="s">
        <v>84</v>
      </c>
      <c r="AD9" s="39">
        <v>42461</v>
      </c>
    </row>
    <row r="10" spans="1:30" x14ac:dyDescent="0.25">
      <c r="A10">
        <v>600929</v>
      </c>
      <c r="B10" t="s">
        <v>99</v>
      </c>
      <c r="C10">
        <v>2016</v>
      </c>
      <c r="D10">
        <v>4</v>
      </c>
      <c r="E10" t="s">
        <v>87</v>
      </c>
      <c r="F10" t="s">
        <v>84</v>
      </c>
      <c r="G10" t="s">
        <v>84</v>
      </c>
      <c r="H10" t="s">
        <v>25</v>
      </c>
      <c r="I10" t="s">
        <v>100</v>
      </c>
      <c r="J10" t="s">
        <v>101</v>
      </c>
      <c r="K10" t="s">
        <v>104</v>
      </c>
      <c r="L10" t="s">
        <v>103</v>
      </c>
      <c r="M10">
        <v>1317.6215099999999</v>
      </c>
      <c r="N10">
        <v>0</v>
      </c>
      <c r="O10" t="s">
        <v>79</v>
      </c>
      <c r="P10" s="39">
        <v>44330.488381793977</v>
      </c>
      <c r="Q10">
        <v>5423034</v>
      </c>
      <c r="R10" t="s">
        <v>74</v>
      </c>
      <c r="S10" s="4">
        <v>35.336403199999999</v>
      </c>
      <c r="W10"/>
      <c r="X10">
        <v>0</v>
      </c>
      <c r="AC10" t="s">
        <v>84</v>
      </c>
      <c r="AD10" s="39">
        <v>42461</v>
      </c>
    </row>
    <row r="11" spans="1:30" x14ac:dyDescent="0.25">
      <c r="A11">
        <v>600929</v>
      </c>
      <c r="B11" t="s">
        <v>99</v>
      </c>
      <c r="C11">
        <v>2016</v>
      </c>
      <c r="D11">
        <v>4</v>
      </c>
      <c r="E11" t="s">
        <v>87</v>
      </c>
      <c r="F11" t="s">
        <v>84</v>
      </c>
      <c r="G11" t="s">
        <v>84</v>
      </c>
      <c r="H11" t="s">
        <v>25</v>
      </c>
      <c r="I11" t="s">
        <v>100</v>
      </c>
      <c r="J11" t="s">
        <v>101</v>
      </c>
      <c r="K11" t="s">
        <v>104</v>
      </c>
      <c r="L11" t="s">
        <v>103</v>
      </c>
      <c r="M11">
        <v>1317.6215099999999</v>
      </c>
      <c r="N11">
        <v>0</v>
      </c>
      <c r="O11" t="s">
        <v>79</v>
      </c>
      <c r="P11" s="39">
        <v>44330.488381793977</v>
      </c>
      <c r="Q11">
        <v>5423033</v>
      </c>
      <c r="R11" t="s">
        <v>82</v>
      </c>
      <c r="S11" s="4">
        <v>1334.2916278</v>
      </c>
      <c r="W11"/>
      <c r="X11">
        <v>0</v>
      </c>
      <c r="AC11" t="s">
        <v>84</v>
      </c>
      <c r="AD11" s="39">
        <v>42461</v>
      </c>
    </row>
    <row r="12" spans="1:30" x14ac:dyDescent="0.25">
      <c r="A12">
        <v>600911</v>
      </c>
      <c r="B12" t="s">
        <v>99</v>
      </c>
      <c r="C12">
        <v>2016</v>
      </c>
      <c r="D12">
        <v>4</v>
      </c>
      <c r="E12" t="s">
        <v>85</v>
      </c>
      <c r="F12" t="s">
        <v>84</v>
      </c>
      <c r="G12" t="s">
        <v>84</v>
      </c>
      <c r="H12" t="s">
        <v>25</v>
      </c>
      <c r="I12" t="s">
        <v>100</v>
      </c>
      <c r="J12" t="s">
        <v>101</v>
      </c>
      <c r="K12" t="s">
        <v>102</v>
      </c>
      <c r="L12" t="s">
        <v>103</v>
      </c>
      <c r="M12">
        <v>4919.3408924699997</v>
      </c>
      <c r="N12">
        <v>0</v>
      </c>
      <c r="O12" t="s">
        <v>79</v>
      </c>
      <c r="P12" s="39">
        <v>44330.488381134259</v>
      </c>
      <c r="Q12">
        <v>5422999</v>
      </c>
      <c r="R12" t="s">
        <v>82</v>
      </c>
      <c r="S12" s="4">
        <v>5040.3841234299998</v>
      </c>
      <c r="W12"/>
      <c r="X12">
        <v>0</v>
      </c>
      <c r="AC12" t="s">
        <v>84</v>
      </c>
      <c r="AD12" s="39">
        <v>42461</v>
      </c>
    </row>
    <row r="13" spans="1:30" x14ac:dyDescent="0.25">
      <c r="A13">
        <v>600947</v>
      </c>
      <c r="B13" t="s">
        <v>99</v>
      </c>
      <c r="C13">
        <v>2016</v>
      </c>
      <c r="D13">
        <v>4</v>
      </c>
      <c r="E13" t="s">
        <v>59</v>
      </c>
      <c r="F13" t="s">
        <v>84</v>
      </c>
      <c r="G13" t="s">
        <v>84</v>
      </c>
      <c r="H13" t="s">
        <v>25</v>
      </c>
      <c r="I13" t="s">
        <v>100</v>
      </c>
      <c r="J13" t="s">
        <v>101</v>
      </c>
      <c r="K13" t="s">
        <v>106</v>
      </c>
      <c r="L13" t="s">
        <v>103</v>
      </c>
      <c r="M13">
        <v>2065.7815005799998</v>
      </c>
      <c r="N13">
        <v>0</v>
      </c>
      <c r="O13" t="s">
        <v>79</v>
      </c>
      <c r="P13" s="39">
        <v>44330.488382442127</v>
      </c>
      <c r="Q13">
        <v>5423067</v>
      </c>
      <c r="R13" t="s">
        <v>82</v>
      </c>
      <c r="S13" s="4">
        <v>2092.7760218399999</v>
      </c>
      <c r="W13"/>
      <c r="X13">
        <v>0</v>
      </c>
      <c r="AC13" t="s">
        <v>84</v>
      </c>
      <c r="AD13" s="39">
        <v>42461</v>
      </c>
    </row>
    <row r="14" spans="1:30" x14ac:dyDescent="0.25">
      <c r="A14">
        <v>672488</v>
      </c>
      <c r="B14" t="s">
        <v>134</v>
      </c>
      <c r="C14">
        <v>2016</v>
      </c>
      <c r="D14">
        <v>5</v>
      </c>
      <c r="E14" t="s">
        <v>59</v>
      </c>
      <c r="F14" t="s">
        <v>84</v>
      </c>
      <c r="G14" t="s">
        <v>84</v>
      </c>
      <c r="H14" t="s">
        <v>25</v>
      </c>
      <c r="I14" t="s">
        <v>25</v>
      </c>
      <c r="J14" t="s">
        <v>101</v>
      </c>
      <c r="K14" t="s">
        <v>106</v>
      </c>
      <c r="L14" t="s">
        <v>103</v>
      </c>
      <c r="M14">
        <v>2057.3166490100002</v>
      </c>
      <c r="N14">
        <v>0</v>
      </c>
      <c r="O14" t="s">
        <v>79</v>
      </c>
      <c r="P14" s="39">
        <v>44334.070165358797</v>
      </c>
      <c r="Q14">
        <v>5939587</v>
      </c>
      <c r="R14" t="s">
        <v>74</v>
      </c>
      <c r="S14" s="4">
        <v>54.318381000000002</v>
      </c>
      <c r="W14"/>
      <c r="X14">
        <v>0</v>
      </c>
      <c r="AC14" t="s">
        <v>84</v>
      </c>
      <c r="AD14" s="39">
        <v>42491</v>
      </c>
    </row>
    <row r="15" spans="1:30" x14ac:dyDescent="0.25">
      <c r="A15">
        <v>672470</v>
      </c>
      <c r="B15" t="s">
        <v>134</v>
      </c>
      <c r="C15">
        <v>2016</v>
      </c>
      <c r="D15">
        <v>5</v>
      </c>
      <c r="E15" t="s">
        <v>87</v>
      </c>
      <c r="F15" t="s">
        <v>84</v>
      </c>
      <c r="G15" t="s">
        <v>84</v>
      </c>
      <c r="H15" t="s">
        <v>25</v>
      </c>
      <c r="I15" t="s">
        <v>25</v>
      </c>
      <c r="J15" t="s">
        <v>101</v>
      </c>
      <c r="K15" t="s">
        <v>104</v>
      </c>
      <c r="L15" t="s">
        <v>103</v>
      </c>
      <c r="M15">
        <v>1352.1891427099999</v>
      </c>
      <c r="N15">
        <v>0</v>
      </c>
      <c r="O15" t="s">
        <v>79</v>
      </c>
      <c r="P15" s="39">
        <v>44334.07016489582</v>
      </c>
      <c r="Q15">
        <v>5939551</v>
      </c>
      <c r="R15" t="s">
        <v>74</v>
      </c>
      <c r="S15" s="4">
        <v>36.26344924</v>
      </c>
      <c r="W15"/>
      <c r="X15">
        <v>0</v>
      </c>
      <c r="AC15" t="s">
        <v>84</v>
      </c>
      <c r="AD15" s="39">
        <v>42491</v>
      </c>
    </row>
    <row r="16" spans="1:30" x14ac:dyDescent="0.25">
      <c r="A16">
        <v>672452</v>
      </c>
      <c r="B16" t="s">
        <v>134</v>
      </c>
      <c r="C16">
        <v>2016</v>
      </c>
      <c r="D16">
        <v>5</v>
      </c>
      <c r="E16" t="s">
        <v>85</v>
      </c>
      <c r="F16" t="s">
        <v>84</v>
      </c>
      <c r="G16" t="s">
        <v>84</v>
      </c>
      <c r="H16" t="s">
        <v>25</v>
      </c>
      <c r="I16" t="s">
        <v>25</v>
      </c>
      <c r="J16" t="s">
        <v>101</v>
      </c>
      <c r="K16" t="s">
        <v>102</v>
      </c>
      <c r="L16" t="s">
        <v>103</v>
      </c>
      <c r="M16">
        <v>4669.0953959799999</v>
      </c>
      <c r="N16">
        <v>0</v>
      </c>
      <c r="O16" t="s">
        <v>79</v>
      </c>
      <c r="P16" s="39">
        <v>44334.070164432873</v>
      </c>
      <c r="Q16">
        <v>5939515</v>
      </c>
      <c r="R16" t="s">
        <v>74</v>
      </c>
      <c r="S16" s="4">
        <v>69.403399649999997</v>
      </c>
      <c r="W16"/>
      <c r="X16">
        <v>0</v>
      </c>
      <c r="AC16" t="s">
        <v>84</v>
      </c>
      <c r="AD16" s="39">
        <v>42491</v>
      </c>
    </row>
    <row r="17" spans="1:30" x14ac:dyDescent="0.25">
      <c r="A17">
        <v>672488</v>
      </c>
      <c r="B17" t="s">
        <v>134</v>
      </c>
      <c r="C17">
        <v>2016</v>
      </c>
      <c r="D17">
        <v>5</v>
      </c>
      <c r="E17" t="s">
        <v>59</v>
      </c>
      <c r="F17" t="s">
        <v>84</v>
      </c>
      <c r="G17" t="s">
        <v>84</v>
      </c>
      <c r="H17" t="s">
        <v>25</v>
      </c>
      <c r="I17" t="s">
        <v>25</v>
      </c>
      <c r="J17" t="s">
        <v>101</v>
      </c>
      <c r="K17" t="s">
        <v>106</v>
      </c>
      <c r="L17" t="s">
        <v>103</v>
      </c>
      <c r="M17">
        <v>2057.3166490100002</v>
      </c>
      <c r="N17">
        <v>0</v>
      </c>
      <c r="O17" t="s">
        <v>79</v>
      </c>
      <c r="P17" s="39">
        <v>44334.070165358797</v>
      </c>
      <c r="Q17">
        <v>5939586</v>
      </c>
      <c r="R17" t="s">
        <v>82</v>
      </c>
      <c r="S17" s="4">
        <v>2084.2005561400001</v>
      </c>
      <c r="W17"/>
      <c r="X17">
        <v>0</v>
      </c>
      <c r="AC17" t="s">
        <v>84</v>
      </c>
      <c r="AD17" s="39">
        <v>42491</v>
      </c>
    </row>
    <row r="18" spans="1:30" x14ac:dyDescent="0.25">
      <c r="A18">
        <v>672470</v>
      </c>
      <c r="B18" t="s">
        <v>134</v>
      </c>
      <c r="C18">
        <v>2016</v>
      </c>
      <c r="D18">
        <v>5</v>
      </c>
      <c r="E18" t="s">
        <v>87</v>
      </c>
      <c r="F18" t="s">
        <v>84</v>
      </c>
      <c r="G18" t="s">
        <v>84</v>
      </c>
      <c r="H18" t="s">
        <v>25</v>
      </c>
      <c r="I18" t="s">
        <v>25</v>
      </c>
      <c r="J18" t="s">
        <v>101</v>
      </c>
      <c r="K18" t="s">
        <v>104</v>
      </c>
      <c r="L18" t="s">
        <v>103</v>
      </c>
      <c r="M18">
        <v>1352.1891427099999</v>
      </c>
      <c r="N18">
        <v>0</v>
      </c>
      <c r="O18" t="s">
        <v>79</v>
      </c>
      <c r="P18" s="39">
        <v>44334.07016489582</v>
      </c>
      <c r="Q18">
        <v>5939550</v>
      </c>
      <c r="R18" t="s">
        <v>82</v>
      </c>
      <c r="S18" s="4">
        <v>1369.2965989300001</v>
      </c>
      <c r="W18"/>
      <c r="X18">
        <v>0</v>
      </c>
      <c r="AC18" t="s">
        <v>84</v>
      </c>
      <c r="AD18" s="39">
        <v>42491</v>
      </c>
    </row>
    <row r="19" spans="1:30" x14ac:dyDescent="0.25">
      <c r="A19">
        <v>672452</v>
      </c>
      <c r="B19" t="s">
        <v>134</v>
      </c>
      <c r="C19">
        <v>2016</v>
      </c>
      <c r="D19">
        <v>5</v>
      </c>
      <c r="E19" t="s">
        <v>85</v>
      </c>
      <c r="F19" t="s">
        <v>84</v>
      </c>
      <c r="G19" t="s">
        <v>84</v>
      </c>
      <c r="H19" t="s">
        <v>25</v>
      </c>
      <c r="I19" t="s">
        <v>25</v>
      </c>
      <c r="J19" t="s">
        <v>101</v>
      </c>
      <c r="K19" t="s">
        <v>102</v>
      </c>
      <c r="L19" t="s">
        <v>103</v>
      </c>
      <c r="M19">
        <v>4669.0953959799999</v>
      </c>
      <c r="N19">
        <v>0</v>
      </c>
      <c r="O19" t="s">
        <v>79</v>
      </c>
      <c r="P19" s="39">
        <v>44334.070164432873</v>
      </c>
      <c r="Q19">
        <v>5939514</v>
      </c>
      <c r="R19" t="s">
        <v>82</v>
      </c>
      <c r="S19" s="4">
        <v>4783.9811915999999</v>
      </c>
      <c r="W19"/>
      <c r="X19">
        <v>0</v>
      </c>
      <c r="AC19" t="s">
        <v>84</v>
      </c>
      <c r="AD19" s="39">
        <v>42491</v>
      </c>
    </row>
    <row r="20" spans="1:30" x14ac:dyDescent="0.25">
      <c r="A20">
        <v>723878</v>
      </c>
      <c r="B20" t="s">
        <v>136</v>
      </c>
      <c r="C20">
        <v>2016</v>
      </c>
      <c r="D20">
        <v>6</v>
      </c>
      <c r="E20" t="s">
        <v>59</v>
      </c>
      <c r="F20" t="s">
        <v>84</v>
      </c>
      <c r="G20" t="s">
        <v>84</v>
      </c>
      <c r="H20" t="s">
        <v>25</v>
      </c>
      <c r="I20" t="s">
        <v>25</v>
      </c>
      <c r="J20" t="s">
        <v>101</v>
      </c>
      <c r="K20" t="s">
        <v>106</v>
      </c>
      <c r="L20" t="s">
        <v>103</v>
      </c>
      <c r="M20">
        <v>1810.25289694</v>
      </c>
      <c r="N20">
        <v>0</v>
      </c>
      <c r="O20" t="s">
        <v>79</v>
      </c>
      <c r="P20" s="39">
        <v>44334.106443090277</v>
      </c>
      <c r="Q20">
        <v>6309635</v>
      </c>
      <c r="R20" t="s">
        <v>74</v>
      </c>
      <c r="S20" s="4">
        <v>47.795270899999998</v>
      </c>
      <c r="W20"/>
      <c r="X20">
        <v>0</v>
      </c>
      <c r="AC20" t="s">
        <v>84</v>
      </c>
      <c r="AD20" s="39">
        <v>42522</v>
      </c>
    </row>
    <row r="21" spans="1:30" x14ac:dyDescent="0.25">
      <c r="A21">
        <v>723860</v>
      </c>
      <c r="B21" t="s">
        <v>136</v>
      </c>
      <c r="C21">
        <v>2016</v>
      </c>
      <c r="D21">
        <v>6</v>
      </c>
      <c r="E21" t="s">
        <v>87</v>
      </c>
      <c r="F21" t="s">
        <v>84</v>
      </c>
      <c r="G21" t="s">
        <v>84</v>
      </c>
      <c r="H21" t="s">
        <v>25</v>
      </c>
      <c r="I21" t="s">
        <v>25</v>
      </c>
      <c r="J21" t="s">
        <v>101</v>
      </c>
      <c r="K21" t="s">
        <v>104</v>
      </c>
      <c r="L21" t="s">
        <v>103</v>
      </c>
      <c r="M21">
        <v>1074.09600742</v>
      </c>
      <c r="N21">
        <v>0</v>
      </c>
      <c r="O21" t="s">
        <v>79</v>
      </c>
      <c r="P21" s="39">
        <v>44334.10644262733</v>
      </c>
      <c r="Q21">
        <v>6309599</v>
      </c>
      <c r="R21" t="s">
        <v>74</v>
      </c>
      <c r="S21" s="4">
        <v>28.805456880000001</v>
      </c>
      <c r="W21"/>
      <c r="X21">
        <v>0</v>
      </c>
      <c r="AC21" t="s">
        <v>84</v>
      </c>
      <c r="AD21" s="39">
        <v>42522</v>
      </c>
    </row>
    <row r="22" spans="1:30" x14ac:dyDescent="0.25">
      <c r="A22">
        <v>723842</v>
      </c>
      <c r="B22" t="s">
        <v>136</v>
      </c>
      <c r="C22">
        <v>2016</v>
      </c>
      <c r="D22">
        <v>6</v>
      </c>
      <c r="E22" t="s">
        <v>85</v>
      </c>
      <c r="F22" t="s">
        <v>84</v>
      </c>
      <c r="G22" t="s">
        <v>84</v>
      </c>
      <c r="H22" t="s">
        <v>25</v>
      </c>
      <c r="I22" t="s">
        <v>25</v>
      </c>
      <c r="J22" t="s">
        <v>101</v>
      </c>
      <c r="K22" t="s">
        <v>102</v>
      </c>
      <c r="L22" t="s">
        <v>103</v>
      </c>
      <c r="M22">
        <v>3755.8750081799999</v>
      </c>
      <c r="N22">
        <v>0</v>
      </c>
      <c r="O22" t="s">
        <v>79</v>
      </c>
      <c r="P22" s="39">
        <v>44334.106442164353</v>
      </c>
      <c r="Q22">
        <v>6309563</v>
      </c>
      <c r="R22" t="s">
        <v>74</v>
      </c>
      <c r="S22" s="4">
        <v>55.828907340000001</v>
      </c>
      <c r="W22"/>
      <c r="X22">
        <v>0</v>
      </c>
      <c r="AC22" t="s">
        <v>84</v>
      </c>
      <c r="AD22" s="39">
        <v>42522</v>
      </c>
    </row>
    <row r="23" spans="1:30" x14ac:dyDescent="0.25">
      <c r="A23">
        <v>723878</v>
      </c>
      <c r="B23" t="s">
        <v>136</v>
      </c>
      <c r="C23">
        <v>2016</v>
      </c>
      <c r="D23">
        <v>6</v>
      </c>
      <c r="E23" t="s">
        <v>59</v>
      </c>
      <c r="F23" t="s">
        <v>84</v>
      </c>
      <c r="G23" t="s">
        <v>84</v>
      </c>
      <c r="H23" t="s">
        <v>25</v>
      </c>
      <c r="I23" t="s">
        <v>25</v>
      </c>
      <c r="J23" t="s">
        <v>101</v>
      </c>
      <c r="K23" t="s">
        <v>106</v>
      </c>
      <c r="L23" t="s">
        <v>103</v>
      </c>
      <c r="M23">
        <v>1810.25289694</v>
      </c>
      <c r="N23">
        <v>0</v>
      </c>
      <c r="O23" t="s">
        <v>79</v>
      </c>
      <c r="P23" s="39">
        <v>44334.106443090277</v>
      </c>
      <c r="Q23">
        <v>6309634</v>
      </c>
      <c r="R23" t="s">
        <v>82</v>
      </c>
      <c r="S23" s="4">
        <v>1833.9083078799999</v>
      </c>
      <c r="W23"/>
      <c r="X23">
        <v>0</v>
      </c>
      <c r="AC23" t="s">
        <v>84</v>
      </c>
      <c r="AD23" s="39">
        <v>42522</v>
      </c>
    </row>
    <row r="24" spans="1:30" x14ac:dyDescent="0.25">
      <c r="A24">
        <v>723842</v>
      </c>
      <c r="B24" t="s">
        <v>136</v>
      </c>
      <c r="C24">
        <v>2016</v>
      </c>
      <c r="D24">
        <v>6</v>
      </c>
      <c r="E24" t="s">
        <v>85</v>
      </c>
      <c r="F24" t="s">
        <v>84</v>
      </c>
      <c r="G24" t="s">
        <v>84</v>
      </c>
      <c r="H24" t="s">
        <v>25</v>
      </c>
      <c r="I24" t="s">
        <v>25</v>
      </c>
      <c r="J24" t="s">
        <v>101</v>
      </c>
      <c r="K24" t="s">
        <v>102</v>
      </c>
      <c r="L24" t="s">
        <v>103</v>
      </c>
      <c r="M24">
        <v>3755.8750081799999</v>
      </c>
      <c r="N24">
        <v>0</v>
      </c>
      <c r="O24" t="s">
        <v>79</v>
      </c>
      <c r="P24" s="39">
        <v>44334.106442164353</v>
      </c>
      <c r="Q24">
        <v>6309562</v>
      </c>
      <c r="R24" t="s">
        <v>82</v>
      </c>
      <c r="S24" s="4">
        <v>3848.29048741</v>
      </c>
      <c r="W24"/>
      <c r="X24">
        <v>0</v>
      </c>
      <c r="AC24" t="s">
        <v>84</v>
      </c>
      <c r="AD24" s="39">
        <v>42522</v>
      </c>
    </row>
    <row r="25" spans="1:30" x14ac:dyDescent="0.25">
      <c r="A25">
        <v>723860</v>
      </c>
      <c r="B25" t="s">
        <v>136</v>
      </c>
      <c r="C25">
        <v>2016</v>
      </c>
      <c r="D25">
        <v>6</v>
      </c>
      <c r="E25" t="s">
        <v>87</v>
      </c>
      <c r="F25" t="s">
        <v>84</v>
      </c>
      <c r="G25" t="s">
        <v>84</v>
      </c>
      <c r="H25" t="s">
        <v>25</v>
      </c>
      <c r="I25" t="s">
        <v>25</v>
      </c>
      <c r="J25" t="s">
        <v>101</v>
      </c>
      <c r="K25" t="s">
        <v>104</v>
      </c>
      <c r="L25" t="s">
        <v>103</v>
      </c>
      <c r="M25">
        <v>1074.09600742</v>
      </c>
      <c r="N25">
        <v>0</v>
      </c>
      <c r="O25" t="s">
        <v>79</v>
      </c>
      <c r="P25" s="39">
        <v>44334.10644262733</v>
      </c>
      <c r="Q25">
        <v>6309598</v>
      </c>
      <c r="R25" t="s">
        <v>82</v>
      </c>
      <c r="S25" s="4">
        <v>1087.6851199499999</v>
      </c>
      <c r="W25"/>
      <c r="X25">
        <v>0</v>
      </c>
      <c r="AC25" t="s">
        <v>84</v>
      </c>
      <c r="AD25" s="39">
        <v>42522</v>
      </c>
    </row>
    <row r="26" spans="1:30" x14ac:dyDescent="0.25">
      <c r="A26">
        <v>730790</v>
      </c>
      <c r="B26" t="s">
        <v>135</v>
      </c>
      <c r="C26">
        <v>2016</v>
      </c>
      <c r="D26">
        <v>7</v>
      </c>
      <c r="E26" t="s">
        <v>87</v>
      </c>
      <c r="F26" t="s">
        <v>84</v>
      </c>
      <c r="G26" t="s">
        <v>84</v>
      </c>
      <c r="H26" t="s">
        <v>25</v>
      </c>
      <c r="I26" t="s">
        <v>25</v>
      </c>
      <c r="J26" t="s">
        <v>101</v>
      </c>
      <c r="K26" t="s">
        <v>104</v>
      </c>
      <c r="L26" t="s">
        <v>103</v>
      </c>
      <c r="M26">
        <v>1169.0560399599999</v>
      </c>
      <c r="N26">
        <v>0</v>
      </c>
      <c r="O26" t="s">
        <v>79</v>
      </c>
      <c r="P26" s="39">
        <v>44334.107075081018</v>
      </c>
      <c r="Q26">
        <v>6360111</v>
      </c>
      <c r="R26" t="s">
        <v>74</v>
      </c>
      <c r="S26" s="4">
        <v>31.352125990000001</v>
      </c>
      <c r="W26"/>
      <c r="X26">
        <v>0</v>
      </c>
      <c r="AC26" t="s">
        <v>84</v>
      </c>
      <c r="AD26" s="39">
        <v>42552</v>
      </c>
    </row>
    <row r="27" spans="1:30" x14ac:dyDescent="0.25">
      <c r="A27">
        <v>730808</v>
      </c>
      <c r="B27" t="s">
        <v>135</v>
      </c>
      <c r="C27">
        <v>2016</v>
      </c>
      <c r="D27">
        <v>7</v>
      </c>
      <c r="E27" t="s">
        <v>59</v>
      </c>
      <c r="F27" t="s">
        <v>84</v>
      </c>
      <c r="G27" t="s">
        <v>84</v>
      </c>
      <c r="H27" t="s">
        <v>25</v>
      </c>
      <c r="I27" t="s">
        <v>25</v>
      </c>
      <c r="J27" t="s">
        <v>101</v>
      </c>
      <c r="K27" t="s">
        <v>106</v>
      </c>
      <c r="L27" t="s">
        <v>103</v>
      </c>
      <c r="M27">
        <v>2027.083069</v>
      </c>
      <c r="N27">
        <v>0</v>
      </c>
      <c r="O27" t="s">
        <v>79</v>
      </c>
      <c r="P27" s="39">
        <v>44334.10707554398</v>
      </c>
      <c r="Q27">
        <v>6360147</v>
      </c>
      <c r="R27" t="s">
        <v>74</v>
      </c>
      <c r="S27" s="4">
        <v>53.520137759999997</v>
      </c>
      <c r="W27"/>
      <c r="X27">
        <v>0</v>
      </c>
      <c r="AC27" t="s">
        <v>84</v>
      </c>
      <c r="AD27" s="39">
        <v>42552</v>
      </c>
    </row>
    <row r="28" spans="1:30" x14ac:dyDescent="0.25">
      <c r="A28">
        <v>730772</v>
      </c>
      <c r="B28" t="s">
        <v>135</v>
      </c>
      <c r="C28">
        <v>2016</v>
      </c>
      <c r="D28">
        <v>7</v>
      </c>
      <c r="E28" t="s">
        <v>85</v>
      </c>
      <c r="F28" t="s">
        <v>84</v>
      </c>
      <c r="G28" t="s">
        <v>84</v>
      </c>
      <c r="H28" t="s">
        <v>25</v>
      </c>
      <c r="I28" t="s">
        <v>25</v>
      </c>
      <c r="J28" t="s">
        <v>101</v>
      </c>
      <c r="K28" t="s">
        <v>102</v>
      </c>
      <c r="L28" t="s">
        <v>103</v>
      </c>
      <c r="M28">
        <v>3778.6930292400002</v>
      </c>
      <c r="N28">
        <v>0</v>
      </c>
      <c r="O28" t="s">
        <v>79</v>
      </c>
      <c r="P28" s="39">
        <v>44334.107074571759</v>
      </c>
      <c r="Q28">
        <v>6360075</v>
      </c>
      <c r="R28" t="s">
        <v>74</v>
      </c>
      <c r="S28" s="4">
        <v>56.168084020000002</v>
      </c>
      <c r="W28"/>
      <c r="X28">
        <v>0</v>
      </c>
      <c r="AC28" t="s">
        <v>84</v>
      </c>
      <c r="AD28" s="39">
        <v>42552</v>
      </c>
    </row>
    <row r="29" spans="1:30" x14ac:dyDescent="0.25">
      <c r="A29">
        <v>730772</v>
      </c>
      <c r="B29" t="s">
        <v>135</v>
      </c>
      <c r="C29">
        <v>2016</v>
      </c>
      <c r="D29">
        <v>7</v>
      </c>
      <c r="E29" t="s">
        <v>85</v>
      </c>
      <c r="F29" t="s">
        <v>84</v>
      </c>
      <c r="G29" t="s">
        <v>84</v>
      </c>
      <c r="H29" t="s">
        <v>25</v>
      </c>
      <c r="I29" t="s">
        <v>25</v>
      </c>
      <c r="J29" t="s">
        <v>101</v>
      </c>
      <c r="K29" t="s">
        <v>102</v>
      </c>
      <c r="L29" t="s">
        <v>103</v>
      </c>
      <c r="M29">
        <v>3778.6930292400002</v>
      </c>
      <c r="N29">
        <v>0</v>
      </c>
      <c r="O29" t="s">
        <v>79</v>
      </c>
      <c r="P29" s="39">
        <v>44334.107074571759</v>
      </c>
      <c r="Q29">
        <v>6360074</v>
      </c>
      <c r="R29" t="s">
        <v>82</v>
      </c>
      <c r="S29" s="4">
        <v>3871.6699590899998</v>
      </c>
      <c r="W29"/>
      <c r="X29">
        <v>0</v>
      </c>
      <c r="AC29" t="s">
        <v>84</v>
      </c>
      <c r="AD29" s="39">
        <v>42552</v>
      </c>
    </row>
    <row r="30" spans="1:30" x14ac:dyDescent="0.25">
      <c r="A30">
        <v>730808</v>
      </c>
      <c r="B30" t="s">
        <v>135</v>
      </c>
      <c r="C30">
        <v>2016</v>
      </c>
      <c r="D30">
        <v>7</v>
      </c>
      <c r="E30" t="s">
        <v>59</v>
      </c>
      <c r="F30" t="s">
        <v>84</v>
      </c>
      <c r="G30" t="s">
        <v>84</v>
      </c>
      <c r="H30" t="s">
        <v>25</v>
      </c>
      <c r="I30" t="s">
        <v>25</v>
      </c>
      <c r="J30" t="s">
        <v>101</v>
      </c>
      <c r="K30" t="s">
        <v>106</v>
      </c>
      <c r="L30" t="s">
        <v>103</v>
      </c>
      <c r="M30">
        <v>2027.083069</v>
      </c>
      <c r="N30">
        <v>0</v>
      </c>
      <c r="O30" t="s">
        <v>79</v>
      </c>
      <c r="P30" s="39">
        <v>44334.10707554398</v>
      </c>
      <c r="Q30">
        <v>6360146</v>
      </c>
      <c r="R30" t="s">
        <v>82</v>
      </c>
      <c r="S30" s="4">
        <v>2053.5718999800001</v>
      </c>
      <c r="W30"/>
      <c r="X30">
        <v>0</v>
      </c>
      <c r="AC30" t="s">
        <v>84</v>
      </c>
      <c r="AD30" s="39">
        <v>42552</v>
      </c>
    </row>
    <row r="31" spans="1:30" x14ac:dyDescent="0.25">
      <c r="A31">
        <v>730790</v>
      </c>
      <c r="B31" t="s">
        <v>135</v>
      </c>
      <c r="C31">
        <v>2016</v>
      </c>
      <c r="D31">
        <v>7</v>
      </c>
      <c r="E31" t="s">
        <v>87</v>
      </c>
      <c r="F31" t="s">
        <v>84</v>
      </c>
      <c r="G31" t="s">
        <v>84</v>
      </c>
      <c r="H31" t="s">
        <v>25</v>
      </c>
      <c r="I31" t="s">
        <v>25</v>
      </c>
      <c r="J31" t="s">
        <v>101</v>
      </c>
      <c r="K31" t="s">
        <v>104</v>
      </c>
      <c r="L31" t="s">
        <v>103</v>
      </c>
      <c r="M31">
        <v>1169.0560399599999</v>
      </c>
      <c r="N31">
        <v>0</v>
      </c>
      <c r="O31" t="s">
        <v>79</v>
      </c>
      <c r="P31" s="39">
        <v>44334.107075081018</v>
      </c>
      <c r="Q31">
        <v>6360110</v>
      </c>
      <c r="R31" t="s">
        <v>82</v>
      </c>
      <c r="S31" s="4">
        <v>1183.8465558600001</v>
      </c>
      <c r="W31"/>
      <c r="X31">
        <v>0</v>
      </c>
      <c r="AC31" t="s">
        <v>84</v>
      </c>
      <c r="AD31" s="39">
        <v>42552</v>
      </c>
    </row>
    <row r="32" spans="1:30" x14ac:dyDescent="0.25">
      <c r="A32">
        <v>490481</v>
      </c>
      <c r="B32" t="s">
        <v>131</v>
      </c>
      <c r="C32">
        <v>2016</v>
      </c>
      <c r="D32">
        <v>9</v>
      </c>
      <c r="E32" t="s">
        <v>85</v>
      </c>
      <c r="F32" t="s">
        <v>84</v>
      </c>
      <c r="G32" t="s">
        <v>84</v>
      </c>
      <c r="H32" t="s">
        <v>25</v>
      </c>
      <c r="I32" t="s">
        <v>25</v>
      </c>
      <c r="J32" t="s">
        <v>101</v>
      </c>
      <c r="K32" t="s">
        <v>86</v>
      </c>
      <c r="L32" t="s">
        <v>103</v>
      </c>
      <c r="M32">
        <v>2263.3159081700001</v>
      </c>
      <c r="N32">
        <v>0</v>
      </c>
      <c r="O32" t="s">
        <v>79</v>
      </c>
      <c r="P32" s="39">
        <v>44330.097784143523</v>
      </c>
      <c r="Q32">
        <v>4588262</v>
      </c>
      <c r="R32" t="s">
        <v>74</v>
      </c>
      <c r="S32" s="4">
        <v>33.642880519999999</v>
      </c>
      <c r="W32"/>
      <c r="X32">
        <v>0</v>
      </c>
      <c r="AC32" t="s">
        <v>84</v>
      </c>
      <c r="AD32" s="39">
        <v>42614</v>
      </c>
    </row>
    <row r="33" spans="1:30" x14ac:dyDescent="0.25">
      <c r="A33">
        <v>490499</v>
      </c>
      <c r="B33" t="s">
        <v>131</v>
      </c>
      <c r="C33">
        <v>2016</v>
      </c>
      <c r="D33">
        <v>9</v>
      </c>
      <c r="E33" t="s">
        <v>87</v>
      </c>
      <c r="F33" t="s">
        <v>84</v>
      </c>
      <c r="G33" t="s">
        <v>84</v>
      </c>
      <c r="H33" t="s">
        <v>25</v>
      </c>
      <c r="I33" t="s">
        <v>25</v>
      </c>
      <c r="J33" t="s">
        <v>101</v>
      </c>
      <c r="K33" t="s">
        <v>104</v>
      </c>
      <c r="L33" t="s">
        <v>103</v>
      </c>
      <c r="M33">
        <v>672.74702771</v>
      </c>
      <c r="N33">
        <v>0</v>
      </c>
      <c r="O33" t="s">
        <v>79</v>
      </c>
      <c r="P33" s="39">
        <v>44330.097784641213</v>
      </c>
      <c r="Q33">
        <v>4588298</v>
      </c>
      <c r="R33" t="s">
        <v>74</v>
      </c>
      <c r="S33" s="4">
        <v>18.0419491</v>
      </c>
      <c r="W33"/>
      <c r="X33">
        <v>0</v>
      </c>
      <c r="AC33" t="s">
        <v>84</v>
      </c>
      <c r="AD33" s="39">
        <v>42614</v>
      </c>
    </row>
    <row r="34" spans="1:30" x14ac:dyDescent="0.25">
      <c r="A34">
        <v>490517</v>
      </c>
      <c r="B34" t="s">
        <v>131</v>
      </c>
      <c r="C34">
        <v>2016</v>
      </c>
      <c r="D34">
        <v>9</v>
      </c>
      <c r="E34" t="s">
        <v>89</v>
      </c>
      <c r="F34" t="s">
        <v>84</v>
      </c>
      <c r="G34" t="s">
        <v>84</v>
      </c>
      <c r="H34" t="s">
        <v>25</v>
      </c>
      <c r="I34" t="s">
        <v>25</v>
      </c>
      <c r="J34" t="s">
        <v>101</v>
      </c>
      <c r="K34" t="s">
        <v>90</v>
      </c>
      <c r="L34" t="s">
        <v>103</v>
      </c>
      <c r="M34">
        <v>1264.39372551</v>
      </c>
      <c r="N34">
        <v>0</v>
      </c>
      <c r="O34" t="s">
        <v>79</v>
      </c>
      <c r="P34" s="39">
        <v>44330.097785150458</v>
      </c>
      <c r="Q34">
        <v>4588334</v>
      </c>
      <c r="R34" t="s">
        <v>74</v>
      </c>
      <c r="S34" s="4">
        <v>33.383203379999998</v>
      </c>
      <c r="W34"/>
      <c r="X34">
        <v>0</v>
      </c>
      <c r="AC34" t="s">
        <v>84</v>
      </c>
      <c r="AD34" s="39">
        <v>42614</v>
      </c>
    </row>
    <row r="35" spans="1:30" x14ac:dyDescent="0.25">
      <c r="A35">
        <v>490517</v>
      </c>
      <c r="B35" t="s">
        <v>131</v>
      </c>
      <c r="C35">
        <v>2016</v>
      </c>
      <c r="D35">
        <v>9</v>
      </c>
      <c r="E35" t="s">
        <v>89</v>
      </c>
      <c r="F35" t="s">
        <v>84</v>
      </c>
      <c r="G35" t="s">
        <v>84</v>
      </c>
      <c r="H35" t="s">
        <v>25</v>
      </c>
      <c r="I35" t="s">
        <v>25</v>
      </c>
      <c r="J35" t="s">
        <v>101</v>
      </c>
      <c r="K35" t="s">
        <v>90</v>
      </c>
      <c r="L35" t="s">
        <v>103</v>
      </c>
      <c r="M35">
        <v>1264.39372551</v>
      </c>
      <c r="N35">
        <v>0</v>
      </c>
      <c r="O35" t="s">
        <v>79</v>
      </c>
      <c r="P35" s="39">
        <v>44330.097785150458</v>
      </c>
      <c r="Q35">
        <v>4588333</v>
      </c>
      <c r="R35" t="s">
        <v>82</v>
      </c>
      <c r="S35" s="4">
        <v>1280.9161424700001</v>
      </c>
      <c r="W35"/>
      <c r="X35">
        <v>0</v>
      </c>
      <c r="AC35" t="s">
        <v>84</v>
      </c>
      <c r="AD35" s="39">
        <v>42614</v>
      </c>
    </row>
    <row r="36" spans="1:30" x14ac:dyDescent="0.25">
      <c r="A36">
        <v>490499</v>
      </c>
      <c r="B36" t="s">
        <v>131</v>
      </c>
      <c r="C36">
        <v>2016</v>
      </c>
      <c r="D36">
        <v>9</v>
      </c>
      <c r="E36" t="s">
        <v>87</v>
      </c>
      <c r="F36" t="s">
        <v>84</v>
      </c>
      <c r="G36" t="s">
        <v>84</v>
      </c>
      <c r="H36" t="s">
        <v>25</v>
      </c>
      <c r="I36" t="s">
        <v>25</v>
      </c>
      <c r="J36" t="s">
        <v>101</v>
      </c>
      <c r="K36" t="s">
        <v>104</v>
      </c>
      <c r="L36" t="s">
        <v>103</v>
      </c>
      <c r="M36">
        <v>672.74702771</v>
      </c>
      <c r="N36">
        <v>0</v>
      </c>
      <c r="O36" t="s">
        <v>79</v>
      </c>
      <c r="P36" s="39">
        <v>44330.097784641213</v>
      </c>
      <c r="Q36">
        <v>4588297</v>
      </c>
      <c r="R36" t="s">
        <v>82</v>
      </c>
      <c r="S36" s="4">
        <v>681.25840378999999</v>
      </c>
      <c r="W36"/>
      <c r="X36">
        <v>0</v>
      </c>
      <c r="AC36" t="s">
        <v>84</v>
      </c>
      <c r="AD36" s="39">
        <v>42614</v>
      </c>
    </row>
    <row r="37" spans="1:30" x14ac:dyDescent="0.25">
      <c r="A37">
        <v>490481</v>
      </c>
      <c r="B37" t="s">
        <v>131</v>
      </c>
      <c r="C37">
        <v>2016</v>
      </c>
      <c r="D37">
        <v>9</v>
      </c>
      <c r="E37" t="s">
        <v>85</v>
      </c>
      <c r="F37" t="s">
        <v>84</v>
      </c>
      <c r="G37" t="s">
        <v>84</v>
      </c>
      <c r="H37" t="s">
        <v>25</v>
      </c>
      <c r="I37" t="s">
        <v>25</v>
      </c>
      <c r="J37" t="s">
        <v>101</v>
      </c>
      <c r="K37" t="s">
        <v>86</v>
      </c>
      <c r="L37" t="s">
        <v>103</v>
      </c>
      <c r="M37">
        <v>2263.3159081700001</v>
      </c>
      <c r="N37">
        <v>0</v>
      </c>
      <c r="O37" t="s">
        <v>79</v>
      </c>
      <c r="P37" s="39">
        <v>44330.097784143523</v>
      </c>
      <c r="Q37">
        <v>4588261</v>
      </c>
      <c r="R37" t="s">
        <v>82</v>
      </c>
      <c r="S37" s="4">
        <v>2319.0061065499999</v>
      </c>
      <c r="W37"/>
      <c r="X37">
        <v>0</v>
      </c>
      <c r="AC37" t="s">
        <v>84</v>
      </c>
      <c r="AD37" s="39">
        <v>42614</v>
      </c>
    </row>
    <row r="38" spans="1:30" x14ac:dyDescent="0.25">
      <c r="A38">
        <v>496212</v>
      </c>
      <c r="B38" t="s">
        <v>133</v>
      </c>
      <c r="C38">
        <v>2016</v>
      </c>
      <c r="D38">
        <v>10</v>
      </c>
      <c r="E38" t="s">
        <v>89</v>
      </c>
      <c r="F38" t="s">
        <v>84</v>
      </c>
      <c r="G38" t="s">
        <v>84</v>
      </c>
      <c r="H38" t="s">
        <v>25</v>
      </c>
      <c r="I38" t="s">
        <v>25</v>
      </c>
      <c r="J38" t="s">
        <v>101</v>
      </c>
      <c r="K38" t="s">
        <v>90</v>
      </c>
      <c r="L38" t="s">
        <v>103</v>
      </c>
      <c r="M38">
        <v>717.31728549000002</v>
      </c>
      <c r="N38">
        <v>0</v>
      </c>
      <c r="O38" t="s">
        <v>79</v>
      </c>
      <c r="P38" s="39">
        <v>44330.098264814813</v>
      </c>
      <c r="Q38">
        <v>4615654</v>
      </c>
      <c r="R38" t="s">
        <v>74</v>
      </c>
      <c r="S38" s="4">
        <v>18.938996889999999</v>
      </c>
      <c r="W38"/>
      <c r="X38">
        <v>0</v>
      </c>
      <c r="AC38" t="s">
        <v>84</v>
      </c>
      <c r="AD38" s="39">
        <v>42644</v>
      </c>
    </row>
    <row r="39" spans="1:30" x14ac:dyDescent="0.25">
      <c r="A39">
        <v>496194</v>
      </c>
      <c r="B39" t="s">
        <v>133</v>
      </c>
      <c r="C39">
        <v>2016</v>
      </c>
      <c r="D39">
        <v>10</v>
      </c>
      <c r="E39" t="s">
        <v>87</v>
      </c>
      <c r="F39" t="s">
        <v>84</v>
      </c>
      <c r="G39" t="s">
        <v>84</v>
      </c>
      <c r="H39" t="s">
        <v>25</v>
      </c>
      <c r="I39" t="s">
        <v>25</v>
      </c>
      <c r="J39" t="s">
        <v>101</v>
      </c>
      <c r="K39" t="s">
        <v>88</v>
      </c>
      <c r="L39" t="s">
        <v>103</v>
      </c>
      <c r="M39">
        <v>420.24133938</v>
      </c>
      <c r="N39">
        <v>0</v>
      </c>
      <c r="O39" t="s">
        <v>79</v>
      </c>
      <c r="P39" s="39">
        <v>44330.098264351851</v>
      </c>
      <c r="Q39">
        <v>4615618</v>
      </c>
      <c r="R39" t="s">
        <v>74</v>
      </c>
      <c r="S39" s="4">
        <v>11.27016924</v>
      </c>
      <c r="W39"/>
      <c r="X39">
        <v>0</v>
      </c>
      <c r="AC39" t="s">
        <v>84</v>
      </c>
      <c r="AD39" s="39">
        <v>42644</v>
      </c>
    </row>
    <row r="40" spans="1:30" x14ac:dyDescent="0.25">
      <c r="A40">
        <v>496176</v>
      </c>
      <c r="B40" t="s">
        <v>133</v>
      </c>
      <c r="C40">
        <v>2016</v>
      </c>
      <c r="D40">
        <v>10</v>
      </c>
      <c r="E40" t="s">
        <v>85</v>
      </c>
      <c r="F40" t="s">
        <v>84</v>
      </c>
      <c r="G40" t="s">
        <v>84</v>
      </c>
      <c r="H40" t="s">
        <v>25</v>
      </c>
      <c r="I40" t="s">
        <v>25</v>
      </c>
      <c r="J40" t="s">
        <v>101</v>
      </c>
      <c r="K40" t="s">
        <v>86</v>
      </c>
      <c r="L40" t="s">
        <v>103</v>
      </c>
      <c r="M40">
        <v>1382.4463402700001</v>
      </c>
      <c r="N40">
        <v>0</v>
      </c>
      <c r="O40" t="s">
        <v>79</v>
      </c>
      <c r="P40" s="39">
        <v>44330.098263807871</v>
      </c>
      <c r="Q40">
        <v>4615582</v>
      </c>
      <c r="R40" t="s">
        <v>74</v>
      </c>
      <c r="S40" s="4">
        <v>20.549264409999999</v>
      </c>
      <c r="W40"/>
      <c r="X40">
        <v>0</v>
      </c>
      <c r="AC40" t="s">
        <v>84</v>
      </c>
      <c r="AD40" s="39">
        <v>42644</v>
      </c>
    </row>
    <row r="41" spans="1:30" x14ac:dyDescent="0.25">
      <c r="A41">
        <v>496176</v>
      </c>
      <c r="B41" t="s">
        <v>133</v>
      </c>
      <c r="C41">
        <v>2016</v>
      </c>
      <c r="D41">
        <v>10</v>
      </c>
      <c r="E41" t="s">
        <v>85</v>
      </c>
      <c r="F41" t="s">
        <v>84</v>
      </c>
      <c r="G41" t="s">
        <v>84</v>
      </c>
      <c r="H41" t="s">
        <v>25</v>
      </c>
      <c r="I41" t="s">
        <v>25</v>
      </c>
      <c r="J41" t="s">
        <v>101</v>
      </c>
      <c r="K41" t="s">
        <v>86</v>
      </c>
      <c r="L41" t="s">
        <v>103</v>
      </c>
      <c r="M41">
        <v>1382.4463402700001</v>
      </c>
      <c r="N41">
        <v>0</v>
      </c>
      <c r="O41" t="s">
        <v>79</v>
      </c>
      <c r="P41" s="39">
        <v>44330.098263807871</v>
      </c>
      <c r="Q41">
        <v>4615581</v>
      </c>
      <c r="R41" t="s">
        <v>82</v>
      </c>
      <c r="S41" s="4">
        <v>1416.46223291</v>
      </c>
      <c r="W41"/>
      <c r="X41">
        <v>0</v>
      </c>
      <c r="AC41" t="s">
        <v>84</v>
      </c>
      <c r="AD41" s="39">
        <v>42644</v>
      </c>
    </row>
    <row r="42" spans="1:30" x14ac:dyDescent="0.25">
      <c r="A42">
        <v>496194</v>
      </c>
      <c r="B42" t="s">
        <v>133</v>
      </c>
      <c r="C42">
        <v>2016</v>
      </c>
      <c r="D42">
        <v>10</v>
      </c>
      <c r="E42" t="s">
        <v>87</v>
      </c>
      <c r="F42" t="s">
        <v>84</v>
      </c>
      <c r="G42" t="s">
        <v>84</v>
      </c>
      <c r="H42" t="s">
        <v>25</v>
      </c>
      <c r="I42" t="s">
        <v>25</v>
      </c>
      <c r="J42" t="s">
        <v>101</v>
      </c>
      <c r="K42" t="s">
        <v>88</v>
      </c>
      <c r="L42" t="s">
        <v>103</v>
      </c>
      <c r="M42">
        <v>420.24133938</v>
      </c>
      <c r="N42">
        <v>0</v>
      </c>
      <c r="O42" t="s">
        <v>79</v>
      </c>
      <c r="P42" s="39">
        <v>44330.098264351851</v>
      </c>
      <c r="Q42">
        <v>4615617</v>
      </c>
      <c r="R42" t="s">
        <v>82</v>
      </c>
      <c r="S42" s="4">
        <v>425.55809579999999</v>
      </c>
      <c r="W42"/>
      <c r="X42">
        <v>0</v>
      </c>
      <c r="AC42" t="s">
        <v>84</v>
      </c>
      <c r="AD42" s="39">
        <v>42644</v>
      </c>
    </row>
    <row r="43" spans="1:30" x14ac:dyDescent="0.25">
      <c r="A43">
        <v>496212</v>
      </c>
      <c r="B43" t="s">
        <v>133</v>
      </c>
      <c r="C43">
        <v>2016</v>
      </c>
      <c r="D43">
        <v>10</v>
      </c>
      <c r="E43" t="s">
        <v>89</v>
      </c>
      <c r="F43" t="s">
        <v>84</v>
      </c>
      <c r="G43" t="s">
        <v>84</v>
      </c>
      <c r="H43" t="s">
        <v>25</v>
      </c>
      <c r="I43" t="s">
        <v>25</v>
      </c>
      <c r="J43" t="s">
        <v>101</v>
      </c>
      <c r="K43" t="s">
        <v>90</v>
      </c>
      <c r="L43" t="s">
        <v>103</v>
      </c>
      <c r="M43">
        <v>717.31728549000002</v>
      </c>
      <c r="N43">
        <v>0</v>
      </c>
      <c r="O43" t="s">
        <v>79</v>
      </c>
      <c r="P43" s="39">
        <v>44330.098264814813</v>
      </c>
      <c r="Q43">
        <v>4615653</v>
      </c>
      <c r="R43" t="s">
        <v>82</v>
      </c>
      <c r="S43" s="4">
        <v>726.69080185999997</v>
      </c>
      <c r="W43"/>
      <c r="X43">
        <v>0</v>
      </c>
      <c r="AC43" t="s">
        <v>84</v>
      </c>
      <c r="AD43" s="39">
        <v>42644</v>
      </c>
    </row>
    <row r="44" spans="1:30" x14ac:dyDescent="0.25">
      <c r="A44">
        <v>505299</v>
      </c>
      <c r="B44" t="s">
        <v>130</v>
      </c>
      <c r="C44">
        <v>2016</v>
      </c>
      <c r="D44">
        <v>11</v>
      </c>
      <c r="E44" t="s">
        <v>87</v>
      </c>
      <c r="F44" t="s">
        <v>84</v>
      </c>
      <c r="G44" t="s">
        <v>84</v>
      </c>
      <c r="H44" t="s">
        <v>25</v>
      </c>
      <c r="I44" t="s">
        <v>25</v>
      </c>
      <c r="J44" t="s">
        <v>101</v>
      </c>
      <c r="K44" t="s">
        <v>88</v>
      </c>
      <c r="L44" t="s">
        <v>103</v>
      </c>
      <c r="M44">
        <v>3.0402221699999998</v>
      </c>
      <c r="N44">
        <v>0</v>
      </c>
      <c r="O44" t="s">
        <v>79</v>
      </c>
      <c r="P44" s="39">
        <v>44330.099023298608</v>
      </c>
      <c r="Q44">
        <v>4677104</v>
      </c>
      <c r="R44" t="s">
        <v>74</v>
      </c>
      <c r="S44" s="4">
        <v>8.1533670000000003E-2</v>
      </c>
      <c r="W44"/>
      <c r="X44">
        <v>0</v>
      </c>
      <c r="AC44" t="s">
        <v>84</v>
      </c>
      <c r="AD44" s="39">
        <v>42675</v>
      </c>
    </row>
    <row r="45" spans="1:30" x14ac:dyDescent="0.25">
      <c r="A45">
        <v>505281</v>
      </c>
      <c r="B45" t="s">
        <v>130</v>
      </c>
      <c r="C45">
        <v>2016</v>
      </c>
      <c r="D45">
        <v>11</v>
      </c>
      <c r="E45" t="s">
        <v>85</v>
      </c>
      <c r="F45" t="s">
        <v>84</v>
      </c>
      <c r="G45" t="s">
        <v>84</v>
      </c>
      <c r="H45" t="s">
        <v>25</v>
      </c>
      <c r="I45" t="s">
        <v>25</v>
      </c>
      <c r="J45" t="s">
        <v>101</v>
      </c>
      <c r="K45" t="s">
        <v>86</v>
      </c>
      <c r="L45" t="s">
        <v>103</v>
      </c>
      <c r="M45">
        <v>10.93651025</v>
      </c>
      <c r="N45">
        <v>0</v>
      </c>
      <c r="O45" t="s">
        <v>79</v>
      </c>
      <c r="P45" s="39">
        <v>44330.09902276619</v>
      </c>
      <c r="Q45">
        <v>4677068</v>
      </c>
      <c r="R45" t="s">
        <v>74</v>
      </c>
      <c r="S45" s="4">
        <v>0.16256488999999999</v>
      </c>
      <c r="W45"/>
      <c r="X45">
        <v>0</v>
      </c>
      <c r="AC45" t="s">
        <v>84</v>
      </c>
      <c r="AD45" s="39">
        <v>42675</v>
      </c>
    </row>
    <row r="46" spans="1:30" x14ac:dyDescent="0.25">
      <c r="A46">
        <v>505317</v>
      </c>
      <c r="B46" t="s">
        <v>130</v>
      </c>
      <c r="C46">
        <v>2016</v>
      </c>
      <c r="D46">
        <v>11</v>
      </c>
      <c r="E46" t="s">
        <v>89</v>
      </c>
      <c r="F46" t="s">
        <v>84</v>
      </c>
      <c r="G46" t="s">
        <v>84</v>
      </c>
      <c r="H46" t="s">
        <v>25</v>
      </c>
      <c r="I46" t="s">
        <v>25</v>
      </c>
      <c r="J46" t="s">
        <v>101</v>
      </c>
      <c r="K46" t="s">
        <v>90</v>
      </c>
      <c r="L46" t="s">
        <v>103</v>
      </c>
      <c r="M46">
        <v>4.6410682200000002</v>
      </c>
      <c r="N46">
        <v>0</v>
      </c>
      <c r="O46" t="s">
        <v>79</v>
      </c>
      <c r="P46" s="39">
        <v>44330.099023842587</v>
      </c>
      <c r="Q46">
        <v>4677140</v>
      </c>
      <c r="R46" t="s">
        <v>74</v>
      </c>
      <c r="S46" s="4">
        <v>0.12253598</v>
      </c>
      <c r="W46"/>
      <c r="X46">
        <v>0</v>
      </c>
      <c r="AC46" t="s">
        <v>84</v>
      </c>
      <c r="AD46" s="39">
        <v>42675</v>
      </c>
    </row>
    <row r="47" spans="1:30" x14ac:dyDescent="0.25">
      <c r="A47">
        <v>505281</v>
      </c>
      <c r="B47" t="s">
        <v>130</v>
      </c>
      <c r="C47">
        <v>2016</v>
      </c>
      <c r="D47">
        <v>11</v>
      </c>
      <c r="E47" t="s">
        <v>85</v>
      </c>
      <c r="F47" t="s">
        <v>84</v>
      </c>
      <c r="G47" t="s">
        <v>84</v>
      </c>
      <c r="H47" t="s">
        <v>25</v>
      </c>
      <c r="I47" t="s">
        <v>25</v>
      </c>
      <c r="J47" t="s">
        <v>101</v>
      </c>
      <c r="K47" t="s">
        <v>86</v>
      </c>
      <c r="L47" t="s">
        <v>103</v>
      </c>
      <c r="M47">
        <v>10.93651025</v>
      </c>
      <c r="N47">
        <v>0</v>
      </c>
      <c r="O47" t="s">
        <v>79</v>
      </c>
      <c r="P47" s="39">
        <v>44330.09902276619</v>
      </c>
      <c r="Q47">
        <v>4677067</v>
      </c>
      <c r="R47" t="s">
        <v>82</v>
      </c>
      <c r="S47" s="4">
        <v>11.20560942</v>
      </c>
      <c r="W47"/>
      <c r="X47">
        <v>0</v>
      </c>
      <c r="AC47" t="s">
        <v>84</v>
      </c>
      <c r="AD47" s="39">
        <v>42675</v>
      </c>
    </row>
    <row r="48" spans="1:30" x14ac:dyDescent="0.25">
      <c r="A48">
        <v>505299</v>
      </c>
      <c r="B48" t="s">
        <v>130</v>
      </c>
      <c r="C48">
        <v>2016</v>
      </c>
      <c r="D48">
        <v>11</v>
      </c>
      <c r="E48" t="s">
        <v>87</v>
      </c>
      <c r="F48" t="s">
        <v>84</v>
      </c>
      <c r="G48" t="s">
        <v>84</v>
      </c>
      <c r="H48" t="s">
        <v>25</v>
      </c>
      <c r="I48" t="s">
        <v>25</v>
      </c>
      <c r="J48" t="s">
        <v>101</v>
      </c>
      <c r="K48" t="s">
        <v>88</v>
      </c>
      <c r="L48" t="s">
        <v>103</v>
      </c>
      <c r="M48">
        <v>3.0402221699999998</v>
      </c>
      <c r="N48">
        <v>0</v>
      </c>
      <c r="O48" t="s">
        <v>79</v>
      </c>
      <c r="P48" s="39">
        <v>44330.099023298608</v>
      </c>
      <c r="Q48">
        <v>4677103</v>
      </c>
      <c r="R48" t="s">
        <v>82</v>
      </c>
      <c r="S48" s="4">
        <v>3.0786860699999998</v>
      </c>
      <c r="W48"/>
      <c r="X48">
        <v>0</v>
      </c>
      <c r="AC48" t="s">
        <v>84</v>
      </c>
      <c r="AD48" s="39">
        <v>42675</v>
      </c>
    </row>
    <row r="49" spans="1:30" x14ac:dyDescent="0.25">
      <c r="A49">
        <v>505317</v>
      </c>
      <c r="B49" t="s">
        <v>130</v>
      </c>
      <c r="C49">
        <v>2016</v>
      </c>
      <c r="D49">
        <v>11</v>
      </c>
      <c r="E49" t="s">
        <v>89</v>
      </c>
      <c r="F49" t="s">
        <v>84</v>
      </c>
      <c r="G49" t="s">
        <v>84</v>
      </c>
      <c r="H49" t="s">
        <v>25</v>
      </c>
      <c r="I49" t="s">
        <v>25</v>
      </c>
      <c r="J49" t="s">
        <v>101</v>
      </c>
      <c r="K49" t="s">
        <v>90</v>
      </c>
      <c r="L49" t="s">
        <v>103</v>
      </c>
      <c r="M49">
        <v>4.6410682200000002</v>
      </c>
      <c r="N49">
        <v>0</v>
      </c>
      <c r="O49" t="s">
        <v>79</v>
      </c>
      <c r="P49" s="39">
        <v>44330.099023842587</v>
      </c>
      <c r="Q49">
        <v>4677139</v>
      </c>
      <c r="R49" t="s">
        <v>82</v>
      </c>
      <c r="S49" s="4">
        <v>4.7017151999999998</v>
      </c>
      <c r="W49"/>
      <c r="X49">
        <v>0</v>
      </c>
      <c r="AC49" t="s">
        <v>84</v>
      </c>
      <c r="AD49" s="39">
        <v>42675</v>
      </c>
    </row>
    <row r="50" spans="1:30" x14ac:dyDescent="0.25">
      <c r="A50">
        <v>518433</v>
      </c>
      <c r="B50" t="s">
        <v>132</v>
      </c>
      <c r="C50">
        <v>2016</v>
      </c>
      <c r="D50">
        <v>12</v>
      </c>
      <c r="E50" t="s">
        <v>85</v>
      </c>
      <c r="F50" t="s">
        <v>84</v>
      </c>
      <c r="G50" t="s">
        <v>84</v>
      </c>
      <c r="H50" t="s">
        <v>25</v>
      </c>
      <c r="I50" t="s">
        <v>25</v>
      </c>
      <c r="J50" t="s">
        <v>101</v>
      </c>
      <c r="K50" t="s">
        <v>86</v>
      </c>
      <c r="L50" t="s">
        <v>103</v>
      </c>
      <c r="M50">
        <v>2.1233140000000001E-2</v>
      </c>
      <c r="N50">
        <v>0</v>
      </c>
      <c r="O50" t="s">
        <v>79</v>
      </c>
      <c r="P50" s="39">
        <v>44330.1002351852</v>
      </c>
      <c r="Q50">
        <v>4792674</v>
      </c>
      <c r="R50" t="s">
        <v>74</v>
      </c>
      <c r="S50" s="4">
        <v>3.1562000000000002E-4</v>
      </c>
      <c r="W50"/>
      <c r="X50">
        <v>0</v>
      </c>
      <c r="AC50" t="s">
        <v>84</v>
      </c>
      <c r="AD50" s="39">
        <v>42705</v>
      </c>
    </row>
    <row r="51" spans="1:30" x14ac:dyDescent="0.25">
      <c r="A51">
        <v>518451</v>
      </c>
      <c r="B51" t="s">
        <v>132</v>
      </c>
      <c r="C51">
        <v>2016</v>
      </c>
      <c r="D51">
        <v>12</v>
      </c>
      <c r="E51" t="s">
        <v>87</v>
      </c>
      <c r="F51" t="s">
        <v>84</v>
      </c>
      <c r="G51" t="s">
        <v>84</v>
      </c>
      <c r="H51" t="s">
        <v>25</v>
      </c>
      <c r="I51" t="s">
        <v>25</v>
      </c>
      <c r="J51" t="s">
        <v>101</v>
      </c>
      <c r="K51" t="s">
        <v>88</v>
      </c>
      <c r="L51" t="s">
        <v>103</v>
      </c>
      <c r="M51">
        <v>5.24655E-3</v>
      </c>
      <c r="N51">
        <v>0</v>
      </c>
      <c r="O51" t="s">
        <v>79</v>
      </c>
      <c r="P51" s="39">
        <v>44330.100235682869</v>
      </c>
      <c r="Q51">
        <v>4792710</v>
      </c>
      <c r="R51" t="s">
        <v>74</v>
      </c>
      <c r="S51" s="4">
        <v>1.407E-4</v>
      </c>
      <c r="W51"/>
      <c r="X51">
        <v>0</v>
      </c>
      <c r="AC51" t="s">
        <v>84</v>
      </c>
      <c r="AD51" s="39">
        <v>42705</v>
      </c>
    </row>
    <row r="52" spans="1:30" x14ac:dyDescent="0.25">
      <c r="A52">
        <v>518469</v>
      </c>
      <c r="B52" t="s">
        <v>132</v>
      </c>
      <c r="C52">
        <v>2016</v>
      </c>
      <c r="D52">
        <v>12</v>
      </c>
      <c r="E52" t="s">
        <v>89</v>
      </c>
      <c r="F52" t="s">
        <v>84</v>
      </c>
      <c r="G52" t="s">
        <v>84</v>
      </c>
      <c r="H52" t="s">
        <v>25</v>
      </c>
      <c r="I52" t="s">
        <v>25</v>
      </c>
      <c r="J52" t="s">
        <v>101</v>
      </c>
      <c r="K52" t="s">
        <v>90</v>
      </c>
      <c r="L52" t="s">
        <v>103</v>
      </c>
      <c r="M52">
        <v>7.6207699999999998E-3</v>
      </c>
      <c r="N52">
        <v>0</v>
      </c>
      <c r="O52" t="s">
        <v>79</v>
      </c>
      <c r="P52" s="39">
        <v>44330.100236226863</v>
      </c>
      <c r="Q52">
        <v>4792746</v>
      </c>
      <c r="R52" t="s">
        <v>74</v>
      </c>
      <c r="S52" s="4">
        <v>2.0121000000000001E-4</v>
      </c>
      <c r="W52"/>
      <c r="X52">
        <v>0</v>
      </c>
      <c r="AC52" t="s">
        <v>84</v>
      </c>
      <c r="AD52" s="39">
        <v>42705</v>
      </c>
    </row>
    <row r="53" spans="1:30" x14ac:dyDescent="0.25">
      <c r="A53">
        <v>518433</v>
      </c>
      <c r="B53" t="s">
        <v>132</v>
      </c>
      <c r="C53">
        <v>2016</v>
      </c>
      <c r="D53">
        <v>12</v>
      </c>
      <c r="E53" t="s">
        <v>85</v>
      </c>
      <c r="F53" t="s">
        <v>84</v>
      </c>
      <c r="G53" t="s">
        <v>84</v>
      </c>
      <c r="H53" t="s">
        <v>25</v>
      </c>
      <c r="I53" t="s">
        <v>25</v>
      </c>
      <c r="J53" t="s">
        <v>101</v>
      </c>
      <c r="K53" t="s">
        <v>86</v>
      </c>
      <c r="L53" t="s">
        <v>103</v>
      </c>
      <c r="M53">
        <v>2.1233140000000001E-2</v>
      </c>
      <c r="N53">
        <v>0</v>
      </c>
      <c r="O53" t="s">
        <v>79</v>
      </c>
      <c r="P53" s="39">
        <v>44330.1002351852</v>
      </c>
      <c r="Q53">
        <v>4792673</v>
      </c>
      <c r="R53" t="s">
        <v>82</v>
      </c>
      <c r="S53" s="4">
        <v>2.1755590000000002E-2</v>
      </c>
      <c r="W53"/>
      <c r="X53">
        <v>0</v>
      </c>
      <c r="AC53" t="s">
        <v>84</v>
      </c>
      <c r="AD53" s="39">
        <v>42705</v>
      </c>
    </row>
    <row r="54" spans="1:30" x14ac:dyDescent="0.25">
      <c r="A54">
        <v>518469</v>
      </c>
      <c r="B54" t="s">
        <v>132</v>
      </c>
      <c r="C54">
        <v>2016</v>
      </c>
      <c r="D54">
        <v>12</v>
      </c>
      <c r="E54" t="s">
        <v>89</v>
      </c>
      <c r="F54" t="s">
        <v>84</v>
      </c>
      <c r="G54" t="s">
        <v>84</v>
      </c>
      <c r="H54" t="s">
        <v>25</v>
      </c>
      <c r="I54" t="s">
        <v>25</v>
      </c>
      <c r="J54" t="s">
        <v>101</v>
      </c>
      <c r="K54" t="s">
        <v>90</v>
      </c>
      <c r="L54" t="s">
        <v>103</v>
      </c>
      <c r="M54">
        <v>7.6207699999999998E-3</v>
      </c>
      <c r="N54">
        <v>0</v>
      </c>
      <c r="O54" t="s">
        <v>79</v>
      </c>
      <c r="P54" s="39">
        <v>44330.100236226863</v>
      </c>
      <c r="Q54">
        <v>4792745</v>
      </c>
      <c r="R54" t="s">
        <v>82</v>
      </c>
      <c r="S54" s="4">
        <v>7.72035E-3</v>
      </c>
      <c r="W54"/>
      <c r="X54">
        <v>0</v>
      </c>
      <c r="AC54" t="s">
        <v>84</v>
      </c>
      <c r="AD54" s="39">
        <v>42705</v>
      </c>
    </row>
    <row r="55" spans="1:30" x14ac:dyDescent="0.25">
      <c r="A55">
        <v>518451</v>
      </c>
      <c r="B55" t="s">
        <v>132</v>
      </c>
      <c r="C55">
        <v>2016</v>
      </c>
      <c r="D55">
        <v>12</v>
      </c>
      <c r="E55" t="s">
        <v>87</v>
      </c>
      <c r="F55" t="s">
        <v>84</v>
      </c>
      <c r="G55" t="s">
        <v>84</v>
      </c>
      <c r="H55" t="s">
        <v>25</v>
      </c>
      <c r="I55" t="s">
        <v>25</v>
      </c>
      <c r="J55" t="s">
        <v>101</v>
      </c>
      <c r="K55" t="s">
        <v>88</v>
      </c>
      <c r="L55" t="s">
        <v>103</v>
      </c>
      <c r="M55">
        <v>5.24655E-3</v>
      </c>
      <c r="N55">
        <v>0</v>
      </c>
      <c r="O55" t="s">
        <v>79</v>
      </c>
      <c r="P55" s="39">
        <v>44330.100235682869</v>
      </c>
      <c r="Q55">
        <v>4792709</v>
      </c>
      <c r="R55" t="s">
        <v>82</v>
      </c>
      <c r="S55" s="4">
        <v>5.3129300000000004E-3</v>
      </c>
      <c r="W55"/>
      <c r="X55">
        <v>0</v>
      </c>
      <c r="AC55" t="s">
        <v>84</v>
      </c>
      <c r="AD55" s="39">
        <v>42705</v>
      </c>
    </row>
    <row r="56" spans="1:30" x14ac:dyDescent="0.25">
      <c r="A56">
        <v>520743</v>
      </c>
      <c r="B56" t="s">
        <v>124</v>
      </c>
      <c r="C56">
        <v>2017</v>
      </c>
      <c r="D56">
        <v>2</v>
      </c>
      <c r="E56" t="s">
        <v>89</v>
      </c>
      <c r="F56" t="s">
        <v>84</v>
      </c>
      <c r="G56" t="s">
        <v>84</v>
      </c>
      <c r="H56" t="s">
        <v>25</v>
      </c>
      <c r="I56" t="s">
        <v>25</v>
      </c>
      <c r="J56" t="s">
        <v>101</v>
      </c>
      <c r="K56" t="s">
        <v>90</v>
      </c>
      <c r="L56" t="s">
        <v>103</v>
      </c>
      <c r="M56">
        <v>1936.6982957099999</v>
      </c>
      <c r="N56">
        <v>0</v>
      </c>
      <c r="O56" t="s">
        <v>79</v>
      </c>
      <c r="P56" s="39">
        <v>44330.100814583333</v>
      </c>
      <c r="Q56">
        <v>4802892</v>
      </c>
      <c r="R56" t="s">
        <v>74</v>
      </c>
      <c r="S56" s="4">
        <v>51.13375035</v>
      </c>
      <c r="W56"/>
      <c r="X56">
        <v>0</v>
      </c>
      <c r="AC56" t="s">
        <v>84</v>
      </c>
      <c r="AD56" s="39">
        <v>42767</v>
      </c>
    </row>
    <row r="57" spans="1:30" x14ac:dyDescent="0.25">
      <c r="A57">
        <v>520699</v>
      </c>
      <c r="B57" t="s">
        <v>124</v>
      </c>
      <c r="C57">
        <v>2017</v>
      </c>
      <c r="D57">
        <v>2</v>
      </c>
      <c r="E57" t="s">
        <v>85</v>
      </c>
      <c r="F57" t="s">
        <v>84</v>
      </c>
      <c r="G57" t="s">
        <v>84</v>
      </c>
      <c r="H57" t="s">
        <v>25</v>
      </c>
      <c r="I57" t="s">
        <v>25</v>
      </c>
      <c r="J57" t="s">
        <v>101</v>
      </c>
      <c r="K57" t="s">
        <v>86</v>
      </c>
      <c r="L57" t="s">
        <v>103</v>
      </c>
      <c r="M57">
        <v>5836.6764009500002</v>
      </c>
      <c r="N57">
        <v>0</v>
      </c>
      <c r="O57" t="s">
        <v>79</v>
      </c>
      <c r="P57" s="39">
        <v>44330.100813229168</v>
      </c>
      <c r="Q57">
        <v>4802804</v>
      </c>
      <c r="R57" t="s">
        <v>74</v>
      </c>
      <c r="S57" s="4">
        <v>86.758815260000006</v>
      </c>
      <c r="W57"/>
      <c r="X57">
        <v>0</v>
      </c>
      <c r="AC57" t="s">
        <v>84</v>
      </c>
      <c r="AD57" s="39">
        <v>42767</v>
      </c>
    </row>
    <row r="58" spans="1:30" x14ac:dyDescent="0.25">
      <c r="A58">
        <v>520721</v>
      </c>
      <c r="B58" t="s">
        <v>124</v>
      </c>
      <c r="C58">
        <v>2017</v>
      </c>
      <c r="D58">
        <v>2</v>
      </c>
      <c r="E58" t="s">
        <v>87</v>
      </c>
      <c r="F58" t="s">
        <v>84</v>
      </c>
      <c r="G58" t="s">
        <v>84</v>
      </c>
      <c r="H58" t="s">
        <v>25</v>
      </c>
      <c r="I58" t="s">
        <v>25</v>
      </c>
      <c r="J58" t="s">
        <v>101</v>
      </c>
      <c r="K58" t="s">
        <v>88</v>
      </c>
      <c r="L58" t="s">
        <v>103</v>
      </c>
      <c r="M58">
        <v>1561.42030755</v>
      </c>
      <c r="N58">
        <v>0</v>
      </c>
      <c r="O58" t="s">
        <v>79</v>
      </c>
      <c r="P58" s="39">
        <v>44330.100813923607</v>
      </c>
      <c r="Q58">
        <v>4802848</v>
      </c>
      <c r="R58" t="s">
        <v>74</v>
      </c>
      <c r="S58" s="4">
        <v>41.874678830000001</v>
      </c>
      <c r="W58"/>
      <c r="X58">
        <v>0</v>
      </c>
      <c r="AC58" t="s">
        <v>84</v>
      </c>
      <c r="AD58" s="39">
        <v>42767</v>
      </c>
    </row>
    <row r="59" spans="1:30" x14ac:dyDescent="0.25">
      <c r="A59">
        <v>520743</v>
      </c>
      <c r="B59" t="s">
        <v>124</v>
      </c>
      <c r="C59">
        <v>2017</v>
      </c>
      <c r="D59">
        <v>2</v>
      </c>
      <c r="E59" t="s">
        <v>89</v>
      </c>
      <c r="F59" t="s">
        <v>84</v>
      </c>
      <c r="G59" t="s">
        <v>84</v>
      </c>
      <c r="H59" t="s">
        <v>25</v>
      </c>
      <c r="I59" t="s">
        <v>25</v>
      </c>
      <c r="J59" t="s">
        <v>101</v>
      </c>
      <c r="K59" t="s">
        <v>90</v>
      </c>
      <c r="L59" t="s">
        <v>103</v>
      </c>
      <c r="M59">
        <v>1936.6982957099999</v>
      </c>
      <c r="N59">
        <v>0</v>
      </c>
      <c r="O59" t="s">
        <v>79</v>
      </c>
      <c r="P59" s="39">
        <v>44330.100814583333</v>
      </c>
      <c r="Q59">
        <v>4802891</v>
      </c>
      <c r="R59" t="s">
        <v>82</v>
      </c>
      <c r="S59" s="4">
        <v>1962.0060271</v>
      </c>
      <c r="W59"/>
      <c r="X59">
        <v>0</v>
      </c>
      <c r="AC59" t="s">
        <v>84</v>
      </c>
      <c r="AD59" s="39">
        <v>42767</v>
      </c>
    </row>
    <row r="60" spans="1:30" x14ac:dyDescent="0.25">
      <c r="A60">
        <v>520721</v>
      </c>
      <c r="B60" t="s">
        <v>124</v>
      </c>
      <c r="C60">
        <v>2017</v>
      </c>
      <c r="D60">
        <v>2</v>
      </c>
      <c r="E60" t="s">
        <v>87</v>
      </c>
      <c r="F60" t="s">
        <v>84</v>
      </c>
      <c r="G60" t="s">
        <v>84</v>
      </c>
      <c r="H60" t="s">
        <v>25</v>
      </c>
      <c r="I60" t="s">
        <v>25</v>
      </c>
      <c r="J60" t="s">
        <v>101</v>
      </c>
      <c r="K60" t="s">
        <v>88</v>
      </c>
      <c r="L60" t="s">
        <v>103</v>
      </c>
      <c r="M60">
        <v>1561.42030755</v>
      </c>
      <c r="N60">
        <v>0</v>
      </c>
      <c r="O60" t="s">
        <v>79</v>
      </c>
      <c r="P60" s="39">
        <v>44330.100813923607</v>
      </c>
      <c r="Q60">
        <v>4802847</v>
      </c>
      <c r="R60" t="s">
        <v>82</v>
      </c>
      <c r="S60" s="4">
        <v>1581.17488826</v>
      </c>
      <c r="W60"/>
      <c r="X60">
        <v>0</v>
      </c>
      <c r="AC60" t="s">
        <v>84</v>
      </c>
      <c r="AD60" s="39">
        <v>42767</v>
      </c>
    </row>
    <row r="61" spans="1:30" x14ac:dyDescent="0.25">
      <c r="A61">
        <v>520699</v>
      </c>
      <c r="B61" t="s">
        <v>124</v>
      </c>
      <c r="C61">
        <v>2017</v>
      </c>
      <c r="D61">
        <v>2</v>
      </c>
      <c r="E61" t="s">
        <v>85</v>
      </c>
      <c r="F61" t="s">
        <v>84</v>
      </c>
      <c r="G61" t="s">
        <v>84</v>
      </c>
      <c r="H61" t="s">
        <v>25</v>
      </c>
      <c r="I61" t="s">
        <v>25</v>
      </c>
      <c r="J61" t="s">
        <v>101</v>
      </c>
      <c r="K61" t="s">
        <v>86</v>
      </c>
      <c r="L61" t="s">
        <v>103</v>
      </c>
      <c r="M61">
        <v>5836.6764009500002</v>
      </c>
      <c r="N61">
        <v>0</v>
      </c>
      <c r="O61" t="s">
        <v>79</v>
      </c>
      <c r="P61" s="39">
        <v>44330.100813229168</v>
      </c>
      <c r="Q61">
        <v>4802803</v>
      </c>
      <c r="R61" t="s">
        <v>82</v>
      </c>
      <c r="S61" s="4">
        <v>5980.2912032300001</v>
      </c>
      <c r="W61"/>
      <c r="X61">
        <v>0</v>
      </c>
      <c r="AC61" t="s">
        <v>84</v>
      </c>
      <c r="AD61" s="39">
        <v>42767</v>
      </c>
    </row>
    <row r="62" spans="1:30" x14ac:dyDescent="0.25">
      <c r="A62">
        <v>530744</v>
      </c>
      <c r="B62" t="s">
        <v>125</v>
      </c>
      <c r="C62">
        <v>2017</v>
      </c>
      <c r="D62">
        <v>3</v>
      </c>
      <c r="E62" t="s">
        <v>87</v>
      </c>
      <c r="F62" t="s">
        <v>84</v>
      </c>
      <c r="G62" t="s">
        <v>84</v>
      </c>
      <c r="H62" t="s">
        <v>25</v>
      </c>
      <c r="I62" t="s">
        <v>25</v>
      </c>
      <c r="J62" t="s">
        <v>101</v>
      </c>
      <c r="K62" t="s">
        <v>88</v>
      </c>
      <c r="L62" t="s">
        <v>103</v>
      </c>
      <c r="M62">
        <v>1611.96951592</v>
      </c>
      <c r="N62">
        <v>0</v>
      </c>
      <c r="O62" t="s">
        <v>79</v>
      </c>
      <c r="P62" s="39">
        <v>44330.101799884258</v>
      </c>
      <c r="Q62">
        <v>4888357</v>
      </c>
      <c r="R62" t="s">
        <v>74</v>
      </c>
      <c r="S62" s="4">
        <v>43.230323980000001</v>
      </c>
      <c r="W62"/>
      <c r="X62">
        <v>0</v>
      </c>
      <c r="AC62" t="s">
        <v>84</v>
      </c>
      <c r="AD62" s="39">
        <v>42795</v>
      </c>
    </row>
    <row r="63" spans="1:30" x14ac:dyDescent="0.25">
      <c r="A63">
        <v>530722</v>
      </c>
      <c r="B63" t="s">
        <v>125</v>
      </c>
      <c r="C63">
        <v>2017</v>
      </c>
      <c r="D63">
        <v>3</v>
      </c>
      <c r="E63" t="s">
        <v>85</v>
      </c>
      <c r="F63" t="s">
        <v>84</v>
      </c>
      <c r="G63" t="s">
        <v>84</v>
      </c>
      <c r="H63" t="s">
        <v>25</v>
      </c>
      <c r="I63" t="s">
        <v>25</v>
      </c>
      <c r="J63" t="s">
        <v>101</v>
      </c>
      <c r="K63" t="s">
        <v>86</v>
      </c>
      <c r="L63" t="s">
        <v>103</v>
      </c>
      <c r="M63">
        <v>6064.1041034099999</v>
      </c>
      <c r="N63">
        <v>0</v>
      </c>
      <c r="O63" t="s">
        <v>79</v>
      </c>
      <c r="P63" s="39">
        <v>44330.101799189812</v>
      </c>
      <c r="Q63">
        <v>4888313</v>
      </c>
      <c r="R63" t="s">
        <v>74</v>
      </c>
      <c r="S63" s="4">
        <v>90.139396379999994</v>
      </c>
      <c r="W63"/>
      <c r="X63">
        <v>0</v>
      </c>
      <c r="AC63" t="s">
        <v>84</v>
      </c>
      <c r="AD63" s="39">
        <v>42795</v>
      </c>
    </row>
    <row r="64" spans="1:30" x14ac:dyDescent="0.25">
      <c r="A64">
        <v>530766</v>
      </c>
      <c r="B64" t="s">
        <v>125</v>
      </c>
      <c r="C64">
        <v>2017</v>
      </c>
      <c r="D64">
        <v>3</v>
      </c>
      <c r="E64" t="s">
        <v>89</v>
      </c>
      <c r="F64" t="s">
        <v>84</v>
      </c>
      <c r="G64" t="s">
        <v>84</v>
      </c>
      <c r="H64" t="s">
        <v>25</v>
      </c>
      <c r="I64" t="s">
        <v>25</v>
      </c>
      <c r="J64" t="s">
        <v>101</v>
      </c>
      <c r="K64" t="s">
        <v>90</v>
      </c>
      <c r="L64" t="s">
        <v>103</v>
      </c>
      <c r="M64">
        <v>1971.01751208</v>
      </c>
      <c r="N64">
        <v>0</v>
      </c>
      <c r="O64" t="s">
        <v>79</v>
      </c>
      <c r="P64" s="39">
        <v>44330.101800497687</v>
      </c>
      <c r="Q64">
        <v>4888401</v>
      </c>
      <c r="R64" t="s">
        <v>74</v>
      </c>
      <c r="S64" s="4">
        <v>52.03986476</v>
      </c>
      <c r="W64"/>
      <c r="X64">
        <v>0</v>
      </c>
      <c r="AC64" t="s">
        <v>84</v>
      </c>
      <c r="AD64" s="39">
        <v>42795</v>
      </c>
    </row>
    <row r="65" spans="1:30" x14ac:dyDescent="0.25">
      <c r="A65">
        <v>530722</v>
      </c>
      <c r="B65" t="s">
        <v>125</v>
      </c>
      <c r="C65">
        <v>2017</v>
      </c>
      <c r="D65">
        <v>3</v>
      </c>
      <c r="E65" t="s">
        <v>85</v>
      </c>
      <c r="F65" t="s">
        <v>84</v>
      </c>
      <c r="G65" t="s">
        <v>84</v>
      </c>
      <c r="H65" t="s">
        <v>25</v>
      </c>
      <c r="I65" t="s">
        <v>25</v>
      </c>
      <c r="J65" t="s">
        <v>101</v>
      </c>
      <c r="K65" t="s">
        <v>86</v>
      </c>
      <c r="L65" t="s">
        <v>103</v>
      </c>
      <c r="M65">
        <v>6064.1041034099999</v>
      </c>
      <c r="N65">
        <v>0</v>
      </c>
      <c r="O65" t="s">
        <v>79</v>
      </c>
      <c r="P65" s="39">
        <v>44330.101799189812</v>
      </c>
      <c r="Q65">
        <v>4888312</v>
      </c>
      <c r="R65" t="s">
        <v>82</v>
      </c>
      <c r="S65" s="4">
        <v>6213.31489599</v>
      </c>
      <c r="W65"/>
      <c r="X65">
        <v>0</v>
      </c>
      <c r="AC65" t="s">
        <v>84</v>
      </c>
      <c r="AD65" s="39">
        <v>42795</v>
      </c>
    </row>
    <row r="66" spans="1:30" x14ac:dyDescent="0.25">
      <c r="A66">
        <v>530744</v>
      </c>
      <c r="B66" t="s">
        <v>125</v>
      </c>
      <c r="C66">
        <v>2017</v>
      </c>
      <c r="D66">
        <v>3</v>
      </c>
      <c r="E66" t="s">
        <v>87</v>
      </c>
      <c r="F66" t="s">
        <v>84</v>
      </c>
      <c r="G66" t="s">
        <v>84</v>
      </c>
      <c r="H66" t="s">
        <v>25</v>
      </c>
      <c r="I66" t="s">
        <v>25</v>
      </c>
      <c r="J66" t="s">
        <v>101</v>
      </c>
      <c r="K66" t="s">
        <v>88</v>
      </c>
      <c r="L66" t="s">
        <v>103</v>
      </c>
      <c r="M66">
        <v>1611.96951592</v>
      </c>
      <c r="N66">
        <v>0</v>
      </c>
      <c r="O66" t="s">
        <v>79</v>
      </c>
      <c r="P66" s="39">
        <v>44330.101799884258</v>
      </c>
      <c r="Q66">
        <v>4888356</v>
      </c>
      <c r="R66" t="s">
        <v>82</v>
      </c>
      <c r="S66" s="4">
        <v>1632.36362874</v>
      </c>
      <c r="W66"/>
      <c r="X66">
        <v>0</v>
      </c>
      <c r="AC66" t="s">
        <v>84</v>
      </c>
      <c r="AD66" s="39">
        <v>42795</v>
      </c>
    </row>
    <row r="67" spans="1:30" x14ac:dyDescent="0.25">
      <c r="A67">
        <v>530766</v>
      </c>
      <c r="B67" t="s">
        <v>125</v>
      </c>
      <c r="C67">
        <v>2017</v>
      </c>
      <c r="D67">
        <v>3</v>
      </c>
      <c r="E67" t="s">
        <v>89</v>
      </c>
      <c r="F67" t="s">
        <v>84</v>
      </c>
      <c r="G67" t="s">
        <v>84</v>
      </c>
      <c r="H67" t="s">
        <v>25</v>
      </c>
      <c r="I67" t="s">
        <v>25</v>
      </c>
      <c r="J67" t="s">
        <v>101</v>
      </c>
      <c r="K67" t="s">
        <v>90</v>
      </c>
      <c r="L67" t="s">
        <v>103</v>
      </c>
      <c r="M67">
        <v>1971.01751208</v>
      </c>
      <c r="N67">
        <v>0</v>
      </c>
      <c r="O67" t="s">
        <v>79</v>
      </c>
      <c r="P67" s="39">
        <v>44330.101800497687</v>
      </c>
      <c r="Q67">
        <v>4888400</v>
      </c>
      <c r="R67" t="s">
        <v>82</v>
      </c>
      <c r="S67" s="4">
        <v>1996.7737085199999</v>
      </c>
      <c r="W67"/>
      <c r="X67">
        <v>0</v>
      </c>
      <c r="AC67" t="s">
        <v>84</v>
      </c>
      <c r="AD67" s="39">
        <v>42795</v>
      </c>
    </row>
    <row r="68" spans="1:30" x14ac:dyDescent="0.25">
      <c r="A68">
        <v>628657</v>
      </c>
      <c r="B68" t="s">
        <v>141</v>
      </c>
      <c r="C68">
        <v>2017</v>
      </c>
      <c r="D68">
        <v>4</v>
      </c>
      <c r="E68" t="s">
        <v>89</v>
      </c>
      <c r="F68" t="s">
        <v>84</v>
      </c>
      <c r="G68" t="s">
        <v>84</v>
      </c>
      <c r="H68" t="s">
        <v>25</v>
      </c>
      <c r="I68" t="s">
        <v>25</v>
      </c>
      <c r="J68" t="s">
        <v>101</v>
      </c>
      <c r="K68" t="s">
        <v>90</v>
      </c>
      <c r="L68" t="s">
        <v>103</v>
      </c>
      <c r="M68">
        <v>1712.75377718</v>
      </c>
      <c r="N68">
        <v>0</v>
      </c>
      <c r="O68" t="s">
        <v>79</v>
      </c>
      <c r="P68" s="39">
        <v>44334.047875810182</v>
      </c>
      <c r="Q68">
        <v>5584410</v>
      </c>
      <c r="R68" t="s">
        <v>74</v>
      </c>
      <c r="S68" s="4">
        <v>45.221046690000001</v>
      </c>
      <c r="W68"/>
      <c r="X68">
        <v>0</v>
      </c>
      <c r="AC68" t="s">
        <v>84</v>
      </c>
      <c r="AD68" s="39">
        <v>42826</v>
      </c>
    </row>
    <row r="69" spans="1:30" x14ac:dyDescent="0.25">
      <c r="A69">
        <v>628613</v>
      </c>
      <c r="B69" t="s">
        <v>141</v>
      </c>
      <c r="C69">
        <v>2017</v>
      </c>
      <c r="D69">
        <v>4</v>
      </c>
      <c r="E69" t="s">
        <v>85</v>
      </c>
      <c r="F69" t="s">
        <v>84</v>
      </c>
      <c r="G69" t="s">
        <v>84</v>
      </c>
      <c r="H69" t="s">
        <v>25</v>
      </c>
      <c r="I69" t="s">
        <v>25</v>
      </c>
      <c r="J69" t="s">
        <v>101</v>
      </c>
      <c r="K69" t="s">
        <v>86</v>
      </c>
      <c r="L69" t="s">
        <v>103</v>
      </c>
      <c r="M69">
        <v>4420.2930050699997</v>
      </c>
      <c r="N69">
        <v>0</v>
      </c>
      <c r="O69" t="s">
        <v>79</v>
      </c>
      <c r="P69" s="39">
        <v>44334.04787422454</v>
      </c>
      <c r="Q69">
        <v>5584322</v>
      </c>
      <c r="R69" t="s">
        <v>74</v>
      </c>
      <c r="S69" s="4">
        <v>65.705096170000004</v>
      </c>
      <c r="W69"/>
      <c r="X69">
        <v>0</v>
      </c>
      <c r="AC69" t="s">
        <v>84</v>
      </c>
      <c r="AD69" s="39">
        <v>42826</v>
      </c>
    </row>
    <row r="70" spans="1:30" x14ac:dyDescent="0.25">
      <c r="A70">
        <v>628635</v>
      </c>
      <c r="B70" t="s">
        <v>141</v>
      </c>
      <c r="C70">
        <v>2017</v>
      </c>
      <c r="D70">
        <v>4</v>
      </c>
      <c r="E70" t="s">
        <v>87</v>
      </c>
      <c r="F70" t="s">
        <v>84</v>
      </c>
      <c r="G70" t="s">
        <v>84</v>
      </c>
      <c r="H70" t="s">
        <v>25</v>
      </c>
      <c r="I70" t="s">
        <v>25</v>
      </c>
      <c r="J70" t="s">
        <v>101</v>
      </c>
      <c r="K70" t="s">
        <v>88</v>
      </c>
      <c r="L70" t="s">
        <v>103</v>
      </c>
      <c r="M70">
        <v>1117.7193056399999</v>
      </c>
      <c r="N70">
        <v>0</v>
      </c>
      <c r="O70" t="s">
        <v>79</v>
      </c>
      <c r="P70" s="39">
        <v>44334.047875034717</v>
      </c>
      <c r="Q70">
        <v>5584366</v>
      </c>
      <c r="R70" t="s">
        <v>74</v>
      </c>
      <c r="S70" s="4">
        <v>29.975360720000001</v>
      </c>
      <c r="W70"/>
      <c r="X70">
        <v>0</v>
      </c>
      <c r="AC70" t="s">
        <v>84</v>
      </c>
      <c r="AD70" s="39">
        <v>42826</v>
      </c>
    </row>
    <row r="71" spans="1:30" x14ac:dyDescent="0.25">
      <c r="A71">
        <v>628613</v>
      </c>
      <c r="B71" t="s">
        <v>141</v>
      </c>
      <c r="C71">
        <v>2017</v>
      </c>
      <c r="D71">
        <v>4</v>
      </c>
      <c r="E71" t="s">
        <v>85</v>
      </c>
      <c r="F71" t="s">
        <v>84</v>
      </c>
      <c r="G71" t="s">
        <v>84</v>
      </c>
      <c r="H71" t="s">
        <v>25</v>
      </c>
      <c r="I71" t="s">
        <v>25</v>
      </c>
      <c r="J71" t="s">
        <v>101</v>
      </c>
      <c r="K71" t="s">
        <v>86</v>
      </c>
      <c r="L71" t="s">
        <v>103</v>
      </c>
      <c r="M71">
        <v>4420.2930050699997</v>
      </c>
      <c r="N71">
        <v>0</v>
      </c>
      <c r="O71" t="s">
        <v>79</v>
      </c>
      <c r="P71" s="39">
        <v>44334.04787422454</v>
      </c>
      <c r="Q71">
        <v>5584321</v>
      </c>
      <c r="R71" t="s">
        <v>82</v>
      </c>
      <c r="S71" s="4">
        <v>4529.0568738100001</v>
      </c>
      <c r="W71"/>
      <c r="X71">
        <v>0</v>
      </c>
      <c r="AC71" t="s">
        <v>84</v>
      </c>
      <c r="AD71" s="39">
        <v>42826</v>
      </c>
    </row>
    <row r="72" spans="1:30" x14ac:dyDescent="0.25">
      <c r="A72">
        <v>628635</v>
      </c>
      <c r="B72" t="s">
        <v>141</v>
      </c>
      <c r="C72">
        <v>2017</v>
      </c>
      <c r="D72">
        <v>4</v>
      </c>
      <c r="E72" t="s">
        <v>87</v>
      </c>
      <c r="F72" t="s">
        <v>84</v>
      </c>
      <c r="G72" t="s">
        <v>84</v>
      </c>
      <c r="H72" t="s">
        <v>25</v>
      </c>
      <c r="I72" t="s">
        <v>25</v>
      </c>
      <c r="J72" t="s">
        <v>101</v>
      </c>
      <c r="K72" t="s">
        <v>88</v>
      </c>
      <c r="L72" t="s">
        <v>103</v>
      </c>
      <c r="M72">
        <v>1117.7193056399999</v>
      </c>
      <c r="N72">
        <v>0</v>
      </c>
      <c r="O72" t="s">
        <v>79</v>
      </c>
      <c r="P72" s="39">
        <v>44334.047875034717</v>
      </c>
      <c r="Q72">
        <v>5584365</v>
      </c>
      <c r="R72" t="s">
        <v>82</v>
      </c>
      <c r="S72" s="4">
        <v>1131.86032591</v>
      </c>
      <c r="W72"/>
      <c r="X72">
        <v>0</v>
      </c>
      <c r="AC72" t="s">
        <v>84</v>
      </c>
      <c r="AD72" s="39">
        <v>42826</v>
      </c>
    </row>
    <row r="73" spans="1:30" x14ac:dyDescent="0.25">
      <c r="A73">
        <v>628657</v>
      </c>
      <c r="B73" t="s">
        <v>141</v>
      </c>
      <c r="C73">
        <v>2017</v>
      </c>
      <c r="D73">
        <v>4</v>
      </c>
      <c r="E73" t="s">
        <v>89</v>
      </c>
      <c r="F73" t="s">
        <v>84</v>
      </c>
      <c r="G73" t="s">
        <v>84</v>
      </c>
      <c r="H73" t="s">
        <v>25</v>
      </c>
      <c r="I73" t="s">
        <v>25</v>
      </c>
      <c r="J73" t="s">
        <v>101</v>
      </c>
      <c r="K73" t="s">
        <v>90</v>
      </c>
      <c r="L73" t="s">
        <v>103</v>
      </c>
      <c r="M73">
        <v>1712.75377718</v>
      </c>
      <c r="N73">
        <v>0</v>
      </c>
      <c r="O73" t="s">
        <v>79</v>
      </c>
      <c r="P73" s="39">
        <v>44334.047875810182</v>
      </c>
      <c r="Q73">
        <v>5584409</v>
      </c>
      <c r="R73" t="s">
        <v>82</v>
      </c>
      <c r="S73" s="4">
        <v>1735.13512208</v>
      </c>
      <c r="W73"/>
      <c r="X73">
        <v>0</v>
      </c>
      <c r="AC73" t="s">
        <v>84</v>
      </c>
      <c r="AD73" s="39">
        <v>42826</v>
      </c>
    </row>
    <row r="74" spans="1:30" x14ac:dyDescent="0.25">
      <c r="A74">
        <v>550982</v>
      </c>
      <c r="B74" t="s">
        <v>144</v>
      </c>
      <c r="C74">
        <v>2017</v>
      </c>
      <c r="D74">
        <v>5</v>
      </c>
      <c r="E74" t="s">
        <v>89</v>
      </c>
      <c r="F74" t="s">
        <v>84</v>
      </c>
      <c r="G74" t="s">
        <v>84</v>
      </c>
      <c r="H74" t="s">
        <v>25</v>
      </c>
      <c r="I74" t="s">
        <v>25</v>
      </c>
      <c r="J74" t="s">
        <v>101</v>
      </c>
      <c r="K74" t="s">
        <v>90</v>
      </c>
      <c r="L74" t="s">
        <v>103</v>
      </c>
      <c r="M74">
        <v>1465.7128444299999</v>
      </c>
      <c r="N74">
        <v>0</v>
      </c>
      <c r="O74" t="s">
        <v>79</v>
      </c>
      <c r="P74" s="39">
        <v>44330.103752581017</v>
      </c>
      <c r="Q74">
        <v>5059859</v>
      </c>
      <c r="R74" t="s">
        <v>74</v>
      </c>
      <c r="S74" s="4">
        <v>38.698539070000002</v>
      </c>
      <c r="W74"/>
      <c r="X74">
        <v>0</v>
      </c>
      <c r="AC74" t="s">
        <v>84</v>
      </c>
      <c r="AD74" s="39">
        <v>42856</v>
      </c>
    </row>
    <row r="75" spans="1:30" x14ac:dyDescent="0.25">
      <c r="A75">
        <v>550961</v>
      </c>
      <c r="B75" t="s">
        <v>144</v>
      </c>
      <c r="C75">
        <v>2017</v>
      </c>
      <c r="D75">
        <v>5</v>
      </c>
      <c r="E75" t="s">
        <v>87</v>
      </c>
      <c r="F75" t="s">
        <v>84</v>
      </c>
      <c r="G75" t="s">
        <v>84</v>
      </c>
      <c r="H75" t="s">
        <v>25</v>
      </c>
      <c r="I75" t="s">
        <v>25</v>
      </c>
      <c r="J75" t="s">
        <v>101</v>
      </c>
      <c r="K75" t="s">
        <v>88</v>
      </c>
      <c r="L75" t="s">
        <v>103</v>
      </c>
      <c r="M75">
        <v>999.01457314000004</v>
      </c>
      <c r="N75">
        <v>0</v>
      </c>
      <c r="O75" t="s">
        <v>79</v>
      </c>
      <c r="P75" s="39">
        <v>44330.10375185185</v>
      </c>
      <c r="Q75">
        <v>5059817</v>
      </c>
      <c r="R75" t="s">
        <v>74</v>
      </c>
      <c r="S75" s="4">
        <v>26.791898499999999</v>
      </c>
      <c r="W75"/>
      <c r="X75">
        <v>0</v>
      </c>
      <c r="AC75" t="s">
        <v>84</v>
      </c>
      <c r="AD75" s="39">
        <v>42856</v>
      </c>
    </row>
    <row r="76" spans="1:30" x14ac:dyDescent="0.25">
      <c r="A76">
        <v>550940</v>
      </c>
      <c r="B76" t="s">
        <v>144</v>
      </c>
      <c r="C76">
        <v>2017</v>
      </c>
      <c r="D76">
        <v>5</v>
      </c>
      <c r="E76" t="s">
        <v>85</v>
      </c>
      <c r="F76" t="s">
        <v>84</v>
      </c>
      <c r="G76" t="s">
        <v>84</v>
      </c>
      <c r="H76" t="s">
        <v>25</v>
      </c>
      <c r="I76" t="s">
        <v>25</v>
      </c>
      <c r="J76" t="s">
        <v>101</v>
      </c>
      <c r="K76" t="s">
        <v>86</v>
      </c>
      <c r="L76" t="s">
        <v>103</v>
      </c>
      <c r="M76">
        <v>2827.3129987100001</v>
      </c>
      <c r="N76">
        <v>0</v>
      </c>
      <c r="O76" t="s">
        <v>79</v>
      </c>
      <c r="P76" s="39">
        <v>44330.103751238428</v>
      </c>
      <c r="Q76">
        <v>5059775</v>
      </c>
      <c r="R76" t="s">
        <v>74</v>
      </c>
      <c r="S76" s="4">
        <v>42.026370710000002</v>
      </c>
      <c r="W76"/>
      <c r="X76">
        <v>0</v>
      </c>
      <c r="AC76" t="s">
        <v>84</v>
      </c>
      <c r="AD76" s="39">
        <v>42856</v>
      </c>
    </row>
    <row r="77" spans="1:30" x14ac:dyDescent="0.25">
      <c r="A77">
        <v>550961</v>
      </c>
      <c r="B77" t="s">
        <v>144</v>
      </c>
      <c r="C77">
        <v>2017</v>
      </c>
      <c r="D77">
        <v>5</v>
      </c>
      <c r="E77" t="s">
        <v>87</v>
      </c>
      <c r="F77" t="s">
        <v>84</v>
      </c>
      <c r="G77" t="s">
        <v>84</v>
      </c>
      <c r="H77" t="s">
        <v>25</v>
      </c>
      <c r="I77" t="s">
        <v>25</v>
      </c>
      <c r="J77" t="s">
        <v>101</v>
      </c>
      <c r="K77" t="s">
        <v>88</v>
      </c>
      <c r="L77" t="s">
        <v>103</v>
      </c>
      <c r="M77">
        <v>999.01457314000004</v>
      </c>
      <c r="N77">
        <v>0</v>
      </c>
      <c r="O77" t="s">
        <v>79</v>
      </c>
      <c r="P77" s="39">
        <v>44330.10375185185</v>
      </c>
      <c r="Q77">
        <v>5059816</v>
      </c>
      <c r="R77" t="s">
        <v>82</v>
      </c>
      <c r="S77" s="4">
        <v>1011.65377984</v>
      </c>
      <c r="W77"/>
      <c r="X77">
        <v>0</v>
      </c>
      <c r="AC77" t="s">
        <v>84</v>
      </c>
      <c r="AD77" s="39">
        <v>42856</v>
      </c>
    </row>
    <row r="78" spans="1:30" x14ac:dyDescent="0.25">
      <c r="A78">
        <v>550982</v>
      </c>
      <c r="B78" t="s">
        <v>144</v>
      </c>
      <c r="C78">
        <v>2017</v>
      </c>
      <c r="D78">
        <v>5</v>
      </c>
      <c r="E78" t="s">
        <v>89</v>
      </c>
      <c r="F78" t="s">
        <v>84</v>
      </c>
      <c r="G78" t="s">
        <v>84</v>
      </c>
      <c r="H78" t="s">
        <v>25</v>
      </c>
      <c r="I78" t="s">
        <v>25</v>
      </c>
      <c r="J78" t="s">
        <v>101</v>
      </c>
      <c r="K78" t="s">
        <v>90</v>
      </c>
      <c r="L78" t="s">
        <v>103</v>
      </c>
      <c r="M78">
        <v>1465.7128444299999</v>
      </c>
      <c r="N78">
        <v>0</v>
      </c>
      <c r="O78" t="s">
        <v>79</v>
      </c>
      <c r="P78" s="39">
        <v>44330.103752581017</v>
      </c>
      <c r="Q78">
        <v>5059858</v>
      </c>
      <c r="R78" t="s">
        <v>82</v>
      </c>
      <c r="S78" s="4">
        <v>1484.86599133</v>
      </c>
      <c r="W78"/>
      <c r="X78">
        <v>0</v>
      </c>
      <c r="AC78" t="s">
        <v>84</v>
      </c>
      <c r="AD78" s="39">
        <v>42856</v>
      </c>
    </row>
    <row r="79" spans="1:30" x14ac:dyDescent="0.25">
      <c r="A79">
        <v>550940</v>
      </c>
      <c r="B79" t="s">
        <v>144</v>
      </c>
      <c r="C79">
        <v>2017</v>
      </c>
      <c r="D79">
        <v>5</v>
      </c>
      <c r="E79" t="s">
        <v>85</v>
      </c>
      <c r="F79" t="s">
        <v>84</v>
      </c>
      <c r="G79" t="s">
        <v>84</v>
      </c>
      <c r="H79" t="s">
        <v>25</v>
      </c>
      <c r="I79" t="s">
        <v>25</v>
      </c>
      <c r="J79" t="s">
        <v>101</v>
      </c>
      <c r="K79" t="s">
        <v>86</v>
      </c>
      <c r="L79" t="s">
        <v>103</v>
      </c>
      <c r="M79">
        <v>2827.3129987100001</v>
      </c>
      <c r="N79">
        <v>0</v>
      </c>
      <c r="O79" t="s">
        <v>79</v>
      </c>
      <c r="P79" s="39">
        <v>44330.103751238428</v>
      </c>
      <c r="Q79">
        <v>5059774</v>
      </c>
      <c r="R79" t="s">
        <v>82</v>
      </c>
      <c r="S79" s="4">
        <v>2896.8806720600001</v>
      </c>
      <c r="W79"/>
      <c r="X79">
        <v>0</v>
      </c>
      <c r="AC79" t="s">
        <v>84</v>
      </c>
      <c r="AD79" s="39">
        <v>42856</v>
      </c>
    </row>
    <row r="80" spans="1:30" x14ac:dyDescent="0.25">
      <c r="A80">
        <v>560915</v>
      </c>
      <c r="B80" t="s">
        <v>143</v>
      </c>
      <c r="C80">
        <v>2017</v>
      </c>
      <c r="D80">
        <v>6</v>
      </c>
      <c r="E80" t="s">
        <v>85</v>
      </c>
      <c r="F80" t="s">
        <v>84</v>
      </c>
      <c r="G80" t="s">
        <v>84</v>
      </c>
      <c r="H80" t="s">
        <v>25</v>
      </c>
      <c r="I80" t="s">
        <v>25</v>
      </c>
      <c r="J80" t="s">
        <v>101</v>
      </c>
      <c r="K80" t="s">
        <v>86</v>
      </c>
      <c r="L80" t="s">
        <v>103</v>
      </c>
      <c r="M80">
        <v>2370.0725542700002</v>
      </c>
      <c r="N80">
        <v>0</v>
      </c>
      <c r="O80" t="s">
        <v>79</v>
      </c>
      <c r="P80" s="39">
        <v>44330.104735567133</v>
      </c>
      <c r="Q80">
        <v>5144509</v>
      </c>
      <c r="R80" t="s">
        <v>74</v>
      </c>
      <c r="S80" s="4">
        <v>35.229756250000001</v>
      </c>
      <c r="W80"/>
      <c r="X80">
        <v>0</v>
      </c>
      <c r="AC80" t="s">
        <v>84</v>
      </c>
      <c r="AD80" s="39">
        <v>42887</v>
      </c>
    </row>
    <row r="81" spans="1:30" x14ac:dyDescent="0.25">
      <c r="A81">
        <v>560936</v>
      </c>
      <c r="B81" t="s">
        <v>143</v>
      </c>
      <c r="C81">
        <v>2017</v>
      </c>
      <c r="D81">
        <v>6</v>
      </c>
      <c r="E81" t="s">
        <v>87</v>
      </c>
      <c r="F81" t="s">
        <v>84</v>
      </c>
      <c r="G81" t="s">
        <v>84</v>
      </c>
      <c r="H81" t="s">
        <v>25</v>
      </c>
      <c r="I81" t="s">
        <v>25</v>
      </c>
      <c r="J81" t="s">
        <v>101</v>
      </c>
      <c r="K81" t="s">
        <v>88</v>
      </c>
      <c r="L81" t="s">
        <v>103</v>
      </c>
      <c r="M81">
        <v>850.28490937000004</v>
      </c>
      <c r="N81">
        <v>0</v>
      </c>
      <c r="O81" t="s">
        <v>79</v>
      </c>
      <c r="P81" s="39">
        <v>44330.104736226851</v>
      </c>
      <c r="Q81">
        <v>5144551</v>
      </c>
      <c r="R81" t="s">
        <v>74</v>
      </c>
      <c r="S81" s="4">
        <v>22.803217889999999</v>
      </c>
      <c r="W81"/>
      <c r="X81">
        <v>0</v>
      </c>
      <c r="AC81" t="s">
        <v>84</v>
      </c>
      <c r="AD81" s="39">
        <v>42887</v>
      </c>
    </row>
    <row r="82" spans="1:30" x14ac:dyDescent="0.25">
      <c r="A82">
        <v>560957</v>
      </c>
      <c r="B82" t="s">
        <v>143</v>
      </c>
      <c r="C82">
        <v>2017</v>
      </c>
      <c r="D82">
        <v>6</v>
      </c>
      <c r="E82" t="s">
        <v>89</v>
      </c>
      <c r="F82" t="s">
        <v>84</v>
      </c>
      <c r="G82" t="s">
        <v>84</v>
      </c>
      <c r="H82" t="s">
        <v>25</v>
      </c>
      <c r="I82" t="s">
        <v>25</v>
      </c>
      <c r="J82" t="s">
        <v>101</v>
      </c>
      <c r="K82" t="s">
        <v>90</v>
      </c>
      <c r="L82" t="s">
        <v>103</v>
      </c>
      <c r="M82">
        <v>1321.58655047</v>
      </c>
      <c r="N82">
        <v>0</v>
      </c>
      <c r="O82" t="s">
        <v>79</v>
      </c>
      <c r="P82" s="39">
        <v>44330.104736770831</v>
      </c>
      <c r="Q82">
        <v>5144593</v>
      </c>
      <c r="R82" t="s">
        <v>74</v>
      </c>
      <c r="S82" s="4">
        <v>34.893239119999997</v>
      </c>
      <c r="W82"/>
      <c r="X82">
        <v>0</v>
      </c>
      <c r="AC82" t="s">
        <v>84</v>
      </c>
      <c r="AD82" s="39">
        <v>42887</v>
      </c>
    </row>
    <row r="83" spans="1:30" x14ac:dyDescent="0.25">
      <c r="A83">
        <v>560957</v>
      </c>
      <c r="B83" t="s">
        <v>143</v>
      </c>
      <c r="C83">
        <v>2017</v>
      </c>
      <c r="D83">
        <v>6</v>
      </c>
      <c r="E83" t="s">
        <v>89</v>
      </c>
      <c r="F83" t="s">
        <v>84</v>
      </c>
      <c r="G83" t="s">
        <v>84</v>
      </c>
      <c r="H83" t="s">
        <v>25</v>
      </c>
      <c r="I83" t="s">
        <v>25</v>
      </c>
      <c r="J83" t="s">
        <v>101</v>
      </c>
      <c r="K83" t="s">
        <v>90</v>
      </c>
      <c r="L83" t="s">
        <v>103</v>
      </c>
      <c r="M83">
        <v>1321.58655047</v>
      </c>
      <c r="N83">
        <v>0</v>
      </c>
      <c r="O83" t="s">
        <v>79</v>
      </c>
      <c r="P83" s="39">
        <v>44330.104736770831</v>
      </c>
      <c r="Q83">
        <v>5144592</v>
      </c>
      <c r="R83" t="s">
        <v>82</v>
      </c>
      <c r="S83" s="4">
        <v>1338.8563325</v>
      </c>
      <c r="W83"/>
      <c r="X83">
        <v>0</v>
      </c>
      <c r="AC83" t="s">
        <v>84</v>
      </c>
      <c r="AD83" s="39">
        <v>42887</v>
      </c>
    </row>
    <row r="84" spans="1:30" x14ac:dyDescent="0.25">
      <c r="A84">
        <v>560915</v>
      </c>
      <c r="B84" t="s">
        <v>143</v>
      </c>
      <c r="C84">
        <v>2017</v>
      </c>
      <c r="D84">
        <v>6</v>
      </c>
      <c r="E84" t="s">
        <v>85</v>
      </c>
      <c r="F84" t="s">
        <v>84</v>
      </c>
      <c r="G84" t="s">
        <v>84</v>
      </c>
      <c r="H84" t="s">
        <v>25</v>
      </c>
      <c r="I84" t="s">
        <v>25</v>
      </c>
      <c r="J84" t="s">
        <v>101</v>
      </c>
      <c r="K84" t="s">
        <v>86</v>
      </c>
      <c r="L84" t="s">
        <v>103</v>
      </c>
      <c r="M84">
        <v>2370.0725542700002</v>
      </c>
      <c r="N84">
        <v>0</v>
      </c>
      <c r="O84" t="s">
        <v>79</v>
      </c>
      <c r="P84" s="39">
        <v>44330.104735567133</v>
      </c>
      <c r="Q84">
        <v>5144508</v>
      </c>
      <c r="R84" t="s">
        <v>82</v>
      </c>
      <c r="S84" s="4">
        <v>2428.3895617399999</v>
      </c>
      <c r="W84"/>
      <c r="X84">
        <v>0</v>
      </c>
      <c r="AC84" t="s">
        <v>84</v>
      </c>
      <c r="AD84" s="39">
        <v>42887</v>
      </c>
    </row>
    <row r="85" spans="1:30" x14ac:dyDescent="0.25">
      <c r="A85">
        <v>560936</v>
      </c>
      <c r="B85" t="s">
        <v>143</v>
      </c>
      <c r="C85">
        <v>2017</v>
      </c>
      <c r="D85">
        <v>6</v>
      </c>
      <c r="E85" t="s">
        <v>87</v>
      </c>
      <c r="F85" t="s">
        <v>84</v>
      </c>
      <c r="G85" t="s">
        <v>84</v>
      </c>
      <c r="H85" t="s">
        <v>25</v>
      </c>
      <c r="I85" t="s">
        <v>25</v>
      </c>
      <c r="J85" t="s">
        <v>101</v>
      </c>
      <c r="K85" t="s">
        <v>88</v>
      </c>
      <c r="L85" t="s">
        <v>103</v>
      </c>
      <c r="M85">
        <v>850.28490937000004</v>
      </c>
      <c r="N85">
        <v>0</v>
      </c>
      <c r="O85" t="s">
        <v>79</v>
      </c>
      <c r="P85" s="39">
        <v>44330.104736226851</v>
      </c>
      <c r="Q85">
        <v>5144550</v>
      </c>
      <c r="R85" t="s">
        <v>82</v>
      </c>
      <c r="S85" s="4">
        <v>861.04243684999994</v>
      </c>
      <c r="W85"/>
      <c r="X85">
        <v>0</v>
      </c>
      <c r="AC85" t="s">
        <v>84</v>
      </c>
      <c r="AD85" s="39">
        <v>42887</v>
      </c>
    </row>
    <row r="86" spans="1:30" x14ac:dyDescent="0.25">
      <c r="A86">
        <v>570927</v>
      </c>
      <c r="B86" t="s">
        <v>142</v>
      </c>
      <c r="C86">
        <v>2017</v>
      </c>
      <c r="D86">
        <v>7</v>
      </c>
      <c r="E86" t="s">
        <v>89</v>
      </c>
      <c r="F86" t="s">
        <v>84</v>
      </c>
      <c r="G86" t="s">
        <v>84</v>
      </c>
      <c r="H86" t="s">
        <v>25</v>
      </c>
      <c r="I86" t="s">
        <v>25</v>
      </c>
      <c r="J86" t="s">
        <v>101</v>
      </c>
      <c r="K86" t="s">
        <v>90</v>
      </c>
      <c r="L86" t="s">
        <v>103</v>
      </c>
      <c r="M86">
        <v>1241.0892522700001</v>
      </c>
      <c r="N86">
        <v>0</v>
      </c>
      <c r="O86" t="s">
        <v>79</v>
      </c>
      <c r="P86" s="39">
        <v>44330.105698263891</v>
      </c>
      <c r="Q86">
        <v>5229297</v>
      </c>
      <c r="R86" t="s">
        <v>74</v>
      </c>
      <c r="S86" s="4">
        <v>32.767906140000001</v>
      </c>
      <c r="W86"/>
      <c r="X86">
        <v>0</v>
      </c>
      <c r="AC86" t="s">
        <v>84</v>
      </c>
      <c r="AD86" s="39">
        <v>42917</v>
      </c>
    </row>
    <row r="87" spans="1:30" x14ac:dyDescent="0.25">
      <c r="A87">
        <v>570885</v>
      </c>
      <c r="B87" t="s">
        <v>142</v>
      </c>
      <c r="C87">
        <v>2017</v>
      </c>
      <c r="D87">
        <v>7</v>
      </c>
      <c r="E87" t="s">
        <v>85</v>
      </c>
      <c r="F87" t="s">
        <v>84</v>
      </c>
      <c r="G87" t="s">
        <v>84</v>
      </c>
      <c r="H87" t="s">
        <v>25</v>
      </c>
      <c r="I87" t="s">
        <v>25</v>
      </c>
      <c r="J87" t="s">
        <v>101</v>
      </c>
      <c r="K87" t="s">
        <v>86</v>
      </c>
      <c r="L87" t="s">
        <v>103</v>
      </c>
      <c r="M87">
        <v>2146.3813947499998</v>
      </c>
      <c r="N87">
        <v>0</v>
      </c>
      <c r="O87" t="s">
        <v>79</v>
      </c>
      <c r="P87" s="39">
        <v>44330.105697106483</v>
      </c>
      <c r="Q87">
        <v>5229213</v>
      </c>
      <c r="R87" t="s">
        <v>74</v>
      </c>
      <c r="S87" s="4">
        <v>31.90471668</v>
      </c>
      <c r="W87"/>
      <c r="X87">
        <v>0</v>
      </c>
      <c r="AC87" t="s">
        <v>84</v>
      </c>
      <c r="AD87" s="39">
        <v>42917</v>
      </c>
    </row>
    <row r="88" spans="1:30" x14ac:dyDescent="0.25">
      <c r="A88">
        <v>570906</v>
      </c>
      <c r="B88" t="s">
        <v>142</v>
      </c>
      <c r="C88">
        <v>2017</v>
      </c>
      <c r="D88">
        <v>7</v>
      </c>
      <c r="E88" t="s">
        <v>87</v>
      </c>
      <c r="F88" t="s">
        <v>84</v>
      </c>
      <c r="G88" t="s">
        <v>84</v>
      </c>
      <c r="H88" t="s">
        <v>25</v>
      </c>
      <c r="I88" t="s">
        <v>25</v>
      </c>
      <c r="J88" t="s">
        <v>101</v>
      </c>
      <c r="K88" t="s">
        <v>88</v>
      </c>
      <c r="L88" t="s">
        <v>103</v>
      </c>
      <c r="M88">
        <v>331.86459323999998</v>
      </c>
      <c r="N88">
        <v>0</v>
      </c>
      <c r="O88" t="s">
        <v>79</v>
      </c>
      <c r="P88" s="39">
        <v>44330.105697719897</v>
      </c>
      <c r="Q88">
        <v>5229255</v>
      </c>
      <c r="R88" t="s">
        <v>74</v>
      </c>
      <c r="S88" s="4">
        <v>8.9000528499999998</v>
      </c>
      <c r="W88"/>
      <c r="X88">
        <v>0</v>
      </c>
      <c r="AC88" t="s">
        <v>84</v>
      </c>
      <c r="AD88" s="39">
        <v>42917</v>
      </c>
    </row>
    <row r="89" spans="1:30" x14ac:dyDescent="0.25">
      <c r="A89">
        <v>570885</v>
      </c>
      <c r="B89" t="s">
        <v>142</v>
      </c>
      <c r="C89">
        <v>2017</v>
      </c>
      <c r="D89">
        <v>7</v>
      </c>
      <c r="E89" t="s">
        <v>85</v>
      </c>
      <c r="F89" t="s">
        <v>84</v>
      </c>
      <c r="G89" t="s">
        <v>84</v>
      </c>
      <c r="H89" t="s">
        <v>25</v>
      </c>
      <c r="I89" t="s">
        <v>25</v>
      </c>
      <c r="J89" t="s">
        <v>101</v>
      </c>
      <c r="K89" t="s">
        <v>86</v>
      </c>
      <c r="L89" t="s">
        <v>103</v>
      </c>
      <c r="M89">
        <v>2146.3813947499998</v>
      </c>
      <c r="N89">
        <v>0</v>
      </c>
      <c r="O89" t="s">
        <v>79</v>
      </c>
      <c r="P89" s="39">
        <v>44330.105697106483</v>
      </c>
      <c r="Q89">
        <v>5229212</v>
      </c>
      <c r="R89" t="s">
        <v>82</v>
      </c>
      <c r="S89" s="4">
        <v>2199.1943517200002</v>
      </c>
      <c r="W89"/>
      <c r="X89">
        <v>0</v>
      </c>
      <c r="AC89" t="s">
        <v>84</v>
      </c>
      <c r="AD89" s="39">
        <v>42917</v>
      </c>
    </row>
    <row r="90" spans="1:30" x14ac:dyDescent="0.25">
      <c r="A90">
        <v>570927</v>
      </c>
      <c r="B90" t="s">
        <v>142</v>
      </c>
      <c r="C90">
        <v>2017</v>
      </c>
      <c r="D90">
        <v>7</v>
      </c>
      <c r="E90" t="s">
        <v>89</v>
      </c>
      <c r="F90" t="s">
        <v>84</v>
      </c>
      <c r="G90" t="s">
        <v>84</v>
      </c>
      <c r="H90" t="s">
        <v>25</v>
      </c>
      <c r="I90" t="s">
        <v>25</v>
      </c>
      <c r="J90" t="s">
        <v>101</v>
      </c>
      <c r="K90" t="s">
        <v>90</v>
      </c>
      <c r="L90" t="s">
        <v>103</v>
      </c>
      <c r="M90">
        <v>1241.0892522700001</v>
      </c>
      <c r="N90">
        <v>0</v>
      </c>
      <c r="O90" t="s">
        <v>79</v>
      </c>
      <c r="P90" s="39">
        <v>44330.105698263891</v>
      </c>
      <c r="Q90">
        <v>5229296</v>
      </c>
      <c r="R90" t="s">
        <v>82</v>
      </c>
      <c r="S90" s="4">
        <v>1257.30713891</v>
      </c>
      <c r="W90"/>
      <c r="X90">
        <v>0</v>
      </c>
      <c r="AC90" t="s">
        <v>84</v>
      </c>
      <c r="AD90" s="39">
        <v>42917</v>
      </c>
    </row>
    <row r="91" spans="1:30" x14ac:dyDescent="0.25">
      <c r="A91">
        <v>570906</v>
      </c>
      <c r="B91" t="s">
        <v>142</v>
      </c>
      <c r="C91">
        <v>2017</v>
      </c>
      <c r="D91">
        <v>7</v>
      </c>
      <c r="E91" t="s">
        <v>87</v>
      </c>
      <c r="F91" t="s">
        <v>84</v>
      </c>
      <c r="G91" t="s">
        <v>84</v>
      </c>
      <c r="H91" t="s">
        <v>25</v>
      </c>
      <c r="I91" t="s">
        <v>25</v>
      </c>
      <c r="J91" t="s">
        <v>101</v>
      </c>
      <c r="K91" t="s">
        <v>88</v>
      </c>
      <c r="L91" t="s">
        <v>103</v>
      </c>
      <c r="M91">
        <v>331.86459323999998</v>
      </c>
      <c r="N91">
        <v>0</v>
      </c>
      <c r="O91" t="s">
        <v>79</v>
      </c>
      <c r="P91" s="39">
        <v>44330.105697719897</v>
      </c>
      <c r="Q91">
        <v>5229254</v>
      </c>
      <c r="R91" t="s">
        <v>82</v>
      </c>
      <c r="S91" s="4">
        <v>336.06323587999998</v>
      </c>
      <c r="W91"/>
      <c r="X91">
        <v>0</v>
      </c>
      <c r="AC91" t="s">
        <v>84</v>
      </c>
      <c r="AD91" s="39">
        <v>42917</v>
      </c>
    </row>
    <row r="92" spans="1:30" x14ac:dyDescent="0.25">
      <c r="A92">
        <v>580771</v>
      </c>
      <c r="B92" t="s">
        <v>137</v>
      </c>
      <c r="C92">
        <v>2017</v>
      </c>
      <c r="D92">
        <v>8</v>
      </c>
      <c r="E92" t="s">
        <v>85</v>
      </c>
      <c r="F92" t="s">
        <v>84</v>
      </c>
      <c r="G92" t="s">
        <v>84</v>
      </c>
      <c r="H92" t="s">
        <v>25</v>
      </c>
      <c r="I92" t="s">
        <v>25</v>
      </c>
      <c r="J92" t="s">
        <v>101</v>
      </c>
      <c r="K92" t="s">
        <v>86</v>
      </c>
      <c r="L92" t="s">
        <v>103</v>
      </c>
      <c r="M92">
        <v>1825.75210223</v>
      </c>
      <c r="N92">
        <v>0</v>
      </c>
      <c r="O92" t="s">
        <v>79</v>
      </c>
      <c r="P92" s="39">
        <v>44330.106720752323</v>
      </c>
      <c r="Q92">
        <v>5313253</v>
      </c>
      <c r="R92" t="s">
        <v>74</v>
      </c>
      <c r="S92" s="4">
        <v>27.138747890000001</v>
      </c>
      <c r="W92"/>
      <c r="X92">
        <v>0</v>
      </c>
      <c r="AC92" t="s">
        <v>84</v>
      </c>
      <c r="AD92" s="39">
        <v>42948</v>
      </c>
    </row>
    <row r="93" spans="1:30" x14ac:dyDescent="0.25">
      <c r="A93">
        <v>580793</v>
      </c>
      <c r="B93" t="s">
        <v>137</v>
      </c>
      <c r="C93">
        <v>2017</v>
      </c>
      <c r="D93">
        <v>8</v>
      </c>
      <c r="E93" t="s">
        <v>87</v>
      </c>
      <c r="F93" t="s">
        <v>84</v>
      </c>
      <c r="G93" t="s">
        <v>84</v>
      </c>
      <c r="H93" t="s">
        <v>25</v>
      </c>
      <c r="I93" t="s">
        <v>25</v>
      </c>
      <c r="J93" t="s">
        <v>101</v>
      </c>
      <c r="K93" t="s">
        <v>88</v>
      </c>
      <c r="L93" t="s">
        <v>103</v>
      </c>
      <c r="M93">
        <v>317.95009379999999</v>
      </c>
      <c r="N93">
        <v>0</v>
      </c>
      <c r="O93" t="s">
        <v>79</v>
      </c>
      <c r="P93" s="39">
        <v>44330.106721331023</v>
      </c>
      <c r="Q93">
        <v>5313297</v>
      </c>
      <c r="R93" t="s">
        <v>74</v>
      </c>
      <c r="S93" s="4">
        <v>8.5268892699999999</v>
      </c>
      <c r="W93"/>
      <c r="X93">
        <v>0</v>
      </c>
      <c r="AC93" t="s">
        <v>84</v>
      </c>
      <c r="AD93" s="39">
        <v>42948</v>
      </c>
    </row>
    <row r="94" spans="1:30" x14ac:dyDescent="0.25">
      <c r="A94">
        <v>580815</v>
      </c>
      <c r="B94" t="s">
        <v>137</v>
      </c>
      <c r="C94">
        <v>2017</v>
      </c>
      <c r="D94">
        <v>8</v>
      </c>
      <c r="E94" t="s">
        <v>89</v>
      </c>
      <c r="F94" t="s">
        <v>84</v>
      </c>
      <c r="G94" t="s">
        <v>84</v>
      </c>
      <c r="H94" t="s">
        <v>25</v>
      </c>
      <c r="I94" t="s">
        <v>25</v>
      </c>
      <c r="J94" t="s">
        <v>101</v>
      </c>
      <c r="K94" t="s">
        <v>90</v>
      </c>
      <c r="L94" t="s">
        <v>103</v>
      </c>
      <c r="M94">
        <v>1252.6346749899999</v>
      </c>
      <c r="N94">
        <v>0</v>
      </c>
      <c r="O94" t="s">
        <v>79</v>
      </c>
      <c r="P94" s="39">
        <v>44330.106721909717</v>
      </c>
      <c r="Q94">
        <v>5313341</v>
      </c>
      <c r="R94" t="s">
        <v>74</v>
      </c>
      <c r="S94" s="4">
        <v>33.072734609999998</v>
      </c>
      <c r="W94"/>
      <c r="X94">
        <v>0</v>
      </c>
      <c r="AC94" t="s">
        <v>84</v>
      </c>
      <c r="AD94" s="39">
        <v>42948</v>
      </c>
    </row>
    <row r="95" spans="1:30" x14ac:dyDescent="0.25">
      <c r="A95">
        <v>580771</v>
      </c>
      <c r="B95" t="s">
        <v>137</v>
      </c>
      <c r="C95">
        <v>2017</v>
      </c>
      <c r="D95">
        <v>8</v>
      </c>
      <c r="E95" t="s">
        <v>85</v>
      </c>
      <c r="F95" t="s">
        <v>84</v>
      </c>
      <c r="G95" t="s">
        <v>84</v>
      </c>
      <c r="H95" t="s">
        <v>25</v>
      </c>
      <c r="I95" t="s">
        <v>25</v>
      </c>
      <c r="J95" t="s">
        <v>101</v>
      </c>
      <c r="K95" t="s">
        <v>86</v>
      </c>
      <c r="L95" t="s">
        <v>103</v>
      </c>
      <c r="M95">
        <v>1825.75210223</v>
      </c>
      <c r="N95">
        <v>0</v>
      </c>
      <c r="O95" t="s">
        <v>79</v>
      </c>
      <c r="P95" s="39">
        <v>44330.106720752323</v>
      </c>
      <c r="Q95">
        <v>5313252</v>
      </c>
      <c r="R95" t="s">
        <v>82</v>
      </c>
      <c r="S95" s="4">
        <v>1870.67578981</v>
      </c>
      <c r="W95"/>
      <c r="X95">
        <v>0</v>
      </c>
      <c r="AC95" t="s">
        <v>84</v>
      </c>
      <c r="AD95" s="39">
        <v>42948</v>
      </c>
    </row>
    <row r="96" spans="1:30" x14ac:dyDescent="0.25">
      <c r="A96">
        <v>580793</v>
      </c>
      <c r="B96" t="s">
        <v>137</v>
      </c>
      <c r="C96">
        <v>2017</v>
      </c>
      <c r="D96">
        <v>8</v>
      </c>
      <c r="E96" t="s">
        <v>87</v>
      </c>
      <c r="F96" t="s">
        <v>84</v>
      </c>
      <c r="G96" t="s">
        <v>84</v>
      </c>
      <c r="H96" t="s">
        <v>25</v>
      </c>
      <c r="I96" t="s">
        <v>25</v>
      </c>
      <c r="J96" t="s">
        <v>101</v>
      </c>
      <c r="K96" t="s">
        <v>88</v>
      </c>
      <c r="L96" t="s">
        <v>103</v>
      </c>
      <c r="M96">
        <v>317.95009379999999</v>
      </c>
      <c r="N96">
        <v>0</v>
      </c>
      <c r="O96" t="s">
        <v>79</v>
      </c>
      <c r="P96" s="39">
        <v>44330.106721331023</v>
      </c>
      <c r="Q96">
        <v>5313296</v>
      </c>
      <c r="R96" t="s">
        <v>82</v>
      </c>
      <c r="S96" s="4">
        <v>321.97269474000001</v>
      </c>
      <c r="W96"/>
      <c r="X96">
        <v>0</v>
      </c>
      <c r="AC96" t="s">
        <v>84</v>
      </c>
      <c r="AD96" s="39">
        <v>42948</v>
      </c>
    </row>
    <row r="97" spans="1:30" x14ac:dyDescent="0.25">
      <c r="A97">
        <v>580815</v>
      </c>
      <c r="B97" t="s">
        <v>137</v>
      </c>
      <c r="C97">
        <v>2017</v>
      </c>
      <c r="D97">
        <v>8</v>
      </c>
      <c r="E97" t="s">
        <v>89</v>
      </c>
      <c r="F97" t="s">
        <v>84</v>
      </c>
      <c r="G97" t="s">
        <v>84</v>
      </c>
      <c r="H97" t="s">
        <v>25</v>
      </c>
      <c r="I97" t="s">
        <v>25</v>
      </c>
      <c r="J97" t="s">
        <v>101</v>
      </c>
      <c r="K97" t="s">
        <v>90</v>
      </c>
      <c r="L97" t="s">
        <v>103</v>
      </c>
      <c r="M97">
        <v>1252.6346749899999</v>
      </c>
      <c r="N97">
        <v>0</v>
      </c>
      <c r="O97" t="s">
        <v>79</v>
      </c>
      <c r="P97" s="39">
        <v>44330.106721909717</v>
      </c>
      <c r="Q97">
        <v>5313340</v>
      </c>
      <c r="R97" t="s">
        <v>82</v>
      </c>
      <c r="S97" s="4">
        <v>1269.0034310000001</v>
      </c>
      <c r="W97"/>
      <c r="X97">
        <v>0</v>
      </c>
      <c r="AC97" t="s">
        <v>84</v>
      </c>
      <c r="AD97" s="39">
        <v>42948</v>
      </c>
    </row>
    <row r="98" spans="1:30" x14ac:dyDescent="0.25">
      <c r="A98">
        <v>2</v>
      </c>
      <c r="B98" t="s">
        <v>121</v>
      </c>
      <c r="C98">
        <v>2017</v>
      </c>
      <c r="D98">
        <v>9</v>
      </c>
      <c r="E98" t="s">
        <v>85</v>
      </c>
      <c r="F98" t="s">
        <v>84</v>
      </c>
      <c r="G98" t="s">
        <v>84</v>
      </c>
      <c r="H98" t="s">
        <v>25</v>
      </c>
      <c r="I98" t="s">
        <v>25</v>
      </c>
      <c r="J98" t="s">
        <v>101</v>
      </c>
      <c r="K98" t="s">
        <v>86</v>
      </c>
      <c r="L98" t="s">
        <v>103</v>
      </c>
      <c r="M98">
        <v>1525.35760676</v>
      </c>
      <c r="N98">
        <v>0</v>
      </c>
      <c r="O98" t="s">
        <v>79</v>
      </c>
      <c r="P98" s="39">
        <v>44269.837765891207</v>
      </c>
      <c r="Q98">
        <v>4</v>
      </c>
      <c r="R98" t="s">
        <v>74</v>
      </c>
      <c r="S98" s="4">
        <v>22.673557639999999</v>
      </c>
      <c r="W98"/>
      <c r="X98">
        <v>0</v>
      </c>
      <c r="AC98" t="s">
        <v>84</v>
      </c>
      <c r="AD98" s="39">
        <v>42979</v>
      </c>
    </row>
    <row r="99" spans="1:30" x14ac:dyDescent="0.25">
      <c r="A99">
        <v>23</v>
      </c>
      <c r="B99" t="s">
        <v>121</v>
      </c>
      <c r="C99">
        <v>2017</v>
      </c>
      <c r="D99">
        <v>9</v>
      </c>
      <c r="E99" t="s">
        <v>87</v>
      </c>
      <c r="F99" t="s">
        <v>84</v>
      </c>
      <c r="G99" t="s">
        <v>84</v>
      </c>
      <c r="H99" t="s">
        <v>25</v>
      </c>
      <c r="I99" t="s">
        <v>25</v>
      </c>
      <c r="J99" t="s">
        <v>101</v>
      </c>
      <c r="K99" t="s">
        <v>88</v>
      </c>
      <c r="L99" t="s">
        <v>103</v>
      </c>
      <c r="M99">
        <v>317.51694221999998</v>
      </c>
      <c r="N99">
        <v>0</v>
      </c>
      <c r="O99" t="s">
        <v>79</v>
      </c>
      <c r="P99" s="39">
        <v>44269.837767013887</v>
      </c>
      <c r="Q99">
        <v>46</v>
      </c>
      <c r="R99" t="s">
        <v>74</v>
      </c>
      <c r="S99" s="4">
        <v>8.5152728700000004</v>
      </c>
      <c r="W99"/>
      <c r="X99">
        <v>0</v>
      </c>
      <c r="AC99" t="s">
        <v>84</v>
      </c>
      <c r="AD99" s="39">
        <v>42979</v>
      </c>
    </row>
    <row r="100" spans="1:30" x14ac:dyDescent="0.25">
      <c r="A100">
        <v>44</v>
      </c>
      <c r="B100" t="s">
        <v>121</v>
      </c>
      <c r="C100">
        <v>2017</v>
      </c>
      <c r="D100">
        <v>9</v>
      </c>
      <c r="E100" t="s">
        <v>89</v>
      </c>
      <c r="F100" t="s">
        <v>84</v>
      </c>
      <c r="G100" t="s">
        <v>84</v>
      </c>
      <c r="H100" t="s">
        <v>25</v>
      </c>
      <c r="I100" t="s">
        <v>25</v>
      </c>
      <c r="J100" t="s">
        <v>101</v>
      </c>
      <c r="K100" t="s">
        <v>90</v>
      </c>
      <c r="L100" t="s">
        <v>103</v>
      </c>
      <c r="M100">
        <v>1160.3236436</v>
      </c>
      <c r="N100">
        <v>0</v>
      </c>
      <c r="O100" t="s">
        <v>79</v>
      </c>
      <c r="P100" s="39">
        <v>44269.837768090278</v>
      </c>
      <c r="Q100">
        <v>88</v>
      </c>
      <c r="R100" t="s">
        <v>74</v>
      </c>
      <c r="S100" s="4">
        <v>30.63548909</v>
      </c>
      <c r="W100"/>
      <c r="X100">
        <v>0</v>
      </c>
      <c r="AC100" t="s">
        <v>84</v>
      </c>
      <c r="AD100" s="39">
        <v>42979</v>
      </c>
    </row>
    <row r="101" spans="1:30" x14ac:dyDescent="0.25">
      <c r="A101">
        <v>44</v>
      </c>
      <c r="B101" t="s">
        <v>121</v>
      </c>
      <c r="C101">
        <v>2017</v>
      </c>
      <c r="D101">
        <v>9</v>
      </c>
      <c r="E101" t="s">
        <v>89</v>
      </c>
      <c r="F101" t="s">
        <v>84</v>
      </c>
      <c r="G101" t="s">
        <v>84</v>
      </c>
      <c r="H101" t="s">
        <v>25</v>
      </c>
      <c r="I101" t="s">
        <v>25</v>
      </c>
      <c r="J101" t="s">
        <v>101</v>
      </c>
      <c r="K101" t="s">
        <v>90</v>
      </c>
      <c r="L101" t="s">
        <v>103</v>
      </c>
      <c r="M101">
        <v>1160.3236436</v>
      </c>
      <c r="N101">
        <v>0</v>
      </c>
      <c r="O101" t="s">
        <v>79</v>
      </c>
      <c r="P101" s="39">
        <v>44269.837768090278</v>
      </c>
      <c r="Q101">
        <v>87</v>
      </c>
      <c r="R101" t="s">
        <v>82</v>
      </c>
      <c r="S101" s="4">
        <v>1175.4861287199999</v>
      </c>
      <c r="W101"/>
      <c r="X101">
        <v>0</v>
      </c>
      <c r="AC101" t="s">
        <v>84</v>
      </c>
      <c r="AD101" s="39">
        <v>42979</v>
      </c>
    </row>
    <row r="102" spans="1:30" x14ac:dyDescent="0.25">
      <c r="A102">
        <v>23</v>
      </c>
      <c r="B102" t="s">
        <v>121</v>
      </c>
      <c r="C102">
        <v>2017</v>
      </c>
      <c r="D102">
        <v>9</v>
      </c>
      <c r="E102" t="s">
        <v>87</v>
      </c>
      <c r="F102" t="s">
        <v>84</v>
      </c>
      <c r="G102" t="s">
        <v>84</v>
      </c>
      <c r="H102" t="s">
        <v>25</v>
      </c>
      <c r="I102" t="s">
        <v>25</v>
      </c>
      <c r="J102" t="s">
        <v>101</v>
      </c>
      <c r="K102" t="s">
        <v>88</v>
      </c>
      <c r="L102" t="s">
        <v>103</v>
      </c>
      <c r="M102">
        <v>317.51694221999998</v>
      </c>
      <c r="N102">
        <v>0</v>
      </c>
      <c r="O102" t="s">
        <v>79</v>
      </c>
      <c r="P102" s="39">
        <v>44269.837767013887</v>
      </c>
      <c r="Q102">
        <v>45</v>
      </c>
      <c r="R102" t="s">
        <v>82</v>
      </c>
      <c r="S102" s="4">
        <v>321.53406305999999</v>
      </c>
      <c r="W102"/>
      <c r="X102">
        <v>0</v>
      </c>
      <c r="AC102" t="s">
        <v>84</v>
      </c>
      <c r="AD102" s="39">
        <v>42979</v>
      </c>
    </row>
    <row r="103" spans="1:30" x14ac:dyDescent="0.25">
      <c r="A103">
        <v>2</v>
      </c>
      <c r="B103" t="s">
        <v>121</v>
      </c>
      <c r="C103">
        <v>2017</v>
      </c>
      <c r="D103">
        <v>9</v>
      </c>
      <c r="E103" t="s">
        <v>85</v>
      </c>
      <c r="F103" t="s">
        <v>84</v>
      </c>
      <c r="G103" t="s">
        <v>84</v>
      </c>
      <c r="H103" t="s">
        <v>25</v>
      </c>
      <c r="I103" t="s">
        <v>25</v>
      </c>
      <c r="J103" t="s">
        <v>101</v>
      </c>
      <c r="K103" t="s">
        <v>86</v>
      </c>
      <c r="L103" t="s">
        <v>103</v>
      </c>
      <c r="M103">
        <v>1525.35760676</v>
      </c>
      <c r="N103">
        <v>0</v>
      </c>
      <c r="O103" t="s">
        <v>79</v>
      </c>
      <c r="P103" s="39">
        <v>44269.837765891207</v>
      </c>
      <c r="Q103">
        <v>3</v>
      </c>
      <c r="R103" t="s">
        <v>82</v>
      </c>
      <c r="S103" s="4">
        <v>1562.8899138500001</v>
      </c>
      <c r="W103"/>
      <c r="X103">
        <v>0</v>
      </c>
      <c r="AC103" t="s">
        <v>84</v>
      </c>
      <c r="AD103" s="39">
        <v>42979</v>
      </c>
    </row>
    <row r="104" spans="1:30" x14ac:dyDescent="0.25">
      <c r="A104">
        <v>9800</v>
      </c>
      <c r="B104" t="s">
        <v>127</v>
      </c>
      <c r="C104">
        <v>2017</v>
      </c>
      <c r="D104">
        <v>10</v>
      </c>
      <c r="E104" t="s">
        <v>85</v>
      </c>
      <c r="F104" t="s">
        <v>84</v>
      </c>
      <c r="G104" t="s">
        <v>84</v>
      </c>
      <c r="H104" t="s">
        <v>25</v>
      </c>
      <c r="I104" t="s">
        <v>25</v>
      </c>
      <c r="J104" t="s">
        <v>101</v>
      </c>
      <c r="K104" t="s">
        <v>86</v>
      </c>
      <c r="L104" t="s">
        <v>103</v>
      </c>
      <c r="M104">
        <v>1690.9131185399999</v>
      </c>
      <c r="N104">
        <v>0</v>
      </c>
      <c r="O104" t="s">
        <v>79</v>
      </c>
      <c r="P104" s="39">
        <v>44269.83878622685</v>
      </c>
      <c r="Q104">
        <v>83885</v>
      </c>
      <c r="R104" t="s">
        <v>74</v>
      </c>
      <c r="S104" s="4">
        <v>25.134444469999998</v>
      </c>
      <c r="W104"/>
      <c r="X104">
        <v>0</v>
      </c>
      <c r="AC104" t="s">
        <v>84</v>
      </c>
      <c r="AD104" s="39">
        <v>43009</v>
      </c>
    </row>
    <row r="105" spans="1:30" x14ac:dyDescent="0.25">
      <c r="A105">
        <v>9821</v>
      </c>
      <c r="B105" t="s">
        <v>127</v>
      </c>
      <c r="C105">
        <v>2017</v>
      </c>
      <c r="D105">
        <v>10</v>
      </c>
      <c r="E105" t="s">
        <v>87</v>
      </c>
      <c r="F105" t="s">
        <v>84</v>
      </c>
      <c r="G105" t="s">
        <v>84</v>
      </c>
      <c r="H105" t="s">
        <v>25</v>
      </c>
      <c r="I105" t="s">
        <v>25</v>
      </c>
      <c r="J105" t="s">
        <v>101</v>
      </c>
      <c r="K105" t="s">
        <v>88</v>
      </c>
      <c r="L105" t="s">
        <v>103</v>
      </c>
      <c r="M105">
        <v>345.79406583999997</v>
      </c>
      <c r="N105">
        <v>0</v>
      </c>
      <c r="O105" t="s">
        <v>79</v>
      </c>
      <c r="P105" s="39">
        <v>44269.83878726852</v>
      </c>
      <c r="Q105">
        <v>83927</v>
      </c>
      <c r="R105" t="s">
        <v>74</v>
      </c>
      <c r="S105" s="4">
        <v>9.27361799</v>
      </c>
      <c r="W105"/>
      <c r="X105">
        <v>0</v>
      </c>
      <c r="AC105" t="s">
        <v>84</v>
      </c>
      <c r="AD105" s="39">
        <v>43009</v>
      </c>
    </row>
    <row r="106" spans="1:30" x14ac:dyDescent="0.25">
      <c r="A106">
        <v>9842</v>
      </c>
      <c r="B106" t="s">
        <v>127</v>
      </c>
      <c r="C106">
        <v>2017</v>
      </c>
      <c r="D106">
        <v>10</v>
      </c>
      <c r="E106" t="s">
        <v>89</v>
      </c>
      <c r="F106" t="s">
        <v>84</v>
      </c>
      <c r="G106" t="s">
        <v>84</v>
      </c>
      <c r="H106" t="s">
        <v>25</v>
      </c>
      <c r="I106" t="s">
        <v>25</v>
      </c>
      <c r="J106" t="s">
        <v>101</v>
      </c>
      <c r="K106" t="s">
        <v>90</v>
      </c>
      <c r="L106" t="s">
        <v>103</v>
      </c>
      <c r="M106">
        <v>1325.6322066800001</v>
      </c>
      <c r="N106">
        <v>0</v>
      </c>
      <c r="O106" t="s">
        <v>79</v>
      </c>
      <c r="P106" s="39">
        <v>44269.838788229157</v>
      </c>
      <c r="Q106">
        <v>83969</v>
      </c>
      <c r="R106" t="s">
        <v>74</v>
      </c>
      <c r="S106" s="4">
        <v>35.000054710000001</v>
      </c>
      <c r="W106"/>
      <c r="X106">
        <v>0</v>
      </c>
      <c r="AC106" t="s">
        <v>84</v>
      </c>
      <c r="AD106" s="39">
        <v>43009</v>
      </c>
    </row>
    <row r="107" spans="1:30" x14ac:dyDescent="0.25">
      <c r="A107">
        <v>9821</v>
      </c>
      <c r="B107" t="s">
        <v>127</v>
      </c>
      <c r="C107">
        <v>2017</v>
      </c>
      <c r="D107">
        <v>10</v>
      </c>
      <c r="E107" t="s">
        <v>87</v>
      </c>
      <c r="F107" t="s">
        <v>84</v>
      </c>
      <c r="G107" t="s">
        <v>84</v>
      </c>
      <c r="H107" t="s">
        <v>25</v>
      </c>
      <c r="I107" t="s">
        <v>25</v>
      </c>
      <c r="J107" t="s">
        <v>101</v>
      </c>
      <c r="K107" t="s">
        <v>88</v>
      </c>
      <c r="L107" t="s">
        <v>103</v>
      </c>
      <c r="M107">
        <v>345.79406583999997</v>
      </c>
      <c r="N107">
        <v>0</v>
      </c>
      <c r="O107" t="s">
        <v>79</v>
      </c>
      <c r="P107" s="39">
        <v>44269.83878726852</v>
      </c>
      <c r="Q107">
        <v>83926</v>
      </c>
      <c r="R107" t="s">
        <v>82</v>
      </c>
      <c r="S107" s="4">
        <v>350.16893963000001</v>
      </c>
      <c r="W107"/>
      <c r="X107">
        <v>0</v>
      </c>
      <c r="AC107" t="s">
        <v>84</v>
      </c>
      <c r="AD107" s="39">
        <v>43009</v>
      </c>
    </row>
    <row r="108" spans="1:30" x14ac:dyDescent="0.25">
      <c r="A108">
        <v>9842</v>
      </c>
      <c r="B108" t="s">
        <v>127</v>
      </c>
      <c r="C108">
        <v>2017</v>
      </c>
      <c r="D108">
        <v>10</v>
      </c>
      <c r="E108" t="s">
        <v>89</v>
      </c>
      <c r="F108" t="s">
        <v>84</v>
      </c>
      <c r="G108" t="s">
        <v>84</v>
      </c>
      <c r="H108" t="s">
        <v>25</v>
      </c>
      <c r="I108" t="s">
        <v>25</v>
      </c>
      <c r="J108" t="s">
        <v>101</v>
      </c>
      <c r="K108" t="s">
        <v>90</v>
      </c>
      <c r="L108" t="s">
        <v>103</v>
      </c>
      <c r="M108">
        <v>1325.6322066800001</v>
      </c>
      <c r="N108">
        <v>0</v>
      </c>
      <c r="O108" t="s">
        <v>79</v>
      </c>
      <c r="P108" s="39">
        <v>44269.838788229157</v>
      </c>
      <c r="Q108">
        <v>83968</v>
      </c>
      <c r="R108" t="s">
        <v>82</v>
      </c>
      <c r="S108" s="4">
        <v>1342.95485517</v>
      </c>
      <c r="W108"/>
      <c r="X108">
        <v>0</v>
      </c>
      <c r="AC108" t="s">
        <v>84</v>
      </c>
      <c r="AD108" s="39">
        <v>43009</v>
      </c>
    </row>
    <row r="109" spans="1:30" x14ac:dyDescent="0.25">
      <c r="A109">
        <v>9800</v>
      </c>
      <c r="B109" t="s">
        <v>127</v>
      </c>
      <c r="C109">
        <v>2017</v>
      </c>
      <c r="D109">
        <v>10</v>
      </c>
      <c r="E109" t="s">
        <v>85</v>
      </c>
      <c r="F109" t="s">
        <v>84</v>
      </c>
      <c r="G109" t="s">
        <v>84</v>
      </c>
      <c r="H109" t="s">
        <v>25</v>
      </c>
      <c r="I109" t="s">
        <v>25</v>
      </c>
      <c r="J109" t="s">
        <v>101</v>
      </c>
      <c r="K109" t="s">
        <v>86</v>
      </c>
      <c r="L109" t="s">
        <v>103</v>
      </c>
      <c r="M109">
        <v>1690.9131185399999</v>
      </c>
      <c r="N109">
        <v>0</v>
      </c>
      <c r="O109" t="s">
        <v>79</v>
      </c>
      <c r="P109" s="39">
        <v>44269.83878622685</v>
      </c>
      <c r="Q109">
        <v>83884</v>
      </c>
      <c r="R109" t="s">
        <v>82</v>
      </c>
      <c r="S109" s="4">
        <v>1732.51901486</v>
      </c>
      <c r="W109"/>
      <c r="X109">
        <v>0</v>
      </c>
      <c r="AC109" t="s">
        <v>84</v>
      </c>
      <c r="AD109" s="39">
        <v>43009</v>
      </c>
    </row>
    <row r="110" spans="1:30" x14ac:dyDescent="0.25">
      <c r="A110">
        <v>446664</v>
      </c>
      <c r="B110" t="s">
        <v>128</v>
      </c>
      <c r="C110">
        <v>2017</v>
      </c>
      <c r="D110">
        <v>11</v>
      </c>
      <c r="E110" t="s">
        <v>85</v>
      </c>
      <c r="F110" t="s">
        <v>84</v>
      </c>
      <c r="G110" t="s">
        <v>84</v>
      </c>
      <c r="H110" t="s">
        <v>25</v>
      </c>
      <c r="I110" t="s">
        <v>25</v>
      </c>
      <c r="J110" t="s">
        <v>101</v>
      </c>
      <c r="K110" t="s">
        <v>86</v>
      </c>
      <c r="L110" t="s">
        <v>103</v>
      </c>
      <c r="M110">
        <v>2041.4187845900001</v>
      </c>
      <c r="N110">
        <v>0</v>
      </c>
      <c r="O110" t="s">
        <v>79</v>
      </c>
      <c r="P110" s="39">
        <v>44284.5259379977</v>
      </c>
      <c r="Q110">
        <v>4237044</v>
      </c>
      <c r="R110" t="s">
        <v>74</v>
      </c>
      <c r="S110" s="4">
        <v>30.344508250000001</v>
      </c>
      <c r="W110"/>
      <c r="X110">
        <v>0</v>
      </c>
      <c r="AC110" t="s">
        <v>84</v>
      </c>
      <c r="AD110" s="39">
        <v>43040</v>
      </c>
    </row>
    <row r="111" spans="1:30" x14ac:dyDescent="0.25">
      <c r="A111">
        <v>446686</v>
      </c>
      <c r="B111" t="s">
        <v>128</v>
      </c>
      <c r="C111">
        <v>2017</v>
      </c>
      <c r="D111">
        <v>11</v>
      </c>
      <c r="E111" t="s">
        <v>87</v>
      </c>
      <c r="F111" t="s">
        <v>84</v>
      </c>
      <c r="G111" t="s">
        <v>84</v>
      </c>
      <c r="H111" t="s">
        <v>25</v>
      </c>
      <c r="I111" t="s">
        <v>25</v>
      </c>
      <c r="J111" t="s">
        <v>101</v>
      </c>
      <c r="K111" t="s">
        <v>88</v>
      </c>
      <c r="L111" t="s">
        <v>103</v>
      </c>
      <c r="M111">
        <v>547.58038690000001</v>
      </c>
      <c r="N111">
        <v>0</v>
      </c>
      <c r="O111" t="s">
        <v>79</v>
      </c>
      <c r="P111" s="39">
        <v>44284.525938576393</v>
      </c>
      <c r="Q111">
        <v>4237088</v>
      </c>
      <c r="R111" t="s">
        <v>74</v>
      </c>
      <c r="S111" s="4">
        <v>14.68518933</v>
      </c>
      <c r="W111"/>
      <c r="X111">
        <v>0</v>
      </c>
      <c r="AC111" t="s">
        <v>84</v>
      </c>
      <c r="AD111" s="39">
        <v>43040</v>
      </c>
    </row>
    <row r="112" spans="1:30" x14ac:dyDescent="0.25">
      <c r="A112">
        <v>446708</v>
      </c>
      <c r="B112" t="s">
        <v>128</v>
      </c>
      <c r="C112">
        <v>2017</v>
      </c>
      <c r="D112">
        <v>11</v>
      </c>
      <c r="E112" t="s">
        <v>89</v>
      </c>
      <c r="F112" t="s">
        <v>84</v>
      </c>
      <c r="G112" t="s">
        <v>84</v>
      </c>
      <c r="H112" t="s">
        <v>25</v>
      </c>
      <c r="I112" t="s">
        <v>25</v>
      </c>
      <c r="J112" t="s">
        <v>101</v>
      </c>
      <c r="K112" t="s">
        <v>90</v>
      </c>
      <c r="L112" t="s">
        <v>103</v>
      </c>
      <c r="M112">
        <v>1364.6638703399999</v>
      </c>
      <c r="N112">
        <v>0</v>
      </c>
      <c r="O112" t="s">
        <v>79</v>
      </c>
      <c r="P112" s="39">
        <v>44284.525939120373</v>
      </c>
      <c r="Q112">
        <v>4237132</v>
      </c>
      <c r="R112" t="s">
        <v>74</v>
      </c>
      <c r="S112" s="4">
        <v>36.030589689999999</v>
      </c>
      <c r="W112"/>
      <c r="X112">
        <v>0</v>
      </c>
      <c r="AC112" t="s">
        <v>84</v>
      </c>
      <c r="AD112" s="39">
        <v>43040</v>
      </c>
    </row>
    <row r="113" spans="1:30" x14ac:dyDescent="0.25">
      <c r="A113">
        <v>446686</v>
      </c>
      <c r="B113" t="s">
        <v>128</v>
      </c>
      <c r="C113">
        <v>2017</v>
      </c>
      <c r="D113">
        <v>11</v>
      </c>
      <c r="E113" t="s">
        <v>87</v>
      </c>
      <c r="F113" t="s">
        <v>84</v>
      </c>
      <c r="G113" t="s">
        <v>84</v>
      </c>
      <c r="H113" t="s">
        <v>25</v>
      </c>
      <c r="I113" t="s">
        <v>25</v>
      </c>
      <c r="J113" t="s">
        <v>101</v>
      </c>
      <c r="K113" t="s">
        <v>88</v>
      </c>
      <c r="L113" t="s">
        <v>103</v>
      </c>
      <c r="M113">
        <v>547.58038690000001</v>
      </c>
      <c r="N113">
        <v>0</v>
      </c>
      <c r="O113" t="s">
        <v>79</v>
      </c>
      <c r="P113" s="39">
        <v>44284.525938576393</v>
      </c>
      <c r="Q113">
        <v>4237087</v>
      </c>
      <c r="R113" t="s">
        <v>82</v>
      </c>
      <c r="S113" s="4">
        <v>554.50819544000001</v>
      </c>
      <c r="W113"/>
      <c r="X113">
        <v>0</v>
      </c>
      <c r="AC113" t="s">
        <v>84</v>
      </c>
      <c r="AD113" s="39">
        <v>43040</v>
      </c>
    </row>
    <row r="114" spans="1:30" x14ac:dyDescent="0.25">
      <c r="A114">
        <v>446664</v>
      </c>
      <c r="B114" t="s">
        <v>128</v>
      </c>
      <c r="C114">
        <v>2017</v>
      </c>
      <c r="D114">
        <v>11</v>
      </c>
      <c r="E114" t="s">
        <v>85</v>
      </c>
      <c r="F114" t="s">
        <v>84</v>
      </c>
      <c r="G114" t="s">
        <v>84</v>
      </c>
      <c r="H114" t="s">
        <v>25</v>
      </c>
      <c r="I114" t="s">
        <v>25</v>
      </c>
      <c r="J114" t="s">
        <v>101</v>
      </c>
      <c r="K114" t="s">
        <v>86</v>
      </c>
      <c r="L114" t="s">
        <v>103</v>
      </c>
      <c r="M114">
        <v>2041.4187845900001</v>
      </c>
      <c r="N114">
        <v>0</v>
      </c>
      <c r="O114" t="s">
        <v>79</v>
      </c>
      <c r="P114" s="39">
        <v>44284.5259379977</v>
      </c>
      <c r="Q114">
        <v>4237043</v>
      </c>
      <c r="R114" t="s">
        <v>82</v>
      </c>
      <c r="S114" s="4">
        <v>2091.6490757699999</v>
      </c>
      <c r="W114"/>
      <c r="X114">
        <v>0</v>
      </c>
      <c r="AC114" t="s">
        <v>84</v>
      </c>
      <c r="AD114" s="39">
        <v>43040</v>
      </c>
    </row>
    <row r="115" spans="1:30" x14ac:dyDescent="0.25">
      <c r="A115">
        <v>446708</v>
      </c>
      <c r="B115" t="s">
        <v>128</v>
      </c>
      <c r="C115">
        <v>2017</v>
      </c>
      <c r="D115">
        <v>11</v>
      </c>
      <c r="E115" t="s">
        <v>89</v>
      </c>
      <c r="F115" t="s">
        <v>84</v>
      </c>
      <c r="G115" t="s">
        <v>84</v>
      </c>
      <c r="H115" t="s">
        <v>25</v>
      </c>
      <c r="I115" t="s">
        <v>25</v>
      </c>
      <c r="J115" t="s">
        <v>101</v>
      </c>
      <c r="K115" t="s">
        <v>90</v>
      </c>
      <c r="L115" t="s">
        <v>103</v>
      </c>
      <c r="M115">
        <v>1364.6638703399999</v>
      </c>
      <c r="N115">
        <v>0</v>
      </c>
      <c r="O115" t="s">
        <v>79</v>
      </c>
      <c r="P115" s="39">
        <v>44284.525939120373</v>
      </c>
      <c r="Q115">
        <v>4237131</v>
      </c>
      <c r="R115" t="s">
        <v>82</v>
      </c>
      <c r="S115" s="4">
        <v>1382.4965636100001</v>
      </c>
      <c r="W115"/>
      <c r="X115">
        <v>0</v>
      </c>
      <c r="AC115" t="s">
        <v>84</v>
      </c>
      <c r="AD115" s="39">
        <v>43040</v>
      </c>
    </row>
    <row r="116" spans="1:30" x14ac:dyDescent="0.25">
      <c r="A116">
        <v>456416</v>
      </c>
      <c r="B116" t="s">
        <v>138</v>
      </c>
      <c r="C116">
        <v>2017</v>
      </c>
      <c r="D116">
        <v>12</v>
      </c>
      <c r="E116" t="s">
        <v>85</v>
      </c>
      <c r="F116" t="s">
        <v>84</v>
      </c>
      <c r="G116" t="s">
        <v>84</v>
      </c>
      <c r="H116" t="s">
        <v>25</v>
      </c>
      <c r="I116" t="s">
        <v>25</v>
      </c>
      <c r="J116" t="s">
        <v>101</v>
      </c>
      <c r="K116" t="s">
        <v>86</v>
      </c>
      <c r="L116" t="s">
        <v>103</v>
      </c>
      <c r="M116">
        <v>1221.88235865</v>
      </c>
      <c r="N116">
        <v>0</v>
      </c>
      <c r="O116" t="s">
        <v>79</v>
      </c>
      <c r="P116" s="39">
        <v>44284.526843402768</v>
      </c>
      <c r="Q116">
        <v>4320917</v>
      </c>
      <c r="R116" t="s">
        <v>74</v>
      </c>
      <c r="S116" s="4">
        <v>18.16257379</v>
      </c>
      <c r="W116"/>
      <c r="X116">
        <v>0</v>
      </c>
      <c r="AC116" t="s">
        <v>84</v>
      </c>
      <c r="AD116" s="39">
        <v>43070</v>
      </c>
    </row>
    <row r="117" spans="1:30" x14ac:dyDescent="0.25">
      <c r="A117">
        <v>456438</v>
      </c>
      <c r="B117" t="s">
        <v>138</v>
      </c>
      <c r="C117">
        <v>2017</v>
      </c>
      <c r="D117">
        <v>12</v>
      </c>
      <c r="E117" t="s">
        <v>87</v>
      </c>
      <c r="F117" t="s">
        <v>84</v>
      </c>
      <c r="G117" t="s">
        <v>84</v>
      </c>
      <c r="H117" t="s">
        <v>25</v>
      </c>
      <c r="I117" t="s">
        <v>25</v>
      </c>
      <c r="J117" t="s">
        <v>101</v>
      </c>
      <c r="K117" t="s">
        <v>88</v>
      </c>
      <c r="L117" t="s">
        <v>103</v>
      </c>
      <c r="M117">
        <v>326.92489831</v>
      </c>
      <c r="N117">
        <v>0</v>
      </c>
      <c r="O117" t="s">
        <v>79</v>
      </c>
      <c r="P117" s="39">
        <v>44284.5268440625</v>
      </c>
      <c r="Q117">
        <v>4320961</v>
      </c>
      <c r="R117" t="s">
        <v>74</v>
      </c>
      <c r="S117" s="4">
        <v>8.7675785000000008</v>
      </c>
      <c r="W117"/>
      <c r="X117">
        <v>0</v>
      </c>
      <c r="AC117" t="s">
        <v>84</v>
      </c>
      <c r="AD117" s="39">
        <v>43070</v>
      </c>
    </row>
    <row r="118" spans="1:30" x14ac:dyDescent="0.25">
      <c r="A118">
        <v>456460</v>
      </c>
      <c r="B118" t="s">
        <v>138</v>
      </c>
      <c r="C118">
        <v>2017</v>
      </c>
      <c r="D118">
        <v>12</v>
      </c>
      <c r="E118" t="s">
        <v>89</v>
      </c>
      <c r="F118" t="s">
        <v>84</v>
      </c>
      <c r="G118" t="s">
        <v>84</v>
      </c>
      <c r="H118" t="s">
        <v>25</v>
      </c>
      <c r="I118" t="s">
        <v>25</v>
      </c>
      <c r="J118" t="s">
        <v>101</v>
      </c>
      <c r="K118" t="s">
        <v>90</v>
      </c>
      <c r="L118" t="s">
        <v>103</v>
      </c>
      <c r="M118">
        <v>577.39533010000002</v>
      </c>
      <c r="N118">
        <v>0</v>
      </c>
      <c r="O118" t="s">
        <v>79</v>
      </c>
      <c r="P118" s="39">
        <v>44284.52684471065</v>
      </c>
      <c r="Q118">
        <v>4321005</v>
      </c>
      <c r="R118" t="s">
        <v>74</v>
      </c>
      <c r="S118" s="4">
        <v>15.244702139999999</v>
      </c>
      <c r="W118"/>
      <c r="X118">
        <v>0</v>
      </c>
      <c r="AC118" t="s">
        <v>84</v>
      </c>
      <c r="AD118" s="39">
        <v>43070</v>
      </c>
    </row>
    <row r="119" spans="1:30" x14ac:dyDescent="0.25">
      <c r="A119">
        <v>456438</v>
      </c>
      <c r="B119" t="s">
        <v>138</v>
      </c>
      <c r="C119">
        <v>2017</v>
      </c>
      <c r="D119">
        <v>12</v>
      </c>
      <c r="E119" t="s">
        <v>87</v>
      </c>
      <c r="F119" t="s">
        <v>84</v>
      </c>
      <c r="G119" t="s">
        <v>84</v>
      </c>
      <c r="H119" t="s">
        <v>25</v>
      </c>
      <c r="I119" t="s">
        <v>25</v>
      </c>
      <c r="J119" t="s">
        <v>101</v>
      </c>
      <c r="K119" t="s">
        <v>88</v>
      </c>
      <c r="L119" t="s">
        <v>103</v>
      </c>
      <c r="M119">
        <v>326.92489831</v>
      </c>
      <c r="N119">
        <v>0</v>
      </c>
      <c r="O119" t="s">
        <v>79</v>
      </c>
      <c r="P119" s="39">
        <v>44284.5268440625</v>
      </c>
      <c r="Q119">
        <v>4320960</v>
      </c>
      <c r="R119" t="s">
        <v>82</v>
      </c>
      <c r="S119" s="4">
        <v>331.06104555000002</v>
      </c>
      <c r="W119"/>
      <c r="X119">
        <v>0</v>
      </c>
      <c r="AC119" t="s">
        <v>84</v>
      </c>
      <c r="AD119" s="39">
        <v>43070</v>
      </c>
    </row>
    <row r="120" spans="1:30" x14ac:dyDescent="0.25">
      <c r="A120">
        <v>456460</v>
      </c>
      <c r="B120" t="s">
        <v>138</v>
      </c>
      <c r="C120">
        <v>2017</v>
      </c>
      <c r="D120">
        <v>12</v>
      </c>
      <c r="E120" t="s">
        <v>89</v>
      </c>
      <c r="F120" t="s">
        <v>84</v>
      </c>
      <c r="G120" t="s">
        <v>84</v>
      </c>
      <c r="H120" t="s">
        <v>25</v>
      </c>
      <c r="I120" t="s">
        <v>25</v>
      </c>
      <c r="J120" t="s">
        <v>101</v>
      </c>
      <c r="K120" t="s">
        <v>90</v>
      </c>
      <c r="L120" t="s">
        <v>103</v>
      </c>
      <c r="M120">
        <v>577.39533010000002</v>
      </c>
      <c r="N120">
        <v>0</v>
      </c>
      <c r="O120" t="s">
        <v>79</v>
      </c>
      <c r="P120" s="39">
        <v>44284.52684471065</v>
      </c>
      <c r="Q120">
        <v>4321004</v>
      </c>
      <c r="R120" t="s">
        <v>82</v>
      </c>
      <c r="S120" s="4">
        <v>584.94042162999995</v>
      </c>
      <c r="W120"/>
      <c r="X120">
        <v>0</v>
      </c>
      <c r="AC120" t="s">
        <v>84</v>
      </c>
      <c r="AD120" s="39">
        <v>43070</v>
      </c>
    </row>
    <row r="121" spans="1:30" x14ac:dyDescent="0.25">
      <c r="A121">
        <v>456416</v>
      </c>
      <c r="B121" t="s">
        <v>138</v>
      </c>
      <c r="C121">
        <v>2017</v>
      </c>
      <c r="D121">
        <v>12</v>
      </c>
      <c r="E121" t="s">
        <v>85</v>
      </c>
      <c r="F121" t="s">
        <v>84</v>
      </c>
      <c r="G121" t="s">
        <v>84</v>
      </c>
      <c r="H121" t="s">
        <v>25</v>
      </c>
      <c r="I121" t="s">
        <v>25</v>
      </c>
      <c r="J121" t="s">
        <v>101</v>
      </c>
      <c r="K121" t="s">
        <v>86</v>
      </c>
      <c r="L121" t="s">
        <v>103</v>
      </c>
      <c r="M121">
        <v>1221.88235865</v>
      </c>
      <c r="N121">
        <v>0</v>
      </c>
      <c r="O121" t="s">
        <v>79</v>
      </c>
      <c r="P121" s="39">
        <v>44284.526843402768</v>
      </c>
      <c r="Q121">
        <v>4320916</v>
      </c>
      <c r="R121" t="s">
        <v>82</v>
      </c>
      <c r="S121" s="4">
        <v>1251.9474815599999</v>
      </c>
      <c r="W121"/>
      <c r="X121">
        <v>0</v>
      </c>
      <c r="AC121" t="s">
        <v>84</v>
      </c>
      <c r="AD121" s="39">
        <v>43070</v>
      </c>
    </row>
    <row r="122" spans="1:30" x14ac:dyDescent="0.25">
      <c r="A122">
        <v>38591</v>
      </c>
      <c r="B122" t="s">
        <v>119</v>
      </c>
      <c r="C122">
        <v>2018</v>
      </c>
      <c r="D122">
        <v>1</v>
      </c>
      <c r="E122" t="s">
        <v>89</v>
      </c>
      <c r="F122" t="s">
        <v>84</v>
      </c>
      <c r="G122" t="s">
        <v>84</v>
      </c>
      <c r="H122" t="s">
        <v>25</v>
      </c>
      <c r="I122" t="s">
        <v>25</v>
      </c>
      <c r="J122" t="s">
        <v>101</v>
      </c>
      <c r="K122" t="s">
        <v>90</v>
      </c>
      <c r="L122" t="s">
        <v>103</v>
      </c>
      <c r="M122">
        <v>1063.1400695499999</v>
      </c>
      <c r="N122">
        <v>0</v>
      </c>
      <c r="O122" t="s">
        <v>79</v>
      </c>
      <c r="P122" s="39">
        <v>44269.841714548609</v>
      </c>
      <c r="Q122">
        <v>327830</v>
      </c>
      <c r="R122" t="s">
        <v>74</v>
      </c>
      <c r="S122" s="4">
        <v>27.84811478</v>
      </c>
      <c r="W122"/>
      <c r="X122">
        <v>0</v>
      </c>
      <c r="AC122" t="s">
        <v>84</v>
      </c>
      <c r="AD122" s="39">
        <v>43101</v>
      </c>
    </row>
    <row r="123" spans="1:30" x14ac:dyDescent="0.25">
      <c r="A123">
        <v>38568</v>
      </c>
      <c r="B123" t="s">
        <v>119</v>
      </c>
      <c r="C123">
        <v>2018</v>
      </c>
      <c r="D123">
        <v>1</v>
      </c>
      <c r="E123" t="s">
        <v>87</v>
      </c>
      <c r="F123" t="s">
        <v>84</v>
      </c>
      <c r="G123" t="s">
        <v>84</v>
      </c>
      <c r="H123" t="s">
        <v>25</v>
      </c>
      <c r="I123" t="s">
        <v>25</v>
      </c>
      <c r="J123" t="s">
        <v>101</v>
      </c>
      <c r="K123" t="s">
        <v>88</v>
      </c>
      <c r="L123" t="s">
        <v>103</v>
      </c>
      <c r="M123">
        <v>892.08334261000005</v>
      </c>
      <c r="N123">
        <v>0</v>
      </c>
      <c r="O123" t="s">
        <v>79</v>
      </c>
      <c r="P123" s="39">
        <v>44269.841713576388</v>
      </c>
      <c r="Q123">
        <v>327784</v>
      </c>
      <c r="R123" t="s">
        <v>74</v>
      </c>
      <c r="S123" s="4">
        <v>23.73540972</v>
      </c>
      <c r="W123"/>
      <c r="X123">
        <v>0</v>
      </c>
      <c r="AC123" t="s">
        <v>84</v>
      </c>
      <c r="AD123" s="39">
        <v>43101</v>
      </c>
    </row>
    <row r="124" spans="1:30" x14ac:dyDescent="0.25">
      <c r="A124">
        <v>38545</v>
      </c>
      <c r="B124" t="s">
        <v>119</v>
      </c>
      <c r="C124">
        <v>2018</v>
      </c>
      <c r="D124">
        <v>1</v>
      </c>
      <c r="E124" t="s">
        <v>85</v>
      </c>
      <c r="F124" t="s">
        <v>84</v>
      </c>
      <c r="G124" t="s">
        <v>84</v>
      </c>
      <c r="H124" t="s">
        <v>25</v>
      </c>
      <c r="I124" t="s">
        <v>25</v>
      </c>
      <c r="J124" t="s">
        <v>101</v>
      </c>
      <c r="K124" t="s">
        <v>86</v>
      </c>
      <c r="L124" t="s">
        <v>103</v>
      </c>
      <c r="M124">
        <v>2934.8747129799999</v>
      </c>
      <c r="N124">
        <v>0</v>
      </c>
      <c r="O124" t="s">
        <v>79</v>
      </c>
      <c r="P124" s="39">
        <v>44269.841712766203</v>
      </c>
      <c r="Q124">
        <v>327738</v>
      </c>
      <c r="R124" t="s">
        <v>74</v>
      </c>
      <c r="S124" s="4">
        <v>43.280991440000001</v>
      </c>
      <c r="W124"/>
      <c r="X124">
        <v>0</v>
      </c>
      <c r="AC124" t="s">
        <v>84</v>
      </c>
      <c r="AD124" s="39">
        <v>43101</v>
      </c>
    </row>
    <row r="125" spans="1:30" x14ac:dyDescent="0.25">
      <c r="A125">
        <v>38568</v>
      </c>
      <c r="B125" t="s">
        <v>119</v>
      </c>
      <c r="C125">
        <v>2018</v>
      </c>
      <c r="D125">
        <v>1</v>
      </c>
      <c r="E125" t="s">
        <v>87</v>
      </c>
      <c r="F125" t="s">
        <v>84</v>
      </c>
      <c r="G125" t="s">
        <v>84</v>
      </c>
      <c r="H125" t="s">
        <v>25</v>
      </c>
      <c r="I125" t="s">
        <v>25</v>
      </c>
      <c r="J125" t="s">
        <v>101</v>
      </c>
      <c r="K125" t="s">
        <v>88</v>
      </c>
      <c r="L125" t="s">
        <v>103</v>
      </c>
      <c r="M125">
        <v>892.08334261000005</v>
      </c>
      <c r="N125">
        <v>0</v>
      </c>
      <c r="O125" t="s">
        <v>79</v>
      </c>
      <c r="P125" s="39">
        <v>44269.841713576388</v>
      </c>
      <c r="Q125">
        <v>327783</v>
      </c>
      <c r="R125" t="s">
        <v>82</v>
      </c>
      <c r="S125" s="4">
        <v>896.24171113</v>
      </c>
      <c r="W125"/>
      <c r="X125">
        <v>0</v>
      </c>
      <c r="AC125" t="s">
        <v>84</v>
      </c>
      <c r="AD125" s="39">
        <v>43101</v>
      </c>
    </row>
    <row r="126" spans="1:30" x14ac:dyDescent="0.25">
      <c r="A126">
        <v>38591</v>
      </c>
      <c r="B126" t="s">
        <v>119</v>
      </c>
      <c r="C126">
        <v>2018</v>
      </c>
      <c r="D126">
        <v>1</v>
      </c>
      <c r="E126" t="s">
        <v>89</v>
      </c>
      <c r="F126" t="s">
        <v>84</v>
      </c>
      <c r="G126" t="s">
        <v>84</v>
      </c>
      <c r="H126" t="s">
        <v>25</v>
      </c>
      <c r="I126" t="s">
        <v>25</v>
      </c>
      <c r="J126" t="s">
        <v>101</v>
      </c>
      <c r="K126" t="s">
        <v>90</v>
      </c>
      <c r="L126" t="s">
        <v>103</v>
      </c>
      <c r="M126">
        <v>1063.1400695499999</v>
      </c>
      <c r="N126">
        <v>0</v>
      </c>
      <c r="O126" t="s">
        <v>79</v>
      </c>
      <c r="P126" s="39">
        <v>44269.841714548609</v>
      </c>
      <c r="Q126">
        <v>327829</v>
      </c>
      <c r="R126" t="s">
        <v>82</v>
      </c>
      <c r="S126" s="4">
        <v>1068.53435704</v>
      </c>
      <c r="W126"/>
      <c r="X126">
        <v>0</v>
      </c>
      <c r="AC126" t="s">
        <v>84</v>
      </c>
      <c r="AD126" s="39">
        <v>43101</v>
      </c>
    </row>
    <row r="127" spans="1:30" x14ac:dyDescent="0.25">
      <c r="A127">
        <v>38545</v>
      </c>
      <c r="B127" t="s">
        <v>119</v>
      </c>
      <c r="C127">
        <v>2018</v>
      </c>
      <c r="D127">
        <v>1</v>
      </c>
      <c r="E127" t="s">
        <v>85</v>
      </c>
      <c r="F127" t="s">
        <v>84</v>
      </c>
      <c r="G127" t="s">
        <v>84</v>
      </c>
      <c r="H127" t="s">
        <v>25</v>
      </c>
      <c r="I127" t="s">
        <v>25</v>
      </c>
      <c r="J127" t="s">
        <v>101</v>
      </c>
      <c r="K127" t="s">
        <v>86</v>
      </c>
      <c r="L127" t="s">
        <v>103</v>
      </c>
      <c r="M127">
        <v>2934.8747129799999</v>
      </c>
      <c r="N127">
        <v>0</v>
      </c>
      <c r="O127" t="s">
        <v>79</v>
      </c>
      <c r="P127" s="39">
        <v>44269.841712766203</v>
      </c>
      <c r="Q127">
        <v>327737</v>
      </c>
      <c r="R127" t="s">
        <v>82</v>
      </c>
      <c r="S127" s="4">
        <v>2983.3617666300001</v>
      </c>
      <c r="W127"/>
      <c r="X127">
        <v>0</v>
      </c>
      <c r="AC127" t="s">
        <v>84</v>
      </c>
      <c r="AD127" s="39">
        <v>43101</v>
      </c>
    </row>
    <row r="128" spans="1:30" x14ac:dyDescent="0.25">
      <c r="A128">
        <v>51320</v>
      </c>
      <c r="B128" t="s">
        <v>117</v>
      </c>
      <c r="C128">
        <v>2018</v>
      </c>
      <c r="D128">
        <v>2</v>
      </c>
      <c r="E128" t="s">
        <v>85</v>
      </c>
      <c r="F128" t="s">
        <v>84</v>
      </c>
      <c r="G128" t="s">
        <v>84</v>
      </c>
      <c r="H128" t="s">
        <v>25</v>
      </c>
      <c r="I128" t="s">
        <v>25</v>
      </c>
      <c r="J128" t="s">
        <v>101</v>
      </c>
      <c r="K128" t="s">
        <v>86</v>
      </c>
      <c r="L128" t="s">
        <v>103</v>
      </c>
      <c r="M128">
        <v>2992.3278786400001</v>
      </c>
      <c r="N128">
        <v>0</v>
      </c>
      <c r="O128" t="s">
        <v>79</v>
      </c>
      <c r="P128" s="39">
        <v>44269.843124270832</v>
      </c>
      <c r="Q128">
        <v>446370</v>
      </c>
      <c r="R128" t="s">
        <v>74</v>
      </c>
      <c r="S128" s="4">
        <v>44.320619090000001</v>
      </c>
      <c r="W128"/>
      <c r="X128">
        <v>0</v>
      </c>
      <c r="AC128" t="s">
        <v>84</v>
      </c>
      <c r="AD128" s="39">
        <v>43132</v>
      </c>
    </row>
    <row r="129" spans="1:30" x14ac:dyDescent="0.25">
      <c r="A129">
        <v>51364</v>
      </c>
      <c r="B129" t="s">
        <v>117</v>
      </c>
      <c r="C129">
        <v>2018</v>
      </c>
      <c r="D129">
        <v>2</v>
      </c>
      <c r="E129" t="s">
        <v>89</v>
      </c>
      <c r="F129" t="s">
        <v>84</v>
      </c>
      <c r="G129" t="s">
        <v>84</v>
      </c>
      <c r="H129" t="s">
        <v>25</v>
      </c>
      <c r="I129" t="s">
        <v>25</v>
      </c>
      <c r="J129" t="s">
        <v>101</v>
      </c>
      <c r="K129" t="s">
        <v>90</v>
      </c>
      <c r="L129" t="s">
        <v>103</v>
      </c>
      <c r="M129">
        <v>1043.8948492300001</v>
      </c>
      <c r="N129">
        <v>0</v>
      </c>
      <c r="O129" t="s">
        <v>79</v>
      </c>
      <c r="P129" s="39">
        <v>44269.843125613428</v>
      </c>
      <c r="Q129">
        <v>446458</v>
      </c>
      <c r="R129" t="s">
        <v>74</v>
      </c>
      <c r="S129" s="4">
        <v>27.463195800000001</v>
      </c>
      <c r="W129"/>
      <c r="X129">
        <v>0</v>
      </c>
      <c r="AC129" t="s">
        <v>84</v>
      </c>
      <c r="AD129" s="39">
        <v>43132</v>
      </c>
    </row>
    <row r="130" spans="1:30" x14ac:dyDescent="0.25">
      <c r="A130">
        <v>51342</v>
      </c>
      <c r="B130" t="s">
        <v>117</v>
      </c>
      <c r="C130">
        <v>2018</v>
      </c>
      <c r="D130">
        <v>2</v>
      </c>
      <c r="E130" t="s">
        <v>87</v>
      </c>
      <c r="F130" t="s">
        <v>84</v>
      </c>
      <c r="G130" t="s">
        <v>84</v>
      </c>
      <c r="H130" t="s">
        <v>25</v>
      </c>
      <c r="I130" t="s">
        <v>25</v>
      </c>
      <c r="J130" t="s">
        <v>101</v>
      </c>
      <c r="K130" t="s">
        <v>88</v>
      </c>
      <c r="L130" t="s">
        <v>103</v>
      </c>
      <c r="M130">
        <v>828.89142677999996</v>
      </c>
      <c r="N130">
        <v>0</v>
      </c>
      <c r="O130" t="s">
        <v>79</v>
      </c>
      <c r="P130" s="39">
        <v>44269.843124965279</v>
      </c>
      <c r="Q130">
        <v>446414</v>
      </c>
      <c r="R130" t="s">
        <v>74</v>
      </c>
      <c r="S130" s="4">
        <v>22.150215490000001</v>
      </c>
      <c r="W130"/>
      <c r="X130">
        <v>0</v>
      </c>
      <c r="AC130" t="s">
        <v>84</v>
      </c>
      <c r="AD130" s="39">
        <v>43132</v>
      </c>
    </row>
    <row r="131" spans="1:30" x14ac:dyDescent="0.25">
      <c r="A131">
        <v>51364</v>
      </c>
      <c r="B131" t="s">
        <v>117</v>
      </c>
      <c r="C131">
        <v>2018</v>
      </c>
      <c r="D131">
        <v>2</v>
      </c>
      <c r="E131" t="s">
        <v>89</v>
      </c>
      <c r="F131" t="s">
        <v>84</v>
      </c>
      <c r="G131" t="s">
        <v>84</v>
      </c>
      <c r="H131" t="s">
        <v>25</v>
      </c>
      <c r="I131" t="s">
        <v>25</v>
      </c>
      <c r="J131" t="s">
        <v>101</v>
      </c>
      <c r="K131" t="s">
        <v>90</v>
      </c>
      <c r="L131" t="s">
        <v>103</v>
      </c>
      <c r="M131">
        <v>1043.8948492300001</v>
      </c>
      <c r="N131">
        <v>0</v>
      </c>
      <c r="O131" t="s">
        <v>79</v>
      </c>
      <c r="P131" s="39">
        <v>44269.843125613428</v>
      </c>
      <c r="Q131">
        <v>446457</v>
      </c>
      <c r="R131" t="s">
        <v>82</v>
      </c>
      <c r="S131" s="4">
        <v>1053.7649853099999</v>
      </c>
      <c r="W131"/>
      <c r="X131">
        <v>0</v>
      </c>
      <c r="AC131" t="s">
        <v>84</v>
      </c>
      <c r="AD131" s="39">
        <v>43132</v>
      </c>
    </row>
    <row r="132" spans="1:30" x14ac:dyDescent="0.25">
      <c r="A132">
        <v>51342</v>
      </c>
      <c r="B132" t="s">
        <v>117</v>
      </c>
      <c r="C132">
        <v>2018</v>
      </c>
      <c r="D132">
        <v>2</v>
      </c>
      <c r="E132" t="s">
        <v>87</v>
      </c>
      <c r="F132" t="s">
        <v>84</v>
      </c>
      <c r="G132" t="s">
        <v>84</v>
      </c>
      <c r="H132" t="s">
        <v>25</v>
      </c>
      <c r="I132" t="s">
        <v>25</v>
      </c>
      <c r="J132" t="s">
        <v>101</v>
      </c>
      <c r="K132" t="s">
        <v>88</v>
      </c>
      <c r="L132" t="s">
        <v>103</v>
      </c>
      <c r="M132">
        <v>828.89142677999996</v>
      </c>
      <c r="N132">
        <v>0</v>
      </c>
      <c r="O132" t="s">
        <v>79</v>
      </c>
      <c r="P132" s="39">
        <v>44269.843124965279</v>
      </c>
      <c r="Q132">
        <v>446413</v>
      </c>
      <c r="R132" t="s">
        <v>82</v>
      </c>
      <c r="S132" s="4">
        <v>836.38526859000001</v>
      </c>
      <c r="W132"/>
      <c r="X132">
        <v>0</v>
      </c>
      <c r="AC132" t="s">
        <v>84</v>
      </c>
      <c r="AD132" s="39">
        <v>43132</v>
      </c>
    </row>
    <row r="133" spans="1:30" x14ac:dyDescent="0.25">
      <c r="A133">
        <v>51320</v>
      </c>
      <c r="B133" t="s">
        <v>117</v>
      </c>
      <c r="C133">
        <v>2018</v>
      </c>
      <c r="D133">
        <v>2</v>
      </c>
      <c r="E133" t="s">
        <v>85</v>
      </c>
      <c r="F133" t="s">
        <v>84</v>
      </c>
      <c r="G133" t="s">
        <v>84</v>
      </c>
      <c r="H133" t="s">
        <v>25</v>
      </c>
      <c r="I133" t="s">
        <v>25</v>
      </c>
      <c r="J133" t="s">
        <v>101</v>
      </c>
      <c r="K133" t="s">
        <v>86</v>
      </c>
      <c r="L133" t="s">
        <v>103</v>
      </c>
      <c r="M133">
        <v>2992.3278786400001</v>
      </c>
      <c r="N133">
        <v>0</v>
      </c>
      <c r="O133" t="s">
        <v>79</v>
      </c>
      <c r="P133" s="39">
        <v>44269.843124270832</v>
      </c>
      <c r="Q133">
        <v>446369</v>
      </c>
      <c r="R133" t="s">
        <v>82</v>
      </c>
      <c r="S133" s="4">
        <v>3055.02337317</v>
      </c>
      <c r="W133"/>
      <c r="X133">
        <v>0</v>
      </c>
      <c r="AC133" t="s">
        <v>84</v>
      </c>
      <c r="AD133" s="39">
        <v>43132</v>
      </c>
    </row>
    <row r="134" spans="1:30" x14ac:dyDescent="0.25">
      <c r="A134">
        <v>63558</v>
      </c>
      <c r="B134" t="s">
        <v>118</v>
      </c>
      <c r="C134">
        <v>2018</v>
      </c>
      <c r="D134">
        <v>3</v>
      </c>
      <c r="E134" t="s">
        <v>85</v>
      </c>
      <c r="F134" t="s">
        <v>84</v>
      </c>
      <c r="G134" t="s">
        <v>84</v>
      </c>
      <c r="H134" t="s">
        <v>25</v>
      </c>
      <c r="I134" t="s">
        <v>25</v>
      </c>
      <c r="J134" t="s">
        <v>101</v>
      </c>
      <c r="K134" t="s">
        <v>86</v>
      </c>
      <c r="L134" t="s">
        <v>103</v>
      </c>
      <c r="M134">
        <v>2918.7091952800001</v>
      </c>
      <c r="N134">
        <v>0</v>
      </c>
      <c r="O134" t="s">
        <v>79</v>
      </c>
      <c r="P134" s="39">
        <v>44269.844469872682</v>
      </c>
      <c r="Q134">
        <v>560913</v>
      </c>
      <c r="R134" t="s">
        <v>74</v>
      </c>
      <c r="S134" s="4">
        <v>42.925512990000001</v>
      </c>
      <c r="W134"/>
      <c r="X134">
        <v>0</v>
      </c>
      <c r="AC134" t="s">
        <v>84</v>
      </c>
      <c r="AD134" s="39">
        <v>43160</v>
      </c>
    </row>
    <row r="135" spans="1:30" x14ac:dyDescent="0.25">
      <c r="A135">
        <v>63581</v>
      </c>
      <c r="B135" t="s">
        <v>118</v>
      </c>
      <c r="C135">
        <v>2018</v>
      </c>
      <c r="D135">
        <v>3</v>
      </c>
      <c r="E135" t="s">
        <v>87</v>
      </c>
      <c r="F135" t="s">
        <v>84</v>
      </c>
      <c r="G135" t="s">
        <v>84</v>
      </c>
      <c r="H135" t="s">
        <v>25</v>
      </c>
      <c r="I135" t="s">
        <v>25</v>
      </c>
      <c r="J135" t="s">
        <v>101</v>
      </c>
      <c r="K135" t="s">
        <v>88</v>
      </c>
      <c r="L135" t="s">
        <v>103</v>
      </c>
      <c r="M135">
        <v>681.39686511000002</v>
      </c>
      <c r="N135">
        <v>0</v>
      </c>
      <c r="O135" t="s">
        <v>79</v>
      </c>
      <c r="P135" s="39">
        <v>44269.844470682867</v>
      </c>
      <c r="Q135">
        <v>560959</v>
      </c>
      <c r="R135" t="s">
        <v>74</v>
      </c>
      <c r="S135" s="4">
        <v>18.080418030000001</v>
      </c>
      <c r="W135"/>
      <c r="X135">
        <v>0</v>
      </c>
      <c r="AC135" t="s">
        <v>84</v>
      </c>
      <c r="AD135" s="39">
        <v>43160</v>
      </c>
    </row>
    <row r="136" spans="1:30" x14ac:dyDescent="0.25">
      <c r="A136">
        <v>63604</v>
      </c>
      <c r="B136" t="s">
        <v>118</v>
      </c>
      <c r="C136">
        <v>2018</v>
      </c>
      <c r="D136">
        <v>3</v>
      </c>
      <c r="E136" t="s">
        <v>89</v>
      </c>
      <c r="F136" t="s">
        <v>84</v>
      </c>
      <c r="G136" t="s">
        <v>84</v>
      </c>
      <c r="H136" t="s">
        <v>25</v>
      </c>
      <c r="I136" t="s">
        <v>25</v>
      </c>
      <c r="J136" t="s">
        <v>101</v>
      </c>
      <c r="K136" t="s">
        <v>90</v>
      </c>
      <c r="L136" t="s">
        <v>103</v>
      </c>
      <c r="M136">
        <v>1101.95310419</v>
      </c>
      <c r="N136">
        <v>0</v>
      </c>
      <c r="O136" t="s">
        <v>79</v>
      </c>
      <c r="P136" s="39">
        <v>44269.844471643519</v>
      </c>
      <c r="Q136">
        <v>561005</v>
      </c>
      <c r="R136" t="s">
        <v>74</v>
      </c>
      <c r="S136" s="4">
        <v>28.786274299999999</v>
      </c>
      <c r="W136"/>
      <c r="X136">
        <v>0</v>
      </c>
      <c r="AC136" t="s">
        <v>84</v>
      </c>
      <c r="AD136" s="39">
        <v>43160</v>
      </c>
    </row>
    <row r="137" spans="1:30" x14ac:dyDescent="0.25">
      <c r="A137">
        <v>63604</v>
      </c>
      <c r="B137" t="s">
        <v>118</v>
      </c>
      <c r="C137">
        <v>2018</v>
      </c>
      <c r="D137">
        <v>3</v>
      </c>
      <c r="E137" t="s">
        <v>89</v>
      </c>
      <c r="F137" t="s">
        <v>84</v>
      </c>
      <c r="G137" t="s">
        <v>84</v>
      </c>
      <c r="H137" t="s">
        <v>25</v>
      </c>
      <c r="I137" t="s">
        <v>25</v>
      </c>
      <c r="J137" t="s">
        <v>101</v>
      </c>
      <c r="K137" t="s">
        <v>90</v>
      </c>
      <c r="L137" t="s">
        <v>103</v>
      </c>
      <c r="M137">
        <v>1101.95310419</v>
      </c>
      <c r="N137">
        <v>0</v>
      </c>
      <c r="O137" t="s">
        <v>79</v>
      </c>
      <c r="P137" s="39">
        <v>44269.844471643519</v>
      </c>
      <c r="Q137">
        <v>561004</v>
      </c>
      <c r="R137" t="s">
        <v>82</v>
      </c>
      <c r="S137" s="4">
        <v>1104.53161153</v>
      </c>
      <c r="W137"/>
      <c r="X137">
        <v>0</v>
      </c>
      <c r="AC137" t="s">
        <v>84</v>
      </c>
      <c r="AD137" s="39">
        <v>43160</v>
      </c>
    </row>
    <row r="138" spans="1:30" x14ac:dyDescent="0.25">
      <c r="A138">
        <v>63558</v>
      </c>
      <c r="B138" t="s">
        <v>118</v>
      </c>
      <c r="C138">
        <v>2018</v>
      </c>
      <c r="D138">
        <v>3</v>
      </c>
      <c r="E138" t="s">
        <v>85</v>
      </c>
      <c r="F138" t="s">
        <v>84</v>
      </c>
      <c r="G138" t="s">
        <v>84</v>
      </c>
      <c r="H138" t="s">
        <v>25</v>
      </c>
      <c r="I138" t="s">
        <v>25</v>
      </c>
      <c r="J138" t="s">
        <v>101</v>
      </c>
      <c r="K138" t="s">
        <v>86</v>
      </c>
      <c r="L138" t="s">
        <v>103</v>
      </c>
      <c r="M138">
        <v>2918.7091952800001</v>
      </c>
      <c r="N138">
        <v>0</v>
      </c>
      <c r="O138" t="s">
        <v>79</v>
      </c>
      <c r="P138" s="39">
        <v>44269.844469872682</v>
      </c>
      <c r="Q138">
        <v>560912</v>
      </c>
      <c r="R138" t="s">
        <v>82</v>
      </c>
      <c r="S138" s="4">
        <v>2958.8586119199999</v>
      </c>
      <c r="W138"/>
      <c r="X138">
        <v>0</v>
      </c>
      <c r="AC138" t="s">
        <v>84</v>
      </c>
      <c r="AD138" s="39">
        <v>43160</v>
      </c>
    </row>
    <row r="139" spans="1:30" x14ac:dyDescent="0.25">
      <c r="A139">
        <v>63581</v>
      </c>
      <c r="B139" t="s">
        <v>118</v>
      </c>
      <c r="C139">
        <v>2018</v>
      </c>
      <c r="D139">
        <v>3</v>
      </c>
      <c r="E139" t="s">
        <v>87</v>
      </c>
      <c r="F139" t="s">
        <v>84</v>
      </c>
      <c r="G139" t="s">
        <v>84</v>
      </c>
      <c r="H139" t="s">
        <v>25</v>
      </c>
      <c r="I139" t="s">
        <v>25</v>
      </c>
      <c r="J139" t="s">
        <v>101</v>
      </c>
      <c r="K139" t="s">
        <v>88</v>
      </c>
      <c r="L139" t="s">
        <v>103</v>
      </c>
      <c r="M139">
        <v>681.39686511000002</v>
      </c>
      <c r="N139">
        <v>0</v>
      </c>
      <c r="O139" t="s">
        <v>79</v>
      </c>
      <c r="P139" s="39">
        <v>44269.844470682867</v>
      </c>
      <c r="Q139">
        <v>560958</v>
      </c>
      <c r="R139" t="s">
        <v>82</v>
      </c>
      <c r="S139" s="4">
        <v>682.71097830999997</v>
      </c>
      <c r="W139"/>
      <c r="X139">
        <v>0</v>
      </c>
      <c r="AC139" t="s">
        <v>84</v>
      </c>
      <c r="AD139" s="39">
        <v>43160</v>
      </c>
    </row>
    <row r="140" spans="1:30" x14ac:dyDescent="0.25">
      <c r="A140">
        <v>339851</v>
      </c>
      <c r="B140" t="s">
        <v>112</v>
      </c>
      <c r="C140">
        <v>2018</v>
      </c>
      <c r="D140">
        <v>4</v>
      </c>
      <c r="E140" t="s">
        <v>85</v>
      </c>
      <c r="F140" t="s">
        <v>84</v>
      </c>
      <c r="G140" t="s">
        <v>84</v>
      </c>
      <c r="H140" t="s">
        <v>25</v>
      </c>
      <c r="I140" t="s">
        <v>25</v>
      </c>
      <c r="J140" t="s">
        <v>101</v>
      </c>
      <c r="K140" t="s">
        <v>86</v>
      </c>
      <c r="L140" t="s">
        <v>103</v>
      </c>
      <c r="M140">
        <v>2217.9983667299998</v>
      </c>
      <c r="N140">
        <v>0</v>
      </c>
      <c r="O140" t="s">
        <v>79</v>
      </c>
      <c r="P140" s="39">
        <v>44269.88311489582</v>
      </c>
      <c r="Q140">
        <v>3217137</v>
      </c>
      <c r="R140" t="s">
        <v>74</v>
      </c>
      <c r="S140" s="4">
        <v>32.708752820000001</v>
      </c>
      <c r="W140"/>
      <c r="X140">
        <v>0</v>
      </c>
      <c r="AC140" t="s">
        <v>84</v>
      </c>
      <c r="AD140" s="39">
        <v>43191</v>
      </c>
    </row>
    <row r="141" spans="1:30" x14ac:dyDescent="0.25">
      <c r="A141">
        <v>339874</v>
      </c>
      <c r="B141" t="s">
        <v>112</v>
      </c>
      <c r="C141">
        <v>2018</v>
      </c>
      <c r="D141">
        <v>4</v>
      </c>
      <c r="E141" t="s">
        <v>87</v>
      </c>
      <c r="F141" t="s">
        <v>84</v>
      </c>
      <c r="G141" t="s">
        <v>84</v>
      </c>
      <c r="H141" t="s">
        <v>25</v>
      </c>
      <c r="I141" t="s">
        <v>25</v>
      </c>
      <c r="J141" t="s">
        <v>101</v>
      </c>
      <c r="K141" t="s">
        <v>88</v>
      </c>
      <c r="L141" t="s">
        <v>103</v>
      </c>
      <c r="M141">
        <v>395.73036543000001</v>
      </c>
      <c r="N141">
        <v>0</v>
      </c>
      <c r="O141" t="s">
        <v>79</v>
      </c>
      <c r="P141" s="39">
        <v>44269.883115474528</v>
      </c>
      <c r="Q141">
        <v>3217183</v>
      </c>
      <c r="R141" t="s">
        <v>74</v>
      </c>
      <c r="S141" s="4">
        <v>10.528968040000001</v>
      </c>
      <c r="W141"/>
      <c r="X141">
        <v>0</v>
      </c>
      <c r="AC141" t="s">
        <v>84</v>
      </c>
      <c r="AD141" s="39">
        <v>43191</v>
      </c>
    </row>
    <row r="142" spans="1:30" x14ac:dyDescent="0.25">
      <c r="A142">
        <v>339897</v>
      </c>
      <c r="B142" t="s">
        <v>112</v>
      </c>
      <c r="C142">
        <v>2018</v>
      </c>
      <c r="D142">
        <v>4</v>
      </c>
      <c r="E142" t="s">
        <v>89</v>
      </c>
      <c r="F142" t="s">
        <v>84</v>
      </c>
      <c r="G142" t="s">
        <v>84</v>
      </c>
      <c r="H142" t="s">
        <v>25</v>
      </c>
      <c r="I142" t="s">
        <v>25</v>
      </c>
      <c r="J142" t="s">
        <v>101</v>
      </c>
      <c r="K142" t="s">
        <v>90</v>
      </c>
      <c r="L142" t="s">
        <v>103</v>
      </c>
      <c r="M142">
        <v>912.57738198000004</v>
      </c>
      <c r="N142">
        <v>0</v>
      </c>
      <c r="O142" t="s">
        <v>79</v>
      </c>
      <c r="P142" s="39">
        <v>44269.883116168981</v>
      </c>
      <c r="Q142">
        <v>3217229</v>
      </c>
      <c r="R142" t="s">
        <v>74</v>
      </c>
      <c r="S142" s="4">
        <v>23.903975920000001</v>
      </c>
      <c r="W142"/>
      <c r="X142">
        <v>0</v>
      </c>
      <c r="AC142" t="s">
        <v>84</v>
      </c>
      <c r="AD142" s="39">
        <v>43191</v>
      </c>
    </row>
    <row r="143" spans="1:30" x14ac:dyDescent="0.25">
      <c r="A143">
        <v>339851</v>
      </c>
      <c r="B143" t="s">
        <v>112</v>
      </c>
      <c r="C143">
        <v>2018</v>
      </c>
      <c r="D143">
        <v>4</v>
      </c>
      <c r="E143" t="s">
        <v>85</v>
      </c>
      <c r="F143" t="s">
        <v>84</v>
      </c>
      <c r="G143" t="s">
        <v>84</v>
      </c>
      <c r="H143" t="s">
        <v>25</v>
      </c>
      <c r="I143" t="s">
        <v>25</v>
      </c>
      <c r="J143" t="s">
        <v>101</v>
      </c>
      <c r="K143" t="s">
        <v>86</v>
      </c>
      <c r="L143" t="s">
        <v>103</v>
      </c>
      <c r="M143">
        <v>2217.9983667299998</v>
      </c>
      <c r="N143">
        <v>0</v>
      </c>
      <c r="O143" t="s">
        <v>79</v>
      </c>
      <c r="P143" s="39">
        <v>44269.88311489582</v>
      </c>
      <c r="Q143">
        <v>3217136</v>
      </c>
      <c r="R143" t="s">
        <v>82</v>
      </c>
      <c r="S143" s="4">
        <v>2254.6166188699999</v>
      </c>
      <c r="W143"/>
      <c r="X143">
        <v>0</v>
      </c>
      <c r="AC143" t="s">
        <v>84</v>
      </c>
      <c r="AD143" s="39">
        <v>43191</v>
      </c>
    </row>
    <row r="144" spans="1:30" x14ac:dyDescent="0.25">
      <c r="A144">
        <v>339874</v>
      </c>
      <c r="B144" t="s">
        <v>112</v>
      </c>
      <c r="C144">
        <v>2018</v>
      </c>
      <c r="D144">
        <v>4</v>
      </c>
      <c r="E144" t="s">
        <v>87</v>
      </c>
      <c r="F144" t="s">
        <v>84</v>
      </c>
      <c r="G144" t="s">
        <v>84</v>
      </c>
      <c r="H144" t="s">
        <v>25</v>
      </c>
      <c r="I144" t="s">
        <v>25</v>
      </c>
      <c r="J144" t="s">
        <v>101</v>
      </c>
      <c r="K144" t="s">
        <v>88</v>
      </c>
      <c r="L144" t="s">
        <v>103</v>
      </c>
      <c r="M144">
        <v>395.73036543000001</v>
      </c>
      <c r="N144">
        <v>0</v>
      </c>
      <c r="O144" t="s">
        <v>79</v>
      </c>
      <c r="P144" s="39">
        <v>44269.883115474528</v>
      </c>
      <c r="Q144">
        <v>3217182</v>
      </c>
      <c r="R144" t="s">
        <v>82</v>
      </c>
      <c r="S144" s="4">
        <v>397.57056835999998</v>
      </c>
      <c r="W144"/>
      <c r="X144">
        <v>0</v>
      </c>
      <c r="AC144" t="s">
        <v>84</v>
      </c>
      <c r="AD144" s="39">
        <v>43191</v>
      </c>
    </row>
    <row r="145" spans="1:30" x14ac:dyDescent="0.25">
      <c r="A145">
        <v>339897</v>
      </c>
      <c r="B145" t="s">
        <v>112</v>
      </c>
      <c r="C145">
        <v>2018</v>
      </c>
      <c r="D145">
        <v>4</v>
      </c>
      <c r="E145" t="s">
        <v>89</v>
      </c>
      <c r="F145" t="s">
        <v>84</v>
      </c>
      <c r="G145" t="s">
        <v>84</v>
      </c>
      <c r="H145" t="s">
        <v>25</v>
      </c>
      <c r="I145" t="s">
        <v>25</v>
      </c>
      <c r="J145" t="s">
        <v>101</v>
      </c>
      <c r="K145" t="s">
        <v>90</v>
      </c>
      <c r="L145" t="s">
        <v>103</v>
      </c>
      <c r="M145">
        <v>912.57738198000004</v>
      </c>
      <c r="N145">
        <v>0</v>
      </c>
      <c r="O145" t="s">
        <v>79</v>
      </c>
      <c r="P145" s="39">
        <v>44269.883116168981</v>
      </c>
      <c r="Q145">
        <v>3217228</v>
      </c>
      <c r="R145" t="s">
        <v>82</v>
      </c>
      <c r="S145" s="4">
        <v>917.19743819999997</v>
      </c>
      <c r="W145"/>
      <c r="X145">
        <v>0</v>
      </c>
      <c r="AC145" t="s">
        <v>84</v>
      </c>
      <c r="AD145" s="39">
        <v>43191</v>
      </c>
    </row>
    <row r="146" spans="1:30" x14ac:dyDescent="0.25">
      <c r="A146">
        <v>352707</v>
      </c>
      <c r="B146" t="s">
        <v>120</v>
      </c>
      <c r="C146">
        <v>2018</v>
      </c>
      <c r="D146">
        <v>5</v>
      </c>
      <c r="E146" t="s">
        <v>87</v>
      </c>
      <c r="F146" t="s">
        <v>84</v>
      </c>
      <c r="G146" t="s">
        <v>84</v>
      </c>
      <c r="H146" t="s">
        <v>25</v>
      </c>
      <c r="I146" t="s">
        <v>25</v>
      </c>
      <c r="J146" t="s">
        <v>101</v>
      </c>
      <c r="K146" t="s">
        <v>88</v>
      </c>
      <c r="L146" t="s">
        <v>103</v>
      </c>
      <c r="M146">
        <v>393.55599067000003</v>
      </c>
      <c r="N146">
        <v>0</v>
      </c>
      <c r="O146" t="s">
        <v>79</v>
      </c>
      <c r="P146" s="39">
        <v>44269.884374386573</v>
      </c>
      <c r="Q146">
        <v>3336213</v>
      </c>
      <c r="R146" t="s">
        <v>74</v>
      </c>
      <c r="S146" s="4">
        <v>10.47281476</v>
      </c>
      <c r="W146"/>
      <c r="X146">
        <v>0</v>
      </c>
      <c r="AC146" t="s">
        <v>84</v>
      </c>
      <c r="AD146" s="39">
        <v>43221</v>
      </c>
    </row>
    <row r="147" spans="1:30" x14ac:dyDescent="0.25">
      <c r="A147">
        <v>352730</v>
      </c>
      <c r="B147" t="s">
        <v>120</v>
      </c>
      <c r="C147">
        <v>2018</v>
      </c>
      <c r="D147">
        <v>5</v>
      </c>
      <c r="E147" t="s">
        <v>89</v>
      </c>
      <c r="F147" t="s">
        <v>84</v>
      </c>
      <c r="G147" t="s">
        <v>84</v>
      </c>
      <c r="H147" t="s">
        <v>25</v>
      </c>
      <c r="I147" t="s">
        <v>25</v>
      </c>
      <c r="J147" t="s">
        <v>101</v>
      </c>
      <c r="K147" t="s">
        <v>90</v>
      </c>
      <c r="L147" t="s">
        <v>103</v>
      </c>
      <c r="M147">
        <v>932.17317322999997</v>
      </c>
      <c r="N147">
        <v>0</v>
      </c>
      <c r="O147" t="s">
        <v>79</v>
      </c>
      <c r="P147" s="39">
        <v>44269.884375000001</v>
      </c>
      <c r="Q147">
        <v>3336259</v>
      </c>
      <c r="R147" t="s">
        <v>74</v>
      </c>
      <c r="S147" s="4">
        <v>24.421228410000001</v>
      </c>
      <c r="W147"/>
      <c r="X147">
        <v>0</v>
      </c>
      <c r="AC147" t="s">
        <v>84</v>
      </c>
      <c r="AD147" s="39">
        <v>43221</v>
      </c>
    </row>
    <row r="148" spans="1:30" x14ac:dyDescent="0.25">
      <c r="A148">
        <v>352684</v>
      </c>
      <c r="B148" t="s">
        <v>120</v>
      </c>
      <c r="C148">
        <v>2018</v>
      </c>
      <c r="D148">
        <v>5</v>
      </c>
      <c r="E148" t="s">
        <v>85</v>
      </c>
      <c r="F148" t="s">
        <v>84</v>
      </c>
      <c r="G148" t="s">
        <v>84</v>
      </c>
      <c r="H148" t="s">
        <v>25</v>
      </c>
      <c r="I148" t="s">
        <v>25</v>
      </c>
      <c r="J148" t="s">
        <v>101</v>
      </c>
      <c r="K148" t="s">
        <v>86</v>
      </c>
      <c r="L148" t="s">
        <v>103</v>
      </c>
      <c r="M148">
        <v>2108.0789959600002</v>
      </c>
      <c r="N148">
        <v>0</v>
      </c>
      <c r="O148" t="s">
        <v>79</v>
      </c>
      <c r="P148" s="39">
        <v>44269.884373807872</v>
      </c>
      <c r="Q148">
        <v>3336167</v>
      </c>
      <c r="R148" t="s">
        <v>74</v>
      </c>
      <c r="S148" s="4">
        <v>31.092819609999999</v>
      </c>
      <c r="W148"/>
      <c r="X148">
        <v>0</v>
      </c>
      <c r="AC148" t="s">
        <v>84</v>
      </c>
      <c r="AD148" s="39">
        <v>43221</v>
      </c>
    </row>
    <row r="149" spans="1:30" x14ac:dyDescent="0.25">
      <c r="A149">
        <v>352684</v>
      </c>
      <c r="B149" t="s">
        <v>120</v>
      </c>
      <c r="C149">
        <v>2018</v>
      </c>
      <c r="D149">
        <v>5</v>
      </c>
      <c r="E149" t="s">
        <v>85</v>
      </c>
      <c r="F149" t="s">
        <v>84</v>
      </c>
      <c r="G149" t="s">
        <v>84</v>
      </c>
      <c r="H149" t="s">
        <v>25</v>
      </c>
      <c r="I149" t="s">
        <v>25</v>
      </c>
      <c r="J149" t="s">
        <v>101</v>
      </c>
      <c r="K149" t="s">
        <v>86</v>
      </c>
      <c r="L149" t="s">
        <v>103</v>
      </c>
      <c r="M149">
        <v>2108.0789959600002</v>
      </c>
      <c r="N149">
        <v>0</v>
      </c>
      <c r="O149" t="s">
        <v>79</v>
      </c>
      <c r="P149" s="39">
        <v>44269.884373807872</v>
      </c>
      <c r="Q149">
        <v>3336166</v>
      </c>
      <c r="R149" t="s">
        <v>82</v>
      </c>
      <c r="S149" s="4">
        <v>2143.2302299799999</v>
      </c>
      <c r="W149"/>
      <c r="X149">
        <v>0</v>
      </c>
      <c r="AC149" t="s">
        <v>84</v>
      </c>
      <c r="AD149" s="39">
        <v>43221</v>
      </c>
    </row>
    <row r="150" spans="1:30" x14ac:dyDescent="0.25">
      <c r="A150">
        <v>352730</v>
      </c>
      <c r="B150" t="s">
        <v>120</v>
      </c>
      <c r="C150">
        <v>2018</v>
      </c>
      <c r="D150">
        <v>5</v>
      </c>
      <c r="E150" t="s">
        <v>89</v>
      </c>
      <c r="F150" t="s">
        <v>84</v>
      </c>
      <c r="G150" t="s">
        <v>84</v>
      </c>
      <c r="H150" t="s">
        <v>25</v>
      </c>
      <c r="I150" t="s">
        <v>25</v>
      </c>
      <c r="J150" t="s">
        <v>101</v>
      </c>
      <c r="K150" t="s">
        <v>90</v>
      </c>
      <c r="L150" t="s">
        <v>103</v>
      </c>
      <c r="M150">
        <v>932.17317322999997</v>
      </c>
      <c r="N150">
        <v>0</v>
      </c>
      <c r="O150" t="s">
        <v>79</v>
      </c>
      <c r="P150" s="39">
        <v>44269.884375000001</v>
      </c>
      <c r="Q150">
        <v>3336258</v>
      </c>
      <c r="R150" t="s">
        <v>82</v>
      </c>
      <c r="S150" s="4">
        <v>937.04445700999997</v>
      </c>
      <c r="W150"/>
      <c r="X150">
        <v>0</v>
      </c>
      <c r="AC150" t="s">
        <v>84</v>
      </c>
      <c r="AD150" s="39">
        <v>43221</v>
      </c>
    </row>
    <row r="151" spans="1:30" x14ac:dyDescent="0.25">
      <c r="A151">
        <v>352707</v>
      </c>
      <c r="B151" t="s">
        <v>120</v>
      </c>
      <c r="C151">
        <v>2018</v>
      </c>
      <c r="D151">
        <v>5</v>
      </c>
      <c r="E151" t="s">
        <v>87</v>
      </c>
      <c r="F151" t="s">
        <v>84</v>
      </c>
      <c r="G151" t="s">
        <v>84</v>
      </c>
      <c r="H151" t="s">
        <v>25</v>
      </c>
      <c r="I151" t="s">
        <v>25</v>
      </c>
      <c r="J151" t="s">
        <v>101</v>
      </c>
      <c r="K151" t="s">
        <v>88</v>
      </c>
      <c r="L151" t="s">
        <v>103</v>
      </c>
      <c r="M151">
        <v>393.55599067000003</v>
      </c>
      <c r="N151">
        <v>0</v>
      </c>
      <c r="O151" t="s">
        <v>79</v>
      </c>
      <c r="P151" s="39">
        <v>44269.884374386573</v>
      </c>
      <c r="Q151">
        <v>3336212</v>
      </c>
      <c r="R151" t="s">
        <v>82</v>
      </c>
      <c r="S151" s="4">
        <v>395.45023814000001</v>
      </c>
      <c r="W151"/>
      <c r="X151">
        <v>0</v>
      </c>
      <c r="AC151" t="s">
        <v>84</v>
      </c>
      <c r="AD151" s="39">
        <v>43221</v>
      </c>
    </row>
    <row r="152" spans="1:30" x14ac:dyDescent="0.25">
      <c r="A152">
        <v>86373</v>
      </c>
      <c r="B152" t="s">
        <v>126</v>
      </c>
      <c r="C152">
        <v>2018</v>
      </c>
      <c r="D152">
        <v>6</v>
      </c>
      <c r="E152" t="s">
        <v>87</v>
      </c>
      <c r="F152" t="s">
        <v>84</v>
      </c>
      <c r="G152" t="s">
        <v>84</v>
      </c>
      <c r="H152" t="s">
        <v>25</v>
      </c>
      <c r="I152" t="s">
        <v>25</v>
      </c>
      <c r="J152" t="s">
        <v>101</v>
      </c>
      <c r="K152" t="s">
        <v>88</v>
      </c>
      <c r="L152" t="s">
        <v>103</v>
      </c>
      <c r="M152">
        <v>349.81857975999998</v>
      </c>
      <c r="N152">
        <v>0</v>
      </c>
      <c r="O152" t="s">
        <v>79</v>
      </c>
      <c r="P152" s="39">
        <v>44269.847217708331</v>
      </c>
      <c r="Q152">
        <v>783250</v>
      </c>
      <c r="R152" t="s">
        <v>74</v>
      </c>
      <c r="S152" s="4">
        <v>9.2434089799999999</v>
      </c>
      <c r="W152"/>
      <c r="X152">
        <v>0</v>
      </c>
      <c r="AC152" t="s">
        <v>84</v>
      </c>
      <c r="AD152" s="39">
        <v>43252</v>
      </c>
    </row>
    <row r="153" spans="1:30" x14ac:dyDescent="0.25">
      <c r="A153">
        <v>86349</v>
      </c>
      <c r="B153" t="s">
        <v>126</v>
      </c>
      <c r="C153">
        <v>2018</v>
      </c>
      <c r="D153">
        <v>6</v>
      </c>
      <c r="E153" t="s">
        <v>85</v>
      </c>
      <c r="F153" t="s">
        <v>84</v>
      </c>
      <c r="G153" t="s">
        <v>84</v>
      </c>
      <c r="H153" t="s">
        <v>25</v>
      </c>
      <c r="I153" t="s">
        <v>25</v>
      </c>
      <c r="J153" t="s">
        <v>101</v>
      </c>
      <c r="K153" t="s">
        <v>86</v>
      </c>
      <c r="L153" t="s">
        <v>103</v>
      </c>
      <c r="M153">
        <v>1943.0653741900001</v>
      </c>
      <c r="N153">
        <v>0</v>
      </c>
      <c r="O153" t="s">
        <v>79</v>
      </c>
      <c r="P153" s="39">
        <v>44269.847216898153</v>
      </c>
      <c r="Q153">
        <v>783202</v>
      </c>
      <c r="R153" t="s">
        <v>74</v>
      </c>
      <c r="S153" s="4">
        <v>28.457257309999999</v>
      </c>
      <c r="W153"/>
      <c r="X153">
        <v>0</v>
      </c>
      <c r="AC153" t="s">
        <v>84</v>
      </c>
      <c r="AD153" s="39">
        <v>43252</v>
      </c>
    </row>
    <row r="154" spans="1:30" x14ac:dyDescent="0.25">
      <c r="A154">
        <v>86397</v>
      </c>
      <c r="B154" t="s">
        <v>126</v>
      </c>
      <c r="C154">
        <v>2018</v>
      </c>
      <c r="D154">
        <v>6</v>
      </c>
      <c r="E154" t="s">
        <v>89</v>
      </c>
      <c r="F154" t="s">
        <v>84</v>
      </c>
      <c r="G154" t="s">
        <v>84</v>
      </c>
      <c r="H154" t="s">
        <v>25</v>
      </c>
      <c r="I154" t="s">
        <v>25</v>
      </c>
      <c r="J154" t="s">
        <v>101</v>
      </c>
      <c r="K154" t="s">
        <v>90</v>
      </c>
      <c r="L154" t="s">
        <v>103</v>
      </c>
      <c r="M154">
        <v>915.94283647999998</v>
      </c>
      <c r="N154">
        <v>0</v>
      </c>
      <c r="O154" t="s">
        <v>79</v>
      </c>
      <c r="P154" s="39">
        <v>44269.847218599527</v>
      </c>
      <c r="Q154">
        <v>783298</v>
      </c>
      <c r="R154" t="s">
        <v>74</v>
      </c>
      <c r="S154" s="4">
        <v>23.827126889999999</v>
      </c>
      <c r="W154"/>
      <c r="X154">
        <v>0</v>
      </c>
      <c r="AC154" t="s">
        <v>84</v>
      </c>
      <c r="AD154" s="39">
        <v>43252</v>
      </c>
    </row>
    <row r="155" spans="1:30" x14ac:dyDescent="0.25">
      <c r="A155">
        <v>86397</v>
      </c>
      <c r="B155" t="s">
        <v>126</v>
      </c>
      <c r="C155">
        <v>2018</v>
      </c>
      <c r="D155">
        <v>6</v>
      </c>
      <c r="E155" t="s">
        <v>89</v>
      </c>
      <c r="F155" t="s">
        <v>84</v>
      </c>
      <c r="G155" t="s">
        <v>84</v>
      </c>
      <c r="H155" t="s">
        <v>25</v>
      </c>
      <c r="I155" t="s">
        <v>25</v>
      </c>
      <c r="J155" t="s">
        <v>101</v>
      </c>
      <c r="K155" t="s">
        <v>90</v>
      </c>
      <c r="L155" t="s">
        <v>103</v>
      </c>
      <c r="M155">
        <v>915.94283647999998</v>
      </c>
      <c r="N155">
        <v>0</v>
      </c>
      <c r="O155" t="s">
        <v>79</v>
      </c>
      <c r="P155" s="39">
        <v>44269.847218599527</v>
      </c>
      <c r="Q155">
        <v>783297</v>
      </c>
      <c r="R155" t="s">
        <v>82</v>
      </c>
      <c r="S155" s="4">
        <v>914.24873505999994</v>
      </c>
      <c r="W155"/>
      <c r="X155">
        <v>0</v>
      </c>
      <c r="AC155" t="s">
        <v>84</v>
      </c>
      <c r="AD155" s="39">
        <v>43252</v>
      </c>
    </row>
    <row r="156" spans="1:30" x14ac:dyDescent="0.25">
      <c r="A156">
        <v>86373</v>
      </c>
      <c r="B156" t="s">
        <v>126</v>
      </c>
      <c r="C156">
        <v>2018</v>
      </c>
      <c r="D156">
        <v>6</v>
      </c>
      <c r="E156" t="s">
        <v>87</v>
      </c>
      <c r="F156" t="s">
        <v>84</v>
      </c>
      <c r="G156" t="s">
        <v>84</v>
      </c>
      <c r="H156" t="s">
        <v>25</v>
      </c>
      <c r="I156" t="s">
        <v>25</v>
      </c>
      <c r="J156" t="s">
        <v>101</v>
      </c>
      <c r="K156" t="s">
        <v>88</v>
      </c>
      <c r="L156" t="s">
        <v>103</v>
      </c>
      <c r="M156">
        <v>349.81857975999998</v>
      </c>
      <c r="N156">
        <v>0</v>
      </c>
      <c r="O156" t="s">
        <v>79</v>
      </c>
      <c r="P156" s="39">
        <v>44269.847217708331</v>
      </c>
      <c r="Q156">
        <v>783249</v>
      </c>
      <c r="R156" t="s">
        <v>82</v>
      </c>
      <c r="S156" s="4">
        <v>349.02825675000003</v>
      </c>
      <c r="W156"/>
      <c r="X156">
        <v>0</v>
      </c>
      <c r="AC156" t="s">
        <v>84</v>
      </c>
      <c r="AD156" s="39">
        <v>43252</v>
      </c>
    </row>
    <row r="157" spans="1:30" x14ac:dyDescent="0.25">
      <c r="A157">
        <v>86349</v>
      </c>
      <c r="B157" t="s">
        <v>126</v>
      </c>
      <c r="C157">
        <v>2018</v>
      </c>
      <c r="D157">
        <v>6</v>
      </c>
      <c r="E157" t="s">
        <v>85</v>
      </c>
      <c r="F157" t="s">
        <v>84</v>
      </c>
      <c r="G157" t="s">
        <v>84</v>
      </c>
      <c r="H157" t="s">
        <v>25</v>
      </c>
      <c r="I157" t="s">
        <v>25</v>
      </c>
      <c r="J157" t="s">
        <v>101</v>
      </c>
      <c r="K157" t="s">
        <v>86</v>
      </c>
      <c r="L157" t="s">
        <v>103</v>
      </c>
      <c r="M157">
        <v>1943.0653741900001</v>
      </c>
      <c r="N157">
        <v>0</v>
      </c>
      <c r="O157" t="s">
        <v>79</v>
      </c>
      <c r="P157" s="39">
        <v>44269.847216898153</v>
      </c>
      <c r="Q157">
        <v>783201</v>
      </c>
      <c r="R157" t="s">
        <v>82</v>
      </c>
      <c r="S157" s="4">
        <v>1961.56073631</v>
      </c>
      <c r="W157"/>
      <c r="X157">
        <v>0</v>
      </c>
      <c r="AC157" t="s">
        <v>84</v>
      </c>
      <c r="AD157" s="39">
        <v>43252</v>
      </c>
    </row>
    <row r="158" spans="1:30" x14ac:dyDescent="0.25">
      <c r="A158">
        <v>100242</v>
      </c>
      <c r="B158" t="s">
        <v>139</v>
      </c>
      <c r="C158">
        <v>2018</v>
      </c>
      <c r="D158">
        <v>7</v>
      </c>
      <c r="E158" t="s">
        <v>89</v>
      </c>
      <c r="F158" t="s">
        <v>84</v>
      </c>
      <c r="G158" t="s">
        <v>84</v>
      </c>
      <c r="H158" t="s">
        <v>25</v>
      </c>
      <c r="I158" t="s">
        <v>25</v>
      </c>
      <c r="J158" t="s">
        <v>101</v>
      </c>
      <c r="K158" t="s">
        <v>90</v>
      </c>
      <c r="L158" t="s">
        <v>103</v>
      </c>
      <c r="M158">
        <v>953.47078386999999</v>
      </c>
      <c r="N158">
        <v>0</v>
      </c>
      <c r="O158" t="s">
        <v>80</v>
      </c>
      <c r="P158" s="39">
        <v>44269.848710416663</v>
      </c>
      <c r="Q158">
        <v>913750</v>
      </c>
      <c r="R158" t="s">
        <v>26</v>
      </c>
      <c r="S158" s="4">
        <v>347.17526719</v>
      </c>
      <c r="W158"/>
      <c r="X158">
        <v>0</v>
      </c>
      <c r="AC158" t="s">
        <v>84</v>
      </c>
      <c r="AD158" s="39">
        <v>43282</v>
      </c>
    </row>
    <row r="159" spans="1:30" x14ac:dyDescent="0.25">
      <c r="A159">
        <v>100194</v>
      </c>
      <c r="B159" t="s">
        <v>139</v>
      </c>
      <c r="C159">
        <v>2018</v>
      </c>
      <c r="D159">
        <v>7</v>
      </c>
      <c r="E159" t="s">
        <v>85</v>
      </c>
      <c r="F159" t="s">
        <v>84</v>
      </c>
      <c r="G159" t="s">
        <v>84</v>
      </c>
      <c r="H159" t="s">
        <v>25</v>
      </c>
      <c r="I159" t="s">
        <v>25</v>
      </c>
      <c r="J159" t="s">
        <v>101</v>
      </c>
      <c r="K159" t="s">
        <v>86</v>
      </c>
      <c r="L159" t="s">
        <v>103</v>
      </c>
      <c r="M159">
        <v>1870.62563673</v>
      </c>
      <c r="N159">
        <v>0</v>
      </c>
      <c r="O159" t="s">
        <v>80</v>
      </c>
      <c r="P159" s="39">
        <v>44269.848707986108</v>
      </c>
      <c r="Q159">
        <v>913510</v>
      </c>
      <c r="R159" t="s">
        <v>26</v>
      </c>
      <c r="S159" s="4">
        <v>644.41063382000004</v>
      </c>
      <c r="W159"/>
      <c r="X159">
        <v>0</v>
      </c>
      <c r="AC159" t="s">
        <v>84</v>
      </c>
      <c r="AD159" s="39">
        <v>43282</v>
      </c>
    </row>
    <row r="160" spans="1:30" x14ac:dyDescent="0.25">
      <c r="A160">
        <v>100218</v>
      </c>
      <c r="B160" t="s">
        <v>139</v>
      </c>
      <c r="C160">
        <v>2018</v>
      </c>
      <c r="D160">
        <v>7</v>
      </c>
      <c r="E160" t="s">
        <v>87</v>
      </c>
      <c r="F160" t="s">
        <v>84</v>
      </c>
      <c r="G160" t="s">
        <v>84</v>
      </c>
      <c r="H160" t="s">
        <v>25</v>
      </c>
      <c r="I160" t="s">
        <v>25</v>
      </c>
      <c r="J160" t="s">
        <v>101</v>
      </c>
      <c r="K160" t="s">
        <v>88</v>
      </c>
      <c r="L160" t="s">
        <v>103</v>
      </c>
      <c r="M160">
        <v>347.46938798999997</v>
      </c>
      <c r="N160">
        <v>0</v>
      </c>
      <c r="O160" t="s">
        <v>80</v>
      </c>
      <c r="P160" s="39">
        <v>44269.848709224527</v>
      </c>
      <c r="Q160">
        <v>913630</v>
      </c>
      <c r="R160" t="s">
        <v>26</v>
      </c>
      <c r="S160" s="4">
        <v>139.07614885999999</v>
      </c>
      <c r="W160"/>
      <c r="X160">
        <v>0</v>
      </c>
      <c r="AC160" t="s">
        <v>84</v>
      </c>
      <c r="AD160" s="39">
        <v>43282</v>
      </c>
    </row>
    <row r="161" spans="1:30" x14ac:dyDescent="0.25">
      <c r="A161">
        <v>100194</v>
      </c>
      <c r="B161" t="s">
        <v>139</v>
      </c>
      <c r="C161">
        <v>2018</v>
      </c>
      <c r="D161">
        <v>7</v>
      </c>
      <c r="E161" t="s">
        <v>85</v>
      </c>
      <c r="F161" t="s">
        <v>84</v>
      </c>
      <c r="G161" t="s">
        <v>84</v>
      </c>
      <c r="H161" t="s">
        <v>25</v>
      </c>
      <c r="I161" t="s">
        <v>25</v>
      </c>
      <c r="J161" t="s">
        <v>101</v>
      </c>
      <c r="K161" t="s">
        <v>86</v>
      </c>
      <c r="L161" t="s">
        <v>103</v>
      </c>
      <c r="M161">
        <v>1870.62563673</v>
      </c>
      <c r="N161">
        <v>0</v>
      </c>
      <c r="O161" t="s">
        <v>80</v>
      </c>
      <c r="P161" s="39">
        <v>44269.848707986108</v>
      </c>
      <c r="Q161">
        <v>913513</v>
      </c>
      <c r="R161" t="s">
        <v>81</v>
      </c>
      <c r="S161" s="4">
        <v>383.70225341999998</v>
      </c>
      <c r="W161"/>
      <c r="X161">
        <v>0</v>
      </c>
      <c r="AC161" t="s">
        <v>84</v>
      </c>
      <c r="AD161" s="39">
        <v>43282</v>
      </c>
    </row>
    <row r="162" spans="1:30" x14ac:dyDescent="0.25">
      <c r="A162">
        <v>100218</v>
      </c>
      <c r="B162" t="s">
        <v>139</v>
      </c>
      <c r="C162">
        <v>2018</v>
      </c>
      <c r="D162">
        <v>7</v>
      </c>
      <c r="E162" t="s">
        <v>87</v>
      </c>
      <c r="F162" t="s">
        <v>84</v>
      </c>
      <c r="G162" t="s">
        <v>84</v>
      </c>
      <c r="H162" t="s">
        <v>25</v>
      </c>
      <c r="I162" t="s">
        <v>25</v>
      </c>
      <c r="J162" t="s">
        <v>101</v>
      </c>
      <c r="K162" t="s">
        <v>88</v>
      </c>
      <c r="L162" t="s">
        <v>103</v>
      </c>
      <c r="M162">
        <v>347.46938798999997</v>
      </c>
      <c r="N162">
        <v>0</v>
      </c>
      <c r="O162" t="s">
        <v>80</v>
      </c>
      <c r="P162" s="39">
        <v>44269.848709224527</v>
      </c>
      <c r="Q162">
        <v>913633</v>
      </c>
      <c r="R162" t="s">
        <v>81</v>
      </c>
      <c r="S162" s="4">
        <v>71.881931199999997</v>
      </c>
      <c r="W162"/>
      <c r="X162">
        <v>0</v>
      </c>
      <c r="AC162" t="s">
        <v>84</v>
      </c>
      <c r="AD162" s="39">
        <v>43282</v>
      </c>
    </row>
    <row r="163" spans="1:30" x14ac:dyDescent="0.25">
      <c r="A163">
        <v>100242</v>
      </c>
      <c r="B163" t="s">
        <v>139</v>
      </c>
      <c r="C163">
        <v>2018</v>
      </c>
      <c r="D163">
        <v>7</v>
      </c>
      <c r="E163" t="s">
        <v>89</v>
      </c>
      <c r="F163" t="s">
        <v>84</v>
      </c>
      <c r="G163" t="s">
        <v>84</v>
      </c>
      <c r="H163" t="s">
        <v>25</v>
      </c>
      <c r="I163" t="s">
        <v>25</v>
      </c>
      <c r="J163" t="s">
        <v>101</v>
      </c>
      <c r="K163" t="s">
        <v>90</v>
      </c>
      <c r="L163" t="s">
        <v>103</v>
      </c>
      <c r="M163">
        <v>953.47078386999999</v>
      </c>
      <c r="N163">
        <v>0</v>
      </c>
      <c r="O163" t="s">
        <v>80</v>
      </c>
      <c r="P163" s="39">
        <v>44269.848710416663</v>
      </c>
      <c r="Q163">
        <v>913753</v>
      </c>
      <c r="R163" t="s">
        <v>81</v>
      </c>
      <c r="S163" s="4">
        <v>188.52696423</v>
      </c>
      <c r="W163"/>
      <c r="X163">
        <v>0</v>
      </c>
      <c r="AC163" t="s">
        <v>84</v>
      </c>
      <c r="AD163" s="39">
        <v>43282</v>
      </c>
    </row>
    <row r="164" spans="1:30" x14ac:dyDescent="0.25">
      <c r="A164">
        <v>100218</v>
      </c>
      <c r="B164" t="s">
        <v>139</v>
      </c>
      <c r="C164">
        <v>2018</v>
      </c>
      <c r="D164">
        <v>7</v>
      </c>
      <c r="E164" t="s">
        <v>87</v>
      </c>
      <c r="F164" t="s">
        <v>84</v>
      </c>
      <c r="G164" t="s">
        <v>84</v>
      </c>
      <c r="H164" t="s">
        <v>25</v>
      </c>
      <c r="I164" t="s">
        <v>25</v>
      </c>
      <c r="J164" t="s">
        <v>101</v>
      </c>
      <c r="K164" t="s">
        <v>88</v>
      </c>
      <c r="L164" t="s">
        <v>103</v>
      </c>
      <c r="M164">
        <v>347.46938798999997</v>
      </c>
      <c r="N164">
        <v>0</v>
      </c>
      <c r="O164" t="s">
        <v>80</v>
      </c>
      <c r="P164" s="39">
        <v>44269.848709224527</v>
      </c>
      <c r="Q164">
        <v>913632</v>
      </c>
      <c r="R164" t="s">
        <v>27</v>
      </c>
      <c r="S164" s="4">
        <v>143.69052761</v>
      </c>
      <c r="W164"/>
      <c r="X164">
        <v>0</v>
      </c>
      <c r="AC164" t="s">
        <v>84</v>
      </c>
      <c r="AD164" s="39">
        <v>43282</v>
      </c>
    </row>
    <row r="165" spans="1:30" x14ac:dyDescent="0.25">
      <c r="A165">
        <v>100194</v>
      </c>
      <c r="B165" t="s">
        <v>139</v>
      </c>
      <c r="C165">
        <v>2018</v>
      </c>
      <c r="D165">
        <v>7</v>
      </c>
      <c r="E165" t="s">
        <v>85</v>
      </c>
      <c r="F165" t="s">
        <v>84</v>
      </c>
      <c r="G165" t="s">
        <v>84</v>
      </c>
      <c r="H165" t="s">
        <v>25</v>
      </c>
      <c r="I165" t="s">
        <v>25</v>
      </c>
      <c r="J165" t="s">
        <v>101</v>
      </c>
      <c r="K165" t="s">
        <v>86</v>
      </c>
      <c r="L165" t="s">
        <v>103</v>
      </c>
      <c r="M165">
        <v>1870.62563673</v>
      </c>
      <c r="N165">
        <v>0</v>
      </c>
      <c r="O165" t="s">
        <v>80</v>
      </c>
      <c r="P165" s="39">
        <v>44269.848707986108</v>
      </c>
      <c r="Q165">
        <v>913512</v>
      </c>
      <c r="R165" t="s">
        <v>27</v>
      </c>
      <c r="S165" s="4">
        <v>863.33721008999999</v>
      </c>
      <c r="W165"/>
      <c r="X165">
        <v>0</v>
      </c>
      <c r="AC165" t="s">
        <v>84</v>
      </c>
      <c r="AD165" s="39">
        <v>43282</v>
      </c>
    </row>
    <row r="166" spans="1:30" x14ac:dyDescent="0.25">
      <c r="A166">
        <v>100242</v>
      </c>
      <c r="B166" t="s">
        <v>139</v>
      </c>
      <c r="C166">
        <v>2018</v>
      </c>
      <c r="D166">
        <v>7</v>
      </c>
      <c r="E166" t="s">
        <v>89</v>
      </c>
      <c r="F166" t="s">
        <v>84</v>
      </c>
      <c r="G166" t="s">
        <v>84</v>
      </c>
      <c r="H166" t="s">
        <v>25</v>
      </c>
      <c r="I166" t="s">
        <v>25</v>
      </c>
      <c r="J166" t="s">
        <v>101</v>
      </c>
      <c r="K166" t="s">
        <v>90</v>
      </c>
      <c r="L166" t="s">
        <v>103</v>
      </c>
      <c r="M166">
        <v>953.47078386999999</v>
      </c>
      <c r="N166">
        <v>0</v>
      </c>
      <c r="O166" t="s">
        <v>80</v>
      </c>
      <c r="P166" s="39">
        <v>44269.848710416663</v>
      </c>
      <c r="Q166">
        <v>913752</v>
      </c>
      <c r="R166" t="s">
        <v>27</v>
      </c>
      <c r="S166" s="4">
        <v>426.12866946000003</v>
      </c>
      <c r="W166"/>
      <c r="X166">
        <v>0</v>
      </c>
      <c r="AC166" t="s">
        <v>84</v>
      </c>
      <c r="AD166" s="39">
        <v>43282</v>
      </c>
    </row>
    <row r="167" spans="1:30" x14ac:dyDescent="0.25">
      <c r="A167">
        <v>100242</v>
      </c>
      <c r="B167" t="s">
        <v>139</v>
      </c>
      <c r="C167">
        <v>2018</v>
      </c>
      <c r="D167">
        <v>7</v>
      </c>
      <c r="E167" t="s">
        <v>89</v>
      </c>
      <c r="F167" t="s">
        <v>84</v>
      </c>
      <c r="G167" t="s">
        <v>84</v>
      </c>
      <c r="H167" t="s">
        <v>25</v>
      </c>
      <c r="I167" t="s">
        <v>25</v>
      </c>
      <c r="J167" t="s">
        <v>101</v>
      </c>
      <c r="K167" t="s">
        <v>90</v>
      </c>
      <c r="L167" t="s">
        <v>103</v>
      </c>
      <c r="M167">
        <v>953.47078386999999</v>
      </c>
      <c r="N167">
        <v>0</v>
      </c>
      <c r="O167" t="s">
        <v>80</v>
      </c>
      <c r="P167" s="39">
        <v>44269.848710416663</v>
      </c>
      <c r="Q167">
        <v>913749</v>
      </c>
      <c r="R167" t="s">
        <v>91</v>
      </c>
      <c r="S167" s="4">
        <v>11.06076429</v>
      </c>
      <c r="W167"/>
      <c r="X167">
        <v>0</v>
      </c>
      <c r="AC167" t="s">
        <v>84</v>
      </c>
      <c r="AD167" s="39">
        <v>43282</v>
      </c>
    </row>
    <row r="168" spans="1:30" x14ac:dyDescent="0.25">
      <c r="A168">
        <v>100218</v>
      </c>
      <c r="B168" t="s">
        <v>139</v>
      </c>
      <c r="C168">
        <v>2018</v>
      </c>
      <c r="D168">
        <v>7</v>
      </c>
      <c r="E168" t="s">
        <v>87</v>
      </c>
      <c r="F168" t="s">
        <v>84</v>
      </c>
      <c r="G168" t="s">
        <v>84</v>
      </c>
      <c r="H168" t="s">
        <v>25</v>
      </c>
      <c r="I168" t="s">
        <v>25</v>
      </c>
      <c r="J168" t="s">
        <v>101</v>
      </c>
      <c r="K168" t="s">
        <v>88</v>
      </c>
      <c r="L168" t="s">
        <v>103</v>
      </c>
      <c r="M168">
        <v>347.46938798999997</v>
      </c>
      <c r="N168">
        <v>0</v>
      </c>
      <c r="O168" t="s">
        <v>80</v>
      </c>
      <c r="P168" s="39">
        <v>44269.848709224527</v>
      </c>
      <c r="Q168">
        <v>913629</v>
      </c>
      <c r="R168" t="s">
        <v>91</v>
      </c>
      <c r="S168" s="4">
        <v>0</v>
      </c>
      <c r="W168"/>
      <c r="X168">
        <v>0</v>
      </c>
      <c r="AC168" t="s">
        <v>84</v>
      </c>
      <c r="AD168" s="39">
        <v>43282</v>
      </c>
    </row>
    <row r="169" spans="1:30" x14ac:dyDescent="0.25">
      <c r="A169">
        <v>100194</v>
      </c>
      <c r="B169" t="s">
        <v>139</v>
      </c>
      <c r="C169">
        <v>2018</v>
      </c>
      <c r="D169">
        <v>7</v>
      </c>
      <c r="E169" t="s">
        <v>85</v>
      </c>
      <c r="F169" t="s">
        <v>84</v>
      </c>
      <c r="G169" t="s">
        <v>84</v>
      </c>
      <c r="H169" t="s">
        <v>25</v>
      </c>
      <c r="I169" t="s">
        <v>25</v>
      </c>
      <c r="J169" t="s">
        <v>101</v>
      </c>
      <c r="K169" t="s">
        <v>86</v>
      </c>
      <c r="L169" t="s">
        <v>103</v>
      </c>
      <c r="M169">
        <v>1870.62563673</v>
      </c>
      <c r="N169">
        <v>0</v>
      </c>
      <c r="O169" t="s">
        <v>80</v>
      </c>
      <c r="P169" s="39">
        <v>44269.848707986108</v>
      </c>
      <c r="Q169">
        <v>913509</v>
      </c>
      <c r="R169" t="s">
        <v>91</v>
      </c>
      <c r="S169" s="4">
        <v>17.35939364</v>
      </c>
      <c r="W169"/>
      <c r="X169">
        <v>0</v>
      </c>
      <c r="AC169" t="s">
        <v>84</v>
      </c>
      <c r="AD169" s="39">
        <v>43282</v>
      </c>
    </row>
    <row r="170" spans="1:30" x14ac:dyDescent="0.25">
      <c r="A170">
        <v>100218</v>
      </c>
      <c r="B170" t="s">
        <v>139</v>
      </c>
      <c r="C170">
        <v>2018</v>
      </c>
      <c r="D170">
        <v>7</v>
      </c>
      <c r="E170" t="s">
        <v>87</v>
      </c>
      <c r="F170" t="s">
        <v>84</v>
      </c>
      <c r="G170" t="s">
        <v>84</v>
      </c>
      <c r="H170" t="s">
        <v>25</v>
      </c>
      <c r="I170" t="s">
        <v>25</v>
      </c>
      <c r="J170" t="s">
        <v>101</v>
      </c>
      <c r="K170" t="s">
        <v>88</v>
      </c>
      <c r="L170" t="s">
        <v>103</v>
      </c>
      <c r="M170">
        <v>347.46938798999997</v>
      </c>
      <c r="N170">
        <v>0</v>
      </c>
      <c r="O170" t="s">
        <v>80</v>
      </c>
      <c r="P170" s="39">
        <v>44269.848709224527</v>
      </c>
      <c r="Q170">
        <v>913631</v>
      </c>
      <c r="R170" t="s">
        <v>28</v>
      </c>
      <c r="S170" s="4">
        <v>2.3024822199999999</v>
      </c>
      <c r="W170"/>
      <c r="X170">
        <v>0</v>
      </c>
      <c r="AC170" t="s">
        <v>84</v>
      </c>
      <c r="AD170" s="39">
        <v>43282</v>
      </c>
    </row>
    <row r="171" spans="1:30" x14ac:dyDescent="0.25">
      <c r="A171">
        <v>100194</v>
      </c>
      <c r="B171" t="s">
        <v>139</v>
      </c>
      <c r="C171">
        <v>2018</v>
      </c>
      <c r="D171">
        <v>7</v>
      </c>
      <c r="E171" t="s">
        <v>85</v>
      </c>
      <c r="F171" t="s">
        <v>84</v>
      </c>
      <c r="G171" t="s">
        <v>84</v>
      </c>
      <c r="H171" t="s">
        <v>25</v>
      </c>
      <c r="I171" t="s">
        <v>25</v>
      </c>
      <c r="J171" t="s">
        <v>101</v>
      </c>
      <c r="K171" t="s">
        <v>86</v>
      </c>
      <c r="L171" t="s">
        <v>103</v>
      </c>
      <c r="M171">
        <v>1870.62563673</v>
      </c>
      <c r="N171">
        <v>0</v>
      </c>
      <c r="O171" t="s">
        <v>80</v>
      </c>
      <c r="P171" s="39">
        <v>44269.848707986108</v>
      </c>
      <c r="Q171">
        <v>913511</v>
      </c>
      <c r="R171" t="s">
        <v>28</v>
      </c>
      <c r="S171" s="4">
        <v>12.86154784</v>
      </c>
      <c r="W171"/>
      <c r="X171">
        <v>0</v>
      </c>
      <c r="AC171" t="s">
        <v>84</v>
      </c>
      <c r="AD171" s="39">
        <v>43282</v>
      </c>
    </row>
    <row r="172" spans="1:30" x14ac:dyDescent="0.25">
      <c r="A172">
        <v>100242</v>
      </c>
      <c r="B172" t="s">
        <v>139</v>
      </c>
      <c r="C172">
        <v>2018</v>
      </c>
      <c r="D172">
        <v>7</v>
      </c>
      <c r="E172" t="s">
        <v>89</v>
      </c>
      <c r="F172" t="s">
        <v>84</v>
      </c>
      <c r="G172" t="s">
        <v>84</v>
      </c>
      <c r="H172" t="s">
        <v>25</v>
      </c>
      <c r="I172" t="s">
        <v>25</v>
      </c>
      <c r="J172" t="s">
        <v>101</v>
      </c>
      <c r="K172" t="s">
        <v>90</v>
      </c>
      <c r="L172" t="s">
        <v>103</v>
      </c>
      <c r="M172">
        <v>953.47078386999999</v>
      </c>
      <c r="N172">
        <v>0</v>
      </c>
      <c r="O172" t="s">
        <v>80</v>
      </c>
      <c r="P172" s="39">
        <v>44269.848710416663</v>
      </c>
      <c r="Q172">
        <v>913751</v>
      </c>
      <c r="R172" t="s">
        <v>28</v>
      </c>
      <c r="S172" s="4">
        <v>6.5973120700000001</v>
      </c>
      <c r="W172"/>
      <c r="X172">
        <v>0</v>
      </c>
      <c r="AC172" t="s">
        <v>84</v>
      </c>
      <c r="AD172" s="39">
        <v>43282</v>
      </c>
    </row>
    <row r="173" spans="1:30" x14ac:dyDescent="0.25">
      <c r="A173">
        <v>113052</v>
      </c>
      <c r="B173" t="s">
        <v>140</v>
      </c>
      <c r="C173">
        <v>2018</v>
      </c>
      <c r="D173">
        <v>8</v>
      </c>
      <c r="E173" t="s">
        <v>85</v>
      </c>
      <c r="F173" t="s">
        <v>84</v>
      </c>
      <c r="G173" t="s">
        <v>84</v>
      </c>
      <c r="H173" t="s">
        <v>25</v>
      </c>
      <c r="I173" t="s">
        <v>25</v>
      </c>
      <c r="J173" t="s">
        <v>101</v>
      </c>
      <c r="K173" t="s">
        <v>86</v>
      </c>
      <c r="L173" t="s">
        <v>103</v>
      </c>
      <c r="M173">
        <v>1702.89201288</v>
      </c>
      <c r="N173">
        <v>0</v>
      </c>
      <c r="O173" t="s">
        <v>80</v>
      </c>
      <c r="P173" s="39">
        <v>44269.85022109955</v>
      </c>
      <c r="Q173">
        <v>1042039</v>
      </c>
      <c r="R173" t="s">
        <v>26</v>
      </c>
      <c r="S173" s="4">
        <v>586.18816269000001</v>
      </c>
      <c r="W173"/>
      <c r="X173">
        <v>0</v>
      </c>
      <c r="AC173" t="s">
        <v>84</v>
      </c>
      <c r="AD173" s="39">
        <v>43313</v>
      </c>
    </row>
    <row r="174" spans="1:30" x14ac:dyDescent="0.25">
      <c r="A174">
        <v>113076</v>
      </c>
      <c r="B174" t="s">
        <v>140</v>
      </c>
      <c r="C174">
        <v>2018</v>
      </c>
      <c r="D174">
        <v>8</v>
      </c>
      <c r="E174" t="s">
        <v>87</v>
      </c>
      <c r="F174" t="s">
        <v>84</v>
      </c>
      <c r="G174" t="s">
        <v>84</v>
      </c>
      <c r="H174" t="s">
        <v>25</v>
      </c>
      <c r="I174" t="s">
        <v>25</v>
      </c>
      <c r="J174" t="s">
        <v>101</v>
      </c>
      <c r="K174" t="s">
        <v>88</v>
      </c>
      <c r="L174" t="s">
        <v>103</v>
      </c>
      <c r="M174">
        <v>336.78904151</v>
      </c>
      <c r="N174">
        <v>0</v>
      </c>
      <c r="O174" t="s">
        <v>80</v>
      </c>
      <c r="P174" s="39">
        <v>44269.850222337962</v>
      </c>
      <c r="Q174">
        <v>1042159</v>
      </c>
      <c r="R174" t="s">
        <v>26</v>
      </c>
      <c r="S174" s="4">
        <v>134.70018062</v>
      </c>
      <c r="W174"/>
      <c r="X174">
        <v>0</v>
      </c>
      <c r="AC174" t="s">
        <v>84</v>
      </c>
      <c r="AD174" s="39">
        <v>43313</v>
      </c>
    </row>
    <row r="175" spans="1:30" x14ac:dyDescent="0.25">
      <c r="A175">
        <v>113100</v>
      </c>
      <c r="B175" t="s">
        <v>140</v>
      </c>
      <c r="C175">
        <v>2018</v>
      </c>
      <c r="D175">
        <v>8</v>
      </c>
      <c r="E175" t="s">
        <v>89</v>
      </c>
      <c r="F175" t="s">
        <v>84</v>
      </c>
      <c r="G175" t="s">
        <v>84</v>
      </c>
      <c r="H175" t="s">
        <v>25</v>
      </c>
      <c r="I175" t="s">
        <v>25</v>
      </c>
      <c r="J175" t="s">
        <v>101</v>
      </c>
      <c r="K175" t="s">
        <v>90</v>
      </c>
      <c r="L175" t="s">
        <v>103</v>
      </c>
      <c r="M175">
        <v>901.42463836000002</v>
      </c>
      <c r="N175">
        <v>0</v>
      </c>
      <c r="O175" t="s">
        <v>80</v>
      </c>
      <c r="P175" s="39">
        <v>44269.850223530091</v>
      </c>
      <c r="Q175">
        <v>1042279</v>
      </c>
      <c r="R175" t="s">
        <v>26</v>
      </c>
      <c r="S175" s="4">
        <v>327.97816526999998</v>
      </c>
      <c r="W175"/>
      <c r="X175">
        <v>0</v>
      </c>
      <c r="AC175" t="s">
        <v>84</v>
      </c>
      <c r="AD175" s="39">
        <v>43313</v>
      </c>
    </row>
    <row r="176" spans="1:30" x14ac:dyDescent="0.25">
      <c r="A176">
        <v>113052</v>
      </c>
      <c r="B176" t="s">
        <v>140</v>
      </c>
      <c r="C176">
        <v>2018</v>
      </c>
      <c r="D176">
        <v>8</v>
      </c>
      <c r="E176" t="s">
        <v>85</v>
      </c>
      <c r="F176" t="s">
        <v>84</v>
      </c>
      <c r="G176" t="s">
        <v>84</v>
      </c>
      <c r="H176" t="s">
        <v>25</v>
      </c>
      <c r="I176" t="s">
        <v>25</v>
      </c>
      <c r="J176" t="s">
        <v>101</v>
      </c>
      <c r="K176" t="s">
        <v>86</v>
      </c>
      <c r="L176" t="s">
        <v>103</v>
      </c>
      <c r="M176">
        <v>1702.89201288</v>
      </c>
      <c r="N176">
        <v>0</v>
      </c>
      <c r="O176" t="s">
        <v>80</v>
      </c>
      <c r="P176" s="39">
        <v>44269.85022109955</v>
      </c>
      <c r="Q176">
        <v>1042042</v>
      </c>
      <c r="R176" t="s">
        <v>81</v>
      </c>
      <c r="S176" s="4">
        <v>349.03477247000001</v>
      </c>
      <c r="W176"/>
      <c r="X176">
        <v>0</v>
      </c>
      <c r="AC176" t="s">
        <v>84</v>
      </c>
      <c r="AD176" s="39">
        <v>43313</v>
      </c>
    </row>
    <row r="177" spans="1:30" x14ac:dyDescent="0.25">
      <c r="A177">
        <v>113076</v>
      </c>
      <c r="B177" t="s">
        <v>140</v>
      </c>
      <c r="C177">
        <v>2018</v>
      </c>
      <c r="D177">
        <v>8</v>
      </c>
      <c r="E177" t="s">
        <v>87</v>
      </c>
      <c r="F177" t="s">
        <v>84</v>
      </c>
      <c r="G177" t="s">
        <v>84</v>
      </c>
      <c r="H177" t="s">
        <v>25</v>
      </c>
      <c r="I177" t="s">
        <v>25</v>
      </c>
      <c r="J177" t="s">
        <v>101</v>
      </c>
      <c r="K177" t="s">
        <v>88</v>
      </c>
      <c r="L177" t="s">
        <v>103</v>
      </c>
      <c r="M177">
        <v>336.78904151</v>
      </c>
      <c r="N177">
        <v>0</v>
      </c>
      <c r="O177" t="s">
        <v>80</v>
      </c>
      <c r="P177" s="39">
        <v>44269.850222337962</v>
      </c>
      <c r="Q177">
        <v>1042162</v>
      </c>
      <c r="R177" t="s">
        <v>81</v>
      </c>
      <c r="S177" s="4">
        <v>69.620198680000001</v>
      </c>
      <c r="W177"/>
      <c r="X177">
        <v>0</v>
      </c>
      <c r="AC177" t="s">
        <v>84</v>
      </c>
      <c r="AD177" s="39">
        <v>43313</v>
      </c>
    </row>
    <row r="178" spans="1:30" x14ac:dyDescent="0.25">
      <c r="A178">
        <v>113100</v>
      </c>
      <c r="B178" t="s">
        <v>140</v>
      </c>
      <c r="C178">
        <v>2018</v>
      </c>
      <c r="D178">
        <v>8</v>
      </c>
      <c r="E178" t="s">
        <v>89</v>
      </c>
      <c r="F178" t="s">
        <v>84</v>
      </c>
      <c r="G178" t="s">
        <v>84</v>
      </c>
      <c r="H178" t="s">
        <v>25</v>
      </c>
      <c r="I178" t="s">
        <v>25</v>
      </c>
      <c r="J178" t="s">
        <v>101</v>
      </c>
      <c r="K178" t="s">
        <v>90</v>
      </c>
      <c r="L178" t="s">
        <v>103</v>
      </c>
      <c r="M178">
        <v>901.42463836000002</v>
      </c>
      <c r="N178">
        <v>0</v>
      </c>
      <c r="O178" t="s">
        <v>80</v>
      </c>
      <c r="P178" s="39">
        <v>44269.850223530091</v>
      </c>
      <c r="Q178">
        <v>1042282</v>
      </c>
      <c r="R178" t="s">
        <v>81</v>
      </c>
      <c r="S178" s="4">
        <v>178.10234102000001</v>
      </c>
      <c r="W178"/>
      <c r="X178">
        <v>0</v>
      </c>
      <c r="AC178" t="s">
        <v>84</v>
      </c>
      <c r="AD178" s="39">
        <v>43313</v>
      </c>
    </row>
    <row r="179" spans="1:30" x14ac:dyDescent="0.25">
      <c r="A179">
        <v>113076</v>
      </c>
      <c r="B179" t="s">
        <v>140</v>
      </c>
      <c r="C179">
        <v>2018</v>
      </c>
      <c r="D179">
        <v>8</v>
      </c>
      <c r="E179" t="s">
        <v>87</v>
      </c>
      <c r="F179" t="s">
        <v>84</v>
      </c>
      <c r="G179" t="s">
        <v>84</v>
      </c>
      <c r="H179" t="s">
        <v>25</v>
      </c>
      <c r="I179" t="s">
        <v>25</v>
      </c>
      <c r="J179" t="s">
        <v>101</v>
      </c>
      <c r="K179" t="s">
        <v>88</v>
      </c>
      <c r="L179" t="s">
        <v>103</v>
      </c>
      <c r="M179">
        <v>336.78904151</v>
      </c>
      <c r="N179">
        <v>0</v>
      </c>
      <c r="O179" t="s">
        <v>80</v>
      </c>
      <c r="P179" s="39">
        <v>44269.850222337962</v>
      </c>
      <c r="Q179">
        <v>1042161</v>
      </c>
      <c r="R179" t="s">
        <v>27</v>
      </c>
      <c r="S179" s="4">
        <v>139.16937003000001</v>
      </c>
      <c r="W179"/>
      <c r="X179">
        <v>0</v>
      </c>
      <c r="AC179" t="s">
        <v>84</v>
      </c>
      <c r="AD179" s="39">
        <v>43313</v>
      </c>
    </row>
    <row r="180" spans="1:30" x14ac:dyDescent="0.25">
      <c r="A180">
        <v>113100</v>
      </c>
      <c r="B180" t="s">
        <v>140</v>
      </c>
      <c r="C180">
        <v>2018</v>
      </c>
      <c r="D180">
        <v>8</v>
      </c>
      <c r="E180" t="s">
        <v>89</v>
      </c>
      <c r="F180" t="s">
        <v>84</v>
      </c>
      <c r="G180" t="s">
        <v>84</v>
      </c>
      <c r="H180" t="s">
        <v>25</v>
      </c>
      <c r="I180" t="s">
        <v>25</v>
      </c>
      <c r="J180" t="s">
        <v>101</v>
      </c>
      <c r="K180" t="s">
        <v>90</v>
      </c>
      <c r="L180" t="s">
        <v>103</v>
      </c>
      <c r="M180">
        <v>901.42463836000002</v>
      </c>
      <c r="N180">
        <v>0</v>
      </c>
      <c r="O180" t="s">
        <v>80</v>
      </c>
      <c r="P180" s="39">
        <v>44269.850223530091</v>
      </c>
      <c r="Q180">
        <v>1042281</v>
      </c>
      <c r="R180" t="s">
        <v>27</v>
      </c>
      <c r="S180" s="4">
        <v>402.56582880000002</v>
      </c>
      <c r="W180"/>
      <c r="X180">
        <v>0</v>
      </c>
      <c r="AC180" t="s">
        <v>84</v>
      </c>
      <c r="AD180" s="39">
        <v>43313</v>
      </c>
    </row>
    <row r="181" spans="1:30" x14ac:dyDescent="0.25">
      <c r="A181">
        <v>113052</v>
      </c>
      <c r="B181" t="s">
        <v>140</v>
      </c>
      <c r="C181">
        <v>2018</v>
      </c>
      <c r="D181">
        <v>8</v>
      </c>
      <c r="E181" t="s">
        <v>85</v>
      </c>
      <c r="F181" t="s">
        <v>84</v>
      </c>
      <c r="G181" t="s">
        <v>84</v>
      </c>
      <c r="H181" t="s">
        <v>25</v>
      </c>
      <c r="I181" t="s">
        <v>25</v>
      </c>
      <c r="J181" t="s">
        <v>101</v>
      </c>
      <c r="K181" t="s">
        <v>86</v>
      </c>
      <c r="L181" t="s">
        <v>103</v>
      </c>
      <c r="M181">
        <v>1702.89201288</v>
      </c>
      <c r="N181">
        <v>0</v>
      </c>
      <c r="O181" t="s">
        <v>80</v>
      </c>
      <c r="P181" s="39">
        <v>44269.85022109955</v>
      </c>
      <c r="Q181">
        <v>1042041</v>
      </c>
      <c r="R181" t="s">
        <v>27</v>
      </c>
      <c r="S181" s="4">
        <v>785.33473286000003</v>
      </c>
      <c r="W181"/>
      <c r="X181">
        <v>0</v>
      </c>
      <c r="AC181" t="s">
        <v>84</v>
      </c>
      <c r="AD181" s="39">
        <v>43313</v>
      </c>
    </row>
    <row r="182" spans="1:30" x14ac:dyDescent="0.25">
      <c r="A182">
        <v>113076</v>
      </c>
      <c r="B182" t="s">
        <v>140</v>
      </c>
      <c r="C182">
        <v>2018</v>
      </c>
      <c r="D182">
        <v>8</v>
      </c>
      <c r="E182" t="s">
        <v>87</v>
      </c>
      <c r="F182" t="s">
        <v>84</v>
      </c>
      <c r="G182" t="s">
        <v>84</v>
      </c>
      <c r="H182" t="s">
        <v>25</v>
      </c>
      <c r="I182" t="s">
        <v>25</v>
      </c>
      <c r="J182" t="s">
        <v>101</v>
      </c>
      <c r="K182" t="s">
        <v>88</v>
      </c>
      <c r="L182" t="s">
        <v>103</v>
      </c>
      <c r="M182">
        <v>336.78904151</v>
      </c>
      <c r="N182">
        <v>0</v>
      </c>
      <c r="O182" t="s">
        <v>80</v>
      </c>
      <c r="P182" s="39">
        <v>44269.850222337962</v>
      </c>
      <c r="Q182">
        <v>1042158</v>
      </c>
      <c r="R182" t="s">
        <v>91</v>
      </c>
      <c r="S182" s="4">
        <v>0</v>
      </c>
      <c r="W182"/>
      <c r="X182">
        <v>0</v>
      </c>
      <c r="AC182" t="s">
        <v>84</v>
      </c>
      <c r="AD182" s="39">
        <v>43313</v>
      </c>
    </row>
    <row r="183" spans="1:30" x14ac:dyDescent="0.25">
      <c r="A183">
        <v>113100</v>
      </c>
      <c r="B183" t="s">
        <v>140</v>
      </c>
      <c r="C183">
        <v>2018</v>
      </c>
      <c r="D183">
        <v>8</v>
      </c>
      <c r="E183" t="s">
        <v>89</v>
      </c>
      <c r="F183" t="s">
        <v>84</v>
      </c>
      <c r="G183" t="s">
        <v>84</v>
      </c>
      <c r="H183" t="s">
        <v>25</v>
      </c>
      <c r="I183" t="s">
        <v>25</v>
      </c>
      <c r="J183" t="s">
        <v>101</v>
      </c>
      <c r="K183" t="s">
        <v>90</v>
      </c>
      <c r="L183" t="s">
        <v>103</v>
      </c>
      <c r="M183">
        <v>901.42463836000002</v>
      </c>
      <c r="N183">
        <v>0</v>
      </c>
      <c r="O183" t="s">
        <v>80</v>
      </c>
      <c r="P183" s="39">
        <v>44269.850223530091</v>
      </c>
      <c r="Q183">
        <v>1042278</v>
      </c>
      <c r="R183" t="s">
        <v>91</v>
      </c>
      <c r="S183" s="4">
        <v>10.44915788</v>
      </c>
      <c r="W183"/>
      <c r="X183">
        <v>0</v>
      </c>
      <c r="AC183" t="s">
        <v>84</v>
      </c>
      <c r="AD183" s="39">
        <v>43313</v>
      </c>
    </row>
    <row r="184" spans="1:30" x14ac:dyDescent="0.25">
      <c r="A184">
        <v>113052</v>
      </c>
      <c r="B184" t="s">
        <v>140</v>
      </c>
      <c r="C184">
        <v>2018</v>
      </c>
      <c r="D184">
        <v>8</v>
      </c>
      <c r="E184" t="s">
        <v>85</v>
      </c>
      <c r="F184" t="s">
        <v>84</v>
      </c>
      <c r="G184" t="s">
        <v>84</v>
      </c>
      <c r="H184" t="s">
        <v>25</v>
      </c>
      <c r="I184" t="s">
        <v>25</v>
      </c>
      <c r="J184" t="s">
        <v>101</v>
      </c>
      <c r="K184" t="s">
        <v>86</v>
      </c>
      <c r="L184" t="s">
        <v>103</v>
      </c>
      <c r="M184">
        <v>1702.89201288</v>
      </c>
      <c r="N184">
        <v>0</v>
      </c>
      <c r="O184" t="s">
        <v>80</v>
      </c>
      <c r="P184" s="39">
        <v>44269.85022109955</v>
      </c>
      <c r="Q184">
        <v>1042038</v>
      </c>
      <c r="R184" t="s">
        <v>91</v>
      </c>
      <c r="S184" s="4">
        <v>15.790973230000001</v>
      </c>
      <c r="W184"/>
      <c r="X184">
        <v>0</v>
      </c>
      <c r="AC184" t="s">
        <v>84</v>
      </c>
      <c r="AD184" s="39">
        <v>43313</v>
      </c>
    </row>
    <row r="185" spans="1:30" x14ac:dyDescent="0.25">
      <c r="A185">
        <v>113052</v>
      </c>
      <c r="B185" t="s">
        <v>140</v>
      </c>
      <c r="C185">
        <v>2018</v>
      </c>
      <c r="D185">
        <v>8</v>
      </c>
      <c r="E185" t="s">
        <v>85</v>
      </c>
      <c r="F185" t="s">
        <v>84</v>
      </c>
      <c r="G185" t="s">
        <v>84</v>
      </c>
      <c r="H185" t="s">
        <v>25</v>
      </c>
      <c r="I185" t="s">
        <v>25</v>
      </c>
      <c r="J185" t="s">
        <v>101</v>
      </c>
      <c r="K185" t="s">
        <v>86</v>
      </c>
      <c r="L185" t="s">
        <v>103</v>
      </c>
      <c r="M185">
        <v>1702.89201288</v>
      </c>
      <c r="N185">
        <v>0</v>
      </c>
      <c r="O185" t="s">
        <v>80</v>
      </c>
      <c r="P185" s="39">
        <v>44269.85022109955</v>
      </c>
      <c r="Q185">
        <v>1042040</v>
      </c>
      <c r="R185" t="s">
        <v>28</v>
      </c>
      <c r="S185" s="4">
        <v>11.699507580000001</v>
      </c>
      <c r="W185"/>
      <c r="X185">
        <v>0</v>
      </c>
      <c r="AC185" t="s">
        <v>84</v>
      </c>
      <c r="AD185" s="39">
        <v>43313</v>
      </c>
    </row>
    <row r="186" spans="1:30" x14ac:dyDescent="0.25">
      <c r="A186">
        <v>113100</v>
      </c>
      <c r="B186" t="s">
        <v>140</v>
      </c>
      <c r="C186">
        <v>2018</v>
      </c>
      <c r="D186">
        <v>8</v>
      </c>
      <c r="E186" t="s">
        <v>89</v>
      </c>
      <c r="F186" t="s">
        <v>84</v>
      </c>
      <c r="G186" t="s">
        <v>84</v>
      </c>
      <c r="H186" t="s">
        <v>25</v>
      </c>
      <c r="I186" t="s">
        <v>25</v>
      </c>
      <c r="J186" t="s">
        <v>101</v>
      </c>
      <c r="K186" t="s">
        <v>90</v>
      </c>
      <c r="L186" t="s">
        <v>103</v>
      </c>
      <c r="M186">
        <v>901.42463836000002</v>
      </c>
      <c r="N186">
        <v>0</v>
      </c>
      <c r="O186" t="s">
        <v>80</v>
      </c>
      <c r="P186" s="39">
        <v>44269.850223530091</v>
      </c>
      <c r="Q186">
        <v>1042280</v>
      </c>
      <c r="R186" t="s">
        <v>28</v>
      </c>
      <c r="S186" s="4">
        <v>6.2325128300000001</v>
      </c>
      <c r="W186"/>
      <c r="X186">
        <v>0</v>
      </c>
      <c r="AC186" t="s">
        <v>84</v>
      </c>
      <c r="AD186" s="39">
        <v>43313</v>
      </c>
    </row>
    <row r="187" spans="1:30" x14ac:dyDescent="0.25">
      <c r="A187">
        <v>113076</v>
      </c>
      <c r="B187" t="s">
        <v>140</v>
      </c>
      <c r="C187">
        <v>2018</v>
      </c>
      <c r="D187">
        <v>8</v>
      </c>
      <c r="E187" t="s">
        <v>87</v>
      </c>
      <c r="F187" t="s">
        <v>84</v>
      </c>
      <c r="G187" t="s">
        <v>84</v>
      </c>
      <c r="H187" t="s">
        <v>25</v>
      </c>
      <c r="I187" t="s">
        <v>25</v>
      </c>
      <c r="J187" t="s">
        <v>101</v>
      </c>
      <c r="K187" t="s">
        <v>88</v>
      </c>
      <c r="L187" t="s">
        <v>103</v>
      </c>
      <c r="M187">
        <v>336.78904151</v>
      </c>
      <c r="N187">
        <v>0</v>
      </c>
      <c r="O187" t="s">
        <v>80</v>
      </c>
      <c r="P187" s="39">
        <v>44269.850222337962</v>
      </c>
      <c r="Q187">
        <v>1042160</v>
      </c>
      <c r="R187" t="s">
        <v>28</v>
      </c>
      <c r="S187" s="4">
        <v>2.23003565</v>
      </c>
      <c r="W187"/>
      <c r="X187">
        <v>0</v>
      </c>
      <c r="AC187" t="s">
        <v>84</v>
      </c>
      <c r="AD187" s="39">
        <v>43313</v>
      </c>
    </row>
    <row r="188" spans="1:30" x14ac:dyDescent="0.25">
      <c r="A188">
        <v>119662</v>
      </c>
      <c r="B188" t="s">
        <v>113</v>
      </c>
      <c r="C188">
        <v>2018</v>
      </c>
      <c r="D188">
        <v>9</v>
      </c>
      <c r="E188" t="s">
        <v>89</v>
      </c>
      <c r="F188" t="s">
        <v>84</v>
      </c>
      <c r="G188" t="s">
        <v>84</v>
      </c>
      <c r="H188" t="s">
        <v>25</v>
      </c>
      <c r="I188" t="s">
        <v>25</v>
      </c>
      <c r="J188" t="s">
        <v>101</v>
      </c>
      <c r="K188" t="s">
        <v>90</v>
      </c>
      <c r="L188" t="s">
        <v>103</v>
      </c>
      <c r="M188">
        <v>843.05591856000001</v>
      </c>
      <c r="N188">
        <v>0</v>
      </c>
      <c r="O188" t="s">
        <v>80</v>
      </c>
      <c r="P188" s="39">
        <v>44269.851107986113</v>
      </c>
      <c r="Q188">
        <v>1081850</v>
      </c>
      <c r="R188" t="s">
        <v>26</v>
      </c>
      <c r="S188" s="4">
        <v>307.76787617000002</v>
      </c>
      <c r="W188"/>
      <c r="X188">
        <v>0</v>
      </c>
      <c r="AC188" t="s">
        <v>84</v>
      </c>
      <c r="AD188" s="39">
        <v>43344</v>
      </c>
    </row>
    <row r="189" spans="1:30" x14ac:dyDescent="0.25">
      <c r="A189">
        <v>119614</v>
      </c>
      <c r="B189" t="s">
        <v>113</v>
      </c>
      <c r="C189">
        <v>2018</v>
      </c>
      <c r="D189">
        <v>9</v>
      </c>
      <c r="E189" t="s">
        <v>85</v>
      </c>
      <c r="F189" t="s">
        <v>84</v>
      </c>
      <c r="G189" t="s">
        <v>84</v>
      </c>
      <c r="H189" t="s">
        <v>25</v>
      </c>
      <c r="I189" t="s">
        <v>25</v>
      </c>
      <c r="J189" t="s">
        <v>101</v>
      </c>
      <c r="K189" t="s">
        <v>86</v>
      </c>
      <c r="L189" t="s">
        <v>103</v>
      </c>
      <c r="M189">
        <v>1439.52704135</v>
      </c>
      <c r="N189">
        <v>0</v>
      </c>
      <c r="O189" t="s">
        <v>80</v>
      </c>
      <c r="P189" s="39">
        <v>44269.851105011578</v>
      </c>
      <c r="Q189">
        <v>1081610</v>
      </c>
      <c r="R189" t="s">
        <v>26</v>
      </c>
      <c r="S189" s="4">
        <v>499.14103108</v>
      </c>
      <c r="W189"/>
      <c r="X189">
        <v>0</v>
      </c>
      <c r="AC189" t="s">
        <v>84</v>
      </c>
      <c r="AD189" s="39">
        <v>43344</v>
      </c>
    </row>
    <row r="190" spans="1:30" x14ac:dyDescent="0.25">
      <c r="A190">
        <v>119638</v>
      </c>
      <c r="B190" t="s">
        <v>113</v>
      </c>
      <c r="C190">
        <v>2018</v>
      </c>
      <c r="D190">
        <v>9</v>
      </c>
      <c r="E190" t="s">
        <v>87</v>
      </c>
      <c r="F190" t="s">
        <v>84</v>
      </c>
      <c r="G190" t="s">
        <v>84</v>
      </c>
      <c r="H190" t="s">
        <v>25</v>
      </c>
      <c r="I190" t="s">
        <v>25</v>
      </c>
      <c r="J190" t="s">
        <v>101</v>
      </c>
      <c r="K190" t="s">
        <v>88</v>
      </c>
      <c r="L190" t="s">
        <v>103</v>
      </c>
      <c r="M190">
        <v>316.65874517999998</v>
      </c>
      <c r="N190">
        <v>0</v>
      </c>
      <c r="O190" t="s">
        <v>80</v>
      </c>
      <c r="P190" s="39">
        <v>44269.85110659722</v>
      </c>
      <c r="Q190">
        <v>1081730</v>
      </c>
      <c r="R190" t="s">
        <v>26</v>
      </c>
      <c r="S190" s="4">
        <v>127.07047511</v>
      </c>
      <c r="W190"/>
      <c r="X190">
        <v>0</v>
      </c>
      <c r="AC190" t="s">
        <v>84</v>
      </c>
      <c r="AD190" s="39">
        <v>43344</v>
      </c>
    </row>
    <row r="191" spans="1:30" x14ac:dyDescent="0.25">
      <c r="A191">
        <v>119662</v>
      </c>
      <c r="B191" t="s">
        <v>113</v>
      </c>
      <c r="C191">
        <v>2018</v>
      </c>
      <c r="D191">
        <v>9</v>
      </c>
      <c r="E191" t="s">
        <v>89</v>
      </c>
      <c r="F191" t="s">
        <v>84</v>
      </c>
      <c r="G191" t="s">
        <v>84</v>
      </c>
      <c r="H191" t="s">
        <v>25</v>
      </c>
      <c r="I191" t="s">
        <v>25</v>
      </c>
      <c r="J191" t="s">
        <v>101</v>
      </c>
      <c r="K191" t="s">
        <v>90</v>
      </c>
      <c r="L191" t="s">
        <v>103</v>
      </c>
      <c r="M191">
        <v>843.05591856000001</v>
      </c>
      <c r="N191">
        <v>0</v>
      </c>
      <c r="O191" t="s">
        <v>80</v>
      </c>
      <c r="P191" s="39">
        <v>44269.851107986113</v>
      </c>
      <c r="Q191">
        <v>1081853</v>
      </c>
      <c r="R191" t="s">
        <v>81</v>
      </c>
      <c r="S191" s="4">
        <v>167.12112604999999</v>
      </c>
      <c r="W191"/>
      <c r="X191">
        <v>0</v>
      </c>
      <c r="AC191" t="s">
        <v>84</v>
      </c>
      <c r="AD191" s="39">
        <v>43344</v>
      </c>
    </row>
    <row r="192" spans="1:30" x14ac:dyDescent="0.25">
      <c r="A192">
        <v>119638</v>
      </c>
      <c r="B192" t="s">
        <v>113</v>
      </c>
      <c r="C192">
        <v>2018</v>
      </c>
      <c r="D192">
        <v>9</v>
      </c>
      <c r="E192" t="s">
        <v>87</v>
      </c>
      <c r="F192" t="s">
        <v>84</v>
      </c>
      <c r="G192" t="s">
        <v>84</v>
      </c>
      <c r="H192" t="s">
        <v>25</v>
      </c>
      <c r="I192" t="s">
        <v>25</v>
      </c>
      <c r="J192" t="s">
        <v>101</v>
      </c>
      <c r="K192" t="s">
        <v>88</v>
      </c>
      <c r="L192" t="s">
        <v>103</v>
      </c>
      <c r="M192">
        <v>316.65874517999998</v>
      </c>
      <c r="N192">
        <v>0</v>
      </c>
      <c r="O192" t="s">
        <v>80</v>
      </c>
      <c r="P192" s="39">
        <v>44269.85110659722</v>
      </c>
      <c r="Q192">
        <v>1081733</v>
      </c>
      <c r="R192" t="s">
        <v>81</v>
      </c>
      <c r="S192" s="4">
        <v>65.677974120000002</v>
      </c>
      <c r="W192"/>
      <c r="X192">
        <v>0</v>
      </c>
      <c r="AC192" t="s">
        <v>84</v>
      </c>
      <c r="AD192" s="39">
        <v>43344</v>
      </c>
    </row>
    <row r="193" spans="1:30" x14ac:dyDescent="0.25">
      <c r="A193">
        <v>119614</v>
      </c>
      <c r="B193" t="s">
        <v>113</v>
      </c>
      <c r="C193">
        <v>2018</v>
      </c>
      <c r="D193">
        <v>9</v>
      </c>
      <c r="E193" t="s">
        <v>85</v>
      </c>
      <c r="F193" t="s">
        <v>84</v>
      </c>
      <c r="G193" t="s">
        <v>84</v>
      </c>
      <c r="H193" t="s">
        <v>25</v>
      </c>
      <c r="I193" t="s">
        <v>25</v>
      </c>
      <c r="J193" t="s">
        <v>101</v>
      </c>
      <c r="K193" t="s">
        <v>86</v>
      </c>
      <c r="L193" t="s">
        <v>103</v>
      </c>
      <c r="M193">
        <v>1439.52704135</v>
      </c>
      <c r="N193">
        <v>0</v>
      </c>
      <c r="O193" t="s">
        <v>80</v>
      </c>
      <c r="P193" s="39">
        <v>44269.851105011578</v>
      </c>
      <c r="Q193">
        <v>1081613</v>
      </c>
      <c r="R193" t="s">
        <v>81</v>
      </c>
      <c r="S193" s="4">
        <v>317.66754981000003</v>
      </c>
      <c r="W193"/>
      <c r="X193">
        <v>0</v>
      </c>
      <c r="AC193" t="s">
        <v>84</v>
      </c>
      <c r="AD193" s="39">
        <v>43344</v>
      </c>
    </row>
    <row r="194" spans="1:30" x14ac:dyDescent="0.25">
      <c r="A194">
        <v>119614</v>
      </c>
      <c r="B194" t="s">
        <v>113</v>
      </c>
      <c r="C194">
        <v>2018</v>
      </c>
      <c r="D194">
        <v>9</v>
      </c>
      <c r="E194" t="s">
        <v>85</v>
      </c>
      <c r="F194" t="s">
        <v>84</v>
      </c>
      <c r="G194" t="s">
        <v>84</v>
      </c>
      <c r="H194" t="s">
        <v>25</v>
      </c>
      <c r="I194" t="s">
        <v>25</v>
      </c>
      <c r="J194" t="s">
        <v>101</v>
      </c>
      <c r="K194" t="s">
        <v>86</v>
      </c>
      <c r="L194" t="s">
        <v>103</v>
      </c>
      <c r="M194">
        <v>1439.52704135</v>
      </c>
      <c r="N194">
        <v>0</v>
      </c>
      <c r="O194" t="s">
        <v>80</v>
      </c>
      <c r="P194" s="39">
        <v>44269.851105011578</v>
      </c>
      <c r="Q194">
        <v>1081612</v>
      </c>
      <c r="R194" t="s">
        <v>27</v>
      </c>
      <c r="S194" s="4">
        <v>639.96089424000002</v>
      </c>
      <c r="W194"/>
      <c r="X194">
        <v>0</v>
      </c>
      <c r="AC194" t="s">
        <v>84</v>
      </c>
      <c r="AD194" s="39">
        <v>43344</v>
      </c>
    </row>
    <row r="195" spans="1:30" x14ac:dyDescent="0.25">
      <c r="A195">
        <v>119638</v>
      </c>
      <c r="B195" t="s">
        <v>113</v>
      </c>
      <c r="C195">
        <v>2018</v>
      </c>
      <c r="D195">
        <v>9</v>
      </c>
      <c r="E195" t="s">
        <v>87</v>
      </c>
      <c r="F195" t="s">
        <v>84</v>
      </c>
      <c r="G195" t="s">
        <v>84</v>
      </c>
      <c r="H195" t="s">
        <v>25</v>
      </c>
      <c r="I195" t="s">
        <v>25</v>
      </c>
      <c r="J195" t="s">
        <v>101</v>
      </c>
      <c r="K195" t="s">
        <v>88</v>
      </c>
      <c r="L195" t="s">
        <v>103</v>
      </c>
      <c r="M195">
        <v>316.65874517999998</v>
      </c>
      <c r="N195">
        <v>0</v>
      </c>
      <c r="O195" t="s">
        <v>80</v>
      </c>
      <c r="P195" s="39">
        <v>44269.85110659722</v>
      </c>
      <c r="Q195">
        <v>1081732</v>
      </c>
      <c r="R195" t="s">
        <v>27</v>
      </c>
      <c r="S195" s="4">
        <v>131.28745895</v>
      </c>
      <c r="W195"/>
      <c r="X195">
        <v>0</v>
      </c>
      <c r="AC195" t="s">
        <v>84</v>
      </c>
      <c r="AD195" s="39">
        <v>43344</v>
      </c>
    </row>
    <row r="196" spans="1:30" x14ac:dyDescent="0.25">
      <c r="A196">
        <v>119662</v>
      </c>
      <c r="B196" t="s">
        <v>113</v>
      </c>
      <c r="C196">
        <v>2018</v>
      </c>
      <c r="D196">
        <v>9</v>
      </c>
      <c r="E196" t="s">
        <v>89</v>
      </c>
      <c r="F196" t="s">
        <v>84</v>
      </c>
      <c r="G196" t="s">
        <v>84</v>
      </c>
      <c r="H196" t="s">
        <v>25</v>
      </c>
      <c r="I196" t="s">
        <v>25</v>
      </c>
      <c r="J196" t="s">
        <v>101</v>
      </c>
      <c r="K196" t="s">
        <v>90</v>
      </c>
      <c r="L196" t="s">
        <v>103</v>
      </c>
      <c r="M196">
        <v>843.05591856000001</v>
      </c>
      <c r="N196">
        <v>0</v>
      </c>
      <c r="O196" t="s">
        <v>80</v>
      </c>
      <c r="P196" s="39">
        <v>44269.851107986113</v>
      </c>
      <c r="Q196">
        <v>1081852</v>
      </c>
      <c r="R196" t="s">
        <v>27</v>
      </c>
      <c r="S196" s="4">
        <v>377.75261540000002</v>
      </c>
      <c r="W196"/>
      <c r="X196">
        <v>0</v>
      </c>
      <c r="AC196" t="s">
        <v>84</v>
      </c>
      <c r="AD196" s="39">
        <v>43344</v>
      </c>
    </row>
    <row r="197" spans="1:30" x14ac:dyDescent="0.25">
      <c r="A197">
        <v>119614</v>
      </c>
      <c r="B197" t="s">
        <v>113</v>
      </c>
      <c r="C197">
        <v>2018</v>
      </c>
      <c r="D197">
        <v>9</v>
      </c>
      <c r="E197" t="s">
        <v>85</v>
      </c>
      <c r="F197" t="s">
        <v>84</v>
      </c>
      <c r="G197" t="s">
        <v>84</v>
      </c>
      <c r="H197" t="s">
        <v>25</v>
      </c>
      <c r="I197" t="s">
        <v>25</v>
      </c>
      <c r="J197" t="s">
        <v>101</v>
      </c>
      <c r="K197" t="s">
        <v>86</v>
      </c>
      <c r="L197" t="s">
        <v>103</v>
      </c>
      <c r="M197">
        <v>1439.52704135</v>
      </c>
      <c r="N197">
        <v>0</v>
      </c>
      <c r="O197" t="s">
        <v>80</v>
      </c>
      <c r="P197" s="39">
        <v>44269.851105011578</v>
      </c>
      <c r="Q197">
        <v>1081609</v>
      </c>
      <c r="R197" t="s">
        <v>91</v>
      </c>
      <c r="S197" s="4">
        <v>15.90858214</v>
      </c>
      <c r="W197"/>
      <c r="X197">
        <v>0</v>
      </c>
      <c r="AC197" t="s">
        <v>84</v>
      </c>
      <c r="AD197" s="39">
        <v>43344</v>
      </c>
    </row>
    <row r="198" spans="1:30" x14ac:dyDescent="0.25">
      <c r="A198">
        <v>119638</v>
      </c>
      <c r="B198" t="s">
        <v>113</v>
      </c>
      <c r="C198">
        <v>2018</v>
      </c>
      <c r="D198">
        <v>9</v>
      </c>
      <c r="E198" t="s">
        <v>87</v>
      </c>
      <c r="F198" t="s">
        <v>84</v>
      </c>
      <c r="G198" t="s">
        <v>84</v>
      </c>
      <c r="H198" t="s">
        <v>25</v>
      </c>
      <c r="I198" t="s">
        <v>25</v>
      </c>
      <c r="J198" t="s">
        <v>101</v>
      </c>
      <c r="K198" t="s">
        <v>88</v>
      </c>
      <c r="L198" t="s">
        <v>103</v>
      </c>
      <c r="M198">
        <v>316.65874517999998</v>
      </c>
      <c r="N198">
        <v>0</v>
      </c>
      <c r="O198" t="s">
        <v>80</v>
      </c>
      <c r="P198" s="39">
        <v>44269.85110659722</v>
      </c>
      <c r="Q198">
        <v>1081729</v>
      </c>
      <c r="R198" t="s">
        <v>91</v>
      </c>
      <c r="S198" s="4">
        <v>0</v>
      </c>
      <c r="W198"/>
      <c r="X198">
        <v>0</v>
      </c>
      <c r="AC198" t="s">
        <v>84</v>
      </c>
      <c r="AD198" s="39">
        <v>43344</v>
      </c>
    </row>
    <row r="199" spans="1:30" x14ac:dyDescent="0.25">
      <c r="A199">
        <v>119662</v>
      </c>
      <c r="B199" t="s">
        <v>113</v>
      </c>
      <c r="C199">
        <v>2018</v>
      </c>
      <c r="D199">
        <v>9</v>
      </c>
      <c r="E199" t="s">
        <v>89</v>
      </c>
      <c r="F199" t="s">
        <v>84</v>
      </c>
      <c r="G199" t="s">
        <v>84</v>
      </c>
      <c r="H199" t="s">
        <v>25</v>
      </c>
      <c r="I199" t="s">
        <v>25</v>
      </c>
      <c r="J199" t="s">
        <v>101</v>
      </c>
      <c r="K199" t="s">
        <v>90</v>
      </c>
      <c r="L199" t="s">
        <v>103</v>
      </c>
      <c r="M199">
        <v>843.05591856000001</v>
      </c>
      <c r="N199">
        <v>0</v>
      </c>
      <c r="O199" t="s">
        <v>80</v>
      </c>
      <c r="P199" s="39">
        <v>44269.851107986113</v>
      </c>
      <c r="Q199">
        <v>1081849</v>
      </c>
      <c r="R199" t="s">
        <v>91</v>
      </c>
      <c r="S199" s="4">
        <v>9.8030732700000005</v>
      </c>
      <c r="W199"/>
      <c r="X199">
        <v>0</v>
      </c>
      <c r="AC199" t="s">
        <v>84</v>
      </c>
      <c r="AD199" s="39">
        <v>43344</v>
      </c>
    </row>
    <row r="200" spans="1:30" x14ac:dyDescent="0.25">
      <c r="A200">
        <v>119662</v>
      </c>
      <c r="B200" t="s">
        <v>113</v>
      </c>
      <c r="C200">
        <v>2018</v>
      </c>
      <c r="D200">
        <v>9</v>
      </c>
      <c r="E200" t="s">
        <v>89</v>
      </c>
      <c r="F200" t="s">
        <v>84</v>
      </c>
      <c r="G200" t="s">
        <v>84</v>
      </c>
      <c r="H200" t="s">
        <v>25</v>
      </c>
      <c r="I200" t="s">
        <v>25</v>
      </c>
      <c r="J200" t="s">
        <v>101</v>
      </c>
      <c r="K200" t="s">
        <v>90</v>
      </c>
      <c r="L200" t="s">
        <v>103</v>
      </c>
      <c r="M200">
        <v>843.05591856000001</v>
      </c>
      <c r="N200">
        <v>0</v>
      </c>
      <c r="O200" t="s">
        <v>80</v>
      </c>
      <c r="P200" s="39">
        <v>44269.851107986113</v>
      </c>
      <c r="Q200">
        <v>1081851</v>
      </c>
      <c r="R200" t="s">
        <v>28</v>
      </c>
      <c r="S200" s="4">
        <v>5.8523218699999999</v>
      </c>
      <c r="W200"/>
      <c r="X200">
        <v>0</v>
      </c>
      <c r="AC200" t="s">
        <v>84</v>
      </c>
      <c r="AD200" s="39">
        <v>43344</v>
      </c>
    </row>
    <row r="201" spans="1:30" x14ac:dyDescent="0.25">
      <c r="A201">
        <v>119638</v>
      </c>
      <c r="B201" t="s">
        <v>113</v>
      </c>
      <c r="C201">
        <v>2018</v>
      </c>
      <c r="D201">
        <v>9</v>
      </c>
      <c r="E201" t="s">
        <v>87</v>
      </c>
      <c r="F201" t="s">
        <v>84</v>
      </c>
      <c r="G201" t="s">
        <v>84</v>
      </c>
      <c r="H201" t="s">
        <v>25</v>
      </c>
      <c r="I201" t="s">
        <v>25</v>
      </c>
      <c r="J201" t="s">
        <v>101</v>
      </c>
      <c r="K201" t="s">
        <v>88</v>
      </c>
      <c r="L201" t="s">
        <v>103</v>
      </c>
      <c r="M201">
        <v>316.65874517999998</v>
      </c>
      <c r="N201">
        <v>0</v>
      </c>
      <c r="O201" t="s">
        <v>80</v>
      </c>
      <c r="P201" s="39">
        <v>44269.85110659722</v>
      </c>
      <c r="Q201">
        <v>1081731</v>
      </c>
      <c r="R201" t="s">
        <v>28</v>
      </c>
      <c r="S201" s="4">
        <v>2.1035998299999998</v>
      </c>
      <c r="W201"/>
      <c r="X201">
        <v>0</v>
      </c>
      <c r="AC201" t="s">
        <v>84</v>
      </c>
      <c r="AD201" s="39">
        <v>43344</v>
      </c>
    </row>
    <row r="202" spans="1:30" x14ac:dyDescent="0.25">
      <c r="A202">
        <v>119614</v>
      </c>
      <c r="B202" t="s">
        <v>113</v>
      </c>
      <c r="C202">
        <v>2018</v>
      </c>
      <c r="D202">
        <v>9</v>
      </c>
      <c r="E202" t="s">
        <v>85</v>
      </c>
      <c r="F202" t="s">
        <v>84</v>
      </c>
      <c r="G202" t="s">
        <v>84</v>
      </c>
      <c r="H202" t="s">
        <v>25</v>
      </c>
      <c r="I202" t="s">
        <v>25</v>
      </c>
      <c r="J202" t="s">
        <v>101</v>
      </c>
      <c r="K202" t="s">
        <v>86</v>
      </c>
      <c r="L202" t="s">
        <v>103</v>
      </c>
      <c r="M202">
        <v>1439.52704135</v>
      </c>
      <c r="N202">
        <v>0</v>
      </c>
      <c r="O202" t="s">
        <v>80</v>
      </c>
      <c r="P202" s="39">
        <v>44269.851105011578</v>
      </c>
      <c r="Q202">
        <v>1081611</v>
      </c>
      <c r="R202" t="s">
        <v>28</v>
      </c>
      <c r="S202" s="4">
        <v>9.9484236900000003</v>
      </c>
      <c r="W202"/>
      <c r="X202">
        <v>0</v>
      </c>
      <c r="AC202" t="s">
        <v>84</v>
      </c>
      <c r="AD202" s="39">
        <v>43344</v>
      </c>
    </row>
    <row r="203" spans="1:30" x14ac:dyDescent="0.25">
      <c r="A203">
        <v>130318</v>
      </c>
      <c r="B203" t="s">
        <v>114</v>
      </c>
      <c r="C203">
        <v>2018</v>
      </c>
      <c r="D203">
        <v>10</v>
      </c>
      <c r="E203" t="s">
        <v>87</v>
      </c>
      <c r="F203" t="s">
        <v>84</v>
      </c>
      <c r="G203" t="s">
        <v>84</v>
      </c>
      <c r="H203" t="s">
        <v>25</v>
      </c>
      <c r="I203" t="s">
        <v>25</v>
      </c>
      <c r="J203" t="s">
        <v>101</v>
      </c>
      <c r="K203" t="s">
        <v>88</v>
      </c>
      <c r="L203" t="s">
        <v>103</v>
      </c>
      <c r="M203">
        <v>333.40243543999998</v>
      </c>
      <c r="N203">
        <v>0</v>
      </c>
      <c r="O203" t="s">
        <v>80</v>
      </c>
      <c r="P203" s="39">
        <v>44269.852573611111</v>
      </c>
      <c r="Q203">
        <v>1193102</v>
      </c>
      <c r="R203" t="s">
        <v>26</v>
      </c>
      <c r="S203" s="4">
        <v>133.79030291999999</v>
      </c>
      <c r="W203"/>
      <c r="X203">
        <v>0</v>
      </c>
      <c r="AC203" t="s">
        <v>84</v>
      </c>
      <c r="AD203" s="39">
        <v>43374</v>
      </c>
    </row>
    <row r="204" spans="1:30" x14ac:dyDescent="0.25">
      <c r="A204">
        <v>130342</v>
      </c>
      <c r="B204" t="s">
        <v>114</v>
      </c>
      <c r="C204">
        <v>2018</v>
      </c>
      <c r="D204">
        <v>10</v>
      </c>
      <c r="E204" t="s">
        <v>89</v>
      </c>
      <c r="F204" t="s">
        <v>84</v>
      </c>
      <c r="G204" t="s">
        <v>84</v>
      </c>
      <c r="H204" t="s">
        <v>25</v>
      </c>
      <c r="I204" t="s">
        <v>25</v>
      </c>
      <c r="J204" t="s">
        <v>101</v>
      </c>
      <c r="K204" t="s">
        <v>90</v>
      </c>
      <c r="L204" t="s">
        <v>103</v>
      </c>
      <c r="M204">
        <v>879.43208655000001</v>
      </c>
      <c r="N204">
        <v>0</v>
      </c>
      <c r="O204" t="s">
        <v>80</v>
      </c>
      <c r="P204" s="39">
        <v>44269.852574803241</v>
      </c>
      <c r="Q204">
        <v>1193222</v>
      </c>
      <c r="R204" t="s">
        <v>26</v>
      </c>
      <c r="S204" s="4">
        <v>321.0431868</v>
      </c>
      <c r="W204"/>
      <c r="X204">
        <v>0</v>
      </c>
      <c r="AC204" t="s">
        <v>84</v>
      </c>
      <c r="AD204" s="39">
        <v>43374</v>
      </c>
    </row>
    <row r="205" spans="1:30" x14ac:dyDescent="0.25">
      <c r="A205">
        <v>130294</v>
      </c>
      <c r="B205" t="s">
        <v>114</v>
      </c>
      <c r="C205">
        <v>2018</v>
      </c>
      <c r="D205">
        <v>10</v>
      </c>
      <c r="E205" t="s">
        <v>85</v>
      </c>
      <c r="F205" t="s">
        <v>84</v>
      </c>
      <c r="G205" t="s">
        <v>84</v>
      </c>
      <c r="H205" t="s">
        <v>25</v>
      </c>
      <c r="I205" t="s">
        <v>25</v>
      </c>
      <c r="J205" t="s">
        <v>101</v>
      </c>
      <c r="K205" t="s">
        <v>86</v>
      </c>
      <c r="L205" t="s">
        <v>103</v>
      </c>
      <c r="M205">
        <v>1428.8615156599999</v>
      </c>
      <c r="N205">
        <v>0</v>
      </c>
      <c r="O205" t="s">
        <v>80</v>
      </c>
      <c r="P205" s="39">
        <v>44269.8525723727</v>
      </c>
      <c r="Q205">
        <v>1192982</v>
      </c>
      <c r="R205" t="s">
        <v>26</v>
      </c>
      <c r="S205" s="4">
        <v>493.49836471999998</v>
      </c>
      <c r="W205"/>
      <c r="X205">
        <v>0</v>
      </c>
      <c r="AC205" t="s">
        <v>84</v>
      </c>
      <c r="AD205" s="39">
        <v>43374</v>
      </c>
    </row>
    <row r="206" spans="1:30" x14ac:dyDescent="0.25">
      <c r="A206">
        <v>130318</v>
      </c>
      <c r="B206" t="s">
        <v>114</v>
      </c>
      <c r="C206">
        <v>2018</v>
      </c>
      <c r="D206">
        <v>10</v>
      </c>
      <c r="E206" t="s">
        <v>87</v>
      </c>
      <c r="F206" t="s">
        <v>84</v>
      </c>
      <c r="G206" t="s">
        <v>84</v>
      </c>
      <c r="H206" t="s">
        <v>25</v>
      </c>
      <c r="I206" t="s">
        <v>25</v>
      </c>
      <c r="J206" t="s">
        <v>101</v>
      </c>
      <c r="K206" t="s">
        <v>88</v>
      </c>
      <c r="L206" t="s">
        <v>103</v>
      </c>
      <c r="M206">
        <v>333.40243543999998</v>
      </c>
      <c r="N206">
        <v>0</v>
      </c>
      <c r="O206" t="s">
        <v>80</v>
      </c>
      <c r="P206" s="39">
        <v>44269.852573611111</v>
      </c>
      <c r="Q206">
        <v>1193105</v>
      </c>
      <c r="R206" t="s">
        <v>81</v>
      </c>
      <c r="S206" s="4">
        <v>69.149925620000005</v>
      </c>
      <c r="W206"/>
      <c r="X206">
        <v>0</v>
      </c>
      <c r="AC206" t="s">
        <v>84</v>
      </c>
      <c r="AD206" s="39">
        <v>43374</v>
      </c>
    </row>
    <row r="207" spans="1:30" x14ac:dyDescent="0.25">
      <c r="A207">
        <v>130294</v>
      </c>
      <c r="B207" t="s">
        <v>114</v>
      </c>
      <c r="C207">
        <v>2018</v>
      </c>
      <c r="D207">
        <v>10</v>
      </c>
      <c r="E207" t="s">
        <v>85</v>
      </c>
      <c r="F207" t="s">
        <v>84</v>
      </c>
      <c r="G207" t="s">
        <v>84</v>
      </c>
      <c r="H207" t="s">
        <v>25</v>
      </c>
      <c r="I207" t="s">
        <v>25</v>
      </c>
      <c r="J207" t="s">
        <v>101</v>
      </c>
      <c r="K207" t="s">
        <v>86</v>
      </c>
      <c r="L207" t="s">
        <v>103</v>
      </c>
      <c r="M207">
        <v>1428.8615156599999</v>
      </c>
      <c r="N207">
        <v>0</v>
      </c>
      <c r="O207" t="s">
        <v>80</v>
      </c>
      <c r="P207" s="39">
        <v>44269.8525723727</v>
      </c>
      <c r="Q207">
        <v>1192985</v>
      </c>
      <c r="R207" t="s">
        <v>81</v>
      </c>
      <c r="S207" s="4">
        <v>293.84436671999998</v>
      </c>
      <c r="W207"/>
      <c r="X207">
        <v>0</v>
      </c>
      <c r="AC207" t="s">
        <v>84</v>
      </c>
      <c r="AD207" s="39">
        <v>43374</v>
      </c>
    </row>
    <row r="208" spans="1:30" x14ac:dyDescent="0.25">
      <c r="A208">
        <v>130342</v>
      </c>
      <c r="B208" t="s">
        <v>114</v>
      </c>
      <c r="C208">
        <v>2018</v>
      </c>
      <c r="D208">
        <v>10</v>
      </c>
      <c r="E208" t="s">
        <v>89</v>
      </c>
      <c r="F208" t="s">
        <v>84</v>
      </c>
      <c r="G208" t="s">
        <v>84</v>
      </c>
      <c r="H208" t="s">
        <v>25</v>
      </c>
      <c r="I208" t="s">
        <v>25</v>
      </c>
      <c r="J208" t="s">
        <v>101</v>
      </c>
      <c r="K208" t="s">
        <v>90</v>
      </c>
      <c r="L208" t="s">
        <v>103</v>
      </c>
      <c r="M208">
        <v>879.43208655000001</v>
      </c>
      <c r="N208">
        <v>0</v>
      </c>
      <c r="O208" t="s">
        <v>80</v>
      </c>
      <c r="P208" s="39">
        <v>44269.852574803241</v>
      </c>
      <c r="Q208">
        <v>1193225</v>
      </c>
      <c r="R208" t="s">
        <v>81</v>
      </c>
      <c r="S208" s="4">
        <v>174.33643208999999</v>
      </c>
      <c r="W208"/>
      <c r="X208">
        <v>0</v>
      </c>
      <c r="AC208" t="s">
        <v>84</v>
      </c>
      <c r="AD208" s="39">
        <v>43374</v>
      </c>
    </row>
    <row r="209" spans="1:30" x14ac:dyDescent="0.25">
      <c r="A209">
        <v>130318</v>
      </c>
      <c r="B209" t="s">
        <v>114</v>
      </c>
      <c r="C209">
        <v>2018</v>
      </c>
      <c r="D209">
        <v>10</v>
      </c>
      <c r="E209" t="s">
        <v>87</v>
      </c>
      <c r="F209" t="s">
        <v>84</v>
      </c>
      <c r="G209" t="s">
        <v>84</v>
      </c>
      <c r="H209" t="s">
        <v>25</v>
      </c>
      <c r="I209" t="s">
        <v>25</v>
      </c>
      <c r="J209" t="s">
        <v>101</v>
      </c>
      <c r="K209" t="s">
        <v>88</v>
      </c>
      <c r="L209" t="s">
        <v>103</v>
      </c>
      <c r="M209">
        <v>333.40243543999998</v>
      </c>
      <c r="N209">
        <v>0</v>
      </c>
      <c r="O209" t="s">
        <v>80</v>
      </c>
      <c r="P209" s="39">
        <v>44269.852573611111</v>
      </c>
      <c r="Q209">
        <v>1193104</v>
      </c>
      <c r="R209" t="s">
        <v>27</v>
      </c>
      <c r="S209" s="4">
        <v>138.22930368999999</v>
      </c>
      <c r="W209"/>
      <c r="X209">
        <v>0</v>
      </c>
      <c r="AC209" t="s">
        <v>84</v>
      </c>
      <c r="AD209" s="39">
        <v>43374</v>
      </c>
    </row>
    <row r="210" spans="1:30" x14ac:dyDescent="0.25">
      <c r="A210">
        <v>130342</v>
      </c>
      <c r="B210" t="s">
        <v>114</v>
      </c>
      <c r="C210">
        <v>2018</v>
      </c>
      <c r="D210">
        <v>10</v>
      </c>
      <c r="E210" t="s">
        <v>89</v>
      </c>
      <c r="F210" t="s">
        <v>84</v>
      </c>
      <c r="G210" t="s">
        <v>84</v>
      </c>
      <c r="H210" t="s">
        <v>25</v>
      </c>
      <c r="I210" t="s">
        <v>25</v>
      </c>
      <c r="J210" t="s">
        <v>101</v>
      </c>
      <c r="K210" t="s">
        <v>90</v>
      </c>
      <c r="L210" t="s">
        <v>103</v>
      </c>
      <c r="M210">
        <v>879.43208655000001</v>
      </c>
      <c r="N210">
        <v>0</v>
      </c>
      <c r="O210" t="s">
        <v>80</v>
      </c>
      <c r="P210" s="39">
        <v>44269.852574803241</v>
      </c>
      <c r="Q210">
        <v>1193224</v>
      </c>
      <c r="R210" t="s">
        <v>27</v>
      </c>
      <c r="S210" s="4">
        <v>394.05372144</v>
      </c>
      <c r="W210"/>
      <c r="X210">
        <v>0</v>
      </c>
      <c r="AC210" t="s">
        <v>84</v>
      </c>
      <c r="AD210" s="39">
        <v>43374</v>
      </c>
    </row>
    <row r="211" spans="1:30" x14ac:dyDescent="0.25">
      <c r="A211">
        <v>130294</v>
      </c>
      <c r="B211" t="s">
        <v>114</v>
      </c>
      <c r="C211">
        <v>2018</v>
      </c>
      <c r="D211">
        <v>10</v>
      </c>
      <c r="E211" t="s">
        <v>85</v>
      </c>
      <c r="F211" t="s">
        <v>84</v>
      </c>
      <c r="G211" t="s">
        <v>84</v>
      </c>
      <c r="H211" t="s">
        <v>25</v>
      </c>
      <c r="I211" t="s">
        <v>25</v>
      </c>
      <c r="J211" t="s">
        <v>101</v>
      </c>
      <c r="K211" t="s">
        <v>86</v>
      </c>
      <c r="L211" t="s">
        <v>103</v>
      </c>
      <c r="M211">
        <v>1428.8615156599999</v>
      </c>
      <c r="N211">
        <v>0</v>
      </c>
      <c r="O211" t="s">
        <v>80</v>
      </c>
      <c r="P211" s="39">
        <v>44269.8525723727</v>
      </c>
      <c r="Q211">
        <v>1192984</v>
      </c>
      <c r="R211" t="s">
        <v>27</v>
      </c>
      <c r="S211" s="4">
        <v>661.15529293999998</v>
      </c>
      <c r="W211"/>
      <c r="X211">
        <v>0</v>
      </c>
      <c r="AC211" t="s">
        <v>84</v>
      </c>
      <c r="AD211" s="39">
        <v>43374</v>
      </c>
    </row>
    <row r="212" spans="1:30" x14ac:dyDescent="0.25">
      <c r="A212">
        <v>130318</v>
      </c>
      <c r="B212" t="s">
        <v>114</v>
      </c>
      <c r="C212">
        <v>2018</v>
      </c>
      <c r="D212">
        <v>10</v>
      </c>
      <c r="E212" t="s">
        <v>87</v>
      </c>
      <c r="F212" t="s">
        <v>84</v>
      </c>
      <c r="G212" t="s">
        <v>84</v>
      </c>
      <c r="H212" t="s">
        <v>25</v>
      </c>
      <c r="I212" t="s">
        <v>25</v>
      </c>
      <c r="J212" t="s">
        <v>101</v>
      </c>
      <c r="K212" t="s">
        <v>88</v>
      </c>
      <c r="L212" t="s">
        <v>103</v>
      </c>
      <c r="M212">
        <v>333.40243543999998</v>
      </c>
      <c r="N212">
        <v>0</v>
      </c>
      <c r="O212" t="s">
        <v>80</v>
      </c>
      <c r="P212" s="39">
        <v>44269.852573611111</v>
      </c>
      <c r="Q212">
        <v>1193101</v>
      </c>
      <c r="R212" t="s">
        <v>91</v>
      </c>
      <c r="S212" s="4">
        <v>0</v>
      </c>
      <c r="W212"/>
      <c r="X212">
        <v>0</v>
      </c>
      <c r="AC212" t="s">
        <v>84</v>
      </c>
      <c r="AD212" s="39">
        <v>43374</v>
      </c>
    </row>
    <row r="213" spans="1:30" x14ac:dyDescent="0.25">
      <c r="A213">
        <v>130342</v>
      </c>
      <c r="B213" t="s">
        <v>114</v>
      </c>
      <c r="C213">
        <v>2018</v>
      </c>
      <c r="D213">
        <v>10</v>
      </c>
      <c r="E213" t="s">
        <v>89</v>
      </c>
      <c r="F213" t="s">
        <v>84</v>
      </c>
      <c r="G213" t="s">
        <v>84</v>
      </c>
      <c r="H213" t="s">
        <v>25</v>
      </c>
      <c r="I213" t="s">
        <v>25</v>
      </c>
      <c r="J213" t="s">
        <v>101</v>
      </c>
      <c r="K213" t="s">
        <v>90</v>
      </c>
      <c r="L213" t="s">
        <v>103</v>
      </c>
      <c r="M213">
        <v>879.43208655000001</v>
      </c>
      <c r="N213">
        <v>0</v>
      </c>
      <c r="O213" t="s">
        <v>80</v>
      </c>
      <c r="P213" s="39">
        <v>44269.852574803241</v>
      </c>
      <c r="Q213">
        <v>1193221</v>
      </c>
      <c r="R213" t="s">
        <v>91</v>
      </c>
      <c r="S213" s="4">
        <v>10.228214250000001</v>
      </c>
      <c r="W213"/>
      <c r="X213">
        <v>0</v>
      </c>
      <c r="AC213" t="s">
        <v>84</v>
      </c>
      <c r="AD213" s="39">
        <v>43374</v>
      </c>
    </row>
    <row r="214" spans="1:30" x14ac:dyDescent="0.25">
      <c r="A214">
        <v>130294</v>
      </c>
      <c r="B214" t="s">
        <v>114</v>
      </c>
      <c r="C214">
        <v>2018</v>
      </c>
      <c r="D214">
        <v>10</v>
      </c>
      <c r="E214" t="s">
        <v>85</v>
      </c>
      <c r="F214" t="s">
        <v>84</v>
      </c>
      <c r="G214" t="s">
        <v>84</v>
      </c>
      <c r="H214" t="s">
        <v>25</v>
      </c>
      <c r="I214" t="s">
        <v>25</v>
      </c>
      <c r="J214" t="s">
        <v>101</v>
      </c>
      <c r="K214" t="s">
        <v>86</v>
      </c>
      <c r="L214" t="s">
        <v>103</v>
      </c>
      <c r="M214">
        <v>1428.8615156599999</v>
      </c>
      <c r="N214">
        <v>0</v>
      </c>
      <c r="O214" t="s">
        <v>80</v>
      </c>
      <c r="P214" s="39">
        <v>44269.8525723727</v>
      </c>
      <c r="Q214">
        <v>1192981</v>
      </c>
      <c r="R214" t="s">
        <v>91</v>
      </c>
      <c r="S214" s="4">
        <v>13.29405805</v>
      </c>
      <c r="W214"/>
      <c r="X214">
        <v>0</v>
      </c>
      <c r="AC214" t="s">
        <v>84</v>
      </c>
      <c r="AD214" s="39">
        <v>43374</v>
      </c>
    </row>
    <row r="215" spans="1:30" x14ac:dyDescent="0.25">
      <c r="A215">
        <v>130318</v>
      </c>
      <c r="B215" t="s">
        <v>114</v>
      </c>
      <c r="C215">
        <v>2018</v>
      </c>
      <c r="D215">
        <v>10</v>
      </c>
      <c r="E215" t="s">
        <v>87</v>
      </c>
      <c r="F215" t="s">
        <v>84</v>
      </c>
      <c r="G215" t="s">
        <v>84</v>
      </c>
      <c r="H215" t="s">
        <v>25</v>
      </c>
      <c r="I215" t="s">
        <v>25</v>
      </c>
      <c r="J215" t="s">
        <v>101</v>
      </c>
      <c r="K215" t="s">
        <v>88</v>
      </c>
      <c r="L215" t="s">
        <v>103</v>
      </c>
      <c r="M215">
        <v>333.40243543999998</v>
      </c>
      <c r="N215">
        <v>0</v>
      </c>
      <c r="O215" t="s">
        <v>80</v>
      </c>
      <c r="P215" s="39">
        <v>44269.852573611111</v>
      </c>
      <c r="Q215">
        <v>1193103</v>
      </c>
      <c r="R215" t="s">
        <v>28</v>
      </c>
      <c r="S215" s="4">
        <v>2.21497213</v>
      </c>
      <c r="W215"/>
      <c r="X215">
        <v>0</v>
      </c>
      <c r="AC215" t="s">
        <v>84</v>
      </c>
      <c r="AD215" s="39">
        <v>43374</v>
      </c>
    </row>
    <row r="216" spans="1:30" x14ac:dyDescent="0.25">
      <c r="A216">
        <v>130342</v>
      </c>
      <c r="B216" t="s">
        <v>114</v>
      </c>
      <c r="C216">
        <v>2018</v>
      </c>
      <c r="D216">
        <v>10</v>
      </c>
      <c r="E216" t="s">
        <v>89</v>
      </c>
      <c r="F216" t="s">
        <v>84</v>
      </c>
      <c r="G216" t="s">
        <v>84</v>
      </c>
      <c r="H216" t="s">
        <v>25</v>
      </c>
      <c r="I216" t="s">
        <v>25</v>
      </c>
      <c r="J216" t="s">
        <v>101</v>
      </c>
      <c r="K216" t="s">
        <v>90</v>
      </c>
      <c r="L216" t="s">
        <v>103</v>
      </c>
      <c r="M216">
        <v>879.43208655000001</v>
      </c>
      <c r="N216">
        <v>0</v>
      </c>
      <c r="O216" t="s">
        <v>80</v>
      </c>
      <c r="P216" s="39">
        <v>44269.852574803241</v>
      </c>
      <c r="Q216">
        <v>1193223</v>
      </c>
      <c r="R216" t="s">
        <v>28</v>
      </c>
      <c r="S216" s="4">
        <v>6.1007286299999999</v>
      </c>
      <c r="W216"/>
      <c r="X216">
        <v>0</v>
      </c>
      <c r="AC216" t="s">
        <v>84</v>
      </c>
      <c r="AD216" s="39">
        <v>43374</v>
      </c>
    </row>
    <row r="217" spans="1:30" x14ac:dyDescent="0.25">
      <c r="A217">
        <v>130294</v>
      </c>
      <c r="B217" t="s">
        <v>114</v>
      </c>
      <c r="C217">
        <v>2018</v>
      </c>
      <c r="D217">
        <v>10</v>
      </c>
      <c r="E217" t="s">
        <v>85</v>
      </c>
      <c r="F217" t="s">
        <v>84</v>
      </c>
      <c r="G217" t="s">
        <v>84</v>
      </c>
      <c r="H217" t="s">
        <v>25</v>
      </c>
      <c r="I217" t="s">
        <v>25</v>
      </c>
      <c r="J217" t="s">
        <v>101</v>
      </c>
      <c r="K217" t="s">
        <v>86</v>
      </c>
      <c r="L217" t="s">
        <v>103</v>
      </c>
      <c r="M217">
        <v>1428.8615156599999</v>
      </c>
      <c r="N217">
        <v>0</v>
      </c>
      <c r="O217" t="s">
        <v>80</v>
      </c>
      <c r="P217" s="39">
        <v>44269.8525723727</v>
      </c>
      <c r="Q217">
        <v>1192983</v>
      </c>
      <c r="R217" t="s">
        <v>28</v>
      </c>
      <c r="S217" s="4">
        <v>9.8495469999999994</v>
      </c>
      <c r="W217"/>
      <c r="X217">
        <v>0</v>
      </c>
      <c r="AC217" t="s">
        <v>84</v>
      </c>
      <c r="AD217" s="39">
        <v>43374</v>
      </c>
    </row>
    <row r="218" spans="1:30" x14ac:dyDescent="0.25">
      <c r="A218">
        <v>144832</v>
      </c>
      <c r="B218" t="s">
        <v>115</v>
      </c>
      <c r="C218">
        <v>2018</v>
      </c>
      <c r="D218">
        <v>11</v>
      </c>
      <c r="E218" t="s">
        <v>85</v>
      </c>
      <c r="F218" t="s">
        <v>84</v>
      </c>
      <c r="G218" t="s">
        <v>84</v>
      </c>
      <c r="H218" t="s">
        <v>25</v>
      </c>
      <c r="I218" t="s">
        <v>25</v>
      </c>
      <c r="J218" t="s">
        <v>101</v>
      </c>
      <c r="K218" t="s">
        <v>86</v>
      </c>
      <c r="L218" t="s">
        <v>103</v>
      </c>
      <c r="M218">
        <v>1939.5207746900001</v>
      </c>
      <c r="N218">
        <v>0</v>
      </c>
      <c r="O218" t="s">
        <v>80</v>
      </c>
      <c r="P218" s="39">
        <v>44269.854262534733</v>
      </c>
      <c r="Q218">
        <v>1336942</v>
      </c>
      <c r="R218" t="s">
        <v>26</v>
      </c>
      <c r="S218" s="4">
        <v>669.86920716999998</v>
      </c>
      <c r="W218"/>
      <c r="X218">
        <v>0</v>
      </c>
      <c r="AC218" t="s">
        <v>84</v>
      </c>
      <c r="AD218" s="39">
        <v>43405</v>
      </c>
    </row>
    <row r="219" spans="1:30" x14ac:dyDescent="0.25">
      <c r="A219">
        <v>144856</v>
      </c>
      <c r="B219" t="s">
        <v>115</v>
      </c>
      <c r="C219">
        <v>2018</v>
      </c>
      <c r="D219">
        <v>11</v>
      </c>
      <c r="E219" t="s">
        <v>87</v>
      </c>
      <c r="F219" t="s">
        <v>84</v>
      </c>
      <c r="G219" t="s">
        <v>84</v>
      </c>
      <c r="H219" t="s">
        <v>25</v>
      </c>
      <c r="I219" t="s">
        <v>25</v>
      </c>
      <c r="J219" t="s">
        <v>101</v>
      </c>
      <c r="K219" t="s">
        <v>88</v>
      </c>
      <c r="L219" t="s">
        <v>103</v>
      </c>
      <c r="M219">
        <v>527.43779992999998</v>
      </c>
      <c r="N219">
        <v>0</v>
      </c>
      <c r="O219" t="s">
        <v>80</v>
      </c>
      <c r="P219" s="39">
        <v>44269.854263738423</v>
      </c>
      <c r="Q219">
        <v>1337062</v>
      </c>
      <c r="R219" t="s">
        <v>26</v>
      </c>
      <c r="S219" s="4">
        <v>211.65431179999999</v>
      </c>
      <c r="W219"/>
      <c r="X219">
        <v>0</v>
      </c>
      <c r="AC219" t="s">
        <v>84</v>
      </c>
      <c r="AD219" s="39">
        <v>43405</v>
      </c>
    </row>
    <row r="220" spans="1:30" x14ac:dyDescent="0.25">
      <c r="A220">
        <v>144880</v>
      </c>
      <c r="B220" t="s">
        <v>115</v>
      </c>
      <c r="C220">
        <v>2018</v>
      </c>
      <c r="D220">
        <v>11</v>
      </c>
      <c r="E220" t="s">
        <v>89</v>
      </c>
      <c r="F220" t="s">
        <v>84</v>
      </c>
      <c r="G220" t="s">
        <v>84</v>
      </c>
      <c r="H220" t="s">
        <v>25</v>
      </c>
      <c r="I220" t="s">
        <v>25</v>
      </c>
      <c r="J220" t="s">
        <v>101</v>
      </c>
      <c r="K220" t="s">
        <v>90</v>
      </c>
      <c r="L220" t="s">
        <v>103</v>
      </c>
      <c r="M220">
        <v>1036.3887642100001</v>
      </c>
      <c r="N220">
        <v>0</v>
      </c>
      <c r="O220" t="s">
        <v>80</v>
      </c>
      <c r="P220" s="39">
        <v>44269.854264965281</v>
      </c>
      <c r="Q220">
        <v>1337182</v>
      </c>
      <c r="R220" t="s">
        <v>26</v>
      </c>
      <c r="S220" s="4">
        <v>378.34138271</v>
      </c>
      <c r="W220"/>
      <c r="X220">
        <v>0</v>
      </c>
      <c r="AC220" t="s">
        <v>84</v>
      </c>
      <c r="AD220" s="39">
        <v>43405</v>
      </c>
    </row>
    <row r="221" spans="1:30" x14ac:dyDescent="0.25">
      <c r="A221">
        <v>144880</v>
      </c>
      <c r="B221" t="s">
        <v>115</v>
      </c>
      <c r="C221">
        <v>2018</v>
      </c>
      <c r="D221">
        <v>11</v>
      </c>
      <c r="E221" t="s">
        <v>89</v>
      </c>
      <c r="F221" t="s">
        <v>84</v>
      </c>
      <c r="G221" t="s">
        <v>84</v>
      </c>
      <c r="H221" t="s">
        <v>25</v>
      </c>
      <c r="I221" t="s">
        <v>25</v>
      </c>
      <c r="J221" t="s">
        <v>101</v>
      </c>
      <c r="K221" t="s">
        <v>90</v>
      </c>
      <c r="L221" t="s">
        <v>103</v>
      </c>
      <c r="M221">
        <v>1036.3887642100001</v>
      </c>
      <c r="N221">
        <v>0</v>
      </c>
      <c r="O221" t="s">
        <v>80</v>
      </c>
      <c r="P221" s="39">
        <v>44269.854264965281</v>
      </c>
      <c r="Q221">
        <v>1337185</v>
      </c>
      <c r="R221" t="s">
        <v>81</v>
      </c>
      <c r="S221" s="4">
        <v>205.45113395000001</v>
      </c>
      <c r="W221"/>
      <c r="X221">
        <v>0</v>
      </c>
      <c r="AC221" t="s">
        <v>84</v>
      </c>
      <c r="AD221" s="39">
        <v>43405</v>
      </c>
    </row>
    <row r="222" spans="1:30" x14ac:dyDescent="0.25">
      <c r="A222">
        <v>144856</v>
      </c>
      <c r="B222" t="s">
        <v>115</v>
      </c>
      <c r="C222">
        <v>2018</v>
      </c>
      <c r="D222">
        <v>11</v>
      </c>
      <c r="E222" t="s">
        <v>87</v>
      </c>
      <c r="F222" t="s">
        <v>84</v>
      </c>
      <c r="G222" t="s">
        <v>84</v>
      </c>
      <c r="H222" t="s">
        <v>25</v>
      </c>
      <c r="I222" t="s">
        <v>25</v>
      </c>
      <c r="J222" t="s">
        <v>101</v>
      </c>
      <c r="K222" t="s">
        <v>88</v>
      </c>
      <c r="L222" t="s">
        <v>103</v>
      </c>
      <c r="M222">
        <v>527.43779992999998</v>
      </c>
      <c r="N222">
        <v>0</v>
      </c>
      <c r="O222" t="s">
        <v>80</v>
      </c>
      <c r="P222" s="39">
        <v>44269.854263738423</v>
      </c>
      <c r="Q222">
        <v>1337065</v>
      </c>
      <c r="R222" t="s">
        <v>81</v>
      </c>
      <c r="S222" s="4">
        <v>109.3941758</v>
      </c>
      <c r="W222"/>
      <c r="X222">
        <v>0</v>
      </c>
      <c r="AC222" t="s">
        <v>84</v>
      </c>
      <c r="AD222" s="39">
        <v>43405</v>
      </c>
    </row>
    <row r="223" spans="1:30" x14ac:dyDescent="0.25">
      <c r="A223">
        <v>144832</v>
      </c>
      <c r="B223" t="s">
        <v>115</v>
      </c>
      <c r="C223">
        <v>2018</v>
      </c>
      <c r="D223">
        <v>11</v>
      </c>
      <c r="E223" t="s">
        <v>85</v>
      </c>
      <c r="F223" t="s">
        <v>84</v>
      </c>
      <c r="G223" t="s">
        <v>84</v>
      </c>
      <c r="H223" t="s">
        <v>25</v>
      </c>
      <c r="I223" t="s">
        <v>25</v>
      </c>
      <c r="J223" t="s">
        <v>101</v>
      </c>
      <c r="K223" t="s">
        <v>86</v>
      </c>
      <c r="L223" t="s">
        <v>103</v>
      </c>
      <c r="M223">
        <v>1939.5207746900001</v>
      </c>
      <c r="N223">
        <v>0</v>
      </c>
      <c r="O223" t="s">
        <v>80</v>
      </c>
      <c r="P223" s="39">
        <v>44269.854262534733</v>
      </c>
      <c r="Q223">
        <v>1336945</v>
      </c>
      <c r="R223" t="s">
        <v>81</v>
      </c>
      <c r="S223" s="4">
        <v>398.86108453000003</v>
      </c>
      <c r="W223"/>
      <c r="X223">
        <v>0</v>
      </c>
      <c r="AC223" t="s">
        <v>84</v>
      </c>
      <c r="AD223" s="39">
        <v>43405</v>
      </c>
    </row>
    <row r="224" spans="1:30" x14ac:dyDescent="0.25">
      <c r="A224">
        <v>144856</v>
      </c>
      <c r="B224" t="s">
        <v>115</v>
      </c>
      <c r="C224">
        <v>2018</v>
      </c>
      <c r="D224">
        <v>11</v>
      </c>
      <c r="E224" t="s">
        <v>87</v>
      </c>
      <c r="F224" t="s">
        <v>84</v>
      </c>
      <c r="G224" t="s">
        <v>84</v>
      </c>
      <c r="H224" t="s">
        <v>25</v>
      </c>
      <c r="I224" t="s">
        <v>25</v>
      </c>
      <c r="J224" t="s">
        <v>101</v>
      </c>
      <c r="K224" t="s">
        <v>88</v>
      </c>
      <c r="L224" t="s">
        <v>103</v>
      </c>
      <c r="M224">
        <v>527.43779992999998</v>
      </c>
      <c r="N224">
        <v>0</v>
      </c>
      <c r="O224" t="s">
        <v>80</v>
      </c>
      <c r="P224" s="39">
        <v>44269.854263738423</v>
      </c>
      <c r="Q224">
        <v>1337064</v>
      </c>
      <c r="R224" t="s">
        <v>27</v>
      </c>
      <c r="S224" s="4">
        <v>218.67674640000001</v>
      </c>
      <c r="W224"/>
      <c r="X224">
        <v>0</v>
      </c>
      <c r="AC224" t="s">
        <v>84</v>
      </c>
      <c r="AD224" s="39">
        <v>43405</v>
      </c>
    </row>
    <row r="225" spans="1:30" x14ac:dyDescent="0.25">
      <c r="A225">
        <v>144832</v>
      </c>
      <c r="B225" t="s">
        <v>115</v>
      </c>
      <c r="C225">
        <v>2018</v>
      </c>
      <c r="D225">
        <v>11</v>
      </c>
      <c r="E225" t="s">
        <v>85</v>
      </c>
      <c r="F225" t="s">
        <v>84</v>
      </c>
      <c r="G225" t="s">
        <v>84</v>
      </c>
      <c r="H225" t="s">
        <v>25</v>
      </c>
      <c r="I225" t="s">
        <v>25</v>
      </c>
      <c r="J225" t="s">
        <v>101</v>
      </c>
      <c r="K225" t="s">
        <v>86</v>
      </c>
      <c r="L225" t="s">
        <v>103</v>
      </c>
      <c r="M225">
        <v>1939.5207746900001</v>
      </c>
      <c r="N225">
        <v>0</v>
      </c>
      <c r="O225" t="s">
        <v>80</v>
      </c>
      <c r="P225" s="39">
        <v>44269.854262534733</v>
      </c>
      <c r="Q225">
        <v>1336944</v>
      </c>
      <c r="R225" t="s">
        <v>27</v>
      </c>
      <c r="S225" s="4">
        <v>897.44486215999996</v>
      </c>
      <c r="W225"/>
      <c r="X225">
        <v>0</v>
      </c>
      <c r="AC225" t="s">
        <v>84</v>
      </c>
      <c r="AD225" s="39">
        <v>43405</v>
      </c>
    </row>
    <row r="226" spans="1:30" x14ac:dyDescent="0.25">
      <c r="A226">
        <v>144880</v>
      </c>
      <c r="B226" t="s">
        <v>115</v>
      </c>
      <c r="C226">
        <v>2018</v>
      </c>
      <c r="D226">
        <v>11</v>
      </c>
      <c r="E226" t="s">
        <v>89</v>
      </c>
      <c r="F226" t="s">
        <v>84</v>
      </c>
      <c r="G226" t="s">
        <v>84</v>
      </c>
      <c r="H226" t="s">
        <v>25</v>
      </c>
      <c r="I226" t="s">
        <v>25</v>
      </c>
      <c r="J226" t="s">
        <v>101</v>
      </c>
      <c r="K226" t="s">
        <v>90</v>
      </c>
      <c r="L226" t="s">
        <v>103</v>
      </c>
      <c r="M226">
        <v>1036.3887642100001</v>
      </c>
      <c r="N226">
        <v>0</v>
      </c>
      <c r="O226" t="s">
        <v>80</v>
      </c>
      <c r="P226" s="39">
        <v>44269.854264965281</v>
      </c>
      <c r="Q226">
        <v>1337184</v>
      </c>
      <c r="R226" t="s">
        <v>27</v>
      </c>
      <c r="S226" s="4">
        <v>464.38247552000001</v>
      </c>
      <c r="W226"/>
      <c r="X226">
        <v>0</v>
      </c>
      <c r="AC226" t="s">
        <v>84</v>
      </c>
      <c r="AD226" s="39">
        <v>43405</v>
      </c>
    </row>
    <row r="227" spans="1:30" x14ac:dyDescent="0.25">
      <c r="A227">
        <v>144832</v>
      </c>
      <c r="B227" t="s">
        <v>115</v>
      </c>
      <c r="C227">
        <v>2018</v>
      </c>
      <c r="D227">
        <v>11</v>
      </c>
      <c r="E227" t="s">
        <v>85</v>
      </c>
      <c r="F227" t="s">
        <v>84</v>
      </c>
      <c r="G227" t="s">
        <v>84</v>
      </c>
      <c r="H227" t="s">
        <v>25</v>
      </c>
      <c r="I227" t="s">
        <v>25</v>
      </c>
      <c r="J227" t="s">
        <v>101</v>
      </c>
      <c r="K227" t="s">
        <v>86</v>
      </c>
      <c r="L227" t="s">
        <v>103</v>
      </c>
      <c r="M227">
        <v>1939.5207746900001</v>
      </c>
      <c r="N227">
        <v>0</v>
      </c>
      <c r="O227" t="s">
        <v>80</v>
      </c>
      <c r="P227" s="39">
        <v>44269.854262534733</v>
      </c>
      <c r="Q227">
        <v>1336941</v>
      </c>
      <c r="R227" t="s">
        <v>91</v>
      </c>
      <c r="S227" s="4">
        <v>18.045206960000002</v>
      </c>
      <c r="W227"/>
      <c r="X227">
        <v>0</v>
      </c>
      <c r="AC227" t="s">
        <v>84</v>
      </c>
      <c r="AD227" s="39">
        <v>43405</v>
      </c>
    </row>
    <row r="228" spans="1:30" x14ac:dyDescent="0.25">
      <c r="A228">
        <v>144880</v>
      </c>
      <c r="B228" t="s">
        <v>115</v>
      </c>
      <c r="C228">
        <v>2018</v>
      </c>
      <c r="D228">
        <v>11</v>
      </c>
      <c r="E228" t="s">
        <v>89</v>
      </c>
      <c r="F228" t="s">
        <v>84</v>
      </c>
      <c r="G228" t="s">
        <v>84</v>
      </c>
      <c r="H228" t="s">
        <v>25</v>
      </c>
      <c r="I228" t="s">
        <v>25</v>
      </c>
      <c r="J228" t="s">
        <v>101</v>
      </c>
      <c r="K228" t="s">
        <v>90</v>
      </c>
      <c r="L228" t="s">
        <v>103</v>
      </c>
      <c r="M228">
        <v>1036.3887642100001</v>
      </c>
      <c r="N228">
        <v>0</v>
      </c>
      <c r="O228" t="s">
        <v>80</v>
      </c>
      <c r="P228" s="39">
        <v>44269.854264965281</v>
      </c>
      <c r="Q228">
        <v>1337181</v>
      </c>
      <c r="R228" t="s">
        <v>91</v>
      </c>
      <c r="S228" s="4">
        <v>12.053695210000001</v>
      </c>
      <c r="W228"/>
      <c r="X228">
        <v>0</v>
      </c>
      <c r="AC228" t="s">
        <v>84</v>
      </c>
      <c r="AD228" s="39">
        <v>43405</v>
      </c>
    </row>
    <row r="229" spans="1:30" x14ac:dyDescent="0.25">
      <c r="A229">
        <v>144856</v>
      </c>
      <c r="B229" t="s">
        <v>115</v>
      </c>
      <c r="C229">
        <v>2018</v>
      </c>
      <c r="D229">
        <v>11</v>
      </c>
      <c r="E229" t="s">
        <v>87</v>
      </c>
      <c r="F229" t="s">
        <v>84</v>
      </c>
      <c r="G229" t="s">
        <v>84</v>
      </c>
      <c r="H229" t="s">
        <v>25</v>
      </c>
      <c r="I229" t="s">
        <v>25</v>
      </c>
      <c r="J229" t="s">
        <v>101</v>
      </c>
      <c r="K229" t="s">
        <v>88</v>
      </c>
      <c r="L229" t="s">
        <v>103</v>
      </c>
      <c r="M229">
        <v>527.43779992999998</v>
      </c>
      <c r="N229">
        <v>0</v>
      </c>
      <c r="O229" t="s">
        <v>80</v>
      </c>
      <c r="P229" s="39">
        <v>44269.854263738423</v>
      </c>
      <c r="Q229">
        <v>1337061</v>
      </c>
      <c r="R229" t="s">
        <v>91</v>
      </c>
      <c r="S229" s="4">
        <v>0</v>
      </c>
      <c r="W229"/>
      <c r="X229">
        <v>0</v>
      </c>
      <c r="AC229" t="s">
        <v>84</v>
      </c>
      <c r="AD229" s="39">
        <v>43405</v>
      </c>
    </row>
    <row r="230" spans="1:30" x14ac:dyDescent="0.25">
      <c r="A230">
        <v>144832</v>
      </c>
      <c r="B230" t="s">
        <v>115</v>
      </c>
      <c r="C230">
        <v>2018</v>
      </c>
      <c r="D230">
        <v>11</v>
      </c>
      <c r="E230" t="s">
        <v>85</v>
      </c>
      <c r="F230" t="s">
        <v>84</v>
      </c>
      <c r="G230" t="s">
        <v>84</v>
      </c>
      <c r="H230" t="s">
        <v>25</v>
      </c>
      <c r="I230" t="s">
        <v>25</v>
      </c>
      <c r="J230" t="s">
        <v>101</v>
      </c>
      <c r="K230" t="s">
        <v>86</v>
      </c>
      <c r="L230" t="s">
        <v>103</v>
      </c>
      <c r="M230">
        <v>1939.5207746900001</v>
      </c>
      <c r="N230">
        <v>0</v>
      </c>
      <c r="O230" t="s">
        <v>80</v>
      </c>
      <c r="P230" s="39">
        <v>44269.854262534733</v>
      </c>
      <c r="Q230">
        <v>1336943</v>
      </c>
      <c r="R230" t="s">
        <v>28</v>
      </c>
      <c r="S230" s="4">
        <v>13.36966587</v>
      </c>
      <c r="W230"/>
      <c r="X230">
        <v>0</v>
      </c>
      <c r="AC230" t="s">
        <v>84</v>
      </c>
      <c r="AD230" s="39">
        <v>43405</v>
      </c>
    </row>
    <row r="231" spans="1:30" x14ac:dyDescent="0.25">
      <c r="A231">
        <v>144880</v>
      </c>
      <c r="B231" t="s">
        <v>115</v>
      </c>
      <c r="C231">
        <v>2018</v>
      </c>
      <c r="D231">
        <v>11</v>
      </c>
      <c r="E231" t="s">
        <v>89</v>
      </c>
      <c r="F231" t="s">
        <v>84</v>
      </c>
      <c r="G231" t="s">
        <v>84</v>
      </c>
      <c r="H231" t="s">
        <v>25</v>
      </c>
      <c r="I231" t="s">
        <v>25</v>
      </c>
      <c r="J231" t="s">
        <v>101</v>
      </c>
      <c r="K231" t="s">
        <v>90</v>
      </c>
      <c r="L231" t="s">
        <v>103</v>
      </c>
      <c r="M231">
        <v>1036.3887642100001</v>
      </c>
      <c r="N231">
        <v>0</v>
      </c>
      <c r="O231" t="s">
        <v>80</v>
      </c>
      <c r="P231" s="39">
        <v>44269.854264965281</v>
      </c>
      <c r="Q231">
        <v>1337183</v>
      </c>
      <c r="R231" t="s">
        <v>28</v>
      </c>
      <c r="S231" s="4">
        <v>7.1895564199999997</v>
      </c>
      <c r="W231"/>
      <c r="X231">
        <v>0</v>
      </c>
      <c r="AC231" t="s">
        <v>84</v>
      </c>
      <c r="AD231" s="39">
        <v>43405</v>
      </c>
    </row>
    <row r="232" spans="1:30" x14ac:dyDescent="0.25">
      <c r="A232">
        <v>144856</v>
      </c>
      <c r="B232" t="s">
        <v>115</v>
      </c>
      <c r="C232">
        <v>2018</v>
      </c>
      <c r="D232">
        <v>11</v>
      </c>
      <c r="E232" t="s">
        <v>87</v>
      </c>
      <c r="F232" t="s">
        <v>84</v>
      </c>
      <c r="G232" t="s">
        <v>84</v>
      </c>
      <c r="H232" t="s">
        <v>25</v>
      </c>
      <c r="I232" t="s">
        <v>25</v>
      </c>
      <c r="J232" t="s">
        <v>101</v>
      </c>
      <c r="K232" t="s">
        <v>88</v>
      </c>
      <c r="L232" t="s">
        <v>103</v>
      </c>
      <c r="M232">
        <v>527.43779992999998</v>
      </c>
      <c r="N232">
        <v>0</v>
      </c>
      <c r="O232" t="s">
        <v>80</v>
      </c>
      <c r="P232" s="39">
        <v>44269.854263738423</v>
      </c>
      <c r="Q232">
        <v>1337063</v>
      </c>
      <c r="R232" t="s">
        <v>28</v>
      </c>
      <c r="S232" s="4">
        <v>3.5040536599999998</v>
      </c>
      <c r="W232"/>
      <c r="X232">
        <v>0</v>
      </c>
      <c r="AC232" t="s">
        <v>84</v>
      </c>
      <c r="AD232" s="39">
        <v>43405</v>
      </c>
    </row>
    <row r="233" spans="1:30" x14ac:dyDescent="0.25">
      <c r="A233">
        <v>443785</v>
      </c>
      <c r="B233" t="s">
        <v>116</v>
      </c>
      <c r="C233">
        <v>2018</v>
      </c>
      <c r="D233">
        <v>12</v>
      </c>
      <c r="E233" t="s">
        <v>85</v>
      </c>
      <c r="F233" t="s">
        <v>84</v>
      </c>
      <c r="G233" t="s">
        <v>84</v>
      </c>
      <c r="H233" t="s">
        <v>25</v>
      </c>
      <c r="I233" t="s">
        <v>25</v>
      </c>
      <c r="J233" t="s">
        <v>101</v>
      </c>
      <c r="K233" t="s">
        <v>86</v>
      </c>
      <c r="L233" t="s">
        <v>103</v>
      </c>
      <c r="M233">
        <v>3041.3129330199999</v>
      </c>
      <c r="N233">
        <v>0</v>
      </c>
      <c r="O233" t="s">
        <v>80</v>
      </c>
      <c r="P233" s="39">
        <v>44284.514579629627</v>
      </c>
      <c r="Q233">
        <v>4215241</v>
      </c>
      <c r="R233" t="s">
        <v>26</v>
      </c>
      <c r="S233" s="4">
        <v>1050.40477513</v>
      </c>
      <c r="W233"/>
      <c r="X233">
        <v>0</v>
      </c>
      <c r="AC233" t="s">
        <v>84</v>
      </c>
      <c r="AD233" s="39">
        <v>43435</v>
      </c>
    </row>
    <row r="234" spans="1:30" x14ac:dyDescent="0.25">
      <c r="A234">
        <v>443809</v>
      </c>
      <c r="B234" t="s">
        <v>116</v>
      </c>
      <c r="C234">
        <v>2018</v>
      </c>
      <c r="D234">
        <v>12</v>
      </c>
      <c r="E234" t="s">
        <v>87</v>
      </c>
      <c r="F234" t="s">
        <v>84</v>
      </c>
      <c r="G234" t="s">
        <v>84</v>
      </c>
      <c r="H234" t="s">
        <v>25</v>
      </c>
      <c r="I234" t="s">
        <v>25</v>
      </c>
      <c r="J234" t="s">
        <v>101</v>
      </c>
      <c r="K234" t="s">
        <v>88</v>
      </c>
      <c r="L234" t="s">
        <v>103</v>
      </c>
      <c r="M234">
        <v>824.95046656</v>
      </c>
      <c r="N234">
        <v>0</v>
      </c>
      <c r="O234" t="s">
        <v>80</v>
      </c>
      <c r="P234" s="39">
        <v>44284.514580937503</v>
      </c>
      <c r="Q234">
        <v>4215361</v>
      </c>
      <c r="R234" t="s">
        <v>26</v>
      </c>
      <c r="S234" s="4">
        <v>331.04249125000001</v>
      </c>
      <c r="W234"/>
      <c r="X234">
        <v>0</v>
      </c>
      <c r="AC234" t="s">
        <v>84</v>
      </c>
      <c r="AD234" s="39">
        <v>43435</v>
      </c>
    </row>
    <row r="235" spans="1:30" x14ac:dyDescent="0.25">
      <c r="A235">
        <v>443833</v>
      </c>
      <c r="B235" t="s">
        <v>116</v>
      </c>
      <c r="C235">
        <v>2018</v>
      </c>
      <c r="D235">
        <v>12</v>
      </c>
      <c r="E235" t="s">
        <v>89</v>
      </c>
      <c r="F235" t="s">
        <v>84</v>
      </c>
      <c r="G235" t="s">
        <v>84</v>
      </c>
      <c r="H235" t="s">
        <v>25</v>
      </c>
      <c r="I235" t="s">
        <v>25</v>
      </c>
      <c r="J235" t="s">
        <v>101</v>
      </c>
      <c r="K235" t="s">
        <v>90</v>
      </c>
      <c r="L235" t="s">
        <v>103</v>
      </c>
      <c r="M235">
        <v>1153.4816149200001</v>
      </c>
      <c r="N235">
        <v>0</v>
      </c>
      <c r="O235" t="s">
        <v>80</v>
      </c>
      <c r="P235" s="39">
        <v>44284.51458221065</v>
      </c>
      <c r="Q235">
        <v>4215481</v>
      </c>
      <c r="R235" t="s">
        <v>26</v>
      </c>
      <c r="S235" s="4">
        <v>421.08699379000001</v>
      </c>
      <c r="W235"/>
      <c r="X235">
        <v>0</v>
      </c>
      <c r="AC235" t="s">
        <v>84</v>
      </c>
      <c r="AD235" s="39">
        <v>43435</v>
      </c>
    </row>
    <row r="236" spans="1:30" x14ac:dyDescent="0.25">
      <c r="A236">
        <v>443785</v>
      </c>
      <c r="B236" t="s">
        <v>116</v>
      </c>
      <c r="C236">
        <v>2018</v>
      </c>
      <c r="D236">
        <v>12</v>
      </c>
      <c r="E236" t="s">
        <v>85</v>
      </c>
      <c r="F236" t="s">
        <v>84</v>
      </c>
      <c r="G236" t="s">
        <v>84</v>
      </c>
      <c r="H236" t="s">
        <v>25</v>
      </c>
      <c r="I236" t="s">
        <v>25</v>
      </c>
      <c r="J236" t="s">
        <v>101</v>
      </c>
      <c r="K236" t="s">
        <v>86</v>
      </c>
      <c r="L236" t="s">
        <v>103</v>
      </c>
      <c r="M236">
        <v>3041.3129330199999</v>
      </c>
      <c r="N236">
        <v>0</v>
      </c>
      <c r="O236" t="s">
        <v>80</v>
      </c>
      <c r="P236" s="39">
        <v>44284.514579629627</v>
      </c>
      <c r="Q236">
        <v>4215244</v>
      </c>
      <c r="R236" t="s">
        <v>81</v>
      </c>
      <c r="S236" s="4">
        <v>625.44386772999997</v>
      </c>
      <c r="W236"/>
      <c r="X236">
        <v>0</v>
      </c>
      <c r="AC236" t="s">
        <v>84</v>
      </c>
      <c r="AD236" s="39">
        <v>43435</v>
      </c>
    </row>
    <row r="237" spans="1:30" x14ac:dyDescent="0.25">
      <c r="A237">
        <v>443833</v>
      </c>
      <c r="B237" t="s">
        <v>116</v>
      </c>
      <c r="C237">
        <v>2018</v>
      </c>
      <c r="D237">
        <v>12</v>
      </c>
      <c r="E237" t="s">
        <v>89</v>
      </c>
      <c r="F237" t="s">
        <v>84</v>
      </c>
      <c r="G237" t="s">
        <v>84</v>
      </c>
      <c r="H237" t="s">
        <v>25</v>
      </c>
      <c r="I237" t="s">
        <v>25</v>
      </c>
      <c r="J237" t="s">
        <v>101</v>
      </c>
      <c r="K237" t="s">
        <v>90</v>
      </c>
      <c r="L237" t="s">
        <v>103</v>
      </c>
      <c r="M237">
        <v>1153.4816149200001</v>
      </c>
      <c r="N237">
        <v>0</v>
      </c>
      <c r="O237" t="s">
        <v>80</v>
      </c>
      <c r="P237" s="39">
        <v>44284.51458221065</v>
      </c>
      <c r="Q237">
        <v>4215484</v>
      </c>
      <c r="R237" t="s">
        <v>81</v>
      </c>
      <c r="S237" s="4">
        <v>228.66332979000001</v>
      </c>
      <c r="W237"/>
      <c r="X237">
        <v>0</v>
      </c>
      <c r="AC237" t="s">
        <v>84</v>
      </c>
      <c r="AD237" s="39">
        <v>43435</v>
      </c>
    </row>
    <row r="238" spans="1:30" x14ac:dyDescent="0.25">
      <c r="A238">
        <v>443809</v>
      </c>
      <c r="B238" t="s">
        <v>116</v>
      </c>
      <c r="C238">
        <v>2018</v>
      </c>
      <c r="D238">
        <v>12</v>
      </c>
      <c r="E238" t="s">
        <v>87</v>
      </c>
      <c r="F238" t="s">
        <v>84</v>
      </c>
      <c r="G238" t="s">
        <v>84</v>
      </c>
      <c r="H238" t="s">
        <v>25</v>
      </c>
      <c r="I238" t="s">
        <v>25</v>
      </c>
      <c r="J238" t="s">
        <v>101</v>
      </c>
      <c r="K238" t="s">
        <v>88</v>
      </c>
      <c r="L238" t="s">
        <v>103</v>
      </c>
      <c r="M238">
        <v>824.95046656</v>
      </c>
      <c r="N238">
        <v>0</v>
      </c>
      <c r="O238" t="s">
        <v>80</v>
      </c>
      <c r="P238" s="39">
        <v>44284.514580937503</v>
      </c>
      <c r="Q238">
        <v>4215364</v>
      </c>
      <c r="R238" t="s">
        <v>81</v>
      </c>
      <c r="S238" s="4">
        <v>171.10032004000001</v>
      </c>
      <c r="W238"/>
      <c r="X238">
        <v>0</v>
      </c>
      <c r="AC238" t="s">
        <v>84</v>
      </c>
      <c r="AD238" s="39">
        <v>43435</v>
      </c>
    </row>
    <row r="239" spans="1:30" x14ac:dyDescent="0.25">
      <c r="A239">
        <v>443785</v>
      </c>
      <c r="B239" t="s">
        <v>116</v>
      </c>
      <c r="C239">
        <v>2018</v>
      </c>
      <c r="D239">
        <v>12</v>
      </c>
      <c r="E239" t="s">
        <v>85</v>
      </c>
      <c r="F239" t="s">
        <v>84</v>
      </c>
      <c r="G239" t="s">
        <v>84</v>
      </c>
      <c r="H239" t="s">
        <v>25</v>
      </c>
      <c r="I239" t="s">
        <v>25</v>
      </c>
      <c r="J239" t="s">
        <v>101</v>
      </c>
      <c r="K239" t="s">
        <v>86</v>
      </c>
      <c r="L239" t="s">
        <v>103</v>
      </c>
      <c r="M239">
        <v>3041.3129330199999</v>
      </c>
      <c r="N239">
        <v>0</v>
      </c>
      <c r="O239" t="s">
        <v>80</v>
      </c>
      <c r="P239" s="39">
        <v>44284.514579629627</v>
      </c>
      <c r="Q239">
        <v>4215243</v>
      </c>
      <c r="R239" t="s">
        <v>27</v>
      </c>
      <c r="S239" s="4">
        <v>1407.2603405699999</v>
      </c>
      <c r="W239"/>
      <c r="X239">
        <v>0</v>
      </c>
      <c r="AC239" t="s">
        <v>84</v>
      </c>
      <c r="AD239" s="39">
        <v>43435</v>
      </c>
    </row>
    <row r="240" spans="1:30" x14ac:dyDescent="0.25">
      <c r="A240">
        <v>443809</v>
      </c>
      <c r="B240" t="s">
        <v>116</v>
      </c>
      <c r="C240">
        <v>2018</v>
      </c>
      <c r="D240">
        <v>12</v>
      </c>
      <c r="E240" t="s">
        <v>87</v>
      </c>
      <c r="F240" t="s">
        <v>84</v>
      </c>
      <c r="G240" t="s">
        <v>84</v>
      </c>
      <c r="H240" t="s">
        <v>25</v>
      </c>
      <c r="I240" t="s">
        <v>25</v>
      </c>
      <c r="J240" t="s">
        <v>101</v>
      </c>
      <c r="K240" t="s">
        <v>88</v>
      </c>
      <c r="L240" t="s">
        <v>103</v>
      </c>
      <c r="M240">
        <v>824.95046656</v>
      </c>
      <c r="N240">
        <v>0</v>
      </c>
      <c r="O240" t="s">
        <v>80</v>
      </c>
      <c r="P240" s="39">
        <v>44284.514580937503</v>
      </c>
      <c r="Q240">
        <v>4215363</v>
      </c>
      <c r="R240" t="s">
        <v>27</v>
      </c>
      <c r="S240" s="4">
        <v>342.02608154000001</v>
      </c>
      <c r="W240"/>
      <c r="X240">
        <v>0</v>
      </c>
      <c r="AC240" t="s">
        <v>84</v>
      </c>
      <c r="AD240" s="39">
        <v>43435</v>
      </c>
    </row>
    <row r="241" spans="1:30" x14ac:dyDescent="0.25">
      <c r="A241">
        <v>443833</v>
      </c>
      <c r="B241" t="s">
        <v>116</v>
      </c>
      <c r="C241">
        <v>2018</v>
      </c>
      <c r="D241">
        <v>12</v>
      </c>
      <c r="E241" t="s">
        <v>89</v>
      </c>
      <c r="F241" t="s">
        <v>84</v>
      </c>
      <c r="G241" t="s">
        <v>84</v>
      </c>
      <c r="H241" t="s">
        <v>25</v>
      </c>
      <c r="I241" t="s">
        <v>25</v>
      </c>
      <c r="J241" t="s">
        <v>101</v>
      </c>
      <c r="K241" t="s">
        <v>90</v>
      </c>
      <c r="L241" t="s">
        <v>103</v>
      </c>
      <c r="M241">
        <v>1153.4816149200001</v>
      </c>
      <c r="N241">
        <v>0</v>
      </c>
      <c r="O241" t="s">
        <v>80</v>
      </c>
      <c r="P241" s="39">
        <v>44284.51458221065</v>
      </c>
      <c r="Q241">
        <v>4215483</v>
      </c>
      <c r="R241" t="s">
        <v>27</v>
      </c>
      <c r="S241" s="4">
        <v>516.84914608999998</v>
      </c>
      <c r="W241"/>
      <c r="X241">
        <v>0</v>
      </c>
      <c r="AC241" t="s">
        <v>84</v>
      </c>
      <c r="AD241" s="39">
        <v>43435</v>
      </c>
    </row>
    <row r="242" spans="1:30" x14ac:dyDescent="0.25">
      <c r="A242">
        <v>443833</v>
      </c>
      <c r="B242" t="s">
        <v>116</v>
      </c>
      <c r="C242">
        <v>2018</v>
      </c>
      <c r="D242">
        <v>12</v>
      </c>
      <c r="E242" t="s">
        <v>89</v>
      </c>
      <c r="F242" t="s">
        <v>84</v>
      </c>
      <c r="G242" t="s">
        <v>84</v>
      </c>
      <c r="H242" t="s">
        <v>25</v>
      </c>
      <c r="I242" t="s">
        <v>25</v>
      </c>
      <c r="J242" t="s">
        <v>101</v>
      </c>
      <c r="K242" t="s">
        <v>90</v>
      </c>
      <c r="L242" t="s">
        <v>103</v>
      </c>
      <c r="M242">
        <v>1153.4816149200001</v>
      </c>
      <c r="N242">
        <v>0</v>
      </c>
      <c r="O242" t="s">
        <v>80</v>
      </c>
      <c r="P242" s="39">
        <v>44284.51458221065</v>
      </c>
      <c r="Q242">
        <v>4215480</v>
      </c>
      <c r="R242" t="s">
        <v>91</v>
      </c>
      <c r="S242" s="4">
        <v>13.415540869999999</v>
      </c>
      <c r="W242"/>
      <c r="X242">
        <v>0</v>
      </c>
      <c r="AC242" t="s">
        <v>84</v>
      </c>
      <c r="AD242" s="39">
        <v>43435</v>
      </c>
    </row>
    <row r="243" spans="1:30" x14ac:dyDescent="0.25">
      <c r="A243">
        <v>443809</v>
      </c>
      <c r="B243" t="s">
        <v>116</v>
      </c>
      <c r="C243">
        <v>2018</v>
      </c>
      <c r="D243">
        <v>12</v>
      </c>
      <c r="E243" t="s">
        <v>87</v>
      </c>
      <c r="F243" t="s">
        <v>84</v>
      </c>
      <c r="G243" t="s">
        <v>84</v>
      </c>
      <c r="H243" t="s">
        <v>25</v>
      </c>
      <c r="I243" t="s">
        <v>25</v>
      </c>
      <c r="J243" t="s">
        <v>101</v>
      </c>
      <c r="K243" t="s">
        <v>88</v>
      </c>
      <c r="L243" t="s">
        <v>103</v>
      </c>
      <c r="M243">
        <v>824.95046656</v>
      </c>
      <c r="N243">
        <v>0</v>
      </c>
      <c r="O243" t="s">
        <v>80</v>
      </c>
      <c r="P243" s="39">
        <v>44284.514580937503</v>
      </c>
      <c r="Q243">
        <v>4215360</v>
      </c>
      <c r="R243" t="s">
        <v>91</v>
      </c>
      <c r="S243" s="4">
        <v>0</v>
      </c>
      <c r="W243"/>
      <c r="X243">
        <v>0</v>
      </c>
      <c r="AC243" t="s">
        <v>84</v>
      </c>
      <c r="AD243" s="39">
        <v>43435</v>
      </c>
    </row>
    <row r="244" spans="1:30" x14ac:dyDescent="0.25">
      <c r="A244">
        <v>443785</v>
      </c>
      <c r="B244" t="s">
        <v>116</v>
      </c>
      <c r="C244">
        <v>2018</v>
      </c>
      <c r="D244">
        <v>12</v>
      </c>
      <c r="E244" t="s">
        <v>85</v>
      </c>
      <c r="F244" t="s">
        <v>84</v>
      </c>
      <c r="G244" t="s">
        <v>84</v>
      </c>
      <c r="H244" t="s">
        <v>25</v>
      </c>
      <c r="I244" t="s">
        <v>25</v>
      </c>
      <c r="J244" t="s">
        <v>101</v>
      </c>
      <c r="K244" t="s">
        <v>86</v>
      </c>
      <c r="L244" t="s">
        <v>103</v>
      </c>
      <c r="M244">
        <v>3041.3129330199999</v>
      </c>
      <c r="N244">
        <v>0</v>
      </c>
      <c r="O244" t="s">
        <v>80</v>
      </c>
      <c r="P244" s="39">
        <v>44284.514579629627</v>
      </c>
      <c r="Q244">
        <v>4215240</v>
      </c>
      <c r="R244" t="s">
        <v>91</v>
      </c>
      <c r="S244" s="4">
        <v>28.29622762</v>
      </c>
      <c r="W244"/>
      <c r="X244">
        <v>0</v>
      </c>
      <c r="AC244" t="s">
        <v>84</v>
      </c>
      <c r="AD244" s="39">
        <v>43435</v>
      </c>
    </row>
    <row r="245" spans="1:30" x14ac:dyDescent="0.25">
      <c r="A245">
        <v>443833</v>
      </c>
      <c r="B245" t="s">
        <v>116</v>
      </c>
      <c r="C245">
        <v>2018</v>
      </c>
      <c r="D245">
        <v>12</v>
      </c>
      <c r="E245" t="s">
        <v>89</v>
      </c>
      <c r="F245" t="s">
        <v>84</v>
      </c>
      <c r="G245" t="s">
        <v>84</v>
      </c>
      <c r="H245" t="s">
        <v>25</v>
      </c>
      <c r="I245" t="s">
        <v>25</v>
      </c>
      <c r="J245" t="s">
        <v>101</v>
      </c>
      <c r="K245" t="s">
        <v>90</v>
      </c>
      <c r="L245" t="s">
        <v>103</v>
      </c>
      <c r="M245">
        <v>1153.4816149200001</v>
      </c>
      <c r="N245">
        <v>0</v>
      </c>
      <c r="O245" t="s">
        <v>80</v>
      </c>
      <c r="P245" s="39">
        <v>44284.51458221065</v>
      </c>
      <c r="Q245">
        <v>4215482</v>
      </c>
      <c r="R245" t="s">
        <v>28</v>
      </c>
      <c r="S245" s="4">
        <v>8.0018439400000005</v>
      </c>
      <c r="W245"/>
      <c r="X245">
        <v>0</v>
      </c>
      <c r="AC245" t="s">
        <v>84</v>
      </c>
      <c r="AD245" s="39">
        <v>43435</v>
      </c>
    </row>
    <row r="246" spans="1:30" x14ac:dyDescent="0.25">
      <c r="A246">
        <v>443785</v>
      </c>
      <c r="B246" t="s">
        <v>116</v>
      </c>
      <c r="C246">
        <v>2018</v>
      </c>
      <c r="D246">
        <v>12</v>
      </c>
      <c r="E246" t="s">
        <v>85</v>
      </c>
      <c r="F246" t="s">
        <v>84</v>
      </c>
      <c r="G246" t="s">
        <v>84</v>
      </c>
      <c r="H246" t="s">
        <v>25</v>
      </c>
      <c r="I246" t="s">
        <v>25</v>
      </c>
      <c r="J246" t="s">
        <v>101</v>
      </c>
      <c r="K246" t="s">
        <v>86</v>
      </c>
      <c r="L246" t="s">
        <v>103</v>
      </c>
      <c r="M246">
        <v>3041.3129330199999</v>
      </c>
      <c r="N246">
        <v>0</v>
      </c>
      <c r="O246" t="s">
        <v>80</v>
      </c>
      <c r="P246" s="39">
        <v>44284.514579629627</v>
      </c>
      <c r="Q246">
        <v>4215242</v>
      </c>
      <c r="R246" t="s">
        <v>28</v>
      </c>
      <c r="S246" s="4">
        <v>20.964631180000001</v>
      </c>
      <c r="W246"/>
      <c r="X246">
        <v>0</v>
      </c>
      <c r="AC246" t="s">
        <v>84</v>
      </c>
      <c r="AD246" s="39">
        <v>43435</v>
      </c>
    </row>
    <row r="247" spans="1:30" x14ac:dyDescent="0.25">
      <c r="A247">
        <v>443809</v>
      </c>
      <c r="B247" t="s">
        <v>116</v>
      </c>
      <c r="C247">
        <v>2018</v>
      </c>
      <c r="D247">
        <v>12</v>
      </c>
      <c r="E247" t="s">
        <v>87</v>
      </c>
      <c r="F247" t="s">
        <v>84</v>
      </c>
      <c r="G247" t="s">
        <v>84</v>
      </c>
      <c r="H247" t="s">
        <v>25</v>
      </c>
      <c r="I247" t="s">
        <v>25</v>
      </c>
      <c r="J247" t="s">
        <v>101</v>
      </c>
      <c r="K247" t="s">
        <v>88</v>
      </c>
      <c r="L247" t="s">
        <v>103</v>
      </c>
      <c r="M247">
        <v>824.95046656</v>
      </c>
      <c r="N247">
        <v>0</v>
      </c>
      <c r="O247" t="s">
        <v>80</v>
      </c>
      <c r="P247" s="39">
        <v>44284.514580937503</v>
      </c>
      <c r="Q247">
        <v>4215362</v>
      </c>
      <c r="R247" t="s">
        <v>28</v>
      </c>
      <c r="S247" s="4">
        <v>5.4805906999999996</v>
      </c>
      <c r="W247"/>
      <c r="X247">
        <v>0</v>
      </c>
      <c r="AC247" t="s">
        <v>84</v>
      </c>
      <c r="AD247" s="39">
        <v>43435</v>
      </c>
    </row>
    <row r="248" spans="1:30" x14ac:dyDescent="0.25">
      <c r="A248">
        <v>174638</v>
      </c>
      <c r="B248" t="s">
        <v>145</v>
      </c>
      <c r="C248">
        <v>2019</v>
      </c>
      <c r="D248">
        <v>1</v>
      </c>
      <c r="E248" t="s">
        <v>86</v>
      </c>
      <c r="F248" t="s">
        <v>84</v>
      </c>
      <c r="G248" t="s">
        <v>84</v>
      </c>
      <c r="H248" t="s">
        <v>25</v>
      </c>
      <c r="I248" t="s">
        <v>25</v>
      </c>
      <c r="J248" t="s">
        <v>101</v>
      </c>
      <c r="K248" t="s">
        <v>86</v>
      </c>
      <c r="L248" t="s">
        <v>103</v>
      </c>
      <c r="M248">
        <v>2213.9654676300001</v>
      </c>
      <c r="N248">
        <v>0</v>
      </c>
      <c r="O248" t="s">
        <v>80</v>
      </c>
      <c r="P248" s="39">
        <v>44269.857910185186</v>
      </c>
      <c r="Q248">
        <v>1659463</v>
      </c>
      <c r="R248" t="s">
        <v>26</v>
      </c>
      <c r="S248" s="4">
        <v>756.75261966999994</v>
      </c>
      <c r="W248"/>
      <c r="X248">
        <v>0</v>
      </c>
      <c r="AC248" t="s">
        <v>84</v>
      </c>
      <c r="AD248" s="39">
        <v>43466</v>
      </c>
    </row>
    <row r="249" spans="1:30" x14ac:dyDescent="0.25">
      <c r="A249">
        <v>174692</v>
      </c>
      <c r="B249" t="s">
        <v>145</v>
      </c>
      <c r="C249">
        <v>2019</v>
      </c>
      <c r="D249">
        <v>1</v>
      </c>
      <c r="E249" t="s">
        <v>90</v>
      </c>
      <c r="F249" t="s">
        <v>84</v>
      </c>
      <c r="G249" t="s">
        <v>84</v>
      </c>
      <c r="H249" t="s">
        <v>25</v>
      </c>
      <c r="I249" t="s">
        <v>25</v>
      </c>
      <c r="J249" t="s">
        <v>101</v>
      </c>
      <c r="K249" t="s">
        <v>90</v>
      </c>
      <c r="L249" t="s">
        <v>103</v>
      </c>
      <c r="M249">
        <v>1057.08780013</v>
      </c>
      <c r="N249">
        <v>0</v>
      </c>
      <c r="O249" t="s">
        <v>80</v>
      </c>
      <c r="P249" s="39">
        <v>44269.857912731481</v>
      </c>
      <c r="Q249">
        <v>1659733</v>
      </c>
      <c r="R249" t="s">
        <v>26</v>
      </c>
      <c r="S249" s="4">
        <v>382.89238433000003</v>
      </c>
      <c r="W249"/>
      <c r="X249">
        <v>0</v>
      </c>
      <c r="AC249" t="s">
        <v>84</v>
      </c>
      <c r="AD249" s="39">
        <v>43466</v>
      </c>
    </row>
    <row r="250" spans="1:30" x14ac:dyDescent="0.25">
      <c r="A250">
        <v>174665</v>
      </c>
      <c r="B250" t="s">
        <v>145</v>
      </c>
      <c r="C250">
        <v>2019</v>
      </c>
      <c r="D250">
        <v>1</v>
      </c>
      <c r="E250" t="s">
        <v>88</v>
      </c>
      <c r="F250" t="s">
        <v>84</v>
      </c>
      <c r="G250" t="s">
        <v>84</v>
      </c>
      <c r="H250" t="s">
        <v>25</v>
      </c>
      <c r="I250" t="s">
        <v>25</v>
      </c>
      <c r="J250" t="s">
        <v>101</v>
      </c>
      <c r="K250" t="s">
        <v>88</v>
      </c>
      <c r="L250" t="s">
        <v>103</v>
      </c>
      <c r="M250">
        <v>502.14165592000001</v>
      </c>
      <c r="N250">
        <v>0</v>
      </c>
      <c r="O250" t="s">
        <v>80</v>
      </c>
      <c r="P250" s="39">
        <v>44269.857911458334</v>
      </c>
      <c r="Q250">
        <v>1659598</v>
      </c>
      <c r="R250" t="s">
        <v>26</v>
      </c>
      <c r="S250" s="4">
        <v>219.12125985</v>
      </c>
      <c r="W250"/>
      <c r="X250">
        <v>0</v>
      </c>
      <c r="AC250" t="s">
        <v>84</v>
      </c>
      <c r="AD250" s="39">
        <v>43466</v>
      </c>
    </row>
    <row r="251" spans="1:30" x14ac:dyDescent="0.25">
      <c r="A251">
        <v>174638</v>
      </c>
      <c r="B251" t="s">
        <v>145</v>
      </c>
      <c r="C251">
        <v>2019</v>
      </c>
      <c r="D251">
        <v>1</v>
      </c>
      <c r="E251" t="s">
        <v>86</v>
      </c>
      <c r="F251" t="s">
        <v>84</v>
      </c>
      <c r="G251" t="s">
        <v>84</v>
      </c>
      <c r="H251" t="s">
        <v>25</v>
      </c>
      <c r="I251" t="s">
        <v>25</v>
      </c>
      <c r="J251" t="s">
        <v>101</v>
      </c>
      <c r="K251" t="s">
        <v>86</v>
      </c>
      <c r="L251" t="s">
        <v>103</v>
      </c>
      <c r="M251">
        <v>2213.9654676300001</v>
      </c>
      <c r="N251">
        <v>0</v>
      </c>
      <c r="O251" t="s">
        <v>80</v>
      </c>
      <c r="P251" s="39">
        <v>44269.857910185186</v>
      </c>
      <c r="Q251">
        <v>1659466</v>
      </c>
      <c r="R251" t="s">
        <v>81</v>
      </c>
      <c r="S251" s="4">
        <v>263.60226884000002</v>
      </c>
      <c r="W251"/>
      <c r="X251">
        <v>0</v>
      </c>
      <c r="AC251" t="s">
        <v>84</v>
      </c>
      <c r="AD251" s="39">
        <v>43466</v>
      </c>
    </row>
    <row r="252" spans="1:30" x14ac:dyDescent="0.25">
      <c r="A252">
        <v>174665</v>
      </c>
      <c r="B252" t="s">
        <v>145</v>
      </c>
      <c r="C252">
        <v>2019</v>
      </c>
      <c r="D252">
        <v>1</v>
      </c>
      <c r="E252" t="s">
        <v>88</v>
      </c>
      <c r="F252" t="s">
        <v>84</v>
      </c>
      <c r="G252" t="s">
        <v>84</v>
      </c>
      <c r="H252" t="s">
        <v>25</v>
      </c>
      <c r="I252" t="s">
        <v>25</v>
      </c>
      <c r="J252" t="s">
        <v>101</v>
      </c>
      <c r="K252" t="s">
        <v>88</v>
      </c>
      <c r="L252" t="s">
        <v>103</v>
      </c>
      <c r="M252">
        <v>502.14165592000001</v>
      </c>
      <c r="N252">
        <v>0</v>
      </c>
      <c r="O252" t="s">
        <v>80</v>
      </c>
      <c r="P252" s="39">
        <v>44269.857911458334</v>
      </c>
      <c r="Q252">
        <v>1659601</v>
      </c>
      <c r="R252" t="s">
        <v>81</v>
      </c>
      <c r="S252" s="4">
        <v>50.84942375</v>
      </c>
      <c r="W252"/>
      <c r="X252">
        <v>0</v>
      </c>
      <c r="AC252" t="s">
        <v>84</v>
      </c>
      <c r="AD252" s="39">
        <v>43466</v>
      </c>
    </row>
    <row r="253" spans="1:30" x14ac:dyDescent="0.25">
      <c r="A253">
        <v>174692</v>
      </c>
      <c r="B253" t="s">
        <v>145</v>
      </c>
      <c r="C253">
        <v>2019</v>
      </c>
      <c r="D253">
        <v>1</v>
      </c>
      <c r="E253" t="s">
        <v>90</v>
      </c>
      <c r="F253" t="s">
        <v>84</v>
      </c>
      <c r="G253" t="s">
        <v>84</v>
      </c>
      <c r="H253" t="s">
        <v>25</v>
      </c>
      <c r="I253" t="s">
        <v>25</v>
      </c>
      <c r="J253" t="s">
        <v>101</v>
      </c>
      <c r="K253" t="s">
        <v>90</v>
      </c>
      <c r="L253" t="s">
        <v>103</v>
      </c>
      <c r="M253">
        <v>1057.08780013</v>
      </c>
      <c r="N253">
        <v>0</v>
      </c>
      <c r="O253" t="s">
        <v>80</v>
      </c>
      <c r="P253" s="39">
        <v>44269.857912731481</v>
      </c>
      <c r="Q253">
        <v>1659736</v>
      </c>
      <c r="R253" t="s">
        <v>81</v>
      </c>
      <c r="S253" s="4">
        <v>107.26597246999999</v>
      </c>
      <c r="W253"/>
      <c r="X253">
        <v>0</v>
      </c>
      <c r="AC253" t="s">
        <v>84</v>
      </c>
      <c r="AD253" s="39">
        <v>43466</v>
      </c>
    </row>
    <row r="254" spans="1:30" x14ac:dyDescent="0.25">
      <c r="A254">
        <v>174638</v>
      </c>
      <c r="B254" t="s">
        <v>145</v>
      </c>
      <c r="C254">
        <v>2019</v>
      </c>
      <c r="D254">
        <v>1</v>
      </c>
      <c r="E254" t="s">
        <v>86</v>
      </c>
      <c r="F254" t="s">
        <v>84</v>
      </c>
      <c r="G254" t="s">
        <v>84</v>
      </c>
      <c r="H254" t="s">
        <v>25</v>
      </c>
      <c r="I254" t="s">
        <v>25</v>
      </c>
      <c r="J254" t="s">
        <v>101</v>
      </c>
      <c r="K254" t="s">
        <v>86</v>
      </c>
      <c r="L254" t="s">
        <v>103</v>
      </c>
      <c r="M254">
        <v>2213.9654676300001</v>
      </c>
      <c r="N254">
        <v>0</v>
      </c>
      <c r="O254" t="s">
        <v>80</v>
      </c>
      <c r="P254" s="39">
        <v>44269.857910185186</v>
      </c>
      <c r="Q254">
        <v>1659465</v>
      </c>
      <c r="R254" t="s">
        <v>27</v>
      </c>
      <c r="S254" s="4">
        <v>1229.2942782299999</v>
      </c>
      <c r="W254"/>
      <c r="X254">
        <v>0</v>
      </c>
      <c r="AC254" t="s">
        <v>84</v>
      </c>
      <c r="AD254" s="39">
        <v>43466</v>
      </c>
    </row>
    <row r="255" spans="1:30" x14ac:dyDescent="0.25">
      <c r="A255">
        <v>174692</v>
      </c>
      <c r="B255" t="s">
        <v>145</v>
      </c>
      <c r="C255">
        <v>2019</v>
      </c>
      <c r="D255">
        <v>1</v>
      </c>
      <c r="E255" t="s">
        <v>90</v>
      </c>
      <c r="F255" t="s">
        <v>84</v>
      </c>
      <c r="G255" t="s">
        <v>84</v>
      </c>
      <c r="H255" t="s">
        <v>25</v>
      </c>
      <c r="I255" t="s">
        <v>25</v>
      </c>
      <c r="J255" t="s">
        <v>101</v>
      </c>
      <c r="K255" t="s">
        <v>90</v>
      </c>
      <c r="L255" t="s">
        <v>103</v>
      </c>
      <c r="M255">
        <v>1057.08780013</v>
      </c>
      <c r="N255">
        <v>0</v>
      </c>
      <c r="O255" t="s">
        <v>80</v>
      </c>
      <c r="P255" s="39">
        <v>44269.857912731481</v>
      </c>
      <c r="Q255">
        <v>1659735</v>
      </c>
      <c r="R255" t="s">
        <v>27</v>
      </c>
      <c r="S255" s="4">
        <v>584.22585115000004</v>
      </c>
      <c r="W255"/>
      <c r="X255">
        <v>0</v>
      </c>
      <c r="AC255" t="s">
        <v>84</v>
      </c>
      <c r="AD255" s="39">
        <v>43466</v>
      </c>
    </row>
    <row r="256" spans="1:30" x14ac:dyDescent="0.25">
      <c r="A256">
        <v>174665</v>
      </c>
      <c r="B256" t="s">
        <v>145</v>
      </c>
      <c r="C256">
        <v>2019</v>
      </c>
      <c r="D256">
        <v>1</v>
      </c>
      <c r="E256" t="s">
        <v>88</v>
      </c>
      <c r="F256" t="s">
        <v>84</v>
      </c>
      <c r="G256" t="s">
        <v>84</v>
      </c>
      <c r="H256" t="s">
        <v>25</v>
      </c>
      <c r="I256" t="s">
        <v>25</v>
      </c>
      <c r="J256" t="s">
        <v>101</v>
      </c>
      <c r="K256" t="s">
        <v>88</v>
      </c>
      <c r="L256" t="s">
        <v>103</v>
      </c>
      <c r="M256">
        <v>502.14165592000001</v>
      </c>
      <c r="N256">
        <v>0</v>
      </c>
      <c r="O256" t="s">
        <v>80</v>
      </c>
      <c r="P256" s="39">
        <v>44269.857911458334</v>
      </c>
      <c r="Q256">
        <v>1659600</v>
      </c>
      <c r="R256" t="s">
        <v>27</v>
      </c>
      <c r="S256" s="4">
        <v>242.87584304000001</v>
      </c>
      <c r="W256"/>
      <c r="X256">
        <v>0</v>
      </c>
      <c r="AC256" t="s">
        <v>84</v>
      </c>
      <c r="AD256" s="39">
        <v>43466</v>
      </c>
    </row>
    <row r="257" spans="1:30" x14ac:dyDescent="0.25">
      <c r="A257">
        <v>174638</v>
      </c>
      <c r="B257" t="s">
        <v>145</v>
      </c>
      <c r="C257">
        <v>2019</v>
      </c>
      <c r="D257">
        <v>1</v>
      </c>
      <c r="E257" t="s">
        <v>86</v>
      </c>
      <c r="F257" t="s">
        <v>84</v>
      </c>
      <c r="G257" t="s">
        <v>84</v>
      </c>
      <c r="H257" t="s">
        <v>25</v>
      </c>
      <c r="I257" t="s">
        <v>25</v>
      </c>
      <c r="J257" t="s">
        <v>101</v>
      </c>
      <c r="K257" t="s">
        <v>86</v>
      </c>
      <c r="L257" t="s">
        <v>103</v>
      </c>
      <c r="M257">
        <v>2213.9654676300001</v>
      </c>
      <c r="N257">
        <v>0</v>
      </c>
      <c r="O257" t="s">
        <v>80</v>
      </c>
      <c r="P257" s="39">
        <v>44269.857910185186</v>
      </c>
      <c r="Q257">
        <v>1659462</v>
      </c>
      <c r="R257" t="s">
        <v>91</v>
      </c>
      <c r="S257" s="4">
        <v>5.9681388899999996</v>
      </c>
      <c r="W257"/>
      <c r="X257">
        <v>0</v>
      </c>
      <c r="AC257" t="s">
        <v>84</v>
      </c>
      <c r="AD257" s="39">
        <v>43466</v>
      </c>
    </row>
    <row r="258" spans="1:30" x14ac:dyDescent="0.25">
      <c r="A258">
        <v>174692</v>
      </c>
      <c r="B258" t="s">
        <v>145</v>
      </c>
      <c r="C258">
        <v>2019</v>
      </c>
      <c r="D258">
        <v>1</v>
      </c>
      <c r="E258" t="s">
        <v>90</v>
      </c>
      <c r="F258" t="s">
        <v>84</v>
      </c>
      <c r="G258" t="s">
        <v>84</v>
      </c>
      <c r="H258" t="s">
        <v>25</v>
      </c>
      <c r="I258" t="s">
        <v>25</v>
      </c>
      <c r="J258" t="s">
        <v>101</v>
      </c>
      <c r="K258" t="s">
        <v>90</v>
      </c>
      <c r="L258" t="s">
        <v>103</v>
      </c>
      <c r="M258">
        <v>1057.08780013</v>
      </c>
      <c r="N258">
        <v>0</v>
      </c>
      <c r="O258" t="s">
        <v>80</v>
      </c>
      <c r="P258" s="39">
        <v>44269.857912731481</v>
      </c>
      <c r="Q258">
        <v>1659732</v>
      </c>
      <c r="R258" t="s">
        <v>91</v>
      </c>
      <c r="S258" s="4">
        <v>2.7574996000000001</v>
      </c>
      <c r="W258"/>
      <c r="X258">
        <v>0</v>
      </c>
      <c r="AC258" t="s">
        <v>84</v>
      </c>
      <c r="AD258" s="39">
        <v>43466</v>
      </c>
    </row>
    <row r="259" spans="1:30" x14ac:dyDescent="0.25">
      <c r="A259">
        <v>174665</v>
      </c>
      <c r="B259" t="s">
        <v>145</v>
      </c>
      <c r="C259">
        <v>2019</v>
      </c>
      <c r="D259">
        <v>1</v>
      </c>
      <c r="E259" t="s">
        <v>88</v>
      </c>
      <c r="F259" t="s">
        <v>84</v>
      </c>
      <c r="G259" t="s">
        <v>84</v>
      </c>
      <c r="H259" t="s">
        <v>25</v>
      </c>
      <c r="I259" t="s">
        <v>25</v>
      </c>
      <c r="J259" t="s">
        <v>101</v>
      </c>
      <c r="K259" t="s">
        <v>88</v>
      </c>
      <c r="L259" t="s">
        <v>103</v>
      </c>
      <c r="M259">
        <v>502.14165592000001</v>
      </c>
      <c r="N259">
        <v>0</v>
      </c>
      <c r="O259" t="s">
        <v>80</v>
      </c>
      <c r="P259" s="39">
        <v>44269.857911458334</v>
      </c>
      <c r="Q259">
        <v>1659597</v>
      </c>
      <c r="R259" t="s">
        <v>91</v>
      </c>
      <c r="S259" s="4">
        <v>0</v>
      </c>
      <c r="W259"/>
      <c r="X259">
        <v>0</v>
      </c>
      <c r="AC259" t="s">
        <v>84</v>
      </c>
      <c r="AD259" s="39">
        <v>43466</v>
      </c>
    </row>
    <row r="260" spans="1:30" x14ac:dyDescent="0.25">
      <c r="A260">
        <v>174665</v>
      </c>
      <c r="B260" t="s">
        <v>145</v>
      </c>
      <c r="C260">
        <v>2019</v>
      </c>
      <c r="D260">
        <v>1</v>
      </c>
      <c r="E260" t="s">
        <v>88</v>
      </c>
      <c r="F260" t="s">
        <v>84</v>
      </c>
      <c r="G260" t="s">
        <v>84</v>
      </c>
      <c r="H260" t="s">
        <v>25</v>
      </c>
      <c r="I260" t="s">
        <v>25</v>
      </c>
      <c r="J260" t="s">
        <v>101</v>
      </c>
      <c r="K260" t="s">
        <v>88</v>
      </c>
      <c r="L260" t="s">
        <v>103</v>
      </c>
      <c r="M260">
        <v>502.14165592000001</v>
      </c>
      <c r="N260">
        <v>0</v>
      </c>
      <c r="O260" t="s">
        <v>80</v>
      </c>
      <c r="P260" s="39">
        <v>44269.857911458334</v>
      </c>
      <c r="Q260">
        <v>1659599</v>
      </c>
      <c r="R260" t="s">
        <v>28</v>
      </c>
      <c r="S260" s="4">
        <v>0</v>
      </c>
      <c r="W260"/>
      <c r="X260">
        <v>0</v>
      </c>
      <c r="AC260" t="s">
        <v>84</v>
      </c>
      <c r="AD260" s="39">
        <v>43466</v>
      </c>
    </row>
    <row r="261" spans="1:30" x14ac:dyDescent="0.25">
      <c r="A261">
        <v>174638</v>
      </c>
      <c r="B261" t="s">
        <v>145</v>
      </c>
      <c r="C261">
        <v>2019</v>
      </c>
      <c r="D261">
        <v>1</v>
      </c>
      <c r="E261" t="s">
        <v>86</v>
      </c>
      <c r="F261" t="s">
        <v>84</v>
      </c>
      <c r="G261" t="s">
        <v>84</v>
      </c>
      <c r="H261" t="s">
        <v>25</v>
      </c>
      <c r="I261" t="s">
        <v>25</v>
      </c>
      <c r="J261" t="s">
        <v>101</v>
      </c>
      <c r="K261" t="s">
        <v>86</v>
      </c>
      <c r="L261" t="s">
        <v>103</v>
      </c>
      <c r="M261">
        <v>2213.9654676300001</v>
      </c>
      <c r="N261">
        <v>0</v>
      </c>
      <c r="O261" t="s">
        <v>80</v>
      </c>
      <c r="P261" s="39">
        <v>44269.857910185186</v>
      </c>
      <c r="Q261">
        <v>1659464</v>
      </c>
      <c r="R261" t="s">
        <v>28</v>
      </c>
      <c r="S261" s="4">
        <v>5.5464253499999998</v>
      </c>
      <c r="W261"/>
      <c r="X261">
        <v>0</v>
      </c>
      <c r="AC261" t="s">
        <v>84</v>
      </c>
      <c r="AD261" s="39">
        <v>43466</v>
      </c>
    </row>
    <row r="262" spans="1:30" x14ac:dyDescent="0.25">
      <c r="A262">
        <v>174692</v>
      </c>
      <c r="B262" t="s">
        <v>145</v>
      </c>
      <c r="C262">
        <v>2019</v>
      </c>
      <c r="D262">
        <v>1</v>
      </c>
      <c r="E262" t="s">
        <v>90</v>
      </c>
      <c r="F262" t="s">
        <v>84</v>
      </c>
      <c r="G262" t="s">
        <v>84</v>
      </c>
      <c r="H262" t="s">
        <v>25</v>
      </c>
      <c r="I262" t="s">
        <v>25</v>
      </c>
      <c r="J262" t="s">
        <v>101</v>
      </c>
      <c r="K262" t="s">
        <v>90</v>
      </c>
      <c r="L262" t="s">
        <v>103</v>
      </c>
      <c r="M262">
        <v>1057.08780013</v>
      </c>
      <c r="N262">
        <v>0</v>
      </c>
      <c r="O262" t="s">
        <v>80</v>
      </c>
      <c r="P262" s="39">
        <v>44269.857912731481</v>
      </c>
      <c r="Q262">
        <v>1659734</v>
      </c>
      <c r="R262" t="s">
        <v>28</v>
      </c>
      <c r="S262" s="4">
        <v>2.4815427099999998</v>
      </c>
      <c r="W262"/>
      <c r="X262">
        <v>0</v>
      </c>
      <c r="AC262" t="s">
        <v>84</v>
      </c>
      <c r="AD262" s="39">
        <v>43466</v>
      </c>
    </row>
    <row r="263" spans="1:30" x14ac:dyDescent="0.25">
      <c r="A263">
        <v>187229</v>
      </c>
      <c r="B263" t="s">
        <v>147</v>
      </c>
      <c r="C263">
        <v>2019</v>
      </c>
      <c r="D263">
        <v>2</v>
      </c>
      <c r="E263" t="s">
        <v>86</v>
      </c>
      <c r="F263" t="s">
        <v>84</v>
      </c>
      <c r="G263" t="s">
        <v>84</v>
      </c>
      <c r="H263" t="s">
        <v>25</v>
      </c>
      <c r="I263" t="s">
        <v>25</v>
      </c>
      <c r="J263" t="s">
        <v>101</v>
      </c>
      <c r="K263" t="s">
        <v>86</v>
      </c>
      <c r="L263" t="s">
        <v>103</v>
      </c>
      <c r="M263">
        <v>2097.42093987</v>
      </c>
      <c r="N263">
        <v>0</v>
      </c>
      <c r="O263" t="s">
        <v>80</v>
      </c>
      <c r="P263" s="39">
        <v>44269.859435266189</v>
      </c>
      <c r="Q263">
        <v>1778877</v>
      </c>
      <c r="R263" t="s">
        <v>26</v>
      </c>
      <c r="S263" s="4">
        <v>716.91668818000005</v>
      </c>
      <c r="W263"/>
      <c r="X263">
        <v>0</v>
      </c>
      <c r="AC263" t="s">
        <v>84</v>
      </c>
      <c r="AD263" s="39">
        <v>43497</v>
      </c>
    </row>
    <row r="264" spans="1:30" x14ac:dyDescent="0.25">
      <c r="A264">
        <v>187256</v>
      </c>
      <c r="B264" t="s">
        <v>147</v>
      </c>
      <c r="C264">
        <v>2019</v>
      </c>
      <c r="D264">
        <v>2</v>
      </c>
      <c r="E264" t="s">
        <v>88</v>
      </c>
      <c r="F264" t="s">
        <v>84</v>
      </c>
      <c r="G264" t="s">
        <v>84</v>
      </c>
      <c r="H264" t="s">
        <v>25</v>
      </c>
      <c r="I264" t="s">
        <v>25</v>
      </c>
      <c r="J264" t="s">
        <v>101</v>
      </c>
      <c r="K264" t="s">
        <v>88</v>
      </c>
      <c r="L264" t="s">
        <v>103</v>
      </c>
      <c r="M264">
        <v>483.50924042000003</v>
      </c>
      <c r="N264">
        <v>0</v>
      </c>
      <c r="O264" t="s">
        <v>80</v>
      </c>
      <c r="P264" s="39">
        <v>44269.859436574072</v>
      </c>
      <c r="Q264">
        <v>1779012</v>
      </c>
      <c r="R264" t="s">
        <v>26</v>
      </c>
      <c r="S264" s="4">
        <v>210.99056942000001</v>
      </c>
      <c r="W264"/>
      <c r="X264">
        <v>0</v>
      </c>
      <c r="AC264" t="s">
        <v>84</v>
      </c>
      <c r="AD264" s="39">
        <v>43497</v>
      </c>
    </row>
    <row r="265" spans="1:30" x14ac:dyDescent="0.25">
      <c r="A265">
        <v>187283</v>
      </c>
      <c r="B265" t="s">
        <v>147</v>
      </c>
      <c r="C265">
        <v>2019</v>
      </c>
      <c r="D265">
        <v>2</v>
      </c>
      <c r="E265" t="s">
        <v>90</v>
      </c>
      <c r="F265" t="s">
        <v>84</v>
      </c>
      <c r="G265" t="s">
        <v>84</v>
      </c>
      <c r="H265" t="s">
        <v>25</v>
      </c>
      <c r="I265" t="s">
        <v>25</v>
      </c>
      <c r="J265" t="s">
        <v>101</v>
      </c>
      <c r="K265" t="s">
        <v>90</v>
      </c>
      <c r="L265" t="s">
        <v>103</v>
      </c>
      <c r="M265">
        <v>1177.9328353799999</v>
      </c>
      <c r="N265">
        <v>0</v>
      </c>
      <c r="O265" t="s">
        <v>80</v>
      </c>
      <c r="P265" s="39">
        <v>44269.859437847219</v>
      </c>
      <c r="Q265">
        <v>1779147</v>
      </c>
      <c r="R265" t="s">
        <v>26</v>
      </c>
      <c r="S265" s="4">
        <v>426.66419180999998</v>
      </c>
      <c r="W265"/>
      <c r="X265">
        <v>0</v>
      </c>
      <c r="AC265" t="s">
        <v>84</v>
      </c>
      <c r="AD265" s="39">
        <v>43497</v>
      </c>
    </row>
    <row r="266" spans="1:30" x14ac:dyDescent="0.25">
      <c r="A266">
        <v>187229</v>
      </c>
      <c r="B266" t="s">
        <v>147</v>
      </c>
      <c r="C266">
        <v>2019</v>
      </c>
      <c r="D266">
        <v>2</v>
      </c>
      <c r="E266" t="s">
        <v>86</v>
      </c>
      <c r="F266" t="s">
        <v>84</v>
      </c>
      <c r="G266" t="s">
        <v>84</v>
      </c>
      <c r="H266" t="s">
        <v>25</v>
      </c>
      <c r="I266" t="s">
        <v>25</v>
      </c>
      <c r="J266" t="s">
        <v>101</v>
      </c>
      <c r="K266" t="s">
        <v>86</v>
      </c>
      <c r="L266" t="s">
        <v>103</v>
      </c>
      <c r="M266">
        <v>2097.42093987</v>
      </c>
      <c r="N266">
        <v>0</v>
      </c>
      <c r="O266" t="s">
        <v>80</v>
      </c>
      <c r="P266" s="39">
        <v>44269.859435266189</v>
      </c>
      <c r="Q266">
        <v>1778880</v>
      </c>
      <c r="R266" t="s">
        <v>81</v>
      </c>
      <c r="S266" s="4">
        <v>249.72608044</v>
      </c>
      <c r="W266"/>
      <c r="X266">
        <v>0</v>
      </c>
      <c r="AC266" t="s">
        <v>84</v>
      </c>
      <c r="AD266" s="39">
        <v>43497</v>
      </c>
    </row>
    <row r="267" spans="1:30" x14ac:dyDescent="0.25">
      <c r="A267">
        <v>187256</v>
      </c>
      <c r="B267" t="s">
        <v>147</v>
      </c>
      <c r="C267">
        <v>2019</v>
      </c>
      <c r="D267">
        <v>2</v>
      </c>
      <c r="E267" t="s">
        <v>88</v>
      </c>
      <c r="F267" t="s">
        <v>84</v>
      </c>
      <c r="G267" t="s">
        <v>84</v>
      </c>
      <c r="H267" t="s">
        <v>25</v>
      </c>
      <c r="I267" t="s">
        <v>25</v>
      </c>
      <c r="J267" t="s">
        <v>101</v>
      </c>
      <c r="K267" t="s">
        <v>88</v>
      </c>
      <c r="L267" t="s">
        <v>103</v>
      </c>
      <c r="M267">
        <v>483.50924042000003</v>
      </c>
      <c r="N267">
        <v>0</v>
      </c>
      <c r="O267" t="s">
        <v>80</v>
      </c>
      <c r="P267" s="39">
        <v>44269.859436574072</v>
      </c>
      <c r="Q267">
        <v>1779015</v>
      </c>
      <c r="R267" t="s">
        <v>81</v>
      </c>
      <c r="S267" s="4">
        <v>48.962610380000001</v>
      </c>
      <c r="W267"/>
      <c r="X267">
        <v>0</v>
      </c>
      <c r="AC267" t="s">
        <v>84</v>
      </c>
      <c r="AD267" s="39">
        <v>43497</v>
      </c>
    </row>
    <row r="268" spans="1:30" x14ac:dyDescent="0.25">
      <c r="A268">
        <v>187283</v>
      </c>
      <c r="B268" t="s">
        <v>147</v>
      </c>
      <c r="C268">
        <v>2019</v>
      </c>
      <c r="D268">
        <v>2</v>
      </c>
      <c r="E268" t="s">
        <v>90</v>
      </c>
      <c r="F268" t="s">
        <v>84</v>
      </c>
      <c r="G268" t="s">
        <v>84</v>
      </c>
      <c r="H268" t="s">
        <v>25</v>
      </c>
      <c r="I268" t="s">
        <v>25</v>
      </c>
      <c r="J268" t="s">
        <v>101</v>
      </c>
      <c r="K268" t="s">
        <v>90</v>
      </c>
      <c r="L268" t="s">
        <v>103</v>
      </c>
      <c r="M268">
        <v>1177.9328353799999</v>
      </c>
      <c r="N268">
        <v>0</v>
      </c>
      <c r="O268" t="s">
        <v>80</v>
      </c>
      <c r="P268" s="39">
        <v>44269.859437847219</v>
      </c>
      <c r="Q268">
        <v>1779150</v>
      </c>
      <c r="R268" t="s">
        <v>81</v>
      </c>
      <c r="S268" s="4">
        <v>119.52849241</v>
      </c>
      <c r="W268"/>
      <c r="X268">
        <v>0</v>
      </c>
      <c r="AC268" t="s">
        <v>84</v>
      </c>
      <c r="AD268" s="39">
        <v>43497</v>
      </c>
    </row>
    <row r="269" spans="1:30" x14ac:dyDescent="0.25">
      <c r="A269">
        <v>187283</v>
      </c>
      <c r="B269" t="s">
        <v>147</v>
      </c>
      <c r="C269">
        <v>2019</v>
      </c>
      <c r="D269">
        <v>2</v>
      </c>
      <c r="E269" t="s">
        <v>90</v>
      </c>
      <c r="F269" t="s">
        <v>84</v>
      </c>
      <c r="G269" t="s">
        <v>84</v>
      </c>
      <c r="H269" t="s">
        <v>25</v>
      </c>
      <c r="I269" t="s">
        <v>25</v>
      </c>
      <c r="J269" t="s">
        <v>101</v>
      </c>
      <c r="K269" t="s">
        <v>90</v>
      </c>
      <c r="L269" t="s">
        <v>103</v>
      </c>
      <c r="M269">
        <v>1177.9328353799999</v>
      </c>
      <c r="N269">
        <v>0</v>
      </c>
      <c r="O269" t="s">
        <v>80</v>
      </c>
      <c r="P269" s="39">
        <v>44269.859437847219</v>
      </c>
      <c r="Q269">
        <v>1779149</v>
      </c>
      <c r="R269" t="s">
        <v>27</v>
      </c>
      <c r="S269" s="4">
        <v>651.01386399</v>
      </c>
      <c r="W269"/>
      <c r="X269">
        <v>0</v>
      </c>
      <c r="AC269" t="s">
        <v>84</v>
      </c>
      <c r="AD269" s="39">
        <v>43497</v>
      </c>
    </row>
    <row r="270" spans="1:30" x14ac:dyDescent="0.25">
      <c r="A270">
        <v>187229</v>
      </c>
      <c r="B270" t="s">
        <v>147</v>
      </c>
      <c r="C270">
        <v>2019</v>
      </c>
      <c r="D270">
        <v>2</v>
      </c>
      <c r="E270" t="s">
        <v>86</v>
      </c>
      <c r="F270" t="s">
        <v>84</v>
      </c>
      <c r="G270" t="s">
        <v>84</v>
      </c>
      <c r="H270" t="s">
        <v>25</v>
      </c>
      <c r="I270" t="s">
        <v>25</v>
      </c>
      <c r="J270" t="s">
        <v>101</v>
      </c>
      <c r="K270" t="s">
        <v>86</v>
      </c>
      <c r="L270" t="s">
        <v>103</v>
      </c>
      <c r="M270">
        <v>2097.42093987</v>
      </c>
      <c r="N270">
        <v>0</v>
      </c>
      <c r="O270" t="s">
        <v>80</v>
      </c>
      <c r="P270" s="39">
        <v>44269.859435266189</v>
      </c>
      <c r="Q270">
        <v>1778879</v>
      </c>
      <c r="R270" t="s">
        <v>27</v>
      </c>
      <c r="S270" s="4">
        <v>1164.58345811</v>
      </c>
      <c r="W270"/>
      <c r="X270">
        <v>0</v>
      </c>
      <c r="AC270" t="s">
        <v>84</v>
      </c>
      <c r="AD270" s="39">
        <v>43497</v>
      </c>
    </row>
    <row r="271" spans="1:30" x14ac:dyDescent="0.25">
      <c r="A271">
        <v>187256</v>
      </c>
      <c r="B271" t="s">
        <v>147</v>
      </c>
      <c r="C271">
        <v>2019</v>
      </c>
      <c r="D271">
        <v>2</v>
      </c>
      <c r="E271" t="s">
        <v>88</v>
      </c>
      <c r="F271" t="s">
        <v>84</v>
      </c>
      <c r="G271" t="s">
        <v>84</v>
      </c>
      <c r="H271" t="s">
        <v>25</v>
      </c>
      <c r="I271" t="s">
        <v>25</v>
      </c>
      <c r="J271" t="s">
        <v>101</v>
      </c>
      <c r="K271" t="s">
        <v>88</v>
      </c>
      <c r="L271" t="s">
        <v>103</v>
      </c>
      <c r="M271">
        <v>483.50924042000003</v>
      </c>
      <c r="N271">
        <v>0</v>
      </c>
      <c r="O271" t="s">
        <v>80</v>
      </c>
      <c r="P271" s="39">
        <v>44269.859436574072</v>
      </c>
      <c r="Q271">
        <v>1779014</v>
      </c>
      <c r="R271" t="s">
        <v>27</v>
      </c>
      <c r="S271" s="4">
        <v>233.86371754000001</v>
      </c>
      <c r="W271"/>
      <c r="X271">
        <v>0</v>
      </c>
      <c r="AC271" t="s">
        <v>84</v>
      </c>
      <c r="AD271" s="39">
        <v>43497</v>
      </c>
    </row>
    <row r="272" spans="1:30" x14ac:dyDescent="0.25">
      <c r="A272">
        <v>187283</v>
      </c>
      <c r="B272" t="s">
        <v>147</v>
      </c>
      <c r="C272">
        <v>2019</v>
      </c>
      <c r="D272">
        <v>2</v>
      </c>
      <c r="E272" t="s">
        <v>90</v>
      </c>
      <c r="F272" t="s">
        <v>84</v>
      </c>
      <c r="G272" t="s">
        <v>84</v>
      </c>
      <c r="H272" t="s">
        <v>25</v>
      </c>
      <c r="I272" t="s">
        <v>25</v>
      </c>
      <c r="J272" t="s">
        <v>101</v>
      </c>
      <c r="K272" t="s">
        <v>90</v>
      </c>
      <c r="L272" t="s">
        <v>103</v>
      </c>
      <c r="M272">
        <v>1177.9328353799999</v>
      </c>
      <c r="N272">
        <v>0</v>
      </c>
      <c r="O272" t="s">
        <v>80</v>
      </c>
      <c r="P272" s="39">
        <v>44269.859437847219</v>
      </c>
      <c r="Q272">
        <v>1779146</v>
      </c>
      <c r="R272" t="s">
        <v>91</v>
      </c>
      <c r="S272" s="4">
        <v>3.0727337100000001</v>
      </c>
      <c r="W272"/>
      <c r="X272">
        <v>0</v>
      </c>
      <c r="AC272" t="s">
        <v>84</v>
      </c>
      <c r="AD272" s="39">
        <v>43497</v>
      </c>
    </row>
    <row r="273" spans="1:30" x14ac:dyDescent="0.25">
      <c r="A273">
        <v>187256</v>
      </c>
      <c r="B273" t="s">
        <v>147</v>
      </c>
      <c r="C273">
        <v>2019</v>
      </c>
      <c r="D273">
        <v>2</v>
      </c>
      <c r="E273" t="s">
        <v>88</v>
      </c>
      <c r="F273" t="s">
        <v>84</v>
      </c>
      <c r="G273" t="s">
        <v>84</v>
      </c>
      <c r="H273" t="s">
        <v>25</v>
      </c>
      <c r="I273" t="s">
        <v>25</v>
      </c>
      <c r="J273" t="s">
        <v>101</v>
      </c>
      <c r="K273" t="s">
        <v>88</v>
      </c>
      <c r="L273" t="s">
        <v>103</v>
      </c>
      <c r="M273">
        <v>483.50924042000003</v>
      </c>
      <c r="N273">
        <v>0</v>
      </c>
      <c r="O273" t="s">
        <v>80</v>
      </c>
      <c r="P273" s="39">
        <v>44269.859436574072</v>
      </c>
      <c r="Q273">
        <v>1779011</v>
      </c>
      <c r="R273" t="s">
        <v>91</v>
      </c>
      <c r="S273" s="4">
        <v>0</v>
      </c>
      <c r="W273"/>
      <c r="X273">
        <v>0</v>
      </c>
      <c r="AC273" t="s">
        <v>84</v>
      </c>
      <c r="AD273" s="39">
        <v>43497</v>
      </c>
    </row>
    <row r="274" spans="1:30" x14ac:dyDescent="0.25">
      <c r="A274">
        <v>187229</v>
      </c>
      <c r="B274" t="s">
        <v>147</v>
      </c>
      <c r="C274">
        <v>2019</v>
      </c>
      <c r="D274">
        <v>2</v>
      </c>
      <c r="E274" t="s">
        <v>86</v>
      </c>
      <c r="F274" t="s">
        <v>84</v>
      </c>
      <c r="G274" t="s">
        <v>84</v>
      </c>
      <c r="H274" t="s">
        <v>25</v>
      </c>
      <c r="I274" t="s">
        <v>25</v>
      </c>
      <c r="J274" t="s">
        <v>101</v>
      </c>
      <c r="K274" t="s">
        <v>86</v>
      </c>
      <c r="L274" t="s">
        <v>103</v>
      </c>
      <c r="M274">
        <v>2097.42093987</v>
      </c>
      <c r="N274">
        <v>0</v>
      </c>
      <c r="O274" t="s">
        <v>80</v>
      </c>
      <c r="P274" s="39">
        <v>44269.859435266189</v>
      </c>
      <c r="Q274">
        <v>1778876</v>
      </c>
      <c r="R274" t="s">
        <v>91</v>
      </c>
      <c r="S274" s="4">
        <v>5.6539723300000002</v>
      </c>
      <c r="W274"/>
      <c r="X274">
        <v>0</v>
      </c>
      <c r="AC274" t="s">
        <v>84</v>
      </c>
      <c r="AD274" s="39">
        <v>43497</v>
      </c>
    </row>
    <row r="275" spans="1:30" x14ac:dyDescent="0.25">
      <c r="A275">
        <v>187229</v>
      </c>
      <c r="B275" t="s">
        <v>147</v>
      </c>
      <c r="C275">
        <v>2019</v>
      </c>
      <c r="D275">
        <v>2</v>
      </c>
      <c r="E275" t="s">
        <v>86</v>
      </c>
      <c r="F275" t="s">
        <v>84</v>
      </c>
      <c r="G275" t="s">
        <v>84</v>
      </c>
      <c r="H275" t="s">
        <v>25</v>
      </c>
      <c r="I275" t="s">
        <v>25</v>
      </c>
      <c r="J275" t="s">
        <v>101</v>
      </c>
      <c r="K275" t="s">
        <v>86</v>
      </c>
      <c r="L275" t="s">
        <v>103</v>
      </c>
      <c r="M275">
        <v>2097.42093987</v>
      </c>
      <c r="N275">
        <v>0</v>
      </c>
      <c r="O275" t="s">
        <v>80</v>
      </c>
      <c r="P275" s="39">
        <v>44269.859435266189</v>
      </c>
      <c r="Q275">
        <v>1778878</v>
      </c>
      <c r="R275" t="s">
        <v>28</v>
      </c>
      <c r="S275" s="4">
        <v>5.2544580400000003</v>
      </c>
      <c r="W275"/>
      <c r="X275">
        <v>0</v>
      </c>
      <c r="AC275" t="s">
        <v>84</v>
      </c>
      <c r="AD275" s="39">
        <v>43497</v>
      </c>
    </row>
    <row r="276" spans="1:30" x14ac:dyDescent="0.25">
      <c r="A276">
        <v>187283</v>
      </c>
      <c r="B276" t="s">
        <v>147</v>
      </c>
      <c r="C276">
        <v>2019</v>
      </c>
      <c r="D276">
        <v>2</v>
      </c>
      <c r="E276" t="s">
        <v>90</v>
      </c>
      <c r="F276" t="s">
        <v>84</v>
      </c>
      <c r="G276" t="s">
        <v>84</v>
      </c>
      <c r="H276" t="s">
        <v>25</v>
      </c>
      <c r="I276" t="s">
        <v>25</v>
      </c>
      <c r="J276" t="s">
        <v>101</v>
      </c>
      <c r="K276" t="s">
        <v>90</v>
      </c>
      <c r="L276" t="s">
        <v>103</v>
      </c>
      <c r="M276">
        <v>1177.9328353799999</v>
      </c>
      <c r="N276">
        <v>0</v>
      </c>
      <c r="O276" t="s">
        <v>80</v>
      </c>
      <c r="P276" s="39">
        <v>44269.859437847219</v>
      </c>
      <c r="Q276">
        <v>1779148</v>
      </c>
      <c r="R276" t="s">
        <v>28</v>
      </c>
      <c r="S276" s="4">
        <v>2.76522976</v>
      </c>
      <c r="W276"/>
      <c r="X276">
        <v>0</v>
      </c>
      <c r="AC276" t="s">
        <v>84</v>
      </c>
      <c r="AD276" s="39">
        <v>43497</v>
      </c>
    </row>
    <row r="277" spans="1:30" x14ac:dyDescent="0.25">
      <c r="A277">
        <v>187256</v>
      </c>
      <c r="B277" t="s">
        <v>147</v>
      </c>
      <c r="C277">
        <v>2019</v>
      </c>
      <c r="D277">
        <v>2</v>
      </c>
      <c r="E277" t="s">
        <v>88</v>
      </c>
      <c r="F277" t="s">
        <v>84</v>
      </c>
      <c r="G277" t="s">
        <v>84</v>
      </c>
      <c r="H277" t="s">
        <v>25</v>
      </c>
      <c r="I277" t="s">
        <v>25</v>
      </c>
      <c r="J277" t="s">
        <v>101</v>
      </c>
      <c r="K277" t="s">
        <v>88</v>
      </c>
      <c r="L277" t="s">
        <v>103</v>
      </c>
      <c r="M277">
        <v>483.50924042000003</v>
      </c>
      <c r="N277">
        <v>0</v>
      </c>
      <c r="O277" t="s">
        <v>80</v>
      </c>
      <c r="P277" s="39">
        <v>44269.859436574072</v>
      </c>
      <c r="Q277">
        <v>1779013</v>
      </c>
      <c r="R277" t="s">
        <v>28</v>
      </c>
      <c r="S277" s="4">
        <v>0</v>
      </c>
      <c r="W277"/>
      <c r="X277">
        <v>0</v>
      </c>
      <c r="AC277" t="s">
        <v>84</v>
      </c>
      <c r="AD277" s="39">
        <v>43497</v>
      </c>
    </row>
    <row r="278" spans="1:30" x14ac:dyDescent="0.25">
      <c r="A278">
        <v>190955</v>
      </c>
      <c r="B278" t="s">
        <v>149</v>
      </c>
      <c r="C278">
        <v>2019</v>
      </c>
      <c r="D278">
        <v>3</v>
      </c>
      <c r="E278" t="s">
        <v>88</v>
      </c>
      <c r="F278" t="s">
        <v>84</v>
      </c>
      <c r="G278" t="s">
        <v>84</v>
      </c>
      <c r="H278" t="s">
        <v>25</v>
      </c>
      <c r="I278" t="s">
        <v>25</v>
      </c>
      <c r="J278" t="s">
        <v>101</v>
      </c>
      <c r="K278" t="s">
        <v>88</v>
      </c>
      <c r="L278" t="s">
        <v>103</v>
      </c>
      <c r="M278">
        <v>548.80313799999999</v>
      </c>
      <c r="N278">
        <v>0</v>
      </c>
      <c r="O278" t="s">
        <v>80</v>
      </c>
      <c r="P278" s="39">
        <v>44269.86019540509</v>
      </c>
      <c r="Q278">
        <v>1806418</v>
      </c>
      <c r="R278" t="s">
        <v>26</v>
      </c>
      <c r="S278" s="4">
        <v>239.48308926999999</v>
      </c>
      <c r="W278"/>
      <c r="X278">
        <v>0</v>
      </c>
      <c r="AC278" t="s">
        <v>84</v>
      </c>
      <c r="AD278" s="39">
        <v>43525</v>
      </c>
    </row>
    <row r="279" spans="1:30" x14ac:dyDescent="0.25">
      <c r="A279">
        <v>190928</v>
      </c>
      <c r="B279" t="s">
        <v>149</v>
      </c>
      <c r="C279">
        <v>2019</v>
      </c>
      <c r="D279">
        <v>3</v>
      </c>
      <c r="E279" t="s">
        <v>86</v>
      </c>
      <c r="F279" t="s">
        <v>84</v>
      </c>
      <c r="G279" t="s">
        <v>84</v>
      </c>
      <c r="H279" t="s">
        <v>25</v>
      </c>
      <c r="I279" t="s">
        <v>25</v>
      </c>
      <c r="J279" t="s">
        <v>101</v>
      </c>
      <c r="K279" t="s">
        <v>86</v>
      </c>
      <c r="L279" t="s">
        <v>103</v>
      </c>
      <c r="M279">
        <v>1987.4110310900001</v>
      </c>
      <c r="N279">
        <v>0</v>
      </c>
      <c r="O279" t="s">
        <v>80</v>
      </c>
      <c r="P279" s="39">
        <v>44269.860194062501</v>
      </c>
      <c r="Q279">
        <v>1806283</v>
      </c>
      <c r="R279" t="s">
        <v>26</v>
      </c>
      <c r="S279" s="4">
        <v>679.31434620000005</v>
      </c>
      <c r="W279"/>
      <c r="X279">
        <v>0</v>
      </c>
      <c r="AC279" t="s">
        <v>84</v>
      </c>
      <c r="AD279" s="39">
        <v>43525</v>
      </c>
    </row>
    <row r="280" spans="1:30" x14ac:dyDescent="0.25">
      <c r="A280">
        <v>190982</v>
      </c>
      <c r="B280" t="s">
        <v>149</v>
      </c>
      <c r="C280">
        <v>2019</v>
      </c>
      <c r="D280">
        <v>3</v>
      </c>
      <c r="E280" t="s">
        <v>90</v>
      </c>
      <c r="F280" t="s">
        <v>84</v>
      </c>
      <c r="G280" t="s">
        <v>84</v>
      </c>
      <c r="H280" t="s">
        <v>25</v>
      </c>
      <c r="I280" t="s">
        <v>25</v>
      </c>
      <c r="J280" t="s">
        <v>101</v>
      </c>
      <c r="K280" t="s">
        <v>90</v>
      </c>
      <c r="L280" t="s">
        <v>103</v>
      </c>
      <c r="M280">
        <v>1048.18988866</v>
      </c>
      <c r="N280">
        <v>0</v>
      </c>
      <c r="O280" t="s">
        <v>80</v>
      </c>
      <c r="P280" s="39">
        <v>44269.860196643524</v>
      </c>
      <c r="Q280">
        <v>1806553</v>
      </c>
      <c r="R280" t="s">
        <v>26</v>
      </c>
      <c r="S280" s="4">
        <v>379.66943299000002</v>
      </c>
      <c r="W280"/>
      <c r="X280">
        <v>0</v>
      </c>
      <c r="AC280" t="s">
        <v>84</v>
      </c>
      <c r="AD280" s="39">
        <v>43525</v>
      </c>
    </row>
    <row r="281" spans="1:30" x14ac:dyDescent="0.25">
      <c r="A281">
        <v>190928</v>
      </c>
      <c r="B281" t="s">
        <v>149</v>
      </c>
      <c r="C281">
        <v>2019</v>
      </c>
      <c r="D281">
        <v>3</v>
      </c>
      <c r="E281" t="s">
        <v>86</v>
      </c>
      <c r="F281" t="s">
        <v>84</v>
      </c>
      <c r="G281" t="s">
        <v>84</v>
      </c>
      <c r="H281" t="s">
        <v>25</v>
      </c>
      <c r="I281" t="s">
        <v>25</v>
      </c>
      <c r="J281" t="s">
        <v>101</v>
      </c>
      <c r="K281" t="s">
        <v>86</v>
      </c>
      <c r="L281" t="s">
        <v>103</v>
      </c>
      <c r="M281">
        <v>1987.4110310900001</v>
      </c>
      <c r="N281">
        <v>0</v>
      </c>
      <c r="O281" t="s">
        <v>80</v>
      </c>
      <c r="P281" s="39">
        <v>44269.860194062501</v>
      </c>
      <c r="Q281">
        <v>1806286</v>
      </c>
      <c r="R281" t="s">
        <v>81</v>
      </c>
      <c r="S281" s="4">
        <v>236.62792603</v>
      </c>
      <c r="W281"/>
      <c r="X281">
        <v>0</v>
      </c>
      <c r="AC281" t="s">
        <v>84</v>
      </c>
      <c r="AD281" s="39">
        <v>43525</v>
      </c>
    </row>
    <row r="282" spans="1:30" x14ac:dyDescent="0.25">
      <c r="A282">
        <v>190955</v>
      </c>
      <c r="B282" t="s">
        <v>149</v>
      </c>
      <c r="C282">
        <v>2019</v>
      </c>
      <c r="D282">
        <v>3</v>
      </c>
      <c r="E282" t="s">
        <v>88</v>
      </c>
      <c r="F282" t="s">
        <v>84</v>
      </c>
      <c r="G282" t="s">
        <v>84</v>
      </c>
      <c r="H282" t="s">
        <v>25</v>
      </c>
      <c r="I282" t="s">
        <v>25</v>
      </c>
      <c r="J282" t="s">
        <v>101</v>
      </c>
      <c r="K282" t="s">
        <v>88</v>
      </c>
      <c r="L282" t="s">
        <v>103</v>
      </c>
      <c r="M282">
        <v>548.80313799999999</v>
      </c>
      <c r="N282">
        <v>0</v>
      </c>
      <c r="O282" t="s">
        <v>80</v>
      </c>
      <c r="P282" s="39">
        <v>44269.86019540509</v>
      </c>
      <c r="Q282">
        <v>1806421</v>
      </c>
      <c r="R282" t="s">
        <v>81</v>
      </c>
      <c r="S282" s="4">
        <v>55.574603279999998</v>
      </c>
      <c r="W282"/>
      <c r="X282">
        <v>0</v>
      </c>
      <c r="AC282" t="s">
        <v>84</v>
      </c>
      <c r="AD282" s="39">
        <v>43525</v>
      </c>
    </row>
    <row r="283" spans="1:30" x14ac:dyDescent="0.25">
      <c r="A283">
        <v>190982</v>
      </c>
      <c r="B283" t="s">
        <v>149</v>
      </c>
      <c r="C283">
        <v>2019</v>
      </c>
      <c r="D283">
        <v>3</v>
      </c>
      <c r="E283" t="s">
        <v>90</v>
      </c>
      <c r="F283" t="s">
        <v>84</v>
      </c>
      <c r="G283" t="s">
        <v>84</v>
      </c>
      <c r="H283" t="s">
        <v>25</v>
      </c>
      <c r="I283" t="s">
        <v>25</v>
      </c>
      <c r="J283" t="s">
        <v>101</v>
      </c>
      <c r="K283" t="s">
        <v>90</v>
      </c>
      <c r="L283" t="s">
        <v>103</v>
      </c>
      <c r="M283">
        <v>1048.18988866</v>
      </c>
      <c r="N283">
        <v>0</v>
      </c>
      <c r="O283" t="s">
        <v>80</v>
      </c>
      <c r="P283" s="39">
        <v>44269.860196643524</v>
      </c>
      <c r="Q283">
        <v>1806556</v>
      </c>
      <c r="R283" t="s">
        <v>81</v>
      </c>
      <c r="S283" s="4">
        <v>106.36307384</v>
      </c>
      <c r="W283"/>
      <c r="X283">
        <v>0</v>
      </c>
      <c r="AC283" t="s">
        <v>84</v>
      </c>
      <c r="AD283" s="39">
        <v>43525</v>
      </c>
    </row>
    <row r="284" spans="1:30" x14ac:dyDescent="0.25">
      <c r="A284">
        <v>190982</v>
      </c>
      <c r="B284" t="s">
        <v>149</v>
      </c>
      <c r="C284">
        <v>2019</v>
      </c>
      <c r="D284">
        <v>3</v>
      </c>
      <c r="E284" t="s">
        <v>90</v>
      </c>
      <c r="F284" t="s">
        <v>84</v>
      </c>
      <c r="G284" t="s">
        <v>84</v>
      </c>
      <c r="H284" t="s">
        <v>25</v>
      </c>
      <c r="I284" t="s">
        <v>25</v>
      </c>
      <c r="J284" t="s">
        <v>101</v>
      </c>
      <c r="K284" t="s">
        <v>90</v>
      </c>
      <c r="L284" t="s">
        <v>103</v>
      </c>
      <c r="M284">
        <v>1048.18988866</v>
      </c>
      <c r="N284">
        <v>0</v>
      </c>
      <c r="O284" t="s">
        <v>80</v>
      </c>
      <c r="P284" s="39">
        <v>44269.860196643524</v>
      </c>
      <c r="Q284">
        <v>1806555</v>
      </c>
      <c r="R284" t="s">
        <v>27</v>
      </c>
      <c r="S284" s="4">
        <v>579.30819916999997</v>
      </c>
      <c r="W284"/>
      <c r="X284">
        <v>0</v>
      </c>
      <c r="AC284" t="s">
        <v>84</v>
      </c>
      <c r="AD284" s="39">
        <v>43525</v>
      </c>
    </row>
    <row r="285" spans="1:30" x14ac:dyDescent="0.25">
      <c r="A285">
        <v>190928</v>
      </c>
      <c r="B285" t="s">
        <v>149</v>
      </c>
      <c r="C285">
        <v>2019</v>
      </c>
      <c r="D285">
        <v>3</v>
      </c>
      <c r="E285" t="s">
        <v>86</v>
      </c>
      <c r="F285" t="s">
        <v>84</v>
      </c>
      <c r="G285" t="s">
        <v>84</v>
      </c>
      <c r="H285" t="s">
        <v>25</v>
      </c>
      <c r="I285" t="s">
        <v>25</v>
      </c>
      <c r="J285" t="s">
        <v>101</v>
      </c>
      <c r="K285" t="s">
        <v>86</v>
      </c>
      <c r="L285" t="s">
        <v>103</v>
      </c>
      <c r="M285">
        <v>1987.4110310900001</v>
      </c>
      <c r="N285">
        <v>0</v>
      </c>
      <c r="O285" t="s">
        <v>80</v>
      </c>
      <c r="P285" s="39">
        <v>44269.860194062501</v>
      </c>
      <c r="Q285">
        <v>1806285</v>
      </c>
      <c r="R285" t="s">
        <v>27</v>
      </c>
      <c r="S285" s="4">
        <v>1103.5009555199999</v>
      </c>
      <c r="W285"/>
      <c r="X285">
        <v>0</v>
      </c>
      <c r="AC285" t="s">
        <v>84</v>
      </c>
      <c r="AD285" s="39">
        <v>43525</v>
      </c>
    </row>
    <row r="286" spans="1:30" x14ac:dyDescent="0.25">
      <c r="A286">
        <v>190955</v>
      </c>
      <c r="B286" t="s">
        <v>149</v>
      </c>
      <c r="C286">
        <v>2019</v>
      </c>
      <c r="D286">
        <v>3</v>
      </c>
      <c r="E286" t="s">
        <v>88</v>
      </c>
      <c r="F286" t="s">
        <v>84</v>
      </c>
      <c r="G286" t="s">
        <v>84</v>
      </c>
      <c r="H286" t="s">
        <v>25</v>
      </c>
      <c r="I286" t="s">
        <v>25</v>
      </c>
      <c r="J286" t="s">
        <v>101</v>
      </c>
      <c r="K286" t="s">
        <v>88</v>
      </c>
      <c r="L286" t="s">
        <v>103</v>
      </c>
      <c r="M286">
        <v>548.80313799999999</v>
      </c>
      <c r="N286">
        <v>0</v>
      </c>
      <c r="O286" t="s">
        <v>80</v>
      </c>
      <c r="P286" s="39">
        <v>44269.86019540509</v>
      </c>
      <c r="Q286">
        <v>1806420</v>
      </c>
      <c r="R286" t="s">
        <v>27</v>
      </c>
      <c r="S286" s="4">
        <v>265.44506561999998</v>
      </c>
      <c r="W286"/>
      <c r="X286">
        <v>0</v>
      </c>
      <c r="AC286" t="s">
        <v>84</v>
      </c>
      <c r="AD286" s="39">
        <v>43525</v>
      </c>
    </row>
    <row r="287" spans="1:30" x14ac:dyDescent="0.25">
      <c r="A287">
        <v>190955</v>
      </c>
      <c r="B287" t="s">
        <v>149</v>
      </c>
      <c r="C287">
        <v>2019</v>
      </c>
      <c r="D287">
        <v>3</v>
      </c>
      <c r="E287" t="s">
        <v>88</v>
      </c>
      <c r="F287" t="s">
        <v>84</v>
      </c>
      <c r="G287" t="s">
        <v>84</v>
      </c>
      <c r="H287" t="s">
        <v>25</v>
      </c>
      <c r="I287" t="s">
        <v>25</v>
      </c>
      <c r="J287" t="s">
        <v>101</v>
      </c>
      <c r="K287" t="s">
        <v>88</v>
      </c>
      <c r="L287" t="s">
        <v>103</v>
      </c>
      <c r="M287">
        <v>548.80313799999999</v>
      </c>
      <c r="N287">
        <v>0</v>
      </c>
      <c r="O287" t="s">
        <v>80</v>
      </c>
      <c r="P287" s="39">
        <v>44269.86019540509</v>
      </c>
      <c r="Q287">
        <v>1806417</v>
      </c>
      <c r="R287" t="s">
        <v>91</v>
      </c>
      <c r="S287" s="4">
        <v>0</v>
      </c>
      <c r="W287"/>
      <c r="X287">
        <v>0</v>
      </c>
      <c r="AC287" t="s">
        <v>84</v>
      </c>
      <c r="AD287" s="39">
        <v>43525</v>
      </c>
    </row>
    <row r="288" spans="1:30" x14ac:dyDescent="0.25">
      <c r="A288">
        <v>190928</v>
      </c>
      <c r="B288" t="s">
        <v>149</v>
      </c>
      <c r="C288">
        <v>2019</v>
      </c>
      <c r="D288">
        <v>3</v>
      </c>
      <c r="E288" t="s">
        <v>86</v>
      </c>
      <c r="F288" t="s">
        <v>84</v>
      </c>
      <c r="G288" t="s">
        <v>84</v>
      </c>
      <c r="H288" t="s">
        <v>25</v>
      </c>
      <c r="I288" t="s">
        <v>25</v>
      </c>
      <c r="J288" t="s">
        <v>101</v>
      </c>
      <c r="K288" t="s">
        <v>86</v>
      </c>
      <c r="L288" t="s">
        <v>103</v>
      </c>
      <c r="M288">
        <v>1987.4110310900001</v>
      </c>
      <c r="N288">
        <v>0</v>
      </c>
      <c r="O288" t="s">
        <v>80</v>
      </c>
      <c r="P288" s="39">
        <v>44269.860194062501</v>
      </c>
      <c r="Q288">
        <v>1806282</v>
      </c>
      <c r="R288" t="s">
        <v>91</v>
      </c>
      <c r="S288" s="4">
        <v>5.3574209899999996</v>
      </c>
      <c r="W288"/>
      <c r="X288">
        <v>0</v>
      </c>
      <c r="AC288" t="s">
        <v>84</v>
      </c>
      <c r="AD288" s="39">
        <v>43525</v>
      </c>
    </row>
    <row r="289" spans="1:30" x14ac:dyDescent="0.25">
      <c r="A289">
        <v>190982</v>
      </c>
      <c r="B289" t="s">
        <v>149</v>
      </c>
      <c r="C289">
        <v>2019</v>
      </c>
      <c r="D289">
        <v>3</v>
      </c>
      <c r="E289" t="s">
        <v>90</v>
      </c>
      <c r="F289" t="s">
        <v>84</v>
      </c>
      <c r="G289" t="s">
        <v>84</v>
      </c>
      <c r="H289" t="s">
        <v>25</v>
      </c>
      <c r="I289" t="s">
        <v>25</v>
      </c>
      <c r="J289" t="s">
        <v>101</v>
      </c>
      <c r="K289" t="s">
        <v>90</v>
      </c>
      <c r="L289" t="s">
        <v>103</v>
      </c>
      <c r="M289">
        <v>1048.18988866</v>
      </c>
      <c r="N289">
        <v>0</v>
      </c>
      <c r="O289" t="s">
        <v>80</v>
      </c>
      <c r="P289" s="39">
        <v>44269.860196643524</v>
      </c>
      <c r="Q289">
        <v>1806552</v>
      </c>
      <c r="R289" t="s">
        <v>91</v>
      </c>
      <c r="S289" s="4">
        <v>2.7342886700000002</v>
      </c>
      <c r="W289"/>
      <c r="X289">
        <v>0</v>
      </c>
      <c r="AC289" t="s">
        <v>84</v>
      </c>
      <c r="AD289" s="39">
        <v>43525</v>
      </c>
    </row>
    <row r="290" spans="1:30" x14ac:dyDescent="0.25">
      <c r="A290">
        <v>190955</v>
      </c>
      <c r="B290" t="s">
        <v>149</v>
      </c>
      <c r="C290">
        <v>2019</v>
      </c>
      <c r="D290">
        <v>3</v>
      </c>
      <c r="E290" t="s">
        <v>88</v>
      </c>
      <c r="F290" t="s">
        <v>84</v>
      </c>
      <c r="G290" t="s">
        <v>84</v>
      </c>
      <c r="H290" t="s">
        <v>25</v>
      </c>
      <c r="I290" t="s">
        <v>25</v>
      </c>
      <c r="J290" t="s">
        <v>101</v>
      </c>
      <c r="K290" t="s">
        <v>88</v>
      </c>
      <c r="L290" t="s">
        <v>103</v>
      </c>
      <c r="M290">
        <v>548.80313799999999</v>
      </c>
      <c r="N290">
        <v>0</v>
      </c>
      <c r="O290" t="s">
        <v>80</v>
      </c>
      <c r="P290" s="39">
        <v>44269.86019540509</v>
      </c>
      <c r="Q290">
        <v>1806419</v>
      </c>
      <c r="R290" t="s">
        <v>28</v>
      </c>
      <c r="S290" s="4">
        <v>0</v>
      </c>
      <c r="W290"/>
      <c r="X290">
        <v>0</v>
      </c>
      <c r="AC290" t="s">
        <v>84</v>
      </c>
      <c r="AD290" s="39">
        <v>43525</v>
      </c>
    </row>
    <row r="291" spans="1:30" x14ac:dyDescent="0.25">
      <c r="A291">
        <v>190928</v>
      </c>
      <c r="B291" t="s">
        <v>149</v>
      </c>
      <c r="C291">
        <v>2019</v>
      </c>
      <c r="D291">
        <v>3</v>
      </c>
      <c r="E291" t="s">
        <v>86</v>
      </c>
      <c r="F291" t="s">
        <v>84</v>
      </c>
      <c r="G291" t="s">
        <v>84</v>
      </c>
      <c r="H291" t="s">
        <v>25</v>
      </c>
      <c r="I291" t="s">
        <v>25</v>
      </c>
      <c r="J291" t="s">
        <v>101</v>
      </c>
      <c r="K291" t="s">
        <v>86</v>
      </c>
      <c r="L291" t="s">
        <v>103</v>
      </c>
      <c r="M291">
        <v>1987.4110310900001</v>
      </c>
      <c r="N291">
        <v>0</v>
      </c>
      <c r="O291" t="s">
        <v>80</v>
      </c>
      <c r="P291" s="39">
        <v>44269.860194062501</v>
      </c>
      <c r="Q291">
        <v>1806284</v>
      </c>
      <c r="R291" t="s">
        <v>28</v>
      </c>
      <c r="S291" s="4">
        <v>4.9788612700000003</v>
      </c>
      <c r="W291"/>
      <c r="X291">
        <v>0</v>
      </c>
      <c r="AC291" t="s">
        <v>84</v>
      </c>
      <c r="AD291" s="39">
        <v>43525</v>
      </c>
    </row>
    <row r="292" spans="1:30" x14ac:dyDescent="0.25">
      <c r="A292">
        <v>190982</v>
      </c>
      <c r="B292" t="s">
        <v>149</v>
      </c>
      <c r="C292">
        <v>2019</v>
      </c>
      <c r="D292">
        <v>3</v>
      </c>
      <c r="E292" t="s">
        <v>90</v>
      </c>
      <c r="F292" t="s">
        <v>84</v>
      </c>
      <c r="G292" t="s">
        <v>84</v>
      </c>
      <c r="H292" t="s">
        <v>25</v>
      </c>
      <c r="I292" t="s">
        <v>25</v>
      </c>
      <c r="J292" t="s">
        <v>101</v>
      </c>
      <c r="K292" t="s">
        <v>90</v>
      </c>
      <c r="L292" t="s">
        <v>103</v>
      </c>
      <c r="M292">
        <v>1048.18988866</v>
      </c>
      <c r="N292">
        <v>0</v>
      </c>
      <c r="O292" t="s">
        <v>80</v>
      </c>
      <c r="P292" s="39">
        <v>44269.860196643524</v>
      </c>
      <c r="Q292">
        <v>1806554</v>
      </c>
      <c r="R292" t="s">
        <v>28</v>
      </c>
      <c r="S292" s="4">
        <v>2.4606546200000001</v>
      </c>
      <c r="W292"/>
      <c r="X292">
        <v>0</v>
      </c>
      <c r="AC292" t="s">
        <v>84</v>
      </c>
      <c r="AD292" s="39">
        <v>43525</v>
      </c>
    </row>
    <row r="293" spans="1:30" x14ac:dyDescent="0.25">
      <c r="A293">
        <v>215938</v>
      </c>
      <c r="B293" t="s">
        <v>150</v>
      </c>
      <c r="C293">
        <v>2019</v>
      </c>
      <c r="D293">
        <v>4</v>
      </c>
      <c r="E293" t="s">
        <v>86</v>
      </c>
      <c r="F293" t="s">
        <v>84</v>
      </c>
      <c r="G293" t="s">
        <v>84</v>
      </c>
      <c r="H293" t="s">
        <v>25</v>
      </c>
      <c r="I293" t="s">
        <v>25</v>
      </c>
      <c r="J293" t="s">
        <v>101</v>
      </c>
      <c r="K293" t="s">
        <v>86</v>
      </c>
      <c r="L293" t="s">
        <v>103</v>
      </c>
      <c r="M293">
        <v>1388.5089304200001</v>
      </c>
      <c r="N293">
        <v>0</v>
      </c>
      <c r="O293" t="s">
        <v>80</v>
      </c>
      <c r="P293" s="39">
        <v>44269.862959456019</v>
      </c>
      <c r="Q293">
        <v>2049629</v>
      </c>
      <c r="R293" t="s">
        <v>26</v>
      </c>
      <c r="S293" s="4">
        <v>474.60440820000002</v>
      </c>
      <c r="W293"/>
      <c r="X293">
        <v>0</v>
      </c>
      <c r="AC293" t="s">
        <v>84</v>
      </c>
      <c r="AD293" s="39">
        <v>43556</v>
      </c>
    </row>
    <row r="294" spans="1:30" x14ac:dyDescent="0.25">
      <c r="A294">
        <v>215992</v>
      </c>
      <c r="B294" t="s">
        <v>150</v>
      </c>
      <c r="C294">
        <v>2019</v>
      </c>
      <c r="D294">
        <v>4</v>
      </c>
      <c r="E294" t="s">
        <v>90</v>
      </c>
      <c r="F294" t="s">
        <v>84</v>
      </c>
      <c r="G294" t="s">
        <v>84</v>
      </c>
      <c r="H294" t="s">
        <v>25</v>
      </c>
      <c r="I294" t="s">
        <v>25</v>
      </c>
      <c r="J294" t="s">
        <v>101</v>
      </c>
      <c r="K294" t="s">
        <v>90</v>
      </c>
      <c r="L294" t="s">
        <v>103</v>
      </c>
      <c r="M294">
        <v>807.94171081000002</v>
      </c>
      <c r="N294">
        <v>0</v>
      </c>
      <c r="O294" t="s">
        <v>80</v>
      </c>
      <c r="P294" s="39">
        <v>44269.862962037027</v>
      </c>
      <c r="Q294">
        <v>2049899</v>
      </c>
      <c r="R294" t="s">
        <v>26</v>
      </c>
      <c r="S294" s="4">
        <v>292.64809224999999</v>
      </c>
      <c r="W294"/>
      <c r="X294">
        <v>0</v>
      </c>
      <c r="AC294" t="s">
        <v>84</v>
      </c>
      <c r="AD294" s="39">
        <v>43556</v>
      </c>
    </row>
    <row r="295" spans="1:30" x14ac:dyDescent="0.25">
      <c r="A295">
        <v>215965</v>
      </c>
      <c r="B295" t="s">
        <v>150</v>
      </c>
      <c r="C295">
        <v>2019</v>
      </c>
      <c r="D295">
        <v>4</v>
      </c>
      <c r="E295" t="s">
        <v>88</v>
      </c>
      <c r="F295" t="s">
        <v>84</v>
      </c>
      <c r="G295" t="s">
        <v>84</v>
      </c>
      <c r="H295" t="s">
        <v>25</v>
      </c>
      <c r="I295" t="s">
        <v>25</v>
      </c>
      <c r="J295" t="s">
        <v>101</v>
      </c>
      <c r="K295" t="s">
        <v>88</v>
      </c>
      <c r="L295" t="s">
        <v>103</v>
      </c>
      <c r="M295">
        <v>278.00060418999999</v>
      </c>
      <c r="N295">
        <v>0</v>
      </c>
      <c r="O295" t="s">
        <v>80</v>
      </c>
      <c r="P295" s="39">
        <v>44269.862960763887</v>
      </c>
      <c r="Q295">
        <v>2049764</v>
      </c>
      <c r="R295" t="s">
        <v>26</v>
      </c>
      <c r="S295" s="4">
        <v>121.31206784</v>
      </c>
      <c r="W295"/>
      <c r="X295">
        <v>0</v>
      </c>
      <c r="AC295" t="s">
        <v>84</v>
      </c>
      <c r="AD295" s="39">
        <v>43556</v>
      </c>
    </row>
    <row r="296" spans="1:30" x14ac:dyDescent="0.25">
      <c r="A296">
        <v>215965</v>
      </c>
      <c r="B296" t="s">
        <v>150</v>
      </c>
      <c r="C296">
        <v>2019</v>
      </c>
      <c r="D296">
        <v>4</v>
      </c>
      <c r="E296" t="s">
        <v>88</v>
      </c>
      <c r="F296" t="s">
        <v>84</v>
      </c>
      <c r="G296" t="s">
        <v>84</v>
      </c>
      <c r="H296" t="s">
        <v>25</v>
      </c>
      <c r="I296" t="s">
        <v>25</v>
      </c>
      <c r="J296" t="s">
        <v>101</v>
      </c>
      <c r="K296" t="s">
        <v>88</v>
      </c>
      <c r="L296" t="s">
        <v>103</v>
      </c>
      <c r="M296">
        <v>278.00060418999999</v>
      </c>
      <c r="N296">
        <v>0</v>
      </c>
      <c r="O296" t="s">
        <v>80</v>
      </c>
      <c r="P296" s="39">
        <v>44269.862960763887</v>
      </c>
      <c r="Q296">
        <v>2049767</v>
      </c>
      <c r="R296" t="s">
        <v>81</v>
      </c>
      <c r="S296" s="4">
        <v>28.15175829</v>
      </c>
      <c r="W296"/>
      <c r="X296">
        <v>0</v>
      </c>
      <c r="AC296" t="s">
        <v>84</v>
      </c>
      <c r="AD296" s="39">
        <v>43556</v>
      </c>
    </row>
    <row r="297" spans="1:30" x14ac:dyDescent="0.25">
      <c r="A297">
        <v>215938</v>
      </c>
      <c r="B297" t="s">
        <v>150</v>
      </c>
      <c r="C297">
        <v>2019</v>
      </c>
      <c r="D297">
        <v>4</v>
      </c>
      <c r="E297" t="s">
        <v>86</v>
      </c>
      <c r="F297" t="s">
        <v>84</v>
      </c>
      <c r="G297" t="s">
        <v>84</v>
      </c>
      <c r="H297" t="s">
        <v>25</v>
      </c>
      <c r="I297" t="s">
        <v>25</v>
      </c>
      <c r="J297" t="s">
        <v>101</v>
      </c>
      <c r="K297" t="s">
        <v>86</v>
      </c>
      <c r="L297" t="s">
        <v>103</v>
      </c>
      <c r="M297">
        <v>1388.5089304200001</v>
      </c>
      <c r="N297">
        <v>0</v>
      </c>
      <c r="O297" t="s">
        <v>80</v>
      </c>
      <c r="P297" s="39">
        <v>44269.862959456019</v>
      </c>
      <c r="Q297">
        <v>2049632</v>
      </c>
      <c r="R297" t="s">
        <v>81</v>
      </c>
      <c r="S297" s="4">
        <v>165.3206022</v>
      </c>
      <c r="W297"/>
      <c r="X297">
        <v>0</v>
      </c>
      <c r="AC297" t="s">
        <v>84</v>
      </c>
      <c r="AD297" s="39">
        <v>43556</v>
      </c>
    </row>
    <row r="298" spans="1:30" x14ac:dyDescent="0.25">
      <c r="A298">
        <v>215992</v>
      </c>
      <c r="B298" t="s">
        <v>150</v>
      </c>
      <c r="C298">
        <v>2019</v>
      </c>
      <c r="D298">
        <v>4</v>
      </c>
      <c r="E298" t="s">
        <v>90</v>
      </c>
      <c r="F298" t="s">
        <v>84</v>
      </c>
      <c r="G298" t="s">
        <v>84</v>
      </c>
      <c r="H298" t="s">
        <v>25</v>
      </c>
      <c r="I298" t="s">
        <v>25</v>
      </c>
      <c r="J298" t="s">
        <v>101</v>
      </c>
      <c r="K298" t="s">
        <v>90</v>
      </c>
      <c r="L298" t="s">
        <v>103</v>
      </c>
      <c r="M298">
        <v>807.94171081000002</v>
      </c>
      <c r="N298">
        <v>0</v>
      </c>
      <c r="O298" t="s">
        <v>80</v>
      </c>
      <c r="P298" s="39">
        <v>44269.862962037027</v>
      </c>
      <c r="Q298">
        <v>2049902</v>
      </c>
      <c r="R298" t="s">
        <v>81</v>
      </c>
      <c r="S298" s="4">
        <v>81.984347279999994</v>
      </c>
      <c r="W298"/>
      <c r="X298">
        <v>0</v>
      </c>
      <c r="AC298" t="s">
        <v>84</v>
      </c>
      <c r="AD298" s="39">
        <v>43556</v>
      </c>
    </row>
    <row r="299" spans="1:30" x14ac:dyDescent="0.25">
      <c r="A299">
        <v>215938</v>
      </c>
      <c r="B299" t="s">
        <v>150</v>
      </c>
      <c r="C299">
        <v>2019</v>
      </c>
      <c r="D299">
        <v>4</v>
      </c>
      <c r="E299" t="s">
        <v>86</v>
      </c>
      <c r="F299" t="s">
        <v>84</v>
      </c>
      <c r="G299" t="s">
        <v>84</v>
      </c>
      <c r="H299" t="s">
        <v>25</v>
      </c>
      <c r="I299" t="s">
        <v>25</v>
      </c>
      <c r="J299" t="s">
        <v>101</v>
      </c>
      <c r="K299" t="s">
        <v>86</v>
      </c>
      <c r="L299" t="s">
        <v>103</v>
      </c>
      <c r="M299">
        <v>1388.5089304200001</v>
      </c>
      <c r="N299">
        <v>0</v>
      </c>
      <c r="O299" t="s">
        <v>80</v>
      </c>
      <c r="P299" s="39">
        <v>44269.862959456019</v>
      </c>
      <c r="Q299">
        <v>2049631</v>
      </c>
      <c r="R299" t="s">
        <v>27</v>
      </c>
      <c r="S299" s="4">
        <v>770.96328213000004</v>
      </c>
      <c r="W299"/>
      <c r="X299">
        <v>0</v>
      </c>
      <c r="AC299" t="s">
        <v>84</v>
      </c>
      <c r="AD299" s="39">
        <v>43556</v>
      </c>
    </row>
    <row r="300" spans="1:30" x14ac:dyDescent="0.25">
      <c r="A300">
        <v>215965</v>
      </c>
      <c r="B300" t="s">
        <v>150</v>
      </c>
      <c r="C300">
        <v>2019</v>
      </c>
      <c r="D300">
        <v>4</v>
      </c>
      <c r="E300" t="s">
        <v>88</v>
      </c>
      <c r="F300" t="s">
        <v>84</v>
      </c>
      <c r="G300" t="s">
        <v>84</v>
      </c>
      <c r="H300" t="s">
        <v>25</v>
      </c>
      <c r="I300" t="s">
        <v>25</v>
      </c>
      <c r="J300" t="s">
        <v>101</v>
      </c>
      <c r="K300" t="s">
        <v>88</v>
      </c>
      <c r="L300" t="s">
        <v>103</v>
      </c>
      <c r="M300">
        <v>278.00060418999999</v>
      </c>
      <c r="N300">
        <v>0</v>
      </c>
      <c r="O300" t="s">
        <v>80</v>
      </c>
      <c r="P300" s="39">
        <v>44269.862960763887</v>
      </c>
      <c r="Q300">
        <v>2049766</v>
      </c>
      <c r="R300" t="s">
        <v>27</v>
      </c>
      <c r="S300" s="4">
        <v>134.46331391000001</v>
      </c>
      <c r="W300"/>
      <c r="X300">
        <v>0</v>
      </c>
      <c r="AC300" t="s">
        <v>84</v>
      </c>
      <c r="AD300" s="39">
        <v>43556</v>
      </c>
    </row>
    <row r="301" spans="1:30" x14ac:dyDescent="0.25">
      <c r="A301">
        <v>215992</v>
      </c>
      <c r="B301" t="s">
        <v>150</v>
      </c>
      <c r="C301">
        <v>2019</v>
      </c>
      <c r="D301">
        <v>4</v>
      </c>
      <c r="E301" t="s">
        <v>90</v>
      </c>
      <c r="F301" t="s">
        <v>84</v>
      </c>
      <c r="G301" t="s">
        <v>84</v>
      </c>
      <c r="H301" t="s">
        <v>25</v>
      </c>
      <c r="I301" t="s">
        <v>25</v>
      </c>
      <c r="J301" t="s">
        <v>101</v>
      </c>
      <c r="K301" t="s">
        <v>90</v>
      </c>
      <c r="L301" t="s">
        <v>103</v>
      </c>
      <c r="M301">
        <v>807.94171081000002</v>
      </c>
      <c r="N301">
        <v>0</v>
      </c>
      <c r="O301" t="s">
        <v>80</v>
      </c>
      <c r="P301" s="39">
        <v>44269.862962037027</v>
      </c>
      <c r="Q301">
        <v>2049901</v>
      </c>
      <c r="R301" t="s">
        <v>27</v>
      </c>
      <c r="S301" s="4">
        <v>446.5290713</v>
      </c>
      <c r="W301"/>
      <c r="X301">
        <v>0</v>
      </c>
      <c r="AC301" t="s">
        <v>84</v>
      </c>
      <c r="AD301" s="39">
        <v>43556</v>
      </c>
    </row>
    <row r="302" spans="1:30" x14ac:dyDescent="0.25">
      <c r="A302">
        <v>215992</v>
      </c>
      <c r="B302" t="s">
        <v>150</v>
      </c>
      <c r="C302">
        <v>2019</v>
      </c>
      <c r="D302">
        <v>4</v>
      </c>
      <c r="E302" t="s">
        <v>90</v>
      </c>
      <c r="F302" t="s">
        <v>84</v>
      </c>
      <c r="G302" t="s">
        <v>84</v>
      </c>
      <c r="H302" t="s">
        <v>25</v>
      </c>
      <c r="I302" t="s">
        <v>25</v>
      </c>
      <c r="J302" t="s">
        <v>101</v>
      </c>
      <c r="K302" t="s">
        <v>90</v>
      </c>
      <c r="L302" t="s">
        <v>103</v>
      </c>
      <c r="M302">
        <v>807.94171081000002</v>
      </c>
      <c r="N302">
        <v>0</v>
      </c>
      <c r="O302" t="s">
        <v>80</v>
      </c>
      <c r="P302" s="39">
        <v>44269.862962037027</v>
      </c>
      <c r="Q302">
        <v>2049898</v>
      </c>
      <c r="R302" t="s">
        <v>91</v>
      </c>
      <c r="S302" s="4">
        <v>2.1075817400000001</v>
      </c>
      <c r="W302"/>
      <c r="X302">
        <v>0</v>
      </c>
      <c r="AC302" t="s">
        <v>84</v>
      </c>
      <c r="AD302" s="39">
        <v>43556</v>
      </c>
    </row>
    <row r="303" spans="1:30" x14ac:dyDescent="0.25">
      <c r="A303">
        <v>215965</v>
      </c>
      <c r="B303" t="s">
        <v>150</v>
      </c>
      <c r="C303">
        <v>2019</v>
      </c>
      <c r="D303">
        <v>4</v>
      </c>
      <c r="E303" t="s">
        <v>88</v>
      </c>
      <c r="F303" t="s">
        <v>84</v>
      </c>
      <c r="G303" t="s">
        <v>84</v>
      </c>
      <c r="H303" t="s">
        <v>25</v>
      </c>
      <c r="I303" t="s">
        <v>25</v>
      </c>
      <c r="J303" t="s">
        <v>101</v>
      </c>
      <c r="K303" t="s">
        <v>88</v>
      </c>
      <c r="L303" t="s">
        <v>103</v>
      </c>
      <c r="M303">
        <v>278.00060418999999</v>
      </c>
      <c r="N303">
        <v>0</v>
      </c>
      <c r="O303" t="s">
        <v>80</v>
      </c>
      <c r="P303" s="39">
        <v>44269.862960763887</v>
      </c>
      <c r="Q303">
        <v>2049763</v>
      </c>
      <c r="R303" t="s">
        <v>91</v>
      </c>
      <c r="S303" s="4">
        <v>0</v>
      </c>
      <c r="W303"/>
      <c r="X303">
        <v>0</v>
      </c>
      <c r="AC303" t="s">
        <v>84</v>
      </c>
      <c r="AD303" s="39">
        <v>43556</v>
      </c>
    </row>
    <row r="304" spans="1:30" x14ac:dyDescent="0.25">
      <c r="A304">
        <v>215938</v>
      </c>
      <c r="B304" t="s">
        <v>150</v>
      </c>
      <c r="C304">
        <v>2019</v>
      </c>
      <c r="D304">
        <v>4</v>
      </c>
      <c r="E304" t="s">
        <v>86</v>
      </c>
      <c r="F304" t="s">
        <v>84</v>
      </c>
      <c r="G304" t="s">
        <v>84</v>
      </c>
      <c r="H304" t="s">
        <v>25</v>
      </c>
      <c r="I304" t="s">
        <v>25</v>
      </c>
      <c r="J304" t="s">
        <v>101</v>
      </c>
      <c r="K304" t="s">
        <v>86</v>
      </c>
      <c r="L304" t="s">
        <v>103</v>
      </c>
      <c r="M304">
        <v>1388.5089304200001</v>
      </c>
      <c r="N304">
        <v>0</v>
      </c>
      <c r="O304" t="s">
        <v>80</v>
      </c>
      <c r="P304" s="39">
        <v>44269.862959456019</v>
      </c>
      <c r="Q304">
        <v>2049628</v>
      </c>
      <c r="R304" t="s">
        <v>91</v>
      </c>
      <c r="S304" s="4">
        <v>3.74297353</v>
      </c>
      <c r="W304"/>
      <c r="X304">
        <v>0</v>
      </c>
      <c r="AC304" t="s">
        <v>84</v>
      </c>
      <c r="AD304" s="39">
        <v>43556</v>
      </c>
    </row>
    <row r="305" spans="1:30" x14ac:dyDescent="0.25">
      <c r="A305">
        <v>215938</v>
      </c>
      <c r="B305" t="s">
        <v>150</v>
      </c>
      <c r="C305">
        <v>2019</v>
      </c>
      <c r="D305">
        <v>4</v>
      </c>
      <c r="E305" t="s">
        <v>86</v>
      </c>
      <c r="F305" t="s">
        <v>84</v>
      </c>
      <c r="G305" t="s">
        <v>84</v>
      </c>
      <c r="H305" t="s">
        <v>25</v>
      </c>
      <c r="I305" t="s">
        <v>25</v>
      </c>
      <c r="J305" t="s">
        <v>101</v>
      </c>
      <c r="K305" t="s">
        <v>86</v>
      </c>
      <c r="L305" t="s">
        <v>103</v>
      </c>
      <c r="M305">
        <v>1388.5089304200001</v>
      </c>
      <c r="N305">
        <v>0</v>
      </c>
      <c r="O305" t="s">
        <v>80</v>
      </c>
      <c r="P305" s="39">
        <v>44269.862959456019</v>
      </c>
      <c r="Q305">
        <v>2049630</v>
      </c>
      <c r="R305" t="s">
        <v>28</v>
      </c>
      <c r="S305" s="4">
        <v>3.4784919799999998</v>
      </c>
      <c r="W305"/>
      <c r="X305">
        <v>0</v>
      </c>
      <c r="AC305" t="s">
        <v>84</v>
      </c>
      <c r="AD305" s="39">
        <v>43556</v>
      </c>
    </row>
    <row r="306" spans="1:30" x14ac:dyDescent="0.25">
      <c r="A306">
        <v>215965</v>
      </c>
      <c r="B306" t="s">
        <v>150</v>
      </c>
      <c r="C306">
        <v>2019</v>
      </c>
      <c r="D306">
        <v>4</v>
      </c>
      <c r="E306" t="s">
        <v>88</v>
      </c>
      <c r="F306" t="s">
        <v>84</v>
      </c>
      <c r="G306" t="s">
        <v>84</v>
      </c>
      <c r="H306" t="s">
        <v>25</v>
      </c>
      <c r="I306" t="s">
        <v>25</v>
      </c>
      <c r="J306" t="s">
        <v>101</v>
      </c>
      <c r="K306" t="s">
        <v>88</v>
      </c>
      <c r="L306" t="s">
        <v>103</v>
      </c>
      <c r="M306">
        <v>278.00060418999999</v>
      </c>
      <c r="N306">
        <v>0</v>
      </c>
      <c r="O306" t="s">
        <v>80</v>
      </c>
      <c r="P306" s="39">
        <v>44269.862960763887</v>
      </c>
      <c r="Q306">
        <v>2049765</v>
      </c>
      <c r="R306" t="s">
        <v>28</v>
      </c>
      <c r="S306" s="4">
        <v>0</v>
      </c>
      <c r="W306"/>
      <c r="X306">
        <v>0</v>
      </c>
      <c r="AC306" t="s">
        <v>84</v>
      </c>
      <c r="AD306" s="39">
        <v>43556</v>
      </c>
    </row>
    <row r="307" spans="1:30" x14ac:dyDescent="0.25">
      <c r="A307">
        <v>215992</v>
      </c>
      <c r="B307" t="s">
        <v>150</v>
      </c>
      <c r="C307">
        <v>2019</v>
      </c>
      <c r="D307">
        <v>4</v>
      </c>
      <c r="E307" t="s">
        <v>90</v>
      </c>
      <c r="F307" t="s">
        <v>84</v>
      </c>
      <c r="G307" t="s">
        <v>84</v>
      </c>
      <c r="H307" t="s">
        <v>25</v>
      </c>
      <c r="I307" t="s">
        <v>25</v>
      </c>
      <c r="J307" t="s">
        <v>101</v>
      </c>
      <c r="K307" t="s">
        <v>90</v>
      </c>
      <c r="L307" t="s">
        <v>103</v>
      </c>
      <c r="M307">
        <v>807.94171081000002</v>
      </c>
      <c r="N307">
        <v>0</v>
      </c>
      <c r="O307" t="s">
        <v>80</v>
      </c>
      <c r="P307" s="39">
        <v>44269.862962037027</v>
      </c>
      <c r="Q307">
        <v>2049900</v>
      </c>
      <c r="R307" t="s">
        <v>28</v>
      </c>
      <c r="S307" s="4">
        <v>1.89666541</v>
      </c>
      <c r="W307"/>
      <c r="X307">
        <v>0</v>
      </c>
      <c r="AC307" t="s">
        <v>84</v>
      </c>
      <c r="AD307" s="39">
        <v>43556</v>
      </c>
    </row>
    <row r="308" spans="1:30" x14ac:dyDescent="0.25">
      <c r="A308">
        <v>229711</v>
      </c>
      <c r="B308" t="s">
        <v>152</v>
      </c>
      <c r="C308">
        <v>2019</v>
      </c>
      <c r="D308">
        <v>5</v>
      </c>
      <c r="E308" t="s">
        <v>90</v>
      </c>
      <c r="F308" t="s">
        <v>84</v>
      </c>
      <c r="G308" t="s">
        <v>84</v>
      </c>
      <c r="H308" t="s">
        <v>25</v>
      </c>
      <c r="I308" t="s">
        <v>25</v>
      </c>
      <c r="J308" t="s">
        <v>101</v>
      </c>
      <c r="K308" t="s">
        <v>90</v>
      </c>
      <c r="L308" t="s">
        <v>103</v>
      </c>
      <c r="M308">
        <v>761.62555524000004</v>
      </c>
      <c r="N308">
        <v>0</v>
      </c>
      <c r="O308" t="s">
        <v>80</v>
      </c>
      <c r="P308" s="39">
        <v>44269.864760335651</v>
      </c>
      <c r="Q308">
        <v>2179776</v>
      </c>
      <c r="R308" t="s">
        <v>26</v>
      </c>
      <c r="S308" s="4">
        <v>275.87171546000002</v>
      </c>
      <c r="W308"/>
      <c r="X308">
        <v>0</v>
      </c>
      <c r="AC308" t="s">
        <v>84</v>
      </c>
      <c r="AD308" s="39">
        <v>43586</v>
      </c>
    </row>
    <row r="309" spans="1:30" x14ac:dyDescent="0.25">
      <c r="A309">
        <v>229684</v>
      </c>
      <c r="B309" t="s">
        <v>152</v>
      </c>
      <c r="C309">
        <v>2019</v>
      </c>
      <c r="D309">
        <v>5</v>
      </c>
      <c r="E309" t="s">
        <v>88</v>
      </c>
      <c r="F309" t="s">
        <v>84</v>
      </c>
      <c r="G309" t="s">
        <v>84</v>
      </c>
      <c r="H309" t="s">
        <v>25</v>
      </c>
      <c r="I309" t="s">
        <v>25</v>
      </c>
      <c r="J309" t="s">
        <v>101</v>
      </c>
      <c r="K309" t="s">
        <v>88</v>
      </c>
      <c r="L309" t="s">
        <v>103</v>
      </c>
      <c r="M309">
        <v>306.35749342000003</v>
      </c>
      <c r="N309">
        <v>0</v>
      </c>
      <c r="O309" t="s">
        <v>80</v>
      </c>
      <c r="P309" s="39">
        <v>44269.864759108787</v>
      </c>
      <c r="Q309">
        <v>2179641</v>
      </c>
      <c r="R309" t="s">
        <v>26</v>
      </c>
      <c r="S309" s="4">
        <v>133.68625990999999</v>
      </c>
      <c r="W309"/>
      <c r="X309">
        <v>0</v>
      </c>
      <c r="AC309" t="s">
        <v>84</v>
      </c>
      <c r="AD309" s="39">
        <v>43586</v>
      </c>
    </row>
    <row r="310" spans="1:30" x14ac:dyDescent="0.25">
      <c r="A310">
        <v>229657</v>
      </c>
      <c r="B310" t="s">
        <v>152</v>
      </c>
      <c r="C310">
        <v>2019</v>
      </c>
      <c r="D310">
        <v>5</v>
      </c>
      <c r="E310" t="s">
        <v>86</v>
      </c>
      <c r="F310" t="s">
        <v>84</v>
      </c>
      <c r="G310" t="s">
        <v>84</v>
      </c>
      <c r="H310" t="s">
        <v>25</v>
      </c>
      <c r="I310" t="s">
        <v>25</v>
      </c>
      <c r="J310" t="s">
        <v>101</v>
      </c>
      <c r="K310" t="s">
        <v>86</v>
      </c>
      <c r="L310" t="s">
        <v>103</v>
      </c>
      <c r="M310">
        <v>1362.84439969</v>
      </c>
      <c r="N310">
        <v>0</v>
      </c>
      <c r="O310" t="s">
        <v>80</v>
      </c>
      <c r="P310" s="39">
        <v>44269.864757754629</v>
      </c>
      <c r="Q310">
        <v>2179506</v>
      </c>
      <c r="R310" t="s">
        <v>26</v>
      </c>
      <c r="S310" s="4">
        <v>465.83204876000002</v>
      </c>
      <c r="W310"/>
      <c r="X310">
        <v>0</v>
      </c>
      <c r="AC310" t="s">
        <v>84</v>
      </c>
      <c r="AD310" s="39">
        <v>43586</v>
      </c>
    </row>
    <row r="311" spans="1:30" x14ac:dyDescent="0.25">
      <c r="A311">
        <v>229684</v>
      </c>
      <c r="B311" t="s">
        <v>152</v>
      </c>
      <c r="C311">
        <v>2019</v>
      </c>
      <c r="D311">
        <v>5</v>
      </c>
      <c r="E311" t="s">
        <v>88</v>
      </c>
      <c r="F311" t="s">
        <v>84</v>
      </c>
      <c r="G311" t="s">
        <v>84</v>
      </c>
      <c r="H311" t="s">
        <v>25</v>
      </c>
      <c r="I311" t="s">
        <v>25</v>
      </c>
      <c r="J311" t="s">
        <v>101</v>
      </c>
      <c r="K311" t="s">
        <v>88</v>
      </c>
      <c r="L311" t="s">
        <v>103</v>
      </c>
      <c r="M311">
        <v>306.35749342000003</v>
      </c>
      <c r="N311">
        <v>0</v>
      </c>
      <c r="O311" t="s">
        <v>80</v>
      </c>
      <c r="P311" s="39">
        <v>44269.864759108787</v>
      </c>
      <c r="Q311">
        <v>2179644</v>
      </c>
      <c r="R311" t="s">
        <v>81</v>
      </c>
      <c r="S311" s="4">
        <v>31.02332144</v>
      </c>
      <c r="W311"/>
      <c r="X311">
        <v>0</v>
      </c>
      <c r="AC311" t="s">
        <v>84</v>
      </c>
      <c r="AD311" s="39">
        <v>43586</v>
      </c>
    </row>
    <row r="312" spans="1:30" x14ac:dyDescent="0.25">
      <c r="A312">
        <v>229711</v>
      </c>
      <c r="B312" t="s">
        <v>152</v>
      </c>
      <c r="C312">
        <v>2019</v>
      </c>
      <c r="D312">
        <v>5</v>
      </c>
      <c r="E312" t="s">
        <v>90</v>
      </c>
      <c r="F312" t="s">
        <v>84</v>
      </c>
      <c r="G312" t="s">
        <v>84</v>
      </c>
      <c r="H312" t="s">
        <v>25</v>
      </c>
      <c r="I312" t="s">
        <v>25</v>
      </c>
      <c r="J312" t="s">
        <v>101</v>
      </c>
      <c r="K312" t="s">
        <v>90</v>
      </c>
      <c r="L312" t="s">
        <v>103</v>
      </c>
      <c r="M312">
        <v>761.62555524000004</v>
      </c>
      <c r="N312">
        <v>0</v>
      </c>
      <c r="O312" t="s">
        <v>80</v>
      </c>
      <c r="P312" s="39">
        <v>44269.864760335651</v>
      </c>
      <c r="Q312">
        <v>2179779</v>
      </c>
      <c r="R312" t="s">
        <v>81</v>
      </c>
      <c r="S312" s="4">
        <v>77.284503549999997</v>
      </c>
      <c r="W312"/>
      <c r="X312">
        <v>0</v>
      </c>
      <c r="AC312" t="s">
        <v>84</v>
      </c>
      <c r="AD312" s="39">
        <v>43586</v>
      </c>
    </row>
    <row r="313" spans="1:30" x14ac:dyDescent="0.25">
      <c r="A313">
        <v>229657</v>
      </c>
      <c r="B313" t="s">
        <v>152</v>
      </c>
      <c r="C313">
        <v>2019</v>
      </c>
      <c r="D313">
        <v>5</v>
      </c>
      <c r="E313" t="s">
        <v>86</v>
      </c>
      <c r="F313" t="s">
        <v>84</v>
      </c>
      <c r="G313" t="s">
        <v>84</v>
      </c>
      <c r="H313" t="s">
        <v>25</v>
      </c>
      <c r="I313" t="s">
        <v>25</v>
      </c>
      <c r="J313" t="s">
        <v>101</v>
      </c>
      <c r="K313" t="s">
        <v>86</v>
      </c>
      <c r="L313" t="s">
        <v>103</v>
      </c>
      <c r="M313">
        <v>1362.84439969</v>
      </c>
      <c r="N313">
        <v>0</v>
      </c>
      <c r="O313" t="s">
        <v>80</v>
      </c>
      <c r="P313" s="39">
        <v>44269.864757754629</v>
      </c>
      <c r="Q313">
        <v>2179509</v>
      </c>
      <c r="R313" t="s">
        <v>81</v>
      </c>
      <c r="S313" s="4">
        <v>162.26489577000001</v>
      </c>
      <c r="W313"/>
      <c r="X313">
        <v>0</v>
      </c>
      <c r="AC313" t="s">
        <v>84</v>
      </c>
      <c r="AD313" s="39">
        <v>43586</v>
      </c>
    </row>
    <row r="314" spans="1:30" x14ac:dyDescent="0.25">
      <c r="A314">
        <v>229711</v>
      </c>
      <c r="B314" t="s">
        <v>152</v>
      </c>
      <c r="C314">
        <v>2019</v>
      </c>
      <c r="D314">
        <v>5</v>
      </c>
      <c r="E314" t="s">
        <v>90</v>
      </c>
      <c r="F314" t="s">
        <v>84</v>
      </c>
      <c r="G314" t="s">
        <v>84</v>
      </c>
      <c r="H314" t="s">
        <v>25</v>
      </c>
      <c r="I314" t="s">
        <v>25</v>
      </c>
      <c r="J314" t="s">
        <v>101</v>
      </c>
      <c r="K314" t="s">
        <v>90</v>
      </c>
      <c r="L314" t="s">
        <v>103</v>
      </c>
      <c r="M314">
        <v>761.62555524000004</v>
      </c>
      <c r="N314">
        <v>0</v>
      </c>
      <c r="O314" t="s">
        <v>80</v>
      </c>
      <c r="P314" s="39">
        <v>44269.864760335651</v>
      </c>
      <c r="Q314">
        <v>2179778</v>
      </c>
      <c r="R314" t="s">
        <v>27</v>
      </c>
      <c r="S314" s="4">
        <v>420.93129654000001</v>
      </c>
      <c r="W314"/>
      <c r="X314">
        <v>0</v>
      </c>
      <c r="AC314" t="s">
        <v>84</v>
      </c>
      <c r="AD314" s="39">
        <v>43586</v>
      </c>
    </row>
    <row r="315" spans="1:30" x14ac:dyDescent="0.25">
      <c r="A315">
        <v>229657</v>
      </c>
      <c r="B315" t="s">
        <v>152</v>
      </c>
      <c r="C315">
        <v>2019</v>
      </c>
      <c r="D315">
        <v>5</v>
      </c>
      <c r="E315" t="s">
        <v>86</v>
      </c>
      <c r="F315" t="s">
        <v>84</v>
      </c>
      <c r="G315" t="s">
        <v>84</v>
      </c>
      <c r="H315" t="s">
        <v>25</v>
      </c>
      <c r="I315" t="s">
        <v>25</v>
      </c>
      <c r="J315" t="s">
        <v>101</v>
      </c>
      <c r="K315" t="s">
        <v>86</v>
      </c>
      <c r="L315" t="s">
        <v>103</v>
      </c>
      <c r="M315">
        <v>1362.84439969</v>
      </c>
      <c r="N315">
        <v>0</v>
      </c>
      <c r="O315" t="s">
        <v>80</v>
      </c>
      <c r="P315" s="39">
        <v>44269.864757754629</v>
      </c>
      <c r="Q315">
        <v>2179508</v>
      </c>
      <c r="R315" t="s">
        <v>27</v>
      </c>
      <c r="S315" s="4">
        <v>756.71316791000004</v>
      </c>
      <c r="W315"/>
      <c r="X315">
        <v>0</v>
      </c>
      <c r="AC315" t="s">
        <v>84</v>
      </c>
      <c r="AD315" s="39">
        <v>43586</v>
      </c>
    </row>
    <row r="316" spans="1:30" x14ac:dyDescent="0.25">
      <c r="A316">
        <v>229684</v>
      </c>
      <c r="B316" t="s">
        <v>152</v>
      </c>
      <c r="C316">
        <v>2019</v>
      </c>
      <c r="D316">
        <v>5</v>
      </c>
      <c r="E316" t="s">
        <v>88</v>
      </c>
      <c r="F316" t="s">
        <v>84</v>
      </c>
      <c r="G316" t="s">
        <v>84</v>
      </c>
      <c r="H316" t="s">
        <v>25</v>
      </c>
      <c r="I316" t="s">
        <v>25</v>
      </c>
      <c r="J316" t="s">
        <v>101</v>
      </c>
      <c r="K316" t="s">
        <v>88</v>
      </c>
      <c r="L316" t="s">
        <v>103</v>
      </c>
      <c r="M316">
        <v>306.35749342000003</v>
      </c>
      <c r="N316">
        <v>0</v>
      </c>
      <c r="O316" t="s">
        <v>80</v>
      </c>
      <c r="P316" s="39">
        <v>44269.864759108787</v>
      </c>
      <c r="Q316">
        <v>2179643</v>
      </c>
      <c r="R316" t="s">
        <v>27</v>
      </c>
      <c r="S316" s="4">
        <v>148.17897223</v>
      </c>
      <c r="W316"/>
      <c r="X316">
        <v>0</v>
      </c>
      <c r="AC316" t="s">
        <v>84</v>
      </c>
      <c r="AD316" s="39">
        <v>43586</v>
      </c>
    </row>
    <row r="317" spans="1:30" x14ac:dyDescent="0.25">
      <c r="A317">
        <v>229684</v>
      </c>
      <c r="B317" t="s">
        <v>152</v>
      </c>
      <c r="C317">
        <v>2019</v>
      </c>
      <c r="D317">
        <v>5</v>
      </c>
      <c r="E317" t="s">
        <v>88</v>
      </c>
      <c r="F317" t="s">
        <v>84</v>
      </c>
      <c r="G317" t="s">
        <v>84</v>
      </c>
      <c r="H317" t="s">
        <v>25</v>
      </c>
      <c r="I317" t="s">
        <v>25</v>
      </c>
      <c r="J317" t="s">
        <v>101</v>
      </c>
      <c r="K317" t="s">
        <v>88</v>
      </c>
      <c r="L317" t="s">
        <v>103</v>
      </c>
      <c r="M317">
        <v>306.35749342000003</v>
      </c>
      <c r="N317">
        <v>0</v>
      </c>
      <c r="O317" t="s">
        <v>80</v>
      </c>
      <c r="P317" s="39">
        <v>44269.864759108787</v>
      </c>
      <c r="Q317">
        <v>2179640</v>
      </c>
      <c r="R317" t="s">
        <v>91</v>
      </c>
      <c r="S317" s="4">
        <v>0</v>
      </c>
      <c r="W317"/>
      <c r="X317">
        <v>0</v>
      </c>
      <c r="AC317" t="s">
        <v>84</v>
      </c>
      <c r="AD317" s="39">
        <v>43586</v>
      </c>
    </row>
    <row r="318" spans="1:30" x14ac:dyDescent="0.25">
      <c r="A318">
        <v>229657</v>
      </c>
      <c r="B318" t="s">
        <v>152</v>
      </c>
      <c r="C318">
        <v>2019</v>
      </c>
      <c r="D318">
        <v>5</v>
      </c>
      <c r="E318" t="s">
        <v>86</v>
      </c>
      <c r="F318" t="s">
        <v>84</v>
      </c>
      <c r="G318" t="s">
        <v>84</v>
      </c>
      <c r="H318" t="s">
        <v>25</v>
      </c>
      <c r="I318" t="s">
        <v>25</v>
      </c>
      <c r="J318" t="s">
        <v>101</v>
      </c>
      <c r="K318" t="s">
        <v>86</v>
      </c>
      <c r="L318" t="s">
        <v>103</v>
      </c>
      <c r="M318">
        <v>1362.84439969</v>
      </c>
      <c r="N318">
        <v>0</v>
      </c>
      <c r="O318" t="s">
        <v>80</v>
      </c>
      <c r="P318" s="39">
        <v>44269.864757754629</v>
      </c>
      <c r="Q318">
        <v>2179505</v>
      </c>
      <c r="R318" t="s">
        <v>91</v>
      </c>
      <c r="S318" s="4">
        <v>3.6737902099999999</v>
      </c>
      <c r="W318"/>
      <c r="X318">
        <v>0</v>
      </c>
      <c r="AC318" t="s">
        <v>84</v>
      </c>
      <c r="AD318" s="39">
        <v>43586</v>
      </c>
    </row>
    <row r="319" spans="1:30" x14ac:dyDescent="0.25">
      <c r="A319">
        <v>229711</v>
      </c>
      <c r="B319" t="s">
        <v>152</v>
      </c>
      <c r="C319">
        <v>2019</v>
      </c>
      <c r="D319">
        <v>5</v>
      </c>
      <c r="E319" t="s">
        <v>90</v>
      </c>
      <c r="F319" t="s">
        <v>84</v>
      </c>
      <c r="G319" t="s">
        <v>84</v>
      </c>
      <c r="H319" t="s">
        <v>25</v>
      </c>
      <c r="I319" t="s">
        <v>25</v>
      </c>
      <c r="J319" t="s">
        <v>101</v>
      </c>
      <c r="K319" t="s">
        <v>90</v>
      </c>
      <c r="L319" t="s">
        <v>103</v>
      </c>
      <c r="M319">
        <v>761.62555524000004</v>
      </c>
      <c r="N319">
        <v>0</v>
      </c>
      <c r="O319" t="s">
        <v>80</v>
      </c>
      <c r="P319" s="39">
        <v>44269.864760335651</v>
      </c>
      <c r="Q319">
        <v>2179775</v>
      </c>
      <c r="R319" t="s">
        <v>91</v>
      </c>
      <c r="S319" s="4">
        <v>1.9867622700000001</v>
      </c>
      <c r="W319"/>
      <c r="X319">
        <v>0</v>
      </c>
      <c r="AC319" t="s">
        <v>84</v>
      </c>
      <c r="AD319" s="39">
        <v>43586</v>
      </c>
    </row>
    <row r="320" spans="1:30" x14ac:dyDescent="0.25">
      <c r="A320">
        <v>229711</v>
      </c>
      <c r="B320" t="s">
        <v>152</v>
      </c>
      <c r="C320">
        <v>2019</v>
      </c>
      <c r="D320">
        <v>5</v>
      </c>
      <c r="E320" t="s">
        <v>90</v>
      </c>
      <c r="F320" t="s">
        <v>84</v>
      </c>
      <c r="G320" t="s">
        <v>84</v>
      </c>
      <c r="H320" t="s">
        <v>25</v>
      </c>
      <c r="I320" t="s">
        <v>25</v>
      </c>
      <c r="J320" t="s">
        <v>101</v>
      </c>
      <c r="K320" t="s">
        <v>90</v>
      </c>
      <c r="L320" t="s">
        <v>103</v>
      </c>
      <c r="M320">
        <v>761.62555524000004</v>
      </c>
      <c r="N320">
        <v>0</v>
      </c>
      <c r="O320" t="s">
        <v>80</v>
      </c>
      <c r="P320" s="39">
        <v>44269.864760335651</v>
      </c>
      <c r="Q320">
        <v>2179777</v>
      </c>
      <c r="R320" t="s">
        <v>28</v>
      </c>
      <c r="S320" s="4">
        <v>1.7879369599999999</v>
      </c>
      <c r="W320"/>
      <c r="X320">
        <v>0</v>
      </c>
      <c r="AC320" t="s">
        <v>84</v>
      </c>
      <c r="AD320" s="39">
        <v>43586</v>
      </c>
    </row>
    <row r="321" spans="1:30" x14ac:dyDescent="0.25">
      <c r="A321">
        <v>229684</v>
      </c>
      <c r="B321" t="s">
        <v>152</v>
      </c>
      <c r="C321">
        <v>2019</v>
      </c>
      <c r="D321">
        <v>5</v>
      </c>
      <c r="E321" t="s">
        <v>88</v>
      </c>
      <c r="F321" t="s">
        <v>84</v>
      </c>
      <c r="G321" t="s">
        <v>84</v>
      </c>
      <c r="H321" t="s">
        <v>25</v>
      </c>
      <c r="I321" t="s">
        <v>25</v>
      </c>
      <c r="J321" t="s">
        <v>101</v>
      </c>
      <c r="K321" t="s">
        <v>88</v>
      </c>
      <c r="L321" t="s">
        <v>103</v>
      </c>
      <c r="M321">
        <v>306.35749342000003</v>
      </c>
      <c r="N321">
        <v>0</v>
      </c>
      <c r="O321" t="s">
        <v>80</v>
      </c>
      <c r="P321" s="39">
        <v>44269.864759108787</v>
      </c>
      <c r="Q321">
        <v>2179642</v>
      </c>
      <c r="R321" t="s">
        <v>28</v>
      </c>
      <c r="S321" s="4">
        <v>0</v>
      </c>
      <c r="W321"/>
      <c r="X321">
        <v>0</v>
      </c>
      <c r="AC321" t="s">
        <v>84</v>
      </c>
      <c r="AD321" s="39">
        <v>43586</v>
      </c>
    </row>
    <row r="322" spans="1:30" x14ac:dyDescent="0.25">
      <c r="A322">
        <v>229657</v>
      </c>
      <c r="B322" t="s">
        <v>152</v>
      </c>
      <c r="C322">
        <v>2019</v>
      </c>
      <c r="D322">
        <v>5</v>
      </c>
      <c r="E322" t="s">
        <v>86</v>
      </c>
      <c r="F322" t="s">
        <v>84</v>
      </c>
      <c r="G322" t="s">
        <v>84</v>
      </c>
      <c r="H322" t="s">
        <v>25</v>
      </c>
      <c r="I322" t="s">
        <v>25</v>
      </c>
      <c r="J322" t="s">
        <v>101</v>
      </c>
      <c r="K322" t="s">
        <v>86</v>
      </c>
      <c r="L322" t="s">
        <v>103</v>
      </c>
      <c r="M322">
        <v>1362.84439969</v>
      </c>
      <c r="N322">
        <v>0</v>
      </c>
      <c r="O322" t="s">
        <v>80</v>
      </c>
      <c r="P322" s="39">
        <v>44269.864757754629</v>
      </c>
      <c r="Q322">
        <v>2179507</v>
      </c>
      <c r="R322" t="s">
        <v>28</v>
      </c>
      <c r="S322" s="4">
        <v>3.4141972100000002</v>
      </c>
      <c r="W322"/>
      <c r="X322">
        <v>0</v>
      </c>
      <c r="AC322" t="s">
        <v>84</v>
      </c>
      <c r="AD322" s="39">
        <v>43586</v>
      </c>
    </row>
    <row r="323" spans="1:30" x14ac:dyDescent="0.25">
      <c r="A323">
        <v>243438</v>
      </c>
      <c r="B323" t="s">
        <v>153</v>
      </c>
      <c r="C323">
        <v>2019</v>
      </c>
      <c r="D323">
        <v>6</v>
      </c>
      <c r="E323" t="s">
        <v>88</v>
      </c>
      <c r="F323" t="s">
        <v>84</v>
      </c>
      <c r="G323" t="s">
        <v>84</v>
      </c>
      <c r="H323" t="s">
        <v>25</v>
      </c>
      <c r="I323" t="s">
        <v>25</v>
      </c>
      <c r="J323" t="s">
        <v>101</v>
      </c>
      <c r="K323" t="s">
        <v>88</v>
      </c>
      <c r="L323" t="s">
        <v>103</v>
      </c>
      <c r="M323">
        <v>251.84571108</v>
      </c>
      <c r="N323">
        <v>0</v>
      </c>
      <c r="O323" t="s">
        <v>80</v>
      </c>
      <c r="P323" s="39">
        <v>44269.86638498844</v>
      </c>
      <c r="Q323">
        <v>2309635</v>
      </c>
      <c r="R323" t="s">
        <v>26</v>
      </c>
      <c r="S323" s="4">
        <v>109.8987683</v>
      </c>
      <c r="W323"/>
      <c r="X323">
        <v>0</v>
      </c>
      <c r="AC323" t="s">
        <v>84</v>
      </c>
      <c r="AD323" s="39">
        <v>43617</v>
      </c>
    </row>
    <row r="324" spans="1:30" x14ac:dyDescent="0.25">
      <c r="A324">
        <v>243411</v>
      </c>
      <c r="B324" t="s">
        <v>153</v>
      </c>
      <c r="C324">
        <v>2019</v>
      </c>
      <c r="D324">
        <v>6</v>
      </c>
      <c r="E324" t="s">
        <v>86</v>
      </c>
      <c r="F324" t="s">
        <v>84</v>
      </c>
      <c r="G324" t="s">
        <v>84</v>
      </c>
      <c r="H324" t="s">
        <v>25</v>
      </c>
      <c r="I324" t="s">
        <v>25</v>
      </c>
      <c r="J324" t="s">
        <v>101</v>
      </c>
      <c r="K324" t="s">
        <v>86</v>
      </c>
      <c r="L324" t="s">
        <v>103</v>
      </c>
      <c r="M324">
        <v>1258.64819612</v>
      </c>
      <c r="N324">
        <v>0</v>
      </c>
      <c r="O324" t="s">
        <v>80</v>
      </c>
      <c r="P324" s="39">
        <v>44269.866383564811</v>
      </c>
      <c r="Q324">
        <v>2309500</v>
      </c>
      <c r="R324" t="s">
        <v>26</v>
      </c>
      <c r="S324" s="4">
        <v>430.21688168999998</v>
      </c>
      <c r="W324"/>
      <c r="X324">
        <v>0</v>
      </c>
      <c r="AC324" t="s">
        <v>84</v>
      </c>
      <c r="AD324" s="39">
        <v>43617</v>
      </c>
    </row>
    <row r="325" spans="1:30" x14ac:dyDescent="0.25">
      <c r="A325">
        <v>243465</v>
      </c>
      <c r="B325" t="s">
        <v>153</v>
      </c>
      <c r="C325">
        <v>2019</v>
      </c>
      <c r="D325">
        <v>6</v>
      </c>
      <c r="E325" t="s">
        <v>90</v>
      </c>
      <c r="F325" t="s">
        <v>84</v>
      </c>
      <c r="G325" t="s">
        <v>84</v>
      </c>
      <c r="H325" t="s">
        <v>25</v>
      </c>
      <c r="I325" t="s">
        <v>25</v>
      </c>
      <c r="J325" t="s">
        <v>101</v>
      </c>
      <c r="K325" t="s">
        <v>90</v>
      </c>
      <c r="L325" t="s">
        <v>103</v>
      </c>
      <c r="M325">
        <v>676.21524277000003</v>
      </c>
      <c r="N325">
        <v>0</v>
      </c>
      <c r="O325" t="s">
        <v>80</v>
      </c>
      <c r="P325" s="39">
        <v>44269.866386307869</v>
      </c>
      <c r="Q325">
        <v>2309770</v>
      </c>
      <c r="R325" t="s">
        <v>26</v>
      </c>
      <c r="S325" s="4">
        <v>244.93487352</v>
      </c>
      <c r="W325"/>
      <c r="X325">
        <v>0</v>
      </c>
      <c r="AC325" t="s">
        <v>84</v>
      </c>
      <c r="AD325" s="39">
        <v>43617</v>
      </c>
    </row>
    <row r="326" spans="1:30" x14ac:dyDescent="0.25">
      <c r="A326">
        <v>243411</v>
      </c>
      <c r="B326" t="s">
        <v>153</v>
      </c>
      <c r="C326">
        <v>2019</v>
      </c>
      <c r="D326">
        <v>6</v>
      </c>
      <c r="E326" t="s">
        <v>86</v>
      </c>
      <c r="F326" t="s">
        <v>84</v>
      </c>
      <c r="G326" t="s">
        <v>84</v>
      </c>
      <c r="H326" t="s">
        <v>25</v>
      </c>
      <c r="I326" t="s">
        <v>25</v>
      </c>
      <c r="J326" t="s">
        <v>101</v>
      </c>
      <c r="K326" t="s">
        <v>86</v>
      </c>
      <c r="L326" t="s">
        <v>103</v>
      </c>
      <c r="M326">
        <v>1258.64819612</v>
      </c>
      <c r="N326">
        <v>0</v>
      </c>
      <c r="O326" t="s">
        <v>80</v>
      </c>
      <c r="P326" s="39">
        <v>44269.866383564811</v>
      </c>
      <c r="Q326">
        <v>2309503</v>
      </c>
      <c r="R326" t="s">
        <v>81</v>
      </c>
      <c r="S326" s="4">
        <v>149.85894089999999</v>
      </c>
      <c r="W326"/>
      <c r="X326">
        <v>0</v>
      </c>
      <c r="AC326" t="s">
        <v>84</v>
      </c>
      <c r="AD326" s="39">
        <v>43617</v>
      </c>
    </row>
    <row r="327" spans="1:30" x14ac:dyDescent="0.25">
      <c r="A327">
        <v>243438</v>
      </c>
      <c r="B327" t="s">
        <v>153</v>
      </c>
      <c r="C327">
        <v>2019</v>
      </c>
      <c r="D327">
        <v>6</v>
      </c>
      <c r="E327" t="s">
        <v>88</v>
      </c>
      <c r="F327" t="s">
        <v>84</v>
      </c>
      <c r="G327" t="s">
        <v>84</v>
      </c>
      <c r="H327" t="s">
        <v>25</v>
      </c>
      <c r="I327" t="s">
        <v>25</v>
      </c>
      <c r="J327" t="s">
        <v>101</v>
      </c>
      <c r="K327" t="s">
        <v>88</v>
      </c>
      <c r="L327" t="s">
        <v>103</v>
      </c>
      <c r="M327">
        <v>251.84571108</v>
      </c>
      <c r="N327">
        <v>0</v>
      </c>
      <c r="O327" t="s">
        <v>80</v>
      </c>
      <c r="P327" s="39">
        <v>44269.86638498844</v>
      </c>
      <c r="Q327">
        <v>2309638</v>
      </c>
      <c r="R327" t="s">
        <v>81</v>
      </c>
      <c r="S327" s="4">
        <v>25.503180489999998</v>
      </c>
      <c r="W327"/>
      <c r="X327">
        <v>0</v>
      </c>
      <c r="AC327" t="s">
        <v>84</v>
      </c>
      <c r="AD327" s="39">
        <v>43617</v>
      </c>
    </row>
    <row r="328" spans="1:30" x14ac:dyDescent="0.25">
      <c r="A328">
        <v>243465</v>
      </c>
      <c r="B328" t="s">
        <v>153</v>
      </c>
      <c r="C328">
        <v>2019</v>
      </c>
      <c r="D328">
        <v>6</v>
      </c>
      <c r="E328" t="s">
        <v>90</v>
      </c>
      <c r="F328" t="s">
        <v>84</v>
      </c>
      <c r="G328" t="s">
        <v>84</v>
      </c>
      <c r="H328" t="s">
        <v>25</v>
      </c>
      <c r="I328" t="s">
        <v>25</v>
      </c>
      <c r="J328" t="s">
        <v>101</v>
      </c>
      <c r="K328" t="s">
        <v>90</v>
      </c>
      <c r="L328" t="s">
        <v>103</v>
      </c>
      <c r="M328">
        <v>676.21524277000003</v>
      </c>
      <c r="N328">
        <v>0</v>
      </c>
      <c r="O328" t="s">
        <v>80</v>
      </c>
      <c r="P328" s="39">
        <v>44269.866386307869</v>
      </c>
      <c r="Q328">
        <v>2309773</v>
      </c>
      <c r="R328" t="s">
        <v>81</v>
      </c>
      <c r="S328" s="4">
        <v>68.617654659999999</v>
      </c>
      <c r="W328"/>
      <c r="X328">
        <v>0</v>
      </c>
      <c r="AC328" t="s">
        <v>84</v>
      </c>
      <c r="AD328" s="39">
        <v>43617</v>
      </c>
    </row>
    <row r="329" spans="1:30" x14ac:dyDescent="0.25">
      <c r="A329">
        <v>243411</v>
      </c>
      <c r="B329" t="s">
        <v>153</v>
      </c>
      <c r="C329">
        <v>2019</v>
      </c>
      <c r="D329">
        <v>6</v>
      </c>
      <c r="E329" t="s">
        <v>86</v>
      </c>
      <c r="F329" t="s">
        <v>84</v>
      </c>
      <c r="G329" t="s">
        <v>84</v>
      </c>
      <c r="H329" t="s">
        <v>25</v>
      </c>
      <c r="I329" t="s">
        <v>25</v>
      </c>
      <c r="J329" t="s">
        <v>101</v>
      </c>
      <c r="K329" t="s">
        <v>86</v>
      </c>
      <c r="L329" t="s">
        <v>103</v>
      </c>
      <c r="M329">
        <v>1258.64819612</v>
      </c>
      <c r="N329">
        <v>0</v>
      </c>
      <c r="O329" t="s">
        <v>80</v>
      </c>
      <c r="P329" s="39">
        <v>44269.866383564811</v>
      </c>
      <c r="Q329">
        <v>2309502</v>
      </c>
      <c r="R329" t="s">
        <v>27</v>
      </c>
      <c r="S329" s="4">
        <v>698.85869876000004</v>
      </c>
      <c r="W329"/>
      <c r="X329">
        <v>0</v>
      </c>
      <c r="AC329" t="s">
        <v>84</v>
      </c>
      <c r="AD329" s="39">
        <v>43617</v>
      </c>
    </row>
    <row r="330" spans="1:30" x14ac:dyDescent="0.25">
      <c r="A330">
        <v>243465</v>
      </c>
      <c r="B330" t="s">
        <v>153</v>
      </c>
      <c r="C330">
        <v>2019</v>
      </c>
      <c r="D330">
        <v>6</v>
      </c>
      <c r="E330" t="s">
        <v>90</v>
      </c>
      <c r="F330" t="s">
        <v>84</v>
      </c>
      <c r="G330" t="s">
        <v>84</v>
      </c>
      <c r="H330" t="s">
        <v>25</v>
      </c>
      <c r="I330" t="s">
        <v>25</v>
      </c>
      <c r="J330" t="s">
        <v>101</v>
      </c>
      <c r="K330" t="s">
        <v>90</v>
      </c>
      <c r="L330" t="s">
        <v>103</v>
      </c>
      <c r="M330">
        <v>676.21524277000003</v>
      </c>
      <c r="N330">
        <v>0</v>
      </c>
      <c r="O330" t="s">
        <v>80</v>
      </c>
      <c r="P330" s="39">
        <v>44269.866386307869</v>
      </c>
      <c r="Q330">
        <v>2309772</v>
      </c>
      <c r="R330" t="s">
        <v>27</v>
      </c>
      <c r="S330" s="4">
        <v>373.72716412</v>
      </c>
      <c r="W330"/>
      <c r="X330">
        <v>0</v>
      </c>
      <c r="AC330" t="s">
        <v>84</v>
      </c>
      <c r="AD330" s="39">
        <v>43617</v>
      </c>
    </row>
    <row r="331" spans="1:30" x14ac:dyDescent="0.25">
      <c r="A331">
        <v>243438</v>
      </c>
      <c r="B331" t="s">
        <v>153</v>
      </c>
      <c r="C331">
        <v>2019</v>
      </c>
      <c r="D331">
        <v>6</v>
      </c>
      <c r="E331" t="s">
        <v>88</v>
      </c>
      <c r="F331" t="s">
        <v>84</v>
      </c>
      <c r="G331" t="s">
        <v>84</v>
      </c>
      <c r="H331" t="s">
        <v>25</v>
      </c>
      <c r="I331" t="s">
        <v>25</v>
      </c>
      <c r="J331" t="s">
        <v>101</v>
      </c>
      <c r="K331" t="s">
        <v>88</v>
      </c>
      <c r="L331" t="s">
        <v>103</v>
      </c>
      <c r="M331">
        <v>251.84571108</v>
      </c>
      <c r="N331">
        <v>0</v>
      </c>
      <c r="O331" t="s">
        <v>80</v>
      </c>
      <c r="P331" s="39">
        <v>44269.86638498844</v>
      </c>
      <c r="Q331">
        <v>2309637</v>
      </c>
      <c r="R331" t="s">
        <v>27</v>
      </c>
      <c r="S331" s="4">
        <v>121.81271694</v>
      </c>
      <c r="W331"/>
      <c r="X331">
        <v>0</v>
      </c>
      <c r="AC331" t="s">
        <v>84</v>
      </c>
      <c r="AD331" s="39">
        <v>43617</v>
      </c>
    </row>
    <row r="332" spans="1:30" x14ac:dyDescent="0.25">
      <c r="A332">
        <v>243411</v>
      </c>
      <c r="B332" t="s">
        <v>153</v>
      </c>
      <c r="C332">
        <v>2019</v>
      </c>
      <c r="D332">
        <v>6</v>
      </c>
      <c r="E332" t="s">
        <v>86</v>
      </c>
      <c r="F332" t="s">
        <v>84</v>
      </c>
      <c r="G332" t="s">
        <v>84</v>
      </c>
      <c r="H332" t="s">
        <v>25</v>
      </c>
      <c r="I332" t="s">
        <v>25</v>
      </c>
      <c r="J332" t="s">
        <v>101</v>
      </c>
      <c r="K332" t="s">
        <v>86</v>
      </c>
      <c r="L332" t="s">
        <v>103</v>
      </c>
      <c r="M332">
        <v>1258.64819612</v>
      </c>
      <c r="N332">
        <v>0</v>
      </c>
      <c r="O332" t="s">
        <v>80</v>
      </c>
      <c r="P332" s="39">
        <v>44269.866383564811</v>
      </c>
      <c r="Q332">
        <v>2309499</v>
      </c>
      <c r="R332" t="s">
        <v>91</v>
      </c>
      <c r="S332" s="4">
        <v>3.3929107599999999</v>
      </c>
      <c r="W332"/>
      <c r="X332">
        <v>0</v>
      </c>
      <c r="AC332" t="s">
        <v>84</v>
      </c>
      <c r="AD332" s="39">
        <v>43617</v>
      </c>
    </row>
    <row r="333" spans="1:30" x14ac:dyDescent="0.25">
      <c r="A333">
        <v>243465</v>
      </c>
      <c r="B333" t="s">
        <v>153</v>
      </c>
      <c r="C333">
        <v>2019</v>
      </c>
      <c r="D333">
        <v>6</v>
      </c>
      <c r="E333" t="s">
        <v>90</v>
      </c>
      <c r="F333" t="s">
        <v>84</v>
      </c>
      <c r="G333" t="s">
        <v>84</v>
      </c>
      <c r="H333" t="s">
        <v>25</v>
      </c>
      <c r="I333" t="s">
        <v>25</v>
      </c>
      <c r="J333" t="s">
        <v>101</v>
      </c>
      <c r="K333" t="s">
        <v>90</v>
      </c>
      <c r="L333" t="s">
        <v>103</v>
      </c>
      <c r="M333">
        <v>676.21524277000003</v>
      </c>
      <c r="N333">
        <v>0</v>
      </c>
      <c r="O333" t="s">
        <v>80</v>
      </c>
      <c r="P333" s="39">
        <v>44269.866386307869</v>
      </c>
      <c r="Q333">
        <v>2309769</v>
      </c>
      <c r="R333" t="s">
        <v>91</v>
      </c>
      <c r="S333" s="4">
        <v>1.76396252</v>
      </c>
      <c r="W333"/>
      <c r="X333">
        <v>0</v>
      </c>
      <c r="AC333" t="s">
        <v>84</v>
      </c>
      <c r="AD333" s="39">
        <v>43617</v>
      </c>
    </row>
    <row r="334" spans="1:30" x14ac:dyDescent="0.25">
      <c r="A334">
        <v>243438</v>
      </c>
      <c r="B334" t="s">
        <v>153</v>
      </c>
      <c r="C334">
        <v>2019</v>
      </c>
      <c r="D334">
        <v>6</v>
      </c>
      <c r="E334" t="s">
        <v>88</v>
      </c>
      <c r="F334" t="s">
        <v>84</v>
      </c>
      <c r="G334" t="s">
        <v>84</v>
      </c>
      <c r="H334" t="s">
        <v>25</v>
      </c>
      <c r="I334" t="s">
        <v>25</v>
      </c>
      <c r="J334" t="s">
        <v>101</v>
      </c>
      <c r="K334" t="s">
        <v>88</v>
      </c>
      <c r="L334" t="s">
        <v>103</v>
      </c>
      <c r="M334">
        <v>251.84571108</v>
      </c>
      <c r="N334">
        <v>0</v>
      </c>
      <c r="O334" t="s">
        <v>80</v>
      </c>
      <c r="P334" s="39">
        <v>44269.86638498844</v>
      </c>
      <c r="Q334">
        <v>2309634</v>
      </c>
      <c r="R334" t="s">
        <v>91</v>
      </c>
      <c r="S334" s="4">
        <v>0</v>
      </c>
      <c r="W334"/>
      <c r="X334">
        <v>0</v>
      </c>
      <c r="AC334" t="s">
        <v>84</v>
      </c>
      <c r="AD334" s="39">
        <v>43617</v>
      </c>
    </row>
    <row r="335" spans="1:30" x14ac:dyDescent="0.25">
      <c r="A335">
        <v>243411</v>
      </c>
      <c r="B335" t="s">
        <v>153</v>
      </c>
      <c r="C335">
        <v>2019</v>
      </c>
      <c r="D335">
        <v>6</v>
      </c>
      <c r="E335" t="s">
        <v>86</v>
      </c>
      <c r="F335" t="s">
        <v>84</v>
      </c>
      <c r="G335" t="s">
        <v>84</v>
      </c>
      <c r="H335" t="s">
        <v>25</v>
      </c>
      <c r="I335" t="s">
        <v>25</v>
      </c>
      <c r="J335" t="s">
        <v>101</v>
      </c>
      <c r="K335" t="s">
        <v>86</v>
      </c>
      <c r="L335" t="s">
        <v>103</v>
      </c>
      <c r="M335">
        <v>1258.64819612</v>
      </c>
      <c r="N335">
        <v>0</v>
      </c>
      <c r="O335" t="s">
        <v>80</v>
      </c>
      <c r="P335" s="39">
        <v>44269.866383564811</v>
      </c>
      <c r="Q335">
        <v>2309501</v>
      </c>
      <c r="R335" t="s">
        <v>28</v>
      </c>
      <c r="S335" s="4">
        <v>3.15316492</v>
      </c>
      <c r="W335"/>
      <c r="X335">
        <v>0</v>
      </c>
      <c r="AC335" t="s">
        <v>84</v>
      </c>
      <c r="AD335" s="39">
        <v>43617</v>
      </c>
    </row>
    <row r="336" spans="1:30" x14ac:dyDescent="0.25">
      <c r="A336">
        <v>243438</v>
      </c>
      <c r="B336" t="s">
        <v>153</v>
      </c>
      <c r="C336">
        <v>2019</v>
      </c>
      <c r="D336">
        <v>6</v>
      </c>
      <c r="E336" t="s">
        <v>88</v>
      </c>
      <c r="F336" t="s">
        <v>84</v>
      </c>
      <c r="G336" t="s">
        <v>84</v>
      </c>
      <c r="H336" t="s">
        <v>25</v>
      </c>
      <c r="I336" t="s">
        <v>25</v>
      </c>
      <c r="J336" t="s">
        <v>101</v>
      </c>
      <c r="K336" t="s">
        <v>88</v>
      </c>
      <c r="L336" t="s">
        <v>103</v>
      </c>
      <c r="M336">
        <v>251.84571108</v>
      </c>
      <c r="N336">
        <v>0</v>
      </c>
      <c r="O336" t="s">
        <v>80</v>
      </c>
      <c r="P336" s="39">
        <v>44269.86638498844</v>
      </c>
      <c r="Q336">
        <v>2309636</v>
      </c>
      <c r="R336" t="s">
        <v>28</v>
      </c>
      <c r="S336" s="4">
        <v>0</v>
      </c>
      <c r="W336"/>
      <c r="X336">
        <v>0</v>
      </c>
      <c r="AC336" t="s">
        <v>84</v>
      </c>
      <c r="AD336" s="39">
        <v>43617</v>
      </c>
    </row>
    <row r="337" spans="1:30" x14ac:dyDescent="0.25">
      <c r="A337">
        <v>243465</v>
      </c>
      <c r="B337" t="s">
        <v>153</v>
      </c>
      <c r="C337">
        <v>2019</v>
      </c>
      <c r="D337">
        <v>6</v>
      </c>
      <c r="E337" t="s">
        <v>90</v>
      </c>
      <c r="F337" t="s">
        <v>84</v>
      </c>
      <c r="G337" t="s">
        <v>84</v>
      </c>
      <c r="H337" t="s">
        <v>25</v>
      </c>
      <c r="I337" t="s">
        <v>25</v>
      </c>
      <c r="J337" t="s">
        <v>101</v>
      </c>
      <c r="K337" t="s">
        <v>90</v>
      </c>
      <c r="L337" t="s">
        <v>103</v>
      </c>
      <c r="M337">
        <v>676.21524277000003</v>
      </c>
      <c r="N337">
        <v>0</v>
      </c>
      <c r="O337" t="s">
        <v>80</v>
      </c>
      <c r="P337" s="39">
        <v>44269.866386307869</v>
      </c>
      <c r="Q337">
        <v>2309771</v>
      </c>
      <c r="R337" t="s">
        <v>28</v>
      </c>
      <c r="S337" s="4">
        <v>1.5874339</v>
      </c>
      <c r="W337"/>
      <c r="X337">
        <v>0</v>
      </c>
      <c r="AC337" t="s">
        <v>84</v>
      </c>
      <c r="AD337" s="39">
        <v>43617</v>
      </c>
    </row>
    <row r="338" spans="1:30" x14ac:dyDescent="0.25">
      <c r="A338">
        <v>257220</v>
      </c>
      <c r="B338" t="s">
        <v>146</v>
      </c>
      <c r="C338">
        <v>2019</v>
      </c>
      <c r="D338">
        <v>7</v>
      </c>
      <c r="E338" t="s">
        <v>90</v>
      </c>
      <c r="F338" t="s">
        <v>84</v>
      </c>
      <c r="G338" t="s">
        <v>84</v>
      </c>
      <c r="H338" t="s">
        <v>25</v>
      </c>
      <c r="I338" t="s">
        <v>25</v>
      </c>
      <c r="J338" t="s">
        <v>101</v>
      </c>
      <c r="K338" t="s">
        <v>90</v>
      </c>
      <c r="L338" t="s">
        <v>103</v>
      </c>
      <c r="M338">
        <v>665.56227894000006</v>
      </c>
      <c r="N338">
        <v>0</v>
      </c>
      <c r="O338" t="s">
        <v>80</v>
      </c>
      <c r="P338" s="39">
        <v>44269.868006446763</v>
      </c>
      <c r="Q338">
        <v>2439798</v>
      </c>
      <c r="R338" t="s">
        <v>26</v>
      </c>
      <c r="S338" s="4">
        <v>241.07621700999999</v>
      </c>
      <c r="W338"/>
      <c r="X338">
        <v>0</v>
      </c>
      <c r="AC338" t="s">
        <v>84</v>
      </c>
      <c r="AD338" s="39">
        <v>43647</v>
      </c>
    </row>
    <row r="339" spans="1:30" x14ac:dyDescent="0.25">
      <c r="A339">
        <v>257193</v>
      </c>
      <c r="B339" t="s">
        <v>146</v>
      </c>
      <c r="C339">
        <v>2019</v>
      </c>
      <c r="D339">
        <v>7</v>
      </c>
      <c r="E339" t="s">
        <v>88</v>
      </c>
      <c r="F339" t="s">
        <v>84</v>
      </c>
      <c r="G339" t="s">
        <v>84</v>
      </c>
      <c r="H339" t="s">
        <v>25</v>
      </c>
      <c r="I339" t="s">
        <v>25</v>
      </c>
      <c r="J339" t="s">
        <v>101</v>
      </c>
      <c r="K339" t="s">
        <v>88</v>
      </c>
      <c r="L339" t="s">
        <v>103</v>
      </c>
      <c r="M339">
        <v>259.70617061000002</v>
      </c>
      <c r="N339">
        <v>0</v>
      </c>
      <c r="O339" t="s">
        <v>80</v>
      </c>
      <c r="P339" s="39">
        <v>44269.868005127311</v>
      </c>
      <c r="Q339">
        <v>2439663</v>
      </c>
      <c r="R339" t="s">
        <v>26</v>
      </c>
      <c r="S339" s="4">
        <v>113.32886372999999</v>
      </c>
      <c r="W339"/>
      <c r="X339">
        <v>0</v>
      </c>
      <c r="AC339" t="s">
        <v>84</v>
      </c>
      <c r="AD339" s="39">
        <v>43647</v>
      </c>
    </row>
    <row r="340" spans="1:30" x14ac:dyDescent="0.25">
      <c r="A340">
        <v>257166</v>
      </c>
      <c r="B340" t="s">
        <v>146</v>
      </c>
      <c r="C340">
        <v>2019</v>
      </c>
      <c r="D340">
        <v>7</v>
      </c>
      <c r="E340" t="s">
        <v>86</v>
      </c>
      <c r="F340" t="s">
        <v>84</v>
      </c>
      <c r="G340" t="s">
        <v>84</v>
      </c>
      <c r="H340" t="s">
        <v>25</v>
      </c>
      <c r="I340" t="s">
        <v>25</v>
      </c>
      <c r="J340" t="s">
        <v>101</v>
      </c>
      <c r="K340" t="s">
        <v>86</v>
      </c>
      <c r="L340" t="s">
        <v>103</v>
      </c>
      <c r="M340">
        <v>1240.59596756</v>
      </c>
      <c r="N340">
        <v>0</v>
      </c>
      <c r="O340" t="s">
        <v>80</v>
      </c>
      <c r="P340" s="39">
        <v>44269.868003854157</v>
      </c>
      <c r="Q340">
        <v>2439528</v>
      </c>
      <c r="R340" t="s">
        <v>26</v>
      </c>
      <c r="S340" s="4">
        <v>424.04647323</v>
      </c>
      <c r="W340"/>
      <c r="X340">
        <v>0</v>
      </c>
      <c r="AC340" t="s">
        <v>84</v>
      </c>
      <c r="AD340" s="39">
        <v>43647</v>
      </c>
    </row>
    <row r="341" spans="1:30" x14ac:dyDescent="0.25">
      <c r="A341">
        <v>257220</v>
      </c>
      <c r="B341" t="s">
        <v>146</v>
      </c>
      <c r="C341">
        <v>2019</v>
      </c>
      <c r="D341">
        <v>7</v>
      </c>
      <c r="E341" t="s">
        <v>90</v>
      </c>
      <c r="F341" t="s">
        <v>84</v>
      </c>
      <c r="G341" t="s">
        <v>84</v>
      </c>
      <c r="H341" t="s">
        <v>25</v>
      </c>
      <c r="I341" t="s">
        <v>25</v>
      </c>
      <c r="J341" t="s">
        <v>101</v>
      </c>
      <c r="K341" t="s">
        <v>90</v>
      </c>
      <c r="L341" t="s">
        <v>103</v>
      </c>
      <c r="M341">
        <v>665.56227894000006</v>
      </c>
      <c r="N341">
        <v>0</v>
      </c>
      <c r="O341" t="s">
        <v>80</v>
      </c>
      <c r="P341" s="39">
        <v>44269.868006446763</v>
      </c>
      <c r="Q341">
        <v>2439801</v>
      </c>
      <c r="R341" t="s">
        <v>81</v>
      </c>
      <c r="S341" s="4">
        <v>67.536665429999999</v>
      </c>
      <c r="W341"/>
      <c r="X341">
        <v>0</v>
      </c>
      <c r="AC341" t="s">
        <v>84</v>
      </c>
      <c r="AD341" s="39">
        <v>43647</v>
      </c>
    </row>
    <row r="342" spans="1:30" x14ac:dyDescent="0.25">
      <c r="A342">
        <v>257193</v>
      </c>
      <c r="B342" t="s">
        <v>146</v>
      </c>
      <c r="C342">
        <v>2019</v>
      </c>
      <c r="D342">
        <v>7</v>
      </c>
      <c r="E342" t="s">
        <v>88</v>
      </c>
      <c r="F342" t="s">
        <v>84</v>
      </c>
      <c r="G342" t="s">
        <v>84</v>
      </c>
      <c r="H342" t="s">
        <v>25</v>
      </c>
      <c r="I342" t="s">
        <v>25</v>
      </c>
      <c r="J342" t="s">
        <v>101</v>
      </c>
      <c r="K342" t="s">
        <v>88</v>
      </c>
      <c r="L342" t="s">
        <v>103</v>
      </c>
      <c r="M342">
        <v>259.70617061000002</v>
      </c>
      <c r="N342">
        <v>0</v>
      </c>
      <c r="O342" t="s">
        <v>80</v>
      </c>
      <c r="P342" s="39">
        <v>44269.868005127311</v>
      </c>
      <c r="Q342">
        <v>2439666</v>
      </c>
      <c r="R342" t="s">
        <v>81</v>
      </c>
      <c r="S342" s="4">
        <v>26.29917069</v>
      </c>
      <c r="W342"/>
      <c r="X342">
        <v>0</v>
      </c>
      <c r="AC342" t="s">
        <v>84</v>
      </c>
      <c r="AD342" s="39">
        <v>43647</v>
      </c>
    </row>
    <row r="343" spans="1:30" x14ac:dyDescent="0.25">
      <c r="A343">
        <v>257166</v>
      </c>
      <c r="B343" t="s">
        <v>146</v>
      </c>
      <c r="C343">
        <v>2019</v>
      </c>
      <c r="D343">
        <v>7</v>
      </c>
      <c r="E343" t="s">
        <v>86</v>
      </c>
      <c r="F343" t="s">
        <v>84</v>
      </c>
      <c r="G343" t="s">
        <v>84</v>
      </c>
      <c r="H343" t="s">
        <v>25</v>
      </c>
      <c r="I343" t="s">
        <v>25</v>
      </c>
      <c r="J343" t="s">
        <v>101</v>
      </c>
      <c r="K343" t="s">
        <v>86</v>
      </c>
      <c r="L343" t="s">
        <v>103</v>
      </c>
      <c r="M343">
        <v>1240.59596756</v>
      </c>
      <c r="N343">
        <v>0</v>
      </c>
      <c r="O343" t="s">
        <v>80</v>
      </c>
      <c r="P343" s="39">
        <v>44269.868003854157</v>
      </c>
      <c r="Q343">
        <v>2439531</v>
      </c>
      <c r="R343" t="s">
        <v>81</v>
      </c>
      <c r="S343" s="4">
        <v>147.70958109</v>
      </c>
      <c r="W343"/>
      <c r="X343">
        <v>0</v>
      </c>
      <c r="AC343" t="s">
        <v>84</v>
      </c>
      <c r="AD343" s="39">
        <v>43647</v>
      </c>
    </row>
    <row r="344" spans="1:30" x14ac:dyDescent="0.25">
      <c r="A344">
        <v>257166</v>
      </c>
      <c r="B344" t="s">
        <v>146</v>
      </c>
      <c r="C344">
        <v>2019</v>
      </c>
      <c r="D344">
        <v>7</v>
      </c>
      <c r="E344" t="s">
        <v>86</v>
      </c>
      <c r="F344" t="s">
        <v>84</v>
      </c>
      <c r="G344" t="s">
        <v>84</v>
      </c>
      <c r="H344" t="s">
        <v>25</v>
      </c>
      <c r="I344" t="s">
        <v>25</v>
      </c>
      <c r="J344" t="s">
        <v>101</v>
      </c>
      <c r="K344" t="s">
        <v>86</v>
      </c>
      <c r="L344" t="s">
        <v>103</v>
      </c>
      <c r="M344">
        <v>1240.59596756</v>
      </c>
      <c r="N344">
        <v>0</v>
      </c>
      <c r="O344" t="s">
        <v>80</v>
      </c>
      <c r="P344" s="39">
        <v>44269.868003854157</v>
      </c>
      <c r="Q344">
        <v>2439530</v>
      </c>
      <c r="R344" t="s">
        <v>27</v>
      </c>
      <c r="S344" s="4">
        <v>688.83528077000005</v>
      </c>
      <c r="W344"/>
      <c r="X344">
        <v>0</v>
      </c>
      <c r="AC344" t="s">
        <v>84</v>
      </c>
      <c r="AD344" s="39">
        <v>43647</v>
      </c>
    </row>
    <row r="345" spans="1:30" x14ac:dyDescent="0.25">
      <c r="A345">
        <v>257193</v>
      </c>
      <c r="B345" t="s">
        <v>146</v>
      </c>
      <c r="C345">
        <v>2019</v>
      </c>
      <c r="D345">
        <v>7</v>
      </c>
      <c r="E345" t="s">
        <v>88</v>
      </c>
      <c r="F345" t="s">
        <v>84</v>
      </c>
      <c r="G345" t="s">
        <v>84</v>
      </c>
      <c r="H345" t="s">
        <v>25</v>
      </c>
      <c r="I345" t="s">
        <v>25</v>
      </c>
      <c r="J345" t="s">
        <v>101</v>
      </c>
      <c r="K345" t="s">
        <v>88</v>
      </c>
      <c r="L345" t="s">
        <v>103</v>
      </c>
      <c r="M345">
        <v>259.70617061000002</v>
      </c>
      <c r="N345">
        <v>0</v>
      </c>
      <c r="O345" t="s">
        <v>80</v>
      </c>
      <c r="P345" s="39">
        <v>44269.868005127311</v>
      </c>
      <c r="Q345">
        <v>2439665</v>
      </c>
      <c r="R345" t="s">
        <v>27</v>
      </c>
      <c r="S345" s="4">
        <v>125.61466348</v>
      </c>
      <c r="W345"/>
      <c r="X345">
        <v>0</v>
      </c>
      <c r="AC345" t="s">
        <v>84</v>
      </c>
      <c r="AD345" s="39">
        <v>43647</v>
      </c>
    </row>
    <row r="346" spans="1:30" x14ac:dyDescent="0.25">
      <c r="A346">
        <v>257220</v>
      </c>
      <c r="B346" t="s">
        <v>146</v>
      </c>
      <c r="C346">
        <v>2019</v>
      </c>
      <c r="D346">
        <v>7</v>
      </c>
      <c r="E346" t="s">
        <v>90</v>
      </c>
      <c r="F346" t="s">
        <v>84</v>
      </c>
      <c r="G346" t="s">
        <v>84</v>
      </c>
      <c r="H346" t="s">
        <v>25</v>
      </c>
      <c r="I346" t="s">
        <v>25</v>
      </c>
      <c r="J346" t="s">
        <v>101</v>
      </c>
      <c r="K346" t="s">
        <v>90</v>
      </c>
      <c r="L346" t="s">
        <v>103</v>
      </c>
      <c r="M346">
        <v>665.56227894000006</v>
      </c>
      <c r="N346">
        <v>0</v>
      </c>
      <c r="O346" t="s">
        <v>80</v>
      </c>
      <c r="P346" s="39">
        <v>44269.868006446763</v>
      </c>
      <c r="Q346">
        <v>2439800</v>
      </c>
      <c r="R346" t="s">
        <v>27</v>
      </c>
      <c r="S346" s="4">
        <v>367.83953882999998</v>
      </c>
      <c r="W346"/>
      <c r="X346">
        <v>0</v>
      </c>
      <c r="AC346" t="s">
        <v>84</v>
      </c>
      <c r="AD346" s="39">
        <v>43647</v>
      </c>
    </row>
    <row r="347" spans="1:30" x14ac:dyDescent="0.25">
      <c r="A347">
        <v>257193</v>
      </c>
      <c r="B347" t="s">
        <v>146</v>
      </c>
      <c r="C347">
        <v>2019</v>
      </c>
      <c r="D347">
        <v>7</v>
      </c>
      <c r="E347" t="s">
        <v>88</v>
      </c>
      <c r="F347" t="s">
        <v>84</v>
      </c>
      <c r="G347" t="s">
        <v>84</v>
      </c>
      <c r="H347" t="s">
        <v>25</v>
      </c>
      <c r="I347" t="s">
        <v>25</v>
      </c>
      <c r="J347" t="s">
        <v>101</v>
      </c>
      <c r="K347" t="s">
        <v>88</v>
      </c>
      <c r="L347" t="s">
        <v>103</v>
      </c>
      <c r="M347">
        <v>259.70617061000002</v>
      </c>
      <c r="N347">
        <v>0</v>
      </c>
      <c r="O347" t="s">
        <v>80</v>
      </c>
      <c r="P347" s="39">
        <v>44269.868005127311</v>
      </c>
      <c r="Q347">
        <v>2439662</v>
      </c>
      <c r="R347" t="s">
        <v>91</v>
      </c>
      <c r="S347" s="4">
        <v>0</v>
      </c>
      <c r="W347"/>
      <c r="X347">
        <v>0</v>
      </c>
      <c r="AC347" t="s">
        <v>84</v>
      </c>
      <c r="AD347" s="39">
        <v>43647</v>
      </c>
    </row>
    <row r="348" spans="1:30" x14ac:dyDescent="0.25">
      <c r="A348">
        <v>257220</v>
      </c>
      <c r="B348" t="s">
        <v>146</v>
      </c>
      <c r="C348">
        <v>2019</v>
      </c>
      <c r="D348">
        <v>7</v>
      </c>
      <c r="E348" t="s">
        <v>90</v>
      </c>
      <c r="F348" t="s">
        <v>84</v>
      </c>
      <c r="G348" t="s">
        <v>84</v>
      </c>
      <c r="H348" t="s">
        <v>25</v>
      </c>
      <c r="I348" t="s">
        <v>25</v>
      </c>
      <c r="J348" t="s">
        <v>101</v>
      </c>
      <c r="K348" t="s">
        <v>90</v>
      </c>
      <c r="L348" t="s">
        <v>103</v>
      </c>
      <c r="M348">
        <v>665.56227894000006</v>
      </c>
      <c r="N348">
        <v>0</v>
      </c>
      <c r="O348" t="s">
        <v>80</v>
      </c>
      <c r="P348" s="39">
        <v>44269.868006446763</v>
      </c>
      <c r="Q348">
        <v>2439797</v>
      </c>
      <c r="R348" t="s">
        <v>91</v>
      </c>
      <c r="S348" s="4">
        <v>1.7361734</v>
      </c>
      <c r="W348"/>
      <c r="X348">
        <v>0</v>
      </c>
      <c r="AC348" t="s">
        <v>84</v>
      </c>
      <c r="AD348" s="39">
        <v>43647</v>
      </c>
    </row>
    <row r="349" spans="1:30" x14ac:dyDescent="0.25">
      <c r="A349">
        <v>257166</v>
      </c>
      <c r="B349" t="s">
        <v>146</v>
      </c>
      <c r="C349">
        <v>2019</v>
      </c>
      <c r="D349">
        <v>7</v>
      </c>
      <c r="E349" t="s">
        <v>86</v>
      </c>
      <c r="F349" t="s">
        <v>84</v>
      </c>
      <c r="G349" t="s">
        <v>84</v>
      </c>
      <c r="H349" t="s">
        <v>25</v>
      </c>
      <c r="I349" t="s">
        <v>25</v>
      </c>
      <c r="J349" t="s">
        <v>101</v>
      </c>
      <c r="K349" t="s">
        <v>86</v>
      </c>
      <c r="L349" t="s">
        <v>103</v>
      </c>
      <c r="M349">
        <v>1240.59596756</v>
      </c>
      <c r="N349">
        <v>0</v>
      </c>
      <c r="O349" t="s">
        <v>80</v>
      </c>
      <c r="P349" s="39">
        <v>44269.868003854157</v>
      </c>
      <c r="Q349">
        <v>2439527</v>
      </c>
      <c r="R349" t="s">
        <v>91</v>
      </c>
      <c r="S349" s="4">
        <v>3.3442477500000001</v>
      </c>
      <c r="W349"/>
      <c r="X349">
        <v>0</v>
      </c>
      <c r="AC349" t="s">
        <v>84</v>
      </c>
      <c r="AD349" s="39">
        <v>43647</v>
      </c>
    </row>
    <row r="350" spans="1:30" x14ac:dyDescent="0.25">
      <c r="A350">
        <v>257220</v>
      </c>
      <c r="B350" t="s">
        <v>146</v>
      </c>
      <c r="C350">
        <v>2019</v>
      </c>
      <c r="D350">
        <v>7</v>
      </c>
      <c r="E350" t="s">
        <v>90</v>
      </c>
      <c r="F350" t="s">
        <v>84</v>
      </c>
      <c r="G350" t="s">
        <v>84</v>
      </c>
      <c r="H350" t="s">
        <v>25</v>
      </c>
      <c r="I350" t="s">
        <v>25</v>
      </c>
      <c r="J350" t="s">
        <v>101</v>
      </c>
      <c r="K350" t="s">
        <v>90</v>
      </c>
      <c r="L350" t="s">
        <v>103</v>
      </c>
      <c r="M350">
        <v>665.56227894000006</v>
      </c>
      <c r="N350">
        <v>0</v>
      </c>
      <c r="O350" t="s">
        <v>80</v>
      </c>
      <c r="P350" s="39">
        <v>44269.868006446763</v>
      </c>
      <c r="Q350">
        <v>2439799</v>
      </c>
      <c r="R350" t="s">
        <v>28</v>
      </c>
      <c r="S350" s="4">
        <v>1.5624257699999999</v>
      </c>
      <c r="W350"/>
      <c r="X350">
        <v>0</v>
      </c>
      <c r="AC350" t="s">
        <v>84</v>
      </c>
      <c r="AD350" s="39">
        <v>43647</v>
      </c>
    </row>
    <row r="351" spans="1:30" x14ac:dyDescent="0.25">
      <c r="A351">
        <v>257166</v>
      </c>
      <c r="B351" t="s">
        <v>146</v>
      </c>
      <c r="C351">
        <v>2019</v>
      </c>
      <c r="D351">
        <v>7</v>
      </c>
      <c r="E351" t="s">
        <v>86</v>
      </c>
      <c r="F351" t="s">
        <v>84</v>
      </c>
      <c r="G351" t="s">
        <v>84</v>
      </c>
      <c r="H351" t="s">
        <v>25</v>
      </c>
      <c r="I351" t="s">
        <v>25</v>
      </c>
      <c r="J351" t="s">
        <v>101</v>
      </c>
      <c r="K351" t="s">
        <v>86</v>
      </c>
      <c r="L351" t="s">
        <v>103</v>
      </c>
      <c r="M351">
        <v>1240.59596756</v>
      </c>
      <c r="N351">
        <v>0</v>
      </c>
      <c r="O351" t="s">
        <v>80</v>
      </c>
      <c r="P351" s="39">
        <v>44269.868003854157</v>
      </c>
      <c r="Q351">
        <v>2439529</v>
      </c>
      <c r="R351" t="s">
        <v>28</v>
      </c>
      <c r="S351" s="4">
        <v>3.1079404899999998</v>
      </c>
      <c r="W351"/>
      <c r="X351">
        <v>0</v>
      </c>
      <c r="AC351" t="s">
        <v>84</v>
      </c>
      <c r="AD351" s="39">
        <v>43647</v>
      </c>
    </row>
    <row r="352" spans="1:30" x14ac:dyDescent="0.25">
      <c r="A352">
        <v>257193</v>
      </c>
      <c r="B352" t="s">
        <v>146</v>
      </c>
      <c r="C352">
        <v>2019</v>
      </c>
      <c r="D352">
        <v>7</v>
      </c>
      <c r="E352" t="s">
        <v>88</v>
      </c>
      <c r="F352" t="s">
        <v>84</v>
      </c>
      <c r="G352" t="s">
        <v>84</v>
      </c>
      <c r="H352" t="s">
        <v>25</v>
      </c>
      <c r="I352" t="s">
        <v>25</v>
      </c>
      <c r="J352" t="s">
        <v>101</v>
      </c>
      <c r="K352" t="s">
        <v>88</v>
      </c>
      <c r="L352" t="s">
        <v>103</v>
      </c>
      <c r="M352">
        <v>259.70617061000002</v>
      </c>
      <c r="N352">
        <v>0</v>
      </c>
      <c r="O352" t="s">
        <v>80</v>
      </c>
      <c r="P352" s="39">
        <v>44269.868005127311</v>
      </c>
      <c r="Q352">
        <v>2439664</v>
      </c>
      <c r="R352" t="s">
        <v>28</v>
      </c>
      <c r="S352" s="4">
        <v>0</v>
      </c>
      <c r="W352"/>
      <c r="X352">
        <v>0</v>
      </c>
      <c r="AC352" t="s">
        <v>84</v>
      </c>
      <c r="AD352" s="39">
        <v>43647</v>
      </c>
    </row>
    <row r="353" spans="1:30" x14ac:dyDescent="0.25">
      <c r="A353">
        <v>270966</v>
      </c>
      <c r="B353" t="s">
        <v>151</v>
      </c>
      <c r="C353">
        <v>2019</v>
      </c>
      <c r="D353">
        <v>8</v>
      </c>
      <c r="E353" t="s">
        <v>88</v>
      </c>
      <c r="F353" t="s">
        <v>84</v>
      </c>
      <c r="G353" t="s">
        <v>84</v>
      </c>
      <c r="H353" t="s">
        <v>25</v>
      </c>
      <c r="I353" t="s">
        <v>25</v>
      </c>
      <c r="J353" t="s">
        <v>101</v>
      </c>
      <c r="K353" t="s">
        <v>88</v>
      </c>
      <c r="L353" t="s">
        <v>103</v>
      </c>
      <c r="M353">
        <v>293.74292012000001</v>
      </c>
      <c r="N353">
        <v>0</v>
      </c>
      <c r="O353" t="s">
        <v>80</v>
      </c>
      <c r="P353" s="39">
        <v>44269.869631712972</v>
      </c>
      <c r="Q353">
        <v>2570055</v>
      </c>
      <c r="R353" t="s">
        <v>26</v>
      </c>
      <c r="S353" s="4">
        <v>128.18159571000001</v>
      </c>
      <c r="W353"/>
      <c r="X353">
        <v>0</v>
      </c>
      <c r="AC353" t="s">
        <v>84</v>
      </c>
      <c r="AD353" s="39">
        <v>43678</v>
      </c>
    </row>
    <row r="354" spans="1:30" x14ac:dyDescent="0.25">
      <c r="A354">
        <v>270993</v>
      </c>
      <c r="B354" t="s">
        <v>151</v>
      </c>
      <c r="C354">
        <v>2019</v>
      </c>
      <c r="D354">
        <v>8</v>
      </c>
      <c r="E354" t="s">
        <v>90</v>
      </c>
      <c r="F354" t="s">
        <v>84</v>
      </c>
      <c r="G354" t="s">
        <v>84</v>
      </c>
      <c r="H354" t="s">
        <v>25</v>
      </c>
      <c r="I354" t="s">
        <v>25</v>
      </c>
      <c r="J354" t="s">
        <v>101</v>
      </c>
      <c r="K354" t="s">
        <v>90</v>
      </c>
      <c r="L354" t="s">
        <v>103</v>
      </c>
      <c r="M354">
        <v>553.34695345</v>
      </c>
      <c r="N354">
        <v>0</v>
      </c>
      <c r="O354" t="s">
        <v>80</v>
      </c>
      <c r="P354" s="39">
        <v>44269.869632986112</v>
      </c>
      <c r="Q354">
        <v>2570190</v>
      </c>
      <c r="R354" t="s">
        <v>26</v>
      </c>
      <c r="S354" s="4">
        <v>200.43021435</v>
      </c>
      <c r="W354"/>
      <c r="X354">
        <v>0</v>
      </c>
      <c r="AC354" t="s">
        <v>84</v>
      </c>
      <c r="AD354" s="39">
        <v>43678</v>
      </c>
    </row>
    <row r="355" spans="1:30" x14ac:dyDescent="0.25">
      <c r="A355">
        <v>270939</v>
      </c>
      <c r="B355" t="s">
        <v>151</v>
      </c>
      <c r="C355">
        <v>2019</v>
      </c>
      <c r="D355">
        <v>8</v>
      </c>
      <c r="E355" t="s">
        <v>86</v>
      </c>
      <c r="F355" t="s">
        <v>84</v>
      </c>
      <c r="G355" t="s">
        <v>84</v>
      </c>
      <c r="H355" t="s">
        <v>25</v>
      </c>
      <c r="I355" t="s">
        <v>25</v>
      </c>
      <c r="J355" t="s">
        <v>101</v>
      </c>
      <c r="K355" t="s">
        <v>86</v>
      </c>
      <c r="L355" t="s">
        <v>103</v>
      </c>
      <c r="M355">
        <v>1193.87028252</v>
      </c>
      <c r="N355">
        <v>0</v>
      </c>
      <c r="O355" t="s">
        <v>80</v>
      </c>
      <c r="P355" s="39">
        <v>44269.869630439818</v>
      </c>
      <c r="Q355">
        <v>2569920</v>
      </c>
      <c r="R355" t="s">
        <v>26</v>
      </c>
      <c r="S355" s="4">
        <v>408.07522839000001</v>
      </c>
      <c r="W355"/>
      <c r="X355">
        <v>0</v>
      </c>
      <c r="AC355" t="s">
        <v>84</v>
      </c>
      <c r="AD355" s="39">
        <v>43678</v>
      </c>
    </row>
    <row r="356" spans="1:30" x14ac:dyDescent="0.25">
      <c r="A356">
        <v>270966</v>
      </c>
      <c r="B356" t="s">
        <v>151</v>
      </c>
      <c r="C356">
        <v>2019</v>
      </c>
      <c r="D356">
        <v>8</v>
      </c>
      <c r="E356" t="s">
        <v>88</v>
      </c>
      <c r="F356" t="s">
        <v>84</v>
      </c>
      <c r="G356" t="s">
        <v>84</v>
      </c>
      <c r="H356" t="s">
        <v>25</v>
      </c>
      <c r="I356" t="s">
        <v>25</v>
      </c>
      <c r="J356" t="s">
        <v>101</v>
      </c>
      <c r="K356" t="s">
        <v>88</v>
      </c>
      <c r="L356" t="s">
        <v>103</v>
      </c>
      <c r="M356">
        <v>293.74292012000001</v>
      </c>
      <c r="N356">
        <v>0</v>
      </c>
      <c r="O356" t="s">
        <v>80</v>
      </c>
      <c r="P356" s="39">
        <v>44269.869631712972</v>
      </c>
      <c r="Q356">
        <v>2570058</v>
      </c>
      <c r="R356" t="s">
        <v>81</v>
      </c>
      <c r="S356" s="4">
        <v>29.745905449999999</v>
      </c>
      <c r="W356"/>
      <c r="X356">
        <v>0</v>
      </c>
      <c r="AC356" t="s">
        <v>84</v>
      </c>
      <c r="AD356" s="39">
        <v>43678</v>
      </c>
    </row>
    <row r="357" spans="1:30" x14ac:dyDescent="0.25">
      <c r="A357">
        <v>270993</v>
      </c>
      <c r="B357" t="s">
        <v>151</v>
      </c>
      <c r="C357">
        <v>2019</v>
      </c>
      <c r="D357">
        <v>8</v>
      </c>
      <c r="E357" t="s">
        <v>90</v>
      </c>
      <c r="F357" t="s">
        <v>84</v>
      </c>
      <c r="G357" t="s">
        <v>84</v>
      </c>
      <c r="H357" t="s">
        <v>25</v>
      </c>
      <c r="I357" t="s">
        <v>25</v>
      </c>
      <c r="J357" t="s">
        <v>101</v>
      </c>
      <c r="K357" t="s">
        <v>90</v>
      </c>
      <c r="L357" t="s">
        <v>103</v>
      </c>
      <c r="M357">
        <v>553.34695345</v>
      </c>
      <c r="N357">
        <v>0</v>
      </c>
      <c r="O357" t="s">
        <v>80</v>
      </c>
      <c r="P357" s="39">
        <v>44269.869632986112</v>
      </c>
      <c r="Q357">
        <v>2570193</v>
      </c>
      <c r="R357" t="s">
        <v>81</v>
      </c>
      <c r="S357" s="4">
        <v>56.14982887</v>
      </c>
      <c r="W357"/>
      <c r="X357">
        <v>0</v>
      </c>
      <c r="AC357" t="s">
        <v>84</v>
      </c>
      <c r="AD357" s="39">
        <v>43678</v>
      </c>
    </row>
    <row r="358" spans="1:30" x14ac:dyDescent="0.25">
      <c r="A358">
        <v>270939</v>
      </c>
      <c r="B358" t="s">
        <v>151</v>
      </c>
      <c r="C358">
        <v>2019</v>
      </c>
      <c r="D358">
        <v>8</v>
      </c>
      <c r="E358" t="s">
        <v>86</v>
      </c>
      <c r="F358" t="s">
        <v>84</v>
      </c>
      <c r="G358" t="s">
        <v>84</v>
      </c>
      <c r="H358" t="s">
        <v>25</v>
      </c>
      <c r="I358" t="s">
        <v>25</v>
      </c>
      <c r="J358" t="s">
        <v>101</v>
      </c>
      <c r="K358" t="s">
        <v>86</v>
      </c>
      <c r="L358" t="s">
        <v>103</v>
      </c>
      <c r="M358">
        <v>1193.87028252</v>
      </c>
      <c r="N358">
        <v>0</v>
      </c>
      <c r="O358" t="s">
        <v>80</v>
      </c>
      <c r="P358" s="39">
        <v>44269.869630439818</v>
      </c>
      <c r="Q358">
        <v>2569923</v>
      </c>
      <c r="R358" t="s">
        <v>81</v>
      </c>
      <c r="S358" s="4">
        <v>142.14626189000001</v>
      </c>
      <c r="W358"/>
      <c r="X358">
        <v>0</v>
      </c>
      <c r="AC358" t="s">
        <v>84</v>
      </c>
      <c r="AD358" s="39">
        <v>43678</v>
      </c>
    </row>
    <row r="359" spans="1:30" x14ac:dyDescent="0.25">
      <c r="A359">
        <v>270993</v>
      </c>
      <c r="B359" t="s">
        <v>151</v>
      </c>
      <c r="C359">
        <v>2019</v>
      </c>
      <c r="D359">
        <v>8</v>
      </c>
      <c r="E359" t="s">
        <v>90</v>
      </c>
      <c r="F359" t="s">
        <v>84</v>
      </c>
      <c r="G359" t="s">
        <v>84</v>
      </c>
      <c r="H359" t="s">
        <v>25</v>
      </c>
      <c r="I359" t="s">
        <v>25</v>
      </c>
      <c r="J359" t="s">
        <v>101</v>
      </c>
      <c r="K359" t="s">
        <v>90</v>
      </c>
      <c r="L359" t="s">
        <v>103</v>
      </c>
      <c r="M359">
        <v>553.34695345</v>
      </c>
      <c r="N359">
        <v>0</v>
      </c>
      <c r="O359" t="s">
        <v>80</v>
      </c>
      <c r="P359" s="39">
        <v>44269.869632986112</v>
      </c>
      <c r="Q359">
        <v>2570192</v>
      </c>
      <c r="R359" t="s">
        <v>27</v>
      </c>
      <c r="S359" s="4">
        <v>305.82094961000001</v>
      </c>
      <c r="W359"/>
      <c r="X359">
        <v>0</v>
      </c>
      <c r="AC359" t="s">
        <v>84</v>
      </c>
      <c r="AD359" s="39">
        <v>43678</v>
      </c>
    </row>
    <row r="360" spans="1:30" x14ac:dyDescent="0.25">
      <c r="A360">
        <v>270939</v>
      </c>
      <c r="B360" t="s">
        <v>151</v>
      </c>
      <c r="C360">
        <v>2019</v>
      </c>
      <c r="D360">
        <v>8</v>
      </c>
      <c r="E360" t="s">
        <v>86</v>
      </c>
      <c r="F360" t="s">
        <v>84</v>
      </c>
      <c r="G360" t="s">
        <v>84</v>
      </c>
      <c r="H360" t="s">
        <v>25</v>
      </c>
      <c r="I360" t="s">
        <v>25</v>
      </c>
      <c r="J360" t="s">
        <v>101</v>
      </c>
      <c r="K360" t="s">
        <v>86</v>
      </c>
      <c r="L360" t="s">
        <v>103</v>
      </c>
      <c r="M360">
        <v>1193.87028252</v>
      </c>
      <c r="N360">
        <v>0</v>
      </c>
      <c r="O360" t="s">
        <v>80</v>
      </c>
      <c r="P360" s="39">
        <v>44269.869630439818</v>
      </c>
      <c r="Q360">
        <v>2569922</v>
      </c>
      <c r="R360" t="s">
        <v>27</v>
      </c>
      <c r="S360" s="4">
        <v>662.89105620999999</v>
      </c>
      <c r="W360"/>
      <c r="X360">
        <v>0</v>
      </c>
      <c r="AC360" t="s">
        <v>84</v>
      </c>
      <c r="AD360" s="39">
        <v>43678</v>
      </c>
    </row>
    <row r="361" spans="1:30" x14ac:dyDescent="0.25">
      <c r="A361">
        <v>270966</v>
      </c>
      <c r="B361" t="s">
        <v>151</v>
      </c>
      <c r="C361">
        <v>2019</v>
      </c>
      <c r="D361">
        <v>8</v>
      </c>
      <c r="E361" t="s">
        <v>88</v>
      </c>
      <c r="F361" t="s">
        <v>84</v>
      </c>
      <c r="G361" t="s">
        <v>84</v>
      </c>
      <c r="H361" t="s">
        <v>25</v>
      </c>
      <c r="I361" t="s">
        <v>25</v>
      </c>
      <c r="J361" t="s">
        <v>101</v>
      </c>
      <c r="K361" t="s">
        <v>88</v>
      </c>
      <c r="L361" t="s">
        <v>103</v>
      </c>
      <c r="M361">
        <v>293.74292012000001</v>
      </c>
      <c r="N361">
        <v>0</v>
      </c>
      <c r="O361" t="s">
        <v>80</v>
      </c>
      <c r="P361" s="39">
        <v>44269.869631712972</v>
      </c>
      <c r="Q361">
        <v>2570057</v>
      </c>
      <c r="R361" t="s">
        <v>27</v>
      </c>
      <c r="S361" s="4">
        <v>142.07755624999999</v>
      </c>
      <c r="W361"/>
      <c r="X361">
        <v>0</v>
      </c>
      <c r="AC361" t="s">
        <v>84</v>
      </c>
      <c r="AD361" s="39">
        <v>43678</v>
      </c>
    </row>
    <row r="362" spans="1:30" x14ac:dyDescent="0.25">
      <c r="A362">
        <v>270966</v>
      </c>
      <c r="B362" t="s">
        <v>151</v>
      </c>
      <c r="C362">
        <v>2019</v>
      </c>
      <c r="D362">
        <v>8</v>
      </c>
      <c r="E362" t="s">
        <v>88</v>
      </c>
      <c r="F362" t="s">
        <v>84</v>
      </c>
      <c r="G362" t="s">
        <v>84</v>
      </c>
      <c r="H362" t="s">
        <v>25</v>
      </c>
      <c r="I362" t="s">
        <v>25</v>
      </c>
      <c r="J362" t="s">
        <v>101</v>
      </c>
      <c r="K362" t="s">
        <v>88</v>
      </c>
      <c r="L362" t="s">
        <v>103</v>
      </c>
      <c r="M362">
        <v>293.74292012000001</v>
      </c>
      <c r="N362">
        <v>0</v>
      </c>
      <c r="O362" t="s">
        <v>80</v>
      </c>
      <c r="P362" s="39">
        <v>44269.869631712972</v>
      </c>
      <c r="Q362">
        <v>2570054</v>
      </c>
      <c r="R362" t="s">
        <v>91</v>
      </c>
      <c r="S362" s="4">
        <v>0</v>
      </c>
      <c r="W362"/>
      <c r="X362">
        <v>0</v>
      </c>
      <c r="AC362" t="s">
        <v>84</v>
      </c>
      <c r="AD362" s="39">
        <v>43678</v>
      </c>
    </row>
    <row r="363" spans="1:30" x14ac:dyDescent="0.25">
      <c r="A363">
        <v>270939</v>
      </c>
      <c r="B363" t="s">
        <v>151</v>
      </c>
      <c r="C363">
        <v>2019</v>
      </c>
      <c r="D363">
        <v>8</v>
      </c>
      <c r="E363" t="s">
        <v>86</v>
      </c>
      <c r="F363" t="s">
        <v>84</v>
      </c>
      <c r="G363" t="s">
        <v>84</v>
      </c>
      <c r="H363" t="s">
        <v>25</v>
      </c>
      <c r="I363" t="s">
        <v>25</v>
      </c>
      <c r="J363" t="s">
        <v>101</v>
      </c>
      <c r="K363" t="s">
        <v>86</v>
      </c>
      <c r="L363" t="s">
        <v>103</v>
      </c>
      <c r="M363">
        <v>1193.87028252</v>
      </c>
      <c r="N363">
        <v>0</v>
      </c>
      <c r="O363" t="s">
        <v>80</v>
      </c>
      <c r="P363" s="39">
        <v>44269.869630439818</v>
      </c>
      <c r="Q363">
        <v>2569919</v>
      </c>
      <c r="R363" t="s">
        <v>91</v>
      </c>
      <c r="S363" s="4">
        <v>3.2182903299999999</v>
      </c>
      <c r="W363"/>
      <c r="X363">
        <v>0</v>
      </c>
      <c r="AC363" t="s">
        <v>84</v>
      </c>
      <c r="AD363" s="39">
        <v>43678</v>
      </c>
    </row>
    <row r="364" spans="1:30" x14ac:dyDescent="0.25">
      <c r="A364">
        <v>270993</v>
      </c>
      <c r="B364" t="s">
        <v>151</v>
      </c>
      <c r="C364">
        <v>2019</v>
      </c>
      <c r="D364">
        <v>8</v>
      </c>
      <c r="E364" t="s">
        <v>90</v>
      </c>
      <c r="F364" t="s">
        <v>84</v>
      </c>
      <c r="G364" t="s">
        <v>84</v>
      </c>
      <c r="H364" t="s">
        <v>25</v>
      </c>
      <c r="I364" t="s">
        <v>25</v>
      </c>
      <c r="J364" t="s">
        <v>101</v>
      </c>
      <c r="K364" t="s">
        <v>90</v>
      </c>
      <c r="L364" t="s">
        <v>103</v>
      </c>
      <c r="M364">
        <v>553.34695345</v>
      </c>
      <c r="N364">
        <v>0</v>
      </c>
      <c r="O364" t="s">
        <v>80</v>
      </c>
      <c r="P364" s="39">
        <v>44269.869632986112</v>
      </c>
      <c r="Q364">
        <v>2570189</v>
      </c>
      <c r="R364" t="s">
        <v>91</v>
      </c>
      <c r="S364" s="4">
        <v>1.4434505799999999</v>
      </c>
      <c r="W364"/>
      <c r="X364">
        <v>0</v>
      </c>
      <c r="AC364" t="s">
        <v>84</v>
      </c>
      <c r="AD364" s="39">
        <v>43678</v>
      </c>
    </row>
    <row r="365" spans="1:30" x14ac:dyDescent="0.25">
      <c r="A365">
        <v>270966</v>
      </c>
      <c r="B365" t="s">
        <v>151</v>
      </c>
      <c r="C365">
        <v>2019</v>
      </c>
      <c r="D365">
        <v>8</v>
      </c>
      <c r="E365" t="s">
        <v>88</v>
      </c>
      <c r="F365" t="s">
        <v>84</v>
      </c>
      <c r="G365" t="s">
        <v>84</v>
      </c>
      <c r="H365" t="s">
        <v>25</v>
      </c>
      <c r="I365" t="s">
        <v>25</v>
      </c>
      <c r="J365" t="s">
        <v>101</v>
      </c>
      <c r="K365" t="s">
        <v>88</v>
      </c>
      <c r="L365" t="s">
        <v>103</v>
      </c>
      <c r="M365">
        <v>293.74292012000001</v>
      </c>
      <c r="N365">
        <v>0</v>
      </c>
      <c r="O365" t="s">
        <v>80</v>
      </c>
      <c r="P365" s="39">
        <v>44269.869631712972</v>
      </c>
      <c r="Q365">
        <v>2570056</v>
      </c>
      <c r="R365" t="s">
        <v>28</v>
      </c>
      <c r="S365" s="4">
        <v>0</v>
      </c>
      <c r="W365"/>
      <c r="X365">
        <v>0</v>
      </c>
      <c r="AC365" t="s">
        <v>84</v>
      </c>
      <c r="AD365" s="39">
        <v>43678</v>
      </c>
    </row>
    <row r="366" spans="1:30" x14ac:dyDescent="0.25">
      <c r="A366">
        <v>270939</v>
      </c>
      <c r="B366" t="s">
        <v>151</v>
      </c>
      <c r="C366">
        <v>2019</v>
      </c>
      <c r="D366">
        <v>8</v>
      </c>
      <c r="E366" t="s">
        <v>86</v>
      </c>
      <c r="F366" t="s">
        <v>84</v>
      </c>
      <c r="G366" t="s">
        <v>84</v>
      </c>
      <c r="H366" t="s">
        <v>25</v>
      </c>
      <c r="I366" t="s">
        <v>25</v>
      </c>
      <c r="J366" t="s">
        <v>101</v>
      </c>
      <c r="K366" t="s">
        <v>86</v>
      </c>
      <c r="L366" t="s">
        <v>103</v>
      </c>
      <c r="M366">
        <v>1193.87028252</v>
      </c>
      <c r="N366">
        <v>0</v>
      </c>
      <c r="O366" t="s">
        <v>80</v>
      </c>
      <c r="P366" s="39">
        <v>44269.869630439818</v>
      </c>
      <c r="Q366">
        <v>2569921</v>
      </c>
      <c r="R366" t="s">
        <v>28</v>
      </c>
      <c r="S366" s="4">
        <v>2.99088332</v>
      </c>
      <c r="W366"/>
      <c r="X366">
        <v>0</v>
      </c>
      <c r="AC366" t="s">
        <v>84</v>
      </c>
      <c r="AD366" s="39">
        <v>43678</v>
      </c>
    </row>
    <row r="367" spans="1:30" x14ac:dyDescent="0.25">
      <c r="A367">
        <v>270993</v>
      </c>
      <c r="B367" t="s">
        <v>151</v>
      </c>
      <c r="C367">
        <v>2019</v>
      </c>
      <c r="D367">
        <v>8</v>
      </c>
      <c r="E367" t="s">
        <v>90</v>
      </c>
      <c r="F367" t="s">
        <v>84</v>
      </c>
      <c r="G367" t="s">
        <v>84</v>
      </c>
      <c r="H367" t="s">
        <v>25</v>
      </c>
      <c r="I367" t="s">
        <v>25</v>
      </c>
      <c r="J367" t="s">
        <v>101</v>
      </c>
      <c r="K367" t="s">
        <v>90</v>
      </c>
      <c r="L367" t="s">
        <v>103</v>
      </c>
      <c r="M367">
        <v>553.34695345</v>
      </c>
      <c r="N367">
        <v>0</v>
      </c>
      <c r="O367" t="s">
        <v>80</v>
      </c>
      <c r="P367" s="39">
        <v>44269.869632986112</v>
      </c>
      <c r="Q367">
        <v>2570191</v>
      </c>
      <c r="R367" t="s">
        <v>28</v>
      </c>
      <c r="S367" s="4">
        <v>1.29899721</v>
      </c>
      <c r="W367"/>
      <c r="X367">
        <v>0</v>
      </c>
      <c r="AC367" t="s">
        <v>84</v>
      </c>
      <c r="AD367" s="39">
        <v>43678</v>
      </c>
    </row>
    <row r="368" spans="1:30" x14ac:dyDescent="0.25">
      <c r="A368">
        <v>273480</v>
      </c>
      <c r="B368" t="s">
        <v>154</v>
      </c>
      <c r="C368">
        <v>2019</v>
      </c>
      <c r="D368">
        <v>9</v>
      </c>
      <c r="E368" t="s">
        <v>88</v>
      </c>
      <c r="F368" t="s">
        <v>84</v>
      </c>
      <c r="G368" t="s">
        <v>84</v>
      </c>
      <c r="H368" t="s">
        <v>25</v>
      </c>
      <c r="I368" t="s">
        <v>25</v>
      </c>
      <c r="J368" t="s">
        <v>101</v>
      </c>
      <c r="K368" t="s">
        <v>88</v>
      </c>
      <c r="L368" t="s">
        <v>103</v>
      </c>
      <c r="M368">
        <v>254.44613530000001</v>
      </c>
      <c r="N368">
        <v>0</v>
      </c>
      <c r="O368" t="s">
        <v>80</v>
      </c>
      <c r="P368" s="39">
        <v>44269.870332719911</v>
      </c>
      <c r="Q368">
        <v>2586874</v>
      </c>
      <c r="R368" t="s">
        <v>26</v>
      </c>
      <c r="S368" s="4">
        <v>111.03352425</v>
      </c>
      <c r="W368"/>
      <c r="X368">
        <v>0</v>
      </c>
      <c r="AC368" t="s">
        <v>84</v>
      </c>
      <c r="AD368" s="39">
        <v>43709</v>
      </c>
    </row>
    <row r="369" spans="1:30" x14ac:dyDescent="0.25">
      <c r="A369">
        <v>273453</v>
      </c>
      <c r="B369" t="s">
        <v>154</v>
      </c>
      <c r="C369">
        <v>2019</v>
      </c>
      <c r="D369">
        <v>9</v>
      </c>
      <c r="E369" t="s">
        <v>86</v>
      </c>
      <c r="F369" t="s">
        <v>84</v>
      </c>
      <c r="G369" t="s">
        <v>84</v>
      </c>
      <c r="H369" t="s">
        <v>25</v>
      </c>
      <c r="I369" t="s">
        <v>25</v>
      </c>
      <c r="J369" t="s">
        <v>101</v>
      </c>
      <c r="K369" t="s">
        <v>86</v>
      </c>
      <c r="L369" t="s">
        <v>103</v>
      </c>
      <c r="M369">
        <v>1168.3183385699999</v>
      </c>
      <c r="N369">
        <v>0</v>
      </c>
      <c r="O369" t="s">
        <v>80</v>
      </c>
      <c r="P369" s="39">
        <v>44269.870331331018</v>
      </c>
      <c r="Q369">
        <v>2586739</v>
      </c>
      <c r="R369" t="s">
        <v>26</v>
      </c>
      <c r="S369" s="4">
        <v>399.34135208999999</v>
      </c>
      <c r="W369"/>
      <c r="X369">
        <v>0</v>
      </c>
      <c r="AC369" t="s">
        <v>84</v>
      </c>
      <c r="AD369" s="39">
        <v>43709</v>
      </c>
    </row>
    <row r="370" spans="1:30" x14ac:dyDescent="0.25">
      <c r="A370">
        <v>273507</v>
      </c>
      <c r="B370" t="s">
        <v>154</v>
      </c>
      <c r="C370">
        <v>2019</v>
      </c>
      <c r="D370">
        <v>9</v>
      </c>
      <c r="E370" t="s">
        <v>90</v>
      </c>
      <c r="F370" t="s">
        <v>84</v>
      </c>
      <c r="G370" t="s">
        <v>84</v>
      </c>
      <c r="H370" t="s">
        <v>25</v>
      </c>
      <c r="I370" t="s">
        <v>25</v>
      </c>
      <c r="J370" t="s">
        <v>101</v>
      </c>
      <c r="K370" t="s">
        <v>90</v>
      </c>
      <c r="L370" t="s">
        <v>103</v>
      </c>
      <c r="M370">
        <v>533.50070271000004</v>
      </c>
      <c r="N370">
        <v>0</v>
      </c>
      <c r="O370" t="s">
        <v>80</v>
      </c>
      <c r="P370" s="39">
        <v>44269.870334027779</v>
      </c>
      <c r="Q370">
        <v>2587009</v>
      </c>
      <c r="R370" t="s">
        <v>26</v>
      </c>
      <c r="S370" s="4">
        <v>193.24161728000001</v>
      </c>
      <c r="W370"/>
      <c r="X370">
        <v>0</v>
      </c>
      <c r="AC370" t="s">
        <v>84</v>
      </c>
      <c r="AD370" s="39">
        <v>43709</v>
      </c>
    </row>
    <row r="371" spans="1:30" x14ac:dyDescent="0.25">
      <c r="A371">
        <v>273507</v>
      </c>
      <c r="B371" t="s">
        <v>154</v>
      </c>
      <c r="C371">
        <v>2019</v>
      </c>
      <c r="D371">
        <v>9</v>
      </c>
      <c r="E371" t="s">
        <v>90</v>
      </c>
      <c r="F371" t="s">
        <v>84</v>
      </c>
      <c r="G371" t="s">
        <v>84</v>
      </c>
      <c r="H371" t="s">
        <v>25</v>
      </c>
      <c r="I371" t="s">
        <v>25</v>
      </c>
      <c r="J371" t="s">
        <v>101</v>
      </c>
      <c r="K371" t="s">
        <v>90</v>
      </c>
      <c r="L371" t="s">
        <v>103</v>
      </c>
      <c r="M371">
        <v>533.50070271000004</v>
      </c>
      <c r="N371">
        <v>0</v>
      </c>
      <c r="O371" t="s">
        <v>80</v>
      </c>
      <c r="P371" s="39">
        <v>44269.870334027779</v>
      </c>
      <c r="Q371">
        <v>2587012</v>
      </c>
      <c r="R371" t="s">
        <v>81</v>
      </c>
      <c r="S371" s="4">
        <v>54.135968349999999</v>
      </c>
      <c r="W371"/>
      <c r="X371">
        <v>0</v>
      </c>
      <c r="AC371" t="s">
        <v>84</v>
      </c>
      <c r="AD371" s="39">
        <v>43709</v>
      </c>
    </row>
    <row r="372" spans="1:30" x14ac:dyDescent="0.25">
      <c r="A372">
        <v>273480</v>
      </c>
      <c r="B372" t="s">
        <v>154</v>
      </c>
      <c r="C372">
        <v>2019</v>
      </c>
      <c r="D372">
        <v>9</v>
      </c>
      <c r="E372" t="s">
        <v>88</v>
      </c>
      <c r="F372" t="s">
        <v>84</v>
      </c>
      <c r="G372" t="s">
        <v>84</v>
      </c>
      <c r="H372" t="s">
        <v>25</v>
      </c>
      <c r="I372" t="s">
        <v>25</v>
      </c>
      <c r="J372" t="s">
        <v>101</v>
      </c>
      <c r="K372" t="s">
        <v>88</v>
      </c>
      <c r="L372" t="s">
        <v>103</v>
      </c>
      <c r="M372">
        <v>254.44613530000001</v>
      </c>
      <c r="N372">
        <v>0</v>
      </c>
      <c r="O372" t="s">
        <v>80</v>
      </c>
      <c r="P372" s="39">
        <v>44269.870332719911</v>
      </c>
      <c r="Q372">
        <v>2586877</v>
      </c>
      <c r="R372" t="s">
        <v>81</v>
      </c>
      <c r="S372" s="4">
        <v>25.7665127</v>
      </c>
      <c r="W372"/>
      <c r="X372">
        <v>0</v>
      </c>
      <c r="AC372" t="s">
        <v>84</v>
      </c>
      <c r="AD372" s="39">
        <v>43709</v>
      </c>
    </row>
    <row r="373" spans="1:30" x14ac:dyDescent="0.25">
      <c r="A373">
        <v>273453</v>
      </c>
      <c r="B373" t="s">
        <v>154</v>
      </c>
      <c r="C373">
        <v>2019</v>
      </c>
      <c r="D373">
        <v>9</v>
      </c>
      <c r="E373" t="s">
        <v>86</v>
      </c>
      <c r="F373" t="s">
        <v>84</v>
      </c>
      <c r="G373" t="s">
        <v>84</v>
      </c>
      <c r="H373" t="s">
        <v>25</v>
      </c>
      <c r="I373" t="s">
        <v>25</v>
      </c>
      <c r="J373" t="s">
        <v>101</v>
      </c>
      <c r="K373" t="s">
        <v>86</v>
      </c>
      <c r="L373" t="s">
        <v>103</v>
      </c>
      <c r="M373">
        <v>1168.3183385699999</v>
      </c>
      <c r="N373">
        <v>0</v>
      </c>
      <c r="O373" t="s">
        <v>80</v>
      </c>
      <c r="P373" s="39">
        <v>44269.870331331018</v>
      </c>
      <c r="Q373">
        <v>2586742</v>
      </c>
      <c r="R373" t="s">
        <v>81</v>
      </c>
      <c r="S373" s="4">
        <v>139.10396041999999</v>
      </c>
      <c r="W373"/>
      <c r="X373">
        <v>0</v>
      </c>
      <c r="AC373" t="s">
        <v>84</v>
      </c>
      <c r="AD373" s="39">
        <v>43709</v>
      </c>
    </row>
    <row r="374" spans="1:30" x14ac:dyDescent="0.25">
      <c r="A374">
        <v>273480</v>
      </c>
      <c r="B374" t="s">
        <v>154</v>
      </c>
      <c r="C374">
        <v>2019</v>
      </c>
      <c r="D374">
        <v>9</v>
      </c>
      <c r="E374" t="s">
        <v>88</v>
      </c>
      <c r="F374" t="s">
        <v>84</v>
      </c>
      <c r="G374" t="s">
        <v>84</v>
      </c>
      <c r="H374" t="s">
        <v>25</v>
      </c>
      <c r="I374" t="s">
        <v>25</v>
      </c>
      <c r="J374" t="s">
        <v>101</v>
      </c>
      <c r="K374" t="s">
        <v>88</v>
      </c>
      <c r="L374" t="s">
        <v>103</v>
      </c>
      <c r="M374">
        <v>254.44613530000001</v>
      </c>
      <c r="N374">
        <v>0</v>
      </c>
      <c r="O374" t="s">
        <v>80</v>
      </c>
      <c r="P374" s="39">
        <v>44269.870332719911</v>
      </c>
      <c r="Q374">
        <v>2586876</v>
      </c>
      <c r="R374" t="s">
        <v>27</v>
      </c>
      <c r="S374" s="4">
        <v>123.07048995</v>
      </c>
      <c r="W374"/>
      <c r="X374">
        <v>0</v>
      </c>
      <c r="AC374" t="s">
        <v>84</v>
      </c>
      <c r="AD374" s="39">
        <v>43709</v>
      </c>
    </row>
    <row r="375" spans="1:30" x14ac:dyDescent="0.25">
      <c r="A375">
        <v>273507</v>
      </c>
      <c r="B375" t="s">
        <v>154</v>
      </c>
      <c r="C375">
        <v>2019</v>
      </c>
      <c r="D375">
        <v>9</v>
      </c>
      <c r="E375" t="s">
        <v>90</v>
      </c>
      <c r="F375" t="s">
        <v>84</v>
      </c>
      <c r="G375" t="s">
        <v>84</v>
      </c>
      <c r="H375" t="s">
        <v>25</v>
      </c>
      <c r="I375" t="s">
        <v>25</v>
      </c>
      <c r="J375" t="s">
        <v>101</v>
      </c>
      <c r="K375" t="s">
        <v>90</v>
      </c>
      <c r="L375" t="s">
        <v>103</v>
      </c>
      <c r="M375">
        <v>533.50070271000004</v>
      </c>
      <c r="N375">
        <v>0</v>
      </c>
      <c r="O375" t="s">
        <v>80</v>
      </c>
      <c r="P375" s="39">
        <v>44269.870334027779</v>
      </c>
      <c r="Q375">
        <v>2587011</v>
      </c>
      <c r="R375" t="s">
        <v>27</v>
      </c>
      <c r="S375" s="4">
        <v>294.85242577000002</v>
      </c>
      <c r="W375"/>
      <c r="X375">
        <v>0</v>
      </c>
      <c r="AC375" t="s">
        <v>84</v>
      </c>
      <c r="AD375" s="39">
        <v>43709</v>
      </c>
    </row>
    <row r="376" spans="1:30" x14ac:dyDescent="0.25">
      <c r="A376">
        <v>273453</v>
      </c>
      <c r="B376" t="s">
        <v>154</v>
      </c>
      <c r="C376">
        <v>2019</v>
      </c>
      <c r="D376">
        <v>9</v>
      </c>
      <c r="E376" t="s">
        <v>86</v>
      </c>
      <c r="F376" t="s">
        <v>84</v>
      </c>
      <c r="G376" t="s">
        <v>84</v>
      </c>
      <c r="H376" t="s">
        <v>25</v>
      </c>
      <c r="I376" t="s">
        <v>25</v>
      </c>
      <c r="J376" t="s">
        <v>101</v>
      </c>
      <c r="K376" t="s">
        <v>86</v>
      </c>
      <c r="L376" t="s">
        <v>103</v>
      </c>
      <c r="M376">
        <v>1168.3183385699999</v>
      </c>
      <c r="N376">
        <v>0</v>
      </c>
      <c r="O376" t="s">
        <v>80</v>
      </c>
      <c r="P376" s="39">
        <v>44269.870331331018</v>
      </c>
      <c r="Q376">
        <v>2586741</v>
      </c>
      <c r="R376" t="s">
        <v>27</v>
      </c>
      <c r="S376" s="4">
        <v>648.70345529999997</v>
      </c>
      <c r="W376"/>
      <c r="X376">
        <v>0</v>
      </c>
      <c r="AC376" t="s">
        <v>84</v>
      </c>
      <c r="AD376" s="39">
        <v>43709</v>
      </c>
    </row>
    <row r="377" spans="1:30" x14ac:dyDescent="0.25">
      <c r="A377">
        <v>273480</v>
      </c>
      <c r="B377" t="s">
        <v>154</v>
      </c>
      <c r="C377">
        <v>2019</v>
      </c>
      <c r="D377">
        <v>9</v>
      </c>
      <c r="E377" t="s">
        <v>88</v>
      </c>
      <c r="F377" t="s">
        <v>84</v>
      </c>
      <c r="G377" t="s">
        <v>84</v>
      </c>
      <c r="H377" t="s">
        <v>25</v>
      </c>
      <c r="I377" t="s">
        <v>25</v>
      </c>
      <c r="J377" t="s">
        <v>101</v>
      </c>
      <c r="K377" t="s">
        <v>88</v>
      </c>
      <c r="L377" t="s">
        <v>103</v>
      </c>
      <c r="M377">
        <v>254.44613530000001</v>
      </c>
      <c r="N377">
        <v>0</v>
      </c>
      <c r="O377" t="s">
        <v>80</v>
      </c>
      <c r="P377" s="39">
        <v>44269.870332719911</v>
      </c>
      <c r="Q377">
        <v>2586873</v>
      </c>
      <c r="R377" t="s">
        <v>91</v>
      </c>
      <c r="S377" s="4">
        <v>0</v>
      </c>
      <c r="W377"/>
      <c r="X377">
        <v>0</v>
      </c>
      <c r="AC377" t="s">
        <v>84</v>
      </c>
      <c r="AD377" s="39">
        <v>43709</v>
      </c>
    </row>
    <row r="378" spans="1:30" x14ac:dyDescent="0.25">
      <c r="A378">
        <v>273507</v>
      </c>
      <c r="B378" t="s">
        <v>154</v>
      </c>
      <c r="C378">
        <v>2019</v>
      </c>
      <c r="D378">
        <v>9</v>
      </c>
      <c r="E378" t="s">
        <v>90</v>
      </c>
      <c r="F378" t="s">
        <v>84</v>
      </c>
      <c r="G378" t="s">
        <v>84</v>
      </c>
      <c r="H378" t="s">
        <v>25</v>
      </c>
      <c r="I378" t="s">
        <v>25</v>
      </c>
      <c r="J378" t="s">
        <v>101</v>
      </c>
      <c r="K378" t="s">
        <v>90</v>
      </c>
      <c r="L378" t="s">
        <v>103</v>
      </c>
      <c r="M378">
        <v>533.50070271000004</v>
      </c>
      <c r="N378">
        <v>0</v>
      </c>
      <c r="O378" t="s">
        <v>80</v>
      </c>
      <c r="P378" s="39">
        <v>44269.870334027779</v>
      </c>
      <c r="Q378">
        <v>2587008</v>
      </c>
      <c r="R378" t="s">
        <v>91</v>
      </c>
      <c r="S378" s="4">
        <v>1.3916800199999999</v>
      </c>
      <c r="W378"/>
      <c r="X378">
        <v>0</v>
      </c>
      <c r="AC378" t="s">
        <v>84</v>
      </c>
      <c r="AD378" s="39">
        <v>43709</v>
      </c>
    </row>
    <row r="379" spans="1:30" x14ac:dyDescent="0.25">
      <c r="A379">
        <v>273453</v>
      </c>
      <c r="B379" t="s">
        <v>154</v>
      </c>
      <c r="C379">
        <v>2019</v>
      </c>
      <c r="D379">
        <v>9</v>
      </c>
      <c r="E379" t="s">
        <v>86</v>
      </c>
      <c r="F379" t="s">
        <v>84</v>
      </c>
      <c r="G379" t="s">
        <v>84</v>
      </c>
      <c r="H379" t="s">
        <v>25</v>
      </c>
      <c r="I379" t="s">
        <v>25</v>
      </c>
      <c r="J379" t="s">
        <v>101</v>
      </c>
      <c r="K379" t="s">
        <v>86</v>
      </c>
      <c r="L379" t="s">
        <v>103</v>
      </c>
      <c r="M379">
        <v>1168.3183385699999</v>
      </c>
      <c r="N379">
        <v>0</v>
      </c>
      <c r="O379" t="s">
        <v>80</v>
      </c>
      <c r="P379" s="39">
        <v>44269.870331331018</v>
      </c>
      <c r="Q379">
        <v>2586738</v>
      </c>
      <c r="R379" t="s">
        <v>91</v>
      </c>
      <c r="S379" s="4">
        <v>3.1494105100000001</v>
      </c>
      <c r="W379"/>
      <c r="X379">
        <v>0</v>
      </c>
      <c r="AC379" t="s">
        <v>84</v>
      </c>
      <c r="AD379" s="39">
        <v>43709</v>
      </c>
    </row>
    <row r="380" spans="1:30" x14ac:dyDescent="0.25">
      <c r="A380">
        <v>273507</v>
      </c>
      <c r="B380" t="s">
        <v>154</v>
      </c>
      <c r="C380">
        <v>2019</v>
      </c>
      <c r="D380">
        <v>9</v>
      </c>
      <c r="E380" t="s">
        <v>90</v>
      </c>
      <c r="F380" t="s">
        <v>84</v>
      </c>
      <c r="G380" t="s">
        <v>84</v>
      </c>
      <c r="H380" t="s">
        <v>25</v>
      </c>
      <c r="I380" t="s">
        <v>25</v>
      </c>
      <c r="J380" t="s">
        <v>101</v>
      </c>
      <c r="K380" t="s">
        <v>90</v>
      </c>
      <c r="L380" t="s">
        <v>103</v>
      </c>
      <c r="M380">
        <v>533.50070271000004</v>
      </c>
      <c r="N380">
        <v>0</v>
      </c>
      <c r="O380" t="s">
        <v>80</v>
      </c>
      <c r="P380" s="39">
        <v>44269.870334027779</v>
      </c>
      <c r="Q380">
        <v>2587010</v>
      </c>
      <c r="R380" t="s">
        <v>28</v>
      </c>
      <c r="S380" s="4">
        <v>1.25240759</v>
      </c>
      <c r="W380"/>
      <c r="X380">
        <v>0</v>
      </c>
      <c r="AC380" t="s">
        <v>84</v>
      </c>
      <c r="AD380" s="39">
        <v>43709</v>
      </c>
    </row>
    <row r="381" spans="1:30" x14ac:dyDescent="0.25">
      <c r="A381">
        <v>273453</v>
      </c>
      <c r="B381" t="s">
        <v>154</v>
      </c>
      <c r="C381">
        <v>2019</v>
      </c>
      <c r="D381">
        <v>9</v>
      </c>
      <c r="E381" t="s">
        <v>86</v>
      </c>
      <c r="F381" t="s">
        <v>84</v>
      </c>
      <c r="G381" t="s">
        <v>84</v>
      </c>
      <c r="H381" t="s">
        <v>25</v>
      </c>
      <c r="I381" t="s">
        <v>25</v>
      </c>
      <c r="J381" t="s">
        <v>101</v>
      </c>
      <c r="K381" t="s">
        <v>86</v>
      </c>
      <c r="L381" t="s">
        <v>103</v>
      </c>
      <c r="M381">
        <v>1168.3183385699999</v>
      </c>
      <c r="N381">
        <v>0</v>
      </c>
      <c r="O381" t="s">
        <v>80</v>
      </c>
      <c r="P381" s="39">
        <v>44269.870331331018</v>
      </c>
      <c r="Q381">
        <v>2586740</v>
      </c>
      <c r="R381" t="s">
        <v>28</v>
      </c>
      <c r="S381" s="4">
        <v>2.9268706</v>
      </c>
      <c r="W381"/>
      <c r="X381">
        <v>0</v>
      </c>
      <c r="AC381" t="s">
        <v>84</v>
      </c>
      <c r="AD381" s="39">
        <v>43709</v>
      </c>
    </row>
    <row r="382" spans="1:30" x14ac:dyDescent="0.25">
      <c r="A382">
        <v>273480</v>
      </c>
      <c r="B382" t="s">
        <v>154</v>
      </c>
      <c r="C382">
        <v>2019</v>
      </c>
      <c r="D382">
        <v>9</v>
      </c>
      <c r="E382" t="s">
        <v>88</v>
      </c>
      <c r="F382" t="s">
        <v>84</v>
      </c>
      <c r="G382" t="s">
        <v>84</v>
      </c>
      <c r="H382" t="s">
        <v>25</v>
      </c>
      <c r="I382" t="s">
        <v>25</v>
      </c>
      <c r="J382" t="s">
        <v>101</v>
      </c>
      <c r="K382" t="s">
        <v>88</v>
      </c>
      <c r="L382" t="s">
        <v>103</v>
      </c>
      <c r="M382">
        <v>254.44613530000001</v>
      </c>
      <c r="N382">
        <v>0</v>
      </c>
      <c r="O382" t="s">
        <v>80</v>
      </c>
      <c r="P382" s="39">
        <v>44269.870332719911</v>
      </c>
      <c r="Q382">
        <v>2586875</v>
      </c>
      <c r="R382" t="s">
        <v>28</v>
      </c>
      <c r="S382" s="4">
        <v>0</v>
      </c>
      <c r="W382"/>
      <c r="X382">
        <v>0</v>
      </c>
      <c r="AC382" t="s">
        <v>84</v>
      </c>
      <c r="AD382" s="39">
        <v>43709</v>
      </c>
    </row>
    <row r="383" spans="1:30" x14ac:dyDescent="0.25">
      <c r="A383">
        <v>287325</v>
      </c>
      <c r="B383" t="s">
        <v>156</v>
      </c>
      <c r="C383">
        <v>2019</v>
      </c>
      <c r="D383">
        <v>10</v>
      </c>
      <c r="E383" t="s">
        <v>90</v>
      </c>
      <c r="F383" t="s">
        <v>84</v>
      </c>
      <c r="G383" t="s">
        <v>84</v>
      </c>
      <c r="H383" t="s">
        <v>25</v>
      </c>
      <c r="I383" t="s">
        <v>25</v>
      </c>
      <c r="J383" t="s">
        <v>101</v>
      </c>
      <c r="K383" t="s">
        <v>90</v>
      </c>
      <c r="L383" t="s">
        <v>103</v>
      </c>
      <c r="M383">
        <v>576.31545115999995</v>
      </c>
      <c r="N383">
        <v>0</v>
      </c>
      <c r="O383" t="s">
        <v>80</v>
      </c>
      <c r="P383" s="39">
        <v>44269.87196944443</v>
      </c>
      <c r="Q383">
        <v>2717716</v>
      </c>
      <c r="R383" t="s">
        <v>26</v>
      </c>
      <c r="S383" s="4">
        <v>208.74973412</v>
      </c>
      <c r="W383"/>
      <c r="X383">
        <v>0</v>
      </c>
      <c r="AC383" t="s">
        <v>84</v>
      </c>
      <c r="AD383" s="39">
        <v>43739</v>
      </c>
    </row>
    <row r="384" spans="1:30" x14ac:dyDescent="0.25">
      <c r="A384">
        <v>287271</v>
      </c>
      <c r="B384" t="s">
        <v>156</v>
      </c>
      <c r="C384">
        <v>2019</v>
      </c>
      <c r="D384">
        <v>10</v>
      </c>
      <c r="E384" t="s">
        <v>86</v>
      </c>
      <c r="F384" t="s">
        <v>84</v>
      </c>
      <c r="G384" t="s">
        <v>84</v>
      </c>
      <c r="H384" t="s">
        <v>25</v>
      </c>
      <c r="I384" t="s">
        <v>25</v>
      </c>
      <c r="J384" t="s">
        <v>101</v>
      </c>
      <c r="K384" t="s">
        <v>86</v>
      </c>
      <c r="L384" t="s">
        <v>103</v>
      </c>
      <c r="M384">
        <v>1469.1859072899999</v>
      </c>
      <c r="N384">
        <v>0</v>
      </c>
      <c r="O384" t="s">
        <v>80</v>
      </c>
      <c r="P384" s="39">
        <v>44269.871966747683</v>
      </c>
      <c r="Q384">
        <v>2717446</v>
      </c>
      <c r="R384" t="s">
        <v>26</v>
      </c>
      <c r="S384" s="4">
        <v>502.18049937000001</v>
      </c>
      <c r="W384"/>
      <c r="X384">
        <v>0</v>
      </c>
      <c r="AC384" t="s">
        <v>84</v>
      </c>
      <c r="AD384" s="39">
        <v>43739</v>
      </c>
    </row>
    <row r="385" spans="1:30" x14ac:dyDescent="0.25">
      <c r="A385">
        <v>287298</v>
      </c>
      <c r="B385" t="s">
        <v>156</v>
      </c>
      <c r="C385">
        <v>2019</v>
      </c>
      <c r="D385">
        <v>10</v>
      </c>
      <c r="E385" t="s">
        <v>88</v>
      </c>
      <c r="F385" t="s">
        <v>84</v>
      </c>
      <c r="G385" t="s">
        <v>84</v>
      </c>
      <c r="H385" t="s">
        <v>25</v>
      </c>
      <c r="I385" t="s">
        <v>25</v>
      </c>
      <c r="J385" t="s">
        <v>101</v>
      </c>
      <c r="K385" t="s">
        <v>88</v>
      </c>
      <c r="L385" t="s">
        <v>103</v>
      </c>
      <c r="M385">
        <v>290.75618709000003</v>
      </c>
      <c r="N385">
        <v>0</v>
      </c>
      <c r="O385" t="s">
        <v>80</v>
      </c>
      <c r="P385" s="39">
        <v>44269.871968136576</v>
      </c>
      <c r="Q385">
        <v>2717581</v>
      </c>
      <c r="R385" t="s">
        <v>26</v>
      </c>
      <c r="S385" s="4">
        <v>126.87826488</v>
      </c>
      <c r="W385"/>
      <c r="X385">
        <v>0</v>
      </c>
      <c r="AC385" t="s">
        <v>84</v>
      </c>
      <c r="AD385" s="39">
        <v>43739</v>
      </c>
    </row>
    <row r="386" spans="1:30" x14ac:dyDescent="0.25">
      <c r="A386">
        <v>287325</v>
      </c>
      <c r="B386" t="s">
        <v>156</v>
      </c>
      <c r="C386">
        <v>2019</v>
      </c>
      <c r="D386">
        <v>10</v>
      </c>
      <c r="E386" t="s">
        <v>90</v>
      </c>
      <c r="F386" t="s">
        <v>84</v>
      </c>
      <c r="G386" t="s">
        <v>84</v>
      </c>
      <c r="H386" t="s">
        <v>25</v>
      </c>
      <c r="I386" t="s">
        <v>25</v>
      </c>
      <c r="J386" t="s">
        <v>101</v>
      </c>
      <c r="K386" t="s">
        <v>90</v>
      </c>
      <c r="L386" t="s">
        <v>103</v>
      </c>
      <c r="M386">
        <v>576.31545115999995</v>
      </c>
      <c r="N386">
        <v>0</v>
      </c>
      <c r="O386" t="s">
        <v>80</v>
      </c>
      <c r="P386" s="39">
        <v>44269.87196944443</v>
      </c>
      <c r="Q386">
        <v>2717719</v>
      </c>
      <c r="R386" t="s">
        <v>81</v>
      </c>
      <c r="S386" s="4">
        <v>58.480513459999997</v>
      </c>
      <c r="W386"/>
      <c r="X386">
        <v>0</v>
      </c>
      <c r="AC386" t="s">
        <v>84</v>
      </c>
      <c r="AD386" s="39">
        <v>43739</v>
      </c>
    </row>
    <row r="387" spans="1:30" x14ac:dyDescent="0.25">
      <c r="A387">
        <v>287298</v>
      </c>
      <c r="B387" t="s">
        <v>156</v>
      </c>
      <c r="C387">
        <v>2019</v>
      </c>
      <c r="D387">
        <v>10</v>
      </c>
      <c r="E387" t="s">
        <v>88</v>
      </c>
      <c r="F387" t="s">
        <v>84</v>
      </c>
      <c r="G387" t="s">
        <v>84</v>
      </c>
      <c r="H387" t="s">
        <v>25</v>
      </c>
      <c r="I387" t="s">
        <v>25</v>
      </c>
      <c r="J387" t="s">
        <v>101</v>
      </c>
      <c r="K387" t="s">
        <v>88</v>
      </c>
      <c r="L387" t="s">
        <v>103</v>
      </c>
      <c r="M387">
        <v>290.75618709000003</v>
      </c>
      <c r="N387">
        <v>0</v>
      </c>
      <c r="O387" t="s">
        <v>80</v>
      </c>
      <c r="P387" s="39">
        <v>44269.871968136576</v>
      </c>
      <c r="Q387">
        <v>2717584</v>
      </c>
      <c r="R387" t="s">
        <v>81</v>
      </c>
      <c r="S387" s="4">
        <v>29.443453640000001</v>
      </c>
      <c r="W387"/>
      <c r="X387">
        <v>0</v>
      </c>
      <c r="AC387" t="s">
        <v>84</v>
      </c>
      <c r="AD387" s="39">
        <v>43739</v>
      </c>
    </row>
    <row r="388" spans="1:30" x14ac:dyDescent="0.25">
      <c r="A388">
        <v>287271</v>
      </c>
      <c r="B388" t="s">
        <v>156</v>
      </c>
      <c r="C388">
        <v>2019</v>
      </c>
      <c r="D388">
        <v>10</v>
      </c>
      <c r="E388" t="s">
        <v>86</v>
      </c>
      <c r="F388" t="s">
        <v>84</v>
      </c>
      <c r="G388" t="s">
        <v>84</v>
      </c>
      <c r="H388" t="s">
        <v>25</v>
      </c>
      <c r="I388" t="s">
        <v>25</v>
      </c>
      <c r="J388" t="s">
        <v>101</v>
      </c>
      <c r="K388" t="s">
        <v>86</v>
      </c>
      <c r="L388" t="s">
        <v>103</v>
      </c>
      <c r="M388">
        <v>1469.1859072899999</v>
      </c>
      <c r="N388">
        <v>0</v>
      </c>
      <c r="O388" t="s">
        <v>80</v>
      </c>
      <c r="P388" s="39">
        <v>44269.871966747683</v>
      </c>
      <c r="Q388">
        <v>2717449</v>
      </c>
      <c r="R388" t="s">
        <v>81</v>
      </c>
      <c r="S388" s="4">
        <v>174.92627784000001</v>
      </c>
      <c r="W388"/>
      <c r="X388">
        <v>0</v>
      </c>
      <c r="AC388" t="s">
        <v>84</v>
      </c>
      <c r="AD388" s="39">
        <v>43739</v>
      </c>
    </row>
    <row r="389" spans="1:30" x14ac:dyDescent="0.25">
      <c r="A389">
        <v>287298</v>
      </c>
      <c r="B389" t="s">
        <v>156</v>
      </c>
      <c r="C389">
        <v>2019</v>
      </c>
      <c r="D389">
        <v>10</v>
      </c>
      <c r="E389" t="s">
        <v>88</v>
      </c>
      <c r="F389" t="s">
        <v>84</v>
      </c>
      <c r="G389" t="s">
        <v>84</v>
      </c>
      <c r="H389" t="s">
        <v>25</v>
      </c>
      <c r="I389" t="s">
        <v>25</v>
      </c>
      <c r="J389" t="s">
        <v>101</v>
      </c>
      <c r="K389" t="s">
        <v>88</v>
      </c>
      <c r="L389" t="s">
        <v>103</v>
      </c>
      <c r="M389">
        <v>290.75618709000003</v>
      </c>
      <c r="N389">
        <v>0</v>
      </c>
      <c r="O389" t="s">
        <v>80</v>
      </c>
      <c r="P389" s="39">
        <v>44269.871968136576</v>
      </c>
      <c r="Q389">
        <v>2717583</v>
      </c>
      <c r="R389" t="s">
        <v>27</v>
      </c>
      <c r="S389" s="4">
        <v>140.63293340999999</v>
      </c>
      <c r="W389"/>
      <c r="X389">
        <v>0</v>
      </c>
      <c r="AC389" t="s">
        <v>84</v>
      </c>
      <c r="AD389" s="39">
        <v>43739</v>
      </c>
    </row>
    <row r="390" spans="1:30" x14ac:dyDescent="0.25">
      <c r="A390">
        <v>287271</v>
      </c>
      <c r="B390" t="s">
        <v>156</v>
      </c>
      <c r="C390">
        <v>2019</v>
      </c>
      <c r="D390">
        <v>10</v>
      </c>
      <c r="E390" t="s">
        <v>86</v>
      </c>
      <c r="F390" t="s">
        <v>84</v>
      </c>
      <c r="G390" t="s">
        <v>84</v>
      </c>
      <c r="H390" t="s">
        <v>25</v>
      </c>
      <c r="I390" t="s">
        <v>25</v>
      </c>
      <c r="J390" t="s">
        <v>101</v>
      </c>
      <c r="K390" t="s">
        <v>86</v>
      </c>
      <c r="L390" t="s">
        <v>103</v>
      </c>
      <c r="M390">
        <v>1469.1859072899999</v>
      </c>
      <c r="N390">
        <v>0</v>
      </c>
      <c r="O390" t="s">
        <v>80</v>
      </c>
      <c r="P390" s="39">
        <v>44269.871966747683</v>
      </c>
      <c r="Q390">
        <v>2717448</v>
      </c>
      <c r="R390" t="s">
        <v>27</v>
      </c>
      <c r="S390" s="4">
        <v>815.75880739000002</v>
      </c>
      <c r="W390"/>
      <c r="X390">
        <v>0</v>
      </c>
      <c r="AC390" t="s">
        <v>84</v>
      </c>
      <c r="AD390" s="39">
        <v>43739</v>
      </c>
    </row>
    <row r="391" spans="1:30" x14ac:dyDescent="0.25">
      <c r="A391">
        <v>287325</v>
      </c>
      <c r="B391" t="s">
        <v>156</v>
      </c>
      <c r="C391">
        <v>2019</v>
      </c>
      <c r="D391">
        <v>10</v>
      </c>
      <c r="E391" t="s">
        <v>90</v>
      </c>
      <c r="F391" t="s">
        <v>84</v>
      </c>
      <c r="G391" t="s">
        <v>84</v>
      </c>
      <c r="H391" t="s">
        <v>25</v>
      </c>
      <c r="I391" t="s">
        <v>25</v>
      </c>
      <c r="J391" t="s">
        <v>101</v>
      </c>
      <c r="K391" t="s">
        <v>90</v>
      </c>
      <c r="L391" t="s">
        <v>103</v>
      </c>
      <c r="M391">
        <v>576.31545115999995</v>
      </c>
      <c r="N391">
        <v>0</v>
      </c>
      <c r="O391" t="s">
        <v>80</v>
      </c>
      <c r="P391" s="39">
        <v>44269.87196944443</v>
      </c>
      <c r="Q391">
        <v>2717718</v>
      </c>
      <c r="R391" t="s">
        <v>27</v>
      </c>
      <c r="S391" s="4">
        <v>318.51506085</v>
      </c>
      <c r="W391"/>
      <c r="X391">
        <v>0</v>
      </c>
      <c r="AC391" t="s">
        <v>84</v>
      </c>
      <c r="AD391" s="39">
        <v>43739</v>
      </c>
    </row>
    <row r="392" spans="1:30" x14ac:dyDescent="0.25">
      <c r="A392">
        <v>287298</v>
      </c>
      <c r="B392" t="s">
        <v>156</v>
      </c>
      <c r="C392">
        <v>2019</v>
      </c>
      <c r="D392">
        <v>10</v>
      </c>
      <c r="E392" t="s">
        <v>88</v>
      </c>
      <c r="F392" t="s">
        <v>84</v>
      </c>
      <c r="G392" t="s">
        <v>84</v>
      </c>
      <c r="H392" t="s">
        <v>25</v>
      </c>
      <c r="I392" t="s">
        <v>25</v>
      </c>
      <c r="J392" t="s">
        <v>101</v>
      </c>
      <c r="K392" t="s">
        <v>88</v>
      </c>
      <c r="L392" t="s">
        <v>103</v>
      </c>
      <c r="M392">
        <v>290.75618709000003</v>
      </c>
      <c r="N392">
        <v>0</v>
      </c>
      <c r="O392" t="s">
        <v>80</v>
      </c>
      <c r="P392" s="39">
        <v>44269.871968136576</v>
      </c>
      <c r="Q392">
        <v>2717580</v>
      </c>
      <c r="R392" t="s">
        <v>91</v>
      </c>
      <c r="S392" s="4">
        <v>0</v>
      </c>
      <c r="W392"/>
      <c r="X392">
        <v>0</v>
      </c>
      <c r="AC392" t="s">
        <v>84</v>
      </c>
      <c r="AD392" s="39">
        <v>43739</v>
      </c>
    </row>
    <row r="393" spans="1:30" x14ac:dyDescent="0.25">
      <c r="A393">
        <v>287325</v>
      </c>
      <c r="B393" t="s">
        <v>156</v>
      </c>
      <c r="C393">
        <v>2019</v>
      </c>
      <c r="D393">
        <v>10</v>
      </c>
      <c r="E393" t="s">
        <v>90</v>
      </c>
      <c r="F393" t="s">
        <v>84</v>
      </c>
      <c r="G393" t="s">
        <v>84</v>
      </c>
      <c r="H393" t="s">
        <v>25</v>
      </c>
      <c r="I393" t="s">
        <v>25</v>
      </c>
      <c r="J393" t="s">
        <v>101</v>
      </c>
      <c r="K393" t="s">
        <v>90</v>
      </c>
      <c r="L393" t="s">
        <v>103</v>
      </c>
      <c r="M393">
        <v>576.31545115999995</v>
      </c>
      <c r="N393">
        <v>0</v>
      </c>
      <c r="O393" t="s">
        <v>80</v>
      </c>
      <c r="P393" s="39">
        <v>44269.87196944443</v>
      </c>
      <c r="Q393">
        <v>2717715</v>
      </c>
      <c r="R393" t="s">
        <v>91</v>
      </c>
      <c r="S393" s="4">
        <v>1.50336578</v>
      </c>
      <c r="W393"/>
      <c r="X393">
        <v>0</v>
      </c>
      <c r="AC393" t="s">
        <v>84</v>
      </c>
      <c r="AD393" s="39">
        <v>43739</v>
      </c>
    </row>
    <row r="394" spans="1:30" x14ac:dyDescent="0.25">
      <c r="A394">
        <v>287271</v>
      </c>
      <c r="B394" t="s">
        <v>156</v>
      </c>
      <c r="C394">
        <v>2019</v>
      </c>
      <c r="D394">
        <v>10</v>
      </c>
      <c r="E394" t="s">
        <v>86</v>
      </c>
      <c r="F394" t="s">
        <v>84</v>
      </c>
      <c r="G394" t="s">
        <v>84</v>
      </c>
      <c r="H394" t="s">
        <v>25</v>
      </c>
      <c r="I394" t="s">
        <v>25</v>
      </c>
      <c r="J394" t="s">
        <v>101</v>
      </c>
      <c r="K394" t="s">
        <v>86</v>
      </c>
      <c r="L394" t="s">
        <v>103</v>
      </c>
      <c r="M394">
        <v>1469.1859072899999</v>
      </c>
      <c r="N394">
        <v>0</v>
      </c>
      <c r="O394" t="s">
        <v>80</v>
      </c>
      <c r="P394" s="39">
        <v>44269.871966747683</v>
      </c>
      <c r="Q394">
        <v>2717445</v>
      </c>
      <c r="R394" t="s">
        <v>91</v>
      </c>
      <c r="S394" s="4">
        <v>3.9604527200000001</v>
      </c>
      <c r="W394"/>
      <c r="X394">
        <v>0</v>
      </c>
      <c r="AC394" t="s">
        <v>84</v>
      </c>
      <c r="AD394" s="39">
        <v>43739</v>
      </c>
    </row>
    <row r="395" spans="1:30" x14ac:dyDescent="0.25">
      <c r="A395">
        <v>287298</v>
      </c>
      <c r="B395" t="s">
        <v>156</v>
      </c>
      <c r="C395">
        <v>2019</v>
      </c>
      <c r="D395">
        <v>10</v>
      </c>
      <c r="E395" t="s">
        <v>88</v>
      </c>
      <c r="F395" t="s">
        <v>84</v>
      </c>
      <c r="G395" t="s">
        <v>84</v>
      </c>
      <c r="H395" t="s">
        <v>25</v>
      </c>
      <c r="I395" t="s">
        <v>25</v>
      </c>
      <c r="J395" t="s">
        <v>101</v>
      </c>
      <c r="K395" t="s">
        <v>88</v>
      </c>
      <c r="L395" t="s">
        <v>103</v>
      </c>
      <c r="M395">
        <v>290.75618709000003</v>
      </c>
      <c r="N395">
        <v>0</v>
      </c>
      <c r="O395" t="s">
        <v>80</v>
      </c>
      <c r="P395" s="39">
        <v>44269.871968136576</v>
      </c>
      <c r="Q395">
        <v>2717582</v>
      </c>
      <c r="R395" t="s">
        <v>28</v>
      </c>
      <c r="S395" s="4">
        <v>0</v>
      </c>
      <c r="W395"/>
      <c r="X395">
        <v>0</v>
      </c>
      <c r="AC395" t="s">
        <v>84</v>
      </c>
      <c r="AD395" s="39">
        <v>43739</v>
      </c>
    </row>
    <row r="396" spans="1:30" x14ac:dyDescent="0.25">
      <c r="A396">
        <v>287271</v>
      </c>
      <c r="B396" t="s">
        <v>156</v>
      </c>
      <c r="C396">
        <v>2019</v>
      </c>
      <c r="D396">
        <v>10</v>
      </c>
      <c r="E396" t="s">
        <v>86</v>
      </c>
      <c r="F396" t="s">
        <v>84</v>
      </c>
      <c r="G396" t="s">
        <v>84</v>
      </c>
      <c r="H396" t="s">
        <v>25</v>
      </c>
      <c r="I396" t="s">
        <v>25</v>
      </c>
      <c r="J396" t="s">
        <v>101</v>
      </c>
      <c r="K396" t="s">
        <v>86</v>
      </c>
      <c r="L396" t="s">
        <v>103</v>
      </c>
      <c r="M396">
        <v>1469.1859072899999</v>
      </c>
      <c r="N396">
        <v>0</v>
      </c>
      <c r="O396" t="s">
        <v>80</v>
      </c>
      <c r="P396" s="39">
        <v>44269.871966747683</v>
      </c>
      <c r="Q396">
        <v>2717447</v>
      </c>
      <c r="R396" t="s">
        <v>28</v>
      </c>
      <c r="S396" s="4">
        <v>3.6806039099999999</v>
      </c>
      <c r="W396"/>
      <c r="X396">
        <v>0</v>
      </c>
      <c r="AC396" t="s">
        <v>84</v>
      </c>
      <c r="AD396" s="39">
        <v>43739</v>
      </c>
    </row>
    <row r="397" spans="1:30" x14ac:dyDescent="0.25">
      <c r="A397">
        <v>287325</v>
      </c>
      <c r="B397" t="s">
        <v>156</v>
      </c>
      <c r="C397">
        <v>2019</v>
      </c>
      <c r="D397">
        <v>10</v>
      </c>
      <c r="E397" t="s">
        <v>90</v>
      </c>
      <c r="F397" t="s">
        <v>84</v>
      </c>
      <c r="G397" t="s">
        <v>84</v>
      </c>
      <c r="H397" t="s">
        <v>25</v>
      </c>
      <c r="I397" t="s">
        <v>25</v>
      </c>
      <c r="J397" t="s">
        <v>101</v>
      </c>
      <c r="K397" t="s">
        <v>90</v>
      </c>
      <c r="L397" t="s">
        <v>103</v>
      </c>
      <c r="M397">
        <v>576.31545115999995</v>
      </c>
      <c r="N397">
        <v>0</v>
      </c>
      <c r="O397" t="s">
        <v>80</v>
      </c>
      <c r="P397" s="39">
        <v>44269.87196944443</v>
      </c>
      <c r="Q397">
        <v>2717717</v>
      </c>
      <c r="R397" t="s">
        <v>28</v>
      </c>
      <c r="S397" s="4">
        <v>1.3529163900000001</v>
      </c>
      <c r="W397"/>
      <c r="X397">
        <v>0</v>
      </c>
      <c r="AC397" t="s">
        <v>84</v>
      </c>
      <c r="AD397" s="39">
        <v>43739</v>
      </c>
    </row>
    <row r="398" spans="1:30" x14ac:dyDescent="0.25">
      <c r="A398">
        <v>301116</v>
      </c>
      <c r="B398" t="s">
        <v>155</v>
      </c>
      <c r="C398">
        <v>2019</v>
      </c>
      <c r="D398">
        <v>11</v>
      </c>
      <c r="E398" t="s">
        <v>88</v>
      </c>
      <c r="F398" t="s">
        <v>84</v>
      </c>
      <c r="G398" t="s">
        <v>84</v>
      </c>
      <c r="H398" t="s">
        <v>25</v>
      </c>
      <c r="I398" t="s">
        <v>25</v>
      </c>
      <c r="J398" t="s">
        <v>101</v>
      </c>
      <c r="K398" t="s">
        <v>88</v>
      </c>
      <c r="L398" t="s">
        <v>103</v>
      </c>
      <c r="M398">
        <v>633.19527639</v>
      </c>
      <c r="N398">
        <v>0</v>
      </c>
      <c r="O398" t="s">
        <v>80</v>
      </c>
      <c r="P398" s="39">
        <v>44269.873618055557</v>
      </c>
      <c r="Q398">
        <v>2848288</v>
      </c>
      <c r="R398" t="s">
        <v>26</v>
      </c>
      <c r="S398" s="4">
        <v>276.30957332000003</v>
      </c>
      <c r="W398"/>
      <c r="X398">
        <v>0</v>
      </c>
      <c r="AC398" t="s">
        <v>84</v>
      </c>
      <c r="AD398" s="39">
        <v>43770</v>
      </c>
    </row>
    <row r="399" spans="1:30" x14ac:dyDescent="0.25">
      <c r="A399">
        <v>301089</v>
      </c>
      <c r="B399" t="s">
        <v>155</v>
      </c>
      <c r="C399">
        <v>2019</v>
      </c>
      <c r="D399">
        <v>11</v>
      </c>
      <c r="E399" t="s">
        <v>86</v>
      </c>
      <c r="F399" t="s">
        <v>84</v>
      </c>
      <c r="G399" t="s">
        <v>84</v>
      </c>
      <c r="H399" t="s">
        <v>25</v>
      </c>
      <c r="I399" t="s">
        <v>25</v>
      </c>
      <c r="J399" t="s">
        <v>101</v>
      </c>
      <c r="K399" t="s">
        <v>86</v>
      </c>
      <c r="L399" t="s">
        <v>103</v>
      </c>
      <c r="M399">
        <v>1777.6837430800001</v>
      </c>
      <c r="N399">
        <v>0</v>
      </c>
      <c r="O399" t="s">
        <v>80</v>
      </c>
      <c r="P399" s="39">
        <v>44269.873616666657</v>
      </c>
      <c r="Q399">
        <v>2848153</v>
      </c>
      <c r="R399" t="s">
        <v>26</v>
      </c>
      <c r="S399" s="4">
        <v>607.62773818999995</v>
      </c>
      <c r="W399"/>
      <c r="X399">
        <v>0</v>
      </c>
      <c r="AC399" t="s">
        <v>84</v>
      </c>
      <c r="AD399" s="39">
        <v>43770</v>
      </c>
    </row>
    <row r="400" spans="1:30" x14ac:dyDescent="0.25">
      <c r="A400">
        <v>301143</v>
      </c>
      <c r="B400" t="s">
        <v>155</v>
      </c>
      <c r="C400">
        <v>2019</v>
      </c>
      <c r="D400">
        <v>11</v>
      </c>
      <c r="E400" t="s">
        <v>90</v>
      </c>
      <c r="F400" t="s">
        <v>84</v>
      </c>
      <c r="G400" t="s">
        <v>84</v>
      </c>
      <c r="H400" t="s">
        <v>25</v>
      </c>
      <c r="I400" t="s">
        <v>25</v>
      </c>
      <c r="J400" t="s">
        <v>101</v>
      </c>
      <c r="K400" t="s">
        <v>90</v>
      </c>
      <c r="L400" t="s">
        <v>103</v>
      </c>
      <c r="M400">
        <v>555.24552490999997</v>
      </c>
      <c r="N400">
        <v>0</v>
      </c>
      <c r="O400" t="s">
        <v>80</v>
      </c>
      <c r="P400" s="39">
        <v>44269.873619479164</v>
      </c>
      <c r="Q400">
        <v>2848423</v>
      </c>
      <c r="R400" t="s">
        <v>26</v>
      </c>
      <c r="S400" s="4">
        <v>201.1179042</v>
      </c>
      <c r="W400"/>
      <c r="X400">
        <v>0</v>
      </c>
      <c r="AC400" t="s">
        <v>84</v>
      </c>
      <c r="AD400" s="39">
        <v>43770</v>
      </c>
    </row>
    <row r="401" spans="1:30" x14ac:dyDescent="0.25">
      <c r="A401">
        <v>301143</v>
      </c>
      <c r="B401" t="s">
        <v>155</v>
      </c>
      <c r="C401">
        <v>2019</v>
      </c>
      <c r="D401">
        <v>11</v>
      </c>
      <c r="E401" t="s">
        <v>90</v>
      </c>
      <c r="F401" t="s">
        <v>84</v>
      </c>
      <c r="G401" t="s">
        <v>84</v>
      </c>
      <c r="H401" t="s">
        <v>25</v>
      </c>
      <c r="I401" t="s">
        <v>25</v>
      </c>
      <c r="J401" t="s">
        <v>101</v>
      </c>
      <c r="K401" t="s">
        <v>90</v>
      </c>
      <c r="L401" t="s">
        <v>103</v>
      </c>
      <c r="M401">
        <v>555.24552490999997</v>
      </c>
      <c r="N401">
        <v>0</v>
      </c>
      <c r="O401" t="s">
        <v>80</v>
      </c>
      <c r="P401" s="39">
        <v>44269.873619479164</v>
      </c>
      <c r="Q401">
        <v>2848426</v>
      </c>
      <c r="R401" t="s">
        <v>81</v>
      </c>
      <c r="S401" s="4">
        <v>56.342482789999998</v>
      </c>
      <c r="W401"/>
      <c r="X401">
        <v>0</v>
      </c>
      <c r="AC401" t="s">
        <v>84</v>
      </c>
      <c r="AD401" s="39">
        <v>43770</v>
      </c>
    </row>
    <row r="402" spans="1:30" x14ac:dyDescent="0.25">
      <c r="A402">
        <v>301116</v>
      </c>
      <c r="B402" t="s">
        <v>155</v>
      </c>
      <c r="C402">
        <v>2019</v>
      </c>
      <c r="D402">
        <v>11</v>
      </c>
      <c r="E402" t="s">
        <v>88</v>
      </c>
      <c r="F402" t="s">
        <v>84</v>
      </c>
      <c r="G402" t="s">
        <v>84</v>
      </c>
      <c r="H402" t="s">
        <v>25</v>
      </c>
      <c r="I402" t="s">
        <v>25</v>
      </c>
      <c r="J402" t="s">
        <v>101</v>
      </c>
      <c r="K402" t="s">
        <v>88</v>
      </c>
      <c r="L402" t="s">
        <v>103</v>
      </c>
      <c r="M402">
        <v>633.19527639</v>
      </c>
      <c r="N402">
        <v>0</v>
      </c>
      <c r="O402" t="s">
        <v>80</v>
      </c>
      <c r="P402" s="39">
        <v>44269.873618055557</v>
      </c>
      <c r="Q402">
        <v>2848291</v>
      </c>
      <c r="R402" t="s">
        <v>81</v>
      </c>
      <c r="S402" s="4">
        <v>64.120581400000006</v>
      </c>
      <c r="W402"/>
      <c r="X402">
        <v>0</v>
      </c>
      <c r="AC402" t="s">
        <v>84</v>
      </c>
      <c r="AD402" s="39">
        <v>43770</v>
      </c>
    </row>
    <row r="403" spans="1:30" x14ac:dyDescent="0.25">
      <c r="A403">
        <v>301089</v>
      </c>
      <c r="B403" t="s">
        <v>155</v>
      </c>
      <c r="C403">
        <v>2019</v>
      </c>
      <c r="D403">
        <v>11</v>
      </c>
      <c r="E403" t="s">
        <v>86</v>
      </c>
      <c r="F403" t="s">
        <v>84</v>
      </c>
      <c r="G403" t="s">
        <v>84</v>
      </c>
      <c r="H403" t="s">
        <v>25</v>
      </c>
      <c r="I403" t="s">
        <v>25</v>
      </c>
      <c r="J403" t="s">
        <v>101</v>
      </c>
      <c r="K403" t="s">
        <v>86</v>
      </c>
      <c r="L403" t="s">
        <v>103</v>
      </c>
      <c r="M403">
        <v>1777.6837430800001</v>
      </c>
      <c r="N403">
        <v>0</v>
      </c>
      <c r="O403" t="s">
        <v>80</v>
      </c>
      <c r="P403" s="39">
        <v>44269.873616666657</v>
      </c>
      <c r="Q403">
        <v>2848156</v>
      </c>
      <c r="R403" t="s">
        <v>81</v>
      </c>
      <c r="S403" s="4">
        <v>211.65708083999999</v>
      </c>
      <c r="W403"/>
      <c r="X403">
        <v>0</v>
      </c>
      <c r="AC403" t="s">
        <v>84</v>
      </c>
      <c r="AD403" s="39">
        <v>43770</v>
      </c>
    </row>
    <row r="404" spans="1:30" x14ac:dyDescent="0.25">
      <c r="A404">
        <v>301116</v>
      </c>
      <c r="B404" t="s">
        <v>155</v>
      </c>
      <c r="C404">
        <v>2019</v>
      </c>
      <c r="D404">
        <v>11</v>
      </c>
      <c r="E404" t="s">
        <v>88</v>
      </c>
      <c r="F404" t="s">
        <v>84</v>
      </c>
      <c r="G404" t="s">
        <v>84</v>
      </c>
      <c r="H404" t="s">
        <v>25</v>
      </c>
      <c r="I404" t="s">
        <v>25</v>
      </c>
      <c r="J404" t="s">
        <v>101</v>
      </c>
      <c r="K404" t="s">
        <v>88</v>
      </c>
      <c r="L404" t="s">
        <v>103</v>
      </c>
      <c r="M404">
        <v>633.19527639</v>
      </c>
      <c r="N404">
        <v>0</v>
      </c>
      <c r="O404" t="s">
        <v>80</v>
      </c>
      <c r="P404" s="39">
        <v>44269.873618055557</v>
      </c>
      <c r="Q404">
        <v>2848290</v>
      </c>
      <c r="R404" t="s">
        <v>27</v>
      </c>
      <c r="S404" s="4">
        <v>306.26384954999997</v>
      </c>
      <c r="W404"/>
      <c r="X404">
        <v>0</v>
      </c>
      <c r="AC404" t="s">
        <v>84</v>
      </c>
      <c r="AD404" s="39">
        <v>43770</v>
      </c>
    </row>
    <row r="405" spans="1:30" x14ac:dyDescent="0.25">
      <c r="A405">
        <v>301143</v>
      </c>
      <c r="B405" t="s">
        <v>155</v>
      </c>
      <c r="C405">
        <v>2019</v>
      </c>
      <c r="D405">
        <v>11</v>
      </c>
      <c r="E405" t="s">
        <v>90</v>
      </c>
      <c r="F405" t="s">
        <v>84</v>
      </c>
      <c r="G405" t="s">
        <v>84</v>
      </c>
      <c r="H405" t="s">
        <v>25</v>
      </c>
      <c r="I405" t="s">
        <v>25</v>
      </c>
      <c r="J405" t="s">
        <v>101</v>
      </c>
      <c r="K405" t="s">
        <v>90</v>
      </c>
      <c r="L405" t="s">
        <v>103</v>
      </c>
      <c r="M405">
        <v>555.24552490999997</v>
      </c>
      <c r="N405">
        <v>0</v>
      </c>
      <c r="O405" t="s">
        <v>80</v>
      </c>
      <c r="P405" s="39">
        <v>44269.873619479164</v>
      </c>
      <c r="Q405">
        <v>2848425</v>
      </c>
      <c r="R405" t="s">
        <v>27</v>
      </c>
      <c r="S405" s="4">
        <v>306.87024231999999</v>
      </c>
      <c r="W405"/>
      <c r="X405">
        <v>0</v>
      </c>
      <c r="AC405" t="s">
        <v>84</v>
      </c>
      <c r="AD405" s="39">
        <v>43770</v>
      </c>
    </row>
    <row r="406" spans="1:30" x14ac:dyDescent="0.25">
      <c r="A406">
        <v>301089</v>
      </c>
      <c r="B406" t="s">
        <v>155</v>
      </c>
      <c r="C406">
        <v>2019</v>
      </c>
      <c r="D406">
        <v>11</v>
      </c>
      <c r="E406" t="s">
        <v>86</v>
      </c>
      <c r="F406" t="s">
        <v>84</v>
      </c>
      <c r="G406" t="s">
        <v>84</v>
      </c>
      <c r="H406" t="s">
        <v>25</v>
      </c>
      <c r="I406" t="s">
        <v>25</v>
      </c>
      <c r="J406" t="s">
        <v>101</v>
      </c>
      <c r="K406" t="s">
        <v>86</v>
      </c>
      <c r="L406" t="s">
        <v>103</v>
      </c>
      <c r="M406">
        <v>1777.6837430800001</v>
      </c>
      <c r="N406">
        <v>0</v>
      </c>
      <c r="O406" t="s">
        <v>80</v>
      </c>
      <c r="P406" s="39">
        <v>44269.873616666657</v>
      </c>
      <c r="Q406">
        <v>2848155</v>
      </c>
      <c r="R406" t="s">
        <v>27</v>
      </c>
      <c r="S406" s="4">
        <v>987.05083065999997</v>
      </c>
      <c r="W406"/>
      <c r="X406">
        <v>0</v>
      </c>
      <c r="AC406" t="s">
        <v>84</v>
      </c>
      <c r="AD406" s="39">
        <v>43770</v>
      </c>
    </row>
    <row r="407" spans="1:30" x14ac:dyDescent="0.25">
      <c r="A407">
        <v>301089</v>
      </c>
      <c r="B407" t="s">
        <v>155</v>
      </c>
      <c r="C407">
        <v>2019</v>
      </c>
      <c r="D407">
        <v>11</v>
      </c>
      <c r="E407" t="s">
        <v>86</v>
      </c>
      <c r="F407" t="s">
        <v>84</v>
      </c>
      <c r="G407" t="s">
        <v>84</v>
      </c>
      <c r="H407" t="s">
        <v>25</v>
      </c>
      <c r="I407" t="s">
        <v>25</v>
      </c>
      <c r="J407" t="s">
        <v>101</v>
      </c>
      <c r="K407" t="s">
        <v>86</v>
      </c>
      <c r="L407" t="s">
        <v>103</v>
      </c>
      <c r="M407">
        <v>1777.6837430800001</v>
      </c>
      <c r="N407">
        <v>0</v>
      </c>
      <c r="O407" t="s">
        <v>80</v>
      </c>
      <c r="P407" s="39">
        <v>44269.873616666657</v>
      </c>
      <c r="Q407">
        <v>2848152</v>
      </c>
      <c r="R407" t="s">
        <v>91</v>
      </c>
      <c r="S407" s="4">
        <v>4.7920636700000001</v>
      </c>
      <c r="W407"/>
      <c r="X407">
        <v>0</v>
      </c>
      <c r="AC407" t="s">
        <v>84</v>
      </c>
      <c r="AD407" s="39">
        <v>43770</v>
      </c>
    </row>
    <row r="408" spans="1:30" x14ac:dyDescent="0.25">
      <c r="A408">
        <v>301143</v>
      </c>
      <c r="B408" t="s">
        <v>155</v>
      </c>
      <c r="C408">
        <v>2019</v>
      </c>
      <c r="D408">
        <v>11</v>
      </c>
      <c r="E408" t="s">
        <v>90</v>
      </c>
      <c r="F408" t="s">
        <v>84</v>
      </c>
      <c r="G408" t="s">
        <v>84</v>
      </c>
      <c r="H408" t="s">
        <v>25</v>
      </c>
      <c r="I408" t="s">
        <v>25</v>
      </c>
      <c r="J408" t="s">
        <v>101</v>
      </c>
      <c r="K408" t="s">
        <v>90</v>
      </c>
      <c r="L408" t="s">
        <v>103</v>
      </c>
      <c r="M408">
        <v>555.24552490999997</v>
      </c>
      <c r="N408">
        <v>0</v>
      </c>
      <c r="O408" t="s">
        <v>80</v>
      </c>
      <c r="P408" s="39">
        <v>44269.873619479164</v>
      </c>
      <c r="Q408">
        <v>2848422</v>
      </c>
      <c r="R408" t="s">
        <v>91</v>
      </c>
      <c r="S408" s="4">
        <v>1.44840316</v>
      </c>
      <c r="W408"/>
      <c r="X408">
        <v>0</v>
      </c>
      <c r="AC408" t="s">
        <v>84</v>
      </c>
      <c r="AD408" s="39">
        <v>43770</v>
      </c>
    </row>
    <row r="409" spans="1:30" x14ac:dyDescent="0.25">
      <c r="A409">
        <v>301116</v>
      </c>
      <c r="B409" t="s">
        <v>155</v>
      </c>
      <c r="C409">
        <v>2019</v>
      </c>
      <c r="D409">
        <v>11</v>
      </c>
      <c r="E409" t="s">
        <v>88</v>
      </c>
      <c r="F409" t="s">
        <v>84</v>
      </c>
      <c r="G409" t="s">
        <v>84</v>
      </c>
      <c r="H409" t="s">
        <v>25</v>
      </c>
      <c r="I409" t="s">
        <v>25</v>
      </c>
      <c r="J409" t="s">
        <v>101</v>
      </c>
      <c r="K409" t="s">
        <v>88</v>
      </c>
      <c r="L409" t="s">
        <v>103</v>
      </c>
      <c r="M409">
        <v>633.19527639</v>
      </c>
      <c r="N409">
        <v>0</v>
      </c>
      <c r="O409" t="s">
        <v>80</v>
      </c>
      <c r="P409" s="39">
        <v>44269.873618055557</v>
      </c>
      <c r="Q409">
        <v>2848287</v>
      </c>
      <c r="R409" t="s">
        <v>91</v>
      </c>
      <c r="S409" s="4">
        <v>0</v>
      </c>
      <c r="W409"/>
      <c r="X409">
        <v>0</v>
      </c>
      <c r="AC409" t="s">
        <v>84</v>
      </c>
      <c r="AD409" s="39">
        <v>43770</v>
      </c>
    </row>
    <row r="410" spans="1:30" x14ac:dyDescent="0.25">
      <c r="A410">
        <v>301089</v>
      </c>
      <c r="B410" t="s">
        <v>155</v>
      </c>
      <c r="C410">
        <v>2019</v>
      </c>
      <c r="D410">
        <v>11</v>
      </c>
      <c r="E410" t="s">
        <v>86</v>
      </c>
      <c r="F410" t="s">
        <v>84</v>
      </c>
      <c r="G410" t="s">
        <v>84</v>
      </c>
      <c r="H410" t="s">
        <v>25</v>
      </c>
      <c r="I410" t="s">
        <v>25</v>
      </c>
      <c r="J410" t="s">
        <v>101</v>
      </c>
      <c r="K410" t="s">
        <v>86</v>
      </c>
      <c r="L410" t="s">
        <v>103</v>
      </c>
      <c r="M410">
        <v>1777.6837430800001</v>
      </c>
      <c r="N410">
        <v>0</v>
      </c>
      <c r="O410" t="s">
        <v>80</v>
      </c>
      <c r="P410" s="39">
        <v>44269.873616666657</v>
      </c>
      <c r="Q410">
        <v>2848154</v>
      </c>
      <c r="R410" t="s">
        <v>28</v>
      </c>
      <c r="S410" s="4">
        <v>4.4534525599999997</v>
      </c>
      <c r="W410"/>
      <c r="X410">
        <v>0</v>
      </c>
      <c r="AC410" t="s">
        <v>84</v>
      </c>
      <c r="AD410" s="39">
        <v>43770</v>
      </c>
    </row>
    <row r="411" spans="1:30" x14ac:dyDescent="0.25">
      <c r="A411">
        <v>301143</v>
      </c>
      <c r="B411" t="s">
        <v>155</v>
      </c>
      <c r="C411">
        <v>2019</v>
      </c>
      <c r="D411">
        <v>11</v>
      </c>
      <c r="E411" t="s">
        <v>90</v>
      </c>
      <c r="F411" t="s">
        <v>84</v>
      </c>
      <c r="G411" t="s">
        <v>84</v>
      </c>
      <c r="H411" t="s">
        <v>25</v>
      </c>
      <c r="I411" t="s">
        <v>25</v>
      </c>
      <c r="J411" t="s">
        <v>101</v>
      </c>
      <c r="K411" t="s">
        <v>90</v>
      </c>
      <c r="L411" t="s">
        <v>103</v>
      </c>
      <c r="M411">
        <v>555.24552490999997</v>
      </c>
      <c r="N411">
        <v>0</v>
      </c>
      <c r="O411" t="s">
        <v>80</v>
      </c>
      <c r="P411" s="39">
        <v>44269.873619479164</v>
      </c>
      <c r="Q411">
        <v>2848424</v>
      </c>
      <c r="R411" t="s">
        <v>28</v>
      </c>
      <c r="S411" s="4">
        <v>1.30345416</v>
      </c>
      <c r="W411"/>
      <c r="X411">
        <v>0</v>
      </c>
      <c r="AC411" t="s">
        <v>84</v>
      </c>
      <c r="AD411" s="39">
        <v>43770</v>
      </c>
    </row>
    <row r="412" spans="1:30" x14ac:dyDescent="0.25">
      <c r="A412">
        <v>301116</v>
      </c>
      <c r="B412" t="s">
        <v>155</v>
      </c>
      <c r="C412">
        <v>2019</v>
      </c>
      <c r="D412">
        <v>11</v>
      </c>
      <c r="E412" t="s">
        <v>88</v>
      </c>
      <c r="F412" t="s">
        <v>84</v>
      </c>
      <c r="G412" t="s">
        <v>84</v>
      </c>
      <c r="H412" t="s">
        <v>25</v>
      </c>
      <c r="I412" t="s">
        <v>25</v>
      </c>
      <c r="J412" t="s">
        <v>101</v>
      </c>
      <c r="K412" t="s">
        <v>88</v>
      </c>
      <c r="L412" t="s">
        <v>103</v>
      </c>
      <c r="M412">
        <v>633.19527639</v>
      </c>
      <c r="N412">
        <v>0</v>
      </c>
      <c r="O412" t="s">
        <v>80</v>
      </c>
      <c r="P412" s="39">
        <v>44269.873618055557</v>
      </c>
      <c r="Q412">
        <v>2848289</v>
      </c>
      <c r="R412" t="s">
        <v>28</v>
      </c>
      <c r="S412" s="4">
        <v>0</v>
      </c>
      <c r="W412"/>
      <c r="X412">
        <v>0</v>
      </c>
      <c r="AC412" t="s">
        <v>84</v>
      </c>
      <c r="AD412" s="39">
        <v>43770</v>
      </c>
    </row>
    <row r="413" spans="1:30" x14ac:dyDescent="0.25">
      <c r="A413">
        <v>314988</v>
      </c>
      <c r="B413" t="s">
        <v>148</v>
      </c>
      <c r="C413">
        <v>2019</v>
      </c>
      <c r="D413">
        <v>12</v>
      </c>
      <c r="E413" t="s">
        <v>86</v>
      </c>
      <c r="F413" t="s">
        <v>84</v>
      </c>
      <c r="G413" t="s">
        <v>84</v>
      </c>
      <c r="H413" t="s">
        <v>25</v>
      </c>
      <c r="I413" t="s">
        <v>25</v>
      </c>
      <c r="J413" t="s">
        <v>101</v>
      </c>
      <c r="K413" t="s">
        <v>86</v>
      </c>
      <c r="L413" t="s">
        <v>103</v>
      </c>
      <c r="M413">
        <v>2155.3283754300001</v>
      </c>
      <c r="N413">
        <v>0</v>
      </c>
      <c r="O413" t="s">
        <v>80</v>
      </c>
      <c r="P413" s="39">
        <v>44269.875250428238</v>
      </c>
      <c r="Q413">
        <v>2979364</v>
      </c>
      <c r="R413" t="s">
        <v>26</v>
      </c>
      <c r="S413" s="4">
        <v>736.70995244000005</v>
      </c>
      <c r="W413"/>
      <c r="X413">
        <v>0</v>
      </c>
      <c r="AC413" t="s">
        <v>84</v>
      </c>
      <c r="AD413" s="39">
        <v>43800</v>
      </c>
    </row>
    <row r="414" spans="1:30" x14ac:dyDescent="0.25">
      <c r="A414">
        <v>315042</v>
      </c>
      <c r="B414" t="s">
        <v>148</v>
      </c>
      <c r="C414">
        <v>2019</v>
      </c>
      <c r="D414">
        <v>12</v>
      </c>
      <c r="E414" t="s">
        <v>90</v>
      </c>
      <c r="F414" t="s">
        <v>84</v>
      </c>
      <c r="G414" t="s">
        <v>84</v>
      </c>
      <c r="H414" t="s">
        <v>25</v>
      </c>
      <c r="I414" t="s">
        <v>25</v>
      </c>
      <c r="J414" t="s">
        <v>101</v>
      </c>
      <c r="K414" t="s">
        <v>90</v>
      </c>
      <c r="L414" t="s">
        <v>103</v>
      </c>
      <c r="M414">
        <v>491.15728963999999</v>
      </c>
      <c r="N414">
        <v>0</v>
      </c>
      <c r="O414" t="s">
        <v>80</v>
      </c>
      <c r="P414" s="39">
        <v>44269.875253009261</v>
      </c>
      <c r="Q414">
        <v>2979634</v>
      </c>
      <c r="R414" t="s">
        <v>26</v>
      </c>
      <c r="S414" s="4">
        <v>177.90422487999999</v>
      </c>
      <c r="W414"/>
      <c r="X414">
        <v>0</v>
      </c>
      <c r="AC414" t="s">
        <v>84</v>
      </c>
      <c r="AD414" s="39">
        <v>43800</v>
      </c>
    </row>
    <row r="415" spans="1:30" x14ac:dyDescent="0.25">
      <c r="A415">
        <v>315015</v>
      </c>
      <c r="B415" t="s">
        <v>148</v>
      </c>
      <c r="C415">
        <v>2019</v>
      </c>
      <c r="D415">
        <v>12</v>
      </c>
      <c r="E415" t="s">
        <v>88</v>
      </c>
      <c r="F415" t="s">
        <v>84</v>
      </c>
      <c r="G415" t="s">
        <v>84</v>
      </c>
      <c r="H415" t="s">
        <v>25</v>
      </c>
      <c r="I415" t="s">
        <v>25</v>
      </c>
      <c r="J415" t="s">
        <v>101</v>
      </c>
      <c r="K415" t="s">
        <v>88</v>
      </c>
      <c r="L415" t="s">
        <v>103</v>
      </c>
      <c r="M415">
        <v>1168.3792061199999</v>
      </c>
      <c r="N415">
        <v>0</v>
      </c>
      <c r="O415" t="s">
        <v>80</v>
      </c>
      <c r="P415" s="39">
        <v>44269.875251701393</v>
      </c>
      <c r="Q415">
        <v>2979499</v>
      </c>
      <c r="R415" t="s">
        <v>26</v>
      </c>
      <c r="S415" s="4">
        <v>509.84960242</v>
      </c>
      <c r="W415"/>
      <c r="X415">
        <v>0</v>
      </c>
      <c r="AC415" t="s">
        <v>84</v>
      </c>
      <c r="AD415" s="39">
        <v>43800</v>
      </c>
    </row>
    <row r="416" spans="1:30" x14ac:dyDescent="0.25">
      <c r="A416">
        <v>314988</v>
      </c>
      <c r="B416" t="s">
        <v>148</v>
      </c>
      <c r="C416">
        <v>2019</v>
      </c>
      <c r="D416">
        <v>12</v>
      </c>
      <c r="E416" t="s">
        <v>86</v>
      </c>
      <c r="F416" t="s">
        <v>84</v>
      </c>
      <c r="G416" t="s">
        <v>84</v>
      </c>
      <c r="H416" t="s">
        <v>25</v>
      </c>
      <c r="I416" t="s">
        <v>25</v>
      </c>
      <c r="J416" t="s">
        <v>101</v>
      </c>
      <c r="K416" t="s">
        <v>86</v>
      </c>
      <c r="L416" t="s">
        <v>103</v>
      </c>
      <c r="M416">
        <v>2155.3283754300001</v>
      </c>
      <c r="N416">
        <v>0</v>
      </c>
      <c r="O416" t="s">
        <v>80</v>
      </c>
      <c r="P416" s="39">
        <v>44269.875250428238</v>
      </c>
      <c r="Q416">
        <v>2979367</v>
      </c>
      <c r="R416" t="s">
        <v>81</v>
      </c>
      <c r="S416" s="4">
        <v>256.62073693999997</v>
      </c>
      <c r="W416"/>
      <c r="X416">
        <v>0</v>
      </c>
      <c r="AC416" t="s">
        <v>84</v>
      </c>
      <c r="AD416" s="39">
        <v>43800</v>
      </c>
    </row>
    <row r="417" spans="1:30" x14ac:dyDescent="0.25">
      <c r="A417">
        <v>315042</v>
      </c>
      <c r="B417" t="s">
        <v>148</v>
      </c>
      <c r="C417">
        <v>2019</v>
      </c>
      <c r="D417">
        <v>12</v>
      </c>
      <c r="E417" t="s">
        <v>90</v>
      </c>
      <c r="F417" t="s">
        <v>84</v>
      </c>
      <c r="G417" t="s">
        <v>84</v>
      </c>
      <c r="H417" t="s">
        <v>25</v>
      </c>
      <c r="I417" t="s">
        <v>25</v>
      </c>
      <c r="J417" t="s">
        <v>101</v>
      </c>
      <c r="K417" t="s">
        <v>90</v>
      </c>
      <c r="L417" t="s">
        <v>103</v>
      </c>
      <c r="M417">
        <v>491.15728963999999</v>
      </c>
      <c r="N417">
        <v>0</v>
      </c>
      <c r="O417" t="s">
        <v>80</v>
      </c>
      <c r="P417" s="39">
        <v>44269.875253009261</v>
      </c>
      <c r="Q417">
        <v>2979637</v>
      </c>
      <c r="R417" t="s">
        <v>81</v>
      </c>
      <c r="S417" s="4">
        <v>49.839251099999998</v>
      </c>
      <c r="W417"/>
      <c r="X417">
        <v>0</v>
      </c>
      <c r="AC417" t="s">
        <v>84</v>
      </c>
      <c r="AD417" s="39">
        <v>43800</v>
      </c>
    </row>
    <row r="418" spans="1:30" x14ac:dyDescent="0.25">
      <c r="A418">
        <v>315015</v>
      </c>
      <c r="B418" t="s">
        <v>148</v>
      </c>
      <c r="C418">
        <v>2019</v>
      </c>
      <c r="D418">
        <v>12</v>
      </c>
      <c r="E418" t="s">
        <v>88</v>
      </c>
      <c r="F418" t="s">
        <v>84</v>
      </c>
      <c r="G418" t="s">
        <v>84</v>
      </c>
      <c r="H418" t="s">
        <v>25</v>
      </c>
      <c r="I418" t="s">
        <v>25</v>
      </c>
      <c r="J418" t="s">
        <v>101</v>
      </c>
      <c r="K418" t="s">
        <v>88</v>
      </c>
      <c r="L418" t="s">
        <v>103</v>
      </c>
      <c r="M418">
        <v>1168.3792061199999</v>
      </c>
      <c r="N418">
        <v>0</v>
      </c>
      <c r="O418" t="s">
        <v>80</v>
      </c>
      <c r="P418" s="39">
        <v>44269.875251701393</v>
      </c>
      <c r="Q418">
        <v>2979502</v>
      </c>
      <c r="R418" t="s">
        <v>81</v>
      </c>
      <c r="S418" s="4">
        <v>118.31603423</v>
      </c>
      <c r="W418"/>
      <c r="X418">
        <v>0</v>
      </c>
      <c r="AC418" t="s">
        <v>84</v>
      </c>
      <c r="AD418" s="39">
        <v>43800</v>
      </c>
    </row>
    <row r="419" spans="1:30" x14ac:dyDescent="0.25">
      <c r="A419">
        <v>315015</v>
      </c>
      <c r="B419" t="s">
        <v>148</v>
      </c>
      <c r="C419">
        <v>2019</v>
      </c>
      <c r="D419">
        <v>12</v>
      </c>
      <c r="E419" t="s">
        <v>88</v>
      </c>
      <c r="F419" t="s">
        <v>84</v>
      </c>
      <c r="G419" t="s">
        <v>84</v>
      </c>
      <c r="H419" t="s">
        <v>25</v>
      </c>
      <c r="I419" t="s">
        <v>25</v>
      </c>
      <c r="J419" t="s">
        <v>101</v>
      </c>
      <c r="K419" t="s">
        <v>88</v>
      </c>
      <c r="L419" t="s">
        <v>103</v>
      </c>
      <c r="M419">
        <v>1168.3792061199999</v>
      </c>
      <c r="N419">
        <v>0</v>
      </c>
      <c r="O419" t="s">
        <v>80</v>
      </c>
      <c r="P419" s="39">
        <v>44269.875251701393</v>
      </c>
      <c r="Q419">
        <v>2979501</v>
      </c>
      <c r="R419" t="s">
        <v>27</v>
      </c>
      <c r="S419" s="4">
        <v>565.12157741999999</v>
      </c>
      <c r="W419"/>
      <c r="X419">
        <v>0</v>
      </c>
      <c r="AC419" t="s">
        <v>84</v>
      </c>
      <c r="AD419" s="39">
        <v>43800</v>
      </c>
    </row>
    <row r="420" spans="1:30" x14ac:dyDescent="0.25">
      <c r="A420">
        <v>314988</v>
      </c>
      <c r="B420" t="s">
        <v>148</v>
      </c>
      <c r="C420">
        <v>2019</v>
      </c>
      <c r="D420">
        <v>12</v>
      </c>
      <c r="E420" t="s">
        <v>86</v>
      </c>
      <c r="F420" t="s">
        <v>84</v>
      </c>
      <c r="G420" t="s">
        <v>84</v>
      </c>
      <c r="H420" t="s">
        <v>25</v>
      </c>
      <c r="I420" t="s">
        <v>25</v>
      </c>
      <c r="J420" t="s">
        <v>101</v>
      </c>
      <c r="K420" t="s">
        <v>86</v>
      </c>
      <c r="L420" t="s">
        <v>103</v>
      </c>
      <c r="M420">
        <v>2155.3283754300001</v>
      </c>
      <c r="N420">
        <v>0</v>
      </c>
      <c r="O420" t="s">
        <v>80</v>
      </c>
      <c r="P420" s="39">
        <v>44269.875250428238</v>
      </c>
      <c r="Q420">
        <v>2979366</v>
      </c>
      <c r="R420" t="s">
        <v>27</v>
      </c>
      <c r="S420" s="4">
        <v>1196.7362989000001</v>
      </c>
      <c r="W420"/>
      <c r="X420">
        <v>0</v>
      </c>
      <c r="AC420" t="s">
        <v>84</v>
      </c>
      <c r="AD420" s="39">
        <v>43800</v>
      </c>
    </row>
    <row r="421" spans="1:30" x14ac:dyDescent="0.25">
      <c r="A421">
        <v>315042</v>
      </c>
      <c r="B421" t="s">
        <v>148</v>
      </c>
      <c r="C421">
        <v>2019</v>
      </c>
      <c r="D421">
        <v>12</v>
      </c>
      <c r="E421" t="s">
        <v>90</v>
      </c>
      <c r="F421" t="s">
        <v>84</v>
      </c>
      <c r="G421" t="s">
        <v>84</v>
      </c>
      <c r="H421" t="s">
        <v>25</v>
      </c>
      <c r="I421" t="s">
        <v>25</v>
      </c>
      <c r="J421" t="s">
        <v>101</v>
      </c>
      <c r="K421" t="s">
        <v>90</v>
      </c>
      <c r="L421" t="s">
        <v>103</v>
      </c>
      <c r="M421">
        <v>491.15728963999999</v>
      </c>
      <c r="N421">
        <v>0</v>
      </c>
      <c r="O421" t="s">
        <v>80</v>
      </c>
      <c r="P421" s="39">
        <v>44269.875253009261</v>
      </c>
      <c r="Q421">
        <v>2979636</v>
      </c>
      <c r="R421" t="s">
        <v>27</v>
      </c>
      <c r="S421" s="4">
        <v>271.45028592</v>
      </c>
      <c r="W421"/>
      <c r="X421">
        <v>0</v>
      </c>
      <c r="AC421" t="s">
        <v>84</v>
      </c>
      <c r="AD421" s="39">
        <v>43800</v>
      </c>
    </row>
    <row r="422" spans="1:30" x14ac:dyDescent="0.25">
      <c r="A422">
        <v>315042</v>
      </c>
      <c r="B422" t="s">
        <v>148</v>
      </c>
      <c r="C422">
        <v>2019</v>
      </c>
      <c r="D422">
        <v>12</v>
      </c>
      <c r="E422" t="s">
        <v>90</v>
      </c>
      <c r="F422" t="s">
        <v>84</v>
      </c>
      <c r="G422" t="s">
        <v>84</v>
      </c>
      <c r="H422" t="s">
        <v>25</v>
      </c>
      <c r="I422" t="s">
        <v>25</v>
      </c>
      <c r="J422" t="s">
        <v>101</v>
      </c>
      <c r="K422" t="s">
        <v>90</v>
      </c>
      <c r="L422" t="s">
        <v>103</v>
      </c>
      <c r="M422">
        <v>491.15728963999999</v>
      </c>
      <c r="N422">
        <v>0</v>
      </c>
      <c r="O422" t="s">
        <v>80</v>
      </c>
      <c r="P422" s="39">
        <v>44269.875253009261</v>
      </c>
      <c r="Q422">
        <v>2979633</v>
      </c>
      <c r="R422" t="s">
        <v>91</v>
      </c>
      <c r="S422" s="4">
        <v>1.2812237799999999</v>
      </c>
      <c r="W422"/>
      <c r="X422">
        <v>0</v>
      </c>
      <c r="AC422" t="s">
        <v>84</v>
      </c>
      <c r="AD422" s="39">
        <v>43800</v>
      </c>
    </row>
    <row r="423" spans="1:30" x14ac:dyDescent="0.25">
      <c r="A423">
        <v>314988</v>
      </c>
      <c r="B423" t="s">
        <v>148</v>
      </c>
      <c r="C423">
        <v>2019</v>
      </c>
      <c r="D423">
        <v>12</v>
      </c>
      <c r="E423" t="s">
        <v>86</v>
      </c>
      <c r="F423" t="s">
        <v>84</v>
      </c>
      <c r="G423" t="s">
        <v>84</v>
      </c>
      <c r="H423" t="s">
        <v>25</v>
      </c>
      <c r="I423" t="s">
        <v>25</v>
      </c>
      <c r="J423" t="s">
        <v>101</v>
      </c>
      <c r="K423" t="s">
        <v>86</v>
      </c>
      <c r="L423" t="s">
        <v>103</v>
      </c>
      <c r="M423">
        <v>2155.3283754300001</v>
      </c>
      <c r="N423">
        <v>0</v>
      </c>
      <c r="O423" t="s">
        <v>80</v>
      </c>
      <c r="P423" s="39">
        <v>44269.875250428238</v>
      </c>
      <c r="Q423">
        <v>2979363</v>
      </c>
      <c r="R423" t="s">
        <v>91</v>
      </c>
      <c r="S423" s="4">
        <v>5.8100721499999999</v>
      </c>
      <c r="W423"/>
      <c r="X423">
        <v>0</v>
      </c>
      <c r="AC423" t="s">
        <v>84</v>
      </c>
      <c r="AD423" s="39">
        <v>43800</v>
      </c>
    </row>
    <row r="424" spans="1:30" x14ac:dyDescent="0.25">
      <c r="A424">
        <v>315015</v>
      </c>
      <c r="B424" t="s">
        <v>148</v>
      </c>
      <c r="C424">
        <v>2019</v>
      </c>
      <c r="D424">
        <v>12</v>
      </c>
      <c r="E424" t="s">
        <v>88</v>
      </c>
      <c r="F424" t="s">
        <v>84</v>
      </c>
      <c r="G424" t="s">
        <v>84</v>
      </c>
      <c r="H424" t="s">
        <v>25</v>
      </c>
      <c r="I424" t="s">
        <v>25</v>
      </c>
      <c r="J424" t="s">
        <v>101</v>
      </c>
      <c r="K424" t="s">
        <v>88</v>
      </c>
      <c r="L424" t="s">
        <v>103</v>
      </c>
      <c r="M424">
        <v>1168.3792061199999</v>
      </c>
      <c r="N424">
        <v>0</v>
      </c>
      <c r="O424" t="s">
        <v>80</v>
      </c>
      <c r="P424" s="39">
        <v>44269.875251701393</v>
      </c>
      <c r="Q424">
        <v>2979498</v>
      </c>
      <c r="R424" t="s">
        <v>91</v>
      </c>
      <c r="S424" s="4">
        <v>0</v>
      </c>
      <c r="W424"/>
      <c r="X424">
        <v>0</v>
      </c>
      <c r="AC424" t="s">
        <v>84</v>
      </c>
      <c r="AD424" s="39">
        <v>43800</v>
      </c>
    </row>
    <row r="425" spans="1:30" x14ac:dyDescent="0.25">
      <c r="A425">
        <v>315015</v>
      </c>
      <c r="B425" t="s">
        <v>148</v>
      </c>
      <c r="C425">
        <v>2019</v>
      </c>
      <c r="D425">
        <v>12</v>
      </c>
      <c r="E425" t="s">
        <v>88</v>
      </c>
      <c r="F425" t="s">
        <v>84</v>
      </c>
      <c r="G425" t="s">
        <v>84</v>
      </c>
      <c r="H425" t="s">
        <v>25</v>
      </c>
      <c r="I425" t="s">
        <v>25</v>
      </c>
      <c r="J425" t="s">
        <v>101</v>
      </c>
      <c r="K425" t="s">
        <v>88</v>
      </c>
      <c r="L425" t="s">
        <v>103</v>
      </c>
      <c r="M425">
        <v>1168.3792061199999</v>
      </c>
      <c r="N425">
        <v>0</v>
      </c>
      <c r="O425" t="s">
        <v>80</v>
      </c>
      <c r="P425" s="39">
        <v>44269.875251701393</v>
      </c>
      <c r="Q425">
        <v>2979500</v>
      </c>
      <c r="R425" t="s">
        <v>28</v>
      </c>
      <c r="S425" s="4">
        <v>0</v>
      </c>
      <c r="W425"/>
      <c r="X425">
        <v>0</v>
      </c>
      <c r="AC425" t="s">
        <v>84</v>
      </c>
      <c r="AD425" s="39">
        <v>43800</v>
      </c>
    </row>
    <row r="426" spans="1:30" x14ac:dyDescent="0.25">
      <c r="A426">
        <v>314988</v>
      </c>
      <c r="B426" t="s">
        <v>148</v>
      </c>
      <c r="C426">
        <v>2019</v>
      </c>
      <c r="D426">
        <v>12</v>
      </c>
      <c r="E426" t="s">
        <v>86</v>
      </c>
      <c r="F426" t="s">
        <v>84</v>
      </c>
      <c r="G426" t="s">
        <v>84</v>
      </c>
      <c r="H426" t="s">
        <v>25</v>
      </c>
      <c r="I426" t="s">
        <v>25</v>
      </c>
      <c r="J426" t="s">
        <v>101</v>
      </c>
      <c r="K426" t="s">
        <v>86</v>
      </c>
      <c r="L426" t="s">
        <v>103</v>
      </c>
      <c r="M426">
        <v>2155.3283754300001</v>
      </c>
      <c r="N426">
        <v>0</v>
      </c>
      <c r="O426" t="s">
        <v>80</v>
      </c>
      <c r="P426" s="39">
        <v>44269.875250428238</v>
      </c>
      <c r="Q426">
        <v>2979365</v>
      </c>
      <c r="R426" t="s">
        <v>28</v>
      </c>
      <c r="S426" s="4">
        <v>5.39952773</v>
      </c>
      <c r="W426"/>
      <c r="X426">
        <v>0</v>
      </c>
      <c r="AC426" t="s">
        <v>84</v>
      </c>
      <c r="AD426" s="39">
        <v>43800</v>
      </c>
    </row>
    <row r="427" spans="1:30" x14ac:dyDescent="0.25">
      <c r="A427">
        <v>315042</v>
      </c>
      <c r="B427" t="s">
        <v>148</v>
      </c>
      <c r="C427">
        <v>2019</v>
      </c>
      <c r="D427">
        <v>12</v>
      </c>
      <c r="E427" t="s">
        <v>90</v>
      </c>
      <c r="F427" t="s">
        <v>84</v>
      </c>
      <c r="G427" t="s">
        <v>84</v>
      </c>
      <c r="H427" t="s">
        <v>25</v>
      </c>
      <c r="I427" t="s">
        <v>25</v>
      </c>
      <c r="J427" t="s">
        <v>101</v>
      </c>
      <c r="K427" t="s">
        <v>90</v>
      </c>
      <c r="L427" t="s">
        <v>103</v>
      </c>
      <c r="M427">
        <v>491.15728963999999</v>
      </c>
      <c r="N427">
        <v>0</v>
      </c>
      <c r="O427" t="s">
        <v>80</v>
      </c>
      <c r="P427" s="39">
        <v>44269.875253009261</v>
      </c>
      <c r="Q427">
        <v>2979635</v>
      </c>
      <c r="R427" t="s">
        <v>28</v>
      </c>
      <c r="S427" s="4">
        <v>1.15300526</v>
      </c>
      <c r="W427"/>
      <c r="X427">
        <v>0</v>
      </c>
      <c r="AC427" t="s">
        <v>84</v>
      </c>
      <c r="AD427" s="39">
        <v>43800</v>
      </c>
    </row>
    <row r="428" spans="1:30" x14ac:dyDescent="0.25">
      <c r="A428">
        <v>354556</v>
      </c>
      <c r="B428" t="s">
        <v>197</v>
      </c>
      <c r="C428">
        <v>2020</v>
      </c>
      <c r="D428">
        <v>1</v>
      </c>
      <c r="E428" t="s">
        <v>88</v>
      </c>
      <c r="F428" t="s">
        <v>84</v>
      </c>
      <c r="G428" t="s">
        <v>84</v>
      </c>
      <c r="H428" t="s">
        <v>25</v>
      </c>
      <c r="I428" t="s">
        <v>25</v>
      </c>
      <c r="J428" t="s">
        <v>101</v>
      </c>
      <c r="K428" t="s">
        <v>88</v>
      </c>
      <c r="L428" t="s">
        <v>103</v>
      </c>
      <c r="M428">
        <v>2001.48077276</v>
      </c>
      <c r="N428">
        <v>0</v>
      </c>
      <c r="O428" t="s">
        <v>80</v>
      </c>
      <c r="P428" s="39">
        <v>44277.57723599537</v>
      </c>
      <c r="Q428">
        <v>3346610</v>
      </c>
      <c r="R428" t="s">
        <v>26</v>
      </c>
      <c r="S428" s="4">
        <v>1211.0908766</v>
      </c>
      <c r="W428"/>
      <c r="X428">
        <v>0</v>
      </c>
      <c r="AC428" t="s">
        <v>84</v>
      </c>
      <c r="AD428" s="39">
        <v>43831</v>
      </c>
    </row>
    <row r="429" spans="1:30" x14ac:dyDescent="0.25">
      <c r="A429">
        <v>354580</v>
      </c>
      <c r="B429" t="s">
        <v>197</v>
      </c>
      <c r="C429">
        <v>2020</v>
      </c>
      <c r="D429">
        <v>1</v>
      </c>
      <c r="E429" t="s">
        <v>90</v>
      </c>
      <c r="F429" t="s">
        <v>84</v>
      </c>
      <c r="G429" t="s">
        <v>84</v>
      </c>
      <c r="H429" t="s">
        <v>25</v>
      </c>
      <c r="I429" t="s">
        <v>25</v>
      </c>
      <c r="J429" t="s">
        <v>101</v>
      </c>
      <c r="K429" t="s">
        <v>90</v>
      </c>
      <c r="L429" t="s">
        <v>103</v>
      </c>
      <c r="M429">
        <v>1639.6683604499999</v>
      </c>
      <c r="N429">
        <v>0</v>
      </c>
      <c r="O429" t="s">
        <v>80</v>
      </c>
      <c r="P429" s="39">
        <v>44277.577237650461</v>
      </c>
      <c r="Q429">
        <v>3346730</v>
      </c>
      <c r="R429" t="s">
        <v>26</v>
      </c>
      <c r="S429" s="4">
        <v>819.60831085999996</v>
      </c>
      <c r="W429"/>
      <c r="X429">
        <v>0</v>
      </c>
      <c r="AC429" t="s">
        <v>84</v>
      </c>
      <c r="AD429" s="39">
        <v>43831</v>
      </c>
    </row>
    <row r="430" spans="1:30" x14ac:dyDescent="0.25">
      <c r="A430">
        <v>354532</v>
      </c>
      <c r="B430" t="s">
        <v>197</v>
      </c>
      <c r="C430">
        <v>2020</v>
      </c>
      <c r="D430">
        <v>1</v>
      </c>
      <c r="E430" t="s">
        <v>86</v>
      </c>
      <c r="F430" t="s">
        <v>84</v>
      </c>
      <c r="G430" t="s">
        <v>84</v>
      </c>
      <c r="H430" t="s">
        <v>25</v>
      </c>
      <c r="I430" t="s">
        <v>25</v>
      </c>
      <c r="J430" t="s">
        <v>101</v>
      </c>
      <c r="K430" t="s">
        <v>86</v>
      </c>
      <c r="L430" t="s">
        <v>103</v>
      </c>
      <c r="M430">
        <v>4821.9581158499996</v>
      </c>
      <c r="N430">
        <v>0</v>
      </c>
      <c r="O430" t="s">
        <v>80</v>
      </c>
      <c r="P430" s="39">
        <v>44277.577233530094</v>
      </c>
      <c r="Q430">
        <v>3346490</v>
      </c>
      <c r="R430" t="s">
        <v>26</v>
      </c>
      <c r="S430" s="4">
        <v>2258.1656889199999</v>
      </c>
      <c r="W430"/>
      <c r="X430">
        <v>0</v>
      </c>
      <c r="AC430" t="s">
        <v>84</v>
      </c>
      <c r="AD430" s="39">
        <v>43831</v>
      </c>
    </row>
    <row r="431" spans="1:30" x14ac:dyDescent="0.25">
      <c r="A431">
        <v>354580</v>
      </c>
      <c r="B431" t="s">
        <v>197</v>
      </c>
      <c r="C431">
        <v>2020</v>
      </c>
      <c r="D431">
        <v>1</v>
      </c>
      <c r="E431" t="s">
        <v>90</v>
      </c>
      <c r="F431" t="s">
        <v>84</v>
      </c>
      <c r="G431" t="s">
        <v>84</v>
      </c>
      <c r="H431" t="s">
        <v>25</v>
      </c>
      <c r="I431" t="s">
        <v>25</v>
      </c>
      <c r="J431" t="s">
        <v>101</v>
      </c>
      <c r="K431" t="s">
        <v>90</v>
      </c>
      <c r="L431" t="s">
        <v>103</v>
      </c>
      <c r="M431">
        <v>1639.6683604499999</v>
      </c>
      <c r="N431">
        <v>0</v>
      </c>
      <c r="O431" t="s">
        <v>80</v>
      </c>
      <c r="P431" s="39">
        <v>44277.577237650461</v>
      </c>
      <c r="Q431">
        <v>3346733</v>
      </c>
      <c r="R431" t="s">
        <v>81</v>
      </c>
      <c r="S431" s="4">
        <v>99.612631500000006</v>
      </c>
      <c r="W431"/>
      <c r="X431">
        <v>0</v>
      </c>
      <c r="AC431" t="s">
        <v>84</v>
      </c>
      <c r="AD431" s="39">
        <v>43831</v>
      </c>
    </row>
    <row r="432" spans="1:30" x14ac:dyDescent="0.25">
      <c r="A432">
        <v>354556</v>
      </c>
      <c r="B432" t="s">
        <v>197</v>
      </c>
      <c r="C432">
        <v>2020</v>
      </c>
      <c r="D432">
        <v>1</v>
      </c>
      <c r="E432" t="s">
        <v>88</v>
      </c>
      <c r="F432" t="s">
        <v>84</v>
      </c>
      <c r="G432" t="s">
        <v>84</v>
      </c>
      <c r="H432" t="s">
        <v>25</v>
      </c>
      <c r="I432" t="s">
        <v>25</v>
      </c>
      <c r="J432" t="s">
        <v>101</v>
      </c>
      <c r="K432" t="s">
        <v>88</v>
      </c>
      <c r="L432" t="s">
        <v>103</v>
      </c>
      <c r="M432">
        <v>2001.48077276</v>
      </c>
      <c r="N432">
        <v>0</v>
      </c>
      <c r="O432" t="s">
        <v>80</v>
      </c>
      <c r="P432" s="39">
        <v>44277.57723599537</v>
      </c>
      <c r="Q432">
        <v>3346613</v>
      </c>
      <c r="R432" t="s">
        <v>81</v>
      </c>
      <c r="S432" s="4">
        <v>110.03143731</v>
      </c>
      <c r="W432"/>
      <c r="X432">
        <v>0</v>
      </c>
      <c r="AC432" t="s">
        <v>84</v>
      </c>
      <c r="AD432" s="39">
        <v>43831</v>
      </c>
    </row>
    <row r="433" spans="1:30" x14ac:dyDescent="0.25">
      <c r="A433">
        <v>354532</v>
      </c>
      <c r="B433" t="s">
        <v>197</v>
      </c>
      <c r="C433">
        <v>2020</v>
      </c>
      <c r="D433">
        <v>1</v>
      </c>
      <c r="E433" t="s">
        <v>86</v>
      </c>
      <c r="F433" t="s">
        <v>84</v>
      </c>
      <c r="G433" t="s">
        <v>84</v>
      </c>
      <c r="H433" t="s">
        <v>25</v>
      </c>
      <c r="I433" t="s">
        <v>25</v>
      </c>
      <c r="J433" t="s">
        <v>101</v>
      </c>
      <c r="K433" t="s">
        <v>86</v>
      </c>
      <c r="L433" t="s">
        <v>103</v>
      </c>
      <c r="M433">
        <v>4821.9581158499996</v>
      </c>
      <c r="N433">
        <v>0</v>
      </c>
      <c r="O433" t="s">
        <v>80</v>
      </c>
      <c r="P433" s="39">
        <v>44277.577233530094</v>
      </c>
      <c r="Q433">
        <v>3346493</v>
      </c>
      <c r="R433" t="s">
        <v>81</v>
      </c>
      <c r="S433" s="4">
        <v>396.49751971000001</v>
      </c>
      <c r="W433"/>
      <c r="X433">
        <v>0</v>
      </c>
      <c r="AC433" t="s">
        <v>84</v>
      </c>
      <c r="AD433" s="39">
        <v>43831</v>
      </c>
    </row>
    <row r="434" spans="1:30" x14ac:dyDescent="0.25">
      <c r="A434">
        <v>354580</v>
      </c>
      <c r="B434" t="s">
        <v>197</v>
      </c>
      <c r="C434">
        <v>2020</v>
      </c>
      <c r="D434">
        <v>1</v>
      </c>
      <c r="E434" t="s">
        <v>90</v>
      </c>
      <c r="F434" t="s">
        <v>84</v>
      </c>
      <c r="G434" t="s">
        <v>84</v>
      </c>
      <c r="H434" t="s">
        <v>25</v>
      </c>
      <c r="I434" t="s">
        <v>25</v>
      </c>
      <c r="J434" t="s">
        <v>101</v>
      </c>
      <c r="K434" t="s">
        <v>90</v>
      </c>
      <c r="L434" t="s">
        <v>103</v>
      </c>
      <c r="M434">
        <v>1639.6683604499999</v>
      </c>
      <c r="N434">
        <v>0</v>
      </c>
      <c r="O434" t="s">
        <v>80</v>
      </c>
      <c r="P434" s="39">
        <v>44277.577237650461</v>
      </c>
      <c r="Q434">
        <v>3346732</v>
      </c>
      <c r="R434" t="s">
        <v>27</v>
      </c>
      <c r="S434" s="4">
        <v>749.26697894999995</v>
      </c>
      <c r="W434"/>
      <c r="X434">
        <v>0</v>
      </c>
      <c r="AC434" t="s">
        <v>84</v>
      </c>
      <c r="AD434" s="39">
        <v>43831</v>
      </c>
    </row>
    <row r="435" spans="1:30" x14ac:dyDescent="0.25">
      <c r="A435">
        <v>354532</v>
      </c>
      <c r="B435" t="s">
        <v>197</v>
      </c>
      <c r="C435">
        <v>2020</v>
      </c>
      <c r="D435">
        <v>1</v>
      </c>
      <c r="E435" t="s">
        <v>86</v>
      </c>
      <c r="F435" t="s">
        <v>84</v>
      </c>
      <c r="G435" t="s">
        <v>84</v>
      </c>
      <c r="H435" t="s">
        <v>25</v>
      </c>
      <c r="I435" t="s">
        <v>25</v>
      </c>
      <c r="J435" t="s">
        <v>101</v>
      </c>
      <c r="K435" t="s">
        <v>86</v>
      </c>
      <c r="L435" t="s">
        <v>103</v>
      </c>
      <c r="M435">
        <v>4821.9581158499996</v>
      </c>
      <c r="N435">
        <v>0</v>
      </c>
      <c r="O435" t="s">
        <v>80</v>
      </c>
      <c r="P435" s="39">
        <v>44277.577233530094</v>
      </c>
      <c r="Q435">
        <v>3346492</v>
      </c>
      <c r="R435" t="s">
        <v>27</v>
      </c>
      <c r="S435" s="4">
        <v>2246.2373125399999</v>
      </c>
      <c r="W435"/>
      <c r="X435">
        <v>0</v>
      </c>
      <c r="AC435" t="s">
        <v>84</v>
      </c>
      <c r="AD435" s="39">
        <v>43831</v>
      </c>
    </row>
    <row r="436" spans="1:30" x14ac:dyDescent="0.25">
      <c r="A436">
        <v>354556</v>
      </c>
      <c r="B436" t="s">
        <v>197</v>
      </c>
      <c r="C436">
        <v>2020</v>
      </c>
      <c r="D436">
        <v>1</v>
      </c>
      <c r="E436" t="s">
        <v>88</v>
      </c>
      <c r="F436" t="s">
        <v>84</v>
      </c>
      <c r="G436" t="s">
        <v>84</v>
      </c>
      <c r="H436" t="s">
        <v>25</v>
      </c>
      <c r="I436" t="s">
        <v>25</v>
      </c>
      <c r="J436" t="s">
        <v>101</v>
      </c>
      <c r="K436" t="s">
        <v>88</v>
      </c>
      <c r="L436" t="s">
        <v>103</v>
      </c>
      <c r="M436">
        <v>2001.48077276</v>
      </c>
      <c r="N436">
        <v>0</v>
      </c>
      <c r="O436" t="s">
        <v>80</v>
      </c>
      <c r="P436" s="39">
        <v>44277.57723599537</v>
      </c>
      <c r="Q436">
        <v>3346612</v>
      </c>
      <c r="R436" t="s">
        <v>27</v>
      </c>
      <c r="S436" s="4">
        <v>722.36906870999996</v>
      </c>
      <c r="W436"/>
      <c r="X436">
        <v>0</v>
      </c>
      <c r="AC436" t="s">
        <v>84</v>
      </c>
      <c r="AD436" s="39">
        <v>43831</v>
      </c>
    </row>
    <row r="437" spans="1:30" x14ac:dyDescent="0.25">
      <c r="A437">
        <v>354580</v>
      </c>
      <c r="B437" t="s">
        <v>197</v>
      </c>
      <c r="C437">
        <v>2020</v>
      </c>
      <c r="D437">
        <v>1</v>
      </c>
      <c r="E437" t="s">
        <v>90</v>
      </c>
      <c r="F437" t="s">
        <v>84</v>
      </c>
      <c r="G437" t="s">
        <v>84</v>
      </c>
      <c r="H437" t="s">
        <v>25</v>
      </c>
      <c r="I437" t="s">
        <v>25</v>
      </c>
      <c r="J437" t="s">
        <v>101</v>
      </c>
      <c r="K437" t="s">
        <v>90</v>
      </c>
      <c r="L437" t="s">
        <v>103</v>
      </c>
      <c r="M437">
        <v>1639.6683604499999</v>
      </c>
      <c r="N437">
        <v>0</v>
      </c>
      <c r="O437" t="s">
        <v>80</v>
      </c>
      <c r="P437" s="39">
        <v>44277.577237650461</v>
      </c>
      <c r="Q437">
        <v>3346729</v>
      </c>
      <c r="R437" t="s">
        <v>91</v>
      </c>
      <c r="S437" s="4">
        <v>0.85902349</v>
      </c>
      <c r="W437"/>
      <c r="X437">
        <v>0</v>
      </c>
      <c r="AC437" t="s">
        <v>84</v>
      </c>
      <c r="AD437" s="39">
        <v>43831</v>
      </c>
    </row>
    <row r="438" spans="1:30" x14ac:dyDescent="0.25">
      <c r="A438">
        <v>354532</v>
      </c>
      <c r="B438" t="s">
        <v>197</v>
      </c>
      <c r="C438">
        <v>2020</v>
      </c>
      <c r="D438">
        <v>1</v>
      </c>
      <c r="E438" t="s">
        <v>86</v>
      </c>
      <c r="F438" t="s">
        <v>84</v>
      </c>
      <c r="G438" t="s">
        <v>84</v>
      </c>
      <c r="H438" t="s">
        <v>25</v>
      </c>
      <c r="I438" t="s">
        <v>25</v>
      </c>
      <c r="J438" t="s">
        <v>101</v>
      </c>
      <c r="K438" t="s">
        <v>86</v>
      </c>
      <c r="L438" t="s">
        <v>103</v>
      </c>
      <c r="M438">
        <v>4821.9581158499996</v>
      </c>
      <c r="N438">
        <v>0</v>
      </c>
      <c r="O438" t="s">
        <v>80</v>
      </c>
      <c r="P438" s="39">
        <v>44277.577233530094</v>
      </c>
      <c r="Q438">
        <v>3346489</v>
      </c>
      <c r="R438" t="s">
        <v>91</v>
      </c>
      <c r="S438" s="4">
        <v>7.3349707899999999</v>
      </c>
      <c r="W438"/>
      <c r="X438">
        <v>0</v>
      </c>
      <c r="AC438" t="s">
        <v>84</v>
      </c>
      <c r="AD438" s="39">
        <v>43831</v>
      </c>
    </row>
    <row r="439" spans="1:30" x14ac:dyDescent="0.25">
      <c r="A439">
        <v>354556</v>
      </c>
      <c r="B439" t="s">
        <v>197</v>
      </c>
      <c r="C439">
        <v>2020</v>
      </c>
      <c r="D439">
        <v>1</v>
      </c>
      <c r="E439" t="s">
        <v>88</v>
      </c>
      <c r="F439" t="s">
        <v>84</v>
      </c>
      <c r="G439" t="s">
        <v>84</v>
      </c>
      <c r="H439" t="s">
        <v>25</v>
      </c>
      <c r="I439" t="s">
        <v>25</v>
      </c>
      <c r="J439" t="s">
        <v>101</v>
      </c>
      <c r="K439" t="s">
        <v>88</v>
      </c>
      <c r="L439" t="s">
        <v>103</v>
      </c>
      <c r="M439">
        <v>2001.48077276</v>
      </c>
      <c r="N439">
        <v>0</v>
      </c>
      <c r="O439" t="s">
        <v>80</v>
      </c>
      <c r="P439" s="39">
        <v>44277.57723599537</v>
      </c>
      <c r="Q439">
        <v>3346609</v>
      </c>
      <c r="R439" t="s">
        <v>91</v>
      </c>
      <c r="S439" s="4">
        <v>0</v>
      </c>
      <c r="W439"/>
      <c r="X439">
        <v>0</v>
      </c>
      <c r="AC439" t="s">
        <v>84</v>
      </c>
      <c r="AD439" s="39">
        <v>43831</v>
      </c>
    </row>
    <row r="440" spans="1:30" x14ac:dyDescent="0.25">
      <c r="A440">
        <v>354556</v>
      </c>
      <c r="B440" t="s">
        <v>197</v>
      </c>
      <c r="C440">
        <v>2020</v>
      </c>
      <c r="D440">
        <v>1</v>
      </c>
      <c r="E440" t="s">
        <v>88</v>
      </c>
      <c r="F440" t="s">
        <v>84</v>
      </c>
      <c r="G440" t="s">
        <v>84</v>
      </c>
      <c r="H440" t="s">
        <v>25</v>
      </c>
      <c r="I440" t="s">
        <v>25</v>
      </c>
      <c r="J440" t="s">
        <v>101</v>
      </c>
      <c r="K440" t="s">
        <v>88</v>
      </c>
      <c r="L440" t="s">
        <v>103</v>
      </c>
      <c r="M440">
        <v>2001.48077276</v>
      </c>
      <c r="N440">
        <v>0</v>
      </c>
      <c r="O440" t="s">
        <v>80</v>
      </c>
      <c r="P440" s="39">
        <v>44277.57723599537</v>
      </c>
      <c r="Q440">
        <v>3346611</v>
      </c>
      <c r="R440" t="s">
        <v>28</v>
      </c>
      <c r="S440" s="4">
        <v>0</v>
      </c>
      <c r="W440"/>
      <c r="X440">
        <v>0</v>
      </c>
      <c r="AC440" t="s">
        <v>84</v>
      </c>
      <c r="AD440" s="39">
        <v>43831</v>
      </c>
    </row>
    <row r="441" spans="1:30" x14ac:dyDescent="0.25">
      <c r="A441">
        <v>354580</v>
      </c>
      <c r="B441" t="s">
        <v>197</v>
      </c>
      <c r="C441">
        <v>2020</v>
      </c>
      <c r="D441">
        <v>1</v>
      </c>
      <c r="E441" t="s">
        <v>90</v>
      </c>
      <c r="F441" t="s">
        <v>84</v>
      </c>
      <c r="G441" t="s">
        <v>84</v>
      </c>
      <c r="H441" t="s">
        <v>25</v>
      </c>
      <c r="I441" t="s">
        <v>25</v>
      </c>
      <c r="J441" t="s">
        <v>101</v>
      </c>
      <c r="K441" t="s">
        <v>90</v>
      </c>
      <c r="L441" t="s">
        <v>103</v>
      </c>
      <c r="M441">
        <v>1639.6683604499999</v>
      </c>
      <c r="N441">
        <v>0</v>
      </c>
      <c r="O441" t="s">
        <v>80</v>
      </c>
      <c r="P441" s="39">
        <v>44277.577237650461</v>
      </c>
      <c r="Q441">
        <v>3346731</v>
      </c>
      <c r="R441" t="s">
        <v>28</v>
      </c>
      <c r="S441" s="4">
        <v>4.7376682099999998</v>
      </c>
      <c r="W441"/>
      <c r="X441">
        <v>0</v>
      </c>
      <c r="AC441" t="s">
        <v>84</v>
      </c>
      <c r="AD441" s="39">
        <v>43831</v>
      </c>
    </row>
    <row r="442" spans="1:30" x14ac:dyDescent="0.25">
      <c r="A442">
        <v>354532</v>
      </c>
      <c r="B442" t="s">
        <v>197</v>
      </c>
      <c r="C442">
        <v>2020</v>
      </c>
      <c r="D442">
        <v>1</v>
      </c>
      <c r="E442" t="s">
        <v>86</v>
      </c>
      <c r="F442" t="s">
        <v>84</v>
      </c>
      <c r="G442" t="s">
        <v>84</v>
      </c>
      <c r="H442" t="s">
        <v>25</v>
      </c>
      <c r="I442" t="s">
        <v>25</v>
      </c>
      <c r="J442" t="s">
        <v>101</v>
      </c>
      <c r="K442" t="s">
        <v>86</v>
      </c>
      <c r="L442" t="s">
        <v>103</v>
      </c>
      <c r="M442">
        <v>4821.9581158499996</v>
      </c>
      <c r="N442">
        <v>0</v>
      </c>
      <c r="O442" t="s">
        <v>80</v>
      </c>
      <c r="P442" s="39">
        <v>44277.577233530094</v>
      </c>
      <c r="Q442">
        <v>3346491</v>
      </c>
      <c r="R442" t="s">
        <v>28</v>
      </c>
      <c r="S442" s="4">
        <v>14.934388630000001</v>
      </c>
      <c r="W442"/>
      <c r="X442">
        <v>0</v>
      </c>
      <c r="AC442" t="s">
        <v>84</v>
      </c>
      <c r="AD442" s="39">
        <v>43831</v>
      </c>
    </row>
    <row r="443" spans="1:30" x14ac:dyDescent="0.25">
      <c r="A443">
        <v>367680</v>
      </c>
      <c r="B443" t="s">
        <v>201</v>
      </c>
      <c r="C443">
        <v>2020</v>
      </c>
      <c r="D443">
        <v>2</v>
      </c>
      <c r="E443" t="s">
        <v>86</v>
      </c>
      <c r="F443" t="s">
        <v>84</v>
      </c>
      <c r="G443" t="s">
        <v>84</v>
      </c>
      <c r="H443" t="s">
        <v>25</v>
      </c>
      <c r="I443" t="s">
        <v>25</v>
      </c>
      <c r="J443" t="s">
        <v>101</v>
      </c>
      <c r="K443" t="s">
        <v>86</v>
      </c>
      <c r="L443" t="s">
        <v>103</v>
      </c>
      <c r="M443">
        <v>4817.7602658300002</v>
      </c>
      <c r="N443">
        <v>0</v>
      </c>
      <c r="O443" t="s">
        <v>80</v>
      </c>
      <c r="P443" s="39">
        <v>44277.578842361108</v>
      </c>
      <c r="Q443">
        <v>3472941</v>
      </c>
      <c r="R443" t="s">
        <v>26</v>
      </c>
      <c r="S443" s="4">
        <v>2256.1997985799999</v>
      </c>
      <c r="W443"/>
      <c r="X443">
        <v>0</v>
      </c>
      <c r="AC443" t="s">
        <v>84</v>
      </c>
      <c r="AD443" s="39">
        <v>43862</v>
      </c>
    </row>
    <row r="444" spans="1:30" x14ac:dyDescent="0.25">
      <c r="A444">
        <v>367704</v>
      </c>
      <c r="B444" t="s">
        <v>201</v>
      </c>
      <c r="C444">
        <v>2020</v>
      </c>
      <c r="D444">
        <v>2</v>
      </c>
      <c r="E444" t="s">
        <v>88</v>
      </c>
      <c r="F444" t="s">
        <v>84</v>
      </c>
      <c r="G444" t="s">
        <v>84</v>
      </c>
      <c r="H444" t="s">
        <v>25</v>
      </c>
      <c r="I444" t="s">
        <v>25</v>
      </c>
      <c r="J444" t="s">
        <v>101</v>
      </c>
      <c r="K444" t="s">
        <v>88</v>
      </c>
      <c r="L444" t="s">
        <v>103</v>
      </c>
      <c r="M444">
        <v>1964.2184333</v>
      </c>
      <c r="N444">
        <v>0</v>
      </c>
      <c r="O444" t="s">
        <v>80</v>
      </c>
      <c r="P444" s="39">
        <v>44277.578843750001</v>
      </c>
      <c r="Q444">
        <v>3473061</v>
      </c>
      <c r="R444" t="s">
        <v>26</v>
      </c>
      <c r="S444" s="4">
        <v>1188.54353066</v>
      </c>
      <c r="W444"/>
      <c r="X444">
        <v>0</v>
      </c>
      <c r="AC444" t="s">
        <v>84</v>
      </c>
      <c r="AD444" s="39">
        <v>43862</v>
      </c>
    </row>
    <row r="445" spans="1:30" x14ac:dyDescent="0.25">
      <c r="A445">
        <v>367728</v>
      </c>
      <c r="B445" t="s">
        <v>201</v>
      </c>
      <c r="C445">
        <v>2020</v>
      </c>
      <c r="D445">
        <v>2</v>
      </c>
      <c r="E445" t="s">
        <v>90</v>
      </c>
      <c r="F445" t="s">
        <v>84</v>
      </c>
      <c r="G445" t="s">
        <v>84</v>
      </c>
      <c r="H445" t="s">
        <v>25</v>
      </c>
      <c r="I445" t="s">
        <v>25</v>
      </c>
      <c r="J445" t="s">
        <v>101</v>
      </c>
      <c r="K445" t="s">
        <v>90</v>
      </c>
      <c r="L445" t="s">
        <v>103</v>
      </c>
      <c r="M445">
        <v>1505.0158114400001</v>
      </c>
      <c r="N445">
        <v>0</v>
      </c>
      <c r="O445" t="s">
        <v>80</v>
      </c>
      <c r="P445" s="39">
        <v>44277.578845023148</v>
      </c>
      <c r="Q445">
        <v>3473181</v>
      </c>
      <c r="R445" t="s">
        <v>26</v>
      </c>
      <c r="S445" s="4">
        <v>752.30058515999997</v>
      </c>
      <c r="W445"/>
      <c r="X445">
        <v>0</v>
      </c>
      <c r="AC445" t="s">
        <v>84</v>
      </c>
      <c r="AD445" s="39">
        <v>43862</v>
      </c>
    </row>
    <row r="446" spans="1:30" x14ac:dyDescent="0.25">
      <c r="A446">
        <v>367704</v>
      </c>
      <c r="B446" t="s">
        <v>201</v>
      </c>
      <c r="C446">
        <v>2020</v>
      </c>
      <c r="D446">
        <v>2</v>
      </c>
      <c r="E446" t="s">
        <v>88</v>
      </c>
      <c r="F446" t="s">
        <v>84</v>
      </c>
      <c r="G446" t="s">
        <v>84</v>
      </c>
      <c r="H446" t="s">
        <v>25</v>
      </c>
      <c r="I446" t="s">
        <v>25</v>
      </c>
      <c r="J446" t="s">
        <v>101</v>
      </c>
      <c r="K446" t="s">
        <v>88</v>
      </c>
      <c r="L446" t="s">
        <v>103</v>
      </c>
      <c r="M446">
        <v>1964.2184333</v>
      </c>
      <c r="N446">
        <v>0</v>
      </c>
      <c r="O446" t="s">
        <v>80</v>
      </c>
      <c r="P446" s="39">
        <v>44277.578843750001</v>
      </c>
      <c r="Q446">
        <v>3473064</v>
      </c>
      <c r="R446" t="s">
        <v>81</v>
      </c>
      <c r="S446" s="4">
        <v>107.98293959999999</v>
      </c>
      <c r="W446"/>
      <c r="X446">
        <v>0</v>
      </c>
      <c r="AC446" t="s">
        <v>84</v>
      </c>
      <c r="AD446" s="39">
        <v>43862</v>
      </c>
    </row>
    <row r="447" spans="1:30" x14ac:dyDescent="0.25">
      <c r="A447">
        <v>367728</v>
      </c>
      <c r="B447" t="s">
        <v>201</v>
      </c>
      <c r="C447">
        <v>2020</v>
      </c>
      <c r="D447">
        <v>2</v>
      </c>
      <c r="E447" t="s">
        <v>90</v>
      </c>
      <c r="F447" t="s">
        <v>84</v>
      </c>
      <c r="G447" t="s">
        <v>84</v>
      </c>
      <c r="H447" t="s">
        <v>25</v>
      </c>
      <c r="I447" t="s">
        <v>25</v>
      </c>
      <c r="J447" t="s">
        <v>101</v>
      </c>
      <c r="K447" t="s">
        <v>90</v>
      </c>
      <c r="L447" t="s">
        <v>103</v>
      </c>
      <c r="M447">
        <v>1505.0158114400001</v>
      </c>
      <c r="N447">
        <v>0</v>
      </c>
      <c r="O447" t="s">
        <v>80</v>
      </c>
      <c r="P447" s="39">
        <v>44277.578845023148</v>
      </c>
      <c r="Q447">
        <v>3473184</v>
      </c>
      <c r="R447" t="s">
        <v>81</v>
      </c>
      <c r="S447" s="4">
        <v>91.432260959999994</v>
      </c>
      <c r="W447"/>
      <c r="X447">
        <v>0</v>
      </c>
      <c r="AC447" t="s">
        <v>84</v>
      </c>
      <c r="AD447" s="39">
        <v>43862</v>
      </c>
    </row>
    <row r="448" spans="1:30" x14ac:dyDescent="0.25">
      <c r="A448">
        <v>367680</v>
      </c>
      <c r="B448" t="s">
        <v>201</v>
      </c>
      <c r="C448">
        <v>2020</v>
      </c>
      <c r="D448">
        <v>2</v>
      </c>
      <c r="E448" t="s">
        <v>86</v>
      </c>
      <c r="F448" t="s">
        <v>84</v>
      </c>
      <c r="G448" t="s">
        <v>84</v>
      </c>
      <c r="H448" t="s">
        <v>25</v>
      </c>
      <c r="I448" t="s">
        <v>25</v>
      </c>
      <c r="J448" t="s">
        <v>101</v>
      </c>
      <c r="K448" t="s">
        <v>86</v>
      </c>
      <c r="L448" t="s">
        <v>103</v>
      </c>
      <c r="M448">
        <v>4817.7602658300002</v>
      </c>
      <c r="N448">
        <v>0</v>
      </c>
      <c r="O448" t="s">
        <v>80</v>
      </c>
      <c r="P448" s="39">
        <v>44277.578842361108</v>
      </c>
      <c r="Q448">
        <v>3472944</v>
      </c>
      <c r="R448" t="s">
        <v>81</v>
      </c>
      <c r="S448" s="4">
        <v>396.15234104000001</v>
      </c>
      <c r="W448"/>
      <c r="X448">
        <v>0</v>
      </c>
      <c r="AC448" t="s">
        <v>84</v>
      </c>
      <c r="AD448" s="39">
        <v>43862</v>
      </c>
    </row>
    <row r="449" spans="1:30" x14ac:dyDescent="0.25">
      <c r="A449">
        <v>367704</v>
      </c>
      <c r="B449" t="s">
        <v>201</v>
      </c>
      <c r="C449">
        <v>2020</v>
      </c>
      <c r="D449">
        <v>2</v>
      </c>
      <c r="E449" t="s">
        <v>88</v>
      </c>
      <c r="F449" t="s">
        <v>84</v>
      </c>
      <c r="G449" t="s">
        <v>84</v>
      </c>
      <c r="H449" t="s">
        <v>25</v>
      </c>
      <c r="I449" t="s">
        <v>25</v>
      </c>
      <c r="J449" t="s">
        <v>101</v>
      </c>
      <c r="K449" t="s">
        <v>88</v>
      </c>
      <c r="L449" t="s">
        <v>103</v>
      </c>
      <c r="M449">
        <v>1964.2184333</v>
      </c>
      <c r="N449">
        <v>0</v>
      </c>
      <c r="O449" t="s">
        <v>80</v>
      </c>
      <c r="P449" s="39">
        <v>44277.578843750001</v>
      </c>
      <c r="Q449">
        <v>3473063</v>
      </c>
      <c r="R449" t="s">
        <v>27</v>
      </c>
      <c r="S449" s="4">
        <v>708.92044515999999</v>
      </c>
      <c r="W449"/>
      <c r="X449">
        <v>0</v>
      </c>
      <c r="AC449" t="s">
        <v>84</v>
      </c>
      <c r="AD449" s="39">
        <v>43862</v>
      </c>
    </row>
    <row r="450" spans="1:30" x14ac:dyDescent="0.25">
      <c r="A450">
        <v>367728</v>
      </c>
      <c r="B450" t="s">
        <v>201</v>
      </c>
      <c r="C450">
        <v>2020</v>
      </c>
      <c r="D450">
        <v>2</v>
      </c>
      <c r="E450" t="s">
        <v>90</v>
      </c>
      <c r="F450" t="s">
        <v>84</v>
      </c>
      <c r="G450" t="s">
        <v>84</v>
      </c>
      <c r="H450" t="s">
        <v>25</v>
      </c>
      <c r="I450" t="s">
        <v>25</v>
      </c>
      <c r="J450" t="s">
        <v>101</v>
      </c>
      <c r="K450" t="s">
        <v>90</v>
      </c>
      <c r="L450" t="s">
        <v>103</v>
      </c>
      <c r="M450">
        <v>1505.0158114400001</v>
      </c>
      <c r="N450">
        <v>0</v>
      </c>
      <c r="O450" t="s">
        <v>80</v>
      </c>
      <c r="P450" s="39">
        <v>44277.578845023148</v>
      </c>
      <c r="Q450">
        <v>3473183</v>
      </c>
      <c r="R450" t="s">
        <v>27</v>
      </c>
      <c r="S450" s="4">
        <v>687.73581141</v>
      </c>
      <c r="W450"/>
      <c r="X450">
        <v>0</v>
      </c>
      <c r="AC450" t="s">
        <v>84</v>
      </c>
      <c r="AD450" s="39">
        <v>43862</v>
      </c>
    </row>
    <row r="451" spans="1:30" x14ac:dyDescent="0.25">
      <c r="A451">
        <v>367680</v>
      </c>
      <c r="B451" t="s">
        <v>201</v>
      </c>
      <c r="C451">
        <v>2020</v>
      </c>
      <c r="D451">
        <v>2</v>
      </c>
      <c r="E451" t="s">
        <v>86</v>
      </c>
      <c r="F451" t="s">
        <v>84</v>
      </c>
      <c r="G451" t="s">
        <v>84</v>
      </c>
      <c r="H451" t="s">
        <v>25</v>
      </c>
      <c r="I451" t="s">
        <v>25</v>
      </c>
      <c r="J451" t="s">
        <v>101</v>
      </c>
      <c r="K451" t="s">
        <v>86</v>
      </c>
      <c r="L451" t="s">
        <v>103</v>
      </c>
      <c r="M451">
        <v>4817.7602658300002</v>
      </c>
      <c r="N451">
        <v>0</v>
      </c>
      <c r="O451" t="s">
        <v>80</v>
      </c>
      <c r="P451" s="39">
        <v>44277.578842361108</v>
      </c>
      <c r="Q451">
        <v>3472943</v>
      </c>
      <c r="R451" t="s">
        <v>27</v>
      </c>
      <c r="S451" s="4">
        <v>2244.28180668</v>
      </c>
      <c r="W451"/>
      <c r="X451">
        <v>0</v>
      </c>
      <c r="AC451" t="s">
        <v>84</v>
      </c>
      <c r="AD451" s="39">
        <v>43862</v>
      </c>
    </row>
    <row r="452" spans="1:30" x14ac:dyDescent="0.25">
      <c r="A452">
        <v>367728</v>
      </c>
      <c r="B452" t="s">
        <v>201</v>
      </c>
      <c r="C452">
        <v>2020</v>
      </c>
      <c r="D452">
        <v>2</v>
      </c>
      <c r="E452" t="s">
        <v>90</v>
      </c>
      <c r="F452" t="s">
        <v>84</v>
      </c>
      <c r="G452" t="s">
        <v>84</v>
      </c>
      <c r="H452" t="s">
        <v>25</v>
      </c>
      <c r="I452" t="s">
        <v>25</v>
      </c>
      <c r="J452" t="s">
        <v>101</v>
      </c>
      <c r="K452" t="s">
        <v>90</v>
      </c>
      <c r="L452" t="s">
        <v>103</v>
      </c>
      <c r="M452">
        <v>1505.0158114400001</v>
      </c>
      <c r="N452">
        <v>0</v>
      </c>
      <c r="O452" t="s">
        <v>80</v>
      </c>
      <c r="P452" s="39">
        <v>44277.578845023148</v>
      </c>
      <c r="Q452">
        <v>3473180</v>
      </c>
      <c r="R452" t="s">
        <v>91</v>
      </c>
      <c r="S452" s="4">
        <v>0.78847891000000003</v>
      </c>
      <c r="W452"/>
      <c r="X452">
        <v>0</v>
      </c>
      <c r="AC452" t="s">
        <v>84</v>
      </c>
      <c r="AD452" s="39">
        <v>43862</v>
      </c>
    </row>
    <row r="453" spans="1:30" x14ac:dyDescent="0.25">
      <c r="A453">
        <v>367704</v>
      </c>
      <c r="B453" t="s">
        <v>201</v>
      </c>
      <c r="C453">
        <v>2020</v>
      </c>
      <c r="D453">
        <v>2</v>
      </c>
      <c r="E453" t="s">
        <v>88</v>
      </c>
      <c r="F453" t="s">
        <v>84</v>
      </c>
      <c r="G453" t="s">
        <v>84</v>
      </c>
      <c r="H453" t="s">
        <v>25</v>
      </c>
      <c r="I453" t="s">
        <v>25</v>
      </c>
      <c r="J453" t="s">
        <v>101</v>
      </c>
      <c r="K453" t="s">
        <v>88</v>
      </c>
      <c r="L453" t="s">
        <v>103</v>
      </c>
      <c r="M453">
        <v>1964.2184333</v>
      </c>
      <c r="N453">
        <v>0</v>
      </c>
      <c r="O453" t="s">
        <v>80</v>
      </c>
      <c r="P453" s="39">
        <v>44277.578843750001</v>
      </c>
      <c r="Q453">
        <v>3473060</v>
      </c>
      <c r="R453" t="s">
        <v>91</v>
      </c>
      <c r="S453" s="4">
        <v>0</v>
      </c>
      <c r="W453"/>
      <c r="X453">
        <v>0</v>
      </c>
      <c r="AC453" t="s">
        <v>84</v>
      </c>
      <c r="AD453" s="39">
        <v>43862</v>
      </c>
    </row>
    <row r="454" spans="1:30" x14ac:dyDescent="0.25">
      <c r="A454">
        <v>367680</v>
      </c>
      <c r="B454" t="s">
        <v>201</v>
      </c>
      <c r="C454">
        <v>2020</v>
      </c>
      <c r="D454">
        <v>2</v>
      </c>
      <c r="E454" t="s">
        <v>86</v>
      </c>
      <c r="F454" t="s">
        <v>84</v>
      </c>
      <c r="G454" t="s">
        <v>84</v>
      </c>
      <c r="H454" t="s">
        <v>25</v>
      </c>
      <c r="I454" t="s">
        <v>25</v>
      </c>
      <c r="J454" t="s">
        <v>101</v>
      </c>
      <c r="K454" t="s">
        <v>86</v>
      </c>
      <c r="L454" t="s">
        <v>103</v>
      </c>
      <c r="M454">
        <v>4817.7602658300002</v>
      </c>
      <c r="N454">
        <v>0</v>
      </c>
      <c r="O454" t="s">
        <v>80</v>
      </c>
      <c r="P454" s="39">
        <v>44277.578842361108</v>
      </c>
      <c r="Q454">
        <v>3472940</v>
      </c>
      <c r="R454" t="s">
        <v>91</v>
      </c>
      <c r="S454" s="4">
        <v>7.3285851800000001</v>
      </c>
      <c r="W454"/>
      <c r="X454">
        <v>0</v>
      </c>
      <c r="AC454" t="s">
        <v>84</v>
      </c>
      <c r="AD454" s="39">
        <v>43862</v>
      </c>
    </row>
    <row r="455" spans="1:30" x14ac:dyDescent="0.25">
      <c r="A455">
        <v>367704</v>
      </c>
      <c r="B455" t="s">
        <v>201</v>
      </c>
      <c r="C455">
        <v>2020</v>
      </c>
      <c r="D455">
        <v>2</v>
      </c>
      <c r="E455" t="s">
        <v>88</v>
      </c>
      <c r="F455" t="s">
        <v>84</v>
      </c>
      <c r="G455" t="s">
        <v>84</v>
      </c>
      <c r="H455" t="s">
        <v>25</v>
      </c>
      <c r="I455" t="s">
        <v>25</v>
      </c>
      <c r="J455" t="s">
        <v>101</v>
      </c>
      <c r="K455" t="s">
        <v>88</v>
      </c>
      <c r="L455" t="s">
        <v>103</v>
      </c>
      <c r="M455">
        <v>1964.2184333</v>
      </c>
      <c r="N455">
        <v>0</v>
      </c>
      <c r="O455" t="s">
        <v>80</v>
      </c>
      <c r="P455" s="39">
        <v>44277.578843750001</v>
      </c>
      <c r="Q455">
        <v>3473062</v>
      </c>
      <c r="R455" t="s">
        <v>28</v>
      </c>
      <c r="S455" s="4">
        <v>0</v>
      </c>
      <c r="W455"/>
      <c r="X455">
        <v>0</v>
      </c>
      <c r="AC455" t="s">
        <v>84</v>
      </c>
      <c r="AD455" s="39">
        <v>43862</v>
      </c>
    </row>
    <row r="456" spans="1:30" x14ac:dyDescent="0.25">
      <c r="A456">
        <v>367728</v>
      </c>
      <c r="B456" t="s">
        <v>201</v>
      </c>
      <c r="C456">
        <v>2020</v>
      </c>
      <c r="D456">
        <v>2</v>
      </c>
      <c r="E456" t="s">
        <v>90</v>
      </c>
      <c r="F456" t="s">
        <v>84</v>
      </c>
      <c r="G456" t="s">
        <v>84</v>
      </c>
      <c r="H456" t="s">
        <v>25</v>
      </c>
      <c r="I456" t="s">
        <v>25</v>
      </c>
      <c r="J456" t="s">
        <v>101</v>
      </c>
      <c r="K456" t="s">
        <v>90</v>
      </c>
      <c r="L456" t="s">
        <v>103</v>
      </c>
      <c r="M456">
        <v>1505.0158114400001</v>
      </c>
      <c r="N456">
        <v>0</v>
      </c>
      <c r="O456" t="s">
        <v>80</v>
      </c>
      <c r="P456" s="39">
        <v>44277.578845023148</v>
      </c>
      <c r="Q456">
        <v>3473182</v>
      </c>
      <c r="R456" t="s">
        <v>28</v>
      </c>
      <c r="S456" s="4">
        <v>4.3486022799999997</v>
      </c>
      <c r="W456"/>
      <c r="X456">
        <v>0</v>
      </c>
      <c r="AC456" t="s">
        <v>84</v>
      </c>
      <c r="AD456" s="39">
        <v>43862</v>
      </c>
    </row>
    <row r="457" spans="1:30" x14ac:dyDescent="0.25">
      <c r="A457">
        <v>367680</v>
      </c>
      <c r="B457" t="s">
        <v>201</v>
      </c>
      <c r="C457">
        <v>2020</v>
      </c>
      <c r="D457">
        <v>2</v>
      </c>
      <c r="E457" t="s">
        <v>86</v>
      </c>
      <c r="F457" t="s">
        <v>84</v>
      </c>
      <c r="G457" t="s">
        <v>84</v>
      </c>
      <c r="H457" t="s">
        <v>25</v>
      </c>
      <c r="I457" t="s">
        <v>25</v>
      </c>
      <c r="J457" t="s">
        <v>101</v>
      </c>
      <c r="K457" t="s">
        <v>86</v>
      </c>
      <c r="L457" t="s">
        <v>103</v>
      </c>
      <c r="M457">
        <v>4817.7602658300002</v>
      </c>
      <c r="N457">
        <v>0</v>
      </c>
      <c r="O457" t="s">
        <v>80</v>
      </c>
      <c r="P457" s="39">
        <v>44277.578842361108</v>
      </c>
      <c r="Q457">
        <v>3472942</v>
      </c>
      <c r="R457" t="s">
        <v>28</v>
      </c>
      <c r="S457" s="4">
        <v>14.921387210000001</v>
      </c>
      <c r="W457"/>
      <c r="X457">
        <v>0</v>
      </c>
      <c r="AC457" t="s">
        <v>84</v>
      </c>
      <c r="AD457" s="39">
        <v>43862</v>
      </c>
    </row>
    <row r="458" spans="1:30" x14ac:dyDescent="0.25">
      <c r="A458">
        <v>380901</v>
      </c>
      <c r="B458" t="s">
        <v>205</v>
      </c>
      <c r="C458">
        <v>2020</v>
      </c>
      <c r="D458">
        <v>3</v>
      </c>
      <c r="E458" t="s">
        <v>90</v>
      </c>
      <c r="F458" t="s">
        <v>84</v>
      </c>
      <c r="G458" t="s">
        <v>84</v>
      </c>
      <c r="H458" t="s">
        <v>25</v>
      </c>
      <c r="I458" t="s">
        <v>25</v>
      </c>
      <c r="J458" t="s">
        <v>101</v>
      </c>
      <c r="K458" t="s">
        <v>90</v>
      </c>
      <c r="L458" t="s">
        <v>103</v>
      </c>
      <c r="M458">
        <v>1368.2888326899999</v>
      </c>
      <c r="N458">
        <v>0</v>
      </c>
      <c r="O458" t="s">
        <v>80</v>
      </c>
      <c r="P458" s="39">
        <v>44277.58045115741</v>
      </c>
      <c r="Q458">
        <v>3600032</v>
      </c>
      <c r="R458" t="s">
        <v>26</v>
      </c>
      <c r="S458" s="4">
        <v>683.95593035000002</v>
      </c>
      <c r="W458"/>
      <c r="X458">
        <v>0</v>
      </c>
      <c r="AC458" t="s">
        <v>84</v>
      </c>
      <c r="AD458" s="39">
        <v>43891</v>
      </c>
    </row>
    <row r="459" spans="1:30" x14ac:dyDescent="0.25">
      <c r="A459">
        <v>380853</v>
      </c>
      <c r="B459" t="s">
        <v>205</v>
      </c>
      <c r="C459">
        <v>2020</v>
      </c>
      <c r="D459">
        <v>3</v>
      </c>
      <c r="E459" t="s">
        <v>86</v>
      </c>
      <c r="F459" t="s">
        <v>84</v>
      </c>
      <c r="G459" t="s">
        <v>84</v>
      </c>
      <c r="H459" t="s">
        <v>25</v>
      </c>
      <c r="I459" t="s">
        <v>25</v>
      </c>
      <c r="J459" t="s">
        <v>101</v>
      </c>
      <c r="K459" t="s">
        <v>86</v>
      </c>
      <c r="L459" t="s">
        <v>103</v>
      </c>
      <c r="M459">
        <v>4596.1657269400002</v>
      </c>
      <c r="N459">
        <v>0</v>
      </c>
      <c r="O459" t="s">
        <v>80</v>
      </c>
      <c r="P459" s="39">
        <v>44277.580443599538</v>
      </c>
      <c r="Q459">
        <v>3599792</v>
      </c>
      <c r="R459" t="s">
        <v>26</v>
      </c>
      <c r="S459" s="4">
        <v>2152.4251135700001</v>
      </c>
      <c r="W459"/>
      <c r="X459">
        <v>0</v>
      </c>
      <c r="AC459" t="s">
        <v>84</v>
      </c>
      <c r="AD459" s="39">
        <v>43891</v>
      </c>
    </row>
    <row r="460" spans="1:30" x14ac:dyDescent="0.25">
      <c r="A460">
        <v>380877</v>
      </c>
      <c r="B460" t="s">
        <v>205</v>
      </c>
      <c r="C460">
        <v>2020</v>
      </c>
      <c r="D460">
        <v>3</v>
      </c>
      <c r="E460" t="s">
        <v>88</v>
      </c>
      <c r="F460" t="s">
        <v>84</v>
      </c>
      <c r="G460" t="s">
        <v>84</v>
      </c>
      <c r="H460" t="s">
        <v>25</v>
      </c>
      <c r="I460" t="s">
        <v>25</v>
      </c>
      <c r="J460" t="s">
        <v>101</v>
      </c>
      <c r="K460" t="s">
        <v>88</v>
      </c>
      <c r="L460" t="s">
        <v>103</v>
      </c>
      <c r="M460">
        <v>1932.0776825</v>
      </c>
      <c r="N460">
        <v>0</v>
      </c>
      <c r="O460" t="s">
        <v>80</v>
      </c>
      <c r="P460" s="39">
        <v>44277.580448298613</v>
      </c>
      <c r="Q460">
        <v>3599912</v>
      </c>
      <c r="R460" t="s">
        <v>26</v>
      </c>
      <c r="S460" s="4">
        <v>1169.0952448800001</v>
      </c>
      <c r="W460"/>
      <c r="X460">
        <v>0</v>
      </c>
      <c r="AC460" t="s">
        <v>84</v>
      </c>
      <c r="AD460" s="39">
        <v>43891</v>
      </c>
    </row>
    <row r="461" spans="1:30" x14ac:dyDescent="0.25">
      <c r="A461">
        <v>380901</v>
      </c>
      <c r="B461" t="s">
        <v>205</v>
      </c>
      <c r="C461">
        <v>2020</v>
      </c>
      <c r="D461">
        <v>3</v>
      </c>
      <c r="E461" t="s">
        <v>90</v>
      </c>
      <c r="F461" t="s">
        <v>84</v>
      </c>
      <c r="G461" t="s">
        <v>84</v>
      </c>
      <c r="H461" t="s">
        <v>25</v>
      </c>
      <c r="I461" t="s">
        <v>25</v>
      </c>
      <c r="J461" t="s">
        <v>101</v>
      </c>
      <c r="K461" t="s">
        <v>90</v>
      </c>
      <c r="L461" t="s">
        <v>103</v>
      </c>
      <c r="M461">
        <v>1368.2888326899999</v>
      </c>
      <c r="N461">
        <v>0</v>
      </c>
      <c r="O461" t="s">
        <v>80</v>
      </c>
      <c r="P461" s="39">
        <v>44277.58045115741</v>
      </c>
      <c r="Q461">
        <v>3600035</v>
      </c>
      <c r="R461" t="s">
        <v>81</v>
      </c>
      <c r="S461" s="4">
        <v>83.125865300000001</v>
      </c>
      <c r="W461"/>
      <c r="X461">
        <v>0</v>
      </c>
      <c r="AC461" t="s">
        <v>84</v>
      </c>
      <c r="AD461" s="39">
        <v>43891</v>
      </c>
    </row>
    <row r="462" spans="1:30" x14ac:dyDescent="0.25">
      <c r="A462">
        <v>380853</v>
      </c>
      <c r="B462" t="s">
        <v>205</v>
      </c>
      <c r="C462">
        <v>2020</v>
      </c>
      <c r="D462">
        <v>3</v>
      </c>
      <c r="E462" t="s">
        <v>86</v>
      </c>
      <c r="F462" t="s">
        <v>84</v>
      </c>
      <c r="G462" t="s">
        <v>84</v>
      </c>
      <c r="H462" t="s">
        <v>25</v>
      </c>
      <c r="I462" t="s">
        <v>25</v>
      </c>
      <c r="J462" t="s">
        <v>101</v>
      </c>
      <c r="K462" t="s">
        <v>86</v>
      </c>
      <c r="L462" t="s">
        <v>103</v>
      </c>
      <c r="M462">
        <v>4596.1657269400002</v>
      </c>
      <c r="N462">
        <v>0</v>
      </c>
      <c r="O462" t="s">
        <v>80</v>
      </c>
      <c r="P462" s="39">
        <v>44277.580443599538</v>
      </c>
      <c r="Q462">
        <v>3599795</v>
      </c>
      <c r="R462" t="s">
        <v>81</v>
      </c>
      <c r="S462" s="4">
        <v>377.93117798999998</v>
      </c>
      <c r="W462"/>
      <c r="X462">
        <v>0</v>
      </c>
      <c r="AC462" t="s">
        <v>84</v>
      </c>
      <c r="AD462" s="39">
        <v>43891</v>
      </c>
    </row>
    <row r="463" spans="1:30" x14ac:dyDescent="0.25">
      <c r="A463">
        <v>380877</v>
      </c>
      <c r="B463" t="s">
        <v>205</v>
      </c>
      <c r="C463">
        <v>2020</v>
      </c>
      <c r="D463">
        <v>3</v>
      </c>
      <c r="E463" t="s">
        <v>88</v>
      </c>
      <c r="F463" t="s">
        <v>84</v>
      </c>
      <c r="G463" t="s">
        <v>84</v>
      </c>
      <c r="H463" t="s">
        <v>25</v>
      </c>
      <c r="I463" t="s">
        <v>25</v>
      </c>
      <c r="J463" t="s">
        <v>101</v>
      </c>
      <c r="K463" t="s">
        <v>88</v>
      </c>
      <c r="L463" t="s">
        <v>103</v>
      </c>
      <c r="M463">
        <v>1932.0776825</v>
      </c>
      <c r="N463">
        <v>0</v>
      </c>
      <c r="O463" t="s">
        <v>80</v>
      </c>
      <c r="P463" s="39">
        <v>44277.580448298613</v>
      </c>
      <c r="Q463">
        <v>3599915</v>
      </c>
      <c r="R463" t="s">
        <v>81</v>
      </c>
      <c r="S463" s="4">
        <v>106.21600132</v>
      </c>
      <c r="W463"/>
      <c r="X463">
        <v>0</v>
      </c>
      <c r="AC463" t="s">
        <v>84</v>
      </c>
      <c r="AD463" s="39">
        <v>43891</v>
      </c>
    </row>
    <row r="464" spans="1:30" x14ac:dyDescent="0.25">
      <c r="A464">
        <v>380901</v>
      </c>
      <c r="B464" t="s">
        <v>205</v>
      </c>
      <c r="C464">
        <v>2020</v>
      </c>
      <c r="D464">
        <v>3</v>
      </c>
      <c r="E464" t="s">
        <v>90</v>
      </c>
      <c r="F464" t="s">
        <v>84</v>
      </c>
      <c r="G464" t="s">
        <v>84</v>
      </c>
      <c r="H464" t="s">
        <v>25</v>
      </c>
      <c r="I464" t="s">
        <v>25</v>
      </c>
      <c r="J464" t="s">
        <v>101</v>
      </c>
      <c r="K464" t="s">
        <v>90</v>
      </c>
      <c r="L464" t="s">
        <v>103</v>
      </c>
      <c r="M464">
        <v>1368.2888326899999</v>
      </c>
      <c r="N464">
        <v>0</v>
      </c>
      <c r="O464" t="s">
        <v>80</v>
      </c>
      <c r="P464" s="39">
        <v>44277.58045115741</v>
      </c>
      <c r="Q464">
        <v>3600034</v>
      </c>
      <c r="R464" t="s">
        <v>27</v>
      </c>
      <c r="S464" s="4">
        <v>625.25670722999996</v>
      </c>
      <c r="W464"/>
      <c r="X464">
        <v>0</v>
      </c>
      <c r="AC464" t="s">
        <v>84</v>
      </c>
      <c r="AD464" s="39">
        <v>43891</v>
      </c>
    </row>
    <row r="465" spans="1:30" x14ac:dyDescent="0.25">
      <c r="A465">
        <v>380877</v>
      </c>
      <c r="B465" t="s">
        <v>205</v>
      </c>
      <c r="C465">
        <v>2020</v>
      </c>
      <c r="D465">
        <v>3</v>
      </c>
      <c r="E465" t="s">
        <v>88</v>
      </c>
      <c r="F465" t="s">
        <v>84</v>
      </c>
      <c r="G465" t="s">
        <v>84</v>
      </c>
      <c r="H465" t="s">
        <v>25</v>
      </c>
      <c r="I465" t="s">
        <v>25</v>
      </c>
      <c r="J465" t="s">
        <v>101</v>
      </c>
      <c r="K465" t="s">
        <v>88</v>
      </c>
      <c r="L465" t="s">
        <v>103</v>
      </c>
      <c r="M465">
        <v>1932.0776825</v>
      </c>
      <c r="N465">
        <v>0</v>
      </c>
      <c r="O465" t="s">
        <v>80</v>
      </c>
      <c r="P465" s="39">
        <v>44277.580448298613</v>
      </c>
      <c r="Q465">
        <v>3599914</v>
      </c>
      <c r="R465" t="s">
        <v>27</v>
      </c>
      <c r="S465" s="4">
        <v>697.32029164000005</v>
      </c>
      <c r="W465"/>
      <c r="X465">
        <v>0</v>
      </c>
      <c r="AC465" t="s">
        <v>84</v>
      </c>
      <c r="AD465" s="39">
        <v>43891</v>
      </c>
    </row>
    <row r="466" spans="1:30" x14ac:dyDescent="0.25">
      <c r="A466">
        <v>380853</v>
      </c>
      <c r="B466" t="s">
        <v>205</v>
      </c>
      <c r="C466">
        <v>2020</v>
      </c>
      <c r="D466">
        <v>3</v>
      </c>
      <c r="E466" t="s">
        <v>86</v>
      </c>
      <c r="F466" t="s">
        <v>84</v>
      </c>
      <c r="G466" t="s">
        <v>84</v>
      </c>
      <c r="H466" t="s">
        <v>25</v>
      </c>
      <c r="I466" t="s">
        <v>25</v>
      </c>
      <c r="J466" t="s">
        <v>101</v>
      </c>
      <c r="K466" t="s">
        <v>86</v>
      </c>
      <c r="L466" t="s">
        <v>103</v>
      </c>
      <c r="M466">
        <v>4596.1657269400002</v>
      </c>
      <c r="N466">
        <v>0</v>
      </c>
      <c r="O466" t="s">
        <v>80</v>
      </c>
      <c r="P466" s="39">
        <v>44277.580443599538</v>
      </c>
      <c r="Q466">
        <v>3599794</v>
      </c>
      <c r="R466" t="s">
        <v>27</v>
      </c>
      <c r="S466" s="4">
        <v>2141.05529381</v>
      </c>
      <c r="W466"/>
      <c r="X466">
        <v>0</v>
      </c>
      <c r="AC466" t="s">
        <v>84</v>
      </c>
      <c r="AD466" s="39">
        <v>43891</v>
      </c>
    </row>
    <row r="467" spans="1:30" x14ac:dyDescent="0.25">
      <c r="A467">
        <v>380901</v>
      </c>
      <c r="B467" t="s">
        <v>205</v>
      </c>
      <c r="C467">
        <v>2020</v>
      </c>
      <c r="D467">
        <v>3</v>
      </c>
      <c r="E467" t="s">
        <v>90</v>
      </c>
      <c r="F467" t="s">
        <v>84</v>
      </c>
      <c r="G467" t="s">
        <v>84</v>
      </c>
      <c r="H467" t="s">
        <v>25</v>
      </c>
      <c r="I467" t="s">
        <v>25</v>
      </c>
      <c r="J467" t="s">
        <v>101</v>
      </c>
      <c r="K467" t="s">
        <v>90</v>
      </c>
      <c r="L467" t="s">
        <v>103</v>
      </c>
      <c r="M467">
        <v>1368.2888326899999</v>
      </c>
      <c r="N467">
        <v>0</v>
      </c>
      <c r="O467" t="s">
        <v>80</v>
      </c>
      <c r="P467" s="39">
        <v>44277.58045115741</v>
      </c>
      <c r="Q467">
        <v>3600031</v>
      </c>
      <c r="R467" t="s">
        <v>91</v>
      </c>
      <c r="S467" s="4">
        <v>0.71684755</v>
      </c>
      <c r="W467"/>
      <c r="X467">
        <v>0</v>
      </c>
      <c r="AC467" t="s">
        <v>84</v>
      </c>
      <c r="AD467" s="39">
        <v>43891</v>
      </c>
    </row>
    <row r="468" spans="1:30" x14ac:dyDescent="0.25">
      <c r="A468">
        <v>380877</v>
      </c>
      <c r="B468" t="s">
        <v>205</v>
      </c>
      <c r="C468">
        <v>2020</v>
      </c>
      <c r="D468">
        <v>3</v>
      </c>
      <c r="E468" t="s">
        <v>88</v>
      </c>
      <c r="F468" t="s">
        <v>84</v>
      </c>
      <c r="G468" t="s">
        <v>84</v>
      </c>
      <c r="H468" t="s">
        <v>25</v>
      </c>
      <c r="I468" t="s">
        <v>25</v>
      </c>
      <c r="J468" t="s">
        <v>101</v>
      </c>
      <c r="K468" t="s">
        <v>88</v>
      </c>
      <c r="L468" t="s">
        <v>103</v>
      </c>
      <c r="M468">
        <v>1932.0776825</v>
      </c>
      <c r="N468">
        <v>0</v>
      </c>
      <c r="O468" t="s">
        <v>80</v>
      </c>
      <c r="P468" s="39">
        <v>44277.580448298613</v>
      </c>
      <c r="Q468">
        <v>3599911</v>
      </c>
      <c r="R468" t="s">
        <v>91</v>
      </c>
      <c r="S468" s="4">
        <v>0</v>
      </c>
      <c r="W468"/>
      <c r="X468">
        <v>0</v>
      </c>
      <c r="AC468" t="s">
        <v>84</v>
      </c>
      <c r="AD468" s="39">
        <v>43891</v>
      </c>
    </row>
    <row r="469" spans="1:30" x14ac:dyDescent="0.25">
      <c r="A469">
        <v>380853</v>
      </c>
      <c r="B469" t="s">
        <v>205</v>
      </c>
      <c r="C469">
        <v>2020</v>
      </c>
      <c r="D469">
        <v>3</v>
      </c>
      <c r="E469" t="s">
        <v>86</v>
      </c>
      <c r="F469" t="s">
        <v>84</v>
      </c>
      <c r="G469" t="s">
        <v>84</v>
      </c>
      <c r="H469" t="s">
        <v>25</v>
      </c>
      <c r="I469" t="s">
        <v>25</v>
      </c>
      <c r="J469" t="s">
        <v>101</v>
      </c>
      <c r="K469" t="s">
        <v>86</v>
      </c>
      <c r="L469" t="s">
        <v>103</v>
      </c>
      <c r="M469">
        <v>4596.1657269400002</v>
      </c>
      <c r="N469">
        <v>0</v>
      </c>
      <c r="O469" t="s">
        <v>80</v>
      </c>
      <c r="P469" s="39">
        <v>44277.580443599538</v>
      </c>
      <c r="Q469">
        <v>3599791</v>
      </c>
      <c r="R469" t="s">
        <v>91</v>
      </c>
      <c r="S469" s="4">
        <v>6.9915043900000002</v>
      </c>
      <c r="W469"/>
      <c r="X469">
        <v>0</v>
      </c>
      <c r="AC469" t="s">
        <v>84</v>
      </c>
      <c r="AD469" s="39">
        <v>43891</v>
      </c>
    </row>
    <row r="470" spans="1:30" x14ac:dyDescent="0.25">
      <c r="A470">
        <v>380877</v>
      </c>
      <c r="B470" t="s">
        <v>205</v>
      </c>
      <c r="C470">
        <v>2020</v>
      </c>
      <c r="D470">
        <v>3</v>
      </c>
      <c r="E470" t="s">
        <v>88</v>
      </c>
      <c r="F470" t="s">
        <v>84</v>
      </c>
      <c r="G470" t="s">
        <v>84</v>
      </c>
      <c r="H470" t="s">
        <v>25</v>
      </c>
      <c r="I470" t="s">
        <v>25</v>
      </c>
      <c r="J470" t="s">
        <v>101</v>
      </c>
      <c r="K470" t="s">
        <v>88</v>
      </c>
      <c r="L470" t="s">
        <v>103</v>
      </c>
      <c r="M470">
        <v>1932.0776825</v>
      </c>
      <c r="N470">
        <v>0</v>
      </c>
      <c r="O470" t="s">
        <v>80</v>
      </c>
      <c r="P470" s="39">
        <v>44277.580448298613</v>
      </c>
      <c r="Q470">
        <v>3599913</v>
      </c>
      <c r="R470" t="s">
        <v>28</v>
      </c>
      <c r="S470" s="4">
        <v>0</v>
      </c>
      <c r="W470"/>
      <c r="X470">
        <v>0</v>
      </c>
      <c r="AC470" t="s">
        <v>84</v>
      </c>
      <c r="AD470" s="39">
        <v>43891</v>
      </c>
    </row>
    <row r="471" spans="1:30" x14ac:dyDescent="0.25">
      <c r="A471">
        <v>380853</v>
      </c>
      <c r="B471" t="s">
        <v>205</v>
      </c>
      <c r="C471">
        <v>2020</v>
      </c>
      <c r="D471">
        <v>3</v>
      </c>
      <c r="E471" t="s">
        <v>86</v>
      </c>
      <c r="F471" t="s">
        <v>84</v>
      </c>
      <c r="G471" t="s">
        <v>84</v>
      </c>
      <c r="H471" t="s">
        <v>25</v>
      </c>
      <c r="I471" t="s">
        <v>25</v>
      </c>
      <c r="J471" t="s">
        <v>101</v>
      </c>
      <c r="K471" t="s">
        <v>86</v>
      </c>
      <c r="L471" t="s">
        <v>103</v>
      </c>
      <c r="M471">
        <v>4596.1657269400002</v>
      </c>
      <c r="N471">
        <v>0</v>
      </c>
      <c r="O471" t="s">
        <v>80</v>
      </c>
      <c r="P471" s="39">
        <v>44277.580443599538</v>
      </c>
      <c r="Q471">
        <v>3599793</v>
      </c>
      <c r="R471" t="s">
        <v>28</v>
      </c>
      <c r="S471" s="4">
        <v>14.235072880000001</v>
      </c>
      <c r="W471"/>
      <c r="X471">
        <v>0</v>
      </c>
      <c r="AC471" t="s">
        <v>84</v>
      </c>
      <c r="AD471" s="39">
        <v>43891</v>
      </c>
    </row>
    <row r="472" spans="1:30" x14ac:dyDescent="0.25">
      <c r="A472">
        <v>380901</v>
      </c>
      <c r="B472" t="s">
        <v>205</v>
      </c>
      <c r="C472">
        <v>2020</v>
      </c>
      <c r="D472">
        <v>3</v>
      </c>
      <c r="E472" t="s">
        <v>90</v>
      </c>
      <c r="F472" t="s">
        <v>84</v>
      </c>
      <c r="G472" t="s">
        <v>84</v>
      </c>
      <c r="H472" t="s">
        <v>25</v>
      </c>
      <c r="I472" t="s">
        <v>25</v>
      </c>
      <c r="J472" t="s">
        <v>101</v>
      </c>
      <c r="K472" t="s">
        <v>90</v>
      </c>
      <c r="L472" t="s">
        <v>103</v>
      </c>
      <c r="M472">
        <v>1368.2888326899999</v>
      </c>
      <c r="N472">
        <v>0</v>
      </c>
      <c r="O472" t="s">
        <v>80</v>
      </c>
      <c r="P472" s="39">
        <v>44277.58045115741</v>
      </c>
      <c r="Q472">
        <v>3600033</v>
      </c>
      <c r="R472" t="s">
        <v>28</v>
      </c>
      <c r="S472" s="4">
        <v>3.9535424699999999</v>
      </c>
      <c r="W472"/>
      <c r="X472">
        <v>0</v>
      </c>
      <c r="AC472" t="s">
        <v>84</v>
      </c>
      <c r="AD472" s="39">
        <v>43891</v>
      </c>
    </row>
    <row r="473" spans="1:30" x14ac:dyDescent="0.25">
      <c r="A473">
        <v>394026</v>
      </c>
      <c r="B473" t="s">
        <v>209</v>
      </c>
      <c r="C473">
        <v>2020</v>
      </c>
      <c r="D473">
        <v>4</v>
      </c>
      <c r="E473" t="s">
        <v>86</v>
      </c>
      <c r="F473" t="s">
        <v>84</v>
      </c>
      <c r="G473" t="s">
        <v>84</v>
      </c>
      <c r="H473" t="s">
        <v>25</v>
      </c>
      <c r="I473" t="s">
        <v>25</v>
      </c>
      <c r="J473" t="s">
        <v>101</v>
      </c>
      <c r="K473" t="s">
        <v>86</v>
      </c>
      <c r="L473" t="s">
        <v>103</v>
      </c>
      <c r="M473">
        <v>3484.5644192300001</v>
      </c>
      <c r="N473">
        <v>0</v>
      </c>
      <c r="O473" t="s">
        <v>80</v>
      </c>
      <c r="P473" s="39">
        <v>44277.582315590284</v>
      </c>
      <c r="Q473">
        <v>3726643</v>
      </c>
      <c r="R473" t="s">
        <v>26</v>
      </c>
      <c r="S473" s="4">
        <v>1631.8523768299999</v>
      </c>
      <c r="W473"/>
      <c r="X473">
        <v>0</v>
      </c>
      <c r="AC473" t="s">
        <v>84</v>
      </c>
      <c r="AD473" s="39">
        <v>43922</v>
      </c>
    </row>
    <row r="474" spans="1:30" x14ac:dyDescent="0.25">
      <c r="A474">
        <v>394050</v>
      </c>
      <c r="B474" t="s">
        <v>209</v>
      </c>
      <c r="C474">
        <v>2020</v>
      </c>
      <c r="D474">
        <v>4</v>
      </c>
      <c r="E474" t="s">
        <v>88</v>
      </c>
      <c r="F474" t="s">
        <v>84</v>
      </c>
      <c r="G474" t="s">
        <v>84</v>
      </c>
      <c r="H474" t="s">
        <v>25</v>
      </c>
      <c r="I474" t="s">
        <v>25</v>
      </c>
      <c r="J474" t="s">
        <v>101</v>
      </c>
      <c r="K474" t="s">
        <v>88</v>
      </c>
      <c r="L474" t="s">
        <v>103</v>
      </c>
      <c r="M474">
        <v>823.93457666999996</v>
      </c>
      <c r="N474">
        <v>0</v>
      </c>
      <c r="O474" t="s">
        <v>80</v>
      </c>
      <c r="P474" s="39">
        <v>44277.582317094908</v>
      </c>
      <c r="Q474">
        <v>3726763</v>
      </c>
      <c r="R474" t="s">
        <v>26</v>
      </c>
      <c r="S474" s="4">
        <v>498.56069681000002</v>
      </c>
      <c r="W474"/>
      <c r="X474">
        <v>0</v>
      </c>
      <c r="AC474" t="s">
        <v>84</v>
      </c>
      <c r="AD474" s="39">
        <v>43922</v>
      </c>
    </row>
    <row r="475" spans="1:30" x14ac:dyDescent="0.25">
      <c r="A475">
        <v>394074</v>
      </c>
      <c r="B475" t="s">
        <v>209</v>
      </c>
      <c r="C475">
        <v>2020</v>
      </c>
      <c r="D475">
        <v>4</v>
      </c>
      <c r="E475" t="s">
        <v>90</v>
      </c>
      <c r="F475" t="s">
        <v>84</v>
      </c>
      <c r="G475" t="s">
        <v>84</v>
      </c>
      <c r="H475" t="s">
        <v>25</v>
      </c>
      <c r="I475" t="s">
        <v>25</v>
      </c>
      <c r="J475" t="s">
        <v>101</v>
      </c>
      <c r="K475" t="s">
        <v>90</v>
      </c>
      <c r="L475" t="s">
        <v>103</v>
      </c>
      <c r="M475">
        <v>1607.7261362300001</v>
      </c>
      <c r="N475">
        <v>0</v>
      </c>
      <c r="O475" t="s">
        <v>80</v>
      </c>
      <c r="P475" s="39">
        <v>44277.582318402783</v>
      </c>
      <c r="Q475">
        <v>3726883</v>
      </c>
      <c r="R475" t="s">
        <v>26</v>
      </c>
      <c r="S475" s="4">
        <v>803.64159888999995</v>
      </c>
      <c r="W475"/>
      <c r="X475">
        <v>0</v>
      </c>
      <c r="AC475" t="s">
        <v>84</v>
      </c>
      <c r="AD475" s="39">
        <v>43922</v>
      </c>
    </row>
    <row r="476" spans="1:30" x14ac:dyDescent="0.25">
      <c r="A476">
        <v>394050</v>
      </c>
      <c r="B476" t="s">
        <v>209</v>
      </c>
      <c r="C476">
        <v>2020</v>
      </c>
      <c r="D476">
        <v>4</v>
      </c>
      <c r="E476" t="s">
        <v>88</v>
      </c>
      <c r="F476" t="s">
        <v>84</v>
      </c>
      <c r="G476" t="s">
        <v>84</v>
      </c>
      <c r="H476" t="s">
        <v>25</v>
      </c>
      <c r="I476" t="s">
        <v>25</v>
      </c>
      <c r="J476" t="s">
        <v>101</v>
      </c>
      <c r="K476" t="s">
        <v>88</v>
      </c>
      <c r="L476" t="s">
        <v>103</v>
      </c>
      <c r="M476">
        <v>823.93457666999996</v>
      </c>
      <c r="N476">
        <v>0</v>
      </c>
      <c r="O476" t="s">
        <v>80</v>
      </c>
      <c r="P476" s="39">
        <v>44277.582317094908</v>
      </c>
      <c r="Q476">
        <v>3726766</v>
      </c>
      <c r="R476" t="s">
        <v>81</v>
      </c>
      <c r="S476" s="4">
        <v>45.295816449999997</v>
      </c>
      <c r="W476"/>
      <c r="X476">
        <v>0</v>
      </c>
      <c r="AC476" t="s">
        <v>84</v>
      </c>
      <c r="AD476" s="39">
        <v>43922</v>
      </c>
    </row>
    <row r="477" spans="1:30" x14ac:dyDescent="0.25">
      <c r="A477">
        <v>394074</v>
      </c>
      <c r="B477" t="s">
        <v>209</v>
      </c>
      <c r="C477">
        <v>2020</v>
      </c>
      <c r="D477">
        <v>4</v>
      </c>
      <c r="E477" t="s">
        <v>90</v>
      </c>
      <c r="F477" t="s">
        <v>84</v>
      </c>
      <c r="G477" t="s">
        <v>84</v>
      </c>
      <c r="H477" t="s">
        <v>25</v>
      </c>
      <c r="I477" t="s">
        <v>25</v>
      </c>
      <c r="J477" t="s">
        <v>101</v>
      </c>
      <c r="K477" t="s">
        <v>90</v>
      </c>
      <c r="L477" t="s">
        <v>103</v>
      </c>
      <c r="M477">
        <v>1607.7261362300001</v>
      </c>
      <c r="N477">
        <v>0</v>
      </c>
      <c r="O477" t="s">
        <v>80</v>
      </c>
      <c r="P477" s="39">
        <v>44277.582318402783</v>
      </c>
      <c r="Q477">
        <v>3726886</v>
      </c>
      <c r="R477" t="s">
        <v>81</v>
      </c>
      <c r="S477" s="4">
        <v>97.672087250000004</v>
      </c>
      <c r="W477"/>
      <c r="X477">
        <v>0</v>
      </c>
      <c r="AC477" t="s">
        <v>84</v>
      </c>
      <c r="AD477" s="39">
        <v>43922</v>
      </c>
    </row>
    <row r="478" spans="1:30" x14ac:dyDescent="0.25">
      <c r="A478">
        <v>394026</v>
      </c>
      <c r="B478" t="s">
        <v>209</v>
      </c>
      <c r="C478">
        <v>2020</v>
      </c>
      <c r="D478">
        <v>4</v>
      </c>
      <c r="E478" t="s">
        <v>86</v>
      </c>
      <c r="F478" t="s">
        <v>84</v>
      </c>
      <c r="G478" t="s">
        <v>84</v>
      </c>
      <c r="H478" t="s">
        <v>25</v>
      </c>
      <c r="I478" t="s">
        <v>25</v>
      </c>
      <c r="J478" t="s">
        <v>101</v>
      </c>
      <c r="K478" t="s">
        <v>86</v>
      </c>
      <c r="L478" t="s">
        <v>103</v>
      </c>
      <c r="M478">
        <v>3484.5644192300001</v>
      </c>
      <c r="N478">
        <v>0</v>
      </c>
      <c r="O478" t="s">
        <v>80</v>
      </c>
      <c r="P478" s="39">
        <v>44277.582315590284</v>
      </c>
      <c r="Q478">
        <v>3726646</v>
      </c>
      <c r="R478" t="s">
        <v>81</v>
      </c>
      <c r="S478" s="4">
        <v>286.52699096999999</v>
      </c>
      <c r="W478"/>
      <c r="X478">
        <v>0</v>
      </c>
      <c r="AC478" t="s">
        <v>84</v>
      </c>
      <c r="AD478" s="39">
        <v>43922</v>
      </c>
    </row>
    <row r="479" spans="1:30" x14ac:dyDescent="0.25">
      <c r="A479">
        <v>394026</v>
      </c>
      <c r="B479" t="s">
        <v>209</v>
      </c>
      <c r="C479">
        <v>2020</v>
      </c>
      <c r="D479">
        <v>4</v>
      </c>
      <c r="E479" t="s">
        <v>86</v>
      </c>
      <c r="F479" t="s">
        <v>84</v>
      </c>
      <c r="G479" t="s">
        <v>84</v>
      </c>
      <c r="H479" t="s">
        <v>25</v>
      </c>
      <c r="I479" t="s">
        <v>25</v>
      </c>
      <c r="J479" t="s">
        <v>101</v>
      </c>
      <c r="K479" t="s">
        <v>86</v>
      </c>
      <c r="L479" t="s">
        <v>103</v>
      </c>
      <c r="M479">
        <v>3484.5644192300001</v>
      </c>
      <c r="N479">
        <v>0</v>
      </c>
      <c r="O479" t="s">
        <v>80</v>
      </c>
      <c r="P479" s="39">
        <v>44277.582315590284</v>
      </c>
      <c r="Q479">
        <v>3726645</v>
      </c>
      <c r="R479" t="s">
        <v>27</v>
      </c>
      <c r="S479" s="4">
        <v>1623.2323940599999</v>
      </c>
      <c r="W479"/>
      <c r="X479">
        <v>0</v>
      </c>
      <c r="AC479" t="s">
        <v>84</v>
      </c>
      <c r="AD479" s="39">
        <v>43922</v>
      </c>
    </row>
    <row r="480" spans="1:30" x14ac:dyDescent="0.25">
      <c r="A480">
        <v>394074</v>
      </c>
      <c r="B480" t="s">
        <v>209</v>
      </c>
      <c r="C480">
        <v>2020</v>
      </c>
      <c r="D480">
        <v>4</v>
      </c>
      <c r="E480" t="s">
        <v>90</v>
      </c>
      <c r="F480" t="s">
        <v>84</v>
      </c>
      <c r="G480" t="s">
        <v>84</v>
      </c>
      <c r="H480" t="s">
        <v>25</v>
      </c>
      <c r="I480" t="s">
        <v>25</v>
      </c>
      <c r="J480" t="s">
        <v>101</v>
      </c>
      <c r="K480" t="s">
        <v>90</v>
      </c>
      <c r="L480" t="s">
        <v>103</v>
      </c>
      <c r="M480">
        <v>1607.7261362300001</v>
      </c>
      <c r="N480">
        <v>0</v>
      </c>
      <c r="O480" t="s">
        <v>80</v>
      </c>
      <c r="P480" s="39">
        <v>44277.582318402783</v>
      </c>
      <c r="Q480">
        <v>3726885</v>
      </c>
      <c r="R480" t="s">
        <v>27</v>
      </c>
      <c r="S480" s="4">
        <v>734.67057981999994</v>
      </c>
      <c r="W480"/>
      <c r="X480">
        <v>0</v>
      </c>
      <c r="AC480" t="s">
        <v>84</v>
      </c>
      <c r="AD480" s="39">
        <v>43922</v>
      </c>
    </row>
    <row r="481" spans="1:30" x14ac:dyDescent="0.25">
      <c r="A481">
        <v>394050</v>
      </c>
      <c r="B481" t="s">
        <v>209</v>
      </c>
      <c r="C481">
        <v>2020</v>
      </c>
      <c r="D481">
        <v>4</v>
      </c>
      <c r="E481" t="s">
        <v>88</v>
      </c>
      <c r="F481" t="s">
        <v>84</v>
      </c>
      <c r="G481" t="s">
        <v>84</v>
      </c>
      <c r="H481" t="s">
        <v>25</v>
      </c>
      <c r="I481" t="s">
        <v>25</v>
      </c>
      <c r="J481" t="s">
        <v>101</v>
      </c>
      <c r="K481" t="s">
        <v>88</v>
      </c>
      <c r="L481" t="s">
        <v>103</v>
      </c>
      <c r="M481">
        <v>823.93457666999996</v>
      </c>
      <c r="N481">
        <v>0</v>
      </c>
      <c r="O481" t="s">
        <v>80</v>
      </c>
      <c r="P481" s="39">
        <v>44277.582317094908</v>
      </c>
      <c r="Q481">
        <v>3726765</v>
      </c>
      <c r="R481" t="s">
        <v>27</v>
      </c>
      <c r="S481" s="4">
        <v>297.37225604999998</v>
      </c>
      <c r="W481"/>
      <c r="X481">
        <v>0</v>
      </c>
      <c r="AC481" t="s">
        <v>84</v>
      </c>
      <c r="AD481" s="39">
        <v>43922</v>
      </c>
    </row>
    <row r="482" spans="1:30" x14ac:dyDescent="0.25">
      <c r="A482">
        <v>394026</v>
      </c>
      <c r="B482" t="s">
        <v>209</v>
      </c>
      <c r="C482">
        <v>2020</v>
      </c>
      <c r="D482">
        <v>4</v>
      </c>
      <c r="E482" t="s">
        <v>86</v>
      </c>
      <c r="F482" t="s">
        <v>84</v>
      </c>
      <c r="G482" t="s">
        <v>84</v>
      </c>
      <c r="H482" t="s">
        <v>25</v>
      </c>
      <c r="I482" t="s">
        <v>25</v>
      </c>
      <c r="J482" t="s">
        <v>101</v>
      </c>
      <c r="K482" t="s">
        <v>86</v>
      </c>
      <c r="L482" t="s">
        <v>103</v>
      </c>
      <c r="M482">
        <v>3484.5644192300001</v>
      </c>
      <c r="N482">
        <v>0</v>
      </c>
      <c r="O482" t="s">
        <v>80</v>
      </c>
      <c r="P482" s="39">
        <v>44277.582315590284</v>
      </c>
      <c r="Q482">
        <v>3726642</v>
      </c>
      <c r="R482" t="s">
        <v>91</v>
      </c>
      <c r="S482" s="4">
        <v>5.3005807200000001</v>
      </c>
      <c r="W482"/>
      <c r="X482">
        <v>0</v>
      </c>
      <c r="AC482" t="s">
        <v>84</v>
      </c>
      <c r="AD482" s="39">
        <v>43922</v>
      </c>
    </row>
    <row r="483" spans="1:30" x14ac:dyDescent="0.25">
      <c r="A483">
        <v>394050</v>
      </c>
      <c r="B483" t="s">
        <v>209</v>
      </c>
      <c r="C483">
        <v>2020</v>
      </c>
      <c r="D483">
        <v>4</v>
      </c>
      <c r="E483" t="s">
        <v>88</v>
      </c>
      <c r="F483" t="s">
        <v>84</v>
      </c>
      <c r="G483" t="s">
        <v>84</v>
      </c>
      <c r="H483" t="s">
        <v>25</v>
      </c>
      <c r="I483" t="s">
        <v>25</v>
      </c>
      <c r="J483" t="s">
        <v>101</v>
      </c>
      <c r="K483" t="s">
        <v>88</v>
      </c>
      <c r="L483" t="s">
        <v>103</v>
      </c>
      <c r="M483">
        <v>823.93457666999996</v>
      </c>
      <c r="N483">
        <v>0</v>
      </c>
      <c r="O483" t="s">
        <v>80</v>
      </c>
      <c r="P483" s="39">
        <v>44277.582317094908</v>
      </c>
      <c r="Q483">
        <v>3726762</v>
      </c>
      <c r="R483" t="s">
        <v>91</v>
      </c>
      <c r="S483" s="4">
        <v>0</v>
      </c>
      <c r="W483"/>
      <c r="X483">
        <v>0</v>
      </c>
      <c r="AC483" t="s">
        <v>84</v>
      </c>
      <c r="AD483" s="39">
        <v>43922</v>
      </c>
    </row>
    <row r="484" spans="1:30" x14ac:dyDescent="0.25">
      <c r="A484">
        <v>394074</v>
      </c>
      <c r="B484" t="s">
        <v>209</v>
      </c>
      <c r="C484">
        <v>2020</v>
      </c>
      <c r="D484">
        <v>4</v>
      </c>
      <c r="E484" t="s">
        <v>90</v>
      </c>
      <c r="F484" t="s">
        <v>84</v>
      </c>
      <c r="G484" t="s">
        <v>84</v>
      </c>
      <c r="H484" t="s">
        <v>25</v>
      </c>
      <c r="I484" t="s">
        <v>25</v>
      </c>
      <c r="J484" t="s">
        <v>101</v>
      </c>
      <c r="K484" t="s">
        <v>90</v>
      </c>
      <c r="L484" t="s">
        <v>103</v>
      </c>
      <c r="M484">
        <v>1607.7261362300001</v>
      </c>
      <c r="N484">
        <v>0</v>
      </c>
      <c r="O484" t="s">
        <v>80</v>
      </c>
      <c r="P484" s="39">
        <v>44277.582318402783</v>
      </c>
      <c r="Q484">
        <v>3726882</v>
      </c>
      <c r="R484" t="s">
        <v>91</v>
      </c>
      <c r="S484" s="4">
        <v>0.84228893000000005</v>
      </c>
      <c r="W484"/>
      <c r="X484">
        <v>0</v>
      </c>
      <c r="AC484" t="s">
        <v>84</v>
      </c>
      <c r="AD484" s="39">
        <v>43922</v>
      </c>
    </row>
    <row r="485" spans="1:30" x14ac:dyDescent="0.25">
      <c r="A485">
        <v>394074</v>
      </c>
      <c r="B485" t="s">
        <v>209</v>
      </c>
      <c r="C485">
        <v>2020</v>
      </c>
      <c r="D485">
        <v>4</v>
      </c>
      <c r="E485" t="s">
        <v>90</v>
      </c>
      <c r="F485" t="s">
        <v>84</v>
      </c>
      <c r="G485" t="s">
        <v>84</v>
      </c>
      <c r="H485" t="s">
        <v>25</v>
      </c>
      <c r="I485" t="s">
        <v>25</v>
      </c>
      <c r="J485" t="s">
        <v>101</v>
      </c>
      <c r="K485" t="s">
        <v>90</v>
      </c>
      <c r="L485" t="s">
        <v>103</v>
      </c>
      <c r="M485">
        <v>1607.7261362300001</v>
      </c>
      <c r="N485">
        <v>0</v>
      </c>
      <c r="O485" t="s">
        <v>80</v>
      </c>
      <c r="P485" s="39">
        <v>44277.582318402783</v>
      </c>
      <c r="Q485">
        <v>3726884</v>
      </c>
      <c r="R485" t="s">
        <v>28</v>
      </c>
      <c r="S485" s="4">
        <v>4.6453741400000004</v>
      </c>
      <c r="W485"/>
      <c r="X485">
        <v>0</v>
      </c>
      <c r="AC485" t="s">
        <v>84</v>
      </c>
      <c r="AD485" s="39">
        <v>43922</v>
      </c>
    </row>
    <row r="486" spans="1:30" x14ac:dyDescent="0.25">
      <c r="A486">
        <v>394026</v>
      </c>
      <c r="B486" t="s">
        <v>209</v>
      </c>
      <c r="C486">
        <v>2020</v>
      </c>
      <c r="D486">
        <v>4</v>
      </c>
      <c r="E486" t="s">
        <v>86</v>
      </c>
      <c r="F486" t="s">
        <v>84</v>
      </c>
      <c r="G486" t="s">
        <v>84</v>
      </c>
      <c r="H486" t="s">
        <v>25</v>
      </c>
      <c r="I486" t="s">
        <v>25</v>
      </c>
      <c r="J486" t="s">
        <v>101</v>
      </c>
      <c r="K486" t="s">
        <v>86</v>
      </c>
      <c r="L486" t="s">
        <v>103</v>
      </c>
      <c r="M486">
        <v>3484.5644192300001</v>
      </c>
      <c r="N486">
        <v>0</v>
      </c>
      <c r="O486" t="s">
        <v>80</v>
      </c>
      <c r="P486" s="39">
        <v>44277.582315590284</v>
      </c>
      <c r="Q486">
        <v>3726644</v>
      </c>
      <c r="R486" t="s">
        <v>28</v>
      </c>
      <c r="S486" s="4">
        <v>10.79226281</v>
      </c>
      <c r="W486"/>
      <c r="X486">
        <v>0</v>
      </c>
      <c r="AC486" t="s">
        <v>84</v>
      </c>
      <c r="AD486" s="39">
        <v>43922</v>
      </c>
    </row>
    <row r="487" spans="1:30" x14ac:dyDescent="0.25">
      <c r="A487">
        <v>394050</v>
      </c>
      <c r="B487" t="s">
        <v>209</v>
      </c>
      <c r="C487">
        <v>2020</v>
      </c>
      <c r="D487">
        <v>4</v>
      </c>
      <c r="E487" t="s">
        <v>88</v>
      </c>
      <c r="F487" t="s">
        <v>84</v>
      </c>
      <c r="G487" t="s">
        <v>84</v>
      </c>
      <c r="H487" t="s">
        <v>25</v>
      </c>
      <c r="I487" t="s">
        <v>25</v>
      </c>
      <c r="J487" t="s">
        <v>101</v>
      </c>
      <c r="K487" t="s">
        <v>88</v>
      </c>
      <c r="L487" t="s">
        <v>103</v>
      </c>
      <c r="M487">
        <v>823.93457666999996</v>
      </c>
      <c r="N487">
        <v>0</v>
      </c>
      <c r="O487" t="s">
        <v>80</v>
      </c>
      <c r="P487" s="39">
        <v>44277.582317094908</v>
      </c>
      <c r="Q487">
        <v>3726764</v>
      </c>
      <c r="R487" t="s">
        <v>28</v>
      </c>
      <c r="S487" s="4">
        <v>0</v>
      </c>
      <c r="W487"/>
      <c r="X487">
        <v>0</v>
      </c>
      <c r="AC487" t="s">
        <v>84</v>
      </c>
      <c r="AD487" s="39">
        <v>43922</v>
      </c>
    </row>
    <row r="488" spans="1:30" x14ac:dyDescent="0.25">
      <c r="A488">
        <v>407266</v>
      </c>
      <c r="B488" t="s">
        <v>216</v>
      </c>
      <c r="C488">
        <v>2020</v>
      </c>
      <c r="D488">
        <v>5</v>
      </c>
      <c r="E488" t="s">
        <v>86</v>
      </c>
      <c r="F488" t="s">
        <v>84</v>
      </c>
      <c r="G488" t="s">
        <v>84</v>
      </c>
      <c r="H488" t="s">
        <v>25</v>
      </c>
      <c r="I488" t="s">
        <v>25</v>
      </c>
      <c r="J488" t="s">
        <v>101</v>
      </c>
      <c r="K488" t="s">
        <v>86</v>
      </c>
      <c r="L488" t="s">
        <v>103</v>
      </c>
      <c r="M488">
        <v>3354.2577029700001</v>
      </c>
      <c r="N488">
        <v>0</v>
      </c>
      <c r="O488" t="s">
        <v>80</v>
      </c>
      <c r="P488" s="39">
        <v>44277.584026157398</v>
      </c>
      <c r="Q488">
        <v>3853715</v>
      </c>
      <c r="R488" t="s">
        <v>26</v>
      </c>
      <c r="S488" s="4">
        <v>1570.8285876100001</v>
      </c>
      <c r="W488"/>
      <c r="X488">
        <v>0</v>
      </c>
      <c r="AC488" t="s">
        <v>84</v>
      </c>
      <c r="AD488" s="39">
        <v>43952</v>
      </c>
    </row>
    <row r="489" spans="1:30" x14ac:dyDescent="0.25">
      <c r="A489">
        <v>407314</v>
      </c>
      <c r="B489" t="s">
        <v>216</v>
      </c>
      <c r="C489">
        <v>2020</v>
      </c>
      <c r="D489">
        <v>5</v>
      </c>
      <c r="E489" t="s">
        <v>90</v>
      </c>
      <c r="F489" t="s">
        <v>84</v>
      </c>
      <c r="G489" t="s">
        <v>84</v>
      </c>
      <c r="H489" t="s">
        <v>25</v>
      </c>
      <c r="I489" t="s">
        <v>25</v>
      </c>
      <c r="J489" t="s">
        <v>101</v>
      </c>
      <c r="K489" t="s">
        <v>90</v>
      </c>
      <c r="L489" t="s">
        <v>103</v>
      </c>
      <c r="M489">
        <v>1619.1342777699999</v>
      </c>
      <c r="N489">
        <v>0</v>
      </c>
      <c r="O489" t="s">
        <v>80</v>
      </c>
      <c r="P489" s="39">
        <v>44277.58402881943</v>
      </c>
      <c r="Q489">
        <v>3853955</v>
      </c>
      <c r="R489" t="s">
        <v>26</v>
      </c>
      <c r="S489" s="4">
        <v>809.34409816000004</v>
      </c>
      <c r="W489"/>
      <c r="X489">
        <v>0</v>
      </c>
      <c r="AC489" t="s">
        <v>84</v>
      </c>
      <c r="AD489" s="39">
        <v>43952</v>
      </c>
    </row>
    <row r="490" spans="1:30" x14ac:dyDescent="0.25">
      <c r="A490">
        <v>407290</v>
      </c>
      <c r="B490" t="s">
        <v>216</v>
      </c>
      <c r="C490">
        <v>2020</v>
      </c>
      <c r="D490">
        <v>5</v>
      </c>
      <c r="E490" t="s">
        <v>88</v>
      </c>
      <c r="F490" t="s">
        <v>84</v>
      </c>
      <c r="G490" t="s">
        <v>84</v>
      </c>
      <c r="H490" t="s">
        <v>25</v>
      </c>
      <c r="I490" t="s">
        <v>25</v>
      </c>
      <c r="J490" t="s">
        <v>101</v>
      </c>
      <c r="K490" t="s">
        <v>88</v>
      </c>
      <c r="L490" t="s">
        <v>103</v>
      </c>
      <c r="M490">
        <v>687.81619663000004</v>
      </c>
      <c r="N490">
        <v>0</v>
      </c>
      <c r="O490" t="s">
        <v>80</v>
      </c>
      <c r="P490" s="39">
        <v>44277.584027546298</v>
      </c>
      <c r="Q490">
        <v>3853835</v>
      </c>
      <c r="R490" t="s">
        <v>26</v>
      </c>
      <c r="S490" s="4">
        <v>416.19581455000002</v>
      </c>
      <c r="W490"/>
      <c r="X490">
        <v>0</v>
      </c>
      <c r="AC490" t="s">
        <v>84</v>
      </c>
      <c r="AD490" s="39">
        <v>43952</v>
      </c>
    </row>
    <row r="491" spans="1:30" x14ac:dyDescent="0.25">
      <c r="A491">
        <v>407314</v>
      </c>
      <c r="B491" t="s">
        <v>216</v>
      </c>
      <c r="C491">
        <v>2020</v>
      </c>
      <c r="D491">
        <v>5</v>
      </c>
      <c r="E491" t="s">
        <v>90</v>
      </c>
      <c r="F491" t="s">
        <v>84</v>
      </c>
      <c r="G491" t="s">
        <v>84</v>
      </c>
      <c r="H491" t="s">
        <v>25</v>
      </c>
      <c r="I491" t="s">
        <v>25</v>
      </c>
      <c r="J491" t="s">
        <v>101</v>
      </c>
      <c r="K491" t="s">
        <v>90</v>
      </c>
      <c r="L491" t="s">
        <v>103</v>
      </c>
      <c r="M491">
        <v>1619.1342777699999</v>
      </c>
      <c r="N491">
        <v>0</v>
      </c>
      <c r="O491" t="s">
        <v>80</v>
      </c>
      <c r="P491" s="39">
        <v>44277.58402881943</v>
      </c>
      <c r="Q491">
        <v>3853958</v>
      </c>
      <c r="R491" t="s">
        <v>81</v>
      </c>
      <c r="S491" s="4">
        <v>98.365151179999998</v>
      </c>
      <c r="W491"/>
      <c r="X491">
        <v>0</v>
      </c>
      <c r="AC491" t="s">
        <v>84</v>
      </c>
      <c r="AD491" s="39">
        <v>43952</v>
      </c>
    </row>
    <row r="492" spans="1:30" x14ac:dyDescent="0.25">
      <c r="A492">
        <v>407290</v>
      </c>
      <c r="B492" t="s">
        <v>216</v>
      </c>
      <c r="C492">
        <v>2020</v>
      </c>
      <c r="D492">
        <v>5</v>
      </c>
      <c r="E492" t="s">
        <v>88</v>
      </c>
      <c r="F492" t="s">
        <v>84</v>
      </c>
      <c r="G492" t="s">
        <v>84</v>
      </c>
      <c r="H492" t="s">
        <v>25</v>
      </c>
      <c r="I492" t="s">
        <v>25</v>
      </c>
      <c r="J492" t="s">
        <v>101</v>
      </c>
      <c r="K492" t="s">
        <v>88</v>
      </c>
      <c r="L492" t="s">
        <v>103</v>
      </c>
      <c r="M492">
        <v>687.81619663000004</v>
      </c>
      <c r="N492">
        <v>0</v>
      </c>
      <c r="O492" t="s">
        <v>80</v>
      </c>
      <c r="P492" s="39">
        <v>44277.584027546298</v>
      </c>
      <c r="Q492">
        <v>3853838</v>
      </c>
      <c r="R492" t="s">
        <v>81</v>
      </c>
      <c r="S492" s="4">
        <v>37.812706349999999</v>
      </c>
      <c r="W492"/>
      <c r="X492">
        <v>0</v>
      </c>
      <c r="AC492" t="s">
        <v>84</v>
      </c>
      <c r="AD492" s="39">
        <v>43952</v>
      </c>
    </row>
    <row r="493" spans="1:30" x14ac:dyDescent="0.25">
      <c r="A493">
        <v>407266</v>
      </c>
      <c r="B493" t="s">
        <v>216</v>
      </c>
      <c r="C493">
        <v>2020</v>
      </c>
      <c r="D493">
        <v>5</v>
      </c>
      <c r="E493" t="s">
        <v>86</v>
      </c>
      <c r="F493" t="s">
        <v>84</v>
      </c>
      <c r="G493" t="s">
        <v>84</v>
      </c>
      <c r="H493" t="s">
        <v>25</v>
      </c>
      <c r="I493" t="s">
        <v>25</v>
      </c>
      <c r="J493" t="s">
        <v>101</v>
      </c>
      <c r="K493" t="s">
        <v>86</v>
      </c>
      <c r="L493" t="s">
        <v>103</v>
      </c>
      <c r="M493">
        <v>3354.2577029700001</v>
      </c>
      <c r="N493">
        <v>0</v>
      </c>
      <c r="O493" t="s">
        <v>80</v>
      </c>
      <c r="P493" s="39">
        <v>44277.584026157398</v>
      </c>
      <c r="Q493">
        <v>3853718</v>
      </c>
      <c r="R493" t="s">
        <v>81</v>
      </c>
      <c r="S493" s="4">
        <v>275.81219657000003</v>
      </c>
      <c r="W493"/>
      <c r="X493">
        <v>0</v>
      </c>
      <c r="AC493" t="s">
        <v>84</v>
      </c>
      <c r="AD493" s="39">
        <v>43952</v>
      </c>
    </row>
    <row r="494" spans="1:30" x14ac:dyDescent="0.25">
      <c r="A494">
        <v>407266</v>
      </c>
      <c r="B494" t="s">
        <v>216</v>
      </c>
      <c r="C494">
        <v>2020</v>
      </c>
      <c r="D494">
        <v>5</v>
      </c>
      <c r="E494" t="s">
        <v>86</v>
      </c>
      <c r="F494" t="s">
        <v>84</v>
      </c>
      <c r="G494" t="s">
        <v>84</v>
      </c>
      <c r="H494" t="s">
        <v>25</v>
      </c>
      <c r="I494" t="s">
        <v>25</v>
      </c>
      <c r="J494" t="s">
        <v>101</v>
      </c>
      <c r="K494" t="s">
        <v>86</v>
      </c>
      <c r="L494" t="s">
        <v>103</v>
      </c>
      <c r="M494">
        <v>3354.2577029700001</v>
      </c>
      <c r="N494">
        <v>0</v>
      </c>
      <c r="O494" t="s">
        <v>80</v>
      </c>
      <c r="P494" s="39">
        <v>44277.584026157398</v>
      </c>
      <c r="Q494">
        <v>3853717</v>
      </c>
      <c r="R494" t="s">
        <v>27</v>
      </c>
      <c r="S494" s="4">
        <v>1562.53095263</v>
      </c>
      <c r="W494"/>
      <c r="X494">
        <v>0</v>
      </c>
      <c r="AC494" t="s">
        <v>84</v>
      </c>
      <c r="AD494" s="39">
        <v>43952</v>
      </c>
    </row>
    <row r="495" spans="1:30" x14ac:dyDescent="0.25">
      <c r="A495">
        <v>407290</v>
      </c>
      <c r="B495" t="s">
        <v>216</v>
      </c>
      <c r="C495">
        <v>2020</v>
      </c>
      <c r="D495">
        <v>5</v>
      </c>
      <c r="E495" t="s">
        <v>88</v>
      </c>
      <c r="F495" t="s">
        <v>84</v>
      </c>
      <c r="G495" t="s">
        <v>84</v>
      </c>
      <c r="H495" t="s">
        <v>25</v>
      </c>
      <c r="I495" t="s">
        <v>25</v>
      </c>
      <c r="J495" t="s">
        <v>101</v>
      </c>
      <c r="K495" t="s">
        <v>88</v>
      </c>
      <c r="L495" t="s">
        <v>103</v>
      </c>
      <c r="M495">
        <v>687.81619663000004</v>
      </c>
      <c r="N495">
        <v>0</v>
      </c>
      <c r="O495" t="s">
        <v>80</v>
      </c>
      <c r="P495" s="39">
        <v>44277.584027546298</v>
      </c>
      <c r="Q495">
        <v>3853837</v>
      </c>
      <c r="R495" t="s">
        <v>27</v>
      </c>
      <c r="S495" s="4">
        <v>248.24477565000001</v>
      </c>
      <c r="W495"/>
      <c r="X495">
        <v>0</v>
      </c>
      <c r="AC495" t="s">
        <v>84</v>
      </c>
      <c r="AD495" s="39">
        <v>43952</v>
      </c>
    </row>
    <row r="496" spans="1:30" x14ac:dyDescent="0.25">
      <c r="A496">
        <v>407314</v>
      </c>
      <c r="B496" t="s">
        <v>216</v>
      </c>
      <c r="C496">
        <v>2020</v>
      </c>
      <c r="D496">
        <v>5</v>
      </c>
      <c r="E496" t="s">
        <v>90</v>
      </c>
      <c r="F496" t="s">
        <v>84</v>
      </c>
      <c r="G496" t="s">
        <v>84</v>
      </c>
      <c r="H496" t="s">
        <v>25</v>
      </c>
      <c r="I496" t="s">
        <v>25</v>
      </c>
      <c r="J496" t="s">
        <v>101</v>
      </c>
      <c r="K496" t="s">
        <v>90</v>
      </c>
      <c r="L496" t="s">
        <v>103</v>
      </c>
      <c r="M496">
        <v>1619.1342777699999</v>
      </c>
      <c r="N496">
        <v>0</v>
      </c>
      <c r="O496" t="s">
        <v>80</v>
      </c>
      <c r="P496" s="39">
        <v>44277.58402881943</v>
      </c>
      <c r="Q496">
        <v>3853957</v>
      </c>
      <c r="R496" t="s">
        <v>27</v>
      </c>
      <c r="S496" s="4">
        <v>739.88367287000005</v>
      </c>
      <c r="W496"/>
      <c r="X496">
        <v>0</v>
      </c>
      <c r="AC496" t="s">
        <v>84</v>
      </c>
      <c r="AD496" s="39">
        <v>43952</v>
      </c>
    </row>
    <row r="497" spans="1:30" x14ac:dyDescent="0.25">
      <c r="A497">
        <v>407290</v>
      </c>
      <c r="B497" t="s">
        <v>216</v>
      </c>
      <c r="C497">
        <v>2020</v>
      </c>
      <c r="D497">
        <v>5</v>
      </c>
      <c r="E497" t="s">
        <v>88</v>
      </c>
      <c r="F497" t="s">
        <v>84</v>
      </c>
      <c r="G497" t="s">
        <v>84</v>
      </c>
      <c r="H497" t="s">
        <v>25</v>
      </c>
      <c r="I497" t="s">
        <v>25</v>
      </c>
      <c r="J497" t="s">
        <v>101</v>
      </c>
      <c r="K497" t="s">
        <v>88</v>
      </c>
      <c r="L497" t="s">
        <v>103</v>
      </c>
      <c r="M497">
        <v>687.81619663000004</v>
      </c>
      <c r="N497">
        <v>0</v>
      </c>
      <c r="O497" t="s">
        <v>80</v>
      </c>
      <c r="P497" s="39">
        <v>44277.584027546298</v>
      </c>
      <c r="Q497">
        <v>3853834</v>
      </c>
      <c r="R497" t="s">
        <v>91</v>
      </c>
      <c r="S497" s="4">
        <v>0</v>
      </c>
      <c r="W497"/>
      <c r="X497">
        <v>0</v>
      </c>
      <c r="AC497" t="s">
        <v>84</v>
      </c>
      <c r="AD497" s="39">
        <v>43952</v>
      </c>
    </row>
    <row r="498" spans="1:30" x14ac:dyDescent="0.25">
      <c r="A498">
        <v>407314</v>
      </c>
      <c r="B498" t="s">
        <v>216</v>
      </c>
      <c r="C498">
        <v>2020</v>
      </c>
      <c r="D498">
        <v>5</v>
      </c>
      <c r="E498" t="s">
        <v>90</v>
      </c>
      <c r="F498" t="s">
        <v>84</v>
      </c>
      <c r="G498" t="s">
        <v>84</v>
      </c>
      <c r="H498" t="s">
        <v>25</v>
      </c>
      <c r="I498" t="s">
        <v>25</v>
      </c>
      <c r="J498" t="s">
        <v>101</v>
      </c>
      <c r="K498" t="s">
        <v>90</v>
      </c>
      <c r="L498" t="s">
        <v>103</v>
      </c>
      <c r="M498">
        <v>1619.1342777699999</v>
      </c>
      <c r="N498">
        <v>0</v>
      </c>
      <c r="O498" t="s">
        <v>80</v>
      </c>
      <c r="P498" s="39">
        <v>44277.58402881943</v>
      </c>
      <c r="Q498">
        <v>3853954</v>
      </c>
      <c r="R498" t="s">
        <v>91</v>
      </c>
      <c r="S498" s="4">
        <v>0.84826566000000003</v>
      </c>
      <c r="W498"/>
      <c r="X498">
        <v>0</v>
      </c>
      <c r="AC498" t="s">
        <v>84</v>
      </c>
      <c r="AD498" s="39">
        <v>43952</v>
      </c>
    </row>
    <row r="499" spans="1:30" x14ac:dyDescent="0.25">
      <c r="A499">
        <v>407266</v>
      </c>
      <c r="B499" t="s">
        <v>216</v>
      </c>
      <c r="C499">
        <v>2020</v>
      </c>
      <c r="D499">
        <v>5</v>
      </c>
      <c r="E499" t="s">
        <v>86</v>
      </c>
      <c r="F499" t="s">
        <v>84</v>
      </c>
      <c r="G499" t="s">
        <v>84</v>
      </c>
      <c r="H499" t="s">
        <v>25</v>
      </c>
      <c r="I499" t="s">
        <v>25</v>
      </c>
      <c r="J499" t="s">
        <v>101</v>
      </c>
      <c r="K499" t="s">
        <v>86</v>
      </c>
      <c r="L499" t="s">
        <v>103</v>
      </c>
      <c r="M499">
        <v>3354.2577029700001</v>
      </c>
      <c r="N499">
        <v>0</v>
      </c>
      <c r="O499" t="s">
        <v>80</v>
      </c>
      <c r="P499" s="39">
        <v>44277.584026157398</v>
      </c>
      <c r="Q499">
        <v>3853714</v>
      </c>
      <c r="R499" t="s">
        <v>91</v>
      </c>
      <c r="S499" s="4">
        <v>5.1023633300000002</v>
      </c>
      <c r="W499"/>
      <c r="X499">
        <v>0</v>
      </c>
      <c r="AC499" t="s">
        <v>84</v>
      </c>
      <c r="AD499" s="39">
        <v>43952</v>
      </c>
    </row>
    <row r="500" spans="1:30" x14ac:dyDescent="0.25">
      <c r="A500">
        <v>407314</v>
      </c>
      <c r="B500" t="s">
        <v>216</v>
      </c>
      <c r="C500">
        <v>2020</v>
      </c>
      <c r="D500">
        <v>5</v>
      </c>
      <c r="E500" t="s">
        <v>90</v>
      </c>
      <c r="F500" t="s">
        <v>84</v>
      </c>
      <c r="G500" t="s">
        <v>84</v>
      </c>
      <c r="H500" t="s">
        <v>25</v>
      </c>
      <c r="I500" t="s">
        <v>25</v>
      </c>
      <c r="J500" t="s">
        <v>101</v>
      </c>
      <c r="K500" t="s">
        <v>90</v>
      </c>
      <c r="L500" t="s">
        <v>103</v>
      </c>
      <c r="M500">
        <v>1619.1342777699999</v>
      </c>
      <c r="N500">
        <v>0</v>
      </c>
      <c r="O500" t="s">
        <v>80</v>
      </c>
      <c r="P500" s="39">
        <v>44277.58402881943</v>
      </c>
      <c r="Q500">
        <v>3853956</v>
      </c>
      <c r="R500" t="s">
        <v>28</v>
      </c>
      <c r="S500" s="4">
        <v>4.6783368999999997</v>
      </c>
      <c r="W500"/>
      <c r="X500">
        <v>0</v>
      </c>
      <c r="AC500" t="s">
        <v>84</v>
      </c>
      <c r="AD500" s="39">
        <v>43952</v>
      </c>
    </row>
    <row r="501" spans="1:30" x14ac:dyDescent="0.25">
      <c r="A501">
        <v>407290</v>
      </c>
      <c r="B501" t="s">
        <v>216</v>
      </c>
      <c r="C501">
        <v>2020</v>
      </c>
      <c r="D501">
        <v>5</v>
      </c>
      <c r="E501" t="s">
        <v>88</v>
      </c>
      <c r="F501" t="s">
        <v>84</v>
      </c>
      <c r="G501" t="s">
        <v>84</v>
      </c>
      <c r="H501" t="s">
        <v>25</v>
      </c>
      <c r="I501" t="s">
        <v>25</v>
      </c>
      <c r="J501" t="s">
        <v>101</v>
      </c>
      <c r="K501" t="s">
        <v>88</v>
      </c>
      <c r="L501" t="s">
        <v>103</v>
      </c>
      <c r="M501">
        <v>687.81619663000004</v>
      </c>
      <c r="N501">
        <v>0</v>
      </c>
      <c r="O501" t="s">
        <v>80</v>
      </c>
      <c r="P501" s="39">
        <v>44277.584027546298</v>
      </c>
      <c r="Q501">
        <v>3853836</v>
      </c>
      <c r="R501" t="s">
        <v>28</v>
      </c>
      <c r="S501" s="4">
        <v>0</v>
      </c>
      <c r="W501"/>
      <c r="X501">
        <v>0</v>
      </c>
      <c r="AC501" t="s">
        <v>84</v>
      </c>
      <c r="AD501" s="39">
        <v>43952</v>
      </c>
    </row>
    <row r="502" spans="1:30" x14ac:dyDescent="0.25">
      <c r="A502">
        <v>407266</v>
      </c>
      <c r="B502" t="s">
        <v>216</v>
      </c>
      <c r="C502">
        <v>2020</v>
      </c>
      <c r="D502">
        <v>5</v>
      </c>
      <c r="E502" t="s">
        <v>86</v>
      </c>
      <c r="F502" t="s">
        <v>84</v>
      </c>
      <c r="G502" t="s">
        <v>84</v>
      </c>
      <c r="H502" t="s">
        <v>25</v>
      </c>
      <c r="I502" t="s">
        <v>25</v>
      </c>
      <c r="J502" t="s">
        <v>101</v>
      </c>
      <c r="K502" t="s">
        <v>86</v>
      </c>
      <c r="L502" t="s">
        <v>103</v>
      </c>
      <c r="M502">
        <v>3354.2577029700001</v>
      </c>
      <c r="N502">
        <v>0</v>
      </c>
      <c r="O502" t="s">
        <v>80</v>
      </c>
      <c r="P502" s="39">
        <v>44277.584026157398</v>
      </c>
      <c r="Q502">
        <v>3853716</v>
      </c>
      <c r="R502" t="s">
        <v>28</v>
      </c>
      <c r="S502" s="4">
        <v>10.388681719999999</v>
      </c>
      <c r="W502"/>
      <c r="X502">
        <v>0</v>
      </c>
      <c r="AC502" t="s">
        <v>84</v>
      </c>
      <c r="AD502" s="39">
        <v>43952</v>
      </c>
    </row>
    <row r="503" spans="1:30" x14ac:dyDescent="0.25">
      <c r="A503">
        <v>420554</v>
      </c>
      <c r="B503" t="s">
        <v>223</v>
      </c>
      <c r="C503">
        <v>2020</v>
      </c>
      <c r="D503">
        <v>6</v>
      </c>
      <c r="E503" t="s">
        <v>90</v>
      </c>
      <c r="F503" t="s">
        <v>84</v>
      </c>
      <c r="G503" t="s">
        <v>84</v>
      </c>
      <c r="H503" t="s">
        <v>25</v>
      </c>
      <c r="I503" t="s">
        <v>25</v>
      </c>
      <c r="J503" t="s">
        <v>101</v>
      </c>
      <c r="K503" t="s">
        <v>90</v>
      </c>
      <c r="L503" t="s">
        <v>103</v>
      </c>
      <c r="M503">
        <v>1684.49839561</v>
      </c>
      <c r="N503">
        <v>0</v>
      </c>
      <c r="O503" t="s">
        <v>80</v>
      </c>
      <c r="P503" s="39">
        <v>44277.585713425928</v>
      </c>
      <c r="Q503">
        <v>3981027</v>
      </c>
      <c r="R503" t="s">
        <v>26</v>
      </c>
      <c r="S503" s="4">
        <v>842.01715296999998</v>
      </c>
      <c r="W503"/>
      <c r="X503">
        <v>0</v>
      </c>
      <c r="AC503" t="s">
        <v>84</v>
      </c>
      <c r="AD503" s="39">
        <v>43983</v>
      </c>
    </row>
    <row r="504" spans="1:30" x14ac:dyDescent="0.25">
      <c r="A504">
        <v>420530</v>
      </c>
      <c r="B504" t="s">
        <v>223</v>
      </c>
      <c r="C504">
        <v>2020</v>
      </c>
      <c r="D504">
        <v>6</v>
      </c>
      <c r="E504" t="s">
        <v>88</v>
      </c>
      <c r="F504" t="s">
        <v>84</v>
      </c>
      <c r="G504" t="s">
        <v>84</v>
      </c>
      <c r="H504" t="s">
        <v>25</v>
      </c>
      <c r="I504" t="s">
        <v>25</v>
      </c>
      <c r="J504" t="s">
        <v>101</v>
      </c>
      <c r="K504" t="s">
        <v>88</v>
      </c>
      <c r="L504" t="s">
        <v>103</v>
      </c>
      <c r="M504">
        <v>573.77343242999996</v>
      </c>
      <c r="N504">
        <v>0</v>
      </c>
      <c r="O504" t="s">
        <v>80</v>
      </c>
      <c r="P504" s="39">
        <v>44277.585712268519</v>
      </c>
      <c r="Q504">
        <v>3980907</v>
      </c>
      <c r="R504" t="s">
        <v>26</v>
      </c>
      <c r="S504" s="4">
        <v>347.18883074000001</v>
      </c>
      <c r="W504"/>
      <c r="X504">
        <v>0</v>
      </c>
      <c r="AC504" t="s">
        <v>84</v>
      </c>
      <c r="AD504" s="39">
        <v>43983</v>
      </c>
    </row>
    <row r="505" spans="1:30" x14ac:dyDescent="0.25">
      <c r="A505">
        <v>420506</v>
      </c>
      <c r="B505" t="s">
        <v>223</v>
      </c>
      <c r="C505">
        <v>2020</v>
      </c>
      <c r="D505">
        <v>6</v>
      </c>
      <c r="E505" t="s">
        <v>86</v>
      </c>
      <c r="F505" t="s">
        <v>84</v>
      </c>
      <c r="G505" t="s">
        <v>84</v>
      </c>
      <c r="H505" t="s">
        <v>25</v>
      </c>
      <c r="I505" t="s">
        <v>25</v>
      </c>
      <c r="J505" t="s">
        <v>101</v>
      </c>
      <c r="K505" t="s">
        <v>86</v>
      </c>
      <c r="L505" t="s">
        <v>103</v>
      </c>
      <c r="M505">
        <v>2681.58003254</v>
      </c>
      <c r="N505">
        <v>0</v>
      </c>
      <c r="O505" t="s">
        <v>80</v>
      </c>
      <c r="P505" s="39">
        <v>44277.585711030093</v>
      </c>
      <c r="Q505">
        <v>3980787</v>
      </c>
      <c r="R505" t="s">
        <v>26</v>
      </c>
      <c r="S505" s="4">
        <v>1255.80767732</v>
      </c>
      <c r="W505"/>
      <c r="X505">
        <v>0</v>
      </c>
      <c r="AC505" t="s">
        <v>84</v>
      </c>
      <c r="AD505" s="39">
        <v>43983</v>
      </c>
    </row>
    <row r="506" spans="1:30" x14ac:dyDescent="0.25">
      <c r="A506">
        <v>420530</v>
      </c>
      <c r="B506" t="s">
        <v>223</v>
      </c>
      <c r="C506">
        <v>2020</v>
      </c>
      <c r="D506">
        <v>6</v>
      </c>
      <c r="E506" t="s">
        <v>88</v>
      </c>
      <c r="F506" t="s">
        <v>84</v>
      </c>
      <c r="G506" t="s">
        <v>84</v>
      </c>
      <c r="H506" t="s">
        <v>25</v>
      </c>
      <c r="I506" t="s">
        <v>25</v>
      </c>
      <c r="J506" t="s">
        <v>101</v>
      </c>
      <c r="K506" t="s">
        <v>88</v>
      </c>
      <c r="L506" t="s">
        <v>103</v>
      </c>
      <c r="M506">
        <v>573.77343242999996</v>
      </c>
      <c r="N506">
        <v>0</v>
      </c>
      <c r="O506" t="s">
        <v>80</v>
      </c>
      <c r="P506" s="39">
        <v>44277.585712268519</v>
      </c>
      <c r="Q506">
        <v>3980910</v>
      </c>
      <c r="R506" t="s">
        <v>81</v>
      </c>
      <c r="S506" s="4">
        <v>31.543203569999999</v>
      </c>
      <c r="W506"/>
      <c r="X506">
        <v>0</v>
      </c>
      <c r="AC506" t="s">
        <v>84</v>
      </c>
      <c r="AD506" s="39">
        <v>43983</v>
      </c>
    </row>
    <row r="507" spans="1:30" x14ac:dyDescent="0.25">
      <c r="A507">
        <v>420554</v>
      </c>
      <c r="B507" t="s">
        <v>223</v>
      </c>
      <c r="C507">
        <v>2020</v>
      </c>
      <c r="D507">
        <v>6</v>
      </c>
      <c r="E507" t="s">
        <v>90</v>
      </c>
      <c r="F507" t="s">
        <v>84</v>
      </c>
      <c r="G507" t="s">
        <v>84</v>
      </c>
      <c r="H507" t="s">
        <v>25</v>
      </c>
      <c r="I507" t="s">
        <v>25</v>
      </c>
      <c r="J507" t="s">
        <v>101</v>
      </c>
      <c r="K507" t="s">
        <v>90</v>
      </c>
      <c r="L507" t="s">
        <v>103</v>
      </c>
      <c r="M507">
        <v>1684.49839561</v>
      </c>
      <c r="N507">
        <v>0</v>
      </c>
      <c r="O507" t="s">
        <v>80</v>
      </c>
      <c r="P507" s="39">
        <v>44277.585713425928</v>
      </c>
      <c r="Q507">
        <v>3981030</v>
      </c>
      <c r="R507" t="s">
        <v>81</v>
      </c>
      <c r="S507" s="4">
        <v>102.3361321</v>
      </c>
      <c r="W507"/>
      <c r="X507">
        <v>0</v>
      </c>
      <c r="AC507" t="s">
        <v>84</v>
      </c>
      <c r="AD507" s="39">
        <v>43983</v>
      </c>
    </row>
    <row r="508" spans="1:30" x14ac:dyDescent="0.25">
      <c r="A508">
        <v>420506</v>
      </c>
      <c r="B508" t="s">
        <v>223</v>
      </c>
      <c r="C508">
        <v>2020</v>
      </c>
      <c r="D508">
        <v>6</v>
      </c>
      <c r="E508" t="s">
        <v>86</v>
      </c>
      <c r="F508" t="s">
        <v>84</v>
      </c>
      <c r="G508" t="s">
        <v>84</v>
      </c>
      <c r="H508" t="s">
        <v>25</v>
      </c>
      <c r="I508" t="s">
        <v>25</v>
      </c>
      <c r="J508" t="s">
        <v>101</v>
      </c>
      <c r="K508" t="s">
        <v>86</v>
      </c>
      <c r="L508" t="s">
        <v>103</v>
      </c>
      <c r="M508">
        <v>2681.58003254</v>
      </c>
      <c r="N508">
        <v>0</v>
      </c>
      <c r="O508" t="s">
        <v>80</v>
      </c>
      <c r="P508" s="39">
        <v>44277.585711030093</v>
      </c>
      <c r="Q508">
        <v>3980790</v>
      </c>
      <c r="R508" t="s">
        <v>81</v>
      </c>
      <c r="S508" s="4">
        <v>220.49959917999999</v>
      </c>
      <c r="W508"/>
      <c r="X508">
        <v>0</v>
      </c>
      <c r="AC508" t="s">
        <v>84</v>
      </c>
      <c r="AD508" s="39">
        <v>43983</v>
      </c>
    </row>
    <row r="509" spans="1:30" x14ac:dyDescent="0.25">
      <c r="A509">
        <v>420554</v>
      </c>
      <c r="B509" t="s">
        <v>223</v>
      </c>
      <c r="C509">
        <v>2020</v>
      </c>
      <c r="D509">
        <v>6</v>
      </c>
      <c r="E509" t="s">
        <v>90</v>
      </c>
      <c r="F509" t="s">
        <v>84</v>
      </c>
      <c r="G509" t="s">
        <v>84</v>
      </c>
      <c r="H509" t="s">
        <v>25</v>
      </c>
      <c r="I509" t="s">
        <v>25</v>
      </c>
      <c r="J509" t="s">
        <v>101</v>
      </c>
      <c r="K509" t="s">
        <v>90</v>
      </c>
      <c r="L509" t="s">
        <v>103</v>
      </c>
      <c r="M509">
        <v>1684.49839561</v>
      </c>
      <c r="N509">
        <v>0</v>
      </c>
      <c r="O509" t="s">
        <v>80</v>
      </c>
      <c r="P509" s="39">
        <v>44277.585713425928</v>
      </c>
      <c r="Q509">
        <v>3981029</v>
      </c>
      <c r="R509" t="s">
        <v>27</v>
      </c>
      <c r="S509" s="4">
        <v>769.75262459999999</v>
      </c>
      <c r="W509"/>
      <c r="X509">
        <v>0</v>
      </c>
      <c r="AC509" t="s">
        <v>84</v>
      </c>
      <c r="AD509" s="39">
        <v>43983</v>
      </c>
    </row>
    <row r="510" spans="1:30" x14ac:dyDescent="0.25">
      <c r="A510">
        <v>420506</v>
      </c>
      <c r="B510" t="s">
        <v>223</v>
      </c>
      <c r="C510">
        <v>2020</v>
      </c>
      <c r="D510">
        <v>6</v>
      </c>
      <c r="E510" t="s">
        <v>86</v>
      </c>
      <c r="F510" t="s">
        <v>84</v>
      </c>
      <c r="G510" t="s">
        <v>84</v>
      </c>
      <c r="H510" t="s">
        <v>25</v>
      </c>
      <c r="I510" t="s">
        <v>25</v>
      </c>
      <c r="J510" t="s">
        <v>101</v>
      </c>
      <c r="K510" t="s">
        <v>86</v>
      </c>
      <c r="L510" t="s">
        <v>103</v>
      </c>
      <c r="M510">
        <v>2681.58003254</v>
      </c>
      <c r="N510">
        <v>0</v>
      </c>
      <c r="O510" t="s">
        <v>80</v>
      </c>
      <c r="P510" s="39">
        <v>44277.585711030093</v>
      </c>
      <c r="Q510">
        <v>3980789</v>
      </c>
      <c r="R510" t="s">
        <v>27</v>
      </c>
      <c r="S510" s="4">
        <v>1249.1740867399999</v>
      </c>
      <c r="W510"/>
      <c r="X510">
        <v>0</v>
      </c>
      <c r="AC510" t="s">
        <v>84</v>
      </c>
      <c r="AD510" s="39">
        <v>43983</v>
      </c>
    </row>
    <row r="511" spans="1:30" x14ac:dyDescent="0.25">
      <c r="A511">
        <v>420530</v>
      </c>
      <c r="B511" t="s">
        <v>223</v>
      </c>
      <c r="C511">
        <v>2020</v>
      </c>
      <c r="D511">
        <v>6</v>
      </c>
      <c r="E511" t="s">
        <v>88</v>
      </c>
      <c r="F511" t="s">
        <v>84</v>
      </c>
      <c r="G511" t="s">
        <v>84</v>
      </c>
      <c r="H511" t="s">
        <v>25</v>
      </c>
      <c r="I511" t="s">
        <v>25</v>
      </c>
      <c r="J511" t="s">
        <v>101</v>
      </c>
      <c r="K511" t="s">
        <v>88</v>
      </c>
      <c r="L511" t="s">
        <v>103</v>
      </c>
      <c r="M511">
        <v>573.77343242999996</v>
      </c>
      <c r="N511">
        <v>0</v>
      </c>
      <c r="O511" t="s">
        <v>80</v>
      </c>
      <c r="P511" s="39">
        <v>44277.585712268519</v>
      </c>
      <c r="Q511">
        <v>3980909</v>
      </c>
      <c r="R511" t="s">
        <v>27</v>
      </c>
      <c r="S511" s="4">
        <v>207.08476727999999</v>
      </c>
      <c r="W511"/>
      <c r="X511">
        <v>0</v>
      </c>
      <c r="AC511" t="s">
        <v>84</v>
      </c>
      <c r="AD511" s="39">
        <v>43983</v>
      </c>
    </row>
    <row r="512" spans="1:30" x14ac:dyDescent="0.25">
      <c r="A512">
        <v>420554</v>
      </c>
      <c r="B512" t="s">
        <v>223</v>
      </c>
      <c r="C512">
        <v>2020</v>
      </c>
      <c r="D512">
        <v>6</v>
      </c>
      <c r="E512" t="s">
        <v>90</v>
      </c>
      <c r="F512" t="s">
        <v>84</v>
      </c>
      <c r="G512" t="s">
        <v>84</v>
      </c>
      <c r="H512" t="s">
        <v>25</v>
      </c>
      <c r="I512" t="s">
        <v>25</v>
      </c>
      <c r="J512" t="s">
        <v>101</v>
      </c>
      <c r="K512" t="s">
        <v>90</v>
      </c>
      <c r="L512" t="s">
        <v>103</v>
      </c>
      <c r="M512">
        <v>1684.49839561</v>
      </c>
      <c r="N512">
        <v>0</v>
      </c>
      <c r="O512" t="s">
        <v>80</v>
      </c>
      <c r="P512" s="39">
        <v>44277.585713425928</v>
      </c>
      <c r="Q512">
        <v>3981026</v>
      </c>
      <c r="R512" t="s">
        <v>91</v>
      </c>
      <c r="S512" s="4">
        <v>0.88250996999999998</v>
      </c>
      <c r="W512"/>
      <c r="X512">
        <v>0</v>
      </c>
      <c r="AC512" t="s">
        <v>84</v>
      </c>
      <c r="AD512" s="39">
        <v>43983</v>
      </c>
    </row>
    <row r="513" spans="1:30" x14ac:dyDescent="0.25">
      <c r="A513">
        <v>420530</v>
      </c>
      <c r="B513" t="s">
        <v>223</v>
      </c>
      <c r="C513">
        <v>2020</v>
      </c>
      <c r="D513">
        <v>6</v>
      </c>
      <c r="E513" t="s">
        <v>88</v>
      </c>
      <c r="F513" t="s">
        <v>84</v>
      </c>
      <c r="G513" t="s">
        <v>84</v>
      </c>
      <c r="H513" t="s">
        <v>25</v>
      </c>
      <c r="I513" t="s">
        <v>25</v>
      </c>
      <c r="J513" t="s">
        <v>101</v>
      </c>
      <c r="K513" t="s">
        <v>88</v>
      </c>
      <c r="L513" t="s">
        <v>103</v>
      </c>
      <c r="M513">
        <v>573.77343242999996</v>
      </c>
      <c r="N513">
        <v>0</v>
      </c>
      <c r="O513" t="s">
        <v>80</v>
      </c>
      <c r="P513" s="39">
        <v>44277.585712268519</v>
      </c>
      <c r="Q513">
        <v>3980906</v>
      </c>
      <c r="R513" t="s">
        <v>91</v>
      </c>
      <c r="S513" s="4">
        <v>0</v>
      </c>
      <c r="W513"/>
      <c r="X513">
        <v>0</v>
      </c>
      <c r="AC513" t="s">
        <v>84</v>
      </c>
      <c r="AD513" s="39">
        <v>43983</v>
      </c>
    </row>
    <row r="514" spans="1:30" x14ac:dyDescent="0.25">
      <c r="A514">
        <v>420506</v>
      </c>
      <c r="B514" t="s">
        <v>223</v>
      </c>
      <c r="C514">
        <v>2020</v>
      </c>
      <c r="D514">
        <v>6</v>
      </c>
      <c r="E514" t="s">
        <v>86</v>
      </c>
      <c r="F514" t="s">
        <v>84</v>
      </c>
      <c r="G514" t="s">
        <v>84</v>
      </c>
      <c r="H514" t="s">
        <v>25</v>
      </c>
      <c r="I514" t="s">
        <v>25</v>
      </c>
      <c r="J514" t="s">
        <v>101</v>
      </c>
      <c r="K514" t="s">
        <v>86</v>
      </c>
      <c r="L514" t="s">
        <v>103</v>
      </c>
      <c r="M514">
        <v>2681.58003254</v>
      </c>
      <c r="N514">
        <v>0</v>
      </c>
      <c r="O514" t="s">
        <v>80</v>
      </c>
      <c r="P514" s="39">
        <v>44277.585711030093</v>
      </c>
      <c r="Q514">
        <v>3980786</v>
      </c>
      <c r="R514" t="s">
        <v>91</v>
      </c>
      <c r="S514" s="4">
        <v>4.0791128299999997</v>
      </c>
      <c r="W514"/>
      <c r="X514">
        <v>0</v>
      </c>
      <c r="AC514" t="s">
        <v>84</v>
      </c>
      <c r="AD514" s="39">
        <v>43983</v>
      </c>
    </row>
    <row r="515" spans="1:30" x14ac:dyDescent="0.25">
      <c r="A515">
        <v>420530</v>
      </c>
      <c r="B515" t="s">
        <v>223</v>
      </c>
      <c r="C515">
        <v>2020</v>
      </c>
      <c r="D515">
        <v>6</v>
      </c>
      <c r="E515" t="s">
        <v>88</v>
      </c>
      <c r="F515" t="s">
        <v>84</v>
      </c>
      <c r="G515" t="s">
        <v>84</v>
      </c>
      <c r="H515" t="s">
        <v>25</v>
      </c>
      <c r="I515" t="s">
        <v>25</v>
      </c>
      <c r="J515" t="s">
        <v>101</v>
      </c>
      <c r="K515" t="s">
        <v>88</v>
      </c>
      <c r="L515" t="s">
        <v>103</v>
      </c>
      <c r="M515">
        <v>573.77343242999996</v>
      </c>
      <c r="N515">
        <v>0</v>
      </c>
      <c r="O515" t="s">
        <v>80</v>
      </c>
      <c r="P515" s="39">
        <v>44277.585712268519</v>
      </c>
      <c r="Q515">
        <v>3980908</v>
      </c>
      <c r="R515" t="s">
        <v>28</v>
      </c>
      <c r="S515" s="4">
        <v>0</v>
      </c>
      <c r="W515"/>
      <c r="X515">
        <v>0</v>
      </c>
      <c r="AC515" t="s">
        <v>84</v>
      </c>
      <c r="AD515" s="39">
        <v>43983</v>
      </c>
    </row>
    <row r="516" spans="1:30" x14ac:dyDescent="0.25">
      <c r="A516">
        <v>420554</v>
      </c>
      <c r="B516" t="s">
        <v>223</v>
      </c>
      <c r="C516">
        <v>2020</v>
      </c>
      <c r="D516">
        <v>6</v>
      </c>
      <c r="E516" t="s">
        <v>90</v>
      </c>
      <c r="F516" t="s">
        <v>84</v>
      </c>
      <c r="G516" t="s">
        <v>84</v>
      </c>
      <c r="H516" t="s">
        <v>25</v>
      </c>
      <c r="I516" t="s">
        <v>25</v>
      </c>
      <c r="J516" t="s">
        <v>101</v>
      </c>
      <c r="K516" t="s">
        <v>90</v>
      </c>
      <c r="L516" t="s">
        <v>103</v>
      </c>
      <c r="M516">
        <v>1684.49839561</v>
      </c>
      <c r="N516">
        <v>0</v>
      </c>
      <c r="O516" t="s">
        <v>80</v>
      </c>
      <c r="P516" s="39">
        <v>44277.585713425928</v>
      </c>
      <c r="Q516">
        <v>3981028</v>
      </c>
      <c r="R516" t="s">
        <v>28</v>
      </c>
      <c r="S516" s="4">
        <v>4.8672003999999998</v>
      </c>
      <c r="W516"/>
      <c r="X516">
        <v>0</v>
      </c>
      <c r="AC516" t="s">
        <v>84</v>
      </c>
      <c r="AD516" s="39">
        <v>43983</v>
      </c>
    </row>
    <row r="517" spans="1:30" x14ac:dyDescent="0.25">
      <c r="A517">
        <v>420506</v>
      </c>
      <c r="B517" t="s">
        <v>223</v>
      </c>
      <c r="C517">
        <v>2020</v>
      </c>
      <c r="D517">
        <v>6</v>
      </c>
      <c r="E517" t="s">
        <v>86</v>
      </c>
      <c r="F517" t="s">
        <v>84</v>
      </c>
      <c r="G517" t="s">
        <v>84</v>
      </c>
      <c r="H517" t="s">
        <v>25</v>
      </c>
      <c r="I517" t="s">
        <v>25</v>
      </c>
      <c r="J517" t="s">
        <v>101</v>
      </c>
      <c r="K517" t="s">
        <v>86</v>
      </c>
      <c r="L517" t="s">
        <v>103</v>
      </c>
      <c r="M517">
        <v>2681.58003254</v>
      </c>
      <c r="N517">
        <v>0</v>
      </c>
      <c r="O517" t="s">
        <v>80</v>
      </c>
      <c r="P517" s="39">
        <v>44277.585711030093</v>
      </c>
      <c r="Q517">
        <v>3980788</v>
      </c>
      <c r="R517" t="s">
        <v>28</v>
      </c>
      <c r="S517" s="4">
        <v>8.3052895499999995</v>
      </c>
      <c r="W517"/>
      <c r="X517">
        <v>0</v>
      </c>
      <c r="AC517" t="s">
        <v>84</v>
      </c>
      <c r="AD517" s="39">
        <v>43983</v>
      </c>
    </row>
    <row r="518" spans="1:30" x14ac:dyDescent="0.25">
      <c r="T518" s="10"/>
      <c r="U518" s="4"/>
      <c r="V518" s="4"/>
      <c r="X518" s="4"/>
      <c r="Y518" s="4"/>
    </row>
    <row r="519" spans="1:30" x14ac:dyDescent="0.25">
      <c r="T519" s="10"/>
      <c r="U519" s="4"/>
      <c r="V519" s="4"/>
      <c r="X519" s="4"/>
      <c r="Y519" s="4"/>
    </row>
    <row r="520" spans="1:30" x14ac:dyDescent="0.25">
      <c r="T520" s="10"/>
      <c r="U520" s="4"/>
      <c r="V520" s="4"/>
      <c r="X520" s="4"/>
      <c r="Y520" s="4"/>
    </row>
    <row r="521" spans="1:30" x14ac:dyDescent="0.25">
      <c r="T521" s="10"/>
      <c r="U521" s="4"/>
      <c r="V521" s="4"/>
      <c r="X521" s="4"/>
      <c r="Y521" s="4"/>
    </row>
    <row r="522" spans="1:30" x14ac:dyDescent="0.25">
      <c r="T522" s="10"/>
      <c r="U522" s="4"/>
      <c r="V522" s="4"/>
      <c r="X522" s="4"/>
      <c r="Y522" s="4"/>
    </row>
    <row r="523" spans="1:30" x14ac:dyDescent="0.25">
      <c r="T523" s="10"/>
      <c r="U523" s="4"/>
      <c r="V523" s="4"/>
      <c r="X523" s="4"/>
      <c r="Y523" s="4"/>
    </row>
    <row r="524" spans="1:30" x14ac:dyDescent="0.25">
      <c r="T524" s="10"/>
      <c r="U524" s="4"/>
      <c r="V524" s="4"/>
      <c r="X524" s="4"/>
      <c r="Y524" s="4"/>
    </row>
    <row r="525" spans="1:30" x14ac:dyDescent="0.25">
      <c r="T525" s="10"/>
      <c r="U525" s="4"/>
      <c r="V525" s="4"/>
      <c r="X525" s="4"/>
      <c r="Y525" s="4"/>
    </row>
    <row r="526" spans="1:30" x14ac:dyDescent="0.25">
      <c r="T526" s="10"/>
      <c r="U526" s="4"/>
      <c r="V526" s="4"/>
      <c r="X526" s="4"/>
      <c r="Y526" s="4"/>
    </row>
    <row r="527" spans="1:30" x14ac:dyDescent="0.25">
      <c r="T527" s="10"/>
      <c r="U527" s="4"/>
      <c r="V527" s="4"/>
      <c r="X527" s="4"/>
      <c r="Y527" s="4"/>
    </row>
    <row r="528" spans="1:30" x14ac:dyDescent="0.25">
      <c r="T528" s="10"/>
      <c r="U528" s="4"/>
      <c r="V528" s="4"/>
      <c r="X528" s="4"/>
      <c r="Y528" s="4"/>
    </row>
    <row r="529" spans="20:25" x14ac:dyDescent="0.25">
      <c r="T529" s="10"/>
      <c r="U529" s="4"/>
      <c r="V529" s="4"/>
      <c r="X529" s="4"/>
      <c r="Y529" s="4"/>
    </row>
    <row r="530" spans="20:25" x14ac:dyDescent="0.25">
      <c r="T530" s="10"/>
      <c r="U530" s="4"/>
      <c r="V530" s="4"/>
      <c r="X530" s="4"/>
      <c r="Y530" s="4"/>
    </row>
    <row r="531" spans="20:25" x14ac:dyDescent="0.25">
      <c r="T531" s="10"/>
      <c r="U531" s="4"/>
      <c r="V531" s="4"/>
      <c r="X531" s="4"/>
      <c r="Y531" s="4"/>
    </row>
    <row r="532" spans="20:25" x14ac:dyDescent="0.25">
      <c r="T532" s="10"/>
      <c r="U532" s="4"/>
      <c r="V532" s="4"/>
      <c r="X532" s="4"/>
      <c r="Y532" s="4"/>
    </row>
    <row r="533" spans="20:25" x14ac:dyDescent="0.25">
      <c r="T533" s="10"/>
      <c r="U533" s="4"/>
      <c r="V533" s="4"/>
      <c r="X533" s="4"/>
      <c r="Y533" s="4"/>
    </row>
    <row r="534" spans="20:25" x14ac:dyDescent="0.25">
      <c r="T534" s="10"/>
      <c r="U534" s="4"/>
      <c r="V534" s="4"/>
      <c r="X534" s="4"/>
      <c r="Y534" s="4"/>
    </row>
    <row r="535" spans="20:25" x14ac:dyDescent="0.25">
      <c r="T535" s="10"/>
      <c r="U535" s="4"/>
      <c r="V535" s="4"/>
      <c r="X535" s="4"/>
      <c r="Y535" s="4"/>
    </row>
    <row r="536" spans="20:25" x14ac:dyDescent="0.25">
      <c r="T536" s="10"/>
      <c r="U536" s="4"/>
      <c r="V536" s="4"/>
      <c r="X536" s="4"/>
      <c r="Y536" s="4"/>
    </row>
    <row r="537" spans="20:25" x14ac:dyDescent="0.25">
      <c r="T537" s="10"/>
      <c r="U537" s="4"/>
      <c r="V537" s="4"/>
      <c r="X537" s="4"/>
      <c r="Y537" s="4"/>
    </row>
    <row r="538" spans="20:25" x14ac:dyDescent="0.25">
      <c r="T538" s="10"/>
      <c r="U538" s="4"/>
      <c r="V538" s="4"/>
      <c r="X538" s="4"/>
      <c r="Y538" s="4"/>
    </row>
    <row r="539" spans="20:25" x14ac:dyDescent="0.25">
      <c r="T539" s="10"/>
      <c r="U539" s="4"/>
      <c r="V539" s="4"/>
      <c r="X539" s="4"/>
      <c r="Y539" s="4"/>
    </row>
    <row r="540" spans="20:25" x14ac:dyDescent="0.25">
      <c r="T540" s="10"/>
      <c r="U540" s="4"/>
      <c r="V540" s="4"/>
      <c r="X540" s="4"/>
      <c r="Y540" s="4"/>
    </row>
    <row r="541" spans="20:25" x14ac:dyDescent="0.25">
      <c r="T541" s="10"/>
      <c r="U541" s="4"/>
      <c r="V541" s="4"/>
      <c r="X541" s="4"/>
      <c r="Y541" s="4"/>
    </row>
    <row r="542" spans="20:25" x14ac:dyDescent="0.25">
      <c r="T542" s="10"/>
      <c r="U542" s="4"/>
      <c r="V542" s="4"/>
      <c r="X542" s="4"/>
      <c r="Y542" s="4"/>
    </row>
    <row r="543" spans="20:25" x14ac:dyDescent="0.25">
      <c r="T543" s="10"/>
      <c r="U543" s="4"/>
      <c r="V543" s="4"/>
      <c r="X543" s="4"/>
      <c r="Y543" s="4"/>
    </row>
    <row r="544" spans="20:25" x14ac:dyDescent="0.25">
      <c r="T544" s="10"/>
      <c r="U544" s="4"/>
      <c r="V544" s="4"/>
      <c r="X544" s="4"/>
      <c r="Y544" s="4"/>
    </row>
    <row r="545" spans="20:25" x14ac:dyDescent="0.25">
      <c r="T545" s="10"/>
      <c r="U545" s="4"/>
      <c r="V545" s="4"/>
      <c r="X545" s="4"/>
      <c r="Y545" s="4"/>
    </row>
    <row r="546" spans="20:25" x14ac:dyDescent="0.25">
      <c r="T546" s="10"/>
      <c r="U546" s="4"/>
      <c r="V546" s="4"/>
      <c r="X546" s="4"/>
      <c r="Y546" s="4"/>
    </row>
    <row r="547" spans="20:25" x14ac:dyDescent="0.25">
      <c r="T547" s="10"/>
      <c r="U547" s="4"/>
      <c r="V547" s="4"/>
      <c r="X547" s="4"/>
      <c r="Y547" s="4"/>
    </row>
    <row r="548" spans="20:25" x14ac:dyDescent="0.25">
      <c r="T548" s="10"/>
      <c r="U548" s="4"/>
      <c r="V548" s="4"/>
      <c r="X548" s="4"/>
      <c r="Y548" s="4"/>
    </row>
    <row r="549" spans="20:25" x14ac:dyDescent="0.25">
      <c r="T549" s="10"/>
      <c r="U549" s="4"/>
      <c r="V549" s="4"/>
      <c r="X549" s="4"/>
      <c r="Y549" s="4"/>
    </row>
    <row r="550" spans="20:25" x14ac:dyDescent="0.25">
      <c r="T550" s="10"/>
      <c r="U550" s="4"/>
      <c r="V550" s="4"/>
      <c r="X550" s="4"/>
      <c r="Y550" s="4"/>
    </row>
    <row r="551" spans="20:25" x14ac:dyDescent="0.25">
      <c r="T551" s="10"/>
      <c r="U551" s="4"/>
      <c r="V551" s="4"/>
      <c r="X551" s="4"/>
      <c r="Y551" s="4"/>
    </row>
    <row r="552" spans="20:25" x14ac:dyDescent="0.25">
      <c r="T552" s="10"/>
      <c r="U552" s="4"/>
      <c r="V552" s="4"/>
      <c r="X552" s="4"/>
      <c r="Y552" s="4"/>
    </row>
    <row r="553" spans="20:25" x14ac:dyDescent="0.25">
      <c r="T553" s="10"/>
      <c r="U553" s="4"/>
      <c r="V553" s="4"/>
      <c r="X553" s="4"/>
      <c r="Y553" s="4"/>
    </row>
    <row r="554" spans="20:25" x14ac:dyDescent="0.25">
      <c r="T554" s="10"/>
      <c r="U554" s="4"/>
      <c r="V554" s="4"/>
      <c r="X554" s="4"/>
      <c r="Y554" s="4"/>
    </row>
    <row r="555" spans="20:25" x14ac:dyDescent="0.25">
      <c r="T555" s="10"/>
      <c r="U555" s="4"/>
      <c r="V555" s="4"/>
      <c r="X555" s="4"/>
      <c r="Y555" s="4"/>
    </row>
    <row r="556" spans="20:25" x14ac:dyDescent="0.25">
      <c r="T556" s="10"/>
      <c r="U556" s="4"/>
      <c r="V556" s="4"/>
      <c r="X556" s="4"/>
      <c r="Y556" s="4"/>
    </row>
    <row r="557" spans="20:25" x14ac:dyDescent="0.25">
      <c r="T557" s="10"/>
      <c r="U557" s="4"/>
      <c r="V557" s="4"/>
      <c r="X557" s="4"/>
      <c r="Y557" s="4"/>
    </row>
    <row r="558" spans="20:25" x14ac:dyDescent="0.25">
      <c r="T558" s="10"/>
      <c r="U558" s="4"/>
      <c r="V558" s="4"/>
      <c r="X558" s="4"/>
      <c r="Y558" s="4"/>
    </row>
    <row r="559" spans="20:25" x14ac:dyDescent="0.25">
      <c r="T559" s="10"/>
      <c r="U559" s="4"/>
      <c r="V559" s="4"/>
      <c r="X559" s="4"/>
      <c r="Y559" s="4"/>
    </row>
    <row r="560" spans="20:25" x14ac:dyDescent="0.25">
      <c r="T560" s="10"/>
      <c r="U560" s="4"/>
      <c r="V560" s="4"/>
      <c r="X560" s="4"/>
      <c r="Y560" s="4"/>
    </row>
    <row r="561" spans="20:25" x14ac:dyDescent="0.25">
      <c r="T561" s="10"/>
      <c r="U561" s="4"/>
      <c r="V561" s="4"/>
      <c r="X561" s="4"/>
      <c r="Y561" s="4"/>
    </row>
    <row r="562" spans="20:25" x14ac:dyDescent="0.25">
      <c r="T562" s="10"/>
      <c r="U562" s="4"/>
      <c r="V562" s="4"/>
      <c r="X562" s="4"/>
      <c r="Y562" s="4"/>
    </row>
    <row r="563" spans="20:25" x14ac:dyDescent="0.25">
      <c r="T563" s="10"/>
      <c r="U563" s="4"/>
      <c r="V563" s="4"/>
      <c r="X563" s="4"/>
      <c r="Y563" s="4"/>
    </row>
    <row r="564" spans="20:25" x14ac:dyDescent="0.25">
      <c r="T564" s="10"/>
      <c r="U564" s="4"/>
      <c r="V564" s="4"/>
      <c r="X564" s="4"/>
      <c r="Y564" s="4"/>
    </row>
    <row r="565" spans="20:25" x14ac:dyDescent="0.25">
      <c r="T565" s="10"/>
      <c r="U565" s="4"/>
      <c r="V565" s="4"/>
      <c r="X565" s="4"/>
      <c r="Y565" s="4"/>
    </row>
    <row r="566" spans="20:25" x14ac:dyDescent="0.25">
      <c r="T566" s="10"/>
      <c r="U566" s="4"/>
      <c r="V566" s="4"/>
      <c r="X566" s="4"/>
      <c r="Y566" s="4"/>
    </row>
    <row r="567" spans="20:25" x14ac:dyDescent="0.25">
      <c r="T567" s="10"/>
      <c r="U567" s="4"/>
      <c r="V567" s="4"/>
      <c r="X567" s="4"/>
      <c r="Y567" s="4"/>
    </row>
    <row r="568" spans="20:25" x14ac:dyDescent="0.25">
      <c r="T568" s="10"/>
      <c r="U568" s="4"/>
      <c r="V568" s="4"/>
      <c r="X568" s="4"/>
      <c r="Y568" s="4"/>
    </row>
    <row r="569" spans="20:25" x14ac:dyDescent="0.25">
      <c r="T569" s="10"/>
      <c r="U569" s="4"/>
      <c r="V569" s="4"/>
      <c r="X569" s="4"/>
      <c r="Y569" s="4"/>
    </row>
    <row r="570" spans="20:25" x14ac:dyDescent="0.25">
      <c r="T570" s="10"/>
      <c r="U570" s="4"/>
      <c r="V570" s="4"/>
      <c r="X570" s="4"/>
      <c r="Y570" s="4"/>
    </row>
    <row r="571" spans="20:25" x14ac:dyDescent="0.25">
      <c r="T571" s="10"/>
      <c r="U571" s="4"/>
      <c r="V571" s="4"/>
      <c r="X571" s="4"/>
      <c r="Y571" s="4"/>
    </row>
    <row r="572" spans="20:25" x14ac:dyDescent="0.25">
      <c r="T572" s="10"/>
      <c r="U572" s="4"/>
      <c r="V572" s="4"/>
      <c r="X572" s="4"/>
      <c r="Y572" s="4"/>
    </row>
    <row r="573" spans="20:25" x14ac:dyDescent="0.25">
      <c r="T573" s="10"/>
      <c r="U573" s="4"/>
      <c r="V573" s="4"/>
      <c r="X573" s="4"/>
      <c r="Y573" s="4"/>
    </row>
    <row r="574" spans="20:25" x14ac:dyDescent="0.25">
      <c r="T574" s="10"/>
      <c r="U574" s="4"/>
      <c r="V574" s="4"/>
      <c r="X574" s="4"/>
      <c r="Y574" s="4"/>
    </row>
    <row r="575" spans="20:25" x14ac:dyDescent="0.25">
      <c r="T575" s="10"/>
      <c r="U575" s="4"/>
      <c r="V575" s="4"/>
      <c r="X575" s="4"/>
      <c r="Y575" s="4"/>
    </row>
    <row r="576" spans="20:25" x14ac:dyDescent="0.25">
      <c r="T576" s="10"/>
      <c r="U576" s="4"/>
      <c r="V576" s="4"/>
      <c r="X576" s="4"/>
      <c r="Y576" s="4"/>
    </row>
    <row r="577" spans="20:25" x14ac:dyDescent="0.25">
      <c r="T577" s="10"/>
      <c r="U577" s="4"/>
      <c r="V577" s="4"/>
      <c r="X577" s="4"/>
      <c r="Y577" s="4"/>
    </row>
    <row r="578" spans="20:25" x14ac:dyDescent="0.25">
      <c r="T578" s="10"/>
      <c r="U578" s="4"/>
      <c r="V578" s="4"/>
      <c r="X578" s="4"/>
      <c r="Y578" s="4"/>
    </row>
    <row r="579" spans="20:25" x14ac:dyDescent="0.25">
      <c r="T579" s="10"/>
      <c r="U579" s="4"/>
      <c r="V579" s="4"/>
      <c r="X579" s="4"/>
      <c r="Y579" s="4"/>
    </row>
    <row r="580" spans="20:25" x14ac:dyDescent="0.25">
      <c r="T580" s="10"/>
      <c r="U580" s="4"/>
      <c r="V580" s="4"/>
      <c r="X580" s="4"/>
      <c r="Y580" s="4"/>
    </row>
    <row r="581" spans="20:25" x14ac:dyDescent="0.25">
      <c r="T581" s="10"/>
      <c r="U581" s="4"/>
      <c r="V581" s="4"/>
      <c r="X581" s="4"/>
      <c r="Y581" s="4"/>
    </row>
    <row r="582" spans="20:25" x14ac:dyDescent="0.25">
      <c r="T582" s="10"/>
      <c r="U582" s="4"/>
      <c r="V582" s="4"/>
      <c r="X582" s="4"/>
      <c r="Y582" s="4"/>
    </row>
    <row r="583" spans="20:25" x14ac:dyDescent="0.25">
      <c r="T583" s="10"/>
      <c r="U583" s="4"/>
      <c r="V583" s="4"/>
      <c r="X583" s="4"/>
      <c r="Y583" s="4"/>
    </row>
    <row r="584" spans="20:25" x14ac:dyDescent="0.25">
      <c r="T584" s="10"/>
      <c r="U584" s="4"/>
      <c r="V584" s="4"/>
      <c r="X584" s="4"/>
      <c r="Y584" s="4"/>
    </row>
    <row r="585" spans="20:25" x14ac:dyDescent="0.25">
      <c r="T585" s="10"/>
      <c r="U585" s="4"/>
      <c r="V585" s="4"/>
      <c r="X585" s="4"/>
      <c r="Y585" s="4"/>
    </row>
    <row r="586" spans="20:25" x14ac:dyDescent="0.25">
      <c r="T586" s="10"/>
      <c r="U586" s="4"/>
      <c r="V586" s="4"/>
      <c r="X586" s="4"/>
      <c r="Y586" s="4"/>
    </row>
    <row r="587" spans="20:25" x14ac:dyDescent="0.25">
      <c r="T587" s="10"/>
      <c r="U587" s="4"/>
      <c r="V587" s="4"/>
      <c r="X587" s="4"/>
      <c r="Y587" s="4"/>
    </row>
    <row r="588" spans="20:25" x14ac:dyDescent="0.25">
      <c r="T588" s="10"/>
      <c r="U588" s="4"/>
      <c r="V588" s="4"/>
      <c r="X588" s="4"/>
      <c r="Y588" s="4"/>
    </row>
    <row r="589" spans="20:25" x14ac:dyDescent="0.25">
      <c r="T589" s="10"/>
      <c r="U589" s="4"/>
      <c r="V589" s="4"/>
      <c r="X589" s="4"/>
      <c r="Y589" s="4"/>
    </row>
    <row r="590" spans="20:25" x14ac:dyDescent="0.25">
      <c r="T590" s="10"/>
      <c r="U590" s="4"/>
      <c r="V590" s="4"/>
      <c r="X590" s="4"/>
      <c r="Y590" s="4"/>
    </row>
    <row r="591" spans="20:25" x14ac:dyDescent="0.25">
      <c r="T591" s="10"/>
      <c r="U591" s="4"/>
      <c r="V591" s="4"/>
      <c r="X591" s="4"/>
      <c r="Y591" s="4"/>
    </row>
    <row r="592" spans="20:25" x14ac:dyDescent="0.25">
      <c r="T592" s="10"/>
      <c r="U592" s="4"/>
      <c r="V592" s="4"/>
      <c r="X592" s="4"/>
      <c r="Y592" s="4"/>
    </row>
    <row r="593" spans="20:25" x14ac:dyDescent="0.25">
      <c r="T593" s="10"/>
      <c r="U593" s="4"/>
      <c r="V593" s="4"/>
      <c r="X593" s="4"/>
      <c r="Y593" s="4"/>
    </row>
    <row r="594" spans="20:25" x14ac:dyDescent="0.25">
      <c r="T594" s="10"/>
      <c r="U594" s="4"/>
      <c r="V594" s="4"/>
      <c r="X594" s="4"/>
      <c r="Y594" s="4"/>
    </row>
    <row r="595" spans="20:25" x14ac:dyDescent="0.25">
      <c r="T595" s="10"/>
      <c r="U595" s="4"/>
      <c r="V595" s="4"/>
      <c r="X595" s="4"/>
      <c r="Y595" s="4"/>
    </row>
    <row r="596" spans="20:25" x14ac:dyDescent="0.25">
      <c r="T596" s="10"/>
      <c r="U596" s="4"/>
      <c r="V596" s="4"/>
      <c r="X596" s="4"/>
      <c r="Y596" s="4"/>
    </row>
    <row r="597" spans="20:25" x14ac:dyDescent="0.25">
      <c r="T597" s="10"/>
      <c r="U597" s="4"/>
      <c r="V597" s="4"/>
      <c r="X597" s="4"/>
      <c r="Y597" s="4"/>
    </row>
    <row r="598" spans="20:25" x14ac:dyDescent="0.25">
      <c r="T598" s="10"/>
      <c r="U598" s="4"/>
      <c r="V598" s="4"/>
      <c r="X598" s="4"/>
      <c r="Y598" s="4"/>
    </row>
    <row r="599" spans="20:25" x14ac:dyDescent="0.25">
      <c r="T599" s="10"/>
      <c r="U599" s="4"/>
      <c r="V599" s="4"/>
      <c r="X599" s="4"/>
      <c r="Y599" s="4"/>
    </row>
    <row r="600" spans="20:25" x14ac:dyDescent="0.25">
      <c r="T600" s="10"/>
      <c r="U600" s="4"/>
      <c r="V600" s="4"/>
      <c r="X600" s="4"/>
      <c r="Y600" s="4"/>
    </row>
    <row r="601" spans="20:25" x14ac:dyDescent="0.25">
      <c r="T601" s="10"/>
      <c r="U601" s="4"/>
      <c r="V601" s="4"/>
      <c r="X601" s="4"/>
      <c r="Y601" s="4"/>
    </row>
    <row r="602" spans="20:25" x14ac:dyDescent="0.25">
      <c r="T602" s="10"/>
      <c r="U602" s="4"/>
      <c r="V602" s="4"/>
      <c r="X602" s="4"/>
      <c r="Y602" s="4"/>
    </row>
    <row r="603" spans="20:25" x14ac:dyDescent="0.25">
      <c r="T603" s="10"/>
      <c r="U603" s="4"/>
      <c r="V603" s="4"/>
      <c r="X603" s="4"/>
      <c r="Y603" s="4"/>
    </row>
    <row r="604" spans="20:25" x14ac:dyDescent="0.25">
      <c r="T604" s="10"/>
      <c r="U604" s="4"/>
      <c r="V604" s="4"/>
      <c r="X604" s="4"/>
      <c r="Y604" s="4"/>
    </row>
    <row r="605" spans="20:25" x14ac:dyDescent="0.25">
      <c r="T605" s="10"/>
      <c r="U605" s="4"/>
      <c r="V605" s="4"/>
      <c r="X605" s="4"/>
      <c r="Y605" s="4"/>
    </row>
    <row r="606" spans="20:25" x14ac:dyDescent="0.25">
      <c r="T606" s="10"/>
      <c r="U606" s="4"/>
      <c r="V606" s="4"/>
      <c r="X606" s="4"/>
      <c r="Y606" s="4"/>
    </row>
    <row r="607" spans="20:25" x14ac:dyDescent="0.25">
      <c r="T607" s="10"/>
      <c r="U607" s="4"/>
      <c r="V607" s="4"/>
      <c r="X607" s="4"/>
      <c r="Y607" s="4"/>
    </row>
    <row r="608" spans="20:25" x14ac:dyDescent="0.25">
      <c r="T608" s="10"/>
      <c r="U608" s="4"/>
      <c r="V608" s="4"/>
      <c r="X608" s="4"/>
      <c r="Y608" s="4"/>
    </row>
    <row r="609" spans="20:25" x14ac:dyDescent="0.25">
      <c r="T609" s="10"/>
      <c r="U609" s="4"/>
      <c r="V609" s="4"/>
      <c r="X609" s="4"/>
      <c r="Y609" s="4"/>
    </row>
    <row r="610" spans="20:25" x14ac:dyDescent="0.25">
      <c r="T610" s="10"/>
      <c r="U610" s="4"/>
      <c r="V610" s="4"/>
      <c r="X610" s="4"/>
      <c r="Y610" s="4"/>
    </row>
    <row r="611" spans="20:25" x14ac:dyDescent="0.25">
      <c r="T611" s="10"/>
      <c r="U611" s="4"/>
      <c r="V611" s="4"/>
      <c r="X611" s="4"/>
      <c r="Y611" s="4"/>
    </row>
    <row r="612" spans="20:25" x14ac:dyDescent="0.25">
      <c r="T612" s="10"/>
      <c r="U612" s="4"/>
      <c r="V612" s="4"/>
      <c r="X612" s="4"/>
      <c r="Y612" s="4"/>
    </row>
    <row r="613" spans="20:25" x14ac:dyDescent="0.25">
      <c r="T613" s="10"/>
      <c r="U613" s="4"/>
      <c r="V613" s="4"/>
      <c r="X613" s="4"/>
      <c r="Y613" s="4"/>
    </row>
    <row r="614" spans="20:25" x14ac:dyDescent="0.25">
      <c r="T614" s="10"/>
      <c r="U614" s="4"/>
      <c r="V614" s="4"/>
      <c r="X614" s="4"/>
      <c r="Y614" s="4"/>
    </row>
    <row r="615" spans="20:25" x14ac:dyDescent="0.25">
      <c r="T615" s="10"/>
      <c r="U615" s="4"/>
      <c r="V615" s="4"/>
      <c r="X615" s="4"/>
      <c r="Y615" s="4"/>
    </row>
    <row r="616" spans="20:25" x14ac:dyDescent="0.25">
      <c r="T616" s="10"/>
      <c r="U616" s="4"/>
      <c r="V616" s="4"/>
      <c r="X616" s="4"/>
      <c r="Y616" s="4"/>
    </row>
    <row r="617" spans="20:25" x14ac:dyDescent="0.25">
      <c r="T617" s="10"/>
      <c r="U617" s="4"/>
      <c r="V617" s="4"/>
      <c r="X617" s="4"/>
      <c r="Y617" s="4"/>
    </row>
    <row r="618" spans="20:25" x14ac:dyDescent="0.25">
      <c r="T618" s="10"/>
      <c r="U618" s="4"/>
      <c r="V618" s="4"/>
      <c r="X618" s="4"/>
      <c r="Y618" s="4"/>
    </row>
    <row r="619" spans="20:25" x14ac:dyDescent="0.25">
      <c r="T619" s="10"/>
      <c r="U619" s="4"/>
      <c r="V619" s="4"/>
      <c r="X619" s="4"/>
      <c r="Y619" s="4"/>
    </row>
    <row r="620" spans="20:25" x14ac:dyDescent="0.25">
      <c r="T620" s="10"/>
      <c r="U620" s="4"/>
      <c r="V620" s="4"/>
      <c r="X620" s="4"/>
      <c r="Y620" s="4"/>
    </row>
    <row r="621" spans="20:25" x14ac:dyDescent="0.25">
      <c r="T621" s="10"/>
      <c r="U621" s="4"/>
      <c r="V621" s="4"/>
      <c r="X621" s="4"/>
      <c r="Y621" s="4"/>
    </row>
    <row r="622" spans="20:25" x14ac:dyDescent="0.25">
      <c r="T622" s="10"/>
      <c r="U622" s="4"/>
      <c r="V622" s="4"/>
      <c r="X622" s="4"/>
      <c r="Y622" s="4"/>
    </row>
    <row r="623" spans="20:25" x14ac:dyDescent="0.25">
      <c r="T623" s="10"/>
      <c r="U623" s="4"/>
      <c r="V623" s="4"/>
      <c r="X623" s="4"/>
      <c r="Y623" s="4"/>
    </row>
    <row r="624" spans="20:25" x14ac:dyDescent="0.25">
      <c r="T624" s="10"/>
      <c r="U624" s="4"/>
      <c r="V624" s="4"/>
      <c r="X624" s="4"/>
      <c r="Y624" s="4"/>
    </row>
    <row r="625" spans="20:25" x14ac:dyDescent="0.25">
      <c r="T625" s="10"/>
      <c r="U625" s="4"/>
      <c r="V625" s="4"/>
      <c r="X625" s="4"/>
      <c r="Y625" s="4"/>
    </row>
    <row r="626" spans="20:25" x14ac:dyDescent="0.25">
      <c r="T626" s="10"/>
      <c r="U626" s="4"/>
      <c r="V626" s="4"/>
      <c r="X626" s="4"/>
      <c r="Y626" s="4"/>
    </row>
    <row r="627" spans="20:25" x14ac:dyDescent="0.25">
      <c r="T627" s="10"/>
      <c r="U627" s="4"/>
      <c r="V627" s="4"/>
      <c r="X627" s="4"/>
      <c r="Y627" s="4"/>
    </row>
    <row r="628" spans="20:25" x14ac:dyDescent="0.25">
      <c r="T628" s="10"/>
      <c r="U628" s="4"/>
      <c r="V628" s="4"/>
      <c r="X628" s="4"/>
      <c r="Y628" s="4"/>
    </row>
    <row r="629" spans="20:25" x14ac:dyDescent="0.25">
      <c r="T629" s="10"/>
      <c r="U629" s="4"/>
      <c r="V629" s="4"/>
      <c r="X629" s="4"/>
      <c r="Y629" s="4"/>
    </row>
    <row r="630" spans="20:25" x14ac:dyDescent="0.25">
      <c r="T630" s="10"/>
      <c r="U630" s="4"/>
      <c r="V630" s="4"/>
      <c r="X630" s="4"/>
      <c r="Y630" s="4"/>
    </row>
    <row r="631" spans="20:25" x14ac:dyDescent="0.25">
      <c r="T631" s="10"/>
      <c r="U631" s="4"/>
      <c r="V631" s="4"/>
      <c r="X631" s="4"/>
      <c r="Y631" s="4"/>
    </row>
    <row r="632" spans="20:25" x14ac:dyDescent="0.25">
      <c r="T632" s="10"/>
      <c r="U632" s="4"/>
      <c r="V632" s="4"/>
      <c r="X632" s="4"/>
      <c r="Y632" s="4"/>
    </row>
    <row r="633" spans="20:25" x14ac:dyDescent="0.25">
      <c r="T633" s="10"/>
      <c r="U633" s="4"/>
      <c r="V633" s="4"/>
      <c r="X633" s="4"/>
      <c r="Y633" s="4"/>
    </row>
    <row r="634" spans="20:25" x14ac:dyDescent="0.25">
      <c r="T634" s="10"/>
      <c r="U634" s="4"/>
      <c r="V634" s="4"/>
      <c r="X634" s="4"/>
      <c r="Y634" s="4"/>
    </row>
    <row r="635" spans="20:25" x14ac:dyDescent="0.25">
      <c r="T635" s="10"/>
      <c r="U635" s="4"/>
      <c r="V635" s="4"/>
      <c r="X635" s="4"/>
      <c r="Y635" s="4"/>
    </row>
    <row r="636" spans="20:25" x14ac:dyDescent="0.25">
      <c r="T636" s="10"/>
      <c r="U636" s="4"/>
      <c r="V636" s="4"/>
      <c r="X636" s="4"/>
      <c r="Y636" s="4"/>
    </row>
    <row r="637" spans="20:25" x14ac:dyDescent="0.25">
      <c r="T637" s="10"/>
      <c r="U637" s="4"/>
      <c r="V637" s="4"/>
      <c r="X637" s="4"/>
      <c r="Y637" s="4"/>
    </row>
    <row r="638" spans="20:25" x14ac:dyDescent="0.25">
      <c r="T638" s="10"/>
      <c r="U638" s="4"/>
      <c r="V638" s="4"/>
      <c r="X638" s="4"/>
      <c r="Y638" s="4"/>
    </row>
    <row r="639" spans="20:25" x14ac:dyDescent="0.25">
      <c r="T639" s="10"/>
      <c r="U639" s="4"/>
      <c r="V639" s="4"/>
      <c r="X639" s="4"/>
      <c r="Y639" s="4"/>
    </row>
    <row r="640" spans="20:25" x14ac:dyDescent="0.25">
      <c r="T640" s="10"/>
      <c r="U640" s="4"/>
      <c r="V640" s="4"/>
      <c r="X640" s="4"/>
      <c r="Y640" s="4"/>
    </row>
    <row r="641" spans="20:25" x14ac:dyDescent="0.25">
      <c r="T641" s="10"/>
      <c r="U641" s="4"/>
      <c r="V641" s="4"/>
      <c r="X641" s="4"/>
      <c r="Y641" s="4"/>
    </row>
    <row r="642" spans="20:25" x14ac:dyDescent="0.25">
      <c r="T642" s="10"/>
      <c r="U642" s="4"/>
      <c r="V642" s="4"/>
      <c r="X642" s="4"/>
      <c r="Y642" s="4"/>
    </row>
    <row r="643" spans="20:25" x14ac:dyDescent="0.25">
      <c r="T643" s="10"/>
      <c r="U643" s="4"/>
      <c r="V643" s="4"/>
      <c r="X643" s="4"/>
      <c r="Y643" s="4"/>
    </row>
    <row r="644" spans="20:25" x14ac:dyDescent="0.25">
      <c r="T644" s="10"/>
      <c r="U644" s="4"/>
      <c r="V644" s="4"/>
      <c r="X644" s="4"/>
      <c r="Y644" s="4"/>
    </row>
    <row r="645" spans="20:25" x14ac:dyDescent="0.25">
      <c r="T645" s="10"/>
      <c r="U645" s="4"/>
      <c r="V645" s="4"/>
      <c r="X645" s="4"/>
      <c r="Y645" s="4"/>
    </row>
    <row r="646" spans="20:25" x14ac:dyDescent="0.25">
      <c r="T646" s="10"/>
      <c r="U646" s="4"/>
      <c r="V646" s="4"/>
      <c r="X646" s="4"/>
      <c r="Y646" s="4"/>
    </row>
    <row r="647" spans="20:25" x14ac:dyDescent="0.25">
      <c r="T647" s="10"/>
      <c r="U647" s="4"/>
      <c r="V647" s="4"/>
      <c r="X647" s="4"/>
      <c r="Y647" s="4"/>
    </row>
    <row r="648" spans="20:25" x14ac:dyDescent="0.25">
      <c r="T648" s="10"/>
      <c r="U648" s="4"/>
      <c r="V648" s="4"/>
      <c r="X648" s="4"/>
      <c r="Y648" s="4"/>
    </row>
    <row r="649" spans="20:25" x14ac:dyDescent="0.25">
      <c r="T649" s="10"/>
      <c r="U649" s="4"/>
      <c r="V649" s="4"/>
      <c r="X649" s="4"/>
      <c r="Y649" s="4"/>
    </row>
    <row r="650" spans="20:25" x14ac:dyDescent="0.25">
      <c r="T650" s="10"/>
      <c r="U650" s="4"/>
      <c r="V650" s="4"/>
      <c r="X650" s="4"/>
      <c r="Y650" s="4"/>
    </row>
    <row r="651" spans="20:25" x14ac:dyDescent="0.25">
      <c r="T651" s="10"/>
      <c r="U651" s="4"/>
      <c r="V651" s="4"/>
      <c r="X651" s="4"/>
      <c r="Y651" s="4"/>
    </row>
    <row r="652" spans="20:25" x14ac:dyDescent="0.25">
      <c r="T652" s="10"/>
      <c r="U652" s="4"/>
      <c r="V652" s="4"/>
      <c r="X652" s="4"/>
      <c r="Y652" s="4"/>
    </row>
    <row r="653" spans="20:25" x14ac:dyDescent="0.25">
      <c r="T653" s="10"/>
      <c r="U653" s="4"/>
      <c r="V653" s="4"/>
      <c r="X653" s="4"/>
      <c r="Y653" s="4"/>
    </row>
    <row r="654" spans="20:25" x14ac:dyDescent="0.25">
      <c r="T654" s="10"/>
      <c r="U654" s="4"/>
      <c r="V654" s="4"/>
      <c r="X654" s="4"/>
      <c r="Y654" s="4"/>
    </row>
    <row r="655" spans="20:25" x14ac:dyDescent="0.25">
      <c r="T655" s="10"/>
      <c r="U655" s="4"/>
      <c r="V655" s="4"/>
      <c r="X655" s="4"/>
      <c r="Y655" s="4"/>
    </row>
    <row r="656" spans="20:25" x14ac:dyDescent="0.25">
      <c r="T656" s="10"/>
      <c r="U656" s="4"/>
      <c r="V656" s="4"/>
      <c r="X656" s="4"/>
      <c r="Y656" s="4"/>
    </row>
    <row r="657" spans="20:25" x14ac:dyDescent="0.25">
      <c r="T657" s="10"/>
      <c r="U657" s="4"/>
      <c r="V657" s="4"/>
      <c r="X657" s="4"/>
      <c r="Y657" s="4"/>
    </row>
    <row r="658" spans="20:25" x14ac:dyDescent="0.25">
      <c r="T658" s="10"/>
      <c r="U658" s="4"/>
      <c r="V658" s="4"/>
      <c r="X658" s="4"/>
      <c r="Y658" s="4"/>
    </row>
    <row r="659" spans="20:25" x14ac:dyDescent="0.25">
      <c r="T659" s="10"/>
      <c r="U659" s="4"/>
      <c r="V659" s="4"/>
      <c r="X659" s="4"/>
      <c r="Y659" s="4"/>
    </row>
    <row r="660" spans="20:25" x14ac:dyDescent="0.25">
      <c r="T660" s="10"/>
      <c r="U660" s="4"/>
      <c r="V660" s="4"/>
      <c r="X660" s="4"/>
      <c r="Y660" s="4"/>
    </row>
    <row r="661" spans="20:25" x14ac:dyDescent="0.25">
      <c r="T661" s="10"/>
      <c r="U661" s="4"/>
      <c r="V661" s="4"/>
      <c r="X661" s="4"/>
      <c r="Y661" s="4"/>
    </row>
    <row r="662" spans="20:25" x14ac:dyDescent="0.25">
      <c r="T662" s="10"/>
      <c r="U662" s="4"/>
      <c r="V662" s="4"/>
      <c r="X662" s="4"/>
      <c r="Y662" s="4"/>
    </row>
    <row r="663" spans="20:25" x14ac:dyDescent="0.25">
      <c r="T663" s="10"/>
      <c r="U663" s="4"/>
      <c r="V663" s="4"/>
      <c r="X663" s="4"/>
      <c r="Y663" s="4"/>
    </row>
    <row r="664" spans="20:25" x14ac:dyDescent="0.25">
      <c r="T664" s="10"/>
      <c r="U664" s="4"/>
      <c r="V664" s="4"/>
      <c r="X664" s="4"/>
      <c r="Y664" s="4"/>
    </row>
    <row r="665" spans="20:25" x14ac:dyDescent="0.25">
      <c r="T665" s="10"/>
      <c r="U665" s="4"/>
      <c r="V665" s="4"/>
      <c r="X665" s="4"/>
      <c r="Y665" s="4"/>
    </row>
    <row r="666" spans="20:25" x14ac:dyDescent="0.25">
      <c r="T666" s="10"/>
      <c r="U666" s="4"/>
      <c r="V666" s="4"/>
      <c r="X666" s="4"/>
      <c r="Y666" s="4"/>
    </row>
    <row r="667" spans="20:25" x14ac:dyDescent="0.25">
      <c r="T667" s="10"/>
      <c r="U667" s="4"/>
      <c r="V667" s="4"/>
      <c r="X667" s="4"/>
      <c r="Y667" s="4"/>
    </row>
    <row r="668" spans="20:25" x14ac:dyDescent="0.25">
      <c r="T668" s="10"/>
      <c r="U668" s="4"/>
      <c r="V668" s="4"/>
      <c r="X668" s="4"/>
      <c r="Y668" s="4"/>
    </row>
    <row r="669" spans="20:25" x14ac:dyDescent="0.25">
      <c r="T669" s="10"/>
      <c r="U669" s="4"/>
      <c r="V669" s="4"/>
      <c r="X669" s="4"/>
      <c r="Y669" s="4"/>
    </row>
    <row r="670" spans="20:25" x14ac:dyDescent="0.25">
      <c r="T670" s="10"/>
      <c r="U670" s="4"/>
      <c r="V670" s="4"/>
      <c r="X670" s="4"/>
      <c r="Y670" s="4"/>
    </row>
    <row r="671" spans="20:25" x14ac:dyDescent="0.25">
      <c r="T671" s="10"/>
      <c r="U671" s="4"/>
      <c r="V671" s="4"/>
      <c r="X671" s="4"/>
      <c r="Y671" s="4"/>
    </row>
    <row r="672" spans="20:25" x14ac:dyDescent="0.25">
      <c r="T672" s="10"/>
      <c r="U672" s="4"/>
      <c r="V672" s="4"/>
      <c r="X672" s="4"/>
      <c r="Y672" s="4"/>
    </row>
    <row r="673" spans="20:25" x14ac:dyDescent="0.25">
      <c r="T673" s="10"/>
      <c r="U673" s="4"/>
      <c r="V673" s="4"/>
      <c r="X673" s="4"/>
      <c r="Y673" s="4"/>
    </row>
    <row r="674" spans="20:25" x14ac:dyDescent="0.25">
      <c r="T674" s="10"/>
      <c r="U674" s="4"/>
      <c r="V674" s="4"/>
      <c r="X674" s="4"/>
      <c r="Y674" s="4"/>
    </row>
    <row r="675" spans="20:25" x14ac:dyDescent="0.25">
      <c r="T675" s="10"/>
      <c r="U675" s="4"/>
      <c r="V675" s="4"/>
      <c r="X675" s="4"/>
      <c r="Y675" s="4"/>
    </row>
    <row r="676" spans="20:25" x14ac:dyDescent="0.25">
      <c r="T676" s="10"/>
      <c r="U676" s="4"/>
      <c r="V676" s="4"/>
      <c r="X676" s="4"/>
      <c r="Y676" s="4"/>
    </row>
    <row r="677" spans="20:25" x14ac:dyDescent="0.25">
      <c r="T677" s="10"/>
      <c r="U677" s="4"/>
      <c r="V677" s="4"/>
      <c r="X677" s="4"/>
      <c r="Y677" s="4"/>
    </row>
    <row r="678" spans="20:25" x14ac:dyDescent="0.25">
      <c r="T678" s="10"/>
      <c r="U678" s="4"/>
      <c r="V678" s="4"/>
      <c r="X678" s="4"/>
      <c r="Y678" s="4"/>
    </row>
    <row r="679" spans="20:25" x14ac:dyDescent="0.25">
      <c r="T679" s="10"/>
      <c r="U679" s="4"/>
      <c r="V679" s="4"/>
      <c r="X679" s="4"/>
      <c r="Y679" s="4"/>
    </row>
    <row r="680" spans="20:25" x14ac:dyDescent="0.25">
      <c r="T680" s="10"/>
      <c r="U680" s="4"/>
      <c r="V680" s="4"/>
      <c r="X680" s="4"/>
      <c r="Y680" s="4"/>
    </row>
    <row r="681" spans="20:25" x14ac:dyDescent="0.25">
      <c r="T681" s="10"/>
      <c r="U681" s="4"/>
      <c r="V681" s="4"/>
      <c r="X681" s="4"/>
      <c r="Y681" s="4"/>
    </row>
    <row r="682" spans="20:25" x14ac:dyDescent="0.25">
      <c r="T682" s="10"/>
      <c r="U682" s="4"/>
      <c r="V682" s="4"/>
      <c r="X682" s="4"/>
      <c r="Y682" s="4"/>
    </row>
    <row r="683" spans="20:25" x14ac:dyDescent="0.25">
      <c r="T683" s="10"/>
      <c r="U683" s="4"/>
      <c r="V683" s="4"/>
      <c r="X683" s="4"/>
      <c r="Y683" s="4"/>
    </row>
    <row r="684" spans="20:25" x14ac:dyDescent="0.25">
      <c r="T684" s="10"/>
      <c r="U684" s="4"/>
      <c r="V684" s="4"/>
      <c r="X684" s="4"/>
      <c r="Y684" s="4"/>
    </row>
    <row r="685" spans="20:25" x14ac:dyDescent="0.25">
      <c r="T685" s="10"/>
      <c r="U685" s="4"/>
      <c r="V685" s="4"/>
      <c r="X685" s="4"/>
      <c r="Y685" s="4"/>
    </row>
    <row r="686" spans="20:25" x14ac:dyDescent="0.25">
      <c r="T686" s="10"/>
      <c r="U686" s="4"/>
      <c r="V686" s="4"/>
      <c r="X686" s="4"/>
      <c r="Y686" s="4"/>
    </row>
    <row r="687" spans="20:25" x14ac:dyDescent="0.25">
      <c r="T687" s="10"/>
      <c r="U687" s="4"/>
      <c r="V687" s="4"/>
      <c r="X687" s="4"/>
      <c r="Y687" s="4"/>
    </row>
    <row r="688" spans="20:25" x14ac:dyDescent="0.25">
      <c r="T688" s="10"/>
      <c r="U688" s="4"/>
      <c r="V688" s="4"/>
      <c r="X688" s="4"/>
      <c r="Y688" s="4"/>
    </row>
    <row r="689" spans="20:25" x14ac:dyDescent="0.25">
      <c r="T689" s="10"/>
      <c r="U689" s="4"/>
      <c r="V689" s="4"/>
      <c r="X689" s="4"/>
      <c r="Y689" s="4"/>
    </row>
    <row r="690" spans="20:25" x14ac:dyDescent="0.25">
      <c r="T690" s="10"/>
      <c r="U690" s="4"/>
      <c r="V690" s="4"/>
      <c r="X690" s="4"/>
      <c r="Y690" s="4"/>
    </row>
    <row r="691" spans="20:25" x14ac:dyDescent="0.25">
      <c r="T691" s="10"/>
      <c r="U691" s="4"/>
      <c r="V691" s="4"/>
      <c r="X691" s="4"/>
      <c r="Y691" s="4"/>
    </row>
    <row r="692" spans="20:25" x14ac:dyDescent="0.25">
      <c r="T692" s="10"/>
      <c r="U692" s="4"/>
      <c r="V692" s="4"/>
      <c r="X692" s="4"/>
      <c r="Y692" s="4"/>
    </row>
    <row r="693" spans="20:25" x14ac:dyDescent="0.25">
      <c r="T693" s="10"/>
      <c r="U693" s="4"/>
      <c r="V693" s="4"/>
      <c r="X693" s="4"/>
      <c r="Y693" s="4"/>
    </row>
    <row r="694" spans="20:25" x14ac:dyDescent="0.25">
      <c r="T694" s="10"/>
      <c r="U694" s="4"/>
      <c r="V694" s="4"/>
      <c r="X694" s="4"/>
      <c r="Y694" s="4"/>
    </row>
    <row r="695" spans="20:25" x14ac:dyDescent="0.25">
      <c r="T695" s="10"/>
      <c r="U695" s="4"/>
      <c r="V695" s="4"/>
      <c r="X695" s="4"/>
      <c r="Y695" s="4"/>
    </row>
    <row r="696" spans="20:25" x14ac:dyDescent="0.25">
      <c r="T696" s="10"/>
      <c r="U696" s="4"/>
      <c r="V696" s="4"/>
      <c r="X696" s="4"/>
      <c r="Y696" s="4"/>
    </row>
    <row r="697" spans="20:25" x14ac:dyDescent="0.25">
      <c r="T697" s="10"/>
      <c r="U697" s="4"/>
      <c r="V697" s="4"/>
      <c r="X697" s="4"/>
      <c r="Y697" s="4"/>
    </row>
    <row r="698" spans="20:25" x14ac:dyDescent="0.25">
      <c r="T698" s="10"/>
      <c r="U698" s="4"/>
      <c r="V698" s="4"/>
      <c r="X698" s="4"/>
      <c r="Y698" s="4"/>
    </row>
    <row r="699" spans="20:25" x14ac:dyDescent="0.25">
      <c r="T699" s="10"/>
      <c r="U699" s="4"/>
      <c r="V699" s="4"/>
      <c r="X699" s="4"/>
      <c r="Y699" s="4"/>
    </row>
    <row r="700" spans="20:25" x14ac:dyDescent="0.25">
      <c r="T700" s="10"/>
      <c r="U700" s="4"/>
      <c r="V700" s="4"/>
      <c r="X700" s="4"/>
      <c r="Y700" s="4"/>
    </row>
    <row r="701" spans="20:25" x14ac:dyDescent="0.25">
      <c r="T701" s="10"/>
      <c r="U701" s="4"/>
      <c r="V701" s="4"/>
      <c r="X701" s="4"/>
      <c r="Y701" s="4"/>
    </row>
    <row r="702" spans="20:25" x14ac:dyDescent="0.25">
      <c r="T702" s="10"/>
      <c r="U702" s="4"/>
      <c r="V702" s="4"/>
      <c r="X702" s="4"/>
      <c r="Y702" s="4"/>
    </row>
    <row r="703" spans="20:25" x14ac:dyDescent="0.25">
      <c r="T703" s="10"/>
      <c r="U703" s="4"/>
      <c r="V703" s="4"/>
      <c r="X703" s="4"/>
      <c r="Y703" s="4"/>
    </row>
    <row r="704" spans="20:25" x14ac:dyDescent="0.25">
      <c r="T704" s="10"/>
      <c r="U704" s="4"/>
      <c r="V704" s="4"/>
      <c r="X704" s="4"/>
      <c r="Y704" s="4"/>
    </row>
    <row r="705" spans="20:25" x14ac:dyDescent="0.25">
      <c r="T705" s="10"/>
      <c r="U705" s="4"/>
      <c r="V705" s="4"/>
      <c r="X705" s="4"/>
      <c r="Y705" s="4"/>
    </row>
    <row r="706" spans="20:25" x14ac:dyDescent="0.25">
      <c r="T706" s="10"/>
      <c r="U706" s="4"/>
      <c r="V706" s="4"/>
      <c r="X706" s="4"/>
      <c r="Y706" s="4"/>
    </row>
    <row r="707" spans="20:25" x14ac:dyDescent="0.25">
      <c r="T707" s="10"/>
      <c r="U707" s="4"/>
      <c r="V707" s="4"/>
      <c r="X707" s="4"/>
      <c r="Y707" s="4"/>
    </row>
    <row r="708" spans="20:25" x14ac:dyDescent="0.25">
      <c r="T708" s="10"/>
      <c r="U708" s="4"/>
      <c r="V708" s="4"/>
      <c r="X708" s="4"/>
      <c r="Y708" s="4"/>
    </row>
    <row r="709" spans="20:25" x14ac:dyDescent="0.25">
      <c r="T709" s="10"/>
      <c r="U709" s="4"/>
      <c r="V709" s="4"/>
      <c r="X709" s="4"/>
      <c r="Y709" s="4"/>
    </row>
    <row r="710" spans="20:25" x14ac:dyDescent="0.25">
      <c r="T710" s="10"/>
      <c r="U710" s="4"/>
      <c r="V710" s="4"/>
      <c r="X710" s="4"/>
      <c r="Y710" s="4"/>
    </row>
    <row r="711" spans="20:25" x14ac:dyDescent="0.25">
      <c r="T711" s="10"/>
      <c r="U711" s="4"/>
      <c r="V711" s="4"/>
      <c r="X711" s="4"/>
      <c r="Y711" s="4"/>
    </row>
    <row r="712" spans="20:25" x14ac:dyDescent="0.25">
      <c r="T712" s="10"/>
      <c r="U712" s="4"/>
      <c r="V712" s="4"/>
      <c r="X712" s="4"/>
      <c r="Y712" s="4"/>
    </row>
    <row r="713" spans="20:25" x14ac:dyDescent="0.25">
      <c r="T713" s="10"/>
      <c r="U713" s="4"/>
      <c r="V713" s="4"/>
      <c r="X713" s="4"/>
      <c r="Y713" s="4"/>
    </row>
    <row r="714" spans="20:25" x14ac:dyDescent="0.25">
      <c r="T714" s="10"/>
      <c r="U714" s="4"/>
      <c r="V714" s="4"/>
      <c r="X714" s="4"/>
      <c r="Y714" s="4"/>
    </row>
    <row r="715" spans="20:25" x14ac:dyDescent="0.25">
      <c r="T715" s="10"/>
      <c r="U715" s="4"/>
      <c r="V715" s="4"/>
      <c r="X715" s="4"/>
      <c r="Y715" s="4"/>
    </row>
    <row r="716" spans="20:25" x14ac:dyDescent="0.25">
      <c r="T716" s="10"/>
      <c r="U716" s="4"/>
      <c r="V716" s="4"/>
      <c r="X716" s="4"/>
      <c r="Y716" s="4"/>
    </row>
    <row r="717" spans="20:25" x14ac:dyDescent="0.25">
      <c r="T717" s="10"/>
      <c r="U717" s="4"/>
      <c r="V717" s="4"/>
      <c r="X717" s="4"/>
      <c r="Y717" s="4"/>
    </row>
    <row r="718" spans="20:25" x14ac:dyDescent="0.25">
      <c r="T718" s="10"/>
      <c r="U718" s="4"/>
      <c r="V718" s="4"/>
      <c r="X718" s="4"/>
      <c r="Y718" s="4"/>
    </row>
    <row r="719" spans="20:25" x14ac:dyDescent="0.25">
      <c r="T719" s="10"/>
      <c r="U719" s="4"/>
      <c r="V719" s="4"/>
      <c r="X719" s="4"/>
      <c r="Y719" s="4"/>
    </row>
    <row r="720" spans="20:25" x14ac:dyDescent="0.25">
      <c r="T720" s="10"/>
      <c r="U720" s="4"/>
      <c r="V720" s="4"/>
      <c r="X720" s="4"/>
      <c r="Y720" s="4"/>
    </row>
    <row r="721" spans="20:25" x14ac:dyDescent="0.25">
      <c r="T721" s="10"/>
      <c r="U721" s="4"/>
      <c r="V721" s="4"/>
      <c r="X721" s="4"/>
      <c r="Y721" s="4"/>
    </row>
    <row r="722" spans="20:25" x14ac:dyDescent="0.25">
      <c r="T722" s="10"/>
      <c r="U722" s="4"/>
      <c r="V722" s="4"/>
      <c r="X722" s="4"/>
      <c r="Y722" s="4"/>
    </row>
    <row r="723" spans="20:25" x14ac:dyDescent="0.25">
      <c r="T723" s="10"/>
      <c r="U723" s="4"/>
      <c r="V723" s="4"/>
      <c r="X723" s="4"/>
      <c r="Y723" s="4"/>
    </row>
    <row r="724" spans="20:25" x14ac:dyDescent="0.25">
      <c r="T724" s="10"/>
      <c r="U724" s="4"/>
      <c r="V724" s="4"/>
      <c r="X724" s="4"/>
      <c r="Y724" s="4"/>
    </row>
    <row r="725" spans="20:25" x14ac:dyDescent="0.25">
      <c r="T725" s="10"/>
      <c r="U725" s="4"/>
      <c r="V725" s="4"/>
      <c r="X725" s="4"/>
      <c r="Y725" s="4"/>
    </row>
    <row r="726" spans="20:25" x14ac:dyDescent="0.25">
      <c r="T726" s="10"/>
      <c r="U726" s="4"/>
      <c r="V726" s="4"/>
      <c r="X726" s="4"/>
      <c r="Y726" s="4"/>
    </row>
    <row r="727" spans="20:25" x14ac:dyDescent="0.25">
      <c r="T727" s="10"/>
      <c r="U727" s="4"/>
      <c r="V727" s="4"/>
      <c r="X727" s="4"/>
      <c r="Y727" s="4"/>
    </row>
    <row r="728" spans="20:25" x14ac:dyDescent="0.25">
      <c r="T728" s="10"/>
      <c r="U728" s="4"/>
      <c r="V728" s="4"/>
      <c r="X728" s="4"/>
      <c r="Y728" s="4"/>
    </row>
    <row r="729" spans="20:25" x14ac:dyDescent="0.25">
      <c r="T729" s="10"/>
      <c r="U729" s="4"/>
      <c r="V729" s="4"/>
      <c r="X729" s="4"/>
      <c r="Y729" s="4"/>
    </row>
    <row r="730" spans="20:25" x14ac:dyDescent="0.25">
      <c r="T730" s="10"/>
      <c r="U730" s="4"/>
      <c r="V730" s="4"/>
      <c r="X730" s="4"/>
      <c r="Y730" s="4"/>
    </row>
    <row r="731" spans="20:25" x14ac:dyDescent="0.25">
      <c r="T731" s="10"/>
      <c r="U731" s="4"/>
      <c r="V731" s="4"/>
      <c r="X731" s="4"/>
      <c r="Y731" s="4"/>
    </row>
    <row r="732" spans="20:25" x14ac:dyDescent="0.25">
      <c r="T732" s="10"/>
      <c r="U732" s="4"/>
      <c r="V732" s="4"/>
      <c r="X732" s="4"/>
      <c r="Y732" s="4"/>
    </row>
    <row r="733" spans="20:25" x14ac:dyDescent="0.25">
      <c r="T733" s="10"/>
      <c r="U733" s="4"/>
      <c r="V733" s="4"/>
      <c r="X733" s="4"/>
      <c r="Y733" s="4"/>
    </row>
    <row r="734" spans="20:25" x14ac:dyDescent="0.25">
      <c r="T734" s="10"/>
      <c r="U734" s="4"/>
      <c r="V734" s="4"/>
      <c r="X734" s="4"/>
      <c r="Y734" s="4"/>
    </row>
    <row r="735" spans="20:25" x14ac:dyDescent="0.25">
      <c r="T735" s="10"/>
      <c r="U735" s="4"/>
      <c r="V735" s="4"/>
      <c r="X735" s="4"/>
      <c r="Y735" s="4"/>
    </row>
    <row r="736" spans="20:25" x14ac:dyDescent="0.25">
      <c r="T736" s="10"/>
      <c r="U736" s="4"/>
      <c r="V736" s="4"/>
      <c r="X736" s="4"/>
      <c r="Y736" s="4"/>
    </row>
    <row r="737" spans="20:25" x14ac:dyDescent="0.25">
      <c r="T737" s="10"/>
      <c r="U737" s="4"/>
      <c r="V737" s="4"/>
      <c r="X737" s="4"/>
      <c r="Y737" s="4"/>
    </row>
    <row r="738" spans="20:25" x14ac:dyDescent="0.25">
      <c r="T738" s="10"/>
      <c r="U738" s="4"/>
      <c r="V738" s="4"/>
      <c r="X738" s="4"/>
      <c r="Y738" s="4"/>
    </row>
    <row r="739" spans="20:25" x14ac:dyDescent="0.25">
      <c r="T739" s="10"/>
      <c r="U739" s="4"/>
      <c r="V739" s="4"/>
      <c r="X739" s="4"/>
      <c r="Y739" s="4"/>
    </row>
    <row r="740" spans="20:25" x14ac:dyDescent="0.25">
      <c r="T740" s="10"/>
      <c r="U740" s="4"/>
      <c r="V740" s="4"/>
      <c r="X740" s="4"/>
      <c r="Y740" s="4"/>
    </row>
    <row r="741" spans="20:25" x14ac:dyDescent="0.25">
      <c r="T741" s="10"/>
      <c r="U741" s="4"/>
      <c r="V741" s="4"/>
      <c r="X741" s="4"/>
      <c r="Y741" s="4"/>
    </row>
    <row r="742" spans="20:25" x14ac:dyDescent="0.25">
      <c r="T742" s="10"/>
      <c r="U742" s="4"/>
      <c r="V742" s="4"/>
      <c r="X742" s="4"/>
      <c r="Y742" s="4"/>
    </row>
    <row r="743" spans="20:25" x14ac:dyDescent="0.25">
      <c r="T743" s="10"/>
      <c r="U743" s="4"/>
      <c r="V743" s="4"/>
      <c r="X743" s="4"/>
      <c r="Y743" s="4"/>
    </row>
    <row r="744" spans="20:25" x14ac:dyDescent="0.25">
      <c r="T744" s="10"/>
      <c r="U744" s="4"/>
      <c r="V744" s="4"/>
      <c r="X744" s="4"/>
      <c r="Y744" s="4"/>
    </row>
    <row r="745" spans="20:25" x14ac:dyDescent="0.25">
      <c r="T745" s="10"/>
      <c r="U745" s="4"/>
      <c r="V745" s="4"/>
      <c r="X745" s="4"/>
      <c r="Y745" s="4"/>
    </row>
    <row r="746" spans="20:25" x14ac:dyDescent="0.25">
      <c r="T746" s="10"/>
      <c r="U746" s="4"/>
      <c r="V746" s="4"/>
      <c r="X746" s="4"/>
      <c r="Y746" s="4"/>
    </row>
    <row r="747" spans="20:25" x14ac:dyDescent="0.25">
      <c r="T747" s="10"/>
      <c r="U747" s="4"/>
      <c r="V747" s="4"/>
      <c r="X747" s="4"/>
      <c r="Y747" s="4"/>
    </row>
    <row r="748" spans="20:25" x14ac:dyDescent="0.25">
      <c r="T748" s="10"/>
      <c r="U748" s="4"/>
      <c r="V748" s="4"/>
      <c r="X748" s="4"/>
      <c r="Y748" s="4"/>
    </row>
    <row r="749" spans="20:25" x14ac:dyDescent="0.25">
      <c r="T749" s="10"/>
      <c r="U749" s="4"/>
      <c r="V749" s="4"/>
      <c r="X749" s="4"/>
      <c r="Y749" s="4"/>
    </row>
    <row r="750" spans="20:25" x14ac:dyDescent="0.25">
      <c r="T750" s="10"/>
      <c r="U750" s="4"/>
      <c r="V750" s="4"/>
      <c r="X750" s="4"/>
      <c r="Y750" s="4"/>
    </row>
    <row r="751" spans="20:25" x14ac:dyDescent="0.25">
      <c r="T751" s="10"/>
      <c r="U751" s="4"/>
      <c r="V751" s="4"/>
      <c r="X751" s="4"/>
      <c r="Y751" s="4"/>
    </row>
    <row r="752" spans="20:25" x14ac:dyDescent="0.25">
      <c r="T752" s="10"/>
      <c r="U752" s="4"/>
      <c r="V752" s="4"/>
      <c r="X752" s="4"/>
      <c r="Y752" s="4"/>
    </row>
    <row r="753" spans="20:25" x14ac:dyDescent="0.25">
      <c r="T753" s="10"/>
      <c r="U753" s="4"/>
      <c r="V753" s="4"/>
      <c r="X753" s="4"/>
      <c r="Y753" s="4"/>
    </row>
    <row r="754" spans="20:25" x14ac:dyDescent="0.25">
      <c r="T754" s="10"/>
      <c r="U754" s="4"/>
      <c r="V754" s="4"/>
      <c r="X754" s="4"/>
      <c r="Y754" s="4"/>
    </row>
    <row r="755" spans="20:25" x14ac:dyDescent="0.25">
      <c r="T755" s="10"/>
      <c r="U755" s="4"/>
      <c r="V755" s="4"/>
      <c r="X755" s="4"/>
      <c r="Y755" s="4"/>
    </row>
    <row r="756" spans="20:25" x14ac:dyDescent="0.25">
      <c r="T756" s="10"/>
      <c r="U756" s="4"/>
      <c r="V756" s="4"/>
      <c r="X756" s="4"/>
      <c r="Y756" s="4"/>
    </row>
    <row r="757" spans="20:25" x14ac:dyDescent="0.25">
      <c r="T757" s="10"/>
      <c r="U757" s="4"/>
      <c r="V757" s="4"/>
      <c r="X757" s="4"/>
      <c r="Y757" s="4"/>
    </row>
    <row r="758" spans="20:25" x14ac:dyDescent="0.25">
      <c r="T758" s="10"/>
      <c r="U758" s="4"/>
      <c r="V758" s="4"/>
      <c r="X758" s="4"/>
      <c r="Y758" s="4"/>
    </row>
    <row r="759" spans="20:25" x14ac:dyDescent="0.25">
      <c r="T759" s="10"/>
      <c r="U759" s="4"/>
      <c r="V759" s="4"/>
      <c r="X759" s="4"/>
      <c r="Y759" s="4"/>
    </row>
    <row r="760" spans="20:25" x14ac:dyDescent="0.25">
      <c r="T760" s="10"/>
      <c r="U760" s="4"/>
      <c r="V760" s="4"/>
      <c r="X760" s="4"/>
      <c r="Y760" s="4"/>
    </row>
    <row r="761" spans="20:25" x14ac:dyDescent="0.25">
      <c r="T761" s="10"/>
      <c r="U761" s="4"/>
      <c r="V761" s="4"/>
      <c r="X761" s="4"/>
      <c r="Y761" s="4"/>
    </row>
    <row r="762" spans="20:25" x14ac:dyDescent="0.25">
      <c r="T762" s="10"/>
      <c r="U762" s="4"/>
      <c r="V762" s="4"/>
      <c r="X762" s="4"/>
      <c r="Y762" s="4"/>
    </row>
    <row r="763" spans="20:25" x14ac:dyDescent="0.25">
      <c r="T763" s="10"/>
      <c r="U763" s="4"/>
      <c r="V763" s="4"/>
      <c r="X763" s="4"/>
      <c r="Y763" s="4"/>
    </row>
    <row r="764" spans="20:25" x14ac:dyDescent="0.25">
      <c r="T764" s="10"/>
      <c r="U764" s="4"/>
      <c r="V764" s="4"/>
      <c r="X764" s="4"/>
      <c r="Y764" s="4"/>
    </row>
    <row r="765" spans="20:25" x14ac:dyDescent="0.25">
      <c r="T765" s="10"/>
      <c r="U765" s="4"/>
      <c r="V765" s="4"/>
      <c r="X765" s="4"/>
      <c r="Y765" s="4"/>
    </row>
    <row r="766" spans="20:25" x14ac:dyDescent="0.25">
      <c r="T766" s="10"/>
      <c r="U766" s="4"/>
      <c r="V766" s="4"/>
      <c r="X766" s="4"/>
      <c r="Y766" s="4"/>
    </row>
    <row r="767" spans="20:25" x14ac:dyDescent="0.25">
      <c r="T767" s="10"/>
      <c r="U767" s="4"/>
      <c r="V767" s="4"/>
      <c r="X767" s="4"/>
      <c r="Y767" s="4"/>
    </row>
    <row r="768" spans="20:25" x14ac:dyDescent="0.25">
      <c r="T768" s="10"/>
      <c r="U768" s="4"/>
      <c r="V768" s="4"/>
      <c r="X768" s="4"/>
      <c r="Y768" s="4"/>
    </row>
    <row r="769" spans="20:25" x14ac:dyDescent="0.25">
      <c r="T769" s="10"/>
      <c r="U769" s="4"/>
      <c r="V769" s="4"/>
      <c r="X769" s="4"/>
      <c r="Y769" s="4"/>
    </row>
    <row r="770" spans="20:25" x14ac:dyDescent="0.25">
      <c r="T770" s="10"/>
      <c r="U770" s="4"/>
      <c r="V770" s="4"/>
      <c r="X770" s="4"/>
      <c r="Y770" s="4"/>
    </row>
    <row r="771" spans="20:25" x14ac:dyDescent="0.25">
      <c r="T771" s="10"/>
      <c r="U771" s="4"/>
      <c r="V771" s="4"/>
      <c r="X771" s="4"/>
      <c r="Y771" s="4"/>
    </row>
    <row r="772" spans="20:25" x14ac:dyDescent="0.25">
      <c r="T772" s="10"/>
      <c r="U772" s="4"/>
      <c r="V772" s="4"/>
      <c r="X772" s="4"/>
      <c r="Y772" s="4"/>
    </row>
    <row r="773" spans="20:25" x14ac:dyDescent="0.25">
      <c r="T773" s="10"/>
      <c r="U773" s="4"/>
      <c r="V773" s="4"/>
      <c r="X773" s="4"/>
      <c r="Y773" s="4"/>
    </row>
    <row r="774" spans="20:25" x14ac:dyDescent="0.25">
      <c r="T774" s="10"/>
      <c r="U774" s="4"/>
      <c r="V774" s="4"/>
      <c r="X774" s="4"/>
      <c r="Y774" s="4"/>
    </row>
    <row r="775" spans="20:25" x14ac:dyDescent="0.25">
      <c r="T775" s="10"/>
      <c r="U775" s="4"/>
      <c r="V775" s="4"/>
      <c r="X775" s="4"/>
      <c r="Y775" s="4"/>
    </row>
    <row r="776" spans="20:25" x14ac:dyDescent="0.25">
      <c r="T776" s="10"/>
      <c r="U776" s="4"/>
      <c r="V776" s="4"/>
      <c r="X776" s="4"/>
      <c r="Y776" s="4"/>
    </row>
    <row r="777" spans="20:25" x14ac:dyDescent="0.25">
      <c r="T777" s="10"/>
      <c r="U777" s="4"/>
      <c r="V777" s="4"/>
      <c r="X777" s="4"/>
      <c r="Y777" s="4"/>
    </row>
    <row r="778" spans="20:25" x14ac:dyDescent="0.25">
      <c r="T778" s="10"/>
      <c r="U778" s="4"/>
      <c r="V778" s="4"/>
      <c r="X778" s="4"/>
      <c r="Y778" s="4"/>
    </row>
    <row r="779" spans="20:25" x14ac:dyDescent="0.25">
      <c r="T779" s="10"/>
      <c r="U779" s="4"/>
      <c r="V779" s="4"/>
      <c r="X779" s="4"/>
      <c r="Y779" s="4"/>
    </row>
    <row r="780" spans="20:25" x14ac:dyDescent="0.25">
      <c r="T780" s="10"/>
      <c r="U780" s="4"/>
      <c r="V780" s="4"/>
      <c r="X780" s="4"/>
      <c r="Y780" s="4"/>
    </row>
    <row r="781" spans="20:25" x14ac:dyDescent="0.25">
      <c r="T781" s="10"/>
      <c r="U781" s="4"/>
      <c r="V781" s="4"/>
      <c r="X781" s="4"/>
      <c r="Y781" s="4"/>
    </row>
    <row r="782" spans="20:25" x14ac:dyDescent="0.25">
      <c r="T782" s="10"/>
      <c r="U782" s="4"/>
      <c r="V782" s="4"/>
      <c r="X782" s="4"/>
      <c r="Y782" s="4"/>
    </row>
    <row r="783" spans="20:25" x14ac:dyDescent="0.25">
      <c r="T783" s="10"/>
      <c r="U783" s="4"/>
      <c r="V783" s="4"/>
      <c r="X783" s="4"/>
      <c r="Y783" s="4"/>
    </row>
    <row r="784" spans="20:25" x14ac:dyDescent="0.25">
      <c r="T784" s="10"/>
      <c r="U784" s="4"/>
      <c r="V784" s="4"/>
      <c r="X784" s="4"/>
      <c r="Y784" s="4"/>
    </row>
    <row r="785" spans="20:25" x14ac:dyDescent="0.25">
      <c r="T785" s="10"/>
      <c r="U785" s="4"/>
      <c r="V785" s="4"/>
      <c r="X785" s="4"/>
      <c r="Y785" s="4"/>
    </row>
    <row r="786" spans="20:25" x14ac:dyDescent="0.25">
      <c r="T786" s="10"/>
      <c r="U786" s="4"/>
      <c r="V786" s="4"/>
      <c r="X786" s="4"/>
      <c r="Y786" s="4"/>
    </row>
    <row r="787" spans="20:25" x14ac:dyDescent="0.25">
      <c r="T787" s="10"/>
      <c r="U787" s="4"/>
      <c r="V787" s="4"/>
      <c r="X787" s="4"/>
      <c r="Y787" s="4"/>
    </row>
    <row r="788" spans="20:25" x14ac:dyDescent="0.25">
      <c r="T788" s="10"/>
      <c r="U788" s="4"/>
      <c r="V788" s="4"/>
      <c r="X788" s="4"/>
      <c r="Y788" s="4"/>
    </row>
    <row r="789" spans="20:25" x14ac:dyDescent="0.25">
      <c r="T789" s="10"/>
      <c r="U789" s="4"/>
      <c r="V789" s="4"/>
      <c r="X789" s="4"/>
      <c r="Y789" s="4"/>
    </row>
    <row r="790" spans="20:25" x14ac:dyDescent="0.25">
      <c r="T790" s="10"/>
      <c r="U790" s="4"/>
      <c r="V790" s="4"/>
      <c r="X790" s="4"/>
      <c r="Y790" s="4"/>
    </row>
    <row r="791" spans="20:25" x14ac:dyDescent="0.25">
      <c r="T791" s="10"/>
      <c r="U791" s="4"/>
      <c r="V791" s="4"/>
      <c r="X791" s="4"/>
      <c r="Y791" s="4"/>
    </row>
    <row r="792" spans="20:25" x14ac:dyDescent="0.25">
      <c r="T792" s="10"/>
      <c r="U792" s="4"/>
      <c r="V792" s="4"/>
      <c r="X792" s="4"/>
      <c r="Y792" s="4"/>
    </row>
    <row r="793" spans="20:25" x14ac:dyDescent="0.25">
      <c r="T793" s="10"/>
      <c r="U793" s="4"/>
      <c r="V793" s="4"/>
      <c r="X793" s="4"/>
      <c r="Y793" s="4"/>
    </row>
    <row r="794" spans="20:25" x14ac:dyDescent="0.25">
      <c r="T794" s="10"/>
      <c r="U794" s="4"/>
      <c r="V794" s="4"/>
      <c r="X794" s="4"/>
      <c r="Y794" s="4"/>
    </row>
    <row r="795" spans="20:25" x14ac:dyDescent="0.25">
      <c r="T795" s="10"/>
      <c r="U795" s="4"/>
      <c r="V795" s="4"/>
      <c r="X795" s="4"/>
      <c r="Y795" s="4"/>
    </row>
    <row r="796" spans="20:25" x14ac:dyDescent="0.25">
      <c r="T796" s="10"/>
      <c r="U796" s="4"/>
      <c r="V796" s="4"/>
      <c r="X796" s="4"/>
      <c r="Y796" s="4"/>
    </row>
    <row r="797" spans="20:25" x14ac:dyDescent="0.25">
      <c r="T797" s="10"/>
      <c r="U797" s="4"/>
      <c r="V797" s="4"/>
      <c r="X797" s="4"/>
      <c r="Y797" s="4"/>
    </row>
    <row r="798" spans="20:25" x14ac:dyDescent="0.25">
      <c r="T798" s="10"/>
      <c r="U798" s="4"/>
      <c r="V798" s="4"/>
      <c r="X798" s="4"/>
      <c r="Y798" s="4"/>
    </row>
    <row r="799" spans="20:25" x14ac:dyDescent="0.25">
      <c r="T799" s="10"/>
      <c r="U799" s="4"/>
      <c r="V799" s="4"/>
      <c r="X799" s="4"/>
      <c r="Y799" s="4"/>
    </row>
    <row r="800" spans="20:25" x14ac:dyDescent="0.25">
      <c r="T800" s="10"/>
      <c r="U800" s="4"/>
      <c r="V800" s="4"/>
      <c r="X800" s="4"/>
      <c r="Y800" s="4"/>
    </row>
    <row r="801" spans="20:25" x14ac:dyDescent="0.25">
      <c r="T801" s="10"/>
      <c r="U801" s="4"/>
      <c r="V801" s="4"/>
      <c r="X801" s="4"/>
      <c r="Y801" s="4"/>
    </row>
    <row r="802" spans="20:25" x14ac:dyDescent="0.25">
      <c r="T802" s="10"/>
      <c r="U802" s="4"/>
      <c r="V802" s="4"/>
      <c r="X802" s="4"/>
      <c r="Y802" s="4"/>
    </row>
    <row r="803" spans="20:25" x14ac:dyDescent="0.25">
      <c r="T803" s="10"/>
      <c r="U803" s="4"/>
      <c r="V803" s="4"/>
      <c r="X803" s="4"/>
      <c r="Y803" s="4"/>
    </row>
    <row r="804" spans="20:25" x14ac:dyDescent="0.25">
      <c r="T804" s="10"/>
      <c r="U804" s="4"/>
      <c r="V804" s="4"/>
      <c r="X804" s="4"/>
      <c r="Y804" s="4"/>
    </row>
    <row r="805" spans="20:25" x14ac:dyDescent="0.25">
      <c r="T805" s="10"/>
      <c r="U805" s="4"/>
      <c r="V805" s="4"/>
      <c r="X805" s="4"/>
      <c r="Y805" s="4"/>
    </row>
    <row r="806" spans="20:25" x14ac:dyDescent="0.25">
      <c r="T806" s="10"/>
      <c r="U806" s="4"/>
      <c r="V806" s="4"/>
      <c r="X806" s="4"/>
      <c r="Y806" s="4"/>
    </row>
    <row r="807" spans="20:25" x14ac:dyDescent="0.25">
      <c r="T807" s="10"/>
      <c r="U807" s="4"/>
      <c r="V807" s="4"/>
      <c r="X807" s="4"/>
      <c r="Y807" s="4"/>
    </row>
    <row r="808" spans="20:25" x14ac:dyDescent="0.25">
      <c r="T808" s="10"/>
      <c r="U808" s="4"/>
      <c r="V808" s="4"/>
      <c r="X808" s="4"/>
      <c r="Y808" s="4"/>
    </row>
    <row r="809" spans="20:25" x14ac:dyDescent="0.25">
      <c r="T809" s="10"/>
      <c r="U809" s="4"/>
      <c r="V809" s="4"/>
      <c r="X809" s="4"/>
      <c r="Y809" s="4"/>
    </row>
    <row r="810" spans="20:25" x14ac:dyDescent="0.25">
      <c r="T810" s="10"/>
      <c r="U810" s="4"/>
      <c r="V810" s="4"/>
      <c r="X810" s="4"/>
      <c r="Y810" s="4"/>
    </row>
    <row r="811" spans="20:25" x14ac:dyDescent="0.25">
      <c r="T811" s="10"/>
      <c r="U811" s="4"/>
      <c r="V811" s="4"/>
      <c r="X811" s="4"/>
      <c r="Y811" s="4"/>
    </row>
    <row r="812" spans="20:25" x14ac:dyDescent="0.25">
      <c r="T812" s="10"/>
      <c r="U812" s="4"/>
      <c r="V812" s="4"/>
      <c r="X812" s="4"/>
      <c r="Y812" s="4"/>
    </row>
    <row r="813" spans="20:25" x14ac:dyDescent="0.25">
      <c r="T813" s="10"/>
      <c r="U813" s="4"/>
      <c r="V813" s="4"/>
      <c r="X813" s="4"/>
      <c r="Y813" s="4"/>
    </row>
    <row r="814" spans="20:25" x14ac:dyDescent="0.25">
      <c r="T814" s="10"/>
      <c r="U814" s="4"/>
      <c r="V814" s="4"/>
      <c r="X814" s="4"/>
      <c r="Y814" s="4"/>
    </row>
    <row r="815" spans="20:25" x14ac:dyDescent="0.25">
      <c r="T815" s="10"/>
      <c r="U815" s="4"/>
      <c r="V815" s="4"/>
      <c r="X815" s="4"/>
      <c r="Y815" s="4"/>
    </row>
    <row r="816" spans="20:25" x14ac:dyDescent="0.25">
      <c r="T816" s="10"/>
      <c r="U816" s="4"/>
      <c r="V816" s="4"/>
      <c r="X816" s="4"/>
      <c r="Y816" s="4"/>
    </row>
    <row r="817" spans="20:25" x14ac:dyDescent="0.25">
      <c r="T817" s="10"/>
      <c r="U817" s="4"/>
      <c r="V817" s="4"/>
      <c r="X817" s="4"/>
      <c r="Y817" s="4"/>
    </row>
    <row r="818" spans="20:25" x14ac:dyDescent="0.25">
      <c r="T818" s="10"/>
      <c r="U818" s="4"/>
      <c r="V818" s="4"/>
      <c r="X818" s="4"/>
      <c r="Y818" s="4"/>
    </row>
    <row r="819" spans="20:25" x14ac:dyDescent="0.25">
      <c r="T819" s="10"/>
      <c r="U819" s="4"/>
      <c r="V819" s="4"/>
      <c r="X819" s="4"/>
      <c r="Y819" s="4"/>
    </row>
    <row r="820" spans="20:25" x14ac:dyDescent="0.25">
      <c r="T820" s="10"/>
      <c r="U820" s="4"/>
      <c r="V820" s="4"/>
      <c r="X820" s="4"/>
      <c r="Y820" s="4"/>
    </row>
    <row r="821" spans="20:25" x14ac:dyDescent="0.25">
      <c r="T821" s="10"/>
      <c r="U821" s="4"/>
      <c r="V821" s="4"/>
      <c r="X821" s="4"/>
      <c r="Y821" s="4"/>
    </row>
    <row r="822" spans="20:25" x14ac:dyDescent="0.25">
      <c r="T822" s="10"/>
      <c r="U822" s="4"/>
      <c r="V822" s="4"/>
      <c r="X822" s="4"/>
      <c r="Y822" s="4"/>
    </row>
    <row r="823" spans="20:25" x14ac:dyDescent="0.25">
      <c r="T823" s="10"/>
      <c r="U823" s="4"/>
      <c r="V823" s="4"/>
      <c r="X823" s="4"/>
      <c r="Y823" s="4"/>
    </row>
    <row r="824" spans="20:25" x14ac:dyDescent="0.25">
      <c r="T824" s="10"/>
      <c r="U824" s="4"/>
      <c r="V824" s="4"/>
      <c r="X824" s="4"/>
      <c r="Y824" s="4"/>
    </row>
    <row r="825" spans="20:25" x14ac:dyDescent="0.25">
      <c r="T825" s="10"/>
      <c r="U825" s="4"/>
      <c r="V825" s="4"/>
      <c r="X825" s="4"/>
      <c r="Y825" s="4"/>
    </row>
    <row r="826" spans="20:25" x14ac:dyDescent="0.25">
      <c r="T826" s="10"/>
      <c r="U826" s="4"/>
      <c r="V826" s="4"/>
      <c r="X826" s="4"/>
      <c r="Y826" s="4"/>
    </row>
    <row r="827" spans="20:25" x14ac:dyDescent="0.25">
      <c r="T827" s="10"/>
      <c r="U827" s="4"/>
      <c r="V827" s="4"/>
      <c r="X827" s="4"/>
      <c r="Y827" s="4"/>
    </row>
    <row r="828" spans="20:25" x14ac:dyDescent="0.25">
      <c r="T828" s="10"/>
      <c r="U828" s="4"/>
      <c r="V828" s="4"/>
      <c r="X828" s="4"/>
      <c r="Y828" s="4"/>
    </row>
    <row r="829" spans="20:25" x14ac:dyDescent="0.25">
      <c r="T829" s="10"/>
      <c r="U829" s="4"/>
      <c r="V829" s="4"/>
      <c r="X829" s="4"/>
      <c r="Y829" s="4"/>
    </row>
    <row r="830" spans="20:25" x14ac:dyDescent="0.25">
      <c r="T830" s="10"/>
      <c r="U830" s="4"/>
      <c r="V830" s="4"/>
      <c r="X830" s="4"/>
      <c r="Y830" s="4"/>
    </row>
    <row r="831" spans="20:25" x14ac:dyDescent="0.25">
      <c r="T831" s="10"/>
      <c r="U831" s="4"/>
      <c r="V831" s="4"/>
      <c r="X831" s="4"/>
      <c r="Y831" s="4"/>
    </row>
    <row r="832" spans="20:25" x14ac:dyDescent="0.25">
      <c r="T832" s="10"/>
      <c r="U832" s="4"/>
      <c r="V832" s="4"/>
      <c r="X832" s="4"/>
      <c r="Y832" s="4"/>
    </row>
    <row r="833" spans="20:25" x14ac:dyDescent="0.25">
      <c r="T833" s="10"/>
      <c r="U833" s="4"/>
      <c r="V833" s="4"/>
      <c r="X833" s="4"/>
      <c r="Y833" s="4"/>
    </row>
    <row r="834" spans="20:25" x14ac:dyDescent="0.25">
      <c r="T834" s="10"/>
      <c r="U834" s="4"/>
      <c r="V834" s="4"/>
      <c r="X834" s="4"/>
      <c r="Y834" s="4"/>
    </row>
    <row r="835" spans="20:25" x14ac:dyDescent="0.25">
      <c r="T835" s="10"/>
      <c r="U835" s="4"/>
      <c r="V835" s="4"/>
      <c r="X835" s="4"/>
      <c r="Y835" s="4"/>
    </row>
    <row r="836" spans="20:25" x14ac:dyDescent="0.25">
      <c r="T836" s="10"/>
      <c r="U836" s="4"/>
      <c r="V836" s="4"/>
      <c r="X836" s="4"/>
      <c r="Y836" s="4"/>
    </row>
    <row r="837" spans="20:25" x14ac:dyDescent="0.25">
      <c r="T837" s="10"/>
      <c r="U837" s="4"/>
      <c r="V837" s="4"/>
      <c r="X837" s="4"/>
      <c r="Y837" s="4"/>
    </row>
    <row r="838" spans="20:25" x14ac:dyDescent="0.25">
      <c r="T838" s="10"/>
      <c r="U838" s="4"/>
      <c r="V838" s="4"/>
      <c r="X838" s="4"/>
      <c r="Y838" s="4"/>
    </row>
    <row r="839" spans="20:25" x14ac:dyDescent="0.25">
      <c r="T839" s="10"/>
      <c r="U839" s="4"/>
      <c r="V839" s="4"/>
      <c r="X839" s="4"/>
      <c r="Y839" s="4"/>
    </row>
    <row r="840" spans="20:25" x14ac:dyDescent="0.25">
      <c r="T840" s="10"/>
      <c r="U840" s="4"/>
      <c r="V840" s="4"/>
      <c r="X840" s="4"/>
      <c r="Y840" s="4"/>
    </row>
    <row r="841" spans="20:25" x14ac:dyDescent="0.25">
      <c r="T841" s="10"/>
      <c r="U841" s="4"/>
      <c r="V841" s="4"/>
      <c r="X841" s="4"/>
      <c r="Y841" s="4"/>
    </row>
    <row r="842" spans="20:25" x14ac:dyDescent="0.25">
      <c r="T842" s="10"/>
      <c r="U842" s="4"/>
      <c r="V842" s="4"/>
      <c r="X842" s="4"/>
      <c r="Y842" s="4"/>
    </row>
    <row r="843" spans="20:25" x14ac:dyDescent="0.25">
      <c r="T843" s="10"/>
      <c r="U843" s="4"/>
      <c r="V843" s="4"/>
      <c r="X843" s="4"/>
      <c r="Y843" s="4"/>
    </row>
    <row r="844" spans="20:25" x14ac:dyDescent="0.25">
      <c r="T844" s="10"/>
      <c r="U844" s="4"/>
      <c r="V844" s="4"/>
      <c r="X844" s="4"/>
      <c r="Y844" s="4"/>
    </row>
    <row r="845" spans="20:25" x14ac:dyDescent="0.25">
      <c r="T845" s="10"/>
      <c r="U845" s="4"/>
      <c r="V845" s="4"/>
      <c r="X845" s="4"/>
      <c r="Y845" s="4"/>
    </row>
    <row r="846" spans="20:25" x14ac:dyDescent="0.25">
      <c r="T846" s="10"/>
      <c r="U846" s="4"/>
      <c r="V846" s="4"/>
      <c r="X846" s="4"/>
      <c r="Y846" s="4"/>
    </row>
    <row r="847" spans="20:25" x14ac:dyDescent="0.25">
      <c r="T847" s="10"/>
      <c r="U847" s="4"/>
      <c r="V847" s="4"/>
      <c r="X847" s="4"/>
      <c r="Y847" s="4"/>
    </row>
    <row r="848" spans="20:25" x14ac:dyDescent="0.25">
      <c r="T848" s="10"/>
      <c r="U848" s="4"/>
      <c r="V848" s="4"/>
      <c r="X848" s="4"/>
      <c r="Y848" s="4"/>
    </row>
    <row r="849" spans="20:25" x14ac:dyDescent="0.25">
      <c r="T849" s="10"/>
      <c r="U849" s="4"/>
      <c r="V849" s="4"/>
      <c r="X849" s="4"/>
      <c r="Y849" s="4"/>
    </row>
    <row r="850" spans="20:25" x14ac:dyDescent="0.25">
      <c r="T850" s="10"/>
      <c r="U850" s="4"/>
      <c r="V850" s="4"/>
      <c r="X850" s="4"/>
      <c r="Y850" s="4"/>
    </row>
    <row r="851" spans="20:25" x14ac:dyDescent="0.25">
      <c r="T851" s="10"/>
      <c r="U851" s="4"/>
      <c r="V851" s="4"/>
      <c r="X851" s="4"/>
      <c r="Y851" s="4"/>
    </row>
    <row r="852" spans="20:25" x14ac:dyDescent="0.25">
      <c r="T852" s="10"/>
      <c r="U852" s="4"/>
      <c r="V852" s="4"/>
      <c r="X852" s="4"/>
      <c r="Y852" s="4"/>
    </row>
    <row r="853" spans="20:25" x14ac:dyDescent="0.25">
      <c r="T853" s="10"/>
      <c r="U853" s="4"/>
      <c r="V853" s="4"/>
      <c r="X853" s="4"/>
      <c r="Y853" s="4"/>
    </row>
    <row r="854" spans="20:25" x14ac:dyDescent="0.25">
      <c r="T854" s="10"/>
      <c r="U854" s="4"/>
      <c r="V854" s="4"/>
      <c r="X854" s="4"/>
      <c r="Y854" s="4"/>
    </row>
    <row r="855" spans="20:25" x14ac:dyDescent="0.25">
      <c r="T855" s="10"/>
      <c r="U855" s="4"/>
      <c r="V855" s="4"/>
      <c r="X855" s="4"/>
      <c r="Y855" s="4"/>
    </row>
    <row r="856" spans="20:25" x14ac:dyDescent="0.25">
      <c r="T856" s="10"/>
      <c r="U856" s="4"/>
      <c r="V856" s="4"/>
      <c r="X856" s="4"/>
      <c r="Y856" s="4"/>
    </row>
    <row r="857" spans="20:25" x14ac:dyDescent="0.25">
      <c r="T857" s="10"/>
      <c r="U857" s="4"/>
      <c r="V857" s="4"/>
      <c r="X857" s="4"/>
      <c r="Y857" s="4"/>
    </row>
    <row r="858" spans="20:25" x14ac:dyDescent="0.25">
      <c r="T858" s="10"/>
      <c r="U858" s="4"/>
      <c r="V858" s="4"/>
      <c r="X858" s="4"/>
      <c r="Y858" s="4"/>
    </row>
    <row r="859" spans="20:25" x14ac:dyDescent="0.25">
      <c r="T859" s="10"/>
      <c r="U859" s="4"/>
      <c r="V859" s="4"/>
      <c r="X859" s="4"/>
      <c r="Y859" s="4"/>
    </row>
    <row r="860" spans="20:25" x14ac:dyDescent="0.25">
      <c r="T860" s="10"/>
      <c r="U860" s="4"/>
      <c r="V860" s="4"/>
      <c r="X860" s="4"/>
      <c r="Y860" s="4"/>
    </row>
    <row r="861" spans="20:25" x14ac:dyDescent="0.25">
      <c r="T861" s="10"/>
      <c r="U861" s="4"/>
      <c r="V861" s="4"/>
      <c r="X861" s="4"/>
      <c r="Y861" s="4"/>
    </row>
    <row r="862" spans="20:25" x14ac:dyDescent="0.25">
      <c r="T862" s="10"/>
      <c r="U862" s="4"/>
      <c r="V862" s="4"/>
      <c r="X862" s="4"/>
      <c r="Y862" s="4"/>
    </row>
    <row r="863" spans="20:25" x14ac:dyDescent="0.25">
      <c r="T863" s="10"/>
      <c r="U863" s="4"/>
      <c r="V863" s="4"/>
      <c r="X863" s="4"/>
      <c r="Y863" s="4"/>
    </row>
    <row r="864" spans="20:25" x14ac:dyDescent="0.25">
      <c r="T864" s="10"/>
      <c r="U864" s="4"/>
      <c r="V864" s="4"/>
      <c r="X864" s="4"/>
      <c r="Y864" s="4"/>
    </row>
    <row r="865" spans="20:25" x14ac:dyDescent="0.25">
      <c r="T865" s="10"/>
      <c r="U865" s="4"/>
      <c r="V865" s="4"/>
      <c r="X865" s="4"/>
      <c r="Y865" s="4"/>
    </row>
    <row r="866" spans="20:25" x14ac:dyDescent="0.25">
      <c r="T866" s="10"/>
      <c r="U866" s="4"/>
      <c r="V866" s="4"/>
      <c r="X866" s="4"/>
      <c r="Y866" s="4"/>
    </row>
    <row r="867" spans="20:25" x14ac:dyDescent="0.25">
      <c r="T867" s="10"/>
      <c r="U867" s="4"/>
      <c r="V867" s="4"/>
      <c r="X867" s="4"/>
      <c r="Y867" s="4"/>
    </row>
    <row r="868" spans="20:25" x14ac:dyDescent="0.25">
      <c r="T868" s="10"/>
      <c r="U868" s="4"/>
      <c r="V868" s="4"/>
      <c r="X868" s="4"/>
      <c r="Y868" s="4"/>
    </row>
    <row r="869" spans="20:25" x14ac:dyDescent="0.25">
      <c r="T869" s="10"/>
      <c r="U869" s="4"/>
      <c r="V869" s="4"/>
      <c r="X869" s="4"/>
      <c r="Y869" s="4"/>
    </row>
    <row r="870" spans="20:25" x14ac:dyDescent="0.25">
      <c r="T870" s="10"/>
      <c r="U870" s="4"/>
      <c r="V870" s="4"/>
      <c r="X870" s="4"/>
      <c r="Y870" s="4"/>
    </row>
    <row r="871" spans="20:25" x14ac:dyDescent="0.25">
      <c r="T871" s="10"/>
      <c r="U871" s="4"/>
      <c r="V871" s="4"/>
      <c r="X871" s="4"/>
      <c r="Y871" s="4"/>
    </row>
    <row r="872" spans="20:25" x14ac:dyDescent="0.25">
      <c r="T872" s="10"/>
      <c r="U872" s="4"/>
      <c r="V872" s="4"/>
      <c r="X872" s="4"/>
      <c r="Y872" s="4"/>
    </row>
    <row r="873" spans="20:25" x14ac:dyDescent="0.25">
      <c r="T873" s="10"/>
      <c r="U873" s="4"/>
      <c r="V873" s="4"/>
      <c r="X873" s="4"/>
      <c r="Y873" s="4"/>
    </row>
    <row r="874" spans="20:25" x14ac:dyDescent="0.25">
      <c r="T874" s="10"/>
      <c r="U874" s="4"/>
      <c r="V874" s="4"/>
      <c r="X874" s="4"/>
      <c r="Y874" s="4"/>
    </row>
    <row r="875" spans="20:25" x14ac:dyDescent="0.25">
      <c r="T875" s="10"/>
      <c r="U875" s="4"/>
      <c r="V875" s="4"/>
      <c r="X875" s="4"/>
      <c r="Y875" s="4"/>
    </row>
    <row r="876" spans="20:25" x14ac:dyDescent="0.25">
      <c r="T876" s="10"/>
      <c r="U876" s="4"/>
      <c r="V876" s="4"/>
      <c r="X876" s="4"/>
      <c r="Y876" s="4"/>
    </row>
    <row r="877" spans="20:25" x14ac:dyDescent="0.25">
      <c r="T877" s="10"/>
      <c r="U877" s="4"/>
      <c r="V877" s="4"/>
      <c r="X877" s="4"/>
      <c r="Y877" s="4"/>
    </row>
    <row r="878" spans="20:25" x14ac:dyDescent="0.25">
      <c r="T878" s="10"/>
      <c r="U878" s="4"/>
      <c r="V878" s="4"/>
      <c r="X878" s="4"/>
      <c r="Y878" s="4"/>
    </row>
    <row r="879" spans="20:25" x14ac:dyDescent="0.25">
      <c r="T879" s="10"/>
      <c r="U879" s="4"/>
      <c r="V879" s="4"/>
      <c r="X879" s="4"/>
      <c r="Y879" s="4"/>
    </row>
    <row r="880" spans="20:25" x14ac:dyDescent="0.25">
      <c r="T880" s="10"/>
      <c r="U880" s="4"/>
      <c r="V880" s="4"/>
      <c r="X880" s="4"/>
      <c r="Y880" s="4"/>
    </row>
    <row r="881" spans="20:25" x14ac:dyDescent="0.25">
      <c r="T881" s="10"/>
      <c r="U881" s="4"/>
      <c r="V881" s="4"/>
      <c r="X881" s="4"/>
      <c r="Y881" s="4"/>
    </row>
    <row r="882" spans="20:25" x14ac:dyDescent="0.25">
      <c r="T882" s="10"/>
      <c r="U882" s="4"/>
      <c r="V882" s="4"/>
      <c r="X882" s="4"/>
      <c r="Y882" s="4"/>
    </row>
    <row r="883" spans="20:25" x14ac:dyDescent="0.25">
      <c r="T883" s="10"/>
      <c r="U883" s="4"/>
      <c r="V883" s="4"/>
      <c r="X883" s="4"/>
      <c r="Y883" s="4"/>
    </row>
    <row r="884" spans="20:25" x14ac:dyDescent="0.25">
      <c r="T884" s="10"/>
      <c r="U884" s="4"/>
      <c r="V884" s="4"/>
      <c r="X884" s="4"/>
      <c r="Y884" s="4"/>
    </row>
    <row r="885" spans="20:25" x14ac:dyDescent="0.25">
      <c r="T885" s="10"/>
      <c r="U885" s="4"/>
      <c r="V885" s="4"/>
      <c r="X885" s="4"/>
      <c r="Y885" s="4"/>
    </row>
    <row r="886" spans="20:25" x14ac:dyDescent="0.25">
      <c r="T886" s="10"/>
      <c r="U886" s="4"/>
      <c r="V886" s="4"/>
      <c r="X886" s="4"/>
      <c r="Y886" s="4"/>
    </row>
    <row r="887" spans="20:25" x14ac:dyDescent="0.25">
      <c r="T887" s="10"/>
      <c r="U887" s="4"/>
      <c r="V887" s="4"/>
      <c r="X887" s="4"/>
      <c r="Y887" s="4"/>
    </row>
    <row r="888" spans="20:25" x14ac:dyDescent="0.25">
      <c r="T888" s="10"/>
      <c r="U888" s="4"/>
      <c r="V888" s="4"/>
      <c r="X888" s="4"/>
      <c r="Y888" s="4"/>
    </row>
    <row r="889" spans="20:25" x14ac:dyDescent="0.25">
      <c r="T889" s="10"/>
      <c r="U889" s="4"/>
      <c r="V889" s="4"/>
      <c r="X889" s="4"/>
      <c r="Y889" s="4"/>
    </row>
    <row r="890" spans="20:25" x14ac:dyDescent="0.25">
      <c r="T890" s="10"/>
      <c r="U890" s="4"/>
      <c r="V890" s="4"/>
      <c r="X890" s="4"/>
      <c r="Y890" s="4"/>
    </row>
    <row r="891" spans="20:25" x14ac:dyDescent="0.25">
      <c r="T891" s="10"/>
      <c r="U891" s="4"/>
      <c r="V891" s="4"/>
      <c r="X891" s="4"/>
      <c r="Y891" s="4"/>
    </row>
    <row r="892" spans="20:25" x14ac:dyDescent="0.25">
      <c r="T892" s="10"/>
      <c r="U892" s="4"/>
      <c r="V892" s="4"/>
      <c r="X892" s="4"/>
      <c r="Y892" s="4"/>
    </row>
    <row r="893" spans="20:25" x14ac:dyDescent="0.25">
      <c r="T893" s="10"/>
      <c r="U893" s="4"/>
      <c r="V893" s="4"/>
      <c r="X893" s="4"/>
      <c r="Y893" s="4"/>
    </row>
    <row r="894" spans="20:25" x14ac:dyDescent="0.25">
      <c r="T894" s="10"/>
      <c r="U894" s="4"/>
      <c r="V894" s="4"/>
      <c r="X894" s="4"/>
      <c r="Y894" s="4"/>
    </row>
    <row r="895" spans="20:25" x14ac:dyDescent="0.25">
      <c r="T895" s="10"/>
      <c r="U895" s="4"/>
      <c r="V895" s="4"/>
      <c r="X895" s="4"/>
      <c r="Y895" s="4"/>
    </row>
    <row r="896" spans="20:25" x14ac:dyDescent="0.25">
      <c r="T896" s="10"/>
      <c r="U896" s="4"/>
      <c r="V896" s="4"/>
      <c r="X896" s="4"/>
      <c r="Y896" s="4"/>
    </row>
    <row r="897" spans="20:25" x14ac:dyDescent="0.25">
      <c r="T897" s="10"/>
      <c r="U897" s="4"/>
      <c r="V897" s="4"/>
      <c r="X897" s="4"/>
      <c r="Y897" s="4"/>
    </row>
    <row r="898" spans="20:25" x14ac:dyDescent="0.25">
      <c r="T898" s="10"/>
      <c r="U898" s="4"/>
      <c r="V898" s="4"/>
      <c r="X898" s="4"/>
      <c r="Y898" s="4"/>
    </row>
    <row r="899" spans="20:25" x14ac:dyDescent="0.25">
      <c r="T899" s="10"/>
      <c r="U899" s="4"/>
      <c r="V899" s="4"/>
      <c r="X899" s="4"/>
      <c r="Y899" s="4"/>
    </row>
    <row r="900" spans="20:25" x14ac:dyDescent="0.25">
      <c r="T900" s="10"/>
      <c r="U900" s="4"/>
      <c r="V900" s="4"/>
      <c r="X900" s="4"/>
      <c r="Y900" s="4"/>
    </row>
    <row r="901" spans="20:25" x14ac:dyDescent="0.25">
      <c r="T901" s="10"/>
      <c r="U901" s="4"/>
      <c r="V901" s="4"/>
      <c r="X901" s="4"/>
      <c r="Y901" s="4"/>
    </row>
    <row r="902" spans="20:25" x14ac:dyDescent="0.25">
      <c r="T902" s="10"/>
      <c r="U902" s="4"/>
      <c r="V902" s="4"/>
      <c r="X902" s="4"/>
      <c r="Y902" s="4"/>
    </row>
    <row r="903" spans="20:25" x14ac:dyDescent="0.25">
      <c r="T903" s="10"/>
      <c r="U903" s="4"/>
      <c r="V903" s="4"/>
      <c r="X903" s="4"/>
      <c r="Y903" s="4"/>
    </row>
    <row r="904" spans="20:25" x14ac:dyDescent="0.25">
      <c r="T904" s="10"/>
      <c r="U904" s="4"/>
      <c r="V904" s="4"/>
      <c r="X904" s="4"/>
      <c r="Y904" s="4"/>
    </row>
    <row r="905" spans="20:25" x14ac:dyDescent="0.25">
      <c r="T905" s="10"/>
      <c r="U905" s="4"/>
      <c r="V905" s="4"/>
      <c r="X905" s="4"/>
      <c r="Y905" s="4"/>
    </row>
    <row r="906" spans="20:25" x14ac:dyDescent="0.25">
      <c r="T906" s="10"/>
      <c r="U906" s="4"/>
      <c r="V906" s="4"/>
      <c r="X906" s="4"/>
      <c r="Y906" s="4"/>
    </row>
    <row r="907" spans="20:25" x14ac:dyDescent="0.25">
      <c r="T907" s="10"/>
      <c r="U907" s="4"/>
      <c r="V907" s="4"/>
      <c r="X907" s="4"/>
      <c r="Y907" s="4"/>
    </row>
    <row r="908" spans="20:25" x14ac:dyDescent="0.25">
      <c r="T908" s="10"/>
      <c r="U908" s="4"/>
      <c r="V908" s="4"/>
      <c r="X908" s="4"/>
      <c r="Y908" s="4"/>
    </row>
    <row r="909" spans="20:25" x14ac:dyDescent="0.25">
      <c r="T909" s="10"/>
      <c r="U909" s="4"/>
      <c r="V909" s="4"/>
      <c r="X909" s="4"/>
      <c r="Y909" s="4"/>
    </row>
    <row r="910" spans="20:25" x14ac:dyDescent="0.25">
      <c r="T910" s="10"/>
      <c r="U910" s="4"/>
      <c r="V910" s="4"/>
      <c r="X910" s="4"/>
      <c r="Y910" s="4"/>
    </row>
    <row r="911" spans="20:25" x14ac:dyDescent="0.25">
      <c r="T911" s="10"/>
      <c r="U911" s="4"/>
      <c r="V911" s="4"/>
      <c r="X911" s="4"/>
      <c r="Y911" s="4"/>
    </row>
    <row r="912" spans="20:25" x14ac:dyDescent="0.25">
      <c r="T912" s="10"/>
      <c r="U912" s="4"/>
      <c r="V912" s="4"/>
      <c r="X912" s="4"/>
      <c r="Y912" s="4"/>
    </row>
    <row r="913" spans="20:25" x14ac:dyDescent="0.25">
      <c r="T913" s="10"/>
      <c r="U913" s="4"/>
      <c r="V913" s="4"/>
      <c r="X913" s="4"/>
      <c r="Y913" s="4"/>
    </row>
    <row r="914" spans="20:25" x14ac:dyDescent="0.25">
      <c r="T914" s="10"/>
      <c r="U914" s="4"/>
      <c r="V914" s="4"/>
      <c r="X914" s="4"/>
      <c r="Y914" s="4"/>
    </row>
    <row r="915" spans="20:25" x14ac:dyDescent="0.25">
      <c r="T915" s="10"/>
      <c r="U915" s="4"/>
      <c r="V915" s="4"/>
      <c r="X915" s="4"/>
      <c r="Y915" s="4"/>
    </row>
    <row r="916" spans="20:25" x14ac:dyDescent="0.25">
      <c r="T916" s="10"/>
      <c r="U916" s="4"/>
      <c r="V916" s="4"/>
      <c r="X916" s="4"/>
      <c r="Y916" s="4"/>
    </row>
    <row r="917" spans="20:25" x14ac:dyDescent="0.25">
      <c r="T917" s="10"/>
      <c r="U917" s="4"/>
      <c r="V917" s="4"/>
      <c r="X917" s="4"/>
      <c r="Y917" s="4"/>
    </row>
    <row r="918" spans="20:25" x14ac:dyDescent="0.25">
      <c r="T918" s="10"/>
      <c r="U918" s="4"/>
      <c r="V918" s="4"/>
      <c r="X918" s="4"/>
      <c r="Y918" s="4"/>
    </row>
    <row r="919" spans="20:25" x14ac:dyDescent="0.25">
      <c r="T919" s="10"/>
      <c r="U919" s="4"/>
      <c r="V919" s="4"/>
      <c r="X919" s="4"/>
      <c r="Y919" s="4"/>
    </row>
    <row r="920" spans="20:25" x14ac:dyDescent="0.25">
      <c r="T920" s="10"/>
      <c r="U920" s="4"/>
      <c r="V920" s="4"/>
      <c r="X920" s="4"/>
      <c r="Y920" s="4"/>
    </row>
    <row r="921" spans="20:25" x14ac:dyDescent="0.25">
      <c r="T921" s="10"/>
      <c r="U921" s="4"/>
      <c r="V921" s="4"/>
      <c r="X921" s="4"/>
      <c r="Y921" s="4"/>
    </row>
    <row r="922" spans="20:25" x14ac:dyDescent="0.25">
      <c r="T922" s="10"/>
      <c r="U922" s="4"/>
      <c r="V922" s="4"/>
      <c r="X922" s="4"/>
      <c r="Y922" s="4"/>
    </row>
    <row r="923" spans="20:25" x14ac:dyDescent="0.25">
      <c r="T923" s="10"/>
      <c r="U923" s="4"/>
      <c r="V923" s="4"/>
      <c r="X923" s="4"/>
      <c r="Y923" s="4"/>
    </row>
    <row r="924" spans="20:25" x14ac:dyDescent="0.25">
      <c r="T924" s="10"/>
      <c r="U924" s="4"/>
      <c r="V924" s="4"/>
      <c r="X924" s="4"/>
      <c r="Y924" s="4"/>
    </row>
    <row r="925" spans="20:25" x14ac:dyDescent="0.25">
      <c r="T925" s="10"/>
      <c r="U925" s="4"/>
      <c r="V925" s="4"/>
      <c r="X925" s="4"/>
      <c r="Y925" s="4"/>
    </row>
    <row r="926" spans="20:25" x14ac:dyDescent="0.25">
      <c r="T926" s="10"/>
      <c r="U926" s="4"/>
      <c r="V926" s="4"/>
      <c r="X926" s="4"/>
      <c r="Y926" s="4"/>
    </row>
    <row r="927" spans="20:25" x14ac:dyDescent="0.25">
      <c r="T927" s="10"/>
      <c r="U927" s="4"/>
      <c r="V927" s="4"/>
      <c r="X927" s="4"/>
      <c r="Y927" s="4"/>
    </row>
    <row r="928" spans="20:25" x14ac:dyDescent="0.25">
      <c r="T928" s="10"/>
      <c r="U928" s="4"/>
      <c r="V928" s="4"/>
      <c r="X928" s="4"/>
      <c r="Y928" s="4"/>
    </row>
    <row r="929" spans="20:25" x14ac:dyDescent="0.25">
      <c r="T929" s="10"/>
      <c r="U929" s="4"/>
      <c r="V929" s="4"/>
      <c r="X929" s="4"/>
      <c r="Y929" s="4"/>
    </row>
    <row r="930" spans="20:25" x14ac:dyDescent="0.25">
      <c r="T930" s="10"/>
      <c r="U930" s="4"/>
      <c r="V930" s="4"/>
      <c r="X930" s="4"/>
      <c r="Y930" s="4"/>
    </row>
    <row r="931" spans="20:25" x14ac:dyDescent="0.25">
      <c r="T931" s="10"/>
      <c r="U931" s="4"/>
      <c r="V931" s="4"/>
      <c r="X931" s="4"/>
      <c r="Y931" s="4"/>
    </row>
    <row r="932" spans="20:25" x14ac:dyDescent="0.25">
      <c r="T932" s="10"/>
      <c r="U932" s="4"/>
      <c r="V932" s="4"/>
      <c r="X932" s="4"/>
      <c r="Y932" s="4"/>
    </row>
    <row r="933" spans="20:25" x14ac:dyDescent="0.25">
      <c r="T933" s="10"/>
      <c r="U933" s="4"/>
      <c r="V933" s="4"/>
      <c r="X933" s="4"/>
      <c r="Y933" s="4"/>
    </row>
    <row r="934" spans="20:25" x14ac:dyDescent="0.25">
      <c r="T934" s="10"/>
      <c r="U934" s="4"/>
      <c r="V934" s="4"/>
      <c r="X934" s="4"/>
      <c r="Y934" s="4"/>
    </row>
    <row r="935" spans="20:25" x14ac:dyDescent="0.25">
      <c r="T935" s="10"/>
      <c r="U935" s="4"/>
      <c r="V935" s="4"/>
      <c r="X935" s="4"/>
      <c r="Y935" s="4"/>
    </row>
    <row r="936" spans="20:25" x14ac:dyDescent="0.25">
      <c r="T936" s="10"/>
      <c r="U936" s="4"/>
      <c r="V936" s="4"/>
      <c r="X936" s="4"/>
      <c r="Y936" s="4"/>
    </row>
    <row r="937" spans="20:25" x14ac:dyDescent="0.25">
      <c r="T937" s="10"/>
      <c r="U937" s="4"/>
      <c r="V937" s="4"/>
      <c r="X937" s="4"/>
      <c r="Y937" s="4"/>
    </row>
    <row r="938" spans="20:25" x14ac:dyDescent="0.25">
      <c r="T938" s="10"/>
      <c r="U938" s="4"/>
      <c r="V938" s="4"/>
      <c r="X938" s="4"/>
      <c r="Y938" s="4"/>
    </row>
    <row r="939" spans="20:25" x14ac:dyDescent="0.25">
      <c r="T939" s="10"/>
      <c r="U939" s="4"/>
      <c r="V939" s="4"/>
      <c r="X939" s="4"/>
      <c r="Y939" s="4"/>
    </row>
    <row r="940" spans="20:25" x14ac:dyDescent="0.25">
      <c r="T940" s="10"/>
      <c r="U940" s="4"/>
      <c r="V940" s="4"/>
      <c r="X940" s="4"/>
      <c r="Y940" s="4"/>
    </row>
    <row r="941" spans="20:25" x14ac:dyDescent="0.25">
      <c r="T941" s="10"/>
      <c r="U941" s="4"/>
      <c r="V941" s="4"/>
      <c r="X941" s="4"/>
      <c r="Y941" s="4"/>
    </row>
    <row r="942" spans="20:25" x14ac:dyDescent="0.25">
      <c r="T942" s="10"/>
      <c r="U942" s="4"/>
      <c r="V942" s="4"/>
      <c r="X942" s="4"/>
      <c r="Y942" s="4"/>
    </row>
    <row r="943" spans="20:25" x14ac:dyDescent="0.25">
      <c r="T943" s="10"/>
      <c r="U943" s="4"/>
      <c r="V943" s="4"/>
      <c r="X943" s="4"/>
      <c r="Y943" s="4"/>
    </row>
    <row r="944" spans="20:25" x14ac:dyDescent="0.25">
      <c r="T944" s="10"/>
      <c r="U944" s="4"/>
      <c r="V944" s="4"/>
      <c r="X944" s="4"/>
      <c r="Y944" s="4"/>
    </row>
    <row r="945" spans="20:25" x14ac:dyDescent="0.25">
      <c r="T945" s="10"/>
      <c r="U945" s="4"/>
      <c r="V945" s="4"/>
      <c r="X945" s="4"/>
      <c r="Y945" s="4"/>
    </row>
    <row r="946" spans="20:25" x14ac:dyDescent="0.25">
      <c r="T946" s="10"/>
      <c r="U946" s="4"/>
      <c r="V946" s="4"/>
      <c r="X946" s="4"/>
      <c r="Y946" s="4"/>
    </row>
    <row r="947" spans="20:25" x14ac:dyDescent="0.25">
      <c r="T947" s="10"/>
      <c r="U947" s="4"/>
      <c r="V947" s="4"/>
      <c r="X947" s="4"/>
      <c r="Y947" s="4"/>
    </row>
    <row r="948" spans="20:25" x14ac:dyDescent="0.25">
      <c r="T948" s="10"/>
      <c r="U948" s="4"/>
      <c r="V948" s="4"/>
      <c r="X948" s="4"/>
      <c r="Y948" s="4"/>
    </row>
    <row r="949" spans="20:25" x14ac:dyDescent="0.25">
      <c r="T949" s="10"/>
      <c r="U949" s="4"/>
      <c r="V949" s="4"/>
      <c r="X949" s="4"/>
      <c r="Y949" s="4"/>
    </row>
    <row r="950" spans="20:25" x14ac:dyDescent="0.25">
      <c r="T950" s="10"/>
      <c r="U950" s="4"/>
      <c r="V950" s="4"/>
      <c r="X950" s="4"/>
      <c r="Y950" s="4"/>
    </row>
    <row r="951" spans="20:25" x14ac:dyDescent="0.25">
      <c r="T951" s="10"/>
      <c r="U951" s="4"/>
      <c r="V951" s="4"/>
      <c r="X951" s="4"/>
      <c r="Y951" s="4"/>
    </row>
    <row r="952" spans="20:25" x14ac:dyDescent="0.25">
      <c r="T952" s="10"/>
      <c r="U952" s="4"/>
      <c r="V952" s="4"/>
      <c r="X952" s="4"/>
      <c r="Y952" s="4"/>
    </row>
    <row r="953" spans="20:25" x14ac:dyDescent="0.25">
      <c r="T953" s="10"/>
      <c r="U953" s="4"/>
      <c r="V953" s="4"/>
      <c r="X953" s="4"/>
      <c r="Y953" s="4"/>
    </row>
    <row r="954" spans="20:25" x14ac:dyDescent="0.25">
      <c r="T954" s="10"/>
      <c r="U954" s="4"/>
      <c r="V954" s="4"/>
      <c r="X954" s="4"/>
      <c r="Y954" s="4"/>
    </row>
    <row r="955" spans="20:25" x14ac:dyDescent="0.25">
      <c r="T955" s="10"/>
      <c r="U955" s="4"/>
      <c r="V955" s="4"/>
      <c r="X955" s="4"/>
      <c r="Y955" s="4"/>
    </row>
    <row r="956" spans="20:25" x14ac:dyDescent="0.25">
      <c r="T956" s="10"/>
      <c r="U956" s="4"/>
      <c r="V956" s="4"/>
      <c r="X956" s="4"/>
      <c r="Y956" s="4"/>
    </row>
    <row r="957" spans="20:25" x14ac:dyDescent="0.25">
      <c r="T957" s="10"/>
      <c r="U957" s="4"/>
      <c r="V957" s="4"/>
      <c r="X957" s="4"/>
      <c r="Y957" s="4"/>
    </row>
    <row r="958" spans="20:25" x14ac:dyDescent="0.25">
      <c r="T958" s="10"/>
      <c r="U958" s="4"/>
      <c r="V958" s="4"/>
      <c r="X958" s="4"/>
      <c r="Y958" s="4"/>
    </row>
    <row r="959" spans="20:25" x14ac:dyDescent="0.25">
      <c r="T959" s="10"/>
      <c r="U959" s="4"/>
      <c r="V959" s="4"/>
      <c r="X959" s="4"/>
      <c r="Y959" s="4"/>
    </row>
    <row r="960" spans="20:25" x14ac:dyDescent="0.25">
      <c r="T960" s="10"/>
      <c r="U960" s="4"/>
      <c r="V960" s="4"/>
      <c r="X960" s="4"/>
      <c r="Y960" s="4"/>
    </row>
    <row r="961" spans="20:25" x14ac:dyDescent="0.25">
      <c r="T961" s="10"/>
      <c r="U961" s="4"/>
      <c r="V961" s="4"/>
      <c r="X961" s="4"/>
      <c r="Y961" s="4"/>
    </row>
    <row r="962" spans="20:25" x14ac:dyDescent="0.25">
      <c r="T962" s="10"/>
      <c r="U962" s="4"/>
      <c r="V962" s="4"/>
      <c r="X962" s="4"/>
      <c r="Y962" s="4"/>
    </row>
    <row r="963" spans="20:25" x14ac:dyDescent="0.25">
      <c r="T963" s="10"/>
      <c r="U963" s="4"/>
      <c r="V963" s="4"/>
      <c r="X963" s="4"/>
      <c r="Y963" s="4"/>
    </row>
    <row r="964" spans="20:25" x14ac:dyDescent="0.25">
      <c r="T964" s="10"/>
      <c r="U964" s="4"/>
      <c r="V964" s="4"/>
      <c r="X964" s="4"/>
      <c r="Y964" s="4"/>
    </row>
    <row r="965" spans="20:25" x14ac:dyDescent="0.25">
      <c r="T965" s="10"/>
      <c r="U965" s="4"/>
      <c r="V965" s="4"/>
      <c r="X965" s="4"/>
      <c r="Y965" s="4"/>
    </row>
    <row r="966" spans="20:25" x14ac:dyDescent="0.25">
      <c r="T966" s="10"/>
      <c r="U966" s="4"/>
      <c r="V966" s="4"/>
      <c r="X966" s="4"/>
      <c r="Y966" s="4"/>
    </row>
    <row r="967" spans="20:25" x14ac:dyDescent="0.25">
      <c r="T967" s="10"/>
      <c r="U967" s="4"/>
      <c r="V967" s="4"/>
      <c r="X967" s="4"/>
      <c r="Y967" s="4"/>
    </row>
    <row r="968" spans="20:25" x14ac:dyDescent="0.25">
      <c r="T968" s="10"/>
      <c r="U968" s="4"/>
      <c r="V968" s="4"/>
      <c r="X968" s="4"/>
      <c r="Y968" s="4"/>
    </row>
    <row r="969" spans="20:25" x14ac:dyDescent="0.25">
      <c r="T969" s="10"/>
      <c r="U969" s="4"/>
      <c r="V969" s="4"/>
      <c r="X969" s="4"/>
      <c r="Y969" s="4"/>
    </row>
    <row r="970" spans="20:25" x14ac:dyDescent="0.25">
      <c r="T970" s="10"/>
      <c r="U970" s="4"/>
      <c r="V970" s="4"/>
      <c r="X970" s="4"/>
      <c r="Y970" s="4"/>
    </row>
    <row r="971" spans="20:25" x14ac:dyDescent="0.25">
      <c r="T971" s="10"/>
      <c r="U971" s="4"/>
      <c r="V971" s="4"/>
      <c r="X971" s="4"/>
      <c r="Y971" s="4"/>
    </row>
    <row r="972" spans="20:25" x14ac:dyDescent="0.25">
      <c r="T972" s="10"/>
      <c r="U972" s="4"/>
      <c r="V972" s="4"/>
      <c r="X972" s="4"/>
      <c r="Y972" s="4"/>
    </row>
    <row r="973" spans="20:25" x14ac:dyDescent="0.25">
      <c r="T973" s="10"/>
      <c r="U973" s="4"/>
      <c r="V973" s="4"/>
      <c r="X973" s="4"/>
      <c r="Y973" s="4"/>
    </row>
    <row r="974" spans="20:25" x14ac:dyDescent="0.25">
      <c r="T974" s="10"/>
      <c r="U974" s="4"/>
      <c r="V974" s="4"/>
      <c r="X974" s="4"/>
      <c r="Y974" s="4"/>
    </row>
    <row r="975" spans="20:25" x14ac:dyDescent="0.25">
      <c r="T975" s="10"/>
      <c r="U975" s="4"/>
      <c r="V975" s="4"/>
      <c r="X975" s="4"/>
      <c r="Y975" s="4"/>
    </row>
    <row r="976" spans="20:25" x14ac:dyDescent="0.25">
      <c r="T976" s="10"/>
      <c r="U976" s="4"/>
      <c r="V976" s="4"/>
      <c r="X976" s="4"/>
      <c r="Y976" s="4"/>
    </row>
    <row r="977" spans="20:25" x14ac:dyDescent="0.25">
      <c r="T977" s="10"/>
      <c r="U977" s="4"/>
      <c r="V977" s="4"/>
      <c r="X977" s="4"/>
      <c r="Y977" s="4"/>
    </row>
    <row r="978" spans="20:25" x14ac:dyDescent="0.25">
      <c r="T978" s="10"/>
      <c r="U978" s="4"/>
      <c r="V978" s="4"/>
      <c r="X978" s="4"/>
      <c r="Y978" s="4"/>
    </row>
    <row r="979" spans="20:25" x14ac:dyDescent="0.25">
      <c r="T979" s="10"/>
      <c r="U979" s="4"/>
      <c r="V979" s="4"/>
      <c r="X979" s="4"/>
      <c r="Y979" s="4"/>
    </row>
    <row r="980" spans="20:25" x14ac:dyDescent="0.25">
      <c r="T980" s="10"/>
      <c r="U980" s="4"/>
      <c r="V980" s="4"/>
      <c r="X980" s="4"/>
      <c r="Y980" s="4"/>
    </row>
    <row r="981" spans="20:25" x14ac:dyDescent="0.25">
      <c r="T981" s="10"/>
      <c r="U981" s="4"/>
      <c r="V981" s="4"/>
      <c r="X981" s="4"/>
      <c r="Y981" s="4"/>
    </row>
    <row r="982" spans="20:25" x14ac:dyDescent="0.25">
      <c r="T982" s="10"/>
      <c r="U982" s="4"/>
      <c r="V982" s="4"/>
      <c r="X982" s="4"/>
      <c r="Y982" s="4"/>
    </row>
    <row r="983" spans="20:25" x14ac:dyDescent="0.25">
      <c r="T983" s="10"/>
      <c r="U983" s="4"/>
      <c r="V983" s="4"/>
      <c r="X983" s="4"/>
      <c r="Y983" s="4"/>
    </row>
    <row r="984" spans="20:25" x14ac:dyDescent="0.25">
      <c r="T984" s="10"/>
      <c r="U984" s="4"/>
      <c r="V984" s="4"/>
      <c r="X984" s="4"/>
      <c r="Y984" s="4"/>
    </row>
    <row r="985" spans="20:25" x14ac:dyDescent="0.25">
      <c r="T985" s="10"/>
      <c r="U985" s="4"/>
      <c r="V985" s="4"/>
      <c r="X985" s="4"/>
      <c r="Y985" s="4"/>
    </row>
    <row r="986" spans="20:25" x14ac:dyDescent="0.25">
      <c r="T986" s="10"/>
      <c r="U986" s="4"/>
      <c r="V986" s="4"/>
      <c r="X986" s="4"/>
      <c r="Y986" s="4"/>
    </row>
    <row r="987" spans="20:25" x14ac:dyDescent="0.25">
      <c r="T987" s="10"/>
      <c r="U987" s="4"/>
      <c r="V987" s="4"/>
      <c r="X987" s="4"/>
      <c r="Y987" s="4"/>
    </row>
    <row r="988" spans="20:25" x14ac:dyDescent="0.25">
      <c r="T988" s="10"/>
      <c r="U988" s="4"/>
      <c r="V988" s="4"/>
      <c r="X988" s="4"/>
      <c r="Y988" s="4"/>
    </row>
    <row r="989" spans="20:25" x14ac:dyDescent="0.25">
      <c r="T989" s="10"/>
      <c r="U989" s="4"/>
      <c r="V989" s="4"/>
      <c r="X989" s="4"/>
      <c r="Y989" s="4"/>
    </row>
    <row r="990" spans="20:25" x14ac:dyDescent="0.25">
      <c r="T990" s="10"/>
      <c r="U990" s="4"/>
      <c r="V990" s="4"/>
      <c r="X990" s="4"/>
      <c r="Y990" s="4"/>
    </row>
    <row r="991" spans="20:25" x14ac:dyDescent="0.25">
      <c r="T991" s="10"/>
      <c r="U991" s="4"/>
      <c r="V991" s="4"/>
      <c r="X991" s="4"/>
      <c r="Y991" s="4"/>
    </row>
    <row r="992" spans="20:25" x14ac:dyDescent="0.25">
      <c r="T992" s="10"/>
      <c r="U992" s="4"/>
      <c r="V992" s="4"/>
      <c r="X992" s="4"/>
      <c r="Y992" s="4"/>
    </row>
    <row r="993" spans="20:25" x14ac:dyDescent="0.25">
      <c r="T993" s="10"/>
      <c r="U993" s="4"/>
      <c r="V993" s="4"/>
      <c r="X993" s="4"/>
      <c r="Y993" s="4"/>
    </row>
    <row r="994" spans="20:25" x14ac:dyDescent="0.25">
      <c r="T994" s="10"/>
      <c r="U994" s="4"/>
      <c r="V994" s="4"/>
      <c r="X994" s="4"/>
      <c r="Y994" s="4"/>
    </row>
    <row r="995" spans="20:25" x14ac:dyDescent="0.25">
      <c r="T995" s="10"/>
      <c r="U995" s="4"/>
      <c r="V995" s="4"/>
      <c r="X995" s="4"/>
      <c r="Y995" s="4"/>
    </row>
    <row r="996" spans="20:25" x14ac:dyDescent="0.25">
      <c r="T996" s="10"/>
      <c r="U996" s="4"/>
      <c r="V996" s="4"/>
      <c r="X996" s="4"/>
      <c r="Y996" s="4"/>
    </row>
    <row r="997" spans="20:25" x14ac:dyDescent="0.25">
      <c r="T997" s="10"/>
      <c r="U997" s="4"/>
      <c r="V997" s="4"/>
      <c r="X997" s="4"/>
      <c r="Y997" s="4"/>
    </row>
    <row r="998" spans="20:25" x14ac:dyDescent="0.25">
      <c r="T998" s="10"/>
      <c r="U998" s="4"/>
      <c r="V998" s="4"/>
      <c r="X998" s="4"/>
      <c r="Y998" s="4"/>
    </row>
    <row r="999" spans="20:25" x14ac:dyDescent="0.25">
      <c r="T999" s="10"/>
      <c r="U999" s="4"/>
      <c r="V999" s="4"/>
      <c r="X999" s="4"/>
      <c r="Y999" s="4"/>
    </row>
    <row r="1000" spans="20:25" x14ac:dyDescent="0.25">
      <c r="T1000" s="10"/>
      <c r="U1000" s="4"/>
      <c r="V1000" s="4"/>
      <c r="X1000" s="4"/>
      <c r="Y1000" s="4"/>
    </row>
    <row r="1001" spans="20:25" x14ac:dyDescent="0.25">
      <c r="T1001" s="10"/>
      <c r="U1001" s="4"/>
      <c r="V1001" s="4"/>
      <c r="X1001" s="4"/>
      <c r="Y1001" s="4"/>
    </row>
    <row r="1002" spans="20:25" x14ac:dyDescent="0.25">
      <c r="T1002" s="10"/>
      <c r="U1002" s="4"/>
      <c r="V1002" s="4"/>
      <c r="X1002" s="4"/>
      <c r="Y1002" s="4"/>
    </row>
    <row r="1003" spans="20:25" x14ac:dyDescent="0.25">
      <c r="T1003" s="10"/>
      <c r="U1003" s="4"/>
      <c r="V1003" s="4"/>
      <c r="X1003" s="4"/>
      <c r="Y1003" s="4"/>
    </row>
    <row r="1004" spans="20:25" x14ac:dyDescent="0.25">
      <c r="T1004" s="10"/>
      <c r="U1004" s="4"/>
      <c r="V1004" s="4"/>
      <c r="X1004" s="4"/>
      <c r="Y1004" s="4"/>
    </row>
    <row r="1005" spans="20:25" x14ac:dyDescent="0.25">
      <c r="T1005" s="10"/>
      <c r="U1005" s="4"/>
      <c r="V1005" s="4"/>
      <c r="X1005" s="4"/>
      <c r="Y1005" s="4"/>
    </row>
    <row r="1006" spans="20:25" x14ac:dyDescent="0.25">
      <c r="T1006" s="10"/>
      <c r="U1006" s="4"/>
      <c r="V1006" s="4"/>
      <c r="X1006" s="4"/>
      <c r="Y1006" s="4"/>
    </row>
    <row r="1007" spans="20:25" x14ac:dyDescent="0.25">
      <c r="T1007" s="10"/>
      <c r="U1007" s="4"/>
      <c r="V1007" s="4"/>
      <c r="X1007" s="4"/>
      <c r="Y1007" s="4"/>
    </row>
    <row r="1008" spans="20:25" x14ac:dyDescent="0.25">
      <c r="T1008" s="10"/>
      <c r="U1008" s="4"/>
      <c r="V1008" s="4"/>
      <c r="X1008" s="4"/>
      <c r="Y1008" s="4"/>
    </row>
    <row r="1009" spans="20:25" x14ac:dyDescent="0.25">
      <c r="T1009" s="10"/>
      <c r="U1009" s="4"/>
      <c r="V1009" s="4"/>
      <c r="X1009" s="4"/>
      <c r="Y1009" s="4"/>
    </row>
    <row r="1010" spans="20:25" x14ac:dyDescent="0.25">
      <c r="T1010" s="10"/>
      <c r="U1010" s="4"/>
      <c r="V1010" s="4"/>
      <c r="X1010" s="4"/>
      <c r="Y1010" s="4"/>
    </row>
    <row r="1011" spans="20:25" x14ac:dyDescent="0.25">
      <c r="T1011" s="10"/>
      <c r="U1011" s="4"/>
      <c r="V1011" s="4"/>
      <c r="X1011" s="4"/>
      <c r="Y1011" s="4"/>
    </row>
    <row r="1012" spans="20:25" x14ac:dyDescent="0.25">
      <c r="T1012" s="10"/>
      <c r="U1012" s="4"/>
      <c r="V1012" s="4"/>
      <c r="X1012" s="4"/>
      <c r="Y1012" s="4"/>
    </row>
    <row r="1013" spans="20:25" x14ac:dyDescent="0.25">
      <c r="T1013" s="10"/>
      <c r="U1013" s="4"/>
      <c r="V1013" s="4"/>
      <c r="X1013" s="4"/>
      <c r="Y1013" s="4"/>
    </row>
    <row r="1014" spans="20:25" x14ac:dyDescent="0.25">
      <c r="T1014" s="10"/>
      <c r="U1014" s="4"/>
      <c r="V1014" s="4"/>
      <c r="X1014" s="4"/>
      <c r="Y1014" s="4"/>
    </row>
    <row r="1015" spans="20:25" x14ac:dyDescent="0.25">
      <c r="T1015" s="10"/>
      <c r="U1015" s="4"/>
      <c r="V1015" s="4"/>
      <c r="X1015" s="4"/>
      <c r="Y1015" s="4"/>
    </row>
    <row r="1016" spans="20:25" x14ac:dyDescent="0.25">
      <c r="T1016" s="10"/>
      <c r="U1016" s="4"/>
      <c r="V1016" s="4"/>
      <c r="X1016" s="4"/>
      <c r="Y1016" s="4"/>
    </row>
    <row r="1017" spans="20:25" x14ac:dyDescent="0.25">
      <c r="T1017" s="10"/>
      <c r="U1017" s="4"/>
      <c r="V1017" s="4"/>
      <c r="X1017" s="4"/>
      <c r="Y1017" s="4"/>
    </row>
    <row r="1018" spans="20:25" x14ac:dyDescent="0.25">
      <c r="T1018" s="10"/>
      <c r="U1018" s="4"/>
      <c r="V1018" s="4"/>
      <c r="X1018" s="4"/>
      <c r="Y1018" s="4"/>
    </row>
    <row r="1019" spans="20:25" x14ac:dyDescent="0.25">
      <c r="T1019" s="10"/>
      <c r="U1019" s="4"/>
      <c r="V1019" s="4"/>
      <c r="X1019" s="4"/>
      <c r="Y1019" s="4"/>
    </row>
    <row r="1020" spans="20:25" x14ac:dyDescent="0.25">
      <c r="T1020" s="10"/>
      <c r="U1020" s="4"/>
      <c r="V1020" s="4"/>
      <c r="X1020" s="4"/>
      <c r="Y1020" s="4"/>
    </row>
    <row r="1021" spans="20:25" x14ac:dyDescent="0.25">
      <c r="T1021" s="10"/>
      <c r="U1021" s="4"/>
      <c r="V1021" s="4"/>
      <c r="X1021" s="4"/>
      <c r="Y1021" s="4"/>
    </row>
    <row r="1022" spans="20:25" x14ac:dyDescent="0.25">
      <c r="T1022" s="10"/>
      <c r="U1022" s="4"/>
      <c r="V1022" s="4"/>
      <c r="X1022" s="4"/>
      <c r="Y1022" s="4"/>
    </row>
    <row r="1023" spans="20:25" x14ac:dyDescent="0.25">
      <c r="T1023" s="10"/>
      <c r="U1023" s="4"/>
      <c r="V1023" s="4"/>
      <c r="X1023" s="4"/>
      <c r="Y1023" s="4"/>
    </row>
    <row r="1024" spans="20:25" x14ac:dyDescent="0.25">
      <c r="T1024" s="10"/>
      <c r="U1024" s="4"/>
      <c r="V1024" s="4"/>
      <c r="X1024" s="4"/>
      <c r="Y1024" s="4"/>
    </row>
    <row r="1025" spans="20:25" x14ac:dyDescent="0.25">
      <c r="T1025" s="10"/>
      <c r="U1025" s="4"/>
      <c r="V1025" s="4"/>
      <c r="X1025" s="4"/>
      <c r="Y1025" s="4"/>
    </row>
    <row r="1026" spans="20:25" x14ac:dyDescent="0.25">
      <c r="T1026" s="10"/>
      <c r="U1026" s="4"/>
      <c r="V1026" s="4"/>
      <c r="X1026" s="4"/>
      <c r="Y1026" s="4"/>
    </row>
    <row r="1027" spans="20:25" x14ac:dyDescent="0.25">
      <c r="T1027" s="10"/>
      <c r="U1027" s="4"/>
      <c r="V1027" s="4"/>
      <c r="X1027" s="4"/>
      <c r="Y1027" s="4"/>
    </row>
    <row r="1028" spans="20:25" x14ac:dyDescent="0.25">
      <c r="T1028" s="10"/>
      <c r="U1028" s="4"/>
      <c r="V1028" s="4"/>
      <c r="X1028" s="4"/>
      <c r="Y1028" s="4"/>
    </row>
    <row r="1029" spans="20:25" x14ac:dyDescent="0.25">
      <c r="T1029" s="10"/>
      <c r="U1029" s="4"/>
      <c r="V1029" s="4"/>
      <c r="X1029" s="4"/>
      <c r="Y1029" s="4"/>
    </row>
    <row r="1030" spans="20:25" x14ac:dyDescent="0.25">
      <c r="T1030" s="10"/>
      <c r="U1030" s="4"/>
      <c r="V1030" s="4"/>
      <c r="X1030" s="4"/>
      <c r="Y1030" s="4"/>
    </row>
    <row r="1031" spans="20:25" x14ac:dyDescent="0.25">
      <c r="T1031" s="10"/>
      <c r="U1031" s="4"/>
      <c r="V1031" s="4"/>
      <c r="X1031" s="4"/>
      <c r="Y1031" s="4"/>
    </row>
    <row r="1032" spans="20:25" x14ac:dyDescent="0.25">
      <c r="T1032" s="10"/>
      <c r="U1032" s="4"/>
      <c r="V1032" s="4"/>
      <c r="X1032" s="4"/>
      <c r="Y1032" s="4"/>
    </row>
    <row r="1033" spans="20:25" x14ac:dyDescent="0.25">
      <c r="T1033" s="10"/>
      <c r="U1033" s="4"/>
      <c r="V1033" s="4"/>
      <c r="X1033" s="4"/>
      <c r="Y1033" s="4"/>
    </row>
    <row r="1034" spans="20:25" x14ac:dyDescent="0.25">
      <c r="T1034" s="10"/>
      <c r="U1034" s="4"/>
      <c r="V1034" s="4"/>
      <c r="X1034" s="4"/>
      <c r="Y1034" s="4"/>
    </row>
    <row r="1035" spans="20:25" x14ac:dyDescent="0.25">
      <c r="T1035" s="10"/>
      <c r="U1035" s="4"/>
      <c r="V1035" s="4"/>
      <c r="X1035" s="4"/>
      <c r="Y1035" s="4"/>
    </row>
    <row r="1036" spans="20:25" x14ac:dyDescent="0.25">
      <c r="T1036" s="10"/>
      <c r="U1036" s="4"/>
      <c r="V1036" s="4"/>
      <c r="X1036" s="4"/>
      <c r="Y1036" s="4"/>
    </row>
    <row r="1037" spans="20:25" x14ac:dyDescent="0.25">
      <c r="T1037" s="10"/>
      <c r="U1037" s="4"/>
      <c r="V1037" s="4"/>
      <c r="X1037" s="4"/>
      <c r="Y1037" s="4"/>
    </row>
    <row r="1038" spans="20:25" x14ac:dyDescent="0.25">
      <c r="T1038" s="10"/>
      <c r="U1038" s="4"/>
      <c r="V1038" s="4"/>
      <c r="X1038" s="4"/>
      <c r="Y1038" s="4"/>
    </row>
    <row r="1039" spans="20:25" x14ac:dyDescent="0.25">
      <c r="T1039" s="10"/>
      <c r="U1039" s="4"/>
      <c r="V1039" s="4"/>
      <c r="X1039" s="4"/>
      <c r="Y1039" s="4"/>
    </row>
    <row r="1040" spans="20:25" x14ac:dyDescent="0.25">
      <c r="T1040" s="10"/>
      <c r="U1040" s="4"/>
      <c r="V1040" s="4"/>
      <c r="X1040" s="4"/>
      <c r="Y1040" s="4"/>
    </row>
    <row r="1041" spans="20:25" x14ac:dyDescent="0.25">
      <c r="T1041" s="10"/>
      <c r="U1041" s="4"/>
      <c r="V1041" s="4"/>
      <c r="X1041" s="4"/>
      <c r="Y1041" s="4"/>
    </row>
    <row r="1042" spans="20:25" x14ac:dyDescent="0.25">
      <c r="T1042" s="10"/>
      <c r="U1042" s="4"/>
      <c r="V1042" s="4"/>
      <c r="X1042" s="4"/>
      <c r="Y1042" s="4"/>
    </row>
    <row r="1043" spans="20:25" x14ac:dyDescent="0.25">
      <c r="T1043" s="10"/>
      <c r="U1043" s="4"/>
      <c r="V1043" s="4"/>
      <c r="X1043" s="4"/>
      <c r="Y1043" s="4"/>
    </row>
    <row r="1044" spans="20:25" x14ac:dyDescent="0.25">
      <c r="T1044" s="10"/>
      <c r="U1044" s="4"/>
      <c r="V1044" s="4"/>
      <c r="X1044" s="4"/>
      <c r="Y1044" s="4"/>
    </row>
    <row r="1045" spans="20:25" x14ac:dyDescent="0.25">
      <c r="T1045" s="10"/>
      <c r="U1045" s="4"/>
      <c r="V1045" s="4"/>
      <c r="X1045" s="4"/>
      <c r="Y1045" s="4"/>
    </row>
    <row r="1046" spans="20:25" x14ac:dyDescent="0.25">
      <c r="T1046" s="10"/>
      <c r="U1046" s="4"/>
      <c r="V1046" s="4"/>
      <c r="X1046" s="4"/>
      <c r="Y1046" s="4"/>
    </row>
    <row r="1047" spans="20:25" x14ac:dyDescent="0.25">
      <c r="T1047" s="10"/>
      <c r="U1047" s="4"/>
      <c r="V1047" s="4"/>
      <c r="X1047" s="4"/>
      <c r="Y1047" s="4"/>
    </row>
    <row r="1048" spans="20:25" x14ac:dyDescent="0.25">
      <c r="T1048" s="10"/>
      <c r="U1048" s="4"/>
      <c r="V1048" s="4"/>
      <c r="X1048" s="4"/>
      <c r="Y1048" s="4"/>
    </row>
    <row r="1049" spans="20:25" x14ac:dyDescent="0.25">
      <c r="T1049" s="10"/>
      <c r="U1049" s="4"/>
      <c r="V1049" s="4"/>
      <c r="X1049" s="4"/>
      <c r="Y1049" s="4"/>
    </row>
    <row r="1050" spans="20:25" x14ac:dyDescent="0.25">
      <c r="T1050" s="10"/>
      <c r="U1050" s="4"/>
      <c r="V1050" s="4"/>
      <c r="X1050" s="4"/>
      <c r="Y1050" s="4"/>
    </row>
    <row r="1051" spans="20:25" x14ac:dyDescent="0.25">
      <c r="T1051" s="10"/>
      <c r="U1051" s="4"/>
      <c r="V1051" s="4"/>
      <c r="X1051" s="4"/>
      <c r="Y1051" s="4"/>
    </row>
    <row r="1052" spans="20:25" x14ac:dyDescent="0.25">
      <c r="T1052" s="10"/>
      <c r="U1052" s="4"/>
      <c r="V1052" s="4"/>
      <c r="X1052" s="4"/>
      <c r="Y1052" s="4"/>
    </row>
    <row r="1053" spans="20:25" x14ac:dyDescent="0.25">
      <c r="T1053" s="10"/>
      <c r="U1053" s="4"/>
      <c r="V1053" s="4"/>
      <c r="X1053" s="4"/>
      <c r="Y1053" s="4"/>
    </row>
    <row r="1054" spans="20:25" x14ac:dyDescent="0.25">
      <c r="T1054" s="10"/>
      <c r="U1054" s="4"/>
      <c r="V1054" s="4"/>
      <c r="X1054" s="4"/>
      <c r="Y1054" s="4"/>
    </row>
    <row r="1055" spans="20:25" x14ac:dyDescent="0.25">
      <c r="T1055" s="10"/>
      <c r="U1055" s="4"/>
      <c r="V1055" s="4"/>
      <c r="X1055" s="4"/>
      <c r="Y1055" s="4"/>
    </row>
    <row r="1056" spans="20:25" x14ac:dyDescent="0.25">
      <c r="T1056" s="10"/>
      <c r="U1056" s="4"/>
      <c r="V1056" s="4"/>
      <c r="X1056" s="4"/>
      <c r="Y1056" s="4"/>
    </row>
    <row r="1057" spans="20:25" x14ac:dyDescent="0.25">
      <c r="T1057" s="10"/>
      <c r="U1057" s="4"/>
      <c r="V1057" s="4"/>
      <c r="X1057" s="4"/>
      <c r="Y1057" s="4"/>
    </row>
    <row r="1058" spans="20:25" x14ac:dyDescent="0.25">
      <c r="T1058" s="10"/>
      <c r="U1058" s="4"/>
      <c r="V1058" s="4"/>
      <c r="X1058" s="4"/>
      <c r="Y1058" s="4"/>
    </row>
    <row r="1059" spans="20:25" x14ac:dyDescent="0.25">
      <c r="T1059" s="10"/>
      <c r="U1059" s="4"/>
      <c r="V1059" s="4"/>
      <c r="X1059" s="4"/>
      <c r="Y1059" s="4"/>
    </row>
    <row r="1060" spans="20:25" x14ac:dyDescent="0.25">
      <c r="T1060" s="10"/>
      <c r="U1060" s="4"/>
      <c r="V1060" s="4"/>
      <c r="X1060" s="4"/>
      <c r="Y1060" s="4"/>
    </row>
    <row r="1061" spans="20:25" x14ac:dyDescent="0.25">
      <c r="T1061" s="10"/>
      <c r="U1061" s="4"/>
      <c r="V1061" s="4"/>
      <c r="X1061" s="4"/>
      <c r="Y1061" s="4"/>
    </row>
    <row r="1062" spans="20:25" x14ac:dyDescent="0.25">
      <c r="T1062" s="10"/>
      <c r="U1062" s="4"/>
      <c r="V1062" s="4"/>
      <c r="X1062" s="4"/>
      <c r="Y1062" s="4"/>
    </row>
    <row r="1063" spans="20:25" x14ac:dyDescent="0.25">
      <c r="T1063" s="10"/>
      <c r="U1063" s="4"/>
      <c r="V1063" s="4"/>
      <c r="X1063" s="4"/>
      <c r="Y1063" s="4"/>
    </row>
    <row r="1064" spans="20:25" x14ac:dyDescent="0.25">
      <c r="T1064" s="10"/>
      <c r="U1064" s="4"/>
      <c r="V1064" s="4"/>
      <c r="X1064" s="4"/>
      <c r="Y1064" s="4"/>
    </row>
    <row r="1065" spans="20:25" x14ac:dyDescent="0.25">
      <c r="T1065" s="10"/>
      <c r="U1065" s="4"/>
      <c r="V1065" s="4"/>
      <c r="X1065" s="4"/>
      <c r="Y1065" s="4"/>
    </row>
    <row r="1066" spans="20:25" x14ac:dyDescent="0.25">
      <c r="T1066" s="10"/>
      <c r="U1066" s="4"/>
      <c r="V1066" s="4"/>
      <c r="X1066" s="4"/>
      <c r="Y1066" s="4"/>
    </row>
    <row r="1067" spans="20:25" x14ac:dyDescent="0.25">
      <c r="T1067" s="10"/>
      <c r="U1067" s="4"/>
      <c r="V1067" s="4"/>
      <c r="X1067" s="4"/>
      <c r="Y1067" s="4"/>
    </row>
    <row r="1068" spans="20:25" x14ac:dyDescent="0.25">
      <c r="T1068" s="10"/>
      <c r="U1068" s="4"/>
      <c r="V1068" s="4"/>
      <c r="X1068" s="4"/>
      <c r="Y1068" s="4"/>
    </row>
    <row r="1069" spans="20:25" x14ac:dyDescent="0.25">
      <c r="T1069" s="10"/>
      <c r="U1069" s="4"/>
      <c r="V1069" s="4"/>
      <c r="X1069" s="4"/>
      <c r="Y1069" s="4"/>
    </row>
    <row r="1070" spans="20:25" x14ac:dyDescent="0.25">
      <c r="T1070" s="10"/>
      <c r="U1070" s="4"/>
      <c r="V1070" s="4"/>
      <c r="X1070" s="4"/>
      <c r="Y1070" s="4"/>
    </row>
    <row r="1071" spans="20:25" x14ac:dyDescent="0.25">
      <c r="T1071" s="10"/>
      <c r="U1071" s="4"/>
      <c r="V1071" s="4"/>
      <c r="X1071" s="4"/>
      <c r="Y1071" s="4"/>
    </row>
    <row r="1072" spans="20:25" x14ac:dyDescent="0.25">
      <c r="T1072" s="10"/>
      <c r="U1072" s="4"/>
      <c r="V1072" s="4"/>
      <c r="X1072" s="4"/>
      <c r="Y1072" s="4"/>
    </row>
    <row r="1073" spans="20:25" x14ac:dyDescent="0.25">
      <c r="T1073" s="10"/>
      <c r="U1073" s="4"/>
      <c r="V1073" s="4"/>
      <c r="X1073" s="4"/>
      <c r="Y1073" s="4"/>
    </row>
    <row r="1074" spans="20:25" x14ac:dyDescent="0.25">
      <c r="T1074" s="10"/>
      <c r="U1074" s="4"/>
      <c r="V1074" s="4"/>
      <c r="X1074" s="4"/>
      <c r="Y1074" s="4"/>
    </row>
    <row r="1075" spans="20:25" x14ac:dyDescent="0.25">
      <c r="T1075" s="10"/>
      <c r="U1075" s="4"/>
      <c r="V1075" s="4"/>
      <c r="X1075" s="4"/>
      <c r="Y1075" s="4"/>
    </row>
    <row r="1076" spans="20:25" x14ac:dyDescent="0.25">
      <c r="T1076" s="10"/>
      <c r="U1076" s="4"/>
      <c r="V1076" s="4"/>
      <c r="X1076" s="4"/>
      <c r="Y1076" s="4"/>
    </row>
    <row r="1077" spans="20:25" x14ac:dyDescent="0.25">
      <c r="T1077" s="10"/>
      <c r="U1077" s="4"/>
      <c r="V1077" s="4"/>
      <c r="X1077" s="4"/>
      <c r="Y1077" s="4"/>
    </row>
    <row r="1078" spans="20:25" x14ac:dyDescent="0.25">
      <c r="T1078" s="10"/>
      <c r="U1078" s="4"/>
      <c r="V1078" s="4"/>
      <c r="X1078" s="4"/>
      <c r="Y1078" s="4"/>
    </row>
    <row r="1079" spans="20:25" x14ac:dyDescent="0.25">
      <c r="T1079" s="10"/>
      <c r="U1079" s="4"/>
      <c r="V1079" s="4"/>
      <c r="X1079" s="4"/>
      <c r="Y1079" s="4"/>
    </row>
    <row r="1080" spans="20:25" x14ac:dyDescent="0.25">
      <c r="T1080" s="10"/>
      <c r="U1080" s="4"/>
      <c r="V1080" s="4"/>
      <c r="X1080" s="4"/>
      <c r="Y1080" s="4"/>
    </row>
    <row r="1081" spans="20:25" x14ac:dyDescent="0.25">
      <c r="T1081" s="10"/>
      <c r="U1081" s="4"/>
      <c r="V1081" s="4"/>
      <c r="X1081" s="4"/>
      <c r="Y1081" s="4"/>
    </row>
    <row r="1082" spans="20:25" x14ac:dyDescent="0.25">
      <c r="T1082" s="10"/>
      <c r="U1082" s="4"/>
      <c r="V1082" s="4"/>
      <c r="X1082" s="4"/>
      <c r="Y1082" s="4"/>
    </row>
    <row r="1083" spans="20:25" x14ac:dyDescent="0.25">
      <c r="T1083" s="10"/>
      <c r="U1083" s="4"/>
      <c r="V1083" s="4"/>
      <c r="X1083" s="4"/>
      <c r="Y1083" s="4"/>
    </row>
    <row r="1084" spans="20:25" x14ac:dyDescent="0.25">
      <c r="T1084" s="10"/>
      <c r="U1084" s="4"/>
      <c r="V1084" s="4"/>
      <c r="X1084" s="4"/>
      <c r="Y1084" s="4"/>
    </row>
    <row r="1085" spans="20:25" x14ac:dyDescent="0.25">
      <c r="T1085" s="10"/>
      <c r="U1085" s="4"/>
      <c r="V1085" s="4"/>
      <c r="X1085" s="4"/>
      <c r="Y1085" s="4"/>
    </row>
    <row r="1086" spans="20:25" x14ac:dyDescent="0.25">
      <c r="T1086" s="10"/>
      <c r="U1086" s="4"/>
      <c r="V1086" s="4"/>
      <c r="X1086" s="4"/>
      <c r="Y1086" s="4"/>
    </row>
    <row r="1087" spans="20:25" x14ac:dyDescent="0.25">
      <c r="T1087" s="10"/>
      <c r="U1087" s="4"/>
      <c r="V1087" s="4"/>
      <c r="X1087" s="4"/>
      <c r="Y1087" s="4"/>
    </row>
    <row r="1088" spans="20:25" x14ac:dyDescent="0.25">
      <c r="T1088" s="10"/>
      <c r="U1088" s="4"/>
      <c r="V1088" s="4"/>
      <c r="X1088" s="4"/>
      <c r="Y1088" s="4"/>
    </row>
    <row r="1089" spans="20:25" x14ac:dyDescent="0.25">
      <c r="T1089" s="10"/>
      <c r="U1089" s="4"/>
      <c r="V1089" s="4"/>
      <c r="X1089" s="4"/>
      <c r="Y1089" s="4"/>
    </row>
    <row r="1090" spans="20:25" x14ac:dyDescent="0.25">
      <c r="T1090" s="10"/>
      <c r="U1090" s="4"/>
      <c r="V1090" s="4"/>
      <c r="X1090" s="4"/>
      <c r="Y1090" s="4"/>
    </row>
    <row r="1091" spans="20:25" x14ac:dyDescent="0.25">
      <c r="T1091" s="10"/>
      <c r="U1091" s="4"/>
      <c r="V1091" s="4"/>
      <c r="X1091" s="4"/>
      <c r="Y1091" s="4"/>
    </row>
    <row r="1092" spans="20:25" x14ac:dyDescent="0.25">
      <c r="T1092" s="10"/>
      <c r="U1092" s="4"/>
      <c r="V1092" s="4"/>
      <c r="X1092" s="4"/>
      <c r="Y1092" s="4"/>
    </row>
    <row r="1093" spans="20:25" x14ac:dyDescent="0.25">
      <c r="T1093" s="10"/>
      <c r="U1093" s="4"/>
      <c r="V1093" s="4"/>
      <c r="X1093" s="4"/>
      <c r="Y1093" s="4"/>
    </row>
    <row r="1094" spans="20:25" x14ac:dyDescent="0.25">
      <c r="T1094" s="10"/>
      <c r="U1094" s="4"/>
      <c r="V1094" s="4"/>
      <c r="X1094" s="4"/>
      <c r="Y1094" s="4"/>
    </row>
    <row r="1095" spans="20:25" x14ac:dyDescent="0.25">
      <c r="T1095" s="10"/>
      <c r="U1095" s="4"/>
      <c r="V1095" s="4"/>
      <c r="X1095" s="4"/>
      <c r="Y1095" s="4"/>
    </row>
    <row r="1096" spans="20:25" x14ac:dyDescent="0.25">
      <c r="T1096" s="10"/>
      <c r="U1096" s="4"/>
      <c r="V1096" s="4"/>
      <c r="X1096" s="4"/>
      <c r="Y1096" s="4"/>
    </row>
    <row r="1097" spans="20:25" x14ac:dyDescent="0.25">
      <c r="T1097" s="10"/>
      <c r="U1097" s="4"/>
      <c r="V1097" s="4"/>
      <c r="X1097" s="4"/>
      <c r="Y1097" s="4"/>
    </row>
    <row r="1098" spans="20:25" x14ac:dyDescent="0.25">
      <c r="T1098" s="10"/>
      <c r="U1098" s="4"/>
      <c r="V1098" s="4"/>
      <c r="X1098" s="4"/>
      <c r="Y1098" s="4"/>
    </row>
    <row r="1099" spans="20:25" x14ac:dyDescent="0.25">
      <c r="T1099" s="10"/>
      <c r="U1099" s="4"/>
      <c r="V1099" s="4"/>
      <c r="X1099" s="4"/>
      <c r="Y1099" s="4"/>
    </row>
    <row r="1100" spans="20:25" x14ac:dyDescent="0.25">
      <c r="T1100" s="10"/>
      <c r="U1100" s="4"/>
      <c r="V1100" s="4"/>
      <c r="X1100" s="4"/>
      <c r="Y1100" s="4"/>
    </row>
    <row r="1101" spans="20:25" x14ac:dyDescent="0.25">
      <c r="T1101" s="10"/>
      <c r="U1101" s="4"/>
      <c r="V1101" s="4"/>
      <c r="X1101" s="4"/>
      <c r="Y1101" s="4"/>
    </row>
    <row r="1102" spans="20:25" x14ac:dyDescent="0.25">
      <c r="T1102" s="10"/>
      <c r="U1102" s="4"/>
      <c r="V1102" s="4"/>
      <c r="X1102" s="4"/>
      <c r="Y1102" s="4"/>
    </row>
    <row r="1103" spans="20:25" x14ac:dyDescent="0.25">
      <c r="T1103" s="10"/>
      <c r="U1103" s="4"/>
      <c r="V1103" s="4"/>
      <c r="X1103" s="4"/>
      <c r="Y1103" s="4"/>
    </row>
    <row r="1104" spans="20:25" x14ac:dyDescent="0.25">
      <c r="T1104" s="10"/>
      <c r="U1104" s="4"/>
      <c r="V1104" s="4"/>
      <c r="X1104" s="4"/>
      <c r="Y1104" s="4"/>
    </row>
    <row r="1105" spans="20:25" x14ac:dyDescent="0.25">
      <c r="T1105" s="10"/>
      <c r="U1105" s="4"/>
      <c r="V1105" s="4"/>
      <c r="X1105" s="4"/>
      <c r="Y1105" s="4"/>
    </row>
    <row r="1106" spans="20:25" x14ac:dyDescent="0.25">
      <c r="T1106" s="10"/>
      <c r="U1106" s="4"/>
      <c r="V1106" s="4"/>
      <c r="X1106" s="4"/>
      <c r="Y1106" s="4"/>
    </row>
    <row r="1107" spans="20:25" x14ac:dyDescent="0.25">
      <c r="T1107" s="10"/>
      <c r="U1107" s="4"/>
      <c r="V1107" s="4"/>
      <c r="X1107" s="4"/>
      <c r="Y1107" s="4"/>
    </row>
    <row r="1108" spans="20:25" x14ac:dyDescent="0.25">
      <c r="T1108" s="10"/>
      <c r="U1108" s="4"/>
      <c r="V1108" s="4"/>
      <c r="X1108" s="4"/>
      <c r="Y1108" s="4"/>
    </row>
    <row r="1109" spans="20:25" x14ac:dyDescent="0.25">
      <c r="T1109" s="10"/>
      <c r="U1109" s="4"/>
      <c r="V1109" s="4"/>
      <c r="X1109" s="4"/>
      <c r="Y1109" s="4"/>
    </row>
    <row r="1110" spans="20:25" x14ac:dyDescent="0.25">
      <c r="T1110" s="10"/>
      <c r="U1110" s="4"/>
      <c r="V1110" s="4"/>
      <c r="X1110" s="4"/>
      <c r="Y1110" s="4"/>
    </row>
    <row r="1111" spans="20:25" x14ac:dyDescent="0.25">
      <c r="T1111" s="10"/>
      <c r="U1111" s="4"/>
      <c r="V1111" s="4"/>
      <c r="X1111" s="4"/>
      <c r="Y1111" s="4"/>
    </row>
    <row r="1112" spans="20:25" x14ac:dyDescent="0.25">
      <c r="T1112" s="10"/>
      <c r="U1112" s="4"/>
      <c r="V1112" s="4"/>
      <c r="X1112" s="4"/>
      <c r="Y1112" s="4"/>
    </row>
    <row r="1113" spans="20:25" x14ac:dyDescent="0.25">
      <c r="T1113" s="10"/>
      <c r="U1113" s="4"/>
      <c r="V1113" s="4"/>
      <c r="X1113" s="4"/>
      <c r="Y1113" s="4"/>
    </row>
    <row r="1114" spans="20:25" x14ac:dyDescent="0.25">
      <c r="T1114" s="10"/>
      <c r="U1114" s="4"/>
      <c r="V1114" s="4"/>
      <c r="X1114" s="4"/>
      <c r="Y1114" s="4"/>
    </row>
    <row r="1115" spans="20:25" x14ac:dyDescent="0.25">
      <c r="T1115" s="10"/>
      <c r="U1115" s="4"/>
      <c r="V1115" s="4"/>
      <c r="X1115" s="4"/>
      <c r="Y1115" s="4"/>
    </row>
    <row r="1116" spans="20:25" x14ac:dyDescent="0.25">
      <c r="T1116" s="10"/>
      <c r="U1116" s="4"/>
      <c r="V1116" s="4"/>
      <c r="X1116" s="4"/>
      <c r="Y1116" s="4"/>
    </row>
    <row r="1117" spans="20:25" x14ac:dyDescent="0.25">
      <c r="T1117" s="10"/>
      <c r="U1117" s="4"/>
      <c r="V1117" s="4"/>
      <c r="X1117" s="4"/>
      <c r="Y1117" s="4"/>
    </row>
    <row r="1118" spans="20:25" x14ac:dyDescent="0.25">
      <c r="T1118" s="10"/>
      <c r="U1118" s="4"/>
      <c r="V1118" s="4"/>
      <c r="X1118" s="4"/>
      <c r="Y1118" s="4"/>
    </row>
    <row r="1119" spans="20:25" x14ac:dyDescent="0.25">
      <c r="T1119" s="10"/>
      <c r="U1119" s="4"/>
      <c r="V1119" s="4"/>
      <c r="X1119" s="4"/>
      <c r="Y1119" s="4"/>
    </row>
    <row r="1120" spans="20:25" x14ac:dyDescent="0.25">
      <c r="T1120" s="10"/>
      <c r="U1120" s="4"/>
      <c r="V1120" s="4"/>
      <c r="X1120" s="4"/>
      <c r="Y1120" s="4"/>
    </row>
    <row r="1121" spans="20:25" x14ac:dyDescent="0.25">
      <c r="T1121" s="10"/>
      <c r="U1121" s="4"/>
      <c r="V1121" s="4"/>
      <c r="X1121" s="4"/>
      <c r="Y1121" s="4"/>
    </row>
    <row r="1122" spans="20:25" x14ac:dyDescent="0.25">
      <c r="T1122" s="10"/>
      <c r="U1122" s="4"/>
      <c r="V1122" s="4"/>
      <c r="X1122" s="4"/>
      <c r="Y1122" s="4"/>
    </row>
    <row r="1123" spans="20:25" x14ac:dyDescent="0.25">
      <c r="T1123" s="10"/>
      <c r="U1123" s="4"/>
      <c r="V1123" s="4"/>
      <c r="X1123" s="4"/>
      <c r="Y1123" s="4"/>
    </row>
    <row r="1124" spans="20:25" x14ac:dyDescent="0.25">
      <c r="T1124" s="10"/>
      <c r="U1124" s="4"/>
      <c r="V1124" s="4"/>
      <c r="X1124" s="4"/>
      <c r="Y1124" s="4"/>
    </row>
    <row r="1125" spans="20:25" x14ac:dyDescent="0.25">
      <c r="T1125" s="10"/>
      <c r="U1125" s="4"/>
      <c r="V1125" s="4"/>
      <c r="X1125" s="4"/>
      <c r="Y1125" s="4"/>
    </row>
    <row r="1126" spans="20:25" x14ac:dyDescent="0.25">
      <c r="T1126" s="10"/>
      <c r="U1126" s="4"/>
      <c r="V1126" s="4"/>
      <c r="X1126" s="4"/>
      <c r="Y1126" s="4"/>
    </row>
    <row r="1127" spans="20:25" x14ac:dyDescent="0.25">
      <c r="T1127" s="10"/>
      <c r="U1127" s="4"/>
      <c r="V1127" s="4"/>
      <c r="X1127" s="4"/>
      <c r="Y1127" s="4"/>
    </row>
    <row r="1128" spans="20:25" x14ac:dyDescent="0.25">
      <c r="T1128" s="10"/>
      <c r="U1128" s="4"/>
      <c r="V1128" s="4"/>
      <c r="X1128" s="4"/>
      <c r="Y1128" s="4"/>
    </row>
    <row r="1129" spans="20:25" x14ac:dyDescent="0.25">
      <c r="T1129" s="10"/>
      <c r="U1129" s="4"/>
      <c r="V1129" s="4"/>
      <c r="X1129" s="4"/>
      <c r="Y1129" s="4"/>
    </row>
    <row r="1130" spans="20:25" x14ac:dyDescent="0.25">
      <c r="T1130" s="10"/>
      <c r="U1130" s="4"/>
      <c r="V1130" s="4"/>
      <c r="X1130" s="4"/>
      <c r="Y1130" s="4"/>
    </row>
    <row r="1131" spans="20:25" x14ac:dyDescent="0.25">
      <c r="T1131" s="10"/>
      <c r="U1131" s="4"/>
      <c r="V1131" s="4"/>
      <c r="X1131" s="4"/>
      <c r="Y1131" s="4"/>
    </row>
    <row r="1132" spans="20:25" x14ac:dyDescent="0.25">
      <c r="T1132" s="10"/>
      <c r="U1132" s="4"/>
      <c r="V1132" s="4"/>
      <c r="X1132" s="4"/>
      <c r="Y1132" s="4"/>
    </row>
    <row r="1133" spans="20:25" x14ac:dyDescent="0.25">
      <c r="T1133" s="10"/>
      <c r="U1133" s="4"/>
      <c r="V1133" s="4"/>
      <c r="X1133" s="4"/>
      <c r="Y1133" s="4"/>
    </row>
    <row r="1134" spans="20:25" x14ac:dyDescent="0.25">
      <c r="T1134" s="10"/>
      <c r="U1134" s="4"/>
      <c r="V1134" s="4"/>
      <c r="X1134" s="4"/>
      <c r="Y1134" s="4"/>
    </row>
    <row r="1135" spans="20:25" x14ac:dyDescent="0.25">
      <c r="T1135" s="10"/>
      <c r="U1135" s="4"/>
      <c r="V1135" s="4"/>
      <c r="X1135" s="4"/>
      <c r="Y1135" s="4"/>
    </row>
    <row r="1136" spans="20:25" x14ac:dyDescent="0.25">
      <c r="T1136" s="10"/>
      <c r="U1136" s="4"/>
      <c r="V1136" s="4"/>
      <c r="X1136" s="4"/>
      <c r="Y1136" s="4"/>
    </row>
    <row r="1137" spans="20:25" x14ac:dyDescent="0.25">
      <c r="T1137" s="10"/>
      <c r="U1137" s="4"/>
      <c r="V1137" s="4"/>
      <c r="X1137" s="4"/>
      <c r="Y1137" s="4"/>
    </row>
    <row r="1138" spans="20:25" x14ac:dyDescent="0.25">
      <c r="T1138" s="10"/>
      <c r="U1138" s="4"/>
      <c r="V1138" s="4"/>
      <c r="X1138" s="4"/>
      <c r="Y1138" s="4"/>
    </row>
    <row r="1139" spans="20:25" x14ac:dyDescent="0.25">
      <c r="T1139" s="10"/>
      <c r="U1139" s="4"/>
      <c r="V1139" s="4"/>
      <c r="X1139" s="4"/>
      <c r="Y1139" s="4"/>
    </row>
    <row r="1140" spans="20:25" x14ac:dyDescent="0.25">
      <c r="T1140" s="10"/>
      <c r="U1140" s="4"/>
      <c r="V1140" s="4"/>
      <c r="X1140" s="4"/>
      <c r="Y1140" s="4"/>
    </row>
    <row r="1141" spans="20:25" x14ac:dyDescent="0.25">
      <c r="T1141" s="10"/>
      <c r="U1141" s="4"/>
      <c r="V1141" s="4"/>
      <c r="X1141" s="4"/>
      <c r="Y1141" s="4"/>
    </row>
    <row r="1142" spans="20:25" x14ac:dyDescent="0.25">
      <c r="T1142" s="10"/>
      <c r="U1142" s="4"/>
      <c r="V1142" s="4"/>
      <c r="X1142" s="4"/>
      <c r="Y1142" s="4"/>
    </row>
    <row r="1143" spans="20:25" x14ac:dyDescent="0.25">
      <c r="T1143" s="10"/>
      <c r="U1143" s="4"/>
      <c r="V1143" s="4"/>
      <c r="X1143" s="4"/>
      <c r="Y1143" s="4"/>
    </row>
    <row r="1144" spans="20:25" x14ac:dyDescent="0.25">
      <c r="T1144" s="10"/>
      <c r="U1144" s="4"/>
      <c r="V1144" s="4"/>
      <c r="X1144" s="4"/>
      <c r="Y1144" s="4"/>
    </row>
    <row r="1145" spans="20:25" x14ac:dyDescent="0.25">
      <c r="T1145" s="10"/>
      <c r="U1145" s="4"/>
      <c r="V1145" s="4"/>
      <c r="X1145" s="4"/>
      <c r="Y1145" s="4"/>
    </row>
    <row r="1146" spans="20:25" x14ac:dyDescent="0.25">
      <c r="T1146" s="10"/>
      <c r="U1146" s="4"/>
      <c r="V1146" s="4"/>
      <c r="X1146" s="4"/>
      <c r="Y1146" s="4"/>
    </row>
    <row r="1147" spans="20:25" x14ac:dyDescent="0.25">
      <c r="T1147" s="10"/>
      <c r="U1147" s="4"/>
      <c r="V1147" s="4"/>
      <c r="X1147" s="4"/>
      <c r="Y1147" s="4"/>
    </row>
    <row r="1148" spans="20:25" x14ac:dyDescent="0.25">
      <c r="T1148" s="10"/>
      <c r="U1148" s="4"/>
      <c r="V1148" s="4"/>
      <c r="X1148" s="4"/>
      <c r="Y1148" s="4"/>
    </row>
    <row r="1149" spans="20:25" x14ac:dyDescent="0.25">
      <c r="T1149" s="10"/>
      <c r="U1149" s="4"/>
      <c r="V1149" s="4"/>
      <c r="X1149" s="4"/>
      <c r="Y1149" s="4"/>
    </row>
    <row r="1150" spans="20:25" x14ac:dyDescent="0.25">
      <c r="T1150" s="10"/>
      <c r="U1150" s="4"/>
      <c r="V1150" s="4"/>
      <c r="X1150" s="4"/>
      <c r="Y1150" s="4"/>
    </row>
    <row r="1151" spans="20:25" x14ac:dyDescent="0.25">
      <c r="T1151" s="10"/>
      <c r="U1151" s="4"/>
      <c r="V1151" s="4"/>
      <c r="X1151" s="4"/>
      <c r="Y1151" s="4"/>
    </row>
    <row r="1152" spans="20:25" x14ac:dyDescent="0.25">
      <c r="T1152" s="10"/>
      <c r="U1152" s="4"/>
      <c r="V1152" s="4"/>
      <c r="X1152" s="4"/>
      <c r="Y1152" s="4"/>
    </row>
    <row r="1153" spans="20:25" x14ac:dyDescent="0.25">
      <c r="T1153" s="10"/>
      <c r="U1153" s="4"/>
      <c r="V1153" s="4"/>
      <c r="X1153" s="4"/>
      <c r="Y1153" s="4"/>
    </row>
    <row r="1154" spans="20:25" x14ac:dyDescent="0.25">
      <c r="T1154" s="10"/>
      <c r="U1154" s="4"/>
      <c r="V1154" s="4"/>
      <c r="X1154" s="4"/>
      <c r="Y1154" s="4"/>
    </row>
    <row r="1155" spans="20:25" x14ac:dyDescent="0.25">
      <c r="T1155" s="10"/>
      <c r="U1155" s="4"/>
      <c r="V1155" s="4"/>
      <c r="X1155" s="4"/>
      <c r="Y1155" s="4"/>
    </row>
    <row r="1156" spans="20:25" x14ac:dyDescent="0.25">
      <c r="T1156" s="10"/>
      <c r="U1156" s="4"/>
      <c r="V1156" s="4"/>
      <c r="X1156" s="4"/>
      <c r="Y1156" s="4"/>
    </row>
    <row r="1157" spans="20:25" x14ac:dyDescent="0.25">
      <c r="T1157" s="10"/>
      <c r="U1157" s="4"/>
      <c r="V1157" s="4"/>
      <c r="X1157" s="4"/>
      <c r="Y1157" s="4"/>
    </row>
    <row r="1158" spans="20:25" x14ac:dyDescent="0.25">
      <c r="T1158" s="10"/>
      <c r="U1158" s="4"/>
      <c r="V1158" s="4"/>
      <c r="X1158" s="4"/>
      <c r="Y1158" s="4"/>
    </row>
    <row r="1159" spans="20:25" x14ac:dyDescent="0.25">
      <c r="T1159" s="10"/>
      <c r="U1159" s="4"/>
      <c r="V1159" s="4"/>
      <c r="X1159" s="4"/>
      <c r="Y1159" s="4"/>
    </row>
    <row r="1160" spans="20:25" x14ac:dyDescent="0.25">
      <c r="T1160" s="10"/>
      <c r="U1160" s="4"/>
      <c r="V1160" s="4"/>
      <c r="X1160" s="4"/>
      <c r="Y1160" s="4"/>
    </row>
    <row r="1161" spans="20:25" x14ac:dyDescent="0.25">
      <c r="T1161" s="10"/>
      <c r="U1161" s="4"/>
      <c r="V1161" s="4"/>
      <c r="X1161" s="4"/>
      <c r="Y1161" s="4"/>
    </row>
    <row r="1162" spans="20:25" x14ac:dyDescent="0.25">
      <c r="T1162" s="10"/>
      <c r="U1162" s="4"/>
      <c r="V1162" s="4"/>
      <c r="X1162" s="4"/>
      <c r="Y1162" s="4"/>
    </row>
    <row r="1163" spans="20:25" x14ac:dyDescent="0.25">
      <c r="T1163" s="10"/>
      <c r="U1163" s="4"/>
      <c r="V1163" s="4"/>
      <c r="X1163" s="4"/>
      <c r="Y1163" s="4"/>
    </row>
    <row r="1164" spans="20:25" x14ac:dyDescent="0.25">
      <c r="T1164" s="10"/>
      <c r="U1164" s="4"/>
      <c r="V1164" s="4"/>
      <c r="X1164" s="4"/>
      <c r="Y1164" s="4"/>
    </row>
    <row r="1165" spans="20:25" x14ac:dyDescent="0.25">
      <c r="T1165" s="10"/>
      <c r="U1165" s="4"/>
      <c r="V1165" s="4"/>
      <c r="X1165" s="4"/>
      <c r="Y1165" s="4"/>
    </row>
    <row r="1166" spans="20:25" x14ac:dyDescent="0.25">
      <c r="T1166" s="10"/>
      <c r="U1166" s="4"/>
      <c r="V1166" s="4"/>
      <c r="X1166" s="4"/>
      <c r="Y1166" s="4"/>
    </row>
    <row r="1167" spans="20:25" x14ac:dyDescent="0.25">
      <c r="T1167" s="10"/>
      <c r="U1167" s="4"/>
      <c r="V1167" s="4"/>
      <c r="X1167" s="4"/>
      <c r="Y1167" s="4"/>
    </row>
    <row r="1168" spans="20:25" x14ac:dyDescent="0.25">
      <c r="T1168" s="10"/>
      <c r="U1168" s="4"/>
      <c r="V1168" s="4"/>
      <c r="X1168" s="4"/>
      <c r="Y1168" s="4"/>
    </row>
    <row r="1169" spans="20:25" x14ac:dyDescent="0.25">
      <c r="T1169" s="10"/>
      <c r="U1169" s="4"/>
      <c r="V1169" s="4"/>
      <c r="X1169" s="4"/>
      <c r="Y1169" s="4"/>
    </row>
    <row r="1170" spans="20:25" x14ac:dyDescent="0.25">
      <c r="T1170" s="10"/>
      <c r="U1170" s="4"/>
      <c r="V1170" s="4"/>
      <c r="X1170" s="4"/>
      <c r="Y1170" s="4"/>
    </row>
    <row r="1171" spans="20:25" x14ac:dyDescent="0.25">
      <c r="T1171" s="10"/>
      <c r="U1171" s="4"/>
      <c r="V1171" s="4"/>
      <c r="X1171" s="4"/>
      <c r="Y1171" s="4"/>
    </row>
    <row r="1172" spans="20:25" x14ac:dyDescent="0.25">
      <c r="T1172" s="10"/>
      <c r="U1172" s="4"/>
      <c r="V1172" s="4"/>
      <c r="X1172" s="4"/>
      <c r="Y1172" s="4"/>
    </row>
    <row r="1173" spans="20:25" x14ac:dyDescent="0.25">
      <c r="T1173" s="10"/>
      <c r="U1173" s="4"/>
      <c r="V1173" s="4"/>
      <c r="X1173" s="4"/>
      <c r="Y1173" s="4"/>
    </row>
    <row r="1174" spans="20:25" x14ac:dyDescent="0.25">
      <c r="T1174" s="10"/>
      <c r="U1174" s="4"/>
      <c r="V1174" s="4"/>
      <c r="X1174" s="4"/>
      <c r="Y1174" s="4"/>
    </row>
    <row r="1175" spans="20:25" x14ac:dyDescent="0.25">
      <c r="T1175" s="10"/>
      <c r="U1175" s="4"/>
      <c r="V1175" s="4"/>
      <c r="X1175" s="4"/>
      <c r="Y1175" s="4"/>
    </row>
    <row r="1176" spans="20:25" x14ac:dyDescent="0.25">
      <c r="T1176" s="10"/>
      <c r="U1176" s="4"/>
      <c r="V1176" s="4"/>
      <c r="X1176" s="4"/>
      <c r="Y1176" s="4"/>
    </row>
    <row r="1177" spans="20:25" x14ac:dyDescent="0.25">
      <c r="T1177" s="10"/>
      <c r="U1177" s="4"/>
      <c r="V1177" s="4"/>
      <c r="X1177" s="4"/>
      <c r="Y1177" s="4"/>
    </row>
    <row r="1178" spans="20:25" x14ac:dyDescent="0.25">
      <c r="T1178" s="10"/>
      <c r="U1178" s="4"/>
      <c r="V1178" s="4"/>
      <c r="X1178" s="4"/>
      <c r="Y1178" s="4"/>
    </row>
    <row r="1179" spans="20:25" x14ac:dyDescent="0.25">
      <c r="T1179" s="10"/>
      <c r="U1179" s="4"/>
      <c r="V1179" s="4"/>
      <c r="X1179" s="4"/>
      <c r="Y1179" s="4"/>
    </row>
    <row r="1180" spans="20:25" x14ac:dyDescent="0.25">
      <c r="T1180" s="10"/>
      <c r="U1180" s="4"/>
      <c r="V1180" s="4"/>
      <c r="X1180" s="4"/>
      <c r="Y1180" s="4"/>
    </row>
    <row r="1181" spans="20:25" x14ac:dyDescent="0.25">
      <c r="T1181" s="10"/>
      <c r="U1181" s="4"/>
      <c r="V1181" s="4"/>
      <c r="X1181" s="4"/>
      <c r="Y1181" s="4"/>
    </row>
    <row r="1182" spans="20:25" x14ac:dyDescent="0.25">
      <c r="T1182" s="10"/>
      <c r="U1182" s="4"/>
      <c r="V1182" s="4"/>
      <c r="X1182" s="4"/>
      <c r="Y1182" s="4"/>
    </row>
    <row r="1183" spans="20:25" x14ac:dyDescent="0.25">
      <c r="T1183" s="10"/>
      <c r="U1183" s="4"/>
      <c r="V1183" s="4"/>
      <c r="X1183" s="4"/>
      <c r="Y1183" s="4"/>
    </row>
    <row r="1184" spans="20:25" x14ac:dyDescent="0.25">
      <c r="T1184" s="10"/>
      <c r="U1184" s="4"/>
      <c r="V1184" s="4"/>
      <c r="X1184" s="4"/>
      <c r="Y1184" s="4"/>
    </row>
    <row r="1185" spans="20:25" x14ac:dyDescent="0.25">
      <c r="T1185" s="10"/>
      <c r="U1185" s="4"/>
      <c r="V1185" s="4"/>
      <c r="X1185" s="4"/>
      <c r="Y1185" s="4"/>
    </row>
    <row r="1186" spans="20:25" x14ac:dyDescent="0.25">
      <c r="T1186" s="10"/>
      <c r="U1186" s="4"/>
      <c r="V1186" s="4"/>
      <c r="X1186" s="4"/>
      <c r="Y1186" s="4"/>
    </row>
    <row r="1187" spans="20:25" x14ac:dyDescent="0.25">
      <c r="T1187" s="10"/>
      <c r="U1187" s="4"/>
      <c r="V1187" s="4"/>
      <c r="X1187" s="4"/>
      <c r="Y1187" s="4"/>
    </row>
    <row r="1188" spans="20:25" x14ac:dyDescent="0.25">
      <c r="T1188" s="10"/>
      <c r="U1188" s="4"/>
      <c r="V1188" s="4"/>
      <c r="X1188" s="4"/>
      <c r="Y1188" s="4"/>
    </row>
    <row r="1189" spans="20:25" x14ac:dyDescent="0.25">
      <c r="T1189" s="10"/>
      <c r="U1189" s="4"/>
      <c r="V1189" s="4"/>
      <c r="X1189" s="4"/>
      <c r="Y1189" s="4"/>
    </row>
    <row r="1190" spans="20:25" x14ac:dyDescent="0.25">
      <c r="T1190" s="10"/>
      <c r="U1190" s="4"/>
      <c r="V1190" s="4"/>
      <c r="X1190" s="4"/>
      <c r="Y1190" s="4"/>
    </row>
    <row r="1191" spans="20:25" x14ac:dyDescent="0.25">
      <c r="T1191" s="10"/>
      <c r="U1191" s="4"/>
      <c r="V1191" s="4"/>
      <c r="X1191" s="4"/>
      <c r="Y1191" s="4"/>
    </row>
    <row r="1192" spans="20:25" x14ac:dyDescent="0.25">
      <c r="T1192" s="10"/>
      <c r="U1192" s="4"/>
      <c r="V1192" s="4"/>
      <c r="X1192" s="4"/>
      <c r="Y1192" s="4"/>
    </row>
    <row r="1193" spans="20:25" x14ac:dyDescent="0.25">
      <c r="T1193" s="10"/>
      <c r="U1193" s="4"/>
      <c r="V1193" s="4"/>
      <c r="X1193" s="4"/>
      <c r="Y1193" s="4"/>
    </row>
    <row r="1194" spans="20:25" x14ac:dyDescent="0.25">
      <c r="T1194" s="10"/>
      <c r="U1194" s="4"/>
      <c r="V1194" s="4"/>
      <c r="X1194" s="4"/>
      <c r="Y1194" s="4"/>
    </row>
    <row r="1195" spans="20:25" x14ac:dyDescent="0.25">
      <c r="T1195" s="10"/>
      <c r="U1195" s="4"/>
      <c r="V1195" s="4"/>
      <c r="X1195" s="4"/>
      <c r="Y1195" s="4"/>
    </row>
    <row r="1196" spans="20:25" x14ac:dyDescent="0.25">
      <c r="T1196" s="10"/>
      <c r="U1196" s="4"/>
      <c r="V1196" s="4"/>
      <c r="X1196" s="4"/>
      <c r="Y1196" s="4"/>
    </row>
    <row r="1197" spans="20:25" x14ac:dyDescent="0.25">
      <c r="T1197" s="10"/>
      <c r="U1197" s="4"/>
      <c r="V1197" s="4"/>
      <c r="X1197" s="4"/>
      <c r="Y1197" s="4"/>
    </row>
    <row r="1198" spans="20:25" x14ac:dyDescent="0.25">
      <c r="T1198" s="10"/>
      <c r="U1198" s="4"/>
      <c r="V1198" s="4"/>
      <c r="X1198" s="4"/>
      <c r="Y1198" s="4"/>
    </row>
    <row r="1199" spans="20:25" x14ac:dyDescent="0.25">
      <c r="T1199" s="10"/>
      <c r="U1199" s="4"/>
      <c r="V1199" s="4"/>
      <c r="X1199" s="4"/>
      <c r="Y1199" s="4"/>
    </row>
    <row r="1200" spans="20:25" x14ac:dyDescent="0.25">
      <c r="T1200" s="10"/>
      <c r="U1200" s="4"/>
      <c r="V1200" s="4"/>
      <c r="X1200" s="4"/>
      <c r="Y1200" s="4"/>
    </row>
    <row r="1201" spans="20:25" x14ac:dyDescent="0.25">
      <c r="T1201" s="10"/>
      <c r="U1201" s="4"/>
      <c r="V1201" s="4"/>
      <c r="X1201" s="4"/>
      <c r="Y1201" s="4"/>
    </row>
    <row r="1202" spans="20:25" x14ac:dyDescent="0.25">
      <c r="T1202" s="10"/>
      <c r="U1202" s="4"/>
      <c r="V1202" s="4"/>
      <c r="X1202" s="4"/>
      <c r="Y1202" s="4"/>
    </row>
    <row r="1203" spans="20:25" x14ac:dyDescent="0.25">
      <c r="T1203" s="10"/>
      <c r="U1203" s="4"/>
      <c r="V1203" s="4"/>
      <c r="X1203" s="4"/>
      <c r="Y1203" s="4"/>
    </row>
    <row r="1204" spans="20:25" x14ac:dyDescent="0.25">
      <c r="T1204" s="10"/>
      <c r="U1204" s="4"/>
      <c r="V1204" s="4"/>
      <c r="X1204" s="4"/>
      <c r="Y1204" s="4"/>
    </row>
    <row r="1205" spans="20:25" x14ac:dyDescent="0.25">
      <c r="T1205" s="10"/>
      <c r="U1205" s="4"/>
      <c r="V1205" s="4"/>
      <c r="X1205" s="4"/>
      <c r="Y1205" s="4"/>
    </row>
    <row r="1206" spans="20:25" x14ac:dyDescent="0.25">
      <c r="T1206" s="10"/>
      <c r="U1206" s="4"/>
      <c r="V1206" s="4"/>
      <c r="X1206" s="4"/>
      <c r="Y1206" s="4"/>
    </row>
    <row r="1207" spans="20:25" x14ac:dyDescent="0.25">
      <c r="T1207" s="10"/>
      <c r="U1207" s="4"/>
      <c r="V1207" s="4"/>
      <c r="X1207" s="4"/>
      <c r="Y1207" s="4"/>
    </row>
    <row r="1208" spans="20:25" x14ac:dyDescent="0.25">
      <c r="T1208" s="10"/>
      <c r="U1208" s="4"/>
      <c r="V1208" s="4"/>
      <c r="X1208" s="4"/>
      <c r="Y1208" s="4"/>
    </row>
    <row r="1209" spans="20:25" x14ac:dyDescent="0.25">
      <c r="T1209" s="10"/>
      <c r="U1209" s="4"/>
      <c r="V1209" s="4"/>
      <c r="X1209" s="4"/>
      <c r="Y1209" s="4"/>
    </row>
    <row r="1210" spans="20:25" x14ac:dyDescent="0.25">
      <c r="T1210" s="10"/>
      <c r="U1210" s="4"/>
      <c r="V1210" s="4"/>
      <c r="X1210" s="4"/>
      <c r="Y1210" s="4"/>
    </row>
    <row r="1211" spans="20:25" x14ac:dyDescent="0.25">
      <c r="T1211" s="10"/>
      <c r="U1211" s="4"/>
      <c r="V1211" s="4"/>
      <c r="X1211" s="4"/>
      <c r="Y1211" s="4"/>
    </row>
    <row r="1212" spans="20:25" x14ac:dyDescent="0.25">
      <c r="T1212" s="10"/>
      <c r="U1212" s="4"/>
      <c r="V1212" s="4"/>
      <c r="X1212" s="4"/>
      <c r="Y1212" s="4"/>
    </row>
    <row r="1213" spans="20:25" x14ac:dyDescent="0.25">
      <c r="T1213" s="10"/>
      <c r="U1213" s="4"/>
      <c r="V1213" s="4"/>
      <c r="X1213" s="4"/>
      <c r="Y1213" s="4"/>
    </row>
    <row r="1214" spans="20:25" x14ac:dyDescent="0.25">
      <c r="T1214" s="10"/>
      <c r="U1214" s="4"/>
      <c r="V1214" s="4"/>
      <c r="X1214" s="4"/>
      <c r="Y1214" s="4"/>
    </row>
    <row r="1215" spans="20:25" x14ac:dyDescent="0.25">
      <c r="T1215" s="10"/>
      <c r="U1215" s="4"/>
      <c r="V1215" s="4"/>
      <c r="X1215" s="4"/>
      <c r="Y1215" s="4"/>
    </row>
    <row r="1216" spans="20:25" x14ac:dyDescent="0.25">
      <c r="T1216" s="10"/>
      <c r="U1216" s="4"/>
      <c r="V1216" s="4"/>
      <c r="X1216" s="4"/>
      <c r="Y1216" s="4"/>
    </row>
    <row r="1217" spans="20:25" x14ac:dyDescent="0.25">
      <c r="T1217" s="10"/>
      <c r="U1217" s="4"/>
      <c r="V1217" s="4"/>
      <c r="X1217" s="4"/>
      <c r="Y1217" s="4"/>
    </row>
    <row r="1218" spans="20:25" x14ac:dyDescent="0.25">
      <c r="T1218" s="10"/>
      <c r="U1218" s="4"/>
      <c r="V1218" s="4"/>
      <c r="X1218" s="4"/>
      <c r="Y1218" s="4"/>
    </row>
    <row r="1219" spans="20:25" x14ac:dyDescent="0.25">
      <c r="T1219" s="10"/>
      <c r="U1219" s="4"/>
      <c r="V1219" s="4"/>
      <c r="X1219" s="4"/>
      <c r="Y1219" s="4"/>
    </row>
    <row r="1220" spans="20:25" x14ac:dyDescent="0.25">
      <c r="T1220" s="10"/>
      <c r="U1220" s="4"/>
      <c r="V1220" s="4"/>
      <c r="X1220" s="4"/>
      <c r="Y1220" s="4"/>
    </row>
    <row r="1221" spans="20:25" x14ac:dyDescent="0.25">
      <c r="T1221" s="10"/>
      <c r="U1221" s="4"/>
      <c r="V1221" s="4"/>
      <c r="X1221" s="4"/>
      <c r="Y1221" s="4"/>
    </row>
    <row r="1222" spans="20:25" x14ac:dyDescent="0.25">
      <c r="T1222" s="10"/>
      <c r="U1222" s="4"/>
      <c r="V1222" s="4"/>
      <c r="X1222" s="4"/>
      <c r="Y1222" s="4"/>
    </row>
    <row r="1223" spans="20:25" x14ac:dyDescent="0.25">
      <c r="T1223" s="10"/>
      <c r="U1223" s="4"/>
      <c r="V1223" s="4"/>
      <c r="X1223" s="4"/>
      <c r="Y1223" s="4"/>
    </row>
    <row r="1224" spans="20:25" x14ac:dyDescent="0.25">
      <c r="T1224" s="10"/>
      <c r="U1224" s="4"/>
      <c r="V1224" s="4"/>
      <c r="X1224" s="4"/>
      <c r="Y1224" s="4"/>
    </row>
    <row r="1225" spans="20:25" x14ac:dyDescent="0.25">
      <c r="T1225" s="10"/>
      <c r="U1225" s="4"/>
      <c r="V1225" s="4"/>
      <c r="X1225" s="4"/>
      <c r="Y1225" s="4"/>
    </row>
    <row r="1226" spans="20:25" x14ac:dyDescent="0.25">
      <c r="T1226" s="10"/>
      <c r="U1226" s="4"/>
      <c r="V1226" s="4"/>
      <c r="X1226" s="4"/>
      <c r="Y1226" s="4"/>
    </row>
    <row r="1227" spans="20:25" x14ac:dyDescent="0.25">
      <c r="T1227" s="10"/>
      <c r="U1227" s="4"/>
      <c r="V1227" s="4"/>
      <c r="X1227" s="4"/>
      <c r="Y1227" s="4"/>
    </row>
    <row r="1228" spans="20:25" x14ac:dyDescent="0.25">
      <c r="T1228" s="10"/>
      <c r="U1228" s="4"/>
      <c r="V1228" s="4"/>
      <c r="X1228" s="4"/>
      <c r="Y1228" s="4"/>
    </row>
    <row r="1229" spans="20:25" x14ac:dyDescent="0.25">
      <c r="T1229" s="10"/>
      <c r="U1229" s="4"/>
      <c r="V1229" s="4"/>
      <c r="X1229" s="4"/>
      <c r="Y1229" s="4"/>
    </row>
    <row r="1230" spans="20:25" x14ac:dyDescent="0.25">
      <c r="T1230" s="10"/>
      <c r="U1230" s="4"/>
      <c r="V1230" s="4"/>
      <c r="X1230" s="4"/>
      <c r="Y1230" s="4"/>
    </row>
    <row r="1231" spans="20:25" x14ac:dyDescent="0.25">
      <c r="T1231" s="10"/>
      <c r="U1231" s="4"/>
      <c r="V1231" s="4"/>
      <c r="X1231" s="4"/>
      <c r="Y1231" s="4"/>
    </row>
    <row r="1232" spans="20:25" x14ac:dyDescent="0.25">
      <c r="T1232" s="10"/>
      <c r="U1232" s="4"/>
      <c r="V1232" s="4"/>
      <c r="X1232" s="4"/>
      <c r="Y1232" s="4"/>
    </row>
    <row r="1233" spans="20:25" x14ac:dyDescent="0.25">
      <c r="T1233" s="10"/>
      <c r="U1233" s="4"/>
      <c r="V1233" s="4"/>
      <c r="X1233" s="4"/>
      <c r="Y1233" s="4"/>
    </row>
    <row r="1234" spans="20:25" x14ac:dyDescent="0.25">
      <c r="T1234" s="10"/>
      <c r="U1234" s="4"/>
      <c r="V1234" s="4"/>
      <c r="X1234" s="4"/>
      <c r="Y1234" s="4"/>
    </row>
    <row r="1235" spans="20:25" x14ac:dyDescent="0.25">
      <c r="T1235" s="10"/>
      <c r="U1235" s="4"/>
      <c r="V1235" s="4"/>
      <c r="X1235" s="4"/>
      <c r="Y1235" s="4"/>
    </row>
    <row r="1236" spans="20:25" x14ac:dyDescent="0.25">
      <c r="T1236" s="10"/>
      <c r="U1236" s="4"/>
      <c r="V1236" s="4"/>
      <c r="X1236" s="4"/>
      <c r="Y1236" s="4"/>
    </row>
    <row r="1237" spans="20:25" x14ac:dyDescent="0.25">
      <c r="T1237" s="10"/>
      <c r="U1237" s="4"/>
      <c r="V1237" s="4"/>
      <c r="X1237" s="4"/>
      <c r="Y1237" s="4"/>
    </row>
    <row r="1238" spans="20:25" x14ac:dyDescent="0.25">
      <c r="T1238" s="10"/>
      <c r="U1238" s="4"/>
      <c r="V1238" s="4"/>
      <c r="X1238" s="4"/>
      <c r="Y1238" s="4"/>
    </row>
    <row r="1239" spans="20:25" x14ac:dyDescent="0.25">
      <c r="T1239" s="10"/>
      <c r="U1239" s="4"/>
      <c r="V1239" s="4"/>
      <c r="X1239" s="4"/>
      <c r="Y1239" s="4"/>
    </row>
    <row r="1240" spans="20:25" x14ac:dyDescent="0.25">
      <c r="T1240" s="10"/>
      <c r="U1240" s="4"/>
      <c r="V1240" s="4"/>
      <c r="X1240" s="4"/>
      <c r="Y1240" s="4"/>
    </row>
    <row r="1241" spans="20:25" x14ac:dyDescent="0.25">
      <c r="T1241" s="10"/>
      <c r="U1241" s="4"/>
      <c r="V1241" s="4"/>
      <c r="X1241" s="4"/>
      <c r="Y1241" s="4"/>
    </row>
    <row r="1242" spans="20:25" x14ac:dyDescent="0.25">
      <c r="T1242" s="10"/>
      <c r="U1242" s="4"/>
      <c r="V1242" s="4"/>
      <c r="X1242" s="4"/>
      <c r="Y1242" s="4"/>
    </row>
    <row r="1243" spans="20:25" x14ac:dyDescent="0.25">
      <c r="T1243" s="10"/>
      <c r="U1243" s="4"/>
      <c r="V1243" s="4"/>
      <c r="X1243" s="4"/>
      <c r="Y1243" s="4"/>
    </row>
    <row r="1244" spans="20:25" x14ac:dyDescent="0.25">
      <c r="T1244" s="10"/>
      <c r="U1244" s="4"/>
      <c r="V1244" s="4"/>
      <c r="X1244" s="4"/>
      <c r="Y1244" s="4"/>
    </row>
    <row r="1245" spans="20:25" x14ac:dyDescent="0.25">
      <c r="T1245" s="10"/>
      <c r="U1245" s="4"/>
      <c r="V1245" s="4"/>
      <c r="X1245" s="4"/>
      <c r="Y1245" s="4"/>
    </row>
    <row r="1246" spans="20:25" x14ac:dyDescent="0.25">
      <c r="T1246" s="10"/>
      <c r="U1246" s="4"/>
      <c r="V1246" s="4"/>
      <c r="X1246" s="4"/>
      <c r="Y1246" s="4"/>
    </row>
    <row r="1247" spans="20:25" x14ac:dyDescent="0.25">
      <c r="T1247" s="10"/>
      <c r="U1247" s="4"/>
      <c r="V1247" s="4"/>
      <c r="X1247" s="4"/>
      <c r="Y1247" s="4"/>
    </row>
    <row r="1248" spans="20:25" x14ac:dyDescent="0.25">
      <c r="T1248" s="10"/>
      <c r="U1248" s="4"/>
      <c r="V1248" s="4"/>
      <c r="X1248" s="4"/>
      <c r="Y1248" s="4"/>
    </row>
    <row r="1249" spans="20:25" x14ac:dyDescent="0.25">
      <c r="T1249" s="10"/>
      <c r="U1249" s="4"/>
      <c r="V1249" s="4"/>
      <c r="X1249" s="4"/>
      <c r="Y1249" s="4"/>
    </row>
    <row r="1250" spans="20:25" x14ac:dyDescent="0.25">
      <c r="T1250" s="10"/>
      <c r="U1250" s="4"/>
      <c r="V1250" s="4"/>
      <c r="X1250" s="4"/>
      <c r="Y1250" s="4"/>
    </row>
    <row r="1251" spans="20:25" x14ac:dyDescent="0.25">
      <c r="T1251" s="10"/>
      <c r="U1251" s="4"/>
      <c r="V1251" s="4"/>
      <c r="X1251" s="4"/>
      <c r="Y1251" s="4"/>
    </row>
    <row r="1252" spans="20:25" x14ac:dyDescent="0.25">
      <c r="T1252" s="10"/>
      <c r="U1252" s="4"/>
      <c r="V1252" s="4"/>
      <c r="X1252" s="4"/>
      <c r="Y1252" s="4"/>
    </row>
    <row r="1253" spans="20:25" x14ac:dyDescent="0.25">
      <c r="T1253" s="10"/>
      <c r="U1253" s="4"/>
      <c r="V1253" s="4"/>
      <c r="X1253" s="4"/>
      <c r="Y1253" s="4"/>
    </row>
    <row r="1254" spans="20:25" x14ac:dyDescent="0.25">
      <c r="T1254" s="10"/>
      <c r="U1254" s="4"/>
      <c r="V1254" s="4"/>
      <c r="X1254" s="4"/>
      <c r="Y1254" s="4"/>
    </row>
    <row r="1255" spans="20:25" x14ac:dyDescent="0.25">
      <c r="T1255" s="10"/>
      <c r="U1255" s="4"/>
      <c r="V1255" s="4"/>
      <c r="X1255" s="4"/>
      <c r="Y1255" s="4"/>
    </row>
    <row r="1256" spans="20:25" x14ac:dyDescent="0.25">
      <c r="T1256" s="10"/>
      <c r="U1256" s="4"/>
      <c r="V1256" s="4"/>
      <c r="X1256" s="4"/>
      <c r="Y1256" s="4"/>
    </row>
    <row r="1257" spans="20:25" x14ac:dyDescent="0.25">
      <c r="T1257" s="10"/>
      <c r="U1257" s="4"/>
      <c r="V1257" s="4"/>
      <c r="X1257" s="4"/>
      <c r="Y1257" s="4"/>
    </row>
    <row r="1258" spans="20:25" x14ac:dyDescent="0.25">
      <c r="T1258" s="10"/>
      <c r="U1258" s="4"/>
      <c r="V1258" s="4"/>
      <c r="X1258" s="4"/>
      <c r="Y1258" s="4"/>
    </row>
    <row r="1259" spans="20:25" x14ac:dyDescent="0.25">
      <c r="T1259" s="10"/>
      <c r="U1259" s="4"/>
      <c r="V1259" s="4"/>
      <c r="X1259" s="4"/>
      <c r="Y1259" s="4"/>
    </row>
    <row r="1260" spans="20:25" x14ac:dyDescent="0.25">
      <c r="T1260" s="10"/>
      <c r="U1260" s="4"/>
      <c r="V1260" s="4"/>
      <c r="X1260" s="4"/>
      <c r="Y1260" s="4"/>
    </row>
    <row r="1261" spans="20:25" x14ac:dyDescent="0.25">
      <c r="T1261" s="10"/>
      <c r="U1261" s="4"/>
      <c r="V1261" s="4"/>
      <c r="X1261" s="4"/>
      <c r="Y1261" s="4"/>
    </row>
    <row r="1262" spans="20:25" x14ac:dyDescent="0.25">
      <c r="T1262" s="10"/>
      <c r="U1262" s="4"/>
      <c r="V1262" s="4"/>
      <c r="X1262" s="4"/>
      <c r="Y1262" s="4"/>
    </row>
    <row r="1263" spans="20:25" x14ac:dyDescent="0.25">
      <c r="T1263" s="10"/>
      <c r="U1263" s="4"/>
      <c r="V1263" s="4"/>
      <c r="X1263" s="4"/>
      <c r="Y1263" s="4"/>
    </row>
    <row r="1264" spans="20:25" x14ac:dyDescent="0.25">
      <c r="T1264" s="10"/>
      <c r="U1264" s="4"/>
      <c r="V1264" s="4"/>
      <c r="X1264" s="4"/>
      <c r="Y1264" s="4"/>
    </row>
    <row r="1265" spans="20:25" x14ac:dyDescent="0.25">
      <c r="T1265" s="10"/>
      <c r="U1265" s="4"/>
      <c r="V1265" s="4"/>
      <c r="X1265" s="4"/>
      <c r="Y1265" s="4"/>
    </row>
    <row r="1266" spans="20:25" x14ac:dyDescent="0.25">
      <c r="T1266" s="10"/>
      <c r="U1266" s="4"/>
      <c r="V1266" s="4"/>
      <c r="X1266" s="4"/>
      <c r="Y1266" s="4"/>
    </row>
    <row r="1267" spans="20:25" x14ac:dyDescent="0.25">
      <c r="T1267" s="10"/>
      <c r="U1267" s="4"/>
      <c r="V1267" s="4"/>
      <c r="X1267" s="4"/>
      <c r="Y1267" s="4"/>
    </row>
    <row r="1268" spans="20:25" x14ac:dyDescent="0.25">
      <c r="T1268" s="10"/>
      <c r="U1268" s="4"/>
      <c r="V1268" s="4"/>
      <c r="X1268" s="4"/>
      <c r="Y1268" s="4"/>
    </row>
    <row r="1269" spans="20:25" x14ac:dyDescent="0.25">
      <c r="T1269" s="10"/>
      <c r="U1269" s="4"/>
      <c r="V1269" s="4"/>
      <c r="X1269" s="4"/>
      <c r="Y1269" s="4"/>
    </row>
    <row r="1270" spans="20:25" x14ac:dyDescent="0.25">
      <c r="T1270" s="10"/>
      <c r="U1270" s="4"/>
      <c r="V1270" s="4"/>
      <c r="X1270" s="4"/>
      <c r="Y1270" s="4"/>
    </row>
    <row r="1271" spans="20:25" x14ac:dyDescent="0.25">
      <c r="T1271" s="10"/>
      <c r="U1271" s="4"/>
      <c r="V1271" s="4"/>
      <c r="X1271" s="4"/>
      <c r="Y1271" s="4"/>
    </row>
    <row r="1272" spans="20:25" x14ac:dyDescent="0.25">
      <c r="T1272" s="10"/>
      <c r="U1272" s="4"/>
      <c r="V1272" s="4"/>
      <c r="X1272" s="4"/>
      <c r="Y1272" s="4"/>
    </row>
    <row r="1273" spans="20:25" x14ac:dyDescent="0.25">
      <c r="T1273" s="10"/>
      <c r="U1273" s="4"/>
      <c r="V1273" s="4"/>
      <c r="X1273" s="4"/>
      <c r="Y1273" s="4"/>
    </row>
    <row r="1274" spans="20:25" x14ac:dyDescent="0.25">
      <c r="T1274" s="10"/>
      <c r="U1274" s="4"/>
      <c r="V1274" s="4"/>
      <c r="X1274" s="4"/>
      <c r="Y1274" s="4"/>
    </row>
    <row r="1275" spans="20:25" x14ac:dyDescent="0.25">
      <c r="T1275" s="10"/>
      <c r="U1275" s="4"/>
      <c r="V1275" s="4"/>
      <c r="X1275" s="4"/>
      <c r="Y1275" s="4"/>
    </row>
    <row r="1276" spans="20:25" x14ac:dyDescent="0.25">
      <c r="T1276" s="10"/>
      <c r="U1276" s="4"/>
      <c r="V1276" s="4"/>
      <c r="X1276" s="4"/>
      <c r="Y1276" s="4"/>
    </row>
    <row r="1277" spans="20:25" x14ac:dyDescent="0.25">
      <c r="T1277" s="10"/>
      <c r="U1277" s="4"/>
      <c r="V1277" s="4"/>
      <c r="X1277" s="4"/>
      <c r="Y1277" s="4"/>
    </row>
    <row r="1278" spans="20:25" x14ac:dyDescent="0.25">
      <c r="T1278" s="10"/>
      <c r="U1278" s="4"/>
      <c r="V1278" s="4"/>
      <c r="X1278" s="4"/>
      <c r="Y1278" s="4"/>
    </row>
    <row r="1279" spans="20:25" x14ac:dyDescent="0.25">
      <c r="T1279" s="10"/>
      <c r="U1279" s="4"/>
      <c r="V1279" s="4"/>
      <c r="X1279" s="4"/>
      <c r="Y1279" s="4"/>
    </row>
    <row r="1280" spans="20:25" x14ac:dyDescent="0.25">
      <c r="T1280" s="10"/>
      <c r="U1280" s="4"/>
      <c r="V1280" s="4"/>
      <c r="X1280" s="4"/>
      <c r="Y1280" s="4"/>
    </row>
    <row r="1281" spans="20:25" x14ac:dyDescent="0.25">
      <c r="T1281" s="10"/>
      <c r="U1281" s="4"/>
      <c r="V1281" s="4"/>
      <c r="X1281" s="4"/>
      <c r="Y1281" s="4"/>
    </row>
    <row r="1282" spans="20:25" x14ac:dyDescent="0.25">
      <c r="T1282" s="10"/>
      <c r="U1282" s="4"/>
      <c r="V1282" s="4"/>
      <c r="X1282" s="4"/>
      <c r="Y1282" s="4"/>
    </row>
    <row r="1283" spans="20:25" x14ac:dyDescent="0.25">
      <c r="T1283" s="10"/>
      <c r="U1283" s="4"/>
      <c r="V1283" s="4"/>
      <c r="X1283" s="4"/>
      <c r="Y1283" s="4"/>
    </row>
    <row r="1284" spans="20:25" x14ac:dyDescent="0.25">
      <c r="T1284" s="10"/>
      <c r="U1284" s="4"/>
      <c r="V1284" s="4"/>
      <c r="X1284" s="4"/>
      <c r="Y1284" s="4"/>
    </row>
    <row r="1285" spans="20:25" x14ac:dyDescent="0.25">
      <c r="T1285" s="10"/>
      <c r="U1285" s="4"/>
      <c r="V1285" s="4"/>
      <c r="X1285" s="4"/>
      <c r="Y1285" s="4"/>
    </row>
    <row r="1286" spans="20:25" x14ac:dyDescent="0.25">
      <c r="T1286" s="10"/>
      <c r="U1286" s="4"/>
      <c r="V1286" s="4"/>
      <c r="X1286" s="4"/>
      <c r="Y1286" s="4"/>
    </row>
    <row r="1287" spans="20:25" x14ac:dyDescent="0.25">
      <c r="T1287" s="10"/>
      <c r="U1287" s="4"/>
      <c r="V1287" s="4"/>
      <c r="X1287" s="4"/>
      <c r="Y1287" s="4"/>
    </row>
    <row r="1288" spans="20:25" x14ac:dyDescent="0.25">
      <c r="T1288" s="10"/>
      <c r="U1288" s="4"/>
      <c r="V1288" s="4"/>
      <c r="X1288" s="4"/>
      <c r="Y1288" s="4"/>
    </row>
    <row r="1289" spans="20:25" x14ac:dyDescent="0.25">
      <c r="T1289" s="10"/>
      <c r="U1289" s="4"/>
      <c r="V1289" s="4"/>
      <c r="X1289" s="4"/>
      <c r="Y1289" s="4"/>
    </row>
    <row r="1290" spans="20:25" x14ac:dyDescent="0.25">
      <c r="T1290" s="10"/>
      <c r="U1290" s="4"/>
      <c r="V1290" s="4"/>
      <c r="X1290" s="4"/>
      <c r="Y1290" s="4"/>
    </row>
    <row r="1291" spans="20:25" x14ac:dyDescent="0.25">
      <c r="T1291" s="10"/>
      <c r="U1291" s="4"/>
      <c r="V1291" s="4"/>
      <c r="X1291" s="4"/>
      <c r="Y1291" s="4"/>
    </row>
    <row r="1292" spans="20:25" x14ac:dyDescent="0.25">
      <c r="T1292" s="10"/>
      <c r="U1292" s="4"/>
      <c r="V1292" s="4"/>
      <c r="X1292" s="4"/>
      <c r="Y1292" s="4"/>
    </row>
    <row r="1293" spans="20:25" x14ac:dyDescent="0.25">
      <c r="T1293" s="10"/>
      <c r="U1293" s="4"/>
      <c r="V1293" s="4"/>
      <c r="X1293" s="4"/>
      <c r="Y1293" s="4"/>
    </row>
    <row r="1294" spans="20:25" x14ac:dyDescent="0.25">
      <c r="T1294" s="10"/>
      <c r="U1294" s="4"/>
      <c r="V1294" s="4"/>
      <c r="X1294" s="4"/>
      <c r="Y1294" s="4"/>
    </row>
    <row r="1295" spans="20:25" x14ac:dyDescent="0.25">
      <c r="T1295" s="10"/>
      <c r="U1295" s="4"/>
      <c r="V1295" s="4"/>
      <c r="X1295" s="4"/>
      <c r="Y1295" s="4"/>
    </row>
    <row r="1296" spans="20:25" x14ac:dyDescent="0.25">
      <c r="T1296" s="10"/>
      <c r="U1296" s="4"/>
      <c r="V1296" s="4"/>
      <c r="X1296" s="4"/>
      <c r="Y1296" s="4"/>
    </row>
    <row r="1297" spans="20:25" x14ac:dyDescent="0.25">
      <c r="T1297" s="10"/>
      <c r="U1297" s="4"/>
      <c r="V1297" s="4"/>
      <c r="X1297" s="4"/>
      <c r="Y1297" s="4"/>
    </row>
    <row r="1298" spans="20:25" x14ac:dyDescent="0.25">
      <c r="T1298" s="10"/>
      <c r="U1298" s="4"/>
      <c r="V1298" s="4"/>
      <c r="X1298" s="4"/>
      <c r="Y1298" s="4"/>
    </row>
    <row r="1299" spans="20:25" x14ac:dyDescent="0.25">
      <c r="T1299" s="10"/>
      <c r="U1299" s="4"/>
      <c r="V1299" s="4"/>
      <c r="X1299" s="4"/>
      <c r="Y1299" s="4"/>
    </row>
    <row r="1300" spans="20:25" x14ac:dyDescent="0.25">
      <c r="T1300" s="10"/>
      <c r="U1300" s="4"/>
      <c r="V1300" s="4"/>
      <c r="X1300" s="4"/>
      <c r="Y1300" s="4"/>
    </row>
    <row r="1301" spans="20:25" x14ac:dyDescent="0.25">
      <c r="T1301" s="10"/>
      <c r="U1301" s="4"/>
      <c r="V1301" s="4"/>
      <c r="X1301" s="4"/>
      <c r="Y1301" s="4"/>
    </row>
    <row r="1302" spans="20:25" x14ac:dyDescent="0.25">
      <c r="T1302" s="10"/>
      <c r="U1302" s="4"/>
      <c r="V1302" s="4"/>
      <c r="X1302" s="4"/>
      <c r="Y1302" s="4"/>
    </row>
    <row r="1303" spans="20:25" x14ac:dyDescent="0.25">
      <c r="T1303" s="10"/>
      <c r="U1303" s="4"/>
      <c r="V1303" s="4"/>
      <c r="X1303" s="4"/>
      <c r="Y1303" s="4"/>
    </row>
    <row r="1304" spans="20:25" x14ac:dyDescent="0.25">
      <c r="T1304" s="10"/>
      <c r="U1304" s="4"/>
      <c r="V1304" s="4"/>
      <c r="X1304" s="4"/>
      <c r="Y1304" s="4"/>
    </row>
    <row r="1305" spans="20:25" x14ac:dyDescent="0.25">
      <c r="T1305" s="10"/>
      <c r="U1305" s="4"/>
      <c r="V1305" s="4"/>
      <c r="X1305" s="4"/>
      <c r="Y1305" s="4"/>
    </row>
    <row r="1306" spans="20:25" x14ac:dyDescent="0.25">
      <c r="T1306" s="10"/>
      <c r="U1306" s="4"/>
      <c r="V1306" s="4"/>
      <c r="X1306" s="4"/>
      <c r="Y1306" s="4"/>
    </row>
    <row r="1307" spans="20:25" x14ac:dyDescent="0.25">
      <c r="T1307" s="10"/>
      <c r="U1307" s="4"/>
      <c r="V1307" s="4"/>
      <c r="X1307" s="4"/>
      <c r="Y1307" s="4"/>
    </row>
    <row r="1308" spans="20:25" x14ac:dyDescent="0.25">
      <c r="T1308" s="10"/>
      <c r="U1308" s="4"/>
      <c r="V1308" s="4"/>
      <c r="X1308" s="4"/>
      <c r="Y1308" s="4"/>
    </row>
    <row r="1309" spans="20:25" x14ac:dyDescent="0.25">
      <c r="T1309" s="10"/>
      <c r="U1309" s="4"/>
      <c r="V1309" s="4"/>
      <c r="X1309" s="4"/>
      <c r="Y1309" s="4"/>
    </row>
    <row r="1310" spans="20:25" x14ac:dyDescent="0.25">
      <c r="T1310" s="10"/>
      <c r="U1310" s="4"/>
      <c r="V1310" s="4"/>
      <c r="X1310" s="4"/>
      <c r="Y1310" s="4"/>
    </row>
    <row r="1311" spans="20:25" x14ac:dyDescent="0.25">
      <c r="T1311" s="10"/>
      <c r="U1311" s="4"/>
      <c r="V1311" s="4"/>
      <c r="X1311" s="4"/>
      <c r="Y1311" s="4"/>
    </row>
    <row r="1312" spans="20:25" x14ac:dyDescent="0.25">
      <c r="T1312" s="10"/>
      <c r="U1312" s="4"/>
      <c r="V1312" s="4"/>
      <c r="X1312" s="4"/>
      <c r="Y1312" s="4"/>
    </row>
    <row r="1313" spans="20:25" x14ac:dyDescent="0.25">
      <c r="T1313" s="10"/>
      <c r="U1313" s="4"/>
      <c r="V1313" s="4"/>
      <c r="X1313" s="4"/>
      <c r="Y1313" s="4"/>
    </row>
    <row r="1314" spans="20:25" x14ac:dyDescent="0.25">
      <c r="T1314" s="10"/>
      <c r="U1314" s="4"/>
      <c r="V1314" s="4"/>
      <c r="X1314" s="4"/>
      <c r="Y1314" s="4"/>
    </row>
    <row r="1315" spans="20:25" x14ac:dyDescent="0.25">
      <c r="T1315" s="10"/>
      <c r="U1315" s="4"/>
      <c r="V1315" s="4"/>
      <c r="X1315" s="4"/>
      <c r="Y1315" s="4"/>
    </row>
    <row r="1316" spans="20:25" x14ac:dyDescent="0.25">
      <c r="T1316" s="10"/>
      <c r="U1316" s="4"/>
      <c r="V1316" s="4"/>
      <c r="X1316" s="4"/>
      <c r="Y1316" s="4"/>
    </row>
    <row r="1317" spans="20:25" x14ac:dyDescent="0.25">
      <c r="T1317" s="10"/>
      <c r="U1317" s="4"/>
      <c r="V1317" s="4"/>
      <c r="X1317" s="4"/>
      <c r="Y1317" s="4"/>
    </row>
    <row r="1318" spans="20:25" x14ac:dyDescent="0.25">
      <c r="T1318" s="10"/>
      <c r="U1318" s="4"/>
      <c r="V1318" s="4"/>
      <c r="X1318" s="4"/>
      <c r="Y1318" s="4"/>
    </row>
    <row r="1319" spans="20:25" x14ac:dyDescent="0.25">
      <c r="T1319" s="10"/>
      <c r="U1319" s="4"/>
      <c r="V1319" s="4"/>
      <c r="X1319" s="4"/>
      <c r="Y1319" s="4"/>
    </row>
    <row r="1320" spans="20:25" x14ac:dyDescent="0.25">
      <c r="T1320" s="10"/>
      <c r="U1320" s="4"/>
      <c r="V1320" s="4"/>
      <c r="X1320" s="4"/>
      <c r="Y1320" s="4"/>
    </row>
    <row r="1321" spans="20:25" x14ac:dyDescent="0.25">
      <c r="T1321" s="10"/>
      <c r="U1321" s="4"/>
      <c r="V1321" s="4"/>
      <c r="X1321" s="4"/>
      <c r="Y1321" s="4"/>
    </row>
    <row r="1322" spans="20:25" x14ac:dyDescent="0.25">
      <c r="T1322" s="10"/>
      <c r="U1322" s="4"/>
      <c r="V1322" s="4"/>
      <c r="X1322" s="4"/>
      <c r="Y1322" s="4"/>
    </row>
    <row r="1323" spans="20:25" x14ac:dyDescent="0.25">
      <c r="T1323" s="10"/>
      <c r="U1323" s="4"/>
      <c r="V1323" s="4"/>
      <c r="X1323" s="4"/>
      <c r="Y1323" s="4"/>
    </row>
    <row r="1324" spans="20:25" x14ac:dyDescent="0.25">
      <c r="T1324" s="10"/>
      <c r="U1324" s="4"/>
      <c r="V1324" s="4"/>
      <c r="X1324" s="4"/>
      <c r="Y1324" s="4"/>
    </row>
    <row r="1325" spans="20:25" x14ac:dyDescent="0.25">
      <c r="T1325" s="10"/>
      <c r="U1325" s="4"/>
      <c r="V1325" s="4"/>
      <c r="X1325" s="4"/>
      <c r="Y1325" s="4"/>
    </row>
    <row r="1326" spans="20:25" x14ac:dyDescent="0.25">
      <c r="T1326" s="10"/>
      <c r="U1326" s="4"/>
      <c r="V1326" s="4"/>
      <c r="X1326" s="4"/>
      <c r="Y1326" s="4"/>
    </row>
    <row r="1327" spans="20:25" x14ac:dyDescent="0.25">
      <c r="T1327" s="10"/>
      <c r="U1327" s="4"/>
      <c r="V1327" s="4"/>
      <c r="X1327" s="4"/>
      <c r="Y1327" s="4"/>
    </row>
    <row r="1328" spans="20:25" x14ac:dyDescent="0.25">
      <c r="T1328" s="10"/>
      <c r="U1328" s="4"/>
      <c r="V1328" s="4"/>
      <c r="X1328" s="4"/>
      <c r="Y1328" s="4"/>
    </row>
    <row r="1329" spans="20:25" x14ac:dyDescent="0.25">
      <c r="T1329" s="10"/>
      <c r="U1329" s="4"/>
      <c r="V1329" s="4"/>
      <c r="X1329" s="4"/>
      <c r="Y1329" s="4"/>
    </row>
    <row r="1330" spans="20:25" x14ac:dyDescent="0.25">
      <c r="T1330" s="10"/>
      <c r="U1330" s="4"/>
      <c r="V1330" s="4"/>
      <c r="X1330" s="4"/>
      <c r="Y1330" s="4"/>
    </row>
    <row r="1331" spans="20:25" x14ac:dyDescent="0.25">
      <c r="T1331" s="10"/>
      <c r="U1331" s="4"/>
      <c r="V1331" s="4"/>
      <c r="X1331" s="4"/>
      <c r="Y1331" s="4"/>
    </row>
    <row r="1332" spans="20:25" x14ac:dyDescent="0.25">
      <c r="T1332" s="10"/>
      <c r="U1332" s="4"/>
      <c r="V1332" s="4"/>
      <c r="X1332" s="4"/>
      <c r="Y1332" s="4"/>
    </row>
    <row r="1333" spans="20:25" x14ac:dyDescent="0.25">
      <c r="T1333" s="10"/>
      <c r="U1333" s="4"/>
      <c r="V1333" s="4"/>
      <c r="X1333" s="4"/>
      <c r="Y1333" s="4"/>
    </row>
    <row r="1334" spans="20:25" x14ac:dyDescent="0.25">
      <c r="T1334" s="10"/>
      <c r="U1334" s="4"/>
      <c r="V1334" s="4"/>
      <c r="X1334" s="4"/>
      <c r="Y1334" s="4"/>
    </row>
    <row r="1335" spans="20:25" x14ac:dyDescent="0.25">
      <c r="T1335" s="10"/>
      <c r="U1335" s="4"/>
      <c r="V1335" s="4"/>
      <c r="X1335" s="4"/>
      <c r="Y1335" s="4"/>
    </row>
    <row r="1336" spans="20:25" x14ac:dyDescent="0.25">
      <c r="T1336" s="10"/>
      <c r="U1336" s="4"/>
      <c r="V1336" s="4"/>
      <c r="X1336" s="4"/>
      <c r="Y1336" s="4"/>
    </row>
    <row r="1337" spans="20:25" x14ac:dyDescent="0.25">
      <c r="T1337" s="10"/>
      <c r="U1337" s="4"/>
      <c r="V1337" s="4"/>
      <c r="X1337" s="4"/>
      <c r="Y1337" s="4"/>
    </row>
    <row r="1338" spans="20:25" x14ac:dyDescent="0.25">
      <c r="T1338" s="10"/>
      <c r="U1338" s="4"/>
      <c r="V1338" s="4"/>
      <c r="X1338" s="4"/>
      <c r="Y1338" s="4"/>
    </row>
    <row r="1339" spans="20:25" x14ac:dyDescent="0.25">
      <c r="T1339" s="10"/>
      <c r="U1339" s="4"/>
      <c r="V1339" s="4"/>
      <c r="X1339" s="4"/>
      <c r="Y1339" s="4"/>
    </row>
    <row r="1340" spans="20:25" x14ac:dyDescent="0.25">
      <c r="T1340" s="10"/>
      <c r="U1340" s="4"/>
      <c r="V1340" s="4"/>
      <c r="X1340" s="4"/>
      <c r="Y1340" s="4"/>
    </row>
    <row r="1341" spans="20:25" x14ac:dyDescent="0.25">
      <c r="T1341" s="10"/>
      <c r="U1341" s="4"/>
      <c r="V1341" s="4"/>
      <c r="X1341" s="4"/>
      <c r="Y1341" s="4"/>
    </row>
    <row r="1342" spans="20:25" x14ac:dyDescent="0.25">
      <c r="T1342" s="10"/>
      <c r="U1342" s="4"/>
      <c r="V1342" s="4"/>
      <c r="X1342" s="4"/>
      <c r="Y1342" s="4"/>
    </row>
    <row r="1343" spans="20:25" x14ac:dyDescent="0.25">
      <c r="T1343" s="10"/>
      <c r="U1343" s="4"/>
      <c r="V1343" s="4"/>
      <c r="X1343" s="4"/>
      <c r="Y1343" s="4"/>
    </row>
    <row r="1344" spans="20:25" x14ac:dyDescent="0.25">
      <c r="T1344" s="10"/>
      <c r="U1344" s="4"/>
      <c r="V1344" s="4"/>
      <c r="X1344" s="4"/>
      <c r="Y1344" s="4"/>
    </row>
    <row r="1345" spans="20:25" x14ac:dyDescent="0.25">
      <c r="T1345" s="10"/>
      <c r="U1345" s="4"/>
      <c r="V1345" s="4"/>
      <c r="X1345" s="4"/>
      <c r="Y1345" s="4"/>
    </row>
    <row r="1346" spans="20:25" x14ac:dyDescent="0.25">
      <c r="T1346" s="10"/>
      <c r="U1346" s="4"/>
      <c r="V1346" s="4"/>
      <c r="X1346" s="4"/>
      <c r="Y1346" s="4"/>
    </row>
    <row r="1347" spans="20:25" x14ac:dyDescent="0.25">
      <c r="T1347" s="10"/>
      <c r="U1347" s="4"/>
      <c r="V1347" s="4"/>
      <c r="X1347" s="4"/>
      <c r="Y1347" s="4"/>
    </row>
    <row r="1348" spans="20:25" x14ac:dyDescent="0.25">
      <c r="T1348" s="10"/>
      <c r="U1348" s="4"/>
      <c r="V1348" s="4"/>
      <c r="X1348" s="4"/>
      <c r="Y1348" s="4"/>
    </row>
    <row r="1349" spans="20:25" x14ac:dyDescent="0.25">
      <c r="T1349" s="10"/>
      <c r="U1349" s="4"/>
      <c r="V1349" s="4"/>
      <c r="X1349" s="4"/>
      <c r="Y1349" s="4"/>
    </row>
    <row r="1350" spans="20:25" x14ac:dyDescent="0.25">
      <c r="T1350" s="10"/>
      <c r="U1350" s="4"/>
      <c r="V1350" s="4"/>
      <c r="X1350" s="4"/>
      <c r="Y1350" s="4"/>
    </row>
    <row r="1351" spans="20:25" x14ac:dyDescent="0.25">
      <c r="T1351" s="10"/>
      <c r="U1351" s="4"/>
      <c r="V1351" s="4"/>
      <c r="X1351" s="4"/>
      <c r="Y1351" s="4"/>
    </row>
    <row r="1352" spans="20:25" x14ac:dyDescent="0.25">
      <c r="T1352" s="10"/>
      <c r="U1352" s="4"/>
      <c r="V1352" s="4"/>
      <c r="X1352" s="4"/>
      <c r="Y1352" s="4"/>
    </row>
    <row r="1353" spans="20:25" x14ac:dyDescent="0.25">
      <c r="T1353" s="10"/>
      <c r="U1353" s="4"/>
      <c r="V1353" s="4"/>
      <c r="X1353" s="4"/>
      <c r="Y1353" s="4"/>
    </row>
    <row r="1354" spans="20:25" x14ac:dyDescent="0.25">
      <c r="T1354" s="10"/>
      <c r="U1354" s="4"/>
      <c r="V1354" s="4"/>
      <c r="X1354" s="4"/>
      <c r="Y1354" s="4"/>
    </row>
    <row r="1355" spans="20:25" x14ac:dyDescent="0.25">
      <c r="T1355" s="10"/>
      <c r="U1355" s="4"/>
      <c r="V1355" s="4"/>
      <c r="X1355" s="4"/>
      <c r="Y1355" s="4"/>
    </row>
    <row r="1356" spans="20:25" x14ac:dyDescent="0.25">
      <c r="T1356" s="10"/>
      <c r="U1356" s="4"/>
      <c r="V1356" s="4"/>
      <c r="X1356" s="4"/>
      <c r="Y1356" s="4"/>
    </row>
    <row r="1357" spans="20:25" x14ac:dyDescent="0.25">
      <c r="T1357" s="10"/>
      <c r="U1357" s="4"/>
      <c r="V1357" s="4"/>
      <c r="X1357" s="4"/>
      <c r="Y1357" s="4"/>
    </row>
    <row r="1358" spans="20:25" x14ac:dyDescent="0.25">
      <c r="T1358" s="10"/>
      <c r="U1358" s="4"/>
      <c r="V1358" s="4"/>
      <c r="X1358" s="4"/>
      <c r="Y1358" s="4"/>
    </row>
    <row r="1359" spans="20:25" x14ac:dyDescent="0.25">
      <c r="T1359" s="10"/>
      <c r="U1359" s="4"/>
      <c r="V1359" s="4"/>
      <c r="X1359" s="4"/>
      <c r="Y1359" s="4"/>
    </row>
    <row r="1360" spans="20:25" x14ac:dyDescent="0.25">
      <c r="T1360" s="10"/>
      <c r="U1360" s="4"/>
      <c r="V1360" s="4"/>
      <c r="X1360" s="4"/>
      <c r="Y1360" s="4"/>
    </row>
    <row r="1361" spans="20:25" x14ac:dyDescent="0.25">
      <c r="T1361" s="10"/>
      <c r="U1361" s="4"/>
      <c r="V1361" s="4"/>
      <c r="X1361" s="4"/>
      <c r="Y1361" s="4"/>
    </row>
    <row r="1362" spans="20:25" x14ac:dyDescent="0.25">
      <c r="T1362" s="10"/>
      <c r="U1362" s="4"/>
      <c r="V1362" s="4"/>
      <c r="X1362" s="4"/>
      <c r="Y1362" s="4"/>
    </row>
    <row r="1363" spans="20:25" x14ac:dyDescent="0.25">
      <c r="T1363" s="10"/>
      <c r="U1363" s="4"/>
      <c r="V1363" s="4"/>
      <c r="X1363" s="4"/>
      <c r="Y1363" s="4"/>
    </row>
    <row r="1364" spans="20:25" x14ac:dyDescent="0.25">
      <c r="T1364" s="10"/>
      <c r="U1364" s="4"/>
      <c r="V1364" s="4"/>
      <c r="X1364" s="4"/>
      <c r="Y1364" s="4"/>
    </row>
    <row r="1365" spans="20:25" x14ac:dyDescent="0.25">
      <c r="T1365" s="10"/>
      <c r="U1365" s="4"/>
      <c r="V1365" s="4"/>
      <c r="X1365" s="4"/>
      <c r="Y1365" s="4"/>
    </row>
    <row r="1366" spans="20:25" x14ac:dyDescent="0.25">
      <c r="T1366" s="10"/>
      <c r="U1366" s="4"/>
      <c r="V1366" s="4"/>
      <c r="X1366" s="4"/>
      <c r="Y1366" s="4"/>
    </row>
    <row r="1367" spans="20:25" x14ac:dyDescent="0.25">
      <c r="T1367" s="10"/>
      <c r="U1367" s="4"/>
      <c r="V1367" s="4"/>
      <c r="X1367" s="4"/>
      <c r="Y1367" s="4"/>
    </row>
    <row r="1368" spans="20:25" x14ac:dyDescent="0.25">
      <c r="T1368" s="10"/>
      <c r="U1368" s="4"/>
      <c r="V1368" s="4"/>
      <c r="X1368" s="4"/>
      <c r="Y1368" s="4"/>
    </row>
    <row r="1369" spans="20:25" x14ac:dyDescent="0.25">
      <c r="T1369" s="10"/>
      <c r="U1369" s="4"/>
      <c r="V1369" s="4"/>
      <c r="X1369" s="4"/>
      <c r="Y1369" s="4"/>
    </row>
    <row r="1370" spans="20:25" x14ac:dyDescent="0.25">
      <c r="T1370" s="10"/>
      <c r="U1370" s="4"/>
      <c r="V1370" s="4"/>
      <c r="X1370" s="4"/>
      <c r="Y1370" s="4"/>
    </row>
    <row r="1371" spans="20:25" x14ac:dyDescent="0.25">
      <c r="T1371" s="10"/>
      <c r="U1371" s="4"/>
      <c r="V1371" s="4"/>
      <c r="X1371" s="4"/>
      <c r="Y1371" s="4"/>
    </row>
    <row r="1372" spans="20:25" x14ac:dyDescent="0.25">
      <c r="T1372" s="10"/>
      <c r="U1372" s="4"/>
      <c r="V1372" s="4"/>
      <c r="X1372" s="4"/>
      <c r="Y1372" s="4"/>
    </row>
    <row r="1373" spans="20:25" x14ac:dyDescent="0.25">
      <c r="T1373" s="10"/>
      <c r="U1373" s="4"/>
      <c r="V1373" s="4"/>
      <c r="X1373" s="4"/>
      <c r="Y1373" s="4"/>
    </row>
    <row r="1374" spans="20:25" x14ac:dyDescent="0.25">
      <c r="T1374" s="10"/>
      <c r="U1374" s="4"/>
      <c r="V1374" s="4"/>
      <c r="X1374" s="4"/>
      <c r="Y1374" s="4"/>
    </row>
    <row r="1375" spans="20:25" x14ac:dyDescent="0.25">
      <c r="T1375" s="10"/>
      <c r="U1375" s="4"/>
      <c r="V1375" s="4"/>
      <c r="X1375" s="4"/>
      <c r="Y1375" s="4"/>
    </row>
    <row r="1376" spans="20:25" x14ac:dyDescent="0.25">
      <c r="T1376" s="10"/>
      <c r="U1376" s="4"/>
      <c r="V1376" s="4"/>
      <c r="X1376" s="4"/>
      <c r="Y1376" s="4"/>
    </row>
    <row r="1377" spans="20:25" x14ac:dyDescent="0.25">
      <c r="T1377" s="10"/>
      <c r="U1377" s="4"/>
      <c r="V1377" s="4"/>
      <c r="X1377" s="4"/>
      <c r="Y1377" s="4"/>
    </row>
    <row r="1378" spans="20:25" x14ac:dyDescent="0.25">
      <c r="T1378" s="10"/>
      <c r="U1378" s="4"/>
      <c r="V1378" s="4"/>
      <c r="X1378" s="4"/>
      <c r="Y1378" s="4"/>
    </row>
    <row r="1379" spans="20:25" x14ac:dyDescent="0.25">
      <c r="T1379" s="10"/>
      <c r="U1379" s="4"/>
      <c r="V1379" s="4"/>
      <c r="X1379" s="4"/>
      <c r="Y1379" s="4"/>
    </row>
    <row r="1380" spans="20:25" x14ac:dyDescent="0.25">
      <c r="T1380" s="10"/>
      <c r="U1380" s="4"/>
      <c r="V1380" s="4"/>
      <c r="X1380" s="4"/>
      <c r="Y1380" s="4"/>
    </row>
    <row r="1381" spans="20:25" x14ac:dyDescent="0.25">
      <c r="T1381" s="10"/>
      <c r="U1381" s="4"/>
      <c r="V1381" s="4"/>
      <c r="X1381" s="4"/>
      <c r="Y1381" s="4"/>
    </row>
    <row r="1382" spans="20:25" x14ac:dyDescent="0.25">
      <c r="T1382" s="10"/>
      <c r="U1382" s="4"/>
      <c r="V1382" s="4"/>
      <c r="X1382" s="4"/>
      <c r="Y1382" s="4"/>
    </row>
    <row r="1383" spans="20:25" x14ac:dyDescent="0.25">
      <c r="T1383" s="10"/>
      <c r="U1383" s="4"/>
      <c r="V1383" s="4"/>
      <c r="X1383" s="4"/>
      <c r="Y1383" s="4"/>
    </row>
    <row r="1384" spans="20:25" x14ac:dyDescent="0.25">
      <c r="T1384" s="10"/>
      <c r="U1384" s="4"/>
      <c r="V1384" s="4"/>
      <c r="X1384" s="4"/>
      <c r="Y1384" s="4"/>
    </row>
    <row r="1385" spans="20:25" x14ac:dyDescent="0.25">
      <c r="T1385" s="10"/>
      <c r="U1385" s="4"/>
      <c r="V1385" s="4"/>
      <c r="X1385" s="4"/>
      <c r="Y1385" s="4"/>
    </row>
    <row r="1386" spans="20:25" x14ac:dyDescent="0.25">
      <c r="T1386" s="10"/>
      <c r="U1386" s="4"/>
      <c r="V1386" s="4"/>
      <c r="X1386" s="4"/>
      <c r="Y1386" s="4"/>
    </row>
    <row r="1387" spans="20:25" x14ac:dyDescent="0.25">
      <c r="T1387" s="10"/>
      <c r="U1387" s="4"/>
      <c r="V1387" s="4"/>
      <c r="X1387" s="4"/>
      <c r="Y1387" s="4"/>
    </row>
    <row r="1388" spans="20:25" x14ac:dyDescent="0.25">
      <c r="T1388" s="10"/>
      <c r="U1388" s="4"/>
      <c r="V1388" s="4"/>
      <c r="X1388" s="4"/>
      <c r="Y1388" s="4"/>
    </row>
    <row r="1389" spans="20:25" x14ac:dyDescent="0.25">
      <c r="T1389" s="10"/>
      <c r="U1389" s="4"/>
      <c r="V1389" s="4"/>
      <c r="X1389" s="4"/>
      <c r="Y1389" s="4"/>
    </row>
    <row r="1390" spans="20:25" x14ac:dyDescent="0.25">
      <c r="T1390" s="10"/>
      <c r="U1390" s="4"/>
      <c r="V1390" s="4"/>
      <c r="X1390" s="4"/>
      <c r="Y1390" s="4"/>
    </row>
    <row r="1391" spans="20:25" x14ac:dyDescent="0.25">
      <c r="T1391" s="10"/>
      <c r="U1391" s="4"/>
      <c r="V1391" s="4"/>
      <c r="X1391" s="4"/>
      <c r="Y1391" s="4"/>
    </row>
    <row r="1392" spans="20:25" x14ac:dyDescent="0.25">
      <c r="T1392" s="10"/>
      <c r="U1392" s="4"/>
      <c r="V1392" s="4"/>
      <c r="X1392" s="4"/>
      <c r="Y1392" s="4"/>
    </row>
    <row r="1393" spans="20:25" x14ac:dyDescent="0.25">
      <c r="T1393" s="10"/>
      <c r="U1393" s="4"/>
      <c r="V1393" s="4"/>
      <c r="X1393" s="4"/>
      <c r="Y1393" s="4"/>
    </row>
    <row r="1394" spans="20:25" x14ac:dyDescent="0.25">
      <c r="T1394" s="10"/>
      <c r="U1394" s="4"/>
      <c r="V1394" s="4"/>
      <c r="X1394" s="4"/>
      <c r="Y1394" s="4"/>
    </row>
    <row r="1395" spans="20:25" x14ac:dyDescent="0.25">
      <c r="T1395" s="10"/>
      <c r="U1395" s="4"/>
      <c r="V1395" s="4"/>
      <c r="X1395" s="4"/>
      <c r="Y1395" s="4"/>
    </row>
    <row r="1396" spans="20:25" x14ac:dyDescent="0.25">
      <c r="T1396" s="10"/>
      <c r="U1396" s="4"/>
      <c r="V1396" s="4"/>
      <c r="X1396" s="4"/>
      <c r="Y1396" s="4"/>
    </row>
    <row r="1397" spans="20:25" x14ac:dyDescent="0.25">
      <c r="T1397" s="10"/>
      <c r="U1397" s="4"/>
      <c r="V1397" s="4"/>
      <c r="X1397" s="4"/>
      <c r="Y1397" s="4"/>
    </row>
    <row r="1398" spans="20:25" x14ac:dyDescent="0.25">
      <c r="T1398" s="10"/>
      <c r="U1398" s="4"/>
      <c r="V1398" s="4"/>
      <c r="X1398" s="4"/>
      <c r="Y1398" s="4"/>
    </row>
    <row r="1399" spans="20:25" x14ac:dyDescent="0.25">
      <c r="T1399" s="10"/>
      <c r="U1399" s="4"/>
      <c r="V1399" s="4"/>
      <c r="X1399" s="4"/>
      <c r="Y1399" s="4"/>
    </row>
    <row r="1400" spans="20:25" x14ac:dyDescent="0.25">
      <c r="T1400" s="10"/>
      <c r="U1400" s="4"/>
      <c r="V1400" s="4"/>
      <c r="X1400" s="4"/>
      <c r="Y1400" s="4"/>
    </row>
    <row r="1401" spans="20:25" x14ac:dyDescent="0.25">
      <c r="T1401" s="10"/>
      <c r="U1401" s="4"/>
      <c r="V1401" s="4"/>
      <c r="X1401" s="4"/>
      <c r="Y1401" s="4"/>
    </row>
    <row r="1402" spans="20:25" x14ac:dyDescent="0.25">
      <c r="T1402" s="10"/>
      <c r="U1402" s="4"/>
      <c r="V1402" s="4"/>
      <c r="X1402" s="4"/>
      <c r="Y1402" s="4"/>
    </row>
    <row r="1403" spans="20:25" x14ac:dyDescent="0.25">
      <c r="T1403" s="10"/>
      <c r="U1403" s="4"/>
      <c r="V1403" s="4"/>
      <c r="X1403" s="4"/>
      <c r="Y1403" s="4"/>
    </row>
    <row r="1404" spans="20:25" x14ac:dyDescent="0.25">
      <c r="T1404" s="10"/>
      <c r="U1404" s="4"/>
      <c r="V1404" s="4"/>
      <c r="X1404" s="4"/>
      <c r="Y1404" s="4"/>
    </row>
    <row r="1405" spans="20:25" x14ac:dyDescent="0.25">
      <c r="T1405" s="10"/>
      <c r="U1405" s="4"/>
      <c r="V1405" s="4"/>
      <c r="X1405" s="4"/>
      <c r="Y1405" s="4"/>
    </row>
    <row r="1406" spans="20:25" x14ac:dyDescent="0.25">
      <c r="T1406" s="10"/>
      <c r="U1406" s="4"/>
      <c r="V1406" s="4"/>
      <c r="X1406" s="4"/>
      <c r="Y1406" s="4"/>
    </row>
    <row r="1407" spans="20:25" x14ac:dyDescent="0.25">
      <c r="T1407" s="10"/>
      <c r="U1407" s="4"/>
      <c r="V1407" s="4"/>
      <c r="X1407" s="4"/>
      <c r="Y1407" s="4"/>
    </row>
    <row r="1408" spans="20:25" x14ac:dyDescent="0.25">
      <c r="T1408" s="10"/>
      <c r="U1408" s="4"/>
      <c r="V1408" s="4"/>
      <c r="X1408" s="4"/>
      <c r="Y1408" s="4"/>
    </row>
    <row r="1409" spans="20:25" x14ac:dyDescent="0.25">
      <c r="T1409" s="10"/>
      <c r="U1409" s="4"/>
      <c r="V1409" s="4"/>
      <c r="X1409" s="4"/>
      <c r="Y1409" s="4"/>
    </row>
    <row r="1410" spans="20:25" x14ac:dyDescent="0.25">
      <c r="T1410" s="10"/>
      <c r="U1410" s="4"/>
      <c r="V1410" s="4"/>
      <c r="X1410" s="4"/>
      <c r="Y1410" s="4"/>
    </row>
    <row r="1411" spans="20:25" x14ac:dyDescent="0.25">
      <c r="T1411" s="10"/>
      <c r="U1411" s="4"/>
      <c r="V1411" s="4"/>
      <c r="X1411" s="4"/>
      <c r="Y1411" s="4"/>
    </row>
    <row r="1412" spans="20:25" x14ac:dyDescent="0.25">
      <c r="T1412" s="10"/>
      <c r="U1412" s="4"/>
      <c r="V1412" s="4"/>
      <c r="X1412" s="4"/>
      <c r="Y1412" s="4"/>
    </row>
    <row r="1413" spans="20:25" x14ac:dyDescent="0.25">
      <c r="T1413" s="10"/>
      <c r="U1413" s="4"/>
      <c r="V1413" s="4"/>
      <c r="X1413" s="4"/>
      <c r="Y1413" s="4"/>
    </row>
    <row r="1414" spans="20:25" x14ac:dyDescent="0.25">
      <c r="T1414" s="10"/>
      <c r="U1414" s="4"/>
      <c r="V1414" s="4"/>
      <c r="X1414" s="4"/>
      <c r="Y1414" s="4"/>
    </row>
    <row r="1415" spans="20:25" x14ac:dyDescent="0.25">
      <c r="T1415" s="10"/>
      <c r="U1415" s="4"/>
      <c r="V1415" s="4"/>
      <c r="X1415" s="4"/>
      <c r="Y1415" s="4"/>
    </row>
    <row r="1416" spans="20:25" x14ac:dyDescent="0.25">
      <c r="T1416" s="10"/>
      <c r="U1416" s="4"/>
      <c r="V1416" s="4"/>
      <c r="X1416" s="4"/>
      <c r="Y1416" s="4"/>
    </row>
    <row r="1417" spans="20:25" x14ac:dyDescent="0.25">
      <c r="T1417" s="10"/>
      <c r="U1417" s="4"/>
      <c r="V1417" s="4"/>
      <c r="X1417" s="4"/>
      <c r="Y1417" s="4"/>
    </row>
    <row r="1418" spans="20:25" x14ac:dyDescent="0.25">
      <c r="T1418" s="10"/>
      <c r="U1418" s="4"/>
      <c r="V1418" s="4"/>
      <c r="X1418" s="4"/>
      <c r="Y1418" s="4"/>
    </row>
    <row r="1419" spans="20:25" x14ac:dyDescent="0.25">
      <c r="T1419" s="10"/>
      <c r="U1419" s="4"/>
      <c r="V1419" s="4"/>
      <c r="X1419" s="4"/>
      <c r="Y1419" s="4"/>
    </row>
    <row r="1420" spans="20:25" x14ac:dyDescent="0.25">
      <c r="T1420" s="10"/>
      <c r="U1420" s="4"/>
      <c r="V1420" s="4"/>
      <c r="X1420" s="4"/>
      <c r="Y1420" s="4"/>
    </row>
    <row r="1421" spans="20:25" x14ac:dyDescent="0.25">
      <c r="T1421" s="10"/>
      <c r="U1421" s="4"/>
      <c r="V1421" s="4"/>
      <c r="X1421" s="4"/>
      <c r="Y1421" s="4"/>
    </row>
    <row r="1422" spans="20:25" x14ac:dyDescent="0.25">
      <c r="T1422" s="10"/>
      <c r="U1422" s="4"/>
      <c r="V1422" s="4"/>
      <c r="X1422" s="4"/>
      <c r="Y1422" s="4"/>
    </row>
    <row r="1423" spans="20:25" x14ac:dyDescent="0.25">
      <c r="T1423" s="10"/>
      <c r="U1423" s="4"/>
      <c r="V1423" s="4"/>
      <c r="X1423" s="4"/>
      <c r="Y1423" s="4"/>
    </row>
    <row r="1424" spans="20:25" x14ac:dyDescent="0.25">
      <c r="T1424" s="10"/>
      <c r="U1424" s="4"/>
      <c r="V1424" s="4"/>
      <c r="X1424" s="4"/>
      <c r="Y1424" s="4"/>
    </row>
    <row r="1425" spans="20:25" x14ac:dyDescent="0.25">
      <c r="T1425" s="10"/>
      <c r="U1425" s="4"/>
      <c r="V1425" s="4"/>
      <c r="X1425" s="4"/>
      <c r="Y1425" s="4"/>
    </row>
    <row r="1426" spans="20:25" x14ac:dyDescent="0.25">
      <c r="T1426" s="10"/>
      <c r="U1426" s="4"/>
      <c r="V1426" s="4"/>
      <c r="X1426" s="4"/>
      <c r="Y1426" s="4"/>
    </row>
    <row r="1427" spans="20:25" x14ac:dyDescent="0.25">
      <c r="T1427" s="10"/>
      <c r="U1427" s="4"/>
      <c r="V1427" s="4"/>
      <c r="X1427" s="4"/>
      <c r="Y1427" s="4"/>
    </row>
    <row r="1428" spans="20:25" x14ac:dyDescent="0.25">
      <c r="T1428" s="10"/>
      <c r="U1428" s="4"/>
      <c r="V1428" s="4"/>
      <c r="X1428" s="4"/>
      <c r="Y1428" s="4"/>
    </row>
    <row r="1429" spans="20:25" x14ac:dyDescent="0.25">
      <c r="T1429" s="10"/>
      <c r="U1429" s="4"/>
      <c r="V1429" s="4"/>
      <c r="X1429" s="4"/>
      <c r="Y1429" s="4"/>
    </row>
    <row r="1430" spans="20:25" x14ac:dyDescent="0.25">
      <c r="T1430" s="10"/>
      <c r="U1430" s="4"/>
      <c r="V1430" s="4"/>
      <c r="X1430" s="4"/>
      <c r="Y1430" s="4"/>
    </row>
    <row r="1431" spans="20:25" x14ac:dyDescent="0.25">
      <c r="T1431" s="10"/>
      <c r="U1431" s="4"/>
      <c r="V1431" s="4"/>
      <c r="X1431" s="4"/>
      <c r="Y1431" s="4"/>
    </row>
    <row r="1432" spans="20:25" x14ac:dyDescent="0.25">
      <c r="T1432" s="10"/>
      <c r="U1432" s="4"/>
      <c r="V1432" s="4"/>
      <c r="X1432" s="4"/>
      <c r="Y1432" s="4"/>
    </row>
    <row r="1433" spans="20:25" x14ac:dyDescent="0.25">
      <c r="T1433" s="10"/>
      <c r="U1433" s="4"/>
      <c r="V1433" s="4"/>
      <c r="X1433" s="4"/>
      <c r="Y1433" s="4"/>
    </row>
    <row r="1434" spans="20:25" x14ac:dyDescent="0.25">
      <c r="T1434" s="10"/>
      <c r="U1434" s="4"/>
      <c r="V1434" s="4"/>
      <c r="X1434" s="4"/>
      <c r="Y1434" s="4"/>
    </row>
    <row r="1435" spans="20:25" x14ac:dyDescent="0.25">
      <c r="T1435" s="10"/>
      <c r="U1435" s="4"/>
      <c r="V1435" s="4"/>
      <c r="X1435" s="4"/>
      <c r="Y1435" s="4"/>
    </row>
    <row r="1436" spans="20:25" x14ac:dyDescent="0.25">
      <c r="T1436" s="10"/>
      <c r="U1436" s="4"/>
      <c r="V1436" s="4"/>
      <c r="X1436" s="4"/>
      <c r="Y1436" s="4"/>
    </row>
    <row r="1437" spans="20:25" x14ac:dyDescent="0.25">
      <c r="T1437" s="10"/>
      <c r="U1437" s="4"/>
      <c r="V1437" s="4"/>
      <c r="X1437" s="4"/>
      <c r="Y1437" s="4"/>
    </row>
    <row r="1438" spans="20:25" x14ac:dyDescent="0.25">
      <c r="T1438" s="10"/>
      <c r="U1438" s="4"/>
      <c r="V1438" s="4"/>
      <c r="X1438" s="4"/>
      <c r="Y1438" s="4"/>
    </row>
    <row r="1439" spans="20:25" x14ac:dyDescent="0.25">
      <c r="T1439" s="10"/>
      <c r="U1439" s="4"/>
      <c r="V1439" s="4"/>
      <c r="X1439" s="4"/>
      <c r="Y1439" s="4"/>
    </row>
    <row r="1440" spans="20:25" x14ac:dyDescent="0.25">
      <c r="T1440" s="10"/>
      <c r="U1440" s="4"/>
      <c r="V1440" s="4"/>
      <c r="X1440" s="4"/>
      <c r="Y1440" s="4"/>
    </row>
    <row r="1441" spans="20:25" x14ac:dyDescent="0.25">
      <c r="T1441" s="10"/>
      <c r="U1441" s="4"/>
      <c r="V1441" s="4"/>
      <c r="X1441" s="4"/>
      <c r="Y1441" s="4"/>
    </row>
    <row r="1442" spans="20:25" x14ac:dyDescent="0.25">
      <c r="T1442" s="10"/>
      <c r="U1442" s="4"/>
      <c r="V1442" s="4"/>
      <c r="X1442" s="4"/>
      <c r="Y1442" s="4"/>
    </row>
    <row r="1443" spans="20:25" x14ac:dyDescent="0.25">
      <c r="T1443" s="10"/>
      <c r="U1443" s="4"/>
      <c r="V1443" s="4"/>
      <c r="X1443" s="4"/>
      <c r="Y1443" s="4"/>
    </row>
    <row r="1444" spans="20:25" x14ac:dyDescent="0.25">
      <c r="T1444" s="10"/>
      <c r="U1444" s="4"/>
      <c r="V1444" s="4"/>
      <c r="X1444" s="4"/>
      <c r="Y1444" s="4"/>
    </row>
    <row r="1445" spans="20:25" x14ac:dyDescent="0.25">
      <c r="T1445" s="10"/>
      <c r="U1445" s="4"/>
      <c r="V1445" s="4"/>
      <c r="X1445" s="4"/>
      <c r="Y1445" s="4"/>
    </row>
    <row r="1446" spans="20:25" x14ac:dyDescent="0.25">
      <c r="T1446" s="10"/>
      <c r="U1446" s="4"/>
      <c r="V1446" s="4"/>
      <c r="X1446" s="4"/>
      <c r="Y1446" s="4"/>
    </row>
    <row r="1447" spans="20:25" x14ac:dyDescent="0.25">
      <c r="T1447" s="10"/>
      <c r="U1447" s="4"/>
      <c r="V1447" s="4"/>
      <c r="X1447" s="4"/>
      <c r="Y1447" s="4"/>
    </row>
    <row r="1448" spans="20:25" x14ac:dyDescent="0.25">
      <c r="T1448" s="10"/>
      <c r="U1448" s="4"/>
      <c r="V1448" s="4"/>
      <c r="X1448" s="4"/>
      <c r="Y1448" s="4"/>
    </row>
    <row r="1449" spans="20:25" x14ac:dyDescent="0.25">
      <c r="T1449" s="10"/>
      <c r="U1449" s="4"/>
      <c r="V1449" s="4"/>
      <c r="X1449" s="4"/>
      <c r="Y1449" s="4"/>
    </row>
    <row r="1450" spans="20:25" x14ac:dyDescent="0.25">
      <c r="T1450" s="10"/>
      <c r="U1450" s="4"/>
      <c r="V1450" s="4"/>
      <c r="X1450" s="4"/>
      <c r="Y1450" s="4"/>
    </row>
    <row r="1451" spans="20:25" x14ac:dyDescent="0.25">
      <c r="T1451" s="10"/>
      <c r="U1451" s="4"/>
      <c r="V1451" s="4"/>
      <c r="X1451" s="4"/>
      <c r="Y1451" s="4"/>
    </row>
    <row r="1452" spans="20:25" x14ac:dyDescent="0.25">
      <c r="T1452" s="10"/>
      <c r="U1452" s="4"/>
      <c r="V1452" s="4"/>
      <c r="X1452" s="4"/>
      <c r="Y1452" s="4"/>
    </row>
    <row r="1453" spans="20:25" x14ac:dyDescent="0.25">
      <c r="T1453" s="10"/>
      <c r="U1453" s="4"/>
      <c r="V1453" s="4"/>
      <c r="X1453" s="4"/>
      <c r="Y1453" s="4"/>
    </row>
    <row r="1454" spans="20:25" x14ac:dyDescent="0.25">
      <c r="T1454" s="10"/>
      <c r="U1454" s="4"/>
      <c r="V1454" s="4"/>
      <c r="X1454" s="4"/>
      <c r="Y1454" s="4"/>
    </row>
    <row r="1455" spans="20:25" x14ac:dyDescent="0.25">
      <c r="T1455" s="10"/>
      <c r="U1455" s="4"/>
      <c r="V1455" s="4"/>
      <c r="X1455" s="4"/>
      <c r="Y1455" s="4"/>
    </row>
    <row r="1456" spans="20:25" x14ac:dyDescent="0.25">
      <c r="T1456" s="10"/>
      <c r="U1456" s="4"/>
      <c r="V1456" s="4"/>
      <c r="X1456" s="4"/>
      <c r="Y1456" s="4"/>
    </row>
    <row r="1457" spans="20:25" x14ac:dyDescent="0.25">
      <c r="T1457" s="10"/>
      <c r="U1457" s="4"/>
      <c r="V1457" s="4"/>
      <c r="X1457" s="4"/>
      <c r="Y1457" s="4"/>
    </row>
    <row r="1458" spans="20:25" x14ac:dyDescent="0.25">
      <c r="T1458" s="10"/>
      <c r="U1458" s="4"/>
      <c r="V1458" s="4"/>
      <c r="X1458" s="4"/>
      <c r="Y1458" s="4"/>
    </row>
    <row r="1459" spans="20:25" x14ac:dyDescent="0.25">
      <c r="T1459" s="10"/>
      <c r="U1459" s="4"/>
      <c r="V1459" s="4"/>
      <c r="X1459" s="4"/>
      <c r="Y1459" s="4"/>
    </row>
    <row r="1460" spans="20:25" x14ac:dyDescent="0.25">
      <c r="T1460" s="10"/>
      <c r="U1460" s="4"/>
      <c r="V1460" s="4"/>
      <c r="X1460" s="4"/>
      <c r="Y1460" s="4"/>
    </row>
    <row r="1461" spans="20:25" x14ac:dyDescent="0.25">
      <c r="T1461" s="10"/>
      <c r="U1461" s="4"/>
      <c r="V1461" s="4"/>
      <c r="X1461" s="4"/>
      <c r="Y1461" s="4"/>
    </row>
    <row r="1462" spans="20:25" x14ac:dyDescent="0.25">
      <c r="T1462" s="10"/>
      <c r="U1462" s="4"/>
      <c r="V1462" s="4"/>
      <c r="X1462" s="4"/>
      <c r="Y1462" s="4"/>
    </row>
    <row r="1463" spans="20:25" x14ac:dyDescent="0.25">
      <c r="T1463" s="10"/>
      <c r="U1463" s="4"/>
      <c r="V1463" s="4"/>
      <c r="X1463" s="4"/>
      <c r="Y1463" s="4"/>
    </row>
    <row r="1464" spans="20:25" x14ac:dyDescent="0.25">
      <c r="T1464" s="10"/>
      <c r="U1464" s="4"/>
      <c r="V1464" s="4"/>
      <c r="X1464" s="4"/>
      <c r="Y1464" s="4"/>
    </row>
    <row r="1465" spans="20:25" x14ac:dyDescent="0.25">
      <c r="T1465" s="10"/>
      <c r="U1465" s="4"/>
      <c r="V1465" s="4"/>
      <c r="X1465" s="4"/>
      <c r="Y1465" s="4"/>
    </row>
    <row r="1466" spans="20:25" x14ac:dyDescent="0.25">
      <c r="T1466" s="10"/>
      <c r="U1466" s="4"/>
      <c r="V1466" s="4"/>
      <c r="X1466" s="4"/>
      <c r="Y1466" s="4"/>
    </row>
    <row r="1467" spans="20:25" x14ac:dyDescent="0.25">
      <c r="T1467" s="10"/>
      <c r="U1467" s="4"/>
      <c r="V1467" s="4"/>
      <c r="X1467" s="4"/>
      <c r="Y1467" s="4"/>
    </row>
    <row r="1468" spans="20:25" x14ac:dyDescent="0.25">
      <c r="T1468" s="10"/>
      <c r="U1468" s="4"/>
      <c r="V1468" s="4"/>
      <c r="X1468" s="4"/>
      <c r="Y1468" s="4"/>
    </row>
    <row r="1469" spans="20:25" x14ac:dyDescent="0.25">
      <c r="T1469" s="10"/>
      <c r="U1469" s="4"/>
      <c r="V1469" s="4"/>
      <c r="X1469" s="4"/>
      <c r="Y1469" s="4"/>
    </row>
    <row r="1470" spans="20:25" x14ac:dyDescent="0.25">
      <c r="T1470" s="10"/>
      <c r="U1470" s="4"/>
      <c r="V1470" s="4"/>
      <c r="X1470" s="4"/>
      <c r="Y1470" s="4"/>
    </row>
    <row r="1471" spans="20:25" x14ac:dyDescent="0.25">
      <c r="T1471" s="10"/>
      <c r="U1471" s="4"/>
      <c r="V1471" s="4"/>
      <c r="X1471" s="4"/>
      <c r="Y1471" s="4"/>
    </row>
    <row r="1472" spans="20:25" x14ac:dyDescent="0.25">
      <c r="T1472" s="10"/>
      <c r="U1472" s="4"/>
      <c r="V1472" s="4"/>
      <c r="X1472" s="4"/>
      <c r="Y1472" s="4"/>
    </row>
    <row r="1473" spans="20:25" x14ac:dyDescent="0.25">
      <c r="T1473" s="10"/>
      <c r="U1473" s="4"/>
      <c r="V1473" s="4"/>
      <c r="X1473" s="4"/>
      <c r="Y1473" s="4"/>
    </row>
    <row r="1474" spans="20:25" x14ac:dyDescent="0.25">
      <c r="T1474" s="10"/>
      <c r="U1474" s="4"/>
      <c r="V1474" s="4"/>
      <c r="X1474" s="4"/>
      <c r="Y1474" s="4"/>
    </row>
    <row r="1475" spans="20:25" x14ac:dyDescent="0.25">
      <c r="T1475" s="10"/>
      <c r="U1475" s="4"/>
      <c r="V1475" s="4"/>
      <c r="X1475" s="4"/>
      <c r="Y1475" s="4"/>
    </row>
    <row r="1476" spans="20:25" x14ac:dyDescent="0.25">
      <c r="T1476" s="10"/>
      <c r="U1476" s="4"/>
      <c r="V1476" s="4"/>
      <c r="X1476" s="4"/>
      <c r="Y1476" s="4"/>
    </row>
    <row r="1477" spans="20:25" x14ac:dyDescent="0.25">
      <c r="T1477" s="10"/>
      <c r="U1477" s="4"/>
      <c r="V1477" s="4"/>
      <c r="X1477" s="4"/>
      <c r="Y1477" s="4"/>
    </row>
    <row r="1478" spans="20:25" x14ac:dyDescent="0.25">
      <c r="T1478" s="10"/>
      <c r="U1478" s="4"/>
      <c r="V1478" s="4"/>
      <c r="X1478" s="4"/>
      <c r="Y1478" s="4"/>
    </row>
    <row r="1479" spans="20:25" x14ac:dyDescent="0.25">
      <c r="T1479" s="10"/>
      <c r="U1479" s="4"/>
      <c r="V1479" s="4"/>
      <c r="X1479" s="4"/>
      <c r="Y1479" s="4"/>
    </row>
    <row r="1480" spans="20:25" x14ac:dyDescent="0.25">
      <c r="T1480" s="10"/>
      <c r="U1480" s="4"/>
      <c r="V1480" s="4"/>
      <c r="X1480" s="4"/>
      <c r="Y1480" s="4"/>
    </row>
    <row r="1481" spans="20:25" x14ac:dyDescent="0.25">
      <c r="T1481" s="10"/>
      <c r="U1481" s="4"/>
      <c r="V1481" s="4"/>
      <c r="X1481" s="4"/>
      <c r="Y1481" s="4"/>
    </row>
    <row r="1482" spans="20:25" x14ac:dyDescent="0.25">
      <c r="T1482" s="10"/>
      <c r="U1482" s="4"/>
      <c r="V1482" s="4"/>
      <c r="X1482" s="4"/>
      <c r="Y1482" s="4"/>
    </row>
    <row r="1483" spans="20:25" x14ac:dyDescent="0.25">
      <c r="T1483" s="10"/>
      <c r="U1483" s="4"/>
      <c r="V1483" s="4"/>
      <c r="X1483" s="4"/>
      <c r="Y1483" s="4"/>
    </row>
    <row r="1484" spans="20:25" x14ac:dyDescent="0.25">
      <c r="T1484" s="10"/>
      <c r="U1484" s="4"/>
      <c r="V1484" s="4"/>
      <c r="X1484" s="4"/>
      <c r="Y1484" s="4"/>
    </row>
    <row r="1485" spans="20:25" x14ac:dyDescent="0.25">
      <c r="T1485" s="10"/>
      <c r="U1485" s="4"/>
      <c r="V1485" s="4"/>
      <c r="X1485" s="4"/>
      <c r="Y1485" s="4"/>
    </row>
    <row r="1486" spans="20:25" x14ac:dyDescent="0.25">
      <c r="T1486" s="10"/>
      <c r="U1486" s="4"/>
      <c r="V1486" s="4"/>
      <c r="X1486" s="4"/>
      <c r="Y1486" s="4"/>
    </row>
    <row r="1487" spans="20:25" x14ac:dyDescent="0.25">
      <c r="T1487" s="10"/>
      <c r="U1487" s="4"/>
      <c r="V1487" s="4"/>
      <c r="X1487" s="4"/>
      <c r="Y1487" s="4"/>
    </row>
    <row r="1488" spans="20:25" x14ac:dyDescent="0.25">
      <c r="T1488" s="10"/>
      <c r="U1488" s="4"/>
      <c r="V1488" s="4"/>
      <c r="X1488" s="4"/>
      <c r="Y1488" s="4"/>
    </row>
    <row r="1489" spans="20:25" x14ac:dyDescent="0.25">
      <c r="T1489" s="10"/>
      <c r="U1489" s="4"/>
      <c r="V1489" s="4"/>
      <c r="X1489" s="4"/>
      <c r="Y1489" s="4"/>
    </row>
    <row r="1490" spans="20:25" x14ac:dyDescent="0.25">
      <c r="T1490" s="10"/>
      <c r="U1490" s="4"/>
      <c r="V1490" s="4"/>
      <c r="X1490" s="4"/>
      <c r="Y1490" s="4"/>
    </row>
    <row r="1491" spans="20:25" x14ac:dyDescent="0.25">
      <c r="T1491" s="10"/>
      <c r="U1491" s="4"/>
      <c r="V1491" s="4"/>
      <c r="X1491" s="4"/>
      <c r="Y1491" s="4"/>
    </row>
    <row r="1492" spans="20:25" x14ac:dyDescent="0.25">
      <c r="T1492" s="10"/>
      <c r="U1492" s="4"/>
      <c r="V1492" s="4"/>
      <c r="X1492" s="4"/>
      <c r="Y1492" s="4"/>
    </row>
    <row r="1493" spans="20:25" x14ac:dyDescent="0.25">
      <c r="T1493" s="10"/>
      <c r="U1493" s="4"/>
      <c r="V1493" s="4"/>
      <c r="X1493" s="4"/>
      <c r="Y1493" s="4"/>
    </row>
    <row r="1494" spans="20:25" x14ac:dyDescent="0.25">
      <c r="T1494" s="10"/>
      <c r="U1494" s="4"/>
      <c r="V1494" s="4"/>
      <c r="X1494" s="4"/>
      <c r="Y1494" s="4"/>
    </row>
    <row r="1495" spans="20:25" x14ac:dyDescent="0.25">
      <c r="T1495" s="10"/>
      <c r="U1495" s="4"/>
      <c r="V1495" s="4"/>
      <c r="X1495" s="4"/>
      <c r="Y1495" s="4"/>
    </row>
    <row r="1496" spans="20:25" x14ac:dyDescent="0.25">
      <c r="T1496" s="10"/>
      <c r="U1496" s="4"/>
      <c r="V1496" s="4"/>
      <c r="X1496" s="4"/>
      <c r="Y1496" s="4"/>
    </row>
    <row r="1497" spans="20:25" x14ac:dyDescent="0.25">
      <c r="T1497" s="10"/>
      <c r="U1497" s="4"/>
      <c r="V1497" s="4"/>
      <c r="X1497" s="4"/>
      <c r="Y1497" s="4"/>
    </row>
    <row r="1498" spans="20:25" x14ac:dyDescent="0.25">
      <c r="T1498" s="10"/>
      <c r="U1498" s="4"/>
      <c r="V1498" s="4"/>
      <c r="X1498" s="4"/>
      <c r="Y1498" s="4"/>
    </row>
    <row r="1499" spans="20:25" x14ac:dyDescent="0.25">
      <c r="T1499" s="10"/>
      <c r="U1499" s="4"/>
      <c r="V1499" s="4"/>
      <c r="X1499" s="4"/>
      <c r="Y1499" s="4"/>
    </row>
    <row r="1500" spans="20:25" x14ac:dyDescent="0.25">
      <c r="T1500" s="10"/>
      <c r="U1500" s="4"/>
      <c r="V1500" s="4"/>
      <c r="X1500" s="4"/>
      <c r="Y1500" s="4"/>
    </row>
    <row r="1501" spans="20:25" x14ac:dyDescent="0.25">
      <c r="T1501" s="10"/>
      <c r="U1501" s="4"/>
      <c r="V1501" s="4"/>
      <c r="X1501" s="4"/>
      <c r="Y1501" s="4"/>
    </row>
    <row r="1502" spans="20:25" x14ac:dyDescent="0.25">
      <c r="T1502" s="10"/>
      <c r="U1502" s="4"/>
      <c r="V1502" s="4"/>
      <c r="X1502" s="4"/>
      <c r="Y1502" s="4"/>
    </row>
    <row r="1503" spans="20:25" x14ac:dyDescent="0.25">
      <c r="T1503" s="10"/>
      <c r="U1503" s="4"/>
      <c r="V1503" s="4"/>
      <c r="X1503" s="4"/>
      <c r="Y1503" s="4"/>
    </row>
    <row r="1504" spans="20:25" x14ac:dyDescent="0.25">
      <c r="T1504" s="10"/>
      <c r="U1504" s="4"/>
      <c r="V1504" s="4"/>
      <c r="X1504" s="4"/>
      <c r="Y1504" s="4"/>
    </row>
    <row r="1505" spans="20:25" x14ac:dyDescent="0.25">
      <c r="T1505" s="10"/>
      <c r="U1505" s="4"/>
      <c r="V1505" s="4"/>
      <c r="X1505" s="4"/>
      <c r="Y1505" s="4"/>
    </row>
    <row r="1506" spans="20:25" x14ac:dyDescent="0.25">
      <c r="T1506" s="10"/>
      <c r="U1506" s="4"/>
      <c r="V1506" s="4"/>
      <c r="X1506" s="4"/>
      <c r="Y1506" s="4"/>
    </row>
    <row r="1507" spans="20:25" x14ac:dyDescent="0.25">
      <c r="T1507" s="10"/>
      <c r="U1507" s="4"/>
      <c r="V1507" s="4"/>
      <c r="X1507" s="4"/>
      <c r="Y1507" s="4"/>
    </row>
    <row r="1508" spans="20:25" x14ac:dyDescent="0.25">
      <c r="T1508" s="10"/>
      <c r="U1508" s="4"/>
      <c r="V1508" s="4"/>
      <c r="X1508" s="4"/>
      <c r="Y1508" s="4"/>
    </row>
    <row r="1509" spans="20:25" x14ac:dyDescent="0.25">
      <c r="T1509" s="10"/>
      <c r="U1509" s="4"/>
      <c r="V1509" s="4"/>
      <c r="X1509" s="4"/>
      <c r="Y1509" s="4"/>
    </row>
    <row r="1510" spans="20:25" x14ac:dyDescent="0.25">
      <c r="T1510" s="10"/>
      <c r="U1510" s="4"/>
      <c r="V1510" s="4"/>
      <c r="X1510" s="4"/>
      <c r="Y1510" s="4"/>
    </row>
    <row r="1511" spans="20:25" x14ac:dyDescent="0.25">
      <c r="T1511" s="10"/>
      <c r="U1511" s="4"/>
      <c r="V1511" s="4"/>
      <c r="X1511" s="4"/>
      <c r="Y1511" s="4"/>
    </row>
    <row r="1512" spans="20:25" x14ac:dyDescent="0.25">
      <c r="T1512" s="10"/>
      <c r="U1512" s="4"/>
      <c r="V1512" s="4"/>
      <c r="X1512" s="4"/>
      <c r="Y1512" s="4"/>
    </row>
    <row r="1513" spans="20:25" x14ac:dyDescent="0.25">
      <c r="T1513" s="10"/>
      <c r="U1513" s="4"/>
      <c r="V1513" s="4"/>
      <c r="X1513" s="4"/>
      <c r="Y1513" s="4"/>
    </row>
    <row r="1514" spans="20:25" x14ac:dyDescent="0.25">
      <c r="T1514" s="10"/>
      <c r="U1514" s="4"/>
      <c r="V1514" s="4"/>
      <c r="X1514" s="4"/>
      <c r="Y1514" s="4"/>
    </row>
    <row r="1515" spans="20:25" x14ac:dyDescent="0.25">
      <c r="T1515" s="10"/>
      <c r="U1515" s="4"/>
      <c r="V1515" s="4"/>
      <c r="X1515" s="4"/>
      <c r="Y1515" s="4"/>
    </row>
    <row r="1516" spans="20:25" x14ac:dyDescent="0.25">
      <c r="T1516" s="10"/>
      <c r="U1516" s="4"/>
      <c r="V1516" s="4"/>
      <c r="X1516" s="4"/>
      <c r="Y1516" s="4"/>
    </row>
    <row r="1517" spans="20:25" x14ac:dyDescent="0.25">
      <c r="T1517" s="10"/>
      <c r="U1517" s="4"/>
      <c r="V1517" s="4"/>
      <c r="X1517" s="4"/>
      <c r="Y1517" s="4"/>
    </row>
    <row r="1518" spans="20:25" x14ac:dyDescent="0.25">
      <c r="T1518" s="10"/>
      <c r="U1518" s="4"/>
      <c r="V1518" s="4"/>
      <c r="X1518" s="4"/>
      <c r="Y1518" s="4"/>
    </row>
    <row r="1519" spans="20:25" x14ac:dyDescent="0.25">
      <c r="T1519" s="10"/>
      <c r="U1519" s="4"/>
      <c r="V1519" s="4"/>
      <c r="X1519" s="4"/>
      <c r="Y1519" s="4"/>
    </row>
    <row r="1520" spans="20:25" x14ac:dyDescent="0.25">
      <c r="T1520" s="10"/>
      <c r="U1520" s="4"/>
      <c r="V1520" s="4"/>
      <c r="X1520" s="4"/>
      <c r="Y1520" s="4"/>
    </row>
    <row r="1521" spans="20:25" x14ac:dyDescent="0.25">
      <c r="T1521" s="10"/>
      <c r="U1521" s="4"/>
      <c r="V1521" s="4"/>
      <c r="X1521" s="4"/>
      <c r="Y1521" s="4"/>
    </row>
    <row r="1522" spans="20:25" x14ac:dyDescent="0.25">
      <c r="T1522" s="10"/>
      <c r="U1522" s="4"/>
      <c r="V1522" s="4"/>
      <c r="X1522" s="4"/>
      <c r="Y1522" s="4"/>
    </row>
    <row r="1523" spans="20:25" x14ac:dyDescent="0.25">
      <c r="T1523" s="10"/>
      <c r="U1523" s="4"/>
      <c r="V1523" s="4"/>
      <c r="X1523" s="4"/>
      <c r="Y1523" s="4"/>
    </row>
    <row r="1524" spans="20:25" x14ac:dyDescent="0.25">
      <c r="T1524" s="10"/>
      <c r="U1524" s="4"/>
      <c r="V1524" s="4"/>
      <c r="X1524" s="4"/>
      <c r="Y1524" s="4"/>
    </row>
    <row r="1525" spans="20:25" x14ac:dyDescent="0.25">
      <c r="T1525" s="10"/>
      <c r="U1525" s="4"/>
      <c r="V1525" s="4"/>
      <c r="X1525" s="4"/>
      <c r="Y1525" s="4"/>
    </row>
    <row r="1526" spans="20:25" x14ac:dyDescent="0.25">
      <c r="T1526" s="10"/>
      <c r="U1526" s="4"/>
      <c r="V1526" s="4"/>
      <c r="X1526" s="4"/>
      <c r="Y1526" s="4"/>
    </row>
    <row r="1527" spans="20:25" x14ac:dyDescent="0.25">
      <c r="T1527" s="10"/>
      <c r="U1527" s="4"/>
      <c r="V1527" s="4"/>
      <c r="X1527" s="4"/>
      <c r="Y1527" s="4"/>
    </row>
    <row r="1528" spans="20:25" x14ac:dyDescent="0.25">
      <c r="T1528" s="10"/>
      <c r="U1528" s="4"/>
      <c r="V1528" s="4"/>
      <c r="X1528" s="4"/>
      <c r="Y1528" s="4"/>
    </row>
    <row r="1529" spans="20:25" x14ac:dyDescent="0.25">
      <c r="T1529" s="10"/>
      <c r="U1529" s="4"/>
      <c r="V1529" s="4"/>
      <c r="X1529" s="4"/>
      <c r="Y1529" s="4"/>
    </row>
    <row r="1530" spans="20:25" x14ac:dyDescent="0.25">
      <c r="T1530" s="10"/>
      <c r="U1530" s="4"/>
      <c r="V1530" s="4"/>
      <c r="X1530" s="4"/>
      <c r="Y1530" s="4"/>
    </row>
    <row r="1531" spans="20:25" x14ac:dyDescent="0.25">
      <c r="T1531" s="10"/>
      <c r="U1531" s="4"/>
      <c r="V1531" s="4"/>
      <c r="X1531" s="4"/>
      <c r="Y1531" s="4"/>
    </row>
    <row r="1532" spans="20:25" x14ac:dyDescent="0.25">
      <c r="T1532" s="10"/>
      <c r="U1532" s="4"/>
      <c r="V1532" s="4"/>
      <c r="X1532" s="4"/>
      <c r="Y1532" s="4"/>
    </row>
    <row r="1533" spans="20:25" x14ac:dyDescent="0.25">
      <c r="T1533" s="10"/>
      <c r="U1533" s="4"/>
      <c r="V1533" s="4"/>
      <c r="X1533" s="4"/>
      <c r="Y1533" s="4"/>
    </row>
    <row r="1534" spans="20:25" x14ac:dyDescent="0.25">
      <c r="T1534" s="10"/>
      <c r="U1534" s="4"/>
      <c r="V1534" s="4"/>
      <c r="X1534" s="4"/>
      <c r="Y1534" s="4"/>
    </row>
    <row r="1535" spans="20:25" x14ac:dyDescent="0.25">
      <c r="T1535" s="10"/>
      <c r="U1535" s="4"/>
      <c r="V1535" s="4"/>
      <c r="X1535" s="4"/>
      <c r="Y1535" s="4"/>
    </row>
    <row r="1536" spans="20:25" x14ac:dyDescent="0.25">
      <c r="T1536" s="10"/>
      <c r="U1536" s="4"/>
      <c r="V1536" s="4"/>
      <c r="X1536" s="4"/>
      <c r="Y1536" s="4"/>
    </row>
    <row r="1537" spans="20:25" x14ac:dyDescent="0.25">
      <c r="T1537" s="10"/>
      <c r="U1537" s="4"/>
      <c r="V1537" s="4"/>
      <c r="X1537" s="4"/>
      <c r="Y1537" s="4"/>
    </row>
    <row r="1538" spans="20:25" x14ac:dyDescent="0.25">
      <c r="T1538" s="10"/>
      <c r="U1538" s="4"/>
      <c r="V1538" s="4"/>
      <c r="X1538" s="4"/>
      <c r="Y1538" s="4"/>
    </row>
    <row r="1539" spans="20:25" x14ac:dyDescent="0.25">
      <c r="T1539" s="10"/>
      <c r="U1539" s="4"/>
      <c r="V1539" s="4"/>
      <c r="X1539" s="4"/>
      <c r="Y1539" s="4"/>
    </row>
    <row r="1540" spans="20:25" x14ac:dyDescent="0.25">
      <c r="T1540" s="10"/>
      <c r="U1540" s="4"/>
      <c r="V1540" s="4"/>
      <c r="X1540" s="4"/>
      <c r="Y1540" s="4"/>
    </row>
    <row r="1541" spans="20:25" x14ac:dyDescent="0.25">
      <c r="T1541" s="10"/>
      <c r="U1541" s="4"/>
      <c r="V1541" s="4"/>
      <c r="X1541" s="4"/>
      <c r="Y1541" s="4"/>
    </row>
    <row r="1542" spans="20:25" x14ac:dyDescent="0.25">
      <c r="T1542" s="10"/>
      <c r="U1542" s="4"/>
      <c r="V1542" s="4"/>
      <c r="X1542" s="4"/>
      <c r="Y1542" s="4"/>
    </row>
    <row r="1543" spans="20:25" x14ac:dyDescent="0.25">
      <c r="T1543" s="10"/>
      <c r="U1543" s="4"/>
      <c r="V1543" s="4"/>
      <c r="X1543" s="4"/>
      <c r="Y1543" s="4"/>
    </row>
    <row r="1544" spans="20:25" x14ac:dyDescent="0.25">
      <c r="T1544" s="10"/>
      <c r="U1544" s="4"/>
      <c r="V1544" s="4"/>
      <c r="X1544" s="4"/>
      <c r="Y1544" s="4"/>
    </row>
    <row r="1545" spans="20:25" x14ac:dyDescent="0.25">
      <c r="T1545" s="10"/>
      <c r="U1545" s="4"/>
      <c r="V1545" s="4"/>
      <c r="X1545" s="4"/>
      <c r="Y1545" s="4"/>
    </row>
    <row r="1546" spans="20:25" x14ac:dyDescent="0.25">
      <c r="T1546" s="10"/>
      <c r="U1546" s="4"/>
      <c r="V1546" s="4"/>
      <c r="X1546" s="4"/>
      <c r="Y1546" s="4"/>
    </row>
    <row r="1547" spans="20:25" x14ac:dyDescent="0.25">
      <c r="T1547" s="10"/>
      <c r="U1547" s="4"/>
      <c r="V1547" s="4"/>
      <c r="X1547" s="4"/>
      <c r="Y1547" s="4"/>
    </row>
    <row r="1548" spans="20:25" x14ac:dyDescent="0.25">
      <c r="T1548" s="10"/>
      <c r="U1548" s="4"/>
      <c r="V1548" s="4"/>
      <c r="X1548" s="4"/>
      <c r="Y1548" s="4"/>
    </row>
    <row r="1549" spans="20:25" x14ac:dyDescent="0.25">
      <c r="T1549" s="10"/>
      <c r="U1549" s="4"/>
      <c r="V1549" s="4"/>
      <c r="X1549" s="4"/>
      <c r="Y1549" s="4"/>
    </row>
    <row r="1550" spans="20:25" x14ac:dyDescent="0.25">
      <c r="T1550" s="10"/>
      <c r="U1550" s="4"/>
      <c r="V1550" s="4"/>
      <c r="X1550" s="4"/>
      <c r="Y1550" s="4"/>
    </row>
    <row r="1551" spans="20:25" x14ac:dyDescent="0.25">
      <c r="T1551" s="10"/>
      <c r="U1551" s="4"/>
      <c r="V1551" s="4"/>
      <c r="X1551" s="4"/>
      <c r="Y1551" s="4"/>
    </row>
    <row r="1552" spans="20:25" x14ac:dyDescent="0.25">
      <c r="T1552" s="10"/>
      <c r="U1552" s="4"/>
      <c r="V1552" s="4"/>
      <c r="X1552" s="4"/>
      <c r="Y1552" s="4"/>
    </row>
    <row r="1553" spans="20:25" x14ac:dyDescent="0.25">
      <c r="T1553" s="10"/>
      <c r="U1553" s="4"/>
      <c r="V1553" s="4"/>
      <c r="X1553" s="4"/>
      <c r="Y1553" s="4"/>
    </row>
    <row r="1554" spans="20:25" x14ac:dyDescent="0.25">
      <c r="T1554" s="10"/>
      <c r="U1554" s="4"/>
      <c r="V1554" s="4"/>
      <c r="X1554" s="4"/>
      <c r="Y1554" s="4"/>
    </row>
    <row r="1555" spans="20:25" x14ac:dyDescent="0.25">
      <c r="T1555" s="10"/>
      <c r="U1555" s="4"/>
      <c r="V1555" s="4"/>
      <c r="X1555" s="4"/>
      <c r="Y1555" s="4"/>
    </row>
    <row r="1556" spans="20:25" x14ac:dyDescent="0.25">
      <c r="T1556" s="10"/>
      <c r="U1556" s="4"/>
      <c r="V1556" s="4"/>
      <c r="X1556" s="4"/>
      <c r="Y1556" s="4"/>
    </row>
    <row r="1557" spans="20:25" x14ac:dyDescent="0.25">
      <c r="T1557" s="10"/>
      <c r="U1557" s="4"/>
      <c r="V1557" s="4"/>
      <c r="X1557" s="4"/>
      <c r="Y1557" s="4"/>
    </row>
    <row r="1558" spans="20:25" x14ac:dyDescent="0.25">
      <c r="T1558" s="10"/>
      <c r="U1558" s="4"/>
      <c r="V1558" s="4"/>
      <c r="X1558" s="4"/>
      <c r="Y1558" s="4"/>
    </row>
    <row r="1559" spans="20:25" x14ac:dyDescent="0.25">
      <c r="T1559" s="10"/>
      <c r="U1559" s="4"/>
      <c r="V1559" s="4"/>
      <c r="X1559" s="4"/>
      <c r="Y1559" s="4"/>
    </row>
    <row r="1560" spans="20:25" x14ac:dyDescent="0.25">
      <c r="T1560" s="10"/>
      <c r="U1560" s="4"/>
      <c r="V1560" s="4"/>
      <c r="X1560" s="4"/>
      <c r="Y1560" s="4"/>
    </row>
    <row r="1561" spans="20:25" x14ac:dyDescent="0.25">
      <c r="T1561" s="10"/>
      <c r="U1561" s="4"/>
      <c r="V1561" s="4"/>
      <c r="X1561" s="4"/>
      <c r="Y1561" s="4"/>
    </row>
    <row r="1562" spans="20:25" x14ac:dyDescent="0.25">
      <c r="T1562" s="10"/>
      <c r="U1562" s="4"/>
      <c r="V1562" s="4"/>
      <c r="X1562" s="4"/>
      <c r="Y1562" s="4"/>
    </row>
    <row r="1563" spans="20:25" x14ac:dyDescent="0.25">
      <c r="T1563" s="10"/>
      <c r="U1563" s="4"/>
      <c r="V1563" s="4"/>
      <c r="X1563" s="4"/>
      <c r="Y1563" s="4"/>
    </row>
    <row r="1564" spans="20:25" x14ac:dyDescent="0.25">
      <c r="T1564" s="10"/>
      <c r="U1564" s="4"/>
      <c r="V1564" s="4"/>
      <c r="X1564" s="4"/>
      <c r="Y1564" s="4"/>
    </row>
    <row r="1565" spans="20:25" x14ac:dyDescent="0.25">
      <c r="T1565" s="10"/>
      <c r="U1565" s="4"/>
      <c r="V1565" s="4"/>
      <c r="X1565" s="4"/>
      <c r="Y1565" s="4"/>
    </row>
    <row r="1566" spans="20:25" x14ac:dyDescent="0.25">
      <c r="T1566" s="10"/>
      <c r="U1566" s="4"/>
      <c r="V1566" s="4"/>
      <c r="X1566" s="4"/>
      <c r="Y1566" s="4"/>
    </row>
    <row r="1567" spans="20:25" x14ac:dyDescent="0.25">
      <c r="T1567" s="10"/>
      <c r="U1567" s="4"/>
      <c r="V1567" s="4"/>
      <c r="X1567" s="4"/>
      <c r="Y1567" s="4"/>
    </row>
    <row r="1568" spans="20:25" x14ac:dyDescent="0.25">
      <c r="T1568" s="10"/>
      <c r="U1568" s="4"/>
      <c r="V1568" s="4"/>
      <c r="X1568" s="4"/>
      <c r="Y1568" s="4"/>
    </row>
    <row r="1569" spans="20:25" x14ac:dyDescent="0.25">
      <c r="T1569" s="10"/>
      <c r="U1569" s="4"/>
      <c r="V1569" s="4"/>
      <c r="X1569" s="4"/>
      <c r="Y1569" s="4"/>
    </row>
    <row r="1570" spans="20:25" x14ac:dyDescent="0.25">
      <c r="T1570" s="10"/>
      <c r="U1570" s="4"/>
      <c r="V1570" s="4"/>
      <c r="X1570" s="4"/>
      <c r="Y1570" s="4"/>
    </row>
    <row r="1571" spans="20:25" x14ac:dyDescent="0.25">
      <c r="T1571" s="10"/>
      <c r="U1571" s="4"/>
      <c r="V1571" s="4"/>
      <c r="X1571" s="4"/>
      <c r="Y1571" s="4"/>
    </row>
    <row r="1572" spans="20:25" x14ac:dyDescent="0.25">
      <c r="T1572" s="10"/>
      <c r="U1572" s="4"/>
      <c r="V1572" s="4"/>
      <c r="X1572" s="4"/>
      <c r="Y1572" s="4"/>
    </row>
    <row r="1573" spans="20:25" x14ac:dyDescent="0.25">
      <c r="T1573" s="10"/>
      <c r="U1573" s="4"/>
      <c r="V1573" s="4"/>
      <c r="X1573" s="4"/>
      <c r="Y1573" s="4"/>
    </row>
    <row r="1574" spans="20:25" x14ac:dyDescent="0.25">
      <c r="T1574" s="10"/>
      <c r="U1574" s="4"/>
      <c r="V1574" s="4"/>
      <c r="X1574" s="4"/>
      <c r="Y1574" s="4"/>
    </row>
    <row r="1575" spans="20:25" x14ac:dyDescent="0.25">
      <c r="T1575" s="10"/>
      <c r="U1575" s="4"/>
      <c r="V1575" s="4"/>
      <c r="X1575" s="4"/>
      <c r="Y1575" s="4"/>
    </row>
    <row r="1576" spans="20:25" x14ac:dyDescent="0.25">
      <c r="T1576" s="10"/>
      <c r="U1576" s="4"/>
      <c r="V1576" s="4"/>
      <c r="X1576" s="4"/>
      <c r="Y1576" s="4"/>
    </row>
    <row r="1577" spans="20:25" x14ac:dyDescent="0.25">
      <c r="T1577" s="10"/>
      <c r="U1577" s="4"/>
      <c r="V1577" s="4"/>
      <c r="X1577" s="4"/>
      <c r="Y1577" s="4"/>
    </row>
    <row r="1578" spans="20:25" x14ac:dyDescent="0.25">
      <c r="T1578" s="10"/>
      <c r="U1578" s="4"/>
      <c r="V1578" s="4"/>
      <c r="X1578" s="4"/>
      <c r="Y1578" s="4"/>
    </row>
    <row r="1579" spans="20:25" x14ac:dyDescent="0.25">
      <c r="T1579" s="10"/>
      <c r="U1579" s="4"/>
      <c r="V1579" s="4"/>
      <c r="X1579" s="4"/>
      <c r="Y1579" s="4"/>
    </row>
    <row r="1580" spans="20:25" x14ac:dyDescent="0.25">
      <c r="T1580" s="10"/>
      <c r="U1580" s="4"/>
      <c r="V1580" s="4"/>
      <c r="X1580" s="4"/>
      <c r="Y1580" s="4"/>
    </row>
    <row r="1581" spans="20:25" x14ac:dyDescent="0.25">
      <c r="T1581" s="10"/>
      <c r="U1581" s="4"/>
      <c r="V1581" s="4"/>
      <c r="X1581" s="4"/>
      <c r="Y1581" s="4"/>
    </row>
    <row r="1582" spans="20:25" x14ac:dyDescent="0.25">
      <c r="T1582" s="10"/>
      <c r="U1582" s="4"/>
      <c r="V1582" s="4"/>
      <c r="X1582" s="4"/>
      <c r="Y1582" s="4"/>
    </row>
    <row r="1583" spans="20:25" x14ac:dyDescent="0.25">
      <c r="T1583" s="10"/>
      <c r="U1583" s="4"/>
      <c r="V1583" s="4"/>
      <c r="X1583" s="4"/>
      <c r="Y1583" s="4"/>
    </row>
    <row r="1584" spans="20:25" x14ac:dyDescent="0.25">
      <c r="T1584" s="10"/>
      <c r="U1584" s="4"/>
      <c r="V1584" s="4"/>
      <c r="X1584" s="4"/>
      <c r="Y1584" s="4"/>
    </row>
    <row r="1585" spans="20:25" x14ac:dyDescent="0.25">
      <c r="T1585" s="10"/>
      <c r="U1585" s="4"/>
      <c r="V1585" s="4"/>
      <c r="X1585" s="4"/>
      <c r="Y1585" s="4"/>
    </row>
    <row r="1586" spans="20:25" x14ac:dyDescent="0.25">
      <c r="T1586" s="10"/>
      <c r="U1586" s="4"/>
      <c r="V1586" s="4"/>
      <c r="X1586" s="4"/>
      <c r="Y1586" s="4"/>
    </row>
    <row r="1587" spans="20:25" x14ac:dyDescent="0.25">
      <c r="T1587" s="10"/>
      <c r="U1587" s="4"/>
      <c r="V1587" s="4"/>
      <c r="X1587" s="4"/>
      <c r="Y1587" s="4"/>
    </row>
    <row r="1588" spans="20:25" x14ac:dyDescent="0.25">
      <c r="T1588" s="10"/>
      <c r="U1588" s="4"/>
      <c r="V1588" s="4"/>
      <c r="X1588" s="4"/>
      <c r="Y1588" s="4"/>
    </row>
    <row r="1589" spans="20:25" x14ac:dyDescent="0.25">
      <c r="T1589" s="10"/>
      <c r="U1589" s="4"/>
      <c r="V1589" s="4"/>
      <c r="X1589" s="4"/>
      <c r="Y1589" s="4"/>
    </row>
    <row r="1590" spans="20:25" x14ac:dyDescent="0.25">
      <c r="T1590" s="10"/>
      <c r="U1590" s="4"/>
      <c r="V1590" s="4"/>
      <c r="X1590" s="4"/>
      <c r="Y1590" s="4"/>
    </row>
    <row r="1591" spans="20:25" x14ac:dyDescent="0.25">
      <c r="T1591" s="10"/>
      <c r="U1591" s="4"/>
      <c r="V1591" s="4"/>
      <c r="X1591" s="4"/>
      <c r="Y1591" s="4"/>
    </row>
    <row r="1592" spans="20:25" x14ac:dyDescent="0.25">
      <c r="T1592" s="10"/>
      <c r="U1592" s="4"/>
      <c r="V1592" s="4"/>
      <c r="X1592" s="4"/>
      <c r="Y1592" s="4"/>
    </row>
    <row r="1593" spans="20:25" x14ac:dyDescent="0.25">
      <c r="T1593" s="10"/>
      <c r="U1593" s="4"/>
      <c r="V1593" s="4"/>
      <c r="X1593" s="4"/>
      <c r="Y1593" s="4"/>
    </row>
    <row r="1594" spans="20:25" x14ac:dyDescent="0.25">
      <c r="T1594" s="10"/>
      <c r="U1594" s="4"/>
      <c r="V1594" s="4"/>
      <c r="X1594" s="4"/>
      <c r="Y1594" s="4"/>
    </row>
    <row r="1595" spans="20:25" x14ac:dyDescent="0.25">
      <c r="T1595" s="10"/>
      <c r="U1595" s="4"/>
      <c r="V1595" s="4"/>
      <c r="X1595" s="4"/>
      <c r="Y1595" s="4"/>
    </row>
    <row r="1596" spans="20:25" x14ac:dyDescent="0.25">
      <c r="T1596" s="10"/>
      <c r="U1596" s="4"/>
      <c r="V1596" s="4"/>
      <c r="X1596" s="4"/>
      <c r="Y1596" s="4"/>
    </row>
    <row r="1597" spans="20:25" x14ac:dyDescent="0.25">
      <c r="T1597" s="10"/>
      <c r="U1597" s="4"/>
      <c r="V1597" s="4"/>
      <c r="X1597" s="4"/>
      <c r="Y1597" s="4"/>
    </row>
    <row r="1598" spans="20:25" x14ac:dyDescent="0.25">
      <c r="T1598" s="10"/>
      <c r="U1598" s="4"/>
      <c r="V1598" s="4"/>
      <c r="X1598" s="4"/>
      <c r="Y1598" s="4"/>
    </row>
    <row r="1599" spans="20:25" x14ac:dyDescent="0.25">
      <c r="T1599" s="10"/>
      <c r="U1599" s="4"/>
      <c r="V1599" s="4"/>
      <c r="X1599" s="4"/>
      <c r="Y1599" s="4"/>
    </row>
    <row r="1600" spans="20:25" x14ac:dyDescent="0.25">
      <c r="T1600" s="10"/>
      <c r="U1600" s="4"/>
      <c r="V1600" s="4"/>
      <c r="X1600" s="4"/>
      <c r="Y1600" s="4"/>
    </row>
    <row r="1601" spans="20:25" x14ac:dyDescent="0.25">
      <c r="T1601" s="10"/>
      <c r="U1601" s="4"/>
      <c r="V1601" s="4"/>
      <c r="X1601" s="4"/>
      <c r="Y1601" s="4"/>
    </row>
    <row r="1602" spans="20:25" x14ac:dyDescent="0.25">
      <c r="T1602" s="10"/>
      <c r="U1602" s="4"/>
      <c r="V1602" s="4"/>
      <c r="X1602" s="4"/>
      <c r="Y1602" s="4"/>
    </row>
    <row r="1603" spans="20:25" x14ac:dyDescent="0.25">
      <c r="T1603" s="10"/>
      <c r="U1603" s="4"/>
      <c r="V1603" s="4"/>
      <c r="X1603" s="4"/>
      <c r="Y1603" s="4"/>
    </row>
    <row r="1604" spans="20:25" x14ac:dyDescent="0.25">
      <c r="T1604" s="10"/>
      <c r="U1604" s="4"/>
      <c r="V1604" s="4"/>
      <c r="X1604" s="4"/>
      <c r="Y1604" s="4"/>
    </row>
    <row r="1605" spans="20:25" x14ac:dyDescent="0.25">
      <c r="T1605" s="10"/>
      <c r="U1605" s="4"/>
      <c r="V1605" s="4"/>
      <c r="X1605" s="4"/>
      <c r="Y1605" s="4"/>
    </row>
    <row r="1606" spans="20:25" x14ac:dyDescent="0.25">
      <c r="T1606" s="10"/>
      <c r="U1606" s="4"/>
      <c r="V1606" s="4"/>
      <c r="X1606" s="4"/>
      <c r="Y1606" s="4"/>
    </row>
    <row r="1607" spans="20:25" x14ac:dyDescent="0.25">
      <c r="T1607" s="10"/>
      <c r="U1607" s="4"/>
      <c r="V1607" s="4"/>
      <c r="X1607" s="4"/>
      <c r="Y1607" s="4"/>
    </row>
    <row r="1608" spans="20:25" x14ac:dyDescent="0.25">
      <c r="T1608" s="10"/>
      <c r="U1608" s="4"/>
      <c r="V1608" s="4"/>
      <c r="X1608" s="4"/>
      <c r="Y1608" s="4"/>
    </row>
    <row r="1609" spans="20:25" x14ac:dyDescent="0.25">
      <c r="T1609" s="10"/>
      <c r="U1609" s="4"/>
      <c r="V1609" s="4"/>
      <c r="X1609" s="4"/>
      <c r="Y1609" s="4"/>
    </row>
    <row r="1610" spans="20:25" x14ac:dyDescent="0.25">
      <c r="T1610" s="10"/>
      <c r="U1610" s="4"/>
      <c r="V1610" s="4"/>
      <c r="X1610" s="4"/>
      <c r="Y1610" s="4"/>
    </row>
    <row r="1611" spans="20:25" x14ac:dyDescent="0.25">
      <c r="T1611" s="10"/>
      <c r="U1611" s="4"/>
      <c r="V1611" s="4"/>
      <c r="X1611" s="4"/>
      <c r="Y1611" s="4"/>
    </row>
    <row r="1612" spans="20:25" x14ac:dyDescent="0.25">
      <c r="T1612" s="10"/>
      <c r="U1612" s="4"/>
      <c r="V1612" s="4"/>
      <c r="X1612" s="4"/>
      <c r="Y1612" s="4"/>
    </row>
    <row r="1613" spans="20:25" x14ac:dyDescent="0.25">
      <c r="T1613" s="10"/>
      <c r="U1613" s="4"/>
      <c r="V1613" s="4"/>
      <c r="X1613" s="4"/>
      <c r="Y1613" s="4"/>
    </row>
    <row r="1614" spans="20:25" x14ac:dyDescent="0.25">
      <c r="T1614" s="10"/>
      <c r="U1614" s="4"/>
      <c r="V1614" s="4"/>
      <c r="X1614" s="4"/>
      <c r="Y1614" s="4"/>
    </row>
    <row r="1615" spans="20:25" x14ac:dyDescent="0.25">
      <c r="T1615" s="10"/>
      <c r="U1615" s="4"/>
      <c r="V1615" s="4"/>
      <c r="X1615" s="4"/>
      <c r="Y1615" s="4"/>
    </row>
    <row r="1616" spans="20:25" x14ac:dyDescent="0.25">
      <c r="T1616" s="10"/>
      <c r="U1616" s="4"/>
      <c r="V1616" s="4"/>
      <c r="X1616" s="4"/>
      <c r="Y1616" s="4"/>
    </row>
    <row r="1617" spans="20:25" x14ac:dyDescent="0.25">
      <c r="T1617" s="10"/>
      <c r="U1617" s="4"/>
      <c r="V1617" s="4"/>
      <c r="X1617" s="4"/>
      <c r="Y1617" s="4"/>
    </row>
    <row r="1618" spans="20:25" x14ac:dyDescent="0.25">
      <c r="T1618" s="10"/>
      <c r="U1618" s="4"/>
      <c r="V1618" s="4"/>
      <c r="X1618" s="4"/>
      <c r="Y1618" s="4"/>
    </row>
    <row r="1619" spans="20:25" x14ac:dyDescent="0.25">
      <c r="T1619" s="10"/>
      <c r="U1619" s="4"/>
      <c r="V1619" s="4"/>
      <c r="X1619" s="4"/>
      <c r="Y1619" s="4"/>
    </row>
    <row r="1620" spans="20:25" x14ac:dyDescent="0.25">
      <c r="T1620" s="10"/>
      <c r="U1620" s="4"/>
      <c r="V1620" s="4"/>
      <c r="X1620" s="4"/>
      <c r="Y1620" s="4"/>
    </row>
    <row r="1621" spans="20:25" x14ac:dyDescent="0.25">
      <c r="T1621" s="10"/>
      <c r="U1621" s="4"/>
      <c r="V1621" s="4"/>
      <c r="X1621" s="4"/>
      <c r="Y1621" s="4"/>
    </row>
    <row r="1622" spans="20:25" x14ac:dyDescent="0.25">
      <c r="T1622" s="10"/>
      <c r="U1622" s="4"/>
      <c r="V1622" s="4"/>
      <c r="X1622" s="4"/>
      <c r="Y1622" s="4"/>
    </row>
    <row r="1623" spans="20:25" x14ac:dyDescent="0.25">
      <c r="T1623" s="10"/>
      <c r="U1623" s="4"/>
      <c r="V1623" s="4"/>
      <c r="X1623" s="4"/>
      <c r="Y1623" s="4"/>
    </row>
    <row r="1624" spans="20:25" x14ac:dyDescent="0.25">
      <c r="T1624" s="10"/>
      <c r="U1624" s="4"/>
      <c r="V1624" s="4"/>
      <c r="X1624" s="4"/>
      <c r="Y1624" s="4"/>
    </row>
    <row r="1625" spans="20:25" x14ac:dyDescent="0.25">
      <c r="T1625" s="10"/>
      <c r="U1625" s="4"/>
      <c r="V1625" s="4"/>
      <c r="X1625" s="4"/>
      <c r="Y1625" s="4"/>
    </row>
    <row r="1626" spans="20:25" x14ac:dyDescent="0.25">
      <c r="T1626" s="10"/>
      <c r="U1626" s="4"/>
      <c r="V1626" s="4"/>
      <c r="X1626" s="4"/>
      <c r="Y1626" s="4"/>
    </row>
    <row r="1627" spans="20:25" x14ac:dyDescent="0.25">
      <c r="T1627" s="10"/>
      <c r="U1627" s="4"/>
      <c r="V1627" s="4"/>
      <c r="X1627" s="4"/>
      <c r="Y1627" s="4"/>
    </row>
    <row r="1628" spans="20:25" x14ac:dyDescent="0.25">
      <c r="T1628" s="10"/>
      <c r="U1628" s="4"/>
      <c r="V1628" s="4"/>
      <c r="X1628" s="4"/>
      <c r="Y1628" s="4"/>
    </row>
    <row r="1629" spans="20:25" x14ac:dyDescent="0.25">
      <c r="T1629" s="10"/>
      <c r="U1629" s="4"/>
      <c r="V1629" s="4"/>
      <c r="X1629" s="4"/>
      <c r="Y1629" s="4"/>
    </row>
    <row r="1630" spans="20:25" x14ac:dyDescent="0.25">
      <c r="T1630" s="10"/>
      <c r="U1630" s="4"/>
      <c r="V1630" s="4"/>
      <c r="X1630" s="4"/>
      <c r="Y1630" s="4"/>
    </row>
    <row r="1631" spans="20:25" x14ac:dyDescent="0.25">
      <c r="T1631" s="10"/>
      <c r="U1631" s="4"/>
      <c r="V1631" s="4"/>
      <c r="X1631" s="4"/>
      <c r="Y1631" s="4"/>
    </row>
    <row r="1632" spans="20:25" x14ac:dyDescent="0.25">
      <c r="T1632" s="10"/>
      <c r="U1632" s="4"/>
      <c r="V1632" s="4"/>
      <c r="X1632" s="4"/>
      <c r="Y1632" s="4"/>
    </row>
    <row r="1633" spans="20:25" x14ac:dyDescent="0.25">
      <c r="T1633" s="10"/>
      <c r="U1633" s="4"/>
      <c r="V1633" s="4"/>
      <c r="X1633" s="4"/>
      <c r="Y1633" s="4"/>
    </row>
    <row r="1634" spans="20:25" x14ac:dyDescent="0.25">
      <c r="T1634" s="10"/>
      <c r="U1634" s="4"/>
      <c r="V1634" s="4"/>
      <c r="X1634" s="4"/>
      <c r="Y1634" s="4"/>
    </row>
    <row r="1635" spans="20:25" x14ac:dyDescent="0.25">
      <c r="T1635" s="10"/>
      <c r="U1635" s="4"/>
      <c r="V1635" s="4"/>
      <c r="X1635" s="4"/>
      <c r="Y1635" s="4"/>
    </row>
    <row r="1636" spans="20:25" x14ac:dyDescent="0.25">
      <c r="T1636" s="10"/>
      <c r="U1636" s="4"/>
      <c r="V1636" s="4"/>
      <c r="X1636" s="4"/>
      <c r="Y1636" s="4"/>
    </row>
    <row r="1637" spans="20:25" x14ac:dyDescent="0.25">
      <c r="T1637" s="10"/>
      <c r="U1637" s="4"/>
      <c r="V1637" s="4"/>
      <c r="X1637" s="4"/>
      <c r="Y1637" s="4"/>
    </row>
    <row r="1638" spans="20:25" x14ac:dyDescent="0.25">
      <c r="T1638" s="10"/>
      <c r="U1638" s="4"/>
      <c r="V1638" s="4"/>
      <c r="X1638" s="4"/>
      <c r="Y1638" s="4"/>
    </row>
    <row r="1639" spans="20:25" x14ac:dyDescent="0.25">
      <c r="T1639" s="10"/>
      <c r="U1639" s="4"/>
      <c r="V1639" s="4"/>
      <c r="X1639" s="4"/>
      <c r="Y1639" s="4"/>
    </row>
    <row r="1640" spans="20:25" x14ac:dyDescent="0.25">
      <c r="T1640" s="10"/>
      <c r="U1640" s="4"/>
      <c r="V1640" s="4"/>
      <c r="X1640" s="4"/>
      <c r="Y1640" s="4"/>
    </row>
    <row r="1641" spans="20:25" x14ac:dyDescent="0.25">
      <c r="T1641" s="10"/>
      <c r="U1641" s="4"/>
      <c r="V1641" s="4"/>
      <c r="X1641" s="4"/>
      <c r="Y1641" s="4"/>
    </row>
    <row r="1642" spans="20:25" x14ac:dyDescent="0.25">
      <c r="T1642" s="10"/>
      <c r="U1642" s="4"/>
      <c r="V1642" s="4"/>
      <c r="X1642" s="4"/>
      <c r="Y1642" s="4"/>
    </row>
    <row r="1643" spans="20:25" x14ac:dyDescent="0.25">
      <c r="T1643" s="10"/>
      <c r="U1643" s="4"/>
      <c r="V1643" s="4"/>
      <c r="X1643" s="4"/>
      <c r="Y1643" s="4"/>
    </row>
    <row r="1644" spans="20:25" x14ac:dyDescent="0.25">
      <c r="T1644" s="10"/>
      <c r="U1644" s="4"/>
      <c r="V1644" s="4"/>
      <c r="X1644" s="4"/>
      <c r="Y1644" s="4"/>
    </row>
    <row r="1645" spans="20:25" x14ac:dyDescent="0.25">
      <c r="T1645" s="10"/>
      <c r="U1645" s="4"/>
      <c r="V1645" s="4"/>
      <c r="X1645" s="4"/>
      <c r="Y1645" s="4"/>
    </row>
    <row r="1646" spans="20:25" x14ac:dyDescent="0.25">
      <c r="T1646" s="10"/>
      <c r="U1646" s="4"/>
      <c r="V1646" s="4"/>
      <c r="X1646" s="4"/>
      <c r="Y1646" s="4"/>
    </row>
    <row r="1647" spans="20:25" x14ac:dyDescent="0.25">
      <c r="T1647" s="10"/>
      <c r="U1647" s="4"/>
      <c r="V1647" s="4"/>
      <c r="X1647" s="4"/>
      <c r="Y1647" s="4"/>
    </row>
    <row r="1648" spans="20:25" x14ac:dyDescent="0.25">
      <c r="T1648" s="10"/>
      <c r="U1648" s="4"/>
      <c r="V1648" s="4"/>
      <c r="X1648" s="4"/>
      <c r="Y1648" s="4"/>
    </row>
    <row r="1649" spans="20:25" x14ac:dyDescent="0.25">
      <c r="T1649" s="10"/>
      <c r="U1649" s="4"/>
      <c r="V1649" s="4"/>
      <c r="X1649" s="4"/>
      <c r="Y1649" s="4"/>
    </row>
    <row r="1650" spans="20:25" x14ac:dyDescent="0.25">
      <c r="T1650" s="10"/>
      <c r="U1650" s="4"/>
      <c r="V1650" s="4"/>
      <c r="X1650" s="4"/>
      <c r="Y1650" s="4"/>
    </row>
    <row r="1651" spans="20:25" x14ac:dyDescent="0.25">
      <c r="T1651" s="10"/>
      <c r="U1651" s="4"/>
      <c r="V1651" s="4"/>
      <c r="X1651" s="4"/>
      <c r="Y1651" s="4"/>
    </row>
    <row r="1652" spans="20:25" x14ac:dyDescent="0.25">
      <c r="T1652" s="10"/>
      <c r="U1652" s="4"/>
      <c r="V1652" s="4"/>
      <c r="X1652" s="4"/>
      <c r="Y1652" s="4"/>
    </row>
    <row r="1653" spans="20:25" x14ac:dyDescent="0.25">
      <c r="T1653" s="10"/>
      <c r="U1653" s="4"/>
      <c r="V1653" s="4"/>
      <c r="X1653" s="4"/>
      <c r="Y1653" s="4"/>
    </row>
    <row r="1654" spans="20:25" x14ac:dyDescent="0.25">
      <c r="T1654" s="10"/>
      <c r="U1654" s="4"/>
      <c r="V1654" s="4"/>
      <c r="X1654" s="4"/>
      <c r="Y1654" s="4"/>
    </row>
    <row r="1655" spans="20:25" x14ac:dyDescent="0.25">
      <c r="T1655" s="10"/>
      <c r="U1655" s="4"/>
      <c r="V1655" s="4"/>
      <c r="X1655" s="4"/>
      <c r="Y1655" s="4"/>
    </row>
    <row r="1656" spans="20:25" x14ac:dyDescent="0.25">
      <c r="T1656" s="10"/>
      <c r="U1656" s="4"/>
      <c r="V1656" s="4"/>
      <c r="X1656" s="4"/>
      <c r="Y1656" s="4"/>
    </row>
    <row r="1657" spans="20:25" x14ac:dyDescent="0.25">
      <c r="T1657" s="10"/>
      <c r="U1657" s="4"/>
      <c r="V1657" s="4"/>
      <c r="X1657" s="4"/>
      <c r="Y1657" s="4"/>
    </row>
    <row r="1658" spans="20:25" x14ac:dyDescent="0.25">
      <c r="T1658" s="10"/>
      <c r="U1658" s="4"/>
      <c r="V1658" s="4"/>
      <c r="X1658" s="4"/>
      <c r="Y1658" s="4"/>
    </row>
    <row r="1659" spans="20:25" x14ac:dyDescent="0.25">
      <c r="T1659" s="10"/>
      <c r="U1659" s="4"/>
      <c r="V1659" s="4"/>
      <c r="X1659" s="4"/>
      <c r="Y1659" s="4"/>
    </row>
    <row r="1660" spans="20:25" x14ac:dyDescent="0.25">
      <c r="T1660" s="10"/>
      <c r="U1660" s="4"/>
      <c r="V1660" s="4"/>
      <c r="X1660" s="4"/>
      <c r="Y1660" s="4"/>
    </row>
    <row r="1661" spans="20:25" x14ac:dyDescent="0.25">
      <c r="T1661" s="10"/>
      <c r="U1661" s="4"/>
      <c r="V1661" s="4"/>
      <c r="X1661" s="4"/>
      <c r="Y1661" s="4"/>
    </row>
    <row r="1662" spans="20:25" x14ac:dyDescent="0.25">
      <c r="T1662" s="10"/>
      <c r="U1662" s="4"/>
      <c r="V1662" s="4"/>
      <c r="X1662" s="4"/>
      <c r="Y1662" s="4"/>
    </row>
    <row r="1663" spans="20:25" x14ac:dyDescent="0.25">
      <c r="T1663" s="10"/>
      <c r="U1663" s="4"/>
      <c r="V1663" s="4"/>
      <c r="X1663" s="4"/>
      <c r="Y1663" s="4"/>
    </row>
    <row r="1664" spans="20:25" x14ac:dyDescent="0.25">
      <c r="T1664" s="10"/>
      <c r="U1664" s="4"/>
      <c r="V1664" s="4"/>
      <c r="X1664" s="4"/>
      <c r="Y1664" s="4"/>
    </row>
    <row r="1665" spans="20:25" x14ac:dyDescent="0.25">
      <c r="T1665" s="10"/>
      <c r="U1665" s="4"/>
      <c r="V1665" s="4"/>
      <c r="X1665" s="4"/>
      <c r="Y1665" s="4"/>
    </row>
    <row r="1666" spans="20:25" x14ac:dyDescent="0.25">
      <c r="T1666" s="10"/>
      <c r="U1666" s="4"/>
      <c r="V1666" s="4"/>
      <c r="X1666" s="4"/>
      <c r="Y1666" s="4"/>
    </row>
    <row r="1667" spans="20:25" x14ac:dyDescent="0.25">
      <c r="T1667" s="10"/>
      <c r="U1667" s="4"/>
      <c r="V1667" s="4"/>
      <c r="X1667" s="4"/>
      <c r="Y1667" s="4"/>
    </row>
    <row r="1668" spans="20:25" x14ac:dyDescent="0.25">
      <c r="T1668" s="10"/>
      <c r="U1668" s="4"/>
      <c r="V1668" s="4"/>
      <c r="X1668" s="4"/>
      <c r="Y1668" s="4"/>
    </row>
    <row r="1669" spans="20:25" x14ac:dyDescent="0.25">
      <c r="T1669" s="10"/>
      <c r="U1669" s="4"/>
      <c r="V1669" s="4"/>
      <c r="X1669" s="4"/>
      <c r="Y1669" s="4"/>
    </row>
    <row r="1670" spans="20:25" x14ac:dyDescent="0.25">
      <c r="T1670" s="10"/>
      <c r="U1670" s="4"/>
      <c r="V1670" s="4"/>
      <c r="X1670" s="4"/>
      <c r="Y1670" s="4"/>
    </row>
    <row r="1671" spans="20:25" x14ac:dyDescent="0.25">
      <c r="T1671" s="10"/>
      <c r="U1671" s="4"/>
      <c r="V1671" s="4"/>
      <c r="X1671" s="4"/>
      <c r="Y1671" s="4"/>
    </row>
    <row r="1672" spans="20:25" x14ac:dyDescent="0.25">
      <c r="T1672" s="10"/>
      <c r="U1672" s="4"/>
      <c r="V1672" s="4"/>
      <c r="X1672" s="4"/>
      <c r="Y1672" s="4"/>
    </row>
    <row r="1673" spans="20:25" x14ac:dyDescent="0.25">
      <c r="T1673" s="10"/>
      <c r="U1673" s="4"/>
      <c r="V1673" s="4"/>
      <c r="X1673" s="4"/>
      <c r="Y1673" s="4"/>
    </row>
    <row r="1674" spans="20:25" x14ac:dyDescent="0.25">
      <c r="T1674" s="10"/>
      <c r="U1674" s="4"/>
      <c r="V1674" s="4"/>
      <c r="X1674" s="4"/>
      <c r="Y1674" s="4"/>
    </row>
    <row r="1675" spans="20:25" x14ac:dyDescent="0.25">
      <c r="T1675" s="10"/>
      <c r="U1675" s="4"/>
      <c r="V1675" s="4"/>
      <c r="X1675" s="4"/>
      <c r="Y1675" s="4"/>
    </row>
    <row r="1676" spans="20:25" x14ac:dyDescent="0.25">
      <c r="T1676" s="10"/>
      <c r="U1676" s="4"/>
      <c r="V1676" s="4"/>
      <c r="X1676" s="4"/>
      <c r="Y1676" s="4"/>
    </row>
    <row r="1677" spans="20:25" x14ac:dyDescent="0.25">
      <c r="T1677" s="10"/>
      <c r="U1677" s="4"/>
      <c r="V1677" s="4"/>
      <c r="X1677" s="4"/>
      <c r="Y1677" s="4"/>
    </row>
    <row r="1678" spans="20:25" x14ac:dyDescent="0.25">
      <c r="T1678" s="10"/>
      <c r="U1678" s="4"/>
      <c r="V1678" s="4"/>
      <c r="X1678" s="4"/>
      <c r="Y1678" s="4"/>
    </row>
    <row r="1679" spans="20:25" x14ac:dyDescent="0.25">
      <c r="T1679" s="10"/>
      <c r="U1679" s="4"/>
      <c r="V1679" s="4"/>
      <c r="X1679" s="4"/>
      <c r="Y1679" s="4"/>
    </row>
    <row r="1680" spans="20:25" x14ac:dyDescent="0.25">
      <c r="T1680" s="10"/>
      <c r="U1680" s="4"/>
      <c r="V1680" s="4"/>
      <c r="X1680" s="4"/>
      <c r="Y1680" s="4"/>
    </row>
    <row r="1681" spans="20:25" x14ac:dyDescent="0.25">
      <c r="T1681" s="10"/>
      <c r="U1681" s="4"/>
      <c r="V1681" s="4"/>
      <c r="X1681" s="4"/>
      <c r="Y1681" s="4"/>
    </row>
    <row r="1682" spans="20:25" x14ac:dyDescent="0.25">
      <c r="T1682" s="10"/>
      <c r="U1682" s="4"/>
      <c r="V1682" s="4"/>
      <c r="X1682" s="4"/>
      <c r="Y1682" s="4"/>
    </row>
    <row r="1683" spans="20:25" x14ac:dyDescent="0.25">
      <c r="T1683" s="10"/>
      <c r="U1683" s="4"/>
      <c r="V1683" s="4"/>
      <c r="X1683" s="4"/>
      <c r="Y1683" s="4"/>
    </row>
    <row r="1684" spans="20:25" x14ac:dyDescent="0.25">
      <c r="T1684" s="10"/>
      <c r="U1684" s="4"/>
      <c r="V1684" s="4"/>
      <c r="X1684" s="4"/>
      <c r="Y1684" s="4"/>
    </row>
    <row r="1685" spans="20:25" x14ac:dyDescent="0.25">
      <c r="T1685" s="10"/>
      <c r="U1685" s="4"/>
      <c r="V1685" s="4"/>
      <c r="X1685" s="4"/>
      <c r="Y1685" s="4"/>
    </row>
    <row r="1686" spans="20:25" x14ac:dyDescent="0.25">
      <c r="T1686" s="10"/>
      <c r="U1686" s="4"/>
      <c r="V1686" s="4"/>
      <c r="X1686" s="4"/>
      <c r="Y1686" s="4"/>
    </row>
    <row r="1687" spans="20:25" x14ac:dyDescent="0.25">
      <c r="T1687" s="10"/>
      <c r="U1687" s="4"/>
      <c r="V1687" s="4"/>
      <c r="X1687" s="4"/>
      <c r="Y1687" s="4"/>
    </row>
    <row r="1688" spans="20:25" x14ac:dyDescent="0.25">
      <c r="T1688" s="10"/>
      <c r="U1688" s="4"/>
      <c r="V1688" s="4"/>
      <c r="X1688" s="4"/>
      <c r="Y1688" s="4"/>
    </row>
    <row r="1689" spans="20:25" x14ac:dyDescent="0.25">
      <c r="T1689" s="10"/>
      <c r="U1689" s="4"/>
      <c r="V1689" s="4"/>
      <c r="X1689" s="4"/>
      <c r="Y1689" s="4"/>
    </row>
    <row r="1690" spans="20:25" x14ac:dyDescent="0.25">
      <c r="T1690" s="10"/>
      <c r="U1690" s="4"/>
      <c r="V1690" s="4"/>
      <c r="X1690" s="4"/>
      <c r="Y1690" s="4"/>
    </row>
    <row r="1691" spans="20:25" x14ac:dyDescent="0.25">
      <c r="T1691" s="10"/>
      <c r="U1691" s="4"/>
      <c r="V1691" s="4"/>
      <c r="X1691" s="4"/>
      <c r="Y1691" s="4"/>
    </row>
    <row r="1692" spans="20:25" x14ac:dyDescent="0.25">
      <c r="T1692" s="10"/>
      <c r="U1692" s="4"/>
      <c r="V1692" s="4"/>
      <c r="X1692" s="4"/>
      <c r="Y1692" s="4"/>
    </row>
    <row r="1693" spans="20:25" x14ac:dyDescent="0.25">
      <c r="T1693" s="10"/>
      <c r="U1693" s="4"/>
      <c r="V1693" s="4"/>
      <c r="X1693" s="4"/>
      <c r="Y1693" s="4"/>
    </row>
    <row r="1694" spans="20:25" x14ac:dyDescent="0.25">
      <c r="T1694" s="10"/>
      <c r="U1694" s="4"/>
      <c r="V1694" s="4"/>
      <c r="X1694" s="4"/>
      <c r="Y1694" s="4"/>
    </row>
    <row r="1695" spans="20:25" x14ac:dyDescent="0.25">
      <c r="T1695" s="10"/>
      <c r="U1695" s="4"/>
      <c r="V1695" s="4"/>
      <c r="X1695" s="4"/>
      <c r="Y1695" s="4"/>
    </row>
    <row r="1696" spans="20:25" x14ac:dyDescent="0.25">
      <c r="T1696" s="10"/>
      <c r="U1696" s="4"/>
      <c r="V1696" s="4"/>
      <c r="X1696" s="4"/>
      <c r="Y1696" s="4"/>
    </row>
    <row r="1697" spans="20:25" x14ac:dyDescent="0.25">
      <c r="T1697" s="10"/>
      <c r="U1697" s="4"/>
      <c r="V1697" s="4"/>
      <c r="X1697" s="4"/>
      <c r="Y1697" s="4"/>
    </row>
    <row r="1698" spans="20:25" x14ac:dyDescent="0.25">
      <c r="T1698" s="10"/>
      <c r="U1698" s="4"/>
      <c r="V1698" s="4"/>
      <c r="X1698" s="4"/>
      <c r="Y1698" s="4"/>
    </row>
    <row r="1699" spans="20:25" x14ac:dyDescent="0.25">
      <c r="T1699" s="10"/>
      <c r="U1699" s="4"/>
      <c r="V1699" s="4"/>
      <c r="X1699" s="4"/>
      <c r="Y1699" s="4"/>
    </row>
    <row r="1700" spans="20:25" x14ac:dyDescent="0.25">
      <c r="T1700" s="10"/>
      <c r="U1700" s="4"/>
      <c r="V1700" s="4"/>
      <c r="X1700" s="4"/>
      <c r="Y1700" s="4"/>
    </row>
    <row r="1701" spans="20:25" x14ac:dyDescent="0.25">
      <c r="T1701" s="10"/>
      <c r="U1701" s="4"/>
      <c r="V1701" s="4"/>
      <c r="X1701" s="4"/>
      <c r="Y1701" s="4"/>
    </row>
    <row r="1702" spans="20:25" x14ac:dyDescent="0.25">
      <c r="T1702" s="10"/>
      <c r="U1702" s="4"/>
      <c r="V1702" s="4"/>
      <c r="X1702" s="4"/>
      <c r="Y1702" s="4"/>
    </row>
    <row r="1703" spans="20:25" x14ac:dyDescent="0.25">
      <c r="T1703" s="10"/>
      <c r="U1703" s="4"/>
      <c r="V1703" s="4"/>
      <c r="X1703" s="4"/>
      <c r="Y1703" s="4"/>
    </row>
    <row r="1704" spans="20:25" x14ac:dyDescent="0.25">
      <c r="T1704" s="10"/>
      <c r="U1704" s="4"/>
      <c r="V1704" s="4"/>
      <c r="X1704" s="4"/>
      <c r="Y1704" s="4"/>
    </row>
    <row r="1705" spans="20:25" x14ac:dyDescent="0.25">
      <c r="T1705" s="10"/>
      <c r="U1705" s="4"/>
      <c r="V1705" s="4"/>
      <c r="X1705" s="4"/>
      <c r="Y1705" s="4"/>
    </row>
    <row r="1706" spans="20:25" x14ac:dyDescent="0.25">
      <c r="T1706" s="10"/>
      <c r="U1706" s="4"/>
      <c r="V1706" s="4"/>
      <c r="X1706" s="4"/>
      <c r="Y1706" s="4"/>
    </row>
    <row r="1707" spans="20:25" x14ac:dyDescent="0.25">
      <c r="T1707" s="10"/>
      <c r="U1707" s="4"/>
      <c r="V1707" s="4"/>
      <c r="X1707" s="4"/>
      <c r="Y1707" s="4"/>
    </row>
    <row r="1708" spans="20:25" x14ac:dyDescent="0.25">
      <c r="T1708" s="10"/>
      <c r="U1708" s="4"/>
      <c r="V1708" s="4"/>
      <c r="X1708" s="4"/>
      <c r="Y1708" s="4"/>
    </row>
    <row r="1709" spans="20:25" x14ac:dyDescent="0.25">
      <c r="T1709" s="10"/>
      <c r="U1709" s="4"/>
      <c r="V1709" s="4"/>
      <c r="X1709" s="4"/>
      <c r="Y1709" s="4"/>
    </row>
    <row r="1710" spans="20:25" x14ac:dyDescent="0.25">
      <c r="T1710" s="10"/>
      <c r="U1710" s="4"/>
      <c r="V1710" s="4"/>
      <c r="X1710" s="4"/>
      <c r="Y1710" s="4"/>
    </row>
    <row r="1711" spans="20:25" x14ac:dyDescent="0.25">
      <c r="T1711" s="10"/>
      <c r="U1711" s="4"/>
      <c r="V1711" s="4"/>
      <c r="X1711" s="4"/>
      <c r="Y1711" s="4"/>
    </row>
    <row r="1712" spans="20:25" x14ac:dyDescent="0.25">
      <c r="T1712" s="10"/>
      <c r="U1712" s="4"/>
      <c r="V1712" s="4"/>
      <c r="X1712" s="4"/>
      <c r="Y1712" s="4"/>
    </row>
    <row r="1713" spans="20:25" x14ac:dyDescent="0.25">
      <c r="T1713" s="10"/>
      <c r="U1713" s="4"/>
      <c r="V1713" s="4"/>
      <c r="X1713" s="4"/>
      <c r="Y1713" s="4"/>
    </row>
    <row r="1714" spans="20:25" x14ac:dyDescent="0.25">
      <c r="T1714" s="10"/>
      <c r="U1714" s="4"/>
      <c r="V1714" s="4"/>
      <c r="X1714" s="4"/>
      <c r="Y1714" s="4"/>
    </row>
    <row r="1715" spans="20:25" x14ac:dyDescent="0.25">
      <c r="T1715" s="10"/>
      <c r="U1715" s="4"/>
      <c r="V1715" s="4"/>
      <c r="X1715" s="4"/>
      <c r="Y1715" s="4"/>
    </row>
    <row r="1716" spans="20:25" x14ac:dyDescent="0.25">
      <c r="T1716" s="10"/>
      <c r="U1716" s="4"/>
      <c r="V1716" s="4"/>
      <c r="X1716" s="4"/>
      <c r="Y1716" s="4"/>
    </row>
    <row r="1717" spans="20:25" x14ac:dyDescent="0.25">
      <c r="T1717" s="10"/>
      <c r="U1717" s="4"/>
      <c r="V1717" s="4"/>
      <c r="X1717" s="4"/>
      <c r="Y1717" s="4"/>
    </row>
    <row r="1718" spans="20:25" x14ac:dyDescent="0.25">
      <c r="T1718" s="10"/>
      <c r="U1718" s="4"/>
      <c r="V1718" s="4"/>
      <c r="X1718" s="4"/>
      <c r="Y1718" s="4"/>
    </row>
    <row r="1719" spans="20:25" x14ac:dyDescent="0.25">
      <c r="T1719" s="10"/>
      <c r="U1719" s="4"/>
      <c r="V1719" s="4"/>
      <c r="X1719" s="4"/>
      <c r="Y1719" s="4"/>
    </row>
    <row r="1720" spans="20:25" x14ac:dyDescent="0.25">
      <c r="T1720" s="10"/>
      <c r="U1720" s="4"/>
      <c r="V1720" s="4"/>
      <c r="X1720" s="4"/>
      <c r="Y1720" s="4"/>
    </row>
    <row r="1721" spans="20:25" x14ac:dyDescent="0.25">
      <c r="T1721" s="10"/>
      <c r="U1721" s="4"/>
      <c r="V1721" s="4"/>
      <c r="X1721" s="4"/>
      <c r="Y1721" s="4"/>
    </row>
    <row r="1722" spans="20:25" x14ac:dyDescent="0.25">
      <c r="T1722" s="10"/>
      <c r="U1722" s="4"/>
      <c r="V1722" s="4"/>
      <c r="X1722" s="4"/>
      <c r="Y1722" s="4"/>
    </row>
    <row r="1723" spans="20:25" x14ac:dyDescent="0.25">
      <c r="T1723" s="10"/>
      <c r="U1723" s="4"/>
      <c r="V1723" s="4"/>
      <c r="X1723" s="4"/>
      <c r="Y1723" s="4"/>
    </row>
    <row r="1724" spans="20:25" x14ac:dyDescent="0.25">
      <c r="T1724" s="10"/>
      <c r="U1724" s="4"/>
      <c r="V1724" s="4"/>
      <c r="X1724" s="4"/>
      <c r="Y1724" s="4"/>
    </row>
    <row r="1725" spans="20:25" x14ac:dyDescent="0.25">
      <c r="T1725" s="10"/>
      <c r="U1725" s="4"/>
      <c r="V1725" s="4"/>
      <c r="X1725" s="4"/>
      <c r="Y1725" s="4"/>
    </row>
    <row r="1726" spans="20:25" x14ac:dyDescent="0.25">
      <c r="T1726" s="10"/>
      <c r="U1726" s="4"/>
      <c r="V1726" s="4"/>
      <c r="X1726" s="4"/>
      <c r="Y1726" s="4"/>
    </row>
    <row r="1727" spans="20:25" x14ac:dyDescent="0.25">
      <c r="T1727" s="10"/>
      <c r="U1727" s="4"/>
      <c r="V1727" s="4"/>
      <c r="X1727" s="4"/>
      <c r="Y1727" s="4"/>
    </row>
    <row r="1728" spans="20:25" x14ac:dyDescent="0.25">
      <c r="T1728" s="10"/>
      <c r="U1728" s="4"/>
      <c r="V1728" s="4"/>
      <c r="X1728" s="4"/>
      <c r="Y1728" s="4"/>
    </row>
    <row r="1729" spans="20:25" x14ac:dyDescent="0.25">
      <c r="T1729" s="10"/>
      <c r="U1729" s="4"/>
      <c r="V1729" s="4"/>
      <c r="X1729" s="4"/>
      <c r="Y1729" s="4"/>
    </row>
    <row r="1730" spans="20:25" x14ac:dyDescent="0.25">
      <c r="T1730" s="10"/>
      <c r="U1730" s="4"/>
      <c r="V1730" s="4"/>
      <c r="X1730" s="4"/>
      <c r="Y1730" s="4"/>
    </row>
    <row r="1731" spans="20:25" x14ac:dyDescent="0.25">
      <c r="T1731" s="10"/>
      <c r="U1731" s="4"/>
      <c r="V1731" s="4"/>
      <c r="X1731" s="4"/>
      <c r="Y1731" s="4"/>
    </row>
    <row r="1732" spans="20:25" x14ac:dyDescent="0.25">
      <c r="T1732" s="10"/>
      <c r="U1732" s="4"/>
      <c r="V1732" s="4"/>
      <c r="X1732" s="4"/>
      <c r="Y1732" s="4"/>
    </row>
    <row r="1733" spans="20:25" x14ac:dyDescent="0.25">
      <c r="T1733" s="10"/>
      <c r="U1733" s="4"/>
      <c r="V1733" s="4"/>
      <c r="X1733" s="4"/>
      <c r="Y1733" s="4"/>
    </row>
    <row r="1734" spans="20:25" x14ac:dyDescent="0.25">
      <c r="T1734" s="10"/>
      <c r="U1734" s="4"/>
      <c r="V1734" s="4"/>
      <c r="X1734" s="4"/>
      <c r="Y1734" s="4"/>
    </row>
    <row r="1735" spans="20:25" x14ac:dyDescent="0.25">
      <c r="T1735" s="10"/>
      <c r="U1735" s="4"/>
      <c r="V1735" s="4"/>
      <c r="X1735" s="4"/>
      <c r="Y1735" s="4"/>
    </row>
    <row r="1736" spans="20:25" x14ac:dyDescent="0.25">
      <c r="T1736" s="10"/>
      <c r="U1736" s="4"/>
      <c r="V1736" s="4"/>
      <c r="X1736" s="4"/>
      <c r="Y1736" s="4"/>
    </row>
    <row r="1737" spans="20:25" x14ac:dyDescent="0.25">
      <c r="T1737" s="10"/>
      <c r="U1737" s="4"/>
      <c r="V1737" s="4"/>
      <c r="X1737" s="4"/>
      <c r="Y1737" s="4"/>
    </row>
    <row r="1738" spans="20:25" x14ac:dyDescent="0.25">
      <c r="T1738" s="10"/>
      <c r="U1738" s="4"/>
      <c r="V1738" s="4"/>
      <c r="X1738" s="4"/>
      <c r="Y1738" s="4"/>
    </row>
    <row r="1739" spans="20:25" x14ac:dyDescent="0.25">
      <c r="T1739" s="10"/>
      <c r="U1739" s="4"/>
      <c r="V1739" s="4"/>
      <c r="X1739" s="4"/>
      <c r="Y1739" s="4"/>
    </row>
    <row r="1740" spans="20:25" x14ac:dyDescent="0.25">
      <c r="T1740" s="10"/>
      <c r="U1740" s="4"/>
      <c r="V1740" s="4"/>
      <c r="X1740" s="4"/>
      <c r="Y1740" s="4"/>
    </row>
    <row r="1741" spans="20:25" x14ac:dyDescent="0.25">
      <c r="T1741" s="10"/>
      <c r="U1741" s="4"/>
      <c r="V1741" s="4"/>
      <c r="X1741" s="4"/>
      <c r="Y1741" s="4"/>
    </row>
    <row r="1742" spans="20:25" x14ac:dyDescent="0.25">
      <c r="T1742" s="10"/>
      <c r="U1742" s="4"/>
      <c r="V1742" s="4"/>
      <c r="X1742" s="4"/>
      <c r="Y1742" s="4"/>
    </row>
    <row r="1743" spans="20:25" x14ac:dyDescent="0.25">
      <c r="T1743" s="10"/>
      <c r="U1743" s="4"/>
      <c r="V1743" s="4"/>
      <c r="X1743" s="4"/>
      <c r="Y1743" s="4"/>
    </row>
    <row r="1744" spans="20:25" x14ac:dyDescent="0.25">
      <c r="T1744" s="10"/>
      <c r="U1744" s="4"/>
      <c r="V1744" s="4"/>
      <c r="X1744" s="4"/>
      <c r="Y1744" s="4"/>
    </row>
    <row r="1745" spans="20:25" x14ac:dyDescent="0.25">
      <c r="T1745" s="10"/>
      <c r="U1745" s="4"/>
      <c r="V1745" s="4"/>
      <c r="X1745" s="4"/>
      <c r="Y1745" s="4"/>
    </row>
    <row r="1746" spans="20:25" x14ac:dyDescent="0.25">
      <c r="T1746" s="10"/>
      <c r="U1746" s="4"/>
      <c r="V1746" s="4"/>
      <c r="X1746" s="4"/>
      <c r="Y1746" s="4"/>
    </row>
    <row r="1747" spans="20:25" x14ac:dyDescent="0.25">
      <c r="T1747" s="10"/>
      <c r="U1747" s="4"/>
      <c r="V1747" s="4"/>
      <c r="X1747" s="4"/>
      <c r="Y1747" s="4"/>
    </row>
    <row r="1748" spans="20:25" x14ac:dyDescent="0.25">
      <c r="T1748" s="10"/>
      <c r="U1748" s="4"/>
      <c r="V1748" s="4"/>
      <c r="X1748" s="4"/>
      <c r="Y1748" s="4"/>
    </row>
    <row r="1749" spans="20:25" x14ac:dyDescent="0.25">
      <c r="T1749" s="10"/>
      <c r="U1749" s="4"/>
      <c r="V1749" s="4"/>
      <c r="X1749" s="4"/>
      <c r="Y1749" s="4"/>
    </row>
    <row r="1750" spans="20:25" x14ac:dyDescent="0.25">
      <c r="T1750" s="10"/>
      <c r="U1750" s="4"/>
      <c r="V1750" s="4"/>
      <c r="X1750" s="4"/>
      <c r="Y1750" s="4"/>
    </row>
    <row r="1751" spans="20:25" x14ac:dyDescent="0.25">
      <c r="T1751" s="10"/>
      <c r="U1751" s="4"/>
      <c r="V1751" s="4"/>
      <c r="X1751" s="4"/>
      <c r="Y1751" s="4"/>
    </row>
    <row r="1752" spans="20:25" x14ac:dyDescent="0.25">
      <c r="T1752" s="10"/>
      <c r="U1752" s="4"/>
      <c r="V1752" s="4"/>
      <c r="X1752" s="4"/>
      <c r="Y1752" s="4"/>
    </row>
    <row r="1753" spans="20:25" x14ac:dyDescent="0.25">
      <c r="T1753" s="10"/>
      <c r="U1753" s="4"/>
      <c r="V1753" s="4"/>
      <c r="X1753" s="4"/>
      <c r="Y1753" s="4"/>
    </row>
    <row r="1754" spans="20:25" x14ac:dyDescent="0.25">
      <c r="T1754" s="10"/>
      <c r="U1754" s="4"/>
      <c r="V1754" s="4"/>
      <c r="X1754" s="4"/>
      <c r="Y1754" s="4"/>
    </row>
    <row r="1755" spans="20:25" x14ac:dyDescent="0.25">
      <c r="T1755" s="10"/>
      <c r="U1755" s="4"/>
      <c r="V1755" s="4"/>
      <c r="X1755" s="4"/>
      <c r="Y1755" s="4"/>
    </row>
    <row r="1756" spans="20:25" x14ac:dyDescent="0.25">
      <c r="T1756" s="10"/>
      <c r="U1756" s="4"/>
      <c r="V1756" s="4"/>
      <c r="X1756" s="4"/>
      <c r="Y1756" s="4"/>
    </row>
    <row r="1757" spans="20:25" x14ac:dyDescent="0.25">
      <c r="T1757" s="10"/>
      <c r="U1757" s="4"/>
      <c r="V1757" s="4"/>
      <c r="X1757" s="4"/>
      <c r="Y1757" s="4"/>
    </row>
    <row r="1758" spans="20:25" x14ac:dyDescent="0.25">
      <c r="T1758" s="10"/>
      <c r="U1758" s="4"/>
      <c r="V1758" s="4"/>
      <c r="X1758" s="4"/>
      <c r="Y1758" s="4"/>
    </row>
    <row r="1759" spans="20:25" x14ac:dyDescent="0.25">
      <c r="T1759" s="10"/>
      <c r="U1759" s="4"/>
      <c r="V1759" s="4"/>
      <c r="X1759" s="4"/>
      <c r="Y1759" s="4"/>
    </row>
    <row r="1760" spans="20:25" x14ac:dyDescent="0.25">
      <c r="T1760" s="10"/>
      <c r="U1760" s="4"/>
      <c r="V1760" s="4"/>
      <c r="X1760" s="4"/>
      <c r="Y1760" s="4"/>
    </row>
    <row r="1761" spans="20:25" x14ac:dyDescent="0.25">
      <c r="T1761" s="10"/>
      <c r="U1761" s="4"/>
      <c r="V1761" s="4"/>
      <c r="X1761" s="4"/>
      <c r="Y1761" s="4"/>
    </row>
    <row r="1762" spans="20:25" x14ac:dyDescent="0.25">
      <c r="T1762" s="10"/>
      <c r="U1762" s="4"/>
      <c r="V1762" s="4"/>
      <c r="X1762" s="4"/>
      <c r="Y1762" s="4"/>
    </row>
    <row r="1763" spans="20:25" x14ac:dyDescent="0.25">
      <c r="T1763" s="10"/>
      <c r="U1763" s="4"/>
      <c r="V1763" s="4"/>
      <c r="X1763" s="4"/>
      <c r="Y1763" s="4"/>
    </row>
    <row r="1764" spans="20:25" x14ac:dyDescent="0.25">
      <c r="T1764" s="10"/>
      <c r="U1764" s="4"/>
      <c r="V1764" s="4"/>
      <c r="X1764" s="4"/>
      <c r="Y1764" s="4"/>
    </row>
    <row r="1765" spans="20:25" x14ac:dyDescent="0.25">
      <c r="T1765" s="10"/>
      <c r="U1765" s="4"/>
      <c r="V1765" s="4"/>
      <c r="X1765" s="4"/>
      <c r="Y1765" s="4"/>
    </row>
    <row r="1766" spans="20:25" x14ac:dyDescent="0.25">
      <c r="T1766" s="10"/>
      <c r="U1766" s="4"/>
      <c r="V1766" s="4"/>
      <c r="X1766" s="4"/>
      <c r="Y1766" s="4"/>
    </row>
    <row r="1767" spans="20:25" x14ac:dyDescent="0.25">
      <c r="T1767" s="10"/>
      <c r="U1767" s="4"/>
      <c r="V1767" s="4"/>
      <c r="X1767" s="4"/>
      <c r="Y1767" s="4"/>
    </row>
    <row r="1768" spans="20:25" x14ac:dyDescent="0.25">
      <c r="T1768" s="10"/>
      <c r="U1768" s="4"/>
      <c r="V1768" s="4"/>
      <c r="X1768" s="4"/>
      <c r="Y1768" s="4"/>
    </row>
    <row r="1769" spans="20:25" x14ac:dyDescent="0.25">
      <c r="T1769" s="10"/>
      <c r="U1769" s="4"/>
      <c r="V1769" s="4"/>
      <c r="X1769" s="4"/>
      <c r="Y1769" s="4"/>
    </row>
    <row r="1770" spans="20:25" x14ac:dyDescent="0.25">
      <c r="T1770" s="10"/>
      <c r="U1770" s="4"/>
      <c r="V1770" s="4"/>
      <c r="X1770" s="4"/>
      <c r="Y1770" s="4"/>
    </row>
    <row r="1771" spans="20:25" x14ac:dyDescent="0.25">
      <c r="T1771" s="10"/>
      <c r="U1771" s="4"/>
      <c r="V1771" s="4"/>
      <c r="X1771" s="4"/>
      <c r="Y1771" s="4"/>
    </row>
    <row r="1772" spans="20:25" x14ac:dyDescent="0.25">
      <c r="T1772" s="10"/>
      <c r="U1772" s="4"/>
      <c r="V1772" s="4"/>
      <c r="X1772" s="4"/>
      <c r="Y1772" s="4"/>
    </row>
    <row r="1773" spans="20:25" x14ac:dyDescent="0.25">
      <c r="T1773" s="10"/>
      <c r="U1773" s="4"/>
      <c r="V1773" s="4"/>
      <c r="X1773" s="4"/>
      <c r="Y1773" s="4"/>
    </row>
    <row r="1774" spans="20:25" x14ac:dyDescent="0.25">
      <c r="T1774" s="10"/>
      <c r="U1774" s="4"/>
      <c r="V1774" s="4"/>
      <c r="X1774" s="4"/>
      <c r="Y1774" s="4"/>
    </row>
    <row r="1775" spans="20:25" x14ac:dyDescent="0.25">
      <c r="T1775" s="10"/>
      <c r="U1775" s="4"/>
      <c r="V1775" s="4"/>
      <c r="X1775" s="4"/>
      <c r="Y1775" s="4"/>
    </row>
    <row r="1776" spans="20:25" x14ac:dyDescent="0.25">
      <c r="T1776" s="10"/>
      <c r="U1776" s="4"/>
      <c r="V1776" s="4"/>
      <c r="X1776" s="4"/>
      <c r="Y1776" s="4"/>
    </row>
    <row r="1777" spans="20:25" x14ac:dyDescent="0.25">
      <c r="T1777" s="10"/>
      <c r="U1777" s="4"/>
      <c r="V1777" s="4"/>
      <c r="X1777" s="4"/>
      <c r="Y1777" s="4"/>
    </row>
    <row r="1778" spans="20:25" x14ac:dyDescent="0.25">
      <c r="T1778" s="10"/>
      <c r="U1778" s="4"/>
      <c r="V1778" s="4"/>
      <c r="X1778" s="4"/>
      <c r="Y1778" s="4"/>
    </row>
    <row r="1779" spans="20:25" x14ac:dyDescent="0.25">
      <c r="T1779" s="10"/>
      <c r="U1779" s="4"/>
      <c r="V1779" s="4"/>
      <c r="X1779" s="4"/>
      <c r="Y1779" s="4"/>
    </row>
    <row r="1780" spans="20:25" x14ac:dyDescent="0.25">
      <c r="T1780" s="10"/>
      <c r="U1780" s="4"/>
      <c r="V1780" s="4"/>
      <c r="X1780" s="4"/>
      <c r="Y1780" s="4"/>
    </row>
    <row r="1781" spans="20:25" x14ac:dyDescent="0.25">
      <c r="T1781" s="10"/>
      <c r="U1781" s="4"/>
      <c r="V1781" s="4"/>
      <c r="X1781" s="4"/>
      <c r="Y1781" s="4"/>
    </row>
    <row r="1782" spans="20:25" x14ac:dyDescent="0.25">
      <c r="T1782" s="10"/>
      <c r="U1782" s="4"/>
      <c r="V1782" s="4"/>
      <c r="X1782" s="4"/>
      <c r="Y1782" s="4"/>
    </row>
    <row r="1783" spans="20:25" x14ac:dyDescent="0.25">
      <c r="T1783" s="10"/>
      <c r="U1783" s="4"/>
      <c r="V1783" s="4"/>
      <c r="X1783" s="4"/>
      <c r="Y1783" s="4"/>
    </row>
    <row r="1784" spans="20:25" x14ac:dyDescent="0.25">
      <c r="T1784" s="10"/>
      <c r="U1784" s="4"/>
      <c r="V1784" s="4"/>
      <c r="X1784" s="4"/>
      <c r="Y1784" s="4"/>
    </row>
    <row r="1785" spans="20:25" x14ac:dyDescent="0.25">
      <c r="T1785" s="10"/>
      <c r="U1785" s="4"/>
      <c r="V1785" s="4"/>
      <c r="X1785" s="4"/>
      <c r="Y1785" s="4"/>
    </row>
    <row r="1786" spans="20:25" x14ac:dyDescent="0.25">
      <c r="T1786" s="10"/>
      <c r="U1786" s="4"/>
      <c r="V1786" s="4"/>
      <c r="X1786" s="4"/>
      <c r="Y1786" s="4"/>
    </row>
    <row r="1787" spans="20:25" x14ac:dyDescent="0.25">
      <c r="T1787" s="10"/>
      <c r="U1787" s="4"/>
      <c r="V1787" s="4"/>
      <c r="X1787" s="4"/>
      <c r="Y1787" s="4"/>
    </row>
    <row r="1788" spans="20:25" x14ac:dyDescent="0.25">
      <c r="T1788" s="10"/>
      <c r="U1788" s="4"/>
      <c r="V1788" s="4"/>
      <c r="X1788" s="4"/>
      <c r="Y1788" s="4"/>
    </row>
    <row r="1789" spans="20:25" x14ac:dyDescent="0.25">
      <c r="T1789" s="10"/>
      <c r="U1789" s="4"/>
      <c r="V1789" s="4"/>
      <c r="X1789" s="4"/>
      <c r="Y1789" s="4"/>
    </row>
    <row r="1790" spans="20:25" x14ac:dyDescent="0.25">
      <c r="T1790" s="10"/>
      <c r="U1790" s="4"/>
      <c r="V1790" s="4"/>
      <c r="X1790" s="4"/>
      <c r="Y1790" s="4"/>
    </row>
    <row r="1791" spans="20:25" x14ac:dyDescent="0.25">
      <c r="T1791" s="10"/>
      <c r="U1791" s="4"/>
      <c r="V1791" s="4"/>
      <c r="X1791" s="4"/>
      <c r="Y1791" s="4"/>
    </row>
    <row r="1792" spans="20:25" x14ac:dyDescent="0.25">
      <c r="T1792" s="10"/>
      <c r="U1792" s="4"/>
      <c r="V1792" s="4"/>
      <c r="X1792" s="4"/>
      <c r="Y1792" s="4"/>
    </row>
    <row r="1793" spans="20:25" x14ac:dyDescent="0.25">
      <c r="T1793" s="10"/>
      <c r="U1793" s="4"/>
      <c r="V1793" s="4"/>
      <c r="X1793" s="4"/>
      <c r="Y1793" s="4"/>
    </row>
    <row r="1794" spans="20:25" x14ac:dyDescent="0.25">
      <c r="T1794" s="10"/>
      <c r="U1794" s="4"/>
      <c r="V1794" s="4"/>
      <c r="X1794" s="4"/>
      <c r="Y1794" s="4"/>
    </row>
    <row r="1795" spans="20:25" x14ac:dyDescent="0.25">
      <c r="T1795" s="10"/>
      <c r="U1795" s="4"/>
      <c r="V1795" s="4"/>
      <c r="X1795" s="4"/>
      <c r="Y1795" s="4"/>
    </row>
    <row r="1796" spans="20:25" x14ac:dyDescent="0.25">
      <c r="T1796" s="10"/>
      <c r="U1796" s="4"/>
      <c r="V1796" s="4"/>
      <c r="X1796" s="4"/>
      <c r="Y1796" s="4"/>
    </row>
    <row r="1797" spans="20:25" x14ac:dyDescent="0.25">
      <c r="T1797" s="10"/>
      <c r="U1797" s="4"/>
      <c r="V1797" s="4"/>
      <c r="X1797" s="4"/>
      <c r="Y1797" s="4"/>
    </row>
    <row r="1798" spans="20:25" x14ac:dyDescent="0.25">
      <c r="T1798" s="10"/>
      <c r="U1798" s="4"/>
      <c r="V1798" s="4"/>
      <c r="X1798" s="4"/>
      <c r="Y1798" s="4"/>
    </row>
    <row r="1799" spans="20:25" x14ac:dyDescent="0.25">
      <c r="T1799" s="10"/>
      <c r="U1799" s="4"/>
      <c r="V1799" s="4"/>
      <c r="X1799" s="4"/>
      <c r="Y1799" s="4"/>
    </row>
    <row r="1800" spans="20:25" x14ac:dyDescent="0.25">
      <c r="T1800" s="10"/>
      <c r="U1800" s="4"/>
      <c r="V1800" s="4"/>
      <c r="X1800" s="4"/>
      <c r="Y1800" s="4"/>
    </row>
    <row r="1801" spans="20:25" x14ac:dyDescent="0.25">
      <c r="T1801" s="10"/>
      <c r="U1801" s="4"/>
      <c r="V1801" s="4"/>
      <c r="X1801" s="4"/>
      <c r="Y1801" s="4"/>
    </row>
    <row r="1802" spans="20:25" x14ac:dyDescent="0.25">
      <c r="T1802" s="10"/>
      <c r="U1802" s="4"/>
      <c r="V1802" s="4"/>
      <c r="X1802" s="4"/>
      <c r="Y1802" s="4"/>
    </row>
    <row r="1803" spans="20:25" x14ac:dyDescent="0.25">
      <c r="T1803" s="10"/>
      <c r="U1803" s="4"/>
      <c r="V1803" s="4"/>
      <c r="X1803" s="4"/>
      <c r="Y1803" s="4"/>
    </row>
    <row r="1804" spans="20:25" x14ac:dyDescent="0.25">
      <c r="T1804" s="10"/>
      <c r="U1804" s="4"/>
      <c r="V1804" s="4"/>
      <c r="X1804" s="4"/>
      <c r="Y1804" s="4"/>
    </row>
    <row r="1805" spans="20:25" x14ac:dyDescent="0.25">
      <c r="T1805" s="10"/>
      <c r="U1805" s="4"/>
      <c r="V1805" s="4"/>
      <c r="X1805" s="4"/>
      <c r="Y1805" s="4"/>
    </row>
    <row r="1806" spans="20:25" x14ac:dyDescent="0.25">
      <c r="T1806" s="10"/>
      <c r="U1806" s="4"/>
      <c r="V1806" s="4"/>
      <c r="X1806" s="4"/>
      <c r="Y1806" s="4"/>
    </row>
    <row r="1807" spans="20:25" x14ac:dyDescent="0.25">
      <c r="T1807" s="10"/>
      <c r="U1807" s="4"/>
      <c r="V1807" s="4"/>
      <c r="X1807" s="4"/>
      <c r="Y1807" s="4"/>
    </row>
    <row r="1808" spans="20:25" x14ac:dyDescent="0.25">
      <c r="T1808" s="10"/>
      <c r="U1808" s="4"/>
      <c r="V1808" s="4"/>
      <c r="X1808" s="4"/>
      <c r="Y1808" s="4"/>
    </row>
    <row r="1809" spans="20:25" x14ac:dyDescent="0.25">
      <c r="T1809" s="10"/>
      <c r="U1809" s="4"/>
      <c r="V1809" s="4"/>
      <c r="X1809" s="4"/>
      <c r="Y1809" s="4"/>
    </row>
    <row r="1810" spans="20:25" x14ac:dyDescent="0.25">
      <c r="T1810" s="10"/>
      <c r="U1810" s="4"/>
      <c r="V1810" s="4"/>
      <c r="X1810" s="4"/>
      <c r="Y1810" s="4"/>
    </row>
    <row r="1811" spans="20:25" x14ac:dyDescent="0.25">
      <c r="T1811" s="10"/>
      <c r="U1811" s="4"/>
      <c r="V1811" s="4"/>
      <c r="X1811" s="4"/>
      <c r="Y1811" s="4"/>
    </row>
    <row r="1812" spans="20:25" x14ac:dyDescent="0.25">
      <c r="T1812" s="10"/>
      <c r="U1812" s="4"/>
      <c r="V1812" s="4"/>
      <c r="X1812" s="4"/>
      <c r="Y1812" s="4"/>
    </row>
    <row r="1813" spans="20:25" x14ac:dyDescent="0.25">
      <c r="T1813" s="10"/>
      <c r="U1813" s="4"/>
      <c r="V1813" s="4"/>
      <c r="X1813" s="4"/>
      <c r="Y1813" s="4"/>
    </row>
    <row r="1814" spans="20:25" x14ac:dyDescent="0.25">
      <c r="T1814" s="10"/>
      <c r="U1814" s="4"/>
      <c r="V1814" s="4"/>
      <c r="X1814" s="4"/>
      <c r="Y1814" s="4"/>
    </row>
    <row r="1815" spans="20:25" x14ac:dyDescent="0.25">
      <c r="T1815" s="10"/>
      <c r="U1815" s="4"/>
      <c r="V1815" s="4"/>
      <c r="X1815" s="4"/>
      <c r="Y1815" s="4"/>
    </row>
    <row r="1816" spans="20:25" x14ac:dyDescent="0.25">
      <c r="T1816" s="10"/>
      <c r="U1816" s="4"/>
      <c r="V1816" s="4"/>
      <c r="X1816" s="4"/>
      <c r="Y1816" s="4"/>
    </row>
    <row r="1817" spans="20:25" x14ac:dyDescent="0.25">
      <c r="T1817" s="10"/>
      <c r="U1817" s="4"/>
      <c r="V1817" s="4"/>
      <c r="X1817" s="4"/>
      <c r="Y1817" s="4"/>
    </row>
    <row r="1818" spans="20:25" x14ac:dyDescent="0.25">
      <c r="T1818" s="10"/>
      <c r="U1818" s="4"/>
      <c r="V1818" s="4"/>
      <c r="X1818" s="4"/>
      <c r="Y1818" s="4"/>
    </row>
    <row r="1819" spans="20:25" x14ac:dyDescent="0.25">
      <c r="T1819" s="10"/>
      <c r="U1819" s="4"/>
      <c r="V1819" s="4"/>
      <c r="X1819" s="4"/>
      <c r="Y1819" s="4"/>
    </row>
    <row r="1820" spans="20:25" x14ac:dyDescent="0.25">
      <c r="T1820" s="10"/>
      <c r="U1820" s="4"/>
      <c r="V1820" s="4"/>
      <c r="X1820" s="4"/>
      <c r="Y1820" s="4"/>
    </row>
    <row r="1821" spans="20:25" x14ac:dyDescent="0.25">
      <c r="T1821" s="10"/>
      <c r="U1821" s="4"/>
      <c r="V1821" s="4"/>
      <c r="X1821" s="4"/>
      <c r="Y1821" s="4"/>
    </row>
    <row r="1822" spans="20:25" x14ac:dyDescent="0.25">
      <c r="T1822" s="10"/>
      <c r="U1822" s="4"/>
      <c r="V1822" s="4"/>
      <c r="X1822" s="4"/>
      <c r="Y1822" s="4"/>
    </row>
    <row r="1823" spans="20:25" x14ac:dyDescent="0.25">
      <c r="T1823" s="10"/>
      <c r="U1823" s="4"/>
      <c r="V1823" s="4"/>
      <c r="X1823" s="4"/>
      <c r="Y1823" s="4"/>
    </row>
    <row r="1824" spans="20:25" x14ac:dyDescent="0.25">
      <c r="T1824" s="10"/>
      <c r="U1824" s="4"/>
      <c r="V1824" s="4"/>
      <c r="X1824" s="4"/>
      <c r="Y1824" s="4"/>
    </row>
    <row r="1825" spans="20:25" x14ac:dyDescent="0.25">
      <c r="T1825" s="10"/>
      <c r="U1825" s="4"/>
      <c r="V1825" s="4"/>
      <c r="X1825" s="4"/>
      <c r="Y1825" s="4"/>
    </row>
    <row r="1826" spans="20:25" x14ac:dyDescent="0.25">
      <c r="T1826" s="10"/>
      <c r="U1826" s="4"/>
      <c r="V1826" s="4"/>
      <c r="X1826" s="4"/>
      <c r="Y1826" s="4"/>
    </row>
    <row r="1827" spans="20:25" x14ac:dyDescent="0.25">
      <c r="T1827" s="10"/>
      <c r="U1827" s="4"/>
      <c r="V1827" s="4"/>
      <c r="X1827" s="4"/>
      <c r="Y1827" s="4"/>
    </row>
    <row r="1828" spans="20:25" x14ac:dyDescent="0.25">
      <c r="T1828" s="10"/>
      <c r="U1828" s="4"/>
      <c r="V1828" s="4"/>
      <c r="X1828" s="4"/>
      <c r="Y1828" s="4"/>
    </row>
    <row r="1829" spans="20:25" x14ac:dyDescent="0.25">
      <c r="T1829" s="10"/>
      <c r="U1829" s="4"/>
      <c r="V1829" s="4"/>
      <c r="X1829" s="4"/>
      <c r="Y1829" s="4"/>
    </row>
    <row r="1830" spans="20:25" x14ac:dyDescent="0.25">
      <c r="T1830" s="10"/>
      <c r="U1830" s="4"/>
      <c r="V1830" s="4"/>
      <c r="X1830" s="4"/>
      <c r="Y1830" s="4"/>
    </row>
    <row r="1831" spans="20:25" x14ac:dyDescent="0.25">
      <c r="T1831" s="10"/>
      <c r="U1831" s="4"/>
      <c r="V1831" s="4"/>
      <c r="X1831" s="4"/>
      <c r="Y1831" s="4"/>
    </row>
    <row r="1832" spans="20:25" x14ac:dyDescent="0.25">
      <c r="T1832" s="10"/>
      <c r="U1832" s="4"/>
      <c r="V1832" s="4"/>
      <c r="X1832" s="4"/>
      <c r="Y1832" s="4"/>
    </row>
    <row r="1833" spans="20:25" x14ac:dyDescent="0.25">
      <c r="T1833" s="10"/>
      <c r="U1833" s="4"/>
      <c r="V1833" s="4"/>
      <c r="X1833" s="4"/>
      <c r="Y1833" s="4"/>
    </row>
    <row r="1834" spans="20:25" x14ac:dyDescent="0.25">
      <c r="T1834" s="10"/>
      <c r="U1834" s="4"/>
      <c r="V1834" s="4"/>
      <c r="X1834" s="4"/>
      <c r="Y1834" s="4"/>
    </row>
    <row r="1835" spans="20:25" x14ac:dyDescent="0.25">
      <c r="T1835" s="10"/>
      <c r="U1835" s="4"/>
      <c r="V1835" s="4"/>
      <c r="X1835" s="4"/>
      <c r="Y1835" s="4"/>
    </row>
    <row r="1836" spans="20:25" x14ac:dyDescent="0.25">
      <c r="T1836" s="10"/>
      <c r="U1836" s="4"/>
      <c r="V1836" s="4"/>
      <c r="X1836" s="4"/>
      <c r="Y1836" s="4"/>
    </row>
    <row r="1837" spans="20:25" x14ac:dyDescent="0.25">
      <c r="T1837" s="10"/>
      <c r="U1837" s="4"/>
      <c r="V1837" s="4"/>
      <c r="X1837" s="4"/>
      <c r="Y1837" s="4"/>
    </row>
    <row r="1838" spans="20:25" x14ac:dyDescent="0.25">
      <c r="T1838" s="10"/>
      <c r="U1838" s="4"/>
      <c r="V1838" s="4"/>
      <c r="X1838" s="4"/>
      <c r="Y1838" s="4"/>
    </row>
    <row r="1839" spans="20:25" x14ac:dyDescent="0.25">
      <c r="T1839" s="10"/>
      <c r="U1839" s="4"/>
      <c r="V1839" s="4"/>
      <c r="X1839" s="4"/>
      <c r="Y1839" s="4"/>
    </row>
    <row r="1840" spans="20:25" x14ac:dyDescent="0.25">
      <c r="T1840" s="10"/>
      <c r="U1840" s="4"/>
      <c r="V1840" s="4"/>
      <c r="X1840" s="4"/>
      <c r="Y1840" s="4"/>
    </row>
    <row r="1841" spans="20:25" x14ac:dyDescent="0.25">
      <c r="T1841" s="10"/>
      <c r="U1841" s="4"/>
      <c r="V1841" s="4"/>
      <c r="X1841" s="4"/>
      <c r="Y1841" s="4"/>
    </row>
    <row r="1842" spans="20:25" x14ac:dyDescent="0.25">
      <c r="T1842" s="10"/>
      <c r="U1842" s="4"/>
      <c r="V1842" s="4"/>
      <c r="X1842" s="4"/>
      <c r="Y1842" s="4"/>
    </row>
    <row r="1843" spans="20:25" x14ac:dyDescent="0.25">
      <c r="T1843" s="10"/>
      <c r="U1843" s="4"/>
      <c r="V1843" s="4"/>
      <c r="X1843" s="4"/>
      <c r="Y1843" s="4"/>
    </row>
    <row r="1844" spans="20:25" x14ac:dyDescent="0.25">
      <c r="T1844" s="10"/>
      <c r="U1844" s="4"/>
      <c r="V1844" s="4"/>
      <c r="X1844" s="4"/>
      <c r="Y1844" s="4"/>
    </row>
    <row r="1845" spans="20:25" x14ac:dyDescent="0.25">
      <c r="T1845" s="10"/>
      <c r="U1845" s="4"/>
      <c r="V1845" s="4"/>
      <c r="X1845" s="4"/>
      <c r="Y1845" s="4"/>
    </row>
    <row r="1846" spans="20:25" x14ac:dyDescent="0.25">
      <c r="T1846" s="10"/>
      <c r="U1846" s="4"/>
      <c r="V1846" s="4"/>
      <c r="X1846" s="4"/>
      <c r="Y1846" s="4"/>
    </row>
    <row r="1847" spans="20:25" x14ac:dyDescent="0.25">
      <c r="T1847" s="10"/>
      <c r="U1847" s="4"/>
      <c r="V1847" s="4"/>
      <c r="X1847" s="4"/>
      <c r="Y1847" s="4"/>
    </row>
    <row r="1848" spans="20:25" x14ac:dyDescent="0.25">
      <c r="T1848" s="10"/>
      <c r="U1848" s="4"/>
      <c r="V1848" s="4"/>
      <c r="X1848" s="4"/>
      <c r="Y1848" s="4"/>
    </row>
    <row r="1849" spans="20:25" x14ac:dyDescent="0.25">
      <c r="T1849" s="10"/>
      <c r="U1849" s="4"/>
      <c r="V1849" s="4"/>
      <c r="X1849" s="4"/>
      <c r="Y1849" s="4"/>
    </row>
    <row r="1850" spans="20:25" x14ac:dyDescent="0.25">
      <c r="T1850" s="10"/>
      <c r="U1850" s="4"/>
      <c r="V1850" s="4"/>
      <c r="X1850" s="4"/>
      <c r="Y1850" s="4"/>
    </row>
    <row r="1851" spans="20:25" x14ac:dyDescent="0.25">
      <c r="T1851" s="10"/>
      <c r="U1851" s="4"/>
      <c r="V1851" s="4"/>
      <c r="X1851" s="4"/>
      <c r="Y1851" s="4"/>
    </row>
    <row r="1852" spans="20:25" x14ac:dyDescent="0.25">
      <c r="T1852" s="10"/>
      <c r="U1852" s="4"/>
      <c r="V1852" s="4"/>
      <c r="X1852" s="4"/>
      <c r="Y1852" s="4"/>
    </row>
    <row r="1853" spans="20:25" x14ac:dyDescent="0.25">
      <c r="T1853" s="10"/>
      <c r="U1853" s="4"/>
      <c r="V1853" s="4"/>
      <c r="X1853" s="4"/>
      <c r="Y1853" s="4"/>
    </row>
    <row r="1854" spans="20:25" x14ac:dyDescent="0.25">
      <c r="T1854" s="10"/>
      <c r="U1854" s="4"/>
      <c r="V1854" s="4"/>
      <c r="X1854" s="4"/>
      <c r="Y1854" s="4"/>
    </row>
    <row r="1855" spans="20:25" x14ac:dyDescent="0.25">
      <c r="T1855" s="10"/>
      <c r="U1855" s="4"/>
      <c r="V1855" s="4"/>
      <c r="X1855" s="4"/>
      <c r="Y1855" s="4"/>
    </row>
    <row r="1856" spans="20:25" x14ac:dyDescent="0.25">
      <c r="T1856" s="10"/>
      <c r="U1856" s="4"/>
      <c r="V1856" s="4"/>
      <c r="X1856" s="4"/>
      <c r="Y1856" s="4"/>
    </row>
    <row r="1857" spans="20:25" x14ac:dyDescent="0.25">
      <c r="T1857" s="10"/>
      <c r="U1857" s="4"/>
      <c r="V1857" s="4"/>
      <c r="X1857" s="4"/>
      <c r="Y1857" s="4"/>
    </row>
    <row r="1858" spans="20:25" x14ac:dyDescent="0.25">
      <c r="T1858" s="10"/>
      <c r="U1858" s="4"/>
      <c r="V1858" s="4"/>
      <c r="X1858" s="4"/>
      <c r="Y1858" s="4"/>
    </row>
    <row r="1859" spans="20:25" x14ac:dyDescent="0.25">
      <c r="T1859" s="10"/>
      <c r="U1859" s="4"/>
      <c r="V1859" s="4"/>
      <c r="X1859" s="4"/>
      <c r="Y1859" s="4"/>
    </row>
    <row r="1860" spans="20:25" x14ac:dyDescent="0.25">
      <c r="T1860" s="10"/>
      <c r="U1860" s="4"/>
      <c r="V1860" s="4"/>
      <c r="X1860" s="4"/>
      <c r="Y1860" s="4"/>
    </row>
    <row r="1861" spans="20:25" x14ac:dyDescent="0.25">
      <c r="T1861" s="10"/>
      <c r="U1861" s="4"/>
      <c r="V1861" s="4"/>
      <c r="X1861" s="4"/>
      <c r="Y1861" s="4"/>
    </row>
    <row r="1862" spans="20:25" x14ac:dyDescent="0.25">
      <c r="T1862" s="10"/>
      <c r="U1862" s="4"/>
      <c r="V1862" s="4"/>
      <c r="X1862" s="4"/>
      <c r="Y1862" s="4"/>
    </row>
    <row r="1863" spans="20:25" x14ac:dyDescent="0.25">
      <c r="T1863" s="10"/>
      <c r="U1863" s="4"/>
      <c r="V1863" s="4"/>
      <c r="X1863" s="4"/>
      <c r="Y1863" s="4"/>
    </row>
    <row r="1864" spans="20:25" x14ac:dyDescent="0.25">
      <c r="T1864" s="10"/>
      <c r="U1864" s="4"/>
      <c r="V1864" s="4"/>
      <c r="X1864" s="4"/>
      <c r="Y1864" s="4"/>
    </row>
    <row r="1865" spans="20:25" x14ac:dyDescent="0.25">
      <c r="T1865" s="10"/>
      <c r="U1865" s="4"/>
      <c r="V1865" s="4"/>
      <c r="X1865" s="4"/>
      <c r="Y1865" s="4"/>
    </row>
    <row r="1866" spans="20:25" x14ac:dyDescent="0.25">
      <c r="T1866" s="10"/>
      <c r="U1866" s="4"/>
      <c r="V1866" s="4"/>
      <c r="X1866" s="4"/>
      <c r="Y1866" s="4"/>
    </row>
    <row r="1867" spans="20:25" x14ac:dyDescent="0.25">
      <c r="T1867" s="10"/>
      <c r="U1867" s="4"/>
      <c r="V1867" s="4"/>
      <c r="X1867" s="4"/>
      <c r="Y1867" s="4"/>
    </row>
    <row r="1868" spans="20:25" x14ac:dyDescent="0.25">
      <c r="T1868" s="10"/>
      <c r="U1868" s="4"/>
      <c r="V1868" s="4"/>
      <c r="X1868" s="4"/>
      <c r="Y1868" s="4"/>
    </row>
    <row r="1869" spans="20:25" x14ac:dyDescent="0.25">
      <c r="T1869" s="10"/>
      <c r="U1869" s="4"/>
      <c r="V1869" s="4"/>
      <c r="X1869" s="4"/>
      <c r="Y1869" s="4"/>
    </row>
    <row r="1870" spans="20:25" x14ac:dyDescent="0.25">
      <c r="T1870" s="10"/>
      <c r="U1870" s="4"/>
      <c r="V1870" s="4"/>
      <c r="X1870" s="4"/>
      <c r="Y1870" s="4"/>
    </row>
    <row r="1871" spans="20:25" x14ac:dyDescent="0.25">
      <c r="T1871" s="10"/>
      <c r="U1871" s="4"/>
      <c r="V1871" s="4"/>
      <c r="X1871" s="4"/>
      <c r="Y1871" s="4"/>
    </row>
    <row r="1872" spans="20:25" x14ac:dyDescent="0.25">
      <c r="T1872" s="10"/>
      <c r="U1872" s="4"/>
      <c r="V1872" s="4"/>
      <c r="X1872" s="4"/>
      <c r="Y1872" s="4"/>
    </row>
    <row r="1873" spans="20:25" x14ac:dyDescent="0.25">
      <c r="T1873" s="10"/>
      <c r="U1873" s="4"/>
      <c r="V1873" s="4"/>
      <c r="X1873" s="4"/>
      <c r="Y1873" s="4"/>
    </row>
    <row r="1874" spans="20:25" x14ac:dyDescent="0.25">
      <c r="T1874" s="10"/>
      <c r="U1874" s="4"/>
      <c r="V1874" s="4"/>
      <c r="X1874" s="4"/>
      <c r="Y1874" s="4"/>
    </row>
    <row r="1875" spans="20:25" x14ac:dyDescent="0.25">
      <c r="T1875" s="10"/>
      <c r="U1875" s="4"/>
      <c r="V1875" s="4"/>
      <c r="X1875" s="4"/>
      <c r="Y1875" s="4"/>
    </row>
    <row r="1876" spans="20:25" x14ac:dyDescent="0.25">
      <c r="T1876" s="10"/>
      <c r="U1876" s="4"/>
      <c r="V1876" s="4"/>
      <c r="X1876" s="4"/>
      <c r="Y1876" s="4"/>
    </row>
    <row r="1877" spans="20:25" x14ac:dyDescent="0.25">
      <c r="T1877" s="10"/>
      <c r="U1877" s="4"/>
      <c r="V1877" s="4"/>
      <c r="X1877" s="4"/>
      <c r="Y1877" s="4"/>
    </row>
    <row r="1878" spans="20:25" x14ac:dyDescent="0.25">
      <c r="T1878" s="10"/>
      <c r="U1878" s="4"/>
      <c r="V1878" s="4"/>
      <c r="X1878" s="4"/>
      <c r="Y1878" s="4"/>
    </row>
    <row r="1879" spans="20:25" x14ac:dyDescent="0.25">
      <c r="T1879" s="10"/>
      <c r="U1879" s="4"/>
      <c r="V1879" s="4"/>
      <c r="X1879" s="4"/>
      <c r="Y1879" s="4"/>
    </row>
    <row r="1880" spans="20:25" x14ac:dyDescent="0.25">
      <c r="T1880" s="10"/>
      <c r="U1880" s="4"/>
      <c r="V1880" s="4"/>
      <c r="X1880" s="4"/>
      <c r="Y1880" s="4"/>
    </row>
    <row r="1881" spans="20:25" x14ac:dyDescent="0.25">
      <c r="T1881" s="10"/>
      <c r="U1881" s="4"/>
      <c r="V1881" s="4"/>
      <c r="X1881" s="4"/>
      <c r="Y1881" s="4"/>
    </row>
    <row r="1882" spans="20:25" x14ac:dyDescent="0.25">
      <c r="T1882" s="10"/>
      <c r="U1882" s="4"/>
      <c r="V1882" s="4"/>
      <c r="X1882" s="4"/>
      <c r="Y1882" s="4"/>
    </row>
    <row r="1883" spans="20:25" x14ac:dyDescent="0.25">
      <c r="T1883" s="10"/>
      <c r="U1883" s="4"/>
      <c r="V1883" s="4"/>
      <c r="X1883" s="4"/>
      <c r="Y1883" s="4"/>
    </row>
    <row r="1884" spans="20:25" x14ac:dyDescent="0.25">
      <c r="T1884" s="10"/>
      <c r="U1884" s="4"/>
      <c r="V1884" s="4"/>
      <c r="X1884" s="4"/>
      <c r="Y1884" s="4"/>
    </row>
    <row r="1885" spans="20:25" x14ac:dyDescent="0.25">
      <c r="T1885" s="10"/>
      <c r="U1885" s="4"/>
      <c r="V1885" s="4"/>
      <c r="X1885" s="4"/>
      <c r="Y1885" s="4"/>
    </row>
    <row r="1886" spans="20:25" x14ac:dyDescent="0.25">
      <c r="T1886" s="10"/>
      <c r="U1886" s="4"/>
      <c r="V1886" s="4"/>
      <c r="X1886" s="4"/>
      <c r="Y1886" s="4"/>
    </row>
    <row r="1887" spans="20:25" x14ac:dyDescent="0.25">
      <c r="T1887" s="10"/>
      <c r="U1887" s="4"/>
      <c r="V1887" s="4"/>
      <c r="X1887" s="4"/>
      <c r="Y1887" s="4"/>
    </row>
    <row r="1888" spans="20:25" x14ac:dyDescent="0.25">
      <c r="T1888" s="10"/>
      <c r="U1888" s="4"/>
      <c r="V1888" s="4"/>
      <c r="X1888" s="4"/>
      <c r="Y1888" s="4"/>
    </row>
    <row r="1889" spans="20:25" x14ac:dyDescent="0.25">
      <c r="T1889" s="10"/>
      <c r="U1889" s="4"/>
      <c r="V1889" s="4"/>
      <c r="X1889" s="4"/>
      <c r="Y1889" s="4"/>
    </row>
    <row r="1890" spans="20:25" x14ac:dyDescent="0.25">
      <c r="T1890" s="10"/>
      <c r="U1890" s="4"/>
      <c r="V1890" s="4"/>
      <c r="X1890" s="4"/>
      <c r="Y1890" s="4"/>
    </row>
    <row r="1891" spans="20:25" x14ac:dyDescent="0.25">
      <c r="T1891" s="10"/>
      <c r="U1891" s="4"/>
      <c r="V1891" s="4"/>
      <c r="X1891" s="4"/>
      <c r="Y1891" s="4"/>
    </row>
    <row r="1892" spans="20:25" x14ac:dyDescent="0.25">
      <c r="T1892" s="10"/>
      <c r="U1892" s="4"/>
      <c r="V1892" s="4"/>
      <c r="X1892" s="4"/>
      <c r="Y1892" s="4"/>
    </row>
    <row r="1893" spans="20:25" x14ac:dyDescent="0.25">
      <c r="T1893" s="10"/>
      <c r="U1893" s="4"/>
      <c r="V1893" s="4"/>
      <c r="X1893" s="4"/>
      <c r="Y1893" s="4"/>
    </row>
    <row r="1894" spans="20:25" x14ac:dyDescent="0.25">
      <c r="T1894" s="10"/>
      <c r="U1894" s="4"/>
      <c r="V1894" s="4"/>
      <c r="X1894" s="4"/>
      <c r="Y1894" s="4"/>
    </row>
    <row r="1895" spans="20:25" x14ac:dyDescent="0.25">
      <c r="T1895" s="10"/>
      <c r="U1895" s="4"/>
      <c r="V1895" s="4"/>
      <c r="X1895" s="4"/>
      <c r="Y1895" s="4"/>
    </row>
    <row r="1896" spans="20:25" x14ac:dyDescent="0.25">
      <c r="T1896" s="10"/>
      <c r="U1896" s="4"/>
      <c r="V1896" s="4"/>
      <c r="X1896" s="4"/>
      <c r="Y1896" s="4"/>
    </row>
    <row r="1897" spans="20:25" x14ac:dyDescent="0.25">
      <c r="T1897" s="10"/>
      <c r="U1897" s="4"/>
      <c r="V1897" s="4"/>
      <c r="X1897" s="4"/>
      <c r="Y1897" s="4"/>
    </row>
    <row r="1898" spans="20:25" x14ac:dyDescent="0.25">
      <c r="T1898" s="10"/>
      <c r="U1898" s="4"/>
      <c r="V1898" s="4"/>
      <c r="X1898" s="4"/>
      <c r="Y1898" s="4"/>
    </row>
    <row r="1899" spans="20:25" x14ac:dyDescent="0.25">
      <c r="T1899" s="10"/>
      <c r="U1899" s="4"/>
      <c r="V1899" s="4"/>
      <c r="X1899" s="4"/>
      <c r="Y1899" s="4"/>
    </row>
    <row r="1900" spans="20:25" x14ac:dyDescent="0.25">
      <c r="T1900" s="10"/>
      <c r="U1900" s="4"/>
      <c r="V1900" s="4"/>
      <c r="X1900" s="4"/>
      <c r="Y1900" s="4"/>
    </row>
    <row r="1901" spans="20:25" x14ac:dyDescent="0.25">
      <c r="T1901" s="10"/>
      <c r="U1901" s="4"/>
      <c r="V1901" s="4"/>
      <c r="X1901" s="4"/>
      <c r="Y1901" s="4"/>
    </row>
    <row r="1902" spans="20:25" x14ac:dyDescent="0.25">
      <c r="T1902" s="10"/>
      <c r="U1902" s="4"/>
      <c r="V1902" s="4"/>
      <c r="X1902" s="4"/>
      <c r="Y1902" s="4"/>
    </row>
    <row r="1903" spans="20:25" x14ac:dyDescent="0.25">
      <c r="T1903" s="10"/>
      <c r="U1903" s="4"/>
      <c r="V1903" s="4"/>
      <c r="X1903" s="4"/>
      <c r="Y1903" s="4"/>
    </row>
    <row r="1904" spans="20:25" x14ac:dyDescent="0.25">
      <c r="T1904" s="10"/>
      <c r="U1904" s="4"/>
      <c r="V1904" s="4"/>
      <c r="X1904" s="4"/>
      <c r="Y1904" s="4"/>
    </row>
    <row r="1905" spans="20:25" x14ac:dyDescent="0.25">
      <c r="T1905" s="10"/>
      <c r="U1905" s="4"/>
      <c r="V1905" s="4"/>
      <c r="X1905" s="4"/>
      <c r="Y1905" s="4"/>
    </row>
    <row r="1906" spans="20:25" x14ac:dyDescent="0.25">
      <c r="T1906" s="10"/>
      <c r="U1906" s="4"/>
      <c r="V1906" s="4"/>
      <c r="X1906" s="4"/>
      <c r="Y1906" s="4"/>
    </row>
    <row r="1907" spans="20:25" x14ac:dyDescent="0.25">
      <c r="T1907" s="10"/>
      <c r="U1907" s="4"/>
      <c r="V1907" s="4"/>
      <c r="X1907" s="4"/>
      <c r="Y1907" s="4"/>
    </row>
    <row r="1908" spans="20:25" x14ac:dyDescent="0.25">
      <c r="T1908" s="10"/>
      <c r="U1908" s="4"/>
      <c r="V1908" s="4"/>
      <c r="X1908" s="4"/>
      <c r="Y1908" s="4"/>
    </row>
    <row r="1909" spans="20:25" x14ac:dyDescent="0.25">
      <c r="T1909" s="10"/>
      <c r="U1909" s="4"/>
      <c r="V1909" s="4"/>
      <c r="X1909" s="4"/>
      <c r="Y1909" s="4"/>
    </row>
    <row r="1910" spans="20:25" x14ac:dyDescent="0.25">
      <c r="T1910" s="10"/>
      <c r="U1910" s="4"/>
      <c r="V1910" s="4"/>
      <c r="X1910" s="4"/>
      <c r="Y1910" s="4"/>
    </row>
    <row r="1911" spans="20:25" x14ac:dyDescent="0.25">
      <c r="T1911" s="10"/>
      <c r="U1911" s="4"/>
      <c r="V1911" s="4"/>
      <c r="X1911" s="4"/>
      <c r="Y1911" s="4"/>
    </row>
    <row r="1912" spans="20:25" x14ac:dyDescent="0.25">
      <c r="T1912" s="10"/>
      <c r="U1912" s="4"/>
      <c r="V1912" s="4"/>
      <c r="X1912" s="4"/>
      <c r="Y1912" s="4"/>
    </row>
    <row r="1913" spans="20:25" x14ac:dyDescent="0.25">
      <c r="T1913" s="10"/>
      <c r="U1913" s="4"/>
      <c r="V1913" s="4"/>
      <c r="X1913" s="4"/>
      <c r="Y1913" s="4"/>
    </row>
    <row r="1914" spans="20:25" x14ac:dyDescent="0.25">
      <c r="T1914" s="10"/>
      <c r="U1914" s="4"/>
      <c r="V1914" s="4"/>
      <c r="X1914" s="4"/>
      <c r="Y1914" s="4"/>
    </row>
    <row r="1915" spans="20:25" x14ac:dyDescent="0.25">
      <c r="T1915" s="10"/>
      <c r="U1915" s="4"/>
      <c r="V1915" s="4"/>
      <c r="X1915" s="4"/>
      <c r="Y1915" s="4"/>
    </row>
    <row r="1916" spans="20:25" x14ac:dyDescent="0.25">
      <c r="T1916" s="10"/>
      <c r="U1916" s="4"/>
      <c r="V1916" s="4"/>
      <c r="X1916" s="4"/>
      <c r="Y1916" s="4"/>
    </row>
    <row r="1917" spans="20:25" x14ac:dyDescent="0.25">
      <c r="T1917" s="10"/>
      <c r="U1917" s="4"/>
      <c r="V1917" s="4"/>
      <c r="X1917" s="4"/>
      <c r="Y1917" s="4"/>
    </row>
    <row r="1918" spans="20:25" x14ac:dyDescent="0.25">
      <c r="T1918" s="10"/>
      <c r="U1918" s="4"/>
      <c r="V1918" s="4"/>
      <c r="X1918" s="4"/>
      <c r="Y1918" s="4"/>
    </row>
    <row r="1919" spans="20:25" x14ac:dyDescent="0.25">
      <c r="T1919" s="10"/>
      <c r="U1919" s="4"/>
      <c r="V1919" s="4"/>
      <c r="X1919" s="4"/>
      <c r="Y1919" s="4"/>
    </row>
    <row r="1920" spans="20:25" x14ac:dyDescent="0.25">
      <c r="T1920" s="10"/>
      <c r="U1920" s="4"/>
      <c r="V1920" s="4"/>
      <c r="X1920" s="4"/>
      <c r="Y1920" s="4"/>
    </row>
    <row r="1921" spans="20:25" x14ac:dyDescent="0.25">
      <c r="T1921" s="10"/>
      <c r="U1921" s="4"/>
      <c r="V1921" s="4"/>
      <c r="X1921" s="4"/>
      <c r="Y1921" s="4"/>
    </row>
    <row r="1922" spans="20:25" x14ac:dyDescent="0.25">
      <c r="T1922" s="10"/>
      <c r="U1922" s="4"/>
      <c r="V1922" s="4"/>
      <c r="X1922" s="4"/>
      <c r="Y1922" s="4"/>
    </row>
    <row r="1923" spans="20:25" x14ac:dyDescent="0.25">
      <c r="T1923" s="10"/>
      <c r="U1923" s="4"/>
      <c r="V1923" s="4"/>
      <c r="X1923" s="4"/>
      <c r="Y1923" s="4"/>
    </row>
    <row r="1924" spans="20:25" x14ac:dyDescent="0.25">
      <c r="T1924" s="10"/>
      <c r="U1924" s="4"/>
      <c r="V1924" s="4"/>
      <c r="X1924" s="4"/>
      <c r="Y1924" s="4"/>
    </row>
    <row r="1925" spans="20:25" x14ac:dyDescent="0.25">
      <c r="T1925" s="10"/>
      <c r="U1925" s="4"/>
      <c r="V1925" s="4"/>
      <c r="X1925" s="4"/>
      <c r="Y1925" s="4"/>
    </row>
    <row r="1926" spans="20:25" x14ac:dyDescent="0.25">
      <c r="T1926" s="10"/>
      <c r="U1926" s="4"/>
      <c r="V1926" s="4"/>
      <c r="X1926" s="4"/>
      <c r="Y1926" s="4"/>
    </row>
    <row r="1927" spans="20:25" x14ac:dyDescent="0.25">
      <c r="T1927" s="10"/>
      <c r="U1927" s="4"/>
      <c r="V1927" s="4"/>
      <c r="X1927" s="4"/>
      <c r="Y1927" s="4"/>
    </row>
    <row r="1928" spans="20:25" x14ac:dyDescent="0.25">
      <c r="T1928" s="10"/>
      <c r="U1928" s="4"/>
      <c r="V1928" s="4"/>
      <c r="X1928" s="4"/>
      <c r="Y1928" s="4"/>
    </row>
    <row r="1929" spans="20:25" x14ac:dyDescent="0.25">
      <c r="T1929" s="10"/>
      <c r="U1929" s="4"/>
      <c r="V1929" s="4"/>
      <c r="X1929" s="4"/>
      <c r="Y1929" s="4"/>
    </row>
    <row r="1930" spans="20:25" x14ac:dyDescent="0.25">
      <c r="T1930" s="10"/>
      <c r="U1930" s="4"/>
      <c r="V1930" s="4"/>
      <c r="X1930" s="4"/>
      <c r="Y1930" s="4"/>
    </row>
    <row r="1931" spans="20:25" x14ac:dyDescent="0.25">
      <c r="T1931" s="10"/>
      <c r="U1931" s="4"/>
      <c r="V1931" s="4"/>
      <c r="X1931" s="4"/>
      <c r="Y1931" s="4"/>
    </row>
    <row r="1932" spans="20:25" x14ac:dyDescent="0.25">
      <c r="T1932" s="10"/>
      <c r="U1932" s="4"/>
      <c r="V1932" s="4"/>
      <c r="X1932" s="4"/>
      <c r="Y1932" s="4"/>
    </row>
    <row r="1933" spans="20:25" x14ac:dyDescent="0.25">
      <c r="T1933" s="10"/>
      <c r="U1933" s="4"/>
      <c r="V1933" s="4"/>
      <c r="X1933" s="4"/>
      <c r="Y1933" s="4"/>
    </row>
    <row r="1934" spans="20:25" x14ac:dyDescent="0.25">
      <c r="T1934" s="10"/>
      <c r="U1934" s="4"/>
      <c r="V1934" s="4"/>
      <c r="X1934" s="4"/>
      <c r="Y1934" s="4"/>
    </row>
    <row r="1935" spans="20:25" x14ac:dyDescent="0.25">
      <c r="T1935" s="10"/>
      <c r="U1935" s="4"/>
      <c r="V1935" s="4"/>
      <c r="X1935" s="4"/>
      <c r="Y1935" s="4"/>
    </row>
    <row r="1936" spans="20:25" x14ac:dyDescent="0.25">
      <c r="T1936" s="10"/>
      <c r="U1936" s="4"/>
      <c r="V1936" s="4"/>
      <c r="X1936" s="4"/>
      <c r="Y1936" s="4"/>
    </row>
    <row r="1937" spans="20:25" x14ac:dyDescent="0.25">
      <c r="T1937" s="10"/>
      <c r="U1937" s="4"/>
      <c r="V1937" s="4"/>
      <c r="X1937" s="4"/>
      <c r="Y1937" s="4"/>
    </row>
    <row r="1938" spans="20:25" x14ac:dyDescent="0.25">
      <c r="T1938" s="10"/>
      <c r="U1938" s="4"/>
      <c r="V1938" s="4"/>
      <c r="X1938" s="4"/>
      <c r="Y1938" s="4"/>
    </row>
    <row r="1939" spans="20:25" x14ac:dyDescent="0.25">
      <c r="T1939" s="10"/>
      <c r="U1939" s="4"/>
      <c r="V1939" s="4"/>
      <c r="X1939" s="4"/>
      <c r="Y1939" s="4"/>
    </row>
    <row r="1940" spans="20:25" x14ac:dyDescent="0.25">
      <c r="T1940" s="10"/>
      <c r="U1940" s="4"/>
      <c r="V1940" s="4"/>
      <c r="X1940" s="4"/>
      <c r="Y1940" s="4"/>
    </row>
    <row r="1941" spans="20:25" x14ac:dyDescent="0.25">
      <c r="T1941" s="10"/>
      <c r="U1941" s="4"/>
      <c r="V1941" s="4"/>
      <c r="X1941" s="4"/>
      <c r="Y1941" s="4"/>
    </row>
    <row r="1942" spans="20:25" x14ac:dyDescent="0.25">
      <c r="T1942" s="10"/>
      <c r="U1942" s="4"/>
      <c r="V1942" s="4"/>
      <c r="X1942" s="4"/>
      <c r="Y1942" s="4"/>
    </row>
    <row r="1943" spans="20:25" x14ac:dyDescent="0.25">
      <c r="T1943" s="10"/>
      <c r="U1943" s="4"/>
      <c r="V1943" s="4"/>
      <c r="X1943" s="4"/>
      <c r="Y1943" s="4"/>
    </row>
    <row r="1944" spans="20:25" x14ac:dyDescent="0.25">
      <c r="T1944" s="10"/>
      <c r="U1944" s="4"/>
      <c r="V1944" s="4"/>
      <c r="X1944" s="4"/>
      <c r="Y1944" s="4"/>
    </row>
    <row r="1945" spans="20:25" x14ac:dyDescent="0.25">
      <c r="T1945" s="10"/>
      <c r="U1945" s="4"/>
      <c r="V1945" s="4"/>
      <c r="X1945" s="4"/>
      <c r="Y1945" s="4"/>
    </row>
    <row r="1946" spans="20:25" x14ac:dyDescent="0.25">
      <c r="T1946" s="10"/>
      <c r="U1946" s="4"/>
      <c r="V1946" s="4"/>
      <c r="X1946" s="4"/>
      <c r="Y1946" s="4"/>
    </row>
    <row r="1947" spans="20:25" x14ac:dyDescent="0.25">
      <c r="T1947" s="10"/>
      <c r="U1947" s="4"/>
      <c r="V1947" s="4"/>
      <c r="X1947" s="4"/>
      <c r="Y1947" s="4"/>
    </row>
    <row r="1948" spans="20:25" x14ac:dyDescent="0.25">
      <c r="T1948" s="10"/>
      <c r="U1948" s="4"/>
      <c r="V1948" s="4"/>
      <c r="X1948" s="4"/>
      <c r="Y1948" s="4"/>
    </row>
    <row r="1949" spans="20:25" x14ac:dyDescent="0.25">
      <c r="T1949" s="10"/>
      <c r="U1949" s="4"/>
      <c r="V1949" s="4"/>
      <c r="X1949" s="4"/>
      <c r="Y1949" s="4"/>
    </row>
    <row r="1950" spans="20:25" x14ac:dyDescent="0.25">
      <c r="T1950" s="10"/>
      <c r="U1950" s="4"/>
      <c r="V1950" s="4"/>
      <c r="X1950" s="4"/>
      <c r="Y1950" s="4"/>
    </row>
    <row r="1951" spans="20:25" x14ac:dyDescent="0.25">
      <c r="T1951" s="10"/>
      <c r="U1951" s="4"/>
      <c r="V1951" s="4"/>
      <c r="X1951" s="4"/>
      <c r="Y1951" s="4"/>
    </row>
    <row r="1952" spans="20:25" x14ac:dyDescent="0.25">
      <c r="T1952" s="10"/>
      <c r="U1952" s="4"/>
      <c r="V1952" s="4"/>
      <c r="X1952" s="4"/>
      <c r="Y1952" s="4"/>
    </row>
    <row r="1953" spans="20:25" x14ac:dyDescent="0.25">
      <c r="T1953" s="10"/>
      <c r="U1953" s="4"/>
      <c r="V1953" s="4"/>
      <c r="X1953" s="4"/>
      <c r="Y1953" s="4"/>
    </row>
    <row r="1954" spans="20:25" x14ac:dyDescent="0.25">
      <c r="T1954" s="10"/>
      <c r="U1954" s="4"/>
      <c r="V1954" s="4"/>
      <c r="X1954" s="4"/>
      <c r="Y1954" s="4"/>
    </row>
    <row r="1955" spans="20:25" x14ac:dyDescent="0.25">
      <c r="T1955" s="10"/>
      <c r="U1955" s="4"/>
      <c r="V1955" s="4"/>
      <c r="X1955" s="4"/>
      <c r="Y1955" s="4"/>
    </row>
    <row r="1956" spans="20:25" x14ac:dyDescent="0.25">
      <c r="T1956" s="10"/>
      <c r="U1956" s="4"/>
      <c r="V1956" s="4"/>
      <c r="X1956" s="4"/>
      <c r="Y1956" s="4"/>
    </row>
    <row r="1957" spans="20:25" x14ac:dyDescent="0.25">
      <c r="T1957" s="10"/>
      <c r="U1957" s="4"/>
      <c r="V1957" s="4"/>
      <c r="X1957" s="4"/>
      <c r="Y1957" s="4"/>
    </row>
    <row r="1958" spans="20:25" x14ac:dyDescent="0.25">
      <c r="T1958" s="10"/>
      <c r="U1958" s="4"/>
      <c r="V1958" s="4"/>
      <c r="X1958" s="4"/>
      <c r="Y1958" s="4"/>
    </row>
    <row r="1959" spans="20:25" x14ac:dyDescent="0.25">
      <c r="T1959" s="10"/>
      <c r="U1959" s="4"/>
      <c r="V1959" s="4"/>
      <c r="X1959" s="4"/>
      <c r="Y1959" s="4"/>
    </row>
    <row r="1960" spans="20:25" x14ac:dyDescent="0.25">
      <c r="T1960" s="10"/>
      <c r="U1960" s="4"/>
      <c r="V1960" s="4"/>
      <c r="X1960" s="4"/>
      <c r="Y1960" s="4"/>
    </row>
    <row r="1961" spans="20:25" x14ac:dyDescent="0.25">
      <c r="T1961" s="10"/>
      <c r="U1961" s="4"/>
      <c r="V1961" s="4"/>
      <c r="X1961" s="4"/>
      <c r="Y1961" s="4"/>
    </row>
    <row r="1962" spans="20:25" x14ac:dyDescent="0.25">
      <c r="T1962" s="10"/>
      <c r="U1962" s="4"/>
      <c r="V1962" s="4"/>
      <c r="X1962" s="4"/>
      <c r="Y1962" s="4"/>
    </row>
    <row r="1963" spans="20:25" x14ac:dyDescent="0.25">
      <c r="T1963" s="10"/>
      <c r="U1963" s="4"/>
      <c r="V1963" s="4"/>
      <c r="X1963" s="4"/>
      <c r="Y1963" s="4"/>
    </row>
    <row r="1964" spans="20:25" x14ac:dyDescent="0.25">
      <c r="T1964" s="10"/>
      <c r="U1964" s="4"/>
      <c r="V1964" s="4"/>
      <c r="X1964" s="4"/>
      <c r="Y1964" s="4"/>
    </row>
    <row r="1965" spans="20:25" x14ac:dyDescent="0.25">
      <c r="T1965" s="10"/>
      <c r="U1965" s="4"/>
      <c r="V1965" s="4"/>
      <c r="X1965" s="4"/>
      <c r="Y1965" s="4"/>
    </row>
    <row r="1966" spans="20:25" x14ac:dyDescent="0.25">
      <c r="T1966" s="10"/>
      <c r="U1966" s="4"/>
      <c r="V1966" s="4"/>
      <c r="X1966" s="4"/>
      <c r="Y1966" s="4"/>
    </row>
    <row r="1967" spans="20:25" x14ac:dyDescent="0.25">
      <c r="T1967" s="10"/>
      <c r="U1967" s="4"/>
      <c r="V1967" s="4"/>
      <c r="X1967" s="4"/>
      <c r="Y1967" s="4"/>
    </row>
    <row r="1968" spans="20:25" x14ac:dyDescent="0.25">
      <c r="T1968" s="10"/>
      <c r="U1968" s="4"/>
      <c r="V1968" s="4"/>
      <c r="X1968" s="4"/>
      <c r="Y1968" s="4"/>
    </row>
    <row r="1969" spans="20:25" x14ac:dyDescent="0.25">
      <c r="T1969" s="10"/>
      <c r="U1969" s="4"/>
      <c r="V1969" s="4"/>
      <c r="X1969" s="4"/>
      <c r="Y1969" s="4"/>
    </row>
    <row r="1970" spans="20:25" x14ac:dyDescent="0.25">
      <c r="T1970" s="10"/>
      <c r="U1970" s="4"/>
      <c r="V1970" s="4"/>
      <c r="X1970" s="4"/>
      <c r="Y1970" s="4"/>
    </row>
    <row r="1971" spans="20:25" x14ac:dyDescent="0.25">
      <c r="T1971" s="10"/>
      <c r="U1971" s="4"/>
      <c r="V1971" s="4"/>
      <c r="X1971" s="4"/>
      <c r="Y1971" s="4"/>
    </row>
    <row r="1972" spans="20:25" x14ac:dyDescent="0.25">
      <c r="T1972" s="10"/>
      <c r="U1972" s="4"/>
      <c r="V1972" s="4"/>
      <c r="X1972" s="4"/>
      <c r="Y1972" s="4"/>
    </row>
    <row r="1973" spans="20:25" x14ac:dyDescent="0.25">
      <c r="T1973" s="10"/>
      <c r="U1973" s="4"/>
      <c r="V1973" s="4"/>
      <c r="X1973" s="4"/>
      <c r="Y1973" s="4"/>
    </row>
    <row r="1974" spans="20:25" x14ac:dyDescent="0.25">
      <c r="T1974" s="10"/>
      <c r="U1974" s="4"/>
      <c r="V1974" s="4"/>
      <c r="X1974" s="4"/>
      <c r="Y1974" s="4"/>
    </row>
    <row r="1975" spans="20:25" x14ac:dyDescent="0.25">
      <c r="T1975" s="10"/>
      <c r="U1975" s="4"/>
      <c r="V1975" s="4"/>
      <c r="X1975" s="4"/>
      <c r="Y1975" s="4"/>
    </row>
    <row r="1976" spans="20:25" x14ac:dyDescent="0.25">
      <c r="T1976" s="10"/>
      <c r="U1976" s="4"/>
      <c r="V1976" s="4"/>
      <c r="X1976" s="4"/>
      <c r="Y1976" s="4"/>
    </row>
    <row r="1977" spans="20:25" x14ac:dyDescent="0.25">
      <c r="T1977" s="10"/>
      <c r="U1977" s="4"/>
      <c r="V1977" s="4"/>
      <c r="X1977" s="4"/>
      <c r="Y1977" s="4"/>
    </row>
    <row r="1978" spans="20:25" x14ac:dyDescent="0.25">
      <c r="T1978" s="10"/>
      <c r="U1978" s="4"/>
      <c r="V1978" s="4"/>
      <c r="X1978" s="4"/>
      <c r="Y1978" s="4"/>
    </row>
    <row r="1979" spans="20:25" x14ac:dyDescent="0.25">
      <c r="T1979" s="10"/>
      <c r="U1979" s="4"/>
      <c r="V1979" s="4"/>
      <c r="X1979" s="4"/>
      <c r="Y1979" s="4"/>
    </row>
    <row r="1980" spans="20:25" x14ac:dyDescent="0.25">
      <c r="T1980" s="10"/>
      <c r="U1980" s="4"/>
      <c r="V1980" s="4"/>
      <c r="X1980" s="4"/>
      <c r="Y1980" s="4"/>
    </row>
    <row r="1981" spans="20:25" x14ac:dyDescent="0.25">
      <c r="T1981" s="10"/>
      <c r="U1981" s="4"/>
      <c r="V1981" s="4"/>
      <c r="X1981" s="4"/>
      <c r="Y1981" s="4"/>
    </row>
    <row r="1982" spans="20:25" x14ac:dyDescent="0.25">
      <c r="T1982" s="10"/>
      <c r="U1982" s="4"/>
      <c r="V1982" s="4"/>
      <c r="X1982" s="4"/>
      <c r="Y1982" s="4"/>
    </row>
    <row r="1983" spans="20:25" x14ac:dyDescent="0.25">
      <c r="T1983" s="10"/>
      <c r="U1983" s="4"/>
      <c r="V1983" s="4"/>
      <c r="X1983" s="4"/>
      <c r="Y1983" s="4"/>
    </row>
    <row r="1984" spans="20:25" x14ac:dyDescent="0.25">
      <c r="T1984" s="10"/>
      <c r="U1984" s="4"/>
      <c r="V1984" s="4"/>
      <c r="X1984" s="4"/>
      <c r="Y1984" s="4"/>
    </row>
    <row r="1985" spans="20:25" x14ac:dyDescent="0.25">
      <c r="T1985" s="10"/>
      <c r="U1985" s="4"/>
      <c r="V1985" s="4"/>
      <c r="X1985" s="4"/>
      <c r="Y1985" s="4"/>
    </row>
    <row r="1986" spans="20:25" x14ac:dyDescent="0.25">
      <c r="T1986" s="10"/>
      <c r="U1986" s="4"/>
      <c r="V1986" s="4"/>
      <c r="X1986" s="4"/>
      <c r="Y1986" s="4"/>
    </row>
    <row r="1987" spans="20:25" x14ac:dyDescent="0.25">
      <c r="T1987" s="10"/>
      <c r="U1987" s="4"/>
      <c r="V1987" s="4"/>
      <c r="X1987" s="4"/>
      <c r="Y1987" s="4"/>
    </row>
    <row r="1988" spans="20:25" x14ac:dyDescent="0.25">
      <c r="T1988" s="10"/>
      <c r="U1988" s="4"/>
      <c r="V1988" s="4"/>
      <c r="X1988" s="4"/>
      <c r="Y1988" s="4"/>
    </row>
    <row r="1989" spans="20:25" x14ac:dyDescent="0.25">
      <c r="T1989" s="10"/>
      <c r="U1989" s="4"/>
      <c r="V1989" s="4"/>
      <c r="X1989" s="4"/>
      <c r="Y1989" s="4"/>
    </row>
    <row r="1990" spans="20:25" x14ac:dyDescent="0.25">
      <c r="T1990" s="10"/>
      <c r="U1990" s="4"/>
      <c r="V1990" s="4"/>
      <c r="X1990" s="4"/>
      <c r="Y1990" s="4"/>
    </row>
    <row r="1991" spans="20:25" x14ac:dyDescent="0.25">
      <c r="T1991" s="10"/>
      <c r="U1991" s="4"/>
      <c r="V1991" s="4"/>
      <c r="X1991" s="4"/>
      <c r="Y1991" s="4"/>
    </row>
    <row r="1992" spans="20:25" x14ac:dyDescent="0.25">
      <c r="T1992" s="10"/>
      <c r="U1992" s="4"/>
      <c r="V1992" s="4"/>
      <c r="X1992" s="4"/>
      <c r="Y1992" s="4"/>
    </row>
    <row r="1993" spans="20:25" x14ac:dyDescent="0.25">
      <c r="T1993" s="10"/>
      <c r="U1993" s="4"/>
      <c r="V1993" s="4"/>
      <c r="X1993" s="4"/>
      <c r="Y1993" s="4"/>
    </row>
    <row r="1994" spans="20:25" x14ac:dyDescent="0.25">
      <c r="T1994" s="10"/>
      <c r="U1994" s="4"/>
      <c r="V1994" s="4"/>
      <c r="X1994" s="4"/>
      <c r="Y1994" s="4"/>
    </row>
    <row r="1995" spans="20:25" x14ac:dyDescent="0.25">
      <c r="T1995" s="10"/>
      <c r="U1995" s="4"/>
      <c r="V1995" s="4"/>
      <c r="X1995" s="4"/>
      <c r="Y1995" s="4"/>
    </row>
    <row r="1996" spans="20:25" x14ac:dyDescent="0.25">
      <c r="T1996" s="10"/>
      <c r="U1996" s="4"/>
      <c r="V1996" s="4"/>
      <c r="X1996" s="4"/>
      <c r="Y1996" s="4"/>
    </row>
    <row r="1997" spans="20:25" x14ac:dyDescent="0.25">
      <c r="T1997" s="10"/>
      <c r="U1997" s="4"/>
      <c r="V1997" s="4"/>
      <c r="X1997" s="4"/>
      <c r="Y1997" s="4"/>
    </row>
    <row r="1998" spans="20:25" x14ac:dyDescent="0.25">
      <c r="T1998" s="10"/>
      <c r="U1998" s="4"/>
      <c r="V1998" s="4"/>
      <c r="X1998" s="4"/>
      <c r="Y1998" s="4"/>
    </row>
    <row r="1999" spans="20:25" x14ac:dyDescent="0.25">
      <c r="T1999" s="10"/>
      <c r="U1999" s="4"/>
      <c r="V1999" s="4"/>
      <c r="X1999" s="4"/>
      <c r="Y1999" s="4"/>
    </row>
    <row r="2000" spans="20:25" x14ac:dyDescent="0.25">
      <c r="T2000" s="10"/>
      <c r="U2000" s="4"/>
      <c r="V2000" s="4"/>
      <c r="X2000" s="4"/>
      <c r="Y2000" s="4"/>
    </row>
    <row r="2001" spans="20:25" x14ac:dyDescent="0.25">
      <c r="T2001" s="10"/>
      <c r="U2001" s="4"/>
      <c r="V2001" s="4"/>
      <c r="X2001" s="4"/>
      <c r="Y2001" s="4"/>
    </row>
    <row r="2002" spans="20:25" x14ac:dyDescent="0.25">
      <c r="T2002" s="10"/>
      <c r="U2002" s="4"/>
      <c r="V2002" s="4"/>
      <c r="X2002" s="4"/>
      <c r="Y2002" s="4"/>
    </row>
    <row r="2003" spans="20:25" x14ac:dyDescent="0.25">
      <c r="T2003" s="10"/>
      <c r="U2003" s="4"/>
      <c r="V2003" s="4"/>
      <c r="X2003" s="4"/>
      <c r="Y2003" s="4"/>
    </row>
    <row r="2004" spans="20:25" x14ac:dyDescent="0.25">
      <c r="T2004" s="10"/>
      <c r="U2004" s="4"/>
      <c r="V2004" s="4"/>
      <c r="X2004" s="4"/>
      <c r="Y2004" s="4"/>
    </row>
    <row r="2005" spans="20:25" x14ac:dyDescent="0.25">
      <c r="T2005" s="10"/>
      <c r="U2005" s="4"/>
      <c r="V2005" s="4"/>
      <c r="X2005" s="4"/>
      <c r="Y2005" s="4"/>
    </row>
    <row r="2006" spans="20:25" x14ac:dyDescent="0.25">
      <c r="T2006" s="10"/>
      <c r="U2006" s="4"/>
      <c r="V2006" s="4"/>
      <c r="X2006" s="4"/>
      <c r="Y2006" s="4"/>
    </row>
    <row r="2007" spans="20:25" x14ac:dyDescent="0.25">
      <c r="T2007" s="10"/>
      <c r="U2007" s="4"/>
      <c r="V2007" s="4"/>
      <c r="X2007" s="4"/>
      <c r="Y2007" s="4"/>
    </row>
    <row r="2008" spans="20:25" x14ac:dyDescent="0.25">
      <c r="T2008" s="10"/>
      <c r="U2008" s="4"/>
      <c r="V2008" s="4"/>
      <c r="X2008" s="4"/>
      <c r="Y2008" s="4"/>
    </row>
    <row r="2009" spans="20:25" x14ac:dyDescent="0.25">
      <c r="T2009" s="10"/>
      <c r="U2009" s="4"/>
      <c r="V2009" s="4"/>
      <c r="X2009" s="4"/>
      <c r="Y2009" s="4"/>
    </row>
    <row r="2010" spans="20:25" x14ac:dyDescent="0.25">
      <c r="T2010" s="10"/>
      <c r="U2010" s="4"/>
      <c r="V2010" s="4"/>
      <c r="X2010" s="4"/>
      <c r="Y2010" s="4"/>
    </row>
    <row r="2011" spans="20:25" x14ac:dyDescent="0.25">
      <c r="T2011" s="10"/>
      <c r="U2011" s="4"/>
      <c r="V2011" s="4"/>
      <c r="X2011" s="4"/>
      <c r="Y2011" s="4"/>
    </row>
    <row r="2012" spans="20:25" x14ac:dyDescent="0.25">
      <c r="T2012" s="10"/>
      <c r="U2012" s="4"/>
      <c r="V2012" s="4"/>
      <c r="X2012" s="4"/>
      <c r="Y2012" s="4"/>
    </row>
    <row r="2013" spans="20:25" x14ac:dyDescent="0.25">
      <c r="T2013" s="10"/>
      <c r="U2013" s="4"/>
      <c r="V2013" s="4"/>
      <c r="X2013" s="4"/>
      <c r="Y2013" s="4"/>
    </row>
    <row r="2014" spans="20:25" x14ac:dyDescent="0.25">
      <c r="T2014" s="10"/>
      <c r="U2014" s="4"/>
      <c r="V2014" s="4"/>
      <c r="X2014" s="4"/>
      <c r="Y2014" s="4"/>
    </row>
    <row r="2015" spans="20:25" x14ac:dyDescent="0.25">
      <c r="T2015" s="10"/>
      <c r="U2015" s="4"/>
      <c r="V2015" s="4"/>
      <c r="X2015" s="4"/>
      <c r="Y2015" s="4"/>
    </row>
    <row r="2016" spans="20:25" x14ac:dyDescent="0.25">
      <c r="T2016" s="10"/>
      <c r="U2016" s="4"/>
      <c r="V2016" s="4"/>
      <c r="X2016" s="4"/>
      <c r="Y2016" s="4"/>
    </row>
    <row r="2017" spans="20:25" x14ac:dyDescent="0.25">
      <c r="T2017" s="10"/>
      <c r="U2017" s="4"/>
      <c r="V2017" s="4"/>
      <c r="X2017" s="4"/>
      <c r="Y2017" s="4"/>
    </row>
    <row r="2018" spans="20:25" x14ac:dyDescent="0.25">
      <c r="T2018" s="10"/>
      <c r="U2018" s="4"/>
      <c r="V2018" s="4"/>
      <c r="X2018" s="4"/>
      <c r="Y2018" s="4"/>
    </row>
    <row r="2019" spans="20:25" x14ac:dyDescent="0.25">
      <c r="T2019" s="10"/>
      <c r="U2019" s="4"/>
      <c r="V2019" s="4"/>
      <c r="X2019" s="4"/>
      <c r="Y2019" s="4"/>
    </row>
    <row r="2020" spans="20:25" x14ac:dyDescent="0.25">
      <c r="T2020" s="10"/>
      <c r="U2020" s="4"/>
      <c r="V2020" s="4"/>
      <c r="X2020" s="4"/>
      <c r="Y2020" s="4"/>
    </row>
    <row r="2021" spans="20:25" x14ac:dyDescent="0.25">
      <c r="T2021" s="10"/>
      <c r="U2021" s="4"/>
      <c r="V2021" s="4"/>
      <c r="X2021" s="4"/>
      <c r="Y2021" s="4"/>
    </row>
    <row r="2022" spans="20:25" x14ac:dyDescent="0.25">
      <c r="T2022" s="10"/>
      <c r="U2022" s="4"/>
      <c r="V2022" s="4"/>
      <c r="X2022" s="4"/>
      <c r="Y2022" s="4"/>
    </row>
    <row r="2023" spans="20:25" x14ac:dyDescent="0.25">
      <c r="T2023" s="10"/>
      <c r="U2023" s="4"/>
      <c r="V2023" s="4"/>
      <c r="X2023" s="4"/>
      <c r="Y2023" s="4"/>
    </row>
    <row r="2024" spans="20:25" x14ac:dyDescent="0.25">
      <c r="T2024" s="10"/>
      <c r="U2024" s="4"/>
      <c r="V2024" s="4"/>
      <c r="X2024" s="4"/>
      <c r="Y2024" s="4"/>
    </row>
    <row r="2025" spans="20:25" x14ac:dyDescent="0.25">
      <c r="T2025" s="10"/>
      <c r="U2025" s="4"/>
      <c r="V2025" s="4"/>
      <c r="X2025" s="4"/>
      <c r="Y2025" s="4"/>
    </row>
    <row r="2026" spans="20:25" x14ac:dyDescent="0.25">
      <c r="T2026" s="10"/>
      <c r="U2026" s="4"/>
      <c r="V2026" s="4"/>
      <c r="X2026" s="4"/>
      <c r="Y2026" s="4"/>
    </row>
    <row r="2027" spans="20:25" x14ac:dyDescent="0.25">
      <c r="T2027" s="10"/>
      <c r="U2027" s="4"/>
      <c r="V2027" s="4"/>
      <c r="X2027" s="4"/>
      <c r="Y2027" s="4"/>
    </row>
    <row r="2028" spans="20:25" x14ac:dyDescent="0.25">
      <c r="T2028" s="10"/>
      <c r="U2028" s="4"/>
      <c r="V2028" s="4"/>
      <c r="X2028" s="4"/>
      <c r="Y2028" s="4"/>
    </row>
    <row r="2029" spans="20:25" x14ac:dyDescent="0.25">
      <c r="T2029" s="10"/>
      <c r="U2029" s="4"/>
      <c r="V2029" s="4"/>
      <c r="X2029" s="4"/>
      <c r="Y2029" s="4"/>
    </row>
    <row r="2030" spans="20:25" x14ac:dyDescent="0.25">
      <c r="T2030" s="10"/>
      <c r="U2030" s="4"/>
      <c r="V2030" s="4"/>
      <c r="X2030" s="4"/>
      <c r="Y2030" s="4"/>
    </row>
    <row r="2031" spans="20:25" x14ac:dyDescent="0.25">
      <c r="T2031" s="10"/>
      <c r="U2031" s="4"/>
      <c r="V2031" s="4"/>
      <c r="X2031" s="4"/>
      <c r="Y2031" s="4"/>
    </row>
    <row r="2032" spans="20:25" x14ac:dyDescent="0.25">
      <c r="T2032" s="10"/>
      <c r="U2032" s="4"/>
      <c r="V2032" s="4"/>
      <c r="X2032" s="4"/>
      <c r="Y2032" s="4"/>
    </row>
    <row r="2033" spans="20:25" x14ac:dyDescent="0.25">
      <c r="T2033" s="10"/>
      <c r="U2033" s="4"/>
      <c r="V2033" s="4"/>
      <c r="X2033" s="4"/>
      <c r="Y2033" s="4"/>
    </row>
    <row r="2034" spans="20:25" x14ac:dyDescent="0.25">
      <c r="T2034" s="10"/>
      <c r="U2034" s="4"/>
      <c r="V2034" s="4"/>
      <c r="X2034" s="4"/>
      <c r="Y2034" s="4"/>
    </row>
    <row r="2035" spans="20:25" x14ac:dyDescent="0.25">
      <c r="T2035" s="10"/>
      <c r="U2035" s="4"/>
      <c r="V2035" s="4"/>
      <c r="X2035" s="4"/>
      <c r="Y2035" s="4"/>
    </row>
    <row r="2036" spans="20:25" x14ac:dyDescent="0.25">
      <c r="T2036" s="10"/>
      <c r="U2036" s="4"/>
      <c r="V2036" s="4"/>
      <c r="X2036" s="4"/>
      <c r="Y2036" s="4"/>
    </row>
    <row r="2037" spans="20:25" x14ac:dyDescent="0.25">
      <c r="T2037" s="10"/>
      <c r="U2037" s="4"/>
      <c r="V2037" s="4"/>
      <c r="X2037" s="4"/>
      <c r="Y2037" s="4"/>
    </row>
    <row r="2038" spans="20:25" x14ac:dyDescent="0.25">
      <c r="T2038" s="10"/>
      <c r="U2038" s="4"/>
      <c r="V2038" s="4"/>
      <c r="X2038" s="4"/>
      <c r="Y2038" s="4"/>
    </row>
    <row r="2039" spans="20:25" x14ac:dyDescent="0.25">
      <c r="T2039" s="10"/>
      <c r="U2039" s="4"/>
      <c r="V2039" s="4"/>
      <c r="X2039" s="4"/>
      <c r="Y2039" s="4"/>
    </row>
    <row r="2040" spans="20:25" x14ac:dyDescent="0.25">
      <c r="T2040" s="10"/>
      <c r="U2040" s="4"/>
      <c r="V2040" s="4"/>
      <c r="X2040" s="4"/>
      <c r="Y2040" s="4"/>
    </row>
    <row r="2041" spans="20:25" x14ac:dyDescent="0.25">
      <c r="T2041" s="10"/>
      <c r="U2041" s="4"/>
      <c r="V2041" s="4"/>
      <c r="X2041" s="4"/>
      <c r="Y2041" s="4"/>
    </row>
    <row r="2042" spans="20:25" x14ac:dyDescent="0.25">
      <c r="T2042" s="10"/>
      <c r="U2042" s="4"/>
      <c r="V2042" s="4"/>
      <c r="X2042" s="4"/>
      <c r="Y2042" s="4"/>
    </row>
    <row r="2043" spans="20:25" x14ac:dyDescent="0.25">
      <c r="T2043" s="10"/>
      <c r="U2043" s="4"/>
      <c r="V2043" s="4"/>
      <c r="X2043" s="4"/>
      <c r="Y2043" s="4"/>
    </row>
    <row r="2044" spans="20:25" x14ac:dyDescent="0.25">
      <c r="T2044" s="10"/>
      <c r="U2044" s="4"/>
      <c r="V2044" s="4"/>
      <c r="X2044" s="4"/>
      <c r="Y2044" s="4"/>
    </row>
    <row r="2045" spans="20:25" x14ac:dyDescent="0.25">
      <c r="T2045" s="10"/>
      <c r="U2045" s="4"/>
      <c r="V2045" s="4"/>
      <c r="X2045" s="4"/>
      <c r="Y2045" s="4"/>
    </row>
    <row r="2046" spans="20:25" x14ac:dyDescent="0.25">
      <c r="T2046" s="10"/>
      <c r="U2046" s="4"/>
      <c r="V2046" s="4"/>
      <c r="X2046" s="4"/>
      <c r="Y2046" s="4"/>
    </row>
    <row r="2047" spans="20:25" x14ac:dyDescent="0.25">
      <c r="T2047" s="10"/>
      <c r="U2047" s="4"/>
      <c r="V2047" s="4"/>
      <c r="X2047" s="4"/>
      <c r="Y2047" s="4"/>
    </row>
    <row r="2048" spans="20:25" x14ac:dyDescent="0.25">
      <c r="T2048" s="10"/>
      <c r="U2048" s="4"/>
      <c r="V2048" s="4"/>
      <c r="X2048" s="4"/>
      <c r="Y2048" s="4"/>
    </row>
    <row r="2049" spans="20:25" x14ac:dyDescent="0.25">
      <c r="T2049" s="10"/>
      <c r="U2049" s="4"/>
      <c r="V2049" s="4"/>
      <c r="X2049" s="4"/>
      <c r="Y2049" s="4"/>
    </row>
    <row r="2050" spans="20:25" x14ac:dyDescent="0.25">
      <c r="T2050" s="10"/>
      <c r="U2050" s="4"/>
      <c r="V2050" s="4"/>
      <c r="X2050" s="4"/>
      <c r="Y2050" s="4"/>
    </row>
    <row r="2051" spans="20:25" x14ac:dyDescent="0.25">
      <c r="T2051" s="10"/>
      <c r="U2051" s="4"/>
      <c r="V2051" s="4"/>
      <c r="X2051" s="4"/>
      <c r="Y2051" s="4"/>
    </row>
    <row r="2052" spans="20:25" x14ac:dyDescent="0.25">
      <c r="T2052" s="10"/>
      <c r="U2052" s="4"/>
      <c r="V2052" s="4"/>
      <c r="X2052" s="4"/>
      <c r="Y2052" s="4"/>
    </row>
    <row r="2053" spans="20:25" x14ac:dyDescent="0.25">
      <c r="T2053" s="10"/>
      <c r="U2053" s="4"/>
      <c r="V2053" s="4"/>
      <c r="X2053" s="4"/>
      <c r="Y2053" s="4"/>
    </row>
    <row r="2054" spans="20:25" x14ac:dyDescent="0.25">
      <c r="T2054" s="10"/>
      <c r="U2054" s="4"/>
      <c r="V2054" s="4"/>
      <c r="X2054" s="4"/>
      <c r="Y2054" s="4"/>
    </row>
    <row r="2055" spans="20:25" x14ac:dyDescent="0.25">
      <c r="T2055" s="10"/>
      <c r="U2055" s="4"/>
      <c r="V2055" s="4"/>
      <c r="X2055" s="4"/>
      <c r="Y2055" s="4"/>
    </row>
    <row r="2056" spans="20:25" x14ac:dyDescent="0.25">
      <c r="T2056" s="10"/>
      <c r="U2056" s="4"/>
      <c r="V2056" s="4"/>
      <c r="X2056" s="4"/>
      <c r="Y2056" s="4"/>
    </row>
    <row r="2057" spans="20:25" x14ac:dyDescent="0.25">
      <c r="T2057" s="10"/>
      <c r="U2057" s="4"/>
      <c r="V2057" s="4"/>
      <c r="X2057" s="4"/>
      <c r="Y2057" s="4"/>
    </row>
    <row r="2058" spans="20:25" x14ac:dyDescent="0.25">
      <c r="T2058" s="10"/>
      <c r="U2058" s="4"/>
      <c r="V2058" s="4"/>
      <c r="X2058" s="4"/>
      <c r="Y2058" s="4"/>
    </row>
    <row r="2059" spans="20:25" x14ac:dyDescent="0.25">
      <c r="T2059" s="10"/>
      <c r="U2059" s="4"/>
      <c r="V2059" s="4"/>
      <c r="X2059" s="4"/>
      <c r="Y2059" s="4"/>
    </row>
    <row r="2060" spans="20:25" x14ac:dyDescent="0.25">
      <c r="T2060" s="10"/>
      <c r="U2060" s="4"/>
      <c r="V2060" s="4"/>
      <c r="X2060" s="4"/>
      <c r="Y2060" s="4"/>
    </row>
    <row r="2061" spans="20:25" x14ac:dyDescent="0.25">
      <c r="T2061" s="10"/>
      <c r="U2061" s="4"/>
      <c r="V2061" s="4"/>
      <c r="X2061" s="4"/>
      <c r="Y2061" s="4"/>
    </row>
    <row r="2062" spans="20:25" x14ac:dyDescent="0.25">
      <c r="T2062" s="10"/>
      <c r="U2062" s="4"/>
      <c r="V2062" s="4"/>
      <c r="X2062" s="4"/>
      <c r="Y2062" s="4"/>
    </row>
    <row r="2063" spans="20:25" x14ac:dyDescent="0.25">
      <c r="T2063" s="10"/>
      <c r="U2063" s="4"/>
      <c r="V2063" s="4"/>
      <c r="X2063" s="4"/>
      <c r="Y2063" s="4"/>
    </row>
    <row r="2064" spans="20:25" x14ac:dyDescent="0.25">
      <c r="T2064" s="10"/>
      <c r="U2064" s="4"/>
      <c r="V2064" s="4"/>
      <c r="X2064" s="4"/>
      <c r="Y2064" s="4"/>
    </row>
    <row r="2065" spans="20:25" x14ac:dyDescent="0.25">
      <c r="T2065" s="10"/>
      <c r="U2065" s="4"/>
      <c r="V2065" s="4"/>
      <c r="X2065" s="4"/>
      <c r="Y2065" s="4"/>
    </row>
    <row r="2066" spans="20:25" x14ac:dyDescent="0.25">
      <c r="T2066" s="10"/>
      <c r="U2066" s="4"/>
      <c r="V2066" s="4"/>
      <c r="X2066" s="4"/>
      <c r="Y2066" s="4"/>
    </row>
    <row r="2067" spans="20:25" x14ac:dyDescent="0.25">
      <c r="T2067" s="10"/>
      <c r="U2067" s="4"/>
      <c r="V2067" s="4"/>
      <c r="X2067" s="4"/>
      <c r="Y2067" s="4"/>
    </row>
    <row r="2068" spans="20:25" x14ac:dyDescent="0.25">
      <c r="T2068" s="10"/>
      <c r="U2068" s="4"/>
      <c r="V2068" s="4"/>
      <c r="X2068" s="4"/>
      <c r="Y2068" s="4"/>
    </row>
    <row r="2069" spans="20:25" x14ac:dyDescent="0.25">
      <c r="T2069" s="10"/>
      <c r="U2069" s="4"/>
      <c r="V2069" s="4"/>
      <c r="X2069" s="4"/>
      <c r="Y2069" s="4"/>
    </row>
    <row r="2070" spans="20:25" x14ac:dyDescent="0.25">
      <c r="T2070" s="10"/>
      <c r="U2070" s="4"/>
      <c r="V2070" s="4"/>
      <c r="X2070" s="4"/>
      <c r="Y2070" s="4"/>
    </row>
    <row r="2071" spans="20:25" x14ac:dyDescent="0.25">
      <c r="T2071" s="10"/>
      <c r="U2071" s="4"/>
      <c r="V2071" s="4"/>
      <c r="X2071" s="4"/>
      <c r="Y2071" s="4"/>
    </row>
    <row r="2072" spans="20:25" x14ac:dyDescent="0.25">
      <c r="T2072" s="10"/>
      <c r="U2072" s="4"/>
      <c r="V2072" s="4"/>
      <c r="X2072" s="4"/>
      <c r="Y2072" s="4"/>
    </row>
    <row r="2073" spans="20:25" x14ac:dyDescent="0.25">
      <c r="T2073" s="10"/>
      <c r="U2073" s="4"/>
      <c r="V2073" s="4"/>
      <c r="X2073" s="4"/>
      <c r="Y2073" s="4"/>
    </row>
    <row r="2074" spans="20:25" x14ac:dyDescent="0.25">
      <c r="T2074" s="10"/>
      <c r="U2074" s="4"/>
      <c r="V2074" s="4"/>
      <c r="X2074" s="4"/>
      <c r="Y2074" s="4"/>
    </row>
    <row r="2075" spans="20:25" x14ac:dyDescent="0.25">
      <c r="T2075" s="10"/>
      <c r="U2075" s="4"/>
      <c r="V2075" s="4"/>
      <c r="X2075" s="4"/>
      <c r="Y2075" s="4"/>
    </row>
    <row r="2076" spans="20:25" x14ac:dyDescent="0.25">
      <c r="T2076" s="10"/>
      <c r="U2076" s="4"/>
      <c r="V2076" s="4"/>
      <c r="X2076" s="4"/>
      <c r="Y2076" s="4"/>
    </row>
    <row r="2077" spans="20:25" x14ac:dyDescent="0.25">
      <c r="T2077" s="10"/>
      <c r="U2077" s="4"/>
      <c r="V2077" s="4"/>
      <c r="X2077" s="4"/>
      <c r="Y2077" s="4"/>
    </row>
    <row r="2078" spans="20:25" x14ac:dyDescent="0.25">
      <c r="T2078" s="10"/>
      <c r="U2078" s="4"/>
      <c r="V2078" s="4"/>
      <c r="X2078" s="4"/>
      <c r="Y2078" s="4"/>
    </row>
    <row r="2079" spans="20:25" x14ac:dyDescent="0.25">
      <c r="T2079" s="10"/>
      <c r="U2079" s="4"/>
      <c r="V2079" s="4"/>
      <c r="X2079" s="4"/>
      <c r="Y2079" s="4"/>
    </row>
    <row r="2080" spans="20:25" x14ac:dyDescent="0.25">
      <c r="T2080" s="10"/>
      <c r="U2080" s="4"/>
      <c r="V2080" s="4"/>
      <c r="X2080" s="4"/>
      <c r="Y2080" s="4"/>
    </row>
    <row r="2081" spans="20:25" x14ac:dyDescent="0.25">
      <c r="T2081" s="10"/>
      <c r="U2081" s="4"/>
      <c r="V2081" s="4"/>
      <c r="X2081" s="4"/>
      <c r="Y2081" s="4"/>
    </row>
    <row r="2082" spans="20:25" x14ac:dyDescent="0.25">
      <c r="T2082" s="10"/>
      <c r="U2082" s="4"/>
      <c r="V2082" s="4"/>
      <c r="X2082" s="4"/>
      <c r="Y2082" s="4"/>
    </row>
    <row r="2083" spans="20:25" x14ac:dyDescent="0.25">
      <c r="T2083" s="10"/>
      <c r="U2083" s="4"/>
      <c r="V2083" s="4"/>
      <c r="X2083" s="4"/>
      <c r="Y2083" s="4"/>
    </row>
    <row r="2084" spans="20:25" x14ac:dyDescent="0.25">
      <c r="T2084" s="10"/>
      <c r="U2084" s="4"/>
      <c r="V2084" s="4"/>
      <c r="X2084" s="4"/>
      <c r="Y2084" s="4"/>
    </row>
    <row r="2085" spans="20:25" x14ac:dyDescent="0.25">
      <c r="T2085" s="10"/>
      <c r="U2085" s="4"/>
      <c r="V2085" s="4"/>
      <c r="X2085" s="4"/>
      <c r="Y2085" s="4"/>
    </row>
    <row r="2086" spans="20:25" x14ac:dyDescent="0.25">
      <c r="T2086" s="10"/>
      <c r="U2086" s="4"/>
      <c r="V2086" s="4"/>
      <c r="X2086" s="4"/>
      <c r="Y2086" s="4"/>
    </row>
    <row r="2087" spans="20:25" x14ac:dyDescent="0.25">
      <c r="T2087" s="10"/>
      <c r="U2087" s="4"/>
      <c r="V2087" s="4"/>
      <c r="X2087" s="4"/>
      <c r="Y2087" s="4"/>
    </row>
    <row r="2088" spans="20:25" x14ac:dyDescent="0.25">
      <c r="T2088" s="10"/>
      <c r="U2088" s="4"/>
      <c r="V2088" s="4"/>
      <c r="X2088" s="4"/>
      <c r="Y2088" s="4"/>
    </row>
    <row r="2089" spans="20:25" x14ac:dyDescent="0.25">
      <c r="T2089" s="10"/>
      <c r="U2089" s="4"/>
      <c r="V2089" s="4"/>
      <c r="X2089" s="4"/>
      <c r="Y2089" s="4"/>
    </row>
    <row r="2090" spans="20:25" x14ac:dyDescent="0.25">
      <c r="T2090" s="10"/>
      <c r="U2090" s="4"/>
      <c r="V2090" s="4"/>
      <c r="X2090" s="4"/>
      <c r="Y2090" s="4"/>
    </row>
    <row r="2091" spans="20:25" x14ac:dyDescent="0.25">
      <c r="T2091" s="10"/>
      <c r="U2091" s="4"/>
      <c r="V2091" s="4"/>
      <c r="X2091" s="4"/>
      <c r="Y2091" s="4"/>
    </row>
    <row r="2092" spans="20:25" x14ac:dyDescent="0.25">
      <c r="T2092" s="10"/>
      <c r="U2092" s="4"/>
      <c r="V2092" s="4"/>
      <c r="X2092" s="4"/>
      <c r="Y2092" s="4"/>
    </row>
    <row r="2093" spans="20:25" x14ac:dyDescent="0.25">
      <c r="T2093" s="10"/>
      <c r="U2093" s="4"/>
      <c r="V2093" s="4"/>
      <c r="X2093" s="4"/>
      <c r="Y2093" s="4"/>
    </row>
    <row r="2094" spans="20:25" x14ac:dyDescent="0.25">
      <c r="T2094" s="10"/>
      <c r="U2094" s="4"/>
      <c r="V2094" s="4"/>
      <c r="X2094" s="4"/>
      <c r="Y2094" s="4"/>
    </row>
    <row r="2095" spans="20:25" x14ac:dyDescent="0.25">
      <c r="T2095" s="10"/>
      <c r="U2095" s="4"/>
      <c r="V2095" s="4"/>
      <c r="X2095" s="4"/>
      <c r="Y2095" s="4"/>
    </row>
    <row r="2096" spans="20:25" x14ac:dyDescent="0.25">
      <c r="T2096" s="10"/>
      <c r="U2096" s="4"/>
      <c r="V2096" s="4"/>
      <c r="X2096" s="4"/>
      <c r="Y2096" s="4"/>
    </row>
    <row r="2097" spans="20:25" x14ac:dyDescent="0.25">
      <c r="T2097" s="10"/>
      <c r="U2097" s="4"/>
      <c r="V2097" s="4"/>
      <c r="X2097" s="4"/>
      <c r="Y2097" s="4"/>
    </row>
    <row r="2098" spans="20:25" x14ac:dyDescent="0.25">
      <c r="T2098" s="10"/>
      <c r="U2098" s="4"/>
      <c r="V2098" s="4"/>
      <c r="X2098" s="4"/>
      <c r="Y2098" s="4"/>
    </row>
    <row r="2099" spans="20:25" x14ac:dyDescent="0.25">
      <c r="T2099" s="10"/>
      <c r="U2099" s="4"/>
      <c r="V2099" s="4"/>
      <c r="X2099" s="4"/>
      <c r="Y2099" s="4"/>
    </row>
    <row r="2100" spans="20:25" x14ac:dyDescent="0.25">
      <c r="T2100" s="10"/>
      <c r="U2100" s="4"/>
      <c r="V2100" s="4"/>
      <c r="X2100" s="4"/>
      <c r="Y2100" s="4"/>
    </row>
    <row r="2101" spans="20:25" x14ac:dyDescent="0.25">
      <c r="T2101" s="10"/>
      <c r="U2101" s="4"/>
      <c r="V2101" s="4"/>
      <c r="X2101" s="4"/>
      <c r="Y2101" s="4"/>
    </row>
    <row r="2102" spans="20:25" x14ac:dyDescent="0.25">
      <c r="T2102" s="10"/>
      <c r="U2102" s="4"/>
      <c r="V2102" s="4"/>
      <c r="X2102" s="4"/>
      <c r="Y2102" s="4"/>
    </row>
    <row r="2103" spans="20:25" x14ac:dyDescent="0.25">
      <c r="T2103" s="10"/>
      <c r="U2103" s="4"/>
      <c r="V2103" s="4"/>
      <c r="X2103" s="4"/>
      <c r="Y2103" s="4"/>
    </row>
    <row r="2104" spans="20:25" x14ac:dyDescent="0.25">
      <c r="T2104" s="10"/>
      <c r="U2104" s="4"/>
      <c r="V2104" s="4"/>
      <c r="X2104" s="4"/>
      <c r="Y2104" s="4"/>
    </row>
    <row r="2105" spans="20:25" x14ac:dyDescent="0.25">
      <c r="T2105" s="10"/>
      <c r="U2105" s="4"/>
      <c r="V2105" s="4"/>
      <c r="X2105" s="4"/>
      <c r="Y2105" s="4"/>
    </row>
    <row r="2106" spans="20:25" x14ac:dyDescent="0.25">
      <c r="T2106" s="10"/>
      <c r="U2106" s="4"/>
      <c r="V2106" s="4"/>
      <c r="X2106" s="4"/>
      <c r="Y2106" s="4"/>
    </row>
    <row r="2107" spans="20:25" x14ac:dyDescent="0.25">
      <c r="T2107" s="10"/>
      <c r="U2107" s="4"/>
      <c r="V2107" s="4"/>
      <c r="X2107" s="4"/>
      <c r="Y2107" s="4"/>
    </row>
    <row r="2108" spans="20:25" x14ac:dyDescent="0.25">
      <c r="T2108" s="10"/>
      <c r="U2108" s="4"/>
      <c r="V2108" s="4"/>
      <c r="X2108" s="4"/>
      <c r="Y2108" s="4"/>
    </row>
    <row r="2109" spans="20:25" x14ac:dyDescent="0.25">
      <c r="T2109" s="10"/>
      <c r="U2109" s="4"/>
      <c r="V2109" s="4"/>
      <c r="X2109" s="4"/>
      <c r="Y2109" s="4"/>
    </row>
    <row r="2110" spans="20:25" x14ac:dyDescent="0.25">
      <c r="T2110" s="10"/>
      <c r="U2110" s="4"/>
      <c r="V2110" s="4"/>
      <c r="X2110" s="4"/>
      <c r="Y2110" s="4"/>
    </row>
    <row r="2111" spans="20:25" x14ac:dyDescent="0.25">
      <c r="T2111" s="10"/>
      <c r="U2111" s="4"/>
      <c r="V2111" s="4"/>
      <c r="X2111" s="4"/>
      <c r="Y2111" s="4"/>
    </row>
    <row r="2112" spans="20:25" x14ac:dyDescent="0.25">
      <c r="T2112" s="10"/>
      <c r="U2112" s="4"/>
      <c r="V2112" s="4"/>
      <c r="X2112" s="4"/>
      <c r="Y2112" s="4"/>
    </row>
    <row r="2113" spans="20:25" x14ac:dyDescent="0.25">
      <c r="T2113" s="10"/>
      <c r="U2113" s="4"/>
      <c r="V2113" s="4"/>
      <c r="X2113" s="4"/>
      <c r="Y2113" s="4"/>
    </row>
    <row r="2114" spans="20:25" x14ac:dyDescent="0.25">
      <c r="T2114" s="10"/>
      <c r="U2114" s="4"/>
      <c r="V2114" s="4"/>
      <c r="X2114" s="4"/>
      <c r="Y2114" s="4"/>
    </row>
    <row r="2115" spans="20:25" x14ac:dyDescent="0.25">
      <c r="T2115" s="10"/>
      <c r="U2115" s="4"/>
      <c r="V2115" s="4"/>
      <c r="X2115" s="4"/>
      <c r="Y2115" s="4"/>
    </row>
    <row r="2116" spans="20:25" x14ac:dyDescent="0.25">
      <c r="T2116" s="10"/>
      <c r="U2116" s="4"/>
      <c r="V2116" s="4"/>
      <c r="X2116" s="4"/>
      <c r="Y2116" s="4"/>
    </row>
    <row r="2117" spans="20:25" x14ac:dyDescent="0.25">
      <c r="T2117" s="10"/>
      <c r="U2117" s="4"/>
      <c r="V2117" s="4"/>
      <c r="X2117" s="4"/>
      <c r="Y2117" s="4"/>
    </row>
    <row r="2118" spans="20:25" x14ac:dyDescent="0.25">
      <c r="T2118" s="10"/>
      <c r="U2118" s="4"/>
      <c r="V2118" s="4"/>
      <c r="X2118" s="4"/>
      <c r="Y2118" s="4"/>
    </row>
    <row r="2119" spans="20:25" x14ac:dyDescent="0.25">
      <c r="T2119" s="10"/>
      <c r="U2119" s="4"/>
      <c r="V2119" s="4"/>
      <c r="X2119" s="4"/>
      <c r="Y2119" s="4"/>
    </row>
    <row r="2120" spans="20:25" x14ac:dyDescent="0.25">
      <c r="T2120" s="10"/>
      <c r="U2120" s="4"/>
      <c r="V2120" s="4"/>
      <c r="X2120" s="4"/>
      <c r="Y2120" s="4"/>
    </row>
    <row r="2121" spans="20:25" x14ac:dyDescent="0.25">
      <c r="T2121" s="10"/>
      <c r="U2121" s="4"/>
      <c r="V2121" s="4"/>
      <c r="X2121" s="4"/>
      <c r="Y2121" s="4"/>
    </row>
    <row r="2122" spans="20:25" x14ac:dyDescent="0.25">
      <c r="T2122" s="10"/>
      <c r="U2122" s="4"/>
      <c r="V2122" s="4"/>
      <c r="X2122" s="4"/>
      <c r="Y2122" s="4"/>
    </row>
    <row r="2123" spans="20:25" x14ac:dyDescent="0.25">
      <c r="T2123" s="10"/>
      <c r="U2123" s="4"/>
      <c r="V2123" s="4"/>
      <c r="X2123" s="4"/>
      <c r="Y2123" s="4"/>
    </row>
    <row r="2124" spans="20:25" x14ac:dyDescent="0.25">
      <c r="T2124" s="10"/>
      <c r="U2124" s="4"/>
      <c r="V2124" s="4"/>
      <c r="X2124" s="4"/>
      <c r="Y2124" s="4"/>
    </row>
    <row r="2125" spans="20:25" x14ac:dyDescent="0.25">
      <c r="T2125" s="10"/>
      <c r="U2125" s="4"/>
      <c r="V2125" s="4"/>
      <c r="X2125" s="4"/>
      <c r="Y2125" s="4"/>
    </row>
    <row r="2126" spans="20:25" x14ac:dyDescent="0.25">
      <c r="T2126" s="10"/>
      <c r="U2126" s="4"/>
      <c r="V2126" s="4"/>
      <c r="X2126" s="4"/>
      <c r="Y2126" s="4"/>
    </row>
    <row r="2127" spans="20:25" x14ac:dyDescent="0.25">
      <c r="T2127" s="10"/>
      <c r="U2127" s="4"/>
      <c r="V2127" s="4"/>
      <c r="X2127" s="4"/>
      <c r="Y2127" s="4"/>
    </row>
    <row r="2128" spans="20:25" x14ac:dyDescent="0.25">
      <c r="T2128" s="10"/>
      <c r="U2128" s="4"/>
      <c r="V2128" s="4"/>
      <c r="X2128" s="4"/>
      <c r="Y2128" s="4"/>
    </row>
    <row r="2129" spans="20:25" x14ac:dyDescent="0.25">
      <c r="T2129" s="10"/>
      <c r="U2129" s="4"/>
      <c r="V2129" s="4"/>
      <c r="X2129" s="4"/>
      <c r="Y2129" s="4"/>
    </row>
    <row r="2130" spans="20:25" x14ac:dyDescent="0.25">
      <c r="T2130" s="10"/>
      <c r="U2130" s="4"/>
      <c r="V2130" s="4"/>
      <c r="X2130" s="4"/>
      <c r="Y2130" s="4"/>
    </row>
    <row r="2131" spans="20:25" x14ac:dyDescent="0.25">
      <c r="T2131" s="10"/>
      <c r="U2131" s="4"/>
      <c r="V2131" s="4"/>
      <c r="X2131" s="4"/>
      <c r="Y2131" s="4"/>
    </row>
    <row r="2132" spans="20:25" x14ac:dyDescent="0.25">
      <c r="T2132" s="10"/>
      <c r="U2132" s="4"/>
      <c r="V2132" s="4"/>
      <c r="X2132" s="4"/>
      <c r="Y2132" s="4"/>
    </row>
    <row r="2133" spans="20:25" x14ac:dyDescent="0.25">
      <c r="T2133" s="10"/>
      <c r="U2133" s="4"/>
      <c r="V2133" s="4"/>
      <c r="X2133" s="4"/>
      <c r="Y2133" s="4"/>
    </row>
    <row r="2134" spans="20:25" x14ac:dyDescent="0.25">
      <c r="T2134" s="10"/>
      <c r="U2134" s="4"/>
      <c r="V2134" s="4"/>
      <c r="X2134" s="4"/>
      <c r="Y2134" s="4"/>
    </row>
    <row r="2135" spans="20:25" x14ac:dyDescent="0.25">
      <c r="T2135" s="10"/>
      <c r="U2135" s="4"/>
      <c r="V2135" s="4"/>
      <c r="X2135" s="4"/>
      <c r="Y2135" s="4"/>
    </row>
    <row r="2136" spans="20:25" x14ac:dyDescent="0.25">
      <c r="T2136" s="10"/>
      <c r="U2136" s="4"/>
      <c r="V2136" s="4"/>
      <c r="X2136" s="4"/>
      <c r="Y2136" s="4"/>
    </row>
    <row r="2137" spans="20:25" x14ac:dyDescent="0.25">
      <c r="T2137" s="10"/>
      <c r="U2137" s="4"/>
      <c r="V2137" s="4"/>
      <c r="X2137" s="4"/>
      <c r="Y2137" s="4"/>
    </row>
    <row r="2138" spans="20:25" x14ac:dyDescent="0.25">
      <c r="T2138" s="10"/>
      <c r="U2138" s="4"/>
      <c r="V2138" s="4"/>
      <c r="X2138" s="4"/>
      <c r="Y2138" s="4"/>
    </row>
    <row r="2139" spans="20:25" x14ac:dyDescent="0.25">
      <c r="T2139" s="10"/>
      <c r="U2139" s="4"/>
      <c r="V2139" s="4"/>
      <c r="X2139" s="4"/>
      <c r="Y2139" s="4"/>
    </row>
    <row r="2140" spans="20:25" x14ac:dyDescent="0.25">
      <c r="T2140" s="10"/>
      <c r="U2140" s="4"/>
      <c r="V2140" s="4"/>
      <c r="X2140" s="4"/>
      <c r="Y2140" s="4"/>
    </row>
    <row r="2141" spans="20:25" x14ac:dyDescent="0.25">
      <c r="T2141" s="10"/>
      <c r="U2141" s="4"/>
      <c r="V2141" s="4"/>
      <c r="X2141" s="4"/>
      <c r="Y2141" s="4"/>
    </row>
    <row r="2142" spans="20:25" x14ac:dyDescent="0.25">
      <c r="T2142" s="10"/>
      <c r="U2142" s="4"/>
      <c r="V2142" s="4"/>
      <c r="X2142" s="4"/>
      <c r="Y2142" s="4"/>
    </row>
    <row r="2143" spans="20:25" x14ac:dyDescent="0.25">
      <c r="T2143" s="10"/>
      <c r="U2143" s="4"/>
      <c r="V2143" s="4"/>
      <c r="X2143" s="4"/>
      <c r="Y2143" s="4"/>
    </row>
    <row r="2144" spans="20:25" x14ac:dyDescent="0.25">
      <c r="T2144" s="10"/>
      <c r="U2144" s="4"/>
      <c r="V2144" s="4"/>
      <c r="X2144" s="4"/>
      <c r="Y2144" s="4"/>
    </row>
    <row r="2145" spans="20:25" x14ac:dyDescent="0.25">
      <c r="T2145" s="10"/>
      <c r="U2145" s="4"/>
      <c r="V2145" s="4"/>
      <c r="X2145" s="4"/>
      <c r="Y2145" s="4"/>
    </row>
    <row r="2146" spans="20:25" x14ac:dyDescent="0.25">
      <c r="T2146" s="10"/>
      <c r="U2146" s="4"/>
      <c r="V2146" s="4"/>
      <c r="X2146" s="4"/>
      <c r="Y2146" s="4"/>
    </row>
    <row r="2147" spans="20:25" x14ac:dyDescent="0.25">
      <c r="T2147" s="10"/>
      <c r="U2147" s="4"/>
      <c r="V2147" s="4"/>
      <c r="X2147" s="4"/>
      <c r="Y2147" s="4"/>
    </row>
    <row r="2148" spans="20:25" x14ac:dyDescent="0.25">
      <c r="T2148" s="10"/>
      <c r="U2148" s="4"/>
      <c r="V2148" s="4"/>
      <c r="X2148" s="4"/>
      <c r="Y2148" s="4"/>
    </row>
    <row r="2149" spans="20:25" x14ac:dyDescent="0.25">
      <c r="T2149" s="10"/>
      <c r="U2149" s="4"/>
      <c r="V2149" s="4"/>
      <c r="X2149" s="4"/>
      <c r="Y2149" s="4"/>
    </row>
    <row r="2150" spans="20:25" x14ac:dyDescent="0.25">
      <c r="T2150" s="10"/>
      <c r="U2150" s="4"/>
      <c r="V2150" s="4"/>
      <c r="X2150" s="4"/>
      <c r="Y2150" s="4"/>
    </row>
    <row r="2151" spans="20:25" x14ac:dyDescent="0.25">
      <c r="T2151" s="10"/>
      <c r="U2151" s="4"/>
      <c r="V2151" s="4"/>
      <c r="X2151" s="4"/>
      <c r="Y2151" s="4"/>
    </row>
    <row r="2152" spans="20:25" x14ac:dyDescent="0.25">
      <c r="T2152" s="10"/>
      <c r="U2152" s="4"/>
      <c r="V2152" s="4"/>
      <c r="X2152" s="4"/>
      <c r="Y2152" s="4"/>
    </row>
    <row r="2153" spans="20:25" x14ac:dyDescent="0.25">
      <c r="T2153" s="10"/>
      <c r="U2153" s="4"/>
      <c r="V2153" s="4"/>
      <c r="X2153" s="4"/>
      <c r="Y2153" s="4"/>
    </row>
    <row r="2154" spans="20:25" x14ac:dyDescent="0.25">
      <c r="T2154" s="10"/>
      <c r="U2154" s="4"/>
      <c r="V2154" s="4"/>
      <c r="X2154" s="4"/>
      <c r="Y2154" s="4"/>
    </row>
    <row r="2155" spans="20:25" x14ac:dyDescent="0.25">
      <c r="T2155" s="10"/>
      <c r="U2155" s="4"/>
      <c r="V2155" s="4"/>
      <c r="X2155" s="4"/>
      <c r="Y2155" s="4"/>
    </row>
    <row r="2156" spans="20:25" x14ac:dyDescent="0.25">
      <c r="T2156" s="10"/>
      <c r="U2156" s="4"/>
      <c r="V2156" s="4"/>
      <c r="X2156" s="4"/>
      <c r="Y2156" s="4"/>
    </row>
    <row r="2157" spans="20:25" x14ac:dyDescent="0.25">
      <c r="T2157" s="10"/>
      <c r="U2157" s="4"/>
      <c r="V2157" s="4"/>
      <c r="X2157" s="4"/>
      <c r="Y2157" s="4"/>
    </row>
    <row r="2158" spans="20:25" x14ac:dyDescent="0.25">
      <c r="T2158" s="10"/>
      <c r="U2158" s="4"/>
      <c r="V2158" s="4"/>
      <c r="X2158" s="4"/>
      <c r="Y2158" s="4"/>
    </row>
    <row r="2159" spans="20:25" x14ac:dyDescent="0.25">
      <c r="T2159" s="10"/>
      <c r="U2159" s="4"/>
      <c r="V2159" s="4"/>
      <c r="X2159" s="4"/>
      <c r="Y2159" s="4"/>
    </row>
    <row r="2160" spans="20:25" x14ac:dyDescent="0.25">
      <c r="T2160" s="10"/>
      <c r="U2160" s="4"/>
      <c r="V2160" s="4"/>
      <c r="X2160" s="4"/>
      <c r="Y2160" s="4"/>
    </row>
    <row r="2161" spans="20:25" x14ac:dyDescent="0.25">
      <c r="T2161" s="10"/>
      <c r="U2161" s="4"/>
      <c r="V2161" s="4"/>
      <c r="X2161" s="4"/>
      <c r="Y2161" s="4"/>
    </row>
    <row r="2162" spans="20:25" x14ac:dyDescent="0.25">
      <c r="T2162" s="10"/>
      <c r="U2162" s="4"/>
      <c r="V2162" s="4"/>
      <c r="X2162" s="4"/>
      <c r="Y2162" s="4"/>
    </row>
    <row r="2163" spans="20:25" x14ac:dyDescent="0.25">
      <c r="T2163" s="10"/>
      <c r="U2163" s="4"/>
      <c r="V2163" s="4"/>
      <c r="X2163" s="4"/>
      <c r="Y2163" s="4"/>
    </row>
    <row r="2164" spans="20:25" x14ac:dyDescent="0.25">
      <c r="T2164" s="10"/>
      <c r="U2164" s="4"/>
      <c r="V2164" s="4"/>
      <c r="X2164" s="4"/>
      <c r="Y2164" s="4"/>
    </row>
    <row r="2165" spans="20:25" x14ac:dyDescent="0.25">
      <c r="T2165" s="10"/>
      <c r="U2165" s="4"/>
      <c r="V2165" s="4"/>
      <c r="X2165" s="4"/>
      <c r="Y2165" s="4"/>
    </row>
    <row r="2166" spans="20:25" x14ac:dyDescent="0.25">
      <c r="T2166" s="10"/>
      <c r="U2166" s="4"/>
      <c r="V2166" s="4"/>
      <c r="X2166" s="4"/>
      <c r="Y2166" s="4"/>
    </row>
    <row r="2167" spans="20:25" x14ac:dyDescent="0.25">
      <c r="T2167" s="10"/>
      <c r="U2167" s="4"/>
      <c r="V2167" s="4"/>
      <c r="X2167" s="4"/>
      <c r="Y2167" s="4"/>
    </row>
    <row r="2168" spans="20:25" x14ac:dyDescent="0.25">
      <c r="T2168" s="10"/>
      <c r="U2168" s="4"/>
      <c r="V2168" s="4"/>
      <c r="X2168" s="4"/>
      <c r="Y2168" s="4"/>
    </row>
    <row r="2169" spans="20:25" x14ac:dyDescent="0.25">
      <c r="T2169" s="10"/>
      <c r="U2169" s="4"/>
      <c r="V2169" s="4"/>
      <c r="X2169" s="4"/>
      <c r="Y2169" s="4"/>
    </row>
    <row r="2170" spans="20:25" x14ac:dyDescent="0.25">
      <c r="T2170" s="10"/>
      <c r="U2170" s="4"/>
      <c r="V2170" s="4"/>
      <c r="X2170" s="4"/>
      <c r="Y2170" s="4"/>
    </row>
    <row r="2171" spans="20:25" x14ac:dyDescent="0.25">
      <c r="T2171" s="10"/>
      <c r="U2171" s="4"/>
      <c r="V2171" s="4"/>
      <c r="X2171" s="4"/>
      <c r="Y2171" s="4"/>
    </row>
    <row r="2172" spans="20:25" x14ac:dyDescent="0.25">
      <c r="T2172" s="10"/>
      <c r="U2172" s="4"/>
      <c r="V2172" s="4"/>
      <c r="X2172" s="4"/>
      <c r="Y2172" s="4"/>
    </row>
    <row r="2173" spans="20:25" x14ac:dyDescent="0.25">
      <c r="T2173" s="10"/>
      <c r="U2173" s="4"/>
      <c r="V2173" s="4"/>
      <c r="X2173" s="4"/>
      <c r="Y2173" s="4"/>
    </row>
    <row r="2174" spans="20:25" x14ac:dyDescent="0.25">
      <c r="T2174" s="10"/>
      <c r="U2174" s="4"/>
      <c r="V2174" s="4"/>
      <c r="X2174" s="4"/>
      <c r="Y2174" s="4"/>
    </row>
    <row r="2175" spans="20:25" x14ac:dyDescent="0.25">
      <c r="T2175" s="10"/>
      <c r="U2175" s="4"/>
      <c r="V2175" s="4"/>
      <c r="X2175" s="4"/>
      <c r="Y2175" s="4"/>
    </row>
    <row r="2176" spans="20:25" x14ac:dyDescent="0.25">
      <c r="T2176" s="10"/>
      <c r="U2176" s="4"/>
      <c r="V2176" s="4"/>
      <c r="X2176" s="4"/>
      <c r="Y2176" s="4"/>
    </row>
    <row r="2177" spans="20:25" x14ac:dyDescent="0.25">
      <c r="T2177" s="10"/>
      <c r="U2177" s="4"/>
      <c r="V2177" s="4"/>
      <c r="X2177" s="4"/>
      <c r="Y2177" s="4"/>
    </row>
    <row r="2178" spans="20:25" x14ac:dyDescent="0.25">
      <c r="T2178" s="10"/>
      <c r="U2178" s="4"/>
      <c r="V2178" s="4"/>
      <c r="X2178" s="4"/>
      <c r="Y2178" s="4"/>
    </row>
    <row r="2179" spans="20:25" x14ac:dyDescent="0.25">
      <c r="T2179" s="10"/>
      <c r="U2179" s="4"/>
      <c r="V2179" s="4"/>
      <c r="X2179" s="4"/>
      <c r="Y2179" s="4"/>
    </row>
    <row r="2180" spans="20:25" x14ac:dyDescent="0.25">
      <c r="T2180" s="10"/>
      <c r="U2180" s="4"/>
      <c r="V2180" s="4"/>
      <c r="X2180" s="4"/>
      <c r="Y2180" s="4"/>
    </row>
    <row r="2181" spans="20:25" x14ac:dyDescent="0.25">
      <c r="T2181" s="10"/>
      <c r="U2181" s="4"/>
      <c r="V2181" s="4"/>
      <c r="X2181" s="4"/>
      <c r="Y2181" s="4"/>
    </row>
    <row r="2182" spans="20:25" x14ac:dyDescent="0.25">
      <c r="T2182" s="10"/>
      <c r="U2182" s="4"/>
      <c r="V2182" s="4"/>
      <c r="X2182" s="4"/>
      <c r="Y2182" s="4"/>
    </row>
    <row r="2183" spans="20:25" x14ac:dyDescent="0.25">
      <c r="T2183" s="10"/>
      <c r="U2183" s="4"/>
      <c r="V2183" s="4"/>
      <c r="X2183" s="4"/>
      <c r="Y2183" s="4"/>
    </row>
    <row r="2184" spans="20:25" x14ac:dyDescent="0.25">
      <c r="T2184" s="10"/>
      <c r="U2184" s="4"/>
      <c r="V2184" s="4"/>
      <c r="X2184" s="4"/>
      <c r="Y2184" s="4"/>
    </row>
    <row r="2185" spans="20:25" x14ac:dyDescent="0.25">
      <c r="T2185" s="10"/>
      <c r="U2185" s="4"/>
      <c r="V2185" s="4"/>
      <c r="X2185" s="4"/>
      <c r="Y2185" s="4"/>
    </row>
    <row r="2186" spans="20:25" x14ac:dyDescent="0.25">
      <c r="T2186" s="10"/>
      <c r="U2186" s="4"/>
      <c r="V2186" s="4"/>
      <c r="X2186" s="4"/>
      <c r="Y2186" s="4"/>
    </row>
    <row r="2187" spans="20:25" x14ac:dyDescent="0.25">
      <c r="T2187" s="10"/>
      <c r="U2187" s="4"/>
      <c r="V2187" s="4"/>
      <c r="X2187" s="4"/>
      <c r="Y2187" s="4"/>
    </row>
    <row r="2188" spans="20:25" x14ac:dyDescent="0.25">
      <c r="T2188" s="10"/>
      <c r="U2188" s="4"/>
      <c r="V2188" s="4"/>
      <c r="X2188" s="4"/>
      <c r="Y2188" s="4"/>
    </row>
    <row r="2189" spans="20:25" x14ac:dyDescent="0.25">
      <c r="T2189" s="10"/>
      <c r="U2189" s="4"/>
      <c r="V2189" s="4"/>
      <c r="X2189" s="4"/>
      <c r="Y2189" s="4"/>
    </row>
    <row r="2190" spans="20:25" x14ac:dyDescent="0.25">
      <c r="T2190" s="10"/>
      <c r="U2190" s="4"/>
      <c r="V2190" s="4"/>
      <c r="X2190" s="4"/>
      <c r="Y2190" s="4"/>
    </row>
    <row r="2191" spans="20:25" x14ac:dyDescent="0.25">
      <c r="T2191" s="10"/>
      <c r="U2191" s="4"/>
      <c r="V2191" s="4"/>
      <c r="X2191" s="4"/>
      <c r="Y2191" s="4"/>
    </row>
    <row r="2192" spans="20:25" x14ac:dyDescent="0.25">
      <c r="T2192" s="10"/>
      <c r="U2192" s="4"/>
      <c r="V2192" s="4"/>
      <c r="X2192" s="4"/>
      <c r="Y2192" s="4"/>
    </row>
    <row r="2193" spans="20:25" x14ac:dyDescent="0.25">
      <c r="T2193" s="10"/>
      <c r="U2193" s="4"/>
      <c r="V2193" s="4"/>
      <c r="X2193" s="4"/>
      <c r="Y2193" s="4"/>
    </row>
    <row r="2194" spans="20:25" x14ac:dyDescent="0.25">
      <c r="T2194" s="10"/>
      <c r="U2194" s="4"/>
      <c r="V2194" s="4"/>
      <c r="X2194" s="4"/>
      <c r="Y2194" s="4"/>
    </row>
    <row r="2195" spans="20:25" x14ac:dyDescent="0.25">
      <c r="T2195" s="10"/>
      <c r="U2195" s="4"/>
      <c r="V2195" s="4"/>
      <c r="X2195" s="4"/>
      <c r="Y2195" s="4"/>
    </row>
    <row r="2196" spans="20:25" x14ac:dyDescent="0.25">
      <c r="T2196" s="10"/>
      <c r="U2196" s="4"/>
      <c r="V2196" s="4"/>
      <c r="X2196" s="4"/>
      <c r="Y2196" s="4"/>
    </row>
    <row r="2197" spans="20:25" x14ac:dyDescent="0.25">
      <c r="T2197" s="10"/>
      <c r="U2197" s="4"/>
      <c r="V2197" s="4"/>
      <c r="X2197" s="4"/>
      <c r="Y2197" s="4"/>
    </row>
    <row r="2198" spans="20:25" x14ac:dyDescent="0.25">
      <c r="T2198" s="10"/>
      <c r="U2198" s="4"/>
      <c r="V2198" s="4"/>
      <c r="X2198" s="4"/>
      <c r="Y2198" s="4"/>
    </row>
    <row r="2199" spans="20:25" x14ac:dyDescent="0.25">
      <c r="T2199" s="10"/>
      <c r="U2199" s="4"/>
      <c r="V2199" s="4"/>
      <c r="X2199" s="4"/>
      <c r="Y2199" s="4"/>
    </row>
    <row r="2200" spans="20:25" x14ac:dyDescent="0.25">
      <c r="T2200" s="10"/>
      <c r="U2200" s="4"/>
      <c r="V2200" s="4"/>
      <c r="X2200" s="4"/>
      <c r="Y2200" s="4"/>
    </row>
    <row r="2201" spans="20:25" x14ac:dyDescent="0.25">
      <c r="T2201" s="10"/>
      <c r="U2201" s="4"/>
      <c r="V2201" s="4"/>
      <c r="X2201" s="4"/>
      <c r="Y2201" s="4"/>
    </row>
    <row r="2202" spans="20:25" x14ac:dyDescent="0.25">
      <c r="T2202" s="10"/>
      <c r="U2202" s="4"/>
      <c r="V2202" s="4"/>
      <c r="X2202" s="4"/>
      <c r="Y2202" s="4"/>
    </row>
    <row r="2203" spans="20:25" x14ac:dyDescent="0.25">
      <c r="T2203" s="10"/>
      <c r="U2203" s="4"/>
      <c r="V2203" s="4"/>
      <c r="X2203" s="4"/>
      <c r="Y2203" s="4"/>
    </row>
    <row r="2204" spans="20:25" x14ac:dyDescent="0.25">
      <c r="T2204" s="10"/>
      <c r="U2204" s="4"/>
      <c r="V2204" s="4"/>
      <c r="X2204" s="4"/>
      <c r="Y2204" s="4"/>
    </row>
    <row r="2205" spans="20:25" x14ac:dyDescent="0.25">
      <c r="T2205" s="10"/>
      <c r="U2205" s="4"/>
      <c r="V2205" s="4"/>
      <c r="X2205" s="4"/>
      <c r="Y2205" s="4"/>
    </row>
    <row r="2206" spans="20:25" x14ac:dyDescent="0.25">
      <c r="T2206" s="10"/>
      <c r="U2206" s="4"/>
      <c r="V2206" s="4"/>
      <c r="X2206" s="4"/>
      <c r="Y2206" s="4"/>
    </row>
    <row r="2207" spans="20:25" x14ac:dyDescent="0.25">
      <c r="T2207" s="10"/>
      <c r="U2207" s="4"/>
      <c r="V2207" s="4"/>
      <c r="X2207" s="4"/>
      <c r="Y2207" s="4"/>
    </row>
    <row r="2208" spans="20:25" x14ac:dyDescent="0.25">
      <c r="T2208" s="10"/>
      <c r="U2208" s="4"/>
      <c r="V2208" s="4"/>
      <c r="X2208" s="4"/>
      <c r="Y2208" s="4"/>
    </row>
    <row r="2209" spans="20:25" x14ac:dyDescent="0.25">
      <c r="T2209" s="10"/>
      <c r="U2209" s="4"/>
      <c r="V2209" s="4"/>
      <c r="X2209" s="4"/>
      <c r="Y2209" s="4"/>
    </row>
    <row r="2210" spans="20:25" x14ac:dyDescent="0.25">
      <c r="T2210" s="10"/>
      <c r="U2210" s="4"/>
      <c r="V2210" s="4"/>
      <c r="X2210" s="4"/>
      <c r="Y2210" s="4"/>
    </row>
    <row r="2211" spans="20:25" x14ac:dyDescent="0.25">
      <c r="T2211" s="10"/>
      <c r="U2211" s="4"/>
      <c r="V2211" s="4"/>
      <c r="X2211" s="4"/>
      <c r="Y2211" s="4"/>
    </row>
    <row r="2212" spans="20:25" x14ac:dyDescent="0.25">
      <c r="T2212" s="10"/>
      <c r="U2212" s="4"/>
      <c r="V2212" s="4"/>
      <c r="X2212" s="4"/>
      <c r="Y2212" s="4"/>
    </row>
    <row r="2213" spans="20:25" x14ac:dyDescent="0.25">
      <c r="T2213" s="10"/>
      <c r="U2213" s="4"/>
      <c r="V2213" s="4"/>
      <c r="X2213" s="4"/>
      <c r="Y2213" s="4"/>
    </row>
    <row r="2214" spans="20:25" x14ac:dyDescent="0.25">
      <c r="T2214" s="10"/>
      <c r="U2214" s="4"/>
      <c r="V2214" s="4"/>
      <c r="X2214" s="4"/>
      <c r="Y2214" s="4"/>
    </row>
    <row r="2215" spans="20:25" x14ac:dyDescent="0.25">
      <c r="T2215" s="10"/>
      <c r="U2215" s="4"/>
      <c r="V2215" s="4"/>
      <c r="X2215" s="4"/>
      <c r="Y2215" s="4"/>
    </row>
    <row r="2216" spans="20:25" x14ac:dyDescent="0.25">
      <c r="T2216" s="10"/>
      <c r="U2216" s="4"/>
      <c r="V2216" s="4"/>
      <c r="X2216" s="4"/>
      <c r="Y2216" s="4"/>
    </row>
    <row r="2217" spans="20:25" x14ac:dyDescent="0.25">
      <c r="T2217" s="10"/>
      <c r="U2217" s="4"/>
      <c r="V2217" s="4"/>
      <c r="X2217" s="4"/>
      <c r="Y2217" s="4"/>
    </row>
    <row r="2218" spans="20:25" x14ac:dyDescent="0.25">
      <c r="T2218" s="10"/>
      <c r="U2218" s="4"/>
      <c r="V2218" s="4"/>
      <c r="X2218" s="4"/>
      <c r="Y2218" s="4"/>
    </row>
    <row r="2219" spans="20:25" x14ac:dyDescent="0.25">
      <c r="T2219" s="10"/>
      <c r="U2219" s="4"/>
      <c r="V2219" s="4"/>
      <c r="X2219" s="4"/>
      <c r="Y2219" s="4"/>
    </row>
    <row r="2220" spans="20:25" x14ac:dyDescent="0.25">
      <c r="T2220" s="10"/>
      <c r="U2220" s="4"/>
      <c r="V2220" s="4"/>
      <c r="X2220" s="4"/>
      <c r="Y2220" s="4"/>
    </row>
    <row r="2221" spans="20:25" x14ac:dyDescent="0.25">
      <c r="T2221" s="10"/>
      <c r="U2221" s="4"/>
      <c r="V2221" s="4"/>
      <c r="X2221" s="4"/>
      <c r="Y2221" s="4"/>
    </row>
    <row r="2222" spans="20:25" x14ac:dyDescent="0.25">
      <c r="T2222" s="10"/>
      <c r="U2222" s="4"/>
      <c r="V2222" s="4"/>
      <c r="X2222" s="4"/>
      <c r="Y2222" s="4"/>
    </row>
    <row r="2223" spans="20:25" x14ac:dyDescent="0.25">
      <c r="T2223" s="10"/>
      <c r="U2223" s="4"/>
      <c r="V2223" s="4"/>
      <c r="X2223" s="4"/>
      <c r="Y2223" s="4"/>
    </row>
    <row r="2224" spans="20:25" x14ac:dyDescent="0.25">
      <c r="T2224" s="10"/>
      <c r="U2224" s="4"/>
      <c r="V2224" s="4"/>
      <c r="X2224" s="4"/>
      <c r="Y2224" s="4"/>
    </row>
    <row r="2225" spans="20:25" x14ac:dyDescent="0.25">
      <c r="T2225" s="10"/>
      <c r="U2225" s="4"/>
      <c r="V2225" s="4"/>
      <c r="X2225" s="4"/>
      <c r="Y2225" s="4"/>
    </row>
    <row r="2226" spans="20:25" x14ac:dyDescent="0.25">
      <c r="T2226" s="10"/>
      <c r="U2226" s="4"/>
      <c r="V2226" s="4"/>
      <c r="X2226" s="4"/>
      <c r="Y2226" s="4"/>
    </row>
    <row r="2227" spans="20:25" x14ac:dyDescent="0.25">
      <c r="T2227" s="10"/>
      <c r="U2227" s="4"/>
      <c r="V2227" s="4"/>
      <c r="X2227" s="4"/>
      <c r="Y2227" s="4"/>
    </row>
    <row r="2228" spans="20:25" x14ac:dyDescent="0.25">
      <c r="T2228" s="10"/>
      <c r="U2228" s="4"/>
      <c r="V2228" s="4"/>
      <c r="X2228" s="4"/>
      <c r="Y2228" s="4"/>
    </row>
    <row r="2229" spans="20:25" x14ac:dyDescent="0.25">
      <c r="T2229" s="10"/>
      <c r="U2229" s="4"/>
      <c r="V2229" s="4"/>
      <c r="X2229" s="4"/>
      <c r="Y2229" s="4"/>
    </row>
    <row r="2230" spans="20:25" x14ac:dyDescent="0.25">
      <c r="T2230" s="10"/>
      <c r="U2230" s="4"/>
      <c r="V2230" s="4"/>
      <c r="X2230" s="4"/>
      <c r="Y2230" s="4"/>
    </row>
    <row r="2231" spans="20:25" x14ac:dyDescent="0.25">
      <c r="T2231" s="10"/>
      <c r="U2231" s="4"/>
      <c r="V2231" s="4"/>
      <c r="X2231" s="4"/>
      <c r="Y2231" s="4"/>
    </row>
    <row r="2232" spans="20:25" x14ac:dyDescent="0.25">
      <c r="T2232" s="10"/>
      <c r="U2232" s="4"/>
      <c r="V2232" s="4"/>
      <c r="X2232" s="4"/>
      <c r="Y2232" s="4"/>
    </row>
    <row r="2233" spans="20:25" x14ac:dyDescent="0.25">
      <c r="T2233" s="10"/>
      <c r="U2233" s="4"/>
      <c r="V2233" s="4"/>
      <c r="X2233" s="4"/>
      <c r="Y2233" s="4"/>
    </row>
    <row r="2234" spans="20:25" x14ac:dyDescent="0.25">
      <c r="T2234" s="10"/>
      <c r="U2234" s="4"/>
      <c r="V2234" s="4"/>
      <c r="X2234" s="4"/>
      <c r="Y2234" s="4"/>
    </row>
    <row r="2235" spans="20:25" x14ac:dyDescent="0.25">
      <c r="T2235" s="10"/>
      <c r="U2235" s="4"/>
      <c r="V2235" s="4"/>
      <c r="X2235" s="4"/>
      <c r="Y2235" s="4"/>
    </row>
    <row r="2236" spans="20:25" x14ac:dyDescent="0.25">
      <c r="T2236" s="10"/>
      <c r="U2236" s="4"/>
      <c r="V2236" s="4"/>
      <c r="X2236" s="4"/>
      <c r="Y2236" s="4"/>
    </row>
    <row r="2237" spans="20:25" x14ac:dyDescent="0.25">
      <c r="T2237" s="10"/>
      <c r="U2237" s="4"/>
      <c r="V2237" s="4"/>
      <c r="X2237" s="4"/>
      <c r="Y2237" s="4"/>
    </row>
    <row r="2238" spans="20:25" x14ac:dyDescent="0.25">
      <c r="T2238" s="10"/>
      <c r="U2238" s="4"/>
      <c r="V2238" s="4"/>
      <c r="X2238" s="4"/>
      <c r="Y2238" s="4"/>
    </row>
    <row r="2239" spans="20:25" x14ac:dyDescent="0.25">
      <c r="T2239" s="10"/>
      <c r="U2239" s="4"/>
      <c r="V2239" s="4"/>
      <c r="X2239" s="4"/>
      <c r="Y2239" s="4"/>
    </row>
    <row r="2240" spans="20:25" x14ac:dyDescent="0.25">
      <c r="T2240" s="10"/>
      <c r="U2240" s="4"/>
      <c r="V2240" s="4"/>
      <c r="X2240" s="4"/>
      <c r="Y2240" s="4"/>
    </row>
    <row r="2241" spans="20:25" x14ac:dyDescent="0.25">
      <c r="T2241" s="10"/>
      <c r="U2241" s="4"/>
      <c r="V2241" s="4"/>
      <c r="X2241" s="4"/>
      <c r="Y2241" s="4"/>
    </row>
    <row r="2242" spans="20:25" x14ac:dyDescent="0.25">
      <c r="T2242" s="10"/>
      <c r="U2242" s="4"/>
      <c r="V2242" s="4"/>
      <c r="X2242" s="4"/>
      <c r="Y2242" s="4"/>
    </row>
    <row r="2243" spans="20:25" x14ac:dyDescent="0.25">
      <c r="T2243" s="10"/>
      <c r="U2243" s="4"/>
      <c r="V2243" s="4"/>
      <c r="X2243" s="4"/>
      <c r="Y2243" s="4"/>
    </row>
    <row r="2244" spans="20:25" x14ac:dyDescent="0.25">
      <c r="T2244" s="10"/>
      <c r="U2244" s="4"/>
      <c r="V2244" s="4"/>
      <c r="X2244" s="4"/>
      <c r="Y2244" s="4"/>
    </row>
    <row r="2245" spans="20:25" x14ac:dyDescent="0.25">
      <c r="T2245" s="10"/>
      <c r="U2245" s="4"/>
      <c r="V2245" s="4"/>
      <c r="X2245" s="4"/>
      <c r="Y2245" s="4"/>
    </row>
    <row r="2246" spans="20:25" x14ac:dyDescent="0.25">
      <c r="T2246" s="10"/>
      <c r="U2246" s="4"/>
      <c r="V2246" s="4"/>
      <c r="X2246" s="4"/>
      <c r="Y2246" s="4"/>
    </row>
    <row r="2247" spans="20:25" x14ac:dyDescent="0.25">
      <c r="T2247" s="10"/>
      <c r="U2247" s="4"/>
      <c r="V2247" s="4"/>
      <c r="X2247" s="4"/>
      <c r="Y2247" s="4"/>
    </row>
    <row r="2248" spans="20:25" x14ac:dyDescent="0.25">
      <c r="T2248" s="10"/>
      <c r="U2248" s="4"/>
      <c r="V2248" s="4"/>
      <c r="X2248" s="4"/>
      <c r="Y2248" s="4"/>
    </row>
    <row r="2249" spans="20:25" x14ac:dyDescent="0.25">
      <c r="T2249" s="10"/>
      <c r="U2249" s="4"/>
      <c r="V2249" s="4"/>
      <c r="X2249" s="4"/>
      <c r="Y2249" s="4"/>
    </row>
    <row r="2250" spans="20:25" x14ac:dyDescent="0.25">
      <c r="T2250" s="10"/>
      <c r="U2250" s="4"/>
      <c r="V2250" s="4"/>
      <c r="X2250" s="4"/>
      <c r="Y2250" s="4"/>
    </row>
    <row r="2251" spans="20:25" x14ac:dyDescent="0.25">
      <c r="T2251" s="10"/>
      <c r="U2251" s="4"/>
      <c r="V2251" s="4"/>
      <c r="X2251" s="4"/>
      <c r="Y2251" s="4"/>
    </row>
    <row r="2252" spans="20:25" x14ac:dyDescent="0.25">
      <c r="T2252" s="10"/>
      <c r="U2252" s="4"/>
      <c r="V2252" s="4"/>
      <c r="X2252" s="4"/>
      <c r="Y2252" s="4"/>
    </row>
    <row r="2253" spans="20:25" x14ac:dyDescent="0.25">
      <c r="T2253" s="10"/>
      <c r="U2253" s="4"/>
      <c r="V2253" s="4"/>
      <c r="X2253" s="4"/>
      <c r="Y2253" s="4"/>
    </row>
    <row r="2254" spans="20:25" x14ac:dyDescent="0.25">
      <c r="T2254" s="10"/>
      <c r="U2254" s="4"/>
      <c r="V2254" s="4"/>
      <c r="X2254" s="4"/>
      <c r="Y2254" s="4"/>
    </row>
    <row r="2255" spans="20:25" x14ac:dyDescent="0.25">
      <c r="T2255" s="10"/>
      <c r="U2255" s="4"/>
      <c r="V2255" s="4"/>
      <c r="X2255" s="4"/>
      <c r="Y2255" s="4"/>
    </row>
    <row r="2256" spans="20:25" x14ac:dyDescent="0.25">
      <c r="T2256" s="10"/>
      <c r="U2256" s="4"/>
      <c r="V2256" s="4"/>
      <c r="X2256" s="4"/>
      <c r="Y2256" s="4"/>
    </row>
    <row r="2257" spans="20:25" x14ac:dyDescent="0.25">
      <c r="T2257" s="10"/>
      <c r="U2257" s="4"/>
      <c r="V2257" s="4"/>
      <c r="X2257" s="4"/>
      <c r="Y2257" s="4"/>
    </row>
    <row r="2258" spans="20:25" x14ac:dyDescent="0.25">
      <c r="T2258" s="10"/>
      <c r="U2258" s="4"/>
      <c r="V2258" s="4"/>
      <c r="X2258" s="4"/>
      <c r="Y2258" s="4"/>
    </row>
    <row r="2259" spans="20:25" x14ac:dyDescent="0.25">
      <c r="T2259" s="10"/>
      <c r="U2259" s="4"/>
      <c r="V2259" s="4"/>
      <c r="X2259" s="4"/>
      <c r="Y2259" s="4"/>
    </row>
    <row r="2260" spans="20:25" x14ac:dyDescent="0.25">
      <c r="T2260" s="10"/>
      <c r="U2260" s="4"/>
      <c r="V2260" s="4"/>
      <c r="X2260" s="4"/>
      <c r="Y2260" s="4"/>
    </row>
    <row r="2261" spans="20:25" x14ac:dyDescent="0.25">
      <c r="T2261" s="10"/>
      <c r="U2261" s="4"/>
      <c r="V2261" s="4"/>
      <c r="X2261" s="4"/>
      <c r="Y2261" s="4"/>
    </row>
    <row r="2262" spans="20:25" x14ac:dyDescent="0.25">
      <c r="T2262" s="10"/>
      <c r="U2262" s="4"/>
      <c r="V2262" s="4"/>
      <c r="X2262" s="4"/>
      <c r="Y2262" s="4"/>
    </row>
    <row r="2263" spans="20:25" x14ac:dyDescent="0.25">
      <c r="T2263" s="10"/>
      <c r="U2263" s="4"/>
      <c r="V2263" s="4"/>
      <c r="X2263" s="4"/>
      <c r="Y2263" s="4"/>
    </row>
    <row r="2264" spans="20:25" x14ac:dyDescent="0.25">
      <c r="T2264" s="10"/>
      <c r="U2264" s="4"/>
      <c r="V2264" s="4"/>
      <c r="X2264" s="4"/>
      <c r="Y2264" s="4"/>
    </row>
    <row r="2265" spans="20:25" x14ac:dyDescent="0.25">
      <c r="T2265" s="10"/>
      <c r="U2265" s="4"/>
      <c r="V2265" s="4"/>
      <c r="X2265" s="4"/>
      <c r="Y2265" s="4"/>
    </row>
    <row r="2266" spans="20:25" x14ac:dyDescent="0.25">
      <c r="T2266" s="10"/>
      <c r="U2266" s="4"/>
      <c r="V2266" s="4"/>
      <c r="X2266" s="4"/>
      <c r="Y2266" s="4"/>
    </row>
    <row r="2267" spans="20:25" x14ac:dyDescent="0.25">
      <c r="T2267" s="10"/>
      <c r="U2267" s="4"/>
      <c r="V2267" s="4"/>
      <c r="X2267" s="4"/>
      <c r="Y2267" s="4"/>
    </row>
    <row r="2268" spans="20:25" x14ac:dyDescent="0.25">
      <c r="T2268" s="10"/>
      <c r="U2268" s="4"/>
      <c r="V2268" s="4"/>
      <c r="X2268" s="4"/>
      <c r="Y2268" s="4"/>
    </row>
    <row r="2269" spans="20:25" x14ac:dyDescent="0.25">
      <c r="T2269" s="10"/>
      <c r="U2269" s="4"/>
      <c r="V2269" s="4"/>
      <c r="X2269" s="4"/>
      <c r="Y2269" s="4"/>
    </row>
    <row r="2270" spans="20:25" x14ac:dyDescent="0.25">
      <c r="T2270" s="10"/>
      <c r="U2270" s="4"/>
      <c r="V2270" s="4"/>
      <c r="X2270" s="4"/>
      <c r="Y2270" s="4"/>
    </row>
    <row r="2271" spans="20:25" x14ac:dyDescent="0.25">
      <c r="T2271" s="10"/>
      <c r="U2271" s="4"/>
      <c r="V2271" s="4"/>
      <c r="X2271" s="4"/>
      <c r="Y2271" s="4"/>
    </row>
    <row r="2272" spans="20:25" x14ac:dyDescent="0.25">
      <c r="T2272" s="10"/>
      <c r="U2272" s="4"/>
      <c r="V2272" s="4"/>
      <c r="X2272" s="4"/>
      <c r="Y2272" s="4"/>
    </row>
    <row r="2273" spans="20:25" x14ac:dyDescent="0.25">
      <c r="T2273" s="10"/>
      <c r="U2273" s="4"/>
      <c r="V2273" s="4"/>
      <c r="X2273" s="4"/>
      <c r="Y2273" s="4"/>
    </row>
    <row r="2274" spans="20:25" x14ac:dyDescent="0.25">
      <c r="T2274" s="10"/>
      <c r="U2274" s="4"/>
      <c r="V2274" s="4"/>
      <c r="X2274" s="4"/>
      <c r="Y2274" s="4"/>
    </row>
    <row r="2275" spans="20:25" x14ac:dyDescent="0.25">
      <c r="T2275" s="10"/>
      <c r="U2275" s="4"/>
      <c r="V2275" s="4"/>
      <c r="X2275" s="4"/>
      <c r="Y2275" s="4"/>
    </row>
    <row r="2276" spans="20:25" x14ac:dyDescent="0.25">
      <c r="T2276" s="10"/>
      <c r="U2276" s="4"/>
      <c r="V2276" s="4"/>
      <c r="X2276" s="4"/>
      <c r="Y2276" s="4"/>
    </row>
    <row r="2277" spans="20:25" x14ac:dyDescent="0.25">
      <c r="T2277" s="10"/>
      <c r="U2277" s="4"/>
      <c r="V2277" s="4"/>
      <c r="X2277" s="4"/>
      <c r="Y2277" s="4"/>
    </row>
    <row r="2278" spans="20:25" x14ac:dyDescent="0.25">
      <c r="T2278" s="10"/>
      <c r="U2278" s="4"/>
      <c r="V2278" s="4"/>
      <c r="X2278" s="4"/>
      <c r="Y2278" s="4"/>
    </row>
    <row r="2279" spans="20:25" x14ac:dyDescent="0.25">
      <c r="T2279" s="10"/>
      <c r="U2279" s="4"/>
      <c r="V2279" s="4"/>
      <c r="X2279" s="4"/>
      <c r="Y2279" s="4"/>
    </row>
    <row r="2280" spans="20:25" x14ac:dyDescent="0.25">
      <c r="T2280" s="10"/>
      <c r="U2280" s="4"/>
      <c r="V2280" s="4"/>
      <c r="X2280" s="4"/>
      <c r="Y2280" s="4"/>
    </row>
    <row r="2281" spans="20:25" x14ac:dyDescent="0.25">
      <c r="T2281" s="10"/>
      <c r="U2281" s="4"/>
      <c r="V2281" s="4"/>
      <c r="X2281" s="4"/>
      <c r="Y2281" s="4"/>
    </row>
    <row r="2282" spans="20:25" x14ac:dyDescent="0.25">
      <c r="T2282" s="10"/>
      <c r="U2282" s="4"/>
      <c r="V2282" s="4"/>
      <c r="X2282" s="4"/>
      <c r="Y2282" s="4"/>
    </row>
    <row r="2283" spans="20:25" x14ac:dyDescent="0.25">
      <c r="T2283" s="10"/>
      <c r="U2283" s="4"/>
      <c r="V2283" s="4"/>
      <c r="X2283" s="4"/>
      <c r="Y2283" s="4"/>
    </row>
    <row r="2284" spans="20:25" x14ac:dyDescent="0.25">
      <c r="T2284" s="10"/>
      <c r="U2284" s="4"/>
      <c r="V2284" s="4"/>
      <c r="X2284" s="4"/>
      <c r="Y2284" s="4"/>
    </row>
    <row r="2285" spans="20:25" x14ac:dyDescent="0.25">
      <c r="T2285" s="10"/>
      <c r="U2285" s="4"/>
      <c r="V2285" s="4"/>
      <c r="X2285" s="4"/>
      <c r="Y2285" s="4"/>
    </row>
    <row r="2286" spans="20:25" x14ac:dyDescent="0.25">
      <c r="T2286" s="10"/>
      <c r="U2286" s="4"/>
      <c r="V2286" s="4"/>
      <c r="X2286" s="4"/>
      <c r="Y2286" s="4"/>
    </row>
    <row r="2287" spans="20:25" x14ac:dyDescent="0.25">
      <c r="T2287" s="10"/>
      <c r="U2287" s="4"/>
      <c r="V2287" s="4"/>
      <c r="X2287" s="4"/>
      <c r="Y2287" s="4"/>
    </row>
    <row r="2288" spans="20:25" x14ac:dyDescent="0.25">
      <c r="T2288" s="10"/>
      <c r="U2288" s="4"/>
      <c r="V2288" s="4"/>
      <c r="X2288" s="4"/>
      <c r="Y2288" s="4"/>
    </row>
    <row r="2289" spans="20:25" x14ac:dyDescent="0.25">
      <c r="T2289" s="10"/>
      <c r="U2289" s="4"/>
      <c r="V2289" s="4"/>
      <c r="X2289" s="4"/>
      <c r="Y2289" s="4"/>
    </row>
    <row r="2290" spans="20:25" x14ac:dyDescent="0.25">
      <c r="T2290" s="10"/>
      <c r="U2290" s="4"/>
      <c r="V2290" s="4"/>
      <c r="X2290" s="4"/>
      <c r="Y2290" s="4"/>
    </row>
    <row r="2291" spans="20:25" x14ac:dyDescent="0.25">
      <c r="T2291" s="10"/>
      <c r="U2291" s="4"/>
      <c r="V2291" s="4"/>
      <c r="X2291" s="4"/>
      <c r="Y2291" s="4"/>
    </row>
    <row r="2292" spans="20:25" x14ac:dyDescent="0.25">
      <c r="T2292" s="10"/>
      <c r="U2292" s="4"/>
      <c r="V2292" s="4"/>
      <c r="X2292" s="4"/>
      <c r="Y2292" s="4"/>
    </row>
    <row r="2293" spans="20:25" x14ac:dyDescent="0.25">
      <c r="T2293" s="10"/>
      <c r="U2293" s="4"/>
      <c r="V2293" s="4"/>
      <c r="X2293" s="4"/>
      <c r="Y2293" s="4"/>
    </row>
    <row r="2294" spans="20:25" x14ac:dyDescent="0.25">
      <c r="T2294" s="10"/>
      <c r="U2294" s="4"/>
      <c r="V2294" s="4"/>
      <c r="X2294" s="4"/>
      <c r="Y2294" s="4"/>
    </row>
    <row r="2295" spans="20:25" x14ac:dyDescent="0.25">
      <c r="T2295" s="10"/>
      <c r="U2295" s="4"/>
      <c r="V2295" s="4"/>
      <c r="X2295" s="4"/>
      <c r="Y2295" s="4"/>
    </row>
    <row r="2296" spans="20:25" x14ac:dyDescent="0.25">
      <c r="T2296" s="10"/>
      <c r="U2296" s="4"/>
      <c r="V2296" s="4"/>
      <c r="X2296" s="4"/>
      <c r="Y2296" s="4"/>
    </row>
    <row r="2297" spans="20:25" x14ac:dyDescent="0.25">
      <c r="T2297" s="10"/>
      <c r="U2297" s="4"/>
      <c r="V2297" s="4"/>
      <c r="X2297" s="4"/>
      <c r="Y2297" s="4"/>
    </row>
    <row r="2298" spans="20:25" x14ac:dyDescent="0.25">
      <c r="T2298" s="10"/>
      <c r="U2298" s="4"/>
      <c r="V2298" s="4"/>
      <c r="X2298" s="4"/>
      <c r="Y2298" s="4"/>
    </row>
    <row r="2299" spans="20:25" x14ac:dyDescent="0.25">
      <c r="T2299" s="10"/>
      <c r="U2299" s="4"/>
      <c r="V2299" s="4"/>
      <c r="X2299" s="4"/>
      <c r="Y2299" s="4"/>
    </row>
    <row r="2300" spans="20:25" x14ac:dyDescent="0.25">
      <c r="T2300" s="10"/>
      <c r="U2300" s="4"/>
      <c r="V2300" s="4"/>
      <c r="X2300" s="4"/>
      <c r="Y2300" s="4"/>
    </row>
    <row r="2301" spans="20:25" x14ac:dyDescent="0.25">
      <c r="T2301" s="10"/>
      <c r="U2301" s="4"/>
      <c r="V2301" s="4"/>
      <c r="X2301" s="4"/>
      <c r="Y2301" s="4"/>
    </row>
    <row r="2302" spans="20:25" x14ac:dyDescent="0.25">
      <c r="T2302" s="10"/>
      <c r="U2302" s="4"/>
      <c r="V2302" s="4"/>
      <c r="X2302" s="4"/>
      <c r="Y2302" s="4"/>
    </row>
    <row r="2303" spans="20:25" x14ac:dyDescent="0.25">
      <c r="T2303" s="10"/>
      <c r="U2303" s="4"/>
      <c r="V2303" s="4"/>
      <c r="X2303" s="4"/>
      <c r="Y2303" s="4"/>
    </row>
    <row r="2304" spans="20:25" x14ac:dyDescent="0.25">
      <c r="T2304" s="10"/>
      <c r="U2304" s="4"/>
      <c r="V2304" s="4"/>
      <c r="X2304" s="4"/>
      <c r="Y2304" s="4"/>
    </row>
    <row r="2305" spans="20:25" x14ac:dyDescent="0.25">
      <c r="T2305" s="10"/>
      <c r="U2305" s="4"/>
      <c r="V2305" s="4"/>
      <c r="X2305" s="4"/>
      <c r="Y2305" s="4"/>
    </row>
    <row r="2306" spans="20:25" x14ac:dyDescent="0.25">
      <c r="T2306" s="10"/>
      <c r="U2306" s="4"/>
      <c r="V2306" s="4"/>
      <c r="X2306" s="4"/>
      <c r="Y2306" s="4"/>
    </row>
    <row r="2307" spans="20:25" x14ac:dyDescent="0.25">
      <c r="T2307" s="10"/>
      <c r="U2307" s="4"/>
      <c r="V2307" s="4"/>
      <c r="X2307" s="4"/>
      <c r="Y2307" s="4"/>
    </row>
    <row r="2308" spans="20:25" x14ac:dyDescent="0.25">
      <c r="T2308" s="10"/>
      <c r="U2308" s="4"/>
      <c r="V2308" s="4"/>
      <c r="X2308" s="4"/>
      <c r="Y2308" s="4"/>
    </row>
    <row r="2309" spans="20:25" x14ac:dyDescent="0.25">
      <c r="T2309" s="10"/>
      <c r="U2309" s="4"/>
      <c r="V2309" s="4"/>
      <c r="X2309" s="4"/>
      <c r="Y2309" s="4"/>
    </row>
    <row r="2310" spans="20:25" x14ac:dyDescent="0.25">
      <c r="T2310" s="10"/>
      <c r="U2310" s="4"/>
      <c r="V2310" s="4"/>
      <c r="X2310" s="4"/>
      <c r="Y2310" s="4"/>
    </row>
    <row r="2311" spans="20:25" x14ac:dyDescent="0.25">
      <c r="T2311" s="10"/>
      <c r="U2311" s="4"/>
      <c r="V2311" s="4"/>
      <c r="X2311" s="4"/>
      <c r="Y2311" s="4"/>
    </row>
    <row r="2312" spans="20:25" x14ac:dyDescent="0.25">
      <c r="T2312" s="10"/>
      <c r="U2312" s="4"/>
      <c r="V2312" s="4"/>
      <c r="X2312" s="4"/>
      <c r="Y2312" s="4"/>
    </row>
    <row r="2313" spans="20:25" x14ac:dyDescent="0.25">
      <c r="T2313" s="10"/>
      <c r="U2313" s="4"/>
      <c r="V2313" s="4"/>
      <c r="X2313" s="4"/>
      <c r="Y2313" s="4"/>
    </row>
    <row r="2314" spans="20:25" x14ac:dyDescent="0.25">
      <c r="T2314" s="10"/>
      <c r="U2314" s="4"/>
      <c r="V2314" s="4"/>
      <c r="X2314" s="4"/>
      <c r="Y2314" s="4"/>
    </row>
    <row r="2315" spans="20:25" x14ac:dyDescent="0.25">
      <c r="T2315" s="10"/>
      <c r="U2315" s="4"/>
      <c r="V2315" s="4"/>
      <c r="X2315" s="4"/>
      <c r="Y2315" s="4"/>
    </row>
    <row r="2316" spans="20:25" x14ac:dyDescent="0.25">
      <c r="T2316" s="10"/>
      <c r="U2316" s="4"/>
      <c r="V2316" s="4"/>
      <c r="X2316" s="4"/>
      <c r="Y2316" s="4"/>
    </row>
    <row r="2317" spans="20:25" x14ac:dyDescent="0.25">
      <c r="T2317" s="10"/>
      <c r="U2317" s="4"/>
      <c r="V2317" s="4"/>
      <c r="X2317" s="4"/>
      <c r="Y2317" s="4"/>
    </row>
    <row r="2318" spans="20:25" x14ac:dyDescent="0.25">
      <c r="T2318" s="10"/>
      <c r="U2318" s="4"/>
      <c r="V2318" s="4"/>
      <c r="X2318" s="4"/>
      <c r="Y2318" s="4"/>
    </row>
    <row r="2319" spans="20:25" x14ac:dyDescent="0.25">
      <c r="T2319" s="10"/>
      <c r="U2319" s="4"/>
      <c r="V2319" s="4"/>
      <c r="X2319" s="4"/>
      <c r="Y2319" s="4"/>
    </row>
    <row r="2320" spans="20:25" x14ac:dyDescent="0.25">
      <c r="T2320" s="10"/>
      <c r="U2320" s="4"/>
      <c r="V2320" s="4"/>
      <c r="X2320" s="4"/>
      <c r="Y2320" s="4"/>
    </row>
    <row r="2321" spans="20:25" x14ac:dyDescent="0.25">
      <c r="T2321" s="10"/>
      <c r="U2321" s="4"/>
      <c r="V2321" s="4"/>
      <c r="X2321" s="4"/>
      <c r="Y2321" s="4"/>
    </row>
    <row r="2322" spans="20:25" x14ac:dyDescent="0.25">
      <c r="T2322" s="10"/>
      <c r="U2322" s="4"/>
      <c r="V2322" s="4"/>
      <c r="X2322" s="4"/>
      <c r="Y2322" s="4"/>
    </row>
    <row r="2323" spans="20:25" x14ac:dyDescent="0.25">
      <c r="T2323" s="10"/>
      <c r="U2323" s="4"/>
      <c r="V2323" s="4"/>
      <c r="X2323" s="4"/>
      <c r="Y2323" s="4"/>
    </row>
    <row r="2324" spans="20:25" x14ac:dyDescent="0.25">
      <c r="T2324" s="10"/>
      <c r="U2324" s="4"/>
      <c r="V2324" s="4"/>
      <c r="X2324" s="4"/>
      <c r="Y2324" s="4"/>
    </row>
    <row r="2325" spans="20:25" x14ac:dyDescent="0.25">
      <c r="T2325" s="10"/>
      <c r="U2325" s="4"/>
      <c r="V2325" s="4"/>
      <c r="X2325" s="4"/>
      <c r="Y2325" s="4"/>
    </row>
    <row r="2326" spans="20:25" x14ac:dyDescent="0.25">
      <c r="T2326" s="10"/>
      <c r="U2326" s="4"/>
      <c r="V2326" s="4"/>
      <c r="X2326" s="4"/>
      <c r="Y2326" s="4"/>
    </row>
    <row r="2327" spans="20:25" x14ac:dyDescent="0.25">
      <c r="T2327" s="10"/>
      <c r="U2327" s="4"/>
      <c r="V2327" s="4"/>
      <c r="X2327" s="4"/>
      <c r="Y2327" s="4"/>
    </row>
    <row r="2328" spans="20:25" x14ac:dyDescent="0.25">
      <c r="T2328" s="10"/>
      <c r="U2328" s="4"/>
      <c r="V2328" s="4"/>
      <c r="X2328" s="4"/>
      <c r="Y2328" s="4"/>
    </row>
    <row r="2329" spans="20:25" x14ac:dyDescent="0.25">
      <c r="T2329" s="10"/>
      <c r="U2329" s="4"/>
      <c r="V2329" s="4"/>
      <c r="X2329" s="4"/>
      <c r="Y2329" s="4"/>
    </row>
    <row r="2330" spans="20:25" x14ac:dyDescent="0.25">
      <c r="T2330" s="10"/>
      <c r="U2330" s="4"/>
      <c r="V2330" s="4"/>
      <c r="X2330" s="4"/>
      <c r="Y2330" s="4"/>
    </row>
    <row r="2331" spans="20:25" x14ac:dyDescent="0.25">
      <c r="T2331" s="10"/>
      <c r="U2331" s="4"/>
      <c r="V2331" s="4"/>
      <c r="X2331" s="4"/>
      <c r="Y2331" s="4"/>
    </row>
    <row r="2332" spans="20:25" x14ac:dyDescent="0.25">
      <c r="T2332" s="10"/>
      <c r="U2332" s="4"/>
      <c r="V2332" s="4"/>
      <c r="X2332" s="4"/>
      <c r="Y2332" s="4"/>
    </row>
    <row r="2333" spans="20:25" x14ac:dyDescent="0.25">
      <c r="T2333" s="10"/>
      <c r="U2333" s="4"/>
      <c r="V2333" s="4"/>
      <c r="X2333" s="4"/>
      <c r="Y2333" s="4"/>
    </row>
    <row r="2334" spans="20:25" x14ac:dyDescent="0.25">
      <c r="T2334" s="10"/>
      <c r="U2334" s="4"/>
      <c r="V2334" s="4"/>
      <c r="X2334" s="4"/>
      <c r="Y2334" s="4"/>
    </row>
    <row r="2335" spans="20:25" x14ac:dyDescent="0.25">
      <c r="T2335" s="10"/>
      <c r="U2335" s="4"/>
      <c r="V2335" s="4"/>
      <c r="X2335" s="4"/>
      <c r="Y2335" s="4"/>
    </row>
    <row r="2336" spans="20:25" x14ac:dyDescent="0.25">
      <c r="T2336" s="10"/>
      <c r="U2336" s="4"/>
      <c r="V2336" s="4"/>
      <c r="X2336" s="4"/>
      <c r="Y2336" s="4"/>
    </row>
    <row r="2337" spans="20:25" x14ac:dyDescent="0.25">
      <c r="T2337" s="10"/>
      <c r="U2337" s="4"/>
      <c r="V2337" s="4"/>
      <c r="X2337" s="4"/>
      <c r="Y2337" s="4"/>
    </row>
    <row r="2338" spans="20:25" x14ac:dyDescent="0.25">
      <c r="T2338" s="10"/>
      <c r="U2338" s="4"/>
      <c r="V2338" s="4"/>
      <c r="X2338" s="4"/>
      <c r="Y2338" s="4"/>
    </row>
    <row r="2339" spans="20:25" x14ac:dyDescent="0.25">
      <c r="T2339" s="10"/>
      <c r="U2339" s="4"/>
      <c r="V2339" s="4"/>
      <c r="X2339" s="4"/>
      <c r="Y2339" s="4"/>
    </row>
    <row r="2340" spans="20:25" x14ac:dyDescent="0.25">
      <c r="T2340" s="10"/>
      <c r="U2340" s="4"/>
      <c r="V2340" s="4"/>
      <c r="X2340" s="4"/>
      <c r="Y2340" s="4"/>
    </row>
    <row r="2341" spans="20:25" x14ac:dyDescent="0.25">
      <c r="T2341" s="10"/>
      <c r="U2341" s="4"/>
      <c r="V2341" s="4"/>
      <c r="X2341" s="4"/>
      <c r="Y2341" s="4"/>
    </row>
    <row r="2342" spans="20:25" x14ac:dyDescent="0.25">
      <c r="T2342" s="10"/>
      <c r="U2342" s="4"/>
      <c r="V2342" s="4"/>
      <c r="X2342" s="4"/>
      <c r="Y2342" s="4"/>
    </row>
    <row r="2343" spans="20:25" x14ac:dyDescent="0.25">
      <c r="T2343" s="10"/>
      <c r="U2343" s="4"/>
      <c r="V2343" s="4"/>
      <c r="X2343" s="4"/>
      <c r="Y2343" s="4"/>
    </row>
    <row r="2344" spans="20:25" x14ac:dyDescent="0.25">
      <c r="T2344" s="10"/>
      <c r="U2344" s="4"/>
      <c r="V2344" s="4"/>
      <c r="X2344" s="4"/>
      <c r="Y2344" s="4"/>
    </row>
    <row r="2345" spans="20:25" x14ac:dyDescent="0.25">
      <c r="T2345" s="10"/>
      <c r="U2345" s="4"/>
      <c r="V2345" s="4"/>
      <c r="X2345" s="4"/>
      <c r="Y2345" s="4"/>
    </row>
    <row r="2346" spans="20:25" x14ac:dyDescent="0.25">
      <c r="T2346" s="10"/>
      <c r="U2346" s="4"/>
      <c r="V2346" s="4"/>
      <c r="X2346" s="4"/>
      <c r="Y2346" s="4"/>
    </row>
    <row r="2347" spans="20:25" x14ac:dyDescent="0.25">
      <c r="T2347" s="10"/>
      <c r="U2347" s="4"/>
      <c r="V2347" s="4"/>
      <c r="X2347" s="4"/>
      <c r="Y2347" s="4"/>
    </row>
    <row r="2348" spans="20:25" x14ac:dyDescent="0.25">
      <c r="T2348" s="10"/>
      <c r="U2348" s="4"/>
      <c r="V2348" s="4"/>
      <c r="X2348" s="4"/>
      <c r="Y2348" s="4"/>
    </row>
    <row r="2349" spans="20:25" x14ac:dyDescent="0.25">
      <c r="T2349" s="10"/>
      <c r="U2349" s="4"/>
      <c r="V2349" s="4"/>
      <c r="X2349" s="4"/>
      <c r="Y2349" s="4"/>
    </row>
    <row r="2350" spans="20:25" x14ac:dyDescent="0.25">
      <c r="T2350" s="10"/>
      <c r="U2350" s="4"/>
      <c r="V2350" s="4"/>
      <c r="X2350" s="4"/>
      <c r="Y2350" s="4"/>
    </row>
    <row r="2351" spans="20:25" x14ac:dyDescent="0.25">
      <c r="T2351" s="10"/>
      <c r="U2351" s="4"/>
      <c r="V2351" s="4"/>
      <c r="X2351" s="4"/>
      <c r="Y2351" s="4"/>
    </row>
    <row r="2352" spans="20:25" x14ac:dyDescent="0.25">
      <c r="T2352" s="10"/>
      <c r="U2352" s="4"/>
      <c r="V2352" s="4"/>
      <c r="X2352" s="4"/>
      <c r="Y2352" s="4"/>
    </row>
    <row r="2353" spans="20:25" x14ac:dyDescent="0.25">
      <c r="T2353" s="10"/>
      <c r="U2353" s="4"/>
      <c r="V2353" s="4"/>
      <c r="X2353" s="4"/>
      <c r="Y2353" s="4"/>
    </row>
    <row r="2354" spans="20:25" x14ac:dyDescent="0.25">
      <c r="T2354" s="10"/>
      <c r="U2354" s="4"/>
      <c r="V2354" s="4"/>
      <c r="X2354" s="4"/>
      <c r="Y2354" s="4"/>
    </row>
    <row r="2355" spans="20:25" x14ac:dyDescent="0.25">
      <c r="T2355" s="10"/>
      <c r="U2355" s="4"/>
      <c r="V2355" s="4"/>
      <c r="X2355" s="4"/>
      <c r="Y2355" s="4"/>
    </row>
    <row r="2356" spans="20:25" x14ac:dyDescent="0.25">
      <c r="T2356" s="10"/>
      <c r="U2356" s="4"/>
      <c r="V2356" s="4"/>
      <c r="X2356" s="4"/>
      <c r="Y2356" s="4"/>
    </row>
    <row r="2357" spans="20:25" x14ac:dyDescent="0.25">
      <c r="T2357" s="10"/>
      <c r="U2357" s="4"/>
      <c r="V2357" s="4"/>
      <c r="X2357" s="4"/>
      <c r="Y2357" s="4"/>
    </row>
    <row r="2358" spans="20:25" x14ac:dyDescent="0.25">
      <c r="T2358" s="10"/>
      <c r="U2358" s="4"/>
      <c r="V2358" s="4"/>
      <c r="X2358" s="4"/>
      <c r="Y2358" s="4"/>
    </row>
    <row r="2359" spans="20:25" x14ac:dyDescent="0.25">
      <c r="T2359" s="10"/>
      <c r="U2359" s="4"/>
      <c r="V2359" s="4"/>
      <c r="X2359" s="4"/>
      <c r="Y2359" s="4"/>
    </row>
    <row r="2360" spans="20:25" x14ac:dyDescent="0.25">
      <c r="T2360" s="10"/>
      <c r="U2360" s="4"/>
      <c r="V2360" s="4"/>
      <c r="X2360" s="4"/>
      <c r="Y2360" s="4"/>
    </row>
    <row r="2361" spans="20:25" x14ac:dyDescent="0.25">
      <c r="T2361" s="10"/>
      <c r="U2361" s="4"/>
      <c r="V2361" s="4"/>
      <c r="X2361" s="4"/>
      <c r="Y2361" s="4"/>
    </row>
    <row r="2362" spans="20:25" x14ac:dyDescent="0.25">
      <c r="T2362" s="10"/>
      <c r="U2362" s="4"/>
      <c r="V2362" s="4"/>
      <c r="X2362" s="4"/>
      <c r="Y2362" s="4"/>
    </row>
    <row r="2363" spans="20:25" x14ac:dyDescent="0.25">
      <c r="T2363" s="10"/>
      <c r="U2363" s="4"/>
      <c r="V2363" s="4"/>
      <c r="X2363" s="4"/>
      <c r="Y2363" s="4"/>
    </row>
    <row r="2364" spans="20:25" x14ac:dyDescent="0.25">
      <c r="T2364" s="10"/>
      <c r="U2364" s="4"/>
      <c r="V2364" s="4"/>
      <c r="X2364" s="4"/>
      <c r="Y2364" s="4"/>
    </row>
    <row r="2365" spans="20:25" x14ac:dyDescent="0.25">
      <c r="T2365" s="10"/>
      <c r="U2365" s="4"/>
      <c r="V2365" s="4"/>
      <c r="X2365" s="4"/>
      <c r="Y2365" s="4"/>
    </row>
    <row r="2366" spans="20:25" x14ac:dyDescent="0.25">
      <c r="T2366" s="10"/>
      <c r="U2366" s="4"/>
      <c r="V2366" s="4"/>
      <c r="X2366" s="4"/>
      <c r="Y2366" s="4"/>
    </row>
    <row r="2367" spans="20:25" x14ac:dyDescent="0.25">
      <c r="T2367" s="10"/>
      <c r="U2367" s="4"/>
      <c r="V2367" s="4"/>
      <c r="X2367" s="4"/>
      <c r="Y2367" s="4"/>
    </row>
    <row r="2368" spans="20:25" x14ac:dyDescent="0.25">
      <c r="T2368" s="10"/>
      <c r="U2368" s="4"/>
      <c r="V2368" s="4"/>
      <c r="X2368" s="4"/>
      <c r="Y2368" s="4"/>
    </row>
    <row r="2369" spans="20:25" x14ac:dyDescent="0.25">
      <c r="T2369" s="10"/>
      <c r="U2369" s="4"/>
      <c r="V2369" s="4"/>
      <c r="X2369" s="4"/>
      <c r="Y2369" s="4"/>
    </row>
    <row r="2370" spans="20:25" x14ac:dyDescent="0.25">
      <c r="T2370" s="10"/>
      <c r="U2370" s="4"/>
      <c r="V2370" s="4"/>
      <c r="X2370" s="4"/>
      <c r="Y2370" s="4"/>
    </row>
    <row r="2371" spans="20:25" x14ac:dyDescent="0.25">
      <c r="T2371" s="10"/>
      <c r="U2371" s="4"/>
      <c r="V2371" s="4"/>
      <c r="X2371" s="4"/>
      <c r="Y2371" s="4"/>
    </row>
    <row r="2372" spans="20:25" x14ac:dyDescent="0.25">
      <c r="T2372" s="10"/>
      <c r="U2372" s="4"/>
      <c r="V2372" s="4"/>
      <c r="X2372" s="4"/>
      <c r="Y2372" s="4"/>
    </row>
    <row r="2373" spans="20:25" x14ac:dyDescent="0.25">
      <c r="T2373" s="10"/>
      <c r="U2373" s="4"/>
      <c r="V2373" s="4"/>
      <c r="X2373" s="4"/>
      <c r="Y2373" s="4"/>
    </row>
    <row r="2374" spans="20:25" x14ac:dyDescent="0.25">
      <c r="T2374" s="10"/>
      <c r="U2374" s="4"/>
      <c r="V2374" s="4"/>
      <c r="X2374" s="4"/>
      <c r="Y2374" s="4"/>
    </row>
    <row r="2375" spans="20:25" x14ac:dyDescent="0.25">
      <c r="T2375" s="10"/>
      <c r="U2375" s="4"/>
      <c r="V2375" s="4"/>
      <c r="X2375" s="4"/>
      <c r="Y2375" s="4"/>
    </row>
    <row r="2376" spans="20:25" x14ac:dyDescent="0.25">
      <c r="T2376" s="10"/>
      <c r="U2376" s="4"/>
      <c r="V2376" s="4"/>
      <c r="X2376" s="4"/>
      <c r="Y2376" s="4"/>
    </row>
    <row r="2377" spans="20:25" x14ac:dyDescent="0.25">
      <c r="T2377" s="10"/>
      <c r="U2377" s="4"/>
      <c r="V2377" s="4"/>
      <c r="X2377" s="4"/>
      <c r="Y2377" s="4"/>
    </row>
    <row r="2378" spans="20:25" x14ac:dyDescent="0.25">
      <c r="T2378" s="10"/>
      <c r="U2378" s="4"/>
      <c r="V2378" s="4"/>
      <c r="X2378" s="4"/>
      <c r="Y2378" s="4"/>
    </row>
    <row r="2379" spans="20:25" x14ac:dyDescent="0.25">
      <c r="T2379" s="10"/>
      <c r="U2379" s="4"/>
      <c r="V2379" s="4"/>
      <c r="X2379" s="4"/>
      <c r="Y2379" s="4"/>
    </row>
    <row r="2380" spans="20:25" x14ac:dyDescent="0.25">
      <c r="T2380" s="10"/>
      <c r="U2380" s="4"/>
      <c r="V2380" s="4"/>
      <c r="X2380" s="4"/>
      <c r="Y2380" s="4"/>
    </row>
    <row r="2381" spans="20:25" x14ac:dyDescent="0.25">
      <c r="T2381" s="10"/>
      <c r="U2381" s="4"/>
      <c r="V2381" s="4"/>
      <c r="X2381" s="4"/>
      <c r="Y2381" s="4"/>
    </row>
    <row r="2382" spans="20:25" x14ac:dyDescent="0.25">
      <c r="T2382" s="10"/>
      <c r="U2382" s="4"/>
      <c r="V2382" s="4"/>
      <c r="X2382" s="4"/>
      <c r="Y2382" s="4"/>
    </row>
    <row r="2383" spans="20:25" x14ac:dyDescent="0.25">
      <c r="T2383" s="10"/>
      <c r="U2383" s="4"/>
      <c r="V2383" s="4"/>
      <c r="X2383" s="4"/>
      <c r="Y2383" s="4"/>
    </row>
    <row r="2384" spans="20:25" x14ac:dyDescent="0.25">
      <c r="T2384" s="10"/>
      <c r="U2384" s="4"/>
      <c r="V2384" s="4"/>
      <c r="X2384" s="4"/>
      <c r="Y2384" s="4"/>
    </row>
    <row r="2385" spans="20:25" x14ac:dyDescent="0.25">
      <c r="T2385" s="10"/>
      <c r="U2385" s="4"/>
      <c r="V2385" s="4"/>
      <c r="X2385" s="4"/>
      <c r="Y2385" s="4"/>
    </row>
    <row r="2386" spans="20:25" x14ac:dyDescent="0.25">
      <c r="T2386" s="10"/>
      <c r="U2386" s="4"/>
      <c r="V2386" s="4"/>
      <c r="X2386" s="4"/>
      <c r="Y2386" s="4"/>
    </row>
    <row r="2387" spans="20:25" x14ac:dyDescent="0.25">
      <c r="T2387" s="10"/>
      <c r="U2387" s="4"/>
      <c r="V2387" s="4"/>
      <c r="X2387" s="4"/>
      <c r="Y2387" s="4"/>
    </row>
    <row r="2388" spans="20:25" x14ac:dyDescent="0.25">
      <c r="T2388" s="10"/>
      <c r="U2388" s="4"/>
      <c r="V2388" s="4"/>
      <c r="X2388" s="4"/>
      <c r="Y2388" s="4"/>
    </row>
    <row r="2389" spans="20:25" x14ac:dyDescent="0.25">
      <c r="T2389" s="10"/>
      <c r="U2389" s="4"/>
      <c r="V2389" s="4"/>
      <c r="X2389" s="4"/>
      <c r="Y2389" s="4"/>
    </row>
    <row r="2390" spans="20:25" x14ac:dyDescent="0.25">
      <c r="T2390" s="10"/>
      <c r="U2390" s="4"/>
      <c r="V2390" s="4"/>
      <c r="X2390" s="4"/>
      <c r="Y2390" s="4"/>
    </row>
    <row r="2391" spans="20:25" x14ac:dyDescent="0.25">
      <c r="T2391" s="10"/>
      <c r="U2391" s="4"/>
      <c r="V2391" s="4"/>
      <c r="X2391" s="4"/>
      <c r="Y2391" s="4"/>
    </row>
    <row r="2392" spans="20:25" x14ac:dyDescent="0.25">
      <c r="T2392" s="10"/>
      <c r="U2392" s="4"/>
      <c r="V2392" s="4"/>
      <c r="X2392" s="4"/>
      <c r="Y2392" s="4"/>
    </row>
    <row r="2393" spans="20:25" x14ac:dyDescent="0.25">
      <c r="T2393" s="10"/>
      <c r="U2393" s="4"/>
      <c r="V2393" s="4"/>
      <c r="X2393" s="4"/>
      <c r="Y2393" s="4"/>
    </row>
    <row r="2394" spans="20:25" x14ac:dyDescent="0.25">
      <c r="T2394" s="10"/>
      <c r="U2394" s="4"/>
      <c r="V2394" s="4"/>
      <c r="X2394" s="4"/>
      <c r="Y2394" s="4"/>
    </row>
    <row r="2395" spans="20:25" x14ac:dyDescent="0.25">
      <c r="T2395" s="10"/>
      <c r="U2395" s="4"/>
      <c r="V2395" s="4"/>
      <c r="X2395" s="4"/>
      <c r="Y2395" s="4"/>
    </row>
    <row r="2396" spans="20:25" x14ac:dyDescent="0.25">
      <c r="T2396" s="10"/>
      <c r="U2396" s="4"/>
      <c r="V2396" s="4"/>
      <c r="X2396" s="4"/>
      <c r="Y2396" s="4"/>
    </row>
    <row r="2397" spans="20:25" x14ac:dyDescent="0.25">
      <c r="T2397" s="10"/>
      <c r="U2397" s="4"/>
      <c r="V2397" s="4"/>
      <c r="X2397" s="4"/>
      <c r="Y2397" s="4"/>
    </row>
    <row r="2398" spans="20:25" x14ac:dyDescent="0.25">
      <c r="T2398" s="10"/>
      <c r="U2398" s="4"/>
      <c r="V2398" s="4"/>
      <c r="X2398" s="4"/>
      <c r="Y2398" s="4"/>
    </row>
    <row r="2399" spans="20:25" x14ac:dyDescent="0.25">
      <c r="T2399" s="10"/>
      <c r="U2399" s="4"/>
      <c r="V2399" s="4"/>
      <c r="X2399" s="4"/>
      <c r="Y2399" s="4"/>
    </row>
    <row r="2400" spans="20:25" x14ac:dyDescent="0.25">
      <c r="T2400" s="10"/>
      <c r="U2400" s="4"/>
      <c r="V2400" s="4"/>
      <c r="X2400" s="4"/>
      <c r="Y2400" s="4"/>
    </row>
    <row r="2401" spans="20:25" x14ac:dyDescent="0.25">
      <c r="T2401" s="10"/>
      <c r="U2401" s="4"/>
      <c r="V2401" s="4"/>
      <c r="X2401" s="4"/>
      <c r="Y2401" s="4"/>
    </row>
    <row r="2402" spans="20:25" x14ac:dyDescent="0.25">
      <c r="T2402" s="10"/>
      <c r="U2402" s="4"/>
      <c r="V2402" s="4"/>
      <c r="X2402" s="4"/>
      <c r="Y2402" s="4"/>
    </row>
    <row r="2403" spans="20:25" x14ac:dyDescent="0.25">
      <c r="T2403" s="10"/>
      <c r="U2403" s="4"/>
      <c r="V2403" s="4"/>
      <c r="X2403" s="4"/>
      <c r="Y2403" s="4"/>
    </row>
    <row r="2404" spans="20:25" x14ac:dyDescent="0.25">
      <c r="T2404" s="10"/>
      <c r="U2404" s="4"/>
      <c r="V2404" s="4"/>
      <c r="X2404" s="4"/>
      <c r="Y2404" s="4"/>
    </row>
    <row r="2405" spans="20:25" x14ac:dyDescent="0.25">
      <c r="T2405" s="10"/>
      <c r="U2405" s="4"/>
      <c r="V2405" s="4"/>
      <c r="X2405" s="4"/>
      <c r="Y2405" s="4"/>
    </row>
    <row r="2406" spans="20:25" x14ac:dyDescent="0.25">
      <c r="T2406" s="10"/>
      <c r="U2406" s="4"/>
      <c r="V2406" s="4"/>
      <c r="X2406" s="4"/>
      <c r="Y2406" s="4"/>
    </row>
    <row r="2407" spans="20:25" x14ac:dyDescent="0.25">
      <c r="T2407" s="10"/>
      <c r="U2407" s="4"/>
      <c r="V2407" s="4"/>
      <c r="X2407" s="4"/>
      <c r="Y2407" s="4"/>
    </row>
    <row r="2408" spans="20:25" x14ac:dyDescent="0.25">
      <c r="T2408" s="10"/>
      <c r="U2408" s="4"/>
      <c r="V2408" s="4"/>
      <c r="X2408" s="4"/>
      <c r="Y2408" s="4"/>
    </row>
    <row r="2409" spans="20:25" x14ac:dyDescent="0.25">
      <c r="T2409" s="10"/>
      <c r="U2409" s="4"/>
      <c r="V2409" s="4"/>
      <c r="X2409" s="4"/>
      <c r="Y2409" s="4"/>
    </row>
    <row r="2410" spans="20:25" x14ac:dyDescent="0.25">
      <c r="T2410" s="10"/>
      <c r="U2410" s="4"/>
      <c r="V2410" s="4"/>
      <c r="X2410" s="4"/>
      <c r="Y2410" s="4"/>
    </row>
    <row r="2411" spans="20:25" x14ac:dyDescent="0.25">
      <c r="T2411" s="10"/>
      <c r="U2411" s="4"/>
      <c r="V2411" s="4"/>
      <c r="X2411" s="4"/>
      <c r="Y2411" s="4"/>
    </row>
    <row r="2412" spans="20:25" x14ac:dyDescent="0.25">
      <c r="T2412" s="10"/>
      <c r="U2412" s="4"/>
      <c r="V2412" s="4"/>
      <c r="X2412" s="4"/>
      <c r="Y2412" s="4"/>
    </row>
    <row r="2413" spans="20:25" x14ac:dyDescent="0.25">
      <c r="T2413" s="10"/>
      <c r="U2413" s="4"/>
      <c r="V2413" s="4"/>
      <c r="X2413" s="4"/>
      <c r="Y2413" s="4"/>
    </row>
    <row r="2414" spans="20:25" x14ac:dyDescent="0.25">
      <c r="T2414" s="10"/>
      <c r="U2414" s="4"/>
      <c r="V2414" s="4"/>
      <c r="X2414" s="4"/>
      <c r="Y2414" s="4"/>
    </row>
    <row r="2415" spans="20:25" x14ac:dyDescent="0.25">
      <c r="T2415" s="10"/>
      <c r="U2415" s="4"/>
      <c r="V2415" s="4"/>
      <c r="X2415" s="4"/>
      <c r="Y2415" s="4"/>
    </row>
    <row r="2416" spans="20:25" x14ac:dyDescent="0.25">
      <c r="T2416" s="10"/>
      <c r="U2416" s="4"/>
      <c r="V2416" s="4"/>
      <c r="X2416" s="4"/>
      <c r="Y2416" s="4"/>
    </row>
    <row r="2417" spans="20:25" x14ac:dyDescent="0.25">
      <c r="T2417" s="10"/>
      <c r="U2417" s="4"/>
      <c r="V2417" s="4"/>
      <c r="X2417" s="4"/>
      <c r="Y2417" s="4"/>
    </row>
    <row r="2418" spans="20:25" x14ac:dyDescent="0.25">
      <c r="T2418" s="10"/>
      <c r="U2418" s="4"/>
      <c r="V2418" s="4"/>
      <c r="X2418" s="4"/>
      <c r="Y2418" s="4"/>
    </row>
    <row r="2419" spans="20:25" x14ac:dyDescent="0.25">
      <c r="T2419" s="10"/>
      <c r="U2419" s="4"/>
      <c r="V2419" s="4"/>
      <c r="X2419" s="4"/>
      <c r="Y2419" s="4"/>
    </row>
    <row r="2420" spans="20:25" x14ac:dyDescent="0.25">
      <c r="T2420" s="10"/>
      <c r="U2420" s="4"/>
      <c r="V2420" s="4"/>
      <c r="X2420" s="4"/>
      <c r="Y2420" s="4"/>
    </row>
    <row r="2421" spans="20:25" x14ac:dyDescent="0.25">
      <c r="T2421" s="10"/>
      <c r="U2421" s="4"/>
      <c r="V2421" s="4"/>
      <c r="X2421" s="4"/>
      <c r="Y2421" s="4"/>
    </row>
    <row r="2422" spans="20:25" x14ac:dyDescent="0.25">
      <c r="T2422" s="10"/>
      <c r="U2422" s="4"/>
      <c r="V2422" s="4"/>
      <c r="X2422" s="4"/>
      <c r="Y2422" s="4"/>
    </row>
    <row r="2423" spans="20:25" x14ac:dyDescent="0.25">
      <c r="T2423" s="10"/>
      <c r="U2423" s="4"/>
      <c r="V2423" s="4"/>
      <c r="X2423" s="4"/>
      <c r="Y2423" s="4"/>
    </row>
    <row r="2424" spans="20:25" x14ac:dyDescent="0.25">
      <c r="T2424" s="10"/>
      <c r="U2424" s="4"/>
      <c r="V2424" s="4"/>
      <c r="X2424" s="4"/>
      <c r="Y2424" s="4"/>
    </row>
    <row r="2425" spans="20:25" x14ac:dyDescent="0.25">
      <c r="T2425" s="10"/>
      <c r="U2425" s="4"/>
      <c r="V2425" s="4"/>
      <c r="X2425" s="4"/>
      <c r="Y2425" s="4"/>
    </row>
    <row r="2426" spans="20:25" x14ac:dyDescent="0.25">
      <c r="T2426" s="10"/>
      <c r="U2426" s="4"/>
      <c r="V2426" s="4"/>
      <c r="X2426" s="4"/>
      <c r="Y2426" s="4"/>
    </row>
    <row r="2427" spans="20:25" x14ac:dyDescent="0.25">
      <c r="T2427" s="10"/>
      <c r="U2427" s="4"/>
      <c r="V2427" s="4"/>
      <c r="X2427" s="4"/>
      <c r="Y2427" s="4"/>
    </row>
    <row r="2428" spans="20:25" x14ac:dyDescent="0.25">
      <c r="T2428" s="10"/>
      <c r="U2428" s="4"/>
      <c r="V2428" s="4"/>
      <c r="X2428" s="4"/>
      <c r="Y2428" s="4"/>
    </row>
    <row r="2429" spans="20:25" x14ac:dyDescent="0.25">
      <c r="T2429" s="10"/>
      <c r="U2429" s="4"/>
      <c r="V2429" s="4"/>
      <c r="X2429" s="4"/>
      <c r="Y2429" s="4"/>
    </row>
    <row r="2430" spans="20:25" x14ac:dyDescent="0.25">
      <c r="T2430" s="10"/>
      <c r="U2430" s="4"/>
      <c r="V2430" s="4"/>
      <c r="X2430" s="4"/>
      <c r="Y2430" s="4"/>
    </row>
    <row r="2431" spans="20:25" x14ac:dyDescent="0.25">
      <c r="T2431" s="10"/>
      <c r="U2431" s="4"/>
      <c r="V2431" s="4"/>
      <c r="X2431" s="4"/>
      <c r="Y2431" s="4"/>
    </row>
    <row r="2432" spans="20:25" x14ac:dyDescent="0.25">
      <c r="T2432" s="10"/>
      <c r="U2432" s="4"/>
      <c r="V2432" s="4"/>
      <c r="X2432" s="4"/>
      <c r="Y2432" s="4"/>
    </row>
    <row r="2433" spans="20:25" x14ac:dyDescent="0.25">
      <c r="T2433" s="10"/>
      <c r="U2433" s="4"/>
      <c r="V2433" s="4"/>
      <c r="X2433" s="4"/>
      <c r="Y2433" s="4"/>
    </row>
    <row r="2434" spans="20:25" x14ac:dyDescent="0.25">
      <c r="T2434" s="10"/>
      <c r="U2434" s="4"/>
      <c r="V2434" s="4"/>
      <c r="X2434" s="4"/>
      <c r="Y2434" s="4"/>
    </row>
    <row r="2435" spans="20:25" x14ac:dyDescent="0.25">
      <c r="T2435" s="10"/>
      <c r="U2435" s="4"/>
      <c r="V2435" s="4"/>
      <c r="X2435" s="4"/>
      <c r="Y2435" s="4"/>
    </row>
    <row r="2436" spans="20:25" x14ac:dyDescent="0.25">
      <c r="T2436" s="10"/>
      <c r="U2436" s="4"/>
      <c r="V2436" s="4"/>
      <c r="X2436" s="4"/>
      <c r="Y2436" s="4"/>
    </row>
    <row r="2437" spans="20:25" x14ac:dyDescent="0.25">
      <c r="T2437" s="10"/>
      <c r="U2437" s="4"/>
      <c r="V2437" s="4"/>
      <c r="X2437" s="4"/>
      <c r="Y2437" s="4"/>
    </row>
    <row r="2438" spans="20:25" x14ac:dyDescent="0.25">
      <c r="T2438" s="10"/>
      <c r="U2438" s="4"/>
      <c r="V2438" s="4"/>
      <c r="X2438" s="4"/>
      <c r="Y2438" s="4"/>
    </row>
    <row r="2439" spans="20:25" x14ac:dyDescent="0.25">
      <c r="T2439" s="10"/>
      <c r="U2439" s="4"/>
      <c r="V2439" s="4"/>
      <c r="X2439" s="4"/>
      <c r="Y2439" s="4"/>
    </row>
    <row r="2440" spans="20:25" x14ac:dyDescent="0.25">
      <c r="T2440" s="10"/>
      <c r="U2440" s="4"/>
      <c r="V2440" s="4"/>
      <c r="X2440" s="4"/>
      <c r="Y2440" s="4"/>
    </row>
    <row r="2441" spans="20:25" x14ac:dyDescent="0.25">
      <c r="T2441" s="10"/>
      <c r="U2441" s="4"/>
      <c r="V2441" s="4"/>
      <c r="X2441" s="4"/>
      <c r="Y2441" s="4"/>
    </row>
    <row r="2442" spans="20:25" x14ac:dyDescent="0.25">
      <c r="T2442" s="10"/>
      <c r="U2442" s="4"/>
      <c r="V2442" s="4"/>
      <c r="X2442" s="4"/>
      <c r="Y2442" s="4"/>
    </row>
    <row r="2443" spans="20:25" x14ac:dyDescent="0.25">
      <c r="T2443" s="10"/>
      <c r="U2443" s="4"/>
      <c r="V2443" s="4"/>
      <c r="X2443" s="4"/>
      <c r="Y2443" s="4"/>
    </row>
    <row r="2444" spans="20:25" x14ac:dyDescent="0.25">
      <c r="T2444" s="10"/>
      <c r="U2444" s="4"/>
      <c r="V2444" s="4"/>
      <c r="X2444" s="4"/>
      <c r="Y2444" s="4"/>
    </row>
    <row r="2445" spans="20:25" x14ac:dyDescent="0.25">
      <c r="T2445" s="10"/>
      <c r="U2445" s="4"/>
      <c r="V2445" s="4"/>
      <c r="X2445" s="4"/>
      <c r="Y2445" s="4"/>
    </row>
    <row r="2446" spans="20:25" x14ac:dyDescent="0.25">
      <c r="T2446" s="10"/>
      <c r="U2446" s="4"/>
      <c r="V2446" s="4"/>
      <c r="X2446" s="4"/>
      <c r="Y2446" s="4"/>
    </row>
    <row r="2447" spans="20:25" x14ac:dyDescent="0.25">
      <c r="T2447" s="10"/>
      <c r="U2447" s="4"/>
      <c r="V2447" s="4"/>
      <c r="X2447" s="4"/>
      <c r="Y2447" s="4"/>
    </row>
    <row r="2448" spans="20:25" x14ac:dyDescent="0.25">
      <c r="T2448" s="10"/>
      <c r="U2448" s="4"/>
      <c r="V2448" s="4"/>
      <c r="X2448" s="4"/>
      <c r="Y2448" s="4"/>
    </row>
    <row r="2449" spans="20:25" x14ac:dyDescent="0.25">
      <c r="T2449" s="10"/>
      <c r="U2449" s="4"/>
      <c r="V2449" s="4"/>
      <c r="X2449" s="4"/>
      <c r="Y2449" s="4"/>
    </row>
    <row r="2450" spans="20:25" x14ac:dyDescent="0.25">
      <c r="T2450" s="10"/>
      <c r="U2450" s="4"/>
      <c r="V2450" s="4"/>
      <c r="X2450" s="4"/>
      <c r="Y2450" s="4"/>
    </row>
    <row r="2451" spans="20:25" x14ac:dyDescent="0.25">
      <c r="T2451" s="10"/>
      <c r="U2451" s="4"/>
      <c r="V2451" s="4"/>
      <c r="X2451" s="4"/>
      <c r="Y2451" s="4"/>
    </row>
    <row r="2452" spans="20:25" x14ac:dyDescent="0.25">
      <c r="T2452" s="10"/>
      <c r="U2452" s="4"/>
      <c r="V2452" s="4"/>
      <c r="X2452" s="4"/>
      <c r="Y2452" s="4"/>
    </row>
    <row r="2453" spans="20:25" x14ac:dyDescent="0.25">
      <c r="T2453" s="10"/>
      <c r="U2453" s="4"/>
      <c r="V2453" s="4"/>
      <c r="X2453" s="4"/>
      <c r="Y2453" s="4"/>
    </row>
    <row r="2454" spans="20:25" x14ac:dyDescent="0.25">
      <c r="T2454" s="10"/>
      <c r="U2454" s="4"/>
      <c r="V2454" s="4"/>
      <c r="X2454" s="4"/>
      <c r="Y2454" s="4"/>
    </row>
    <row r="2455" spans="20:25" x14ac:dyDescent="0.25">
      <c r="T2455" s="10"/>
      <c r="U2455" s="4"/>
      <c r="V2455" s="4"/>
      <c r="X2455" s="4"/>
      <c r="Y2455" s="4"/>
    </row>
    <row r="2456" spans="20:25" x14ac:dyDescent="0.25">
      <c r="T2456" s="10"/>
      <c r="U2456" s="4"/>
      <c r="V2456" s="4"/>
      <c r="X2456" s="4"/>
      <c r="Y2456" s="4"/>
    </row>
    <row r="2457" spans="20:25" x14ac:dyDescent="0.25">
      <c r="T2457" s="10"/>
      <c r="U2457" s="4"/>
      <c r="V2457" s="4"/>
      <c r="X2457" s="4"/>
      <c r="Y2457" s="4"/>
    </row>
    <row r="2458" spans="20:25" x14ac:dyDescent="0.25">
      <c r="T2458" s="10"/>
      <c r="U2458" s="4"/>
      <c r="V2458" s="4"/>
      <c r="X2458" s="4"/>
      <c r="Y2458" s="4"/>
    </row>
    <row r="2459" spans="20:25" x14ac:dyDescent="0.25">
      <c r="T2459" s="10"/>
      <c r="U2459" s="4"/>
      <c r="V2459" s="4"/>
      <c r="X2459" s="4"/>
      <c r="Y2459" s="4"/>
    </row>
    <row r="2460" spans="20:25" x14ac:dyDescent="0.25">
      <c r="T2460" s="10"/>
      <c r="U2460" s="4"/>
      <c r="V2460" s="4"/>
      <c r="X2460" s="4"/>
      <c r="Y2460" s="4"/>
    </row>
    <row r="2461" spans="20:25" x14ac:dyDescent="0.25">
      <c r="T2461" s="10"/>
      <c r="U2461" s="4"/>
      <c r="V2461" s="4"/>
      <c r="X2461" s="4"/>
      <c r="Y2461" s="4"/>
    </row>
    <row r="2462" spans="20:25" x14ac:dyDescent="0.25">
      <c r="T2462" s="10"/>
      <c r="U2462" s="4"/>
      <c r="V2462" s="4"/>
      <c r="X2462" s="4"/>
      <c r="Y2462" s="4"/>
    </row>
    <row r="2463" spans="20:25" x14ac:dyDescent="0.25">
      <c r="T2463" s="10"/>
      <c r="U2463" s="4"/>
      <c r="V2463" s="4"/>
      <c r="X2463" s="4"/>
      <c r="Y2463" s="4"/>
    </row>
    <row r="2464" spans="20:25" x14ac:dyDescent="0.25">
      <c r="T2464" s="10"/>
      <c r="U2464" s="4"/>
      <c r="V2464" s="4"/>
      <c r="X2464" s="4"/>
      <c r="Y2464" s="4"/>
    </row>
    <row r="2465" spans="20:25" x14ac:dyDescent="0.25">
      <c r="T2465" s="10"/>
      <c r="U2465" s="4"/>
      <c r="V2465" s="4"/>
      <c r="X2465" s="4"/>
      <c r="Y2465" s="4"/>
    </row>
    <row r="2466" spans="20:25" x14ac:dyDescent="0.25">
      <c r="T2466" s="10"/>
      <c r="U2466" s="4"/>
      <c r="V2466" s="4"/>
      <c r="X2466" s="4"/>
      <c r="Y2466" s="4"/>
    </row>
    <row r="2467" spans="20:25" x14ac:dyDescent="0.25">
      <c r="T2467" s="10"/>
      <c r="U2467" s="4"/>
      <c r="V2467" s="4"/>
      <c r="X2467" s="4"/>
      <c r="Y2467" s="4"/>
    </row>
    <row r="2468" spans="20:25" x14ac:dyDescent="0.25">
      <c r="T2468" s="10"/>
      <c r="U2468" s="4"/>
      <c r="V2468" s="4"/>
      <c r="X2468" s="4"/>
      <c r="Y2468" s="4"/>
    </row>
    <row r="2469" spans="20:25" x14ac:dyDescent="0.25">
      <c r="T2469" s="10"/>
      <c r="U2469" s="4"/>
      <c r="V2469" s="4"/>
      <c r="X2469" s="4"/>
      <c r="Y2469" s="4"/>
    </row>
    <row r="2470" spans="20:25" x14ac:dyDescent="0.25">
      <c r="T2470" s="10"/>
      <c r="U2470" s="4"/>
      <c r="V2470" s="4"/>
      <c r="X2470" s="4"/>
      <c r="Y2470" s="4"/>
    </row>
    <row r="2471" spans="20:25" x14ac:dyDescent="0.25">
      <c r="T2471" s="10"/>
      <c r="U2471" s="4"/>
      <c r="V2471" s="4"/>
      <c r="X2471" s="4"/>
      <c r="Y2471" s="4"/>
    </row>
    <row r="2472" spans="20:25" x14ac:dyDescent="0.25">
      <c r="T2472" s="10"/>
      <c r="U2472" s="4"/>
      <c r="V2472" s="4"/>
      <c r="X2472" s="4"/>
      <c r="Y2472" s="4"/>
    </row>
    <row r="2473" spans="20:25" x14ac:dyDescent="0.25">
      <c r="T2473" s="10"/>
      <c r="U2473" s="4"/>
      <c r="V2473" s="4"/>
      <c r="X2473" s="4"/>
      <c r="Y2473" s="4"/>
    </row>
    <row r="2474" spans="20:25" x14ac:dyDescent="0.25">
      <c r="T2474" s="10"/>
      <c r="U2474" s="4"/>
      <c r="V2474" s="4"/>
      <c r="X2474" s="4"/>
      <c r="Y2474" s="4"/>
    </row>
    <row r="2475" spans="20:25" x14ac:dyDescent="0.25">
      <c r="T2475" s="10"/>
      <c r="U2475" s="4"/>
      <c r="V2475" s="4"/>
      <c r="X2475" s="4"/>
      <c r="Y2475" s="4"/>
    </row>
    <row r="2476" spans="20:25" x14ac:dyDescent="0.25">
      <c r="T2476" s="10"/>
      <c r="U2476" s="4"/>
      <c r="V2476" s="4"/>
      <c r="X2476" s="4"/>
      <c r="Y2476" s="4"/>
    </row>
    <row r="2477" spans="20:25" x14ac:dyDescent="0.25">
      <c r="T2477" s="10"/>
      <c r="U2477" s="4"/>
      <c r="V2477" s="4"/>
      <c r="X2477" s="4"/>
      <c r="Y2477" s="4"/>
    </row>
    <row r="2478" spans="20:25" x14ac:dyDescent="0.25">
      <c r="T2478" s="10"/>
      <c r="U2478" s="4"/>
      <c r="V2478" s="4"/>
      <c r="X2478" s="4"/>
      <c r="Y2478" s="4"/>
    </row>
    <row r="2479" spans="20:25" x14ac:dyDescent="0.25">
      <c r="T2479" s="10"/>
      <c r="U2479" s="4"/>
      <c r="V2479" s="4"/>
      <c r="X2479" s="4"/>
      <c r="Y2479" s="4"/>
    </row>
    <row r="2480" spans="20:25" x14ac:dyDescent="0.25">
      <c r="T2480" s="10"/>
      <c r="U2480" s="4"/>
      <c r="V2480" s="4"/>
      <c r="X2480" s="4"/>
      <c r="Y2480" s="4"/>
    </row>
    <row r="2481" spans="20:25" x14ac:dyDescent="0.25">
      <c r="T2481" s="10"/>
      <c r="U2481" s="4"/>
      <c r="V2481" s="4"/>
      <c r="X2481" s="4"/>
      <c r="Y2481" s="4"/>
    </row>
    <row r="2482" spans="20:25" x14ac:dyDescent="0.25">
      <c r="T2482" s="10"/>
      <c r="U2482" s="4"/>
      <c r="V2482" s="4"/>
      <c r="X2482" s="4"/>
      <c r="Y2482" s="4"/>
    </row>
    <row r="2483" spans="20:25" x14ac:dyDescent="0.25">
      <c r="T2483" s="10"/>
      <c r="U2483" s="4"/>
      <c r="V2483" s="4"/>
      <c r="X2483" s="4"/>
      <c r="Y2483" s="4"/>
    </row>
    <row r="2484" spans="20:25" x14ac:dyDescent="0.25">
      <c r="T2484" s="10"/>
      <c r="U2484" s="4"/>
      <c r="V2484" s="4"/>
      <c r="X2484" s="4"/>
      <c r="Y2484" s="4"/>
    </row>
    <row r="2485" spans="20:25" x14ac:dyDescent="0.25">
      <c r="T2485" s="10"/>
      <c r="U2485" s="4"/>
      <c r="V2485" s="4"/>
      <c r="X2485" s="4"/>
      <c r="Y2485" s="4"/>
    </row>
    <row r="2486" spans="20:25" x14ac:dyDescent="0.25">
      <c r="T2486" s="10"/>
      <c r="U2486" s="4"/>
      <c r="V2486" s="4"/>
      <c r="X2486" s="4"/>
      <c r="Y2486" s="4"/>
    </row>
    <row r="2487" spans="20:25" x14ac:dyDescent="0.25">
      <c r="T2487" s="10"/>
      <c r="U2487" s="4"/>
      <c r="V2487" s="4"/>
      <c r="X2487" s="4"/>
      <c r="Y2487" s="4"/>
    </row>
    <row r="2488" spans="20:25" x14ac:dyDescent="0.25">
      <c r="T2488" s="10"/>
      <c r="U2488" s="4"/>
      <c r="V2488" s="4"/>
      <c r="X2488" s="4"/>
      <c r="Y2488" s="4"/>
    </row>
    <row r="2489" spans="20:25" x14ac:dyDescent="0.25">
      <c r="T2489" s="10"/>
      <c r="U2489" s="4"/>
      <c r="V2489" s="4"/>
      <c r="X2489" s="4"/>
      <c r="Y2489" s="4"/>
    </row>
    <row r="2490" spans="20:25" x14ac:dyDescent="0.25">
      <c r="T2490" s="10"/>
      <c r="U2490" s="4"/>
      <c r="V2490" s="4"/>
      <c r="X2490" s="4"/>
      <c r="Y2490" s="4"/>
    </row>
    <row r="2491" spans="20:25" x14ac:dyDescent="0.25">
      <c r="T2491" s="10"/>
      <c r="U2491" s="4"/>
      <c r="V2491" s="4"/>
      <c r="X2491" s="4"/>
      <c r="Y2491" s="4"/>
    </row>
    <row r="2492" spans="20:25" x14ac:dyDescent="0.25">
      <c r="T2492" s="10"/>
      <c r="U2492" s="4"/>
      <c r="V2492" s="4"/>
      <c r="X2492" s="4"/>
      <c r="Y2492" s="4"/>
    </row>
    <row r="2493" spans="20:25" x14ac:dyDescent="0.25">
      <c r="T2493" s="10"/>
      <c r="U2493" s="4"/>
      <c r="V2493" s="4"/>
      <c r="X2493" s="4"/>
      <c r="Y2493" s="4"/>
    </row>
    <row r="2494" spans="20:25" x14ac:dyDescent="0.25">
      <c r="T2494" s="10"/>
      <c r="U2494" s="4"/>
      <c r="V2494" s="4"/>
      <c r="X2494" s="4"/>
      <c r="Y2494" s="4"/>
    </row>
    <row r="2495" spans="20:25" x14ac:dyDescent="0.25">
      <c r="T2495" s="10"/>
      <c r="U2495" s="4"/>
      <c r="V2495" s="4"/>
      <c r="X2495" s="4"/>
      <c r="Y2495" s="4"/>
    </row>
    <row r="2496" spans="20:25" x14ac:dyDescent="0.25">
      <c r="T2496" s="10"/>
      <c r="U2496" s="4"/>
      <c r="V2496" s="4"/>
      <c r="X2496" s="4"/>
      <c r="Y2496" s="4"/>
    </row>
    <row r="2497" spans="20:25" x14ac:dyDescent="0.25">
      <c r="T2497" s="10"/>
      <c r="U2497" s="4"/>
      <c r="V2497" s="4"/>
      <c r="X2497" s="4"/>
      <c r="Y2497" s="4"/>
    </row>
    <row r="2498" spans="20:25" x14ac:dyDescent="0.25">
      <c r="T2498" s="10"/>
      <c r="U2498" s="4"/>
      <c r="V2498" s="4"/>
      <c r="X2498" s="4"/>
      <c r="Y2498" s="4"/>
    </row>
    <row r="2499" spans="20:25" x14ac:dyDescent="0.25">
      <c r="T2499" s="10"/>
      <c r="U2499" s="4"/>
      <c r="V2499" s="4"/>
      <c r="X2499" s="4"/>
      <c r="Y2499" s="4"/>
    </row>
    <row r="2500" spans="20:25" x14ac:dyDescent="0.25">
      <c r="T2500" s="10"/>
      <c r="U2500" s="4"/>
      <c r="V2500" s="4"/>
      <c r="X2500" s="4"/>
      <c r="Y2500" s="4"/>
    </row>
    <row r="2501" spans="20:25" x14ac:dyDescent="0.25">
      <c r="T2501" s="10"/>
      <c r="U2501" s="4"/>
      <c r="V2501" s="4"/>
      <c r="X2501" s="4"/>
      <c r="Y2501" s="4"/>
    </row>
    <row r="2502" spans="20:25" x14ac:dyDescent="0.25">
      <c r="T2502" s="10"/>
      <c r="U2502" s="4"/>
      <c r="V2502" s="4"/>
      <c r="X2502" s="4"/>
      <c r="Y2502" s="4"/>
    </row>
    <row r="2503" spans="20:25" x14ac:dyDescent="0.25">
      <c r="T2503" s="10"/>
      <c r="U2503" s="4"/>
      <c r="V2503" s="4"/>
      <c r="X2503" s="4"/>
      <c r="Y2503" s="4"/>
    </row>
    <row r="2504" spans="20:25" x14ac:dyDescent="0.25">
      <c r="T2504" s="10"/>
      <c r="U2504" s="4"/>
      <c r="V2504" s="4"/>
      <c r="X2504" s="4"/>
      <c r="Y2504" s="4"/>
    </row>
    <row r="2505" spans="20:25" x14ac:dyDescent="0.25">
      <c r="T2505" s="10"/>
      <c r="U2505" s="4"/>
      <c r="V2505" s="4"/>
      <c r="X2505" s="4"/>
      <c r="Y2505" s="4"/>
    </row>
    <row r="2506" spans="20:25" x14ac:dyDescent="0.25">
      <c r="T2506" s="10"/>
      <c r="U2506" s="4"/>
      <c r="V2506" s="4"/>
      <c r="X2506" s="4"/>
      <c r="Y2506" s="4"/>
    </row>
    <row r="2507" spans="20:25" x14ac:dyDescent="0.25">
      <c r="T2507" s="10"/>
      <c r="U2507" s="4"/>
      <c r="V2507" s="4"/>
      <c r="X2507" s="4"/>
      <c r="Y2507" s="4"/>
    </row>
    <row r="2508" spans="20:25" x14ac:dyDescent="0.25">
      <c r="T2508" s="10"/>
      <c r="U2508" s="4"/>
      <c r="V2508" s="4"/>
      <c r="X2508" s="4"/>
      <c r="Y2508" s="4"/>
    </row>
    <row r="2509" spans="20:25" x14ac:dyDescent="0.25">
      <c r="T2509" s="10"/>
      <c r="U2509" s="4"/>
      <c r="V2509" s="4"/>
      <c r="X2509" s="4"/>
      <c r="Y2509" s="4"/>
    </row>
    <row r="2510" spans="20:25" x14ac:dyDescent="0.25">
      <c r="T2510" s="10"/>
      <c r="U2510" s="4"/>
      <c r="V2510" s="4"/>
      <c r="X2510" s="4"/>
      <c r="Y2510" s="4"/>
    </row>
    <row r="2511" spans="20:25" x14ac:dyDescent="0.25">
      <c r="T2511" s="10"/>
      <c r="U2511" s="4"/>
      <c r="V2511" s="4"/>
      <c r="X2511" s="4"/>
      <c r="Y2511" s="4"/>
    </row>
    <row r="2512" spans="20:25" x14ac:dyDescent="0.25">
      <c r="T2512" s="10"/>
      <c r="U2512" s="4"/>
      <c r="V2512" s="4"/>
      <c r="X2512" s="4"/>
      <c r="Y2512" s="4"/>
    </row>
    <row r="2513" spans="20:25" x14ac:dyDescent="0.25">
      <c r="T2513" s="10"/>
      <c r="U2513" s="4"/>
      <c r="V2513" s="4"/>
      <c r="X2513" s="4"/>
      <c r="Y2513" s="4"/>
    </row>
    <row r="2514" spans="20:25" x14ac:dyDescent="0.25">
      <c r="T2514" s="10"/>
      <c r="U2514" s="4"/>
      <c r="V2514" s="4"/>
      <c r="X2514" s="4"/>
      <c r="Y2514" s="4"/>
    </row>
    <row r="2515" spans="20:25" x14ac:dyDescent="0.25">
      <c r="T2515" s="10"/>
      <c r="U2515" s="4"/>
      <c r="V2515" s="4"/>
      <c r="X2515" s="4"/>
      <c r="Y2515" s="4"/>
    </row>
    <row r="2516" spans="20:25" x14ac:dyDescent="0.25">
      <c r="T2516" s="10"/>
      <c r="U2516" s="4"/>
      <c r="V2516" s="4"/>
      <c r="X2516" s="4"/>
      <c r="Y2516" s="4"/>
    </row>
    <row r="2517" spans="20:25" x14ac:dyDescent="0.25">
      <c r="T2517" s="10"/>
      <c r="U2517" s="4"/>
      <c r="V2517" s="4"/>
      <c r="X2517" s="4"/>
      <c r="Y2517" s="4"/>
    </row>
    <row r="2518" spans="20:25" x14ac:dyDescent="0.25">
      <c r="T2518" s="10"/>
      <c r="U2518" s="4"/>
      <c r="V2518" s="4"/>
      <c r="X2518" s="4"/>
      <c r="Y2518" s="4"/>
    </row>
    <row r="2519" spans="20:25" x14ac:dyDescent="0.25">
      <c r="T2519" s="10"/>
      <c r="U2519" s="4"/>
      <c r="V2519" s="4"/>
      <c r="X2519" s="4"/>
      <c r="Y2519" s="4"/>
    </row>
    <row r="2520" spans="20:25" x14ac:dyDescent="0.25">
      <c r="T2520" s="10"/>
      <c r="U2520" s="4"/>
      <c r="V2520" s="4"/>
      <c r="X2520" s="4"/>
      <c r="Y2520" s="4"/>
    </row>
    <row r="2521" spans="20:25" x14ac:dyDescent="0.25">
      <c r="T2521" s="10"/>
      <c r="U2521" s="4"/>
      <c r="V2521" s="4"/>
      <c r="X2521" s="4"/>
      <c r="Y2521" s="4"/>
    </row>
    <row r="2522" spans="20:25" x14ac:dyDescent="0.25">
      <c r="T2522" s="10"/>
      <c r="U2522" s="4"/>
      <c r="V2522" s="4"/>
      <c r="X2522" s="4"/>
      <c r="Y2522" s="4"/>
    </row>
    <row r="2523" spans="20:25" x14ac:dyDescent="0.25">
      <c r="T2523" s="10"/>
      <c r="U2523" s="4"/>
      <c r="V2523" s="4"/>
      <c r="X2523" s="4"/>
      <c r="Y2523" s="4"/>
    </row>
    <row r="2524" spans="20:25" x14ac:dyDescent="0.25">
      <c r="T2524" s="10"/>
      <c r="U2524" s="4"/>
      <c r="V2524" s="4"/>
      <c r="X2524" s="4"/>
      <c r="Y2524" s="4"/>
    </row>
    <row r="2525" spans="20:25" x14ac:dyDescent="0.25">
      <c r="T2525" s="10"/>
      <c r="U2525" s="4"/>
      <c r="V2525" s="4"/>
      <c r="X2525" s="4"/>
      <c r="Y2525" s="4"/>
    </row>
    <row r="2526" spans="20:25" x14ac:dyDescent="0.25">
      <c r="T2526" s="10"/>
      <c r="U2526" s="4"/>
      <c r="V2526" s="4"/>
      <c r="X2526" s="4"/>
      <c r="Y2526" s="4"/>
    </row>
    <row r="2527" spans="20:25" x14ac:dyDescent="0.25">
      <c r="T2527" s="10"/>
      <c r="U2527" s="4"/>
      <c r="V2527" s="4"/>
      <c r="X2527" s="4"/>
      <c r="Y2527" s="4"/>
    </row>
    <row r="2528" spans="20:25" x14ac:dyDescent="0.25">
      <c r="T2528" s="10"/>
      <c r="U2528" s="4"/>
      <c r="V2528" s="4"/>
      <c r="X2528" s="4"/>
      <c r="Y2528" s="4"/>
    </row>
    <row r="2529" spans="20:25" x14ac:dyDescent="0.25">
      <c r="T2529" s="10"/>
      <c r="U2529" s="4"/>
      <c r="V2529" s="4"/>
      <c r="X2529" s="4"/>
      <c r="Y2529" s="4"/>
    </row>
    <row r="2530" spans="20:25" x14ac:dyDescent="0.25">
      <c r="T2530" s="10"/>
      <c r="U2530" s="4"/>
      <c r="V2530" s="4"/>
      <c r="X2530" s="4"/>
      <c r="Y2530" s="4"/>
    </row>
    <row r="2531" spans="20:25" x14ac:dyDescent="0.25">
      <c r="T2531" s="10"/>
      <c r="U2531" s="4"/>
      <c r="V2531" s="4"/>
      <c r="X2531" s="4"/>
      <c r="Y2531" s="4"/>
    </row>
    <row r="2532" spans="20:25" x14ac:dyDescent="0.25">
      <c r="T2532" s="10"/>
      <c r="U2532" s="4"/>
      <c r="V2532" s="4"/>
      <c r="X2532" s="4"/>
      <c r="Y2532" s="4"/>
    </row>
    <row r="2533" spans="20:25" x14ac:dyDescent="0.25">
      <c r="T2533" s="10"/>
      <c r="U2533" s="4"/>
      <c r="V2533" s="4"/>
      <c r="X2533" s="4"/>
      <c r="Y2533" s="4"/>
    </row>
    <row r="2534" spans="20:25" x14ac:dyDescent="0.25">
      <c r="T2534" s="10"/>
      <c r="U2534" s="4"/>
      <c r="V2534" s="4"/>
      <c r="X2534" s="4"/>
      <c r="Y2534" s="4"/>
    </row>
    <row r="2535" spans="20:25" x14ac:dyDescent="0.25">
      <c r="T2535" s="10"/>
      <c r="U2535" s="4"/>
      <c r="V2535" s="4"/>
      <c r="X2535" s="4"/>
      <c r="Y2535" s="4"/>
    </row>
    <row r="2536" spans="20:25" x14ac:dyDescent="0.25">
      <c r="T2536" s="10"/>
      <c r="U2536" s="4"/>
      <c r="V2536" s="4"/>
      <c r="X2536" s="4"/>
      <c r="Y2536" s="4"/>
    </row>
    <row r="2537" spans="20:25" x14ac:dyDescent="0.25">
      <c r="T2537" s="10"/>
      <c r="U2537" s="4"/>
      <c r="V2537" s="4"/>
      <c r="X2537" s="4"/>
      <c r="Y2537" s="4"/>
    </row>
    <row r="2538" spans="20:25" x14ac:dyDescent="0.25">
      <c r="T2538" s="10"/>
      <c r="U2538" s="4"/>
      <c r="V2538" s="4"/>
      <c r="X2538" s="4"/>
      <c r="Y2538" s="4"/>
    </row>
    <row r="2539" spans="20:25" x14ac:dyDescent="0.25">
      <c r="T2539" s="10"/>
      <c r="U2539" s="4"/>
      <c r="V2539" s="4"/>
      <c r="X2539" s="4"/>
      <c r="Y2539" s="4"/>
    </row>
    <row r="2540" spans="20:25" x14ac:dyDescent="0.25">
      <c r="T2540" s="10"/>
      <c r="U2540" s="4"/>
      <c r="V2540" s="4"/>
      <c r="X2540" s="4"/>
      <c r="Y2540" s="4"/>
    </row>
    <row r="2541" spans="20:25" x14ac:dyDescent="0.25">
      <c r="T2541" s="10"/>
      <c r="U2541" s="4"/>
      <c r="V2541" s="4"/>
      <c r="X2541" s="4"/>
      <c r="Y2541" s="4"/>
    </row>
    <row r="2542" spans="20:25" x14ac:dyDescent="0.25">
      <c r="T2542" s="10"/>
      <c r="U2542" s="4"/>
      <c r="V2542" s="4"/>
      <c r="X2542" s="4"/>
      <c r="Y2542" s="4"/>
    </row>
    <row r="2543" spans="20:25" x14ac:dyDescent="0.25">
      <c r="T2543" s="10"/>
      <c r="U2543" s="4"/>
      <c r="V2543" s="4"/>
      <c r="X2543" s="4"/>
      <c r="Y2543" s="4"/>
    </row>
    <row r="2544" spans="20:25" x14ac:dyDescent="0.25">
      <c r="T2544" s="10"/>
      <c r="U2544" s="4"/>
      <c r="V2544" s="4"/>
      <c r="X2544" s="4"/>
      <c r="Y2544" s="4"/>
    </row>
    <row r="2545" spans="20:25" x14ac:dyDescent="0.25">
      <c r="T2545" s="10"/>
      <c r="U2545" s="4"/>
      <c r="V2545" s="4"/>
      <c r="X2545" s="4"/>
      <c r="Y2545" s="4"/>
    </row>
    <row r="2546" spans="20:25" x14ac:dyDescent="0.25">
      <c r="T2546" s="10"/>
      <c r="U2546" s="4"/>
      <c r="V2546" s="4"/>
      <c r="X2546" s="4"/>
      <c r="Y2546" s="4"/>
    </row>
    <row r="2547" spans="20:25" x14ac:dyDescent="0.25">
      <c r="T2547" s="10"/>
      <c r="U2547" s="4"/>
      <c r="V2547" s="4"/>
      <c r="X2547" s="4"/>
      <c r="Y2547" s="4"/>
    </row>
    <row r="2548" spans="20:25" x14ac:dyDescent="0.25">
      <c r="T2548" s="10"/>
      <c r="U2548" s="4"/>
      <c r="V2548" s="4"/>
      <c r="X2548" s="4"/>
      <c r="Y2548" s="4"/>
    </row>
    <row r="2549" spans="20:25" x14ac:dyDescent="0.25">
      <c r="T2549" s="10"/>
      <c r="U2549" s="4"/>
      <c r="V2549" s="4"/>
      <c r="X2549" s="4"/>
      <c r="Y2549" s="4"/>
    </row>
    <row r="2550" spans="20:25" x14ac:dyDescent="0.25">
      <c r="T2550" s="10"/>
      <c r="U2550" s="4"/>
      <c r="V2550" s="4"/>
      <c r="X2550" s="4"/>
      <c r="Y2550" s="4"/>
    </row>
    <row r="2551" spans="20:25" x14ac:dyDescent="0.25">
      <c r="T2551" s="10"/>
      <c r="U2551" s="4"/>
      <c r="V2551" s="4"/>
      <c r="X2551" s="4"/>
      <c r="Y2551" s="4"/>
    </row>
    <row r="2552" spans="20:25" x14ac:dyDescent="0.25">
      <c r="T2552" s="10"/>
      <c r="U2552" s="4"/>
      <c r="V2552" s="4"/>
      <c r="X2552" s="4"/>
      <c r="Y2552" s="4"/>
    </row>
    <row r="2553" spans="20:25" x14ac:dyDescent="0.25">
      <c r="T2553" s="10"/>
      <c r="U2553" s="4"/>
      <c r="V2553" s="4"/>
      <c r="X2553" s="4"/>
      <c r="Y2553" s="4"/>
    </row>
    <row r="2554" spans="20:25" x14ac:dyDescent="0.25">
      <c r="T2554" s="10"/>
      <c r="U2554" s="4"/>
      <c r="V2554" s="4"/>
      <c r="X2554" s="4"/>
      <c r="Y2554" s="4"/>
    </row>
    <row r="2555" spans="20:25" x14ac:dyDescent="0.25">
      <c r="T2555" s="10"/>
      <c r="U2555" s="4"/>
      <c r="V2555" s="4"/>
      <c r="X2555" s="4"/>
      <c r="Y2555" s="4"/>
    </row>
    <row r="2556" spans="20:25" x14ac:dyDescent="0.25">
      <c r="T2556" s="10"/>
      <c r="U2556" s="4"/>
      <c r="V2556" s="4"/>
      <c r="X2556" s="4"/>
      <c r="Y2556" s="4"/>
    </row>
    <row r="2557" spans="20:25" x14ac:dyDescent="0.25">
      <c r="T2557" s="10"/>
      <c r="U2557" s="4"/>
      <c r="V2557" s="4"/>
      <c r="X2557" s="4"/>
      <c r="Y2557" s="4"/>
    </row>
    <row r="2558" spans="20:25" x14ac:dyDescent="0.25">
      <c r="T2558" s="10"/>
      <c r="U2558" s="4"/>
      <c r="V2558" s="4"/>
      <c r="X2558" s="4"/>
      <c r="Y2558" s="4"/>
    </row>
    <row r="2559" spans="20:25" x14ac:dyDescent="0.25">
      <c r="T2559" s="10"/>
      <c r="U2559" s="4"/>
      <c r="V2559" s="4"/>
      <c r="X2559" s="4"/>
      <c r="Y2559" s="4"/>
    </row>
    <row r="2560" spans="20:25" x14ac:dyDescent="0.25">
      <c r="T2560" s="10"/>
      <c r="U2560" s="4"/>
      <c r="V2560" s="4"/>
      <c r="X2560" s="4"/>
      <c r="Y2560" s="4"/>
    </row>
    <row r="2561" spans="20:25" x14ac:dyDescent="0.25">
      <c r="T2561" s="10"/>
      <c r="U2561" s="4"/>
      <c r="V2561" s="4"/>
      <c r="X2561" s="4"/>
      <c r="Y2561" s="4"/>
    </row>
    <row r="2562" spans="20:25" x14ac:dyDescent="0.25">
      <c r="T2562" s="10"/>
      <c r="U2562" s="4"/>
      <c r="V2562" s="4"/>
      <c r="X2562" s="4"/>
      <c r="Y2562" s="4"/>
    </row>
    <row r="2563" spans="20:25" x14ac:dyDescent="0.25">
      <c r="T2563" s="10"/>
      <c r="U2563" s="4"/>
      <c r="V2563" s="4"/>
      <c r="X2563" s="4"/>
      <c r="Y2563" s="4"/>
    </row>
    <row r="2564" spans="20:25" x14ac:dyDescent="0.25">
      <c r="T2564" s="10"/>
      <c r="U2564" s="4"/>
      <c r="V2564" s="4"/>
      <c r="X2564" s="4"/>
      <c r="Y2564" s="4"/>
    </row>
    <row r="2565" spans="20:25" x14ac:dyDescent="0.25">
      <c r="T2565" s="10"/>
      <c r="U2565" s="4"/>
      <c r="V2565" s="4"/>
      <c r="X2565" s="4"/>
      <c r="Y2565" s="4"/>
    </row>
    <row r="2566" spans="20:25" x14ac:dyDescent="0.25">
      <c r="T2566" s="10"/>
      <c r="U2566" s="4"/>
      <c r="V2566" s="4"/>
      <c r="X2566" s="4"/>
      <c r="Y2566" s="4"/>
    </row>
    <row r="2567" spans="20:25" x14ac:dyDescent="0.25">
      <c r="T2567" s="10"/>
      <c r="U2567" s="4"/>
      <c r="V2567" s="4"/>
      <c r="X2567" s="4"/>
      <c r="Y2567" s="4"/>
    </row>
    <row r="2568" spans="20:25" x14ac:dyDescent="0.25">
      <c r="T2568" s="10"/>
      <c r="U2568" s="4"/>
      <c r="V2568" s="4"/>
      <c r="X2568" s="4"/>
      <c r="Y2568" s="4"/>
    </row>
    <row r="2569" spans="20:25" x14ac:dyDescent="0.25">
      <c r="T2569" s="10"/>
      <c r="U2569" s="4"/>
      <c r="V2569" s="4"/>
      <c r="X2569" s="4"/>
      <c r="Y2569" s="4"/>
    </row>
    <row r="2570" spans="20:25" x14ac:dyDescent="0.25">
      <c r="T2570" s="10"/>
      <c r="U2570" s="4"/>
      <c r="V2570" s="4"/>
      <c r="X2570" s="4"/>
      <c r="Y2570" s="4"/>
    </row>
    <row r="2571" spans="20:25" x14ac:dyDescent="0.25">
      <c r="T2571" s="10"/>
      <c r="U2571" s="4"/>
      <c r="V2571" s="4"/>
      <c r="X2571" s="4"/>
      <c r="Y2571" s="4"/>
    </row>
    <row r="2572" spans="20:25" x14ac:dyDescent="0.25">
      <c r="T2572" s="10"/>
      <c r="U2572" s="4"/>
      <c r="V2572" s="4"/>
      <c r="X2572" s="4"/>
      <c r="Y2572" s="4"/>
    </row>
    <row r="2573" spans="20:25" x14ac:dyDescent="0.25">
      <c r="T2573" s="10"/>
      <c r="U2573" s="4"/>
      <c r="V2573" s="4"/>
      <c r="X2573" s="4"/>
      <c r="Y2573" s="4"/>
    </row>
    <row r="2574" spans="20:25" x14ac:dyDescent="0.25">
      <c r="T2574" s="10"/>
      <c r="U2574" s="4"/>
      <c r="V2574" s="4"/>
      <c r="X2574" s="4"/>
      <c r="Y2574" s="4"/>
    </row>
    <row r="2575" spans="20:25" x14ac:dyDescent="0.25">
      <c r="T2575" s="10"/>
      <c r="U2575" s="4"/>
      <c r="V2575" s="4"/>
      <c r="X2575" s="4"/>
      <c r="Y2575" s="4"/>
    </row>
    <row r="2576" spans="20:25" x14ac:dyDescent="0.25">
      <c r="T2576" s="10"/>
      <c r="U2576" s="4"/>
      <c r="V2576" s="4"/>
      <c r="X2576" s="4"/>
      <c r="Y2576" s="4"/>
    </row>
    <row r="2577" spans="20:25" x14ac:dyDescent="0.25">
      <c r="T2577" s="10"/>
      <c r="U2577" s="4"/>
      <c r="V2577" s="4"/>
      <c r="X2577" s="4"/>
      <c r="Y2577" s="4"/>
    </row>
    <row r="2578" spans="20:25" x14ac:dyDescent="0.25">
      <c r="T2578" s="10"/>
      <c r="U2578" s="4"/>
      <c r="V2578" s="4"/>
      <c r="X2578" s="4"/>
      <c r="Y2578" s="4"/>
    </row>
    <row r="2579" spans="20:25" x14ac:dyDescent="0.25">
      <c r="T2579" s="10"/>
      <c r="U2579" s="4"/>
      <c r="V2579" s="4"/>
      <c r="X2579" s="4"/>
      <c r="Y2579" s="4"/>
    </row>
    <row r="2580" spans="20:25" x14ac:dyDescent="0.25">
      <c r="T2580" s="10"/>
      <c r="U2580" s="4"/>
      <c r="V2580" s="4"/>
      <c r="X2580" s="4"/>
      <c r="Y2580" s="4"/>
    </row>
    <row r="2581" spans="20:25" x14ac:dyDescent="0.25">
      <c r="T2581" s="10"/>
      <c r="U2581" s="4"/>
      <c r="V2581" s="4"/>
      <c r="X2581" s="4"/>
      <c r="Y2581" s="4"/>
    </row>
    <row r="2582" spans="20:25" x14ac:dyDescent="0.25">
      <c r="T2582" s="10"/>
      <c r="U2582" s="4"/>
      <c r="V2582" s="4"/>
      <c r="X2582" s="4"/>
      <c r="Y2582" s="4"/>
    </row>
    <row r="2583" spans="20:25" x14ac:dyDescent="0.25">
      <c r="T2583" s="10"/>
      <c r="U2583" s="4"/>
      <c r="V2583" s="4"/>
      <c r="X2583" s="4"/>
      <c r="Y2583" s="4"/>
    </row>
    <row r="2584" spans="20:25" x14ac:dyDescent="0.25">
      <c r="T2584" s="10"/>
      <c r="U2584" s="4"/>
      <c r="V2584" s="4"/>
      <c r="X2584" s="4"/>
      <c r="Y2584" s="4"/>
    </row>
    <row r="2585" spans="20:25" x14ac:dyDescent="0.25">
      <c r="T2585" s="10"/>
      <c r="U2585" s="4"/>
      <c r="V2585" s="4"/>
      <c r="X2585" s="4"/>
      <c r="Y2585" s="4"/>
    </row>
    <row r="2586" spans="20:25" x14ac:dyDescent="0.25">
      <c r="T2586" s="10"/>
      <c r="U2586" s="4"/>
      <c r="V2586" s="4"/>
      <c r="X2586" s="4"/>
      <c r="Y2586" s="4"/>
    </row>
    <row r="2587" spans="20:25" x14ac:dyDescent="0.25">
      <c r="T2587" s="10"/>
      <c r="U2587" s="4"/>
      <c r="V2587" s="4"/>
      <c r="X2587" s="4"/>
      <c r="Y2587" s="4"/>
    </row>
    <row r="2588" spans="20:25" x14ac:dyDescent="0.25">
      <c r="T2588" s="10"/>
      <c r="U2588" s="4"/>
      <c r="V2588" s="4"/>
      <c r="X2588" s="4"/>
      <c r="Y2588" s="4"/>
    </row>
    <row r="2589" spans="20:25" x14ac:dyDescent="0.25">
      <c r="T2589" s="10"/>
      <c r="U2589" s="4"/>
      <c r="V2589" s="4"/>
      <c r="X2589" s="4"/>
      <c r="Y2589" s="4"/>
    </row>
    <row r="2590" spans="20:25" x14ac:dyDescent="0.25">
      <c r="T2590" s="10"/>
      <c r="U2590" s="4"/>
      <c r="V2590" s="4"/>
      <c r="X2590" s="4"/>
      <c r="Y2590" s="4"/>
    </row>
    <row r="2591" spans="20:25" x14ac:dyDescent="0.25">
      <c r="T2591" s="10"/>
      <c r="U2591" s="4"/>
      <c r="V2591" s="4"/>
      <c r="X2591" s="4"/>
      <c r="Y2591" s="4"/>
    </row>
    <row r="2592" spans="20:25" x14ac:dyDescent="0.25">
      <c r="T2592" s="10"/>
      <c r="U2592" s="4"/>
      <c r="V2592" s="4"/>
      <c r="X2592" s="4"/>
      <c r="Y2592" s="4"/>
    </row>
    <row r="2593" spans="20:25" x14ac:dyDescent="0.25">
      <c r="T2593" s="10"/>
      <c r="U2593" s="4"/>
      <c r="V2593" s="4"/>
      <c r="X2593" s="4"/>
      <c r="Y2593" s="4"/>
    </row>
    <row r="2594" spans="20:25" x14ac:dyDescent="0.25">
      <c r="T2594" s="10"/>
      <c r="U2594" s="4"/>
      <c r="V2594" s="4"/>
      <c r="X2594" s="4"/>
      <c r="Y2594" s="4"/>
    </row>
    <row r="2595" spans="20:25" x14ac:dyDescent="0.25">
      <c r="T2595" s="10"/>
      <c r="U2595" s="4"/>
      <c r="V2595" s="4"/>
      <c r="X2595" s="4"/>
      <c r="Y2595" s="4"/>
    </row>
    <row r="2596" spans="20:25" x14ac:dyDescent="0.25">
      <c r="T2596" s="10"/>
      <c r="U2596" s="4"/>
      <c r="V2596" s="4"/>
      <c r="X2596" s="4"/>
      <c r="Y2596" s="4"/>
    </row>
    <row r="2597" spans="20:25" x14ac:dyDescent="0.25">
      <c r="T2597" s="10"/>
      <c r="U2597" s="4"/>
      <c r="V2597" s="4"/>
      <c r="X2597" s="4"/>
      <c r="Y2597" s="4"/>
    </row>
    <row r="2598" spans="20:25" x14ac:dyDescent="0.25">
      <c r="T2598" s="10"/>
      <c r="U2598" s="4"/>
      <c r="V2598" s="4"/>
      <c r="X2598" s="4"/>
      <c r="Y2598" s="4"/>
    </row>
    <row r="2599" spans="20:25" x14ac:dyDescent="0.25">
      <c r="T2599" s="10"/>
      <c r="U2599" s="4"/>
      <c r="V2599" s="4"/>
      <c r="X2599" s="4"/>
      <c r="Y2599" s="4"/>
    </row>
    <row r="2600" spans="20:25" x14ac:dyDescent="0.25">
      <c r="T2600" s="10"/>
      <c r="U2600" s="4"/>
      <c r="V2600" s="4"/>
      <c r="X2600" s="4"/>
      <c r="Y2600" s="4"/>
    </row>
    <row r="2601" spans="20:25" x14ac:dyDescent="0.25">
      <c r="T2601" s="10"/>
      <c r="U2601" s="4"/>
      <c r="V2601" s="4"/>
      <c r="X2601" s="4"/>
      <c r="Y2601" s="4"/>
    </row>
    <row r="2602" spans="20:25" x14ac:dyDescent="0.25">
      <c r="T2602" s="10"/>
      <c r="U2602" s="4"/>
      <c r="V2602" s="4"/>
      <c r="X2602" s="4"/>
      <c r="Y2602" s="4"/>
    </row>
    <row r="2603" spans="20:25" x14ac:dyDescent="0.25">
      <c r="T2603" s="10"/>
      <c r="U2603" s="4"/>
      <c r="V2603" s="4"/>
      <c r="X2603" s="4"/>
      <c r="Y2603" s="4"/>
    </row>
    <row r="2604" spans="20:25" x14ac:dyDescent="0.25">
      <c r="T2604" s="10"/>
      <c r="U2604" s="4"/>
      <c r="V2604" s="4"/>
      <c r="X2604" s="4"/>
      <c r="Y2604" s="4"/>
    </row>
    <row r="2605" spans="20:25" x14ac:dyDescent="0.25">
      <c r="T2605" s="10"/>
      <c r="U2605" s="4"/>
      <c r="V2605" s="4"/>
      <c r="X2605" s="4"/>
      <c r="Y2605" s="4"/>
    </row>
    <row r="2606" spans="20:25" x14ac:dyDescent="0.25">
      <c r="T2606" s="10"/>
      <c r="U2606" s="4"/>
      <c r="V2606" s="4"/>
      <c r="X2606" s="4"/>
      <c r="Y2606" s="4"/>
    </row>
    <row r="2607" spans="20:25" x14ac:dyDescent="0.25">
      <c r="T2607" s="10"/>
      <c r="U2607" s="4"/>
      <c r="V2607" s="4"/>
      <c r="X2607" s="4"/>
      <c r="Y2607" s="4"/>
    </row>
    <row r="2608" spans="20:25" x14ac:dyDescent="0.25">
      <c r="T2608" s="10"/>
      <c r="U2608" s="4"/>
      <c r="V2608" s="4"/>
      <c r="X2608" s="4"/>
      <c r="Y2608" s="4"/>
    </row>
    <row r="2609" spans="20:25" x14ac:dyDescent="0.25">
      <c r="T2609" s="10"/>
      <c r="U2609" s="4"/>
      <c r="V2609" s="4"/>
      <c r="X2609" s="4"/>
      <c r="Y2609" s="4"/>
    </row>
    <row r="2610" spans="20:25" x14ac:dyDescent="0.25">
      <c r="T2610" s="10"/>
      <c r="U2610" s="4"/>
      <c r="V2610" s="4"/>
      <c r="X2610" s="4"/>
      <c r="Y2610" s="4"/>
    </row>
    <row r="2611" spans="20:25" x14ac:dyDescent="0.25">
      <c r="T2611" s="10"/>
      <c r="U2611" s="4"/>
      <c r="V2611" s="4"/>
      <c r="X2611" s="4"/>
      <c r="Y2611" s="4"/>
    </row>
    <row r="2612" spans="20:25" x14ac:dyDescent="0.25">
      <c r="T2612" s="10"/>
      <c r="U2612" s="4"/>
      <c r="V2612" s="4"/>
      <c r="X2612" s="4"/>
      <c r="Y2612" s="4"/>
    </row>
    <row r="2613" spans="20:25" x14ac:dyDescent="0.25">
      <c r="T2613" s="10"/>
      <c r="U2613" s="4"/>
      <c r="V2613" s="4"/>
      <c r="X2613" s="4"/>
      <c r="Y2613" s="4"/>
    </row>
    <row r="2614" spans="20:25" x14ac:dyDescent="0.25">
      <c r="T2614" s="10"/>
      <c r="U2614" s="4"/>
      <c r="V2614" s="4"/>
      <c r="X2614" s="4"/>
      <c r="Y2614" s="4"/>
    </row>
    <row r="2615" spans="20:25" x14ac:dyDescent="0.25">
      <c r="T2615" s="10"/>
      <c r="U2615" s="4"/>
      <c r="V2615" s="4"/>
      <c r="X2615" s="4"/>
      <c r="Y2615" s="4"/>
    </row>
    <row r="2616" spans="20:25" x14ac:dyDescent="0.25">
      <c r="T2616" s="10"/>
      <c r="U2616" s="4"/>
      <c r="V2616" s="4"/>
      <c r="X2616" s="4"/>
      <c r="Y2616" s="4"/>
    </row>
    <row r="2617" spans="20:25" x14ac:dyDescent="0.25">
      <c r="T2617" s="10"/>
      <c r="U2617" s="4"/>
      <c r="V2617" s="4"/>
      <c r="X2617" s="4"/>
      <c r="Y2617" s="4"/>
    </row>
    <row r="2618" spans="20:25" x14ac:dyDescent="0.25">
      <c r="T2618" s="10"/>
      <c r="U2618" s="4"/>
      <c r="V2618" s="4"/>
      <c r="X2618" s="4"/>
      <c r="Y2618" s="4"/>
    </row>
    <row r="2619" spans="20:25" x14ac:dyDescent="0.25">
      <c r="T2619" s="10"/>
      <c r="U2619" s="4"/>
      <c r="V2619" s="4"/>
      <c r="X2619" s="4"/>
      <c r="Y2619" s="4"/>
    </row>
    <row r="2620" spans="20:25" x14ac:dyDescent="0.25">
      <c r="T2620" s="10"/>
      <c r="U2620" s="4"/>
      <c r="V2620" s="4"/>
      <c r="X2620" s="4"/>
      <c r="Y2620" s="4"/>
    </row>
    <row r="2621" spans="20:25" x14ac:dyDescent="0.25">
      <c r="T2621" s="10"/>
      <c r="U2621" s="4"/>
      <c r="V2621" s="4"/>
      <c r="X2621" s="4"/>
      <c r="Y2621" s="4"/>
    </row>
    <row r="2622" spans="20:25" x14ac:dyDescent="0.25">
      <c r="T2622" s="10"/>
      <c r="U2622" s="4"/>
      <c r="V2622" s="4"/>
      <c r="X2622" s="4"/>
      <c r="Y2622" s="4"/>
    </row>
    <row r="2623" spans="20:25" x14ac:dyDescent="0.25">
      <c r="T2623" s="10"/>
      <c r="U2623" s="4"/>
      <c r="V2623" s="4"/>
      <c r="X2623" s="4"/>
      <c r="Y2623" s="4"/>
    </row>
    <row r="2624" spans="20:25" x14ac:dyDescent="0.25">
      <c r="T2624" s="10"/>
      <c r="U2624" s="4"/>
      <c r="V2624" s="4"/>
      <c r="X2624" s="4"/>
      <c r="Y2624" s="4"/>
    </row>
    <row r="2625" spans="20:25" x14ac:dyDescent="0.25">
      <c r="T2625" s="10"/>
      <c r="U2625" s="4"/>
      <c r="V2625" s="4"/>
      <c r="X2625" s="4"/>
      <c r="Y2625" s="4"/>
    </row>
    <row r="2626" spans="20:25" x14ac:dyDescent="0.25">
      <c r="T2626" s="10"/>
      <c r="U2626" s="4"/>
      <c r="V2626" s="4"/>
      <c r="X2626" s="4"/>
      <c r="Y2626" s="4"/>
    </row>
    <row r="2627" spans="20:25" x14ac:dyDescent="0.25">
      <c r="T2627" s="10"/>
      <c r="U2627" s="4"/>
      <c r="V2627" s="4"/>
      <c r="X2627" s="4"/>
      <c r="Y2627" s="4"/>
    </row>
    <row r="2628" spans="20:25" x14ac:dyDescent="0.25">
      <c r="T2628" s="10"/>
      <c r="U2628" s="4"/>
      <c r="V2628" s="4"/>
      <c r="X2628" s="4"/>
      <c r="Y2628" s="4"/>
    </row>
    <row r="2629" spans="20:25" x14ac:dyDescent="0.25">
      <c r="T2629" s="10"/>
      <c r="U2629" s="4"/>
      <c r="V2629" s="4"/>
      <c r="X2629" s="4"/>
      <c r="Y2629" s="4"/>
    </row>
    <row r="2630" spans="20:25" x14ac:dyDescent="0.25">
      <c r="T2630" s="10"/>
      <c r="U2630" s="4"/>
      <c r="V2630" s="4"/>
      <c r="X2630" s="4"/>
      <c r="Y2630" s="4"/>
    </row>
    <row r="2631" spans="20:25" x14ac:dyDescent="0.25">
      <c r="T2631" s="10"/>
      <c r="U2631" s="4"/>
      <c r="V2631" s="4"/>
      <c r="X2631" s="4"/>
      <c r="Y2631" s="4"/>
    </row>
    <row r="2632" spans="20:25" x14ac:dyDescent="0.25">
      <c r="T2632" s="10"/>
      <c r="U2632" s="4"/>
      <c r="V2632" s="4"/>
      <c r="X2632" s="4"/>
      <c r="Y2632" s="4"/>
    </row>
    <row r="2633" spans="20:25" x14ac:dyDescent="0.25">
      <c r="T2633" s="10"/>
      <c r="U2633" s="4"/>
      <c r="V2633" s="4"/>
      <c r="X2633" s="4"/>
      <c r="Y2633" s="4"/>
    </row>
    <row r="2634" spans="20:25" x14ac:dyDescent="0.25">
      <c r="T2634" s="10"/>
      <c r="U2634" s="4"/>
      <c r="V2634" s="4"/>
      <c r="X2634" s="4"/>
      <c r="Y2634" s="4"/>
    </row>
    <row r="2635" spans="20:25" x14ac:dyDescent="0.25">
      <c r="T2635" s="10"/>
      <c r="U2635" s="4"/>
      <c r="V2635" s="4"/>
      <c r="X2635" s="4"/>
      <c r="Y2635" s="4"/>
    </row>
    <row r="2636" spans="20:25" x14ac:dyDescent="0.25">
      <c r="T2636" s="10"/>
      <c r="U2636" s="4"/>
      <c r="V2636" s="4"/>
      <c r="X2636" s="4"/>
      <c r="Y2636" s="4"/>
    </row>
    <row r="2637" spans="20:25" x14ac:dyDescent="0.25">
      <c r="T2637" s="10"/>
      <c r="U2637" s="4"/>
      <c r="V2637" s="4"/>
      <c r="X2637" s="4"/>
      <c r="Y2637" s="4"/>
    </row>
    <row r="2638" spans="20:25" x14ac:dyDescent="0.25">
      <c r="T2638" s="10"/>
      <c r="U2638" s="4"/>
      <c r="V2638" s="4"/>
      <c r="X2638" s="4"/>
      <c r="Y2638" s="4"/>
    </row>
    <row r="2639" spans="20:25" x14ac:dyDescent="0.25">
      <c r="T2639" s="10"/>
      <c r="U2639" s="4"/>
      <c r="V2639" s="4"/>
      <c r="X2639" s="4"/>
      <c r="Y2639" s="4"/>
    </row>
    <row r="2640" spans="20:25" x14ac:dyDescent="0.25">
      <c r="T2640" s="10"/>
      <c r="U2640" s="4"/>
      <c r="V2640" s="4"/>
      <c r="X2640" s="4"/>
      <c r="Y2640" s="4"/>
    </row>
    <row r="2641" spans="20:25" x14ac:dyDescent="0.25">
      <c r="T2641" s="10"/>
      <c r="U2641" s="4"/>
      <c r="V2641" s="4"/>
      <c r="X2641" s="4"/>
      <c r="Y2641" s="4"/>
    </row>
    <row r="2642" spans="20:25" x14ac:dyDescent="0.25">
      <c r="T2642" s="10"/>
      <c r="U2642" s="4"/>
      <c r="V2642" s="4"/>
      <c r="X2642" s="4"/>
      <c r="Y2642" s="4"/>
    </row>
    <row r="2643" spans="20:25" x14ac:dyDescent="0.25">
      <c r="T2643" s="10"/>
      <c r="U2643" s="4"/>
      <c r="V2643" s="4"/>
      <c r="X2643" s="4"/>
      <c r="Y2643" s="4"/>
    </row>
    <row r="2644" spans="20:25" x14ac:dyDescent="0.25">
      <c r="T2644" s="10"/>
      <c r="U2644" s="4"/>
      <c r="V2644" s="4"/>
      <c r="X2644" s="4"/>
      <c r="Y2644" s="4"/>
    </row>
    <row r="2645" spans="20:25" x14ac:dyDescent="0.25">
      <c r="T2645" s="10"/>
      <c r="U2645" s="4"/>
      <c r="V2645" s="4"/>
      <c r="X2645" s="4"/>
      <c r="Y2645" s="4"/>
    </row>
    <row r="2646" spans="20:25" x14ac:dyDescent="0.25">
      <c r="T2646" s="10"/>
      <c r="U2646" s="4"/>
      <c r="V2646" s="4"/>
      <c r="X2646" s="4"/>
      <c r="Y2646" s="4"/>
    </row>
    <row r="2647" spans="20:25" x14ac:dyDescent="0.25">
      <c r="T2647" s="10"/>
      <c r="U2647" s="4"/>
      <c r="V2647" s="4"/>
      <c r="X2647" s="4"/>
      <c r="Y2647" s="4"/>
    </row>
    <row r="2648" spans="20:25" x14ac:dyDescent="0.25">
      <c r="T2648" s="10"/>
      <c r="U2648" s="4"/>
      <c r="V2648" s="4"/>
      <c r="X2648" s="4"/>
      <c r="Y2648" s="4"/>
    </row>
    <row r="2649" spans="20:25" x14ac:dyDescent="0.25">
      <c r="T2649" s="10"/>
      <c r="U2649" s="4"/>
      <c r="V2649" s="4"/>
      <c r="X2649" s="4"/>
      <c r="Y2649" s="4"/>
    </row>
    <row r="2650" spans="20:25" x14ac:dyDescent="0.25">
      <c r="T2650" s="10"/>
      <c r="U2650" s="4"/>
      <c r="V2650" s="4"/>
      <c r="X2650" s="4"/>
      <c r="Y2650" s="4"/>
    </row>
    <row r="2651" spans="20:25" x14ac:dyDescent="0.25">
      <c r="T2651" s="10"/>
      <c r="U2651" s="4"/>
      <c r="V2651" s="4"/>
      <c r="X2651" s="4"/>
      <c r="Y2651" s="4"/>
    </row>
    <row r="2652" spans="20:25" x14ac:dyDescent="0.25">
      <c r="T2652" s="10"/>
      <c r="U2652" s="4"/>
      <c r="V2652" s="4"/>
      <c r="X2652" s="4"/>
      <c r="Y2652" s="4"/>
    </row>
    <row r="2653" spans="20:25" x14ac:dyDescent="0.25">
      <c r="T2653" s="10"/>
      <c r="U2653" s="4"/>
      <c r="V2653" s="4"/>
      <c r="X2653" s="4"/>
      <c r="Y2653" s="4"/>
    </row>
    <row r="2654" spans="20:25" x14ac:dyDescent="0.25">
      <c r="T2654" s="10"/>
      <c r="U2654" s="4"/>
      <c r="V2654" s="4"/>
      <c r="X2654" s="4"/>
      <c r="Y2654" s="4"/>
    </row>
    <row r="2655" spans="20:25" x14ac:dyDescent="0.25">
      <c r="T2655" s="10"/>
      <c r="U2655" s="4"/>
      <c r="V2655" s="4"/>
      <c r="X2655" s="4"/>
      <c r="Y2655" s="4"/>
    </row>
    <row r="2656" spans="20:25" x14ac:dyDescent="0.25">
      <c r="T2656" s="10"/>
      <c r="U2656" s="4"/>
      <c r="V2656" s="4"/>
      <c r="X2656" s="4"/>
      <c r="Y2656" s="4"/>
    </row>
    <row r="2657" spans="20:25" x14ac:dyDescent="0.25">
      <c r="T2657" s="10"/>
      <c r="U2657" s="4"/>
      <c r="V2657" s="4"/>
      <c r="X2657" s="4"/>
      <c r="Y2657" s="4"/>
    </row>
    <row r="2658" spans="20:25" x14ac:dyDescent="0.25">
      <c r="T2658" s="10"/>
      <c r="U2658" s="4"/>
      <c r="V2658" s="4"/>
      <c r="X2658" s="4"/>
      <c r="Y2658" s="4"/>
    </row>
    <row r="2659" spans="20:25" x14ac:dyDescent="0.25">
      <c r="T2659" s="10"/>
      <c r="U2659" s="4"/>
      <c r="V2659" s="4"/>
      <c r="X2659" s="4"/>
      <c r="Y2659" s="4"/>
    </row>
    <row r="2660" spans="20:25" x14ac:dyDescent="0.25">
      <c r="T2660" s="10"/>
      <c r="U2660" s="4"/>
      <c r="V2660" s="4"/>
      <c r="X2660" s="4"/>
      <c r="Y2660" s="4"/>
    </row>
    <row r="2661" spans="20:25" x14ac:dyDescent="0.25">
      <c r="T2661" s="10"/>
      <c r="U2661" s="4"/>
      <c r="V2661" s="4"/>
      <c r="X2661" s="4"/>
      <c r="Y2661" s="4"/>
    </row>
    <row r="2662" spans="20:25" x14ac:dyDescent="0.25">
      <c r="T2662" s="10"/>
      <c r="U2662" s="4"/>
      <c r="V2662" s="4"/>
      <c r="X2662" s="4"/>
      <c r="Y2662" s="4"/>
    </row>
    <row r="2663" spans="20:25" x14ac:dyDescent="0.25">
      <c r="T2663" s="10"/>
      <c r="U2663" s="4"/>
      <c r="V2663" s="4"/>
      <c r="X2663" s="4"/>
      <c r="Y2663" s="4"/>
    </row>
    <row r="2664" spans="20:25" x14ac:dyDescent="0.25">
      <c r="T2664" s="10"/>
      <c r="U2664" s="4"/>
      <c r="V2664" s="4"/>
      <c r="X2664" s="4"/>
      <c r="Y2664" s="4"/>
    </row>
    <row r="2665" spans="20:25" x14ac:dyDescent="0.25">
      <c r="T2665" s="10"/>
      <c r="U2665" s="4"/>
      <c r="V2665" s="4"/>
      <c r="X2665" s="4"/>
      <c r="Y2665" s="4"/>
    </row>
    <row r="2666" spans="20:25" x14ac:dyDescent="0.25">
      <c r="T2666" s="10"/>
      <c r="U2666" s="4"/>
      <c r="V2666" s="4"/>
      <c r="X2666" s="4"/>
      <c r="Y2666" s="4"/>
    </row>
    <row r="2667" spans="20:25" x14ac:dyDescent="0.25">
      <c r="T2667" s="10"/>
      <c r="U2667" s="4"/>
      <c r="V2667" s="4"/>
      <c r="X2667" s="4"/>
      <c r="Y2667" s="4"/>
    </row>
    <row r="2668" spans="20:25" x14ac:dyDescent="0.25">
      <c r="T2668" s="10"/>
      <c r="U2668" s="4"/>
      <c r="V2668" s="4"/>
      <c r="X2668" s="4"/>
      <c r="Y2668" s="4"/>
    </row>
    <row r="2669" spans="20:25" x14ac:dyDescent="0.25">
      <c r="T2669" s="10"/>
      <c r="U2669" s="4"/>
      <c r="V2669" s="4"/>
      <c r="X2669" s="4"/>
      <c r="Y2669" s="4"/>
    </row>
    <row r="2670" spans="20:25" x14ac:dyDescent="0.25">
      <c r="T2670" s="10"/>
      <c r="U2670" s="4"/>
      <c r="V2670" s="4"/>
      <c r="X2670" s="4"/>
      <c r="Y2670" s="4"/>
    </row>
    <row r="2671" spans="20:25" x14ac:dyDescent="0.25">
      <c r="T2671" s="10"/>
      <c r="U2671" s="4"/>
      <c r="V2671" s="4"/>
      <c r="X2671" s="4"/>
      <c r="Y2671" s="4"/>
    </row>
    <row r="2672" spans="20:25" x14ac:dyDescent="0.25">
      <c r="T2672" s="10"/>
      <c r="U2672" s="4"/>
      <c r="V2672" s="4"/>
      <c r="X2672" s="4"/>
      <c r="Y2672" s="4"/>
    </row>
    <row r="2673" spans="20:25" x14ac:dyDescent="0.25">
      <c r="T2673" s="10"/>
      <c r="U2673" s="4"/>
      <c r="V2673" s="4"/>
      <c r="X2673" s="4"/>
      <c r="Y2673" s="4"/>
    </row>
    <row r="2674" spans="20:25" x14ac:dyDescent="0.25">
      <c r="T2674" s="10"/>
      <c r="U2674" s="4"/>
      <c r="V2674" s="4"/>
      <c r="X2674" s="4"/>
      <c r="Y2674" s="4"/>
    </row>
    <row r="2675" spans="20:25" x14ac:dyDescent="0.25">
      <c r="T2675" s="10"/>
      <c r="U2675" s="4"/>
      <c r="V2675" s="4"/>
      <c r="X2675" s="4"/>
      <c r="Y2675" s="4"/>
    </row>
    <row r="2676" spans="20:25" x14ac:dyDescent="0.25">
      <c r="T2676" s="10"/>
      <c r="U2676" s="4"/>
      <c r="V2676" s="4"/>
      <c r="X2676" s="4"/>
      <c r="Y2676" s="4"/>
    </row>
    <row r="2677" spans="20:25" x14ac:dyDescent="0.25">
      <c r="T2677" s="10"/>
      <c r="U2677" s="4"/>
      <c r="V2677" s="4"/>
      <c r="X2677" s="4"/>
      <c r="Y2677" s="4"/>
    </row>
    <row r="2678" spans="20:25" x14ac:dyDescent="0.25">
      <c r="T2678" s="10"/>
      <c r="U2678" s="4"/>
      <c r="V2678" s="4"/>
      <c r="X2678" s="4"/>
      <c r="Y2678" s="4"/>
    </row>
    <row r="2679" spans="20:25" x14ac:dyDescent="0.25">
      <c r="T2679" s="10"/>
      <c r="U2679" s="4"/>
      <c r="V2679" s="4"/>
      <c r="X2679" s="4"/>
      <c r="Y2679" s="4"/>
    </row>
    <row r="2680" spans="20:25" x14ac:dyDescent="0.25">
      <c r="T2680" s="10"/>
      <c r="U2680" s="4"/>
      <c r="V2680" s="4"/>
      <c r="X2680" s="4"/>
      <c r="Y2680" s="4"/>
    </row>
    <row r="2681" spans="20:25" x14ac:dyDescent="0.25">
      <c r="T2681" s="10"/>
      <c r="U2681" s="4"/>
      <c r="V2681" s="4"/>
      <c r="X2681" s="4"/>
      <c r="Y2681" s="4"/>
    </row>
    <row r="2682" spans="20:25" x14ac:dyDescent="0.25">
      <c r="T2682" s="10"/>
      <c r="U2682" s="4"/>
      <c r="V2682" s="4"/>
      <c r="X2682" s="4"/>
      <c r="Y2682" s="4"/>
    </row>
    <row r="2683" spans="20:25" x14ac:dyDescent="0.25">
      <c r="T2683" s="10"/>
      <c r="U2683" s="4"/>
      <c r="V2683" s="4"/>
      <c r="X2683" s="4"/>
      <c r="Y2683" s="4"/>
    </row>
    <row r="2684" spans="20:25" x14ac:dyDescent="0.25">
      <c r="T2684" s="10"/>
      <c r="U2684" s="4"/>
      <c r="V2684" s="4"/>
      <c r="X2684" s="4"/>
      <c r="Y2684" s="4"/>
    </row>
    <row r="2685" spans="20:25" x14ac:dyDescent="0.25">
      <c r="T2685" s="10"/>
      <c r="U2685" s="4"/>
      <c r="V2685" s="4"/>
      <c r="X2685" s="4"/>
      <c r="Y2685" s="4"/>
    </row>
    <row r="2686" spans="20:25" x14ac:dyDescent="0.25">
      <c r="T2686" s="10"/>
      <c r="U2686" s="4"/>
      <c r="V2686" s="4"/>
      <c r="X2686" s="4"/>
      <c r="Y2686" s="4"/>
    </row>
    <row r="2687" spans="20:25" x14ac:dyDescent="0.25">
      <c r="T2687" s="10"/>
      <c r="U2687" s="4"/>
      <c r="V2687" s="4"/>
      <c r="X2687" s="4"/>
      <c r="Y2687" s="4"/>
    </row>
    <row r="2688" spans="20:25" x14ac:dyDescent="0.25">
      <c r="T2688" s="10"/>
      <c r="U2688" s="4"/>
      <c r="V2688" s="4"/>
      <c r="X2688" s="4"/>
      <c r="Y2688" s="4"/>
    </row>
    <row r="2689" spans="20:25" x14ac:dyDescent="0.25">
      <c r="T2689" s="10"/>
      <c r="U2689" s="4"/>
      <c r="V2689" s="4"/>
      <c r="X2689" s="4"/>
      <c r="Y2689" s="4"/>
    </row>
    <row r="2690" spans="20:25" x14ac:dyDescent="0.25">
      <c r="T2690" s="10"/>
      <c r="U2690" s="4"/>
      <c r="V2690" s="4"/>
      <c r="X2690" s="4"/>
      <c r="Y2690" s="4"/>
    </row>
    <row r="2691" spans="20:25" x14ac:dyDescent="0.25">
      <c r="T2691" s="10"/>
      <c r="U2691" s="4"/>
      <c r="V2691" s="4"/>
      <c r="X2691" s="4"/>
      <c r="Y2691" s="4"/>
    </row>
    <row r="2692" spans="20:25" x14ac:dyDescent="0.25">
      <c r="T2692" s="10"/>
      <c r="U2692" s="4"/>
      <c r="V2692" s="4"/>
      <c r="X2692" s="4"/>
      <c r="Y2692" s="4"/>
    </row>
    <row r="2693" spans="20:25" x14ac:dyDescent="0.25">
      <c r="T2693" s="10"/>
      <c r="U2693" s="4"/>
      <c r="V2693" s="4"/>
      <c r="X2693" s="4"/>
      <c r="Y2693" s="4"/>
    </row>
    <row r="2694" spans="20:25" x14ac:dyDescent="0.25">
      <c r="T2694" s="10"/>
      <c r="U2694" s="4"/>
      <c r="V2694" s="4"/>
      <c r="X2694" s="4"/>
      <c r="Y2694" s="4"/>
    </row>
    <row r="2695" spans="20:25" x14ac:dyDescent="0.25">
      <c r="T2695" s="10"/>
      <c r="U2695" s="4"/>
      <c r="V2695" s="4"/>
      <c r="X2695" s="4"/>
      <c r="Y2695" s="4"/>
    </row>
    <row r="2696" spans="20:25" x14ac:dyDescent="0.25">
      <c r="T2696" s="10"/>
      <c r="U2696" s="4"/>
      <c r="V2696" s="4"/>
      <c r="X2696" s="4"/>
      <c r="Y2696" s="4"/>
    </row>
    <row r="2697" spans="20:25" x14ac:dyDescent="0.25">
      <c r="T2697" s="10"/>
      <c r="U2697" s="4"/>
      <c r="V2697" s="4"/>
      <c r="X2697" s="4"/>
      <c r="Y2697" s="4"/>
    </row>
    <row r="2698" spans="20:25" x14ac:dyDescent="0.25">
      <c r="T2698" s="10"/>
      <c r="U2698" s="4"/>
      <c r="V2698" s="4"/>
      <c r="X2698" s="4"/>
      <c r="Y2698" s="4"/>
    </row>
    <row r="2699" spans="20:25" x14ac:dyDescent="0.25">
      <c r="T2699" s="10"/>
      <c r="U2699" s="4"/>
      <c r="V2699" s="4"/>
      <c r="X2699" s="4"/>
      <c r="Y2699" s="4"/>
    </row>
    <row r="2700" spans="20:25" x14ac:dyDescent="0.25">
      <c r="T2700" s="10"/>
      <c r="U2700" s="4"/>
      <c r="V2700" s="4"/>
      <c r="X2700" s="4"/>
      <c r="Y2700" s="4"/>
    </row>
    <row r="2701" spans="20:25" x14ac:dyDescent="0.25">
      <c r="T2701" s="10"/>
      <c r="U2701" s="4"/>
      <c r="V2701" s="4"/>
      <c r="X2701" s="4"/>
      <c r="Y2701" s="4"/>
    </row>
    <row r="2702" spans="20:25" x14ac:dyDescent="0.25">
      <c r="T2702" s="10"/>
      <c r="U2702" s="4"/>
      <c r="V2702" s="4"/>
      <c r="X2702" s="4"/>
      <c r="Y2702" s="4"/>
    </row>
    <row r="2703" spans="20:25" x14ac:dyDescent="0.25">
      <c r="T2703" s="10"/>
      <c r="U2703" s="4"/>
      <c r="V2703" s="4"/>
      <c r="X2703" s="4"/>
      <c r="Y2703" s="4"/>
    </row>
    <row r="2704" spans="20:25" x14ac:dyDescent="0.25">
      <c r="T2704" s="10"/>
      <c r="U2704" s="4"/>
      <c r="V2704" s="4"/>
      <c r="X2704" s="4"/>
      <c r="Y2704" s="4"/>
    </row>
    <row r="2705" spans="20:25" x14ac:dyDescent="0.25">
      <c r="T2705" s="10"/>
      <c r="U2705" s="4"/>
      <c r="V2705" s="4"/>
      <c r="X2705" s="4"/>
      <c r="Y2705" s="4"/>
    </row>
    <row r="2706" spans="20:25" x14ac:dyDescent="0.25">
      <c r="T2706" s="10"/>
      <c r="U2706" s="4"/>
      <c r="V2706" s="4"/>
      <c r="X2706" s="4"/>
      <c r="Y2706" s="4"/>
    </row>
    <row r="2707" spans="20:25" x14ac:dyDescent="0.25">
      <c r="T2707" s="10"/>
      <c r="U2707" s="4"/>
      <c r="V2707" s="4"/>
      <c r="X2707" s="4"/>
      <c r="Y2707" s="4"/>
    </row>
    <row r="2708" spans="20:25" x14ac:dyDescent="0.25">
      <c r="T2708" s="10"/>
      <c r="U2708" s="4"/>
      <c r="V2708" s="4"/>
      <c r="X2708" s="4"/>
      <c r="Y2708" s="4"/>
    </row>
    <row r="2709" spans="20:25" x14ac:dyDescent="0.25">
      <c r="T2709" s="10"/>
      <c r="U2709" s="4"/>
      <c r="V2709" s="4"/>
      <c r="X2709" s="4"/>
      <c r="Y2709" s="4"/>
    </row>
    <row r="2710" spans="20:25" x14ac:dyDescent="0.25">
      <c r="T2710" s="10"/>
      <c r="U2710" s="4"/>
      <c r="V2710" s="4"/>
      <c r="X2710" s="4"/>
      <c r="Y2710" s="4"/>
    </row>
    <row r="2711" spans="20:25" x14ac:dyDescent="0.25">
      <c r="T2711" s="10"/>
      <c r="U2711" s="4"/>
      <c r="V2711" s="4"/>
      <c r="X2711" s="4"/>
      <c r="Y2711" s="4"/>
    </row>
    <row r="2712" spans="20:25" x14ac:dyDescent="0.25">
      <c r="T2712" s="10"/>
      <c r="U2712" s="4"/>
      <c r="V2712" s="4"/>
      <c r="X2712" s="4"/>
      <c r="Y2712" s="4"/>
    </row>
    <row r="2713" spans="20:25" x14ac:dyDescent="0.25">
      <c r="T2713" s="10"/>
      <c r="U2713" s="4"/>
      <c r="V2713" s="4"/>
      <c r="X2713" s="4"/>
      <c r="Y2713" s="4"/>
    </row>
    <row r="2714" spans="20:25" x14ac:dyDescent="0.25">
      <c r="T2714" s="10"/>
      <c r="U2714" s="4"/>
      <c r="V2714" s="4"/>
      <c r="X2714" s="4"/>
      <c r="Y2714" s="4"/>
    </row>
    <row r="2715" spans="20:25" x14ac:dyDescent="0.25">
      <c r="T2715" s="10"/>
      <c r="U2715" s="4"/>
      <c r="V2715" s="4"/>
      <c r="X2715" s="4"/>
      <c r="Y2715" s="4"/>
    </row>
    <row r="2716" spans="20:25" x14ac:dyDescent="0.25">
      <c r="T2716" s="10"/>
      <c r="U2716" s="4"/>
      <c r="V2716" s="4"/>
      <c r="X2716" s="4"/>
      <c r="Y2716" s="4"/>
    </row>
    <row r="2717" spans="20:25" x14ac:dyDescent="0.25">
      <c r="T2717" s="10"/>
      <c r="U2717" s="4"/>
      <c r="V2717" s="4"/>
      <c r="X2717" s="4"/>
      <c r="Y2717" s="4"/>
    </row>
    <row r="2718" spans="20:25" x14ac:dyDescent="0.25">
      <c r="T2718" s="10"/>
      <c r="U2718" s="4"/>
      <c r="V2718" s="4"/>
      <c r="X2718" s="4"/>
      <c r="Y2718" s="4"/>
    </row>
    <row r="2719" spans="20:25" x14ac:dyDescent="0.25">
      <c r="T2719" s="10"/>
      <c r="U2719" s="4"/>
      <c r="V2719" s="4"/>
      <c r="X2719" s="4"/>
      <c r="Y2719" s="4"/>
    </row>
    <row r="2720" spans="20:25" x14ac:dyDescent="0.25">
      <c r="T2720" s="10"/>
      <c r="U2720" s="4"/>
      <c r="V2720" s="4"/>
      <c r="X2720" s="4"/>
      <c r="Y2720" s="4"/>
    </row>
    <row r="2721" spans="20:25" x14ac:dyDescent="0.25">
      <c r="T2721" s="10"/>
      <c r="U2721" s="4"/>
      <c r="V2721" s="4"/>
      <c r="X2721" s="4"/>
      <c r="Y2721" s="4"/>
    </row>
    <row r="2722" spans="20:25" x14ac:dyDescent="0.25">
      <c r="T2722" s="10"/>
      <c r="U2722" s="4"/>
      <c r="V2722" s="4"/>
      <c r="X2722" s="4"/>
      <c r="Y2722" s="4"/>
    </row>
    <row r="2723" spans="20:25" x14ac:dyDescent="0.25">
      <c r="T2723" s="10"/>
      <c r="U2723" s="4"/>
      <c r="V2723" s="4"/>
      <c r="X2723" s="4"/>
      <c r="Y2723" s="4"/>
    </row>
    <row r="2724" spans="20:25" x14ac:dyDescent="0.25">
      <c r="T2724" s="10"/>
      <c r="U2724" s="4"/>
      <c r="V2724" s="4"/>
      <c r="X2724" s="4"/>
      <c r="Y2724" s="4"/>
    </row>
    <row r="2725" spans="20:25" x14ac:dyDescent="0.25">
      <c r="T2725" s="10"/>
      <c r="U2725" s="4"/>
      <c r="V2725" s="4"/>
      <c r="X2725" s="4"/>
      <c r="Y2725" s="4"/>
    </row>
    <row r="2726" spans="20:25" x14ac:dyDescent="0.25">
      <c r="T2726" s="10"/>
      <c r="U2726" s="4"/>
      <c r="V2726" s="4"/>
      <c r="X2726" s="4"/>
      <c r="Y2726" s="4"/>
    </row>
    <row r="2727" spans="20:25" x14ac:dyDescent="0.25">
      <c r="T2727" s="10"/>
      <c r="U2727" s="4"/>
      <c r="V2727" s="4"/>
      <c r="X2727" s="4"/>
      <c r="Y2727" s="4"/>
    </row>
    <row r="2728" spans="20:25" x14ac:dyDescent="0.25">
      <c r="T2728" s="10"/>
      <c r="U2728" s="4"/>
      <c r="V2728" s="4"/>
      <c r="X2728" s="4"/>
      <c r="Y2728" s="4"/>
    </row>
    <row r="2729" spans="20:25" x14ac:dyDescent="0.25">
      <c r="T2729" s="10"/>
      <c r="U2729" s="4"/>
      <c r="V2729" s="4"/>
      <c r="X2729" s="4"/>
      <c r="Y2729" s="4"/>
    </row>
    <row r="2730" spans="20:25" x14ac:dyDescent="0.25">
      <c r="T2730" s="10"/>
      <c r="U2730" s="4"/>
      <c r="V2730" s="4"/>
      <c r="X2730" s="4"/>
      <c r="Y2730" s="4"/>
    </row>
    <row r="2731" spans="20:25" x14ac:dyDescent="0.25">
      <c r="T2731" s="10"/>
      <c r="U2731" s="4"/>
      <c r="V2731" s="4"/>
      <c r="X2731" s="4"/>
      <c r="Y2731" s="4"/>
    </row>
    <row r="2732" spans="20:25" x14ac:dyDescent="0.25">
      <c r="T2732" s="10"/>
      <c r="U2732" s="4"/>
      <c r="V2732" s="4"/>
      <c r="X2732" s="4"/>
      <c r="Y2732" s="4"/>
    </row>
    <row r="2733" spans="20:25" x14ac:dyDescent="0.25">
      <c r="T2733" s="10"/>
      <c r="U2733" s="4"/>
      <c r="V2733" s="4"/>
      <c r="X2733" s="4"/>
      <c r="Y2733" s="4"/>
    </row>
    <row r="2734" spans="20:25" x14ac:dyDescent="0.25">
      <c r="T2734" s="10"/>
      <c r="U2734" s="4"/>
      <c r="V2734" s="4"/>
      <c r="X2734" s="4"/>
      <c r="Y2734" s="4"/>
    </row>
    <row r="2735" spans="20:25" x14ac:dyDescent="0.25">
      <c r="T2735" s="10"/>
      <c r="U2735" s="4"/>
      <c r="V2735" s="4"/>
      <c r="X2735" s="4"/>
      <c r="Y2735" s="4"/>
    </row>
    <row r="2736" spans="20:25" x14ac:dyDescent="0.25">
      <c r="T2736" s="10"/>
      <c r="U2736" s="4"/>
      <c r="V2736" s="4"/>
      <c r="X2736" s="4"/>
      <c r="Y2736" s="4"/>
    </row>
    <row r="2737" spans="20:25" x14ac:dyDescent="0.25">
      <c r="T2737" s="10"/>
      <c r="U2737" s="4"/>
      <c r="V2737" s="4"/>
      <c r="X2737" s="4"/>
      <c r="Y2737" s="4"/>
    </row>
    <row r="2738" spans="20:25" x14ac:dyDescent="0.25">
      <c r="T2738" s="10"/>
      <c r="U2738" s="4"/>
      <c r="V2738" s="4"/>
      <c r="X2738" s="4"/>
      <c r="Y2738" s="4"/>
    </row>
    <row r="2739" spans="20:25" x14ac:dyDescent="0.25">
      <c r="T2739" s="10"/>
      <c r="U2739" s="4"/>
      <c r="V2739" s="4"/>
      <c r="X2739" s="4"/>
      <c r="Y2739" s="4"/>
    </row>
    <row r="2740" spans="20:25" x14ac:dyDescent="0.25">
      <c r="T2740" s="10"/>
      <c r="U2740" s="4"/>
      <c r="V2740" s="4"/>
      <c r="X2740" s="4"/>
      <c r="Y2740" s="4"/>
    </row>
    <row r="2741" spans="20:25" x14ac:dyDescent="0.25">
      <c r="T2741" s="10"/>
      <c r="U2741" s="4"/>
      <c r="V2741" s="4"/>
      <c r="X2741" s="4"/>
      <c r="Y2741" s="4"/>
    </row>
    <row r="2742" spans="20:25" x14ac:dyDescent="0.25">
      <c r="T2742" s="10"/>
      <c r="U2742" s="4"/>
      <c r="V2742" s="4"/>
      <c r="X2742" s="4"/>
      <c r="Y2742" s="4"/>
    </row>
    <row r="2743" spans="20:25" x14ac:dyDescent="0.25">
      <c r="T2743" s="10"/>
      <c r="U2743" s="4"/>
      <c r="V2743" s="4"/>
      <c r="X2743" s="4"/>
      <c r="Y2743" s="4"/>
    </row>
    <row r="2744" spans="20:25" x14ac:dyDescent="0.25">
      <c r="T2744" s="10"/>
      <c r="U2744" s="4"/>
      <c r="V2744" s="4"/>
      <c r="X2744" s="4"/>
      <c r="Y2744" s="4"/>
    </row>
    <row r="2745" spans="20:25" x14ac:dyDescent="0.25">
      <c r="T2745" s="10"/>
      <c r="U2745" s="4"/>
      <c r="V2745" s="4"/>
      <c r="X2745" s="4"/>
      <c r="Y2745" s="4"/>
    </row>
    <row r="2746" spans="20:25" x14ac:dyDescent="0.25">
      <c r="T2746" s="10"/>
      <c r="U2746" s="4"/>
      <c r="V2746" s="4"/>
      <c r="X2746" s="4"/>
      <c r="Y2746" s="4"/>
    </row>
    <row r="2747" spans="20:25" x14ac:dyDescent="0.25">
      <c r="T2747" s="10"/>
      <c r="U2747" s="4"/>
      <c r="V2747" s="4"/>
      <c r="X2747" s="4"/>
      <c r="Y2747" s="4"/>
    </row>
    <row r="2748" spans="20:25" x14ac:dyDescent="0.25">
      <c r="T2748" s="10"/>
      <c r="U2748" s="4"/>
      <c r="V2748" s="4"/>
      <c r="X2748" s="4"/>
      <c r="Y2748" s="4"/>
    </row>
    <row r="2749" spans="20:25" x14ac:dyDescent="0.25">
      <c r="T2749" s="10"/>
      <c r="U2749" s="4"/>
      <c r="V2749" s="4"/>
      <c r="X2749" s="4"/>
      <c r="Y2749" s="4"/>
    </row>
    <row r="2750" spans="20:25" x14ac:dyDescent="0.25">
      <c r="T2750" s="10"/>
      <c r="U2750" s="4"/>
      <c r="V2750" s="4"/>
      <c r="X2750" s="4"/>
      <c r="Y2750" s="4"/>
    </row>
    <row r="2751" spans="20:25" x14ac:dyDescent="0.25">
      <c r="T2751" s="10"/>
      <c r="U2751" s="4"/>
      <c r="V2751" s="4"/>
      <c r="X2751" s="4"/>
      <c r="Y2751" s="4"/>
    </row>
    <row r="2752" spans="20:25" x14ac:dyDescent="0.25">
      <c r="T2752" s="10"/>
      <c r="U2752" s="4"/>
      <c r="V2752" s="4"/>
      <c r="X2752" s="4"/>
      <c r="Y2752" s="4"/>
    </row>
    <row r="2753" spans="20:25" x14ac:dyDescent="0.25">
      <c r="T2753" s="10"/>
      <c r="U2753" s="4"/>
      <c r="V2753" s="4"/>
      <c r="X2753" s="4"/>
      <c r="Y2753" s="4"/>
    </row>
    <row r="2754" spans="20:25" x14ac:dyDescent="0.25">
      <c r="T2754" s="10"/>
      <c r="U2754" s="4"/>
      <c r="V2754" s="4"/>
      <c r="X2754" s="4"/>
      <c r="Y2754" s="4"/>
    </row>
    <row r="2755" spans="20:25" x14ac:dyDescent="0.25">
      <c r="T2755" s="10"/>
      <c r="U2755" s="4"/>
      <c r="V2755" s="4"/>
      <c r="X2755" s="4"/>
      <c r="Y2755" s="4"/>
    </row>
    <row r="2756" spans="20:25" x14ac:dyDescent="0.25">
      <c r="T2756" s="10"/>
      <c r="U2756" s="4"/>
      <c r="V2756" s="4"/>
      <c r="X2756" s="4"/>
      <c r="Y2756" s="4"/>
    </row>
    <row r="2757" spans="20:25" x14ac:dyDescent="0.25">
      <c r="T2757" s="10"/>
      <c r="U2757" s="4"/>
      <c r="V2757" s="4"/>
      <c r="X2757" s="4"/>
      <c r="Y2757" s="4"/>
    </row>
    <row r="2758" spans="20:25" x14ac:dyDescent="0.25">
      <c r="T2758" s="10"/>
      <c r="U2758" s="4"/>
      <c r="V2758" s="4"/>
      <c r="X2758" s="4"/>
      <c r="Y2758" s="4"/>
    </row>
    <row r="2759" spans="20:25" x14ac:dyDescent="0.25">
      <c r="T2759" s="10"/>
      <c r="U2759" s="4"/>
      <c r="V2759" s="4"/>
      <c r="X2759" s="4"/>
      <c r="Y2759" s="4"/>
    </row>
    <row r="2760" spans="20:25" x14ac:dyDescent="0.25">
      <c r="T2760" s="10"/>
      <c r="U2760" s="4"/>
      <c r="V2760" s="4"/>
      <c r="X2760" s="4"/>
      <c r="Y2760" s="4"/>
    </row>
    <row r="2761" spans="20:25" x14ac:dyDescent="0.25">
      <c r="T2761" s="10"/>
      <c r="U2761" s="4"/>
      <c r="V2761" s="4"/>
      <c r="X2761" s="4"/>
      <c r="Y2761" s="4"/>
    </row>
    <row r="2762" spans="20:25" x14ac:dyDescent="0.25">
      <c r="T2762" s="10"/>
      <c r="U2762" s="4"/>
      <c r="V2762" s="4"/>
      <c r="X2762" s="4"/>
      <c r="Y2762" s="4"/>
    </row>
    <row r="2763" spans="20:25" x14ac:dyDescent="0.25">
      <c r="T2763" s="10"/>
      <c r="U2763" s="4"/>
      <c r="V2763" s="4"/>
      <c r="X2763" s="4"/>
      <c r="Y2763" s="4"/>
    </row>
    <row r="2764" spans="20:25" x14ac:dyDescent="0.25">
      <c r="T2764" s="10"/>
      <c r="U2764" s="4"/>
      <c r="V2764" s="4"/>
      <c r="X2764" s="4"/>
      <c r="Y2764" s="4"/>
    </row>
    <row r="2765" spans="20:25" x14ac:dyDescent="0.25">
      <c r="T2765" s="10"/>
      <c r="U2765" s="4"/>
      <c r="V2765" s="4"/>
      <c r="X2765" s="4"/>
      <c r="Y2765" s="4"/>
    </row>
    <row r="2766" spans="20:25" x14ac:dyDescent="0.25">
      <c r="T2766" s="10"/>
      <c r="U2766" s="4"/>
      <c r="V2766" s="4"/>
      <c r="X2766" s="4"/>
      <c r="Y2766" s="4"/>
    </row>
    <row r="2767" spans="20:25" x14ac:dyDescent="0.25">
      <c r="T2767" s="10"/>
      <c r="U2767" s="4"/>
      <c r="V2767" s="4"/>
      <c r="X2767" s="4"/>
      <c r="Y2767" s="4"/>
    </row>
    <row r="2768" spans="20:25" x14ac:dyDescent="0.25">
      <c r="T2768" s="10"/>
      <c r="U2768" s="4"/>
      <c r="V2768" s="4"/>
      <c r="X2768" s="4"/>
      <c r="Y2768" s="4"/>
    </row>
    <row r="2769" spans="20:25" x14ac:dyDescent="0.25">
      <c r="T2769" s="10"/>
      <c r="U2769" s="4"/>
      <c r="V2769" s="4"/>
      <c r="X2769" s="4"/>
      <c r="Y2769" s="4"/>
    </row>
    <row r="2770" spans="20:25" x14ac:dyDescent="0.25">
      <c r="T2770" s="10"/>
      <c r="U2770" s="4"/>
      <c r="V2770" s="4"/>
      <c r="X2770" s="4"/>
      <c r="Y2770" s="4"/>
    </row>
    <row r="2771" spans="20:25" x14ac:dyDescent="0.25">
      <c r="T2771" s="10"/>
      <c r="U2771" s="4"/>
      <c r="V2771" s="4"/>
      <c r="X2771" s="4"/>
      <c r="Y2771" s="4"/>
    </row>
    <row r="2772" spans="20:25" x14ac:dyDescent="0.25">
      <c r="T2772" s="10"/>
      <c r="U2772" s="4"/>
      <c r="V2772" s="4"/>
      <c r="X2772" s="4"/>
      <c r="Y2772" s="4"/>
    </row>
    <row r="2773" spans="20:25" x14ac:dyDescent="0.25">
      <c r="T2773" s="10"/>
      <c r="U2773" s="4"/>
      <c r="V2773" s="4"/>
      <c r="X2773" s="4"/>
      <c r="Y2773" s="4"/>
    </row>
    <row r="2774" spans="20:25" x14ac:dyDescent="0.25">
      <c r="T2774" s="10"/>
      <c r="U2774" s="4"/>
      <c r="V2774" s="4"/>
      <c r="X2774" s="4"/>
      <c r="Y2774" s="4"/>
    </row>
    <row r="2775" spans="20:25" x14ac:dyDescent="0.25">
      <c r="T2775" s="10"/>
      <c r="U2775" s="4"/>
      <c r="V2775" s="4"/>
      <c r="X2775" s="4"/>
      <c r="Y2775" s="4"/>
    </row>
    <row r="2776" spans="20:25" x14ac:dyDescent="0.25">
      <c r="T2776" s="10"/>
      <c r="U2776" s="4"/>
      <c r="V2776" s="4"/>
      <c r="X2776" s="4"/>
      <c r="Y2776" s="4"/>
    </row>
    <row r="2777" spans="20:25" x14ac:dyDescent="0.25">
      <c r="T2777" s="10"/>
      <c r="U2777" s="4"/>
      <c r="V2777" s="4"/>
      <c r="X2777" s="4"/>
      <c r="Y2777" s="4"/>
    </row>
    <row r="2778" spans="20:25" x14ac:dyDescent="0.25">
      <c r="T2778" s="10"/>
      <c r="U2778" s="4"/>
      <c r="V2778" s="4"/>
      <c r="X2778" s="4"/>
      <c r="Y2778" s="4"/>
    </row>
    <row r="2779" spans="20:25" x14ac:dyDescent="0.25">
      <c r="T2779" s="10"/>
      <c r="U2779" s="4"/>
      <c r="V2779" s="4"/>
      <c r="X2779" s="4"/>
      <c r="Y2779" s="4"/>
    </row>
    <row r="2780" spans="20:25" x14ac:dyDescent="0.25">
      <c r="T2780" s="10"/>
      <c r="U2780" s="4"/>
      <c r="V2780" s="4"/>
      <c r="X2780" s="4"/>
      <c r="Y2780" s="4"/>
    </row>
    <row r="2781" spans="20:25" x14ac:dyDescent="0.25">
      <c r="T2781" s="10"/>
      <c r="U2781" s="4"/>
      <c r="V2781" s="4"/>
      <c r="X2781" s="4"/>
      <c r="Y2781" s="4"/>
    </row>
    <row r="2782" spans="20:25" x14ac:dyDescent="0.25">
      <c r="T2782" s="10"/>
      <c r="U2782" s="4"/>
      <c r="V2782" s="4"/>
      <c r="X2782" s="4"/>
      <c r="Y2782" s="4"/>
    </row>
    <row r="2783" spans="20:25" x14ac:dyDescent="0.25">
      <c r="T2783" s="10"/>
      <c r="U2783" s="4"/>
      <c r="V2783" s="4"/>
      <c r="X2783" s="4"/>
      <c r="Y2783" s="4"/>
    </row>
    <row r="2784" spans="20:25" x14ac:dyDescent="0.25">
      <c r="T2784" s="10"/>
      <c r="U2784" s="4"/>
      <c r="V2784" s="4"/>
      <c r="X2784" s="4"/>
      <c r="Y2784" s="4"/>
    </row>
    <row r="2785" spans="20:25" x14ac:dyDescent="0.25">
      <c r="T2785" s="10"/>
      <c r="U2785" s="4"/>
      <c r="V2785" s="4"/>
      <c r="X2785" s="4"/>
      <c r="Y2785" s="4"/>
    </row>
    <row r="2786" spans="20:25" x14ac:dyDescent="0.25">
      <c r="T2786" s="10"/>
      <c r="U2786" s="4"/>
      <c r="V2786" s="4"/>
      <c r="X2786" s="4"/>
      <c r="Y2786" s="4"/>
    </row>
    <row r="2787" spans="20:25" x14ac:dyDescent="0.25">
      <c r="T2787" s="10"/>
      <c r="U2787" s="4"/>
      <c r="V2787" s="4"/>
      <c r="X2787" s="4"/>
      <c r="Y2787" s="4"/>
    </row>
    <row r="2788" spans="20:25" x14ac:dyDescent="0.25">
      <c r="T2788" s="10"/>
      <c r="U2788" s="4"/>
      <c r="V2788" s="4"/>
      <c r="X2788" s="4"/>
      <c r="Y2788" s="4"/>
    </row>
    <row r="2789" spans="20:25" x14ac:dyDescent="0.25">
      <c r="T2789" s="10"/>
      <c r="U2789" s="4"/>
      <c r="V2789" s="4"/>
      <c r="X2789" s="4"/>
      <c r="Y2789" s="4"/>
    </row>
    <row r="2790" spans="20:25" x14ac:dyDescent="0.25">
      <c r="T2790" s="10"/>
      <c r="U2790" s="4"/>
      <c r="V2790" s="4"/>
      <c r="X2790" s="4"/>
      <c r="Y2790" s="4"/>
    </row>
    <row r="2791" spans="20:25" x14ac:dyDescent="0.25">
      <c r="T2791" s="10"/>
      <c r="U2791" s="4"/>
      <c r="V2791" s="4"/>
      <c r="X2791" s="4"/>
      <c r="Y2791" s="4"/>
    </row>
    <row r="2792" spans="20:25" x14ac:dyDescent="0.25">
      <c r="T2792" s="10"/>
      <c r="U2792" s="4"/>
      <c r="V2792" s="4"/>
      <c r="X2792" s="4"/>
      <c r="Y2792" s="4"/>
    </row>
    <row r="2793" spans="20:25" x14ac:dyDescent="0.25">
      <c r="T2793" s="10"/>
      <c r="U2793" s="4"/>
      <c r="V2793" s="4"/>
      <c r="X2793" s="4"/>
      <c r="Y2793" s="4"/>
    </row>
    <row r="2794" spans="20:25" x14ac:dyDescent="0.25">
      <c r="T2794" s="10"/>
      <c r="U2794" s="4"/>
      <c r="V2794" s="4"/>
      <c r="X2794" s="4"/>
      <c r="Y2794" s="4"/>
    </row>
    <row r="2795" spans="20:25" x14ac:dyDescent="0.25">
      <c r="T2795" s="10"/>
      <c r="U2795" s="4"/>
      <c r="V2795" s="4"/>
      <c r="X2795" s="4"/>
      <c r="Y2795" s="4"/>
    </row>
    <row r="2796" spans="20:25" x14ac:dyDescent="0.25">
      <c r="T2796" s="10"/>
      <c r="U2796" s="4"/>
      <c r="V2796" s="4"/>
      <c r="X2796" s="4"/>
      <c r="Y2796" s="4"/>
    </row>
    <row r="2797" spans="20:25" x14ac:dyDescent="0.25">
      <c r="T2797" s="10"/>
      <c r="U2797" s="4"/>
      <c r="V2797" s="4"/>
      <c r="X2797" s="4"/>
      <c r="Y2797" s="4"/>
    </row>
    <row r="2798" spans="20:25" x14ac:dyDescent="0.25">
      <c r="T2798" s="10"/>
      <c r="U2798" s="4"/>
      <c r="V2798" s="4"/>
      <c r="X2798" s="4"/>
      <c r="Y2798" s="4"/>
    </row>
    <row r="2799" spans="20:25" x14ac:dyDescent="0.25">
      <c r="T2799" s="10"/>
      <c r="U2799" s="4"/>
      <c r="V2799" s="4"/>
      <c r="X2799" s="4"/>
      <c r="Y2799" s="4"/>
    </row>
    <row r="2800" spans="20:25" x14ac:dyDescent="0.25">
      <c r="T2800" s="10"/>
      <c r="U2800" s="4"/>
      <c r="V2800" s="4"/>
      <c r="X2800" s="4"/>
      <c r="Y2800" s="4"/>
    </row>
    <row r="2801" spans="20:25" x14ac:dyDescent="0.25">
      <c r="T2801" s="10"/>
      <c r="U2801" s="4"/>
      <c r="V2801" s="4"/>
      <c r="X2801" s="4"/>
      <c r="Y2801" s="4"/>
    </row>
    <row r="2802" spans="20:25" x14ac:dyDescent="0.25">
      <c r="T2802" s="10"/>
      <c r="U2802" s="4"/>
      <c r="V2802" s="4"/>
      <c r="X2802" s="4"/>
      <c r="Y2802" s="4"/>
    </row>
    <row r="2803" spans="20:25" x14ac:dyDescent="0.25">
      <c r="T2803" s="10"/>
      <c r="U2803" s="4"/>
      <c r="V2803" s="4"/>
      <c r="X2803" s="4"/>
      <c r="Y2803" s="4"/>
    </row>
    <row r="2804" spans="20:25" x14ac:dyDescent="0.25">
      <c r="T2804" s="10"/>
      <c r="U2804" s="4"/>
      <c r="V2804" s="4"/>
      <c r="X2804" s="4"/>
      <c r="Y2804" s="4"/>
    </row>
    <row r="2805" spans="20:25" x14ac:dyDescent="0.25">
      <c r="T2805" s="10"/>
      <c r="U2805" s="4"/>
      <c r="V2805" s="4"/>
      <c r="X2805" s="4"/>
      <c r="Y2805" s="4"/>
    </row>
    <row r="2806" spans="20:25" x14ac:dyDescent="0.25">
      <c r="T2806" s="10"/>
      <c r="U2806" s="4"/>
      <c r="V2806" s="4"/>
      <c r="X2806" s="4"/>
      <c r="Y2806" s="4"/>
    </row>
    <row r="2807" spans="20:25" x14ac:dyDescent="0.25">
      <c r="T2807" s="10"/>
      <c r="U2807" s="4"/>
      <c r="V2807" s="4"/>
      <c r="X2807" s="4"/>
      <c r="Y2807" s="4"/>
    </row>
    <row r="2808" spans="20:25" x14ac:dyDescent="0.25">
      <c r="T2808" s="10"/>
      <c r="U2808" s="4"/>
      <c r="V2808" s="4"/>
      <c r="X2808" s="4"/>
      <c r="Y2808" s="4"/>
    </row>
    <row r="2809" spans="20:25" x14ac:dyDescent="0.25">
      <c r="T2809" s="10"/>
      <c r="U2809" s="4"/>
      <c r="V2809" s="4"/>
      <c r="X2809" s="4"/>
      <c r="Y2809" s="4"/>
    </row>
    <row r="2810" spans="20:25" x14ac:dyDescent="0.25">
      <c r="T2810" s="10"/>
      <c r="U2810" s="4"/>
      <c r="V2810" s="4"/>
      <c r="X2810" s="4"/>
      <c r="Y2810" s="4"/>
    </row>
    <row r="2811" spans="20:25" x14ac:dyDescent="0.25">
      <c r="T2811" s="10"/>
      <c r="U2811" s="4"/>
      <c r="V2811" s="4"/>
      <c r="X2811" s="4"/>
      <c r="Y2811" s="4"/>
    </row>
    <row r="2812" spans="20:25" x14ac:dyDescent="0.25">
      <c r="T2812" s="10"/>
      <c r="U2812" s="4"/>
      <c r="V2812" s="4"/>
      <c r="X2812" s="4"/>
      <c r="Y2812" s="4"/>
    </row>
    <row r="2813" spans="20:25" x14ac:dyDescent="0.25">
      <c r="T2813" s="10"/>
      <c r="U2813" s="4"/>
      <c r="V2813" s="4"/>
      <c r="X2813" s="4"/>
      <c r="Y2813" s="4"/>
    </row>
    <row r="2814" spans="20:25" x14ac:dyDescent="0.25">
      <c r="T2814" s="10"/>
      <c r="U2814" s="4"/>
      <c r="V2814" s="4"/>
      <c r="X2814" s="4"/>
      <c r="Y2814" s="4"/>
    </row>
    <row r="2815" spans="20:25" x14ac:dyDescent="0.25">
      <c r="T2815" s="10"/>
      <c r="U2815" s="4"/>
      <c r="V2815" s="4"/>
      <c r="X2815" s="4"/>
      <c r="Y2815" s="4"/>
    </row>
    <row r="2816" spans="20:25" x14ac:dyDescent="0.25">
      <c r="T2816" s="10"/>
      <c r="U2816" s="4"/>
      <c r="V2816" s="4"/>
      <c r="X2816" s="4"/>
      <c r="Y2816" s="4"/>
    </row>
    <row r="2817" spans="20:25" x14ac:dyDescent="0.25">
      <c r="T2817" s="10"/>
      <c r="U2817" s="4"/>
      <c r="V2817" s="4"/>
      <c r="X2817" s="4"/>
      <c r="Y2817" s="4"/>
    </row>
    <row r="2818" spans="20:25" x14ac:dyDescent="0.25">
      <c r="T2818" s="10"/>
      <c r="U2818" s="4"/>
      <c r="V2818" s="4"/>
      <c r="X2818" s="4"/>
      <c r="Y2818" s="4"/>
    </row>
    <row r="2819" spans="20:25" x14ac:dyDescent="0.25">
      <c r="T2819" s="10"/>
      <c r="U2819" s="4"/>
      <c r="V2819" s="4"/>
      <c r="X2819" s="4"/>
      <c r="Y2819" s="4"/>
    </row>
    <row r="2820" spans="20:25" x14ac:dyDescent="0.25">
      <c r="T2820" s="10"/>
      <c r="U2820" s="4"/>
      <c r="V2820" s="4"/>
      <c r="X2820" s="4"/>
      <c r="Y2820" s="4"/>
    </row>
    <row r="2821" spans="20:25" x14ac:dyDescent="0.25">
      <c r="T2821" s="10"/>
      <c r="U2821" s="4"/>
      <c r="V2821" s="4"/>
      <c r="X2821" s="4"/>
      <c r="Y2821" s="4"/>
    </row>
    <row r="2822" spans="20:25" x14ac:dyDescent="0.25">
      <c r="T2822" s="10"/>
      <c r="U2822" s="4"/>
      <c r="V2822" s="4"/>
      <c r="X2822" s="4"/>
      <c r="Y2822" s="4"/>
    </row>
    <row r="2823" spans="20:25" x14ac:dyDescent="0.25">
      <c r="T2823" s="10"/>
      <c r="U2823" s="4"/>
      <c r="V2823" s="4"/>
      <c r="X2823" s="4"/>
      <c r="Y2823" s="4"/>
    </row>
    <row r="2824" spans="20:25" x14ac:dyDescent="0.25">
      <c r="T2824" s="10"/>
      <c r="U2824" s="4"/>
      <c r="V2824" s="4"/>
      <c r="X2824" s="4"/>
      <c r="Y2824" s="4"/>
    </row>
    <row r="2825" spans="20:25" x14ac:dyDescent="0.25">
      <c r="T2825" s="10"/>
      <c r="U2825" s="4"/>
      <c r="V2825" s="4"/>
      <c r="X2825" s="4"/>
      <c r="Y2825" s="4"/>
    </row>
    <row r="2826" spans="20:25" x14ac:dyDescent="0.25">
      <c r="T2826" s="10"/>
      <c r="U2826" s="4"/>
      <c r="V2826" s="4"/>
      <c r="X2826" s="4"/>
      <c r="Y2826" s="4"/>
    </row>
    <row r="2827" spans="20:25" x14ac:dyDescent="0.25">
      <c r="T2827" s="10"/>
      <c r="U2827" s="4"/>
      <c r="V2827" s="4"/>
      <c r="X2827" s="4"/>
      <c r="Y2827" s="4"/>
    </row>
    <row r="2828" spans="20:25" x14ac:dyDescent="0.25">
      <c r="T2828" s="10"/>
      <c r="U2828" s="4"/>
      <c r="V2828" s="4"/>
      <c r="X2828" s="4"/>
      <c r="Y2828" s="4"/>
    </row>
    <row r="2829" spans="20:25" x14ac:dyDescent="0.25">
      <c r="T2829" s="10"/>
      <c r="U2829" s="4"/>
      <c r="V2829" s="4"/>
      <c r="X2829" s="4"/>
      <c r="Y2829" s="4"/>
    </row>
    <row r="2830" spans="20:25" x14ac:dyDescent="0.25">
      <c r="T2830" s="10"/>
      <c r="U2830" s="4"/>
      <c r="V2830" s="4"/>
      <c r="X2830" s="4"/>
      <c r="Y2830" s="4"/>
    </row>
    <row r="2831" spans="20:25" x14ac:dyDescent="0.25">
      <c r="T2831" s="10"/>
      <c r="U2831" s="4"/>
      <c r="V2831" s="4"/>
      <c r="X2831" s="4"/>
      <c r="Y2831" s="4"/>
    </row>
    <row r="2832" spans="20:25" x14ac:dyDescent="0.25">
      <c r="T2832" s="10"/>
      <c r="U2832" s="4"/>
      <c r="V2832" s="4"/>
      <c r="X2832" s="4"/>
      <c r="Y2832" s="4"/>
    </row>
    <row r="2833" spans="20:25" x14ac:dyDescent="0.25">
      <c r="T2833" s="10"/>
      <c r="U2833" s="4"/>
      <c r="V2833" s="4"/>
      <c r="X2833" s="4"/>
      <c r="Y2833" s="4"/>
    </row>
    <row r="2834" spans="20:25" x14ac:dyDescent="0.25">
      <c r="T2834" s="10"/>
      <c r="U2834" s="4"/>
      <c r="V2834" s="4"/>
      <c r="X2834" s="4"/>
      <c r="Y2834" s="4"/>
    </row>
    <row r="2835" spans="20:25" x14ac:dyDescent="0.25">
      <c r="T2835" s="10"/>
      <c r="U2835" s="4"/>
      <c r="V2835" s="4"/>
      <c r="X2835" s="4"/>
      <c r="Y2835" s="4"/>
    </row>
    <row r="2836" spans="20:25" x14ac:dyDescent="0.25">
      <c r="T2836" s="10"/>
      <c r="U2836" s="4"/>
      <c r="V2836" s="4"/>
      <c r="X2836" s="4"/>
      <c r="Y2836" s="4"/>
    </row>
    <row r="2837" spans="20:25" x14ac:dyDescent="0.25">
      <c r="T2837" s="10"/>
      <c r="U2837" s="4"/>
      <c r="V2837" s="4"/>
      <c r="X2837" s="4"/>
      <c r="Y2837" s="4"/>
    </row>
    <row r="2838" spans="20:25" x14ac:dyDescent="0.25">
      <c r="T2838" s="10"/>
      <c r="U2838" s="4"/>
      <c r="V2838" s="4"/>
      <c r="X2838" s="4"/>
      <c r="Y2838" s="4"/>
    </row>
    <row r="2839" spans="20:25" x14ac:dyDescent="0.25">
      <c r="T2839" s="10"/>
      <c r="U2839" s="4"/>
      <c r="V2839" s="4"/>
      <c r="X2839" s="4"/>
      <c r="Y2839" s="4"/>
    </row>
    <row r="2840" spans="20:25" x14ac:dyDescent="0.25">
      <c r="T2840" s="10"/>
      <c r="U2840" s="4"/>
      <c r="V2840" s="4"/>
      <c r="X2840" s="4"/>
      <c r="Y2840" s="4"/>
    </row>
    <row r="2841" spans="20:25" x14ac:dyDescent="0.25">
      <c r="T2841" s="10"/>
      <c r="U2841" s="4"/>
      <c r="V2841" s="4"/>
      <c r="X2841" s="4"/>
      <c r="Y2841" s="4"/>
    </row>
    <row r="2842" spans="20:25" x14ac:dyDescent="0.25">
      <c r="T2842" s="10"/>
      <c r="U2842" s="4"/>
      <c r="V2842" s="4"/>
      <c r="X2842" s="4"/>
      <c r="Y2842" s="4"/>
    </row>
    <row r="2843" spans="20:25" x14ac:dyDescent="0.25">
      <c r="T2843" s="10"/>
      <c r="U2843" s="4"/>
      <c r="V2843" s="4"/>
      <c r="X2843" s="4"/>
      <c r="Y2843" s="4"/>
    </row>
    <row r="2844" spans="20:25" x14ac:dyDescent="0.25">
      <c r="T2844" s="10"/>
      <c r="U2844" s="4"/>
      <c r="V2844" s="4"/>
      <c r="X2844" s="4"/>
      <c r="Y2844" s="4"/>
    </row>
    <row r="2845" spans="20:25" x14ac:dyDescent="0.25">
      <c r="T2845" s="10"/>
      <c r="U2845" s="4"/>
      <c r="V2845" s="4"/>
      <c r="X2845" s="4"/>
      <c r="Y2845" s="4"/>
    </row>
    <row r="2846" spans="20:25" x14ac:dyDescent="0.25">
      <c r="T2846" s="10"/>
      <c r="U2846" s="4"/>
      <c r="V2846" s="4"/>
      <c r="X2846" s="4"/>
      <c r="Y2846" s="4"/>
    </row>
    <row r="2847" spans="20:25" x14ac:dyDescent="0.25">
      <c r="T2847" s="10"/>
      <c r="U2847" s="4"/>
      <c r="V2847" s="4"/>
      <c r="X2847" s="4"/>
      <c r="Y2847" s="4"/>
    </row>
    <row r="2848" spans="20:25" x14ac:dyDescent="0.25">
      <c r="T2848" s="10"/>
      <c r="U2848" s="4"/>
      <c r="V2848" s="4"/>
      <c r="X2848" s="4"/>
      <c r="Y2848" s="4"/>
    </row>
    <row r="2849" spans="20:25" x14ac:dyDescent="0.25">
      <c r="T2849" s="10"/>
      <c r="U2849" s="4"/>
      <c r="V2849" s="4"/>
      <c r="X2849" s="4"/>
      <c r="Y2849" s="4"/>
    </row>
    <row r="2850" spans="20:25" x14ac:dyDescent="0.25">
      <c r="T2850" s="10"/>
      <c r="U2850" s="4"/>
      <c r="V2850" s="4"/>
      <c r="X2850" s="4"/>
      <c r="Y2850" s="4"/>
    </row>
    <row r="2851" spans="20:25" x14ac:dyDescent="0.25">
      <c r="T2851" s="10"/>
      <c r="U2851" s="4"/>
      <c r="V2851" s="4"/>
      <c r="X2851" s="4"/>
      <c r="Y2851" s="4"/>
    </row>
    <row r="2852" spans="20:25" x14ac:dyDescent="0.25">
      <c r="T2852" s="10"/>
      <c r="U2852" s="4"/>
      <c r="V2852" s="4"/>
      <c r="X2852" s="4"/>
      <c r="Y2852" s="4"/>
    </row>
    <row r="2853" spans="20:25" x14ac:dyDescent="0.25">
      <c r="T2853" s="10"/>
      <c r="U2853" s="4"/>
      <c r="V2853" s="4"/>
      <c r="X2853" s="4"/>
      <c r="Y2853" s="4"/>
    </row>
    <row r="2854" spans="20:25" x14ac:dyDescent="0.25">
      <c r="T2854" s="10"/>
      <c r="U2854" s="4"/>
      <c r="V2854" s="4"/>
      <c r="X2854" s="4"/>
      <c r="Y2854" s="4"/>
    </row>
    <row r="2855" spans="20:25" x14ac:dyDescent="0.25">
      <c r="T2855" s="10"/>
      <c r="U2855" s="4"/>
      <c r="V2855" s="4"/>
      <c r="X2855" s="4"/>
      <c r="Y2855" s="4"/>
    </row>
    <row r="2856" spans="20:25" x14ac:dyDescent="0.25">
      <c r="T2856" s="10"/>
      <c r="U2856" s="4"/>
      <c r="V2856" s="4"/>
      <c r="X2856" s="4"/>
      <c r="Y2856" s="4"/>
    </row>
    <row r="2857" spans="20:25" x14ac:dyDescent="0.25">
      <c r="T2857" s="10"/>
      <c r="U2857" s="4"/>
      <c r="V2857" s="4"/>
      <c r="X2857" s="4"/>
      <c r="Y2857" s="4"/>
    </row>
    <row r="2858" spans="20:25" x14ac:dyDescent="0.25">
      <c r="T2858" s="10"/>
      <c r="U2858" s="4"/>
      <c r="V2858" s="4"/>
      <c r="X2858" s="4"/>
      <c r="Y2858" s="4"/>
    </row>
    <row r="2859" spans="20:25" x14ac:dyDescent="0.25">
      <c r="T2859" s="10"/>
      <c r="U2859" s="4"/>
      <c r="V2859" s="4"/>
      <c r="X2859" s="4"/>
      <c r="Y2859" s="4"/>
    </row>
    <row r="2860" spans="20:25" x14ac:dyDescent="0.25">
      <c r="T2860" s="10"/>
      <c r="U2860" s="4"/>
      <c r="V2860" s="4"/>
      <c r="X2860" s="4"/>
      <c r="Y2860" s="4"/>
    </row>
    <row r="2861" spans="20:25" x14ac:dyDescent="0.25">
      <c r="T2861" s="10"/>
      <c r="U2861" s="4"/>
      <c r="V2861" s="4"/>
      <c r="X2861" s="4"/>
      <c r="Y2861" s="4"/>
    </row>
    <row r="2862" spans="20:25" x14ac:dyDescent="0.25">
      <c r="T2862" s="10"/>
      <c r="U2862" s="4"/>
      <c r="V2862" s="4"/>
      <c r="X2862" s="4"/>
      <c r="Y2862" s="4"/>
    </row>
    <row r="2863" spans="20:25" x14ac:dyDescent="0.25">
      <c r="T2863" s="10"/>
      <c r="U2863" s="4"/>
      <c r="V2863" s="4"/>
      <c r="X2863" s="4"/>
      <c r="Y2863" s="4"/>
    </row>
    <row r="2864" spans="20:25" x14ac:dyDescent="0.25">
      <c r="T2864" s="10"/>
      <c r="U2864" s="4"/>
      <c r="V2864" s="4"/>
      <c r="X2864" s="4"/>
      <c r="Y2864" s="4"/>
    </row>
    <row r="2865" spans="20:25" x14ac:dyDescent="0.25">
      <c r="T2865" s="10"/>
      <c r="U2865" s="4"/>
      <c r="V2865" s="4"/>
      <c r="X2865" s="4"/>
      <c r="Y2865" s="4"/>
    </row>
    <row r="2866" spans="20:25" x14ac:dyDescent="0.25">
      <c r="T2866" s="10"/>
      <c r="U2866" s="4"/>
      <c r="V2866" s="4"/>
      <c r="X2866" s="4"/>
      <c r="Y2866" s="4"/>
    </row>
    <row r="2867" spans="20:25" x14ac:dyDescent="0.25">
      <c r="T2867" s="10"/>
      <c r="U2867" s="4"/>
      <c r="V2867" s="4"/>
      <c r="X2867" s="4"/>
      <c r="Y2867" s="4"/>
    </row>
    <row r="2868" spans="20:25" x14ac:dyDescent="0.25">
      <c r="T2868" s="10"/>
      <c r="U2868" s="4"/>
      <c r="V2868" s="4"/>
      <c r="X2868" s="4"/>
      <c r="Y2868" s="4"/>
    </row>
    <row r="2869" spans="20:25" x14ac:dyDescent="0.25">
      <c r="T2869" s="10"/>
      <c r="U2869" s="4"/>
      <c r="V2869" s="4"/>
      <c r="X2869" s="4"/>
      <c r="Y2869" s="4"/>
    </row>
    <row r="2870" spans="20:25" x14ac:dyDescent="0.25">
      <c r="T2870" s="10"/>
      <c r="U2870" s="4"/>
      <c r="V2870" s="4"/>
      <c r="X2870" s="4"/>
      <c r="Y2870" s="4"/>
    </row>
    <row r="2871" spans="20:25" x14ac:dyDescent="0.25">
      <c r="T2871" s="10"/>
      <c r="U2871" s="4"/>
      <c r="V2871" s="4"/>
      <c r="X2871" s="4"/>
      <c r="Y2871" s="4"/>
    </row>
    <row r="2872" spans="20:25" x14ac:dyDescent="0.25">
      <c r="T2872" s="10"/>
      <c r="U2872" s="4"/>
      <c r="V2872" s="4"/>
      <c r="X2872" s="4"/>
      <c r="Y2872" s="4"/>
    </row>
    <row r="2873" spans="20:25" x14ac:dyDescent="0.25">
      <c r="T2873" s="10"/>
      <c r="U2873" s="4"/>
      <c r="V2873" s="4"/>
      <c r="X2873" s="4"/>
      <c r="Y2873" s="4"/>
    </row>
    <row r="2874" spans="20:25" x14ac:dyDescent="0.25">
      <c r="T2874" s="10"/>
      <c r="U2874" s="4"/>
      <c r="V2874" s="4"/>
      <c r="X2874" s="4"/>
      <c r="Y2874" s="4"/>
    </row>
    <row r="2875" spans="20:25" x14ac:dyDescent="0.25">
      <c r="T2875" s="10"/>
      <c r="U2875" s="4"/>
      <c r="V2875" s="4"/>
      <c r="X2875" s="4"/>
      <c r="Y2875" s="4"/>
    </row>
    <row r="2876" spans="20:25" x14ac:dyDescent="0.25">
      <c r="T2876" s="10"/>
      <c r="U2876" s="4"/>
      <c r="V2876" s="4"/>
      <c r="X2876" s="4"/>
      <c r="Y2876" s="4"/>
    </row>
    <row r="2877" spans="20:25" x14ac:dyDescent="0.25">
      <c r="T2877" s="10"/>
      <c r="U2877" s="4"/>
      <c r="V2877" s="4"/>
      <c r="X2877" s="4"/>
      <c r="Y2877" s="4"/>
    </row>
    <row r="2878" spans="20:25" x14ac:dyDescent="0.25">
      <c r="T2878" s="10"/>
      <c r="U2878" s="4"/>
      <c r="V2878" s="4"/>
      <c r="X2878" s="4"/>
      <c r="Y2878" s="4"/>
    </row>
    <row r="2879" spans="20:25" x14ac:dyDescent="0.25">
      <c r="T2879" s="10"/>
      <c r="U2879" s="4"/>
      <c r="V2879" s="4"/>
      <c r="X2879" s="4"/>
      <c r="Y2879" s="4"/>
    </row>
    <row r="2880" spans="20:25" x14ac:dyDescent="0.25">
      <c r="T2880" s="10"/>
      <c r="U2880" s="4"/>
      <c r="V2880" s="4"/>
      <c r="X2880" s="4"/>
      <c r="Y2880" s="4"/>
    </row>
    <row r="2881" spans="20:25" x14ac:dyDescent="0.25">
      <c r="T2881" s="10"/>
      <c r="U2881" s="4"/>
      <c r="V2881" s="4"/>
      <c r="X2881" s="4"/>
      <c r="Y2881" s="4"/>
    </row>
    <row r="2882" spans="20:25" x14ac:dyDescent="0.25">
      <c r="T2882" s="10"/>
      <c r="U2882" s="4"/>
      <c r="V2882" s="4"/>
      <c r="X2882" s="4"/>
      <c r="Y2882" s="4"/>
    </row>
    <row r="2883" spans="20:25" x14ac:dyDescent="0.25">
      <c r="T2883" s="10"/>
      <c r="U2883" s="4"/>
      <c r="V2883" s="4"/>
      <c r="X2883" s="4"/>
      <c r="Y2883" s="4"/>
    </row>
    <row r="2884" spans="20:25" x14ac:dyDescent="0.25">
      <c r="T2884" s="10"/>
      <c r="U2884" s="4"/>
      <c r="V2884" s="4"/>
      <c r="X2884" s="4"/>
      <c r="Y2884" s="4"/>
    </row>
    <row r="2885" spans="20:25" x14ac:dyDescent="0.25">
      <c r="T2885" s="10"/>
      <c r="U2885" s="4"/>
      <c r="V2885" s="4"/>
      <c r="X2885" s="4"/>
      <c r="Y2885" s="4"/>
    </row>
    <row r="2886" spans="20:25" x14ac:dyDescent="0.25">
      <c r="T2886" s="10"/>
      <c r="U2886" s="4"/>
      <c r="V2886" s="4"/>
      <c r="X2886" s="4"/>
      <c r="Y2886" s="4"/>
    </row>
    <row r="2887" spans="20:25" x14ac:dyDescent="0.25">
      <c r="T2887" s="10"/>
      <c r="U2887" s="4"/>
      <c r="V2887" s="4"/>
      <c r="X2887" s="4"/>
      <c r="Y2887" s="4"/>
    </row>
    <row r="2888" spans="20:25" x14ac:dyDescent="0.25">
      <c r="T2888" s="10"/>
      <c r="U2888" s="4"/>
      <c r="V2888" s="4"/>
      <c r="X2888" s="4"/>
      <c r="Y2888" s="4"/>
    </row>
    <row r="2889" spans="20:25" x14ac:dyDescent="0.25">
      <c r="T2889" s="10"/>
      <c r="U2889" s="4"/>
      <c r="V2889" s="4"/>
      <c r="X2889" s="4"/>
      <c r="Y2889" s="4"/>
    </row>
    <row r="2890" spans="20:25" x14ac:dyDescent="0.25">
      <c r="T2890" s="10"/>
      <c r="U2890" s="4"/>
      <c r="V2890" s="4"/>
      <c r="X2890" s="4"/>
      <c r="Y2890" s="4"/>
    </row>
    <row r="2891" spans="20:25" x14ac:dyDescent="0.25">
      <c r="T2891" s="10"/>
      <c r="U2891" s="4"/>
      <c r="V2891" s="4"/>
      <c r="X2891" s="4"/>
      <c r="Y2891" s="4"/>
    </row>
    <row r="2892" spans="20:25" x14ac:dyDescent="0.25">
      <c r="T2892" s="10"/>
      <c r="U2892" s="4"/>
      <c r="V2892" s="4"/>
      <c r="X2892" s="4"/>
      <c r="Y2892" s="4"/>
    </row>
    <row r="2893" spans="20:25" x14ac:dyDescent="0.25">
      <c r="T2893" s="10"/>
      <c r="U2893" s="4"/>
      <c r="V2893" s="4"/>
      <c r="X2893" s="4"/>
      <c r="Y2893" s="4"/>
    </row>
    <row r="2894" spans="20:25" x14ac:dyDescent="0.25">
      <c r="T2894" s="10"/>
      <c r="U2894" s="4"/>
      <c r="V2894" s="4"/>
      <c r="X2894" s="4"/>
      <c r="Y2894" s="4"/>
    </row>
    <row r="2895" spans="20:25" x14ac:dyDescent="0.25">
      <c r="T2895" s="10"/>
      <c r="U2895" s="4"/>
      <c r="V2895" s="4"/>
      <c r="X2895" s="4"/>
      <c r="Y2895" s="4"/>
    </row>
    <row r="2896" spans="20:25" x14ac:dyDescent="0.25">
      <c r="T2896" s="10"/>
      <c r="U2896" s="4"/>
      <c r="V2896" s="4"/>
      <c r="X2896" s="4"/>
      <c r="Y2896" s="4"/>
    </row>
    <row r="2897" spans="20:25" x14ac:dyDescent="0.25">
      <c r="T2897" s="10"/>
      <c r="U2897" s="4"/>
      <c r="V2897" s="4"/>
      <c r="X2897" s="4"/>
      <c r="Y2897" s="4"/>
    </row>
    <row r="2898" spans="20:25" x14ac:dyDescent="0.25">
      <c r="T2898" s="10"/>
      <c r="U2898" s="4"/>
      <c r="V2898" s="4"/>
      <c r="X2898" s="4"/>
      <c r="Y2898" s="4"/>
    </row>
    <row r="2899" spans="20:25" x14ac:dyDescent="0.25">
      <c r="T2899" s="10"/>
      <c r="U2899" s="4"/>
      <c r="V2899" s="4"/>
      <c r="X2899" s="4"/>
      <c r="Y2899" s="4"/>
    </row>
    <row r="2900" spans="20:25" x14ac:dyDescent="0.25">
      <c r="T2900" s="10"/>
      <c r="U2900" s="4"/>
      <c r="V2900" s="4"/>
      <c r="X2900" s="4"/>
      <c r="Y2900" s="4"/>
    </row>
    <row r="2901" spans="20:25" x14ac:dyDescent="0.25">
      <c r="T2901" s="10"/>
      <c r="U2901" s="4"/>
      <c r="V2901" s="4"/>
      <c r="X2901" s="4"/>
      <c r="Y2901" s="4"/>
    </row>
    <row r="2902" spans="20:25" x14ac:dyDescent="0.25">
      <c r="T2902" s="10"/>
      <c r="U2902" s="4"/>
      <c r="V2902" s="4"/>
      <c r="X2902" s="4"/>
      <c r="Y2902" s="4"/>
    </row>
    <row r="2903" spans="20:25" x14ac:dyDescent="0.25">
      <c r="T2903" s="10"/>
      <c r="U2903" s="4"/>
      <c r="V2903" s="4"/>
      <c r="X2903" s="4"/>
      <c r="Y2903" s="4"/>
    </row>
    <row r="2904" spans="20:25" x14ac:dyDescent="0.25">
      <c r="T2904" s="10"/>
      <c r="U2904" s="4"/>
      <c r="V2904" s="4"/>
      <c r="X2904" s="4"/>
      <c r="Y2904" s="4"/>
    </row>
    <row r="2905" spans="20:25" x14ac:dyDescent="0.25">
      <c r="T2905" s="10"/>
      <c r="U2905" s="4"/>
      <c r="V2905" s="4"/>
      <c r="X2905" s="4"/>
      <c r="Y2905" s="4"/>
    </row>
    <row r="2906" spans="20:25" x14ac:dyDescent="0.25">
      <c r="T2906" s="10"/>
      <c r="U2906" s="4"/>
      <c r="V2906" s="4"/>
      <c r="X2906" s="4"/>
      <c r="Y2906" s="4"/>
    </row>
    <row r="2907" spans="20:25" x14ac:dyDescent="0.25">
      <c r="T2907" s="10"/>
      <c r="U2907" s="4"/>
      <c r="V2907" s="4"/>
      <c r="X2907" s="4"/>
      <c r="Y2907" s="4"/>
    </row>
    <row r="2908" spans="20:25" x14ac:dyDescent="0.25">
      <c r="T2908" s="10"/>
      <c r="U2908" s="4"/>
      <c r="V2908" s="4"/>
      <c r="X2908" s="4"/>
      <c r="Y2908" s="4"/>
    </row>
    <row r="2909" spans="20:25" x14ac:dyDescent="0.25">
      <c r="T2909" s="10"/>
      <c r="U2909" s="4"/>
      <c r="V2909" s="4"/>
      <c r="X2909" s="4"/>
      <c r="Y2909" s="4"/>
    </row>
    <row r="2910" spans="20:25" x14ac:dyDescent="0.25">
      <c r="T2910" s="10"/>
      <c r="U2910" s="4"/>
      <c r="V2910" s="4"/>
      <c r="X2910" s="4"/>
      <c r="Y2910" s="4"/>
    </row>
    <row r="2911" spans="20:25" x14ac:dyDescent="0.25">
      <c r="T2911" s="10"/>
      <c r="U2911" s="4"/>
      <c r="V2911" s="4"/>
      <c r="X2911" s="4"/>
      <c r="Y2911" s="4"/>
    </row>
    <row r="2912" spans="20:25" x14ac:dyDescent="0.25">
      <c r="T2912" s="10"/>
      <c r="U2912" s="4"/>
      <c r="V2912" s="4"/>
      <c r="X2912" s="4"/>
      <c r="Y2912" s="4"/>
    </row>
    <row r="2913" spans="20:25" x14ac:dyDescent="0.25">
      <c r="T2913" s="10"/>
      <c r="U2913" s="4"/>
      <c r="V2913" s="4"/>
      <c r="X2913" s="4"/>
      <c r="Y2913" s="4"/>
    </row>
    <row r="2914" spans="20:25" x14ac:dyDescent="0.25">
      <c r="T2914" s="10"/>
      <c r="U2914" s="4"/>
      <c r="V2914" s="4"/>
      <c r="X2914" s="4"/>
      <c r="Y2914" s="4"/>
    </row>
    <row r="2915" spans="20:25" x14ac:dyDescent="0.25">
      <c r="T2915" s="10"/>
      <c r="U2915" s="4"/>
      <c r="V2915" s="4"/>
      <c r="X2915" s="4"/>
      <c r="Y2915" s="4"/>
    </row>
    <row r="2916" spans="20:25" x14ac:dyDescent="0.25">
      <c r="T2916" s="10"/>
      <c r="U2916" s="4"/>
      <c r="V2916" s="4"/>
      <c r="X2916" s="4"/>
      <c r="Y2916" s="4"/>
    </row>
    <row r="2917" spans="20:25" x14ac:dyDescent="0.25">
      <c r="T2917" s="10"/>
      <c r="U2917" s="4"/>
      <c r="V2917" s="4"/>
      <c r="X2917" s="4"/>
      <c r="Y2917" s="4"/>
    </row>
    <row r="2918" spans="20:25" x14ac:dyDescent="0.25">
      <c r="T2918" s="10"/>
      <c r="U2918" s="4"/>
      <c r="V2918" s="4"/>
      <c r="X2918" s="4"/>
      <c r="Y2918" s="4"/>
    </row>
    <row r="2919" spans="20:25" x14ac:dyDescent="0.25">
      <c r="T2919" s="10"/>
      <c r="U2919" s="4"/>
      <c r="V2919" s="4"/>
      <c r="X2919" s="4"/>
      <c r="Y2919" s="4"/>
    </row>
    <row r="2920" spans="20:25" x14ac:dyDescent="0.25">
      <c r="T2920" s="10"/>
      <c r="U2920" s="4"/>
      <c r="V2920" s="4"/>
      <c r="X2920" s="4"/>
      <c r="Y2920" s="4"/>
    </row>
    <row r="2921" spans="20:25" x14ac:dyDescent="0.25">
      <c r="T2921" s="10"/>
      <c r="U2921" s="4"/>
      <c r="V2921" s="4"/>
      <c r="X2921" s="4"/>
      <c r="Y2921" s="4"/>
    </row>
    <row r="2922" spans="20:25" x14ac:dyDescent="0.25">
      <c r="T2922" s="10"/>
      <c r="U2922" s="4"/>
      <c r="V2922" s="4"/>
      <c r="X2922" s="4"/>
      <c r="Y2922" s="4"/>
    </row>
    <row r="2923" spans="20:25" x14ac:dyDescent="0.25">
      <c r="T2923" s="10"/>
      <c r="U2923" s="4"/>
      <c r="V2923" s="4"/>
      <c r="X2923" s="4"/>
      <c r="Y2923" s="4"/>
    </row>
    <row r="2924" spans="20:25" x14ac:dyDescent="0.25">
      <c r="T2924" s="10"/>
      <c r="U2924" s="4"/>
      <c r="V2924" s="4"/>
      <c r="X2924" s="4"/>
      <c r="Y2924" s="4"/>
    </row>
    <row r="2925" spans="20:25" x14ac:dyDescent="0.25">
      <c r="T2925" s="10"/>
      <c r="U2925" s="4"/>
      <c r="V2925" s="4"/>
      <c r="X2925" s="4"/>
      <c r="Y2925" s="4"/>
    </row>
    <row r="2926" spans="20:25" x14ac:dyDescent="0.25">
      <c r="T2926" s="10"/>
      <c r="U2926" s="4"/>
      <c r="V2926" s="4"/>
      <c r="X2926" s="4"/>
      <c r="Y2926" s="4"/>
    </row>
    <row r="2927" spans="20:25" x14ac:dyDescent="0.25">
      <c r="T2927" s="10"/>
      <c r="U2927" s="4"/>
      <c r="V2927" s="4"/>
      <c r="X2927" s="4"/>
      <c r="Y2927" s="4"/>
    </row>
    <row r="2928" spans="20:25" x14ac:dyDescent="0.25">
      <c r="T2928" s="10"/>
      <c r="U2928" s="4"/>
      <c r="V2928" s="4"/>
      <c r="X2928" s="4"/>
      <c r="Y2928" s="4"/>
    </row>
    <row r="2929" spans="20:25" x14ac:dyDescent="0.25">
      <c r="T2929" s="10"/>
      <c r="U2929" s="4"/>
      <c r="V2929" s="4"/>
      <c r="X2929" s="4"/>
      <c r="Y2929" s="4"/>
    </row>
    <row r="2930" spans="20:25" x14ac:dyDescent="0.25">
      <c r="T2930" s="10"/>
      <c r="U2930" s="4"/>
      <c r="V2930" s="4"/>
      <c r="X2930" s="4"/>
      <c r="Y2930" s="4"/>
    </row>
    <row r="2931" spans="20:25" x14ac:dyDescent="0.25">
      <c r="T2931" s="10"/>
      <c r="U2931" s="4"/>
      <c r="V2931" s="4"/>
      <c r="X2931" s="4"/>
      <c r="Y2931" s="4"/>
    </row>
    <row r="2932" spans="20:25" x14ac:dyDescent="0.25">
      <c r="T2932" s="10"/>
      <c r="U2932" s="4"/>
      <c r="V2932" s="4"/>
      <c r="X2932" s="4"/>
      <c r="Y2932" s="4"/>
    </row>
    <row r="2933" spans="20:25" x14ac:dyDescent="0.25">
      <c r="T2933" s="10"/>
      <c r="U2933" s="4"/>
      <c r="V2933" s="4"/>
      <c r="X2933" s="4"/>
      <c r="Y2933" s="4"/>
    </row>
    <row r="2934" spans="20:25" x14ac:dyDescent="0.25">
      <c r="T2934" s="10"/>
      <c r="U2934" s="4"/>
      <c r="V2934" s="4"/>
      <c r="X2934" s="4"/>
      <c r="Y2934" s="4"/>
    </row>
    <row r="2935" spans="20:25" x14ac:dyDescent="0.25">
      <c r="T2935" s="10"/>
      <c r="U2935" s="4"/>
      <c r="V2935" s="4"/>
      <c r="X2935" s="4"/>
      <c r="Y2935" s="4"/>
    </row>
    <row r="2936" spans="20:25" x14ac:dyDescent="0.25">
      <c r="T2936" s="10"/>
      <c r="U2936" s="4"/>
      <c r="V2936" s="4"/>
      <c r="X2936" s="4"/>
      <c r="Y2936" s="4"/>
    </row>
    <row r="2937" spans="20:25" x14ac:dyDescent="0.25">
      <c r="T2937" s="10"/>
      <c r="U2937" s="4"/>
      <c r="V2937" s="4"/>
      <c r="X2937" s="4"/>
      <c r="Y2937" s="4"/>
    </row>
    <row r="2938" spans="20:25" x14ac:dyDescent="0.25">
      <c r="T2938" s="10"/>
      <c r="U2938" s="4"/>
      <c r="V2938" s="4"/>
      <c r="X2938" s="4"/>
      <c r="Y2938" s="4"/>
    </row>
    <row r="2939" spans="20:25" x14ac:dyDescent="0.25">
      <c r="T2939" s="10"/>
      <c r="U2939" s="4"/>
      <c r="V2939" s="4"/>
      <c r="X2939" s="4"/>
      <c r="Y2939" s="4"/>
    </row>
    <row r="2940" spans="20:25" x14ac:dyDescent="0.25">
      <c r="T2940" s="10"/>
      <c r="U2940" s="4"/>
      <c r="V2940" s="4"/>
      <c r="X2940" s="4"/>
      <c r="Y2940" s="4"/>
    </row>
    <row r="2941" spans="20:25" x14ac:dyDescent="0.25">
      <c r="T2941" s="10"/>
      <c r="U2941" s="4"/>
      <c r="V2941" s="4"/>
      <c r="X2941" s="4"/>
      <c r="Y2941" s="4"/>
    </row>
    <row r="2942" spans="20:25" x14ac:dyDescent="0.25">
      <c r="T2942" s="10"/>
      <c r="U2942" s="4"/>
      <c r="V2942" s="4"/>
      <c r="X2942" s="4"/>
      <c r="Y2942" s="4"/>
    </row>
    <row r="2943" spans="20:25" x14ac:dyDescent="0.25">
      <c r="T2943" s="10"/>
      <c r="U2943" s="4"/>
      <c r="V2943" s="4"/>
      <c r="X2943" s="4"/>
      <c r="Y2943" s="4"/>
    </row>
    <row r="2944" spans="20:25" x14ac:dyDescent="0.25">
      <c r="T2944" s="10"/>
      <c r="U2944" s="4"/>
      <c r="V2944" s="4"/>
      <c r="X2944" s="4"/>
      <c r="Y2944" s="4"/>
    </row>
    <row r="2945" spans="20:25" x14ac:dyDescent="0.25">
      <c r="T2945" s="10"/>
      <c r="U2945" s="4"/>
      <c r="V2945" s="4"/>
      <c r="X2945" s="4"/>
      <c r="Y2945" s="4"/>
    </row>
    <row r="2946" spans="20:25" x14ac:dyDescent="0.25">
      <c r="T2946" s="10"/>
      <c r="U2946" s="4"/>
      <c r="V2946" s="4"/>
      <c r="X2946" s="4"/>
      <c r="Y2946" s="4"/>
    </row>
    <row r="2947" spans="20:25" x14ac:dyDescent="0.25">
      <c r="T2947" s="10"/>
      <c r="U2947" s="4"/>
      <c r="V2947" s="4"/>
      <c r="X2947" s="4"/>
      <c r="Y2947" s="4"/>
    </row>
    <row r="2948" spans="20:25" x14ac:dyDescent="0.25">
      <c r="T2948" s="10"/>
      <c r="U2948" s="4"/>
      <c r="V2948" s="4"/>
      <c r="X2948" s="4"/>
      <c r="Y2948" s="4"/>
    </row>
    <row r="2949" spans="20:25" x14ac:dyDescent="0.25">
      <c r="T2949" s="10"/>
      <c r="U2949" s="4"/>
      <c r="V2949" s="4"/>
      <c r="X2949" s="4"/>
      <c r="Y2949" s="4"/>
    </row>
    <row r="2950" spans="20:25" x14ac:dyDescent="0.25">
      <c r="T2950" s="10"/>
      <c r="U2950" s="4"/>
      <c r="V2950" s="4"/>
      <c r="X2950" s="4"/>
      <c r="Y2950" s="4"/>
    </row>
    <row r="2951" spans="20:25" x14ac:dyDescent="0.25">
      <c r="T2951" s="10"/>
      <c r="U2951" s="4"/>
      <c r="V2951" s="4"/>
      <c r="X2951" s="4"/>
      <c r="Y2951" s="4"/>
    </row>
    <row r="2952" spans="20:25" x14ac:dyDescent="0.25">
      <c r="T2952" s="10"/>
      <c r="U2952" s="4"/>
      <c r="V2952" s="4"/>
      <c r="X2952" s="4"/>
      <c r="Y2952" s="4"/>
    </row>
    <row r="2953" spans="20:25" x14ac:dyDescent="0.25">
      <c r="T2953" s="10"/>
      <c r="U2953" s="4"/>
      <c r="V2953" s="4"/>
      <c r="X2953" s="4"/>
      <c r="Y2953" s="4"/>
    </row>
    <row r="2954" spans="20:25" x14ac:dyDescent="0.25">
      <c r="T2954" s="10"/>
      <c r="U2954" s="4"/>
      <c r="V2954" s="4"/>
      <c r="X2954" s="4"/>
      <c r="Y2954" s="4"/>
    </row>
    <row r="2955" spans="20:25" x14ac:dyDescent="0.25">
      <c r="T2955" s="10"/>
      <c r="U2955" s="4"/>
      <c r="V2955" s="4"/>
      <c r="X2955" s="4"/>
      <c r="Y2955" s="4"/>
    </row>
    <row r="2956" spans="20:25" x14ac:dyDescent="0.25">
      <c r="T2956" s="10"/>
      <c r="U2956" s="4"/>
      <c r="V2956" s="4"/>
      <c r="X2956" s="4"/>
      <c r="Y2956" s="4"/>
    </row>
    <row r="2957" spans="20:25" x14ac:dyDescent="0.25">
      <c r="T2957" s="10"/>
      <c r="U2957" s="4"/>
      <c r="V2957" s="4"/>
      <c r="X2957" s="4"/>
      <c r="Y2957" s="4"/>
    </row>
    <row r="2958" spans="20:25" x14ac:dyDescent="0.25">
      <c r="T2958" s="10"/>
      <c r="U2958" s="4"/>
      <c r="V2958" s="4"/>
      <c r="X2958" s="4"/>
      <c r="Y2958" s="4"/>
    </row>
    <row r="2959" spans="20:25" x14ac:dyDescent="0.25">
      <c r="T2959" s="10"/>
      <c r="U2959" s="4"/>
      <c r="V2959" s="4"/>
      <c r="X2959" s="4"/>
      <c r="Y2959" s="4"/>
    </row>
    <row r="2960" spans="20:25" x14ac:dyDescent="0.25">
      <c r="T2960" s="10"/>
      <c r="U2960" s="4"/>
      <c r="V2960" s="4"/>
      <c r="X2960" s="4"/>
      <c r="Y2960" s="4"/>
    </row>
    <row r="2961" spans="20:25" x14ac:dyDescent="0.25">
      <c r="T2961" s="10"/>
      <c r="U2961" s="4"/>
      <c r="V2961" s="4"/>
      <c r="X2961" s="4"/>
      <c r="Y2961" s="4"/>
    </row>
    <row r="2962" spans="20:25" x14ac:dyDescent="0.25">
      <c r="T2962" s="10"/>
      <c r="U2962" s="4"/>
      <c r="V2962" s="4"/>
      <c r="X2962" s="4"/>
      <c r="Y2962" s="4"/>
    </row>
    <row r="2963" spans="20:25" x14ac:dyDescent="0.25">
      <c r="T2963" s="10"/>
      <c r="U2963" s="4"/>
      <c r="V2963" s="4"/>
      <c r="X2963" s="4"/>
      <c r="Y2963" s="4"/>
    </row>
    <row r="2964" spans="20:25" x14ac:dyDescent="0.25">
      <c r="T2964" s="10"/>
      <c r="U2964" s="4"/>
      <c r="V2964" s="4"/>
      <c r="X2964" s="4"/>
      <c r="Y2964" s="4"/>
    </row>
    <row r="2965" spans="20:25" x14ac:dyDescent="0.25">
      <c r="T2965" s="10"/>
      <c r="U2965" s="4"/>
      <c r="V2965" s="4"/>
      <c r="X2965" s="4"/>
      <c r="Y2965" s="4"/>
    </row>
    <row r="2966" spans="20:25" x14ac:dyDescent="0.25">
      <c r="T2966" s="10"/>
      <c r="U2966" s="4"/>
      <c r="V2966" s="4"/>
      <c r="X2966" s="4"/>
      <c r="Y2966" s="4"/>
    </row>
    <row r="2967" spans="20:25" x14ac:dyDescent="0.25">
      <c r="T2967" s="10"/>
      <c r="U2967" s="4"/>
      <c r="V2967" s="4"/>
      <c r="X2967" s="4"/>
      <c r="Y2967" s="4"/>
    </row>
    <row r="2968" spans="20:25" x14ac:dyDescent="0.25">
      <c r="T2968" s="10"/>
      <c r="U2968" s="4"/>
      <c r="V2968" s="4"/>
      <c r="X2968" s="4"/>
      <c r="Y2968" s="4"/>
    </row>
    <row r="2969" spans="20:25" x14ac:dyDescent="0.25">
      <c r="T2969" s="10"/>
      <c r="U2969" s="4"/>
      <c r="V2969" s="4"/>
      <c r="X2969" s="4"/>
      <c r="Y2969" s="4"/>
    </row>
    <row r="2970" spans="20:25" x14ac:dyDescent="0.25">
      <c r="T2970" s="10"/>
      <c r="U2970" s="4"/>
      <c r="V2970" s="4"/>
      <c r="X2970" s="4"/>
      <c r="Y2970" s="4"/>
    </row>
    <row r="2971" spans="20:25" x14ac:dyDescent="0.25">
      <c r="T2971" s="10"/>
      <c r="U2971" s="4"/>
      <c r="V2971" s="4"/>
      <c r="X2971" s="4"/>
      <c r="Y2971" s="4"/>
    </row>
    <row r="2972" spans="20:25" x14ac:dyDescent="0.25">
      <c r="T2972" s="10"/>
      <c r="U2972" s="4"/>
      <c r="V2972" s="4"/>
      <c r="X2972" s="4"/>
      <c r="Y2972" s="4"/>
    </row>
    <row r="2973" spans="20:25" x14ac:dyDescent="0.25">
      <c r="T2973" s="10"/>
      <c r="U2973" s="4"/>
      <c r="V2973" s="4"/>
      <c r="X2973" s="4"/>
      <c r="Y2973" s="4"/>
    </row>
    <row r="2974" spans="20:25" x14ac:dyDescent="0.25">
      <c r="T2974" s="10"/>
      <c r="U2974" s="4"/>
      <c r="V2974" s="4"/>
      <c r="X2974" s="4"/>
      <c r="Y2974" s="4"/>
    </row>
    <row r="2975" spans="20:25" x14ac:dyDescent="0.25">
      <c r="T2975" s="10"/>
      <c r="U2975" s="4"/>
      <c r="V2975" s="4"/>
      <c r="X2975" s="4"/>
      <c r="Y2975" s="4"/>
    </row>
    <row r="2976" spans="20:25" x14ac:dyDescent="0.25">
      <c r="T2976" s="10"/>
      <c r="U2976" s="4"/>
      <c r="V2976" s="4"/>
      <c r="X2976" s="4"/>
      <c r="Y2976" s="4"/>
    </row>
    <row r="2977" spans="20:25" x14ac:dyDescent="0.25">
      <c r="T2977" s="10"/>
      <c r="U2977" s="4"/>
      <c r="V2977" s="4"/>
      <c r="X2977" s="4"/>
      <c r="Y2977" s="4"/>
    </row>
    <row r="2978" spans="20:25" x14ac:dyDescent="0.25">
      <c r="T2978" s="10"/>
      <c r="U2978" s="4"/>
      <c r="V2978" s="4"/>
      <c r="X2978" s="4"/>
      <c r="Y2978" s="4"/>
    </row>
    <row r="2979" spans="20:25" x14ac:dyDescent="0.25">
      <c r="T2979" s="10"/>
      <c r="U2979" s="4"/>
      <c r="V2979" s="4"/>
      <c r="X2979" s="4"/>
      <c r="Y2979" s="4"/>
    </row>
    <row r="2980" spans="20:25" x14ac:dyDescent="0.25">
      <c r="T2980" s="10"/>
      <c r="U2980" s="4"/>
      <c r="V2980" s="4"/>
      <c r="X2980" s="4"/>
      <c r="Y2980" s="4"/>
    </row>
    <row r="2981" spans="20:25" x14ac:dyDescent="0.25">
      <c r="T2981" s="10"/>
      <c r="U2981" s="4"/>
      <c r="V2981" s="4"/>
      <c r="X2981" s="4"/>
      <c r="Y2981" s="4"/>
    </row>
    <row r="2982" spans="20:25" x14ac:dyDescent="0.25">
      <c r="T2982" s="10"/>
      <c r="U2982" s="4"/>
      <c r="V2982" s="4"/>
      <c r="X2982" s="4"/>
      <c r="Y2982" s="4"/>
    </row>
    <row r="2983" spans="20:25" x14ac:dyDescent="0.25">
      <c r="T2983" s="10"/>
      <c r="U2983" s="4"/>
      <c r="V2983" s="4"/>
      <c r="X2983" s="4"/>
      <c r="Y2983" s="4"/>
    </row>
    <row r="2984" spans="20:25" x14ac:dyDescent="0.25">
      <c r="T2984" s="10"/>
      <c r="U2984" s="4"/>
      <c r="V2984" s="4"/>
      <c r="X2984" s="4"/>
      <c r="Y2984" s="4"/>
    </row>
    <row r="2985" spans="20:25" x14ac:dyDescent="0.25">
      <c r="T2985" s="10"/>
      <c r="U2985" s="4"/>
      <c r="V2985" s="4"/>
      <c r="X2985" s="4"/>
      <c r="Y2985" s="4"/>
    </row>
    <row r="2986" spans="20:25" x14ac:dyDescent="0.25">
      <c r="T2986" s="10"/>
      <c r="U2986" s="4"/>
      <c r="V2986" s="4"/>
      <c r="X2986" s="4"/>
      <c r="Y2986" s="4"/>
    </row>
    <row r="2987" spans="20:25" x14ac:dyDescent="0.25">
      <c r="T2987" s="10"/>
      <c r="U2987" s="4"/>
      <c r="V2987" s="4"/>
      <c r="X2987" s="4"/>
      <c r="Y2987" s="4"/>
    </row>
    <row r="2988" spans="20:25" x14ac:dyDescent="0.25">
      <c r="T2988" s="10"/>
      <c r="U2988" s="4"/>
      <c r="V2988" s="4"/>
      <c r="X2988" s="4"/>
      <c r="Y2988" s="4"/>
    </row>
    <row r="2989" spans="20:25" x14ac:dyDescent="0.25">
      <c r="T2989" s="10"/>
      <c r="U2989" s="4"/>
      <c r="V2989" s="4"/>
      <c r="X2989" s="4"/>
      <c r="Y2989" s="4"/>
    </row>
    <row r="2990" spans="20:25" x14ac:dyDescent="0.25">
      <c r="T2990" s="10"/>
      <c r="U2990" s="4"/>
      <c r="V2990" s="4"/>
      <c r="X2990" s="4"/>
      <c r="Y2990" s="4"/>
    </row>
    <row r="2991" spans="20:25" x14ac:dyDescent="0.25">
      <c r="T2991" s="10"/>
      <c r="U2991" s="4"/>
      <c r="V2991" s="4"/>
      <c r="X2991" s="4"/>
      <c r="Y2991" s="4"/>
    </row>
    <row r="2992" spans="20:25" x14ac:dyDescent="0.25">
      <c r="T2992" s="10"/>
      <c r="U2992" s="4"/>
      <c r="V2992" s="4"/>
      <c r="X2992" s="4"/>
      <c r="Y2992" s="4"/>
    </row>
    <row r="2993" spans="20:25" x14ac:dyDescent="0.25">
      <c r="T2993" s="10"/>
      <c r="U2993" s="4"/>
      <c r="V2993" s="4"/>
      <c r="X2993" s="4"/>
      <c r="Y2993" s="4"/>
    </row>
    <row r="2994" spans="20:25" x14ac:dyDescent="0.25">
      <c r="T2994" s="10"/>
      <c r="U2994" s="4"/>
      <c r="V2994" s="4"/>
      <c r="X2994" s="4"/>
      <c r="Y2994" s="4"/>
    </row>
    <row r="2995" spans="20:25" x14ac:dyDescent="0.25">
      <c r="T2995" s="10"/>
      <c r="U2995" s="4"/>
      <c r="V2995" s="4"/>
      <c r="X2995" s="4"/>
      <c r="Y2995" s="4"/>
    </row>
    <row r="2996" spans="20:25" x14ac:dyDescent="0.25">
      <c r="T2996" s="10"/>
      <c r="U2996" s="4"/>
      <c r="V2996" s="4"/>
      <c r="X2996" s="4"/>
      <c r="Y2996" s="4"/>
    </row>
    <row r="2997" spans="20:25" x14ac:dyDescent="0.25">
      <c r="T2997" s="10"/>
      <c r="U2997" s="4"/>
      <c r="V2997" s="4"/>
      <c r="X2997" s="4"/>
      <c r="Y2997" s="4"/>
    </row>
    <row r="2998" spans="20:25" x14ac:dyDescent="0.25">
      <c r="T2998" s="10"/>
      <c r="U2998" s="4"/>
      <c r="V2998" s="4"/>
      <c r="X2998" s="4"/>
      <c r="Y2998" s="4"/>
    </row>
    <row r="2999" spans="20:25" x14ac:dyDescent="0.25">
      <c r="T2999" s="10"/>
      <c r="U2999" s="4"/>
      <c r="V2999" s="4"/>
      <c r="X2999" s="4"/>
      <c r="Y2999" s="4"/>
    </row>
    <row r="3000" spans="20:25" x14ac:dyDescent="0.25">
      <c r="T3000" s="10"/>
      <c r="U3000" s="4"/>
      <c r="V3000" s="4"/>
      <c r="X3000" s="4"/>
      <c r="Y3000" s="4"/>
    </row>
    <row r="3001" spans="20:25" x14ac:dyDescent="0.25">
      <c r="T3001" s="10"/>
      <c r="U3001" s="4"/>
      <c r="V3001" s="4"/>
      <c r="X3001" s="4"/>
      <c r="Y3001" s="4"/>
    </row>
    <row r="3002" spans="20:25" x14ac:dyDescent="0.25">
      <c r="T3002" s="10"/>
      <c r="U3002" s="4"/>
      <c r="V3002" s="4"/>
      <c r="X3002" s="4"/>
      <c r="Y3002" s="4"/>
    </row>
    <row r="3003" spans="20:25" x14ac:dyDescent="0.25">
      <c r="T3003" s="10"/>
      <c r="U3003" s="4"/>
      <c r="V3003" s="4"/>
      <c r="X3003" s="4"/>
      <c r="Y3003" s="4"/>
    </row>
    <row r="3004" spans="20:25" x14ac:dyDescent="0.25">
      <c r="T3004" s="10"/>
      <c r="U3004" s="4"/>
      <c r="V3004" s="4"/>
      <c r="X3004" s="4"/>
      <c r="Y3004" s="4"/>
    </row>
    <row r="3005" spans="20:25" x14ac:dyDescent="0.25">
      <c r="T3005" s="10"/>
      <c r="U3005" s="4"/>
      <c r="V3005" s="4"/>
      <c r="X3005" s="4"/>
      <c r="Y3005" s="4"/>
    </row>
    <row r="3006" spans="20:25" x14ac:dyDescent="0.25">
      <c r="T3006" s="10"/>
      <c r="U3006" s="4"/>
      <c r="V3006" s="4"/>
      <c r="X3006" s="4"/>
      <c r="Y3006" s="4"/>
    </row>
    <row r="3007" spans="20:25" x14ac:dyDescent="0.25">
      <c r="T3007" s="10"/>
      <c r="U3007" s="4"/>
      <c r="V3007" s="4"/>
      <c r="X3007" s="4"/>
      <c r="Y3007" s="4"/>
    </row>
    <row r="3008" spans="20:25" x14ac:dyDescent="0.25">
      <c r="T3008" s="10"/>
      <c r="U3008" s="4"/>
      <c r="V3008" s="4"/>
      <c r="X3008" s="4"/>
      <c r="Y3008" s="4"/>
    </row>
    <row r="3009" spans="20:25" x14ac:dyDescent="0.25">
      <c r="T3009" s="10"/>
      <c r="U3009" s="4"/>
      <c r="V3009" s="4"/>
      <c r="X3009" s="4"/>
      <c r="Y3009" s="4"/>
    </row>
    <row r="3010" spans="20:25" x14ac:dyDescent="0.25">
      <c r="T3010" s="10"/>
      <c r="U3010" s="4"/>
      <c r="V3010" s="4"/>
      <c r="X3010" s="4"/>
      <c r="Y3010" s="4"/>
    </row>
    <row r="3011" spans="20:25" x14ac:dyDescent="0.25">
      <c r="T3011" s="10"/>
      <c r="U3011" s="4"/>
      <c r="V3011" s="4"/>
      <c r="X3011" s="4"/>
      <c r="Y3011" s="4"/>
    </row>
    <row r="3012" spans="20:25" x14ac:dyDescent="0.25">
      <c r="T3012" s="10"/>
      <c r="U3012" s="4"/>
      <c r="V3012" s="4"/>
      <c r="X3012" s="4"/>
      <c r="Y3012" s="4"/>
    </row>
    <row r="3013" spans="20:25" x14ac:dyDescent="0.25">
      <c r="T3013" s="10"/>
      <c r="U3013" s="4"/>
      <c r="V3013" s="4"/>
      <c r="X3013" s="4"/>
      <c r="Y3013" s="4"/>
    </row>
    <row r="3014" spans="20:25" x14ac:dyDescent="0.25">
      <c r="T3014" s="10"/>
      <c r="U3014" s="4"/>
      <c r="V3014" s="4"/>
      <c r="X3014" s="4"/>
      <c r="Y3014" s="4"/>
    </row>
    <row r="3015" spans="20:25" x14ac:dyDescent="0.25">
      <c r="T3015" s="10"/>
      <c r="U3015" s="4"/>
      <c r="V3015" s="4"/>
      <c r="X3015" s="4"/>
      <c r="Y3015" s="4"/>
    </row>
    <row r="3016" spans="20:25" x14ac:dyDescent="0.25">
      <c r="T3016" s="10"/>
      <c r="U3016" s="4"/>
      <c r="V3016" s="4"/>
      <c r="X3016" s="4"/>
      <c r="Y3016" s="4"/>
    </row>
    <row r="3017" spans="20:25" x14ac:dyDescent="0.25">
      <c r="T3017" s="10"/>
      <c r="U3017" s="4"/>
      <c r="V3017" s="4"/>
      <c r="X3017" s="4"/>
      <c r="Y3017" s="4"/>
    </row>
    <row r="3018" spans="20:25" x14ac:dyDescent="0.25">
      <c r="T3018" s="10"/>
      <c r="U3018" s="4"/>
      <c r="V3018" s="4"/>
      <c r="X3018" s="4"/>
      <c r="Y3018" s="4"/>
    </row>
    <row r="3019" spans="20:25" x14ac:dyDescent="0.25">
      <c r="T3019" s="10"/>
      <c r="U3019" s="4"/>
      <c r="V3019" s="4"/>
      <c r="X3019" s="4"/>
      <c r="Y3019" s="4"/>
    </row>
    <row r="3020" spans="20:25" x14ac:dyDescent="0.25">
      <c r="T3020" s="10"/>
      <c r="U3020" s="4"/>
      <c r="V3020" s="4"/>
      <c r="X3020" s="4"/>
      <c r="Y3020" s="4"/>
    </row>
    <row r="3021" spans="20:25" x14ac:dyDescent="0.25">
      <c r="T3021" s="10"/>
      <c r="U3021" s="4"/>
      <c r="V3021" s="4"/>
      <c r="X3021" s="4"/>
      <c r="Y3021" s="4"/>
    </row>
    <row r="3022" spans="20:25" x14ac:dyDescent="0.25">
      <c r="T3022" s="10"/>
      <c r="U3022" s="4"/>
      <c r="V3022" s="4"/>
      <c r="X3022" s="4"/>
      <c r="Y3022" s="4"/>
    </row>
    <row r="3023" spans="20:25" x14ac:dyDescent="0.25">
      <c r="T3023" s="10"/>
      <c r="U3023" s="4"/>
      <c r="V3023" s="4"/>
      <c r="X3023" s="4"/>
      <c r="Y3023" s="4"/>
    </row>
    <row r="3024" spans="20:25" x14ac:dyDescent="0.25">
      <c r="T3024" s="10"/>
      <c r="U3024" s="4"/>
      <c r="V3024" s="4"/>
      <c r="X3024" s="4"/>
      <c r="Y3024" s="4"/>
    </row>
    <row r="3025" spans="20:25" x14ac:dyDescent="0.25">
      <c r="T3025" s="10"/>
      <c r="U3025" s="4"/>
      <c r="V3025" s="4"/>
      <c r="X3025" s="4"/>
      <c r="Y3025" s="4"/>
    </row>
    <row r="3026" spans="20:25" x14ac:dyDescent="0.25">
      <c r="T3026" s="10"/>
      <c r="U3026" s="4"/>
      <c r="V3026" s="4"/>
      <c r="X3026" s="4"/>
      <c r="Y3026" s="4"/>
    </row>
    <row r="3027" spans="20:25" x14ac:dyDescent="0.25">
      <c r="T3027" s="10"/>
      <c r="U3027" s="4"/>
      <c r="V3027" s="4"/>
      <c r="X3027" s="4"/>
      <c r="Y3027" s="4"/>
    </row>
    <row r="3028" spans="20:25" x14ac:dyDescent="0.25">
      <c r="T3028" s="10"/>
      <c r="U3028" s="4"/>
      <c r="V3028" s="4"/>
      <c r="X3028" s="4"/>
      <c r="Y3028" s="4"/>
    </row>
    <row r="3029" spans="20:25" x14ac:dyDescent="0.25">
      <c r="T3029" s="10"/>
      <c r="U3029" s="4"/>
      <c r="V3029" s="4"/>
      <c r="X3029" s="4"/>
      <c r="Y3029" s="4"/>
    </row>
    <row r="3030" spans="20:25" x14ac:dyDescent="0.25">
      <c r="T3030" s="10"/>
      <c r="U3030" s="4"/>
      <c r="V3030" s="4"/>
      <c r="X3030" s="4"/>
      <c r="Y3030" s="4"/>
    </row>
    <row r="3031" spans="20:25" x14ac:dyDescent="0.25">
      <c r="T3031" s="10"/>
      <c r="U3031" s="4"/>
      <c r="V3031" s="4"/>
      <c r="X3031" s="4"/>
      <c r="Y3031" s="4"/>
    </row>
    <row r="3032" spans="20:25" x14ac:dyDescent="0.25">
      <c r="T3032" s="10"/>
      <c r="U3032" s="4"/>
      <c r="V3032" s="4"/>
      <c r="X3032" s="4"/>
      <c r="Y3032" s="4"/>
    </row>
    <row r="3033" spans="20:25" x14ac:dyDescent="0.25">
      <c r="T3033" s="10"/>
      <c r="U3033" s="4"/>
      <c r="V3033" s="4"/>
      <c r="X3033" s="4"/>
      <c r="Y3033" s="4"/>
    </row>
    <row r="3034" spans="20:25" x14ac:dyDescent="0.25">
      <c r="T3034" s="10"/>
      <c r="U3034" s="4"/>
      <c r="V3034" s="4"/>
      <c r="X3034" s="4"/>
      <c r="Y3034" s="4"/>
    </row>
    <row r="3035" spans="20:25" x14ac:dyDescent="0.25">
      <c r="T3035" s="10"/>
      <c r="U3035" s="4"/>
      <c r="V3035" s="4"/>
      <c r="X3035" s="4"/>
      <c r="Y3035" s="4"/>
    </row>
    <row r="3036" spans="20:25" x14ac:dyDescent="0.25">
      <c r="T3036" s="10"/>
      <c r="U3036" s="4"/>
      <c r="V3036" s="4"/>
      <c r="X3036" s="4"/>
      <c r="Y3036" s="4"/>
    </row>
    <row r="3037" spans="20:25" x14ac:dyDescent="0.25">
      <c r="T3037" s="10"/>
      <c r="U3037" s="4"/>
      <c r="V3037" s="4"/>
      <c r="X3037" s="4"/>
      <c r="Y3037" s="4"/>
    </row>
    <row r="3038" spans="20:25" x14ac:dyDescent="0.25">
      <c r="T3038" s="10"/>
      <c r="U3038" s="4"/>
      <c r="V3038" s="4"/>
      <c r="X3038" s="4"/>
      <c r="Y3038" s="4"/>
    </row>
    <row r="3039" spans="20:25" x14ac:dyDescent="0.25">
      <c r="T3039" s="10"/>
      <c r="U3039" s="4"/>
      <c r="V3039" s="4"/>
      <c r="X3039" s="4"/>
      <c r="Y3039" s="4"/>
    </row>
    <row r="3040" spans="20:25" x14ac:dyDescent="0.25">
      <c r="T3040" s="10"/>
      <c r="U3040" s="4"/>
      <c r="V3040" s="4"/>
      <c r="X3040" s="4"/>
      <c r="Y3040" s="4"/>
    </row>
    <row r="3041" spans="20:25" x14ac:dyDescent="0.25">
      <c r="T3041" s="10"/>
      <c r="U3041" s="4"/>
      <c r="V3041" s="4"/>
      <c r="X3041" s="4"/>
      <c r="Y3041" s="4"/>
    </row>
    <row r="3042" spans="20:25" x14ac:dyDescent="0.25">
      <c r="T3042" s="10"/>
      <c r="U3042" s="4"/>
      <c r="V3042" s="4"/>
      <c r="X3042" s="4"/>
      <c r="Y3042" s="4"/>
    </row>
    <row r="3043" spans="20:25" x14ac:dyDescent="0.25">
      <c r="T3043" s="10"/>
      <c r="U3043" s="4"/>
      <c r="V3043" s="4"/>
      <c r="X3043" s="4"/>
      <c r="Y3043" s="4"/>
    </row>
    <row r="3044" spans="20:25" x14ac:dyDescent="0.25">
      <c r="T3044" s="10"/>
      <c r="U3044" s="4"/>
      <c r="V3044" s="4"/>
      <c r="X3044" s="4"/>
      <c r="Y3044" s="4"/>
    </row>
    <row r="3045" spans="20:25" x14ac:dyDescent="0.25">
      <c r="T3045" s="10"/>
      <c r="U3045" s="4"/>
      <c r="V3045" s="4"/>
      <c r="X3045" s="4"/>
      <c r="Y3045" s="4"/>
    </row>
    <row r="3046" spans="20:25" x14ac:dyDescent="0.25">
      <c r="T3046" s="10"/>
      <c r="U3046" s="4"/>
      <c r="V3046" s="4"/>
      <c r="X3046" s="4"/>
      <c r="Y3046" s="4"/>
    </row>
    <row r="3047" spans="20:25" x14ac:dyDescent="0.25">
      <c r="T3047" s="10"/>
      <c r="U3047" s="4"/>
      <c r="V3047" s="4"/>
      <c r="X3047" s="4"/>
      <c r="Y3047" s="4"/>
    </row>
    <row r="3048" spans="20:25" x14ac:dyDescent="0.25">
      <c r="T3048" s="10"/>
      <c r="U3048" s="4"/>
      <c r="V3048" s="4"/>
      <c r="X3048" s="4"/>
      <c r="Y3048" s="4"/>
    </row>
    <row r="3049" spans="20:25" x14ac:dyDescent="0.25">
      <c r="T3049" s="10"/>
      <c r="U3049" s="4"/>
      <c r="V3049" s="4"/>
      <c r="X3049" s="4"/>
      <c r="Y3049" s="4"/>
    </row>
    <row r="3050" spans="20:25" x14ac:dyDescent="0.25">
      <c r="T3050" s="10"/>
      <c r="U3050" s="4"/>
      <c r="V3050" s="4"/>
      <c r="X3050" s="4"/>
      <c r="Y3050" s="4"/>
    </row>
    <row r="3051" spans="20:25" x14ac:dyDescent="0.25">
      <c r="T3051" s="10"/>
      <c r="U3051" s="4"/>
      <c r="V3051" s="4"/>
      <c r="X3051" s="4"/>
      <c r="Y3051" s="4"/>
    </row>
    <row r="3052" spans="20:25" x14ac:dyDescent="0.25">
      <c r="T3052" s="10"/>
      <c r="U3052" s="4"/>
      <c r="V3052" s="4"/>
      <c r="X3052" s="4"/>
      <c r="Y3052" s="4"/>
    </row>
    <row r="3053" spans="20:25" x14ac:dyDescent="0.25">
      <c r="T3053" s="10"/>
      <c r="U3053" s="4"/>
      <c r="V3053" s="4"/>
      <c r="X3053" s="4"/>
      <c r="Y3053" s="4"/>
    </row>
    <row r="3054" spans="20:25" x14ac:dyDescent="0.25">
      <c r="T3054" s="10"/>
      <c r="U3054" s="4"/>
      <c r="V3054" s="4"/>
      <c r="X3054" s="4"/>
      <c r="Y3054" s="4"/>
    </row>
    <row r="3055" spans="20:25" x14ac:dyDescent="0.25">
      <c r="T3055" s="10"/>
      <c r="U3055" s="4"/>
      <c r="V3055" s="4"/>
      <c r="X3055" s="4"/>
      <c r="Y3055" s="4"/>
    </row>
    <row r="3056" spans="20:25" x14ac:dyDescent="0.25">
      <c r="T3056" s="10"/>
      <c r="U3056" s="4"/>
      <c r="V3056" s="4"/>
      <c r="X3056" s="4"/>
      <c r="Y3056" s="4"/>
    </row>
    <row r="3057" spans="20:25" x14ac:dyDescent="0.25">
      <c r="T3057" s="10"/>
      <c r="U3057" s="4"/>
      <c r="V3057" s="4"/>
      <c r="X3057" s="4"/>
      <c r="Y3057" s="4"/>
    </row>
    <row r="3058" spans="20:25" x14ac:dyDescent="0.25">
      <c r="T3058" s="10"/>
      <c r="U3058" s="4"/>
      <c r="V3058" s="4"/>
      <c r="X3058" s="4"/>
      <c r="Y3058" s="4"/>
    </row>
    <row r="3059" spans="20:25" x14ac:dyDescent="0.25">
      <c r="T3059" s="10"/>
      <c r="U3059" s="4"/>
      <c r="V3059" s="4"/>
      <c r="X3059" s="4"/>
      <c r="Y3059" s="4"/>
    </row>
    <row r="3060" spans="20:25" x14ac:dyDescent="0.25">
      <c r="T3060" s="10"/>
      <c r="U3060" s="4"/>
      <c r="V3060" s="4"/>
      <c r="X3060" s="4"/>
      <c r="Y3060" s="4"/>
    </row>
    <row r="3061" spans="20:25" x14ac:dyDescent="0.25">
      <c r="T3061" s="10"/>
      <c r="U3061" s="4"/>
      <c r="V3061" s="4"/>
      <c r="X3061" s="4"/>
      <c r="Y3061" s="4"/>
    </row>
    <row r="3062" spans="20:25" x14ac:dyDescent="0.25">
      <c r="T3062" s="10"/>
      <c r="U3062" s="4"/>
      <c r="V3062" s="4"/>
      <c r="X3062" s="4"/>
      <c r="Y3062" s="4"/>
    </row>
    <row r="3063" spans="20:25" x14ac:dyDescent="0.25">
      <c r="T3063" s="10"/>
      <c r="U3063" s="4"/>
      <c r="V3063" s="4"/>
      <c r="X3063" s="4"/>
      <c r="Y3063" s="4"/>
    </row>
    <row r="3064" spans="20:25" x14ac:dyDescent="0.25">
      <c r="T3064" s="10"/>
      <c r="U3064" s="4"/>
      <c r="V3064" s="4"/>
      <c r="X3064" s="4"/>
      <c r="Y3064" s="4"/>
    </row>
    <row r="3065" spans="20:25" x14ac:dyDescent="0.25">
      <c r="T3065" s="10"/>
      <c r="U3065" s="4"/>
      <c r="V3065" s="4"/>
      <c r="X3065" s="4"/>
      <c r="Y3065" s="4"/>
    </row>
    <row r="3066" spans="20:25" x14ac:dyDescent="0.25">
      <c r="T3066" s="10"/>
      <c r="U3066" s="4"/>
      <c r="V3066" s="4"/>
      <c r="X3066" s="4"/>
      <c r="Y3066" s="4"/>
    </row>
    <row r="3067" spans="20:25" x14ac:dyDescent="0.25">
      <c r="T3067" s="10"/>
      <c r="U3067" s="4"/>
      <c r="V3067" s="4"/>
      <c r="X3067" s="4"/>
      <c r="Y3067" s="4"/>
    </row>
    <row r="3068" spans="20:25" x14ac:dyDescent="0.25">
      <c r="T3068" s="10"/>
      <c r="U3068" s="4"/>
      <c r="V3068" s="4"/>
      <c r="X3068" s="4"/>
      <c r="Y3068" s="4"/>
    </row>
    <row r="3069" spans="20:25" x14ac:dyDescent="0.25">
      <c r="T3069" s="10"/>
      <c r="U3069" s="4"/>
      <c r="V3069" s="4"/>
      <c r="X3069" s="4"/>
      <c r="Y3069" s="4"/>
    </row>
    <row r="3070" spans="20:25" x14ac:dyDescent="0.25">
      <c r="T3070" s="10"/>
      <c r="U3070" s="4"/>
      <c r="V3070" s="4"/>
      <c r="X3070" s="4"/>
      <c r="Y3070" s="4"/>
    </row>
    <row r="3071" spans="20:25" x14ac:dyDescent="0.25">
      <c r="T3071" s="10"/>
      <c r="U3071" s="4"/>
      <c r="V3071" s="4"/>
      <c r="X3071" s="4"/>
      <c r="Y3071" s="4"/>
    </row>
    <row r="3072" spans="20:25" x14ac:dyDescent="0.25">
      <c r="T3072" s="10"/>
      <c r="U3072" s="4"/>
      <c r="V3072" s="4"/>
      <c r="X3072" s="4"/>
      <c r="Y3072" s="4"/>
    </row>
    <row r="3073" spans="20:25" x14ac:dyDescent="0.25">
      <c r="T3073" s="10"/>
      <c r="U3073" s="4"/>
      <c r="V3073" s="4"/>
      <c r="X3073" s="4"/>
      <c r="Y3073" s="4"/>
    </row>
    <row r="3074" spans="20:25" x14ac:dyDescent="0.25">
      <c r="T3074" s="10"/>
      <c r="U3074" s="4"/>
      <c r="V3074" s="4"/>
      <c r="X3074" s="4"/>
      <c r="Y3074" s="4"/>
    </row>
    <row r="3075" spans="20:25" x14ac:dyDescent="0.25">
      <c r="T3075" s="10"/>
      <c r="U3075" s="4"/>
      <c r="V3075" s="4"/>
      <c r="X3075" s="4"/>
      <c r="Y3075" s="4"/>
    </row>
    <row r="3076" spans="20:25" x14ac:dyDescent="0.25">
      <c r="T3076" s="10"/>
      <c r="U3076" s="4"/>
      <c r="V3076" s="4"/>
      <c r="X3076" s="4"/>
      <c r="Y3076" s="4"/>
    </row>
    <row r="3077" spans="20:25" x14ac:dyDescent="0.25">
      <c r="T3077" s="10"/>
      <c r="U3077" s="4"/>
      <c r="V3077" s="4"/>
      <c r="X3077" s="4"/>
      <c r="Y3077" s="4"/>
    </row>
    <row r="3078" spans="20:25" x14ac:dyDescent="0.25">
      <c r="T3078" s="10"/>
      <c r="U3078" s="4"/>
      <c r="V3078" s="4"/>
      <c r="X3078" s="4"/>
      <c r="Y3078" s="4"/>
    </row>
    <row r="3079" spans="20:25" x14ac:dyDescent="0.25">
      <c r="T3079" s="10"/>
      <c r="U3079" s="4"/>
      <c r="V3079" s="4"/>
      <c r="X3079" s="4"/>
      <c r="Y3079" s="4"/>
    </row>
    <row r="3080" spans="20:25" x14ac:dyDescent="0.25">
      <c r="T3080" s="10"/>
      <c r="U3080" s="4"/>
      <c r="V3080" s="4"/>
      <c r="X3080" s="4"/>
      <c r="Y3080" s="4"/>
    </row>
    <row r="3081" spans="20:25" x14ac:dyDescent="0.25">
      <c r="T3081" s="10"/>
      <c r="U3081" s="4"/>
      <c r="V3081" s="4"/>
      <c r="X3081" s="4"/>
      <c r="Y3081" s="4"/>
    </row>
    <row r="3082" spans="20:25" x14ac:dyDescent="0.25">
      <c r="T3082" s="10"/>
      <c r="U3082" s="4"/>
      <c r="V3082" s="4"/>
      <c r="X3082" s="4"/>
      <c r="Y3082" s="4"/>
    </row>
    <row r="3083" spans="20:25" x14ac:dyDescent="0.25">
      <c r="T3083" s="10"/>
      <c r="U3083" s="4"/>
      <c r="V3083" s="4"/>
      <c r="X3083" s="4"/>
      <c r="Y3083" s="4"/>
    </row>
    <row r="3084" spans="20:25" x14ac:dyDescent="0.25">
      <c r="T3084" s="10"/>
      <c r="U3084" s="4"/>
      <c r="V3084" s="4"/>
      <c r="X3084" s="4"/>
      <c r="Y3084" s="4"/>
    </row>
    <row r="3085" spans="20:25" x14ac:dyDescent="0.25">
      <c r="T3085" s="10"/>
      <c r="U3085" s="4"/>
      <c r="V3085" s="4"/>
      <c r="X3085" s="4"/>
      <c r="Y3085" s="4"/>
    </row>
    <row r="3086" spans="20:25" x14ac:dyDescent="0.25">
      <c r="T3086" s="10"/>
      <c r="U3086" s="4"/>
      <c r="V3086" s="4"/>
      <c r="X3086" s="4"/>
      <c r="Y3086" s="4"/>
    </row>
    <row r="3087" spans="20:25" x14ac:dyDescent="0.25">
      <c r="T3087" s="10"/>
      <c r="U3087" s="4"/>
      <c r="V3087" s="4"/>
      <c r="X3087" s="4"/>
      <c r="Y3087" s="4"/>
    </row>
    <row r="3088" spans="20:25" x14ac:dyDescent="0.25">
      <c r="T3088" s="10"/>
      <c r="U3088" s="4"/>
      <c r="V3088" s="4"/>
      <c r="X3088" s="4"/>
      <c r="Y3088" s="4"/>
    </row>
    <row r="3089" spans="20:25" x14ac:dyDescent="0.25">
      <c r="T3089" s="10"/>
      <c r="U3089" s="4"/>
      <c r="V3089" s="4"/>
      <c r="X3089" s="4"/>
      <c r="Y3089" s="4"/>
    </row>
    <row r="3090" spans="20:25" x14ac:dyDescent="0.25">
      <c r="T3090" s="10"/>
      <c r="U3090" s="4"/>
      <c r="V3090" s="4"/>
      <c r="X3090" s="4"/>
      <c r="Y3090" s="4"/>
    </row>
    <row r="3091" spans="20:25" x14ac:dyDescent="0.25">
      <c r="T3091" s="10"/>
      <c r="U3091" s="4"/>
      <c r="V3091" s="4"/>
      <c r="X3091" s="4"/>
      <c r="Y3091" s="4"/>
    </row>
    <row r="3092" spans="20:25" x14ac:dyDescent="0.25">
      <c r="T3092" s="10"/>
      <c r="U3092" s="4"/>
      <c r="V3092" s="4"/>
      <c r="X3092" s="4"/>
      <c r="Y3092" s="4"/>
    </row>
    <row r="3093" spans="20:25" x14ac:dyDescent="0.25">
      <c r="T3093" s="10"/>
      <c r="U3093" s="4"/>
      <c r="V3093" s="4"/>
      <c r="X3093" s="4"/>
      <c r="Y3093" s="4"/>
    </row>
    <row r="3094" spans="20:25" x14ac:dyDescent="0.25">
      <c r="T3094" s="10"/>
      <c r="U3094" s="4"/>
      <c r="V3094" s="4"/>
      <c r="X3094" s="4"/>
      <c r="Y3094" s="4"/>
    </row>
    <row r="3095" spans="20:25" x14ac:dyDescent="0.25">
      <c r="T3095" s="10"/>
      <c r="U3095" s="4"/>
      <c r="V3095" s="4"/>
      <c r="X3095" s="4"/>
      <c r="Y3095" s="4"/>
    </row>
    <row r="3096" spans="20:25" x14ac:dyDescent="0.25">
      <c r="T3096" s="10"/>
      <c r="U3096" s="4"/>
      <c r="V3096" s="4"/>
      <c r="X3096" s="4"/>
      <c r="Y3096" s="4"/>
    </row>
    <row r="3097" spans="20:25" x14ac:dyDescent="0.25">
      <c r="T3097" s="10"/>
      <c r="U3097" s="4"/>
      <c r="V3097" s="4"/>
      <c r="X3097" s="4"/>
      <c r="Y3097" s="4"/>
    </row>
    <row r="3098" spans="20:25" x14ac:dyDescent="0.25">
      <c r="T3098" s="10"/>
      <c r="U3098" s="4"/>
      <c r="V3098" s="4"/>
      <c r="X3098" s="4"/>
      <c r="Y3098" s="4"/>
    </row>
    <row r="3099" spans="20:25" x14ac:dyDescent="0.25">
      <c r="T3099" s="10"/>
      <c r="U3099" s="4"/>
      <c r="V3099" s="4"/>
      <c r="X3099" s="4"/>
      <c r="Y3099" s="4"/>
    </row>
    <row r="3100" spans="20:25" x14ac:dyDescent="0.25">
      <c r="T3100" s="10"/>
      <c r="U3100" s="4"/>
      <c r="V3100" s="4"/>
      <c r="X3100" s="4"/>
      <c r="Y3100" s="4"/>
    </row>
    <row r="3101" spans="20:25" x14ac:dyDescent="0.25">
      <c r="T3101" s="10"/>
      <c r="U3101" s="4"/>
      <c r="V3101" s="4"/>
      <c r="X3101" s="4"/>
      <c r="Y3101" s="4"/>
    </row>
    <row r="3102" spans="20:25" x14ac:dyDescent="0.25">
      <c r="T3102" s="10"/>
      <c r="U3102" s="4"/>
      <c r="V3102" s="4"/>
      <c r="X3102" s="4"/>
      <c r="Y3102" s="4"/>
    </row>
    <row r="3103" spans="20:25" x14ac:dyDescent="0.25">
      <c r="T3103" s="10"/>
      <c r="U3103" s="4"/>
      <c r="V3103" s="4"/>
      <c r="X3103" s="4"/>
      <c r="Y3103" s="4"/>
    </row>
    <row r="3104" spans="20:25" x14ac:dyDescent="0.25">
      <c r="T3104" s="10"/>
      <c r="U3104" s="4"/>
      <c r="V3104" s="4"/>
      <c r="X3104" s="4"/>
      <c r="Y3104" s="4"/>
    </row>
    <row r="3105" spans="20:25" x14ac:dyDescent="0.25">
      <c r="T3105" s="10"/>
      <c r="U3105" s="4"/>
      <c r="V3105" s="4"/>
      <c r="X3105" s="4"/>
      <c r="Y3105" s="4"/>
    </row>
    <row r="3106" spans="20:25" x14ac:dyDescent="0.25">
      <c r="T3106" s="10"/>
      <c r="U3106" s="4"/>
      <c r="V3106" s="4"/>
      <c r="X3106" s="4"/>
      <c r="Y3106" s="4"/>
    </row>
    <row r="3107" spans="20:25" x14ac:dyDescent="0.25">
      <c r="T3107" s="10"/>
      <c r="U3107" s="4"/>
      <c r="V3107" s="4"/>
      <c r="X3107" s="4"/>
      <c r="Y3107" s="4"/>
    </row>
    <row r="3108" spans="20:25" x14ac:dyDescent="0.25">
      <c r="T3108" s="10"/>
      <c r="U3108" s="4"/>
      <c r="V3108" s="4"/>
      <c r="X3108" s="4"/>
      <c r="Y3108" s="4"/>
    </row>
    <row r="3109" spans="20:25" x14ac:dyDescent="0.25">
      <c r="T3109" s="10"/>
      <c r="U3109" s="4"/>
      <c r="V3109" s="4"/>
      <c r="X3109" s="4"/>
      <c r="Y3109" s="4"/>
    </row>
    <row r="3110" spans="20:25" x14ac:dyDescent="0.25">
      <c r="T3110" s="10"/>
      <c r="U3110" s="4"/>
      <c r="V3110" s="4"/>
      <c r="X3110" s="4"/>
      <c r="Y3110" s="4"/>
    </row>
    <row r="3111" spans="20:25" x14ac:dyDescent="0.25">
      <c r="T3111" s="10"/>
      <c r="U3111" s="4"/>
      <c r="V3111" s="4"/>
      <c r="X3111" s="4"/>
      <c r="Y3111" s="4"/>
    </row>
    <row r="3112" spans="20:25" x14ac:dyDescent="0.25">
      <c r="T3112" s="10"/>
      <c r="U3112" s="4"/>
      <c r="V3112" s="4"/>
      <c r="X3112" s="4"/>
      <c r="Y3112" s="4"/>
    </row>
    <row r="3113" spans="20:25" x14ac:dyDescent="0.25">
      <c r="T3113" s="10"/>
      <c r="U3113" s="4"/>
      <c r="V3113" s="4"/>
      <c r="X3113" s="4"/>
      <c r="Y3113" s="4"/>
    </row>
    <row r="3114" spans="20:25" x14ac:dyDescent="0.25">
      <c r="T3114" s="10"/>
      <c r="U3114" s="4"/>
      <c r="V3114" s="4"/>
      <c r="X3114" s="4"/>
      <c r="Y3114" s="4"/>
    </row>
    <row r="3115" spans="20:25" x14ac:dyDescent="0.25">
      <c r="T3115" s="10"/>
      <c r="U3115" s="4"/>
      <c r="V3115" s="4"/>
      <c r="X3115" s="4"/>
      <c r="Y3115" s="4"/>
    </row>
    <row r="3116" spans="20:25" x14ac:dyDescent="0.25">
      <c r="T3116" s="10"/>
      <c r="U3116" s="4"/>
      <c r="V3116" s="4"/>
      <c r="X3116" s="4"/>
      <c r="Y3116" s="4"/>
    </row>
    <row r="3117" spans="20:25" x14ac:dyDescent="0.25">
      <c r="T3117" s="10"/>
      <c r="U3117" s="4"/>
      <c r="V3117" s="4"/>
      <c r="X3117" s="4"/>
      <c r="Y3117" s="4"/>
    </row>
    <row r="3118" spans="20:25" x14ac:dyDescent="0.25">
      <c r="T3118" s="10"/>
      <c r="U3118" s="4"/>
      <c r="V3118" s="4"/>
      <c r="X3118" s="4"/>
      <c r="Y3118" s="4"/>
    </row>
    <row r="3119" spans="20:25" x14ac:dyDescent="0.25">
      <c r="T3119" s="10"/>
      <c r="U3119" s="4"/>
      <c r="V3119" s="4"/>
      <c r="X3119" s="4"/>
      <c r="Y3119" s="4"/>
    </row>
    <row r="3120" spans="20:25" x14ac:dyDescent="0.25">
      <c r="T3120" s="10"/>
      <c r="U3120" s="4"/>
      <c r="V3120" s="4"/>
      <c r="X3120" s="4"/>
      <c r="Y3120" s="4"/>
    </row>
    <row r="3121" spans="20:25" x14ac:dyDescent="0.25">
      <c r="T3121" s="10"/>
      <c r="U3121" s="4"/>
      <c r="V3121" s="4"/>
      <c r="X3121" s="4"/>
      <c r="Y3121" s="4"/>
    </row>
    <row r="3122" spans="20:25" x14ac:dyDescent="0.25">
      <c r="T3122" s="10"/>
      <c r="U3122" s="4"/>
      <c r="V3122" s="4"/>
      <c r="X3122" s="4"/>
      <c r="Y3122" s="4"/>
    </row>
    <row r="3123" spans="20:25" x14ac:dyDescent="0.25">
      <c r="T3123" s="10"/>
      <c r="U3123" s="4"/>
      <c r="V3123" s="4"/>
      <c r="X3123" s="4"/>
      <c r="Y3123" s="4"/>
    </row>
    <row r="3124" spans="20:25" x14ac:dyDescent="0.25">
      <c r="T3124" s="10"/>
      <c r="U3124" s="4"/>
      <c r="V3124" s="4"/>
      <c r="X3124" s="4"/>
      <c r="Y3124" s="4"/>
    </row>
    <row r="3125" spans="20:25" x14ac:dyDescent="0.25">
      <c r="T3125" s="10"/>
      <c r="U3125" s="4"/>
      <c r="V3125" s="4"/>
      <c r="X3125" s="4"/>
      <c r="Y3125" s="4"/>
    </row>
    <row r="3126" spans="20:25" x14ac:dyDescent="0.25">
      <c r="T3126" s="10"/>
      <c r="U3126" s="4"/>
      <c r="V3126" s="4"/>
      <c r="X3126" s="4"/>
      <c r="Y3126" s="4"/>
    </row>
    <row r="3127" spans="20:25" x14ac:dyDescent="0.25">
      <c r="T3127" s="10"/>
      <c r="U3127" s="4"/>
      <c r="V3127" s="4"/>
      <c r="X3127" s="4"/>
      <c r="Y3127" s="4"/>
    </row>
    <row r="3128" spans="20:25" x14ac:dyDescent="0.25">
      <c r="T3128" s="10"/>
      <c r="U3128" s="4"/>
      <c r="V3128" s="4"/>
      <c r="X3128" s="4"/>
      <c r="Y3128" s="4"/>
    </row>
    <row r="3129" spans="20:25" x14ac:dyDescent="0.25">
      <c r="T3129" s="10"/>
      <c r="U3129" s="4"/>
      <c r="V3129" s="4"/>
      <c r="X3129" s="4"/>
      <c r="Y3129" s="4"/>
    </row>
    <row r="3130" spans="20:25" x14ac:dyDescent="0.25">
      <c r="T3130" s="10"/>
      <c r="U3130" s="4"/>
      <c r="V3130" s="4"/>
      <c r="X3130" s="4"/>
      <c r="Y3130" s="4"/>
    </row>
    <row r="3131" spans="20:25" x14ac:dyDescent="0.25">
      <c r="T3131" s="10"/>
      <c r="U3131" s="4"/>
      <c r="V3131" s="4"/>
      <c r="X3131" s="4"/>
      <c r="Y3131" s="4"/>
    </row>
    <row r="3132" spans="20:25" x14ac:dyDescent="0.25">
      <c r="T3132" s="10"/>
      <c r="U3132" s="4"/>
      <c r="V3132" s="4"/>
      <c r="X3132" s="4"/>
      <c r="Y3132" s="4"/>
    </row>
    <row r="3133" spans="20:25" x14ac:dyDescent="0.25">
      <c r="T3133" s="10"/>
      <c r="U3133" s="4"/>
      <c r="V3133" s="4"/>
      <c r="X3133" s="4"/>
      <c r="Y3133" s="4"/>
    </row>
    <row r="3134" spans="20:25" x14ac:dyDescent="0.25">
      <c r="T3134" s="10"/>
      <c r="U3134" s="4"/>
      <c r="V3134" s="4"/>
      <c r="X3134" s="4"/>
      <c r="Y3134" s="4"/>
    </row>
    <row r="3135" spans="20:25" x14ac:dyDescent="0.25">
      <c r="T3135" s="10"/>
      <c r="U3135" s="4"/>
      <c r="V3135" s="4"/>
      <c r="X3135" s="4"/>
      <c r="Y3135" s="4"/>
    </row>
    <row r="3136" spans="20:25" x14ac:dyDescent="0.25">
      <c r="T3136" s="10"/>
      <c r="U3136" s="4"/>
      <c r="V3136" s="4"/>
      <c r="X3136" s="4"/>
      <c r="Y3136" s="4"/>
    </row>
    <row r="3137" spans="20:25" x14ac:dyDescent="0.25">
      <c r="T3137" s="10"/>
      <c r="U3137" s="4"/>
      <c r="V3137" s="4"/>
      <c r="X3137" s="4"/>
      <c r="Y3137" s="4"/>
    </row>
    <row r="3138" spans="20:25" x14ac:dyDescent="0.25">
      <c r="T3138" s="10"/>
      <c r="U3138" s="4"/>
      <c r="V3138" s="4"/>
      <c r="X3138" s="4"/>
      <c r="Y3138" s="4"/>
    </row>
    <row r="3139" spans="20:25" x14ac:dyDescent="0.25">
      <c r="T3139" s="10"/>
      <c r="U3139" s="4"/>
      <c r="V3139" s="4"/>
      <c r="X3139" s="4"/>
      <c r="Y3139" s="4"/>
    </row>
    <row r="3140" spans="20:25" x14ac:dyDescent="0.25">
      <c r="T3140" s="10"/>
      <c r="U3140" s="4"/>
      <c r="V3140" s="4"/>
      <c r="X3140" s="4"/>
      <c r="Y3140" s="4"/>
    </row>
    <row r="3141" spans="20:25" x14ac:dyDescent="0.25">
      <c r="T3141" s="10"/>
      <c r="U3141" s="4"/>
      <c r="V3141" s="4"/>
      <c r="X3141" s="4"/>
      <c r="Y3141" s="4"/>
    </row>
    <row r="3142" spans="20:25" x14ac:dyDescent="0.25">
      <c r="T3142" s="10"/>
      <c r="U3142" s="4"/>
      <c r="V3142" s="4"/>
      <c r="X3142" s="4"/>
      <c r="Y3142" s="4"/>
    </row>
    <row r="3143" spans="20:25" x14ac:dyDescent="0.25">
      <c r="T3143" s="10"/>
      <c r="U3143" s="4"/>
      <c r="V3143" s="4"/>
      <c r="X3143" s="4"/>
      <c r="Y3143" s="4"/>
    </row>
    <row r="3144" spans="20:25" x14ac:dyDescent="0.25">
      <c r="T3144" s="10"/>
      <c r="U3144" s="4"/>
      <c r="V3144" s="4"/>
      <c r="X3144" s="4"/>
      <c r="Y3144" s="4"/>
    </row>
    <row r="3145" spans="20:25" x14ac:dyDescent="0.25">
      <c r="T3145" s="10"/>
      <c r="U3145" s="4"/>
      <c r="V3145" s="4"/>
      <c r="X3145" s="4"/>
      <c r="Y3145" s="4"/>
    </row>
    <row r="3146" spans="20:25" x14ac:dyDescent="0.25">
      <c r="T3146" s="10"/>
      <c r="U3146" s="4"/>
      <c r="V3146" s="4"/>
      <c r="X3146" s="4"/>
      <c r="Y3146" s="4"/>
    </row>
    <row r="3147" spans="20:25" x14ac:dyDescent="0.25">
      <c r="T3147" s="10"/>
      <c r="U3147" s="4"/>
      <c r="V3147" s="4"/>
      <c r="X3147" s="4"/>
      <c r="Y3147" s="4"/>
    </row>
    <row r="3148" spans="20:25" x14ac:dyDescent="0.25">
      <c r="T3148" s="10"/>
      <c r="U3148" s="4"/>
      <c r="V3148" s="4"/>
      <c r="X3148" s="4"/>
      <c r="Y3148" s="4"/>
    </row>
    <row r="3149" spans="20:25" x14ac:dyDescent="0.25">
      <c r="T3149" s="10"/>
      <c r="U3149" s="4"/>
      <c r="V3149" s="4"/>
      <c r="X3149" s="4"/>
      <c r="Y3149" s="4"/>
    </row>
    <row r="3150" spans="20:25" x14ac:dyDescent="0.25">
      <c r="T3150" s="10"/>
      <c r="U3150" s="4"/>
      <c r="V3150" s="4"/>
      <c r="X3150" s="4"/>
      <c r="Y3150" s="4"/>
    </row>
    <row r="3151" spans="20:25" x14ac:dyDescent="0.25">
      <c r="T3151" s="10"/>
      <c r="U3151" s="4"/>
      <c r="V3151" s="4"/>
      <c r="X3151" s="4"/>
      <c r="Y3151" s="4"/>
    </row>
    <row r="3152" spans="20:25" x14ac:dyDescent="0.25">
      <c r="T3152" s="10"/>
      <c r="U3152" s="4"/>
      <c r="V3152" s="4"/>
      <c r="X3152" s="4"/>
      <c r="Y3152" s="4"/>
    </row>
    <row r="3153" spans="20:25" x14ac:dyDescent="0.25">
      <c r="T3153" s="10"/>
      <c r="U3153" s="4"/>
      <c r="V3153" s="4"/>
      <c r="X3153" s="4"/>
      <c r="Y3153" s="4"/>
    </row>
    <row r="3154" spans="20:25" x14ac:dyDescent="0.25">
      <c r="T3154" s="10"/>
      <c r="U3154" s="4"/>
      <c r="V3154" s="4"/>
      <c r="X3154" s="4"/>
      <c r="Y3154" s="4"/>
    </row>
    <row r="3155" spans="20:25" x14ac:dyDescent="0.25">
      <c r="T3155" s="10"/>
      <c r="U3155" s="4"/>
      <c r="V3155" s="4"/>
      <c r="X3155" s="4"/>
      <c r="Y3155" s="4"/>
    </row>
    <row r="3156" spans="20:25" x14ac:dyDescent="0.25">
      <c r="T3156" s="10"/>
      <c r="U3156" s="4"/>
      <c r="V3156" s="4"/>
      <c r="X3156" s="4"/>
      <c r="Y3156" s="4"/>
    </row>
    <row r="3157" spans="20:25" x14ac:dyDescent="0.25">
      <c r="T3157" s="10"/>
      <c r="U3157" s="4"/>
      <c r="V3157" s="4"/>
      <c r="X3157" s="4"/>
      <c r="Y3157" s="4"/>
    </row>
    <row r="3158" spans="20:25" x14ac:dyDescent="0.25">
      <c r="T3158" s="10"/>
      <c r="U3158" s="4"/>
      <c r="V3158" s="4"/>
      <c r="X3158" s="4"/>
      <c r="Y3158" s="4"/>
    </row>
    <row r="3159" spans="20:25" x14ac:dyDescent="0.25">
      <c r="T3159" s="10"/>
      <c r="U3159" s="4"/>
      <c r="V3159" s="4"/>
      <c r="X3159" s="4"/>
      <c r="Y3159" s="4"/>
    </row>
    <row r="3160" spans="20:25" x14ac:dyDescent="0.25">
      <c r="T3160" s="10"/>
      <c r="U3160" s="4"/>
      <c r="V3160" s="4"/>
      <c r="X3160" s="4"/>
      <c r="Y3160" s="4"/>
    </row>
    <row r="3161" spans="20:25" x14ac:dyDescent="0.25">
      <c r="T3161" s="10"/>
      <c r="U3161" s="4"/>
      <c r="V3161" s="4"/>
      <c r="X3161" s="4"/>
      <c r="Y3161" s="4"/>
    </row>
    <row r="3162" spans="20:25" x14ac:dyDescent="0.25">
      <c r="T3162" s="10"/>
      <c r="U3162" s="4"/>
      <c r="V3162" s="4"/>
      <c r="X3162" s="4"/>
      <c r="Y3162" s="4"/>
    </row>
    <row r="3163" spans="20:25" x14ac:dyDescent="0.25">
      <c r="T3163" s="10"/>
      <c r="U3163" s="4"/>
      <c r="V3163" s="4"/>
      <c r="X3163" s="4"/>
      <c r="Y3163" s="4"/>
    </row>
    <row r="3164" spans="20:25" x14ac:dyDescent="0.25">
      <c r="T3164" s="10"/>
      <c r="U3164" s="4"/>
      <c r="V3164" s="4"/>
      <c r="X3164" s="4"/>
      <c r="Y3164" s="4"/>
    </row>
    <row r="3165" spans="20:25" x14ac:dyDescent="0.25">
      <c r="T3165" s="10"/>
      <c r="U3165" s="4"/>
      <c r="V3165" s="4"/>
      <c r="X3165" s="4"/>
      <c r="Y3165" s="4"/>
    </row>
    <row r="3166" spans="20:25" x14ac:dyDescent="0.25">
      <c r="T3166" s="10"/>
      <c r="U3166" s="4"/>
      <c r="V3166" s="4"/>
      <c r="X3166" s="4"/>
      <c r="Y3166" s="4"/>
    </row>
    <row r="3167" spans="20:25" x14ac:dyDescent="0.25">
      <c r="T3167" s="10"/>
      <c r="U3167" s="4"/>
      <c r="V3167" s="4"/>
      <c r="X3167" s="4"/>
      <c r="Y3167" s="4"/>
    </row>
    <row r="3168" spans="20:25" x14ac:dyDescent="0.25">
      <c r="T3168" s="10"/>
      <c r="U3168" s="4"/>
      <c r="V3168" s="4"/>
      <c r="X3168" s="4"/>
      <c r="Y3168" s="4"/>
    </row>
    <row r="3169" spans="20:25" x14ac:dyDescent="0.25">
      <c r="T3169" s="10"/>
      <c r="U3169" s="4"/>
      <c r="V3169" s="4"/>
      <c r="X3169" s="4"/>
      <c r="Y3169" s="4"/>
    </row>
    <row r="3170" spans="20:25" x14ac:dyDescent="0.25">
      <c r="T3170" s="10"/>
      <c r="U3170" s="4"/>
      <c r="V3170" s="4"/>
      <c r="X3170" s="4"/>
      <c r="Y3170" s="4"/>
    </row>
    <row r="3171" spans="20:25" x14ac:dyDescent="0.25">
      <c r="T3171" s="10"/>
      <c r="U3171" s="4"/>
      <c r="V3171" s="4"/>
      <c r="X3171" s="4"/>
      <c r="Y3171" s="4"/>
    </row>
    <row r="3172" spans="20:25" x14ac:dyDescent="0.25">
      <c r="T3172" s="10"/>
      <c r="U3172" s="4"/>
      <c r="V3172" s="4"/>
      <c r="X3172" s="4"/>
      <c r="Y3172" s="4"/>
    </row>
    <row r="3173" spans="20:25" x14ac:dyDescent="0.25">
      <c r="T3173" s="10"/>
      <c r="U3173" s="4"/>
      <c r="V3173" s="4"/>
      <c r="X3173" s="4"/>
      <c r="Y3173" s="4"/>
    </row>
    <row r="3174" spans="20:25" x14ac:dyDescent="0.25">
      <c r="T3174" s="10"/>
      <c r="U3174" s="4"/>
      <c r="V3174" s="4"/>
      <c r="X3174" s="4"/>
      <c r="Y3174" s="4"/>
    </row>
    <row r="3175" spans="20:25" x14ac:dyDescent="0.25">
      <c r="T3175" s="10"/>
      <c r="U3175" s="4"/>
      <c r="V3175" s="4"/>
      <c r="X3175" s="4"/>
      <c r="Y3175" s="4"/>
    </row>
    <row r="3176" spans="20:25" x14ac:dyDescent="0.25">
      <c r="T3176" s="10"/>
      <c r="U3176" s="4"/>
      <c r="V3176" s="4"/>
      <c r="X3176" s="4"/>
      <c r="Y3176" s="4"/>
    </row>
    <row r="3177" spans="20:25" x14ac:dyDescent="0.25">
      <c r="T3177" s="10"/>
      <c r="U3177" s="4"/>
      <c r="V3177" s="4"/>
      <c r="X3177" s="4"/>
      <c r="Y3177" s="4"/>
    </row>
    <row r="3178" spans="20:25" x14ac:dyDescent="0.25">
      <c r="T3178" s="10"/>
      <c r="U3178" s="4"/>
      <c r="V3178" s="4"/>
      <c r="X3178" s="4"/>
      <c r="Y3178" s="4"/>
    </row>
    <row r="3179" spans="20:25" x14ac:dyDescent="0.25">
      <c r="T3179" s="10"/>
      <c r="U3179" s="4"/>
      <c r="V3179" s="4"/>
      <c r="X3179" s="4"/>
      <c r="Y3179" s="4"/>
    </row>
    <row r="3180" spans="20:25" x14ac:dyDescent="0.25">
      <c r="T3180" s="10"/>
      <c r="U3180" s="4"/>
      <c r="V3180" s="4"/>
      <c r="X3180" s="4"/>
      <c r="Y3180" s="4"/>
    </row>
    <row r="3181" spans="20:25" x14ac:dyDescent="0.25">
      <c r="T3181" s="10"/>
      <c r="U3181" s="4"/>
      <c r="V3181" s="4"/>
      <c r="X3181" s="4"/>
      <c r="Y3181" s="4"/>
    </row>
    <row r="3182" spans="20:25" x14ac:dyDescent="0.25">
      <c r="T3182" s="10"/>
      <c r="U3182" s="4"/>
      <c r="V3182" s="4"/>
      <c r="X3182" s="4"/>
      <c r="Y3182" s="4"/>
    </row>
    <row r="3183" spans="20:25" x14ac:dyDescent="0.25">
      <c r="T3183" s="10"/>
      <c r="U3183" s="4"/>
      <c r="V3183" s="4"/>
      <c r="X3183" s="4"/>
      <c r="Y3183" s="4"/>
    </row>
    <row r="3184" spans="20:25" x14ac:dyDescent="0.25">
      <c r="T3184" s="10"/>
      <c r="U3184" s="4"/>
      <c r="V3184" s="4"/>
      <c r="X3184" s="4"/>
      <c r="Y3184" s="4"/>
    </row>
    <row r="3185" spans="20:25" x14ac:dyDescent="0.25">
      <c r="T3185" s="10"/>
      <c r="U3185" s="4"/>
      <c r="V3185" s="4"/>
      <c r="X3185" s="4"/>
      <c r="Y3185" s="4"/>
    </row>
    <row r="3186" spans="20:25" x14ac:dyDescent="0.25">
      <c r="T3186" s="10"/>
      <c r="U3186" s="4"/>
      <c r="V3186" s="4"/>
      <c r="X3186" s="4"/>
      <c r="Y3186" s="4"/>
    </row>
    <row r="3187" spans="20:25" x14ac:dyDescent="0.25">
      <c r="T3187" s="10"/>
      <c r="U3187" s="4"/>
      <c r="V3187" s="4"/>
      <c r="X3187" s="4"/>
      <c r="Y3187" s="4"/>
    </row>
    <row r="3188" spans="20:25" x14ac:dyDescent="0.25">
      <c r="T3188" s="10"/>
      <c r="U3188" s="4"/>
      <c r="V3188" s="4"/>
      <c r="X3188" s="4"/>
      <c r="Y3188" s="4"/>
    </row>
    <row r="3189" spans="20:25" x14ac:dyDescent="0.25">
      <c r="T3189" s="10"/>
      <c r="U3189" s="4"/>
      <c r="V3189" s="4"/>
      <c r="X3189" s="4"/>
      <c r="Y3189" s="4"/>
    </row>
    <row r="3190" spans="20:25" x14ac:dyDescent="0.25">
      <c r="T3190" s="10"/>
      <c r="U3190" s="4"/>
      <c r="V3190" s="4"/>
      <c r="X3190" s="4"/>
      <c r="Y3190" s="4"/>
    </row>
    <row r="3191" spans="20:25" x14ac:dyDescent="0.25">
      <c r="T3191" s="10"/>
      <c r="U3191" s="4"/>
      <c r="V3191" s="4"/>
      <c r="X3191" s="4"/>
      <c r="Y3191" s="4"/>
    </row>
    <row r="3192" spans="20:25" x14ac:dyDescent="0.25">
      <c r="T3192" s="10"/>
      <c r="U3192" s="4"/>
      <c r="V3192" s="4"/>
      <c r="X3192" s="4"/>
      <c r="Y3192" s="4"/>
    </row>
    <row r="3193" spans="20:25" x14ac:dyDescent="0.25">
      <c r="T3193" s="10"/>
      <c r="U3193" s="4"/>
      <c r="V3193" s="4"/>
      <c r="X3193" s="4"/>
      <c r="Y3193" s="4"/>
    </row>
    <row r="3194" spans="20:25" x14ac:dyDescent="0.25">
      <c r="T3194" s="10"/>
      <c r="U3194" s="4"/>
      <c r="V3194" s="4"/>
      <c r="X3194" s="4"/>
      <c r="Y3194" s="4"/>
    </row>
    <row r="3195" spans="20:25" x14ac:dyDescent="0.25">
      <c r="T3195" s="10"/>
      <c r="U3195" s="4"/>
      <c r="V3195" s="4"/>
      <c r="X3195" s="4"/>
      <c r="Y3195" s="4"/>
    </row>
    <row r="3196" spans="20:25" x14ac:dyDescent="0.25">
      <c r="T3196" s="10"/>
      <c r="U3196" s="4"/>
      <c r="V3196" s="4"/>
      <c r="X3196" s="4"/>
      <c r="Y3196" s="4"/>
    </row>
    <row r="3197" spans="20:25" x14ac:dyDescent="0.25">
      <c r="T3197" s="10"/>
      <c r="U3197" s="4"/>
      <c r="V3197" s="4"/>
      <c r="X3197" s="4"/>
      <c r="Y3197" s="4"/>
    </row>
    <row r="3198" spans="20:25" x14ac:dyDescent="0.25">
      <c r="T3198" s="10"/>
      <c r="U3198" s="4"/>
      <c r="V3198" s="4"/>
      <c r="X3198" s="4"/>
      <c r="Y3198" s="4"/>
    </row>
    <row r="3199" spans="20:25" x14ac:dyDescent="0.25">
      <c r="T3199" s="10"/>
      <c r="U3199" s="4"/>
      <c r="V3199" s="4"/>
      <c r="X3199" s="4"/>
      <c r="Y3199" s="4"/>
    </row>
    <row r="3200" spans="20:25" x14ac:dyDescent="0.25">
      <c r="T3200" s="10"/>
      <c r="U3200" s="4"/>
      <c r="V3200" s="4"/>
      <c r="X3200" s="4"/>
      <c r="Y3200" s="4"/>
    </row>
    <row r="3201" spans="20:25" x14ac:dyDescent="0.25">
      <c r="T3201" s="10"/>
      <c r="U3201" s="4"/>
      <c r="V3201" s="4"/>
      <c r="X3201" s="4"/>
      <c r="Y3201" s="4"/>
    </row>
    <row r="3202" spans="20:25" x14ac:dyDescent="0.25">
      <c r="T3202" s="10"/>
      <c r="U3202" s="4"/>
      <c r="V3202" s="4"/>
      <c r="X3202" s="4"/>
      <c r="Y3202" s="4"/>
    </row>
    <row r="3203" spans="20:25" x14ac:dyDescent="0.25">
      <c r="T3203" s="10"/>
      <c r="U3203" s="4"/>
      <c r="V3203" s="4"/>
      <c r="X3203" s="4"/>
      <c r="Y3203" s="4"/>
    </row>
    <row r="3204" spans="20:25" x14ac:dyDescent="0.25">
      <c r="T3204" s="10"/>
      <c r="U3204" s="4"/>
      <c r="V3204" s="4"/>
      <c r="X3204" s="4"/>
      <c r="Y3204" s="4"/>
    </row>
    <row r="3205" spans="20:25" x14ac:dyDescent="0.25">
      <c r="T3205" s="10"/>
      <c r="U3205" s="4"/>
      <c r="V3205" s="4"/>
      <c r="X3205" s="4"/>
      <c r="Y3205" s="4"/>
    </row>
    <row r="3206" spans="20:25" x14ac:dyDescent="0.25">
      <c r="T3206" s="10"/>
      <c r="U3206" s="4"/>
      <c r="V3206" s="4"/>
      <c r="X3206" s="4"/>
      <c r="Y3206" s="4"/>
    </row>
    <row r="3207" spans="20:25" x14ac:dyDescent="0.25">
      <c r="T3207" s="10"/>
      <c r="U3207" s="4"/>
      <c r="V3207" s="4"/>
      <c r="X3207" s="4"/>
      <c r="Y3207" s="4"/>
    </row>
    <row r="3208" spans="20:25" x14ac:dyDescent="0.25">
      <c r="T3208" s="10"/>
      <c r="U3208" s="4"/>
      <c r="V3208" s="4"/>
      <c r="X3208" s="4"/>
      <c r="Y3208" s="4"/>
    </row>
    <row r="3209" spans="20:25" x14ac:dyDescent="0.25">
      <c r="T3209" s="10"/>
      <c r="U3209" s="4"/>
      <c r="V3209" s="4"/>
      <c r="X3209" s="4"/>
      <c r="Y3209" s="4"/>
    </row>
    <row r="3210" spans="20:25" x14ac:dyDescent="0.25">
      <c r="T3210" s="10"/>
      <c r="U3210" s="4"/>
      <c r="V3210" s="4"/>
      <c r="X3210" s="4"/>
      <c r="Y3210" s="4"/>
    </row>
    <row r="3211" spans="20:25" x14ac:dyDescent="0.25">
      <c r="T3211" s="10"/>
      <c r="U3211" s="4"/>
      <c r="V3211" s="4"/>
      <c r="X3211" s="4"/>
      <c r="Y3211" s="4"/>
    </row>
    <row r="3212" spans="20:25" x14ac:dyDescent="0.25">
      <c r="T3212" s="10"/>
      <c r="U3212" s="4"/>
      <c r="V3212" s="4"/>
      <c r="X3212" s="4"/>
      <c r="Y3212" s="4"/>
    </row>
    <row r="3213" spans="20:25" x14ac:dyDescent="0.25">
      <c r="T3213" s="10"/>
      <c r="U3213" s="4"/>
      <c r="V3213" s="4"/>
      <c r="X3213" s="4"/>
      <c r="Y3213" s="4"/>
    </row>
    <row r="3214" spans="20:25" x14ac:dyDescent="0.25">
      <c r="T3214" s="10"/>
      <c r="U3214" s="4"/>
      <c r="V3214" s="4"/>
      <c r="X3214" s="4"/>
      <c r="Y3214" s="4"/>
    </row>
    <row r="3215" spans="20:25" x14ac:dyDescent="0.25">
      <c r="T3215" s="10"/>
      <c r="U3215" s="4"/>
      <c r="V3215" s="4"/>
      <c r="X3215" s="4"/>
      <c r="Y3215" s="4"/>
    </row>
    <row r="3216" spans="20:25" x14ac:dyDescent="0.25">
      <c r="T3216" s="10"/>
      <c r="U3216" s="4"/>
      <c r="V3216" s="4"/>
      <c r="X3216" s="4"/>
      <c r="Y3216" s="4"/>
    </row>
    <row r="3217" spans="20:25" x14ac:dyDescent="0.25">
      <c r="T3217" s="10"/>
      <c r="U3217" s="4"/>
      <c r="V3217" s="4"/>
      <c r="X3217" s="4"/>
      <c r="Y3217" s="4"/>
    </row>
    <row r="3218" spans="20:25" x14ac:dyDescent="0.25">
      <c r="T3218" s="10"/>
      <c r="U3218" s="4"/>
      <c r="V3218" s="4"/>
      <c r="X3218" s="4"/>
      <c r="Y3218" s="4"/>
    </row>
    <row r="3219" spans="20:25" x14ac:dyDescent="0.25">
      <c r="T3219" s="10"/>
      <c r="U3219" s="4"/>
      <c r="V3219" s="4"/>
      <c r="X3219" s="4"/>
      <c r="Y3219" s="4"/>
    </row>
    <row r="3220" spans="20:25" x14ac:dyDescent="0.25">
      <c r="T3220" s="10"/>
      <c r="U3220" s="4"/>
      <c r="V3220" s="4"/>
      <c r="X3220" s="4"/>
      <c r="Y3220" s="4"/>
    </row>
    <row r="3221" spans="20:25" x14ac:dyDescent="0.25">
      <c r="T3221" s="10"/>
      <c r="U3221" s="4"/>
      <c r="V3221" s="4"/>
      <c r="X3221" s="4"/>
      <c r="Y3221" s="4"/>
    </row>
    <row r="3222" spans="20:25" x14ac:dyDescent="0.25">
      <c r="T3222" s="10"/>
      <c r="U3222" s="4"/>
      <c r="V3222" s="4"/>
      <c r="X3222" s="4"/>
      <c r="Y3222" s="4"/>
    </row>
    <row r="3223" spans="20:25" x14ac:dyDescent="0.25">
      <c r="T3223" s="10"/>
      <c r="U3223" s="4"/>
      <c r="V3223" s="4"/>
      <c r="X3223" s="4"/>
      <c r="Y3223" s="4"/>
    </row>
    <row r="3224" spans="20:25" x14ac:dyDescent="0.25">
      <c r="T3224" s="10"/>
      <c r="U3224" s="4"/>
      <c r="V3224" s="4"/>
      <c r="X3224" s="4"/>
      <c r="Y3224" s="4"/>
    </row>
    <row r="3225" spans="20:25" x14ac:dyDescent="0.25">
      <c r="T3225" s="10"/>
      <c r="U3225" s="4"/>
      <c r="V3225" s="4"/>
      <c r="X3225" s="4"/>
      <c r="Y3225" s="4"/>
    </row>
    <row r="3226" spans="20:25" x14ac:dyDescent="0.25">
      <c r="T3226" s="10"/>
      <c r="U3226" s="4"/>
      <c r="V3226" s="4"/>
      <c r="X3226" s="4"/>
      <c r="Y3226" s="4"/>
    </row>
    <row r="3227" spans="20:25" x14ac:dyDescent="0.25">
      <c r="T3227" s="10"/>
      <c r="U3227" s="4"/>
      <c r="V3227" s="4"/>
      <c r="X3227" s="4"/>
      <c r="Y3227" s="4"/>
    </row>
    <row r="3228" spans="20:25" x14ac:dyDescent="0.25">
      <c r="T3228" s="10"/>
      <c r="U3228" s="4"/>
      <c r="V3228" s="4"/>
      <c r="X3228" s="4"/>
      <c r="Y3228" s="4"/>
    </row>
    <row r="3229" spans="20:25" x14ac:dyDescent="0.25">
      <c r="T3229" s="10"/>
      <c r="U3229" s="4"/>
      <c r="V3229" s="4"/>
      <c r="X3229" s="4"/>
      <c r="Y3229" s="4"/>
    </row>
    <row r="3230" spans="20:25" x14ac:dyDescent="0.25">
      <c r="T3230" s="10"/>
      <c r="U3230" s="4"/>
      <c r="V3230" s="4"/>
      <c r="X3230" s="4"/>
      <c r="Y3230" s="4"/>
    </row>
    <row r="3231" spans="20:25" x14ac:dyDescent="0.25">
      <c r="T3231" s="10"/>
      <c r="U3231" s="4"/>
      <c r="V3231" s="4"/>
      <c r="X3231" s="4"/>
      <c r="Y3231" s="4"/>
    </row>
    <row r="3232" spans="20:25" x14ac:dyDescent="0.25">
      <c r="T3232" s="10"/>
      <c r="U3232" s="4"/>
      <c r="V3232" s="4"/>
      <c r="X3232" s="4"/>
      <c r="Y3232" s="4"/>
    </row>
    <row r="3233" spans="20:25" x14ac:dyDescent="0.25">
      <c r="T3233" s="10"/>
      <c r="U3233" s="4"/>
      <c r="V3233" s="4"/>
      <c r="X3233" s="4"/>
      <c r="Y3233" s="4"/>
    </row>
    <row r="3234" spans="20:25" x14ac:dyDescent="0.25">
      <c r="T3234" s="10"/>
      <c r="U3234" s="4"/>
      <c r="V3234" s="4"/>
      <c r="X3234" s="4"/>
      <c r="Y3234" s="4"/>
    </row>
    <row r="3235" spans="20:25" x14ac:dyDescent="0.25">
      <c r="T3235" s="10"/>
      <c r="U3235" s="4"/>
      <c r="V3235" s="4"/>
      <c r="X3235" s="4"/>
      <c r="Y3235" s="4"/>
    </row>
    <row r="3236" spans="20:25" x14ac:dyDescent="0.25">
      <c r="T3236" s="10"/>
      <c r="U3236" s="4"/>
      <c r="V3236" s="4"/>
      <c r="X3236" s="4"/>
      <c r="Y3236" s="4"/>
    </row>
    <row r="3237" spans="20:25" x14ac:dyDescent="0.25">
      <c r="T3237" s="10"/>
      <c r="U3237" s="4"/>
      <c r="V3237" s="4"/>
      <c r="X3237" s="4"/>
      <c r="Y3237" s="4"/>
    </row>
    <row r="3238" spans="20:25" x14ac:dyDescent="0.25">
      <c r="T3238" s="10"/>
      <c r="U3238" s="4"/>
      <c r="V3238" s="4"/>
      <c r="X3238" s="4"/>
      <c r="Y3238" s="4"/>
    </row>
    <row r="3239" spans="20:25" x14ac:dyDescent="0.25">
      <c r="T3239" s="10"/>
      <c r="U3239" s="4"/>
      <c r="V3239" s="4"/>
      <c r="X3239" s="4"/>
      <c r="Y3239" s="4"/>
    </row>
    <row r="3240" spans="20:25" x14ac:dyDescent="0.25">
      <c r="T3240" s="10"/>
      <c r="U3240" s="4"/>
      <c r="V3240" s="4"/>
      <c r="X3240" s="4"/>
      <c r="Y3240" s="4"/>
    </row>
    <row r="3241" spans="20:25" x14ac:dyDescent="0.25">
      <c r="T3241" s="10"/>
      <c r="U3241" s="4"/>
      <c r="V3241" s="4"/>
      <c r="X3241" s="4"/>
      <c r="Y3241" s="4"/>
    </row>
    <row r="3242" spans="20:25" x14ac:dyDescent="0.25">
      <c r="T3242" s="10"/>
      <c r="U3242" s="4"/>
      <c r="V3242" s="4"/>
      <c r="X3242" s="4"/>
      <c r="Y3242" s="4"/>
    </row>
    <row r="3243" spans="20:25" x14ac:dyDescent="0.25">
      <c r="T3243" s="10"/>
      <c r="U3243" s="4"/>
      <c r="V3243" s="4"/>
      <c r="X3243" s="4"/>
      <c r="Y3243" s="4"/>
    </row>
    <row r="3244" spans="20:25" x14ac:dyDescent="0.25">
      <c r="T3244" s="10"/>
      <c r="U3244" s="4"/>
      <c r="V3244" s="4"/>
      <c r="X3244" s="4"/>
      <c r="Y3244" s="4"/>
    </row>
    <row r="3245" spans="20:25" x14ac:dyDescent="0.25">
      <c r="T3245" s="10"/>
      <c r="U3245" s="4"/>
      <c r="V3245" s="4"/>
      <c r="X3245" s="4"/>
      <c r="Y3245" s="4"/>
    </row>
    <row r="3246" spans="20:25" x14ac:dyDescent="0.25">
      <c r="T3246" s="10"/>
      <c r="U3246" s="4"/>
      <c r="V3246" s="4"/>
      <c r="X3246" s="4"/>
      <c r="Y3246" s="4"/>
    </row>
    <row r="3247" spans="20:25" x14ac:dyDescent="0.25">
      <c r="T3247" s="10"/>
      <c r="U3247" s="4"/>
      <c r="V3247" s="4"/>
      <c r="X3247" s="4"/>
      <c r="Y3247" s="4"/>
    </row>
    <row r="3248" spans="20:25" x14ac:dyDescent="0.25">
      <c r="T3248" s="10"/>
      <c r="U3248" s="4"/>
      <c r="V3248" s="4"/>
      <c r="X3248" s="4"/>
      <c r="Y3248" s="4"/>
    </row>
    <row r="3249" spans="20:25" x14ac:dyDescent="0.25">
      <c r="T3249" s="10"/>
      <c r="U3249" s="4"/>
      <c r="V3249" s="4"/>
      <c r="X3249" s="4"/>
      <c r="Y3249" s="4"/>
    </row>
    <row r="3250" spans="20:25" x14ac:dyDescent="0.25">
      <c r="T3250" s="10"/>
      <c r="U3250" s="4"/>
      <c r="V3250" s="4"/>
      <c r="X3250" s="4"/>
      <c r="Y3250" s="4"/>
    </row>
    <row r="3251" spans="20:25" x14ac:dyDescent="0.25">
      <c r="T3251" s="10"/>
      <c r="U3251" s="4"/>
      <c r="V3251" s="4"/>
      <c r="X3251" s="4"/>
      <c r="Y3251" s="4"/>
    </row>
    <row r="3252" spans="20:25" x14ac:dyDescent="0.25">
      <c r="T3252" s="10"/>
      <c r="U3252" s="4"/>
      <c r="V3252" s="4"/>
      <c r="X3252" s="4"/>
      <c r="Y3252" s="4"/>
    </row>
    <row r="3253" spans="20:25" x14ac:dyDescent="0.25">
      <c r="T3253" s="10"/>
      <c r="U3253" s="4"/>
      <c r="V3253" s="4"/>
      <c r="X3253" s="4"/>
      <c r="Y3253" s="4"/>
    </row>
    <row r="3254" spans="20:25" x14ac:dyDescent="0.25">
      <c r="T3254" s="10"/>
      <c r="U3254" s="4"/>
      <c r="V3254" s="4"/>
      <c r="X3254" s="4"/>
      <c r="Y3254" s="4"/>
    </row>
    <row r="3255" spans="20:25" x14ac:dyDescent="0.25">
      <c r="T3255" s="10"/>
      <c r="U3255" s="4"/>
      <c r="V3255" s="4"/>
      <c r="X3255" s="4"/>
      <c r="Y3255" s="4"/>
    </row>
    <row r="3256" spans="20:25" x14ac:dyDescent="0.25">
      <c r="T3256" s="10"/>
      <c r="U3256" s="4"/>
      <c r="V3256" s="4"/>
      <c r="X3256" s="4"/>
      <c r="Y3256" s="4"/>
    </row>
    <row r="3257" spans="20:25" x14ac:dyDescent="0.25">
      <c r="T3257" s="10"/>
      <c r="U3257" s="4"/>
      <c r="V3257" s="4"/>
      <c r="X3257" s="4"/>
      <c r="Y3257" s="4"/>
    </row>
    <row r="3258" spans="20:25" x14ac:dyDescent="0.25">
      <c r="T3258" s="10"/>
      <c r="U3258" s="4"/>
      <c r="V3258" s="4"/>
      <c r="X3258" s="4"/>
      <c r="Y3258" s="4"/>
    </row>
    <row r="3259" spans="20:25" x14ac:dyDescent="0.25">
      <c r="T3259" s="10"/>
      <c r="U3259" s="4"/>
      <c r="V3259" s="4"/>
      <c r="X3259" s="4"/>
      <c r="Y3259" s="4"/>
    </row>
    <row r="3260" spans="20:25" x14ac:dyDescent="0.25">
      <c r="T3260" s="10"/>
      <c r="U3260" s="4"/>
      <c r="V3260" s="4"/>
      <c r="X3260" s="4"/>
      <c r="Y3260" s="4"/>
    </row>
    <row r="3261" spans="20:25" x14ac:dyDescent="0.25">
      <c r="T3261" s="10"/>
      <c r="U3261" s="4"/>
      <c r="V3261" s="4"/>
      <c r="X3261" s="4"/>
      <c r="Y3261" s="4"/>
    </row>
    <row r="3262" spans="20:25" x14ac:dyDescent="0.25">
      <c r="T3262" s="10"/>
      <c r="U3262" s="4"/>
      <c r="V3262" s="4"/>
      <c r="X3262" s="4"/>
      <c r="Y3262" s="4"/>
    </row>
    <row r="3263" spans="20:25" x14ac:dyDescent="0.25">
      <c r="T3263" s="10"/>
      <c r="U3263" s="4"/>
      <c r="V3263" s="4"/>
      <c r="X3263" s="4"/>
      <c r="Y3263" s="4"/>
    </row>
    <row r="3264" spans="20:25" x14ac:dyDescent="0.25">
      <c r="T3264" s="10"/>
      <c r="U3264" s="4"/>
      <c r="V3264" s="4"/>
      <c r="X3264" s="4"/>
      <c r="Y3264" s="4"/>
    </row>
    <row r="3265" spans="20:25" x14ac:dyDescent="0.25">
      <c r="T3265" s="10"/>
      <c r="U3265" s="4"/>
      <c r="V3265" s="4"/>
      <c r="X3265" s="4"/>
      <c r="Y3265" s="4"/>
    </row>
    <row r="3266" spans="20:25" x14ac:dyDescent="0.25">
      <c r="T3266" s="10"/>
      <c r="U3266" s="4"/>
      <c r="V3266" s="4"/>
      <c r="X3266" s="4"/>
      <c r="Y3266" s="4"/>
    </row>
    <row r="3267" spans="20:25" x14ac:dyDescent="0.25">
      <c r="T3267" s="10"/>
      <c r="U3267" s="4"/>
      <c r="V3267" s="4"/>
      <c r="X3267" s="4"/>
      <c r="Y3267" s="4"/>
    </row>
    <row r="3268" spans="20:25" x14ac:dyDescent="0.25">
      <c r="T3268" s="10"/>
      <c r="U3268" s="4"/>
      <c r="V3268" s="4"/>
      <c r="X3268" s="4"/>
      <c r="Y3268" s="4"/>
    </row>
    <row r="3269" spans="20:25" x14ac:dyDescent="0.25">
      <c r="T3269" s="10"/>
      <c r="U3269" s="4"/>
      <c r="V3269" s="4"/>
      <c r="X3269" s="4"/>
      <c r="Y3269" s="4"/>
    </row>
    <row r="3270" spans="20:25" x14ac:dyDescent="0.25">
      <c r="T3270" s="10"/>
      <c r="U3270" s="4"/>
      <c r="V3270" s="4"/>
      <c r="X3270" s="4"/>
      <c r="Y3270" s="4"/>
    </row>
    <row r="3271" spans="20:25" x14ac:dyDescent="0.25">
      <c r="T3271" s="10"/>
      <c r="U3271" s="4"/>
      <c r="V3271" s="4"/>
      <c r="X3271" s="4"/>
      <c r="Y3271" s="4"/>
    </row>
    <row r="3272" spans="20:25" x14ac:dyDescent="0.25">
      <c r="T3272" s="10"/>
      <c r="U3272" s="4"/>
      <c r="V3272" s="4"/>
      <c r="X3272" s="4"/>
      <c r="Y3272" s="4"/>
    </row>
    <row r="3273" spans="20:25" x14ac:dyDescent="0.25">
      <c r="T3273" s="10"/>
      <c r="U3273" s="4"/>
      <c r="V3273" s="4"/>
      <c r="X3273" s="4"/>
      <c r="Y3273" s="4"/>
    </row>
    <row r="3274" spans="20:25" x14ac:dyDescent="0.25">
      <c r="T3274" s="10"/>
      <c r="U3274" s="4"/>
      <c r="V3274" s="4"/>
      <c r="X3274" s="4"/>
      <c r="Y3274" s="4"/>
    </row>
    <row r="3275" spans="20:25" x14ac:dyDescent="0.25">
      <c r="T3275" s="10"/>
      <c r="U3275" s="4"/>
      <c r="V3275" s="4"/>
      <c r="X3275" s="4"/>
      <c r="Y3275" s="4"/>
    </row>
    <row r="3276" spans="20:25" x14ac:dyDescent="0.25">
      <c r="T3276" s="10"/>
      <c r="U3276" s="4"/>
      <c r="V3276" s="4"/>
      <c r="X3276" s="4"/>
      <c r="Y3276" s="4"/>
    </row>
    <row r="3277" spans="20:25" x14ac:dyDescent="0.25">
      <c r="T3277" s="10"/>
      <c r="U3277" s="4"/>
      <c r="V3277" s="4"/>
      <c r="X3277" s="4"/>
      <c r="Y3277" s="4"/>
    </row>
    <row r="3278" spans="20:25" x14ac:dyDescent="0.25">
      <c r="T3278" s="10"/>
      <c r="U3278" s="4"/>
      <c r="V3278" s="4"/>
      <c r="X3278" s="4"/>
      <c r="Y3278" s="4"/>
    </row>
    <row r="3279" spans="20:25" x14ac:dyDescent="0.25">
      <c r="T3279" s="10"/>
      <c r="U3279" s="4"/>
      <c r="V3279" s="4"/>
      <c r="X3279" s="4"/>
      <c r="Y3279" s="4"/>
    </row>
    <row r="3280" spans="20:25" x14ac:dyDescent="0.25">
      <c r="T3280" s="10"/>
      <c r="U3280" s="4"/>
      <c r="V3280" s="4"/>
      <c r="X3280" s="4"/>
      <c r="Y3280" s="4"/>
    </row>
    <row r="3281" spans="20:25" x14ac:dyDescent="0.25">
      <c r="T3281" s="10"/>
      <c r="U3281" s="4"/>
      <c r="V3281" s="4"/>
      <c r="X3281" s="4"/>
      <c r="Y3281" s="4"/>
    </row>
    <row r="3282" spans="20:25" x14ac:dyDescent="0.25">
      <c r="T3282" s="10"/>
      <c r="U3282" s="4"/>
      <c r="V3282" s="4"/>
      <c r="X3282" s="4"/>
      <c r="Y3282" s="4"/>
    </row>
    <row r="3283" spans="20:25" x14ac:dyDescent="0.25">
      <c r="T3283" s="10"/>
      <c r="U3283" s="4"/>
      <c r="V3283" s="4"/>
      <c r="X3283" s="4"/>
      <c r="Y3283" s="4"/>
    </row>
    <row r="3284" spans="20:25" x14ac:dyDescent="0.25">
      <c r="T3284" s="10"/>
      <c r="U3284" s="4"/>
      <c r="V3284" s="4"/>
      <c r="X3284" s="4"/>
      <c r="Y3284" s="4"/>
    </row>
    <row r="3285" spans="20:25" x14ac:dyDescent="0.25">
      <c r="T3285" s="10"/>
      <c r="U3285" s="4"/>
      <c r="V3285" s="4"/>
      <c r="X3285" s="4"/>
      <c r="Y3285" s="4"/>
    </row>
    <row r="3286" spans="20:25" x14ac:dyDescent="0.25">
      <c r="T3286" s="10"/>
      <c r="U3286" s="4"/>
      <c r="V3286" s="4"/>
      <c r="X3286" s="4"/>
      <c r="Y3286" s="4"/>
    </row>
    <row r="3287" spans="20:25" x14ac:dyDescent="0.25">
      <c r="T3287" s="10"/>
      <c r="U3287" s="4"/>
      <c r="V3287" s="4"/>
      <c r="X3287" s="4"/>
      <c r="Y3287" s="4"/>
    </row>
    <row r="3288" spans="20:25" x14ac:dyDescent="0.25">
      <c r="T3288" s="10"/>
      <c r="U3288" s="4"/>
      <c r="V3288" s="4"/>
      <c r="X3288" s="4"/>
      <c r="Y3288" s="4"/>
    </row>
    <row r="3289" spans="20:25" x14ac:dyDescent="0.25">
      <c r="T3289" s="10"/>
      <c r="U3289" s="4"/>
      <c r="V3289" s="4"/>
      <c r="X3289" s="4"/>
      <c r="Y3289" s="4"/>
    </row>
    <row r="3290" spans="20:25" x14ac:dyDescent="0.25">
      <c r="T3290" s="10"/>
      <c r="U3290" s="4"/>
      <c r="V3290" s="4"/>
      <c r="X3290" s="4"/>
      <c r="Y3290" s="4"/>
    </row>
    <row r="3291" spans="20:25" x14ac:dyDescent="0.25">
      <c r="T3291" s="10"/>
      <c r="U3291" s="4"/>
      <c r="V3291" s="4"/>
      <c r="X3291" s="4"/>
      <c r="Y3291" s="4"/>
    </row>
    <row r="3292" spans="20:25" x14ac:dyDescent="0.25">
      <c r="T3292" s="10"/>
      <c r="U3292" s="4"/>
      <c r="V3292" s="4"/>
      <c r="X3292" s="4"/>
      <c r="Y3292" s="4"/>
    </row>
    <row r="3293" spans="20:25" x14ac:dyDescent="0.25">
      <c r="T3293" s="10"/>
      <c r="U3293" s="4"/>
      <c r="V3293" s="4"/>
      <c r="X3293" s="4"/>
      <c r="Y3293" s="4"/>
    </row>
    <row r="3294" spans="20:25" x14ac:dyDescent="0.25">
      <c r="T3294" s="10"/>
      <c r="U3294" s="4"/>
      <c r="V3294" s="4"/>
      <c r="X3294" s="4"/>
      <c r="Y3294" s="4"/>
    </row>
    <row r="3295" spans="20:25" x14ac:dyDescent="0.25">
      <c r="T3295" s="10"/>
      <c r="U3295" s="4"/>
      <c r="V3295" s="4"/>
      <c r="X3295" s="4"/>
      <c r="Y3295" s="4"/>
    </row>
    <row r="3296" spans="20:25" x14ac:dyDescent="0.25">
      <c r="T3296" s="10"/>
      <c r="U3296" s="4"/>
      <c r="V3296" s="4"/>
      <c r="X3296" s="4"/>
      <c r="Y3296" s="4"/>
    </row>
    <row r="3297" spans="20:25" x14ac:dyDescent="0.25">
      <c r="T3297" s="10"/>
      <c r="U3297" s="4"/>
      <c r="V3297" s="4"/>
      <c r="X3297" s="4"/>
      <c r="Y3297" s="4"/>
    </row>
    <row r="3298" spans="20:25" x14ac:dyDescent="0.25">
      <c r="T3298" s="10"/>
      <c r="U3298" s="4"/>
      <c r="V3298" s="4"/>
      <c r="X3298" s="4"/>
      <c r="Y3298" s="4"/>
    </row>
    <row r="3299" spans="20:25" x14ac:dyDescent="0.25">
      <c r="T3299" s="10"/>
      <c r="U3299" s="4"/>
      <c r="V3299" s="4"/>
      <c r="X3299" s="4"/>
      <c r="Y3299" s="4"/>
    </row>
    <row r="3300" spans="20:25" x14ac:dyDescent="0.25">
      <c r="T3300" s="10"/>
      <c r="U3300" s="4"/>
      <c r="V3300" s="4"/>
      <c r="X3300" s="4"/>
      <c r="Y3300" s="4"/>
    </row>
    <row r="3301" spans="20:25" x14ac:dyDescent="0.25">
      <c r="T3301" s="10"/>
      <c r="U3301" s="4"/>
      <c r="V3301" s="4"/>
      <c r="X3301" s="4"/>
      <c r="Y3301" s="4"/>
    </row>
    <row r="3302" spans="20:25" x14ac:dyDescent="0.25">
      <c r="T3302" s="10"/>
      <c r="U3302" s="4"/>
      <c r="V3302" s="4"/>
      <c r="X3302" s="4"/>
      <c r="Y3302" s="4"/>
    </row>
    <row r="3303" spans="20:25" x14ac:dyDescent="0.25">
      <c r="T3303" s="10"/>
      <c r="U3303" s="4"/>
      <c r="V3303" s="4"/>
      <c r="X3303" s="4"/>
      <c r="Y3303" s="4"/>
    </row>
    <row r="3304" spans="20:25" x14ac:dyDescent="0.25">
      <c r="T3304" s="10"/>
      <c r="U3304" s="4"/>
      <c r="V3304" s="4"/>
      <c r="X3304" s="4"/>
      <c r="Y3304" s="4"/>
    </row>
    <row r="3305" spans="20:25" x14ac:dyDescent="0.25">
      <c r="T3305" s="10"/>
      <c r="U3305" s="4"/>
      <c r="V3305" s="4"/>
      <c r="X3305" s="4"/>
      <c r="Y3305" s="4"/>
    </row>
    <row r="3306" spans="20:25" x14ac:dyDescent="0.25">
      <c r="T3306" s="10"/>
      <c r="U3306" s="4"/>
      <c r="V3306" s="4"/>
      <c r="X3306" s="4"/>
      <c r="Y3306" s="4"/>
    </row>
    <row r="3307" spans="20:25" x14ac:dyDescent="0.25">
      <c r="T3307" s="10"/>
      <c r="U3307" s="4"/>
      <c r="V3307" s="4"/>
      <c r="X3307" s="4"/>
      <c r="Y3307" s="4"/>
    </row>
    <row r="3308" spans="20:25" x14ac:dyDescent="0.25">
      <c r="T3308" s="10"/>
      <c r="U3308" s="4"/>
      <c r="V3308" s="4"/>
      <c r="X3308" s="4"/>
      <c r="Y3308" s="4"/>
    </row>
    <row r="3309" spans="20:25" x14ac:dyDescent="0.25">
      <c r="T3309" s="10"/>
      <c r="U3309" s="4"/>
      <c r="V3309" s="4"/>
      <c r="X3309" s="4"/>
      <c r="Y3309" s="4"/>
    </row>
    <row r="3310" spans="20:25" x14ac:dyDescent="0.25">
      <c r="T3310" s="10"/>
      <c r="U3310" s="4"/>
      <c r="V3310" s="4"/>
      <c r="X3310" s="4"/>
      <c r="Y3310" s="4"/>
    </row>
    <row r="3311" spans="20:25" x14ac:dyDescent="0.25">
      <c r="T3311" s="10"/>
      <c r="U3311" s="4"/>
      <c r="V3311" s="4"/>
      <c r="X3311" s="4"/>
      <c r="Y3311" s="4"/>
    </row>
    <row r="3312" spans="20:25" x14ac:dyDescent="0.25">
      <c r="T3312" s="10"/>
      <c r="U3312" s="4"/>
      <c r="V3312" s="4"/>
      <c r="X3312" s="4"/>
      <c r="Y3312" s="4"/>
    </row>
    <row r="3313" spans="20:25" x14ac:dyDescent="0.25">
      <c r="T3313" s="10"/>
      <c r="U3313" s="4"/>
      <c r="V3313" s="4"/>
      <c r="X3313" s="4"/>
      <c r="Y3313" s="4"/>
    </row>
    <row r="3314" spans="20:25" x14ac:dyDescent="0.25">
      <c r="T3314" s="10"/>
      <c r="U3314" s="4"/>
      <c r="V3314" s="4"/>
      <c r="X3314" s="4"/>
      <c r="Y3314" s="4"/>
    </row>
    <row r="3315" spans="20:25" x14ac:dyDescent="0.25">
      <c r="T3315" s="10"/>
      <c r="U3315" s="4"/>
      <c r="V3315" s="4"/>
      <c r="X3315" s="4"/>
      <c r="Y3315" s="4"/>
    </row>
    <row r="3316" spans="20:25" x14ac:dyDescent="0.25">
      <c r="T3316" s="10"/>
      <c r="U3316" s="4"/>
      <c r="V3316" s="4"/>
      <c r="X3316" s="4"/>
      <c r="Y3316" s="4"/>
    </row>
    <row r="3317" spans="20:25" x14ac:dyDescent="0.25">
      <c r="T3317" s="10"/>
      <c r="U3317" s="4"/>
      <c r="V3317" s="4"/>
      <c r="X3317" s="4"/>
      <c r="Y3317" s="4"/>
    </row>
    <row r="3318" spans="20:25" x14ac:dyDescent="0.25">
      <c r="T3318" s="10"/>
      <c r="U3318" s="4"/>
      <c r="V3318" s="4"/>
      <c r="X3318" s="4"/>
      <c r="Y3318" s="4"/>
    </row>
    <row r="3319" spans="20:25" x14ac:dyDescent="0.25">
      <c r="T3319" s="10"/>
      <c r="U3319" s="4"/>
      <c r="V3319" s="4"/>
      <c r="X3319" s="4"/>
      <c r="Y3319" s="4"/>
    </row>
    <row r="3320" spans="20:25" x14ac:dyDescent="0.25">
      <c r="T3320" s="10"/>
      <c r="U3320" s="4"/>
      <c r="V3320" s="4"/>
      <c r="X3320" s="4"/>
      <c r="Y3320" s="4"/>
    </row>
    <row r="3321" spans="20:25" x14ac:dyDescent="0.25">
      <c r="T3321" s="10"/>
      <c r="U3321" s="4"/>
      <c r="V3321" s="4"/>
      <c r="X3321" s="4"/>
      <c r="Y3321" s="4"/>
    </row>
    <row r="3322" spans="20:25" x14ac:dyDescent="0.25">
      <c r="T3322" s="10"/>
      <c r="U3322" s="4"/>
      <c r="V3322" s="4"/>
      <c r="X3322" s="4"/>
      <c r="Y3322" s="4"/>
    </row>
    <row r="3323" spans="20:25" x14ac:dyDescent="0.25">
      <c r="T3323" s="10"/>
      <c r="U3323" s="4"/>
      <c r="V3323" s="4"/>
      <c r="X3323" s="4"/>
      <c r="Y3323" s="4"/>
    </row>
    <row r="3324" spans="20:25" x14ac:dyDescent="0.25">
      <c r="T3324" s="10"/>
      <c r="U3324" s="4"/>
      <c r="V3324" s="4"/>
      <c r="X3324" s="4"/>
      <c r="Y3324" s="4"/>
    </row>
    <row r="3325" spans="20:25" x14ac:dyDescent="0.25">
      <c r="T3325" s="10"/>
      <c r="U3325" s="4"/>
      <c r="V3325" s="4"/>
      <c r="X3325" s="4"/>
      <c r="Y3325" s="4"/>
    </row>
    <row r="3326" spans="20:25" x14ac:dyDescent="0.25">
      <c r="T3326" s="10"/>
      <c r="U3326" s="4"/>
      <c r="V3326" s="4"/>
      <c r="X3326" s="4"/>
      <c r="Y3326" s="4"/>
    </row>
    <row r="3327" spans="20:25" x14ac:dyDescent="0.25">
      <c r="T3327" s="10"/>
      <c r="U3327" s="4"/>
      <c r="V3327" s="4"/>
      <c r="X3327" s="4"/>
      <c r="Y3327" s="4"/>
    </row>
    <row r="3328" spans="20:25" x14ac:dyDescent="0.25">
      <c r="T3328" s="10"/>
      <c r="U3328" s="4"/>
      <c r="V3328" s="4"/>
      <c r="X3328" s="4"/>
      <c r="Y3328" s="4"/>
    </row>
    <row r="3329" spans="20:25" x14ac:dyDescent="0.25">
      <c r="T3329" s="10"/>
      <c r="U3329" s="4"/>
      <c r="V3329" s="4"/>
      <c r="X3329" s="4"/>
      <c r="Y3329" s="4"/>
    </row>
    <row r="3330" spans="20:25" x14ac:dyDescent="0.25">
      <c r="T3330" s="10"/>
      <c r="U3330" s="4"/>
      <c r="V3330" s="4"/>
      <c r="X3330" s="4"/>
      <c r="Y3330" s="4"/>
    </row>
    <row r="3331" spans="20:25" x14ac:dyDescent="0.25">
      <c r="T3331" s="10"/>
      <c r="U3331" s="4"/>
      <c r="V3331" s="4"/>
      <c r="X3331" s="4"/>
      <c r="Y3331" s="4"/>
    </row>
    <row r="3332" spans="20:25" x14ac:dyDescent="0.25">
      <c r="T3332" s="10"/>
      <c r="U3332" s="4"/>
      <c r="V3332" s="4"/>
      <c r="X3332" s="4"/>
      <c r="Y3332" s="4"/>
    </row>
    <row r="3333" spans="20:25" x14ac:dyDescent="0.25">
      <c r="T3333" s="10"/>
      <c r="U3333" s="4"/>
      <c r="V3333" s="4"/>
      <c r="X3333" s="4"/>
      <c r="Y3333" s="4"/>
    </row>
    <row r="3334" spans="20:25" x14ac:dyDescent="0.25">
      <c r="T3334" s="10"/>
      <c r="U3334" s="4"/>
      <c r="V3334" s="4"/>
      <c r="X3334" s="4"/>
      <c r="Y3334" s="4"/>
    </row>
    <row r="3335" spans="20:25" x14ac:dyDescent="0.25">
      <c r="T3335" s="10"/>
      <c r="U3335" s="4"/>
      <c r="V3335" s="4"/>
      <c r="X3335" s="4"/>
      <c r="Y3335" s="4"/>
    </row>
    <row r="3336" spans="20:25" x14ac:dyDescent="0.25">
      <c r="T3336" s="10"/>
      <c r="U3336" s="4"/>
      <c r="V3336" s="4"/>
      <c r="X3336" s="4"/>
      <c r="Y3336" s="4"/>
    </row>
    <row r="3337" spans="20:25" x14ac:dyDescent="0.25">
      <c r="T3337" s="10"/>
      <c r="U3337" s="4"/>
      <c r="V3337" s="4"/>
      <c r="X3337" s="4"/>
      <c r="Y3337" s="4"/>
    </row>
    <row r="3338" spans="20:25" x14ac:dyDescent="0.25">
      <c r="T3338" s="10"/>
      <c r="U3338" s="4"/>
      <c r="V3338" s="4"/>
      <c r="X3338" s="4"/>
      <c r="Y3338" s="4"/>
    </row>
    <row r="3339" spans="20:25" x14ac:dyDescent="0.25">
      <c r="T3339" s="10"/>
      <c r="U3339" s="4"/>
      <c r="V3339" s="4"/>
      <c r="X3339" s="4"/>
      <c r="Y3339" s="4"/>
    </row>
    <row r="3340" spans="20:25" x14ac:dyDescent="0.25">
      <c r="T3340" s="10"/>
      <c r="U3340" s="4"/>
      <c r="V3340" s="4"/>
      <c r="X3340" s="4"/>
      <c r="Y3340" s="4"/>
    </row>
    <row r="3341" spans="20:25" x14ac:dyDescent="0.25">
      <c r="T3341" s="10"/>
      <c r="U3341" s="4"/>
      <c r="V3341" s="4"/>
      <c r="X3341" s="4"/>
      <c r="Y3341" s="4"/>
    </row>
    <row r="3342" spans="20:25" x14ac:dyDescent="0.25">
      <c r="T3342" s="10"/>
      <c r="U3342" s="4"/>
      <c r="V3342" s="4"/>
      <c r="X3342" s="4"/>
      <c r="Y3342" s="4"/>
    </row>
    <row r="3343" spans="20:25" x14ac:dyDescent="0.25">
      <c r="T3343" s="10"/>
      <c r="U3343" s="4"/>
      <c r="V3343" s="4"/>
      <c r="X3343" s="4"/>
      <c r="Y3343" s="4"/>
    </row>
    <row r="3344" spans="20:25" x14ac:dyDescent="0.25">
      <c r="T3344" s="10"/>
      <c r="U3344" s="4"/>
      <c r="V3344" s="4"/>
      <c r="X3344" s="4"/>
      <c r="Y3344" s="4"/>
    </row>
    <row r="3345" spans="20:25" x14ac:dyDescent="0.25">
      <c r="T3345" s="10"/>
      <c r="U3345" s="4"/>
      <c r="V3345" s="4"/>
      <c r="X3345" s="4"/>
      <c r="Y3345" s="4"/>
    </row>
    <row r="3346" spans="20:25" x14ac:dyDescent="0.25">
      <c r="T3346" s="10"/>
      <c r="U3346" s="4"/>
      <c r="V3346" s="4"/>
      <c r="X3346" s="4"/>
      <c r="Y3346" s="4"/>
    </row>
    <row r="3347" spans="20:25" x14ac:dyDescent="0.25">
      <c r="T3347" s="10"/>
      <c r="U3347" s="4"/>
      <c r="V3347" s="4"/>
      <c r="X3347" s="4"/>
      <c r="Y3347" s="4"/>
    </row>
    <row r="3348" spans="20:25" x14ac:dyDescent="0.25">
      <c r="T3348" s="10"/>
      <c r="U3348" s="4"/>
      <c r="V3348" s="4"/>
      <c r="X3348" s="4"/>
      <c r="Y3348" s="4"/>
    </row>
    <row r="3349" spans="20:25" x14ac:dyDescent="0.25">
      <c r="T3349" s="10"/>
      <c r="U3349" s="4"/>
      <c r="V3349" s="4"/>
      <c r="X3349" s="4"/>
      <c r="Y3349" s="4"/>
    </row>
    <row r="3350" spans="20:25" x14ac:dyDescent="0.25">
      <c r="T3350" s="10"/>
      <c r="U3350" s="4"/>
      <c r="V3350" s="4"/>
      <c r="X3350" s="4"/>
      <c r="Y3350" s="4"/>
    </row>
    <row r="3351" spans="20:25" x14ac:dyDescent="0.25">
      <c r="T3351" s="10"/>
      <c r="U3351" s="4"/>
      <c r="V3351" s="4"/>
      <c r="X3351" s="4"/>
      <c r="Y3351" s="4"/>
    </row>
    <row r="3352" spans="20:25" x14ac:dyDescent="0.25">
      <c r="T3352" s="10"/>
      <c r="U3352" s="4"/>
      <c r="V3352" s="4"/>
      <c r="X3352" s="4"/>
      <c r="Y3352" s="4"/>
    </row>
    <row r="3353" spans="20:25" x14ac:dyDescent="0.25">
      <c r="T3353" s="10"/>
      <c r="U3353" s="4"/>
      <c r="V3353" s="4"/>
      <c r="X3353" s="4"/>
      <c r="Y3353" s="4"/>
    </row>
    <row r="3354" spans="20:25" x14ac:dyDescent="0.25">
      <c r="T3354" s="10"/>
      <c r="U3354" s="4"/>
      <c r="V3354" s="4"/>
      <c r="X3354" s="4"/>
      <c r="Y3354" s="4"/>
    </row>
    <row r="3355" spans="20:25" x14ac:dyDescent="0.25">
      <c r="T3355" s="10"/>
      <c r="U3355" s="4"/>
      <c r="V3355" s="4"/>
      <c r="X3355" s="4"/>
      <c r="Y3355" s="4"/>
    </row>
    <row r="3356" spans="20:25" x14ac:dyDescent="0.25">
      <c r="T3356" s="10"/>
      <c r="U3356" s="4"/>
      <c r="V3356" s="4"/>
      <c r="X3356" s="4"/>
      <c r="Y3356" s="4"/>
    </row>
    <row r="3357" spans="20:25" x14ac:dyDescent="0.25">
      <c r="T3357" s="10"/>
      <c r="U3357" s="4"/>
      <c r="V3357" s="4"/>
      <c r="X3357" s="4"/>
      <c r="Y3357" s="4"/>
    </row>
    <row r="3358" spans="20:25" x14ac:dyDescent="0.25">
      <c r="T3358" s="10"/>
      <c r="U3358" s="4"/>
      <c r="V3358" s="4"/>
      <c r="X3358" s="4"/>
      <c r="Y3358" s="4"/>
    </row>
    <row r="3359" spans="20:25" x14ac:dyDescent="0.25">
      <c r="T3359" s="10"/>
      <c r="U3359" s="4"/>
      <c r="V3359" s="4"/>
      <c r="X3359" s="4"/>
      <c r="Y3359" s="4"/>
    </row>
    <row r="3360" spans="20:25" x14ac:dyDescent="0.25">
      <c r="T3360" s="10"/>
      <c r="U3360" s="4"/>
      <c r="V3360" s="4"/>
      <c r="X3360" s="4"/>
      <c r="Y3360" s="4"/>
    </row>
    <row r="3361" spans="20:25" x14ac:dyDescent="0.25">
      <c r="T3361" s="10"/>
      <c r="U3361" s="4"/>
      <c r="V3361" s="4"/>
      <c r="X3361" s="4"/>
      <c r="Y3361" s="4"/>
    </row>
    <row r="3362" spans="20:25" x14ac:dyDescent="0.25">
      <c r="T3362" s="10"/>
      <c r="U3362" s="4"/>
      <c r="V3362" s="4"/>
      <c r="X3362" s="4"/>
      <c r="Y3362" s="4"/>
    </row>
    <row r="3363" spans="20:25" x14ac:dyDescent="0.25">
      <c r="T3363" s="10"/>
      <c r="U3363" s="4"/>
      <c r="V3363" s="4"/>
      <c r="X3363" s="4"/>
      <c r="Y3363" s="4"/>
    </row>
    <row r="3364" spans="20:25" x14ac:dyDescent="0.25">
      <c r="T3364" s="10"/>
      <c r="U3364" s="4"/>
      <c r="V3364" s="4"/>
      <c r="X3364" s="4"/>
      <c r="Y3364" s="4"/>
    </row>
    <row r="3365" spans="20:25" x14ac:dyDescent="0.25">
      <c r="T3365" s="10"/>
      <c r="U3365" s="4"/>
      <c r="V3365" s="4"/>
      <c r="X3365" s="4"/>
      <c r="Y3365" s="4"/>
    </row>
    <row r="3366" spans="20:25" x14ac:dyDescent="0.25">
      <c r="T3366" s="10"/>
      <c r="U3366" s="4"/>
      <c r="V3366" s="4"/>
      <c r="X3366" s="4"/>
      <c r="Y3366" s="4"/>
    </row>
    <row r="3367" spans="20:25" x14ac:dyDescent="0.25">
      <c r="T3367" s="10"/>
      <c r="U3367" s="4"/>
      <c r="V3367" s="4"/>
      <c r="X3367" s="4"/>
      <c r="Y3367" s="4"/>
    </row>
    <row r="3368" spans="20:25" x14ac:dyDescent="0.25">
      <c r="T3368" s="10"/>
      <c r="U3368" s="4"/>
      <c r="V3368" s="4"/>
      <c r="X3368" s="4"/>
      <c r="Y3368" s="4"/>
    </row>
    <row r="3369" spans="20:25" x14ac:dyDescent="0.25">
      <c r="T3369" s="10"/>
      <c r="U3369" s="4"/>
      <c r="V3369" s="4"/>
      <c r="X3369" s="4"/>
      <c r="Y3369" s="4"/>
    </row>
    <row r="3370" spans="20:25" x14ac:dyDescent="0.25">
      <c r="T3370" s="10"/>
      <c r="U3370" s="4"/>
      <c r="V3370" s="4"/>
      <c r="X3370" s="4"/>
      <c r="Y3370" s="4"/>
    </row>
    <row r="3371" spans="20:25" x14ac:dyDescent="0.25">
      <c r="T3371" s="10"/>
      <c r="U3371" s="4"/>
      <c r="V3371" s="4"/>
      <c r="X3371" s="4"/>
      <c r="Y3371" s="4"/>
    </row>
    <row r="3372" spans="20:25" x14ac:dyDescent="0.25">
      <c r="T3372" s="10"/>
      <c r="U3372" s="4"/>
      <c r="V3372" s="4"/>
      <c r="X3372" s="4"/>
      <c r="Y3372" s="4"/>
    </row>
    <row r="3373" spans="20:25" x14ac:dyDescent="0.25">
      <c r="T3373" s="10"/>
      <c r="U3373" s="4"/>
      <c r="V3373" s="4"/>
      <c r="X3373" s="4"/>
      <c r="Y3373" s="4"/>
    </row>
    <row r="3374" spans="20:25" x14ac:dyDescent="0.25">
      <c r="T3374" s="10"/>
      <c r="U3374" s="4"/>
      <c r="V3374" s="4"/>
      <c r="X3374" s="4"/>
      <c r="Y3374" s="4"/>
    </row>
    <row r="3375" spans="20:25" x14ac:dyDescent="0.25">
      <c r="T3375" s="10"/>
      <c r="U3375" s="4"/>
      <c r="V3375" s="4"/>
      <c r="X3375" s="4"/>
      <c r="Y3375" s="4"/>
    </row>
    <row r="3376" spans="20:25" x14ac:dyDescent="0.25">
      <c r="T3376" s="10"/>
      <c r="U3376" s="4"/>
      <c r="V3376" s="4"/>
      <c r="X3376" s="4"/>
      <c r="Y3376" s="4"/>
    </row>
    <row r="3377" spans="20:25" x14ac:dyDescent="0.25">
      <c r="T3377" s="10"/>
      <c r="U3377" s="4"/>
      <c r="V3377" s="4"/>
      <c r="X3377" s="4"/>
      <c r="Y3377" s="4"/>
    </row>
    <row r="3378" spans="20:25" x14ac:dyDescent="0.25">
      <c r="T3378" s="10"/>
      <c r="U3378" s="4"/>
      <c r="V3378" s="4"/>
      <c r="X3378" s="4"/>
      <c r="Y3378" s="4"/>
    </row>
    <row r="3379" spans="20:25" x14ac:dyDescent="0.25">
      <c r="T3379" s="10"/>
      <c r="U3379" s="4"/>
      <c r="V3379" s="4"/>
      <c r="X3379" s="4"/>
      <c r="Y3379" s="4"/>
    </row>
    <row r="3380" spans="20:25" x14ac:dyDescent="0.25">
      <c r="T3380" s="10"/>
      <c r="U3380" s="4"/>
      <c r="V3380" s="4"/>
      <c r="X3380" s="4"/>
      <c r="Y3380" s="4"/>
    </row>
    <row r="3381" spans="20:25" x14ac:dyDescent="0.25">
      <c r="T3381" s="10"/>
      <c r="U3381" s="4"/>
      <c r="V3381" s="4"/>
      <c r="X3381" s="4"/>
      <c r="Y3381" s="4"/>
    </row>
    <row r="3382" spans="20:25" x14ac:dyDescent="0.25">
      <c r="T3382" s="10"/>
      <c r="U3382" s="4"/>
      <c r="V3382" s="4"/>
      <c r="X3382" s="4"/>
      <c r="Y3382" s="4"/>
    </row>
    <row r="3383" spans="20:25" x14ac:dyDescent="0.25">
      <c r="T3383" s="10"/>
      <c r="U3383" s="4"/>
      <c r="V3383" s="4"/>
      <c r="X3383" s="4"/>
      <c r="Y3383" s="4"/>
    </row>
    <row r="3384" spans="20:25" x14ac:dyDescent="0.25">
      <c r="T3384" s="10"/>
      <c r="U3384" s="4"/>
      <c r="V3384" s="4"/>
      <c r="X3384" s="4"/>
      <c r="Y3384" s="4"/>
    </row>
    <row r="3385" spans="20:25" x14ac:dyDescent="0.25">
      <c r="T3385" s="10"/>
      <c r="U3385" s="4"/>
      <c r="V3385" s="4"/>
      <c r="X3385" s="4"/>
      <c r="Y3385" s="4"/>
    </row>
    <row r="3386" spans="20:25" x14ac:dyDescent="0.25">
      <c r="T3386" s="10"/>
      <c r="U3386" s="4"/>
      <c r="V3386" s="4"/>
      <c r="X3386" s="4"/>
      <c r="Y3386" s="4"/>
    </row>
    <row r="3387" spans="20:25" x14ac:dyDescent="0.25">
      <c r="T3387" s="10"/>
      <c r="U3387" s="4"/>
      <c r="V3387" s="4"/>
      <c r="X3387" s="4"/>
      <c r="Y3387" s="4"/>
    </row>
    <row r="3388" spans="20:25" x14ac:dyDescent="0.25">
      <c r="T3388" s="10"/>
      <c r="U3388" s="4"/>
      <c r="V3388" s="4"/>
      <c r="X3388" s="4"/>
      <c r="Y3388" s="4"/>
    </row>
    <row r="3389" spans="20:25" x14ac:dyDescent="0.25">
      <c r="T3389" s="10"/>
      <c r="U3389" s="4"/>
      <c r="V3389" s="4"/>
      <c r="X3389" s="4"/>
      <c r="Y3389" s="4"/>
    </row>
    <row r="3390" spans="20:25" x14ac:dyDescent="0.25">
      <c r="T3390" s="10"/>
      <c r="U3390" s="4"/>
      <c r="V3390" s="4"/>
      <c r="X3390" s="4"/>
      <c r="Y3390" s="4"/>
    </row>
    <row r="3391" spans="20:25" x14ac:dyDescent="0.25">
      <c r="T3391" s="10"/>
      <c r="U3391" s="4"/>
      <c r="V3391" s="4"/>
      <c r="X3391" s="4"/>
      <c r="Y3391" s="4"/>
    </row>
    <row r="3392" spans="20:25" x14ac:dyDescent="0.25">
      <c r="T3392" s="10"/>
      <c r="U3392" s="4"/>
      <c r="V3392" s="4"/>
      <c r="X3392" s="4"/>
      <c r="Y3392" s="4"/>
    </row>
    <row r="3393" spans="20:25" x14ac:dyDescent="0.25">
      <c r="T3393" s="10"/>
      <c r="U3393" s="4"/>
      <c r="V3393" s="4"/>
      <c r="X3393" s="4"/>
      <c r="Y3393" s="4"/>
    </row>
    <row r="3394" spans="20:25" x14ac:dyDescent="0.25">
      <c r="T3394" s="10"/>
      <c r="U3394" s="4"/>
      <c r="V3394" s="4"/>
      <c r="X3394" s="4"/>
      <c r="Y3394" s="4"/>
    </row>
    <row r="3395" spans="20:25" x14ac:dyDescent="0.25">
      <c r="T3395" s="10"/>
      <c r="U3395" s="4"/>
      <c r="V3395" s="4"/>
      <c r="X3395" s="4"/>
      <c r="Y3395" s="4"/>
    </row>
    <row r="3396" spans="20:25" x14ac:dyDescent="0.25">
      <c r="T3396" s="10"/>
      <c r="U3396" s="4"/>
      <c r="V3396" s="4"/>
      <c r="X3396" s="4"/>
      <c r="Y3396" s="4"/>
    </row>
    <row r="3397" spans="20:25" x14ac:dyDescent="0.25">
      <c r="T3397" s="10"/>
      <c r="U3397" s="4"/>
      <c r="V3397" s="4"/>
      <c r="X3397" s="4"/>
      <c r="Y3397" s="4"/>
    </row>
    <row r="3398" spans="20:25" x14ac:dyDescent="0.25">
      <c r="T3398" s="10"/>
      <c r="U3398" s="4"/>
      <c r="V3398" s="4"/>
      <c r="X3398" s="4"/>
      <c r="Y3398" s="4"/>
    </row>
    <row r="3399" spans="20:25" x14ac:dyDescent="0.25">
      <c r="T3399" s="10"/>
      <c r="U3399" s="4"/>
      <c r="V3399" s="4"/>
      <c r="X3399" s="4"/>
      <c r="Y3399" s="4"/>
    </row>
    <row r="3400" spans="20:25" x14ac:dyDescent="0.25">
      <c r="T3400" s="10"/>
      <c r="U3400" s="4"/>
      <c r="V3400" s="4"/>
      <c r="X3400" s="4"/>
      <c r="Y3400" s="4"/>
    </row>
    <row r="3401" spans="20:25" x14ac:dyDescent="0.25">
      <c r="T3401" s="10"/>
      <c r="U3401" s="4"/>
      <c r="V3401" s="4"/>
      <c r="X3401" s="4"/>
      <c r="Y3401" s="4"/>
    </row>
    <row r="3402" spans="20:25" x14ac:dyDescent="0.25">
      <c r="T3402" s="10"/>
      <c r="U3402" s="4"/>
      <c r="V3402" s="4"/>
      <c r="X3402" s="4"/>
      <c r="Y3402" s="4"/>
    </row>
    <row r="3403" spans="20:25" x14ac:dyDescent="0.25">
      <c r="T3403" s="10"/>
      <c r="U3403" s="4"/>
      <c r="V3403" s="4"/>
      <c r="X3403" s="4"/>
      <c r="Y3403" s="4"/>
    </row>
    <row r="3404" spans="20:25" x14ac:dyDescent="0.25">
      <c r="T3404" s="10"/>
      <c r="U3404" s="4"/>
      <c r="V3404" s="4"/>
      <c r="X3404" s="4"/>
      <c r="Y3404" s="4"/>
    </row>
    <row r="3405" spans="20:25" x14ac:dyDescent="0.25">
      <c r="T3405" s="10"/>
      <c r="U3405" s="4"/>
      <c r="V3405" s="4"/>
      <c r="X3405" s="4"/>
      <c r="Y3405" s="4"/>
    </row>
    <row r="3406" spans="20:25" x14ac:dyDescent="0.25">
      <c r="T3406" s="10"/>
      <c r="U3406" s="4"/>
      <c r="V3406" s="4"/>
      <c r="X3406" s="4"/>
      <c r="Y3406" s="4"/>
    </row>
    <row r="3407" spans="20:25" x14ac:dyDescent="0.25">
      <c r="T3407" s="10"/>
      <c r="U3407" s="4"/>
      <c r="V3407" s="4"/>
      <c r="X3407" s="4"/>
      <c r="Y3407" s="4"/>
    </row>
    <row r="3408" spans="20:25" x14ac:dyDescent="0.25">
      <c r="T3408" s="10"/>
      <c r="U3408" s="4"/>
      <c r="V3408" s="4"/>
      <c r="X3408" s="4"/>
      <c r="Y3408" s="4"/>
    </row>
    <row r="3409" spans="20:25" x14ac:dyDescent="0.25">
      <c r="T3409" s="10"/>
      <c r="U3409" s="4"/>
      <c r="V3409" s="4"/>
      <c r="X3409" s="4"/>
      <c r="Y3409" s="4"/>
    </row>
    <row r="3410" spans="20:25" x14ac:dyDescent="0.25">
      <c r="T3410" s="10"/>
      <c r="U3410" s="4"/>
      <c r="V3410" s="4"/>
      <c r="X3410" s="4"/>
      <c r="Y3410" s="4"/>
    </row>
    <row r="3411" spans="20:25" x14ac:dyDescent="0.25">
      <c r="T3411" s="10"/>
      <c r="U3411" s="4"/>
      <c r="V3411" s="4"/>
      <c r="X3411" s="4"/>
      <c r="Y3411" s="4"/>
    </row>
    <row r="3412" spans="20:25" x14ac:dyDescent="0.25">
      <c r="T3412" s="10"/>
      <c r="U3412" s="4"/>
      <c r="V3412" s="4"/>
      <c r="X3412" s="4"/>
      <c r="Y3412" s="4"/>
    </row>
    <row r="3413" spans="20:25" x14ac:dyDescent="0.25">
      <c r="T3413" s="10"/>
      <c r="U3413" s="4"/>
      <c r="V3413" s="4"/>
      <c r="X3413" s="4"/>
      <c r="Y3413" s="4"/>
    </row>
    <row r="3414" spans="20:25" x14ac:dyDescent="0.25">
      <c r="T3414" s="10"/>
      <c r="U3414" s="4"/>
      <c r="V3414" s="4"/>
      <c r="X3414" s="4"/>
      <c r="Y3414" s="4"/>
    </row>
    <row r="3415" spans="20:25" x14ac:dyDescent="0.25">
      <c r="T3415" s="10"/>
      <c r="U3415" s="4"/>
      <c r="V3415" s="4"/>
      <c r="X3415" s="4"/>
      <c r="Y3415" s="4"/>
    </row>
    <row r="3416" spans="20:25" x14ac:dyDescent="0.25">
      <c r="T3416" s="10"/>
      <c r="U3416" s="4"/>
      <c r="V3416" s="4"/>
      <c r="X3416" s="4"/>
      <c r="Y3416" s="4"/>
    </row>
    <row r="3417" spans="20:25" x14ac:dyDescent="0.25">
      <c r="T3417" s="10"/>
      <c r="U3417" s="4"/>
      <c r="V3417" s="4"/>
      <c r="X3417" s="4"/>
      <c r="Y3417" s="4"/>
    </row>
    <row r="3418" spans="20:25" x14ac:dyDescent="0.25">
      <c r="T3418" s="10"/>
      <c r="U3418" s="4"/>
      <c r="V3418" s="4"/>
      <c r="X3418" s="4"/>
      <c r="Y3418" s="4"/>
    </row>
    <row r="3419" spans="20:25" x14ac:dyDescent="0.25">
      <c r="T3419" s="10"/>
      <c r="U3419" s="4"/>
      <c r="V3419" s="4"/>
      <c r="X3419" s="4"/>
      <c r="Y3419" s="4"/>
    </row>
    <row r="3420" spans="20:25" x14ac:dyDescent="0.25">
      <c r="T3420" s="10"/>
      <c r="U3420" s="4"/>
      <c r="V3420" s="4"/>
      <c r="X3420" s="4"/>
      <c r="Y3420" s="4"/>
    </row>
    <row r="3421" spans="20:25" x14ac:dyDescent="0.25">
      <c r="T3421" s="10"/>
      <c r="U3421" s="4"/>
      <c r="V3421" s="4"/>
      <c r="X3421" s="4"/>
      <c r="Y3421" s="4"/>
    </row>
    <row r="3422" spans="20:25" x14ac:dyDescent="0.25">
      <c r="T3422" s="10"/>
      <c r="U3422" s="4"/>
      <c r="V3422" s="4"/>
      <c r="X3422" s="4"/>
      <c r="Y3422" s="4"/>
    </row>
    <row r="3423" spans="20:25" x14ac:dyDescent="0.25">
      <c r="T3423" s="10"/>
      <c r="U3423" s="4"/>
      <c r="V3423" s="4"/>
      <c r="X3423" s="4"/>
      <c r="Y3423" s="4"/>
    </row>
    <row r="3424" spans="20:25" x14ac:dyDescent="0.25">
      <c r="T3424" s="10"/>
      <c r="U3424" s="4"/>
      <c r="V3424" s="4"/>
      <c r="X3424" s="4"/>
      <c r="Y3424" s="4"/>
    </row>
    <row r="3425" spans="20:25" x14ac:dyDescent="0.25">
      <c r="T3425" s="10"/>
      <c r="U3425" s="4"/>
      <c r="V3425" s="4"/>
      <c r="X3425" s="4"/>
      <c r="Y3425" s="4"/>
    </row>
    <row r="3426" spans="20:25" x14ac:dyDescent="0.25">
      <c r="T3426" s="10"/>
      <c r="U3426" s="4"/>
      <c r="V3426" s="4"/>
      <c r="X3426" s="4"/>
      <c r="Y3426" s="4"/>
    </row>
    <row r="3427" spans="20:25" x14ac:dyDescent="0.25">
      <c r="T3427" s="10"/>
      <c r="U3427" s="4"/>
      <c r="V3427" s="4"/>
      <c r="X3427" s="4"/>
      <c r="Y3427" s="4"/>
    </row>
    <row r="3428" spans="20:25" x14ac:dyDescent="0.25">
      <c r="T3428" s="10"/>
      <c r="U3428" s="4"/>
      <c r="V3428" s="4"/>
      <c r="X3428" s="4"/>
      <c r="Y3428" s="4"/>
    </row>
    <row r="3429" spans="20:25" x14ac:dyDescent="0.25">
      <c r="T3429" s="10"/>
      <c r="U3429" s="4"/>
      <c r="V3429" s="4"/>
      <c r="X3429" s="4"/>
      <c r="Y3429" s="4"/>
    </row>
    <row r="3430" spans="20:25" x14ac:dyDescent="0.25">
      <c r="T3430" s="10"/>
      <c r="U3430" s="4"/>
      <c r="V3430" s="4"/>
      <c r="X3430" s="4"/>
      <c r="Y3430" s="4"/>
    </row>
    <row r="3431" spans="20:25" x14ac:dyDescent="0.25">
      <c r="T3431" s="10"/>
      <c r="U3431" s="4"/>
      <c r="V3431" s="4"/>
      <c r="X3431" s="4"/>
      <c r="Y3431" s="4"/>
    </row>
    <row r="3432" spans="20:25" x14ac:dyDescent="0.25">
      <c r="T3432" s="10"/>
      <c r="U3432" s="4"/>
      <c r="V3432" s="4"/>
      <c r="X3432" s="4"/>
      <c r="Y3432" s="4"/>
    </row>
    <row r="3433" spans="20:25" x14ac:dyDescent="0.25">
      <c r="T3433" s="10"/>
      <c r="U3433" s="4"/>
      <c r="V3433" s="4"/>
      <c r="X3433" s="4"/>
      <c r="Y3433" s="4"/>
    </row>
    <row r="3434" spans="20:25" x14ac:dyDescent="0.25">
      <c r="T3434" s="10"/>
      <c r="U3434" s="4"/>
      <c r="V3434" s="4"/>
      <c r="X3434" s="4"/>
      <c r="Y3434" s="4"/>
    </row>
    <row r="3435" spans="20:25" x14ac:dyDescent="0.25">
      <c r="T3435" s="10"/>
      <c r="U3435" s="4"/>
      <c r="V3435" s="4"/>
      <c r="X3435" s="4"/>
      <c r="Y3435" s="4"/>
    </row>
    <row r="3436" spans="20:25" x14ac:dyDescent="0.25">
      <c r="T3436" s="10"/>
      <c r="U3436" s="4"/>
      <c r="V3436" s="4"/>
      <c r="X3436" s="4"/>
      <c r="Y3436" s="4"/>
    </row>
    <row r="3437" spans="20:25" x14ac:dyDescent="0.25">
      <c r="T3437" s="10"/>
      <c r="U3437" s="4"/>
      <c r="V3437" s="4"/>
      <c r="X3437" s="4"/>
      <c r="Y3437" s="4"/>
    </row>
    <row r="3438" spans="20:25" x14ac:dyDescent="0.25">
      <c r="T3438" s="10"/>
      <c r="U3438" s="4"/>
      <c r="V3438" s="4"/>
      <c r="X3438" s="4"/>
      <c r="Y3438" s="4"/>
    </row>
    <row r="3439" spans="20:25" x14ac:dyDescent="0.25">
      <c r="T3439" s="10"/>
      <c r="U3439" s="4"/>
      <c r="V3439" s="4"/>
      <c r="X3439" s="4"/>
      <c r="Y3439" s="4"/>
    </row>
    <row r="3440" spans="20:25" x14ac:dyDescent="0.25">
      <c r="T3440" s="10"/>
      <c r="U3440" s="4"/>
      <c r="V3440" s="4"/>
      <c r="X3440" s="4"/>
      <c r="Y3440" s="4"/>
    </row>
    <row r="3441" spans="20:25" x14ac:dyDescent="0.25">
      <c r="T3441" s="10"/>
      <c r="U3441" s="4"/>
      <c r="V3441" s="4"/>
      <c r="X3441" s="4"/>
      <c r="Y3441" s="4"/>
    </row>
    <row r="3442" spans="20:25" x14ac:dyDescent="0.25">
      <c r="T3442" s="10"/>
      <c r="U3442" s="4"/>
      <c r="V3442" s="4"/>
      <c r="X3442" s="4"/>
      <c r="Y3442" s="4"/>
    </row>
    <row r="3443" spans="20:25" x14ac:dyDescent="0.25">
      <c r="T3443" s="10"/>
      <c r="U3443" s="4"/>
      <c r="V3443" s="4"/>
      <c r="X3443" s="4"/>
      <c r="Y3443" s="4"/>
    </row>
    <row r="3444" spans="20:25" x14ac:dyDescent="0.25">
      <c r="T3444" s="10"/>
      <c r="U3444" s="4"/>
      <c r="V3444" s="4"/>
      <c r="X3444" s="4"/>
      <c r="Y3444" s="4"/>
    </row>
    <row r="3445" spans="20:25" x14ac:dyDescent="0.25">
      <c r="T3445" s="10"/>
      <c r="U3445" s="4"/>
      <c r="V3445" s="4"/>
      <c r="X3445" s="4"/>
      <c r="Y3445" s="4"/>
    </row>
    <row r="3446" spans="20:25" x14ac:dyDescent="0.25">
      <c r="T3446" s="10"/>
      <c r="U3446" s="4"/>
      <c r="V3446" s="4"/>
      <c r="X3446" s="4"/>
      <c r="Y3446" s="4"/>
    </row>
    <row r="3447" spans="20:25" x14ac:dyDescent="0.25">
      <c r="T3447" s="10"/>
      <c r="U3447" s="4"/>
      <c r="V3447" s="4"/>
      <c r="X3447" s="4"/>
      <c r="Y3447" s="4"/>
    </row>
    <row r="3448" spans="20:25" x14ac:dyDescent="0.25">
      <c r="T3448" s="10"/>
      <c r="U3448" s="4"/>
      <c r="V3448" s="4"/>
      <c r="X3448" s="4"/>
      <c r="Y3448" s="4"/>
    </row>
    <row r="3449" spans="20:25" x14ac:dyDescent="0.25">
      <c r="T3449" s="10"/>
      <c r="U3449" s="4"/>
      <c r="V3449" s="4"/>
      <c r="X3449" s="4"/>
      <c r="Y3449" s="4"/>
    </row>
    <row r="3450" spans="20:25" x14ac:dyDescent="0.25">
      <c r="T3450" s="10"/>
      <c r="U3450" s="4"/>
      <c r="V3450" s="4"/>
      <c r="X3450" s="4"/>
      <c r="Y3450" s="4"/>
    </row>
    <row r="3451" spans="20:25" x14ac:dyDescent="0.25">
      <c r="T3451" s="10"/>
      <c r="U3451" s="4"/>
      <c r="V3451" s="4"/>
      <c r="X3451" s="4"/>
      <c r="Y3451" s="4"/>
    </row>
    <row r="3452" spans="20:25" x14ac:dyDescent="0.25">
      <c r="T3452" s="10"/>
      <c r="U3452" s="4"/>
      <c r="V3452" s="4"/>
      <c r="X3452" s="4"/>
      <c r="Y3452" s="4"/>
    </row>
    <row r="3453" spans="20:25" x14ac:dyDescent="0.25">
      <c r="T3453" s="10"/>
      <c r="U3453" s="4"/>
      <c r="V3453" s="4"/>
      <c r="X3453" s="4"/>
      <c r="Y3453" s="4"/>
    </row>
    <row r="3454" spans="20:25" x14ac:dyDescent="0.25">
      <c r="T3454" s="10"/>
      <c r="U3454" s="4"/>
      <c r="V3454" s="4"/>
      <c r="X3454" s="4"/>
      <c r="Y3454" s="4"/>
    </row>
    <row r="3455" spans="20:25" x14ac:dyDescent="0.25">
      <c r="T3455" s="10"/>
      <c r="U3455" s="4"/>
      <c r="V3455" s="4"/>
      <c r="X3455" s="4"/>
      <c r="Y3455" s="4"/>
    </row>
    <row r="3456" spans="20:25" x14ac:dyDescent="0.25">
      <c r="T3456" s="10"/>
      <c r="U3456" s="4"/>
      <c r="V3456" s="4"/>
      <c r="X3456" s="4"/>
      <c r="Y3456" s="4"/>
    </row>
    <row r="3457" spans="20:25" x14ac:dyDescent="0.25">
      <c r="T3457" s="10"/>
      <c r="U3457" s="4"/>
      <c r="V3457" s="4"/>
      <c r="X3457" s="4"/>
      <c r="Y3457" s="4"/>
    </row>
    <row r="3458" spans="20:25" x14ac:dyDescent="0.25">
      <c r="T3458" s="10"/>
      <c r="U3458" s="4"/>
      <c r="V3458" s="4"/>
      <c r="X3458" s="4"/>
      <c r="Y3458" s="4"/>
    </row>
    <row r="3459" spans="20:25" x14ac:dyDescent="0.25">
      <c r="T3459" s="10"/>
      <c r="U3459" s="4"/>
      <c r="V3459" s="4"/>
      <c r="X3459" s="4"/>
      <c r="Y3459" s="4"/>
    </row>
    <row r="3460" spans="20:25" x14ac:dyDescent="0.25">
      <c r="T3460" s="10"/>
      <c r="U3460" s="4"/>
      <c r="V3460" s="4"/>
      <c r="X3460" s="4"/>
      <c r="Y3460" s="4"/>
    </row>
    <row r="3461" spans="20:25" x14ac:dyDescent="0.25">
      <c r="T3461" s="10"/>
      <c r="U3461" s="4"/>
      <c r="V3461" s="4"/>
      <c r="X3461" s="4"/>
      <c r="Y3461" s="4"/>
    </row>
    <row r="3462" spans="20:25" x14ac:dyDescent="0.25">
      <c r="T3462" s="10"/>
      <c r="U3462" s="4"/>
      <c r="V3462" s="4"/>
      <c r="X3462" s="4"/>
      <c r="Y3462" s="4"/>
    </row>
    <row r="3463" spans="20:25" x14ac:dyDescent="0.25">
      <c r="T3463" s="10"/>
      <c r="U3463" s="4"/>
      <c r="V3463" s="4"/>
      <c r="X3463" s="4"/>
      <c r="Y3463" s="4"/>
    </row>
    <row r="3464" spans="20:25" x14ac:dyDescent="0.25">
      <c r="T3464" s="10"/>
      <c r="U3464" s="4"/>
      <c r="V3464" s="4"/>
      <c r="X3464" s="4"/>
      <c r="Y3464" s="4"/>
    </row>
    <row r="3465" spans="20:25" x14ac:dyDescent="0.25">
      <c r="T3465" s="10"/>
      <c r="U3465" s="4"/>
      <c r="V3465" s="4"/>
      <c r="X3465" s="4"/>
      <c r="Y3465" s="4"/>
    </row>
    <row r="3466" spans="20:25" x14ac:dyDescent="0.25">
      <c r="T3466" s="10"/>
      <c r="U3466" s="4"/>
      <c r="V3466" s="4"/>
      <c r="X3466" s="4"/>
      <c r="Y3466" s="4"/>
    </row>
    <row r="3467" spans="20:25" x14ac:dyDescent="0.25">
      <c r="T3467" s="10"/>
      <c r="U3467" s="4"/>
      <c r="V3467" s="4"/>
      <c r="X3467" s="4"/>
      <c r="Y3467" s="4"/>
    </row>
    <row r="3468" spans="20:25" x14ac:dyDescent="0.25">
      <c r="T3468" s="10"/>
      <c r="U3468" s="4"/>
      <c r="V3468" s="4"/>
      <c r="X3468" s="4"/>
      <c r="Y3468" s="4"/>
    </row>
    <row r="3469" spans="20:25" x14ac:dyDescent="0.25">
      <c r="T3469" s="10"/>
      <c r="U3469" s="4"/>
      <c r="V3469" s="4"/>
      <c r="X3469" s="4"/>
      <c r="Y3469" s="4"/>
    </row>
    <row r="3470" spans="20:25" x14ac:dyDescent="0.25">
      <c r="T3470" s="10"/>
      <c r="U3470" s="4"/>
      <c r="V3470" s="4"/>
      <c r="X3470" s="4"/>
      <c r="Y3470" s="4"/>
    </row>
    <row r="3471" spans="20:25" x14ac:dyDescent="0.25">
      <c r="T3471" s="10"/>
      <c r="U3471" s="4"/>
      <c r="V3471" s="4"/>
      <c r="X3471" s="4"/>
      <c r="Y3471" s="4"/>
    </row>
    <row r="3472" spans="20:25" x14ac:dyDescent="0.25">
      <c r="T3472" s="10"/>
      <c r="U3472" s="4"/>
      <c r="V3472" s="4"/>
      <c r="X3472" s="4"/>
      <c r="Y3472" s="4"/>
    </row>
    <row r="3473" spans="20:25" x14ac:dyDescent="0.25">
      <c r="T3473" s="10"/>
      <c r="U3473" s="4"/>
      <c r="V3473" s="4"/>
      <c r="X3473" s="4"/>
      <c r="Y3473" s="4"/>
    </row>
    <row r="3474" spans="20:25" x14ac:dyDescent="0.25">
      <c r="T3474" s="10"/>
      <c r="U3474" s="4"/>
      <c r="V3474" s="4"/>
      <c r="X3474" s="4"/>
      <c r="Y3474" s="4"/>
    </row>
    <row r="3475" spans="20:25" x14ac:dyDescent="0.25">
      <c r="T3475" s="10"/>
      <c r="U3475" s="4"/>
      <c r="V3475" s="4"/>
      <c r="X3475" s="4"/>
      <c r="Y3475" s="4"/>
    </row>
    <row r="3476" spans="20:25" x14ac:dyDescent="0.25">
      <c r="T3476" s="10"/>
      <c r="U3476" s="4"/>
      <c r="V3476" s="4"/>
      <c r="X3476" s="4"/>
      <c r="Y3476" s="4"/>
    </row>
    <row r="3477" spans="20:25" x14ac:dyDescent="0.25">
      <c r="T3477" s="10"/>
      <c r="U3477" s="4"/>
      <c r="V3477" s="4"/>
      <c r="X3477" s="4"/>
      <c r="Y3477" s="4"/>
    </row>
    <row r="3478" spans="20:25" x14ac:dyDescent="0.25">
      <c r="T3478" s="10"/>
      <c r="U3478" s="4"/>
      <c r="V3478" s="4"/>
      <c r="X3478" s="4"/>
      <c r="Y3478" s="4"/>
    </row>
    <row r="3479" spans="20:25" x14ac:dyDescent="0.25">
      <c r="T3479" s="10"/>
      <c r="U3479" s="4"/>
      <c r="V3479" s="4"/>
      <c r="X3479" s="4"/>
      <c r="Y3479" s="4"/>
    </row>
    <row r="3480" spans="20:25" x14ac:dyDescent="0.25">
      <c r="T3480" s="10"/>
      <c r="U3480" s="4"/>
      <c r="V3480" s="4"/>
      <c r="X3480" s="4"/>
      <c r="Y3480" s="4"/>
    </row>
    <row r="3481" spans="20:25" x14ac:dyDescent="0.25">
      <c r="T3481" s="10"/>
      <c r="U3481" s="4"/>
      <c r="V3481" s="4"/>
      <c r="X3481" s="4"/>
      <c r="Y3481" s="4"/>
    </row>
    <row r="3482" spans="20:25" x14ac:dyDescent="0.25">
      <c r="T3482" s="10"/>
      <c r="U3482" s="4"/>
      <c r="V3482" s="4"/>
      <c r="X3482" s="4"/>
      <c r="Y3482" s="4"/>
    </row>
    <row r="3483" spans="20:25" x14ac:dyDescent="0.25">
      <c r="T3483" s="10"/>
      <c r="U3483" s="4"/>
      <c r="V3483" s="4"/>
      <c r="X3483" s="4"/>
      <c r="Y3483" s="4"/>
    </row>
    <row r="3484" spans="20:25" x14ac:dyDescent="0.25">
      <c r="T3484" s="10"/>
      <c r="U3484" s="4"/>
      <c r="V3484" s="4"/>
      <c r="X3484" s="4"/>
      <c r="Y3484" s="4"/>
    </row>
    <row r="3485" spans="20:25" x14ac:dyDescent="0.25">
      <c r="T3485" s="10"/>
      <c r="U3485" s="4"/>
      <c r="V3485" s="4"/>
      <c r="X3485" s="4"/>
      <c r="Y3485" s="4"/>
    </row>
    <row r="3486" spans="20:25" x14ac:dyDescent="0.25">
      <c r="T3486" s="10"/>
      <c r="U3486" s="4"/>
      <c r="V3486" s="4"/>
      <c r="X3486" s="4"/>
      <c r="Y3486" s="4"/>
    </row>
    <row r="3487" spans="20:25" x14ac:dyDescent="0.25">
      <c r="T3487" s="10"/>
      <c r="U3487" s="4"/>
      <c r="V3487" s="4"/>
      <c r="X3487" s="4"/>
      <c r="Y3487" s="4"/>
    </row>
    <row r="3488" spans="20:25" x14ac:dyDescent="0.25">
      <c r="T3488" s="10"/>
      <c r="U3488" s="4"/>
      <c r="V3488" s="4"/>
      <c r="X3488" s="4"/>
      <c r="Y3488" s="4"/>
    </row>
    <row r="3489" spans="20:25" x14ac:dyDescent="0.25">
      <c r="T3489" s="10"/>
      <c r="U3489" s="4"/>
      <c r="V3489" s="4"/>
      <c r="X3489" s="4"/>
      <c r="Y3489" s="4"/>
    </row>
    <row r="3490" spans="20:25" x14ac:dyDescent="0.25">
      <c r="T3490" s="10"/>
      <c r="U3490" s="4"/>
      <c r="V3490" s="4"/>
      <c r="X3490" s="4"/>
      <c r="Y3490" s="4"/>
    </row>
    <row r="3491" spans="20:25" x14ac:dyDescent="0.25">
      <c r="T3491" s="10"/>
      <c r="U3491" s="4"/>
      <c r="V3491" s="4"/>
      <c r="X3491" s="4"/>
      <c r="Y3491" s="4"/>
    </row>
    <row r="3492" spans="20:25" x14ac:dyDescent="0.25">
      <c r="T3492" s="10"/>
      <c r="U3492" s="4"/>
      <c r="V3492" s="4"/>
      <c r="X3492" s="4"/>
      <c r="Y3492" s="4"/>
    </row>
    <row r="3493" spans="20:25" x14ac:dyDescent="0.25">
      <c r="T3493" s="10"/>
      <c r="U3493" s="4"/>
      <c r="V3493" s="4"/>
      <c r="X3493" s="4"/>
      <c r="Y3493" s="4"/>
    </row>
    <row r="3494" spans="20:25" x14ac:dyDescent="0.25">
      <c r="T3494" s="10"/>
      <c r="U3494" s="4"/>
      <c r="V3494" s="4"/>
      <c r="X3494" s="4"/>
      <c r="Y3494" s="4"/>
    </row>
    <row r="3495" spans="20:25" x14ac:dyDescent="0.25">
      <c r="T3495" s="10"/>
      <c r="U3495" s="4"/>
      <c r="V3495" s="4"/>
      <c r="X3495" s="4"/>
      <c r="Y3495" s="4"/>
    </row>
    <row r="3496" spans="20:25" x14ac:dyDescent="0.25">
      <c r="T3496" s="10"/>
      <c r="U3496" s="4"/>
      <c r="V3496" s="4"/>
      <c r="X3496" s="4"/>
      <c r="Y3496" s="4"/>
    </row>
    <row r="3497" spans="20:25" x14ac:dyDescent="0.25">
      <c r="T3497" s="10"/>
      <c r="U3497" s="4"/>
      <c r="V3497" s="4"/>
      <c r="X3497" s="4"/>
      <c r="Y3497" s="4"/>
    </row>
    <row r="3498" spans="20:25" x14ac:dyDescent="0.25">
      <c r="T3498" s="10"/>
      <c r="U3498" s="4"/>
      <c r="V3498" s="4"/>
      <c r="X3498" s="4"/>
      <c r="Y3498" s="4"/>
    </row>
    <row r="3499" spans="20:25" x14ac:dyDescent="0.25">
      <c r="T3499" s="10"/>
      <c r="U3499" s="4"/>
      <c r="V3499" s="4"/>
      <c r="X3499" s="4"/>
      <c r="Y3499" s="4"/>
    </row>
    <row r="3500" spans="20:25" x14ac:dyDescent="0.25">
      <c r="T3500" s="10"/>
      <c r="U3500" s="4"/>
      <c r="V3500" s="4"/>
      <c r="X3500" s="4"/>
      <c r="Y3500" s="4"/>
    </row>
    <row r="3501" spans="20:25" x14ac:dyDescent="0.25">
      <c r="T3501" s="10"/>
      <c r="U3501" s="4"/>
      <c r="V3501" s="4"/>
      <c r="X3501" s="4"/>
      <c r="Y3501" s="4"/>
    </row>
    <row r="3502" spans="20:25" x14ac:dyDescent="0.25">
      <c r="T3502" s="10"/>
      <c r="U3502" s="4"/>
      <c r="V3502" s="4"/>
      <c r="X3502" s="4"/>
      <c r="Y3502" s="4"/>
    </row>
    <row r="3503" spans="20:25" x14ac:dyDescent="0.25">
      <c r="T3503" s="10"/>
      <c r="U3503" s="4"/>
      <c r="V3503" s="4"/>
      <c r="X3503" s="4"/>
      <c r="Y3503" s="4"/>
    </row>
    <row r="3504" spans="20:25" x14ac:dyDescent="0.25">
      <c r="T3504" s="10"/>
      <c r="U3504" s="4"/>
      <c r="V3504" s="4"/>
      <c r="X3504" s="4"/>
      <c r="Y3504" s="4"/>
    </row>
    <row r="3505" spans="20:25" x14ac:dyDescent="0.25">
      <c r="T3505" s="10"/>
      <c r="U3505" s="4"/>
      <c r="V3505" s="4"/>
      <c r="X3505" s="4"/>
      <c r="Y3505" s="4"/>
    </row>
    <row r="3506" spans="20:25" x14ac:dyDescent="0.25">
      <c r="T3506" s="10"/>
      <c r="U3506" s="4"/>
      <c r="V3506" s="4"/>
      <c r="X3506" s="4"/>
      <c r="Y3506" s="4"/>
    </row>
    <row r="3507" spans="20:25" x14ac:dyDescent="0.25">
      <c r="T3507" s="10"/>
      <c r="U3507" s="4"/>
      <c r="V3507" s="4"/>
      <c r="X3507" s="4"/>
      <c r="Y3507" s="4"/>
    </row>
    <row r="3508" spans="20:25" x14ac:dyDescent="0.25">
      <c r="T3508" s="10"/>
      <c r="U3508" s="4"/>
      <c r="V3508" s="4"/>
      <c r="X3508" s="4"/>
      <c r="Y3508" s="4"/>
    </row>
    <row r="3509" spans="20:25" x14ac:dyDescent="0.25">
      <c r="T3509" s="10"/>
      <c r="U3509" s="4"/>
      <c r="V3509" s="4"/>
      <c r="X3509" s="4"/>
      <c r="Y3509" s="4"/>
    </row>
    <row r="3510" spans="20:25" x14ac:dyDescent="0.25">
      <c r="T3510" s="10"/>
      <c r="U3510" s="4"/>
      <c r="V3510" s="4"/>
      <c r="X3510" s="4"/>
      <c r="Y3510" s="4"/>
    </row>
    <row r="3511" spans="20:25" x14ac:dyDescent="0.25">
      <c r="T3511" s="10"/>
      <c r="U3511" s="4"/>
      <c r="V3511" s="4"/>
      <c r="X3511" s="4"/>
      <c r="Y3511" s="4"/>
    </row>
    <row r="3512" spans="20:25" x14ac:dyDescent="0.25">
      <c r="T3512" s="10"/>
      <c r="U3512" s="4"/>
      <c r="V3512" s="4"/>
      <c r="X3512" s="4"/>
      <c r="Y3512" s="4"/>
    </row>
    <row r="3513" spans="20:25" x14ac:dyDescent="0.25">
      <c r="T3513" s="10"/>
      <c r="U3513" s="4"/>
      <c r="V3513" s="4"/>
      <c r="X3513" s="4"/>
      <c r="Y3513" s="4"/>
    </row>
    <row r="3514" spans="20:25" x14ac:dyDescent="0.25">
      <c r="T3514" s="10"/>
      <c r="U3514" s="4"/>
      <c r="V3514" s="4"/>
      <c r="X3514" s="4"/>
      <c r="Y3514" s="4"/>
    </row>
    <row r="3515" spans="20:25" x14ac:dyDescent="0.25">
      <c r="T3515" s="10"/>
      <c r="U3515" s="4"/>
      <c r="V3515" s="4"/>
      <c r="X3515" s="4"/>
      <c r="Y3515" s="4"/>
    </row>
    <row r="3516" spans="20:25" x14ac:dyDescent="0.25">
      <c r="T3516" s="10"/>
      <c r="U3516" s="4"/>
      <c r="V3516" s="4"/>
      <c r="X3516" s="4"/>
      <c r="Y3516" s="4"/>
    </row>
    <row r="3517" spans="20:25" x14ac:dyDescent="0.25">
      <c r="T3517" s="10"/>
      <c r="U3517" s="4"/>
      <c r="V3517" s="4"/>
      <c r="X3517" s="4"/>
      <c r="Y3517" s="4"/>
    </row>
    <row r="3518" spans="20:25" x14ac:dyDescent="0.25">
      <c r="T3518" s="10"/>
      <c r="U3518" s="4"/>
      <c r="V3518" s="4"/>
      <c r="X3518" s="4"/>
      <c r="Y3518" s="4"/>
    </row>
    <row r="3519" spans="20:25" x14ac:dyDescent="0.25">
      <c r="T3519" s="10"/>
      <c r="U3519" s="4"/>
      <c r="V3519" s="4"/>
      <c r="X3519" s="4"/>
      <c r="Y3519" s="4"/>
    </row>
    <row r="3520" spans="20:25" x14ac:dyDescent="0.25">
      <c r="T3520" s="10"/>
      <c r="U3520" s="4"/>
      <c r="V3520" s="4"/>
      <c r="X3520" s="4"/>
      <c r="Y3520" s="4"/>
    </row>
    <row r="3521" spans="20:25" x14ac:dyDescent="0.25">
      <c r="T3521" s="10"/>
      <c r="U3521" s="4"/>
      <c r="V3521" s="4"/>
      <c r="X3521" s="4"/>
      <c r="Y3521" s="4"/>
    </row>
    <row r="3522" spans="20:25" x14ac:dyDescent="0.25">
      <c r="T3522" s="10"/>
      <c r="U3522" s="4"/>
      <c r="V3522" s="4"/>
      <c r="X3522" s="4"/>
      <c r="Y3522" s="4"/>
    </row>
    <row r="3523" spans="20:25" x14ac:dyDescent="0.25">
      <c r="T3523" s="10"/>
      <c r="U3523" s="4"/>
      <c r="V3523" s="4"/>
      <c r="X3523" s="4"/>
      <c r="Y3523" s="4"/>
    </row>
    <row r="3524" spans="20:25" x14ac:dyDescent="0.25">
      <c r="T3524" s="10"/>
      <c r="U3524" s="4"/>
      <c r="V3524" s="4"/>
      <c r="X3524" s="4"/>
      <c r="Y3524" s="4"/>
    </row>
    <row r="3525" spans="20:25" x14ac:dyDescent="0.25">
      <c r="T3525" s="10"/>
      <c r="U3525" s="4"/>
      <c r="V3525" s="4"/>
      <c r="X3525" s="4"/>
      <c r="Y3525" s="4"/>
    </row>
    <row r="3526" spans="20:25" x14ac:dyDescent="0.25">
      <c r="T3526" s="10"/>
      <c r="U3526" s="4"/>
      <c r="V3526" s="4"/>
      <c r="X3526" s="4"/>
      <c r="Y3526" s="4"/>
    </row>
    <row r="3527" spans="20:25" x14ac:dyDescent="0.25">
      <c r="T3527" s="10"/>
      <c r="U3527" s="4"/>
      <c r="V3527" s="4"/>
      <c r="X3527" s="4"/>
      <c r="Y3527" s="4"/>
    </row>
    <row r="3528" spans="20:25" x14ac:dyDescent="0.25">
      <c r="T3528" s="10"/>
      <c r="U3528" s="4"/>
      <c r="V3528" s="4"/>
      <c r="X3528" s="4"/>
      <c r="Y3528" s="4"/>
    </row>
    <row r="3529" spans="20:25" x14ac:dyDescent="0.25">
      <c r="T3529" s="10"/>
      <c r="U3529" s="4"/>
      <c r="V3529" s="4"/>
      <c r="X3529" s="4"/>
      <c r="Y3529" s="4"/>
    </row>
    <row r="3530" spans="20:25" x14ac:dyDescent="0.25">
      <c r="T3530" s="10"/>
      <c r="U3530" s="4"/>
      <c r="V3530" s="4"/>
      <c r="X3530" s="4"/>
      <c r="Y3530" s="4"/>
    </row>
    <row r="3531" spans="20:25" x14ac:dyDescent="0.25">
      <c r="T3531" s="10"/>
      <c r="U3531" s="4"/>
      <c r="V3531" s="4"/>
      <c r="X3531" s="4"/>
      <c r="Y3531" s="4"/>
    </row>
    <row r="3532" spans="20:25" x14ac:dyDescent="0.25">
      <c r="T3532" s="10"/>
      <c r="U3532" s="4"/>
      <c r="V3532" s="4"/>
      <c r="X3532" s="4"/>
      <c r="Y3532" s="4"/>
    </row>
    <row r="3533" spans="20:25" x14ac:dyDescent="0.25">
      <c r="T3533" s="10"/>
      <c r="U3533" s="4"/>
      <c r="V3533" s="4"/>
      <c r="X3533" s="4"/>
      <c r="Y3533" s="4"/>
    </row>
    <row r="3534" spans="20:25" x14ac:dyDescent="0.25">
      <c r="T3534" s="10"/>
      <c r="U3534" s="4"/>
      <c r="V3534" s="4"/>
      <c r="X3534" s="4"/>
      <c r="Y3534" s="4"/>
    </row>
    <row r="3535" spans="20:25" x14ac:dyDescent="0.25">
      <c r="T3535" s="10"/>
      <c r="U3535" s="4"/>
      <c r="V3535" s="4"/>
      <c r="X3535" s="4"/>
      <c r="Y3535" s="4"/>
    </row>
    <row r="3536" spans="20:25" x14ac:dyDescent="0.25">
      <c r="T3536" s="10"/>
      <c r="U3536" s="4"/>
      <c r="V3536" s="4"/>
      <c r="X3536" s="4"/>
      <c r="Y3536" s="4"/>
    </row>
    <row r="3537" spans="20:25" x14ac:dyDescent="0.25">
      <c r="T3537" s="10"/>
      <c r="U3537" s="4"/>
      <c r="V3537" s="4"/>
      <c r="X3537" s="4"/>
      <c r="Y3537" s="4"/>
    </row>
    <row r="3538" spans="20:25" x14ac:dyDescent="0.25">
      <c r="T3538" s="10"/>
      <c r="U3538" s="4"/>
      <c r="V3538" s="4"/>
      <c r="X3538" s="4"/>
      <c r="Y3538" s="4"/>
    </row>
    <row r="3539" spans="20:25" x14ac:dyDescent="0.25">
      <c r="T3539" s="10"/>
      <c r="U3539" s="4"/>
      <c r="V3539" s="4"/>
      <c r="X3539" s="4"/>
      <c r="Y3539" s="4"/>
    </row>
    <row r="3540" spans="20:25" x14ac:dyDescent="0.25">
      <c r="T3540" s="10"/>
      <c r="U3540" s="4"/>
      <c r="V3540" s="4"/>
      <c r="X3540" s="4"/>
      <c r="Y3540" s="4"/>
    </row>
    <row r="3541" spans="20:25" x14ac:dyDescent="0.25">
      <c r="T3541" s="10"/>
      <c r="U3541" s="4"/>
      <c r="V3541" s="4"/>
      <c r="X3541" s="4"/>
      <c r="Y3541" s="4"/>
    </row>
    <row r="3542" spans="20:25" x14ac:dyDescent="0.25">
      <c r="T3542" s="10"/>
      <c r="U3542" s="4"/>
      <c r="V3542" s="4"/>
      <c r="X3542" s="4"/>
      <c r="Y3542" s="4"/>
    </row>
    <row r="3543" spans="20:25" x14ac:dyDescent="0.25">
      <c r="T3543" s="10"/>
      <c r="U3543" s="4"/>
      <c r="V3543" s="4"/>
      <c r="X3543" s="4"/>
      <c r="Y3543" s="4"/>
    </row>
    <row r="3544" spans="20:25" x14ac:dyDescent="0.25">
      <c r="T3544" s="10"/>
      <c r="U3544" s="4"/>
      <c r="V3544" s="4"/>
      <c r="X3544" s="4"/>
      <c r="Y3544" s="4"/>
    </row>
    <row r="3545" spans="20:25" x14ac:dyDescent="0.25">
      <c r="T3545" s="10"/>
      <c r="U3545" s="4"/>
      <c r="V3545" s="4"/>
      <c r="X3545" s="4"/>
      <c r="Y3545" s="4"/>
    </row>
    <row r="3546" spans="20:25" x14ac:dyDescent="0.25">
      <c r="T3546" s="10"/>
      <c r="U3546" s="4"/>
      <c r="V3546" s="4"/>
      <c r="X3546" s="4"/>
      <c r="Y3546" s="4"/>
    </row>
    <row r="3547" spans="20:25" x14ac:dyDescent="0.25">
      <c r="T3547" s="10"/>
      <c r="U3547" s="4"/>
      <c r="V3547" s="4"/>
      <c r="X3547" s="4"/>
      <c r="Y3547" s="4"/>
    </row>
    <row r="3548" spans="20:25" x14ac:dyDescent="0.25">
      <c r="T3548" s="10"/>
      <c r="U3548" s="4"/>
      <c r="V3548" s="4"/>
      <c r="X3548" s="4"/>
      <c r="Y3548" s="4"/>
    </row>
    <row r="3549" spans="20:25" x14ac:dyDescent="0.25">
      <c r="T3549" s="10"/>
      <c r="U3549" s="4"/>
      <c r="V3549" s="4"/>
      <c r="X3549" s="4"/>
      <c r="Y3549" s="4"/>
    </row>
    <row r="3550" spans="20:25" x14ac:dyDescent="0.25">
      <c r="T3550" s="10"/>
      <c r="U3550" s="4"/>
      <c r="V3550" s="4"/>
      <c r="X3550" s="4"/>
      <c r="Y3550" s="4"/>
    </row>
    <row r="3551" spans="20:25" x14ac:dyDescent="0.25">
      <c r="T3551" s="10"/>
      <c r="U3551" s="4"/>
      <c r="V3551" s="4"/>
      <c r="X3551" s="4"/>
      <c r="Y3551" s="4"/>
    </row>
    <row r="3552" spans="20:25" x14ac:dyDescent="0.25">
      <c r="T3552" s="10"/>
      <c r="U3552" s="4"/>
      <c r="V3552" s="4"/>
      <c r="X3552" s="4"/>
      <c r="Y3552" s="4"/>
    </row>
    <row r="3553" spans="20:25" x14ac:dyDescent="0.25">
      <c r="T3553" s="10"/>
      <c r="U3553" s="4"/>
      <c r="V3553" s="4"/>
      <c r="X3553" s="4"/>
      <c r="Y3553" s="4"/>
    </row>
    <row r="3554" spans="20:25" x14ac:dyDescent="0.25">
      <c r="T3554" s="10"/>
      <c r="U3554" s="4"/>
      <c r="V3554" s="4"/>
      <c r="X3554" s="4"/>
      <c r="Y3554" s="4"/>
    </row>
    <row r="3555" spans="20:25" x14ac:dyDescent="0.25">
      <c r="T3555" s="10"/>
      <c r="U3555" s="4"/>
      <c r="V3555" s="4"/>
      <c r="X3555" s="4"/>
      <c r="Y3555" s="4"/>
    </row>
    <row r="3556" spans="20:25" x14ac:dyDescent="0.25">
      <c r="T3556" s="10"/>
      <c r="U3556" s="4"/>
      <c r="V3556" s="4"/>
      <c r="X3556" s="4"/>
      <c r="Y3556" s="4"/>
    </row>
    <row r="3557" spans="20:25" x14ac:dyDescent="0.25">
      <c r="T3557" s="10"/>
      <c r="U3557" s="4"/>
      <c r="V3557" s="4"/>
      <c r="X3557" s="4"/>
      <c r="Y3557" s="4"/>
    </row>
    <row r="3558" spans="20:25" x14ac:dyDescent="0.25">
      <c r="T3558" s="10"/>
      <c r="U3558" s="4"/>
      <c r="V3558" s="4"/>
      <c r="X3558" s="4"/>
      <c r="Y3558" s="4"/>
    </row>
    <row r="3559" spans="20:25" x14ac:dyDescent="0.25">
      <c r="T3559" s="10"/>
      <c r="U3559" s="4"/>
      <c r="V3559" s="4"/>
      <c r="X3559" s="4"/>
      <c r="Y3559" s="4"/>
    </row>
    <row r="3560" spans="20:25" x14ac:dyDescent="0.25">
      <c r="T3560" s="10"/>
      <c r="U3560" s="4"/>
      <c r="V3560" s="4"/>
      <c r="X3560" s="4"/>
      <c r="Y3560" s="4"/>
    </row>
    <row r="3561" spans="20:25" x14ac:dyDescent="0.25">
      <c r="T3561" s="10"/>
      <c r="U3561" s="4"/>
      <c r="V3561" s="4"/>
      <c r="X3561" s="4"/>
      <c r="Y3561" s="4"/>
    </row>
    <row r="3562" spans="20:25" x14ac:dyDescent="0.25">
      <c r="T3562" s="10"/>
      <c r="U3562" s="4"/>
      <c r="V3562" s="4"/>
      <c r="X3562" s="4"/>
      <c r="Y3562" s="4"/>
    </row>
    <row r="3563" spans="20:25" x14ac:dyDescent="0.25">
      <c r="T3563" s="10"/>
      <c r="U3563" s="4"/>
      <c r="V3563" s="4"/>
      <c r="X3563" s="4"/>
      <c r="Y3563" s="4"/>
    </row>
    <row r="3564" spans="20:25" x14ac:dyDescent="0.25">
      <c r="T3564" s="10"/>
      <c r="U3564" s="4"/>
      <c r="V3564" s="4"/>
      <c r="X3564" s="4"/>
      <c r="Y3564" s="4"/>
    </row>
    <row r="3565" spans="20:25" x14ac:dyDescent="0.25">
      <c r="T3565" s="10"/>
      <c r="U3565" s="4"/>
      <c r="V3565" s="4"/>
      <c r="X3565" s="4"/>
      <c r="Y3565" s="4"/>
    </row>
    <row r="3566" spans="20:25" x14ac:dyDescent="0.25">
      <c r="T3566" s="10"/>
      <c r="U3566" s="4"/>
      <c r="V3566" s="4"/>
      <c r="X3566" s="4"/>
      <c r="Y3566" s="4"/>
    </row>
    <row r="3567" spans="20:25" x14ac:dyDescent="0.25">
      <c r="T3567" s="10"/>
      <c r="U3567" s="4"/>
      <c r="V3567" s="4"/>
      <c r="X3567" s="4"/>
      <c r="Y3567" s="4"/>
    </row>
    <row r="3568" spans="20:25" x14ac:dyDescent="0.25">
      <c r="T3568" s="10"/>
      <c r="U3568" s="4"/>
      <c r="V3568" s="4"/>
      <c r="X3568" s="4"/>
      <c r="Y3568" s="4"/>
    </row>
    <row r="3569" spans="20:25" x14ac:dyDescent="0.25">
      <c r="T3569" s="10"/>
      <c r="U3569" s="4"/>
      <c r="V3569" s="4"/>
      <c r="X3569" s="4"/>
      <c r="Y3569" s="4"/>
    </row>
    <row r="3570" spans="20:25" x14ac:dyDescent="0.25">
      <c r="T3570" s="10"/>
      <c r="U3570" s="4"/>
      <c r="V3570" s="4"/>
      <c r="X3570" s="4"/>
      <c r="Y3570" s="4"/>
    </row>
    <row r="3571" spans="20:25" x14ac:dyDescent="0.25">
      <c r="T3571" s="10"/>
      <c r="U3571" s="4"/>
      <c r="V3571" s="4"/>
      <c r="X3571" s="4"/>
      <c r="Y3571" s="4"/>
    </row>
    <row r="3572" spans="20:25" x14ac:dyDescent="0.25">
      <c r="T3572" s="10"/>
      <c r="U3572" s="4"/>
      <c r="V3572" s="4"/>
      <c r="X3572" s="4"/>
      <c r="Y3572" s="4"/>
    </row>
    <row r="3573" spans="20:25" x14ac:dyDescent="0.25">
      <c r="T3573" s="10"/>
      <c r="U3573" s="4"/>
      <c r="V3573" s="4"/>
      <c r="X3573" s="4"/>
      <c r="Y3573" s="4"/>
    </row>
    <row r="3574" spans="20:25" x14ac:dyDescent="0.25">
      <c r="T3574" s="10"/>
      <c r="U3574" s="4"/>
      <c r="V3574" s="4"/>
      <c r="X3574" s="4"/>
      <c r="Y3574" s="4"/>
    </row>
    <row r="3575" spans="20:25" x14ac:dyDescent="0.25">
      <c r="T3575" s="10"/>
      <c r="U3575" s="4"/>
      <c r="V3575" s="4"/>
      <c r="X3575" s="4"/>
      <c r="Y3575" s="4"/>
    </row>
    <row r="3576" spans="20:25" x14ac:dyDescent="0.25">
      <c r="T3576" s="10"/>
      <c r="U3576" s="4"/>
      <c r="V3576" s="4"/>
      <c r="X3576" s="4"/>
      <c r="Y3576" s="4"/>
    </row>
    <row r="3577" spans="20:25" x14ac:dyDescent="0.25">
      <c r="T3577" s="10"/>
      <c r="U3577" s="4"/>
      <c r="V3577" s="4"/>
      <c r="X3577" s="4"/>
      <c r="Y3577" s="4"/>
    </row>
    <row r="3578" spans="20:25" x14ac:dyDescent="0.25">
      <c r="T3578" s="10"/>
      <c r="U3578" s="4"/>
      <c r="V3578" s="4"/>
      <c r="X3578" s="4"/>
      <c r="Y3578" s="4"/>
    </row>
    <row r="3579" spans="20:25" x14ac:dyDescent="0.25">
      <c r="T3579" s="10"/>
      <c r="U3579" s="4"/>
      <c r="V3579" s="4"/>
      <c r="X3579" s="4"/>
      <c r="Y3579" s="4"/>
    </row>
    <row r="3580" spans="20:25" x14ac:dyDescent="0.25">
      <c r="T3580" s="10"/>
      <c r="U3580" s="4"/>
      <c r="V3580" s="4"/>
      <c r="X3580" s="4"/>
      <c r="Y3580" s="4"/>
    </row>
    <row r="3581" spans="20:25" x14ac:dyDescent="0.25">
      <c r="T3581" s="10"/>
      <c r="U3581" s="4"/>
      <c r="V3581" s="4"/>
      <c r="X3581" s="4"/>
      <c r="Y3581" s="4"/>
    </row>
    <row r="3582" spans="20:25" x14ac:dyDescent="0.25">
      <c r="T3582" s="10"/>
      <c r="U3582" s="4"/>
      <c r="V3582" s="4"/>
      <c r="X3582" s="4"/>
      <c r="Y3582" s="4"/>
    </row>
    <row r="3583" spans="20:25" x14ac:dyDescent="0.25">
      <c r="T3583" s="10"/>
      <c r="U3583" s="4"/>
      <c r="V3583" s="4"/>
      <c r="X3583" s="4"/>
      <c r="Y3583" s="4"/>
    </row>
    <row r="3584" spans="20:25" x14ac:dyDescent="0.25">
      <c r="T3584" s="10"/>
      <c r="U3584" s="4"/>
      <c r="V3584" s="4"/>
      <c r="X3584" s="4"/>
      <c r="Y3584" s="4"/>
    </row>
    <row r="3585" spans="20:25" x14ac:dyDescent="0.25">
      <c r="T3585" s="10"/>
      <c r="U3585" s="4"/>
      <c r="V3585" s="4"/>
      <c r="X3585" s="4"/>
      <c r="Y3585" s="4"/>
    </row>
    <row r="3586" spans="20:25" x14ac:dyDescent="0.25">
      <c r="T3586" s="10"/>
      <c r="U3586" s="4"/>
      <c r="V3586" s="4"/>
      <c r="X3586" s="4"/>
      <c r="Y3586" s="4"/>
    </row>
    <row r="3587" spans="20:25" x14ac:dyDescent="0.25">
      <c r="T3587" s="10"/>
      <c r="U3587" s="4"/>
      <c r="V3587" s="4"/>
      <c r="X3587" s="4"/>
      <c r="Y3587" s="4"/>
    </row>
    <row r="3588" spans="20:25" x14ac:dyDescent="0.25">
      <c r="T3588" s="10"/>
      <c r="U3588" s="4"/>
      <c r="V3588" s="4"/>
      <c r="X3588" s="4"/>
      <c r="Y3588" s="4"/>
    </row>
    <row r="3589" spans="20:25" x14ac:dyDescent="0.25">
      <c r="T3589" s="10"/>
      <c r="U3589" s="4"/>
      <c r="V3589" s="4"/>
      <c r="X3589" s="4"/>
      <c r="Y3589" s="4"/>
    </row>
    <row r="3590" spans="20:25" x14ac:dyDescent="0.25">
      <c r="T3590" s="10"/>
      <c r="U3590" s="4"/>
      <c r="V3590" s="4"/>
      <c r="X3590" s="4"/>
      <c r="Y3590" s="4"/>
    </row>
    <row r="3591" spans="20:25" x14ac:dyDescent="0.25">
      <c r="T3591" s="10"/>
      <c r="U3591" s="4"/>
      <c r="V3591" s="4"/>
      <c r="X3591" s="4"/>
      <c r="Y3591" s="4"/>
    </row>
    <row r="3592" spans="20:25" x14ac:dyDescent="0.25">
      <c r="T3592" s="10"/>
      <c r="U3592" s="4"/>
      <c r="V3592" s="4"/>
      <c r="X3592" s="4"/>
      <c r="Y3592" s="4"/>
    </row>
    <row r="3593" spans="20:25" x14ac:dyDescent="0.25">
      <c r="T3593" s="10"/>
      <c r="U3593" s="4"/>
      <c r="V3593" s="4"/>
      <c r="X3593" s="4"/>
      <c r="Y3593" s="4"/>
    </row>
    <row r="3594" spans="20:25" x14ac:dyDescent="0.25">
      <c r="T3594" s="10"/>
      <c r="U3594" s="4"/>
      <c r="V3594" s="4"/>
      <c r="X3594" s="4"/>
      <c r="Y3594" s="4"/>
    </row>
    <row r="3595" spans="20:25" x14ac:dyDescent="0.25">
      <c r="T3595" s="10"/>
      <c r="U3595" s="4"/>
      <c r="V3595" s="4"/>
      <c r="X3595" s="4"/>
      <c r="Y3595" s="4"/>
    </row>
    <row r="3596" spans="20:25" x14ac:dyDescent="0.25">
      <c r="T3596" s="10"/>
      <c r="U3596" s="4"/>
      <c r="V3596" s="4"/>
      <c r="X3596" s="4"/>
      <c r="Y3596" s="4"/>
    </row>
    <row r="3597" spans="20:25" x14ac:dyDescent="0.25">
      <c r="T3597" s="10"/>
      <c r="U3597" s="4"/>
      <c r="V3597" s="4"/>
      <c r="X3597" s="4"/>
      <c r="Y3597" s="4"/>
    </row>
    <row r="3598" spans="20:25" x14ac:dyDescent="0.25">
      <c r="T3598" s="10"/>
      <c r="U3598" s="4"/>
      <c r="V3598" s="4"/>
      <c r="X3598" s="4"/>
      <c r="Y3598" s="4"/>
    </row>
    <row r="3599" spans="20:25" x14ac:dyDescent="0.25">
      <c r="T3599" s="10"/>
      <c r="U3599" s="4"/>
      <c r="V3599" s="4"/>
      <c r="X3599" s="4"/>
      <c r="Y3599" s="4"/>
    </row>
    <row r="3600" spans="20:25" x14ac:dyDescent="0.25">
      <c r="T3600" s="10"/>
      <c r="U3600" s="4"/>
      <c r="V3600" s="4"/>
      <c r="X3600" s="4"/>
      <c r="Y3600" s="4"/>
    </row>
    <row r="3601" spans="20:25" x14ac:dyDescent="0.25">
      <c r="T3601" s="10"/>
      <c r="U3601" s="4"/>
      <c r="V3601" s="4"/>
      <c r="X3601" s="4"/>
      <c r="Y3601" s="4"/>
    </row>
    <row r="3602" spans="20:25" x14ac:dyDescent="0.25">
      <c r="T3602" s="10"/>
      <c r="U3602" s="4"/>
      <c r="V3602" s="4"/>
      <c r="X3602" s="4"/>
      <c r="Y3602" s="4"/>
    </row>
    <row r="3603" spans="20:25" x14ac:dyDescent="0.25">
      <c r="T3603" s="10"/>
      <c r="U3603" s="4"/>
      <c r="V3603" s="4"/>
      <c r="X3603" s="4"/>
      <c r="Y3603" s="4"/>
    </row>
    <row r="3604" spans="20:25" x14ac:dyDescent="0.25">
      <c r="T3604" s="10"/>
      <c r="U3604" s="4"/>
      <c r="V3604" s="4"/>
      <c r="X3604" s="4"/>
      <c r="Y3604" s="4"/>
    </row>
    <row r="3605" spans="20:25" x14ac:dyDescent="0.25">
      <c r="T3605" s="10"/>
      <c r="U3605" s="4"/>
      <c r="V3605" s="4"/>
      <c r="X3605" s="4"/>
      <c r="Y3605" s="4"/>
    </row>
    <row r="3606" spans="20:25" x14ac:dyDescent="0.25">
      <c r="T3606" s="10"/>
      <c r="U3606" s="4"/>
      <c r="V3606" s="4"/>
      <c r="X3606" s="4"/>
      <c r="Y3606" s="4"/>
    </row>
    <row r="3607" spans="20:25" x14ac:dyDescent="0.25">
      <c r="T3607" s="10"/>
      <c r="U3607" s="4"/>
      <c r="V3607" s="4"/>
      <c r="X3607" s="4"/>
      <c r="Y3607" s="4"/>
    </row>
    <row r="3608" spans="20:25" x14ac:dyDescent="0.25">
      <c r="T3608" s="10"/>
      <c r="U3608" s="4"/>
      <c r="V3608" s="4"/>
      <c r="X3608" s="4"/>
      <c r="Y3608" s="4"/>
    </row>
    <row r="3609" spans="20:25" x14ac:dyDescent="0.25">
      <c r="T3609" s="10"/>
      <c r="U3609" s="4"/>
      <c r="V3609" s="4"/>
      <c r="X3609" s="4"/>
      <c r="Y3609" s="4"/>
    </row>
    <row r="3610" spans="20:25" x14ac:dyDescent="0.25">
      <c r="T3610" s="10"/>
      <c r="U3610" s="4"/>
      <c r="V3610" s="4"/>
      <c r="X3610" s="4"/>
      <c r="Y3610" s="4"/>
    </row>
    <row r="3611" spans="20:25" x14ac:dyDescent="0.25">
      <c r="T3611" s="10"/>
      <c r="U3611" s="4"/>
      <c r="V3611" s="4"/>
      <c r="X3611" s="4"/>
      <c r="Y3611" s="4"/>
    </row>
    <row r="3612" spans="20:25" x14ac:dyDescent="0.25">
      <c r="T3612" s="10"/>
      <c r="U3612" s="4"/>
      <c r="V3612" s="4"/>
      <c r="X3612" s="4"/>
      <c r="Y3612" s="4"/>
    </row>
    <row r="3613" spans="20:25" x14ac:dyDescent="0.25">
      <c r="T3613" s="10"/>
      <c r="U3613" s="4"/>
      <c r="V3613" s="4"/>
      <c r="X3613" s="4"/>
      <c r="Y3613" s="4"/>
    </row>
    <row r="3614" spans="20:25" x14ac:dyDescent="0.25">
      <c r="T3614" s="10"/>
      <c r="U3614" s="4"/>
      <c r="V3614" s="4"/>
      <c r="X3614" s="4"/>
      <c r="Y3614" s="4"/>
    </row>
    <row r="3615" spans="20:25" x14ac:dyDescent="0.25">
      <c r="T3615" s="10"/>
      <c r="U3615" s="4"/>
      <c r="V3615" s="4"/>
      <c r="X3615" s="4"/>
      <c r="Y3615" s="4"/>
    </row>
    <row r="3616" spans="20:25" x14ac:dyDescent="0.25">
      <c r="T3616" s="10"/>
      <c r="U3616" s="4"/>
      <c r="V3616" s="4"/>
      <c r="X3616" s="4"/>
      <c r="Y3616" s="4"/>
    </row>
    <row r="3617" spans="20:25" x14ac:dyDescent="0.25">
      <c r="T3617" s="10"/>
      <c r="U3617" s="4"/>
      <c r="V3617" s="4"/>
      <c r="X3617" s="4"/>
      <c r="Y3617" s="4"/>
    </row>
    <row r="3618" spans="20:25" x14ac:dyDescent="0.25">
      <c r="T3618" s="10"/>
      <c r="U3618" s="4"/>
      <c r="V3618" s="4"/>
      <c r="X3618" s="4"/>
      <c r="Y3618" s="4"/>
    </row>
    <row r="3619" spans="20:25" x14ac:dyDescent="0.25">
      <c r="T3619" s="10"/>
      <c r="U3619" s="4"/>
      <c r="V3619" s="4"/>
      <c r="X3619" s="4"/>
      <c r="Y3619" s="4"/>
    </row>
    <row r="3620" spans="20:25" x14ac:dyDescent="0.25">
      <c r="T3620" s="10"/>
      <c r="U3620" s="4"/>
      <c r="V3620" s="4"/>
      <c r="X3620" s="4"/>
      <c r="Y3620" s="4"/>
    </row>
    <row r="3621" spans="20:25" x14ac:dyDescent="0.25">
      <c r="T3621" s="10"/>
      <c r="U3621" s="4"/>
      <c r="V3621" s="4"/>
      <c r="X3621" s="4"/>
      <c r="Y3621" s="4"/>
    </row>
    <row r="3622" spans="20:25" x14ac:dyDescent="0.25">
      <c r="T3622" s="10"/>
      <c r="U3622" s="4"/>
      <c r="V3622" s="4"/>
      <c r="X3622" s="4"/>
      <c r="Y3622" s="4"/>
    </row>
    <row r="3623" spans="20:25" x14ac:dyDescent="0.25">
      <c r="T3623" s="10"/>
      <c r="U3623" s="4"/>
      <c r="V3623" s="4"/>
      <c r="X3623" s="4"/>
      <c r="Y3623" s="4"/>
    </row>
    <row r="3624" spans="20:25" x14ac:dyDescent="0.25">
      <c r="T3624" s="10"/>
      <c r="U3624" s="4"/>
      <c r="V3624" s="4"/>
      <c r="X3624" s="4"/>
      <c r="Y3624" s="4"/>
    </row>
    <row r="3625" spans="20:25" x14ac:dyDescent="0.25">
      <c r="T3625" s="10"/>
      <c r="U3625" s="4"/>
      <c r="V3625" s="4"/>
      <c r="X3625" s="4"/>
      <c r="Y3625" s="4"/>
    </row>
    <row r="3626" spans="20:25" x14ac:dyDescent="0.25">
      <c r="T3626" s="10"/>
      <c r="U3626" s="4"/>
      <c r="V3626" s="4"/>
      <c r="X3626" s="4"/>
      <c r="Y3626" s="4"/>
    </row>
    <row r="3627" spans="20:25" x14ac:dyDescent="0.25">
      <c r="T3627" s="10"/>
      <c r="U3627" s="4"/>
      <c r="V3627" s="4"/>
      <c r="X3627" s="4"/>
      <c r="Y3627" s="4"/>
    </row>
    <row r="3628" spans="20:25" x14ac:dyDescent="0.25">
      <c r="T3628" s="10"/>
      <c r="U3628" s="4"/>
      <c r="V3628" s="4"/>
      <c r="X3628" s="4"/>
      <c r="Y3628" s="4"/>
    </row>
    <row r="3629" spans="20:25" x14ac:dyDescent="0.25">
      <c r="T3629" s="10"/>
      <c r="U3629" s="4"/>
      <c r="V3629" s="4"/>
      <c r="X3629" s="4"/>
      <c r="Y3629" s="4"/>
    </row>
    <row r="3630" spans="20:25" x14ac:dyDescent="0.25">
      <c r="T3630" s="10"/>
      <c r="U3630" s="4"/>
      <c r="V3630" s="4"/>
      <c r="X3630" s="4"/>
      <c r="Y3630" s="4"/>
    </row>
    <row r="3631" spans="20:25" x14ac:dyDescent="0.25">
      <c r="T3631" s="10"/>
      <c r="U3631" s="4"/>
      <c r="V3631" s="4"/>
      <c r="X3631" s="4"/>
      <c r="Y3631" s="4"/>
    </row>
    <row r="3632" spans="20:25" x14ac:dyDescent="0.25">
      <c r="T3632" s="10"/>
      <c r="U3632" s="4"/>
      <c r="V3632" s="4"/>
      <c r="X3632" s="4"/>
      <c r="Y3632" s="4"/>
    </row>
    <row r="3633" spans="20:25" x14ac:dyDescent="0.25">
      <c r="T3633" s="10"/>
      <c r="U3633" s="4"/>
      <c r="V3633" s="4"/>
      <c r="X3633" s="4"/>
      <c r="Y3633" s="4"/>
    </row>
    <row r="3634" spans="20:25" x14ac:dyDescent="0.25">
      <c r="T3634" s="10"/>
      <c r="U3634" s="4"/>
      <c r="V3634" s="4"/>
      <c r="X3634" s="4"/>
      <c r="Y3634" s="4"/>
    </row>
    <row r="3635" spans="20:25" x14ac:dyDescent="0.25">
      <c r="T3635" s="10"/>
      <c r="U3635" s="4"/>
      <c r="V3635" s="4"/>
      <c r="X3635" s="4"/>
      <c r="Y3635" s="4"/>
    </row>
    <row r="3636" spans="20:25" x14ac:dyDescent="0.25">
      <c r="T3636" s="10"/>
      <c r="U3636" s="4"/>
      <c r="V3636" s="4"/>
      <c r="X3636" s="4"/>
      <c r="Y3636" s="4"/>
    </row>
    <row r="3637" spans="20:25" x14ac:dyDescent="0.25">
      <c r="T3637" s="10"/>
      <c r="U3637" s="4"/>
      <c r="V3637" s="4"/>
      <c r="X3637" s="4"/>
      <c r="Y3637" s="4"/>
    </row>
    <row r="3638" spans="20:25" x14ac:dyDescent="0.25">
      <c r="T3638" s="10"/>
      <c r="U3638" s="4"/>
      <c r="V3638" s="4"/>
      <c r="X3638" s="4"/>
      <c r="Y3638" s="4"/>
    </row>
    <row r="3639" spans="20:25" x14ac:dyDescent="0.25">
      <c r="T3639" s="10"/>
      <c r="U3639" s="4"/>
      <c r="V3639" s="4"/>
      <c r="X3639" s="4"/>
      <c r="Y3639" s="4"/>
    </row>
    <row r="3640" spans="20:25" x14ac:dyDescent="0.25">
      <c r="T3640" s="10"/>
      <c r="U3640" s="4"/>
      <c r="V3640" s="4"/>
      <c r="X3640" s="4"/>
      <c r="Y3640" s="4"/>
    </row>
    <row r="3641" spans="20:25" x14ac:dyDescent="0.25">
      <c r="T3641" s="10"/>
      <c r="U3641" s="4"/>
      <c r="V3641" s="4"/>
      <c r="X3641" s="4"/>
      <c r="Y3641" s="4"/>
    </row>
    <row r="3642" spans="20:25" x14ac:dyDescent="0.25">
      <c r="T3642" s="10"/>
      <c r="U3642" s="4"/>
      <c r="V3642" s="4"/>
      <c r="X3642" s="4"/>
      <c r="Y3642" s="4"/>
    </row>
    <row r="3643" spans="20:25" x14ac:dyDescent="0.25">
      <c r="T3643" s="10"/>
      <c r="U3643" s="4"/>
      <c r="V3643" s="4"/>
      <c r="X3643" s="4"/>
      <c r="Y3643" s="4"/>
    </row>
    <row r="3644" spans="20:25" x14ac:dyDescent="0.25">
      <c r="T3644" s="10"/>
      <c r="U3644" s="4"/>
      <c r="V3644" s="4"/>
      <c r="X3644" s="4"/>
      <c r="Y3644" s="4"/>
    </row>
    <row r="3645" spans="20:25" x14ac:dyDescent="0.25">
      <c r="T3645" s="10"/>
      <c r="U3645" s="4"/>
      <c r="V3645" s="4"/>
      <c r="X3645" s="4"/>
      <c r="Y3645" s="4"/>
    </row>
    <row r="3646" spans="20:25" x14ac:dyDescent="0.25">
      <c r="T3646" s="10"/>
      <c r="U3646" s="4"/>
      <c r="V3646" s="4"/>
      <c r="X3646" s="4"/>
      <c r="Y3646" s="4"/>
    </row>
    <row r="3647" spans="20:25" x14ac:dyDescent="0.25">
      <c r="T3647" s="10"/>
      <c r="U3647" s="4"/>
      <c r="V3647" s="4"/>
      <c r="X3647" s="4"/>
      <c r="Y3647" s="4"/>
    </row>
    <row r="3648" spans="20:25" x14ac:dyDescent="0.25">
      <c r="T3648" s="10"/>
      <c r="U3648" s="4"/>
      <c r="V3648" s="4"/>
      <c r="X3648" s="4"/>
      <c r="Y3648" s="4"/>
    </row>
    <row r="3649" spans="20:25" x14ac:dyDescent="0.25">
      <c r="T3649" s="10"/>
      <c r="U3649" s="4"/>
      <c r="V3649" s="4"/>
      <c r="X3649" s="4"/>
      <c r="Y3649" s="4"/>
    </row>
    <row r="3650" spans="20:25" x14ac:dyDescent="0.25">
      <c r="T3650" s="10"/>
      <c r="U3650" s="4"/>
      <c r="V3650" s="4"/>
      <c r="X3650" s="4"/>
      <c r="Y3650" s="4"/>
    </row>
    <row r="3651" spans="20:25" x14ac:dyDescent="0.25">
      <c r="T3651" s="10"/>
      <c r="U3651" s="4"/>
      <c r="V3651" s="4"/>
      <c r="X3651" s="4"/>
      <c r="Y3651" s="4"/>
    </row>
    <row r="3652" spans="20:25" x14ac:dyDescent="0.25">
      <c r="T3652" s="10"/>
      <c r="U3652" s="4"/>
      <c r="V3652" s="4"/>
      <c r="X3652" s="4"/>
      <c r="Y3652" s="4"/>
    </row>
    <row r="3653" spans="20:25" x14ac:dyDescent="0.25">
      <c r="T3653" s="10"/>
      <c r="U3653" s="4"/>
      <c r="V3653" s="4"/>
      <c r="X3653" s="4"/>
      <c r="Y3653" s="4"/>
    </row>
    <row r="3654" spans="20:25" x14ac:dyDescent="0.25">
      <c r="T3654" s="10"/>
      <c r="U3654" s="4"/>
      <c r="V3654" s="4"/>
      <c r="X3654" s="4"/>
      <c r="Y3654" s="4"/>
    </row>
    <row r="3655" spans="20:25" x14ac:dyDescent="0.25">
      <c r="T3655" s="10"/>
      <c r="U3655" s="4"/>
      <c r="V3655" s="4"/>
      <c r="X3655" s="4"/>
      <c r="Y3655" s="4"/>
    </row>
    <row r="3656" spans="20:25" x14ac:dyDescent="0.25">
      <c r="T3656" s="10"/>
      <c r="U3656" s="4"/>
      <c r="V3656" s="4"/>
      <c r="X3656" s="4"/>
      <c r="Y3656" s="4"/>
    </row>
    <row r="3657" spans="20:25" x14ac:dyDescent="0.25">
      <c r="T3657" s="10"/>
      <c r="U3657" s="4"/>
      <c r="V3657" s="4"/>
      <c r="X3657" s="4"/>
      <c r="Y3657" s="4"/>
    </row>
    <row r="3658" spans="20:25" x14ac:dyDescent="0.25">
      <c r="T3658" s="10"/>
      <c r="U3658" s="4"/>
      <c r="V3658" s="4"/>
      <c r="X3658" s="4"/>
      <c r="Y3658" s="4"/>
    </row>
    <row r="3659" spans="20:25" x14ac:dyDescent="0.25">
      <c r="T3659" s="10"/>
      <c r="U3659" s="4"/>
      <c r="V3659" s="4"/>
      <c r="X3659" s="4"/>
      <c r="Y3659" s="4"/>
    </row>
    <row r="3660" spans="20:25" x14ac:dyDescent="0.25">
      <c r="T3660" s="10"/>
      <c r="U3660" s="4"/>
      <c r="V3660" s="4"/>
      <c r="X3660" s="4"/>
      <c r="Y3660" s="4"/>
    </row>
    <row r="3661" spans="20:25" x14ac:dyDescent="0.25">
      <c r="T3661" s="10"/>
      <c r="U3661" s="4"/>
      <c r="V3661" s="4"/>
      <c r="X3661" s="4"/>
      <c r="Y3661" s="4"/>
    </row>
    <row r="3662" spans="20:25" x14ac:dyDescent="0.25">
      <c r="T3662" s="10"/>
      <c r="U3662" s="4"/>
      <c r="V3662" s="4"/>
      <c r="X3662" s="4"/>
      <c r="Y3662" s="4"/>
    </row>
    <row r="3663" spans="20:25" x14ac:dyDescent="0.25">
      <c r="T3663" s="10"/>
      <c r="U3663" s="4"/>
      <c r="V3663" s="4"/>
      <c r="X3663" s="4"/>
      <c r="Y3663" s="4"/>
    </row>
    <row r="3664" spans="20:25" x14ac:dyDescent="0.25">
      <c r="T3664" s="10"/>
      <c r="U3664" s="4"/>
      <c r="V3664" s="4"/>
      <c r="X3664" s="4"/>
      <c r="Y3664" s="4"/>
    </row>
    <row r="3665" spans="20:25" x14ac:dyDescent="0.25">
      <c r="T3665" s="10"/>
      <c r="U3665" s="4"/>
      <c r="V3665" s="4"/>
      <c r="X3665" s="4"/>
      <c r="Y3665" s="4"/>
    </row>
    <row r="3666" spans="20:25" x14ac:dyDescent="0.25">
      <c r="T3666" s="10"/>
      <c r="U3666" s="4"/>
      <c r="V3666" s="4"/>
      <c r="X3666" s="4"/>
      <c r="Y3666" s="4"/>
    </row>
    <row r="3667" spans="20:25" x14ac:dyDescent="0.25">
      <c r="T3667" s="10"/>
      <c r="U3667" s="4"/>
      <c r="V3667" s="4"/>
      <c r="X3667" s="4"/>
      <c r="Y3667" s="4"/>
    </row>
    <row r="3668" spans="20:25" x14ac:dyDescent="0.25">
      <c r="T3668" s="10"/>
      <c r="U3668" s="4"/>
      <c r="V3668" s="4"/>
      <c r="X3668" s="4"/>
      <c r="Y3668" s="4"/>
    </row>
    <row r="3669" spans="20:25" x14ac:dyDescent="0.25">
      <c r="T3669" s="10"/>
      <c r="U3669" s="4"/>
      <c r="V3669" s="4"/>
      <c r="X3669" s="4"/>
      <c r="Y3669" s="4"/>
    </row>
    <row r="3670" spans="20:25" x14ac:dyDescent="0.25">
      <c r="T3670" s="10"/>
      <c r="U3670" s="4"/>
      <c r="V3670" s="4"/>
      <c r="X3670" s="4"/>
      <c r="Y3670" s="4"/>
    </row>
    <row r="3671" spans="20:25" x14ac:dyDescent="0.25">
      <c r="T3671" s="10"/>
      <c r="U3671" s="4"/>
      <c r="V3671" s="4"/>
      <c r="X3671" s="4"/>
      <c r="Y3671" s="4"/>
    </row>
    <row r="3672" spans="20:25" x14ac:dyDescent="0.25">
      <c r="T3672" s="10"/>
      <c r="U3672" s="4"/>
      <c r="V3672" s="4"/>
      <c r="X3672" s="4"/>
      <c r="Y3672" s="4"/>
    </row>
    <row r="3673" spans="20:25" x14ac:dyDescent="0.25">
      <c r="T3673" s="10"/>
      <c r="U3673" s="4"/>
      <c r="V3673" s="4"/>
      <c r="X3673" s="4"/>
      <c r="Y3673" s="4"/>
    </row>
    <row r="3674" spans="20:25" x14ac:dyDescent="0.25">
      <c r="T3674" s="10"/>
      <c r="U3674" s="4"/>
      <c r="V3674" s="4"/>
      <c r="X3674" s="4"/>
      <c r="Y3674" s="4"/>
    </row>
    <row r="3675" spans="20:25" x14ac:dyDescent="0.25">
      <c r="T3675" s="10"/>
      <c r="U3675" s="4"/>
      <c r="V3675" s="4"/>
      <c r="X3675" s="4"/>
      <c r="Y3675" s="4"/>
    </row>
    <row r="3676" spans="20:25" x14ac:dyDescent="0.25">
      <c r="T3676" s="10"/>
      <c r="U3676" s="4"/>
      <c r="V3676" s="4"/>
      <c r="X3676" s="4"/>
      <c r="Y3676" s="4"/>
    </row>
    <row r="3677" spans="20:25" x14ac:dyDescent="0.25">
      <c r="T3677" s="10"/>
      <c r="U3677" s="4"/>
      <c r="V3677" s="4"/>
      <c r="X3677" s="4"/>
      <c r="Y3677" s="4"/>
    </row>
    <row r="3678" spans="20:25" x14ac:dyDescent="0.25">
      <c r="T3678" s="10"/>
      <c r="U3678" s="4"/>
      <c r="V3678" s="4"/>
      <c r="X3678" s="4"/>
      <c r="Y3678" s="4"/>
    </row>
    <row r="3679" spans="20:25" x14ac:dyDescent="0.25">
      <c r="T3679" s="10"/>
      <c r="U3679" s="4"/>
      <c r="V3679" s="4"/>
      <c r="X3679" s="4"/>
      <c r="Y3679" s="4"/>
    </row>
    <row r="3680" spans="20:25" x14ac:dyDescent="0.25">
      <c r="T3680" s="10"/>
      <c r="U3680" s="4"/>
      <c r="V3680" s="4"/>
      <c r="X3680" s="4"/>
      <c r="Y3680" s="4"/>
    </row>
    <row r="3681" spans="20:25" x14ac:dyDescent="0.25">
      <c r="T3681" s="10"/>
      <c r="U3681" s="4"/>
      <c r="V3681" s="4"/>
      <c r="X3681" s="4"/>
      <c r="Y3681" s="4"/>
    </row>
    <row r="3682" spans="20:25" x14ac:dyDescent="0.25">
      <c r="T3682" s="10"/>
      <c r="U3682" s="4"/>
      <c r="V3682" s="4"/>
      <c r="X3682" s="4"/>
      <c r="Y3682" s="4"/>
    </row>
    <row r="3683" spans="20:25" x14ac:dyDescent="0.25">
      <c r="T3683" s="10"/>
      <c r="U3683" s="4"/>
      <c r="V3683" s="4"/>
      <c r="X3683" s="4"/>
      <c r="Y3683" s="4"/>
    </row>
    <row r="3684" spans="20:25" x14ac:dyDescent="0.25">
      <c r="T3684" s="10"/>
      <c r="U3684" s="4"/>
      <c r="V3684" s="4"/>
      <c r="X3684" s="4"/>
      <c r="Y3684" s="4"/>
    </row>
    <row r="3685" spans="20:25" x14ac:dyDescent="0.25">
      <c r="T3685" s="10"/>
      <c r="U3685" s="4"/>
      <c r="V3685" s="4"/>
      <c r="X3685" s="4"/>
      <c r="Y3685" s="4"/>
    </row>
    <row r="3686" spans="20:25" x14ac:dyDescent="0.25">
      <c r="T3686" s="10"/>
      <c r="U3686" s="4"/>
      <c r="V3686" s="4"/>
      <c r="X3686" s="4"/>
      <c r="Y3686" s="4"/>
    </row>
    <row r="3687" spans="20:25" x14ac:dyDescent="0.25">
      <c r="T3687" s="10"/>
      <c r="U3687" s="4"/>
      <c r="V3687" s="4"/>
      <c r="X3687" s="4"/>
      <c r="Y3687" s="4"/>
    </row>
    <row r="3688" spans="20:25" x14ac:dyDescent="0.25">
      <c r="T3688" s="10"/>
      <c r="U3688" s="4"/>
      <c r="V3688" s="4"/>
      <c r="X3688" s="4"/>
      <c r="Y3688" s="4"/>
    </row>
    <row r="3689" spans="20:25" x14ac:dyDescent="0.25">
      <c r="T3689" s="10"/>
      <c r="U3689" s="4"/>
      <c r="V3689" s="4"/>
      <c r="X3689" s="4"/>
      <c r="Y3689" s="4"/>
    </row>
    <row r="3690" spans="20:25" x14ac:dyDescent="0.25">
      <c r="T3690" s="10"/>
      <c r="U3690" s="4"/>
      <c r="V3690" s="4"/>
      <c r="X3690" s="4"/>
      <c r="Y3690" s="4"/>
    </row>
    <row r="3691" spans="20:25" x14ac:dyDescent="0.25">
      <c r="T3691" s="10"/>
      <c r="U3691" s="4"/>
      <c r="V3691" s="4"/>
      <c r="X3691" s="4"/>
      <c r="Y3691" s="4"/>
    </row>
    <row r="3692" spans="20:25" x14ac:dyDescent="0.25">
      <c r="T3692" s="10"/>
      <c r="U3692" s="4"/>
      <c r="V3692" s="4"/>
      <c r="X3692" s="4"/>
      <c r="Y3692" s="4"/>
    </row>
    <row r="3693" spans="20:25" x14ac:dyDescent="0.25">
      <c r="T3693" s="10"/>
      <c r="U3693" s="4"/>
      <c r="V3693" s="4"/>
      <c r="X3693" s="4"/>
      <c r="Y3693" s="4"/>
    </row>
    <row r="3694" spans="20:25" x14ac:dyDescent="0.25">
      <c r="T3694" s="10"/>
      <c r="U3694" s="4"/>
      <c r="V3694" s="4"/>
      <c r="X3694" s="4"/>
      <c r="Y3694" s="4"/>
    </row>
    <row r="3695" spans="20:25" x14ac:dyDescent="0.25">
      <c r="T3695" s="10"/>
      <c r="U3695" s="4"/>
      <c r="V3695" s="4"/>
      <c r="X3695" s="4"/>
      <c r="Y3695" s="4"/>
    </row>
    <row r="3696" spans="20:25" x14ac:dyDescent="0.25">
      <c r="T3696" s="10"/>
      <c r="U3696" s="4"/>
      <c r="V3696" s="4"/>
      <c r="X3696" s="4"/>
      <c r="Y3696" s="4"/>
    </row>
    <row r="3697" spans="20:25" x14ac:dyDescent="0.25">
      <c r="T3697" s="10"/>
      <c r="U3697" s="4"/>
      <c r="V3697" s="4"/>
      <c r="X3697" s="4"/>
      <c r="Y3697" s="4"/>
    </row>
    <row r="3698" spans="20:25" x14ac:dyDescent="0.25">
      <c r="T3698" s="10"/>
      <c r="U3698" s="4"/>
      <c r="V3698" s="4"/>
      <c r="X3698" s="4"/>
      <c r="Y3698" s="4"/>
    </row>
    <row r="3699" spans="20:25" x14ac:dyDescent="0.25">
      <c r="T3699" s="10"/>
      <c r="U3699" s="4"/>
      <c r="V3699" s="4"/>
      <c r="X3699" s="4"/>
      <c r="Y3699" s="4"/>
    </row>
    <row r="3700" spans="20:25" x14ac:dyDescent="0.25">
      <c r="T3700" s="10"/>
      <c r="U3700" s="4"/>
      <c r="V3700" s="4"/>
      <c r="X3700" s="4"/>
      <c r="Y3700" s="4"/>
    </row>
    <row r="3701" spans="20:25" x14ac:dyDescent="0.25">
      <c r="T3701" s="10"/>
      <c r="U3701" s="4"/>
      <c r="V3701" s="4"/>
      <c r="X3701" s="4"/>
      <c r="Y3701" s="4"/>
    </row>
    <row r="3702" spans="20:25" x14ac:dyDescent="0.25">
      <c r="T3702" s="10"/>
      <c r="U3702" s="4"/>
      <c r="V3702" s="4"/>
      <c r="X3702" s="4"/>
      <c r="Y3702" s="4"/>
    </row>
    <row r="3703" spans="20:25" x14ac:dyDescent="0.25">
      <c r="T3703" s="10"/>
      <c r="U3703" s="4"/>
      <c r="V3703" s="4"/>
      <c r="X3703" s="4"/>
      <c r="Y3703" s="4"/>
    </row>
    <row r="3704" spans="20:25" x14ac:dyDescent="0.25">
      <c r="T3704" s="10"/>
      <c r="U3704" s="4"/>
      <c r="V3704" s="4"/>
      <c r="X3704" s="4"/>
      <c r="Y3704" s="4"/>
    </row>
    <row r="3705" spans="20:25" x14ac:dyDescent="0.25">
      <c r="T3705" s="10"/>
      <c r="U3705" s="4"/>
      <c r="V3705" s="4"/>
      <c r="X3705" s="4"/>
      <c r="Y3705" s="4"/>
    </row>
    <row r="3706" spans="20:25" x14ac:dyDescent="0.25">
      <c r="T3706" s="10"/>
      <c r="U3706" s="4"/>
      <c r="V3706" s="4"/>
      <c r="X3706" s="4"/>
      <c r="Y3706" s="4"/>
    </row>
    <row r="3707" spans="20:25" x14ac:dyDescent="0.25">
      <c r="T3707" s="10"/>
      <c r="U3707" s="4"/>
      <c r="V3707" s="4"/>
      <c r="X3707" s="4"/>
      <c r="Y3707" s="4"/>
    </row>
    <row r="3708" spans="20:25" x14ac:dyDescent="0.25">
      <c r="T3708" s="10"/>
      <c r="U3708" s="4"/>
      <c r="V3708" s="4"/>
      <c r="X3708" s="4"/>
      <c r="Y3708" s="4"/>
    </row>
    <row r="3709" spans="20:25" x14ac:dyDescent="0.25">
      <c r="T3709" s="10"/>
      <c r="U3709" s="4"/>
      <c r="V3709" s="4"/>
      <c r="X3709" s="4"/>
      <c r="Y3709" s="4"/>
    </row>
    <row r="3710" spans="20:25" x14ac:dyDescent="0.25">
      <c r="T3710" s="10"/>
      <c r="U3710" s="4"/>
      <c r="V3710" s="4"/>
      <c r="X3710" s="4"/>
      <c r="Y3710" s="4"/>
    </row>
    <row r="3711" spans="20:25" x14ac:dyDescent="0.25">
      <c r="T3711" s="10"/>
      <c r="U3711" s="4"/>
      <c r="V3711" s="4"/>
      <c r="X3711" s="4"/>
      <c r="Y3711" s="4"/>
    </row>
    <row r="3712" spans="20:25" x14ac:dyDescent="0.25">
      <c r="T3712" s="10"/>
      <c r="U3712" s="4"/>
      <c r="V3712" s="4"/>
      <c r="X3712" s="4"/>
      <c r="Y3712" s="4"/>
    </row>
    <row r="3713" spans="20:25" x14ac:dyDescent="0.25">
      <c r="T3713" s="10"/>
      <c r="U3713" s="4"/>
      <c r="V3713" s="4"/>
      <c r="X3713" s="4"/>
      <c r="Y3713" s="4"/>
    </row>
    <row r="3714" spans="20:25" x14ac:dyDescent="0.25">
      <c r="T3714" s="10"/>
      <c r="U3714" s="4"/>
      <c r="V3714" s="4"/>
      <c r="X3714" s="4"/>
      <c r="Y3714" s="4"/>
    </row>
    <row r="3715" spans="20:25" x14ac:dyDescent="0.25">
      <c r="T3715" s="10"/>
      <c r="U3715" s="4"/>
      <c r="V3715" s="4"/>
      <c r="X3715" s="4"/>
      <c r="Y3715" s="4"/>
    </row>
    <row r="3716" spans="20:25" x14ac:dyDescent="0.25">
      <c r="T3716" s="10"/>
      <c r="U3716" s="4"/>
      <c r="V3716" s="4"/>
      <c r="X3716" s="4"/>
      <c r="Y3716" s="4"/>
    </row>
    <row r="3717" spans="20:25" x14ac:dyDescent="0.25">
      <c r="T3717" s="10"/>
      <c r="U3717" s="4"/>
      <c r="V3717" s="4"/>
      <c r="X3717" s="4"/>
      <c r="Y3717" s="4"/>
    </row>
    <row r="3718" spans="20:25" x14ac:dyDescent="0.25">
      <c r="T3718" s="10"/>
      <c r="U3718" s="4"/>
      <c r="V3718" s="4"/>
      <c r="X3718" s="4"/>
      <c r="Y3718" s="4"/>
    </row>
    <row r="3719" spans="20:25" x14ac:dyDescent="0.25">
      <c r="T3719" s="10"/>
      <c r="U3719" s="4"/>
      <c r="V3719" s="4"/>
      <c r="X3719" s="4"/>
      <c r="Y3719" s="4"/>
    </row>
    <row r="3720" spans="20:25" x14ac:dyDescent="0.25">
      <c r="T3720" s="10"/>
      <c r="U3720" s="4"/>
      <c r="V3720" s="4"/>
      <c r="X3720" s="4"/>
      <c r="Y3720" s="4"/>
    </row>
    <row r="3721" spans="20:25" x14ac:dyDescent="0.25">
      <c r="T3721" s="10"/>
      <c r="U3721" s="4"/>
      <c r="V3721" s="4"/>
      <c r="X3721" s="4"/>
      <c r="Y3721" s="4"/>
    </row>
    <row r="3722" spans="20:25" x14ac:dyDescent="0.25">
      <c r="T3722" s="10"/>
      <c r="U3722" s="4"/>
      <c r="V3722" s="4"/>
      <c r="X3722" s="4"/>
      <c r="Y3722" s="4"/>
    </row>
    <row r="3723" spans="20:25" x14ac:dyDescent="0.25">
      <c r="T3723" s="10"/>
      <c r="U3723" s="4"/>
      <c r="V3723" s="4"/>
      <c r="X3723" s="4"/>
      <c r="Y3723" s="4"/>
    </row>
    <row r="3724" spans="20:25" x14ac:dyDescent="0.25">
      <c r="T3724" s="10"/>
      <c r="U3724" s="4"/>
      <c r="V3724" s="4"/>
      <c r="X3724" s="4"/>
      <c r="Y3724" s="4"/>
    </row>
    <row r="3725" spans="20:25" x14ac:dyDescent="0.25">
      <c r="T3725" s="10"/>
      <c r="U3725" s="4"/>
      <c r="V3725" s="4"/>
      <c r="X3725" s="4"/>
      <c r="Y3725" s="4"/>
    </row>
    <row r="3726" spans="20:25" x14ac:dyDescent="0.25">
      <c r="T3726" s="10"/>
      <c r="U3726" s="4"/>
      <c r="V3726" s="4"/>
      <c r="X3726" s="4"/>
      <c r="Y3726" s="4"/>
    </row>
    <row r="3727" spans="20:25" x14ac:dyDescent="0.25">
      <c r="T3727" s="10"/>
      <c r="U3727" s="4"/>
      <c r="V3727" s="4"/>
      <c r="X3727" s="4"/>
      <c r="Y3727" s="4"/>
    </row>
    <row r="3728" spans="20:25" x14ac:dyDescent="0.25">
      <c r="T3728" s="10"/>
      <c r="U3728" s="4"/>
      <c r="V3728" s="4"/>
      <c r="X3728" s="4"/>
      <c r="Y3728" s="4"/>
    </row>
    <row r="3729" spans="20:25" x14ac:dyDescent="0.25">
      <c r="T3729" s="10"/>
      <c r="U3729" s="4"/>
      <c r="V3729" s="4"/>
      <c r="X3729" s="4"/>
      <c r="Y3729" s="4"/>
    </row>
    <row r="3730" spans="20:25" x14ac:dyDescent="0.25">
      <c r="T3730" s="10"/>
      <c r="U3730" s="4"/>
      <c r="V3730" s="4"/>
      <c r="X3730" s="4"/>
      <c r="Y3730" s="4"/>
    </row>
    <row r="3731" spans="20:25" x14ac:dyDescent="0.25">
      <c r="T3731" s="10"/>
      <c r="U3731" s="4"/>
      <c r="V3731" s="4"/>
      <c r="X3731" s="4"/>
      <c r="Y3731" s="4"/>
    </row>
    <row r="3732" spans="20:25" x14ac:dyDescent="0.25">
      <c r="T3732" s="10"/>
      <c r="U3732" s="4"/>
      <c r="V3732" s="4"/>
      <c r="X3732" s="4"/>
      <c r="Y3732" s="4"/>
    </row>
    <row r="3733" spans="20:25" x14ac:dyDescent="0.25">
      <c r="T3733" s="10"/>
      <c r="U3733" s="4"/>
      <c r="V3733" s="4"/>
      <c r="X3733" s="4"/>
      <c r="Y3733" s="4"/>
    </row>
    <row r="3734" spans="20:25" x14ac:dyDescent="0.25">
      <c r="T3734" s="10"/>
      <c r="U3734" s="4"/>
      <c r="V3734" s="4"/>
      <c r="X3734" s="4"/>
      <c r="Y3734" s="4"/>
    </row>
    <row r="3735" spans="20:25" x14ac:dyDescent="0.25">
      <c r="T3735" s="10"/>
      <c r="U3735" s="4"/>
      <c r="V3735" s="4"/>
      <c r="X3735" s="4"/>
      <c r="Y3735" s="4"/>
    </row>
    <row r="3736" spans="20:25" x14ac:dyDescent="0.25">
      <c r="T3736" s="10"/>
      <c r="U3736" s="4"/>
      <c r="V3736" s="4"/>
      <c r="X3736" s="4"/>
      <c r="Y3736" s="4"/>
    </row>
    <row r="3737" spans="20:25" x14ac:dyDescent="0.25">
      <c r="T3737" s="10"/>
      <c r="U3737" s="4"/>
      <c r="V3737" s="4"/>
      <c r="X3737" s="4"/>
      <c r="Y3737" s="4"/>
    </row>
    <row r="3738" spans="20:25" x14ac:dyDescent="0.25">
      <c r="T3738" s="10"/>
      <c r="U3738" s="4"/>
      <c r="V3738" s="4"/>
      <c r="X3738" s="4"/>
      <c r="Y3738" s="4"/>
    </row>
    <row r="3739" spans="20:25" x14ac:dyDescent="0.25">
      <c r="T3739" s="10"/>
      <c r="U3739" s="4"/>
      <c r="V3739" s="4"/>
      <c r="X3739" s="4"/>
      <c r="Y3739" s="4"/>
    </row>
    <row r="3740" spans="20:25" x14ac:dyDescent="0.25">
      <c r="T3740" s="10"/>
      <c r="U3740" s="4"/>
      <c r="V3740" s="4"/>
      <c r="X3740" s="4"/>
      <c r="Y3740" s="4"/>
    </row>
    <row r="3741" spans="20:25" x14ac:dyDescent="0.25">
      <c r="T3741" s="10"/>
      <c r="U3741" s="4"/>
      <c r="V3741" s="4"/>
      <c r="X3741" s="4"/>
      <c r="Y3741" s="4"/>
    </row>
    <row r="3742" spans="20:25" x14ac:dyDescent="0.25">
      <c r="T3742" s="10"/>
      <c r="U3742" s="4"/>
      <c r="V3742" s="4"/>
      <c r="X3742" s="4"/>
      <c r="Y3742" s="4"/>
    </row>
    <row r="3743" spans="20:25" x14ac:dyDescent="0.25">
      <c r="T3743" s="10"/>
      <c r="U3743" s="4"/>
      <c r="V3743" s="4"/>
      <c r="X3743" s="4"/>
      <c r="Y3743" s="4"/>
    </row>
    <row r="3744" spans="20:25" x14ac:dyDescent="0.25">
      <c r="T3744" s="10"/>
      <c r="U3744" s="4"/>
      <c r="V3744" s="4"/>
      <c r="X3744" s="4"/>
      <c r="Y3744" s="4"/>
    </row>
    <row r="3745" spans="20:25" x14ac:dyDescent="0.25">
      <c r="T3745" s="10"/>
      <c r="U3745" s="4"/>
      <c r="V3745" s="4"/>
      <c r="X3745" s="4"/>
      <c r="Y3745" s="4"/>
    </row>
    <row r="3746" spans="20:25" x14ac:dyDescent="0.25">
      <c r="T3746" s="10"/>
      <c r="U3746" s="4"/>
      <c r="V3746" s="4"/>
      <c r="X3746" s="4"/>
      <c r="Y3746" s="4"/>
    </row>
    <row r="3747" spans="20:25" x14ac:dyDescent="0.25">
      <c r="T3747" s="10"/>
      <c r="U3747" s="4"/>
      <c r="V3747" s="4"/>
      <c r="X3747" s="4"/>
      <c r="Y3747" s="4"/>
    </row>
    <row r="3748" spans="20:25" x14ac:dyDescent="0.25">
      <c r="T3748" s="10"/>
      <c r="U3748" s="4"/>
      <c r="V3748" s="4"/>
      <c r="X3748" s="4"/>
      <c r="Y3748" s="4"/>
    </row>
    <row r="3749" spans="20:25" x14ac:dyDescent="0.25">
      <c r="T3749" s="10"/>
      <c r="U3749" s="4"/>
      <c r="V3749" s="4"/>
      <c r="X3749" s="4"/>
      <c r="Y3749" s="4"/>
    </row>
    <row r="3750" spans="20:25" x14ac:dyDescent="0.25">
      <c r="T3750" s="10"/>
      <c r="U3750" s="4"/>
      <c r="V3750" s="4"/>
      <c r="X3750" s="4"/>
      <c r="Y3750" s="4"/>
    </row>
    <row r="3751" spans="20:25" x14ac:dyDescent="0.25">
      <c r="T3751" s="10"/>
      <c r="U3751" s="4"/>
      <c r="V3751" s="4"/>
      <c r="X3751" s="4"/>
      <c r="Y3751" s="4"/>
    </row>
    <row r="3752" spans="20:25" x14ac:dyDescent="0.25">
      <c r="T3752" s="10"/>
      <c r="U3752" s="4"/>
      <c r="V3752" s="4"/>
      <c r="X3752" s="4"/>
      <c r="Y3752" s="4"/>
    </row>
    <row r="3753" spans="20:25" x14ac:dyDescent="0.25">
      <c r="T3753" s="10"/>
      <c r="U3753" s="4"/>
      <c r="V3753" s="4"/>
      <c r="X3753" s="4"/>
      <c r="Y3753" s="4"/>
    </row>
    <row r="3754" spans="20:25" x14ac:dyDescent="0.25">
      <c r="T3754" s="10"/>
      <c r="U3754" s="4"/>
      <c r="V3754" s="4"/>
      <c r="X3754" s="4"/>
      <c r="Y3754" s="4"/>
    </row>
    <row r="3755" spans="20:25" x14ac:dyDescent="0.25">
      <c r="T3755" s="10"/>
      <c r="U3755" s="4"/>
      <c r="V3755" s="4"/>
      <c r="X3755" s="4"/>
      <c r="Y3755" s="4"/>
    </row>
    <row r="3756" spans="20:25" x14ac:dyDescent="0.25">
      <c r="T3756" s="10"/>
      <c r="U3756" s="4"/>
      <c r="V3756" s="4"/>
      <c r="X3756" s="4"/>
      <c r="Y3756" s="4"/>
    </row>
    <row r="3757" spans="20:25" x14ac:dyDescent="0.25">
      <c r="T3757" s="10"/>
      <c r="U3757" s="4"/>
      <c r="V3757" s="4"/>
      <c r="X3757" s="4"/>
      <c r="Y3757" s="4"/>
    </row>
    <row r="3758" spans="20:25" x14ac:dyDescent="0.25">
      <c r="T3758" s="10"/>
      <c r="U3758" s="4"/>
      <c r="V3758" s="4"/>
      <c r="X3758" s="4"/>
      <c r="Y3758" s="4"/>
    </row>
    <row r="3759" spans="20:25" x14ac:dyDescent="0.25">
      <c r="T3759" s="10"/>
      <c r="U3759" s="4"/>
      <c r="V3759" s="4"/>
      <c r="X3759" s="4"/>
      <c r="Y3759" s="4"/>
    </row>
    <row r="3760" spans="20:25" x14ac:dyDescent="0.25">
      <c r="T3760" s="10"/>
      <c r="U3760" s="4"/>
      <c r="V3760" s="4"/>
      <c r="X3760" s="4"/>
      <c r="Y3760" s="4"/>
    </row>
    <row r="3761" spans="20:25" x14ac:dyDescent="0.25">
      <c r="T3761" s="10"/>
      <c r="U3761" s="4"/>
      <c r="V3761" s="4"/>
      <c r="X3761" s="4"/>
      <c r="Y3761" s="4"/>
    </row>
    <row r="3762" spans="20:25" x14ac:dyDescent="0.25">
      <c r="T3762" s="10"/>
      <c r="U3762" s="4"/>
      <c r="V3762" s="4"/>
      <c r="X3762" s="4"/>
      <c r="Y3762" s="4"/>
    </row>
    <row r="3763" spans="20:25" x14ac:dyDescent="0.25">
      <c r="T3763" s="10"/>
      <c r="U3763" s="4"/>
      <c r="V3763" s="4"/>
      <c r="X3763" s="4"/>
      <c r="Y3763" s="4"/>
    </row>
    <row r="3764" spans="20:25" x14ac:dyDescent="0.25">
      <c r="T3764" s="10"/>
      <c r="U3764" s="4"/>
      <c r="V3764" s="4"/>
      <c r="X3764" s="4"/>
      <c r="Y3764" s="4"/>
    </row>
    <row r="3765" spans="20:25" x14ac:dyDescent="0.25">
      <c r="T3765" s="10"/>
      <c r="U3765" s="4"/>
      <c r="V3765" s="4"/>
      <c r="X3765" s="4"/>
      <c r="Y3765" s="4"/>
    </row>
    <row r="3766" spans="20:25" x14ac:dyDescent="0.25">
      <c r="T3766" s="10"/>
      <c r="U3766" s="4"/>
      <c r="V3766" s="4"/>
      <c r="X3766" s="4"/>
      <c r="Y3766" s="4"/>
    </row>
    <row r="3767" spans="20:25" x14ac:dyDescent="0.25">
      <c r="T3767" s="10"/>
      <c r="U3767" s="4"/>
      <c r="V3767" s="4"/>
      <c r="X3767" s="4"/>
      <c r="Y3767" s="4"/>
    </row>
    <row r="3768" spans="20:25" x14ac:dyDescent="0.25">
      <c r="T3768" s="10"/>
      <c r="U3768" s="4"/>
      <c r="V3768" s="4"/>
      <c r="X3768" s="4"/>
      <c r="Y3768" s="4"/>
    </row>
    <row r="3769" spans="20:25" x14ac:dyDescent="0.25">
      <c r="T3769" s="10"/>
      <c r="U3769" s="4"/>
      <c r="V3769" s="4"/>
      <c r="X3769" s="4"/>
      <c r="Y3769" s="4"/>
    </row>
    <row r="3770" spans="20:25" x14ac:dyDescent="0.25">
      <c r="T3770" s="10"/>
      <c r="U3770" s="4"/>
      <c r="V3770" s="4"/>
      <c r="X3770" s="4"/>
      <c r="Y3770" s="4"/>
    </row>
    <row r="3771" spans="20:25" x14ac:dyDescent="0.25">
      <c r="T3771" s="10"/>
      <c r="U3771" s="4"/>
      <c r="V3771" s="4"/>
      <c r="X3771" s="4"/>
      <c r="Y3771" s="4"/>
    </row>
    <row r="3772" spans="20:25" x14ac:dyDescent="0.25">
      <c r="T3772" s="10"/>
      <c r="U3772" s="4"/>
      <c r="V3772" s="4"/>
      <c r="X3772" s="4"/>
      <c r="Y3772" s="4"/>
    </row>
    <row r="3773" spans="20:25" x14ac:dyDescent="0.25">
      <c r="T3773" s="10"/>
      <c r="U3773" s="4"/>
      <c r="V3773" s="4"/>
      <c r="X3773" s="4"/>
      <c r="Y3773" s="4"/>
    </row>
    <row r="3774" spans="20:25" x14ac:dyDescent="0.25">
      <c r="T3774" s="10"/>
      <c r="U3774" s="4"/>
      <c r="V3774" s="4"/>
      <c r="X3774" s="4"/>
      <c r="Y3774" s="4"/>
    </row>
    <row r="3775" spans="20:25" x14ac:dyDescent="0.25">
      <c r="T3775" s="10"/>
      <c r="U3775" s="4"/>
      <c r="V3775" s="4"/>
      <c r="X3775" s="4"/>
      <c r="Y3775" s="4"/>
    </row>
    <row r="3776" spans="20:25" x14ac:dyDescent="0.25">
      <c r="T3776" s="10"/>
      <c r="U3776" s="4"/>
      <c r="V3776" s="4"/>
      <c r="X3776" s="4"/>
      <c r="Y3776" s="4"/>
    </row>
    <row r="3777" spans="20:25" x14ac:dyDescent="0.25">
      <c r="T3777" s="10"/>
      <c r="U3777" s="4"/>
      <c r="V3777" s="4"/>
      <c r="X3777" s="4"/>
      <c r="Y3777" s="4"/>
    </row>
    <row r="3778" spans="20:25" x14ac:dyDescent="0.25">
      <c r="T3778" s="10"/>
      <c r="U3778" s="4"/>
      <c r="V3778" s="4"/>
      <c r="X3778" s="4"/>
      <c r="Y3778" s="4"/>
    </row>
    <row r="3779" spans="20:25" x14ac:dyDescent="0.25">
      <c r="T3779" s="10"/>
      <c r="U3779" s="4"/>
      <c r="V3779" s="4"/>
      <c r="X3779" s="4"/>
      <c r="Y3779" s="4"/>
    </row>
    <row r="3780" spans="20:25" x14ac:dyDescent="0.25">
      <c r="T3780" s="10"/>
      <c r="U3780" s="4"/>
      <c r="V3780" s="4"/>
      <c r="X3780" s="4"/>
      <c r="Y3780" s="4"/>
    </row>
    <row r="3781" spans="20:25" x14ac:dyDescent="0.25">
      <c r="T3781" s="10"/>
      <c r="U3781" s="4"/>
      <c r="V3781" s="4"/>
      <c r="X3781" s="4"/>
      <c r="Y3781" s="4"/>
    </row>
    <row r="3782" spans="20:25" x14ac:dyDescent="0.25">
      <c r="T3782" s="10"/>
      <c r="U3782" s="4"/>
      <c r="V3782" s="4"/>
      <c r="X3782" s="4"/>
      <c r="Y3782" s="4"/>
    </row>
    <row r="3783" spans="20:25" x14ac:dyDescent="0.25">
      <c r="T3783" s="10"/>
      <c r="U3783" s="4"/>
      <c r="V3783" s="4"/>
      <c r="X3783" s="4"/>
      <c r="Y3783" s="4"/>
    </row>
    <row r="3784" spans="20:25" x14ac:dyDescent="0.25">
      <c r="T3784" s="10"/>
      <c r="U3784" s="4"/>
      <c r="V3784" s="4"/>
      <c r="X3784" s="4"/>
      <c r="Y3784" s="4"/>
    </row>
    <row r="3785" spans="20:25" x14ac:dyDescent="0.25">
      <c r="T3785" s="10"/>
      <c r="U3785" s="4"/>
      <c r="V3785" s="4"/>
      <c r="X3785" s="4"/>
      <c r="Y3785" s="4"/>
    </row>
    <row r="3786" spans="20:25" x14ac:dyDescent="0.25">
      <c r="T3786" s="10"/>
      <c r="U3786" s="4"/>
      <c r="V3786" s="4"/>
      <c r="X3786" s="4"/>
      <c r="Y3786" s="4"/>
    </row>
    <row r="3787" spans="20:25" x14ac:dyDescent="0.25">
      <c r="T3787" s="10"/>
      <c r="U3787" s="4"/>
      <c r="V3787" s="4"/>
      <c r="X3787" s="4"/>
      <c r="Y3787" s="4"/>
    </row>
    <row r="3788" spans="20:25" x14ac:dyDescent="0.25">
      <c r="T3788" s="10"/>
      <c r="U3788" s="4"/>
      <c r="V3788" s="4"/>
      <c r="X3788" s="4"/>
      <c r="Y3788" s="4"/>
    </row>
    <row r="3789" spans="20:25" x14ac:dyDescent="0.25">
      <c r="T3789" s="10"/>
      <c r="U3789" s="4"/>
      <c r="V3789" s="4"/>
      <c r="X3789" s="4"/>
      <c r="Y3789" s="4"/>
    </row>
    <row r="3790" spans="20:25" x14ac:dyDescent="0.25">
      <c r="T3790" s="10"/>
      <c r="U3790" s="4"/>
      <c r="V3790" s="4"/>
      <c r="X3790" s="4"/>
      <c r="Y3790" s="4"/>
    </row>
    <row r="3791" spans="20:25" x14ac:dyDescent="0.25">
      <c r="T3791" s="10"/>
      <c r="U3791" s="4"/>
      <c r="V3791" s="4"/>
      <c r="X3791" s="4"/>
      <c r="Y3791" s="4"/>
    </row>
    <row r="3792" spans="20:25" x14ac:dyDescent="0.25">
      <c r="T3792" s="10"/>
      <c r="U3792" s="4"/>
      <c r="V3792" s="4"/>
      <c r="X3792" s="4"/>
      <c r="Y3792" s="4"/>
    </row>
    <row r="3793" spans="20:25" x14ac:dyDescent="0.25">
      <c r="T3793" s="10"/>
      <c r="U3793" s="4"/>
      <c r="V3793" s="4"/>
      <c r="X3793" s="4"/>
      <c r="Y3793" s="4"/>
    </row>
    <row r="3794" spans="20:25" x14ac:dyDescent="0.25">
      <c r="T3794" s="10"/>
      <c r="U3794" s="4"/>
      <c r="V3794" s="4"/>
      <c r="X3794" s="4"/>
      <c r="Y3794" s="4"/>
    </row>
    <row r="3795" spans="20:25" x14ac:dyDescent="0.25">
      <c r="T3795" s="10"/>
      <c r="U3795" s="4"/>
      <c r="V3795" s="4"/>
      <c r="X3795" s="4"/>
      <c r="Y3795" s="4"/>
    </row>
    <row r="3796" spans="20:25" x14ac:dyDescent="0.25">
      <c r="T3796" s="10"/>
      <c r="U3796" s="4"/>
      <c r="V3796" s="4"/>
      <c r="X3796" s="4"/>
      <c r="Y3796" s="4"/>
    </row>
    <row r="3797" spans="20:25" x14ac:dyDescent="0.25">
      <c r="T3797" s="10"/>
      <c r="U3797" s="4"/>
      <c r="V3797" s="4"/>
      <c r="X3797" s="4"/>
      <c r="Y3797" s="4"/>
    </row>
    <row r="3798" spans="20:25" x14ac:dyDescent="0.25">
      <c r="T3798" s="10"/>
      <c r="U3798" s="4"/>
      <c r="V3798" s="4"/>
      <c r="X3798" s="4"/>
      <c r="Y3798" s="4"/>
    </row>
    <row r="3799" spans="20:25" x14ac:dyDescent="0.25">
      <c r="T3799" s="10"/>
      <c r="U3799" s="4"/>
      <c r="V3799" s="4"/>
      <c r="X3799" s="4"/>
      <c r="Y3799" s="4"/>
    </row>
    <row r="3800" spans="20:25" x14ac:dyDescent="0.25">
      <c r="T3800" s="10"/>
      <c r="U3800" s="4"/>
      <c r="V3800" s="4"/>
      <c r="X3800" s="4"/>
      <c r="Y3800" s="4"/>
    </row>
    <row r="3801" spans="20:25" x14ac:dyDescent="0.25">
      <c r="T3801" s="10"/>
      <c r="U3801" s="4"/>
      <c r="V3801" s="4"/>
      <c r="X3801" s="4"/>
      <c r="Y3801" s="4"/>
    </row>
    <row r="3802" spans="20:25" x14ac:dyDescent="0.25">
      <c r="T3802" s="10"/>
      <c r="U3802" s="4"/>
      <c r="V3802" s="4"/>
      <c r="X3802" s="4"/>
      <c r="Y3802" s="4"/>
    </row>
    <row r="3803" spans="20:25" x14ac:dyDescent="0.25">
      <c r="T3803" s="10"/>
      <c r="U3803" s="4"/>
      <c r="V3803" s="4"/>
      <c r="X3803" s="4"/>
      <c r="Y3803" s="4"/>
    </row>
    <row r="3804" spans="20:25" x14ac:dyDescent="0.25">
      <c r="T3804" s="10"/>
      <c r="U3804" s="4"/>
      <c r="V3804" s="4"/>
      <c r="X3804" s="4"/>
      <c r="Y3804" s="4"/>
    </row>
    <row r="3805" spans="20:25" x14ac:dyDescent="0.25">
      <c r="T3805" s="10"/>
      <c r="U3805" s="4"/>
      <c r="V3805" s="4"/>
      <c r="X3805" s="4"/>
      <c r="Y3805" s="4"/>
    </row>
    <row r="3806" spans="20:25" x14ac:dyDescent="0.25">
      <c r="T3806" s="10"/>
      <c r="U3806" s="4"/>
      <c r="V3806" s="4"/>
      <c r="X3806" s="4"/>
      <c r="Y3806" s="4"/>
    </row>
    <row r="3807" spans="20:25" x14ac:dyDescent="0.25">
      <c r="T3807" s="10"/>
      <c r="U3807" s="4"/>
      <c r="V3807" s="4"/>
      <c r="X3807" s="4"/>
      <c r="Y3807" s="4"/>
    </row>
    <row r="3808" spans="20:25" x14ac:dyDescent="0.25">
      <c r="T3808" s="10"/>
      <c r="U3808" s="4"/>
      <c r="V3808" s="4"/>
      <c r="X3808" s="4"/>
      <c r="Y3808" s="4"/>
    </row>
    <row r="3809" spans="20:25" x14ac:dyDescent="0.25">
      <c r="T3809" s="10"/>
      <c r="U3809" s="4"/>
      <c r="V3809" s="4"/>
      <c r="X3809" s="4"/>
      <c r="Y3809" s="4"/>
    </row>
    <row r="3810" spans="20:25" x14ac:dyDescent="0.25">
      <c r="T3810" s="10"/>
      <c r="U3810" s="4"/>
      <c r="V3810" s="4"/>
      <c r="X3810" s="4"/>
      <c r="Y3810" s="4"/>
    </row>
    <row r="3811" spans="20:25" x14ac:dyDescent="0.25">
      <c r="T3811" s="10"/>
      <c r="U3811" s="4"/>
      <c r="V3811" s="4"/>
      <c r="X3811" s="4"/>
      <c r="Y3811" s="4"/>
    </row>
    <row r="3812" spans="20:25" x14ac:dyDescent="0.25">
      <c r="T3812" s="10"/>
      <c r="U3812" s="4"/>
      <c r="V3812" s="4"/>
      <c r="X3812" s="4"/>
      <c r="Y3812" s="4"/>
    </row>
    <row r="3813" spans="20:25" x14ac:dyDescent="0.25">
      <c r="T3813" s="10"/>
      <c r="U3813" s="4"/>
      <c r="V3813" s="4"/>
      <c r="X3813" s="4"/>
      <c r="Y3813" s="4"/>
    </row>
    <row r="3814" spans="20:25" x14ac:dyDescent="0.25">
      <c r="T3814" s="10"/>
      <c r="U3814" s="4"/>
      <c r="V3814" s="4"/>
      <c r="X3814" s="4"/>
      <c r="Y3814" s="4"/>
    </row>
    <row r="3815" spans="20:25" x14ac:dyDescent="0.25">
      <c r="T3815" s="10"/>
      <c r="U3815" s="4"/>
      <c r="V3815" s="4"/>
      <c r="X3815" s="4"/>
      <c r="Y3815" s="4"/>
    </row>
    <row r="3816" spans="20:25" x14ac:dyDescent="0.25">
      <c r="T3816" s="10"/>
      <c r="U3816" s="4"/>
      <c r="V3816" s="4"/>
      <c r="X3816" s="4"/>
      <c r="Y3816" s="4"/>
    </row>
    <row r="3817" spans="20:25" x14ac:dyDescent="0.25">
      <c r="T3817" s="10"/>
      <c r="U3817" s="4"/>
      <c r="V3817" s="4"/>
      <c r="X3817" s="4"/>
      <c r="Y3817" s="4"/>
    </row>
    <row r="3818" spans="20:25" x14ac:dyDescent="0.25">
      <c r="T3818" s="10"/>
      <c r="U3818" s="4"/>
      <c r="V3818" s="4"/>
      <c r="X3818" s="4"/>
      <c r="Y3818" s="4"/>
    </row>
    <row r="3819" spans="20:25" x14ac:dyDescent="0.25">
      <c r="T3819" s="10"/>
      <c r="U3819" s="4"/>
      <c r="V3819" s="4"/>
      <c r="X3819" s="4"/>
      <c r="Y3819" s="4"/>
    </row>
    <row r="3820" spans="20:25" x14ac:dyDescent="0.25">
      <c r="T3820" s="10"/>
      <c r="U3820" s="4"/>
      <c r="V3820" s="4"/>
      <c r="X3820" s="4"/>
      <c r="Y3820" s="4"/>
    </row>
    <row r="3821" spans="20:25" x14ac:dyDescent="0.25">
      <c r="T3821" s="10"/>
      <c r="U3821" s="4"/>
      <c r="V3821" s="4"/>
      <c r="X3821" s="4"/>
      <c r="Y3821" s="4"/>
    </row>
    <row r="3822" spans="20:25" x14ac:dyDescent="0.25">
      <c r="T3822" s="10"/>
      <c r="U3822" s="4"/>
      <c r="V3822" s="4"/>
      <c r="X3822" s="4"/>
      <c r="Y3822" s="4"/>
    </row>
    <row r="3823" spans="20:25" x14ac:dyDescent="0.25">
      <c r="T3823" s="10"/>
      <c r="U3823" s="4"/>
      <c r="V3823" s="4"/>
      <c r="X3823" s="4"/>
      <c r="Y3823" s="4"/>
    </row>
    <row r="3824" spans="20:25" x14ac:dyDescent="0.25">
      <c r="T3824" s="10"/>
      <c r="U3824" s="4"/>
      <c r="V3824" s="4"/>
      <c r="X3824" s="4"/>
      <c r="Y3824" s="4"/>
    </row>
    <row r="3825" spans="20:25" x14ac:dyDescent="0.25">
      <c r="T3825" s="10"/>
      <c r="U3825" s="4"/>
      <c r="V3825" s="4"/>
      <c r="X3825" s="4"/>
      <c r="Y3825" s="4"/>
    </row>
    <row r="3826" spans="20:25" x14ac:dyDescent="0.25">
      <c r="T3826" s="10"/>
      <c r="U3826" s="4"/>
      <c r="V3826" s="4"/>
      <c r="X3826" s="4"/>
      <c r="Y3826" s="4"/>
    </row>
    <row r="3827" spans="20:25" x14ac:dyDescent="0.25">
      <c r="T3827" s="10"/>
      <c r="U3827" s="4"/>
      <c r="V3827" s="4"/>
      <c r="X3827" s="4"/>
      <c r="Y3827" s="4"/>
    </row>
    <row r="3828" spans="20:25" x14ac:dyDescent="0.25">
      <c r="T3828" s="10"/>
      <c r="U3828" s="4"/>
      <c r="V3828" s="4"/>
      <c r="X3828" s="4"/>
      <c r="Y3828" s="4"/>
    </row>
    <row r="3829" spans="20:25" x14ac:dyDescent="0.25">
      <c r="T3829" s="10"/>
      <c r="U3829" s="4"/>
      <c r="V3829" s="4"/>
      <c r="X3829" s="4"/>
      <c r="Y3829" s="4"/>
    </row>
    <row r="3830" spans="20:25" x14ac:dyDescent="0.25">
      <c r="T3830" s="10"/>
      <c r="U3830" s="4"/>
      <c r="V3830" s="4"/>
      <c r="X3830" s="4"/>
      <c r="Y3830" s="4"/>
    </row>
    <row r="3831" spans="20:25" x14ac:dyDescent="0.25">
      <c r="T3831" s="10"/>
      <c r="U3831" s="4"/>
      <c r="V3831" s="4"/>
      <c r="X3831" s="4"/>
      <c r="Y3831" s="4"/>
    </row>
    <row r="3832" spans="20:25" x14ac:dyDescent="0.25">
      <c r="T3832" s="10"/>
      <c r="U3832" s="4"/>
      <c r="V3832" s="4"/>
      <c r="X3832" s="4"/>
      <c r="Y3832" s="4"/>
    </row>
    <row r="3833" spans="20:25" x14ac:dyDescent="0.25">
      <c r="T3833" s="10"/>
      <c r="U3833" s="4"/>
      <c r="V3833" s="4"/>
      <c r="X3833" s="4"/>
      <c r="Y3833" s="4"/>
    </row>
    <row r="3834" spans="20:25" x14ac:dyDescent="0.25">
      <c r="T3834" s="10"/>
      <c r="U3834" s="4"/>
      <c r="V3834" s="4"/>
      <c r="X3834" s="4"/>
      <c r="Y3834" s="4"/>
    </row>
    <row r="3835" spans="20:25" x14ac:dyDescent="0.25">
      <c r="T3835" s="10"/>
      <c r="U3835" s="4"/>
      <c r="V3835" s="4"/>
      <c r="X3835" s="4"/>
      <c r="Y3835" s="4"/>
    </row>
    <row r="3836" spans="20:25" x14ac:dyDescent="0.25">
      <c r="T3836" s="10"/>
      <c r="U3836" s="4"/>
      <c r="V3836" s="4"/>
      <c r="X3836" s="4"/>
      <c r="Y3836" s="4"/>
    </row>
    <row r="3837" spans="20:25" x14ac:dyDescent="0.25">
      <c r="T3837" s="10"/>
      <c r="U3837" s="4"/>
      <c r="V3837" s="4"/>
      <c r="X3837" s="4"/>
      <c r="Y3837" s="4"/>
    </row>
    <row r="3838" spans="20:25" x14ac:dyDescent="0.25">
      <c r="T3838" s="10"/>
      <c r="U3838" s="4"/>
      <c r="V3838" s="4"/>
      <c r="X3838" s="4"/>
      <c r="Y3838" s="4"/>
    </row>
    <row r="3839" spans="20:25" x14ac:dyDescent="0.25">
      <c r="T3839" s="10"/>
      <c r="U3839" s="4"/>
      <c r="V3839" s="4"/>
      <c r="X3839" s="4"/>
      <c r="Y3839" s="4"/>
    </row>
    <row r="3840" spans="20:25" x14ac:dyDescent="0.25">
      <c r="T3840" s="10"/>
      <c r="U3840" s="4"/>
      <c r="V3840" s="4"/>
      <c r="X3840" s="4"/>
      <c r="Y3840" s="4"/>
    </row>
    <row r="3841" spans="20:25" x14ac:dyDescent="0.25">
      <c r="T3841" s="10"/>
      <c r="U3841" s="4"/>
      <c r="V3841" s="4"/>
      <c r="X3841" s="4"/>
      <c r="Y3841" s="4"/>
    </row>
    <row r="3842" spans="20:25" x14ac:dyDescent="0.25">
      <c r="T3842" s="10"/>
      <c r="U3842" s="4"/>
      <c r="V3842" s="4"/>
      <c r="X3842" s="4"/>
      <c r="Y3842" s="4"/>
    </row>
    <row r="3843" spans="20:25" x14ac:dyDescent="0.25">
      <c r="T3843" s="10"/>
      <c r="U3843" s="4"/>
      <c r="V3843" s="4"/>
      <c r="X3843" s="4"/>
      <c r="Y3843" s="4"/>
    </row>
    <row r="3844" spans="20:25" x14ac:dyDescent="0.25">
      <c r="T3844" s="10"/>
      <c r="U3844" s="4"/>
      <c r="V3844" s="4"/>
      <c r="X3844" s="4"/>
      <c r="Y3844" s="4"/>
    </row>
    <row r="3845" spans="20:25" x14ac:dyDescent="0.25">
      <c r="T3845" s="10"/>
      <c r="U3845" s="4"/>
      <c r="V3845" s="4"/>
      <c r="X3845" s="4"/>
      <c r="Y3845" s="4"/>
    </row>
    <row r="3846" spans="20:25" x14ac:dyDescent="0.25">
      <c r="T3846" s="10"/>
      <c r="U3846" s="4"/>
      <c r="V3846" s="4"/>
      <c r="X3846" s="4"/>
      <c r="Y3846" s="4"/>
    </row>
    <row r="3847" spans="20:25" x14ac:dyDescent="0.25">
      <c r="T3847" s="10"/>
      <c r="U3847" s="4"/>
      <c r="V3847" s="4"/>
      <c r="X3847" s="4"/>
      <c r="Y3847" s="4"/>
    </row>
    <row r="3848" spans="20:25" x14ac:dyDescent="0.25">
      <c r="T3848" s="10"/>
      <c r="U3848" s="4"/>
      <c r="V3848" s="4"/>
      <c r="X3848" s="4"/>
      <c r="Y3848" s="4"/>
    </row>
    <row r="3849" spans="20:25" x14ac:dyDescent="0.25">
      <c r="T3849" s="10"/>
      <c r="U3849" s="4"/>
      <c r="V3849" s="4"/>
      <c r="X3849" s="4"/>
      <c r="Y3849" s="4"/>
    </row>
    <row r="3850" spans="20:25" x14ac:dyDescent="0.25">
      <c r="T3850" s="10"/>
      <c r="U3850" s="4"/>
      <c r="V3850" s="4"/>
      <c r="X3850" s="4"/>
      <c r="Y3850" s="4"/>
    </row>
    <row r="3851" spans="20:25" x14ac:dyDescent="0.25">
      <c r="T3851" s="10"/>
      <c r="U3851" s="4"/>
      <c r="V3851" s="4"/>
      <c r="X3851" s="4"/>
      <c r="Y3851" s="4"/>
    </row>
    <row r="3852" spans="20:25" x14ac:dyDescent="0.25">
      <c r="T3852" s="10"/>
      <c r="U3852" s="4"/>
      <c r="V3852" s="4"/>
      <c r="X3852" s="4"/>
      <c r="Y3852" s="4"/>
    </row>
    <row r="3853" spans="20:25" x14ac:dyDescent="0.25">
      <c r="T3853" s="10"/>
      <c r="U3853" s="4"/>
      <c r="V3853" s="4"/>
      <c r="X3853" s="4"/>
      <c r="Y3853" s="4"/>
    </row>
    <row r="3854" spans="20:25" x14ac:dyDescent="0.25">
      <c r="T3854" s="10"/>
      <c r="U3854" s="4"/>
      <c r="V3854" s="4"/>
      <c r="X3854" s="4"/>
      <c r="Y3854" s="4"/>
    </row>
    <row r="3855" spans="20:25" x14ac:dyDescent="0.25">
      <c r="T3855" s="10"/>
      <c r="U3855" s="4"/>
      <c r="V3855" s="4"/>
      <c r="X3855" s="4"/>
      <c r="Y3855" s="4"/>
    </row>
    <row r="3856" spans="20:25" x14ac:dyDescent="0.25">
      <c r="T3856" s="10"/>
      <c r="U3856" s="4"/>
      <c r="V3856" s="4"/>
      <c r="X3856" s="4"/>
      <c r="Y3856" s="4"/>
    </row>
    <row r="3857" spans="20:25" x14ac:dyDescent="0.25">
      <c r="T3857" s="10"/>
      <c r="U3857" s="4"/>
      <c r="V3857" s="4"/>
      <c r="X3857" s="4"/>
      <c r="Y3857" s="4"/>
    </row>
    <row r="3858" spans="20:25" x14ac:dyDescent="0.25">
      <c r="T3858" s="10"/>
      <c r="U3858" s="4"/>
      <c r="V3858" s="4"/>
      <c r="X3858" s="4"/>
      <c r="Y3858" s="4"/>
    </row>
    <row r="3859" spans="20:25" x14ac:dyDescent="0.25">
      <c r="T3859" s="10"/>
      <c r="U3859" s="4"/>
      <c r="V3859" s="4"/>
      <c r="X3859" s="4"/>
      <c r="Y3859" s="4"/>
    </row>
    <row r="3860" spans="20:25" x14ac:dyDescent="0.25">
      <c r="T3860" s="10"/>
      <c r="U3860" s="4"/>
      <c r="V3860" s="4"/>
      <c r="X3860" s="4"/>
      <c r="Y3860" s="4"/>
    </row>
    <row r="3861" spans="20:25" x14ac:dyDescent="0.25">
      <c r="T3861" s="10"/>
      <c r="U3861" s="4"/>
      <c r="V3861" s="4"/>
      <c r="X3861" s="4"/>
      <c r="Y3861" s="4"/>
    </row>
    <row r="3862" spans="20:25" x14ac:dyDescent="0.25">
      <c r="T3862" s="10"/>
      <c r="U3862" s="4"/>
      <c r="V3862" s="4"/>
      <c r="X3862" s="4"/>
      <c r="Y3862" s="4"/>
    </row>
    <row r="3863" spans="20:25" x14ac:dyDescent="0.25">
      <c r="T3863" s="10"/>
      <c r="U3863" s="4"/>
      <c r="V3863" s="4"/>
      <c r="X3863" s="4"/>
      <c r="Y3863" s="4"/>
    </row>
    <row r="3864" spans="20:25" x14ac:dyDescent="0.25">
      <c r="T3864" s="10"/>
      <c r="U3864" s="4"/>
      <c r="V3864" s="4"/>
      <c r="X3864" s="4"/>
      <c r="Y3864" s="4"/>
    </row>
    <row r="3865" spans="20:25" x14ac:dyDescent="0.25">
      <c r="T3865" s="10"/>
      <c r="U3865" s="4"/>
      <c r="V3865" s="4"/>
      <c r="X3865" s="4"/>
      <c r="Y3865" s="4"/>
    </row>
    <row r="3866" spans="20:25" x14ac:dyDescent="0.25">
      <c r="T3866" s="10"/>
      <c r="U3866" s="4"/>
      <c r="V3866" s="4"/>
      <c r="X3866" s="4"/>
      <c r="Y3866" s="4"/>
    </row>
    <row r="3867" spans="20:25" x14ac:dyDescent="0.25">
      <c r="T3867" s="10"/>
      <c r="U3867" s="4"/>
      <c r="V3867" s="4"/>
      <c r="X3867" s="4"/>
      <c r="Y3867" s="4"/>
    </row>
    <row r="3868" spans="20:25" x14ac:dyDescent="0.25">
      <c r="T3868" s="10"/>
      <c r="U3868" s="4"/>
      <c r="V3868" s="4"/>
      <c r="X3868" s="4"/>
      <c r="Y3868" s="4"/>
    </row>
    <row r="3869" spans="20:25" x14ac:dyDescent="0.25">
      <c r="T3869" s="10"/>
      <c r="U3869" s="4"/>
      <c r="V3869" s="4"/>
      <c r="X3869" s="4"/>
      <c r="Y3869" s="4"/>
    </row>
    <row r="3870" spans="20:25" x14ac:dyDescent="0.25">
      <c r="T3870" s="10"/>
      <c r="U3870" s="4"/>
      <c r="V3870" s="4"/>
      <c r="X3870" s="4"/>
      <c r="Y3870" s="4"/>
    </row>
    <row r="3871" spans="20:25" x14ac:dyDescent="0.25">
      <c r="T3871" s="10"/>
      <c r="U3871" s="4"/>
      <c r="V3871" s="4"/>
      <c r="X3871" s="4"/>
      <c r="Y3871" s="4"/>
    </row>
    <row r="3872" spans="20:25" x14ac:dyDescent="0.25">
      <c r="T3872" s="10"/>
      <c r="U3872" s="4"/>
      <c r="V3872" s="4"/>
      <c r="X3872" s="4"/>
      <c r="Y3872" s="4"/>
    </row>
    <row r="3873" spans="20:25" x14ac:dyDescent="0.25">
      <c r="T3873" s="10"/>
      <c r="U3873" s="4"/>
      <c r="V3873" s="4"/>
      <c r="X3873" s="4"/>
      <c r="Y3873" s="4"/>
    </row>
    <row r="3874" spans="20:25" x14ac:dyDescent="0.25">
      <c r="T3874" s="10"/>
      <c r="U3874" s="4"/>
      <c r="V3874" s="4"/>
      <c r="X3874" s="4"/>
      <c r="Y3874" s="4"/>
    </row>
    <row r="3875" spans="20:25" x14ac:dyDescent="0.25">
      <c r="T3875" s="10"/>
      <c r="U3875" s="4"/>
      <c r="V3875" s="4"/>
      <c r="X3875" s="4"/>
      <c r="Y3875" s="4"/>
    </row>
    <row r="3876" spans="20:25" x14ac:dyDescent="0.25">
      <c r="T3876" s="10"/>
      <c r="U3876" s="4"/>
      <c r="V3876" s="4"/>
      <c r="X3876" s="4"/>
      <c r="Y3876" s="4"/>
    </row>
    <row r="3877" spans="20:25" x14ac:dyDescent="0.25">
      <c r="T3877" s="10"/>
      <c r="U3877" s="4"/>
      <c r="V3877" s="4"/>
      <c r="X3877" s="4"/>
      <c r="Y3877" s="4"/>
    </row>
    <row r="3878" spans="20:25" x14ac:dyDescent="0.25">
      <c r="T3878" s="10"/>
      <c r="U3878" s="4"/>
      <c r="V3878" s="4"/>
      <c r="X3878" s="4"/>
      <c r="Y3878" s="4"/>
    </row>
    <row r="3879" spans="20:25" x14ac:dyDescent="0.25">
      <c r="T3879" s="10"/>
      <c r="U3879" s="4"/>
      <c r="V3879" s="4"/>
      <c r="X3879" s="4"/>
      <c r="Y3879" s="4"/>
    </row>
    <row r="3880" spans="20:25" x14ac:dyDescent="0.25">
      <c r="T3880" s="10"/>
      <c r="U3880" s="4"/>
      <c r="V3880" s="4"/>
      <c r="X3880" s="4"/>
      <c r="Y3880" s="4"/>
    </row>
    <row r="3881" spans="20:25" x14ac:dyDescent="0.25">
      <c r="T3881" s="10"/>
      <c r="U3881" s="4"/>
      <c r="V3881" s="4"/>
      <c r="X3881" s="4"/>
      <c r="Y3881" s="4"/>
    </row>
    <row r="3882" spans="20:25" x14ac:dyDescent="0.25">
      <c r="T3882" s="10"/>
      <c r="U3882" s="4"/>
      <c r="V3882" s="4"/>
      <c r="X3882" s="4"/>
      <c r="Y3882" s="4"/>
    </row>
    <row r="3883" spans="20:25" x14ac:dyDescent="0.25">
      <c r="T3883" s="10"/>
      <c r="U3883" s="4"/>
      <c r="V3883" s="4"/>
      <c r="X3883" s="4"/>
      <c r="Y3883" s="4"/>
    </row>
    <row r="3884" spans="20:25" x14ac:dyDescent="0.25">
      <c r="T3884" s="10"/>
      <c r="U3884" s="4"/>
      <c r="V3884" s="4"/>
      <c r="X3884" s="4"/>
      <c r="Y3884" s="4"/>
    </row>
    <row r="3885" spans="20:25" x14ac:dyDescent="0.25">
      <c r="T3885" s="10"/>
      <c r="U3885" s="4"/>
      <c r="V3885" s="4"/>
      <c r="X3885" s="4"/>
      <c r="Y3885" s="4"/>
    </row>
    <row r="3886" spans="20:25" x14ac:dyDescent="0.25">
      <c r="T3886" s="10"/>
      <c r="U3886" s="4"/>
      <c r="V3886" s="4"/>
      <c r="X3886" s="4"/>
      <c r="Y3886" s="4"/>
    </row>
    <row r="3887" spans="20:25" x14ac:dyDescent="0.25">
      <c r="T3887" s="10"/>
      <c r="U3887" s="4"/>
      <c r="V3887" s="4"/>
      <c r="X3887" s="4"/>
      <c r="Y3887" s="4"/>
    </row>
    <row r="3888" spans="20:25" x14ac:dyDescent="0.25">
      <c r="T3888" s="10"/>
      <c r="U3888" s="4"/>
      <c r="V3888" s="4"/>
      <c r="X3888" s="4"/>
      <c r="Y3888" s="4"/>
    </row>
    <row r="3889" spans="20:25" x14ac:dyDescent="0.25">
      <c r="T3889" s="10"/>
      <c r="U3889" s="4"/>
      <c r="V3889" s="4"/>
      <c r="X3889" s="4"/>
      <c r="Y3889" s="4"/>
    </row>
    <row r="3890" spans="20:25" x14ac:dyDescent="0.25">
      <c r="T3890" s="10"/>
      <c r="U3890" s="4"/>
      <c r="V3890" s="4"/>
      <c r="X3890" s="4"/>
      <c r="Y3890" s="4"/>
    </row>
    <row r="3891" spans="20:25" x14ac:dyDescent="0.25">
      <c r="T3891" s="10"/>
      <c r="U3891" s="4"/>
      <c r="V3891" s="4"/>
      <c r="X3891" s="4"/>
      <c r="Y3891" s="4"/>
    </row>
    <row r="3892" spans="20:25" x14ac:dyDescent="0.25">
      <c r="T3892" s="10"/>
      <c r="U3892" s="4"/>
      <c r="V3892" s="4"/>
      <c r="X3892" s="4"/>
      <c r="Y3892" s="4"/>
    </row>
    <row r="3893" spans="20:25" x14ac:dyDescent="0.25">
      <c r="T3893" s="10"/>
      <c r="U3893" s="4"/>
      <c r="V3893" s="4"/>
      <c r="X3893" s="4"/>
      <c r="Y3893" s="4"/>
    </row>
    <row r="3894" spans="20:25" x14ac:dyDescent="0.25">
      <c r="T3894" s="10"/>
      <c r="U3894" s="4"/>
      <c r="V3894" s="4"/>
      <c r="X3894" s="4"/>
      <c r="Y3894" s="4"/>
    </row>
    <row r="3895" spans="20:25" x14ac:dyDescent="0.25">
      <c r="T3895" s="10"/>
      <c r="U3895" s="4"/>
      <c r="V3895" s="4"/>
      <c r="X3895" s="4"/>
      <c r="Y3895" s="4"/>
    </row>
    <row r="3896" spans="20:25" x14ac:dyDescent="0.25">
      <c r="T3896" s="10"/>
      <c r="U3896" s="4"/>
      <c r="V3896" s="4"/>
      <c r="X3896" s="4"/>
      <c r="Y3896" s="4"/>
    </row>
    <row r="3897" spans="20:25" x14ac:dyDescent="0.25">
      <c r="T3897" s="10"/>
      <c r="U3897" s="4"/>
      <c r="V3897" s="4"/>
      <c r="X3897" s="4"/>
      <c r="Y3897" s="4"/>
    </row>
    <row r="3898" spans="20:25" x14ac:dyDescent="0.25">
      <c r="T3898" s="10"/>
      <c r="U3898" s="4"/>
      <c r="V3898" s="4"/>
      <c r="X3898" s="4"/>
      <c r="Y3898" s="4"/>
    </row>
    <row r="3899" spans="20:25" x14ac:dyDescent="0.25">
      <c r="T3899" s="10"/>
      <c r="U3899" s="4"/>
      <c r="V3899" s="4"/>
      <c r="X3899" s="4"/>
      <c r="Y3899" s="4"/>
    </row>
    <row r="3900" spans="20:25" x14ac:dyDescent="0.25">
      <c r="T3900" s="10"/>
      <c r="U3900" s="4"/>
      <c r="V3900" s="4"/>
      <c r="X3900" s="4"/>
      <c r="Y3900" s="4"/>
    </row>
    <row r="3901" spans="20:25" x14ac:dyDescent="0.25">
      <c r="T3901" s="10"/>
      <c r="U3901" s="4"/>
      <c r="V3901" s="4"/>
      <c r="X3901" s="4"/>
      <c r="Y3901" s="4"/>
    </row>
    <row r="3902" spans="20:25" x14ac:dyDescent="0.25">
      <c r="T3902" s="10"/>
      <c r="U3902" s="4"/>
      <c r="V3902" s="4"/>
      <c r="X3902" s="4"/>
      <c r="Y3902" s="4"/>
    </row>
    <row r="3903" spans="20:25" x14ac:dyDescent="0.25">
      <c r="T3903" s="10"/>
      <c r="U3903" s="4"/>
      <c r="V3903" s="4"/>
      <c r="X3903" s="4"/>
      <c r="Y3903" s="4"/>
    </row>
    <row r="3904" spans="20:25" x14ac:dyDescent="0.25">
      <c r="T3904" s="10"/>
      <c r="U3904" s="4"/>
      <c r="V3904" s="4"/>
      <c r="X3904" s="4"/>
      <c r="Y3904" s="4"/>
    </row>
    <row r="3905" spans="20:25" x14ac:dyDescent="0.25">
      <c r="T3905" s="10"/>
      <c r="U3905" s="4"/>
      <c r="V3905" s="4"/>
      <c r="X3905" s="4"/>
      <c r="Y3905" s="4"/>
    </row>
    <row r="3906" spans="20:25" x14ac:dyDescent="0.25">
      <c r="T3906" s="10"/>
      <c r="U3906" s="4"/>
      <c r="V3906" s="4"/>
      <c r="X3906" s="4"/>
      <c r="Y3906" s="4"/>
    </row>
    <row r="3907" spans="20:25" x14ac:dyDescent="0.25">
      <c r="T3907" s="10"/>
      <c r="U3907" s="4"/>
      <c r="V3907" s="4"/>
      <c r="X3907" s="4"/>
      <c r="Y3907" s="4"/>
    </row>
    <row r="3908" spans="20:25" x14ac:dyDescent="0.25">
      <c r="T3908" s="10"/>
      <c r="U3908" s="4"/>
      <c r="V3908" s="4"/>
      <c r="X3908" s="4"/>
      <c r="Y3908" s="4"/>
    </row>
    <row r="3909" spans="20:25" x14ac:dyDescent="0.25">
      <c r="T3909" s="10"/>
      <c r="U3909" s="4"/>
      <c r="V3909" s="4"/>
      <c r="X3909" s="4"/>
      <c r="Y3909" s="4"/>
    </row>
    <row r="3910" spans="20:25" x14ac:dyDescent="0.25">
      <c r="T3910" s="10"/>
      <c r="U3910" s="4"/>
      <c r="V3910" s="4"/>
      <c r="X3910" s="4"/>
      <c r="Y3910" s="4"/>
    </row>
    <row r="3911" spans="20:25" x14ac:dyDescent="0.25">
      <c r="T3911" s="10"/>
      <c r="U3911" s="4"/>
      <c r="V3911" s="4"/>
      <c r="X3911" s="4"/>
      <c r="Y3911" s="4"/>
    </row>
    <row r="3912" spans="20:25" x14ac:dyDescent="0.25">
      <c r="T3912" s="10"/>
      <c r="U3912" s="4"/>
      <c r="V3912" s="4"/>
      <c r="X3912" s="4"/>
      <c r="Y3912" s="4"/>
    </row>
    <row r="3913" spans="20:25" x14ac:dyDescent="0.25">
      <c r="T3913" s="10"/>
      <c r="U3913" s="4"/>
      <c r="V3913" s="4"/>
      <c r="X3913" s="4"/>
      <c r="Y3913" s="4"/>
    </row>
    <row r="3914" spans="20:25" x14ac:dyDescent="0.25">
      <c r="T3914" s="10"/>
      <c r="U3914" s="4"/>
      <c r="V3914" s="4"/>
      <c r="X3914" s="4"/>
      <c r="Y3914" s="4"/>
    </row>
    <row r="3915" spans="20:25" x14ac:dyDescent="0.25">
      <c r="T3915" s="10"/>
      <c r="U3915" s="4"/>
      <c r="V3915" s="4"/>
      <c r="X3915" s="4"/>
      <c r="Y3915" s="4"/>
    </row>
    <row r="3916" spans="20:25" x14ac:dyDescent="0.25">
      <c r="T3916" s="10"/>
      <c r="U3916" s="4"/>
      <c r="V3916" s="4"/>
      <c r="X3916" s="4"/>
      <c r="Y3916" s="4"/>
    </row>
    <row r="3917" spans="20:25" x14ac:dyDescent="0.25">
      <c r="T3917" s="10"/>
      <c r="U3917" s="4"/>
      <c r="V3917" s="4"/>
      <c r="X3917" s="4"/>
      <c r="Y3917" s="4"/>
    </row>
    <row r="3918" spans="20:25" x14ac:dyDescent="0.25">
      <c r="T3918" s="10"/>
      <c r="U3918" s="4"/>
      <c r="V3918" s="4"/>
      <c r="X3918" s="4"/>
      <c r="Y3918" s="4"/>
    </row>
    <row r="3919" spans="20:25" x14ac:dyDescent="0.25">
      <c r="T3919" s="10"/>
      <c r="U3919" s="4"/>
      <c r="V3919" s="4"/>
      <c r="X3919" s="4"/>
      <c r="Y3919" s="4"/>
    </row>
    <row r="3920" spans="20:25" x14ac:dyDescent="0.25">
      <c r="T3920" s="10"/>
      <c r="U3920" s="4"/>
      <c r="V3920" s="4"/>
      <c r="X3920" s="4"/>
      <c r="Y3920" s="4"/>
    </row>
    <row r="3921" spans="20:25" x14ac:dyDescent="0.25">
      <c r="T3921" s="10"/>
      <c r="U3921" s="4"/>
      <c r="V3921" s="4"/>
      <c r="X3921" s="4"/>
      <c r="Y3921" s="4"/>
    </row>
    <row r="3922" spans="20:25" x14ac:dyDescent="0.25">
      <c r="T3922" s="10"/>
      <c r="U3922" s="4"/>
      <c r="V3922" s="4"/>
      <c r="X3922" s="4"/>
      <c r="Y3922" s="4"/>
    </row>
    <row r="3923" spans="20:25" x14ac:dyDescent="0.25">
      <c r="T3923" s="10"/>
      <c r="U3923" s="4"/>
      <c r="V3923" s="4"/>
      <c r="X3923" s="4"/>
      <c r="Y3923" s="4"/>
    </row>
    <row r="3924" spans="20:25" x14ac:dyDescent="0.25">
      <c r="T3924" s="10"/>
      <c r="U3924" s="4"/>
      <c r="V3924" s="4"/>
      <c r="X3924" s="4"/>
      <c r="Y3924" s="4"/>
    </row>
    <row r="3925" spans="20:25" x14ac:dyDescent="0.25">
      <c r="T3925" s="10"/>
      <c r="U3925" s="4"/>
      <c r="V3925" s="4"/>
      <c r="X3925" s="4"/>
      <c r="Y3925" s="4"/>
    </row>
    <row r="3926" spans="20:25" x14ac:dyDescent="0.25">
      <c r="T3926" s="10"/>
      <c r="U3926" s="4"/>
      <c r="V3926" s="4"/>
      <c r="X3926" s="4"/>
      <c r="Y3926" s="4"/>
    </row>
    <row r="3927" spans="20:25" x14ac:dyDescent="0.25">
      <c r="T3927" s="10"/>
      <c r="U3927" s="4"/>
      <c r="V3927" s="4"/>
      <c r="X3927" s="4"/>
      <c r="Y3927" s="4"/>
    </row>
    <row r="3928" spans="20:25" x14ac:dyDescent="0.25">
      <c r="T3928" s="10"/>
      <c r="U3928" s="4"/>
      <c r="V3928" s="4"/>
      <c r="X3928" s="4"/>
      <c r="Y3928" s="4"/>
    </row>
    <row r="3929" spans="20:25" x14ac:dyDescent="0.25">
      <c r="T3929" s="10"/>
      <c r="U3929" s="4"/>
      <c r="V3929" s="4"/>
      <c r="X3929" s="4"/>
      <c r="Y3929" s="4"/>
    </row>
    <row r="3930" spans="20:25" x14ac:dyDescent="0.25">
      <c r="T3930" s="10"/>
      <c r="U3930" s="4"/>
      <c r="V3930" s="4"/>
      <c r="X3930" s="4"/>
      <c r="Y3930" s="4"/>
    </row>
    <row r="3931" spans="20:25" x14ac:dyDescent="0.25">
      <c r="T3931" s="10"/>
      <c r="U3931" s="4"/>
      <c r="V3931" s="4"/>
      <c r="X3931" s="4"/>
      <c r="Y3931" s="4"/>
    </row>
    <row r="3932" spans="20:25" x14ac:dyDescent="0.25">
      <c r="T3932" s="10"/>
      <c r="U3932" s="4"/>
      <c r="V3932" s="4"/>
      <c r="X3932" s="4"/>
      <c r="Y3932" s="4"/>
    </row>
    <row r="3933" spans="20:25" x14ac:dyDescent="0.25">
      <c r="T3933" s="10"/>
      <c r="U3933" s="4"/>
      <c r="V3933" s="4"/>
      <c r="X3933" s="4"/>
      <c r="Y3933" s="4"/>
    </row>
    <row r="3934" spans="20:25" x14ac:dyDescent="0.25">
      <c r="T3934" s="10"/>
      <c r="U3934" s="4"/>
      <c r="V3934" s="4"/>
      <c r="X3934" s="4"/>
      <c r="Y3934" s="4"/>
    </row>
    <row r="3935" spans="20:25" x14ac:dyDescent="0.25">
      <c r="T3935" s="10"/>
      <c r="U3935" s="4"/>
      <c r="V3935" s="4"/>
      <c r="X3935" s="4"/>
      <c r="Y3935" s="4"/>
    </row>
    <row r="3936" spans="20:25" x14ac:dyDescent="0.25">
      <c r="T3936" s="10"/>
      <c r="U3936" s="4"/>
      <c r="V3936" s="4"/>
      <c r="X3936" s="4"/>
      <c r="Y3936" s="4"/>
    </row>
    <row r="3937" spans="20:25" x14ac:dyDescent="0.25">
      <c r="T3937" s="10"/>
      <c r="U3937" s="4"/>
      <c r="V3937" s="4"/>
      <c r="X3937" s="4"/>
      <c r="Y3937" s="4"/>
    </row>
    <row r="3938" spans="20:25" x14ac:dyDescent="0.25">
      <c r="T3938" s="10"/>
      <c r="U3938" s="4"/>
      <c r="V3938" s="4"/>
      <c r="X3938" s="4"/>
      <c r="Y3938" s="4"/>
    </row>
    <row r="3939" spans="20:25" x14ac:dyDescent="0.25">
      <c r="T3939" s="10"/>
      <c r="U3939" s="4"/>
      <c r="V3939" s="4"/>
      <c r="X3939" s="4"/>
      <c r="Y3939" s="4"/>
    </row>
    <row r="3940" spans="20:25" x14ac:dyDescent="0.25">
      <c r="T3940" s="10"/>
      <c r="U3940" s="4"/>
      <c r="V3940" s="4"/>
      <c r="X3940" s="4"/>
      <c r="Y3940" s="4"/>
    </row>
    <row r="3941" spans="20:25" x14ac:dyDescent="0.25">
      <c r="T3941" s="10"/>
      <c r="U3941" s="4"/>
      <c r="V3941" s="4"/>
      <c r="X3941" s="4"/>
      <c r="Y3941" s="4"/>
    </row>
    <row r="3942" spans="20:25" x14ac:dyDescent="0.25">
      <c r="T3942" s="10"/>
      <c r="U3942" s="4"/>
      <c r="V3942" s="4"/>
      <c r="X3942" s="4"/>
      <c r="Y3942" s="4"/>
    </row>
    <row r="3943" spans="20:25" x14ac:dyDescent="0.25">
      <c r="T3943" s="10"/>
      <c r="U3943" s="4"/>
      <c r="V3943" s="4"/>
      <c r="X3943" s="4"/>
      <c r="Y3943" s="4"/>
    </row>
    <row r="3944" spans="20:25" x14ac:dyDescent="0.25">
      <c r="T3944" s="10"/>
      <c r="U3944" s="4"/>
      <c r="V3944" s="4"/>
      <c r="X3944" s="4"/>
      <c r="Y3944" s="4"/>
    </row>
    <row r="3945" spans="20:25" x14ac:dyDescent="0.25">
      <c r="T3945" s="10"/>
      <c r="U3945" s="4"/>
      <c r="V3945" s="4"/>
      <c r="X3945" s="4"/>
      <c r="Y3945" s="4"/>
    </row>
    <row r="3946" spans="20:25" x14ac:dyDescent="0.25">
      <c r="T3946" s="10"/>
      <c r="U3946" s="4"/>
      <c r="V3946" s="4"/>
      <c r="X3946" s="4"/>
      <c r="Y3946" s="4"/>
    </row>
    <row r="3947" spans="20:25" x14ac:dyDescent="0.25">
      <c r="T3947" s="10"/>
      <c r="U3947" s="4"/>
      <c r="V3947" s="4"/>
      <c r="X3947" s="4"/>
      <c r="Y3947" s="4"/>
    </row>
    <row r="3948" spans="20:25" x14ac:dyDescent="0.25">
      <c r="T3948" s="10"/>
      <c r="U3948" s="4"/>
      <c r="V3948" s="4"/>
      <c r="X3948" s="4"/>
      <c r="Y3948" s="4"/>
    </row>
    <row r="3949" spans="20:25" x14ac:dyDescent="0.25">
      <c r="T3949" s="10"/>
      <c r="U3949" s="4"/>
      <c r="V3949" s="4"/>
      <c r="X3949" s="4"/>
      <c r="Y3949" s="4"/>
    </row>
    <row r="3950" spans="20:25" x14ac:dyDescent="0.25">
      <c r="T3950" s="10"/>
      <c r="U3950" s="4"/>
      <c r="V3950" s="4"/>
      <c r="X3950" s="4"/>
      <c r="Y3950" s="4"/>
    </row>
    <row r="3951" spans="20:25" x14ac:dyDescent="0.25">
      <c r="T3951" s="10"/>
      <c r="U3951" s="4"/>
      <c r="V3951" s="4"/>
      <c r="X3951" s="4"/>
      <c r="Y3951" s="4"/>
    </row>
    <row r="3952" spans="20:25" x14ac:dyDescent="0.25">
      <c r="T3952" s="10"/>
      <c r="U3952" s="4"/>
      <c r="V3952" s="4"/>
      <c r="X3952" s="4"/>
      <c r="Y3952" s="4"/>
    </row>
    <row r="3953" spans="20:25" x14ac:dyDescent="0.25">
      <c r="T3953" s="10"/>
      <c r="U3953" s="4"/>
      <c r="V3953" s="4"/>
      <c r="X3953" s="4"/>
      <c r="Y3953" s="4"/>
    </row>
    <row r="3954" spans="20:25" x14ac:dyDescent="0.25">
      <c r="T3954" s="10"/>
      <c r="U3954" s="4"/>
      <c r="V3954" s="4"/>
      <c r="X3954" s="4"/>
      <c r="Y3954" s="4"/>
    </row>
    <row r="3955" spans="20:25" x14ac:dyDescent="0.25">
      <c r="T3955" s="10"/>
      <c r="U3955" s="4"/>
      <c r="V3955" s="4"/>
      <c r="X3955" s="4"/>
      <c r="Y3955" s="4"/>
    </row>
    <row r="3956" spans="20:25" x14ac:dyDescent="0.25">
      <c r="T3956" s="10"/>
      <c r="U3956" s="4"/>
      <c r="V3956" s="4"/>
      <c r="X3956" s="4"/>
      <c r="Y3956" s="4"/>
    </row>
    <row r="3957" spans="20:25" x14ac:dyDescent="0.25">
      <c r="T3957" s="10"/>
      <c r="U3957" s="4"/>
      <c r="V3957" s="4"/>
      <c r="X3957" s="4"/>
      <c r="Y3957" s="4"/>
    </row>
    <row r="3958" spans="20:25" x14ac:dyDescent="0.25">
      <c r="T3958" s="10"/>
      <c r="U3958" s="4"/>
      <c r="V3958" s="4"/>
      <c r="X3958" s="4"/>
      <c r="Y3958" s="4"/>
    </row>
    <row r="3959" spans="20:25" x14ac:dyDescent="0.25">
      <c r="T3959" s="10"/>
      <c r="U3959" s="4"/>
      <c r="V3959" s="4"/>
      <c r="X3959" s="4"/>
      <c r="Y3959" s="4"/>
    </row>
    <row r="3960" spans="20:25" x14ac:dyDescent="0.25">
      <c r="T3960" s="10"/>
      <c r="U3960" s="4"/>
      <c r="V3960" s="4"/>
      <c r="X3960" s="4"/>
      <c r="Y3960" s="4"/>
    </row>
    <row r="3961" spans="20:25" x14ac:dyDescent="0.25">
      <c r="T3961" s="10"/>
      <c r="U3961" s="4"/>
      <c r="V3961" s="4"/>
      <c r="X3961" s="4"/>
      <c r="Y3961" s="4"/>
    </row>
    <row r="3962" spans="20:25" x14ac:dyDescent="0.25">
      <c r="T3962" s="10"/>
      <c r="U3962" s="4"/>
      <c r="V3962" s="4"/>
      <c r="X3962" s="4"/>
      <c r="Y3962" s="4"/>
    </row>
    <row r="3963" spans="20:25" x14ac:dyDescent="0.25">
      <c r="T3963" s="10"/>
      <c r="U3963" s="4"/>
      <c r="V3963" s="4"/>
      <c r="X3963" s="4"/>
      <c r="Y3963" s="4"/>
    </row>
    <row r="3964" spans="20:25" x14ac:dyDescent="0.25">
      <c r="T3964" s="10"/>
      <c r="U3964" s="4"/>
      <c r="V3964" s="4"/>
      <c r="X3964" s="4"/>
      <c r="Y3964" s="4"/>
    </row>
    <row r="3965" spans="20:25" x14ac:dyDescent="0.25">
      <c r="T3965" s="10"/>
      <c r="U3965" s="4"/>
      <c r="V3965" s="4"/>
      <c r="X3965" s="4"/>
      <c r="Y3965" s="4"/>
    </row>
    <row r="3966" spans="20:25" x14ac:dyDescent="0.25">
      <c r="T3966" s="10"/>
      <c r="U3966" s="4"/>
      <c r="V3966" s="4"/>
      <c r="X3966" s="4"/>
      <c r="Y3966" s="4"/>
    </row>
    <row r="3967" spans="20:25" x14ac:dyDescent="0.25">
      <c r="T3967" s="10"/>
      <c r="U3967" s="4"/>
      <c r="V3967" s="4"/>
      <c r="X3967" s="4"/>
      <c r="Y3967" s="4"/>
    </row>
    <row r="3968" spans="20:25" x14ac:dyDescent="0.25">
      <c r="T3968" s="10"/>
      <c r="U3968" s="4"/>
      <c r="V3968" s="4"/>
      <c r="X3968" s="4"/>
      <c r="Y3968" s="4"/>
    </row>
    <row r="3969" spans="20:25" x14ac:dyDescent="0.25">
      <c r="T3969" s="10"/>
      <c r="U3969" s="4"/>
      <c r="V3969" s="4"/>
      <c r="X3969" s="4"/>
      <c r="Y3969" s="4"/>
    </row>
    <row r="3970" spans="20:25" x14ac:dyDescent="0.25">
      <c r="T3970" s="10"/>
      <c r="U3970" s="4"/>
      <c r="V3970" s="4"/>
      <c r="X3970" s="4"/>
      <c r="Y3970" s="4"/>
    </row>
    <row r="3971" spans="20:25" x14ac:dyDescent="0.25">
      <c r="T3971" s="10"/>
      <c r="U3971" s="4"/>
      <c r="V3971" s="4"/>
      <c r="X3971" s="4"/>
      <c r="Y3971" s="4"/>
    </row>
    <row r="3972" spans="20:25" x14ac:dyDescent="0.25">
      <c r="T3972" s="10"/>
      <c r="U3972" s="4"/>
      <c r="V3972" s="4"/>
      <c r="X3972" s="4"/>
      <c r="Y3972" s="4"/>
    </row>
    <row r="3973" spans="20:25" x14ac:dyDescent="0.25">
      <c r="T3973" s="10"/>
      <c r="U3973" s="4"/>
      <c r="V3973" s="4"/>
      <c r="X3973" s="4"/>
      <c r="Y3973" s="4"/>
    </row>
    <row r="3974" spans="20:25" x14ac:dyDescent="0.25">
      <c r="T3974" s="10"/>
      <c r="U3974" s="4"/>
      <c r="V3974" s="4"/>
      <c r="X3974" s="4"/>
      <c r="Y3974" s="4"/>
    </row>
    <row r="3975" spans="20:25" x14ac:dyDescent="0.25">
      <c r="T3975" s="10"/>
      <c r="U3975" s="4"/>
      <c r="V3975" s="4"/>
      <c r="X3975" s="4"/>
      <c r="Y3975" s="4"/>
    </row>
    <row r="3976" spans="20:25" x14ac:dyDescent="0.25">
      <c r="T3976" s="10"/>
      <c r="U3976" s="4"/>
      <c r="V3976" s="4"/>
      <c r="X3976" s="4"/>
      <c r="Y3976" s="4"/>
    </row>
    <row r="3977" spans="20:25" x14ac:dyDescent="0.25">
      <c r="T3977" s="10"/>
      <c r="U3977" s="4"/>
      <c r="V3977" s="4"/>
      <c r="X3977" s="4"/>
      <c r="Y3977" s="4"/>
    </row>
    <row r="3978" spans="20:25" x14ac:dyDescent="0.25">
      <c r="T3978" s="10"/>
      <c r="U3978" s="4"/>
      <c r="V3978" s="4"/>
      <c r="X3978" s="4"/>
      <c r="Y3978" s="4"/>
    </row>
    <row r="3979" spans="20:25" x14ac:dyDescent="0.25">
      <c r="T3979" s="10"/>
      <c r="U3979" s="4"/>
      <c r="V3979" s="4"/>
      <c r="X3979" s="4"/>
      <c r="Y3979" s="4"/>
    </row>
    <row r="3980" spans="20:25" x14ac:dyDescent="0.25">
      <c r="T3980" s="10"/>
      <c r="U3980" s="4"/>
      <c r="V3980" s="4"/>
      <c r="X3980" s="4"/>
      <c r="Y3980" s="4"/>
    </row>
    <row r="3981" spans="20:25" x14ac:dyDescent="0.25">
      <c r="T3981" s="10"/>
      <c r="U3981" s="4"/>
      <c r="V3981" s="4"/>
      <c r="X3981" s="4"/>
      <c r="Y3981" s="4"/>
    </row>
    <row r="3982" spans="20:25" x14ac:dyDescent="0.25">
      <c r="T3982" s="10"/>
      <c r="U3982" s="4"/>
      <c r="V3982" s="4"/>
      <c r="X3982" s="4"/>
      <c r="Y3982" s="4"/>
    </row>
    <row r="3983" spans="20:25" x14ac:dyDescent="0.25">
      <c r="T3983" s="10"/>
      <c r="U3983" s="4"/>
      <c r="V3983" s="4"/>
      <c r="X3983" s="4"/>
      <c r="Y3983" s="4"/>
    </row>
    <row r="3984" spans="20:25" x14ac:dyDescent="0.25">
      <c r="T3984" s="10"/>
      <c r="U3984" s="4"/>
      <c r="V3984" s="4"/>
      <c r="X3984" s="4"/>
      <c r="Y3984" s="4"/>
    </row>
    <row r="3985" spans="20:25" x14ac:dyDescent="0.25">
      <c r="T3985" s="10"/>
      <c r="U3985" s="4"/>
      <c r="V3985" s="4"/>
      <c r="X3985" s="4"/>
      <c r="Y3985" s="4"/>
    </row>
    <row r="3986" spans="20:25" x14ac:dyDescent="0.25">
      <c r="T3986" s="10"/>
      <c r="U3986" s="4"/>
      <c r="V3986" s="4"/>
      <c r="X3986" s="4"/>
      <c r="Y3986" s="4"/>
    </row>
    <row r="3987" spans="20:25" x14ac:dyDescent="0.25">
      <c r="T3987" s="10"/>
      <c r="U3987" s="4"/>
      <c r="V3987" s="4"/>
      <c r="X3987" s="4"/>
      <c r="Y3987" s="4"/>
    </row>
    <row r="3988" spans="20:25" x14ac:dyDescent="0.25">
      <c r="T3988" s="10"/>
      <c r="U3988" s="4"/>
      <c r="V3988" s="4"/>
      <c r="X3988" s="4"/>
      <c r="Y3988" s="4"/>
    </row>
    <row r="3989" spans="20:25" x14ac:dyDescent="0.25">
      <c r="T3989" s="10"/>
      <c r="U3989" s="4"/>
      <c r="V3989" s="4"/>
      <c r="X3989" s="4"/>
      <c r="Y3989" s="4"/>
    </row>
    <row r="3990" spans="20:25" x14ac:dyDescent="0.25">
      <c r="T3990" s="10"/>
      <c r="U3990" s="4"/>
      <c r="V3990" s="4"/>
      <c r="X3990" s="4"/>
      <c r="Y3990" s="4"/>
    </row>
    <row r="3991" spans="20:25" x14ac:dyDescent="0.25">
      <c r="T3991" s="10"/>
      <c r="U3991" s="4"/>
      <c r="V3991" s="4"/>
      <c r="X3991" s="4"/>
      <c r="Y3991" s="4"/>
    </row>
    <row r="3992" spans="20:25" x14ac:dyDescent="0.25">
      <c r="T3992" s="10"/>
      <c r="U3992" s="4"/>
      <c r="V3992" s="4"/>
      <c r="X3992" s="4"/>
      <c r="Y3992" s="4"/>
    </row>
    <row r="3993" spans="20:25" x14ac:dyDescent="0.25">
      <c r="T3993" s="10"/>
      <c r="U3993" s="4"/>
      <c r="V3993" s="4"/>
      <c r="X3993" s="4"/>
      <c r="Y3993" s="4"/>
    </row>
    <row r="3994" spans="20:25" x14ac:dyDescent="0.25">
      <c r="T3994" s="10"/>
      <c r="U3994" s="4"/>
      <c r="V3994" s="4"/>
      <c r="X3994" s="4"/>
      <c r="Y3994" s="4"/>
    </row>
    <row r="3995" spans="20:25" x14ac:dyDescent="0.25">
      <c r="T3995" s="10"/>
      <c r="U3995" s="4"/>
      <c r="V3995" s="4"/>
      <c r="X3995" s="4"/>
      <c r="Y3995" s="4"/>
    </row>
    <row r="3996" spans="20:25" x14ac:dyDescent="0.25">
      <c r="T3996" s="10"/>
      <c r="U3996" s="4"/>
      <c r="V3996" s="4"/>
      <c r="X3996" s="4"/>
      <c r="Y3996" s="4"/>
    </row>
    <row r="3997" spans="20:25" x14ac:dyDescent="0.25">
      <c r="T3997" s="10"/>
      <c r="U3997" s="4"/>
      <c r="V3997" s="4"/>
      <c r="X3997" s="4"/>
      <c r="Y3997" s="4"/>
    </row>
    <row r="3998" spans="20:25" x14ac:dyDescent="0.25">
      <c r="T3998" s="10"/>
      <c r="U3998" s="4"/>
      <c r="V3998" s="4"/>
      <c r="X3998" s="4"/>
      <c r="Y3998" s="4"/>
    </row>
    <row r="3999" spans="20:25" x14ac:dyDescent="0.25">
      <c r="T3999" s="10"/>
      <c r="U3999" s="4"/>
      <c r="V3999" s="4"/>
      <c r="X3999" s="4"/>
      <c r="Y3999" s="4"/>
    </row>
    <row r="4000" spans="20:25" x14ac:dyDescent="0.25">
      <c r="T4000" s="10"/>
      <c r="U4000" s="4"/>
      <c r="V4000" s="4"/>
      <c r="X4000" s="4"/>
      <c r="Y4000" s="4"/>
    </row>
    <row r="4001" spans="20:25" x14ac:dyDescent="0.25">
      <c r="T4001" s="10"/>
      <c r="U4001" s="4"/>
      <c r="V4001" s="4"/>
      <c r="X4001" s="4"/>
      <c r="Y4001" s="4"/>
    </row>
    <row r="4002" spans="20:25" x14ac:dyDescent="0.25">
      <c r="T4002" s="10"/>
      <c r="U4002" s="4"/>
      <c r="V4002" s="4"/>
      <c r="X4002" s="4"/>
      <c r="Y4002" s="4"/>
    </row>
    <row r="4003" spans="20:25" x14ac:dyDescent="0.25">
      <c r="T4003" s="10"/>
      <c r="U4003" s="4"/>
      <c r="V4003" s="4"/>
      <c r="X4003" s="4"/>
      <c r="Y4003" s="4"/>
    </row>
    <row r="4004" spans="20:25" x14ac:dyDescent="0.25">
      <c r="T4004" s="10"/>
      <c r="U4004" s="4"/>
      <c r="V4004" s="4"/>
      <c r="X4004" s="4"/>
      <c r="Y4004" s="4"/>
    </row>
    <row r="4005" spans="20:25" x14ac:dyDescent="0.25">
      <c r="T4005" s="10"/>
      <c r="U4005" s="4"/>
      <c r="V4005" s="4"/>
      <c r="X4005" s="4"/>
      <c r="Y4005" s="4"/>
    </row>
    <row r="4006" spans="20:25" x14ac:dyDescent="0.25">
      <c r="T4006" s="10"/>
      <c r="U4006" s="4"/>
      <c r="V4006" s="4"/>
      <c r="X4006" s="4"/>
      <c r="Y4006" s="4"/>
    </row>
    <row r="4007" spans="20:25" x14ac:dyDescent="0.25">
      <c r="T4007" s="10"/>
      <c r="U4007" s="4"/>
      <c r="V4007" s="4"/>
      <c r="X4007" s="4"/>
      <c r="Y4007" s="4"/>
    </row>
    <row r="4008" spans="20:25" x14ac:dyDescent="0.25">
      <c r="T4008" s="10"/>
      <c r="U4008" s="4"/>
      <c r="V4008" s="4"/>
      <c r="X4008" s="4"/>
      <c r="Y4008" s="4"/>
    </row>
    <row r="4009" spans="20:25" x14ac:dyDescent="0.25">
      <c r="T4009" s="10"/>
      <c r="U4009" s="4"/>
      <c r="V4009" s="4"/>
      <c r="X4009" s="4"/>
      <c r="Y4009" s="4"/>
    </row>
    <row r="4010" spans="20:25" x14ac:dyDescent="0.25">
      <c r="T4010" s="10"/>
      <c r="U4010" s="4"/>
      <c r="V4010" s="4"/>
      <c r="X4010" s="4"/>
      <c r="Y4010" s="4"/>
    </row>
    <row r="4011" spans="20:25" x14ac:dyDescent="0.25">
      <c r="T4011" s="10"/>
      <c r="U4011" s="4"/>
      <c r="V4011" s="4"/>
      <c r="X4011" s="4"/>
      <c r="Y4011" s="4"/>
    </row>
    <row r="4012" spans="20:25" x14ac:dyDescent="0.25">
      <c r="T4012" s="10"/>
      <c r="U4012" s="4"/>
      <c r="V4012" s="4"/>
      <c r="X4012" s="4"/>
      <c r="Y4012" s="4"/>
    </row>
    <row r="4013" spans="20:25" x14ac:dyDescent="0.25">
      <c r="T4013" s="10"/>
      <c r="U4013" s="4"/>
      <c r="V4013" s="4"/>
      <c r="X4013" s="4"/>
      <c r="Y4013" s="4"/>
    </row>
    <row r="4014" spans="20:25" x14ac:dyDescent="0.25">
      <c r="T4014" s="10"/>
      <c r="U4014" s="4"/>
      <c r="V4014" s="4"/>
      <c r="X4014" s="4"/>
      <c r="Y4014" s="4"/>
    </row>
    <row r="4015" spans="20:25" x14ac:dyDescent="0.25">
      <c r="T4015" s="10"/>
      <c r="U4015" s="4"/>
      <c r="V4015" s="4"/>
      <c r="X4015" s="4"/>
      <c r="Y4015" s="4"/>
    </row>
    <row r="4016" spans="20:25" x14ac:dyDescent="0.25">
      <c r="T4016" s="10"/>
      <c r="U4016" s="4"/>
      <c r="V4016" s="4"/>
      <c r="X4016" s="4"/>
      <c r="Y4016" s="4"/>
    </row>
    <row r="4017" spans="20:25" x14ac:dyDescent="0.25">
      <c r="T4017" s="10"/>
      <c r="U4017" s="4"/>
      <c r="V4017" s="4"/>
      <c r="X4017" s="4"/>
      <c r="Y4017" s="4"/>
    </row>
    <row r="4018" spans="20:25" x14ac:dyDescent="0.25">
      <c r="T4018" s="10"/>
      <c r="U4018" s="4"/>
      <c r="V4018" s="4"/>
      <c r="X4018" s="4"/>
      <c r="Y4018" s="4"/>
    </row>
    <row r="4019" spans="20:25" x14ac:dyDescent="0.25">
      <c r="T4019" s="10"/>
      <c r="U4019" s="4"/>
      <c r="V4019" s="4"/>
      <c r="X4019" s="4"/>
      <c r="Y4019" s="4"/>
    </row>
    <row r="4020" spans="20:25" x14ac:dyDescent="0.25">
      <c r="T4020" s="10"/>
      <c r="U4020" s="4"/>
      <c r="V4020" s="4"/>
      <c r="X4020" s="4"/>
      <c r="Y4020" s="4"/>
    </row>
    <row r="4021" spans="20:25" x14ac:dyDescent="0.25">
      <c r="T4021" s="10"/>
      <c r="U4021" s="4"/>
      <c r="V4021" s="4"/>
      <c r="X4021" s="4"/>
      <c r="Y4021" s="4"/>
    </row>
    <row r="4022" spans="20:25" x14ac:dyDescent="0.25">
      <c r="T4022" s="10"/>
      <c r="U4022" s="4"/>
      <c r="V4022" s="4"/>
      <c r="X4022" s="4"/>
      <c r="Y4022" s="4"/>
    </row>
    <row r="4023" spans="20:25" x14ac:dyDescent="0.25">
      <c r="T4023" s="10"/>
      <c r="U4023" s="4"/>
      <c r="V4023" s="4"/>
      <c r="X4023" s="4"/>
      <c r="Y4023" s="4"/>
    </row>
    <row r="4024" spans="20:25" x14ac:dyDescent="0.25">
      <c r="T4024" s="10"/>
      <c r="U4024" s="4"/>
      <c r="V4024" s="4"/>
      <c r="X4024" s="4"/>
      <c r="Y4024" s="4"/>
    </row>
    <row r="4025" spans="20:25" x14ac:dyDescent="0.25">
      <c r="T4025" s="10"/>
      <c r="U4025" s="4"/>
      <c r="V4025" s="4"/>
      <c r="X4025" s="4"/>
      <c r="Y4025" s="4"/>
    </row>
    <row r="4026" spans="20:25" x14ac:dyDescent="0.25">
      <c r="T4026" s="10"/>
      <c r="U4026" s="4"/>
      <c r="V4026" s="4"/>
      <c r="X4026" s="4"/>
      <c r="Y4026" s="4"/>
    </row>
    <row r="4027" spans="20:25" x14ac:dyDescent="0.25">
      <c r="T4027" s="10"/>
      <c r="U4027" s="4"/>
      <c r="V4027" s="4"/>
      <c r="X4027" s="4"/>
      <c r="Y4027" s="4"/>
    </row>
    <row r="4028" spans="20:25" x14ac:dyDescent="0.25">
      <c r="T4028" s="10"/>
      <c r="U4028" s="4"/>
      <c r="V4028" s="4"/>
      <c r="X4028" s="4"/>
      <c r="Y4028" s="4"/>
    </row>
    <row r="4029" spans="20:25" x14ac:dyDescent="0.25">
      <c r="T4029" s="10"/>
      <c r="U4029" s="4"/>
      <c r="V4029" s="4"/>
      <c r="X4029" s="4"/>
      <c r="Y4029" s="4"/>
    </row>
    <row r="4030" spans="20:25" x14ac:dyDescent="0.25">
      <c r="T4030" s="10"/>
      <c r="U4030" s="4"/>
      <c r="V4030" s="4"/>
      <c r="X4030" s="4"/>
      <c r="Y4030" s="4"/>
    </row>
    <row r="4031" spans="20:25" x14ac:dyDescent="0.25">
      <c r="T4031" s="10"/>
      <c r="U4031" s="4"/>
      <c r="V4031" s="4"/>
      <c r="X4031" s="4"/>
      <c r="Y4031" s="4"/>
    </row>
    <row r="4032" spans="20:25" x14ac:dyDescent="0.25">
      <c r="T4032" s="10"/>
      <c r="U4032" s="4"/>
      <c r="V4032" s="4"/>
      <c r="X4032" s="4"/>
      <c r="Y4032" s="4"/>
    </row>
    <row r="4033" spans="20:25" x14ac:dyDescent="0.25">
      <c r="T4033" s="10"/>
      <c r="U4033" s="4"/>
      <c r="V4033" s="4"/>
      <c r="X4033" s="4"/>
      <c r="Y4033" s="4"/>
    </row>
    <row r="4034" spans="20:25" x14ac:dyDescent="0.25">
      <c r="T4034" s="10"/>
      <c r="U4034" s="4"/>
      <c r="V4034" s="4"/>
      <c r="X4034" s="4"/>
      <c r="Y4034" s="4"/>
    </row>
    <row r="4035" spans="20:25" x14ac:dyDescent="0.25">
      <c r="T4035" s="10"/>
      <c r="U4035" s="4"/>
      <c r="V4035" s="4"/>
      <c r="X4035" s="4"/>
      <c r="Y4035" s="4"/>
    </row>
    <row r="4036" spans="20:25" x14ac:dyDescent="0.25">
      <c r="T4036" s="10"/>
      <c r="U4036" s="4"/>
      <c r="V4036" s="4"/>
      <c r="X4036" s="4"/>
      <c r="Y4036" s="4"/>
    </row>
    <row r="4037" spans="20:25" x14ac:dyDescent="0.25">
      <c r="T4037" s="10"/>
      <c r="U4037" s="4"/>
      <c r="V4037" s="4"/>
      <c r="X4037" s="4"/>
      <c r="Y4037" s="4"/>
    </row>
    <row r="4038" spans="20:25" x14ac:dyDescent="0.25">
      <c r="T4038" s="10"/>
      <c r="U4038" s="4"/>
      <c r="V4038" s="4"/>
      <c r="X4038" s="4"/>
      <c r="Y4038" s="4"/>
    </row>
    <row r="4039" spans="20:25" x14ac:dyDescent="0.25">
      <c r="T4039" s="10"/>
      <c r="U4039" s="4"/>
      <c r="V4039" s="4"/>
      <c r="X4039" s="4"/>
      <c r="Y4039" s="4"/>
    </row>
    <row r="4040" spans="20:25" x14ac:dyDescent="0.25">
      <c r="T4040" s="10"/>
      <c r="U4040" s="4"/>
      <c r="V4040" s="4"/>
      <c r="X4040" s="4"/>
      <c r="Y4040" s="4"/>
    </row>
    <row r="4041" spans="20:25" x14ac:dyDescent="0.25">
      <c r="T4041" s="10"/>
      <c r="U4041" s="4"/>
      <c r="V4041" s="4"/>
      <c r="X4041" s="4"/>
      <c r="Y4041" s="4"/>
    </row>
    <row r="4042" spans="20:25" x14ac:dyDescent="0.25">
      <c r="T4042" s="10"/>
      <c r="U4042" s="4"/>
      <c r="V4042" s="4"/>
      <c r="X4042" s="4"/>
      <c r="Y4042" s="4"/>
    </row>
    <row r="4043" spans="20:25" x14ac:dyDescent="0.25">
      <c r="T4043" s="10"/>
      <c r="U4043" s="4"/>
      <c r="V4043" s="4"/>
      <c r="X4043" s="4"/>
      <c r="Y4043" s="4"/>
    </row>
    <row r="4044" spans="20:25" x14ac:dyDescent="0.25">
      <c r="T4044" s="10"/>
      <c r="U4044" s="4"/>
      <c r="V4044" s="4"/>
      <c r="X4044" s="4"/>
      <c r="Y4044" s="4"/>
    </row>
    <row r="4045" spans="20:25" x14ac:dyDescent="0.25">
      <c r="T4045" s="10"/>
      <c r="U4045" s="4"/>
      <c r="V4045" s="4"/>
      <c r="X4045" s="4"/>
      <c r="Y4045" s="4"/>
    </row>
    <row r="4046" spans="20:25" x14ac:dyDescent="0.25">
      <c r="T4046" s="10"/>
      <c r="U4046" s="4"/>
      <c r="V4046" s="4"/>
      <c r="X4046" s="4"/>
      <c r="Y4046" s="4"/>
    </row>
    <row r="4047" spans="20:25" x14ac:dyDescent="0.25">
      <c r="T4047" s="10"/>
      <c r="U4047" s="4"/>
      <c r="V4047" s="4"/>
      <c r="X4047" s="4"/>
      <c r="Y4047" s="4"/>
    </row>
    <row r="4048" spans="20:25" x14ac:dyDescent="0.25">
      <c r="T4048" s="10"/>
      <c r="U4048" s="4"/>
      <c r="V4048" s="4"/>
      <c r="X4048" s="4"/>
      <c r="Y4048" s="4"/>
    </row>
    <row r="4049" spans="20:25" x14ac:dyDescent="0.25">
      <c r="T4049" s="10"/>
      <c r="U4049" s="4"/>
      <c r="V4049" s="4"/>
      <c r="X4049" s="4"/>
      <c r="Y4049" s="4"/>
    </row>
    <row r="4050" spans="20:25" x14ac:dyDescent="0.25">
      <c r="T4050" s="10"/>
      <c r="U4050" s="4"/>
      <c r="V4050" s="4"/>
      <c r="X4050" s="4"/>
      <c r="Y4050" s="4"/>
    </row>
    <row r="4051" spans="20:25" x14ac:dyDescent="0.25">
      <c r="T4051" s="10"/>
      <c r="U4051" s="4"/>
      <c r="V4051" s="4"/>
      <c r="X4051" s="4"/>
      <c r="Y4051" s="4"/>
    </row>
    <row r="4052" spans="20:25" x14ac:dyDescent="0.25">
      <c r="T4052" s="10"/>
      <c r="U4052" s="4"/>
      <c r="V4052" s="4"/>
      <c r="X4052" s="4"/>
      <c r="Y4052" s="4"/>
    </row>
    <row r="4053" spans="20:25" x14ac:dyDescent="0.25">
      <c r="T4053" s="10"/>
      <c r="U4053" s="4"/>
      <c r="V4053" s="4"/>
      <c r="X4053" s="4"/>
      <c r="Y4053" s="4"/>
    </row>
    <row r="4054" spans="20:25" x14ac:dyDescent="0.25">
      <c r="T4054" s="10"/>
      <c r="U4054" s="4"/>
      <c r="V4054" s="4"/>
      <c r="X4054" s="4"/>
      <c r="Y4054" s="4"/>
    </row>
    <row r="4055" spans="20:25" x14ac:dyDescent="0.25">
      <c r="T4055" s="10"/>
      <c r="U4055" s="4"/>
      <c r="V4055" s="4"/>
      <c r="X4055" s="4"/>
      <c r="Y4055" s="4"/>
    </row>
    <row r="4056" spans="20:25" x14ac:dyDescent="0.25">
      <c r="T4056" s="10"/>
      <c r="U4056" s="4"/>
      <c r="V4056" s="4"/>
      <c r="X4056" s="4"/>
      <c r="Y4056" s="4"/>
    </row>
    <row r="4057" spans="20:25" x14ac:dyDescent="0.25">
      <c r="T4057" s="10"/>
      <c r="U4057" s="4"/>
      <c r="V4057" s="4"/>
      <c r="X4057" s="4"/>
      <c r="Y4057" s="4"/>
    </row>
    <row r="4058" spans="20:25" x14ac:dyDescent="0.25">
      <c r="T4058" s="10"/>
      <c r="U4058" s="4"/>
      <c r="V4058" s="4"/>
      <c r="X4058" s="4"/>
      <c r="Y4058" s="4"/>
    </row>
    <row r="4059" spans="20:25" x14ac:dyDescent="0.25">
      <c r="T4059" s="10"/>
      <c r="U4059" s="4"/>
      <c r="V4059" s="4"/>
      <c r="X4059" s="4"/>
      <c r="Y4059" s="4"/>
    </row>
    <row r="4060" spans="20:25" x14ac:dyDescent="0.25">
      <c r="T4060" s="10"/>
      <c r="U4060" s="4"/>
      <c r="V4060" s="4"/>
      <c r="X4060" s="4"/>
      <c r="Y4060" s="4"/>
    </row>
    <row r="4061" spans="20:25" x14ac:dyDescent="0.25">
      <c r="T4061" s="10"/>
      <c r="U4061" s="4"/>
      <c r="V4061" s="4"/>
      <c r="X4061" s="4"/>
      <c r="Y4061" s="4"/>
    </row>
    <row r="4062" spans="20:25" x14ac:dyDescent="0.25">
      <c r="T4062" s="10"/>
      <c r="U4062" s="4"/>
      <c r="V4062" s="4"/>
      <c r="X4062" s="4"/>
      <c r="Y4062" s="4"/>
    </row>
    <row r="4063" spans="20:25" x14ac:dyDescent="0.25">
      <c r="T4063" s="10"/>
      <c r="U4063" s="4"/>
      <c r="V4063" s="4"/>
      <c r="X4063" s="4"/>
      <c r="Y4063" s="4"/>
    </row>
    <row r="4064" spans="20:25" x14ac:dyDescent="0.25">
      <c r="T4064" s="10"/>
      <c r="U4064" s="4"/>
      <c r="V4064" s="4"/>
      <c r="X4064" s="4"/>
      <c r="Y4064" s="4"/>
    </row>
    <row r="4065" spans="20:25" x14ac:dyDescent="0.25">
      <c r="T4065" s="10"/>
      <c r="U4065" s="4"/>
      <c r="V4065" s="4"/>
      <c r="X4065" s="4"/>
      <c r="Y4065" s="4"/>
    </row>
    <row r="4066" spans="20:25" x14ac:dyDescent="0.25">
      <c r="T4066" s="10"/>
      <c r="U4066" s="4"/>
      <c r="V4066" s="4"/>
      <c r="X4066" s="4"/>
      <c r="Y4066" s="4"/>
    </row>
    <row r="4067" spans="20:25" x14ac:dyDescent="0.25">
      <c r="T4067" s="10"/>
      <c r="U4067" s="4"/>
      <c r="V4067" s="4"/>
      <c r="X4067" s="4"/>
      <c r="Y4067" s="4"/>
    </row>
    <row r="4068" spans="20:25" x14ac:dyDescent="0.25">
      <c r="T4068" s="10"/>
      <c r="U4068" s="4"/>
      <c r="V4068" s="4"/>
      <c r="X4068" s="4"/>
      <c r="Y4068" s="4"/>
    </row>
    <row r="4069" spans="20:25" x14ac:dyDescent="0.25">
      <c r="T4069" s="10"/>
      <c r="U4069" s="4"/>
      <c r="V4069" s="4"/>
      <c r="X4069" s="4"/>
      <c r="Y4069" s="4"/>
    </row>
    <row r="4070" spans="20:25" x14ac:dyDescent="0.25">
      <c r="T4070" s="10"/>
      <c r="U4070" s="4"/>
      <c r="V4070" s="4"/>
      <c r="X4070" s="4"/>
      <c r="Y4070" s="4"/>
    </row>
    <row r="4071" spans="20:25" x14ac:dyDescent="0.25">
      <c r="T4071" s="10"/>
      <c r="U4071" s="4"/>
      <c r="V4071" s="4"/>
      <c r="X4071" s="4"/>
      <c r="Y4071" s="4"/>
    </row>
    <row r="4072" spans="20:25" x14ac:dyDescent="0.25">
      <c r="T4072" s="10"/>
      <c r="U4072" s="4"/>
      <c r="V4072" s="4"/>
      <c r="X4072" s="4"/>
      <c r="Y4072" s="4"/>
    </row>
    <row r="4073" spans="20:25" x14ac:dyDescent="0.25">
      <c r="T4073" s="10"/>
      <c r="U4073" s="4"/>
      <c r="V4073" s="4"/>
      <c r="X4073" s="4"/>
      <c r="Y4073" s="4"/>
    </row>
    <row r="4074" spans="20:25" x14ac:dyDescent="0.25">
      <c r="T4074" s="10"/>
      <c r="U4074" s="4"/>
      <c r="V4074" s="4"/>
      <c r="X4074" s="4"/>
      <c r="Y4074" s="4"/>
    </row>
    <row r="4075" spans="20:25" x14ac:dyDescent="0.25">
      <c r="T4075" s="10"/>
      <c r="U4075" s="4"/>
      <c r="V4075" s="4"/>
      <c r="X4075" s="4"/>
      <c r="Y4075" s="4"/>
    </row>
    <row r="4076" spans="20:25" x14ac:dyDescent="0.25">
      <c r="T4076" s="10"/>
      <c r="U4076" s="4"/>
      <c r="V4076" s="4"/>
      <c r="X4076" s="4"/>
      <c r="Y4076" s="4"/>
    </row>
    <row r="4077" spans="20:25" x14ac:dyDescent="0.25">
      <c r="T4077" s="10"/>
      <c r="U4077" s="4"/>
      <c r="V4077" s="4"/>
      <c r="X4077" s="4"/>
      <c r="Y4077" s="4"/>
    </row>
    <row r="4078" spans="20:25" x14ac:dyDescent="0.25">
      <c r="T4078" s="10"/>
      <c r="U4078" s="4"/>
      <c r="V4078" s="4"/>
      <c r="X4078" s="4"/>
      <c r="Y4078" s="4"/>
    </row>
    <row r="4079" spans="20:25" x14ac:dyDescent="0.25">
      <c r="T4079" s="10"/>
      <c r="U4079" s="4"/>
      <c r="V4079" s="4"/>
      <c r="X4079" s="4"/>
      <c r="Y4079" s="4"/>
    </row>
    <row r="4080" spans="20:25" x14ac:dyDescent="0.25">
      <c r="T4080" s="10"/>
      <c r="U4080" s="4"/>
      <c r="V4080" s="4"/>
      <c r="X4080" s="4"/>
      <c r="Y4080" s="4"/>
    </row>
    <row r="4081" spans="20:25" x14ac:dyDescent="0.25">
      <c r="T4081" s="10"/>
      <c r="U4081" s="4"/>
      <c r="V4081" s="4"/>
      <c r="X4081" s="4"/>
      <c r="Y4081" s="4"/>
    </row>
    <row r="4082" spans="20:25" x14ac:dyDescent="0.25">
      <c r="T4082" s="10"/>
      <c r="U4082" s="4"/>
      <c r="V4082" s="4"/>
      <c r="X4082" s="4"/>
      <c r="Y4082" s="4"/>
    </row>
    <row r="4083" spans="20:25" x14ac:dyDescent="0.25">
      <c r="T4083" s="10"/>
      <c r="U4083" s="4"/>
      <c r="V4083" s="4"/>
      <c r="X4083" s="4"/>
      <c r="Y4083" s="4"/>
    </row>
    <row r="4084" spans="20:25" x14ac:dyDescent="0.25">
      <c r="T4084" s="10"/>
      <c r="U4084" s="4"/>
      <c r="V4084" s="4"/>
      <c r="X4084" s="4"/>
      <c r="Y4084" s="4"/>
    </row>
    <row r="4085" spans="20:25" x14ac:dyDescent="0.25">
      <c r="T4085" s="10"/>
      <c r="U4085" s="4"/>
      <c r="V4085" s="4"/>
      <c r="X4085" s="4"/>
      <c r="Y4085" s="4"/>
    </row>
    <row r="4086" spans="20:25" x14ac:dyDescent="0.25">
      <c r="T4086" s="10"/>
      <c r="U4086" s="4"/>
      <c r="V4086" s="4"/>
      <c r="X4086" s="4"/>
      <c r="Y4086" s="4"/>
    </row>
    <row r="4087" spans="20:25" x14ac:dyDescent="0.25">
      <c r="T4087" s="10"/>
      <c r="U4087" s="4"/>
      <c r="V4087" s="4"/>
      <c r="X4087" s="4"/>
      <c r="Y4087" s="4"/>
    </row>
    <row r="4088" spans="20:25" x14ac:dyDescent="0.25">
      <c r="T4088" s="10"/>
      <c r="U4088" s="4"/>
      <c r="V4088" s="4"/>
      <c r="X4088" s="4"/>
      <c r="Y4088" s="4"/>
    </row>
    <row r="4089" spans="20:25" x14ac:dyDescent="0.25">
      <c r="T4089" s="10"/>
      <c r="U4089" s="4"/>
      <c r="V4089" s="4"/>
      <c r="X4089" s="4"/>
      <c r="Y4089" s="4"/>
    </row>
    <row r="4090" spans="20:25" x14ac:dyDescent="0.25">
      <c r="T4090" s="10"/>
      <c r="U4090" s="4"/>
      <c r="V4090" s="4"/>
      <c r="X4090" s="4"/>
      <c r="Y4090" s="4"/>
    </row>
    <row r="4091" spans="20:25" x14ac:dyDescent="0.25">
      <c r="T4091" s="10"/>
      <c r="U4091" s="4"/>
      <c r="V4091" s="4"/>
      <c r="X4091" s="4"/>
      <c r="Y4091" s="4"/>
    </row>
    <row r="4092" spans="20:25" x14ac:dyDescent="0.25">
      <c r="T4092" s="10"/>
      <c r="U4092" s="4"/>
      <c r="V4092" s="4"/>
      <c r="X4092" s="4"/>
      <c r="Y4092" s="4"/>
    </row>
    <row r="4093" spans="20:25" x14ac:dyDescent="0.25">
      <c r="T4093" s="10"/>
      <c r="U4093" s="4"/>
      <c r="V4093" s="4"/>
      <c r="X4093" s="4"/>
      <c r="Y4093" s="4"/>
    </row>
    <row r="4094" spans="20:25" x14ac:dyDescent="0.25">
      <c r="T4094" s="10"/>
      <c r="U4094" s="4"/>
      <c r="V4094" s="4"/>
      <c r="X4094" s="4"/>
      <c r="Y4094" s="4"/>
    </row>
    <row r="4095" spans="20:25" x14ac:dyDescent="0.25">
      <c r="T4095" s="10"/>
      <c r="U4095" s="4"/>
      <c r="V4095" s="4"/>
      <c r="X4095" s="4"/>
      <c r="Y4095" s="4"/>
    </row>
    <row r="4096" spans="20:25" x14ac:dyDescent="0.25">
      <c r="T4096" s="10"/>
      <c r="U4096" s="4"/>
      <c r="V4096" s="4"/>
      <c r="X4096" s="4"/>
      <c r="Y4096" s="4"/>
    </row>
    <row r="4097" spans="20:25" x14ac:dyDescent="0.25">
      <c r="T4097" s="10"/>
      <c r="U4097" s="4"/>
      <c r="V4097" s="4"/>
      <c r="X4097" s="4"/>
      <c r="Y4097" s="4"/>
    </row>
    <row r="4098" spans="20:25" x14ac:dyDescent="0.25">
      <c r="T4098" s="10"/>
      <c r="U4098" s="4"/>
      <c r="V4098" s="4"/>
      <c r="X4098" s="4"/>
      <c r="Y4098" s="4"/>
    </row>
    <row r="4099" spans="20:25" x14ac:dyDescent="0.25">
      <c r="T4099" s="10"/>
      <c r="U4099" s="4"/>
      <c r="V4099" s="4"/>
      <c r="X4099" s="4"/>
      <c r="Y4099" s="4"/>
    </row>
    <row r="4100" spans="20:25" x14ac:dyDescent="0.25">
      <c r="T4100" s="10"/>
      <c r="U4100" s="4"/>
      <c r="V4100" s="4"/>
      <c r="X4100" s="4"/>
      <c r="Y4100" s="4"/>
    </row>
    <row r="4101" spans="20:25" x14ac:dyDescent="0.25">
      <c r="T4101" s="10"/>
      <c r="U4101" s="4"/>
      <c r="V4101" s="4"/>
      <c r="X4101" s="4"/>
      <c r="Y4101" s="4"/>
    </row>
    <row r="4102" spans="20:25" x14ac:dyDescent="0.25">
      <c r="T4102" s="10"/>
      <c r="U4102" s="4"/>
      <c r="V4102" s="4"/>
      <c r="X4102" s="4"/>
      <c r="Y4102" s="4"/>
    </row>
    <row r="4103" spans="20:25" x14ac:dyDescent="0.25">
      <c r="T4103" s="10"/>
      <c r="U4103" s="4"/>
      <c r="V4103" s="4"/>
      <c r="X4103" s="4"/>
      <c r="Y4103" s="4"/>
    </row>
    <row r="4104" spans="20:25" x14ac:dyDescent="0.25">
      <c r="T4104" s="10"/>
      <c r="U4104" s="4"/>
      <c r="V4104" s="4"/>
      <c r="X4104" s="4"/>
      <c r="Y4104" s="4"/>
    </row>
    <row r="4105" spans="20:25" x14ac:dyDescent="0.25">
      <c r="T4105" s="10"/>
      <c r="U4105" s="4"/>
      <c r="V4105" s="4"/>
      <c r="X4105" s="4"/>
      <c r="Y4105" s="4"/>
    </row>
    <row r="4106" spans="20:25" x14ac:dyDescent="0.25">
      <c r="T4106" s="10"/>
      <c r="U4106" s="4"/>
      <c r="V4106" s="4"/>
      <c r="X4106" s="4"/>
      <c r="Y4106" s="4"/>
    </row>
    <row r="4107" spans="20:25" x14ac:dyDescent="0.25">
      <c r="T4107" s="10"/>
      <c r="U4107" s="4"/>
      <c r="V4107" s="4"/>
      <c r="X4107" s="4"/>
      <c r="Y4107" s="4"/>
    </row>
    <row r="4108" spans="20:25" x14ac:dyDescent="0.25">
      <c r="T4108" s="10"/>
      <c r="U4108" s="4"/>
      <c r="V4108" s="4"/>
      <c r="X4108" s="4"/>
      <c r="Y4108" s="4"/>
    </row>
    <row r="4109" spans="20:25" x14ac:dyDescent="0.25">
      <c r="T4109" s="10"/>
      <c r="U4109" s="4"/>
      <c r="V4109" s="4"/>
      <c r="X4109" s="4"/>
      <c r="Y4109" s="4"/>
    </row>
    <row r="4110" spans="20:25" x14ac:dyDescent="0.25">
      <c r="T4110" s="10"/>
      <c r="U4110" s="4"/>
      <c r="V4110" s="4"/>
      <c r="X4110" s="4"/>
      <c r="Y4110" s="4"/>
    </row>
    <row r="4111" spans="20:25" x14ac:dyDescent="0.25">
      <c r="T4111" s="10"/>
      <c r="U4111" s="4"/>
      <c r="V4111" s="4"/>
      <c r="X4111" s="4"/>
      <c r="Y4111" s="4"/>
    </row>
    <row r="4112" spans="20:25" x14ac:dyDescent="0.25">
      <c r="T4112" s="10"/>
      <c r="U4112" s="4"/>
      <c r="V4112" s="4"/>
      <c r="X4112" s="4"/>
      <c r="Y4112" s="4"/>
    </row>
    <row r="4113" spans="20:25" x14ac:dyDescent="0.25">
      <c r="T4113" s="10"/>
      <c r="U4113" s="4"/>
      <c r="V4113" s="4"/>
      <c r="X4113" s="4"/>
      <c r="Y4113" s="4"/>
    </row>
    <row r="4114" spans="20:25" x14ac:dyDescent="0.25">
      <c r="T4114" s="10"/>
      <c r="U4114" s="4"/>
      <c r="V4114" s="4"/>
      <c r="X4114" s="4"/>
      <c r="Y4114" s="4"/>
    </row>
    <row r="4115" spans="20:25" x14ac:dyDescent="0.25">
      <c r="T4115" s="10"/>
      <c r="U4115" s="4"/>
      <c r="V4115" s="4"/>
      <c r="X4115" s="4"/>
      <c r="Y4115" s="4"/>
    </row>
    <row r="4116" spans="20:25" x14ac:dyDescent="0.25">
      <c r="T4116" s="10"/>
      <c r="U4116" s="4"/>
      <c r="V4116" s="4"/>
      <c r="X4116" s="4"/>
      <c r="Y4116" s="4"/>
    </row>
    <row r="4117" spans="20:25" x14ac:dyDescent="0.25">
      <c r="T4117" s="10"/>
      <c r="U4117" s="4"/>
      <c r="V4117" s="4"/>
      <c r="X4117" s="4"/>
      <c r="Y4117" s="4"/>
    </row>
    <row r="4118" spans="20:25" x14ac:dyDescent="0.25">
      <c r="T4118" s="10"/>
      <c r="U4118" s="4"/>
      <c r="V4118" s="4"/>
      <c r="X4118" s="4"/>
      <c r="Y4118" s="4"/>
    </row>
    <row r="4119" spans="20:25" x14ac:dyDescent="0.25">
      <c r="T4119" s="10"/>
      <c r="U4119" s="4"/>
      <c r="V4119" s="4"/>
      <c r="X4119" s="4"/>
      <c r="Y4119" s="4"/>
    </row>
    <row r="4120" spans="20:25" x14ac:dyDescent="0.25">
      <c r="T4120" s="10"/>
      <c r="U4120" s="4"/>
      <c r="V4120" s="4"/>
      <c r="X4120" s="4"/>
      <c r="Y4120" s="4"/>
    </row>
    <row r="4121" spans="20:25" x14ac:dyDescent="0.25">
      <c r="T4121" s="10"/>
      <c r="U4121" s="4"/>
      <c r="V4121" s="4"/>
      <c r="X4121" s="4"/>
      <c r="Y4121" s="4"/>
    </row>
    <row r="4122" spans="20:25" x14ac:dyDescent="0.25">
      <c r="T4122" s="10"/>
      <c r="U4122" s="4"/>
      <c r="V4122" s="4"/>
      <c r="X4122" s="4"/>
      <c r="Y4122" s="4"/>
    </row>
    <row r="4123" spans="20:25" x14ac:dyDescent="0.25">
      <c r="T4123" s="10"/>
      <c r="U4123" s="4"/>
      <c r="V4123" s="4"/>
      <c r="X4123" s="4"/>
      <c r="Y4123" s="4"/>
    </row>
    <row r="4124" spans="20:25" x14ac:dyDescent="0.25">
      <c r="T4124" s="10"/>
      <c r="U4124" s="4"/>
      <c r="V4124" s="4"/>
      <c r="X4124" s="4"/>
      <c r="Y4124" s="4"/>
    </row>
    <row r="4125" spans="20:25" x14ac:dyDescent="0.25">
      <c r="T4125" s="10"/>
      <c r="U4125" s="4"/>
      <c r="V4125" s="4"/>
      <c r="X4125" s="4"/>
      <c r="Y4125" s="4"/>
    </row>
    <row r="4126" spans="20:25" x14ac:dyDescent="0.25">
      <c r="T4126" s="10"/>
      <c r="U4126" s="4"/>
      <c r="V4126" s="4"/>
      <c r="X4126" s="4"/>
      <c r="Y4126" s="4"/>
    </row>
    <row r="4127" spans="20:25" x14ac:dyDescent="0.25">
      <c r="T4127" s="10"/>
      <c r="U4127" s="4"/>
      <c r="V4127" s="4"/>
      <c r="X4127" s="4"/>
      <c r="Y4127" s="4"/>
    </row>
    <row r="4128" spans="20:25" x14ac:dyDescent="0.25">
      <c r="T4128" s="10"/>
      <c r="U4128" s="4"/>
      <c r="V4128" s="4"/>
      <c r="X4128" s="4"/>
      <c r="Y4128" s="4"/>
    </row>
    <row r="4129" spans="20:25" x14ac:dyDescent="0.25">
      <c r="T4129" s="10"/>
      <c r="U4129" s="4"/>
      <c r="V4129" s="4"/>
      <c r="X4129" s="4"/>
      <c r="Y4129" s="4"/>
    </row>
    <row r="4130" spans="20:25" x14ac:dyDescent="0.25">
      <c r="T4130" s="10"/>
      <c r="U4130" s="4"/>
      <c r="V4130" s="4"/>
      <c r="X4130" s="4"/>
      <c r="Y4130" s="4"/>
    </row>
    <row r="4131" spans="20:25" x14ac:dyDescent="0.25">
      <c r="T4131" s="10"/>
      <c r="U4131" s="4"/>
      <c r="V4131" s="4"/>
      <c r="X4131" s="4"/>
      <c r="Y4131" s="4"/>
    </row>
    <row r="4132" spans="20:25" x14ac:dyDescent="0.25">
      <c r="T4132" s="10"/>
      <c r="U4132" s="4"/>
      <c r="V4132" s="4"/>
      <c r="X4132" s="4"/>
      <c r="Y4132" s="4"/>
    </row>
    <row r="4133" spans="20:25" x14ac:dyDescent="0.25">
      <c r="T4133" s="10"/>
      <c r="U4133" s="4"/>
      <c r="V4133" s="4"/>
      <c r="X4133" s="4"/>
      <c r="Y4133" s="4"/>
    </row>
    <row r="4134" spans="20:25" x14ac:dyDescent="0.25">
      <c r="T4134" s="10"/>
      <c r="U4134" s="4"/>
      <c r="V4134" s="4"/>
      <c r="X4134" s="4"/>
      <c r="Y4134" s="4"/>
    </row>
    <row r="4135" spans="20:25" x14ac:dyDescent="0.25">
      <c r="T4135" s="10"/>
      <c r="U4135" s="4"/>
      <c r="V4135" s="4"/>
      <c r="X4135" s="4"/>
      <c r="Y4135" s="4"/>
    </row>
    <row r="4136" spans="20:25" x14ac:dyDescent="0.25">
      <c r="T4136" s="10"/>
      <c r="U4136" s="4"/>
      <c r="V4136" s="4"/>
      <c r="X4136" s="4"/>
      <c r="Y4136" s="4"/>
    </row>
    <row r="4137" spans="20:25" x14ac:dyDescent="0.25">
      <c r="T4137" s="10"/>
      <c r="U4137" s="4"/>
      <c r="V4137" s="4"/>
      <c r="X4137" s="4"/>
      <c r="Y4137" s="4"/>
    </row>
    <row r="4138" spans="20:25" x14ac:dyDescent="0.25">
      <c r="T4138" s="10"/>
      <c r="U4138" s="4"/>
      <c r="V4138" s="4"/>
      <c r="X4138" s="4"/>
      <c r="Y4138" s="4"/>
    </row>
    <row r="4139" spans="20:25" x14ac:dyDescent="0.25">
      <c r="T4139" s="10"/>
      <c r="U4139" s="4"/>
      <c r="V4139" s="4"/>
      <c r="X4139" s="4"/>
      <c r="Y4139" s="4"/>
    </row>
    <row r="4140" spans="20:25" x14ac:dyDescent="0.25">
      <c r="T4140" s="10"/>
      <c r="U4140" s="4"/>
      <c r="V4140" s="4"/>
      <c r="X4140" s="4"/>
      <c r="Y4140" s="4"/>
    </row>
    <row r="4141" spans="20:25" x14ac:dyDescent="0.25">
      <c r="T4141" s="10"/>
      <c r="U4141" s="4"/>
      <c r="V4141" s="4"/>
      <c r="X4141" s="4"/>
      <c r="Y4141" s="4"/>
    </row>
    <row r="4142" spans="20:25" x14ac:dyDescent="0.25">
      <c r="T4142" s="10"/>
      <c r="U4142" s="4"/>
      <c r="V4142" s="4"/>
      <c r="X4142" s="4"/>
      <c r="Y4142" s="4"/>
    </row>
    <row r="4143" spans="20:25" x14ac:dyDescent="0.25">
      <c r="T4143" s="10"/>
      <c r="U4143" s="4"/>
      <c r="V4143" s="4"/>
      <c r="X4143" s="4"/>
      <c r="Y4143" s="4"/>
    </row>
    <row r="4144" spans="20:25" x14ac:dyDescent="0.25">
      <c r="T4144" s="10"/>
      <c r="U4144" s="4"/>
      <c r="V4144" s="4"/>
      <c r="X4144" s="4"/>
      <c r="Y4144" s="4"/>
    </row>
    <row r="4145" spans="20:25" x14ac:dyDescent="0.25">
      <c r="T4145" s="10"/>
      <c r="U4145" s="4"/>
      <c r="V4145" s="4"/>
      <c r="X4145" s="4"/>
      <c r="Y4145" s="4"/>
    </row>
    <row r="4146" spans="20:25" x14ac:dyDescent="0.25">
      <c r="T4146" s="10"/>
      <c r="U4146" s="4"/>
      <c r="V4146" s="4"/>
      <c r="X4146" s="4"/>
      <c r="Y4146" s="4"/>
    </row>
    <row r="4147" spans="20:25" x14ac:dyDescent="0.25">
      <c r="T4147" s="10"/>
      <c r="U4147" s="4"/>
      <c r="V4147" s="4"/>
      <c r="X4147" s="4"/>
      <c r="Y4147" s="4"/>
    </row>
    <row r="4148" spans="20:25" x14ac:dyDescent="0.25">
      <c r="T4148" s="10"/>
      <c r="U4148" s="4"/>
      <c r="V4148" s="4"/>
      <c r="X4148" s="4"/>
      <c r="Y4148" s="4"/>
    </row>
    <row r="4149" spans="20:25" x14ac:dyDescent="0.25">
      <c r="T4149" s="10"/>
      <c r="U4149" s="4"/>
      <c r="V4149" s="4"/>
      <c r="X4149" s="4"/>
      <c r="Y4149" s="4"/>
    </row>
    <row r="4150" spans="20:25" x14ac:dyDescent="0.25">
      <c r="T4150" s="10"/>
      <c r="U4150" s="4"/>
      <c r="V4150" s="4"/>
      <c r="X4150" s="4"/>
      <c r="Y4150" s="4"/>
    </row>
    <row r="4151" spans="20:25" x14ac:dyDescent="0.25">
      <c r="T4151" s="10"/>
      <c r="U4151" s="4"/>
      <c r="V4151" s="4"/>
      <c r="X4151" s="4"/>
      <c r="Y4151" s="4"/>
    </row>
    <row r="4152" spans="20:25" x14ac:dyDescent="0.25">
      <c r="T4152" s="10"/>
      <c r="U4152" s="4"/>
      <c r="V4152" s="4"/>
      <c r="X4152" s="4"/>
      <c r="Y4152" s="4"/>
    </row>
    <row r="4153" spans="20:25" x14ac:dyDescent="0.25">
      <c r="T4153" s="10"/>
      <c r="U4153" s="4"/>
      <c r="V4153" s="4"/>
      <c r="X4153" s="4"/>
      <c r="Y4153" s="4"/>
    </row>
    <row r="4154" spans="20:25" x14ac:dyDescent="0.25">
      <c r="T4154" s="10"/>
      <c r="U4154" s="4"/>
      <c r="V4154" s="4"/>
      <c r="X4154" s="4"/>
      <c r="Y4154" s="4"/>
    </row>
    <row r="4155" spans="20:25" x14ac:dyDescent="0.25">
      <c r="T4155" s="10"/>
      <c r="U4155" s="4"/>
      <c r="V4155" s="4"/>
      <c r="X4155" s="4"/>
      <c r="Y4155" s="4"/>
    </row>
    <row r="4156" spans="20:25" x14ac:dyDescent="0.25">
      <c r="T4156" s="10"/>
      <c r="U4156" s="4"/>
      <c r="V4156" s="4"/>
      <c r="X4156" s="4"/>
      <c r="Y4156" s="4"/>
    </row>
    <row r="4157" spans="20:25" x14ac:dyDescent="0.25">
      <c r="T4157" s="10"/>
      <c r="U4157" s="4"/>
      <c r="V4157" s="4"/>
      <c r="X4157" s="4"/>
      <c r="Y4157" s="4"/>
    </row>
    <row r="4158" spans="20:25" x14ac:dyDescent="0.25">
      <c r="T4158" s="10"/>
      <c r="U4158" s="4"/>
      <c r="V4158" s="4"/>
      <c r="X4158" s="4"/>
      <c r="Y4158" s="4"/>
    </row>
    <row r="4159" spans="20:25" x14ac:dyDescent="0.25">
      <c r="T4159" s="10"/>
      <c r="U4159" s="4"/>
      <c r="V4159" s="4"/>
      <c r="X4159" s="4"/>
      <c r="Y4159" s="4"/>
    </row>
    <row r="4160" spans="20:25" x14ac:dyDescent="0.25">
      <c r="T4160" s="10"/>
      <c r="U4160" s="4"/>
      <c r="V4160" s="4"/>
      <c r="X4160" s="4"/>
      <c r="Y4160" s="4"/>
    </row>
    <row r="4161" spans="20:25" x14ac:dyDescent="0.25">
      <c r="T4161" s="10"/>
      <c r="U4161" s="4"/>
      <c r="V4161" s="4"/>
      <c r="X4161" s="4"/>
      <c r="Y4161" s="4"/>
    </row>
    <row r="4162" spans="20:25" x14ac:dyDescent="0.25">
      <c r="T4162" s="10"/>
      <c r="U4162" s="4"/>
      <c r="V4162" s="4"/>
      <c r="X4162" s="4"/>
      <c r="Y4162" s="4"/>
    </row>
    <row r="4163" spans="20:25" x14ac:dyDescent="0.25">
      <c r="T4163" s="10"/>
      <c r="U4163" s="4"/>
      <c r="V4163" s="4"/>
      <c r="X4163" s="4"/>
      <c r="Y4163" s="4"/>
    </row>
    <row r="4164" spans="20:25" x14ac:dyDescent="0.25">
      <c r="T4164" s="10"/>
      <c r="U4164" s="4"/>
      <c r="V4164" s="4"/>
      <c r="X4164" s="4"/>
      <c r="Y4164" s="4"/>
    </row>
    <row r="4165" spans="20:25" x14ac:dyDescent="0.25">
      <c r="T4165" s="10"/>
      <c r="U4165" s="4"/>
      <c r="V4165" s="4"/>
      <c r="X4165" s="4"/>
      <c r="Y4165" s="4"/>
    </row>
    <row r="4166" spans="20:25" x14ac:dyDescent="0.25">
      <c r="T4166" s="10"/>
      <c r="U4166" s="4"/>
      <c r="V4166" s="4"/>
      <c r="X4166" s="4"/>
      <c r="Y4166" s="4"/>
    </row>
    <row r="4167" spans="20:25" x14ac:dyDescent="0.25">
      <c r="T4167" s="10"/>
      <c r="U4167" s="4"/>
      <c r="V4167" s="4"/>
      <c r="X4167" s="4"/>
      <c r="Y4167" s="4"/>
    </row>
    <row r="4168" spans="20:25" x14ac:dyDescent="0.25">
      <c r="T4168" s="10"/>
      <c r="U4168" s="4"/>
      <c r="V4168" s="4"/>
      <c r="X4168" s="4"/>
      <c r="Y4168" s="4"/>
    </row>
    <row r="4169" spans="20:25" x14ac:dyDescent="0.25">
      <c r="T4169" s="10"/>
      <c r="U4169" s="4"/>
      <c r="V4169" s="4"/>
      <c r="X4169" s="4"/>
      <c r="Y4169" s="4"/>
    </row>
    <row r="4170" spans="20:25" x14ac:dyDescent="0.25">
      <c r="T4170" s="10"/>
      <c r="U4170" s="4"/>
      <c r="V4170" s="4"/>
      <c r="X4170" s="4"/>
      <c r="Y4170" s="4"/>
    </row>
    <row r="4171" spans="20:25" x14ac:dyDescent="0.25">
      <c r="T4171" s="10"/>
      <c r="U4171" s="4"/>
      <c r="V4171" s="4"/>
      <c r="X4171" s="4"/>
      <c r="Y4171" s="4"/>
    </row>
    <row r="4172" spans="20:25" x14ac:dyDescent="0.25">
      <c r="T4172" s="10"/>
      <c r="U4172" s="4"/>
      <c r="V4172" s="4"/>
      <c r="X4172" s="4"/>
      <c r="Y4172" s="4"/>
    </row>
    <row r="4173" spans="20:25" x14ac:dyDescent="0.25">
      <c r="T4173" s="10"/>
      <c r="U4173" s="4"/>
      <c r="V4173" s="4"/>
      <c r="X4173" s="4"/>
      <c r="Y4173" s="4"/>
    </row>
    <row r="4174" spans="20:25" x14ac:dyDescent="0.25">
      <c r="T4174" s="10"/>
      <c r="U4174" s="4"/>
      <c r="V4174" s="4"/>
      <c r="X4174" s="4"/>
      <c r="Y4174" s="4"/>
    </row>
    <row r="4175" spans="20:25" x14ac:dyDescent="0.25">
      <c r="T4175" s="10"/>
      <c r="U4175" s="4"/>
      <c r="V4175" s="4"/>
      <c r="X4175" s="4"/>
      <c r="Y4175" s="4"/>
    </row>
    <row r="4176" spans="20:25" x14ac:dyDescent="0.25">
      <c r="T4176" s="10"/>
      <c r="U4176" s="4"/>
      <c r="V4176" s="4"/>
      <c r="X4176" s="4"/>
      <c r="Y4176" s="4"/>
    </row>
    <row r="4177" spans="20:25" x14ac:dyDescent="0.25">
      <c r="T4177" s="10"/>
      <c r="U4177" s="4"/>
      <c r="V4177" s="4"/>
      <c r="X4177" s="4"/>
      <c r="Y4177" s="4"/>
    </row>
    <row r="4178" spans="20:25" x14ac:dyDescent="0.25">
      <c r="T4178" s="10"/>
      <c r="U4178" s="4"/>
      <c r="V4178" s="4"/>
      <c r="X4178" s="4"/>
      <c r="Y4178" s="4"/>
    </row>
    <row r="4179" spans="20:25" x14ac:dyDescent="0.25">
      <c r="T4179" s="10"/>
      <c r="U4179" s="4"/>
      <c r="V4179" s="4"/>
      <c r="X4179" s="4"/>
      <c r="Y4179" s="4"/>
    </row>
    <row r="4180" spans="20:25" x14ac:dyDescent="0.25">
      <c r="T4180" s="10"/>
      <c r="U4180" s="4"/>
      <c r="V4180" s="4"/>
      <c r="X4180" s="4"/>
      <c r="Y4180" s="4"/>
    </row>
    <row r="4181" spans="20:25" x14ac:dyDescent="0.25">
      <c r="T4181" s="10"/>
      <c r="U4181" s="4"/>
      <c r="V4181" s="4"/>
      <c r="X4181" s="4"/>
      <c r="Y4181" s="4"/>
    </row>
    <row r="4182" spans="20:25" x14ac:dyDescent="0.25">
      <c r="T4182" s="10"/>
      <c r="U4182" s="4"/>
      <c r="V4182" s="4"/>
      <c r="X4182" s="4"/>
      <c r="Y4182" s="4"/>
    </row>
    <row r="4183" spans="20:25" x14ac:dyDescent="0.25">
      <c r="T4183" s="10"/>
      <c r="U4183" s="4"/>
      <c r="V4183" s="4"/>
      <c r="X4183" s="4"/>
      <c r="Y4183" s="4"/>
    </row>
    <row r="4184" spans="20:25" x14ac:dyDescent="0.25">
      <c r="T4184" s="10"/>
      <c r="U4184" s="4"/>
      <c r="V4184" s="4"/>
      <c r="X4184" s="4"/>
      <c r="Y4184" s="4"/>
    </row>
    <row r="4185" spans="20:25" x14ac:dyDescent="0.25">
      <c r="T4185" s="10"/>
      <c r="U4185" s="4"/>
      <c r="V4185" s="4"/>
      <c r="X4185" s="4"/>
      <c r="Y4185" s="4"/>
    </row>
    <row r="4186" spans="20:25" x14ac:dyDescent="0.25">
      <c r="T4186" s="10"/>
      <c r="U4186" s="4"/>
      <c r="V4186" s="4"/>
      <c r="X4186" s="4"/>
      <c r="Y4186" s="4"/>
    </row>
    <row r="4187" spans="20:25" x14ac:dyDescent="0.25">
      <c r="T4187" s="10"/>
      <c r="U4187" s="4"/>
      <c r="V4187" s="4"/>
      <c r="X4187" s="4"/>
      <c r="Y4187" s="4"/>
    </row>
    <row r="4188" spans="20:25" x14ac:dyDescent="0.25">
      <c r="T4188" s="10"/>
      <c r="U4188" s="4"/>
      <c r="V4188" s="4"/>
      <c r="X4188" s="4"/>
      <c r="Y4188" s="4"/>
    </row>
    <row r="4189" spans="20:25" x14ac:dyDescent="0.25">
      <c r="T4189" s="10"/>
      <c r="U4189" s="4"/>
      <c r="V4189" s="4"/>
      <c r="X4189" s="4"/>
      <c r="Y4189" s="4"/>
    </row>
    <row r="4190" spans="20:25" x14ac:dyDescent="0.25">
      <c r="T4190" s="10"/>
      <c r="U4190" s="4"/>
      <c r="V4190" s="4"/>
      <c r="X4190" s="4"/>
      <c r="Y4190" s="4"/>
    </row>
    <row r="4191" spans="20:25" x14ac:dyDescent="0.25">
      <c r="T4191" s="10"/>
      <c r="U4191" s="4"/>
      <c r="V4191" s="4"/>
      <c r="X4191" s="4"/>
      <c r="Y4191" s="4"/>
    </row>
    <row r="4192" spans="20:25" x14ac:dyDescent="0.25">
      <c r="T4192" s="10"/>
      <c r="U4192" s="4"/>
      <c r="V4192" s="4"/>
      <c r="X4192" s="4"/>
      <c r="Y4192" s="4"/>
    </row>
    <row r="4193" spans="20:25" x14ac:dyDescent="0.25">
      <c r="T4193" s="10"/>
      <c r="U4193" s="4"/>
      <c r="V4193" s="4"/>
      <c r="X4193" s="4"/>
      <c r="Y4193" s="4"/>
    </row>
    <row r="4194" spans="20:25" x14ac:dyDescent="0.25">
      <c r="T4194" s="10"/>
      <c r="U4194" s="4"/>
      <c r="V4194" s="4"/>
      <c r="X4194" s="4"/>
      <c r="Y4194" s="4"/>
    </row>
    <row r="4195" spans="20:25" x14ac:dyDescent="0.25">
      <c r="T4195" s="10"/>
      <c r="U4195" s="4"/>
      <c r="V4195" s="4"/>
      <c r="X4195" s="4"/>
      <c r="Y4195" s="4"/>
    </row>
    <row r="4196" spans="20:25" x14ac:dyDescent="0.25">
      <c r="T4196" s="10"/>
      <c r="U4196" s="4"/>
      <c r="V4196" s="4"/>
      <c r="X4196" s="4"/>
      <c r="Y4196" s="4"/>
    </row>
    <row r="4197" spans="20:25" x14ac:dyDescent="0.25">
      <c r="T4197" s="10"/>
      <c r="U4197" s="4"/>
      <c r="V4197" s="4"/>
      <c r="X4197" s="4"/>
      <c r="Y4197" s="4"/>
    </row>
    <row r="4198" spans="20:25" x14ac:dyDescent="0.25">
      <c r="T4198" s="10"/>
      <c r="U4198" s="4"/>
      <c r="V4198" s="4"/>
      <c r="X4198" s="4"/>
      <c r="Y4198" s="4"/>
    </row>
    <row r="4199" spans="20:25" x14ac:dyDescent="0.25">
      <c r="T4199" s="10"/>
      <c r="U4199" s="4"/>
      <c r="V4199" s="4"/>
      <c r="X4199" s="4"/>
      <c r="Y4199" s="4"/>
    </row>
    <row r="4200" spans="20:25" x14ac:dyDescent="0.25">
      <c r="T4200" s="10"/>
      <c r="U4200" s="4"/>
      <c r="V4200" s="4"/>
      <c r="X4200" s="4"/>
      <c r="Y4200" s="4"/>
    </row>
    <row r="4201" spans="20:25" x14ac:dyDescent="0.25">
      <c r="T4201" s="10"/>
      <c r="U4201" s="4"/>
      <c r="V4201" s="4"/>
      <c r="X4201" s="4"/>
      <c r="Y4201" s="4"/>
    </row>
    <row r="4202" spans="20:25" x14ac:dyDescent="0.25">
      <c r="T4202" s="10"/>
      <c r="U4202" s="4"/>
      <c r="V4202" s="4"/>
      <c r="X4202" s="4"/>
      <c r="Y4202" s="4"/>
    </row>
    <row r="4203" spans="20:25" x14ac:dyDescent="0.25">
      <c r="T4203" s="10"/>
      <c r="U4203" s="4"/>
      <c r="V4203" s="4"/>
      <c r="X4203" s="4"/>
      <c r="Y4203" s="4"/>
    </row>
    <row r="4204" spans="20:25" x14ac:dyDescent="0.25">
      <c r="T4204" s="10"/>
      <c r="U4204" s="4"/>
      <c r="V4204" s="4"/>
      <c r="X4204" s="4"/>
      <c r="Y4204" s="4"/>
    </row>
    <row r="4205" spans="20:25" x14ac:dyDescent="0.25">
      <c r="T4205" s="10"/>
      <c r="U4205" s="4"/>
      <c r="V4205" s="4"/>
      <c r="X4205" s="4"/>
      <c r="Y4205" s="4"/>
    </row>
    <row r="4206" spans="20:25" x14ac:dyDescent="0.25">
      <c r="T4206" s="10"/>
      <c r="U4206" s="4"/>
      <c r="V4206" s="4"/>
      <c r="X4206" s="4"/>
      <c r="Y4206" s="4"/>
    </row>
    <row r="4207" spans="20:25" x14ac:dyDescent="0.25">
      <c r="T4207" s="10"/>
      <c r="U4207" s="4"/>
      <c r="V4207" s="4"/>
      <c r="X4207" s="4"/>
      <c r="Y4207" s="4"/>
    </row>
    <row r="4208" spans="20:25" x14ac:dyDescent="0.25">
      <c r="T4208" s="10"/>
      <c r="U4208" s="4"/>
      <c r="V4208" s="4"/>
      <c r="X4208" s="4"/>
      <c r="Y4208" s="4"/>
    </row>
    <row r="4209" spans="20:25" x14ac:dyDescent="0.25">
      <c r="T4209" s="10"/>
      <c r="U4209" s="4"/>
      <c r="V4209" s="4"/>
      <c r="X4209" s="4"/>
      <c r="Y4209" s="4"/>
    </row>
    <row r="4210" spans="20:25" x14ac:dyDescent="0.25">
      <c r="T4210" s="10"/>
      <c r="U4210" s="4"/>
      <c r="V4210" s="4"/>
      <c r="X4210" s="4"/>
      <c r="Y4210" s="4"/>
    </row>
    <row r="4211" spans="20:25" x14ac:dyDescent="0.25">
      <c r="T4211" s="10"/>
      <c r="U4211" s="4"/>
      <c r="V4211" s="4"/>
      <c r="X4211" s="4"/>
      <c r="Y4211" s="4"/>
    </row>
    <row r="4212" spans="20:25" x14ac:dyDescent="0.25">
      <c r="T4212" s="10"/>
      <c r="U4212" s="4"/>
      <c r="V4212" s="4"/>
      <c r="X4212" s="4"/>
      <c r="Y4212" s="4"/>
    </row>
    <row r="4213" spans="20:25" x14ac:dyDescent="0.25">
      <c r="T4213" s="10"/>
      <c r="U4213" s="4"/>
      <c r="V4213" s="4"/>
      <c r="X4213" s="4"/>
      <c r="Y4213" s="4"/>
    </row>
    <row r="4214" spans="20:25" x14ac:dyDescent="0.25">
      <c r="T4214" s="10"/>
      <c r="U4214" s="4"/>
      <c r="V4214" s="4"/>
      <c r="X4214" s="4"/>
      <c r="Y4214" s="4"/>
    </row>
    <row r="4215" spans="20:25" x14ac:dyDescent="0.25">
      <c r="T4215" s="10"/>
      <c r="U4215" s="4"/>
      <c r="V4215" s="4"/>
      <c r="X4215" s="4"/>
      <c r="Y4215" s="4"/>
    </row>
    <row r="4216" spans="20:25" x14ac:dyDescent="0.25">
      <c r="T4216" s="10"/>
      <c r="U4216" s="4"/>
      <c r="V4216" s="4"/>
      <c r="X4216" s="4"/>
      <c r="Y4216" s="4"/>
    </row>
    <row r="4217" spans="20:25" x14ac:dyDescent="0.25">
      <c r="T4217" s="10"/>
      <c r="U4217" s="4"/>
      <c r="V4217" s="4"/>
      <c r="X4217" s="4"/>
      <c r="Y4217" s="4"/>
    </row>
    <row r="4218" spans="20:25" x14ac:dyDescent="0.25">
      <c r="T4218" s="10"/>
      <c r="U4218" s="4"/>
      <c r="V4218" s="4"/>
      <c r="X4218" s="4"/>
      <c r="Y4218" s="4"/>
    </row>
    <row r="4219" spans="20:25" x14ac:dyDescent="0.25">
      <c r="T4219" s="10"/>
      <c r="U4219" s="4"/>
      <c r="V4219" s="4"/>
      <c r="X4219" s="4"/>
      <c r="Y4219" s="4"/>
    </row>
    <row r="4220" spans="20:25" x14ac:dyDescent="0.25">
      <c r="T4220" s="10"/>
      <c r="U4220" s="4"/>
      <c r="V4220" s="4"/>
      <c r="X4220" s="4"/>
      <c r="Y4220" s="4"/>
    </row>
    <row r="4221" spans="20:25" x14ac:dyDescent="0.25">
      <c r="T4221" s="10"/>
      <c r="U4221" s="4"/>
      <c r="V4221" s="4"/>
      <c r="X4221" s="4"/>
      <c r="Y4221" s="4"/>
    </row>
    <row r="4222" spans="20:25" x14ac:dyDescent="0.25">
      <c r="T4222" s="10"/>
      <c r="U4222" s="4"/>
      <c r="V4222" s="4"/>
      <c r="X4222" s="4"/>
      <c r="Y4222" s="4"/>
    </row>
    <row r="4223" spans="20:25" x14ac:dyDescent="0.25">
      <c r="T4223" s="10"/>
      <c r="U4223" s="4"/>
      <c r="V4223" s="4"/>
      <c r="X4223" s="4"/>
      <c r="Y4223" s="4"/>
    </row>
    <row r="4224" spans="20:25" x14ac:dyDescent="0.25">
      <c r="T4224" s="10"/>
      <c r="U4224" s="4"/>
      <c r="V4224" s="4"/>
      <c r="X4224" s="4"/>
      <c r="Y4224" s="4"/>
    </row>
    <row r="4225" spans="20:25" x14ac:dyDescent="0.25">
      <c r="T4225" s="10"/>
      <c r="U4225" s="4"/>
      <c r="V4225" s="4"/>
      <c r="X4225" s="4"/>
      <c r="Y4225" s="4"/>
    </row>
    <row r="4226" spans="20:25" x14ac:dyDescent="0.25">
      <c r="T4226" s="10"/>
      <c r="U4226" s="4"/>
      <c r="V4226" s="4"/>
      <c r="X4226" s="4"/>
      <c r="Y4226" s="4"/>
    </row>
    <row r="4227" spans="20:25" x14ac:dyDescent="0.25">
      <c r="T4227" s="10"/>
      <c r="U4227" s="4"/>
      <c r="V4227" s="4"/>
      <c r="X4227" s="4"/>
      <c r="Y4227" s="4"/>
    </row>
    <row r="4228" spans="20:25" x14ac:dyDescent="0.25">
      <c r="T4228" s="10"/>
      <c r="U4228" s="4"/>
      <c r="V4228" s="4"/>
      <c r="X4228" s="4"/>
      <c r="Y4228" s="4"/>
    </row>
    <row r="4229" spans="20:25" x14ac:dyDescent="0.25">
      <c r="T4229" s="10"/>
      <c r="U4229" s="4"/>
      <c r="V4229" s="4"/>
      <c r="X4229" s="4"/>
      <c r="Y4229" s="4"/>
    </row>
    <row r="4230" spans="20:25" x14ac:dyDescent="0.25">
      <c r="T4230" s="10"/>
      <c r="U4230" s="4"/>
      <c r="V4230" s="4"/>
      <c r="X4230" s="4"/>
      <c r="Y4230" s="4"/>
    </row>
    <row r="4231" spans="20:25" x14ac:dyDescent="0.25">
      <c r="T4231" s="10"/>
      <c r="U4231" s="4"/>
      <c r="V4231" s="4"/>
      <c r="X4231" s="4"/>
      <c r="Y4231" s="4"/>
    </row>
    <row r="4232" spans="20:25" x14ac:dyDescent="0.25">
      <c r="T4232" s="10"/>
      <c r="U4232" s="4"/>
      <c r="V4232" s="4"/>
      <c r="X4232" s="4"/>
      <c r="Y4232" s="4"/>
    </row>
    <row r="4233" spans="20:25" x14ac:dyDescent="0.25">
      <c r="T4233" s="10"/>
      <c r="U4233" s="4"/>
      <c r="V4233" s="4"/>
      <c r="X4233" s="4"/>
      <c r="Y4233" s="4"/>
    </row>
    <row r="4234" spans="20:25" x14ac:dyDescent="0.25">
      <c r="T4234" s="10"/>
      <c r="U4234" s="4"/>
      <c r="V4234" s="4"/>
      <c r="X4234" s="4"/>
      <c r="Y4234" s="4"/>
    </row>
    <row r="4235" spans="20:25" x14ac:dyDescent="0.25">
      <c r="T4235" s="10"/>
      <c r="U4235" s="4"/>
      <c r="V4235" s="4"/>
      <c r="X4235" s="4"/>
      <c r="Y4235" s="4"/>
    </row>
    <row r="4236" spans="20:25" x14ac:dyDescent="0.25">
      <c r="T4236" s="10"/>
      <c r="U4236" s="4"/>
      <c r="V4236" s="4"/>
      <c r="X4236" s="4"/>
      <c r="Y4236" s="4"/>
    </row>
    <row r="4237" spans="20:25" x14ac:dyDescent="0.25">
      <c r="T4237" s="10"/>
      <c r="U4237" s="4"/>
      <c r="V4237" s="4"/>
      <c r="X4237" s="4"/>
      <c r="Y4237" s="4"/>
    </row>
    <row r="4238" spans="20:25" x14ac:dyDescent="0.25">
      <c r="T4238" s="10"/>
      <c r="U4238" s="4"/>
      <c r="V4238" s="4"/>
      <c r="X4238" s="4"/>
      <c r="Y4238" s="4"/>
    </row>
    <row r="4239" spans="20:25" x14ac:dyDescent="0.25">
      <c r="T4239" s="10"/>
      <c r="U4239" s="4"/>
      <c r="V4239" s="4"/>
      <c r="X4239" s="4"/>
      <c r="Y4239" s="4"/>
    </row>
    <row r="4240" spans="20:25" x14ac:dyDescent="0.25">
      <c r="T4240" s="10"/>
      <c r="U4240" s="4"/>
      <c r="V4240" s="4"/>
      <c r="X4240" s="4"/>
      <c r="Y4240" s="4"/>
    </row>
    <row r="4241" spans="20:25" x14ac:dyDescent="0.25">
      <c r="T4241" s="10"/>
      <c r="U4241" s="4"/>
      <c r="V4241" s="4"/>
      <c r="X4241" s="4"/>
      <c r="Y4241" s="4"/>
    </row>
    <row r="4242" spans="20:25" x14ac:dyDescent="0.25">
      <c r="T4242" s="10"/>
      <c r="U4242" s="4"/>
      <c r="V4242" s="4"/>
      <c r="X4242" s="4"/>
      <c r="Y4242" s="4"/>
    </row>
    <row r="4243" spans="20:25" x14ac:dyDescent="0.25">
      <c r="T4243" s="10"/>
      <c r="U4243" s="4"/>
      <c r="V4243" s="4"/>
      <c r="X4243" s="4"/>
      <c r="Y4243" s="4"/>
    </row>
    <row r="4244" spans="20:25" x14ac:dyDescent="0.25">
      <c r="T4244" s="10"/>
      <c r="U4244" s="4"/>
      <c r="V4244" s="4"/>
      <c r="X4244" s="4"/>
      <c r="Y4244" s="4"/>
    </row>
    <row r="4245" spans="20:25" x14ac:dyDescent="0.25">
      <c r="T4245" s="10"/>
      <c r="U4245" s="4"/>
      <c r="V4245" s="4"/>
      <c r="X4245" s="4"/>
      <c r="Y4245" s="4"/>
    </row>
    <row r="4246" spans="20:25" x14ac:dyDescent="0.25">
      <c r="T4246" s="10"/>
      <c r="U4246" s="4"/>
      <c r="V4246" s="4"/>
      <c r="X4246" s="4"/>
      <c r="Y4246" s="4"/>
    </row>
    <row r="4247" spans="20:25" x14ac:dyDescent="0.25">
      <c r="T4247" s="10"/>
      <c r="U4247" s="4"/>
      <c r="V4247" s="4"/>
      <c r="X4247" s="4"/>
      <c r="Y4247" s="4"/>
    </row>
    <row r="4248" spans="20:25" x14ac:dyDescent="0.25">
      <c r="T4248" s="10"/>
      <c r="U4248" s="4"/>
      <c r="V4248" s="4"/>
      <c r="X4248" s="4"/>
      <c r="Y4248" s="4"/>
    </row>
    <row r="4249" spans="20:25" x14ac:dyDescent="0.25">
      <c r="T4249" s="10"/>
      <c r="U4249" s="4"/>
      <c r="V4249" s="4"/>
      <c r="X4249" s="4"/>
      <c r="Y4249" s="4"/>
    </row>
    <row r="4250" spans="20:25" x14ac:dyDescent="0.25">
      <c r="T4250" s="10"/>
      <c r="U4250" s="4"/>
      <c r="V4250" s="4"/>
      <c r="X4250" s="4"/>
      <c r="Y4250" s="4"/>
    </row>
    <row r="4251" spans="20:25" x14ac:dyDescent="0.25">
      <c r="T4251" s="10"/>
      <c r="U4251" s="4"/>
      <c r="V4251" s="4"/>
      <c r="X4251" s="4"/>
      <c r="Y4251" s="4"/>
    </row>
    <row r="4252" spans="20:25" x14ac:dyDescent="0.25">
      <c r="T4252" s="10"/>
      <c r="U4252" s="4"/>
      <c r="V4252" s="4"/>
      <c r="X4252" s="4"/>
      <c r="Y4252" s="4"/>
    </row>
    <row r="4253" spans="20:25" x14ac:dyDescent="0.25">
      <c r="T4253" s="10"/>
      <c r="U4253" s="4"/>
      <c r="V4253" s="4"/>
      <c r="X4253" s="4"/>
      <c r="Y4253" s="4"/>
    </row>
    <row r="4254" spans="20:25" x14ac:dyDescent="0.25">
      <c r="T4254" s="10"/>
      <c r="U4254" s="4"/>
      <c r="V4254" s="4"/>
      <c r="X4254" s="4"/>
      <c r="Y4254" s="4"/>
    </row>
    <row r="4255" spans="20:25" x14ac:dyDescent="0.25">
      <c r="T4255" s="10"/>
      <c r="U4255" s="4"/>
      <c r="V4255" s="4"/>
      <c r="X4255" s="4"/>
      <c r="Y4255" s="4"/>
    </row>
    <row r="4256" spans="20:25" x14ac:dyDescent="0.25">
      <c r="T4256" s="10"/>
      <c r="U4256" s="4"/>
      <c r="V4256" s="4"/>
      <c r="X4256" s="4"/>
      <c r="Y4256" s="4"/>
    </row>
    <row r="4257" spans="20:25" x14ac:dyDescent="0.25">
      <c r="T4257" s="10"/>
      <c r="U4257" s="4"/>
      <c r="V4257" s="4"/>
      <c r="X4257" s="4"/>
      <c r="Y4257" s="4"/>
    </row>
    <row r="4258" spans="20:25" x14ac:dyDescent="0.25">
      <c r="T4258" s="10"/>
      <c r="U4258" s="4"/>
      <c r="V4258" s="4"/>
      <c r="X4258" s="4"/>
      <c r="Y4258" s="4"/>
    </row>
    <row r="4259" spans="20:25" x14ac:dyDescent="0.25">
      <c r="T4259" s="10"/>
      <c r="U4259" s="4"/>
      <c r="V4259" s="4"/>
      <c r="X4259" s="4"/>
      <c r="Y4259" s="4"/>
    </row>
    <row r="4260" spans="20:25" x14ac:dyDescent="0.25">
      <c r="T4260" s="10"/>
      <c r="U4260" s="4"/>
      <c r="V4260" s="4"/>
      <c r="X4260" s="4"/>
      <c r="Y4260" s="4"/>
    </row>
    <row r="4261" spans="20:25" x14ac:dyDescent="0.25">
      <c r="T4261" s="10"/>
      <c r="U4261" s="4"/>
      <c r="V4261" s="4"/>
      <c r="X4261" s="4"/>
      <c r="Y4261" s="4"/>
    </row>
    <row r="4262" spans="20:25" x14ac:dyDescent="0.25">
      <c r="T4262" s="10"/>
      <c r="U4262" s="4"/>
      <c r="V4262" s="4"/>
      <c r="X4262" s="4"/>
      <c r="Y4262" s="4"/>
    </row>
    <row r="4263" spans="20:25" x14ac:dyDescent="0.25">
      <c r="T4263" s="10"/>
      <c r="U4263" s="4"/>
      <c r="V4263" s="4"/>
      <c r="X4263" s="4"/>
      <c r="Y4263" s="4"/>
    </row>
    <row r="4264" spans="20:25" x14ac:dyDescent="0.25">
      <c r="T4264" s="10"/>
      <c r="U4264" s="4"/>
      <c r="V4264" s="4"/>
      <c r="X4264" s="4"/>
      <c r="Y4264" s="4"/>
    </row>
    <row r="4265" spans="20:25" x14ac:dyDescent="0.25">
      <c r="T4265" s="10"/>
      <c r="U4265" s="4"/>
      <c r="V4265" s="4"/>
      <c r="X4265" s="4"/>
      <c r="Y4265" s="4"/>
    </row>
    <row r="4266" spans="20:25" x14ac:dyDescent="0.25">
      <c r="T4266" s="10"/>
      <c r="U4266" s="4"/>
      <c r="V4266" s="4"/>
      <c r="X4266" s="4"/>
      <c r="Y4266" s="4"/>
    </row>
    <row r="4267" spans="20:25" x14ac:dyDescent="0.25">
      <c r="T4267" s="10"/>
      <c r="U4267" s="4"/>
      <c r="V4267" s="4"/>
      <c r="X4267" s="4"/>
      <c r="Y4267" s="4"/>
    </row>
    <row r="4268" spans="20:25" x14ac:dyDescent="0.25">
      <c r="T4268" s="10"/>
      <c r="U4268" s="4"/>
      <c r="V4268" s="4"/>
      <c r="X4268" s="4"/>
      <c r="Y4268" s="4"/>
    </row>
    <row r="4269" spans="20:25" x14ac:dyDescent="0.25">
      <c r="T4269" s="10"/>
      <c r="U4269" s="4"/>
      <c r="V4269" s="4"/>
      <c r="X4269" s="4"/>
      <c r="Y4269" s="4"/>
    </row>
    <row r="4270" spans="20:25" x14ac:dyDescent="0.25">
      <c r="T4270" s="10"/>
      <c r="U4270" s="4"/>
      <c r="V4270" s="4"/>
      <c r="X4270" s="4"/>
      <c r="Y4270" s="4"/>
    </row>
    <row r="4271" spans="20:25" x14ac:dyDescent="0.25">
      <c r="T4271" s="10"/>
      <c r="U4271" s="4"/>
      <c r="V4271" s="4"/>
      <c r="X4271" s="4"/>
      <c r="Y4271" s="4"/>
    </row>
    <row r="4272" spans="20:25" x14ac:dyDescent="0.25">
      <c r="T4272" s="10"/>
      <c r="U4272" s="4"/>
      <c r="V4272" s="4"/>
      <c r="X4272" s="4"/>
      <c r="Y4272" s="4"/>
    </row>
    <row r="4273" spans="20:25" x14ac:dyDescent="0.25">
      <c r="T4273" s="10"/>
      <c r="U4273" s="4"/>
      <c r="V4273" s="4"/>
      <c r="X4273" s="4"/>
      <c r="Y4273" s="4"/>
    </row>
    <row r="4274" spans="20:25" x14ac:dyDescent="0.25">
      <c r="T4274" s="10"/>
      <c r="U4274" s="4"/>
      <c r="V4274" s="4"/>
      <c r="X4274" s="4"/>
      <c r="Y4274" s="4"/>
    </row>
    <row r="4275" spans="20:25" x14ac:dyDescent="0.25">
      <c r="T4275" s="10"/>
      <c r="U4275" s="4"/>
      <c r="V4275" s="4"/>
      <c r="X4275" s="4"/>
      <c r="Y4275" s="4"/>
    </row>
    <row r="4276" spans="20:25" x14ac:dyDescent="0.25">
      <c r="T4276" s="10"/>
      <c r="U4276" s="4"/>
      <c r="V4276" s="4"/>
      <c r="X4276" s="4"/>
      <c r="Y4276" s="4"/>
    </row>
    <row r="4277" spans="20:25" x14ac:dyDescent="0.25">
      <c r="T4277" s="10"/>
      <c r="U4277" s="4"/>
      <c r="V4277" s="4"/>
      <c r="X4277" s="4"/>
      <c r="Y4277" s="4"/>
    </row>
    <row r="4278" spans="20:25" x14ac:dyDescent="0.25">
      <c r="T4278" s="10"/>
      <c r="U4278" s="4"/>
      <c r="V4278" s="4"/>
      <c r="X4278" s="4"/>
      <c r="Y4278" s="4"/>
    </row>
    <row r="4279" spans="20:25" x14ac:dyDescent="0.25">
      <c r="T4279" s="10"/>
      <c r="U4279" s="4"/>
      <c r="V4279" s="4"/>
      <c r="X4279" s="4"/>
      <c r="Y4279" s="4"/>
    </row>
    <row r="4280" spans="20:25" x14ac:dyDescent="0.25">
      <c r="T4280" s="10"/>
      <c r="U4280" s="4"/>
      <c r="V4280" s="4"/>
      <c r="X4280" s="4"/>
      <c r="Y4280" s="4"/>
    </row>
    <row r="4281" spans="20:25" x14ac:dyDescent="0.25">
      <c r="T4281" s="10"/>
      <c r="U4281" s="4"/>
      <c r="V4281" s="4"/>
      <c r="X4281" s="4"/>
      <c r="Y4281" s="4"/>
    </row>
    <row r="4282" spans="20:25" x14ac:dyDescent="0.25">
      <c r="T4282" s="10"/>
      <c r="U4282" s="4"/>
      <c r="V4282" s="4"/>
      <c r="X4282" s="4"/>
      <c r="Y4282" s="4"/>
    </row>
    <row r="4283" spans="20:25" x14ac:dyDescent="0.25">
      <c r="T4283" s="10"/>
      <c r="U4283" s="4"/>
      <c r="V4283" s="4"/>
      <c r="X4283" s="4"/>
      <c r="Y4283" s="4"/>
    </row>
    <row r="4284" spans="20:25" x14ac:dyDescent="0.25">
      <c r="T4284" s="10"/>
      <c r="U4284" s="4"/>
      <c r="V4284" s="4"/>
      <c r="X4284" s="4"/>
      <c r="Y4284" s="4"/>
    </row>
    <row r="4285" spans="20:25" x14ac:dyDescent="0.25">
      <c r="T4285" s="10"/>
      <c r="U4285" s="4"/>
      <c r="V4285" s="4"/>
      <c r="X4285" s="4"/>
      <c r="Y4285" s="4"/>
    </row>
    <row r="4286" spans="20:25" x14ac:dyDescent="0.25">
      <c r="T4286" s="10"/>
      <c r="U4286" s="4"/>
      <c r="V4286" s="4"/>
      <c r="X4286" s="4"/>
      <c r="Y4286" s="4"/>
    </row>
    <row r="4287" spans="20:25" x14ac:dyDescent="0.25">
      <c r="T4287" s="10"/>
      <c r="U4287" s="4"/>
      <c r="V4287" s="4"/>
      <c r="X4287" s="4"/>
      <c r="Y4287" s="4"/>
    </row>
    <row r="4288" spans="20:25" x14ac:dyDescent="0.25">
      <c r="T4288" s="10"/>
      <c r="U4288" s="4"/>
      <c r="V4288" s="4"/>
      <c r="X4288" s="4"/>
      <c r="Y4288" s="4"/>
    </row>
    <row r="4289" spans="20:25" x14ac:dyDescent="0.25">
      <c r="T4289" s="10"/>
      <c r="U4289" s="4"/>
      <c r="V4289" s="4"/>
      <c r="X4289" s="4"/>
      <c r="Y4289" s="4"/>
    </row>
    <row r="4290" spans="20:25" x14ac:dyDescent="0.25">
      <c r="T4290" s="10"/>
      <c r="U4290" s="4"/>
      <c r="V4290" s="4"/>
      <c r="X4290" s="4"/>
      <c r="Y4290" s="4"/>
    </row>
    <row r="4291" spans="20:25" x14ac:dyDescent="0.25">
      <c r="T4291" s="10"/>
      <c r="U4291" s="4"/>
      <c r="V4291" s="4"/>
      <c r="X4291" s="4"/>
      <c r="Y4291" s="4"/>
    </row>
    <row r="4292" spans="20:25" x14ac:dyDescent="0.25">
      <c r="T4292" s="10"/>
      <c r="U4292" s="4"/>
      <c r="V4292" s="4"/>
      <c r="X4292" s="4"/>
      <c r="Y4292" s="4"/>
    </row>
    <row r="4293" spans="20:25" x14ac:dyDescent="0.25">
      <c r="T4293" s="10"/>
      <c r="U4293" s="4"/>
      <c r="V4293" s="4"/>
      <c r="X4293" s="4"/>
      <c r="Y4293" s="4"/>
    </row>
    <row r="4294" spans="20:25" x14ac:dyDescent="0.25">
      <c r="T4294" s="10"/>
      <c r="U4294" s="4"/>
      <c r="V4294" s="4"/>
      <c r="X4294" s="4"/>
      <c r="Y4294" s="4"/>
    </row>
    <row r="4295" spans="20:25" x14ac:dyDescent="0.25">
      <c r="T4295" s="10"/>
      <c r="U4295" s="4"/>
      <c r="V4295" s="4"/>
      <c r="X4295" s="4"/>
      <c r="Y4295" s="4"/>
    </row>
    <row r="4296" spans="20:25" x14ac:dyDescent="0.25">
      <c r="T4296" s="10"/>
      <c r="U4296" s="4"/>
      <c r="V4296" s="4"/>
      <c r="X4296" s="4"/>
      <c r="Y4296" s="4"/>
    </row>
    <row r="4297" spans="20:25" x14ac:dyDescent="0.25">
      <c r="T4297" s="10"/>
      <c r="U4297" s="4"/>
      <c r="V4297" s="4"/>
      <c r="X4297" s="4"/>
      <c r="Y4297" s="4"/>
    </row>
    <row r="4298" spans="20:25" x14ac:dyDescent="0.25">
      <c r="T4298" s="10"/>
      <c r="U4298" s="4"/>
      <c r="V4298" s="4"/>
      <c r="X4298" s="4"/>
      <c r="Y4298" s="4"/>
    </row>
    <row r="4299" spans="20:25" x14ac:dyDescent="0.25">
      <c r="T4299" s="10"/>
      <c r="U4299" s="4"/>
      <c r="V4299" s="4"/>
      <c r="X4299" s="4"/>
      <c r="Y4299" s="4"/>
    </row>
    <row r="4300" spans="20:25" x14ac:dyDescent="0.25">
      <c r="T4300" s="10"/>
      <c r="U4300" s="4"/>
      <c r="V4300" s="4"/>
      <c r="X4300" s="4"/>
      <c r="Y4300" s="4"/>
    </row>
    <row r="4301" spans="20:25" x14ac:dyDescent="0.25">
      <c r="T4301" s="10"/>
      <c r="U4301" s="4"/>
      <c r="V4301" s="4"/>
      <c r="X4301" s="4"/>
      <c r="Y4301" s="4"/>
    </row>
    <row r="4302" spans="20:25" x14ac:dyDescent="0.25">
      <c r="T4302" s="10"/>
      <c r="U4302" s="4"/>
      <c r="V4302" s="4"/>
      <c r="X4302" s="4"/>
      <c r="Y4302" s="4"/>
    </row>
    <row r="4303" spans="20:25" x14ac:dyDescent="0.25">
      <c r="T4303" s="10"/>
      <c r="U4303" s="4"/>
      <c r="V4303" s="4"/>
      <c r="X4303" s="4"/>
      <c r="Y4303" s="4"/>
    </row>
    <row r="4304" spans="20:25" x14ac:dyDescent="0.25">
      <c r="T4304" s="10"/>
      <c r="U4304" s="4"/>
      <c r="V4304" s="4"/>
      <c r="X4304" s="4"/>
      <c r="Y4304" s="4"/>
    </row>
    <row r="4305" spans="20:25" x14ac:dyDescent="0.25">
      <c r="T4305" s="10"/>
      <c r="U4305" s="4"/>
      <c r="V4305" s="4"/>
      <c r="X4305" s="4"/>
      <c r="Y4305" s="4"/>
    </row>
    <row r="4306" spans="20:25" x14ac:dyDescent="0.25">
      <c r="T4306" s="10"/>
      <c r="U4306" s="4"/>
      <c r="V4306" s="4"/>
      <c r="X4306" s="4"/>
      <c r="Y4306" s="4"/>
    </row>
    <row r="4307" spans="20:25" x14ac:dyDescent="0.25">
      <c r="T4307" s="10"/>
      <c r="U4307" s="4"/>
      <c r="V4307" s="4"/>
      <c r="X4307" s="4"/>
      <c r="Y4307" s="4"/>
    </row>
    <row r="4308" spans="20:25" x14ac:dyDescent="0.25">
      <c r="T4308" s="10"/>
      <c r="U4308" s="4"/>
      <c r="V4308" s="4"/>
      <c r="X4308" s="4"/>
      <c r="Y4308" s="4"/>
    </row>
    <row r="4309" spans="20:25" x14ac:dyDescent="0.25">
      <c r="T4309" s="10"/>
      <c r="U4309" s="4"/>
      <c r="V4309" s="4"/>
      <c r="X4309" s="4"/>
      <c r="Y4309" s="4"/>
    </row>
    <row r="4310" spans="20:25" x14ac:dyDescent="0.25">
      <c r="T4310" s="10"/>
      <c r="U4310" s="4"/>
      <c r="V4310" s="4"/>
      <c r="X4310" s="4"/>
      <c r="Y4310" s="4"/>
    </row>
    <row r="4311" spans="20:25" x14ac:dyDescent="0.25">
      <c r="T4311" s="10"/>
      <c r="U4311" s="4"/>
      <c r="V4311" s="4"/>
      <c r="X4311" s="4"/>
      <c r="Y4311" s="4"/>
    </row>
    <row r="4312" spans="20:25" x14ac:dyDescent="0.25">
      <c r="T4312" s="10"/>
      <c r="U4312" s="4"/>
      <c r="V4312" s="4"/>
      <c r="X4312" s="4"/>
      <c r="Y4312" s="4"/>
    </row>
    <row r="4313" spans="20:25" x14ac:dyDescent="0.25">
      <c r="T4313" s="10"/>
      <c r="U4313" s="4"/>
      <c r="V4313" s="4"/>
      <c r="X4313" s="4"/>
      <c r="Y4313" s="4"/>
    </row>
    <row r="4314" spans="20:25" x14ac:dyDescent="0.25">
      <c r="T4314" s="10"/>
      <c r="U4314" s="4"/>
      <c r="V4314" s="4"/>
      <c r="X4314" s="4"/>
      <c r="Y4314" s="4"/>
    </row>
    <row r="4315" spans="20:25" x14ac:dyDescent="0.25">
      <c r="T4315" s="10"/>
      <c r="U4315" s="4"/>
      <c r="V4315" s="4"/>
      <c r="X4315" s="4"/>
      <c r="Y4315" s="4"/>
    </row>
    <row r="4316" spans="20:25" x14ac:dyDescent="0.25">
      <c r="T4316" s="10"/>
      <c r="U4316" s="4"/>
      <c r="V4316" s="4"/>
      <c r="X4316" s="4"/>
      <c r="Y4316" s="4"/>
    </row>
    <row r="4317" spans="20:25" x14ac:dyDescent="0.25">
      <c r="T4317" s="10"/>
      <c r="U4317" s="4"/>
      <c r="V4317" s="4"/>
      <c r="X4317" s="4"/>
      <c r="Y4317" s="4"/>
    </row>
    <row r="4318" spans="20:25" x14ac:dyDescent="0.25">
      <c r="T4318" s="10"/>
      <c r="U4318" s="4"/>
      <c r="V4318" s="4"/>
      <c r="X4318" s="4"/>
      <c r="Y4318" s="4"/>
    </row>
    <row r="4319" spans="20:25" x14ac:dyDescent="0.25">
      <c r="T4319" s="10"/>
      <c r="U4319" s="4"/>
      <c r="V4319" s="4"/>
      <c r="X4319" s="4"/>
      <c r="Y4319" s="4"/>
    </row>
    <row r="4320" spans="20:25" x14ac:dyDescent="0.25">
      <c r="T4320" s="10"/>
      <c r="U4320" s="4"/>
      <c r="V4320" s="4"/>
      <c r="X4320" s="4"/>
      <c r="Y4320" s="4"/>
    </row>
    <row r="4321" spans="20:25" x14ac:dyDescent="0.25">
      <c r="T4321" s="10"/>
      <c r="U4321" s="4"/>
      <c r="V4321" s="4"/>
      <c r="X4321" s="4"/>
      <c r="Y4321" s="4"/>
    </row>
    <row r="4322" spans="20:25" x14ac:dyDescent="0.25">
      <c r="T4322" s="10"/>
      <c r="U4322" s="4"/>
      <c r="V4322" s="4"/>
      <c r="X4322" s="4"/>
      <c r="Y4322" s="4"/>
    </row>
    <row r="4323" spans="20:25" x14ac:dyDescent="0.25">
      <c r="T4323" s="10"/>
      <c r="U4323" s="4"/>
      <c r="V4323" s="4"/>
      <c r="X4323" s="4"/>
      <c r="Y4323" s="4"/>
    </row>
    <row r="4324" spans="20:25" x14ac:dyDescent="0.25">
      <c r="T4324" s="10"/>
      <c r="U4324" s="4"/>
      <c r="V4324" s="4"/>
      <c r="X4324" s="4"/>
      <c r="Y4324" s="4"/>
    </row>
    <row r="4325" spans="20:25" x14ac:dyDescent="0.25">
      <c r="T4325" s="10"/>
      <c r="U4325" s="4"/>
      <c r="V4325" s="4"/>
      <c r="X4325" s="4"/>
      <c r="Y4325" s="4"/>
    </row>
    <row r="4326" spans="20:25" x14ac:dyDescent="0.25">
      <c r="T4326" s="10"/>
      <c r="U4326" s="4"/>
      <c r="V4326" s="4"/>
      <c r="X4326" s="4"/>
      <c r="Y4326" s="4"/>
    </row>
    <row r="4327" spans="20:25" x14ac:dyDescent="0.25">
      <c r="T4327" s="10"/>
      <c r="U4327" s="4"/>
      <c r="V4327" s="4"/>
      <c r="X4327" s="4"/>
      <c r="Y4327" s="4"/>
    </row>
    <row r="4328" spans="20:25" x14ac:dyDescent="0.25">
      <c r="T4328" s="10"/>
      <c r="U4328" s="4"/>
      <c r="V4328" s="4"/>
      <c r="X4328" s="4"/>
      <c r="Y4328" s="4"/>
    </row>
    <row r="4329" spans="20:25" x14ac:dyDescent="0.25">
      <c r="T4329" s="10"/>
      <c r="U4329" s="4"/>
      <c r="V4329" s="4"/>
      <c r="X4329" s="4"/>
      <c r="Y4329" s="4"/>
    </row>
    <row r="4330" spans="20:25" x14ac:dyDescent="0.25">
      <c r="T4330" s="10"/>
      <c r="U4330" s="4"/>
      <c r="V4330" s="4"/>
      <c r="X4330" s="4"/>
      <c r="Y4330" s="4"/>
    </row>
    <row r="4331" spans="20:25" x14ac:dyDescent="0.25">
      <c r="T4331" s="10"/>
      <c r="U4331" s="4"/>
      <c r="V4331" s="4"/>
      <c r="X4331" s="4"/>
      <c r="Y4331" s="4"/>
    </row>
    <row r="4332" spans="20:25" x14ac:dyDescent="0.25">
      <c r="T4332" s="10"/>
      <c r="U4332" s="4"/>
      <c r="V4332" s="4"/>
      <c r="X4332" s="4"/>
      <c r="Y4332" s="4"/>
    </row>
    <row r="4333" spans="20:25" x14ac:dyDescent="0.25">
      <c r="T4333" s="10"/>
      <c r="U4333" s="4"/>
      <c r="V4333" s="4"/>
      <c r="X4333" s="4"/>
      <c r="Y4333" s="4"/>
    </row>
    <row r="4334" spans="20:25" x14ac:dyDescent="0.25">
      <c r="T4334" s="10"/>
      <c r="U4334" s="4"/>
      <c r="V4334" s="4"/>
      <c r="X4334" s="4"/>
      <c r="Y4334" s="4"/>
    </row>
    <row r="4335" spans="20:25" x14ac:dyDescent="0.25">
      <c r="T4335" s="10"/>
      <c r="U4335" s="4"/>
      <c r="V4335" s="4"/>
      <c r="X4335" s="4"/>
      <c r="Y4335" s="4"/>
    </row>
    <row r="4336" spans="20:25" x14ac:dyDescent="0.25">
      <c r="T4336" s="10"/>
      <c r="U4336" s="4"/>
      <c r="V4336" s="4"/>
      <c r="X4336" s="4"/>
      <c r="Y4336" s="4"/>
    </row>
    <row r="4337" spans="20:25" x14ac:dyDescent="0.25">
      <c r="T4337" s="10"/>
      <c r="U4337" s="4"/>
      <c r="V4337" s="4"/>
      <c r="X4337" s="4"/>
      <c r="Y4337" s="4"/>
    </row>
    <row r="4338" spans="20:25" x14ac:dyDescent="0.25">
      <c r="T4338" s="10"/>
      <c r="U4338" s="4"/>
      <c r="V4338" s="4"/>
      <c r="X4338" s="4"/>
      <c r="Y4338" s="4"/>
    </row>
    <row r="4339" spans="20:25" x14ac:dyDescent="0.25">
      <c r="T4339" s="10"/>
      <c r="U4339" s="4"/>
      <c r="V4339" s="4"/>
      <c r="X4339" s="4"/>
      <c r="Y4339" s="4"/>
    </row>
    <row r="4340" spans="20:25" x14ac:dyDescent="0.25">
      <c r="T4340" s="10"/>
      <c r="U4340" s="4"/>
      <c r="V4340" s="4"/>
      <c r="X4340" s="4"/>
      <c r="Y4340" s="4"/>
    </row>
    <row r="4341" spans="20:25" x14ac:dyDescent="0.25">
      <c r="T4341" s="10"/>
      <c r="U4341" s="4"/>
      <c r="V4341" s="4"/>
      <c r="X4341" s="4"/>
      <c r="Y4341" s="4"/>
    </row>
    <row r="4342" spans="20:25" x14ac:dyDescent="0.25">
      <c r="T4342" s="10"/>
      <c r="U4342" s="4"/>
      <c r="V4342" s="4"/>
      <c r="X4342" s="4"/>
      <c r="Y4342" s="4"/>
    </row>
    <row r="4343" spans="20:25" x14ac:dyDescent="0.25">
      <c r="T4343" s="10"/>
      <c r="U4343" s="4"/>
      <c r="V4343" s="4"/>
      <c r="X4343" s="4"/>
      <c r="Y4343" s="4"/>
    </row>
    <row r="4344" spans="20:25" x14ac:dyDescent="0.25">
      <c r="T4344" s="10"/>
      <c r="U4344" s="4"/>
      <c r="V4344" s="4"/>
      <c r="X4344" s="4"/>
      <c r="Y4344" s="4"/>
    </row>
    <row r="4345" spans="20:25" x14ac:dyDescent="0.25">
      <c r="T4345" s="10"/>
      <c r="U4345" s="4"/>
      <c r="V4345" s="4"/>
      <c r="X4345" s="4"/>
      <c r="Y4345" s="4"/>
    </row>
    <row r="4346" spans="20:25" x14ac:dyDescent="0.25">
      <c r="T4346" s="10"/>
      <c r="U4346" s="4"/>
      <c r="V4346" s="4"/>
      <c r="X4346" s="4"/>
      <c r="Y4346" s="4"/>
    </row>
    <row r="4347" spans="20:25" x14ac:dyDescent="0.25">
      <c r="T4347" s="10"/>
      <c r="U4347" s="4"/>
      <c r="V4347" s="4"/>
      <c r="X4347" s="4"/>
      <c r="Y4347" s="4"/>
    </row>
    <row r="4348" spans="20:25" x14ac:dyDescent="0.25">
      <c r="T4348" s="10"/>
      <c r="U4348" s="4"/>
      <c r="V4348" s="4"/>
      <c r="X4348" s="4"/>
      <c r="Y4348" s="4"/>
    </row>
    <row r="4349" spans="20:25" x14ac:dyDescent="0.25">
      <c r="T4349" s="10"/>
      <c r="U4349" s="4"/>
      <c r="V4349" s="4"/>
      <c r="X4349" s="4"/>
      <c r="Y4349" s="4"/>
    </row>
    <row r="4350" spans="20:25" x14ac:dyDescent="0.25">
      <c r="T4350" s="10"/>
      <c r="U4350" s="4"/>
      <c r="V4350" s="4"/>
      <c r="X4350" s="4"/>
      <c r="Y4350" s="4"/>
    </row>
    <row r="4351" spans="20:25" x14ac:dyDescent="0.25">
      <c r="T4351" s="10"/>
      <c r="U4351" s="4"/>
      <c r="V4351" s="4"/>
      <c r="X4351" s="4"/>
      <c r="Y4351" s="4"/>
    </row>
    <row r="4352" spans="20:25" x14ac:dyDescent="0.25">
      <c r="T4352" s="10"/>
      <c r="U4352" s="4"/>
      <c r="V4352" s="4"/>
      <c r="X4352" s="4"/>
      <c r="Y4352" s="4"/>
    </row>
    <row r="4353" spans="20:25" x14ac:dyDescent="0.25">
      <c r="T4353" s="10"/>
      <c r="U4353" s="4"/>
      <c r="V4353" s="4"/>
      <c r="X4353" s="4"/>
      <c r="Y4353" s="4"/>
    </row>
    <row r="4354" spans="20:25" x14ac:dyDescent="0.25">
      <c r="T4354" s="10"/>
      <c r="U4354" s="4"/>
      <c r="V4354" s="4"/>
      <c r="X4354" s="4"/>
      <c r="Y4354" s="4"/>
    </row>
    <row r="4355" spans="20:25" x14ac:dyDescent="0.25">
      <c r="T4355" s="10"/>
      <c r="U4355" s="4"/>
      <c r="V4355" s="4"/>
      <c r="X4355" s="4"/>
      <c r="Y4355" s="4"/>
    </row>
    <row r="4356" spans="20:25" x14ac:dyDescent="0.25">
      <c r="T4356" s="10"/>
      <c r="U4356" s="4"/>
      <c r="V4356" s="4"/>
      <c r="X4356" s="4"/>
      <c r="Y4356" s="4"/>
    </row>
    <row r="4357" spans="20:25" x14ac:dyDescent="0.25">
      <c r="T4357" s="10"/>
      <c r="U4357" s="4"/>
      <c r="V4357" s="4"/>
      <c r="X4357" s="4"/>
      <c r="Y4357" s="4"/>
    </row>
    <row r="4358" spans="20:25" x14ac:dyDescent="0.25">
      <c r="T4358" s="10"/>
      <c r="U4358" s="4"/>
      <c r="V4358" s="4"/>
      <c r="X4358" s="4"/>
      <c r="Y4358" s="4"/>
    </row>
    <row r="4359" spans="20:25" x14ac:dyDescent="0.25">
      <c r="T4359" s="10"/>
      <c r="U4359" s="4"/>
      <c r="V4359" s="4"/>
      <c r="X4359" s="4"/>
      <c r="Y4359" s="4"/>
    </row>
    <row r="4360" spans="20:25" x14ac:dyDescent="0.25">
      <c r="T4360" s="10"/>
      <c r="U4360" s="4"/>
      <c r="V4360" s="4"/>
      <c r="X4360" s="4"/>
      <c r="Y4360" s="4"/>
    </row>
    <row r="4361" spans="20:25" x14ac:dyDescent="0.25">
      <c r="T4361" s="10"/>
      <c r="U4361" s="4"/>
      <c r="V4361" s="4"/>
      <c r="X4361" s="4"/>
      <c r="Y4361" s="4"/>
    </row>
    <row r="4362" spans="20:25" x14ac:dyDescent="0.25">
      <c r="T4362" s="10"/>
      <c r="U4362" s="4"/>
      <c r="V4362" s="4"/>
      <c r="X4362" s="4"/>
      <c r="Y4362" s="4"/>
    </row>
    <row r="4363" spans="20:25" x14ac:dyDescent="0.25">
      <c r="T4363" s="10"/>
      <c r="U4363" s="4"/>
      <c r="V4363" s="4"/>
      <c r="X4363" s="4"/>
      <c r="Y4363" s="4"/>
    </row>
    <row r="4364" spans="20:25" x14ac:dyDescent="0.25">
      <c r="T4364" s="10"/>
      <c r="U4364" s="4"/>
      <c r="V4364" s="4"/>
      <c r="X4364" s="4"/>
      <c r="Y4364" s="4"/>
    </row>
    <row r="4365" spans="20:25" x14ac:dyDescent="0.25">
      <c r="T4365" s="10"/>
      <c r="U4365" s="4"/>
      <c r="V4365" s="4"/>
      <c r="X4365" s="4"/>
      <c r="Y4365" s="4"/>
    </row>
    <row r="4366" spans="20:25" x14ac:dyDescent="0.25">
      <c r="T4366" s="10"/>
      <c r="U4366" s="4"/>
      <c r="V4366" s="4"/>
      <c r="X4366" s="4"/>
      <c r="Y4366" s="4"/>
    </row>
    <row r="4367" spans="20:25" x14ac:dyDescent="0.25">
      <c r="T4367" s="10"/>
      <c r="U4367" s="4"/>
      <c r="V4367" s="4"/>
      <c r="X4367" s="4"/>
      <c r="Y4367" s="4"/>
    </row>
    <row r="4368" spans="20:25" x14ac:dyDescent="0.25">
      <c r="T4368" s="10"/>
      <c r="U4368" s="4"/>
      <c r="V4368" s="4"/>
      <c r="X4368" s="4"/>
      <c r="Y4368" s="4"/>
    </row>
    <row r="4369" spans="20:25" x14ac:dyDescent="0.25">
      <c r="T4369" s="10"/>
      <c r="U4369" s="4"/>
      <c r="V4369" s="4"/>
      <c r="X4369" s="4"/>
      <c r="Y4369" s="4"/>
    </row>
    <row r="4370" spans="20:25" x14ac:dyDescent="0.25">
      <c r="T4370" s="10"/>
      <c r="U4370" s="4"/>
      <c r="V4370" s="4"/>
      <c r="X4370" s="4"/>
      <c r="Y4370" s="4"/>
    </row>
    <row r="4371" spans="20:25" x14ac:dyDescent="0.25">
      <c r="T4371" s="10"/>
      <c r="U4371" s="4"/>
      <c r="V4371" s="4"/>
      <c r="X4371" s="4"/>
      <c r="Y4371" s="4"/>
    </row>
    <row r="4372" spans="20:25" x14ac:dyDescent="0.25">
      <c r="T4372" s="10"/>
      <c r="U4372" s="4"/>
      <c r="V4372" s="4"/>
      <c r="X4372" s="4"/>
      <c r="Y4372" s="4"/>
    </row>
    <row r="4373" spans="20:25" x14ac:dyDescent="0.25">
      <c r="T4373" s="10"/>
      <c r="U4373" s="4"/>
      <c r="V4373" s="4"/>
      <c r="X4373" s="4"/>
      <c r="Y4373" s="4"/>
    </row>
    <row r="4374" spans="20:25" x14ac:dyDescent="0.25">
      <c r="T4374" s="10"/>
      <c r="U4374" s="4"/>
      <c r="V4374" s="4"/>
      <c r="X4374" s="4"/>
      <c r="Y4374" s="4"/>
    </row>
    <row r="4375" spans="20:25" x14ac:dyDescent="0.25">
      <c r="T4375" s="10"/>
      <c r="U4375" s="4"/>
      <c r="V4375" s="4"/>
      <c r="X4375" s="4"/>
      <c r="Y4375" s="4"/>
    </row>
    <row r="4376" spans="20:25" x14ac:dyDescent="0.25">
      <c r="T4376" s="10"/>
      <c r="U4376" s="4"/>
      <c r="V4376" s="4"/>
      <c r="X4376" s="4"/>
      <c r="Y4376" s="4"/>
    </row>
    <row r="4377" spans="20:25" x14ac:dyDescent="0.25">
      <c r="T4377" s="10"/>
      <c r="U4377" s="4"/>
      <c r="V4377" s="4"/>
      <c r="X4377" s="4"/>
      <c r="Y4377" s="4"/>
    </row>
    <row r="4378" spans="20:25" x14ac:dyDescent="0.25">
      <c r="T4378" s="10"/>
      <c r="U4378" s="4"/>
      <c r="V4378" s="4"/>
      <c r="X4378" s="4"/>
      <c r="Y4378" s="4"/>
    </row>
    <row r="4379" spans="20:25" x14ac:dyDescent="0.25">
      <c r="T4379" s="10"/>
      <c r="U4379" s="4"/>
      <c r="V4379" s="4"/>
      <c r="X4379" s="4"/>
      <c r="Y4379" s="4"/>
    </row>
    <row r="4380" spans="20:25" x14ac:dyDescent="0.25">
      <c r="T4380" s="10"/>
      <c r="U4380" s="4"/>
      <c r="V4380" s="4"/>
      <c r="X4380" s="4"/>
      <c r="Y4380" s="4"/>
    </row>
    <row r="4381" spans="20:25" x14ac:dyDescent="0.25">
      <c r="T4381" s="10"/>
      <c r="U4381" s="4"/>
      <c r="V4381" s="4"/>
      <c r="X4381" s="4"/>
      <c r="Y4381" s="4"/>
    </row>
    <row r="4382" spans="20:25" x14ac:dyDescent="0.25">
      <c r="T4382" s="10"/>
      <c r="U4382" s="4"/>
      <c r="V4382" s="4"/>
      <c r="X4382" s="4"/>
      <c r="Y4382" s="4"/>
    </row>
    <row r="4383" spans="20:25" x14ac:dyDescent="0.25">
      <c r="T4383" s="10"/>
      <c r="U4383" s="4"/>
      <c r="V4383" s="4"/>
      <c r="X4383" s="4"/>
      <c r="Y4383" s="4"/>
    </row>
    <row r="4384" spans="20:25" x14ac:dyDescent="0.25">
      <c r="T4384" s="10"/>
      <c r="U4384" s="4"/>
      <c r="V4384" s="4"/>
      <c r="X4384" s="4"/>
      <c r="Y4384" s="4"/>
    </row>
    <row r="4385" spans="20:25" x14ac:dyDescent="0.25">
      <c r="T4385" s="10"/>
      <c r="U4385" s="4"/>
      <c r="V4385" s="4"/>
      <c r="X4385" s="4"/>
      <c r="Y4385" s="4"/>
    </row>
    <row r="4386" spans="20:25" x14ac:dyDescent="0.25">
      <c r="T4386" s="10"/>
      <c r="U4386" s="4"/>
      <c r="V4386" s="4"/>
      <c r="X4386" s="4"/>
      <c r="Y4386" s="4"/>
    </row>
    <row r="4387" spans="20:25" x14ac:dyDescent="0.25">
      <c r="T4387" s="10"/>
      <c r="U4387" s="4"/>
      <c r="V4387" s="4"/>
      <c r="X4387" s="4"/>
      <c r="Y4387" s="4"/>
    </row>
    <row r="4388" spans="20:25" x14ac:dyDescent="0.25">
      <c r="T4388" s="10"/>
      <c r="U4388" s="4"/>
      <c r="V4388" s="4"/>
      <c r="X4388" s="4"/>
      <c r="Y4388" s="4"/>
    </row>
    <row r="4389" spans="20:25" x14ac:dyDescent="0.25">
      <c r="T4389" s="10"/>
      <c r="U4389" s="4"/>
      <c r="V4389" s="4"/>
      <c r="X4389" s="4"/>
      <c r="Y4389" s="4"/>
    </row>
    <row r="4390" spans="20:25" x14ac:dyDescent="0.25">
      <c r="T4390" s="10"/>
      <c r="U4390" s="4"/>
      <c r="V4390" s="4"/>
      <c r="X4390" s="4"/>
      <c r="Y4390" s="4"/>
    </row>
    <row r="4391" spans="20:25" x14ac:dyDescent="0.25">
      <c r="T4391" s="10"/>
      <c r="U4391" s="4"/>
      <c r="V4391" s="4"/>
      <c r="X4391" s="4"/>
      <c r="Y4391" s="4"/>
    </row>
    <row r="4392" spans="20:25" x14ac:dyDescent="0.25">
      <c r="T4392" s="10"/>
      <c r="U4392" s="4"/>
      <c r="V4392" s="4"/>
      <c r="X4392" s="4"/>
      <c r="Y4392" s="4"/>
    </row>
    <row r="4393" spans="20:25" x14ac:dyDescent="0.25">
      <c r="T4393" s="10"/>
      <c r="U4393" s="4"/>
      <c r="V4393" s="4"/>
      <c r="X4393" s="4"/>
      <c r="Y4393" s="4"/>
    </row>
    <row r="4394" spans="20:25" x14ac:dyDescent="0.25">
      <c r="T4394" s="10"/>
      <c r="U4394" s="4"/>
      <c r="V4394" s="4"/>
      <c r="X4394" s="4"/>
      <c r="Y4394" s="4"/>
    </row>
    <row r="4395" spans="20:25" x14ac:dyDescent="0.25">
      <c r="T4395" s="10"/>
      <c r="U4395" s="4"/>
      <c r="V4395" s="4"/>
      <c r="X4395" s="4"/>
      <c r="Y4395" s="4"/>
    </row>
    <row r="4396" spans="20:25" x14ac:dyDescent="0.25">
      <c r="T4396" s="10"/>
      <c r="U4396" s="4"/>
      <c r="V4396" s="4"/>
      <c r="X4396" s="4"/>
      <c r="Y4396" s="4"/>
    </row>
    <row r="4397" spans="20:25" x14ac:dyDescent="0.25">
      <c r="T4397" s="10"/>
      <c r="U4397" s="4"/>
      <c r="V4397" s="4"/>
      <c r="X4397" s="4"/>
      <c r="Y4397" s="4"/>
    </row>
    <row r="4398" spans="20:25" x14ac:dyDescent="0.25">
      <c r="T4398" s="10"/>
      <c r="U4398" s="4"/>
      <c r="V4398" s="4"/>
      <c r="X4398" s="4"/>
      <c r="Y4398" s="4"/>
    </row>
    <row r="4399" spans="20:25" x14ac:dyDescent="0.25">
      <c r="T4399" s="10"/>
      <c r="U4399" s="4"/>
      <c r="V4399" s="4"/>
      <c r="X4399" s="4"/>
      <c r="Y4399" s="4"/>
    </row>
    <row r="4400" spans="20:25" x14ac:dyDescent="0.25">
      <c r="T4400" s="10"/>
      <c r="U4400" s="4"/>
      <c r="V4400" s="4"/>
      <c r="X4400" s="4"/>
      <c r="Y4400" s="4"/>
    </row>
    <row r="4401" spans="20:25" x14ac:dyDescent="0.25">
      <c r="T4401" s="10"/>
      <c r="U4401" s="4"/>
      <c r="V4401" s="4"/>
      <c r="X4401" s="4"/>
      <c r="Y4401" s="4"/>
    </row>
    <row r="4402" spans="20:25" x14ac:dyDescent="0.25">
      <c r="T4402" s="10"/>
      <c r="U4402" s="4"/>
      <c r="V4402" s="4"/>
      <c r="X4402" s="4"/>
      <c r="Y4402" s="4"/>
    </row>
    <row r="4403" spans="20:25" x14ac:dyDescent="0.25">
      <c r="T4403" s="10"/>
      <c r="U4403" s="4"/>
      <c r="V4403" s="4"/>
      <c r="X4403" s="4"/>
      <c r="Y4403" s="4"/>
    </row>
    <row r="4404" spans="20:25" x14ac:dyDescent="0.25">
      <c r="T4404" s="10"/>
      <c r="U4404" s="4"/>
      <c r="V4404" s="4"/>
      <c r="X4404" s="4"/>
      <c r="Y4404" s="4"/>
    </row>
    <row r="4405" spans="20:25" x14ac:dyDescent="0.25">
      <c r="T4405" s="10"/>
      <c r="U4405" s="4"/>
      <c r="V4405" s="4"/>
      <c r="X4405" s="4"/>
      <c r="Y4405" s="4"/>
    </row>
    <row r="4406" spans="20:25" x14ac:dyDescent="0.25">
      <c r="T4406" s="10"/>
      <c r="U4406" s="4"/>
      <c r="V4406" s="4"/>
      <c r="X4406" s="4"/>
      <c r="Y4406" s="4"/>
    </row>
    <row r="4407" spans="20:25" x14ac:dyDescent="0.25">
      <c r="T4407" s="10"/>
      <c r="U4407" s="4"/>
      <c r="V4407" s="4"/>
      <c r="X4407" s="4"/>
      <c r="Y4407" s="4"/>
    </row>
    <row r="4408" spans="20:25" x14ac:dyDescent="0.25">
      <c r="T4408" s="10"/>
      <c r="U4408" s="4"/>
      <c r="V4408" s="4"/>
      <c r="X4408" s="4"/>
      <c r="Y4408" s="4"/>
    </row>
    <row r="4409" spans="20:25" x14ac:dyDescent="0.25">
      <c r="T4409" s="10"/>
      <c r="U4409" s="4"/>
      <c r="V4409" s="4"/>
      <c r="X4409" s="4"/>
      <c r="Y4409" s="4"/>
    </row>
    <row r="4410" spans="20:25" x14ac:dyDescent="0.25">
      <c r="T4410" s="10"/>
      <c r="U4410" s="4"/>
      <c r="V4410" s="4"/>
      <c r="X4410" s="4"/>
      <c r="Y4410" s="4"/>
    </row>
    <row r="4411" spans="20:25" x14ac:dyDescent="0.25">
      <c r="T4411" s="10"/>
      <c r="U4411" s="4"/>
      <c r="V4411" s="4"/>
      <c r="X4411" s="4"/>
      <c r="Y4411" s="4"/>
    </row>
    <row r="4412" spans="20:25" x14ac:dyDescent="0.25">
      <c r="T4412" s="10"/>
      <c r="U4412" s="4"/>
      <c r="V4412" s="4"/>
      <c r="X4412" s="4"/>
      <c r="Y4412" s="4"/>
    </row>
    <row r="4413" spans="20:25" x14ac:dyDescent="0.25">
      <c r="T4413" s="10"/>
      <c r="U4413" s="4"/>
      <c r="V4413" s="4"/>
      <c r="X4413" s="4"/>
      <c r="Y4413" s="4"/>
    </row>
    <row r="4414" spans="20:25" x14ac:dyDescent="0.25">
      <c r="T4414" s="10"/>
      <c r="U4414" s="4"/>
      <c r="V4414" s="4"/>
      <c r="X4414" s="4"/>
      <c r="Y4414" s="4"/>
    </row>
    <row r="4415" spans="20:25" x14ac:dyDescent="0.25">
      <c r="T4415" s="10"/>
      <c r="U4415" s="4"/>
      <c r="V4415" s="4"/>
      <c r="X4415" s="4"/>
      <c r="Y4415" s="4"/>
    </row>
    <row r="4416" spans="20:25" x14ac:dyDescent="0.25">
      <c r="T4416" s="10"/>
      <c r="U4416" s="4"/>
      <c r="V4416" s="4"/>
      <c r="X4416" s="4"/>
      <c r="Y4416" s="4"/>
    </row>
    <row r="4417" spans="20:25" x14ac:dyDescent="0.25">
      <c r="T4417" s="10"/>
      <c r="U4417" s="4"/>
      <c r="V4417" s="4"/>
      <c r="X4417" s="4"/>
      <c r="Y4417" s="4"/>
    </row>
    <row r="4418" spans="20:25" x14ac:dyDescent="0.25">
      <c r="T4418" s="10"/>
      <c r="U4418" s="4"/>
      <c r="V4418" s="4"/>
      <c r="X4418" s="4"/>
      <c r="Y4418" s="4"/>
    </row>
    <row r="4419" spans="20:25" x14ac:dyDescent="0.25">
      <c r="T4419" s="10"/>
      <c r="U4419" s="4"/>
      <c r="V4419" s="4"/>
      <c r="X4419" s="4"/>
      <c r="Y4419" s="4"/>
    </row>
    <row r="4420" spans="20:25" x14ac:dyDescent="0.25">
      <c r="T4420" s="10"/>
      <c r="U4420" s="4"/>
      <c r="V4420" s="4"/>
      <c r="X4420" s="4"/>
      <c r="Y4420" s="4"/>
    </row>
    <row r="4421" spans="20:25" x14ac:dyDescent="0.25">
      <c r="T4421" s="10"/>
      <c r="U4421" s="4"/>
      <c r="V4421" s="4"/>
      <c r="X4421" s="4"/>
      <c r="Y4421" s="4"/>
    </row>
    <row r="4422" spans="20:25" x14ac:dyDescent="0.25">
      <c r="T4422" s="10"/>
      <c r="U4422" s="4"/>
      <c r="V4422" s="4"/>
      <c r="X4422" s="4"/>
      <c r="Y4422" s="4"/>
    </row>
    <row r="4423" spans="20:25" x14ac:dyDescent="0.25">
      <c r="T4423" s="10"/>
      <c r="U4423" s="4"/>
      <c r="V4423" s="4"/>
      <c r="X4423" s="4"/>
      <c r="Y4423" s="4"/>
    </row>
    <row r="4424" spans="20:25" x14ac:dyDescent="0.25">
      <c r="T4424" s="10"/>
      <c r="U4424" s="4"/>
      <c r="V4424" s="4"/>
      <c r="X4424" s="4"/>
      <c r="Y4424" s="4"/>
    </row>
    <row r="4425" spans="20:25" x14ac:dyDescent="0.25">
      <c r="T4425" s="10"/>
      <c r="U4425" s="4"/>
      <c r="V4425" s="4"/>
      <c r="X4425" s="4"/>
      <c r="Y4425" s="4"/>
    </row>
    <row r="4426" spans="20:25" x14ac:dyDescent="0.25">
      <c r="T4426" s="10"/>
      <c r="U4426" s="4"/>
      <c r="V4426" s="4"/>
      <c r="X4426" s="4"/>
      <c r="Y4426" s="4"/>
    </row>
    <row r="4427" spans="20:25" x14ac:dyDescent="0.25">
      <c r="T4427" s="10"/>
      <c r="U4427" s="4"/>
      <c r="V4427" s="4"/>
      <c r="X4427" s="4"/>
      <c r="Y4427" s="4"/>
    </row>
    <row r="4428" spans="20:25" x14ac:dyDescent="0.25">
      <c r="T4428" s="10"/>
      <c r="U4428" s="4"/>
      <c r="V4428" s="4"/>
      <c r="X4428" s="4"/>
      <c r="Y4428" s="4"/>
    </row>
    <row r="4429" spans="20:25" x14ac:dyDescent="0.25">
      <c r="T4429" s="10"/>
      <c r="U4429" s="4"/>
      <c r="V4429" s="4"/>
      <c r="X4429" s="4"/>
      <c r="Y4429" s="4"/>
    </row>
    <row r="4430" spans="20:25" x14ac:dyDescent="0.25">
      <c r="T4430" s="10"/>
      <c r="U4430" s="4"/>
      <c r="V4430" s="4"/>
      <c r="X4430" s="4"/>
      <c r="Y4430" s="4"/>
    </row>
    <row r="4431" spans="20:25" x14ac:dyDescent="0.25">
      <c r="T4431" s="10"/>
      <c r="U4431" s="4"/>
      <c r="V4431" s="4"/>
      <c r="X4431" s="4"/>
      <c r="Y4431" s="4"/>
    </row>
    <row r="4432" spans="20:25" x14ac:dyDescent="0.25">
      <c r="T4432" s="10"/>
      <c r="U4432" s="4"/>
      <c r="V4432" s="4"/>
      <c r="X4432" s="4"/>
      <c r="Y4432" s="4"/>
    </row>
    <row r="4433" spans="20:25" x14ac:dyDescent="0.25">
      <c r="T4433" s="10"/>
      <c r="U4433" s="4"/>
      <c r="V4433" s="4"/>
      <c r="X4433" s="4"/>
      <c r="Y4433" s="4"/>
    </row>
    <row r="4434" spans="20:25" x14ac:dyDescent="0.25">
      <c r="T4434" s="10"/>
      <c r="U4434" s="4"/>
      <c r="V4434" s="4"/>
      <c r="X4434" s="4"/>
      <c r="Y4434" s="4"/>
    </row>
    <row r="4435" spans="20:25" x14ac:dyDescent="0.25">
      <c r="T4435" s="10"/>
      <c r="U4435" s="4"/>
      <c r="V4435" s="4"/>
      <c r="X4435" s="4"/>
      <c r="Y4435" s="4"/>
    </row>
    <row r="4436" spans="20:25" x14ac:dyDescent="0.25">
      <c r="T4436" s="10"/>
      <c r="U4436" s="4"/>
      <c r="V4436" s="4"/>
      <c r="X4436" s="4"/>
      <c r="Y4436" s="4"/>
    </row>
    <row r="4437" spans="20:25" x14ac:dyDescent="0.25">
      <c r="T4437" s="10"/>
      <c r="U4437" s="4"/>
      <c r="V4437" s="4"/>
      <c r="X4437" s="4"/>
      <c r="Y4437" s="4"/>
    </row>
    <row r="4438" spans="20:25" x14ac:dyDescent="0.25">
      <c r="T4438" s="10"/>
      <c r="U4438" s="4"/>
      <c r="V4438" s="4"/>
      <c r="X4438" s="4"/>
      <c r="Y4438" s="4"/>
    </row>
    <row r="4439" spans="20:25" x14ac:dyDescent="0.25">
      <c r="T4439" s="10"/>
      <c r="U4439" s="4"/>
      <c r="V4439" s="4"/>
      <c r="X4439" s="4"/>
      <c r="Y4439" s="4"/>
    </row>
    <row r="4440" spans="20:25" x14ac:dyDescent="0.25">
      <c r="T4440" s="10"/>
      <c r="U4440" s="4"/>
      <c r="V4440" s="4"/>
      <c r="X4440" s="4"/>
      <c r="Y4440" s="4"/>
    </row>
    <row r="4441" spans="20:25" x14ac:dyDescent="0.25">
      <c r="T4441" s="10"/>
      <c r="U4441" s="4"/>
      <c r="V4441" s="4"/>
      <c r="X4441" s="4"/>
      <c r="Y4441" s="4"/>
    </row>
    <row r="4442" spans="20:25" x14ac:dyDescent="0.25">
      <c r="T4442" s="10"/>
      <c r="U4442" s="4"/>
      <c r="V4442" s="4"/>
      <c r="X4442" s="4"/>
      <c r="Y4442" s="4"/>
    </row>
    <row r="4443" spans="20:25" x14ac:dyDescent="0.25">
      <c r="T4443" s="10"/>
      <c r="U4443" s="4"/>
      <c r="V4443" s="4"/>
      <c r="X4443" s="4"/>
      <c r="Y4443" s="4"/>
    </row>
    <row r="4444" spans="20:25" x14ac:dyDescent="0.25">
      <c r="T4444" s="10"/>
      <c r="U4444" s="4"/>
      <c r="V4444" s="4"/>
      <c r="X4444" s="4"/>
      <c r="Y4444" s="4"/>
    </row>
    <row r="4445" spans="20:25" x14ac:dyDescent="0.25">
      <c r="T4445" s="10"/>
      <c r="U4445" s="4"/>
      <c r="V4445" s="4"/>
      <c r="X4445" s="4"/>
      <c r="Y4445" s="4"/>
    </row>
    <row r="4446" spans="20:25" x14ac:dyDescent="0.25">
      <c r="T4446" s="10"/>
      <c r="U4446" s="4"/>
      <c r="V4446" s="4"/>
      <c r="X4446" s="4"/>
      <c r="Y4446" s="4"/>
    </row>
    <row r="4447" spans="20:25" x14ac:dyDescent="0.25">
      <c r="T4447" s="10"/>
      <c r="U4447" s="4"/>
      <c r="V4447" s="4"/>
      <c r="X4447" s="4"/>
      <c r="Y4447" s="4"/>
    </row>
    <row r="4448" spans="20:25" x14ac:dyDescent="0.25">
      <c r="T4448" s="10"/>
      <c r="U4448" s="4"/>
      <c r="V4448" s="4"/>
      <c r="X4448" s="4"/>
      <c r="Y4448" s="4"/>
    </row>
    <row r="4449" spans="20:25" x14ac:dyDescent="0.25">
      <c r="T4449" s="10"/>
      <c r="U4449" s="4"/>
      <c r="V4449" s="4"/>
      <c r="X4449" s="4"/>
      <c r="Y4449" s="4"/>
    </row>
    <row r="4450" spans="20:25" x14ac:dyDescent="0.25">
      <c r="T4450" s="10"/>
      <c r="U4450" s="4"/>
      <c r="V4450" s="4"/>
      <c r="X4450" s="4"/>
      <c r="Y4450" s="4"/>
    </row>
    <row r="4451" spans="20:25" x14ac:dyDescent="0.25">
      <c r="T4451" s="10"/>
      <c r="U4451" s="4"/>
      <c r="V4451" s="4"/>
      <c r="X4451" s="4"/>
      <c r="Y4451" s="4"/>
    </row>
    <row r="4452" spans="20:25" x14ac:dyDescent="0.25">
      <c r="T4452" s="10"/>
      <c r="U4452" s="4"/>
      <c r="V4452" s="4"/>
      <c r="X4452" s="4"/>
      <c r="Y4452" s="4"/>
    </row>
    <row r="4453" spans="20:25" x14ac:dyDescent="0.25">
      <c r="T4453" s="10"/>
      <c r="U4453" s="4"/>
      <c r="V4453" s="4"/>
      <c r="X4453" s="4"/>
      <c r="Y4453" s="4"/>
    </row>
    <row r="4454" spans="20:25" x14ac:dyDescent="0.25">
      <c r="T4454" s="10"/>
      <c r="U4454" s="4"/>
      <c r="V4454" s="4"/>
      <c r="X4454" s="4"/>
      <c r="Y4454" s="4"/>
    </row>
    <row r="4455" spans="20:25" x14ac:dyDescent="0.25">
      <c r="T4455" s="10"/>
      <c r="U4455" s="4"/>
      <c r="V4455" s="4"/>
      <c r="X4455" s="4"/>
      <c r="Y4455" s="4"/>
    </row>
    <row r="4456" spans="20:25" x14ac:dyDescent="0.25">
      <c r="T4456" s="10"/>
      <c r="U4456" s="4"/>
      <c r="V4456" s="4"/>
      <c r="X4456" s="4"/>
      <c r="Y4456" s="4"/>
    </row>
    <row r="4457" spans="20:25" x14ac:dyDescent="0.25">
      <c r="T4457" s="10"/>
      <c r="U4457" s="4"/>
      <c r="V4457" s="4"/>
      <c r="X4457" s="4"/>
      <c r="Y4457" s="4"/>
    </row>
    <row r="4458" spans="20:25" x14ac:dyDescent="0.25">
      <c r="T4458" s="10"/>
      <c r="U4458" s="4"/>
      <c r="V4458" s="4"/>
      <c r="X4458" s="4"/>
      <c r="Y4458" s="4"/>
    </row>
    <row r="4459" spans="20:25" x14ac:dyDescent="0.25">
      <c r="T4459" s="10"/>
      <c r="U4459" s="4"/>
      <c r="V4459" s="4"/>
      <c r="X4459" s="4"/>
      <c r="Y4459" s="4"/>
    </row>
    <row r="4460" spans="20:25" x14ac:dyDescent="0.25">
      <c r="T4460" s="10"/>
      <c r="U4460" s="4"/>
      <c r="V4460" s="4"/>
      <c r="X4460" s="4"/>
      <c r="Y4460" s="4"/>
    </row>
    <row r="4461" spans="20:25" x14ac:dyDescent="0.25">
      <c r="T4461" s="10"/>
      <c r="U4461" s="4"/>
      <c r="V4461" s="4"/>
      <c r="X4461" s="4"/>
      <c r="Y4461" s="4"/>
    </row>
    <row r="4462" spans="20:25" x14ac:dyDescent="0.25">
      <c r="T4462" s="10"/>
      <c r="U4462" s="4"/>
      <c r="V4462" s="4"/>
      <c r="X4462" s="4"/>
      <c r="Y4462" s="4"/>
    </row>
    <row r="4463" spans="20:25" x14ac:dyDescent="0.25">
      <c r="T4463" s="10"/>
      <c r="U4463" s="4"/>
      <c r="V4463" s="4"/>
      <c r="X4463" s="4"/>
      <c r="Y4463" s="4"/>
    </row>
    <row r="4464" spans="20:25" x14ac:dyDescent="0.25">
      <c r="T4464" s="10"/>
      <c r="U4464" s="4"/>
      <c r="V4464" s="4"/>
      <c r="X4464" s="4"/>
      <c r="Y4464" s="4"/>
    </row>
    <row r="4465" spans="20:25" x14ac:dyDescent="0.25">
      <c r="T4465" s="10"/>
      <c r="U4465" s="4"/>
      <c r="V4465" s="4"/>
      <c r="X4465" s="4"/>
      <c r="Y4465" s="4"/>
    </row>
    <row r="4466" spans="20:25" x14ac:dyDescent="0.25">
      <c r="T4466" s="10"/>
      <c r="U4466" s="4"/>
      <c r="V4466" s="4"/>
      <c r="X4466" s="4"/>
      <c r="Y4466" s="4"/>
    </row>
    <row r="4467" spans="20:25" x14ac:dyDescent="0.25">
      <c r="T4467" s="10"/>
      <c r="U4467" s="4"/>
      <c r="V4467" s="4"/>
      <c r="X4467" s="4"/>
      <c r="Y4467" s="4"/>
    </row>
    <row r="4468" spans="20:25" x14ac:dyDescent="0.25">
      <c r="T4468" s="10"/>
      <c r="U4468" s="4"/>
      <c r="V4468" s="4"/>
      <c r="X4468" s="4"/>
      <c r="Y4468" s="4"/>
    </row>
    <row r="4469" spans="20:25" x14ac:dyDescent="0.25">
      <c r="T4469" s="10"/>
      <c r="U4469" s="4"/>
      <c r="V4469" s="4"/>
      <c r="X4469" s="4"/>
      <c r="Y4469" s="4"/>
    </row>
    <row r="4470" spans="20:25" x14ac:dyDescent="0.25">
      <c r="T4470" s="10"/>
      <c r="U4470" s="4"/>
      <c r="V4470" s="4"/>
      <c r="X4470" s="4"/>
      <c r="Y4470" s="4"/>
    </row>
    <row r="4471" spans="20:25" x14ac:dyDescent="0.25">
      <c r="T4471" s="10"/>
      <c r="U4471" s="4"/>
      <c r="V4471" s="4"/>
      <c r="X4471" s="4"/>
      <c r="Y4471" s="4"/>
    </row>
    <row r="4472" spans="20:25" x14ac:dyDescent="0.25">
      <c r="T4472" s="10"/>
      <c r="U4472" s="4"/>
      <c r="V4472" s="4"/>
      <c r="X4472" s="4"/>
      <c r="Y4472" s="4"/>
    </row>
    <row r="4473" spans="20:25" x14ac:dyDescent="0.25">
      <c r="T4473" s="10"/>
      <c r="U4473" s="4"/>
      <c r="V4473" s="4"/>
      <c r="X4473" s="4"/>
      <c r="Y4473" s="4"/>
    </row>
    <row r="4474" spans="20:25" x14ac:dyDescent="0.25">
      <c r="T4474" s="10"/>
      <c r="U4474" s="4"/>
      <c r="V4474" s="4"/>
      <c r="X4474" s="4"/>
      <c r="Y4474" s="4"/>
    </row>
    <row r="4475" spans="20:25" x14ac:dyDescent="0.25">
      <c r="T4475" s="10"/>
      <c r="U4475" s="4"/>
      <c r="V4475" s="4"/>
      <c r="X4475" s="4"/>
      <c r="Y4475" s="4"/>
    </row>
    <row r="4476" spans="20:25" x14ac:dyDescent="0.25">
      <c r="T4476" s="10"/>
      <c r="U4476" s="4"/>
      <c r="V4476" s="4"/>
      <c r="X4476" s="4"/>
      <c r="Y4476" s="4"/>
    </row>
    <row r="4477" spans="20:25" x14ac:dyDescent="0.25">
      <c r="T4477" s="10"/>
      <c r="U4477" s="4"/>
      <c r="V4477" s="4"/>
      <c r="X4477" s="4"/>
      <c r="Y4477" s="4"/>
    </row>
    <row r="4478" spans="20:25" x14ac:dyDescent="0.25">
      <c r="T4478" s="10"/>
      <c r="U4478" s="4"/>
      <c r="V4478" s="4"/>
      <c r="X4478" s="4"/>
      <c r="Y4478" s="4"/>
    </row>
    <row r="4479" spans="20:25" x14ac:dyDescent="0.25">
      <c r="T4479" s="10"/>
      <c r="U4479" s="4"/>
      <c r="V4479" s="4"/>
      <c r="X4479" s="4"/>
      <c r="Y4479" s="4"/>
    </row>
    <row r="4480" spans="20:25" x14ac:dyDescent="0.25">
      <c r="T4480" s="10"/>
      <c r="U4480" s="4"/>
      <c r="V4480" s="4"/>
      <c r="X4480" s="4"/>
      <c r="Y4480" s="4"/>
    </row>
    <row r="4481" spans="20:25" x14ac:dyDescent="0.25">
      <c r="T4481" s="10"/>
      <c r="U4481" s="4"/>
      <c r="V4481" s="4"/>
      <c r="X4481" s="4"/>
      <c r="Y4481" s="4"/>
    </row>
    <row r="4482" spans="20:25" x14ac:dyDescent="0.25">
      <c r="T4482" s="10"/>
      <c r="U4482" s="4"/>
      <c r="V4482" s="4"/>
      <c r="X4482" s="4"/>
      <c r="Y4482" s="4"/>
    </row>
    <row r="4483" spans="20:25" x14ac:dyDescent="0.25">
      <c r="T4483" s="10"/>
      <c r="U4483" s="4"/>
      <c r="V4483" s="4"/>
      <c r="X4483" s="4"/>
      <c r="Y4483" s="4"/>
    </row>
    <row r="4484" spans="20:25" x14ac:dyDescent="0.25">
      <c r="T4484" s="10"/>
      <c r="U4484" s="4"/>
      <c r="V4484" s="4"/>
      <c r="X4484" s="4"/>
      <c r="Y4484" s="4"/>
    </row>
    <row r="4485" spans="20:25" x14ac:dyDescent="0.25">
      <c r="T4485" s="10"/>
      <c r="U4485" s="4"/>
      <c r="V4485" s="4"/>
      <c r="X4485" s="4"/>
      <c r="Y4485" s="4"/>
    </row>
    <row r="4486" spans="20:25" x14ac:dyDescent="0.25">
      <c r="T4486" s="10"/>
      <c r="U4486" s="4"/>
      <c r="V4486" s="4"/>
      <c r="X4486" s="4"/>
      <c r="Y4486" s="4"/>
    </row>
    <row r="4487" spans="20:25" x14ac:dyDescent="0.25">
      <c r="T4487" s="10"/>
      <c r="U4487" s="4"/>
      <c r="V4487" s="4"/>
      <c r="X4487" s="4"/>
      <c r="Y4487" s="4"/>
    </row>
    <row r="4488" spans="20:25" x14ac:dyDescent="0.25">
      <c r="T4488" s="10"/>
      <c r="U4488" s="4"/>
      <c r="V4488" s="4"/>
      <c r="X4488" s="4"/>
      <c r="Y4488" s="4"/>
    </row>
    <row r="4489" spans="20:25" x14ac:dyDescent="0.25">
      <c r="T4489" s="10"/>
      <c r="U4489" s="4"/>
      <c r="V4489" s="4"/>
      <c r="X4489" s="4"/>
      <c r="Y4489" s="4"/>
    </row>
    <row r="4490" spans="20:25" x14ac:dyDescent="0.25">
      <c r="T4490" s="10"/>
      <c r="U4490" s="4"/>
      <c r="V4490" s="4"/>
      <c r="X4490" s="4"/>
      <c r="Y4490" s="4"/>
    </row>
    <row r="4491" spans="20:25" x14ac:dyDescent="0.25">
      <c r="T4491" s="10"/>
      <c r="U4491" s="4"/>
      <c r="V4491" s="4"/>
      <c r="X4491" s="4"/>
      <c r="Y4491" s="4"/>
    </row>
    <row r="4492" spans="20:25" x14ac:dyDescent="0.25">
      <c r="T4492" s="10"/>
      <c r="U4492" s="4"/>
      <c r="V4492" s="4"/>
      <c r="X4492" s="4"/>
      <c r="Y4492" s="4"/>
    </row>
    <row r="4493" spans="20:25" x14ac:dyDescent="0.25">
      <c r="T4493" s="10"/>
      <c r="U4493" s="4"/>
      <c r="V4493" s="4"/>
      <c r="X4493" s="4"/>
      <c r="Y4493" s="4"/>
    </row>
    <row r="4494" spans="20:25" x14ac:dyDescent="0.25">
      <c r="T4494" s="10"/>
      <c r="U4494" s="4"/>
      <c r="V4494" s="4"/>
      <c r="X4494" s="4"/>
      <c r="Y4494" s="4"/>
    </row>
    <row r="4495" spans="20:25" x14ac:dyDescent="0.25">
      <c r="T4495" s="10"/>
      <c r="U4495" s="4"/>
      <c r="V4495" s="4"/>
      <c r="X4495" s="4"/>
      <c r="Y4495" s="4"/>
    </row>
    <row r="4496" spans="20:25" x14ac:dyDescent="0.25">
      <c r="T4496" s="10"/>
      <c r="U4496" s="4"/>
      <c r="V4496" s="4"/>
      <c r="X4496" s="4"/>
      <c r="Y4496" s="4"/>
    </row>
    <row r="4497" spans="20:25" x14ac:dyDescent="0.25">
      <c r="T4497" s="10"/>
      <c r="U4497" s="4"/>
      <c r="V4497" s="4"/>
      <c r="X4497" s="4"/>
      <c r="Y4497" s="4"/>
    </row>
    <row r="4498" spans="20:25" x14ac:dyDescent="0.25">
      <c r="T4498" s="10"/>
      <c r="U4498" s="4"/>
      <c r="V4498" s="4"/>
      <c r="X4498" s="4"/>
      <c r="Y4498" s="4"/>
    </row>
    <row r="4499" spans="20:25" x14ac:dyDescent="0.25">
      <c r="T4499" s="10"/>
      <c r="U4499" s="4"/>
      <c r="V4499" s="4"/>
      <c r="X4499" s="4"/>
      <c r="Y4499" s="4"/>
    </row>
    <row r="4500" spans="20:25" x14ac:dyDescent="0.25">
      <c r="T4500" s="10"/>
      <c r="U4500" s="4"/>
      <c r="V4500" s="4"/>
      <c r="X4500" s="4"/>
      <c r="Y4500" s="4"/>
    </row>
    <row r="4501" spans="20:25" x14ac:dyDescent="0.25">
      <c r="T4501" s="10"/>
      <c r="U4501" s="4"/>
      <c r="V4501" s="4"/>
      <c r="X4501" s="4"/>
      <c r="Y4501" s="4"/>
    </row>
    <row r="4502" spans="20:25" x14ac:dyDescent="0.25">
      <c r="T4502" s="10"/>
      <c r="U4502" s="4"/>
      <c r="V4502" s="4"/>
      <c r="X4502" s="4"/>
      <c r="Y4502" s="4"/>
    </row>
    <row r="4503" spans="20:25" x14ac:dyDescent="0.25">
      <c r="T4503" s="10"/>
      <c r="U4503" s="4"/>
      <c r="V4503" s="4"/>
      <c r="X4503" s="4"/>
      <c r="Y4503" s="4"/>
    </row>
    <row r="4504" spans="20:25" x14ac:dyDescent="0.25">
      <c r="T4504" s="10"/>
      <c r="U4504" s="4"/>
      <c r="V4504" s="4"/>
      <c r="X4504" s="4"/>
      <c r="Y4504" s="4"/>
    </row>
    <row r="4505" spans="20:25" x14ac:dyDescent="0.25">
      <c r="T4505" s="10"/>
      <c r="U4505" s="4"/>
      <c r="V4505" s="4"/>
      <c r="X4505" s="4"/>
      <c r="Y4505" s="4"/>
    </row>
    <row r="4506" spans="20:25" x14ac:dyDescent="0.25">
      <c r="T4506" s="10"/>
      <c r="U4506" s="4"/>
      <c r="V4506" s="4"/>
      <c r="X4506" s="4"/>
      <c r="Y4506" s="4"/>
    </row>
    <row r="4507" spans="20:25" x14ac:dyDescent="0.25">
      <c r="T4507" s="10"/>
      <c r="U4507" s="4"/>
      <c r="V4507" s="4"/>
      <c r="X4507" s="4"/>
      <c r="Y4507" s="4"/>
    </row>
    <row r="4508" spans="20:25" x14ac:dyDescent="0.25">
      <c r="T4508" s="10"/>
      <c r="U4508" s="4"/>
      <c r="V4508" s="4"/>
      <c r="X4508" s="4"/>
      <c r="Y4508" s="4"/>
    </row>
    <row r="4509" spans="20:25" x14ac:dyDescent="0.25">
      <c r="T4509" s="10"/>
      <c r="U4509" s="4"/>
      <c r="V4509" s="4"/>
      <c r="X4509" s="4"/>
      <c r="Y4509" s="4"/>
    </row>
    <row r="4510" spans="20:25" x14ac:dyDescent="0.25">
      <c r="T4510" s="10"/>
      <c r="U4510" s="4"/>
      <c r="V4510" s="4"/>
      <c r="X4510" s="4"/>
      <c r="Y4510" s="4"/>
    </row>
    <row r="4511" spans="20:25" x14ac:dyDescent="0.25">
      <c r="T4511" s="10"/>
      <c r="U4511" s="4"/>
      <c r="V4511" s="4"/>
      <c r="X4511" s="4"/>
      <c r="Y4511" s="4"/>
    </row>
    <row r="4512" spans="20:25" x14ac:dyDescent="0.25">
      <c r="T4512" s="10"/>
      <c r="U4512" s="4"/>
      <c r="V4512" s="4"/>
      <c r="X4512" s="4"/>
      <c r="Y4512" s="4"/>
    </row>
    <row r="4513" spans="20:25" x14ac:dyDescent="0.25">
      <c r="T4513" s="10"/>
      <c r="U4513" s="4"/>
      <c r="V4513" s="4"/>
      <c r="X4513" s="4"/>
      <c r="Y4513" s="4"/>
    </row>
    <row r="4514" spans="20:25" x14ac:dyDescent="0.25">
      <c r="T4514" s="10"/>
      <c r="U4514" s="4"/>
      <c r="V4514" s="4"/>
      <c r="X4514" s="4"/>
      <c r="Y4514" s="4"/>
    </row>
    <row r="4515" spans="20:25" x14ac:dyDescent="0.25">
      <c r="T4515" s="10"/>
      <c r="U4515" s="4"/>
      <c r="V4515" s="4"/>
      <c r="X4515" s="4"/>
      <c r="Y4515" s="4"/>
    </row>
    <row r="4516" spans="20:25" x14ac:dyDescent="0.25">
      <c r="T4516" s="10"/>
      <c r="U4516" s="4"/>
      <c r="V4516" s="4"/>
      <c r="X4516" s="4"/>
      <c r="Y4516" s="4"/>
    </row>
    <row r="4517" spans="20:25" x14ac:dyDescent="0.25">
      <c r="T4517" s="10"/>
      <c r="U4517" s="4"/>
      <c r="V4517" s="4"/>
      <c r="X4517" s="4"/>
      <c r="Y4517" s="4"/>
    </row>
    <row r="4518" spans="20:25" x14ac:dyDescent="0.25">
      <c r="T4518" s="10"/>
      <c r="U4518" s="4"/>
      <c r="V4518" s="4"/>
      <c r="X4518" s="4"/>
      <c r="Y4518" s="4"/>
    </row>
    <row r="4519" spans="20:25" x14ac:dyDescent="0.25">
      <c r="T4519" s="10"/>
      <c r="U4519" s="4"/>
      <c r="V4519" s="4"/>
      <c r="X4519" s="4"/>
      <c r="Y4519" s="4"/>
    </row>
    <row r="4520" spans="20:25" x14ac:dyDescent="0.25">
      <c r="T4520" s="10"/>
      <c r="U4520" s="4"/>
      <c r="V4520" s="4"/>
      <c r="X4520" s="4"/>
      <c r="Y4520" s="4"/>
    </row>
    <row r="4521" spans="20:25" x14ac:dyDescent="0.25">
      <c r="T4521" s="10"/>
      <c r="U4521" s="4"/>
      <c r="V4521" s="4"/>
      <c r="X4521" s="4"/>
      <c r="Y4521" s="4"/>
    </row>
    <row r="4522" spans="20:25" x14ac:dyDescent="0.25">
      <c r="T4522" s="10"/>
      <c r="U4522" s="4"/>
      <c r="V4522" s="4"/>
      <c r="X4522" s="4"/>
      <c r="Y4522" s="4"/>
    </row>
    <row r="4523" spans="20:25" x14ac:dyDescent="0.25">
      <c r="T4523" s="10"/>
      <c r="U4523" s="4"/>
      <c r="V4523" s="4"/>
      <c r="X4523" s="4"/>
      <c r="Y4523" s="4"/>
    </row>
    <row r="4524" spans="20:25" x14ac:dyDescent="0.25">
      <c r="T4524" s="10"/>
      <c r="U4524" s="4"/>
      <c r="V4524" s="4"/>
      <c r="X4524" s="4"/>
      <c r="Y4524" s="4"/>
    </row>
    <row r="4525" spans="20:25" x14ac:dyDescent="0.25">
      <c r="T4525" s="10"/>
      <c r="U4525" s="4"/>
      <c r="V4525" s="4"/>
      <c r="X4525" s="4"/>
      <c r="Y4525" s="4"/>
    </row>
    <row r="4526" spans="20:25" x14ac:dyDescent="0.25">
      <c r="T4526" s="10"/>
      <c r="U4526" s="4"/>
      <c r="V4526" s="4"/>
      <c r="X4526" s="4"/>
      <c r="Y4526" s="4"/>
    </row>
    <row r="4527" spans="20:25" x14ac:dyDescent="0.25">
      <c r="T4527" s="10"/>
      <c r="U4527" s="4"/>
      <c r="V4527" s="4"/>
      <c r="X4527" s="4"/>
      <c r="Y4527" s="4"/>
    </row>
    <row r="4528" spans="20:25" x14ac:dyDescent="0.25">
      <c r="T4528" s="10"/>
      <c r="U4528" s="4"/>
      <c r="V4528" s="4"/>
      <c r="X4528" s="4"/>
      <c r="Y4528" s="4"/>
    </row>
    <row r="4529" spans="20:25" x14ac:dyDescent="0.25">
      <c r="T4529" s="10"/>
      <c r="U4529" s="4"/>
      <c r="V4529" s="4"/>
      <c r="X4529" s="4"/>
      <c r="Y4529" s="4"/>
    </row>
    <row r="4530" spans="20:25" x14ac:dyDescent="0.25">
      <c r="T4530" s="10"/>
      <c r="U4530" s="4"/>
      <c r="V4530" s="4"/>
      <c r="X4530" s="4"/>
      <c r="Y4530" s="4"/>
    </row>
    <row r="4531" spans="20:25" x14ac:dyDescent="0.25">
      <c r="T4531" s="10"/>
      <c r="U4531" s="4"/>
      <c r="V4531" s="4"/>
      <c r="X4531" s="4"/>
      <c r="Y4531" s="4"/>
    </row>
    <row r="4532" spans="20:25" x14ac:dyDescent="0.25">
      <c r="T4532" s="10"/>
      <c r="U4532" s="4"/>
      <c r="V4532" s="4"/>
      <c r="X4532" s="4"/>
      <c r="Y4532" s="4"/>
    </row>
    <row r="4533" spans="20:25" x14ac:dyDescent="0.25">
      <c r="T4533" s="10"/>
      <c r="U4533" s="4"/>
      <c r="V4533" s="4"/>
      <c r="X4533" s="4"/>
      <c r="Y4533" s="4"/>
    </row>
    <row r="4534" spans="20:25" x14ac:dyDescent="0.25">
      <c r="T4534" s="10"/>
      <c r="U4534" s="4"/>
      <c r="V4534" s="4"/>
      <c r="X4534" s="4"/>
      <c r="Y4534" s="4"/>
    </row>
    <row r="4535" spans="20:25" x14ac:dyDescent="0.25">
      <c r="T4535" s="10"/>
      <c r="U4535" s="4"/>
      <c r="V4535" s="4"/>
      <c r="X4535" s="4"/>
      <c r="Y4535" s="4"/>
    </row>
    <row r="4536" spans="20:25" x14ac:dyDescent="0.25">
      <c r="T4536" s="10"/>
      <c r="U4536" s="4"/>
      <c r="V4536" s="4"/>
      <c r="X4536" s="4"/>
      <c r="Y4536" s="4"/>
    </row>
    <row r="4537" spans="20:25" x14ac:dyDescent="0.25">
      <c r="T4537" s="10"/>
      <c r="U4537" s="4"/>
      <c r="V4537" s="4"/>
      <c r="X4537" s="4"/>
      <c r="Y4537" s="4"/>
    </row>
    <row r="4538" spans="20:25" x14ac:dyDescent="0.25">
      <c r="T4538" s="10"/>
      <c r="U4538" s="4"/>
      <c r="V4538" s="4"/>
      <c r="X4538" s="4"/>
      <c r="Y4538" s="4"/>
    </row>
    <row r="4539" spans="20:25" x14ac:dyDescent="0.25">
      <c r="T4539" s="10"/>
      <c r="U4539" s="4"/>
      <c r="V4539" s="4"/>
      <c r="X4539" s="4"/>
      <c r="Y4539" s="4"/>
    </row>
    <row r="4540" spans="20:25" x14ac:dyDescent="0.25">
      <c r="T4540" s="10"/>
      <c r="U4540" s="4"/>
      <c r="V4540" s="4"/>
      <c r="X4540" s="4"/>
      <c r="Y4540" s="4"/>
    </row>
    <row r="4541" spans="20:25" x14ac:dyDescent="0.25">
      <c r="T4541" s="10"/>
      <c r="U4541" s="4"/>
      <c r="V4541" s="4"/>
      <c r="X4541" s="4"/>
      <c r="Y4541" s="4"/>
    </row>
    <row r="4542" spans="20:25" x14ac:dyDescent="0.25">
      <c r="T4542" s="10"/>
      <c r="U4542" s="4"/>
      <c r="V4542" s="4"/>
      <c r="X4542" s="4"/>
      <c r="Y4542" s="4"/>
    </row>
    <row r="4543" spans="20:25" x14ac:dyDescent="0.25">
      <c r="T4543" s="10"/>
      <c r="U4543" s="4"/>
      <c r="V4543" s="4"/>
      <c r="X4543" s="4"/>
      <c r="Y4543" s="4"/>
    </row>
    <row r="4544" spans="20:25" x14ac:dyDescent="0.25">
      <c r="T4544" s="10"/>
      <c r="U4544" s="4"/>
      <c r="V4544" s="4"/>
      <c r="X4544" s="4"/>
      <c r="Y4544" s="4"/>
    </row>
    <row r="4545" spans="20:25" x14ac:dyDescent="0.25">
      <c r="T4545" s="10"/>
      <c r="U4545" s="4"/>
      <c r="V4545" s="4"/>
      <c r="X4545" s="4"/>
      <c r="Y4545" s="4"/>
    </row>
    <row r="4546" spans="20:25" x14ac:dyDescent="0.25">
      <c r="T4546" s="10"/>
      <c r="U4546" s="4"/>
      <c r="V4546" s="4"/>
      <c r="X4546" s="4"/>
      <c r="Y4546" s="4"/>
    </row>
    <row r="4547" spans="20:25" x14ac:dyDescent="0.25">
      <c r="T4547" s="10"/>
      <c r="U4547" s="4"/>
      <c r="V4547" s="4"/>
      <c r="X4547" s="4"/>
      <c r="Y4547" s="4"/>
    </row>
    <row r="4548" spans="20:25" x14ac:dyDescent="0.25">
      <c r="T4548" s="10"/>
      <c r="U4548" s="4"/>
      <c r="V4548" s="4"/>
      <c r="X4548" s="4"/>
      <c r="Y4548" s="4"/>
    </row>
    <row r="4549" spans="20:25" x14ac:dyDescent="0.25">
      <c r="T4549" s="10"/>
      <c r="U4549" s="4"/>
      <c r="V4549" s="4"/>
      <c r="X4549" s="4"/>
      <c r="Y4549" s="4"/>
    </row>
    <row r="4550" spans="20:25" x14ac:dyDescent="0.25">
      <c r="T4550" s="10"/>
      <c r="U4550" s="4"/>
      <c r="V4550" s="4"/>
      <c r="X4550" s="4"/>
      <c r="Y4550" s="4"/>
    </row>
    <row r="4551" spans="20:25" x14ac:dyDescent="0.25">
      <c r="T4551" s="10"/>
      <c r="U4551" s="4"/>
      <c r="V4551" s="4"/>
      <c r="X4551" s="4"/>
      <c r="Y4551" s="4"/>
    </row>
    <row r="4552" spans="20:25" x14ac:dyDescent="0.25">
      <c r="T4552" s="10"/>
      <c r="U4552" s="4"/>
      <c r="V4552" s="4"/>
      <c r="X4552" s="4"/>
      <c r="Y4552" s="4"/>
    </row>
    <row r="4553" spans="20:25" x14ac:dyDescent="0.25">
      <c r="T4553" s="10"/>
      <c r="U4553" s="4"/>
      <c r="V4553" s="4"/>
      <c r="X4553" s="4"/>
      <c r="Y4553" s="4"/>
    </row>
    <row r="4554" spans="20:25" x14ac:dyDescent="0.25">
      <c r="T4554" s="10"/>
      <c r="U4554" s="4"/>
      <c r="V4554" s="4"/>
      <c r="X4554" s="4"/>
      <c r="Y4554" s="4"/>
    </row>
    <row r="4555" spans="20:25" x14ac:dyDescent="0.25">
      <c r="T4555" s="10"/>
      <c r="U4555" s="4"/>
      <c r="V4555" s="4"/>
      <c r="X4555" s="4"/>
      <c r="Y4555" s="4"/>
    </row>
    <row r="4556" spans="20:25" x14ac:dyDescent="0.25">
      <c r="T4556" s="10"/>
      <c r="U4556" s="4"/>
      <c r="V4556" s="4"/>
      <c r="X4556" s="4"/>
      <c r="Y4556" s="4"/>
    </row>
    <row r="4557" spans="20:25" x14ac:dyDescent="0.25">
      <c r="T4557" s="10"/>
      <c r="U4557" s="4"/>
      <c r="V4557" s="4"/>
      <c r="X4557" s="4"/>
      <c r="Y4557" s="4"/>
    </row>
    <row r="4558" spans="20:25" x14ac:dyDescent="0.25">
      <c r="T4558" s="10"/>
      <c r="U4558" s="4"/>
      <c r="V4558" s="4"/>
      <c r="X4558" s="4"/>
      <c r="Y4558" s="4"/>
    </row>
    <row r="4559" spans="20:25" x14ac:dyDescent="0.25">
      <c r="T4559" s="10"/>
      <c r="U4559" s="4"/>
      <c r="V4559" s="4"/>
      <c r="X4559" s="4"/>
      <c r="Y4559" s="4"/>
    </row>
    <row r="4560" spans="20:25" x14ac:dyDescent="0.25">
      <c r="T4560" s="10"/>
      <c r="U4560" s="4"/>
      <c r="V4560" s="4"/>
      <c r="X4560" s="4"/>
      <c r="Y4560" s="4"/>
    </row>
    <row r="4561" spans="20:25" x14ac:dyDescent="0.25">
      <c r="T4561" s="10"/>
      <c r="U4561" s="4"/>
      <c r="V4561" s="4"/>
      <c r="X4561" s="4"/>
      <c r="Y4561" s="4"/>
    </row>
    <row r="4562" spans="20:25" x14ac:dyDescent="0.25">
      <c r="T4562" s="10"/>
      <c r="U4562" s="4"/>
      <c r="V4562" s="4"/>
      <c r="X4562" s="4"/>
      <c r="Y4562" s="4"/>
    </row>
    <row r="4563" spans="20:25" x14ac:dyDescent="0.25">
      <c r="T4563" s="10"/>
      <c r="U4563" s="4"/>
      <c r="V4563" s="4"/>
      <c r="X4563" s="4"/>
      <c r="Y4563" s="4"/>
    </row>
    <row r="4564" spans="20:25" x14ac:dyDescent="0.25">
      <c r="T4564" s="10"/>
      <c r="U4564" s="4"/>
      <c r="V4564" s="4"/>
      <c r="X4564" s="4"/>
      <c r="Y4564" s="4"/>
    </row>
    <row r="4565" spans="20:25" x14ac:dyDescent="0.25">
      <c r="T4565" s="10"/>
      <c r="U4565" s="4"/>
      <c r="V4565" s="4"/>
      <c r="X4565" s="4"/>
      <c r="Y4565" s="4"/>
    </row>
    <row r="4566" spans="20:25" x14ac:dyDescent="0.25">
      <c r="T4566" s="10"/>
      <c r="U4566" s="4"/>
      <c r="V4566" s="4"/>
      <c r="X4566" s="4"/>
      <c r="Y4566" s="4"/>
    </row>
    <row r="4567" spans="20:25" x14ac:dyDescent="0.25">
      <c r="T4567" s="10"/>
      <c r="U4567" s="4"/>
      <c r="V4567" s="4"/>
      <c r="X4567" s="4"/>
      <c r="Y4567" s="4"/>
    </row>
    <row r="4568" spans="20:25" x14ac:dyDescent="0.25">
      <c r="T4568" s="10"/>
      <c r="U4568" s="4"/>
      <c r="V4568" s="4"/>
      <c r="X4568" s="4"/>
      <c r="Y4568" s="4"/>
    </row>
    <row r="4569" spans="20:25" x14ac:dyDescent="0.25">
      <c r="T4569" s="10"/>
      <c r="U4569" s="4"/>
      <c r="V4569" s="4"/>
      <c r="X4569" s="4"/>
      <c r="Y4569" s="4"/>
    </row>
    <row r="4570" spans="20:25" x14ac:dyDescent="0.25">
      <c r="T4570" s="10"/>
      <c r="U4570" s="4"/>
      <c r="V4570" s="4"/>
      <c r="X4570" s="4"/>
      <c r="Y4570" s="4"/>
    </row>
    <row r="4571" spans="20:25" x14ac:dyDescent="0.25">
      <c r="T4571" s="10"/>
      <c r="U4571" s="4"/>
      <c r="V4571" s="4"/>
      <c r="X4571" s="4"/>
      <c r="Y4571" s="4"/>
    </row>
    <row r="4572" spans="20:25" x14ac:dyDescent="0.25">
      <c r="T4572" s="10"/>
      <c r="U4572" s="4"/>
      <c r="V4572" s="4"/>
      <c r="X4572" s="4"/>
      <c r="Y4572" s="4"/>
    </row>
    <row r="4573" spans="20:25" x14ac:dyDescent="0.25">
      <c r="T4573" s="10"/>
      <c r="U4573" s="4"/>
      <c r="V4573" s="4"/>
      <c r="X4573" s="4"/>
      <c r="Y4573" s="4"/>
    </row>
    <row r="4574" spans="20:25" x14ac:dyDescent="0.25">
      <c r="T4574" s="10"/>
      <c r="U4574" s="4"/>
      <c r="V4574" s="4"/>
      <c r="X4574" s="4"/>
      <c r="Y4574" s="4"/>
    </row>
    <row r="4575" spans="20:25" x14ac:dyDescent="0.25">
      <c r="T4575" s="10"/>
      <c r="U4575" s="4"/>
      <c r="V4575" s="4"/>
      <c r="X4575" s="4"/>
      <c r="Y4575" s="4"/>
    </row>
    <row r="4576" spans="20:25" x14ac:dyDescent="0.25">
      <c r="T4576" s="10"/>
      <c r="U4576" s="4"/>
      <c r="V4576" s="4"/>
      <c r="X4576" s="4"/>
      <c r="Y4576" s="4"/>
    </row>
    <row r="4577" spans="20:25" x14ac:dyDescent="0.25">
      <c r="T4577" s="10"/>
      <c r="U4577" s="4"/>
      <c r="V4577" s="4"/>
      <c r="X4577" s="4"/>
      <c r="Y4577" s="4"/>
    </row>
    <row r="4578" spans="20:25" x14ac:dyDescent="0.25">
      <c r="T4578" s="10"/>
      <c r="U4578" s="4"/>
      <c r="V4578" s="4"/>
      <c r="X4578" s="4"/>
      <c r="Y4578" s="4"/>
    </row>
    <row r="4579" spans="20:25" x14ac:dyDescent="0.25">
      <c r="T4579" s="10"/>
      <c r="U4579" s="4"/>
      <c r="V4579" s="4"/>
      <c r="X4579" s="4"/>
      <c r="Y4579" s="4"/>
    </row>
    <row r="4580" spans="20:25" x14ac:dyDescent="0.25">
      <c r="T4580" s="10"/>
      <c r="U4580" s="4"/>
      <c r="V4580" s="4"/>
      <c r="X4580" s="4"/>
      <c r="Y4580" s="4"/>
    </row>
    <row r="4581" spans="20:25" x14ac:dyDescent="0.25">
      <c r="T4581" s="10"/>
      <c r="U4581" s="4"/>
      <c r="V4581" s="4"/>
      <c r="X4581" s="4"/>
      <c r="Y4581" s="4"/>
    </row>
    <row r="4582" spans="20:25" x14ac:dyDescent="0.25">
      <c r="T4582" s="10"/>
      <c r="U4582" s="4"/>
      <c r="V4582" s="4"/>
      <c r="X4582" s="4"/>
      <c r="Y4582" s="4"/>
    </row>
    <row r="4583" spans="20:25" x14ac:dyDescent="0.25">
      <c r="T4583" s="10"/>
      <c r="U4583" s="4"/>
      <c r="V4583" s="4"/>
      <c r="X4583" s="4"/>
      <c r="Y4583" s="4"/>
    </row>
    <row r="4584" spans="20:25" x14ac:dyDescent="0.25">
      <c r="T4584" s="10"/>
      <c r="U4584" s="4"/>
      <c r="V4584" s="4"/>
      <c r="X4584" s="4"/>
      <c r="Y4584" s="4"/>
    </row>
    <row r="4585" spans="20:25" x14ac:dyDescent="0.25">
      <c r="T4585" s="10"/>
      <c r="U4585" s="4"/>
      <c r="V4585" s="4"/>
      <c r="X4585" s="4"/>
      <c r="Y4585" s="4"/>
    </row>
    <row r="4586" spans="20:25" x14ac:dyDescent="0.25">
      <c r="T4586" s="10"/>
      <c r="U4586" s="4"/>
      <c r="V4586" s="4"/>
      <c r="X4586" s="4"/>
      <c r="Y4586" s="4"/>
    </row>
    <row r="4587" spans="20:25" x14ac:dyDescent="0.25">
      <c r="T4587" s="10"/>
      <c r="U4587" s="4"/>
      <c r="V4587" s="4"/>
      <c r="X4587" s="4"/>
      <c r="Y4587" s="4"/>
    </row>
    <row r="4588" spans="20:25" x14ac:dyDescent="0.25">
      <c r="T4588" s="10"/>
      <c r="U4588" s="4"/>
      <c r="V4588" s="4"/>
      <c r="X4588" s="4"/>
      <c r="Y4588" s="4"/>
    </row>
    <row r="4589" spans="20:25" x14ac:dyDescent="0.25">
      <c r="T4589" s="10"/>
      <c r="U4589" s="4"/>
      <c r="V4589" s="4"/>
      <c r="X4589" s="4"/>
      <c r="Y4589" s="4"/>
    </row>
    <row r="4590" spans="20:25" x14ac:dyDescent="0.25">
      <c r="T4590" s="10"/>
      <c r="U4590" s="4"/>
      <c r="V4590" s="4"/>
      <c r="X4590" s="4"/>
      <c r="Y4590" s="4"/>
    </row>
    <row r="4591" spans="20:25" x14ac:dyDescent="0.25">
      <c r="T4591" s="10"/>
      <c r="U4591" s="4"/>
      <c r="V4591" s="4"/>
      <c r="X4591" s="4"/>
      <c r="Y4591" s="4"/>
    </row>
    <row r="4592" spans="20:25" x14ac:dyDescent="0.25">
      <c r="T4592" s="10"/>
      <c r="U4592" s="4"/>
      <c r="V4592" s="4"/>
      <c r="X4592" s="4"/>
      <c r="Y4592" s="4"/>
    </row>
    <row r="4593" spans="20:25" x14ac:dyDescent="0.25">
      <c r="T4593" s="10"/>
      <c r="U4593" s="4"/>
      <c r="V4593" s="4"/>
      <c r="X4593" s="4"/>
      <c r="Y4593" s="4"/>
    </row>
    <row r="4594" spans="20:25" x14ac:dyDescent="0.25">
      <c r="T4594" s="10"/>
      <c r="U4594" s="4"/>
      <c r="V4594" s="4"/>
      <c r="X4594" s="4"/>
      <c r="Y4594" s="4"/>
    </row>
    <row r="4595" spans="20:25" x14ac:dyDescent="0.25">
      <c r="T4595" s="10"/>
      <c r="U4595" s="4"/>
      <c r="V4595" s="4"/>
      <c r="X4595" s="4"/>
      <c r="Y4595" s="4"/>
    </row>
    <row r="4596" spans="20:25" x14ac:dyDescent="0.25">
      <c r="T4596" s="10"/>
      <c r="U4596" s="4"/>
      <c r="V4596" s="4"/>
      <c r="X4596" s="4"/>
      <c r="Y4596" s="4"/>
    </row>
    <row r="4597" spans="20:25" x14ac:dyDescent="0.25">
      <c r="T4597" s="10"/>
      <c r="U4597" s="4"/>
      <c r="V4597" s="4"/>
      <c r="X4597" s="4"/>
      <c r="Y4597" s="4"/>
    </row>
    <row r="4598" spans="20:25" x14ac:dyDescent="0.25">
      <c r="T4598" s="10"/>
      <c r="U4598" s="4"/>
      <c r="V4598" s="4"/>
      <c r="X4598" s="4"/>
      <c r="Y4598" s="4"/>
    </row>
    <row r="4599" spans="20:25" x14ac:dyDescent="0.25">
      <c r="T4599" s="10"/>
      <c r="U4599" s="4"/>
      <c r="V4599" s="4"/>
      <c r="X4599" s="4"/>
      <c r="Y4599" s="4"/>
    </row>
    <row r="4600" spans="20:25" x14ac:dyDescent="0.25">
      <c r="T4600" s="10"/>
      <c r="U4600" s="4"/>
      <c r="V4600" s="4"/>
      <c r="X4600" s="4"/>
      <c r="Y4600" s="4"/>
    </row>
    <row r="4601" spans="20:25" x14ac:dyDescent="0.25">
      <c r="T4601" s="10"/>
      <c r="U4601" s="4"/>
      <c r="V4601" s="4"/>
      <c r="X4601" s="4"/>
      <c r="Y4601" s="4"/>
    </row>
    <row r="4602" spans="20:25" x14ac:dyDescent="0.25">
      <c r="T4602" s="10"/>
      <c r="U4602" s="4"/>
      <c r="V4602" s="4"/>
      <c r="X4602" s="4"/>
      <c r="Y4602" s="4"/>
    </row>
    <row r="4603" spans="20:25" x14ac:dyDescent="0.25">
      <c r="T4603" s="10"/>
      <c r="U4603" s="4"/>
      <c r="V4603" s="4"/>
      <c r="X4603" s="4"/>
      <c r="Y4603" s="4"/>
    </row>
    <row r="4604" spans="20:25" x14ac:dyDescent="0.25">
      <c r="T4604" s="10"/>
      <c r="U4604" s="4"/>
      <c r="V4604" s="4"/>
      <c r="X4604" s="4"/>
      <c r="Y4604" s="4"/>
    </row>
    <row r="4605" spans="20:25" x14ac:dyDescent="0.25">
      <c r="T4605" s="10"/>
      <c r="U4605" s="4"/>
      <c r="V4605" s="4"/>
      <c r="X4605" s="4"/>
      <c r="Y4605" s="4"/>
    </row>
    <row r="4606" spans="20:25" x14ac:dyDescent="0.25">
      <c r="T4606" s="10"/>
      <c r="U4606" s="4"/>
      <c r="V4606" s="4"/>
      <c r="X4606" s="4"/>
      <c r="Y4606" s="4"/>
    </row>
    <row r="4607" spans="20:25" x14ac:dyDescent="0.25">
      <c r="T4607" s="10"/>
      <c r="U4607" s="4"/>
      <c r="V4607" s="4"/>
      <c r="X4607" s="4"/>
      <c r="Y4607" s="4"/>
    </row>
    <row r="4608" spans="20:25" x14ac:dyDescent="0.25">
      <c r="T4608" s="10"/>
      <c r="U4608" s="4"/>
      <c r="V4608" s="4"/>
      <c r="X4608" s="4"/>
      <c r="Y4608" s="4"/>
    </row>
    <row r="4609" spans="20:25" x14ac:dyDescent="0.25">
      <c r="T4609" s="10"/>
      <c r="U4609" s="4"/>
      <c r="V4609" s="4"/>
      <c r="X4609" s="4"/>
      <c r="Y4609" s="4"/>
    </row>
    <row r="4610" spans="20:25" x14ac:dyDescent="0.25">
      <c r="T4610" s="10"/>
      <c r="U4610" s="4"/>
      <c r="V4610" s="4"/>
      <c r="X4610" s="4"/>
      <c r="Y4610" s="4"/>
    </row>
    <row r="4611" spans="20:25" x14ac:dyDescent="0.25">
      <c r="T4611" s="10"/>
      <c r="U4611" s="4"/>
      <c r="V4611" s="4"/>
      <c r="X4611" s="4"/>
      <c r="Y4611" s="4"/>
    </row>
    <row r="4612" spans="20:25" x14ac:dyDescent="0.25">
      <c r="T4612" s="10"/>
      <c r="U4612" s="4"/>
      <c r="V4612" s="4"/>
      <c r="X4612" s="4"/>
      <c r="Y4612" s="4"/>
    </row>
    <row r="4613" spans="20:25" x14ac:dyDescent="0.25">
      <c r="T4613" s="10"/>
      <c r="U4613" s="4"/>
      <c r="V4613" s="4"/>
      <c r="X4613" s="4"/>
      <c r="Y4613" s="4"/>
    </row>
    <row r="4614" spans="20:25" x14ac:dyDescent="0.25">
      <c r="T4614" s="10"/>
      <c r="U4614" s="4"/>
      <c r="V4614" s="4"/>
      <c r="X4614" s="4"/>
      <c r="Y4614" s="4"/>
    </row>
    <row r="4615" spans="20:25" x14ac:dyDescent="0.25">
      <c r="T4615" s="10"/>
      <c r="U4615" s="4"/>
      <c r="V4615" s="4"/>
      <c r="X4615" s="4"/>
      <c r="Y4615" s="4"/>
    </row>
    <row r="4616" spans="20:25" x14ac:dyDescent="0.25">
      <c r="T4616" s="10"/>
      <c r="U4616" s="4"/>
      <c r="V4616" s="4"/>
      <c r="X4616" s="4"/>
      <c r="Y4616" s="4"/>
    </row>
    <row r="4617" spans="20:25" x14ac:dyDescent="0.25">
      <c r="T4617" s="10"/>
      <c r="U4617" s="4"/>
      <c r="V4617" s="4"/>
      <c r="X4617" s="4"/>
      <c r="Y4617" s="4"/>
    </row>
    <row r="4618" spans="20:25" x14ac:dyDescent="0.25">
      <c r="T4618" s="10"/>
      <c r="U4618" s="4"/>
      <c r="V4618" s="4"/>
      <c r="X4618" s="4"/>
      <c r="Y4618" s="4"/>
    </row>
    <row r="4619" spans="20:25" x14ac:dyDescent="0.25">
      <c r="T4619" s="10"/>
      <c r="U4619" s="4"/>
      <c r="V4619" s="4"/>
      <c r="X4619" s="4"/>
      <c r="Y4619" s="4"/>
    </row>
    <row r="4620" spans="20:25" x14ac:dyDescent="0.25">
      <c r="T4620" s="10"/>
      <c r="U4620" s="4"/>
      <c r="V4620" s="4"/>
      <c r="X4620" s="4"/>
      <c r="Y4620" s="4"/>
    </row>
    <row r="4621" spans="20:25" x14ac:dyDescent="0.25">
      <c r="T4621" s="10"/>
      <c r="U4621" s="4"/>
      <c r="V4621" s="4"/>
      <c r="X4621" s="4"/>
      <c r="Y4621" s="4"/>
    </row>
    <row r="4622" spans="20:25" x14ac:dyDescent="0.25">
      <c r="T4622" s="10"/>
      <c r="U4622" s="4"/>
      <c r="V4622" s="4"/>
      <c r="X4622" s="4"/>
      <c r="Y4622" s="4"/>
    </row>
    <row r="4623" spans="20:25" x14ac:dyDescent="0.25">
      <c r="T4623" s="10"/>
      <c r="U4623" s="4"/>
      <c r="V4623" s="4"/>
      <c r="X4623" s="4"/>
      <c r="Y4623" s="4"/>
    </row>
    <row r="4624" spans="20:25" x14ac:dyDescent="0.25">
      <c r="T4624" s="10"/>
      <c r="U4624" s="4"/>
      <c r="V4624" s="4"/>
      <c r="X4624" s="4"/>
      <c r="Y4624" s="4"/>
    </row>
    <row r="4625" spans="20:25" x14ac:dyDescent="0.25">
      <c r="T4625" s="10"/>
      <c r="U4625" s="4"/>
      <c r="V4625" s="4"/>
      <c r="X4625" s="4"/>
      <c r="Y4625" s="4"/>
    </row>
    <row r="4626" spans="20:25" x14ac:dyDescent="0.25">
      <c r="T4626" s="10"/>
      <c r="U4626" s="4"/>
      <c r="V4626" s="4"/>
      <c r="X4626" s="4"/>
      <c r="Y4626" s="4"/>
    </row>
    <row r="4627" spans="20:25" x14ac:dyDescent="0.25">
      <c r="T4627" s="10"/>
      <c r="U4627" s="4"/>
      <c r="V4627" s="4"/>
      <c r="X4627" s="4"/>
      <c r="Y4627" s="4"/>
    </row>
    <row r="4628" spans="20:25" x14ac:dyDescent="0.25">
      <c r="T4628" s="10"/>
      <c r="U4628" s="4"/>
      <c r="V4628" s="4"/>
      <c r="X4628" s="4"/>
      <c r="Y4628" s="4"/>
    </row>
    <row r="4629" spans="20:25" x14ac:dyDescent="0.25">
      <c r="T4629" s="10"/>
      <c r="U4629" s="4"/>
      <c r="V4629" s="4"/>
      <c r="X4629" s="4"/>
      <c r="Y4629" s="4"/>
    </row>
    <row r="4630" spans="20:25" x14ac:dyDescent="0.25">
      <c r="T4630" s="10"/>
      <c r="U4630" s="4"/>
      <c r="V4630" s="4"/>
      <c r="X4630" s="4"/>
      <c r="Y4630" s="4"/>
    </row>
    <row r="4631" spans="20:25" x14ac:dyDescent="0.25">
      <c r="T4631" s="10"/>
      <c r="U4631" s="4"/>
      <c r="V4631" s="4"/>
      <c r="X4631" s="4"/>
      <c r="Y4631" s="4"/>
    </row>
    <row r="4632" spans="20:25" x14ac:dyDescent="0.25">
      <c r="T4632" s="10"/>
      <c r="U4632" s="4"/>
      <c r="V4632" s="4"/>
      <c r="X4632" s="4"/>
      <c r="Y4632" s="4"/>
    </row>
    <row r="4633" spans="20:25" x14ac:dyDescent="0.25">
      <c r="T4633" s="10"/>
      <c r="U4633" s="4"/>
      <c r="V4633" s="4"/>
      <c r="X4633" s="4"/>
      <c r="Y4633" s="4"/>
    </row>
    <row r="4634" spans="20:25" x14ac:dyDescent="0.25">
      <c r="T4634" s="10"/>
      <c r="U4634" s="4"/>
      <c r="V4634" s="4"/>
      <c r="X4634" s="4"/>
      <c r="Y4634" s="4"/>
    </row>
    <row r="4635" spans="20:25" x14ac:dyDescent="0.25">
      <c r="T4635" s="10"/>
      <c r="U4635" s="4"/>
      <c r="V4635" s="4"/>
      <c r="X4635" s="4"/>
      <c r="Y4635" s="4"/>
    </row>
    <row r="4636" spans="20:25" x14ac:dyDescent="0.25">
      <c r="T4636" s="10"/>
      <c r="U4636" s="4"/>
      <c r="V4636" s="4"/>
      <c r="X4636" s="4"/>
      <c r="Y4636" s="4"/>
    </row>
    <row r="4637" spans="20:25" x14ac:dyDescent="0.25">
      <c r="T4637" s="10"/>
      <c r="U4637" s="4"/>
      <c r="V4637" s="4"/>
      <c r="X4637" s="4"/>
      <c r="Y4637" s="4"/>
    </row>
    <row r="4638" spans="20:25" x14ac:dyDescent="0.25">
      <c r="T4638" s="10"/>
      <c r="U4638" s="4"/>
      <c r="V4638" s="4"/>
      <c r="X4638" s="4"/>
      <c r="Y4638" s="4"/>
    </row>
    <row r="4639" spans="20:25" x14ac:dyDescent="0.25">
      <c r="T4639" s="10"/>
      <c r="U4639" s="4"/>
      <c r="V4639" s="4"/>
      <c r="X4639" s="4"/>
      <c r="Y4639" s="4"/>
    </row>
    <row r="4640" spans="20:25" x14ac:dyDescent="0.25">
      <c r="T4640" s="10"/>
      <c r="U4640" s="4"/>
      <c r="V4640" s="4"/>
      <c r="X4640" s="4"/>
      <c r="Y4640" s="4"/>
    </row>
    <row r="4641" spans="20:25" x14ac:dyDescent="0.25">
      <c r="T4641" s="10"/>
      <c r="U4641" s="4"/>
      <c r="V4641" s="4"/>
      <c r="X4641" s="4"/>
      <c r="Y4641" s="4"/>
    </row>
    <row r="4642" spans="20:25" x14ac:dyDescent="0.25">
      <c r="T4642" s="10"/>
      <c r="U4642" s="4"/>
      <c r="V4642" s="4"/>
      <c r="X4642" s="4"/>
      <c r="Y4642" s="4"/>
    </row>
    <row r="4643" spans="20:25" x14ac:dyDescent="0.25">
      <c r="T4643" s="10"/>
      <c r="U4643" s="4"/>
      <c r="V4643" s="4"/>
      <c r="X4643" s="4"/>
      <c r="Y4643" s="4"/>
    </row>
    <row r="4644" spans="20:25" x14ac:dyDescent="0.25">
      <c r="T4644" s="10"/>
      <c r="U4644" s="4"/>
      <c r="V4644" s="4"/>
      <c r="X4644" s="4"/>
      <c r="Y4644" s="4"/>
    </row>
    <row r="4645" spans="20:25" x14ac:dyDescent="0.25">
      <c r="T4645" s="10"/>
      <c r="U4645" s="4"/>
      <c r="V4645" s="4"/>
      <c r="X4645" s="4"/>
      <c r="Y4645" s="4"/>
    </row>
    <row r="4646" spans="20:25" x14ac:dyDescent="0.25">
      <c r="T4646" s="10"/>
      <c r="U4646" s="4"/>
      <c r="V4646" s="4"/>
      <c r="X4646" s="4"/>
      <c r="Y4646" s="4"/>
    </row>
    <row r="4647" spans="20:25" x14ac:dyDescent="0.25">
      <c r="T4647" s="10"/>
      <c r="U4647" s="4"/>
      <c r="V4647" s="4"/>
      <c r="X4647" s="4"/>
      <c r="Y4647" s="4"/>
    </row>
    <row r="4648" spans="20:25" x14ac:dyDescent="0.25">
      <c r="T4648" s="10"/>
      <c r="U4648" s="4"/>
      <c r="V4648" s="4"/>
      <c r="X4648" s="4"/>
      <c r="Y4648" s="4"/>
    </row>
    <row r="4649" spans="20:25" x14ac:dyDescent="0.25">
      <c r="T4649" s="10"/>
      <c r="U4649" s="4"/>
      <c r="V4649" s="4"/>
      <c r="X4649" s="4"/>
      <c r="Y4649" s="4"/>
    </row>
    <row r="4650" spans="20:25" x14ac:dyDescent="0.25">
      <c r="T4650" s="10"/>
      <c r="U4650" s="4"/>
      <c r="V4650" s="4"/>
      <c r="X4650" s="4"/>
      <c r="Y4650" s="4"/>
    </row>
    <row r="4651" spans="20:25" x14ac:dyDescent="0.25">
      <c r="T4651" s="10"/>
      <c r="U4651" s="4"/>
      <c r="V4651" s="4"/>
      <c r="X4651" s="4"/>
      <c r="Y4651" s="4"/>
    </row>
    <row r="4652" spans="20:25" x14ac:dyDescent="0.25">
      <c r="T4652" s="10"/>
      <c r="U4652" s="4"/>
      <c r="V4652" s="4"/>
      <c r="X4652" s="4"/>
      <c r="Y4652" s="4"/>
    </row>
    <row r="4653" spans="20:25" x14ac:dyDescent="0.25">
      <c r="T4653" s="10"/>
      <c r="U4653" s="4"/>
      <c r="V4653" s="4"/>
      <c r="X4653" s="4"/>
      <c r="Y4653" s="4"/>
    </row>
    <row r="4654" spans="20:25" x14ac:dyDescent="0.25">
      <c r="T4654" s="10"/>
      <c r="U4654" s="4"/>
      <c r="V4654" s="4"/>
      <c r="X4654" s="4"/>
      <c r="Y4654" s="4"/>
    </row>
    <row r="4655" spans="20:25" x14ac:dyDescent="0.25">
      <c r="T4655" s="10"/>
      <c r="U4655" s="4"/>
      <c r="V4655" s="4"/>
      <c r="X4655" s="4"/>
      <c r="Y4655" s="4"/>
    </row>
    <row r="4656" spans="20:25" x14ac:dyDescent="0.25">
      <c r="T4656" s="10"/>
      <c r="U4656" s="4"/>
      <c r="V4656" s="4"/>
      <c r="X4656" s="4"/>
      <c r="Y4656" s="4"/>
    </row>
    <row r="4657" spans="20:25" x14ac:dyDescent="0.25">
      <c r="T4657" s="10"/>
      <c r="U4657" s="4"/>
      <c r="V4657" s="4"/>
      <c r="X4657" s="4"/>
      <c r="Y4657" s="4"/>
    </row>
    <row r="4658" spans="20:25" x14ac:dyDescent="0.25">
      <c r="T4658" s="10"/>
      <c r="U4658" s="4"/>
      <c r="V4658" s="4"/>
      <c r="X4658" s="4"/>
      <c r="Y4658" s="4"/>
    </row>
    <row r="4659" spans="20:25" x14ac:dyDescent="0.25">
      <c r="T4659" s="10"/>
      <c r="U4659" s="4"/>
      <c r="V4659" s="4"/>
      <c r="X4659" s="4"/>
      <c r="Y4659" s="4"/>
    </row>
    <row r="4660" spans="20:25" x14ac:dyDescent="0.25">
      <c r="T4660" s="10"/>
      <c r="U4660" s="4"/>
      <c r="V4660" s="4"/>
      <c r="X4660" s="4"/>
      <c r="Y4660" s="4"/>
    </row>
    <row r="4661" spans="20:25" x14ac:dyDescent="0.25">
      <c r="T4661" s="10"/>
      <c r="U4661" s="4"/>
      <c r="V4661" s="4"/>
      <c r="X4661" s="4"/>
      <c r="Y4661" s="4"/>
    </row>
    <row r="4662" spans="20:25" x14ac:dyDescent="0.25">
      <c r="T4662" s="10"/>
      <c r="U4662" s="4"/>
      <c r="V4662" s="4"/>
      <c r="X4662" s="4"/>
      <c r="Y4662" s="4"/>
    </row>
    <row r="4663" spans="20:25" x14ac:dyDescent="0.25">
      <c r="T4663" s="10"/>
      <c r="U4663" s="4"/>
      <c r="V4663" s="4"/>
      <c r="X4663" s="4"/>
      <c r="Y4663" s="4"/>
    </row>
    <row r="4664" spans="20:25" x14ac:dyDescent="0.25">
      <c r="T4664" s="10"/>
      <c r="U4664" s="4"/>
      <c r="V4664" s="4"/>
      <c r="X4664" s="4"/>
      <c r="Y4664" s="4"/>
    </row>
    <row r="4665" spans="20:25" x14ac:dyDescent="0.25">
      <c r="T4665" s="10"/>
      <c r="U4665" s="4"/>
      <c r="V4665" s="4"/>
      <c r="X4665" s="4"/>
      <c r="Y4665" s="4"/>
    </row>
    <row r="4666" spans="20:25" x14ac:dyDescent="0.25">
      <c r="T4666" s="10"/>
      <c r="U4666" s="4"/>
      <c r="V4666" s="4"/>
      <c r="X4666" s="4"/>
      <c r="Y4666" s="4"/>
    </row>
    <row r="4667" spans="20:25" x14ac:dyDescent="0.25">
      <c r="T4667" s="10"/>
      <c r="U4667" s="4"/>
      <c r="V4667" s="4"/>
      <c r="X4667" s="4"/>
      <c r="Y4667" s="4"/>
    </row>
    <row r="4668" spans="20:25" x14ac:dyDescent="0.25">
      <c r="T4668" s="10"/>
      <c r="U4668" s="4"/>
      <c r="V4668" s="4"/>
      <c r="X4668" s="4"/>
      <c r="Y4668" s="4"/>
    </row>
    <row r="4669" spans="20:25" x14ac:dyDescent="0.25">
      <c r="T4669" s="10"/>
      <c r="U4669" s="4"/>
      <c r="V4669" s="4"/>
      <c r="X4669" s="4"/>
      <c r="Y4669" s="4"/>
    </row>
    <row r="4670" spans="20:25" x14ac:dyDescent="0.25">
      <c r="T4670" s="10"/>
      <c r="U4670" s="4"/>
      <c r="V4670" s="4"/>
      <c r="X4670" s="4"/>
      <c r="Y4670" s="4"/>
    </row>
    <row r="4671" spans="20:25" x14ac:dyDescent="0.25">
      <c r="T4671" s="10"/>
      <c r="U4671" s="4"/>
      <c r="V4671" s="4"/>
      <c r="X4671" s="4"/>
      <c r="Y4671" s="4"/>
    </row>
    <row r="4672" spans="20:25" x14ac:dyDescent="0.25">
      <c r="T4672" s="10"/>
      <c r="U4672" s="4"/>
      <c r="V4672" s="4"/>
      <c r="X4672" s="4"/>
      <c r="Y4672" s="4"/>
    </row>
    <row r="4673" spans="20:25" x14ac:dyDescent="0.25">
      <c r="T4673" s="10"/>
      <c r="U4673" s="4"/>
      <c r="V4673" s="4"/>
      <c r="X4673" s="4"/>
      <c r="Y4673" s="4"/>
    </row>
    <row r="4674" spans="20:25" x14ac:dyDescent="0.25">
      <c r="T4674" s="10"/>
      <c r="U4674" s="4"/>
      <c r="V4674" s="4"/>
      <c r="X4674" s="4"/>
      <c r="Y4674" s="4"/>
    </row>
    <row r="4675" spans="20:25" x14ac:dyDescent="0.25">
      <c r="T4675" s="10"/>
      <c r="U4675" s="4"/>
      <c r="V4675" s="4"/>
      <c r="X4675" s="4"/>
      <c r="Y4675" s="4"/>
    </row>
    <row r="4676" spans="20:25" x14ac:dyDescent="0.25">
      <c r="T4676" s="10"/>
      <c r="U4676" s="4"/>
      <c r="V4676" s="4"/>
      <c r="X4676" s="4"/>
      <c r="Y4676" s="4"/>
    </row>
    <row r="4677" spans="20:25" x14ac:dyDescent="0.25">
      <c r="T4677" s="10"/>
      <c r="U4677" s="4"/>
      <c r="V4677" s="4"/>
      <c r="X4677" s="4"/>
      <c r="Y4677" s="4"/>
    </row>
    <row r="4678" spans="20:25" x14ac:dyDescent="0.25">
      <c r="T4678" s="10"/>
      <c r="U4678" s="4"/>
      <c r="V4678" s="4"/>
      <c r="X4678" s="4"/>
      <c r="Y4678" s="4"/>
    </row>
    <row r="4679" spans="20:25" x14ac:dyDescent="0.25">
      <c r="T4679" s="10"/>
      <c r="U4679" s="4"/>
      <c r="V4679" s="4"/>
      <c r="X4679" s="4"/>
      <c r="Y4679" s="4"/>
    </row>
    <row r="4680" spans="20:25" x14ac:dyDescent="0.25">
      <c r="T4680" s="10"/>
      <c r="U4680" s="4"/>
      <c r="V4680" s="4"/>
      <c r="X4680" s="4"/>
      <c r="Y4680" s="4"/>
    </row>
    <row r="4681" spans="20:25" x14ac:dyDescent="0.25">
      <c r="T4681" s="10"/>
      <c r="U4681" s="4"/>
      <c r="V4681" s="4"/>
      <c r="X4681" s="4"/>
      <c r="Y4681" s="4"/>
    </row>
    <row r="4682" spans="20:25" x14ac:dyDescent="0.25">
      <c r="T4682" s="10"/>
      <c r="U4682" s="4"/>
      <c r="V4682" s="4"/>
      <c r="X4682" s="4"/>
      <c r="Y4682" s="4"/>
    </row>
    <row r="4683" spans="20:25" x14ac:dyDescent="0.25">
      <c r="T4683" s="10"/>
      <c r="U4683" s="4"/>
      <c r="V4683" s="4"/>
      <c r="X4683" s="4"/>
      <c r="Y4683" s="4"/>
    </row>
    <row r="4684" spans="20:25" x14ac:dyDescent="0.25">
      <c r="T4684" s="10"/>
      <c r="U4684" s="4"/>
      <c r="V4684" s="4"/>
      <c r="X4684" s="4"/>
      <c r="Y4684" s="4"/>
    </row>
    <row r="4685" spans="20:25" x14ac:dyDescent="0.25">
      <c r="T4685" s="10"/>
      <c r="U4685" s="4"/>
      <c r="V4685" s="4"/>
      <c r="X4685" s="4"/>
      <c r="Y4685" s="4"/>
    </row>
    <row r="4686" spans="20:25" x14ac:dyDescent="0.25">
      <c r="T4686" s="10"/>
      <c r="U4686" s="4"/>
      <c r="V4686" s="4"/>
      <c r="X4686" s="4"/>
      <c r="Y4686" s="4"/>
    </row>
    <row r="4687" spans="20:25" x14ac:dyDescent="0.25">
      <c r="T4687" s="10"/>
      <c r="U4687" s="4"/>
      <c r="V4687" s="4"/>
      <c r="X4687" s="4"/>
      <c r="Y4687" s="4"/>
    </row>
    <row r="4688" spans="20:25" x14ac:dyDescent="0.25">
      <c r="T4688" s="10"/>
      <c r="U4688" s="4"/>
      <c r="V4688" s="4"/>
      <c r="X4688" s="4"/>
      <c r="Y4688" s="4"/>
    </row>
    <row r="4689" spans="20:25" x14ac:dyDescent="0.25">
      <c r="T4689" s="10"/>
      <c r="U4689" s="4"/>
      <c r="V4689" s="4"/>
      <c r="X4689" s="4"/>
      <c r="Y4689" s="4"/>
    </row>
    <row r="4690" spans="20:25" x14ac:dyDescent="0.25">
      <c r="T4690" s="10"/>
      <c r="U4690" s="4"/>
      <c r="V4690" s="4"/>
      <c r="X4690" s="4"/>
      <c r="Y4690" s="4"/>
    </row>
    <row r="4691" spans="20:25" x14ac:dyDescent="0.25">
      <c r="T4691" s="10"/>
      <c r="U4691" s="4"/>
      <c r="V4691" s="4"/>
      <c r="X4691" s="4"/>
      <c r="Y4691" s="4"/>
    </row>
    <row r="4692" spans="20:25" x14ac:dyDescent="0.25">
      <c r="T4692" s="10"/>
      <c r="U4692" s="4"/>
      <c r="V4692" s="4"/>
      <c r="X4692" s="4"/>
      <c r="Y4692" s="4"/>
    </row>
    <row r="4693" spans="20:25" x14ac:dyDescent="0.25">
      <c r="T4693" s="10"/>
      <c r="U4693" s="4"/>
      <c r="V4693" s="4"/>
      <c r="X4693" s="4"/>
      <c r="Y4693" s="4"/>
    </row>
    <row r="4694" spans="20:25" x14ac:dyDescent="0.25">
      <c r="T4694" s="10"/>
      <c r="U4694" s="4"/>
      <c r="V4694" s="4"/>
      <c r="X4694" s="4"/>
      <c r="Y4694" s="4"/>
    </row>
    <row r="4695" spans="20:25" x14ac:dyDescent="0.25">
      <c r="T4695" s="10"/>
      <c r="U4695" s="4"/>
      <c r="V4695" s="4"/>
      <c r="X4695" s="4"/>
      <c r="Y4695" s="4"/>
    </row>
    <row r="4696" spans="20:25" x14ac:dyDescent="0.25">
      <c r="T4696" s="10"/>
      <c r="U4696" s="4"/>
      <c r="V4696" s="4"/>
      <c r="X4696" s="4"/>
      <c r="Y4696" s="4"/>
    </row>
    <row r="4697" spans="20:25" x14ac:dyDescent="0.25">
      <c r="T4697" s="10"/>
      <c r="U4697" s="4"/>
      <c r="V4697" s="4"/>
      <c r="X4697" s="4"/>
      <c r="Y4697" s="4"/>
    </row>
    <row r="4698" spans="20:25" x14ac:dyDescent="0.25">
      <c r="T4698" s="10"/>
      <c r="U4698" s="4"/>
      <c r="V4698" s="4"/>
      <c r="X4698" s="4"/>
      <c r="Y4698" s="4"/>
    </row>
    <row r="4699" spans="20:25" x14ac:dyDescent="0.25">
      <c r="T4699" s="10"/>
      <c r="U4699" s="4"/>
      <c r="V4699" s="4"/>
      <c r="X4699" s="4"/>
      <c r="Y4699" s="4"/>
    </row>
    <row r="4700" spans="20:25" x14ac:dyDescent="0.25">
      <c r="T4700" s="10"/>
      <c r="U4700" s="4"/>
      <c r="V4700" s="4"/>
      <c r="X4700" s="4"/>
      <c r="Y4700" s="4"/>
    </row>
    <row r="4701" spans="20:25" x14ac:dyDescent="0.25">
      <c r="T4701" s="10"/>
      <c r="U4701" s="4"/>
      <c r="V4701" s="4"/>
      <c r="X4701" s="4"/>
      <c r="Y4701" s="4"/>
    </row>
    <row r="4702" spans="20:25" x14ac:dyDescent="0.25">
      <c r="T4702" s="10"/>
      <c r="U4702" s="4"/>
      <c r="V4702" s="4"/>
      <c r="X4702" s="4"/>
      <c r="Y4702" s="4"/>
    </row>
    <row r="4703" spans="20:25" x14ac:dyDescent="0.25">
      <c r="T4703" s="10"/>
      <c r="U4703" s="4"/>
      <c r="V4703" s="4"/>
      <c r="X4703" s="4"/>
      <c r="Y4703" s="4"/>
    </row>
    <row r="4704" spans="20:25" x14ac:dyDescent="0.25">
      <c r="T4704" s="10"/>
      <c r="U4704" s="4"/>
      <c r="V4704" s="4"/>
      <c r="X4704" s="4"/>
      <c r="Y4704" s="4"/>
    </row>
    <row r="4705" spans="20:25" x14ac:dyDescent="0.25">
      <c r="T4705" s="10"/>
      <c r="U4705" s="4"/>
      <c r="V4705" s="4"/>
      <c r="X4705" s="4"/>
      <c r="Y4705" s="4"/>
    </row>
    <row r="4706" spans="20:25" x14ac:dyDescent="0.25">
      <c r="T4706" s="10"/>
      <c r="U4706" s="4"/>
      <c r="V4706" s="4"/>
      <c r="X4706" s="4"/>
      <c r="Y4706" s="4"/>
    </row>
    <row r="4707" spans="20:25" x14ac:dyDescent="0.25">
      <c r="T4707" s="10"/>
      <c r="U4707" s="4"/>
      <c r="V4707" s="4"/>
      <c r="X4707" s="4"/>
      <c r="Y4707" s="4"/>
    </row>
    <row r="4708" spans="20:25" x14ac:dyDescent="0.25">
      <c r="T4708" s="10"/>
      <c r="U4708" s="4"/>
      <c r="V4708" s="4"/>
      <c r="X4708" s="4"/>
      <c r="Y4708" s="4"/>
    </row>
    <row r="4709" spans="20:25" x14ac:dyDescent="0.25">
      <c r="T4709" s="10"/>
      <c r="U4709" s="4"/>
      <c r="V4709" s="4"/>
      <c r="X4709" s="4"/>
      <c r="Y4709" s="4"/>
    </row>
    <row r="4710" spans="20:25" x14ac:dyDescent="0.25">
      <c r="T4710" s="10"/>
      <c r="U4710" s="4"/>
      <c r="V4710" s="4"/>
      <c r="X4710" s="4"/>
      <c r="Y4710" s="4"/>
    </row>
    <row r="4711" spans="20:25" x14ac:dyDescent="0.25">
      <c r="T4711" s="10"/>
      <c r="U4711" s="4"/>
      <c r="V4711" s="4"/>
      <c r="X4711" s="4"/>
      <c r="Y4711" s="4"/>
    </row>
    <row r="4712" spans="20:25" x14ac:dyDescent="0.25">
      <c r="T4712" s="10"/>
      <c r="U4712" s="4"/>
      <c r="V4712" s="4"/>
      <c r="X4712" s="4"/>
      <c r="Y4712" s="4"/>
    </row>
    <row r="4713" spans="20:25" x14ac:dyDescent="0.25">
      <c r="T4713" s="10"/>
      <c r="U4713" s="4"/>
      <c r="V4713" s="4"/>
      <c r="X4713" s="4"/>
      <c r="Y4713" s="4"/>
    </row>
    <row r="4714" spans="20:25" x14ac:dyDescent="0.25">
      <c r="T4714" s="10"/>
      <c r="U4714" s="4"/>
      <c r="V4714" s="4"/>
      <c r="X4714" s="4"/>
      <c r="Y4714" s="4"/>
    </row>
    <row r="4715" spans="20:25" x14ac:dyDescent="0.25">
      <c r="T4715" s="10"/>
      <c r="U4715" s="4"/>
      <c r="V4715" s="4"/>
      <c r="X4715" s="4"/>
      <c r="Y4715" s="4"/>
    </row>
    <row r="4716" spans="20:25" x14ac:dyDescent="0.25">
      <c r="T4716" s="10"/>
      <c r="U4716" s="4"/>
      <c r="V4716" s="4"/>
      <c r="X4716" s="4"/>
      <c r="Y4716" s="4"/>
    </row>
    <row r="4717" spans="20:25" x14ac:dyDescent="0.25">
      <c r="T4717" s="10"/>
      <c r="U4717" s="4"/>
      <c r="V4717" s="4"/>
      <c r="X4717" s="4"/>
      <c r="Y4717" s="4"/>
    </row>
    <row r="4718" spans="20:25" x14ac:dyDescent="0.25">
      <c r="T4718" s="10"/>
      <c r="U4718" s="4"/>
      <c r="V4718" s="4"/>
      <c r="X4718" s="4"/>
      <c r="Y4718" s="4"/>
    </row>
    <row r="4719" spans="20:25" x14ac:dyDescent="0.25">
      <c r="T4719" s="10"/>
      <c r="U4719" s="4"/>
      <c r="V4719" s="4"/>
      <c r="X4719" s="4"/>
      <c r="Y4719" s="4"/>
    </row>
    <row r="4720" spans="20:25" x14ac:dyDescent="0.25">
      <c r="T4720" s="10"/>
      <c r="U4720" s="4"/>
      <c r="V4720" s="4"/>
      <c r="X4720" s="4"/>
      <c r="Y4720" s="4"/>
    </row>
    <row r="4721" spans="20:25" x14ac:dyDescent="0.25">
      <c r="T4721" s="10"/>
      <c r="U4721" s="4"/>
      <c r="V4721" s="4"/>
      <c r="X4721" s="4"/>
      <c r="Y4721" s="4"/>
    </row>
    <row r="4722" spans="20:25" x14ac:dyDescent="0.25">
      <c r="T4722" s="10"/>
      <c r="U4722" s="4"/>
      <c r="V4722" s="4"/>
      <c r="X4722" s="4"/>
      <c r="Y4722" s="4"/>
    </row>
    <row r="4723" spans="20:25" x14ac:dyDescent="0.25">
      <c r="T4723" s="10"/>
      <c r="U4723" s="4"/>
      <c r="V4723" s="4"/>
      <c r="X4723" s="4"/>
      <c r="Y4723" s="4"/>
    </row>
    <row r="4724" spans="20:25" x14ac:dyDescent="0.25">
      <c r="T4724" s="10"/>
      <c r="U4724" s="4"/>
      <c r="V4724" s="4"/>
      <c r="X4724" s="4"/>
      <c r="Y4724" s="4"/>
    </row>
    <row r="4725" spans="20:25" x14ac:dyDescent="0.25">
      <c r="T4725" s="10"/>
      <c r="U4725" s="4"/>
      <c r="V4725" s="4"/>
      <c r="X4725" s="4"/>
      <c r="Y4725" s="4"/>
    </row>
    <row r="4726" spans="20:25" x14ac:dyDescent="0.25">
      <c r="T4726" s="10"/>
      <c r="U4726" s="4"/>
      <c r="V4726" s="4"/>
      <c r="X4726" s="4"/>
      <c r="Y4726" s="4"/>
    </row>
    <row r="4727" spans="20:25" x14ac:dyDescent="0.25">
      <c r="T4727" s="10"/>
      <c r="U4727" s="4"/>
      <c r="V4727" s="4"/>
      <c r="X4727" s="4"/>
      <c r="Y4727" s="4"/>
    </row>
    <row r="4728" spans="20:25" x14ac:dyDescent="0.25">
      <c r="T4728" s="10"/>
      <c r="U4728" s="4"/>
      <c r="V4728" s="4"/>
      <c r="X4728" s="4"/>
      <c r="Y4728" s="4"/>
    </row>
    <row r="4729" spans="20:25" x14ac:dyDescent="0.25">
      <c r="T4729" s="10"/>
      <c r="U4729" s="4"/>
      <c r="V4729" s="4"/>
      <c r="X4729" s="4"/>
      <c r="Y4729" s="4"/>
    </row>
    <row r="4730" spans="20:25" x14ac:dyDescent="0.25">
      <c r="T4730" s="10"/>
      <c r="U4730" s="4"/>
      <c r="V4730" s="4"/>
      <c r="X4730" s="4"/>
      <c r="Y4730" s="4"/>
    </row>
    <row r="4731" spans="20:25" x14ac:dyDescent="0.25">
      <c r="T4731" s="10"/>
      <c r="U4731" s="4"/>
      <c r="V4731" s="4"/>
      <c r="X4731" s="4"/>
      <c r="Y4731" s="4"/>
    </row>
    <row r="4732" spans="20:25" x14ac:dyDescent="0.25">
      <c r="T4732" s="10"/>
      <c r="U4732" s="4"/>
      <c r="V4732" s="4"/>
      <c r="X4732" s="4"/>
      <c r="Y4732" s="4"/>
    </row>
    <row r="4733" spans="20:25" x14ac:dyDescent="0.25">
      <c r="T4733" s="10"/>
      <c r="U4733" s="4"/>
      <c r="V4733" s="4"/>
      <c r="X4733" s="4"/>
      <c r="Y4733" s="4"/>
    </row>
    <row r="4734" spans="20:25" x14ac:dyDescent="0.25">
      <c r="T4734" s="10"/>
      <c r="U4734" s="4"/>
      <c r="V4734" s="4"/>
      <c r="X4734" s="4"/>
      <c r="Y4734" s="4"/>
    </row>
    <row r="4735" spans="20:25" x14ac:dyDescent="0.25">
      <c r="T4735" s="10"/>
      <c r="U4735" s="4"/>
      <c r="V4735" s="4"/>
      <c r="X4735" s="4"/>
      <c r="Y4735" s="4"/>
    </row>
    <row r="4736" spans="20:25" x14ac:dyDescent="0.25">
      <c r="T4736" s="10"/>
      <c r="U4736" s="4"/>
      <c r="V4736" s="4"/>
      <c r="X4736" s="4"/>
      <c r="Y4736" s="4"/>
    </row>
    <row r="4737" spans="20:25" x14ac:dyDescent="0.25">
      <c r="T4737" s="10"/>
      <c r="U4737" s="4"/>
      <c r="V4737" s="4"/>
      <c r="X4737" s="4"/>
      <c r="Y4737" s="4"/>
    </row>
    <row r="4738" spans="20:25" x14ac:dyDescent="0.25">
      <c r="T4738" s="10"/>
      <c r="U4738" s="4"/>
      <c r="V4738" s="4"/>
      <c r="X4738" s="4"/>
      <c r="Y4738" s="4"/>
    </row>
    <row r="4739" spans="20:25" x14ac:dyDescent="0.25">
      <c r="T4739" s="10"/>
      <c r="U4739" s="4"/>
      <c r="V4739" s="4"/>
      <c r="X4739" s="4"/>
      <c r="Y4739" s="4"/>
    </row>
    <row r="4740" spans="20:25" x14ac:dyDescent="0.25">
      <c r="T4740" s="10"/>
      <c r="U4740" s="4"/>
      <c r="V4740" s="4"/>
      <c r="X4740" s="4"/>
      <c r="Y4740" s="4"/>
    </row>
    <row r="4741" spans="20:25" x14ac:dyDescent="0.25">
      <c r="T4741" s="10"/>
      <c r="U4741" s="4"/>
      <c r="V4741" s="4"/>
      <c r="X4741" s="4"/>
      <c r="Y4741" s="4"/>
    </row>
    <row r="4742" spans="20:25" x14ac:dyDescent="0.25">
      <c r="T4742" s="10"/>
      <c r="U4742" s="4"/>
      <c r="V4742" s="4"/>
      <c r="X4742" s="4"/>
      <c r="Y4742" s="4"/>
    </row>
    <row r="4743" spans="20:25" x14ac:dyDescent="0.25">
      <c r="T4743" s="10"/>
      <c r="U4743" s="4"/>
      <c r="V4743" s="4"/>
      <c r="X4743" s="4"/>
      <c r="Y4743" s="4"/>
    </row>
    <row r="4744" spans="20:25" x14ac:dyDescent="0.25">
      <c r="T4744" s="10"/>
      <c r="U4744" s="4"/>
      <c r="V4744" s="4"/>
      <c r="X4744" s="4"/>
      <c r="Y4744" s="4"/>
    </row>
    <row r="4745" spans="20:25" x14ac:dyDescent="0.25">
      <c r="T4745" s="10"/>
      <c r="U4745" s="4"/>
      <c r="V4745" s="4"/>
      <c r="X4745" s="4"/>
      <c r="Y4745" s="4"/>
    </row>
    <row r="4746" spans="20:25" x14ac:dyDescent="0.25">
      <c r="T4746" s="10"/>
      <c r="U4746" s="4"/>
      <c r="V4746" s="4"/>
      <c r="X4746" s="4"/>
      <c r="Y4746" s="4"/>
    </row>
    <row r="4747" spans="20:25" x14ac:dyDescent="0.25">
      <c r="T4747" s="10"/>
      <c r="U4747" s="4"/>
      <c r="V4747" s="4"/>
      <c r="X4747" s="4"/>
      <c r="Y4747" s="4"/>
    </row>
    <row r="4748" spans="20:25" x14ac:dyDescent="0.25">
      <c r="T4748" s="10"/>
      <c r="U4748" s="4"/>
      <c r="V4748" s="4"/>
      <c r="X4748" s="4"/>
      <c r="Y4748" s="4"/>
    </row>
    <row r="4749" spans="20:25" x14ac:dyDescent="0.25">
      <c r="T4749" s="10"/>
      <c r="U4749" s="4"/>
      <c r="V4749" s="4"/>
      <c r="X4749" s="4"/>
      <c r="Y4749" s="4"/>
    </row>
    <row r="4750" spans="20:25" x14ac:dyDescent="0.25">
      <c r="T4750" s="10"/>
      <c r="U4750" s="4"/>
      <c r="V4750" s="4"/>
      <c r="X4750" s="4"/>
      <c r="Y4750" s="4"/>
    </row>
    <row r="4751" spans="20:25" x14ac:dyDescent="0.25">
      <c r="T4751" s="10"/>
      <c r="U4751" s="4"/>
      <c r="V4751" s="4"/>
      <c r="X4751" s="4"/>
      <c r="Y4751" s="4"/>
    </row>
    <row r="4752" spans="20:25" x14ac:dyDescent="0.25">
      <c r="T4752" s="10"/>
      <c r="U4752" s="4"/>
      <c r="V4752" s="4"/>
      <c r="X4752" s="4"/>
      <c r="Y4752" s="4"/>
    </row>
    <row r="4753" spans="20:25" x14ac:dyDescent="0.25">
      <c r="T4753" s="10"/>
      <c r="U4753" s="4"/>
      <c r="V4753" s="4"/>
      <c r="X4753" s="4"/>
      <c r="Y4753" s="4"/>
    </row>
    <row r="4754" spans="20:25" x14ac:dyDescent="0.25">
      <c r="T4754" s="10"/>
      <c r="U4754" s="4"/>
      <c r="V4754" s="4"/>
      <c r="X4754" s="4"/>
      <c r="Y4754" s="4"/>
    </row>
    <row r="4755" spans="20:25" x14ac:dyDescent="0.25">
      <c r="T4755" s="10"/>
      <c r="U4755" s="4"/>
      <c r="V4755" s="4"/>
      <c r="X4755" s="4"/>
      <c r="Y4755" s="4"/>
    </row>
    <row r="4756" spans="20:25" x14ac:dyDescent="0.25">
      <c r="T4756" s="10"/>
      <c r="U4756" s="4"/>
      <c r="V4756" s="4"/>
      <c r="X4756" s="4"/>
      <c r="Y4756" s="4"/>
    </row>
    <row r="4757" spans="20:25" x14ac:dyDescent="0.25">
      <c r="T4757" s="10"/>
      <c r="U4757" s="4"/>
      <c r="V4757" s="4"/>
      <c r="X4757" s="4"/>
      <c r="Y4757" s="4"/>
    </row>
    <row r="4758" spans="20:25" x14ac:dyDescent="0.25">
      <c r="T4758" s="10"/>
      <c r="U4758" s="4"/>
      <c r="V4758" s="4"/>
      <c r="X4758" s="4"/>
      <c r="Y4758" s="4"/>
    </row>
    <row r="4759" spans="20:25" x14ac:dyDescent="0.25">
      <c r="T4759" s="10"/>
      <c r="U4759" s="4"/>
      <c r="V4759" s="4"/>
      <c r="X4759" s="4"/>
      <c r="Y4759" s="4"/>
    </row>
    <row r="4760" spans="20:25" x14ac:dyDescent="0.25">
      <c r="T4760" s="10"/>
      <c r="U4760" s="4"/>
      <c r="V4760" s="4"/>
      <c r="X4760" s="4"/>
      <c r="Y4760" s="4"/>
    </row>
    <row r="4761" spans="20:25" x14ac:dyDescent="0.25">
      <c r="T4761" s="10"/>
      <c r="U4761" s="4"/>
      <c r="V4761" s="4"/>
      <c r="X4761" s="4"/>
      <c r="Y4761" s="4"/>
    </row>
    <row r="4762" spans="20:25" x14ac:dyDescent="0.25">
      <c r="T4762" s="10"/>
      <c r="U4762" s="4"/>
      <c r="V4762" s="4"/>
      <c r="X4762" s="4"/>
      <c r="Y4762" s="4"/>
    </row>
    <row r="4763" spans="20:25" x14ac:dyDescent="0.25">
      <c r="T4763" s="10"/>
      <c r="U4763" s="4"/>
      <c r="V4763" s="4"/>
      <c r="X4763" s="4"/>
      <c r="Y4763" s="4"/>
    </row>
    <row r="4764" spans="20:25" x14ac:dyDescent="0.25">
      <c r="T4764" s="10"/>
      <c r="U4764" s="4"/>
      <c r="V4764" s="4"/>
      <c r="X4764" s="4"/>
      <c r="Y4764" s="4"/>
    </row>
    <row r="4765" spans="20:25" x14ac:dyDescent="0.25">
      <c r="T4765" s="10"/>
      <c r="U4765" s="4"/>
      <c r="V4765" s="4"/>
      <c r="X4765" s="4"/>
      <c r="Y4765" s="4"/>
    </row>
    <row r="4766" spans="20:25" x14ac:dyDescent="0.25">
      <c r="T4766" s="10"/>
      <c r="U4766" s="4"/>
      <c r="V4766" s="4"/>
      <c r="X4766" s="4"/>
      <c r="Y4766" s="4"/>
    </row>
    <row r="4767" spans="20:25" x14ac:dyDescent="0.25">
      <c r="T4767" s="10"/>
      <c r="U4767" s="4"/>
      <c r="V4767" s="4"/>
      <c r="X4767" s="4"/>
      <c r="Y4767" s="4"/>
    </row>
    <row r="4768" spans="20:25" x14ac:dyDescent="0.25">
      <c r="T4768" s="10"/>
      <c r="U4768" s="4"/>
      <c r="V4768" s="4"/>
      <c r="X4768" s="4"/>
      <c r="Y4768" s="4"/>
    </row>
    <row r="4769" spans="20:25" x14ac:dyDescent="0.25">
      <c r="T4769" s="10"/>
      <c r="U4769" s="4"/>
      <c r="V4769" s="4"/>
      <c r="X4769" s="4"/>
      <c r="Y4769" s="4"/>
    </row>
    <row r="4770" spans="20:25" x14ac:dyDescent="0.25">
      <c r="T4770" s="10"/>
      <c r="U4770" s="4"/>
      <c r="V4770" s="4"/>
      <c r="X4770" s="4"/>
      <c r="Y4770" s="4"/>
    </row>
    <row r="4771" spans="20:25" x14ac:dyDescent="0.25">
      <c r="T4771" s="10"/>
      <c r="U4771" s="4"/>
      <c r="V4771" s="4"/>
      <c r="X4771" s="4"/>
      <c r="Y4771" s="4"/>
    </row>
    <row r="4772" spans="20:25" x14ac:dyDescent="0.25">
      <c r="T4772" s="10"/>
      <c r="U4772" s="4"/>
      <c r="V4772" s="4"/>
      <c r="X4772" s="4"/>
      <c r="Y4772" s="4"/>
    </row>
    <row r="4773" spans="20:25" x14ac:dyDescent="0.25">
      <c r="T4773" s="10"/>
      <c r="U4773" s="4"/>
      <c r="V4773" s="4"/>
      <c r="X4773" s="4"/>
      <c r="Y4773" s="4"/>
    </row>
    <row r="4774" spans="20:25" x14ac:dyDescent="0.25">
      <c r="T4774" s="10"/>
      <c r="U4774" s="4"/>
      <c r="V4774" s="4"/>
      <c r="X4774" s="4"/>
      <c r="Y4774" s="4"/>
    </row>
    <row r="4775" spans="20:25" x14ac:dyDescent="0.25">
      <c r="T4775" s="10"/>
      <c r="U4775" s="4"/>
      <c r="V4775" s="4"/>
      <c r="X4775" s="4"/>
      <c r="Y4775" s="4"/>
    </row>
    <row r="4776" spans="20:25" x14ac:dyDescent="0.25">
      <c r="T4776" s="10"/>
      <c r="U4776" s="4"/>
      <c r="V4776" s="4"/>
      <c r="X4776" s="4"/>
      <c r="Y4776" s="4"/>
    </row>
    <row r="4777" spans="20:25" x14ac:dyDescent="0.25">
      <c r="T4777" s="10"/>
      <c r="U4777" s="4"/>
      <c r="V4777" s="4"/>
      <c r="X4777" s="4"/>
      <c r="Y4777" s="4"/>
    </row>
    <row r="4778" spans="20:25" x14ac:dyDescent="0.25">
      <c r="T4778" s="10"/>
      <c r="U4778" s="4"/>
      <c r="V4778" s="4"/>
      <c r="X4778" s="4"/>
      <c r="Y4778" s="4"/>
    </row>
    <row r="4779" spans="20:25" x14ac:dyDescent="0.25">
      <c r="T4779" s="10"/>
      <c r="U4779" s="4"/>
      <c r="V4779" s="4"/>
      <c r="X4779" s="4"/>
      <c r="Y4779" s="4"/>
    </row>
    <row r="4780" spans="20:25" x14ac:dyDescent="0.25">
      <c r="T4780" s="10"/>
      <c r="U4780" s="4"/>
      <c r="V4780" s="4"/>
      <c r="X4780" s="4"/>
      <c r="Y4780" s="4"/>
    </row>
    <row r="4781" spans="20:25" x14ac:dyDescent="0.25">
      <c r="T4781" s="10"/>
      <c r="U4781" s="4"/>
      <c r="V4781" s="4"/>
      <c r="X4781" s="4"/>
      <c r="Y4781" s="4"/>
    </row>
    <row r="4782" spans="20:25" x14ac:dyDescent="0.25">
      <c r="T4782" s="10"/>
      <c r="U4782" s="4"/>
      <c r="V4782" s="4"/>
      <c r="X4782" s="4"/>
      <c r="Y4782" s="4"/>
    </row>
    <row r="4783" spans="20:25" x14ac:dyDescent="0.25">
      <c r="T4783" s="10"/>
      <c r="U4783" s="4"/>
      <c r="V4783" s="4"/>
      <c r="X4783" s="4"/>
      <c r="Y4783" s="4"/>
    </row>
    <row r="4784" spans="20:25" x14ac:dyDescent="0.25">
      <c r="T4784" s="10"/>
      <c r="U4784" s="4"/>
      <c r="V4784" s="4"/>
      <c r="X4784" s="4"/>
      <c r="Y4784" s="4"/>
    </row>
    <row r="4785" spans="20:25" x14ac:dyDescent="0.25">
      <c r="T4785" s="10"/>
      <c r="U4785" s="4"/>
      <c r="V4785" s="4"/>
      <c r="X4785" s="4"/>
      <c r="Y4785" s="4"/>
    </row>
    <row r="4786" spans="20:25" x14ac:dyDescent="0.25">
      <c r="T4786" s="10"/>
      <c r="U4786" s="4"/>
      <c r="V4786" s="4"/>
      <c r="X4786" s="4"/>
      <c r="Y4786" s="4"/>
    </row>
    <row r="4787" spans="20:25" x14ac:dyDescent="0.25">
      <c r="T4787" s="10"/>
      <c r="U4787" s="4"/>
      <c r="V4787" s="4"/>
      <c r="X4787" s="4"/>
      <c r="Y4787" s="4"/>
    </row>
    <row r="4788" spans="20:25" x14ac:dyDescent="0.25">
      <c r="T4788" s="10"/>
      <c r="U4788" s="4"/>
      <c r="V4788" s="4"/>
      <c r="X4788" s="4"/>
      <c r="Y4788" s="4"/>
    </row>
    <row r="4789" spans="20:25" x14ac:dyDescent="0.25">
      <c r="T4789" s="10"/>
      <c r="U4789" s="4"/>
      <c r="V4789" s="4"/>
      <c r="X4789" s="4"/>
      <c r="Y4789" s="4"/>
    </row>
    <row r="4790" spans="20:25" x14ac:dyDescent="0.25">
      <c r="T4790" s="10"/>
      <c r="U4790" s="4"/>
      <c r="V4790" s="4"/>
      <c r="X4790" s="4"/>
      <c r="Y4790" s="4"/>
    </row>
    <row r="4791" spans="20:25" x14ac:dyDescent="0.25">
      <c r="T4791" s="10"/>
      <c r="U4791" s="4"/>
      <c r="V4791" s="4"/>
      <c r="X4791" s="4"/>
      <c r="Y4791" s="4"/>
    </row>
    <row r="4792" spans="20:25" x14ac:dyDescent="0.25">
      <c r="T4792" s="10"/>
      <c r="U4792" s="4"/>
      <c r="V4792" s="4"/>
      <c r="X4792" s="4"/>
      <c r="Y4792" s="4"/>
    </row>
    <row r="4793" spans="20:25" x14ac:dyDescent="0.25">
      <c r="T4793" s="10"/>
      <c r="U4793" s="4"/>
      <c r="V4793" s="4"/>
      <c r="X4793" s="4"/>
      <c r="Y4793" s="4"/>
    </row>
    <row r="4794" spans="20:25" x14ac:dyDescent="0.25">
      <c r="T4794" s="10"/>
      <c r="U4794" s="4"/>
      <c r="V4794" s="4"/>
      <c r="X4794" s="4"/>
      <c r="Y4794" s="4"/>
    </row>
    <row r="4795" spans="20:25" x14ac:dyDescent="0.25">
      <c r="T4795" s="10"/>
      <c r="U4795" s="4"/>
      <c r="V4795" s="4"/>
      <c r="X4795" s="4"/>
      <c r="Y4795" s="4"/>
    </row>
    <row r="4796" spans="20:25" x14ac:dyDescent="0.25">
      <c r="T4796" s="10"/>
      <c r="U4796" s="4"/>
      <c r="V4796" s="4"/>
      <c r="X4796" s="4"/>
      <c r="Y4796" s="4"/>
    </row>
    <row r="4797" spans="20:25" x14ac:dyDescent="0.25">
      <c r="T4797" s="10"/>
      <c r="U4797" s="4"/>
      <c r="V4797" s="4"/>
      <c r="X4797" s="4"/>
      <c r="Y4797" s="4"/>
    </row>
    <row r="4798" spans="20:25" x14ac:dyDescent="0.25">
      <c r="T4798" s="10"/>
      <c r="U4798" s="4"/>
      <c r="V4798" s="4"/>
      <c r="X4798" s="4"/>
      <c r="Y4798" s="4"/>
    </row>
    <row r="4799" spans="20:25" x14ac:dyDescent="0.25">
      <c r="T4799" s="10"/>
      <c r="U4799" s="4"/>
      <c r="V4799" s="4"/>
      <c r="X4799" s="4"/>
      <c r="Y4799" s="4"/>
    </row>
    <row r="4800" spans="20:25" x14ac:dyDescent="0.25">
      <c r="T4800" s="10"/>
      <c r="U4800" s="4"/>
      <c r="V4800" s="4"/>
      <c r="X4800" s="4"/>
      <c r="Y4800" s="4"/>
    </row>
    <row r="4801" spans="20:25" x14ac:dyDescent="0.25">
      <c r="T4801" s="10"/>
      <c r="U4801" s="4"/>
      <c r="V4801" s="4"/>
      <c r="X4801" s="4"/>
      <c r="Y4801" s="4"/>
    </row>
    <row r="4802" spans="20:25" x14ac:dyDescent="0.25">
      <c r="T4802" s="10"/>
      <c r="U4802" s="4"/>
      <c r="V4802" s="4"/>
      <c r="X4802" s="4"/>
      <c r="Y4802" s="4"/>
    </row>
    <row r="4803" spans="20:25" x14ac:dyDescent="0.25">
      <c r="T4803" s="10"/>
      <c r="U4803" s="4"/>
      <c r="V4803" s="4"/>
      <c r="X4803" s="4"/>
      <c r="Y4803" s="4"/>
    </row>
    <row r="4804" spans="20:25" x14ac:dyDescent="0.25">
      <c r="T4804" s="10"/>
      <c r="U4804" s="4"/>
      <c r="V4804" s="4"/>
      <c r="X4804" s="4"/>
      <c r="Y4804" s="4"/>
    </row>
    <row r="4805" spans="20:25" x14ac:dyDescent="0.25">
      <c r="T4805" s="10"/>
      <c r="U4805" s="4"/>
      <c r="V4805" s="4"/>
      <c r="X4805" s="4"/>
      <c r="Y4805" s="4"/>
    </row>
    <row r="4806" spans="20:25" x14ac:dyDescent="0.25">
      <c r="T4806" s="10"/>
      <c r="U4806" s="4"/>
      <c r="V4806" s="4"/>
      <c r="X4806" s="4"/>
      <c r="Y4806" s="4"/>
    </row>
    <row r="4807" spans="20:25" x14ac:dyDescent="0.25">
      <c r="T4807" s="10"/>
      <c r="U4807" s="4"/>
      <c r="V4807" s="4"/>
      <c r="X4807" s="4"/>
      <c r="Y4807" s="4"/>
    </row>
    <row r="4808" spans="20:25" x14ac:dyDescent="0.25">
      <c r="T4808" s="10"/>
      <c r="U4808" s="4"/>
      <c r="V4808" s="4"/>
      <c r="X4808" s="4"/>
      <c r="Y4808" s="4"/>
    </row>
    <row r="4809" spans="20:25" x14ac:dyDescent="0.25">
      <c r="T4809" s="10"/>
      <c r="U4809" s="4"/>
      <c r="V4809" s="4"/>
      <c r="X4809" s="4"/>
      <c r="Y4809" s="4"/>
    </row>
    <row r="4810" spans="20:25" x14ac:dyDescent="0.25">
      <c r="T4810" s="10"/>
      <c r="U4810" s="4"/>
      <c r="V4810" s="4"/>
      <c r="X4810" s="4"/>
      <c r="Y4810" s="4"/>
    </row>
    <row r="4811" spans="20:25" x14ac:dyDescent="0.25">
      <c r="T4811" s="10"/>
      <c r="U4811" s="4"/>
      <c r="V4811" s="4"/>
      <c r="X4811" s="4"/>
      <c r="Y4811" s="4"/>
    </row>
    <row r="4812" spans="20:25" x14ac:dyDescent="0.25">
      <c r="T4812" s="10"/>
      <c r="U4812" s="4"/>
      <c r="V4812" s="4"/>
      <c r="X4812" s="4"/>
      <c r="Y4812" s="4"/>
    </row>
    <row r="4813" spans="20:25" x14ac:dyDescent="0.25">
      <c r="T4813" s="10"/>
      <c r="U4813" s="4"/>
      <c r="V4813" s="4"/>
      <c r="X4813" s="4"/>
      <c r="Y4813" s="4"/>
    </row>
    <row r="4814" spans="20:25" x14ac:dyDescent="0.25">
      <c r="T4814" s="10"/>
      <c r="U4814" s="4"/>
      <c r="V4814" s="4"/>
      <c r="X4814" s="4"/>
      <c r="Y4814" s="4"/>
    </row>
    <row r="4815" spans="20:25" x14ac:dyDescent="0.25">
      <c r="T4815" s="10"/>
      <c r="U4815" s="4"/>
      <c r="V4815" s="4"/>
      <c r="X4815" s="4"/>
      <c r="Y4815" s="4"/>
    </row>
    <row r="4816" spans="20:25" x14ac:dyDescent="0.25">
      <c r="T4816" s="10"/>
      <c r="U4816" s="4"/>
      <c r="V4816" s="4"/>
      <c r="X4816" s="4"/>
      <c r="Y4816" s="4"/>
    </row>
    <row r="4817" spans="20:25" x14ac:dyDescent="0.25">
      <c r="T4817" s="10"/>
      <c r="U4817" s="4"/>
      <c r="V4817" s="4"/>
      <c r="X4817" s="4"/>
      <c r="Y4817" s="4"/>
    </row>
    <row r="4818" spans="20:25" x14ac:dyDescent="0.25">
      <c r="T4818" s="10"/>
      <c r="U4818" s="4"/>
      <c r="V4818" s="4"/>
      <c r="X4818" s="4"/>
      <c r="Y4818" s="4"/>
    </row>
    <row r="4819" spans="20:25" x14ac:dyDescent="0.25">
      <c r="T4819" s="10"/>
      <c r="U4819" s="4"/>
      <c r="V4819" s="4"/>
      <c r="X4819" s="4"/>
      <c r="Y4819" s="4"/>
    </row>
    <row r="4820" spans="20:25" x14ac:dyDescent="0.25">
      <c r="T4820" s="10"/>
      <c r="U4820" s="4"/>
      <c r="V4820" s="4"/>
      <c r="X4820" s="4"/>
      <c r="Y4820" s="4"/>
    </row>
    <row r="4821" spans="20:25" x14ac:dyDescent="0.25">
      <c r="T4821" s="10"/>
      <c r="U4821" s="4"/>
      <c r="V4821" s="4"/>
      <c r="X4821" s="4"/>
      <c r="Y4821" s="4"/>
    </row>
    <row r="4822" spans="20:25" x14ac:dyDescent="0.25">
      <c r="T4822" s="10"/>
      <c r="U4822" s="4"/>
      <c r="V4822" s="4"/>
      <c r="X4822" s="4"/>
      <c r="Y4822" s="4"/>
    </row>
    <row r="4823" spans="20:25" x14ac:dyDescent="0.25">
      <c r="T4823" s="10"/>
      <c r="U4823" s="4"/>
      <c r="V4823" s="4"/>
      <c r="X4823" s="4"/>
      <c r="Y4823" s="4"/>
    </row>
    <row r="4824" spans="20:25" x14ac:dyDescent="0.25">
      <c r="T4824" s="10"/>
      <c r="U4824" s="4"/>
      <c r="V4824" s="4"/>
      <c r="X4824" s="4"/>
      <c r="Y4824" s="4"/>
    </row>
    <row r="4825" spans="20:25" x14ac:dyDescent="0.25">
      <c r="T4825" s="10"/>
      <c r="U4825" s="4"/>
      <c r="V4825" s="4"/>
      <c r="X4825" s="4"/>
      <c r="Y4825" s="4"/>
    </row>
    <row r="4826" spans="20:25" x14ac:dyDescent="0.25">
      <c r="T4826" s="10"/>
      <c r="U4826" s="4"/>
      <c r="V4826" s="4"/>
      <c r="X4826" s="4"/>
      <c r="Y4826" s="4"/>
    </row>
    <row r="4827" spans="20:25" x14ac:dyDescent="0.25">
      <c r="T4827" s="10"/>
      <c r="U4827" s="4"/>
      <c r="V4827" s="4"/>
      <c r="X4827" s="4"/>
      <c r="Y4827" s="4"/>
    </row>
    <row r="4828" spans="20:25" x14ac:dyDescent="0.25">
      <c r="T4828" s="10"/>
      <c r="U4828" s="4"/>
      <c r="V4828" s="4"/>
      <c r="X4828" s="4"/>
      <c r="Y4828" s="4"/>
    </row>
    <row r="4829" spans="20:25" x14ac:dyDescent="0.25">
      <c r="T4829" s="10"/>
      <c r="U4829" s="4"/>
      <c r="V4829" s="4"/>
      <c r="X4829" s="4"/>
      <c r="Y4829" s="4"/>
    </row>
    <row r="4830" spans="20:25" x14ac:dyDescent="0.25">
      <c r="T4830" s="10"/>
      <c r="U4830" s="4"/>
      <c r="V4830" s="4"/>
      <c r="X4830" s="4"/>
      <c r="Y4830" s="4"/>
    </row>
    <row r="4831" spans="20:25" x14ac:dyDescent="0.25">
      <c r="T4831" s="10"/>
      <c r="U4831" s="4"/>
      <c r="V4831" s="4"/>
      <c r="X4831" s="4"/>
      <c r="Y4831" s="4"/>
    </row>
    <row r="4832" spans="20:25" x14ac:dyDescent="0.25">
      <c r="T4832" s="10"/>
      <c r="U4832" s="4"/>
      <c r="V4832" s="4"/>
      <c r="X4832" s="4"/>
      <c r="Y4832" s="4"/>
    </row>
    <row r="4833" spans="20:25" x14ac:dyDescent="0.25">
      <c r="T4833" s="10"/>
      <c r="U4833" s="4"/>
      <c r="V4833" s="4"/>
      <c r="X4833" s="4"/>
      <c r="Y4833" s="4"/>
    </row>
    <row r="4834" spans="20:25" x14ac:dyDescent="0.25">
      <c r="T4834" s="10"/>
      <c r="U4834" s="4"/>
      <c r="V4834" s="4"/>
      <c r="X4834" s="4"/>
      <c r="Y4834" s="4"/>
    </row>
    <row r="4835" spans="20:25" x14ac:dyDescent="0.25">
      <c r="T4835" s="10"/>
      <c r="U4835" s="4"/>
      <c r="V4835" s="4"/>
      <c r="X4835" s="4"/>
      <c r="Y4835" s="4"/>
    </row>
    <row r="4836" spans="20:25" x14ac:dyDescent="0.25">
      <c r="T4836" s="10"/>
      <c r="U4836" s="4"/>
      <c r="V4836" s="4"/>
      <c r="X4836" s="4"/>
      <c r="Y4836" s="4"/>
    </row>
    <row r="4837" spans="20:25" x14ac:dyDescent="0.25">
      <c r="T4837" s="10"/>
      <c r="U4837" s="4"/>
      <c r="V4837" s="4"/>
      <c r="X4837" s="4"/>
      <c r="Y4837" s="4"/>
    </row>
    <row r="4838" spans="20:25" x14ac:dyDescent="0.25">
      <c r="T4838" s="10"/>
      <c r="U4838" s="4"/>
      <c r="V4838" s="4"/>
      <c r="X4838" s="4"/>
      <c r="Y4838" s="4"/>
    </row>
    <row r="4839" spans="20:25" x14ac:dyDescent="0.25">
      <c r="T4839" s="10"/>
      <c r="U4839" s="4"/>
      <c r="V4839" s="4"/>
      <c r="X4839" s="4"/>
      <c r="Y4839" s="4"/>
    </row>
    <row r="4840" spans="20:25" x14ac:dyDescent="0.25">
      <c r="T4840" s="10"/>
      <c r="U4840" s="4"/>
      <c r="V4840" s="4"/>
      <c r="X4840" s="4"/>
      <c r="Y4840" s="4"/>
    </row>
    <row r="4841" spans="20:25" x14ac:dyDescent="0.25">
      <c r="T4841" s="10"/>
      <c r="U4841" s="4"/>
      <c r="V4841" s="4"/>
      <c r="X4841" s="4"/>
      <c r="Y4841" s="4"/>
    </row>
    <row r="4842" spans="20:25" x14ac:dyDescent="0.25">
      <c r="T4842" s="10"/>
      <c r="U4842" s="4"/>
      <c r="V4842" s="4"/>
      <c r="X4842" s="4"/>
      <c r="Y4842" s="4"/>
    </row>
    <row r="4843" spans="20:25" x14ac:dyDescent="0.25">
      <c r="T4843" s="10"/>
      <c r="U4843" s="4"/>
      <c r="V4843" s="4"/>
      <c r="X4843" s="4"/>
      <c r="Y4843" s="4"/>
    </row>
    <row r="4844" spans="20:25" x14ac:dyDescent="0.25">
      <c r="T4844" s="10"/>
      <c r="U4844" s="4"/>
      <c r="V4844" s="4"/>
      <c r="X4844" s="4"/>
      <c r="Y4844" s="4"/>
    </row>
    <row r="4845" spans="20:25" x14ac:dyDescent="0.25">
      <c r="T4845" s="10"/>
      <c r="U4845" s="4"/>
      <c r="V4845" s="4"/>
      <c r="X4845" s="4"/>
      <c r="Y4845" s="4"/>
    </row>
    <row r="4846" spans="20:25" x14ac:dyDescent="0.25">
      <c r="T4846" s="10"/>
      <c r="U4846" s="4"/>
      <c r="V4846" s="4"/>
      <c r="X4846" s="4"/>
      <c r="Y4846" s="4"/>
    </row>
    <row r="4847" spans="20:25" x14ac:dyDescent="0.25">
      <c r="T4847" s="10"/>
      <c r="U4847" s="4"/>
      <c r="V4847" s="4"/>
      <c r="X4847" s="4"/>
      <c r="Y4847" s="4"/>
    </row>
    <row r="4848" spans="20:25" x14ac:dyDescent="0.25">
      <c r="T4848" s="10"/>
      <c r="U4848" s="4"/>
      <c r="V4848" s="4"/>
      <c r="X4848" s="4"/>
      <c r="Y4848" s="4"/>
    </row>
    <row r="4849" spans="20:25" x14ac:dyDescent="0.25">
      <c r="T4849" s="10"/>
      <c r="U4849" s="4"/>
      <c r="V4849" s="4"/>
      <c r="X4849" s="4"/>
      <c r="Y4849" s="4"/>
    </row>
    <row r="4850" spans="20:25" x14ac:dyDescent="0.25">
      <c r="T4850" s="10"/>
      <c r="U4850" s="4"/>
      <c r="V4850" s="4"/>
      <c r="X4850" s="4"/>
      <c r="Y4850" s="4"/>
    </row>
    <row r="4851" spans="20:25" x14ac:dyDescent="0.25">
      <c r="T4851" s="10"/>
      <c r="U4851" s="4"/>
      <c r="V4851" s="4"/>
      <c r="X4851" s="4"/>
      <c r="Y4851" s="4"/>
    </row>
    <row r="4852" spans="20:25" x14ac:dyDescent="0.25">
      <c r="T4852" s="10"/>
      <c r="U4852" s="4"/>
      <c r="V4852" s="4"/>
      <c r="X4852" s="4"/>
      <c r="Y4852" s="4"/>
    </row>
    <row r="4853" spans="20:25" x14ac:dyDescent="0.25">
      <c r="T4853" s="10"/>
      <c r="U4853" s="4"/>
      <c r="V4853" s="4"/>
      <c r="X4853" s="4"/>
      <c r="Y4853" s="4"/>
    </row>
    <row r="4854" spans="20:25" x14ac:dyDescent="0.25">
      <c r="T4854" s="10"/>
      <c r="U4854" s="4"/>
      <c r="V4854" s="4"/>
      <c r="X4854" s="4"/>
      <c r="Y4854" s="4"/>
    </row>
    <row r="4855" spans="20:25" x14ac:dyDescent="0.25">
      <c r="T4855" s="10"/>
      <c r="U4855" s="4"/>
      <c r="V4855" s="4"/>
      <c r="X4855" s="4"/>
      <c r="Y4855" s="4"/>
    </row>
    <row r="4856" spans="20:25" x14ac:dyDescent="0.25">
      <c r="T4856" s="10"/>
      <c r="U4856" s="4"/>
      <c r="V4856" s="4"/>
      <c r="X4856" s="4"/>
      <c r="Y4856" s="4"/>
    </row>
    <row r="4857" spans="20:25" x14ac:dyDescent="0.25">
      <c r="T4857" s="10"/>
      <c r="U4857" s="4"/>
      <c r="V4857" s="4"/>
      <c r="X4857" s="4"/>
      <c r="Y4857" s="4"/>
    </row>
    <row r="4858" spans="20:25" x14ac:dyDescent="0.25">
      <c r="T4858" s="10"/>
      <c r="U4858" s="4"/>
      <c r="V4858" s="4"/>
      <c r="X4858" s="4"/>
      <c r="Y4858" s="4"/>
    </row>
    <row r="4859" spans="20:25" x14ac:dyDescent="0.25">
      <c r="T4859" s="10"/>
      <c r="U4859" s="4"/>
      <c r="V4859" s="4"/>
      <c r="X4859" s="4"/>
      <c r="Y4859" s="4"/>
    </row>
    <row r="4860" spans="20:25" x14ac:dyDescent="0.25">
      <c r="T4860" s="10"/>
      <c r="U4860" s="4"/>
      <c r="V4860" s="4"/>
      <c r="X4860" s="4"/>
      <c r="Y4860" s="4"/>
    </row>
    <row r="4861" spans="20:25" x14ac:dyDescent="0.25">
      <c r="T4861" s="10"/>
      <c r="U4861" s="4"/>
      <c r="V4861" s="4"/>
      <c r="X4861" s="4"/>
      <c r="Y4861" s="4"/>
    </row>
    <row r="4862" spans="20:25" x14ac:dyDescent="0.25">
      <c r="T4862" s="10"/>
      <c r="U4862" s="4"/>
      <c r="V4862" s="4"/>
      <c r="X4862" s="4"/>
      <c r="Y4862" s="4"/>
    </row>
    <row r="4863" spans="20:25" x14ac:dyDescent="0.25">
      <c r="T4863" s="10"/>
      <c r="U4863" s="4"/>
      <c r="V4863" s="4"/>
      <c r="X4863" s="4"/>
      <c r="Y4863" s="4"/>
    </row>
    <row r="4864" spans="20:25" x14ac:dyDescent="0.25">
      <c r="T4864" s="10"/>
      <c r="U4864" s="4"/>
      <c r="V4864" s="4"/>
      <c r="X4864" s="4"/>
      <c r="Y4864" s="4"/>
    </row>
    <row r="4865" spans="20:25" x14ac:dyDescent="0.25">
      <c r="T4865" s="10"/>
      <c r="U4865" s="4"/>
      <c r="V4865" s="4"/>
      <c r="X4865" s="4"/>
      <c r="Y4865" s="4"/>
    </row>
    <row r="4866" spans="20:25" x14ac:dyDescent="0.25">
      <c r="T4866" s="10"/>
      <c r="U4866" s="4"/>
      <c r="V4866" s="4"/>
      <c r="X4866" s="4"/>
      <c r="Y4866" s="4"/>
    </row>
    <row r="4867" spans="20:25" x14ac:dyDescent="0.25">
      <c r="T4867" s="10"/>
      <c r="U4867" s="4"/>
      <c r="V4867" s="4"/>
      <c r="X4867" s="4"/>
      <c r="Y4867" s="4"/>
    </row>
    <row r="4868" spans="20:25" x14ac:dyDescent="0.25">
      <c r="T4868" s="10"/>
      <c r="U4868" s="4"/>
      <c r="V4868" s="4"/>
      <c r="X4868" s="4"/>
      <c r="Y4868" s="4"/>
    </row>
    <row r="4869" spans="20:25" x14ac:dyDescent="0.25">
      <c r="T4869" s="10"/>
      <c r="U4869" s="4"/>
      <c r="V4869" s="4"/>
      <c r="X4869" s="4"/>
      <c r="Y4869" s="4"/>
    </row>
    <row r="4870" spans="20:25" x14ac:dyDescent="0.25">
      <c r="T4870" s="10"/>
      <c r="U4870" s="4"/>
      <c r="V4870" s="4"/>
      <c r="X4870" s="4"/>
      <c r="Y4870" s="4"/>
    </row>
    <row r="4871" spans="20:25" x14ac:dyDescent="0.25">
      <c r="T4871" s="10"/>
      <c r="U4871" s="4"/>
      <c r="V4871" s="4"/>
      <c r="X4871" s="4"/>
      <c r="Y4871" s="4"/>
    </row>
    <row r="4872" spans="20:25" x14ac:dyDescent="0.25">
      <c r="T4872" s="10"/>
      <c r="U4872" s="4"/>
      <c r="V4872" s="4"/>
      <c r="X4872" s="4"/>
      <c r="Y4872" s="4"/>
    </row>
    <row r="4873" spans="20:25" x14ac:dyDescent="0.25">
      <c r="T4873" s="10"/>
      <c r="U4873" s="4"/>
      <c r="V4873" s="4"/>
      <c r="X4873" s="4"/>
      <c r="Y4873" s="4"/>
    </row>
    <row r="4874" spans="20:25" x14ac:dyDescent="0.25">
      <c r="T4874" s="10"/>
      <c r="U4874" s="4"/>
      <c r="V4874" s="4"/>
      <c r="X4874" s="4"/>
      <c r="Y4874" s="4"/>
    </row>
    <row r="4875" spans="20:25" x14ac:dyDescent="0.25">
      <c r="T4875" s="10"/>
      <c r="U4875" s="4"/>
      <c r="V4875" s="4"/>
      <c r="X4875" s="4"/>
      <c r="Y4875" s="4"/>
    </row>
    <row r="4876" spans="20:25" x14ac:dyDescent="0.25">
      <c r="T4876" s="10"/>
      <c r="U4876" s="4"/>
      <c r="V4876" s="4"/>
      <c r="X4876" s="4"/>
      <c r="Y4876" s="4"/>
    </row>
    <row r="4877" spans="20:25" x14ac:dyDescent="0.25">
      <c r="T4877" s="10"/>
      <c r="U4877" s="4"/>
      <c r="V4877" s="4"/>
      <c r="X4877" s="4"/>
      <c r="Y4877" s="4"/>
    </row>
    <row r="4878" spans="20:25" x14ac:dyDescent="0.25">
      <c r="T4878" s="10"/>
      <c r="U4878" s="4"/>
      <c r="V4878" s="4"/>
      <c r="X4878" s="4"/>
      <c r="Y4878" s="4"/>
    </row>
    <row r="4879" spans="20:25" x14ac:dyDescent="0.25">
      <c r="T4879" s="10"/>
      <c r="U4879" s="4"/>
      <c r="V4879" s="4"/>
      <c r="X4879" s="4"/>
      <c r="Y4879" s="4"/>
    </row>
    <row r="4880" spans="20:25" x14ac:dyDescent="0.25">
      <c r="T4880" s="10"/>
      <c r="U4880" s="4"/>
      <c r="V4880" s="4"/>
      <c r="X4880" s="4"/>
      <c r="Y4880" s="4"/>
    </row>
    <row r="4881" spans="20:25" x14ac:dyDescent="0.25">
      <c r="T4881" s="10"/>
      <c r="U4881" s="4"/>
      <c r="V4881" s="4"/>
      <c r="X4881" s="4"/>
      <c r="Y4881" s="4"/>
    </row>
    <row r="4882" spans="20:25" x14ac:dyDescent="0.25">
      <c r="T4882" s="10"/>
      <c r="U4882" s="4"/>
      <c r="V4882" s="4"/>
      <c r="X4882" s="4"/>
      <c r="Y4882" s="4"/>
    </row>
    <row r="4883" spans="20:25" x14ac:dyDescent="0.25">
      <c r="T4883" s="10"/>
      <c r="U4883" s="4"/>
      <c r="V4883" s="4"/>
      <c r="X4883" s="4"/>
      <c r="Y4883" s="4"/>
    </row>
    <row r="4884" spans="20:25" x14ac:dyDescent="0.25">
      <c r="T4884" s="10"/>
      <c r="U4884" s="4"/>
      <c r="V4884" s="4"/>
      <c r="X4884" s="4"/>
      <c r="Y4884" s="4"/>
    </row>
    <row r="4885" spans="20:25" x14ac:dyDescent="0.25">
      <c r="T4885" s="10"/>
      <c r="U4885" s="4"/>
      <c r="V4885" s="4"/>
      <c r="X4885" s="4"/>
      <c r="Y4885" s="4"/>
    </row>
    <row r="4886" spans="20:25" x14ac:dyDescent="0.25">
      <c r="T4886" s="10"/>
      <c r="U4886" s="4"/>
      <c r="V4886" s="4"/>
      <c r="X4886" s="4"/>
      <c r="Y4886" s="4"/>
    </row>
    <row r="4887" spans="20:25" x14ac:dyDescent="0.25">
      <c r="T4887" s="10"/>
      <c r="U4887" s="4"/>
      <c r="V4887" s="4"/>
      <c r="X4887" s="4"/>
      <c r="Y4887" s="4"/>
    </row>
    <row r="4888" spans="20:25" x14ac:dyDescent="0.25">
      <c r="T4888" s="10"/>
      <c r="U4888" s="4"/>
      <c r="V4888" s="4"/>
      <c r="X4888" s="4"/>
      <c r="Y4888" s="4"/>
    </row>
    <row r="4889" spans="20:25" x14ac:dyDescent="0.25">
      <c r="T4889" s="10"/>
      <c r="U4889" s="4"/>
      <c r="V4889" s="4"/>
      <c r="X4889" s="4"/>
      <c r="Y4889" s="4"/>
    </row>
    <row r="4890" spans="20:25" x14ac:dyDescent="0.25">
      <c r="T4890" s="10"/>
      <c r="U4890" s="4"/>
      <c r="V4890" s="4"/>
      <c r="X4890" s="4"/>
      <c r="Y4890" s="4"/>
    </row>
    <row r="4891" spans="20:25" x14ac:dyDescent="0.25">
      <c r="T4891" s="10"/>
      <c r="U4891" s="4"/>
      <c r="V4891" s="4"/>
      <c r="X4891" s="4"/>
      <c r="Y4891" s="4"/>
    </row>
    <row r="4892" spans="20:25" x14ac:dyDescent="0.25">
      <c r="T4892" s="10"/>
      <c r="U4892" s="4"/>
      <c r="V4892" s="4"/>
      <c r="X4892" s="4"/>
      <c r="Y4892" s="4"/>
    </row>
    <row r="4893" spans="20:25" x14ac:dyDescent="0.25">
      <c r="T4893" s="10"/>
      <c r="U4893" s="4"/>
      <c r="V4893" s="4"/>
      <c r="X4893" s="4"/>
      <c r="Y4893" s="4"/>
    </row>
    <row r="4894" spans="20:25" x14ac:dyDescent="0.25">
      <c r="T4894" s="10"/>
      <c r="U4894" s="4"/>
      <c r="V4894" s="4"/>
      <c r="X4894" s="4"/>
      <c r="Y4894" s="4"/>
    </row>
    <row r="4895" spans="20:25" x14ac:dyDescent="0.25">
      <c r="T4895" s="10"/>
      <c r="U4895" s="4"/>
      <c r="V4895" s="4"/>
      <c r="X4895" s="4"/>
      <c r="Y4895" s="4"/>
    </row>
    <row r="4896" spans="20:25" x14ac:dyDescent="0.25">
      <c r="T4896" s="10"/>
      <c r="U4896" s="4"/>
      <c r="V4896" s="4"/>
      <c r="X4896" s="4"/>
      <c r="Y4896" s="4"/>
    </row>
    <row r="4897" spans="20:25" x14ac:dyDescent="0.25">
      <c r="T4897" s="10"/>
      <c r="U4897" s="4"/>
      <c r="V4897" s="4"/>
      <c r="X4897" s="4"/>
      <c r="Y4897" s="4"/>
    </row>
    <row r="4898" spans="20:25" x14ac:dyDescent="0.25">
      <c r="T4898" s="10"/>
      <c r="U4898" s="4"/>
      <c r="V4898" s="4"/>
      <c r="X4898" s="4"/>
      <c r="Y4898" s="4"/>
    </row>
    <row r="4899" spans="20:25" x14ac:dyDescent="0.25">
      <c r="T4899" s="10"/>
      <c r="U4899" s="4"/>
      <c r="V4899" s="4"/>
      <c r="X4899" s="4"/>
      <c r="Y4899" s="4"/>
    </row>
    <row r="4900" spans="20:25" x14ac:dyDescent="0.25">
      <c r="T4900" s="10"/>
      <c r="U4900" s="4"/>
      <c r="V4900" s="4"/>
      <c r="X4900" s="4"/>
      <c r="Y4900" s="4"/>
    </row>
    <row r="4901" spans="20:25" x14ac:dyDescent="0.25">
      <c r="T4901" s="10"/>
      <c r="U4901" s="4"/>
      <c r="V4901" s="4"/>
      <c r="X4901" s="4"/>
      <c r="Y4901" s="4"/>
    </row>
    <row r="4902" spans="20:25" x14ac:dyDescent="0.25">
      <c r="T4902" s="10"/>
      <c r="U4902" s="4"/>
      <c r="V4902" s="4"/>
      <c r="X4902" s="4"/>
      <c r="Y4902" s="4"/>
    </row>
    <row r="4903" spans="20:25" x14ac:dyDescent="0.25">
      <c r="T4903" s="10"/>
      <c r="U4903" s="4"/>
      <c r="V4903" s="4"/>
      <c r="X4903" s="4"/>
      <c r="Y4903" s="4"/>
    </row>
    <row r="4904" spans="20:25" x14ac:dyDescent="0.25">
      <c r="T4904" s="10"/>
      <c r="U4904" s="4"/>
      <c r="V4904" s="4"/>
      <c r="X4904" s="4"/>
      <c r="Y4904" s="4"/>
    </row>
    <row r="4905" spans="20:25" x14ac:dyDescent="0.25">
      <c r="T4905" s="10"/>
      <c r="U4905" s="4"/>
      <c r="V4905" s="4"/>
      <c r="X4905" s="4"/>
      <c r="Y4905" s="4"/>
    </row>
    <row r="4906" spans="20:25" x14ac:dyDescent="0.25">
      <c r="T4906" s="10"/>
      <c r="U4906" s="4"/>
      <c r="V4906" s="4"/>
      <c r="X4906" s="4"/>
      <c r="Y4906" s="4"/>
    </row>
    <row r="4907" spans="20:25" x14ac:dyDescent="0.25">
      <c r="T4907" s="10"/>
      <c r="U4907" s="4"/>
      <c r="V4907" s="4"/>
      <c r="X4907" s="4"/>
      <c r="Y4907" s="4"/>
    </row>
    <row r="4908" spans="20:25" x14ac:dyDescent="0.25">
      <c r="T4908" s="10"/>
      <c r="U4908" s="4"/>
      <c r="V4908" s="4"/>
      <c r="X4908" s="4"/>
      <c r="Y4908" s="4"/>
    </row>
    <row r="4909" spans="20:25" x14ac:dyDescent="0.25">
      <c r="T4909" s="10"/>
      <c r="U4909" s="4"/>
      <c r="V4909" s="4"/>
      <c r="X4909" s="4"/>
      <c r="Y4909" s="4"/>
    </row>
    <row r="4910" spans="20:25" x14ac:dyDescent="0.25">
      <c r="T4910" s="10"/>
      <c r="U4910" s="4"/>
      <c r="V4910" s="4"/>
      <c r="X4910" s="4"/>
      <c r="Y4910" s="4"/>
    </row>
    <row r="4911" spans="20:25" x14ac:dyDescent="0.25">
      <c r="T4911" s="10"/>
      <c r="U4911" s="4"/>
      <c r="V4911" s="4"/>
      <c r="X4911" s="4"/>
      <c r="Y4911" s="4"/>
    </row>
    <row r="4912" spans="20:25" x14ac:dyDescent="0.25">
      <c r="T4912" s="10"/>
      <c r="U4912" s="4"/>
      <c r="V4912" s="4"/>
      <c r="X4912" s="4"/>
      <c r="Y4912" s="4"/>
    </row>
    <row r="4913" spans="20:25" x14ac:dyDescent="0.25">
      <c r="T4913" s="10"/>
      <c r="U4913" s="4"/>
      <c r="V4913" s="4"/>
      <c r="X4913" s="4"/>
      <c r="Y4913" s="4"/>
    </row>
    <row r="4914" spans="20:25" x14ac:dyDescent="0.25">
      <c r="T4914" s="10"/>
      <c r="U4914" s="4"/>
      <c r="V4914" s="4"/>
      <c r="X4914" s="4"/>
      <c r="Y4914" s="4"/>
    </row>
    <row r="4915" spans="20:25" x14ac:dyDescent="0.25">
      <c r="T4915" s="10"/>
      <c r="U4915" s="4"/>
      <c r="V4915" s="4"/>
      <c r="X4915" s="4"/>
      <c r="Y4915" s="4"/>
    </row>
    <row r="4916" spans="20:25" x14ac:dyDescent="0.25">
      <c r="T4916" s="10"/>
      <c r="U4916" s="4"/>
      <c r="V4916" s="4"/>
      <c r="X4916" s="4"/>
      <c r="Y4916" s="4"/>
    </row>
    <row r="4917" spans="20:25" x14ac:dyDescent="0.25">
      <c r="T4917" s="10"/>
      <c r="U4917" s="4"/>
      <c r="V4917" s="4"/>
      <c r="X4917" s="4"/>
      <c r="Y4917" s="4"/>
    </row>
    <row r="4918" spans="20:25" x14ac:dyDescent="0.25">
      <c r="T4918" s="10"/>
      <c r="U4918" s="4"/>
      <c r="V4918" s="4"/>
      <c r="X4918" s="4"/>
      <c r="Y4918" s="4"/>
    </row>
    <row r="4919" spans="20:25" x14ac:dyDescent="0.25">
      <c r="T4919" s="10"/>
      <c r="U4919" s="4"/>
      <c r="V4919" s="4"/>
      <c r="X4919" s="4"/>
      <c r="Y4919" s="4"/>
    </row>
    <row r="4920" spans="20:25" x14ac:dyDescent="0.25">
      <c r="T4920" s="10"/>
      <c r="U4920" s="4"/>
      <c r="V4920" s="4"/>
      <c r="X4920" s="4"/>
      <c r="Y4920" s="4"/>
    </row>
    <row r="4921" spans="20:25" x14ac:dyDescent="0.25">
      <c r="T4921" s="10"/>
      <c r="U4921" s="4"/>
      <c r="V4921" s="4"/>
      <c r="X4921" s="4"/>
      <c r="Y4921" s="4"/>
    </row>
    <row r="4922" spans="20:25" x14ac:dyDescent="0.25">
      <c r="T4922" s="10"/>
      <c r="U4922" s="4"/>
      <c r="V4922" s="4"/>
      <c r="X4922" s="4"/>
      <c r="Y4922" s="4"/>
    </row>
    <row r="4923" spans="20:25" x14ac:dyDescent="0.25">
      <c r="T4923" s="10"/>
      <c r="U4923" s="4"/>
      <c r="V4923" s="4"/>
      <c r="X4923" s="4"/>
      <c r="Y4923" s="4"/>
    </row>
    <row r="4924" spans="20:25" x14ac:dyDescent="0.25">
      <c r="T4924" s="10"/>
      <c r="U4924" s="4"/>
      <c r="V4924" s="4"/>
      <c r="X4924" s="4"/>
      <c r="Y4924" s="4"/>
    </row>
    <row r="4925" spans="20:25" x14ac:dyDescent="0.25">
      <c r="T4925" s="10"/>
      <c r="U4925" s="4"/>
      <c r="V4925" s="4"/>
      <c r="X4925" s="4"/>
      <c r="Y4925" s="4"/>
    </row>
    <row r="4926" spans="20:25" x14ac:dyDescent="0.25">
      <c r="T4926" s="10"/>
      <c r="U4926" s="4"/>
      <c r="V4926" s="4"/>
      <c r="X4926" s="4"/>
      <c r="Y4926" s="4"/>
    </row>
    <row r="4927" spans="20:25" x14ac:dyDescent="0.25">
      <c r="T4927" s="10"/>
      <c r="U4927" s="4"/>
      <c r="V4927" s="4"/>
      <c r="X4927" s="4"/>
      <c r="Y4927" s="4"/>
    </row>
    <row r="4928" spans="20:25" x14ac:dyDescent="0.25">
      <c r="T4928" s="10"/>
      <c r="U4928" s="4"/>
      <c r="V4928" s="4"/>
      <c r="X4928" s="4"/>
      <c r="Y4928" s="4"/>
    </row>
    <row r="4929" spans="20:25" x14ac:dyDescent="0.25">
      <c r="T4929" s="10"/>
      <c r="U4929" s="4"/>
      <c r="V4929" s="4"/>
      <c r="X4929" s="4"/>
      <c r="Y4929" s="4"/>
    </row>
    <row r="4930" spans="20:25" x14ac:dyDescent="0.25">
      <c r="T4930" s="10"/>
      <c r="U4930" s="4"/>
      <c r="V4930" s="4"/>
      <c r="X4930" s="4"/>
      <c r="Y4930" s="4"/>
    </row>
    <row r="4931" spans="20:25" x14ac:dyDescent="0.25">
      <c r="T4931" s="10"/>
      <c r="U4931" s="4"/>
      <c r="V4931" s="4"/>
      <c r="X4931" s="4"/>
      <c r="Y4931" s="4"/>
    </row>
    <row r="4932" spans="20:25" x14ac:dyDescent="0.25">
      <c r="T4932" s="10"/>
      <c r="U4932" s="4"/>
      <c r="V4932" s="4"/>
      <c r="X4932" s="4"/>
      <c r="Y4932" s="4"/>
    </row>
    <row r="4933" spans="20:25" x14ac:dyDescent="0.25">
      <c r="T4933" s="10"/>
      <c r="U4933" s="4"/>
      <c r="V4933" s="4"/>
      <c r="X4933" s="4"/>
      <c r="Y4933" s="4"/>
    </row>
    <row r="4934" spans="20:25" x14ac:dyDescent="0.25">
      <c r="T4934" s="10"/>
      <c r="U4934" s="4"/>
      <c r="V4934" s="4"/>
      <c r="X4934" s="4"/>
      <c r="Y4934" s="4"/>
    </row>
    <row r="4935" spans="20:25" x14ac:dyDescent="0.25">
      <c r="T4935" s="10"/>
      <c r="U4935" s="4"/>
      <c r="V4935" s="4"/>
      <c r="X4935" s="4"/>
      <c r="Y4935" s="4"/>
    </row>
    <row r="4936" spans="20:25" x14ac:dyDescent="0.25">
      <c r="T4936" s="10"/>
      <c r="U4936" s="4"/>
      <c r="V4936" s="4"/>
      <c r="X4936" s="4"/>
      <c r="Y4936" s="4"/>
    </row>
    <row r="4937" spans="20:25" x14ac:dyDescent="0.25">
      <c r="T4937" s="10"/>
      <c r="U4937" s="4"/>
      <c r="V4937" s="4"/>
      <c r="X4937" s="4"/>
      <c r="Y4937" s="4"/>
    </row>
    <row r="4938" spans="20:25" x14ac:dyDescent="0.25">
      <c r="T4938" s="10"/>
      <c r="U4938" s="4"/>
      <c r="V4938" s="4"/>
      <c r="X4938" s="4"/>
      <c r="Y4938" s="4"/>
    </row>
    <row r="4939" spans="20:25" x14ac:dyDescent="0.25">
      <c r="T4939" s="10"/>
      <c r="U4939" s="4"/>
      <c r="V4939" s="4"/>
      <c r="X4939" s="4"/>
      <c r="Y4939" s="4"/>
    </row>
    <row r="4940" spans="20:25" x14ac:dyDescent="0.25">
      <c r="T4940" s="10"/>
      <c r="U4940" s="4"/>
      <c r="V4940" s="4"/>
      <c r="X4940" s="4"/>
      <c r="Y4940" s="4"/>
    </row>
    <row r="4941" spans="20:25" x14ac:dyDescent="0.25">
      <c r="T4941" s="10"/>
      <c r="U4941" s="4"/>
      <c r="V4941" s="4"/>
      <c r="X4941" s="4"/>
      <c r="Y4941" s="4"/>
    </row>
    <row r="4942" spans="20:25" x14ac:dyDescent="0.25">
      <c r="T4942" s="10"/>
      <c r="U4942" s="4"/>
      <c r="V4942" s="4"/>
      <c r="X4942" s="4"/>
      <c r="Y4942" s="4"/>
    </row>
    <row r="4943" spans="20:25" x14ac:dyDescent="0.25">
      <c r="T4943" s="10"/>
      <c r="U4943" s="4"/>
      <c r="V4943" s="4"/>
      <c r="X4943" s="4"/>
      <c r="Y4943" s="4"/>
    </row>
    <row r="4944" spans="20:25" x14ac:dyDescent="0.25">
      <c r="T4944" s="10"/>
      <c r="U4944" s="4"/>
      <c r="V4944" s="4"/>
      <c r="X4944" s="4"/>
      <c r="Y4944" s="4"/>
    </row>
    <row r="4945" spans="20:25" x14ac:dyDescent="0.25">
      <c r="T4945" s="10"/>
      <c r="U4945" s="4"/>
      <c r="V4945" s="4"/>
      <c r="X4945" s="4"/>
      <c r="Y4945" s="4"/>
    </row>
    <row r="4946" spans="20:25" x14ac:dyDescent="0.25">
      <c r="T4946" s="10"/>
      <c r="U4946" s="4"/>
      <c r="V4946" s="4"/>
      <c r="X4946" s="4"/>
      <c r="Y4946" s="4"/>
    </row>
    <row r="4947" spans="20:25" x14ac:dyDescent="0.25">
      <c r="T4947" s="10"/>
      <c r="U4947" s="4"/>
      <c r="V4947" s="4"/>
      <c r="X4947" s="4"/>
      <c r="Y4947" s="4"/>
    </row>
    <row r="4948" spans="20:25" x14ac:dyDescent="0.25">
      <c r="T4948" s="10"/>
      <c r="U4948" s="4"/>
      <c r="V4948" s="4"/>
      <c r="X4948" s="4"/>
      <c r="Y4948" s="4"/>
    </row>
    <row r="4949" spans="20:25" x14ac:dyDescent="0.25">
      <c r="T4949" s="10"/>
      <c r="U4949" s="4"/>
      <c r="V4949" s="4"/>
      <c r="X4949" s="4"/>
      <c r="Y4949" s="4"/>
    </row>
    <row r="4950" spans="20:25" x14ac:dyDescent="0.25">
      <c r="T4950" s="10"/>
      <c r="U4950" s="4"/>
      <c r="V4950" s="4"/>
      <c r="X4950" s="4"/>
      <c r="Y4950" s="4"/>
    </row>
    <row r="4951" spans="20:25" x14ac:dyDescent="0.25">
      <c r="T4951" s="10"/>
      <c r="U4951" s="4"/>
      <c r="V4951" s="4"/>
      <c r="X4951" s="4"/>
      <c r="Y4951" s="4"/>
    </row>
    <row r="4952" spans="20:25" x14ac:dyDescent="0.25">
      <c r="T4952" s="10"/>
      <c r="U4952" s="4"/>
      <c r="V4952" s="4"/>
      <c r="X4952" s="4"/>
      <c r="Y4952" s="4"/>
    </row>
    <row r="4953" spans="20:25" x14ac:dyDescent="0.25">
      <c r="T4953" s="10"/>
      <c r="U4953" s="4"/>
      <c r="V4953" s="4"/>
      <c r="X4953" s="4"/>
      <c r="Y4953" s="4"/>
    </row>
    <row r="4954" spans="20:25" x14ac:dyDescent="0.25">
      <c r="T4954" s="10"/>
      <c r="U4954" s="4"/>
      <c r="V4954" s="4"/>
      <c r="X4954" s="4"/>
      <c r="Y4954" s="4"/>
    </row>
    <row r="4955" spans="20:25" x14ac:dyDescent="0.25">
      <c r="T4955" s="10"/>
      <c r="U4955" s="4"/>
      <c r="V4955" s="4"/>
      <c r="X4955" s="4"/>
      <c r="Y4955" s="4"/>
    </row>
    <row r="4956" spans="20:25" x14ac:dyDescent="0.25">
      <c r="T4956" s="10"/>
      <c r="U4956" s="4"/>
      <c r="V4956" s="4"/>
      <c r="X4956" s="4"/>
      <c r="Y4956" s="4"/>
    </row>
    <row r="4957" spans="20:25" x14ac:dyDescent="0.25">
      <c r="T4957" s="10"/>
      <c r="U4957" s="4"/>
      <c r="V4957" s="4"/>
      <c r="X4957" s="4"/>
      <c r="Y4957" s="4"/>
    </row>
    <row r="4958" spans="20:25" x14ac:dyDescent="0.25">
      <c r="T4958" s="10"/>
      <c r="U4958" s="4"/>
      <c r="V4958" s="4"/>
      <c r="X4958" s="4"/>
      <c r="Y4958" s="4"/>
    </row>
    <row r="4959" spans="20:25" x14ac:dyDescent="0.25">
      <c r="T4959" s="10"/>
      <c r="U4959" s="4"/>
      <c r="V4959" s="4"/>
      <c r="X4959" s="4"/>
      <c r="Y4959" s="4"/>
    </row>
    <row r="4960" spans="20:25" x14ac:dyDescent="0.25">
      <c r="T4960" s="10"/>
      <c r="U4960" s="4"/>
      <c r="V4960" s="4"/>
      <c r="X4960" s="4"/>
      <c r="Y4960" s="4"/>
    </row>
    <row r="4961" spans="20:25" x14ac:dyDescent="0.25">
      <c r="T4961" s="10"/>
      <c r="U4961" s="4"/>
      <c r="V4961" s="4"/>
      <c r="X4961" s="4"/>
      <c r="Y4961" s="4"/>
    </row>
    <row r="4962" spans="20:25" x14ac:dyDescent="0.25">
      <c r="T4962" s="10"/>
      <c r="U4962" s="4"/>
      <c r="V4962" s="4"/>
      <c r="X4962" s="4"/>
      <c r="Y4962" s="4"/>
    </row>
    <row r="4963" spans="20:25" x14ac:dyDescent="0.25">
      <c r="T4963" s="10"/>
      <c r="U4963" s="4"/>
      <c r="V4963" s="4"/>
      <c r="X4963" s="4"/>
      <c r="Y4963" s="4"/>
    </row>
    <row r="4964" spans="20:25" x14ac:dyDescent="0.25">
      <c r="T4964" s="10"/>
      <c r="U4964" s="4"/>
      <c r="V4964" s="4"/>
      <c r="X4964" s="4"/>
      <c r="Y4964" s="4"/>
    </row>
    <row r="4965" spans="20:25" x14ac:dyDescent="0.25">
      <c r="T4965" s="10"/>
      <c r="U4965" s="4"/>
      <c r="V4965" s="4"/>
      <c r="X4965" s="4"/>
      <c r="Y4965" s="4"/>
    </row>
    <row r="4966" spans="20:25" x14ac:dyDescent="0.25">
      <c r="T4966" s="10"/>
      <c r="U4966" s="4"/>
      <c r="V4966" s="4"/>
      <c r="X4966" s="4"/>
      <c r="Y4966" s="4"/>
    </row>
    <row r="4967" spans="20:25" x14ac:dyDescent="0.25">
      <c r="T4967" s="10"/>
      <c r="U4967" s="4"/>
      <c r="V4967" s="4"/>
      <c r="X4967" s="4"/>
      <c r="Y4967" s="4"/>
    </row>
    <row r="4968" spans="20:25" x14ac:dyDescent="0.25">
      <c r="T4968" s="10"/>
      <c r="U4968" s="4"/>
      <c r="V4968" s="4"/>
      <c r="X4968" s="4"/>
      <c r="Y4968" s="4"/>
    </row>
    <row r="4969" spans="20:25" x14ac:dyDescent="0.25">
      <c r="T4969" s="10"/>
      <c r="U4969" s="4"/>
      <c r="V4969" s="4"/>
      <c r="X4969" s="4"/>
      <c r="Y4969" s="4"/>
    </row>
    <row r="4970" spans="20:25" x14ac:dyDescent="0.25">
      <c r="T4970" s="10"/>
      <c r="U4970" s="4"/>
      <c r="V4970" s="4"/>
      <c r="X4970" s="4"/>
      <c r="Y4970" s="4"/>
    </row>
    <row r="4971" spans="20:25" x14ac:dyDescent="0.25">
      <c r="T4971" s="10"/>
      <c r="U4971" s="4"/>
      <c r="V4971" s="4"/>
      <c r="X4971" s="4"/>
      <c r="Y4971" s="4"/>
    </row>
    <row r="4972" spans="20:25" x14ac:dyDescent="0.25">
      <c r="T4972" s="10"/>
      <c r="U4972" s="4"/>
      <c r="V4972" s="4"/>
      <c r="X4972" s="4"/>
      <c r="Y4972" s="4"/>
    </row>
    <row r="4973" spans="20:25" x14ac:dyDescent="0.25">
      <c r="T4973" s="10"/>
      <c r="U4973" s="4"/>
      <c r="V4973" s="4"/>
      <c r="X4973" s="4"/>
      <c r="Y4973" s="4"/>
    </row>
    <row r="4974" spans="20:25" x14ac:dyDescent="0.25">
      <c r="T4974" s="10"/>
      <c r="U4974" s="4"/>
      <c r="V4974" s="4"/>
      <c r="X4974" s="4"/>
      <c r="Y4974" s="4"/>
    </row>
    <row r="4975" spans="20:25" x14ac:dyDescent="0.25">
      <c r="T4975" s="10"/>
      <c r="U4975" s="4"/>
      <c r="V4975" s="4"/>
      <c r="X4975" s="4"/>
      <c r="Y4975" s="4"/>
    </row>
    <row r="4976" spans="20:25" x14ac:dyDescent="0.25">
      <c r="T4976" s="10"/>
      <c r="U4976" s="4"/>
      <c r="V4976" s="4"/>
      <c r="X4976" s="4"/>
      <c r="Y4976" s="4"/>
    </row>
    <row r="4977" spans="20:25" x14ac:dyDescent="0.25">
      <c r="T4977" s="10"/>
      <c r="U4977" s="4"/>
      <c r="V4977" s="4"/>
      <c r="X4977" s="4"/>
      <c r="Y4977" s="4"/>
    </row>
    <row r="4978" spans="20:25" x14ac:dyDescent="0.25">
      <c r="T4978" s="10"/>
      <c r="U4978" s="4"/>
      <c r="V4978" s="4"/>
      <c r="X4978" s="4"/>
      <c r="Y4978" s="4"/>
    </row>
    <row r="4979" spans="20:25" x14ac:dyDescent="0.25">
      <c r="T4979" s="10"/>
      <c r="U4979" s="4"/>
      <c r="V4979" s="4"/>
      <c r="X4979" s="4"/>
      <c r="Y4979" s="4"/>
    </row>
    <row r="4980" spans="20:25" x14ac:dyDescent="0.25">
      <c r="T4980" s="10"/>
      <c r="U4980" s="4"/>
      <c r="V4980" s="4"/>
      <c r="X4980" s="4"/>
      <c r="Y4980" s="4"/>
    </row>
    <row r="4981" spans="20:25" x14ac:dyDescent="0.25">
      <c r="T4981" s="10"/>
      <c r="U4981" s="4"/>
      <c r="V4981" s="4"/>
      <c r="X4981" s="4"/>
      <c r="Y4981" s="4"/>
    </row>
    <row r="4982" spans="20:25" x14ac:dyDescent="0.25">
      <c r="T4982" s="10"/>
      <c r="U4982" s="4"/>
      <c r="V4982" s="4"/>
      <c r="X4982" s="4"/>
      <c r="Y4982" s="4"/>
    </row>
    <row r="4983" spans="20:25" x14ac:dyDescent="0.25">
      <c r="T4983" s="10"/>
      <c r="U4983" s="4"/>
      <c r="V4983" s="4"/>
      <c r="X4983" s="4"/>
      <c r="Y4983" s="4"/>
    </row>
    <row r="4984" spans="20:25" x14ac:dyDescent="0.25">
      <c r="T4984" s="10"/>
      <c r="U4984" s="4"/>
      <c r="V4984" s="4"/>
      <c r="X4984" s="4"/>
      <c r="Y4984" s="4"/>
    </row>
    <row r="4985" spans="20:25" x14ac:dyDescent="0.25">
      <c r="T4985" s="10"/>
      <c r="U4985" s="4"/>
      <c r="V4985" s="4"/>
      <c r="X4985" s="4"/>
      <c r="Y4985" s="4"/>
    </row>
    <row r="4986" spans="20:25" x14ac:dyDescent="0.25">
      <c r="T4986" s="10"/>
      <c r="U4986" s="4"/>
      <c r="V4986" s="4"/>
      <c r="X4986" s="4"/>
      <c r="Y4986" s="4"/>
    </row>
    <row r="4987" spans="20:25" x14ac:dyDescent="0.25">
      <c r="T4987" s="10"/>
      <c r="U4987" s="4"/>
      <c r="V4987" s="4"/>
      <c r="X4987" s="4"/>
      <c r="Y4987" s="4"/>
    </row>
    <row r="4988" spans="20:25" x14ac:dyDescent="0.25">
      <c r="T4988" s="10"/>
      <c r="U4988" s="4"/>
      <c r="V4988" s="4"/>
      <c r="X4988" s="4"/>
      <c r="Y4988" s="4"/>
    </row>
    <row r="4989" spans="20:25" x14ac:dyDescent="0.25">
      <c r="T4989" s="10"/>
      <c r="U4989" s="4"/>
      <c r="V4989" s="4"/>
      <c r="X4989" s="4"/>
      <c r="Y4989" s="4"/>
    </row>
    <row r="4990" spans="20:25" x14ac:dyDescent="0.25">
      <c r="T4990" s="10"/>
      <c r="U4990" s="4"/>
      <c r="V4990" s="4"/>
      <c r="X4990" s="4"/>
      <c r="Y4990" s="4"/>
    </row>
    <row r="4991" spans="20:25" x14ac:dyDescent="0.25">
      <c r="T4991" s="10"/>
      <c r="U4991" s="4"/>
      <c r="V4991" s="4"/>
      <c r="X4991" s="4"/>
      <c r="Y4991" s="4"/>
    </row>
    <row r="4992" spans="20:25" x14ac:dyDescent="0.25">
      <c r="T4992" s="10"/>
      <c r="U4992" s="4"/>
      <c r="V4992" s="4"/>
      <c r="X4992" s="4"/>
      <c r="Y4992" s="4"/>
    </row>
    <row r="4993" spans="20:25" x14ac:dyDescent="0.25">
      <c r="T4993" s="10"/>
      <c r="U4993" s="4"/>
      <c r="V4993" s="4"/>
      <c r="X4993" s="4"/>
      <c r="Y4993" s="4"/>
    </row>
    <row r="4994" spans="20:25" x14ac:dyDescent="0.25">
      <c r="T4994" s="10"/>
      <c r="U4994" s="4"/>
      <c r="V4994" s="4"/>
      <c r="X4994" s="4"/>
      <c r="Y4994" s="4"/>
    </row>
    <row r="4995" spans="20:25" x14ac:dyDescent="0.25">
      <c r="T4995" s="10"/>
      <c r="U4995" s="4"/>
      <c r="V4995" s="4"/>
      <c r="X4995" s="4"/>
      <c r="Y4995" s="4"/>
    </row>
    <row r="4996" spans="20:25" x14ac:dyDescent="0.25">
      <c r="T4996" s="10"/>
      <c r="U4996" s="4"/>
      <c r="V4996" s="4"/>
      <c r="X4996" s="4"/>
      <c r="Y4996" s="4"/>
    </row>
    <row r="4997" spans="20:25" x14ac:dyDescent="0.25">
      <c r="T4997" s="10"/>
      <c r="U4997" s="4"/>
      <c r="V4997" s="4"/>
      <c r="X4997" s="4"/>
      <c r="Y4997" s="4"/>
    </row>
    <row r="4998" spans="20:25" x14ac:dyDescent="0.25">
      <c r="T4998" s="10"/>
      <c r="U4998" s="4"/>
      <c r="V4998" s="4"/>
      <c r="X4998" s="4"/>
      <c r="Y4998" s="4"/>
    </row>
    <row r="4999" spans="20:25" x14ac:dyDescent="0.25">
      <c r="T4999" s="10"/>
      <c r="U4999" s="4"/>
      <c r="V4999" s="4"/>
      <c r="X4999" s="4"/>
      <c r="Y4999" s="4"/>
    </row>
    <row r="5000" spans="20:25" x14ac:dyDescent="0.25">
      <c r="T5000" s="10"/>
      <c r="U5000" s="4"/>
      <c r="V5000" s="4"/>
      <c r="X5000" s="4"/>
      <c r="Y5000" s="4"/>
    </row>
    <row r="5001" spans="20:25" x14ac:dyDescent="0.25">
      <c r="T5001" s="10"/>
      <c r="U5001" s="4"/>
      <c r="V5001" s="4"/>
      <c r="X5001" s="4"/>
      <c r="Y5001" s="4"/>
    </row>
    <row r="5002" spans="20:25" x14ac:dyDescent="0.25">
      <c r="T5002" s="10"/>
      <c r="U5002" s="4"/>
      <c r="V5002" s="4"/>
      <c r="X5002" s="4"/>
      <c r="Y5002" s="4"/>
    </row>
    <row r="5003" spans="20:25" x14ac:dyDescent="0.25">
      <c r="T5003" s="10"/>
      <c r="U5003" s="4"/>
      <c r="V5003" s="4"/>
      <c r="X5003" s="4"/>
      <c r="Y5003" s="4"/>
    </row>
    <row r="5004" spans="20:25" x14ac:dyDescent="0.25">
      <c r="T5004" s="10"/>
      <c r="U5004" s="4"/>
      <c r="V5004" s="4"/>
      <c r="X5004" s="4"/>
      <c r="Y5004" s="4"/>
    </row>
    <row r="5005" spans="20:25" x14ac:dyDescent="0.25">
      <c r="T5005" s="10"/>
      <c r="U5005" s="4"/>
      <c r="V5005" s="4"/>
      <c r="X5005" s="4"/>
      <c r="Y5005" s="4"/>
    </row>
    <row r="5006" spans="20:25" x14ac:dyDescent="0.25">
      <c r="T5006" s="10"/>
      <c r="U5006" s="4"/>
      <c r="V5006" s="4"/>
      <c r="X5006" s="4"/>
      <c r="Y5006" s="4"/>
    </row>
    <row r="5007" spans="20:25" x14ac:dyDescent="0.25">
      <c r="T5007" s="10"/>
      <c r="U5007" s="4"/>
      <c r="V5007" s="4"/>
      <c r="X5007" s="4"/>
      <c r="Y5007" s="4"/>
    </row>
    <row r="5008" spans="20:25" x14ac:dyDescent="0.25">
      <c r="T5008" s="10"/>
      <c r="U5008" s="4"/>
      <c r="V5008" s="4"/>
      <c r="X5008" s="4"/>
      <c r="Y5008" s="4"/>
    </row>
    <row r="5009" spans="20:25" x14ac:dyDescent="0.25">
      <c r="T5009" s="10"/>
      <c r="U5009" s="4"/>
      <c r="V5009" s="4"/>
      <c r="X5009" s="4"/>
      <c r="Y5009" s="4"/>
    </row>
    <row r="5010" spans="20:25" x14ac:dyDescent="0.25">
      <c r="T5010" s="10"/>
      <c r="U5010" s="4"/>
      <c r="V5010" s="4"/>
      <c r="X5010" s="4"/>
      <c r="Y5010" s="4"/>
    </row>
    <row r="5011" spans="20:25" x14ac:dyDescent="0.25">
      <c r="T5011" s="10"/>
      <c r="U5011" s="4"/>
      <c r="V5011" s="4"/>
      <c r="X5011" s="4"/>
      <c r="Y5011" s="4"/>
    </row>
    <row r="5012" spans="20:25" x14ac:dyDescent="0.25">
      <c r="T5012" s="10"/>
      <c r="U5012" s="4"/>
      <c r="V5012" s="4"/>
      <c r="X5012" s="4"/>
      <c r="Y5012" s="4"/>
    </row>
    <row r="5013" spans="20:25" x14ac:dyDescent="0.25">
      <c r="T5013" s="10"/>
      <c r="U5013" s="4"/>
      <c r="V5013" s="4"/>
      <c r="X5013" s="4"/>
      <c r="Y5013" s="4"/>
    </row>
    <row r="5014" spans="20:25" x14ac:dyDescent="0.25">
      <c r="T5014" s="10"/>
      <c r="U5014" s="4"/>
      <c r="V5014" s="4"/>
      <c r="X5014" s="4"/>
      <c r="Y5014" s="4"/>
    </row>
    <row r="5015" spans="20:25" x14ac:dyDescent="0.25">
      <c r="T5015" s="10"/>
      <c r="U5015" s="4"/>
      <c r="V5015" s="4"/>
      <c r="X5015" s="4"/>
      <c r="Y5015" s="4"/>
    </row>
    <row r="5016" spans="20:25" x14ac:dyDescent="0.25">
      <c r="T5016" s="10"/>
      <c r="U5016" s="4"/>
      <c r="V5016" s="4"/>
      <c r="X5016" s="4"/>
      <c r="Y5016" s="4"/>
    </row>
    <row r="5017" spans="20:25" x14ac:dyDescent="0.25">
      <c r="T5017" s="10"/>
      <c r="U5017" s="4"/>
      <c r="V5017" s="4"/>
      <c r="X5017" s="4"/>
      <c r="Y5017" s="4"/>
    </row>
    <row r="5018" spans="20:25" x14ac:dyDescent="0.25">
      <c r="T5018" s="10"/>
      <c r="U5018" s="4"/>
      <c r="V5018" s="4"/>
      <c r="X5018" s="4"/>
      <c r="Y5018" s="4"/>
    </row>
    <row r="5019" spans="20:25" x14ac:dyDescent="0.25">
      <c r="T5019" s="10"/>
      <c r="U5019" s="4"/>
      <c r="V5019" s="4"/>
      <c r="X5019" s="4"/>
      <c r="Y5019" s="4"/>
    </row>
    <row r="5020" spans="20:25" x14ac:dyDescent="0.25">
      <c r="T5020" s="10"/>
      <c r="U5020" s="4"/>
      <c r="V5020" s="4"/>
      <c r="X5020" s="4"/>
      <c r="Y5020" s="4"/>
    </row>
    <row r="5021" spans="20:25" x14ac:dyDescent="0.25">
      <c r="T5021" s="10"/>
      <c r="U5021" s="4"/>
      <c r="V5021" s="4"/>
      <c r="X5021" s="4"/>
      <c r="Y5021" s="4"/>
    </row>
    <row r="5022" spans="20:25" x14ac:dyDescent="0.25">
      <c r="T5022" s="10"/>
      <c r="U5022" s="4"/>
      <c r="V5022" s="4"/>
      <c r="X5022" s="4"/>
      <c r="Y5022" s="4"/>
    </row>
    <row r="5023" spans="20:25" x14ac:dyDescent="0.25">
      <c r="T5023" s="10"/>
      <c r="U5023" s="4"/>
      <c r="V5023" s="4"/>
      <c r="X5023" s="4"/>
      <c r="Y5023" s="4"/>
    </row>
    <row r="5024" spans="20:25" x14ac:dyDescent="0.25">
      <c r="T5024" s="10"/>
      <c r="U5024" s="4"/>
      <c r="V5024" s="4"/>
      <c r="X5024" s="4"/>
      <c r="Y5024" s="4"/>
    </row>
    <row r="5025" spans="20:25" x14ac:dyDescent="0.25">
      <c r="T5025" s="10"/>
      <c r="U5025" s="4"/>
      <c r="V5025" s="4"/>
      <c r="X5025" s="4"/>
      <c r="Y5025" s="4"/>
    </row>
    <row r="5026" spans="20:25" x14ac:dyDescent="0.25">
      <c r="T5026" s="10"/>
      <c r="U5026" s="4"/>
      <c r="V5026" s="4"/>
      <c r="X5026" s="4"/>
      <c r="Y5026" s="4"/>
    </row>
    <row r="5027" spans="20:25" x14ac:dyDescent="0.25">
      <c r="T5027" s="10"/>
      <c r="U5027" s="4"/>
      <c r="V5027" s="4"/>
      <c r="X5027" s="4"/>
      <c r="Y5027" s="4"/>
    </row>
    <row r="5028" spans="20:25" x14ac:dyDescent="0.25">
      <c r="T5028" s="10"/>
      <c r="U5028" s="4"/>
      <c r="V5028" s="4"/>
      <c r="X5028" s="4"/>
      <c r="Y5028" s="4"/>
    </row>
    <row r="5029" spans="20:25" x14ac:dyDescent="0.25">
      <c r="T5029" s="10"/>
      <c r="U5029" s="4"/>
      <c r="V5029" s="4"/>
      <c r="X5029" s="4"/>
      <c r="Y5029" s="4"/>
    </row>
    <row r="5030" spans="20:25" x14ac:dyDescent="0.25">
      <c r="T5030" s="10"/>
      <c r="U5030" s="4"/>
      <c r="V5030" s="4"/>
      <c r="X5030" s="4"/>
      <c r="Y5030" s="4"/>
    </row>
    <row r="5031" spans="20:25" x14ac:dyDescent="0.25">
      <c r="T5031" s="10"/>
      <c r="U5031" s="4"/>
      <c r="V5031" s="4"/>
      <c r="X5031" s="4"/>
      <c r="Y5031" s="4"/>
    </row>
    <row r="5032" spans="20:25" x14ac:dyDescent="0.25">
      <c r="T5032" s="10"/>
      <c r="U5032" s="4"/>
      <c r="V5032" s="4"/>
      <c r="X5032" s="4"/>
      <c r="Y5032" s="4"/>
    </row>
    <row r="5033" spans="20:25" x14ac:dyDescent="0.25">
      <c r="T5033" s="10"/>
      <c r="U5033" s="4"/>
      <c r="V5033" s="4"/>
      <c r="X5033" s="4"/>
      <c r="Y5033" s="4"/>
    </row>
    <row r="5034" spans="20:25" x14ac:dyDescent="0.25">
      <c r="T5034" s="10"/>
      <c r="U5034" s="4"/>
      <c r="V5034" s="4"/>
      <c r="X5034" s="4"/>
      <c r="Y5034" s="4"/>
    </row>
    <row r="5035" spans="20:25" x14ac:dyDescent="0.25">
      <c r="T5035" s="10"/>
      <c r="U5035" s="4"/>
      <c r="V5035" s="4"/>
      <c r="X5035" s="4"/>
      <c r="Y5035" s="4"/>
    </row>
    <row r="5036" spans="20:25" x14ac:dyDescent="0.25">
      <c r="T5036" s="10"/>
      <c r="U5036" s="4"/>
      <c r="V5036" s="4"/>
      <c r="X5036" s="4"/>
      <c r="Y5036" s="4"/>
    </row>
    <row r="5037" spans="20:25" x14ac:dyDescent="0.25">
      <c r="T5037" s="10"/>
      <c r="U5037" s="4"/>
      <c r="V5037" s="4"/>
      <c r="X5037" s="4"/>
      <c r="Y5037" s="4"/>
    </row>
    <row r="5038" spans="20:25" x14ac:dyDescent="0.25">
      <c r="T5038" s="10"/>
      <c r="U5038" s="4"/>
      <c r="V5038" s="4"/>
      <c r="X5038" s="4"/>
      <c r="Y5038" s="4"/>
    </row>
    <row r="5039" spans="20:25" x14ac:dyDescent="0.25">
      <c r="T5039" s="10"/>
      <c r="U5039" s="4"/>
      <c r="V5039" s="4"/>
      <c r="X5039" s="4"/>
      <c r="Y5039" s="4"/>
    </row>
    <row r="5040" spans="20:25" x14ac:dyDescent="0.25">
      <c r="T5040" s="10"/>
      <c r="U5040" s="4"/>
      <c r="V5040" s="4"/>
      <c r="X5040" s="4"/>
      <c r="Y5040" s="4"/>
    </row>
    <row r="5041" spans="20:25" x14ac:dyDescent="0.25">
      <c r="T5041" s="10"/>
      <c r="U5041" s="4"/>
      <c r="V5041" s="4"/>
      <c r="X5041" s="4"/>
      <c r="Y5041" s="4"/>
    </row>
    <row r="5042" spans="20:25" x14ac:dyDescent="0.25">
      <c r="T5042" s="10"/>
      <c r="U5042" s="4"/>
      <c r="V5042" s="4"/>
      <c r="X5042" s="4"/>
      <c r="Y5042" s="4"/>
    </row>
    <row r="5043" spans="20:25" x14ac:dyDescent="0.25">
      <c r="T5043" s="10"/>
      <c r="U5043" s="4"/>
      <c r="V5043" s="4"/>
      <c r="X5043" s="4"/>
      <c r="Y5043" s="4"/>
    </row>
    <row r="5044" spans="20:25" x14ac:dyDescent="0.25">
      <c r="T5044" s="10"/>
      <c r="U5044" s="4"/>
      <c r="V5044" s="4"/>
      <c r="X5044" s="4"/>
      <c r="Y5044" s="4"/>
    </row>
    <row r="5045" spans="20:25" x14ac:dyDescent="0.25">
      <c r="T5045" s="10"/>
      <c r="U5045" s="4"/>
      <c r="V5045" s="4"/>
      <c r="X5045" s="4"/>
      <c r="Y5045" s="4"/>
    </row>
    <row r="5046" spans="20:25" x14ac:dyDescent="0.25">
      <c r="T5046" s="10"/>
      <c r="U5046" s="4"/>
      <c r="V5046" s="4"/>
      <c r="X5046" s="4"/>
      <c r="Y5046" s="4"/>
    </row>
    <row r="5047" spans="20:25" x14ac:dyDescent="0.25">
      <c r="T5047" s="10"/>
      <c r="U5047" s="4"/>
      <c r="V5047" s="4"/>
      <c r="X5047" s="4"/>
      <c r="Y5047" s="4"/>
    </row>
    <row r="5048" spans="20:25" x14ac:dyDescent="0.25">
      <c r="T5048" s="10"/>
      <c r="U5048" s="4"/>
      <c r="V5048" s="4"/>
      <c r="X5048" s="4"/>
      <c r="Y5048" s="4"/>
    </row>
    <row r="5049" spans="20:25" x14ac:dyDescent="0.25">
      <c r="T5049" s="10"/>
      <c r="U5049" s="4"/>
      <c r="V5049" s="4"/>
      <c r="X5049" s="4"/>
      <c r="Y5049" s="4"/>
    </row>
    <row r="5050" spans="20:25" x14ac:dyDescent="0.25">
      <c r="T5050" s="10"/>
      <c r="U5050" s="4"/>
      <c r="V5050" s="4"/>
      <c r="X5050" s="4"/>
      <c r="Y5050" s="4"/>
    </row>
    <row r="5051" spans="20:25" x14ac:dyDescent="0.25">
      <c r="T5051" s="10"/>
      <c r="U5051" s="4"/>
      <c r="V5051" s="4"/>
      <c r="X5051" s="4"/>
      <c r="Y5051" s="4"/>
    </row>
    <row r="5052" spans="20:25" x14ac:dyDescent="0.25">
      <c r="T5052" s="10"/>
      <c r="U5052" s="4"/>
      <c r="V5052" s="4"/>
      <c r="X5052" s="4"/>
      <c r="Y5052" s="4"/>
    </row>
    <row r="5053" spans="20:25" x14ac:dyDescent="0.25">
      <c r="T5053" s="10"/>
      <c r="U5053" s="4"/>
      <c r="V5053" s="4"/>
      <c r="X5053" s="4"/>
      <c r="Y5053" s="4"/>
    </row>
    <row r="5054" spans="20:25" x14ac:dyDescent="0.25">
      <c r="T5054" s="10"/>
      <c r="U5054" s="4"/>
      <c r="V5054" s="4"/>
      <c r="X5054" s="4"/>
      <c r="Y5054" s="4"/>
    </row>
    <row r="5055" spans="20:25" x14ac:dyDescent="0.25">
      <c r="T5055" s="10"/>
      <c r="U5055" s="4"/>
      <c r="V5055" s="4"/>
      <c r="X5055" s="4"/>
      <c r="Y5055" s="4"/>
    </row>
    <row r="5056" spans="20:25" x14ac:dyDescent="0.25">
      <c r="T5056" s="10"/>
      <c r="U5056" s="4"/>
      <c r="V5056" s="4"/>
      <c r="X5056" s="4"/>
      <c r="Y5056" s="4"/>
    </row>
    <row r="5057" spans="20:25" x14ac:dyDescent="0.25">
      <c r="T5057" s="10"/>
      <c r="U5057" s="4"/>
      <c r="V5057" s="4"/>
      <c r="X5057" s="4"/>
      <c r="Y5057" s="4"/>
    </row>
    <row r="5058" spans="20:25" x14ac:dyDescent="0.25">
      <c r="T5058" s="10"/>
      <c r="U5058" s="4"/>
      <c r="V5058" s="4"/>
      <c r="X5058" s="4"/>
      <c r="Y5058" s="4"/>
    </row>
    <row r="5059" spans="20:25" x14ac:dyDescent="0.25">
      <c r="T5059" s="10"/>
      <c r="U5059" s="4"/>
      <c r="V5059" s="4"/>
      <c r="X5059" s="4"/>
      <c r="Y5059" s="4"/>
    </row>
    <row r="5060" spans="20:25" x14ac:dyDescent="0.25">
      <c r="T5060" s="10"/>
      <c r="U5060" s="4"/>
      <c r="V5060" s="4"/>
      <c r="X5060" s="4"/>
      <c r="Y5060" s="4"/>
    </row>
    <row r="5061" spans="20:25" x14ac:dyDescent="0.25">
      <c r="T5061" s="10"/>
      <c r="U5061" s="4"/>
      <c r="V5061" s="4"/>
      <c r="X5061" s="4"/>
      <c r="Y5061" s="4"/>
    </row>
    <row r="5062" spans="20:25" x14ac:dyDescent="0.25">
      <c r="T5062" s="10"/>
      <c r="U5062" s="4"/>
      <c r="V5062" s="4"/>
      <c r="X5062" s="4"/>
      <c r="Y5062" s="4"/>
    </row>
    <row r="5063" spans="20:25" x14ac:dyDescent="0.25">
      <c r="T5063" s="10"/>
      <c r="U5063" s="4"/>
      <c r="V5063" s="4"/>
      <c r="X5063" s="4"/>
      <c r="Y5063" s="4"/>
    </row>
    <row r="5064" spans="20:25" x14ac:dyDescent="0.25">
      <c r="T5064" s="10"/>
      <c r="U5064" s="4"/>
      <c r="V5064" s="4"/>
      <c r="X5064" s="4"/>
      <c r="Y5064" s="4"/>
    </row>
    <row r="5065" spans="20:25" x14ac:dyDescent="0.25">
      <c r="T5065" s="10"/>
      <c r="U5065" s="4"/>
      <c r="V5065" s="4"/>
      <c r="X5065" s="4"/>
      <c r="Y5065" s="4"/>
    </row>
    <row r="5066" spans="20:25" x14ac:dyDescent="0.25">
      <c r="T5066" s="10"/>
      <c r="U5066" s="4"/>
      <c r="V5066" s="4"/>
      <c r="X5066" s="4"/>
      <c r="Y5066" s="4"/>
    </row>
    <row r="5067" spans="20:25" x14ac:dyDescent="0.25">
      <c r="T5067" s="10"/>
      <c r="U5067" s="4"/>
      <c r="V5067" s="4"/>
      <c r="X5067" s="4"/>
      <c r="Y5067" s="4"/>
    </row>
    <row r="5068" spans="20:25" x14ac:dyDescent="0.25">
      <c r="T5068" s="10"/>
      <c r="U5068" s="4"/>
      <c r="V5068" s="4"/>
      <c r="X5068" s="4"/>
      <c r="Y5068" s="4"/>
    </row>
    <row r="5069" spans="20:25" x14ac:dyDescent="0.25">
      <c r="T5069" s="10"/>
      <c r="U5069" s="4"/>
      <c r="V5069" s="4"/>
      <c r="X5069" s="4"/>
      <c r="Y5069" s="4"/>
    </row>
    <row r="5070" spans="20:25" x14ac:dyDescent="0.25">
      <c r="T5070" s="10"/>
      <c r="U5070" s="4"/>
      <c r="V5070" s="4"/>
      <c r="X5070" s="4"/>
      <c r="Y5070" s="4"/>
    </row>
    <row r="5071" spans="20:25" x14ac:dyDescent="0.25">
      <c r="T5071" s="10"/>
      <c r="U5071" s="4"/>
      <c r="V5071" s="4"/>
      <c r="X5071" s="4"/>
      <c r="Y5071" s="4"/>
    </row>
    <row r="5072" spans="20:25" x14ac:dyDescent="0.25">
      <c r="T5072" s="10"/>
      <c r="U5072" s="4"/>
      <c r="V5072" s="4"/>
      <c r="X5072" s="4"/>
      <c r="Y5072" s="4"/>
    </row>
    <row r="5073" spans="20:25" x14ac:dyDescent="0.25">
      <c r="T5073" s="10"/>
      <c r="U5073" s="4"/>
      <c r="V5073" s="4"/>
      <c r="X5073" s="4"/>
      <c r="Y5073" s="4"/>
    </row>
    <row r="5074" spans="20:25" x14ac:dyDescent="0.25">
      <c r="T5074" s="10"/>
      <c r="U5074" s="4"/>
      <c r="V5074" s="4"/>
      <c r="X5074" s="4"/>
      <c r="Y5074" s="4"/>
    </row>
    <row r="5075" spans="20:25" x14ac:dyDescent="0.25">
      <c r="T5075" s="10"/>
      <c r="U5075" s="4"/>
      <c r="V5075" s="4"/>
      <c r="X5075" s="4"/>
      <c r="Y5075" s="4"/>
    </row>
    <row r="5076" spans="20:25" x14ac:dyDescent="0.25">
      <c r="T5076" s="10"/>
      <c r="U5076" s="4"/>
      <c r="V5076" s="4"/>
      <c r="X5076" s="4"/>
      <c r="Y5076" s="4"/>
    </row>
    <row r="5077" spans="20:25" x14ac:dyDescent="0.25">
      <c r="T5077" s="10"/>
      <c r="U5077" s="4"/>
      <c r="V5077" s="4"/>
      <c r="X5077" s="4"/>
      <c r="Y5077" s="4"/>
    </row>
    <row r="5078" spans="20:25" x14ac:dyDescent="0.25">
      <c r="T5078" s="10"/>
      <c r="U5078" s="4"/>
      <c r="V5078" s="4"/>
      <c r="X5078" s="4"/>
      <c r="Y5078" s="4"/>
    </row>
    <row r="5079" spans="20:25" x14ac:dyDescent="0.25">
      <c r="T5079" s="10"/>
      <c r="U5079" s="4"/>
      <c r="V5079" s="4"/>
      <c r="X5079" s="4"/>
      <c r="Y5079" s="4"/>
    </row>
    <row r="5080" spans="20:25" x14ac:dyDescent="0.25">
      <c r="T5080" s="10"/>
      <c r="U5080" s="4"/>
      <c r="V5080" s="4"/>
      <c r="X5080" s="4"/>
      <c r="Y5080" s="4"/>
    </row>
    <row r="5081" spans="20:25" x14ac:dyDescent="0.25">
      <c r="T5081" s="10"/>
      <c r="U5081" s="4"/>
      <c r="V5081" s="4"/>
      <c r="X5081" s="4"/>
      <c r="Y5081" s="4"/>
    </row>
    <row r="5082" spans="20:25" x14ac:dyDescent="0.25">
      <c r="T5082" s="10"/>
      <c r="U5082" s="4"/>
      <c r="V5082" s="4"/>
      <c r="X5082" s="4"/>
      <c r="Y5082" s="4"/>
    </row>
    <row r="5083" spans="20:25" x14ac:dyDescent="0.25">
      <c r="T5083" s="10"/>
      <c r="U5083" s="4"/>
      <c r="V5083" s="4"/>
      <c r="X5083" s="4"/>
      <c r="Y5083" s="4"/>
    </row>
    <row r="5084" spans="20:25" x14ac:dyDescent="0.25">
      <c r="T5084" s="10"/>
      <c r="U5084" s="4"/>
      <c r="V5084" s="4"/>
      <c r="X5084" s="4"/>
      <c r="Y5084" s="4"/>
    </row>
    <row r="5085" spans="20:25" x14ac:dyDescent="0.25">
      <c r="T5085" s="10"/>
      <c r="U5085" s="4"/>
      <c r="V5085" s="4"/>
      <c r="X5085" s="4"/>
      <c r="Y5085" s="4"/>
    </row>
    <row r="5086" spans="20:25" x14ac:dyDescent="0.25">
      <c r="T5086" s="10"/>
      <c r="U5086" s="4"/>
      <c r="V5086" s="4"/>
      <c r="X5086" s="4"/>
      <c r="Y5086" s="4"/>
    </row>
    <row r="5087" spans="20:25" x14ac:dyDescent="0.25">
      <c r="T5087" s="10"/>
      <c r="U5087" s="4"/>
      <c r="V5087" s="4"/>
      <c r="X5087" s="4"/>
      <c r="Y5087" s="4"/>
    </row>
    <row r="5088" spans="20:25" x14ac:dyDescent="0.25">
      <c r="T5088" s="10"/>
      <c r="U5088" s="4"/>
      <c r="V5088" s="4"/>
      <c r="X5088" s="4"/>
      <c r="Y5088" s="4"/>
    </row>
    <row r="5089" spans="20:25" x14ac:dyDescent="0.25">
      <c r="T5089" s="10"/>
      <c r="U5089" s="4"/>
      <c r="V5089" s="4"/>
      <c r="X5089" s="4"/>
      <c r="Y5089" s="4"/>
    </row>
    <row r="5090" spans="20:25" x14ac:dyDescent="0.25">
      <c r="T5090" s="10"/>
      <c r="U5090" s="4"/>
      <c r="V5090" s="4"/>
      <c r="X5090" s="4"/>
      <c r="Y5090" s="4"/>
    </row>
    <row r="5091" spans="20:25" x14ac:dyDescent="0.25">
      <c r="T5091" s="10"/>
      <c r="U5091" s="4"/>
      <c r="V5091" s="4"/>
      <c r="X5091" s="4"/>
      <c r="Y5091" s="4"/>
    </row>
    <row r="5092" spans="20:25" x14ac:dyDescent="0.25">
      <c r="T5092" s="10"/>
      <c r="U5092" s="4"/>
      <c r="V5092" s="4"/>
      <c r="X5092" s="4"/>
      <c r="Y5092" s="4"/>
    </row>
    <row r="5093" spans="20:25" x14ac:dyDescent="0.25">
      <c r="T5093" s="10"/>
      <c r="U5093" s="4"/>
      <c r="V5093" s="4"/>
      <c r="X5093" s="4"/>
      <c r="Y5093" s="4"/>
    </row>
    <row r="5094" spans="20:25" x14ac:dyDescent="0.25">
      <c r="T5094" s="10"/>
      <c r="U5094" s="4"/>
      <c r="V5094" s="4"/>
      <c r="X5094" s="4"/>
      <c r="Y5094" s="4"/>
    </row>
    <row r="5095" spans="20:25" x14ac:dyDescent="0.25">
      <c r="T5095" s="10"/>
      <c r="U5095" s="4"/>
      <c r="V5095" s="4"/>
      <c r="X5095" s="4"/>
      <c r="Y5095" s="4"/>
    </row>
    <row r="5096" spans="20:25" x14ac:dyDescent="0.25">
      <c r="T5096" s="10"/>
      <c r="U5096" s="4"/>
      <c r="V5096" s="4"/>
      <c r="X5096" s="4"/>
      <c r="Y5096" s="4"/>
    </row>
    <row r="5097" spans="20:25" x14ac:dyDescent="0.25">
      <c r="T5097" s="10"/>
      <c r="U5097" s="4"/>
      <c r="V5097" s="4"/>
      <c r="X5097" s="4"/>
      <c r="Y5097" s="4"/>
    </row>
    <row r="5098" spans="20:25" x14ac:dyDescent="0.25">
      <c r="T5098" s="10"/>
      <c r="U5098" s="4"/>
      <c r="V5098" s="4"/>
      <c r="X5098" s="4"/>
      <c r="Y5098" s="4"/>
    </row>
    <row r="5099" spans="20:25" x14ac:dyDescent="0.25">
      <c r="T5099" s="10"/>
      <c r="U5099" s="4"/>
      <c r="V5099" s="4"/>
      <c r="X5099" s="4"/>
      <c r="Y5099" s="4"/>
    </row>
    <row r="5100" spans="20:25" x14ac:dyDescent="0.25">
      <c r="T5100" s="10"/>
      <c r="U5100" s="4"/>
      <c r="V5100" s="4"/>
      <c r="X5100" s="4"/>
      <c r="Y5100" s="4"/>
    </row>
    <row r="5101" spans="20:25" x14ac:dyDescent="0.25">
      <c r="T5101" s="10"/>
      <c r="U5101" s="4"/>
      <c r="V5101" s="4"/>
      <c r="X5101" s="4"/>
      <c r="Y5101" s="4"/>
    </row>
    <row r="5102" spans="20:25" x14ac:dyDescent="0.25">
      <c r="T5102" s="10"/>
      <c r="U5102" s="4"/>
      <c r="V5102" s="4"/>
      <c r="X5102" s="4"/>
      <c r="Y5102" s="4"/>
    </row>
    <row r="5103" spans="20:25" x14ac:dyDescent="0.25">
      <c r="T5103" s="10"/>
      <c r="U5103" s="4"/>
      <c r="V5103" s="4"/>
      <c r="X5103" s="4"/>
      <c r="Y5103" s="4"/>
    </row>
    <row r="5104" spans="20:25" x14ac:dyDescent="0.25">
      <c r="T5104" s="10"/>
      <c r="U5104" s="4"/>
      <c r="V5104" s="4"/>
      <c r="X5104" s="4"/>
      <c r="Y5104" s="4"/>
    </row>
    <row r="5105" spans="20:25" x14ac:dyDescent="0.25">
      <c r="T5105" s="10"/>
      <c r="U5105" s="4"/>
      <c r="V5105" s="4"/>
      <c r="X5105" s="4"/>
      <c r="Y5105" s="4"/>
    </row>
    <row r="5106" spans="20:25" x14ac:dyDescent="0.25">
      <c r="T5106" s="10"/>
      <c r="U5106" s="4"/>
      <c r="V5106" s="4"/>
      <c r="X5106" s="4"/>
      <c r="Y5106" s="4"/>
    </row>
    <row r="5107" spans="20:25" x14ac:dyDescent="0.25">
      <c r="T5107" s="10"/>
      <c r="U5107" s="4"/>
      <c r="V5107" s="4"/>
      <c r="X5107" s="4"/>
      <c r="Y5107" s="4"/>
    </row>
    <row r="5108" spans="20:25" x14ac:dyDescent="0.25">
      <c r="T5108" s="10"/>
      <c r="U5108" s="4"/>
      <c r="V5108" s="4"/>
      <c r="X5108" s="4"/>
      <c r="Y5108" s="4"/>
    </row>
    <row r="5109" spans="20:25" x14ac:dyDescent="0.25">
      <c r="T5109" s="10"/>
      <c r="U5109" s="4"/>
      <c r="V5109" s="4"/>
      <c r="X5109" s="4"/>
      <c r="Y5109" s="4"/>
    </row>
    <row r="5110" spans="20:25" x14ac:dyDescent="0.25">
      <c r="T5110" s="10"/>
      <c r="U5110" s="4"/>
      <c r="V5110" s="4"/>
      <c r="X5110" s="4"/>
      <c r="Y5110" s="4"/>
    </row>
    <row r="5111" spans="20:25" x14ac:dyDescent="0.25">
      <c r="T5111" s="10"/>
      <c r="U5111" s="4"/>
      <c r="V5111" s="4"/>
      <c r="X5111" s="4"/>
      <c r="Y5111" s="4"/>
    </row>
    <row r="5112" spans="20:25" x14ac:dyDescent="0.25">
      <c r="T5112" s="10"/>
      <c r="U5112" s="4"/>
      <c r="V5112" s="4"/>
      <c r="X5112" s="4"/>
      <c r="Y5112" s="4"/>
    </row>
    <row r="5113" spans="20:25" x14ac:dyDescent="0.25">
      <c r="T5113" s="10"/>
      <c r="U5113" s="4"/>
      <c r="V5113" s="4"/>
      <c r="X5113" s="4"/>
      <c r="Y5113" s="4"/>
    </row>
    <row r="5114" spans="20:25" x14ac:dyDescent="0.25">
      <c r="T5114" s="10"/>
      <c r="U5114" s="4"/>
      <c r="V5114" s="4"/>
      <c r="X5114" s="4"/>
      <c r="Y5114" s="4"/>
    </row>
    <row r="5115" spans="20:25" x14ac:dyDescent="0.25">
      <c r="T5115" s="10"/>
      <c r="U5115" s="4"/>
      <c r="V5115" s="4"/>
      <c r="X5115" s="4"/>
      <c r="Y5115" s="4"/>
    </row>
    <row r="5116" spans="20:25" x14ac:dyDescent="0.25">
      <c r="T5116" s="10"/>
      <c r="U5116" s="4"/>
      <c r="V5116" s="4"/>
      <c r="X5116" s="4"/>
      <c r="Y5116" s="4"/>
    </row>
    <row r="5117" spans="20:25" x14ac:dyDescent="0.25">
      <c r="T5117" s="10"/>
      <c r="U5117" s="4"/>
      <c r="V5117" s="4"/>
      <c r="X5117" s="4"/>
      <c r="Y5117" s="4"/>
    </row>
    <row r="5118" spans="20:25" x14ac:dyDescent="0.25">
      <c r="T5118" s="10"/>
      <c r="U5118" s="4"/>
      <c r="V5118" s="4"/>
      <c r="X5118" s="4"/>
      <c r="Y5118" s="4"/>
    </row>
    <row r="5119" spans="20:25" x14ac:dyDescent="0.25">
      <c r="T5119" s="10"/>
      <c r="U5119" s="4"/>
      <c r="V5119" s="4"/>
      <c r="X5119" s="4"/>
      <c r="Y5119" s="4"/>
    </row>
    <row r="5120" spans="20:25" x14ac:dyDescent="0.25">
      <c r="T5120" s="10"/>
      <c r="U5120" s="4"/>
      <c r="V5120" s="4"/>
      <c r="X5120" s="4"/>
      <c r="Y5120" s="4"/>
    </row>
    <row r="5121" spans="20:25" x14ac:dyDescent="0.25">
      <c r="T5121" s="10"/>
      <c r="U5121" s="4"/>
      <c r="V5121" s="4"/>
      <c r="X5121" s="4"/>
      <c r="Y5121" s="4"/>
    </row>
    <row r="5122" spans="20:25" x14ac:dyDescent="0.25">
      <c r="T5122" s="10"/>
      <c r="U5122" s="4"/>
      <c r="V5122" s="4"/>
      <c r="X5122" s="4"/>
      <c r="Y5122" s="4"/>
    </row>
    <row r="5123" spans="20:25" x14ac:dyDescent="0.25">
      <c r="T5123" s="10"/>
      <c r="U5123" s="4"/>
      <c r="V5123" s="4"/>
      <c r="X5123" s="4"/>
      <c r="Y5123" s="4"/>
    </row>
    <row r="5124" spans="20:25" x14ac:dyDescent="0.25">
      <c r="T5124" s="10"/>
      <c r="U5124" s="4"/>
      <c r="V5124" s="4"/>
      <c r="X5124" s="4"/>
      <c r="Y5124" s="4"/>
    </row>
    <row r="5125" spans="20:25" x14ac:dyDescent="0.25">
      <c r="T5125" s="10"/>
      <c r="U5125" s="4"/>
      <c r="V5125" s="4"/>
      <c r="X5125" s="4"/>
      <c r="Y5125" s="4"/>
    </row>
    <row r="5126" spans="20:25" x14ac:dyDescent="0.25">
      <c r="T5126" s="10"/>
      <c r="U5126" s="4"/>
      <c r="V5126" s="4"/>
      <c r="X5126" s="4"/>
      <c r="Y5126" s="4"/>
    </row>
    <row r="5127" spans="20:25" x14ac:dyDescent="0.25">
      <c r="T5127" s="10"/>
      <c r="U5127" s="4"/>
      <c r="V5127" s="4"/>
      <c r="X5127" s="4"/>
      <c r="Y5127" s="4"/>
    </row>
    <row r="5128" spans="20:25" x14ac:dyDescent="0.25">
      <c r="T5128" s="10"/>
      <c r="U5128" s="4"/>
      <c r="V5128" s="4"/>
      <c r="X5128" s="4"/>
      <c r="Y5128" s="4"/>
    </row>
    <row r="5129" spans="20:25" x14ac:dyDescent="0.25">
      <c r="T5129" s="10"/>
      <c r="U5129" s="4"/>
      <c r="V5129" s="4"/>
      <c r="X5129" s="4"/>
      <c r="Y5129" s="4"/>
    </row>
    <row r="5130" spans="20:25" x14ac:dyDescent="0.25">
      <c r="T5130" s="10"/>
      <c r="U5130" s="4"/>
      <c r="V5130" s="4"/>
      <c r="X5130" s="4"/>
      <c r="Y5130" s="4"/>
    </row>
    <row r="5131" spans="20:25" x14ac:dyDescent="0.25">
      <c r="T5131" s="10"/>
      <c r="U5131" s="4"/>
      <c r="V5131" s="4"/>
      <c r="X5131" s="4"/>
      <c r="Y5131" s="4"/>
    </row>
    <row r="5132" spans="20:25" x14ac:dyDescent="0.25">
      <c r="T5132" s="10"/>
      <c r="U5132" s="4"/>
      <c r="V5132" s="4"/>
      <c r="X5132" s="4"/>
      <c r="Y5132" s="4"/>
    </row>
    <row r="5133" spans="20:25" x14ac:dyDescent="0.25">
      <c r="T5133" s="10"/>
      <c r="U5133" s="4"/>
      <c r="V5133" s="4"/>
      <c r="X5133" s="4"/>
      <c r="Y5133" s="4"/>
    </row>
    <row r="5134" spans="20:25" x14ac:dyDescent="0.25">
      <c r="T5134" s="10"/>
      <c r="U5134" s="4"/>
      <c r="V5134" s="4"/>
      <c r="X5134" s="4"/>
      <c r="Y5134" s="4"/>
    </row>
    <row r="5135" spans="20:25" x14ac:dyDescent="0.25">
      <c r="T5135" s="10"/>
      <c r="U5135" s="4"/>
      <c r="V5135" s="4"/>
      <c r="X5135" s="4"/>
      <c r="Y5135" s="4"/>
    </row>
    <row r="5136" spans="20:25" x14ac:dyDescent="0.25">
      <c r="T5136" s="10"/>
      <c r="U5136" s="4"/>
      <c r="V5136" s="4"/>
      <c r="X5136" s="4"/>
      <c r="Y5136" s="4"/>
    </row>
    <row r="5137" spans="20:25" x14ac:dyDescent="0.25">
      <c r="T5137" s="10"/>
      <c r="U5137" s="4"/>
      <c r="V5137" s="4"/>
      <c r="X5137" s="4"/>
      <c r="Y5137" s="4"/>
    </row>
    <row r="5138" spans="20:25" x14ac:dyDescent="0.25">
      <c r="T5138" s="10"/>
      <c r="U5138" s="4"/>
      <c r="V5138" s="4"/>
      <c r="X5138" s="4"/>
      <c r="Y5138" s="4"/>
    </row>
    <row r="5139" spans="20:25" x14ac:dyDescent="0.25">
      <c r="T5139" s="10"/>
      <c r="U5139" s="4"/>
      <c r="V5139" s="4"/>
      <c r="X5139" s="4"/>
      <c r="Y5139" s="4"/>
    </row>
    <row r="5140" spans="20:25" x14ac:dyDescent="0.25">
      <c r="T5140" s="10"/>
      <c r="U5140" s="4"/>
      <c r="V5140" s="4"/>
      <c r="X5140" s="4"/>
      <c r="Y5140" s="4"/>
    </row>
    <row r="5141" spans="20:25" x14ac:dyDescent="0.25">
      <c r="T5141" s="10"/>
      <c r="U5141" s="4"/>
      <c r="V5141" s="4"/>
      <c r="X5141" s="4"/>
      <c r="Y5141" s="4"/>
    </row>
    <row r="5142" spans="20:25" x14ac:dyDescent="0.25">
      <c r="T5142" s="10"/>
      <c r="U5142" s="4"/>
      <c r="V5142" s="4"/>
      <c r="X5142" s="4"/>
      <c r="Y5142" s="4"/>
    </row>
    <row r="5143" spans="20:25" x14ac:dyDescent="0.25">
      <c r="T5143" s="10"/>
      <c r="U5143" s="4"/>
      <c r="V5143" s="4"/>
      <c r="X5143" s="4"/>
      <c r="Y5143" s="4"/>
    </row>
    <row r="5144" spans="20:25" x14ac:dyDescent="0.25">
      <c r="T5144" s="10"/>
      <c r="U5144" s="4"/>
      <c r="V5144" s="4"/>
      <c r="X5144" s="4"/>
      <c r="Y5144" s="4"/>
    </row>
    <row r="5145" spans="20:25" x14ac:dyDescent="0.25">
      <c r="T5145" s="10"/>
      <c r="U5145" s="4"/>
      <c r="V5145" s="4"/>
      <c r="X5145" s="4"/>
      <c r="Y5145" s="4"/>
    </row>
    <row r="5146" spans="20:25" x14ac:dyDescent="0.25">
      <c r="T5146" s="10"/>
      <c r="U5146" s="4"/>
      <c r="V5146" s="4"/>
      <c r="X5146" s="4"/>
      <c r="Y5146" s="4"/>
    </row>
    <row r="5147" spans="20:25" x14ac:dyDescent="0.25">
      <c r="T5147" s="10"/>
      <c r="U5147" s="4"/>
      <c r="V5147" s="4"/>
      <c r="X5147" s="4"/>
      <c r="Y5147" s="4"/>
    </row>
    <row r="5148" spans="20:25" x14ac:dyDescent="0.25">
      <c r="T5148" s="10"/>
      <c r="U5148" s="4"/>
      <c r="V5148" s="4"/>
      <c r="X5148" s="4"/>
      <c r="Y5148" s="4"/>
    </row>
    <row r="5149" spans="20:25" x14ac:dyDescent="0.25">
      <c r="T5149" s="10"/>
      <c r="U5149" s="4"/>
      <c r="V5149" s="4"/>
      <c r="X5149" s="4"/>
      <c r="Y5149" s="4"/>
    </row>
    <row r="5150" spans="20:25" x14ac:dyDescent="0.25">
      <c r="T5150" s="10"/>
      <c r="U5150" s="4"/>
      <c r="V5150" s="4"/>
      <c r="X5150" s="4"/>
      <c r="Y5150" s="4"/>
    </row>
    <row r="5151" spans="20:25" x14ac:dyDescent="0.25">
      <c r="T5151" s="10"/>
      <c r="U5151" s="4"/>
      <c r="V5151" s="4"/>
      <c r="X5151" s="4"/>
      <c r="Y5151" s="4"/>
    </row>
    <row r="5152" spans="20:25" x14ac:dyDescent="0.25">
      <c r="T5152" s="10"/>
      <c r="U5152" s="4"/>
      <c r="V5152" s="4"/>
      <c r="X5152" s="4"/>
      <c r="Y5152" s="4"/>
    </row>
    <row r="5153" spans="20:25" x14ac:dyDescent="0.25">
      <c r="T5153" s="10"/>
      <c r="U5153" s="4"/>
      <c r="V5153" s="4"/>
      <c r="X5153" s="4"/>
      <c r="Y5153" s="4"/>
    </row>
    <row r="5154" spans="20:25" x14ac:dyDescent="0.25">
      <c r="T5154" s="10"/>
      <c r="U5154" s="4"/>
      <c r="V5154" s="4"/>
      <c r="X5154" s="4"/>
      <c r="Y5154" s="4"/>
    </row>
    <row r="5155" spans="20:25" x14ac:dyDescent="0.25">
      <c r="T5155" s="10"/>
      <c r="U5155" s="4"/>
      <c r="V5155" s="4"/>
      <c r="X5155" s="4"/>
      <c r="Y5155" s="4"/>
    </row>
    <row r="5156" spans="20:25" x14ac:dyDescent="0.25">
      <c r="T5156" s="10"/>
      <c r="U5156" s="4"/>
      <c r="V5156" s="4"/>
      <c r="X5156" s="4"/>
      <c r="Y5156" s="4"/>
    </row>
    <row r="5157" spans="20:25" x14ac:dyDescent="0.25">
      <c r="T5157" s="10"/>
      <c r="U5157" s="4"/>
      <c r="V5157" s="4"/>
      <c r="X5157" s="4"/>
      <c r="Y5157" s="4"/>
    </row>
    <row r="5158" spans="20:25" x14ac:dyDescent="0.25">
      <c r="T5158" s="10"/>
      <c r="U5158" s="4"/>
      <c r="V5158" s="4"/>
      <c r="X5158" s="4"/>
      <c r="Y5158" s="4"/>
    </row>
    <row r="5159" spans="20:25" x14ac:dyDescent="0.25">
      <c r="T5159" s="10"/>
      <c r="U5159" s="4"/>
      <c r="V5159" s="4"/>
      <c r="X5159" s="4"/>
      <c r="Y5159" s="4"/>
    </row>
    <row r="5160" spans="20:25" x14ac:dyDescent="0.25">
      <c r="T5160" s="10"/>
      <c r="U5160" s="4"/>
      <c r="V5160" s="4"/>
      <c r="X5160" s="4"/>
      <c r="Y5160" s="4"/>
    </row>
    <row r="5161" spans="20:25" x14ac:dyDescent="0.25">
      <c r="T5161" s="10"/>
      <c r="U5161" s="4"/>
      <c r="V5161" s="4"/>
      <c r="X5161" s="4"/>
      <c r="Y5161" s="4"/>
    </row>
    <row r="5162" spans="20:25" x14ac:dyDescent="0.25">
      <c r="T5162" s="10"/>
      <c r="U5162" s="4"/>
      <c r="V5162" s="4"/>
      <c r="X5162" s="4"/>
      <c r="Y5162" s="4"/>
    </row>
    <row r="5163" spans="20:25" x14ac:dyDescent="0.25">
      <c r="T5163" s="10"/>
      <c r="U5163" s="4"/>
      <c r="V5163" s="4"/>
      <c r="X5163" s="4"/>
      <c r="Y5163" s="4"/>
    </row>
    <row r="5164" spans="20:25" x14ac:dyDescent="0.25">
      <c r="T5164" s="10"/>
      <c r="U5164" s="4"/>
      <c r="V5164" s="4"/>
      <c r="X5164" s="4"/>
      <c r="Y5164" s="4"/>
    </row>
    <row r="5165" spans="20:25" x14ac:dyDescent="0.25">
      <c r="T5165" s="10"/>
      <c r="U5165" s="4"/>
      <c r="V5165" s="4"/>
      <c r="X5165" s="4"/>
      <c r="Y5165" s="4"/>
    </row>
    <row r="5166" spans="20:25" x14ac:dyDescent="0.25">
      <c r="T5166" s="10"/>
      <c r="U5166" s="4"/>
      <c r="V5166" s="4"/>
      <c r="X5166" s="4"/>
      <c r="Y5166" s="4"/>
    </row>
    <row r="5167" spans="20:25" x14ac:dyDescent="0.25">
      <c r="T5167" s="10"/>
      <c r="U5167" s="4"/>
      <c r="V5167" s="4"/>
      <c r="X5167" s="4"/>
      <c r="Y5167" s="4"/>
    </row>
    <row r="5168" spans="20:25" x14ac:dyDescent="0.25">
      <c r="T5168" s="10"/>
      <c r="U5168" s="4"/>
      <c r="V5168" s="4"/>
      <c r="X5168" s="4"/>
      <c r="Y5168" s="4"/>
    </row>
    <row r="5169" spans="20:25" x14ac:dyDescent="0.25">
      <c r="T5169" s="10"/>
      <c r="U5169" s="4"/>
      <c r="V5169" s="4"/>
      <c r="X5169" s="4"/>
      <c r="Y5169" s="4"/>
    </row>
    <row r="5170" spans="20:25" x14ac:dyDescent="0.25">
      <c r="T5170" s="10"/>
      <c r="U5170" s="4"/>
      <c r="V5170" s="4"/>
      <c r="X5170" s="4"/>
      <c r="Y5170" s="4"/>
    </row>
    <row r="5171" spans="20:25" x14ac:dyDescent="0.25">
      <c r="T5171" s="10"/>
      <c r="U5171" s="4"/>
      <c r="V5171" s="4"/>
      <c r="X5171" s="4"/>
      <c r="Y5171" s="4"/>
    </row>
    <row r="5172" spans="20:25" x14ac:dyDescent="0.25">
      <c r="T5172" s="10"/>
      <c r="U5172" s="4"/>
      <c r="V5172" s="4"/>
      <c r="X5172" s="4"/>
      <c r="Y5172" s="4"/>
    </row>
    <row r="5173" spans="20:25" x14ac:dyDescent="0.25">
      <c r="T5173" s="10"/>
      <c r="U5173" s="4"/>
      <c r="V5173" s="4"/>
      <c r="X5173" s="4"/>
      <c r="Y5173" s="4"/>
    </row>
    <row r="5174" spans="20:25" x14ac:dyDescent="0.25">
      <c r="T5174" s="10"/>
      <c r="U5174" s="4"/>
      <c r="V5174" s="4"/>
      <c r="X5174" s="4"/>
      <c r="Y5174" s="4"/>
    </row>
    <row r="5175" spans="20:25" x14ac:dyDescent="0.25">
      <c r="T5175" s="10"/>
      <c r="U5175" s="4"/>
      <c r="V5175" s="4"/>
      <c r="X5175" s="4"/>
      <c r="Y5175" s="4"/>
    </row>
    <row r="5176" spans="20:25" x14ac:dyDescent="0.25">
      <c r="T5176" s="10"/>
      <c r="U5176" s="4"/>
      <c r="V5176" s="4"/>
      <c r="X5176" s="4"/>
      <c r="Y5176" s="4"/>
    </row>
    <row r="5177" spans="20:25" x14ac:dyDescent="0.25">
      <c r="T5177" s="10"/>
      <c r="U5177" s="4"/>
      <c r="V5177" s="4"/>
      <c r="X5177" s="4"/>
      <c r="Y5177" s="4"/>
    </row>
    <row r="5178" spans="20:25" x14ac:dyDescent="0.25">
      <c r="T5178" s="10"/>
      <c r="U5178" s="4"/>
      <c r="V5178" s="4"/>
      <c r="X5178" s="4"/>
      <c r="Y5178" s="4"/>
    </row>
    <row r="5179" spans="20:25" x14ac:dyDescent="0.25">
      <c r="T5179" s="10"/>
      <c r="U5179" s="4"/>
      <c r="V5179" s="4"/>
      <c r="X5179" s="4"/>
      <c r="Y5179" s="4"/>
    </row>
    <row r="5180" spans="20:25" x14ac:dyDescent="0.25">
      <c r="T5180" s="10"/>
      <c r="U5180" s="4"/>
      <c r="V5180" s="4"/>
      <c r="X5180" s="4"/>
      <c r="Y5180" s="4"/>
    </row>
    <row r="5181" spans="20:25" x14ac:dyDescent="0.25">
      <c r="T5181" s="10"/>
      <c r="U5181" s="4"/>
      <c r="V5181" s="4"/>
      <c r="X5181" s="4"/>
      <c r="Y5181" s="4"/>
    </row>
    <row r="5182" spans="20:25" x14ac:dyDescent="0.25">
      <c r="T5182" s="10"/>
      <c r="U5182" s="4"/>
      <c r="V5182" s="4"/>
      <c r="X5182" s="4"/>
      <c r="Y5182" s="4"/>
    </row>
    <row r="5183" spans="20:25" x14ac:dyDescent="0.25">
      <c r="T5183" s="10"/>
      <c r="U5183" s="4"/>
      <c r="V5183" s="4"/>
      <c r="X5183" s="4"/>
      <c r="Y5183" s="4"/>
    </row>
    <row r="5184" spans="20:25" x14ac:dyDescent="0.25">
      <c r="T5184" s="10"/>
      <c r="U5184" s="4"/>
      <c r="V5184" s="4"/>
      <c r="X5184" s="4"/>
      <c r="Y5184" s="4"/>
    </row>
    <row r="5185" spans="20:25" x14ac:dyDescent="0.25">
      <c r="T5185" s="10"/>
      <c r="U5185" s="4"/>
      <c r="V5185" s="4"/>
      <c r="X5185" s="4"/>
      <c r="Y5185" s="4"/>
    </row>
    <row r="5186" spans="20:25" x14ac:dyDescent="0.25">
      <c r="T5186" s="10"/>
      <c r="U5186" s="4"/>
      <c r="V5186" s="4"/>
      <c r="X5186" s="4"/>
      <c r="Y5186" s="4"/>
    </row>
    <row r="5187" spans="20:25" x14ac:dyDescent="0.25">
      <c r="T5187" s="10"/>
      <c r="U5187" s="4"/>
      <c r="V5187" s="4"/>
      <c r="X5187" s="4"/>
      <c r="Y5187" s="4"/>
    </row>
    <row r="5188" spans="20:25" x14ac:dyDescent="0.25">
      <c r="T5188" s="10"/>
      <c r="U5188" s="4"/>
      <c r="V5188" s="4"/>
      <c r="X5188" s="4"/>
      <c r="Y5188" s="4"/>
    </row>
    <row r="5189" spans="20:25" x14ac:dyDescent="0.25">
      <c r="T5189" s="10"/>
      <c r="U5189" s="4"/>
      <c r="V5189" s="4"/>
      <c r="X5189" s="4"/>
      <c r="Y5189" s="4"/>
    </row>
    <row r="5190" spans="20:25" x14ac:dyDescent="0.25">
      <c r="T5190" s="10"/>
      <c r="U5190" s="4"/>
      <c r="V5190" s="4"/>
      <c r="X5190" s="4"/>
      <c r="Y5190" s="4"/>
    </row>
    <row r="5191" spans="20:25" x14ac:dyDescent="0.25">
      <c r="T5191" s="10"/>
      <c r="U5191" s="4"/>
      <c r="V5191" s="4"/>
      <c r="X5191" s="4"/>
      <c r="Y5191" s="4"/>
    </row>
    <row r="5192" spans="20:25" x14ac:dyDescent="0.25">
      <c r="T5192" s="10"/>
      <c r="U5192" s="4"/>
      <c r="V5192" s="4"/>
      <c r="X5192" s="4"/>
      <c r="Y5192" s="4"/>
    </row>
    <row r="5193" spans="20:25" x14ac:dyDescent="0.25">
      <c r="T5193" s="10"/>
      <c r="U5193" s="4"/>
      <c r="V5193" s="4"/>
      <c r="X5193" s="4"/>
      <c r="Y5193" s="4"/>
    </row>
    <row r="5194" spans="20:25" x14ac:dyDescent="0.25">
      <c r="T5194" s="10"/>
      <c r="U5194" s="4"/>
      <c r="V5194" s="4"/>
      <c r="X5194" s="4"/>
      <c r="Y5194" s="4"/>
    </row>
    <row r="5195" spans="20:25" x14ac:dyDescent="0.25">
      <c r="T5195" s="10"/>
      <c r="U5195" s="4"/>
      <c r="V5195" s="4"/>
      <c r="X5195" s="4"/>
      <c r="Y5195" s="4"/>
    </row>
    <row r="5196" spans="20:25" x14ac:dyDescent="0.25">
      <c r="T5196" s="10"/>
      <c r="U5196" s="4"/>
      <c r="V5196" s="4"/>
      <c r="X5196" s="4"/>
      <c r="Y5196" s="4"/>
    </row>
    <row r="5197" spans="20:25" x14ac:dyDescent="0.25">
      <c r="T5197" s="10"/>
      <c r="U5197" s="4"/>
      <c r="V5197" s="4"/>
      <c r="X5197" s="4"/>
      <c r="Y5197" s="4"/>
    </row>
    <row r="5198" spans="20:25" x14ac:dyDescent="0.25">
      <c r="T5198" s="10"/>
      <c r="U5198" s="4"/>
      <c r="V5198" s="4"/>
      <c r="X5198" s="4"/>
      <c r="Y5198" s="4"/>
    </row>
    <row r="5199" spans="20:25" x14ac:dyDescent="0.25">
      <c r="T5199" s="10"/>
      <c r="U5199" s="4"/>
      <c r="V5199" s="4"/>
      <c r="X5199" s="4"/>
      <c r="Y5199" s="4"/>
    </row>
    <row r="5200" spans="20:25" x14ac:dyDescent="0.25">
      <c r="T5200" s="10"/>
      <c r="U5200" s="4"/>
      <c r="V5200" s="4"/>
      <c r="X5200" s="4"/>
      <c r="Y5200" s="4"/>
    </row>
    <row r="5201" spans="20:25" x14ac:dyDescent="0.25">
      <c r="T5201" s="10"/>
      <c r="U5201" s="4"/>
      <c r="V5201" s="4"/>
      <c r="X5201" s="4"/>
      <c r="Y5201" s="4"/>
    </row>
    <row r="5202" spans="20:25" x14ac:dyDescent="0.25">
      <c r="T5202" s="10"/>
      <c r="U5202" s="4"/>
      <c r="V5202" s="4"/>
      <c r="X5202" s="4"/>
      <c r="Y5202" s="4"/>
    </row>
    <row r="5203" spans="20:25" x14ac:dyDescent="0.25">
      <c r="T5203" s="10"/>
      <c r="U5203" s="4"/>
      <c r="V5203" s="4"/>
      <c r="X5203" s="4"/>
      <c r="Y5203" s="4"/>
    </row>
    <row r="5204" spans="20:25" x14ac:dyDescent="0.25">
      <c r="T5204" s="10"/>
      <c r="U5204" s="4"/>
      <c r="V5204" s="4"/>
      <c r="X5204" s="4"/>
      <c r="Y5204" s="4"/>
    </row>
    <row r="5205" spans="20:25" x14ac:dyDescent="0.25">
      <c r="T5205" s="10"/>
      <c r="U5205" s="4"/>
      <c r="V5205" s="4"/>
      <c r="X5205" s="4"/>
      <c r="Y5205" s="4"/>
    </row>
    <row r="5206" spans="20:25" x14ac:dyDescent="0.25">
      <c r="T5206" s="10"/>
      <c r="U5206" s="4"/>
      <c r="V5206" s="4"/>
      <c r="X5206" s="4"/>
      <c r="Y5206" s="4"/>
    </row>
    <row r="5207" spans="20:25" x14ac:dyDescent="0.25">
      <c r="T5207" s="10"/>
      <c r="U5207" s="4"/>
      <c r="V5207" s="4"/>
      <c r="X5207" s="4"/>
      <c r="Y5207" s="4"/>
    </row>
    <row r="5208" spans="20:25" x14ac:dyDescent="0.25">
      <c r="T5208" s="10"/>
      <c r="U5208" s="4"/>
      <c r="V5208" s="4"/>
      <c r="X5208" s="4"/>
      <c r="Y5208" s="4"/>
    </row>
    <row r="5209" spans="20:25" x14ac:dyDescent="0.25">
      <c r="T5209" s="10"/>
      <c r="U5209" s="4"/>
      <c r="V5209" s="4"/>
      <c r="X5209" s="4"/>
      <c r="Y5209" s="4"/>
    </row>
    <row r="5210" spans="20:25" x14ac:dyDescent="0.25">
      <c r="T5210" s="10"/>
      <c r="U5210" s="4"/>
      <c r="V5210" s="4"/>
      <c r="X5210" s="4"/>
      <c r="Y5210" s="4"/>
    </row>
    <row r="5211" spans="20:25" x14ac:dyDescent="0.25">
      <c r="T5211" s="10"/>
      <c r="U5211" s="4"/>
      <c r="V5211" s="4"/>
      <c r="X5211" s="4"/>
      <c r="Y5211" s="4"/>
    </row>
    <row r="5212" spans="20:25" x14ac:dyDescent="0.25">
      <c r="T5212" s="10"/>
      <c r="U5212" s="4"/>
      <c r="V5212" s="4"/>
      <c r="X5212" s="4"/>
      <c r="Y5212" s="4"/>
    </row>
    <row r="5213" spans="20:25" x14ac:dyDescent="0.25">
      <c r="T5213" s="10"/>
      <c r="U5213" s="4"/>
      <c r="V5213" s="4"/>
      <c r="X5213" s="4"/>
      <c r="Y5213" s="4"/>
    </row>
    <row r="5214" spans="20:25" x14ac:dyDescent="0.25">
      <c r="T5214" s="10"/>
      <c r="U5214" s="4"/>
      <c r="V5214" s="4"/>
      <c r="X5214" s="4"/>
      <c r="Y5214" s="4"/>
    </row>
    <row r="5215" spans="20:25" x14ac:dyDescent="0.25">
      <c r="T5215" s="10"/>
      <c r="U5215" s="4"/>
      <c r="V5215" s="4"/>
      <c r="X5215" s="4"/>
      <c r="Y5215" s="4"/>
    </row>
    <row r="5216" spans="20:25" x14ac:dyDescent="0.25">
      <c r="T5216" s="10"/>
      <c r="U5216" s="4"/>
      <c r="V5216" s="4"/>
      <c r="X5216" s="4"/>
      <c r="Y5216" s="4"/>
    </row>
    <row r="5217" spans="20:25" x14ac:dyDescent="0.25">
      <c r="T5217" s="10"/>
      <c r="U5217" s="4"/>
      <c r="V5217" s="4"/>
      <c r="X5217" s="4"/>
      <c r="Y5217" s="4"/>
    </row>
    <row r="5218" spans="20:25" x14ac:dyDescent="0.25">
      <c r="T5218" s="10"/>
      <c r="U5218" s="4"/>
      <c r="V5218" s="4"/>
      <c r="X5218" s="4"/>
      <c r="Y5218" s="4"/>
    </row>
    <row r="5219" spans="20:25" x14ac:dyDescent="0.25">
      <c r="T5219" s="10"/>
      <c r="U5219" s="4"/>
      <c r="V5219" s="4"/>
      <c r="X5219" s="4"/>
      <c r="Y5219" s="4"/>
    </row>
    <row r="5220" spans="20:25" x14ac:dyDescent="0.25">
      <c r="T5220" s="10"/>
      <c r="U5220" s="4"/>
      <c r="V5220" s="4"/>
      <c r="X5220" s="4"/>
      <c r="Y5220" s="4"/>
    </row>
    <row r="5221" spans="20:25" x14ac:dyDescent="0.25">
      <c r="T5221" s="10"/>
      <c r="U5221" s="4"/>
      <c r="V5221" s="4"/>
      <c r="X5221" s="4"/>
      <c r="Y5221" s="4"/>
    </row>
    <row r="5222" spans="20:25" x14ac:dyDescent="0.25">
      <c r="T5222" s="10"/>
      <c r="U5222" s="4"/>
      <c r="V5222" s="4"/>
      <c r="X5222" s="4"/>
      <c r="Y5222" s="4"/>
    </row>
    <row r="5223" spans="20:25" x14ac:dyDescent="0.25">
      <c r="T5223" s="10"/>
      <c r="U5223" s="4"/>
      <c r="V5223" s="4"/>
      <c r="X5223" s="4"/>
      <c r="Y5223" s="4"/>
    </row>
    <row r="5224" spans="20:25" x14ac:dyDescent="0.25">
      <c r="T5224" s="10"/>
      <c r="U5224" s="4"/>
      <c r="V5224" s="4"/>
      <c r="X5224" s="4"/>
      <c r="Y5224" s="4"/>
    </row>
    <row r="5225" spans="20:25" x14ac:dyDescent="0.25">
      <c r="T5225" s="10"/>
      <c r="U5225" s="4"/>
      <c r="V5225" s="4"/>
      <c r="X5225" s="4"/>
      <c r="Y5225" s="4"/>
    </row>
    <row r="5226" spans="20:25" x14ac:dyDescent="0.25">
      <c r="T5226" s="10"/>
      <c r="U5226" s="4"/>
      <c r="V5226" s="4"/>
      <c r="X5226" s="4"/>
      <c r="Y5226" s="4"/>
    </row>
    <row r="5227" spans="20:25" x14ac:dyDescent="0.25">
      <c r="T5227" s="10"/>
      <c r="U5227" s="4"/>
      <c r="V5227" s="4"/>
      <c r="X5227" s="4"/>
      <c r="Y5227" s="4"/>
    </row>
    <row r="5228" spans="20:25" x14ac:dyDescent="0.25">
      <c r="T5228" s="10"/>
      <c r="U5228" s="4"/>
      <c r="V5228" s="4"/>
      <c r="X5228" s="4"/>
      <c r="Y5228" s="4"/>
    </row>
    <row r="5229" spans="20:25" x14ac:dyDescent="0.25">
      <c r="T5229" s="10"/>
      <c r="U5229" s="4"/>
      <c r="V5229" s="4"/>
      <c r="X5229" s="4"/>
      <c r="Y5229" s="4"/>
    </row>
    <row r="5230" spans="20:25" x14ac:dyDescent="0.25">
      <c r="T5230" s="10"/>
      <c r="U5230" s="4"/>
      <c r="V5230" s="4"/>
      <c r="X5230" s="4"/>
      <c r="Y5230" s="4"/>
    </row>
    <row r="5231" spans="20:25" x14ac:dyDescent="0.25">
      <c r="T5231" s="10"/>
      <c r="U5231" s="4"/>
      <c r="V5231" s="4"/>
      <c r="X5231" s="4"/>
      <c r="Y5231" s="4"/>
    </row>
    <row r="5232" spans="20:25" x14ac:dyDescent="0.25">
      <c r="T5232" s="10"/>
      <c r="U5232" s="4"/>
      <c r="V5232" s="4"/>
      <c r="X5232" s="4"/>
      <c r="Y5232" s="4"/>
    </row>
    <row r="5233" spans="20:25" x14ac:dyDescent="0.25">
      <c r="T5233" s="10"/>
      <c r="U5233" s="4"/>
      <c r="V5233" s="4"/>
      <c r="X5233" s="4"/>
      <c r="Y5233" s="4"/>
    </row>
    <row r="5234" spans="20:25" x14ac:dyDescent="0.25">
      <c r="T5234" s="10"/>
      <c r="U5234" s="4"/>
      <c r="V5234" s="4"/>
      <c r="X5234" s="4"/>
      <c r="Y5234" s="4"/>
    </row>
    <row r="5235" spans="20:25" x14ac:dyDescent="0.25">
      <c r="T5235" s="10"/>
      <c r="U5235" s="4"/>
      <c r="V5235" s="4"/>
      <c r="X5235" s="4"/>
      <c r="Y5235" s="4"/>
    </row>
    <row r="5236" spans="20:25" x14ac:dyDescent="0.25">
      <c r="T5236" s="10"/>
      <c r="U5236" s="4"/>
      <c r="V5236" s="4"/>
      <c r="X5236" s="4"/>
      <c r="Y5236" s="4"/>
    </row>
    <row r="5237" spans="20:25" x14ac:dyDescent="0.25">
      <c r="T5237" s="10"/>
      <c r="U5237" s="4"/>
      <c r="V5237" s="4"/>
      <c r="X5237" s="4"/>
      <c r="Y5237" s="4"/>
    </row>
    <row r="5238" spans="20:25" x14ac:dyDescent="0.25">
      <c r="T5238" s="10"/>
      <c r="U5238" s="4"/>
      <c r="V5238" s="4"/>
      <c r="X5238" s="4"/>
      <c r="Y5238" s="4"/>
    </row>
    <row r="5239" spans="20:25" x14ac:dyDescent="0.25">
      <c r="T5239" s="10"/>
      <c r="U5239" s="4"/>
      <c r="V5239" s="4"/>
      <c r="X5239" s="4"/>
      <c r="Y5239" s="4"/>
    </row>
    <row r="5240" spans="20:25" x14ac:dyDescent="0.25">
      <c r="T5240" s="10"/>
      <c r="U5240" s="4"/>
      <c r="V5240" s="4"/>
      <c r="X5240" s="4"/>
      <c r="Y5240" s="4"/>
    </row>
    <row r="5241" spans="20:25" x14ac:dyDescent="0.25">
      <c r="T5241" s="10"/>
      <c r="U5241" s="4"/>
      <c r="V5241" s="4"/>
      <c r="X5241" s="4"/>
      <c r="Y5241" s="4"/>
    </row>
    <row r="5242" spans="20:25" x14ac:dyDescent="0.25">
      <c r="T5242" s="10"/>
      <c r="U5242" s="4"/>
      <c r="V5242" s="4"/>
      <c r="X5242" s="4"/>
      <c r="Y5242" s="4"/>
    </row>
    <row r="5243" spans="20:25" x14ac:dyDescent="0.25">
      <c r="T5243" s="10"/>
      <c r="U5243" s="4"/>
      <c r="V5243" s="4"/>
      <c r="X5243" s="4"/>
      <c r="Y5243" s="4"/>
    </row>
    <row r="5244" spans="20:25" x14ac:dyDescent="0.25">
      <c r="T5244" s="10"/>
      <c r="U5244" s="4"/>
      <c r="V5244" s="4"/>
      <c r="X5244" s="4"/>
      <c r="Y5244" s="4"/>
    </row>
    <row r="5245" spans="20:25" x14ac:dyDescent="0.25">
      <c r="T5245" s="10"/>
      <c r="U5245" s="4"/>
      <c r="V5245" s="4"/>
      <c r="X5245" s="4"/>
      <c r="Y5245" s="4"/>
    </row>
    <row r="5246" spans="20:25" x14ac:dyDescent="0.25">
      <c r="T5246" s="10"/>
      <c r="U5246" s="4"/>
      <c r="V5246" s="4"/>
      <c r="X5246" s="4"/>
      <c r="Y5246" s="4"/>
    </row>
    <row r="5247" spans="20:25" x14ac:dyDescent="0.25">
      <c r="T5247" s="10"/>
      <c r="U5247" s="4"/>
      <c r="V5247" s="4"/>
      <c r="X5247" s="4"/>
      <c r="Y5247" s="4"/>
    </row>
    <row r="5248" spans="20:25" x14ac:dyDescent="0.25">
      <c r="T5248" s="10"/>
      <c r="U5248" s="4"/>
      <c r="V5248" s="4"/>
      <c r="X5248" s="4"/>
      <c r="Y5248" s="4"/>
    </row>
    <row r="5249" spans="20:25" x14ac:dyDescent="0.25">
      <c r="T5249" s="10"/>
      <c r="U5249" s="4"/>
      <c r="V5249" s="4"/>
      <c r="X5249" s="4"/>
      <c r="Y5249" s="4"/>
    </row>
    <row r="5250" spans="20:25" x14ac:dyDescent="0.25">
      <c r="T5250" s="10"/>
      <c r="U5250" s="4"/>
      <c r="V5250" s="4"/>
      <c r="X5250" s="4"/>
      <c r="Y5250" s="4"/>
    </row>
    <row r="5251" spans="20:25" x14ac:dyDescent="0.25">
      <c r="T5251" s="10"/>
      <c r="U5251" s="4"/>
      <c r="V5251" s="4"/>
      <c r="X5251" s="4"/>
      <c r="Y5251" s="4"/>
    </row>
    <row r="5252" spans="20:25" x14ac:dyDescent="0.25">
      <c r="T5252" s="10"/>
      <c r="U5252" s="4"/>
      <c r="V5252" s="4"/>
      <c r="X5252" s="4"/>
      <c r="Y5252" s="4"/>
    </row>
    <row r="5253" spans="20:25" x14ac:dyDescent="0.25">
      <c r="T5253" s="10"/>
      <c r="U5253" s="4"/>
      <c r="V5253" s="4"/>
      <c r="X5253" s="4"/>
      <c r="Y5253" s="4"/>
    </row>
    <row r="5254" spans="20:25" x14ac:dyDescent="0.25">
      <c r="T5254" s="10"/>
      <c r="U5254" s="4"/>
      <c r="V5254" s="4"/>
      <c r="X5254" s="4"/>
      <c r="Y5254" s="4"/>
    </row>
    <row r="5255" spans="20:25" x14ac:dyDescent="0.25">
      <c r="T5255" s="10"/>
      <c r="U5255" s="4"/>
      <c r="V5255" s="4"/>
      <c r="X5255" s="4"/>
      <c r="Y5255" s="4"/>
    </row>
    <row r="5256" spans="20:25" x14ac:dyDescent="0.25">
      <c r="T5256" s="10"/>
      <c r="U5256" s="4"/>
      <c r="V5256" s="4"/>
      <c r="X5256" s="4"/>
      <c r="Y5256" s="4"/>
    </row>
    <row r="5257" spans="20:25" x14ac:dyDescent="0.25">
      <c r="T5257" s="10"/>
      <c r="U5257" s="4"/>
      <c r="V5257" s="4"/>
      <c r="X5257" s="4"/>
      <c r="Y5257" s="4"/>
    </row>
    <row r="5258" spans="20:25" x14ac:dyDescent="0.25">
      <c r="T5258" s="10"/>
      <c r="U5258" s="4"/>
      <c r="V5258" s="4"/>
      <c r="X5258" s="4"/>
      <c r="Y5258" s="4"/>
    </row>
    <row r="5259" spans="20:25" x14ac:dyDescent="0.25">
      <c r="T5259" s="10"/>
      <c r="U5259" s="4"/>
      <c r="V5259" s="4"/>
      <c r="X5259" s="4"/>
      <c r="Y5259" s="4"/>
    </row>
    <row r="5260" spans="20:25" x14ac:dyDescent="0.25">
      <c r="T5260" s="10"/>
      <c r="U5260" s="4"/>
      <c r="V5260" s="4"/>
      <c r="X5260" s="4"/>
      <c r="Y5260" s="4"/>
    </row>
    <row r="5261" spans="20:25" x14ac:dyDescent="0.25">
      <c r="T5261" s="10"/>
      <c r="U5261" s="4"/>
      <c r="V5261" s="4"/>
      <c r="X5261" s="4"/>
      <c r="Y5261" s="4"/>
    </row>
    <row r="5262" spans="20:25" x14ac:dyDescent="0.25">
      <c r="T5262" s="10"/>
      <c r="U5262" s="4"/>
      <c r="V5262" s="4"/>
      <c r="X5262" s="4"/>
      <c r="Y5262" s="4"/>
    </row>
    <row r="5263" spans="20:25" x14ac:dyDescent="0.25">
      <c r="T5263" s="10"/>
      <c r="U5263" s="4"/>
      <c r="V5263" s="4"/>
      <c r="X5263" s="4"/>
      <c r="Y5263" s="4"/>
    </row>
    <row r="5264" spans="20:25" x14ac:dyDescent="0.25">
      <c r="T5264" s="10"/>
      <c r="U5264" s="4"/>
      <c r="V5264" s="4"/>
      <c r="X5264" s="4"/>
      <c r="Y5264" s="4"/>
    </row>
    <row r="5265" spans="20:25" x14ac:dyDescent="0.25">
      <c r="T5265" s="10"/>
      <c r="U5265" s="4"/>
      <c r="V5265" s="4"/>
      <c r="X5265" s="4"/>
      <c r="Y5265" s="4"/>
    </row>
    <row r="5266" spans="20:25" x14ac:dyDescent="0.25">
      <c r="T5266" s="10"/>
      <c r="U5266" s="4"/>
      <c r="V5266" s="4"/>
      <c r="X5266" s="4"/>
      <c r="Y5266" s="4"/>
    </row>
    <row r="5267" spans="20:25" x14ac:dyDescent="0.25">
      <c r="T5267" s="10"/>
      <c r="U5267" s="4"/>
      <c r="V5267" s="4"/>
      <c r="X5267" s="4"/>
      <c r="Y5267" s="4"/>
    </row>
    <row r="5268" spans="20:25" x14ac:dyDescent="0.25">
      <c r="T5268" s="10"/>
      <c r="U5268" s="4"/>
      <c r="V5268" s="4"/>
      <c r="X5268" s="4"/>
      <c r="Y5268" s="4"/>
    </row>
    <row r="5269" spans="20:25" x14ac:dyDescent="0.25">
      <c r="T5269" s="10"/>
      <c r="U5269" s="4"/>
      <c r="V5269" s="4"/>
      <c r="X5269" s="4"/>
      <c r="Y5269" s="4"/>
    </row>
    <row r="5270" spans="20:25" x14ac:dyDescent="0.25">
      <c r="T5270" s="10"/>
      <c r="U5270" s="4"/>
      <c r="V5270" s="4"/>
      <c r="X5270" s="4"/>
      <c r="Y5270" s="4"/>
    </row>
    <row r="5271" spans="20:25" x14ac:dyDescent="0.25">
      <c r="T5271" s="10"/>
      <c r="U5271" s="4"/>
      <c r="V5271" s="4"/>
      <c r="X5271" s="4"/>
      <c r="Y5271" s="4"/>
    </row>
    <row r="5272" spans="20:25" x14ac:dyDescent="0.25">
      <c r="T5272" s="10"/>
      <c r="U5272" s="4"/>
      <c r="V5272" s="4"/>
      <c r="X5272" s="4"/>
      <c r="Y5272" s="4"/>
    </row>
    <row r="5273" spans="20:25" x14ac:dyDescent="0.25">
      <c r="T5273" s="10"/>
      <c r="U5273" s="4"/>
      <c r="V5273" s="4"/>
      <c r="X5273" s="4"/>
      <c r="Y5273" s="4"/>
    </row>
    <row r="5274" spans="20:25" x14ac:dyDescent="0.25">
      <c r="T5274" s="10"/>
      <c r="U5274" s="4"/>
      <c r="V5274" s="4"/>
      <c r="X5274" s="4"/>
      <c r="Y5274" s="4"/>
    </row>
    <row r="5275" spans="20:25" x14ac:dyDescent="0.25">
      <c r="T5275" s="10"/>
      <c r="U5275" s="4"/>
      <c r="V5275" s="4"/>
      <c r="X5275" s="4"/>
      <c r="Y5275" s="4"/>
    </row>
    <row r="5276" spans="20:25" x14ac:dyDescent="0.25">
      <c r="T5276" s="10"/>
      <c r="U5276" s="4"/>
      <c r="V5276" s="4"/>
      <c r="X5276" s="4"/>
      <c r="Y5276" s="4"/>
    </row>
    <row r="5277" spans="20:25" x14ac:dyDescent="0.25">
      <c r="T5277" s="10"/>
      <c r="U5277" s="4"/>
      <c r="V5277" s="4"/>
      <c r="X5277" s="4"/>
      <c r="Y5277" s="4"/>
    </row>
    <row r="5278" spans="20:25" x14ac:dyDescent="0.25">
      <c r="T5278" s="10"/>
      <c r="U5278" s="4"/>
      <c r="V5278" s="4"/>
      <c r="X5278" s="4"/>
      <c r="Y5278" s="4"/>
    </row>
    <row r="5279" spans="20:25" x14ac:dyDescent="0.25">
      <c r="T5279" s="10"/>
      <c r="U5279" s="4"/>
      <c r="V5279" s="4"/>
      <c r="X5279" s="4"/>
      <c r="Y5279" s="4"/>
    </row>
    <row r="5280" spans="20:25" x14ac:dyDescent="0.25">
      <c r="T5280" s="10"/>
      <c r="U5280" s="4"/>
      <c r="V5280" s="4"/>
      <c r="X5280" s="4"/>
      <c r="Y5280" s="4"/>
    </row>
    <row r="5281" spans="20:25" x14ac:dyDescent="0.25">
      <c r="T5281" s="10"/>
      <c r="U5281" s="4"/>
      <c r="V5281" s="4"/>
      <c r="X5281" s="4"/>
      <c r="Y5281" s="4"/>
    </row>
    <row r="5282" spans="20:25" x14ac:dyDescent="0.25">
      <c r="T5282" s="10"/>
      <c r="U5282" s="4"/>
      <c r="V5282" s="4"/>
      <c r="X5282" s="4"/>
      <c r="Y5282" s="4"/>
    </row>
    <row r="5283" spans="20:25" x14ac:dyDescent="0.25">
      <c r="T5283" s="10"/>
      <c r="U5283" s="4"/>
      <c r="V5283" s="4"/>
      <c r="X5283" s="4"/>
      <c r="Y5283" s="4"/>
    </row>
    <row r="5284" spans="20:25" x14ac:dyDescent="0.25">
      <c r="T5284" s="10"/>
      <c r="U5284" s="4"/>
      <c r="V5284" s="4"/>
      <c r="X5284" s="4"/>
      <c r="Y5284" s="4"/>
    </row>
    <row r="5285" spans="20:25" x14ac:dyDescent="0.25">
      <c r="T5285" s="10"/>
      <c r="U5285" s="4"/>
      <c r="V5285" s="4"/>
      <c r="X5285" s="4"/>
      <c r="Y5285" s="4"/>
    </row>
    <row r="5286" spans="20:25" x14ac:dyDescent="0.25">
      <c r="T5286" s="10"/>
      <c r="U5286" s="4"/>
      <c r="V5286" s="4"/>
      <c r="X5286" s="4"/>
      <c r="Y5286" s="4"/>
    </row>
    <row r="5287" spans="20:25" x14ac:dyDescent="0.25">
      <c r="T5287" s="10"/>
      <c r="U5287" s="4"/>
      <c r="V5287" s="4"/>
      <c r="X5287" s="4"/>
      <c r="Y5287" s="4"/>
    </row>
    <row r="5288" spans="20:25" x14ac:dyDescent="0.25">
      <c r="T5288" s="10"/>
      <c r="U5288" s="4"/>
      <c r="V5288" s="4"/>
      <c r="X5288" s="4"/>
      <c r="Y5288" s="4"/>
    </row>
    <row r="5289" spans="20:25" x14ac:dyDescent="0.25">
      <c r="T5289" s="10"/>
      <c r="U5289" s="4"/>
      <c r="V5289" s="4"/>
      <c r="X5289" s="4"/>
      <c r="Y5289" s="4"/>
    </row>
    <row r="5290" spans="20:25" x14ac:dyDescent="0.25">
      <c r="T5290" s="10"/>
      <c r="U5290" s="4"/>
      <c r="V5290" s="4"/>
      <c r="X5290" s="4"/>
      <c r="Y5290" s="4"/>
    </row>
    <row r="5291" spans="20:25" x14ac:dyDescent="0.25">
      <c r="T5291" s="10"/>
      <c r="U5291" s="4"/>
      <c r="V5291" s="4"/>
      <c r="X5291" s="4"/>
      <c r="Y5291" s="4"/>
    </row>
    <row r="5292" spans="20:25" x14ac:dyDescent="0.25">
      <c r="T5292" s="10"/>
      <c r="U5292" s="4"/>
      <c r="V5292" s="4"/>
      <c r="X5292" s="4"/>
      <c r="Y5292" s="4"/>
    </row>
    <row r="5293" spans="20:25" x14ac:dyDescent="0.25">
      <c r="T5293" s="10"/>
      <c r="U5293" s="4"/>
      <c r="V5293" s="4"/>
      <c r="X5293" s="4"/>
      <c r="Y5293" s="4"/>
    </row>
    <row r="5294" spans="20:25" x14ac:dyDescent="0.25">
      <c r="T5294" s="10"/>
      <c r="U5294" s="4"/>
      <c r="V5294" s="4"/>
      <c r="X5294" s="4"/>
      <c r="Y5294" s="4"/>
    </row>
    <row r="5295" spans="20:25" x14ac:dyDescent="0.25">
      <c r="T5295" s="10"/>
      <c r="U5295" s="4"/>
      <c r="V5295" s="4"/>
      <c r="X5295" s="4"/>
      <c r="Y5295" s="4"/>
    </row>
    <row r="5296" spans="20:25" x14ac:dyDescent="0.25">
      <c r="T5296" s="10"/>
      <c r="U5296" s="4"/>
      <c r="V5296" s="4"/>
      <c r="X5296" s="4"/>
      <c r="Y5296" s="4"/>
    </row>
    <row r="5297" spans="20:25" x14ac:dyDescent="0.25">
      <c r="T5297" s="10"/>
      <c r="U5297" s="4"/>
      <c r="V5297" s="4"/>
      <c r="X5297" s="4"/>
      <c r="Y5297" s="4"/>
    </row>
    <row r="5298" spans="20:25" x14ac:dyDescent="0.25">
      <c r="T5298" s="10"/>
      <c r="U5298" s="4"/>
      <c r="V5298" s="4"/>
      <c r="X5298" s="4"/>
      <c r="Y5298" s="4"/>
    </row>
    <row r="5299" spans="20:25" x14ac:dyDescent="0.25">
      <c r="T5299" s="10"/>
      <c r="U5299" s="4"/>
      <c r="V5299" s="4"/>
      <c r="X5299" s="4"/>
      <c r="Y5299" s="4"/>
    </row>
    <row r="5300" spans="20:25" x14ac:dyDescent="0.25">
      <c r="T5300" s="10"/>
      <c r="U5300" s="4"/>
      <c r="V5300" s="4"/>
      <c r="X5300" s="4"/>
      <c r="Y5300" s="4"/>
    </row>
    <row r="5301" spans="20:25" x14ac:dyDescent="0.25">
      <c r="T5301" s="10"/>
      <c r="U5301" s="4"/>
      <c r="V5301" s="4"/>
      <c r="X5301" s="4"/>
      <c r="Y5301" s="4"/>
    </row>
    <row r="5302" spans="20:25" x14ac:dyDescent="0.25">
      <c r="T5302" s="10"/>
      <c r="U5302" s="4"/>
      <c r="V5302" s="4"/>
      <c r="X5302" s="4"/>
      <c r="Y5302" s="4"/>
    </row>
    <row r="5303" spans="20:25" x14ac:dyDescent="0.25">
      <c r="T5303" s="10"/>
      <c r="U5303" s="4"/>
      <c r="V5303" s="4"/>
      <c r="X5303" s="4"/>
      <c r="Y5303" s="4"/>
    </row>
    <row r="5304" spans="20:25" x14ac:dyDescent="0.25">
      <c r="T5304" s="10"/>
      <c r="U5304" s="4"/>
      <c r="V5304" s="4"/>
      <c r="X5304" s="4"/>
      <c r="Y5304" s="4"/>
    </row>
    <row r="5305" spans="20:25" x14ac:dyDescent="0.25">
      <c r="T5305" s="10"/>
      <c r="U5305" s="4"/>
      <c r="V5305" s="4"/>
      <c r="X5305" s="4"/>
      <c r="Y5305" s="4"/>
    </row>
    <row r="5306" spans="20:25" x14ac:dyDescent="0.25">
      <c r="T5306" s="10"/>
      <c r="U5306" s="4"/>
      <c r="V5306" s="4"/>
      <c r="X5306" s="4"/>
      <c r="Y5306" s="4"/>
    </row>
    <row r="5307" spans="20:25" x14ac:dyDescent="0.25">
      <c r="T5307" s="10"/>
      <c r="U5307" s="4"/>
      <c r="V5307" s="4"/>
      <c r="X5307" s="4"/>
      <c r="Y5307" s="4"/>
    </row>
    <row r="5308" spans="20:25" x14ac:dyDescent="0.25">
      <c r="T5308" s="10"/>
      <c r="U5308" s="4"/>
      <c r="V5308" s="4"/>
      <c r="X5308" s="4"/>
      <c r="Y5308" s="4"/>
    </row>
    <row r="5309" spans="20:25" x14ac:dyDescent="0.25">
      <c r="T5309" s="10"/>
      <c r="U5309" s="4"/>
      <c r="V5309" s="4"/>
      <c r="X5309" s="4"/>
      <c r="Y5309" s="4"/>
    </row>
    <row r="5310" spans="20:25" x14ac:dyDescent="0.25">
      <c r="T5310" s="10"/>
      <c r="U5310" s="4"/>
      <c r="V5310" s="4"/>
      <c r="X5310" s="4"/>
      <c r="Y5310" s="4"/>
    </row>
    <row r="5311" spans="20:25" x14ac:dyDescent="0.25">
      <c r="T5311" s="10"/>
      <c r="U5311" s="4"/>
      <c r="V5311" s="4"/>
      <c r="X5311" s="4"/>
      <c r="Y5311" s="4"/>
    </row>
    <row r="5312" spans="20:25" x14ac:dyDescent="0.25">
      <c r="T5312" s="10"/>
      <c r="U5312" s="4"/>
      <c r="V5312" s="4"/>
      <c r="X5312" s="4"/>
      <c r="Y5312" s="4"/>
    </row>
    <row r="5313" spans="20:25" x14ac:dyDescent="0.25">
      <c r="T5313" s="10"/>
      <c r="U5313" s="4"/>
      <c r="V5313" s="4"/>
      <c r="X5313" s="4"/>
      <c r="Y5313" s="4"/>
    </row>
    <row r="5314" spans="20:25" x14ac:dyDescent="0.25">
      <c r="T5314" s="10"/>
      <c r="U5314" s="4"/>
      <c r="V5314" s="4"/>
      <c r="X5314" s="4"/>
      <c r="Y5314" s="4"/>
    </row>
    <row r="5315" spans="20:25" x14ac:dyDescent="0.25">
      <c r="T5315" s="10"/>
      <c r="U5315" s="4"/>
      <c r="V5315" s="4"/>
      <c r="X5315" s="4"/>
      <c r="Y5315" s="4"/>
    </row>
    <row r="5316" spans="20:25" x14ac:dyDescent="0.25">
      <c r="T5316" s="10"/>
      <c r="U5316" s="4"/>
      <c r="V5316" s="4"/>
      <c r="X5316" s="4"/>
      <c r="Y5316" s="4"/>
    </row>
    <row r="5317" spans="20:25" x14ac:dyDescent="0.25">
      <c r="T5317" s="10"/>
      <c r="U5317" s="4"/>
      <c r="V5317" s="4"/>
      <c r="X5317" s="4"/>
      <c r="Y5317" s="4"/>
    </row>
    <row r="5318" spans="20:25" x14ac:dyDescent="0.25">
      <c r="T5318" s="10"/>
      <c r="U5318" s="4"/>
      <c r="V5318" s="4"/>
      <c r="X5318" s="4"/>
      <c r="Y5318" s="4"/>
    </row>
    <row r="5319" spans="20:25" x14ac:dyDescent="0.25">
      <c r="T5319" s="10"/>
      <c r="U5319" s="4"/>
      <c r="V5319" s="4"/>
      <c r="X5319" s="4"/>
      <c r="Y5319" s="4"/>
    </row>
    <row r="5320" spans="20:25" x14ac:dyDescent="0.25">
      <c r="T5320" s="10"/>
      <c r="U5320" s="4"/>
      <c r="V5320" s="4"/>
      <c r="X5320" s="4"/>
      <c r="Y5320" s="4"/>
    </row>
    <row r="5321" spans="20:25" x14ac:dyDescent="0.25">
      <c r="T5321" s="10"/>
      <c r="U5321" s="4"/>
      <c r="V5321" s="4"/>
      <c r="X5321" s="4"/>
      <c r="Y5321" s="4"/>
    </row>
    <row r="5322" spans="20:25" x14ac:dyDescent="0.25">
      <c r="T5322" s="10"/>
      <c r="U5322" s="4"/>
      <c r="V5322" s="4"/>
      <c r="X5322" s="4"/>
      <c r="Y5322" s="4"/>
    </row>
    <row r="5323" spans="20:25" x14ac:dyDescent="0.25">
      <c r="T5323" s="10"/>
      <c r="U5323" s="4"/>
      <c r="V5323" s="4"/>
      <c r="X5323" s="4"/>
      <c r="Y5323" s="4"/>
    </row>
    <row r="5324" spans="20:25" x14ac:dyDescent="0.25">
      <c r="T5324" s="10"/>
      <c r="U5324" s="4"/>
      <c r="V5324" s="4"/>
      <c r="X5324" s="4"/>
      <c r="Y5324" s="4"/>
    </row>
    <row r="5325" spans="20:25" x14ac:dyDescent="0.25">
      <c r="T5325" s="10"/>
      <c r="U5325" s="4"/>
      <c r="V5325" s="4"/>
      <c r="X5325" s="4"/>
      <c r="Y5325" s="4"/>
    </row>
    <row r="5326" spans="20:25" x14ac:dyDescent="0.25">
      <c r="T5326" s="10"/>
      <c r="U5326" s="4"/>
      <c r="V5326" s="4"/>
      <c r="X5326" s="4"/>
      <c r="Y5326" s="4"/>
    </row>
    <row r="5327" spans="20:25" x14ac:dyDescent="0.25">
      <c r="T5327" s="10"/>
      <c r="U5327" s="4"/>
      <c r="V5327" s="4"/>
      <c r="X5327" s="4"/>
      <c r="Y5327" s="4"/>
    </row>
    <row r="5328" spans="20:25" x14ac:dyDescent="0.25">
      <c r="T5328" s="10"/>
      <c r="U5328" s="4"/>
      <c r="V5328" s="4"/>
      <c r="X5328" s="4"/>
      <c r="Y5328" s="4"/>
    </row>
    <row r="5329" spans="20:25" x14ac:dyDescent="0.25">
      <c r="T5329" s="10"/>
      <c r="U5329" s="4"/>
      <c r="V5329" s="4"/>
      <c r="X5329" s="4"/>
      <c r="Y5329" s="4"/>
    </row>
    <row r="5330" spans="20:25" x14ac:dyDescent="0.25">
      <c r="T5330" s="10"/>
      <c r="U5330" s="4"/>
      <c r="V5330" s="4"/>
      <c r="X5330" s="4"/>
      <c r="Y5330" s="4"/>
    </row>
    <row r="5331" spans="20:25" x14ac:dyDescent="0.25">
      <c r="T5331" s="10"/>
      <c r="U5331" s="4"/>
      <c r="V5331" s="4"/>
      <c r="X5331" s="4"/>
      <c r="Y5331" s="4"/>
    </row>
    <row r="5332" spans="20:25" x14ac:dyDescent="0.25">
      <c r="T5332" s="10"/>
      <c r="U5332" s="4"/>
      <c r="V5332" s="4"/>
      <c r="X5332" s="4"/>
      <c r="Y5332" s="4"/>
    </row>
    <row r="5333" spans="20:25" x14ac:dyDescent="0.25">
      <c r="T5333" s="10"/>
      <c r="U5333" s="4"/>
      <c r="V5333" s="4"/>
      <c r="X5333" s="4"/>
      <c r="Y5333" s="4"/>
    </row>
    <row r="5334" spans="20:25" x14ac:dyDescent="0.25">
      <c r="T5334" s="10"/>
      <c r="U5334" s="4"/>
      <c r="V5334" s="4"/>
      <c r="X5334" s="4"/>
      <c r="Y5334" s="4"/>
    </row>
    <row r="5335" spans="20:25" x14ac:dyDescent="0.25">
      <c r="T5335" s="10"/>
      <c r="U5335" s="4"/>
      <c r="V5335" s="4"/>
      <c r="X5335" s="4"/>
      <c r="Y5335" s="4"/>
    </row>
    <row r="5336" spans="20:25" x14ac:dyDescent="0.25">
      <c r="T5336" s="10"/>
      <c r="U5336" s="4"/>
      <c r="V5336" s="4"/>
      <c r="X5336" s="4"/>
      <c r="Y5336" s="4"/>
    </row>
    <row r="5337" spans="20:25" x14ac:dyDescent="0.25">
      <c r="T5337" s="10"/>
      <c r="U5337" s="4"/>
      <c r="V5337" s="4"/>
      <c r="X5337" s="4"/>
      <c r="Y5337" s="4"/>
    </row>
    <row r="5338" spans="20:25" x14ac:dyDescent="0.25">
      <c r="T5338" s="10"/>
      <c r="U5338" s="4"/>
      <c r="V5338" s="4"/>
      <c r="X5338" s="4"/>
      <c r="Y5338" s="4"/>
    </row>
    <row r="5339" spans="20:25" x14ac:dyDescent="0.25">
      <c r="T5339" s="10"/>
      <c r="U5339" s="4"/>
      <c r="V5339" s="4"/>
      <c r="X5339" s="4"/>
      <c r="Y5339" s="4"/>
    </row>
    <row r="5340" spans="20:25" x14ac:dyDescent="0.25">
      <c r="T5340" s="10"/>
      <c r="U5340" s="4"/>
      <c r="V5340" s="4"/>
      <c r="X5340" s="4"/>
      <c r="Y5340" s="4"/>
    </row>
    <row r="5341" spans="20:25" x14ac:dyDescent="0.25">
      <c r="T5341" s="10"/>
      <c r="U5341" s="4"/>
      <c r="V5341" s="4"/>
      <c r="X5341" s="4"/>
      <c r="Y5341" s="4"/>
    </row>
    <row r="5342" spans="20:25" x14ac:dyDescent="0.25">
      <c r="T5342" s="10"/>
      <c r="U5342" s="4"/>
      <c r="V5342" s="4"/>
      <c r="X5342" s="4"/>
      <c r="Y5342" s="4"/>
    </row>
    <row r="5343" spans="20:25" x14ac:dyDescent="0.25">
      <c r="T5343" s="10"/>
      <c r="U5343" s="4"/>
      <c r="V5343" s="4"/>
      <c r="X5343" s="4"/>
      <c r="Y5343" s="4"/>
    </row>
    <row r="5344" spans="20:25" x14ac:dyDescent="0.25">
      <c r="T5344" s="10"/>
      <c r="U5344" s="4"/>
      <c r="V5344" s="4"/>
      <c r="X5344" s="4"/>
      <c r="Y5344" s="4"/>
    </row>
    <row r="5345" spans="20:25" x14ac:dyDescent="0.25">
      <c r="T5345" s="10"/>
      <c r="U5345" s="4"/>
      <c r="V5345" s="4"/>
      <c r="X5345" s="4"/>
      <c r="Y5345" s="4"/>
    </row>
    <row r="5346" spans="20:25" x14ac:dyDescent="0.25">
      <c r="T5346" s="10"/>
      <c r="U5346" s="4"/>
      <c r="V5346" s="4"/>
      <c r="X5346" s="4"/>
      <c r="Y5346" s="4"/>
    </row>
    <row r="5347" spans="20:25" x14ac:dyDescent="0.25">
      <c r="T5347" s="10"/>
      <c r="U5347" s="4"/>
      <c r="V5347" s="4"/>
      <c r="X5347" s="4"/>
      <c r="Y5347" s="4"/>
    </row>
    <row r="5348" spans="20:25" x14ac:dyDescent="0.25">
      <c r="T5348" s="10"/>
      <c r="U5348" s="4"/>
      <c r="V5348" s="4"/>
      <c r="X5348" s="4"/>
      <c r="Y5348" s="4"/>
    </row>
    <row r="5349" spans="20:25" x14ac:dyDescent="0.25">
      <c r="T5349" s="10"/>
      <c r="U5349" s="4"/>
      <c r="V5349" s="4"/>
      <c r="X5349" s="4"/>
      <c r="Y5349" s="4"/>
    </row>
    <row r="5350" spans="20:25" x14ac:dyDescent="0.25">
      <c r="T5350" s="10"/>
      <c r="U5350" s="4"/>
      <c r="V5350" s="4"/>
      <c r="X5350" s="4"/>
      <c r="Y5350" s="4"/>
    </row>
    <row r="5351" spans="20:25" x14ac:dyDescent="0.25">
      <c r="T5351" s="10"/>
      <c r="U5351" s="4"/>
      <c r="V5351" s="4"/>
      <c r="X5351" s="4"/>
      <c r="Y5351" s="4"/>
    </row>
    <row r="5352" spans="20:25" x14ac:dyDescent="0.25">
      <c r="T5352" s="10"/>
      <c r="U5352" s="4"/>
      <c r="V5352" s="4"/>
      <c r="X5352" s="4"/>
      <c r="Y5352" s="4"/>
    </row>
    <row r="5353" spans="20:25" x14ac:dyDescent="0.25">
      <c r="T5353" s="10"/>
      <c r="U5353" s="4"/>
      <c r="V5353" s="4"/>
      <c r="X5353" s="4"/>
      <c r="Y5353" s="4"/>
    </row>
    <row r="5354" spans="20:25" x14ac:dyDescent="0.25">
      <c r="T5354" s="10"/>
      <c r="U5354" s="4"/>
      <c r="V5354" s="4"/>
      <c r="X5354" s="4"/>
      <c r="Y5354" s="4"/>
    </row>
    <row r="5355" spans="20:25" x14ac:dyDescent="0.25">
      <c r="T5355" s="10"/>
      <c r="U5355" s="4"/>
      <c r="V5355" s="4"/>
      <c r="X5355" s="4"/>
      <c r="Y5355" s="4"/>
    </row>
    <row r="5356" spans="20:25" x14ac:dyDescent="0.25">
      <c r="T5356" s="10"/>
      <c r="U5356" s="4"/>
      <c r="V5356" s="4"/>
      <c r="X5356" s="4"/>
      <c r="Y5356" s="4"/>
    </row>
    <row r="5357" spans="20:25" x14ac:dyDescent="0.25">
      <c r="T5357" s="10"/>
      <c r="U5357" s="4"/>
      <c r="V5357" s="4"/>
      <c r="X5357" s="4"/>
      <c r="Y5357" s="4"/>
    </row>
    <row r="5358" spans="20:25" x14ac:dyDescent="0.25">
      <c r="T5358" s="10"/>
      <c r="U5358" s="4"/>
      <c r="V5358" s="4"/>
      <c r="X5358" s="4"/>
      <c r="Y5358" s="4"/>
    </row>
    <row r="5359" spans="20:25" x14ac:dyDescent="0.25">
      <c r="T5359" s="10"/>
      <c r="U5359" s="4"/>
      <c r="V5359" s="4"/>
      <c r="X5359" s="4"/>
      <c r="Y5359" s="4"/>
    </row>
    <row r="5360" spans="20:25" x14ac:dyDescent="0.25">
      <c r="T5360" s="10"/>
      <c r="U5360" s="4"/>
      <c r="V5360" s="4"/>
      <c r="X5360" s="4"/>
      <c r="Y5360" s="4"/>
    </row>
    <row r="5361" spans="20:25" x14ac:dyDescent="0.25">
      <c r="T5361" s="10"/>
      <c r="U5361" s="4"/>
      <c r="V5361" s="4"/>
      <c r="X5361" s="4"/>
      <c r="Y5361" s="4"/>
    </row>
    <row r="5362" spans="20:25" x14ac:dyDescent="0.25">
      <c r="T5362" s="10"/>
      <c r="U5362" s="4"/>
      <c r="V5362" s="4"/>
      <c r="X5362" s="4"/>
      <c r="Y5362" s="4"/>
    </row>
    <row r="5363" spans="20:25" x14ac:dyDescent="0.25">
      <c r="T5363" s="10"/>
      <c r="U5363" s="4"/>
      <c r="V5363" s="4"/>
      <c r="X5363" s="4"/>
      <c r="Y5363" s="4"/>
    </row>
    <row r="5364" spans="20:25" x14ac:dyDescent="0.25">
      <c r="T5364" s="10"/>
      <c r="U5364" s="4"/>
      <c r="V5364" s="4"/>
      <c r="X5364" s="4"/>
      <c r="Y5364" s="4"/>
    </row>
    <row r="5365" spans="20:25" x14ac:dyDescent="0.25">
      <c r="T5365" s="10"/>
      <c r="U5365" s="4"/>
      <c r="V5365" s="4"/>
      <c r="X5365" s="4"/>
      <c r="Y5365" s="4"/>
    </row>
    <row r="5366" spans="20:25" x14ac:dyDescent="0.25">
      <c r="T5366" s="10"/>
      <c r="U5366" s="4"/>
      <c r="V5366" s="4"/>
      <c r="X5366" s="4"/>
      <c r="Y5366" s="4"/>
    </row>
    <row r="5367" spans="20:25" x14ac:dyDescent="0.25">
      <c r="T5367" s="10"/>
      <c r="U5367" s="4"/>
      <c r="V5367" s="4"/>
      <c r="X5367" s="4"/>
      <c r="Y5367" s="4"/>
    </row>
    <row r="5368" spans="20:25" x14ac:dyDescent="0.25">
      <c r="T5368" s="10"/>
      <c r="U5368" s="4"/>
      <c r="V5368" s="4"/>
      <c r="X5368" s="4"/>
      <c r="Y5368" s="4"/>
    </row>
    <row r="5369" spans="20:25" x14ac:dyDescent="0.25">
      <c r="T5369" s="10"/>
      <c r="U5369" s="4"/>
      <c r="V5369" s="4"/>
      <c r="X5369" s="4"/>
      <c r="Y5369" s="4"/>
    </row>
    <row r="5370" spans="20:25" x14ac:dyDescent="0.25">
      <c r="T5370" s="10"/>
      <c r="U5370" s="4"/>
      <c r="V5370" s="4"/>
      <c r="X5370" s="4"/>
      <c r="Y5370" s="4"/>
    </row>
    <row r="5371" spans="20:25" x14ac:dyDescent="0.25">
      <c r="T5371" s="10"/>
      <c r="U5371" s="4"/>
      <c r="V5371" s="4"/>
      <c r="X5371" s="4"/>
      <c r="Y5371" s="4"/>
    </row>
    <row r="5372" spans="20:25" x14ac:dyDescent="0.25">
      <c r="T5372" s="10"/>
      <c r="U5372" s="4"/>
      <c r="V5372" s="4"/>
      <c r="X5372" s="4"/>
      <c r="Y5372" s="4"/>
    </row>
    <row r="5373" spans="20:25" x14ac:dyDescent="0.25">
      <c r="T5373" s="10"/>
      <c r="U5373" s="4"/>
      <c r="V5373" s="4"/>
      <c r="X5373" s="4"/>
      <c r="Y5373" s="4"/>
    </row>
    <row r="5374" spans="20:25" x14ac:dyDescent="0.25">
      <c r="T5374" s="10"/>
      <c r="U5374" s="4"/>
      <c r="V5374" s="4"/>
      <c r="X5374" s="4"/>
      <c r="Y5374" s="4"/>
    </row>
    <row r="5375" spans="20:25" x14ac:dyDescent="0.25">
      <c r="T5375" s="10"/>
      <c r="U5375" s="4"/>
      <c r="V5375" s="4"/>
      <c r="X5375" s="4"/>
      <c r="Y5375" s="4"/>
    </row>
    <row r="5376" spans="20:25" x14ac:dyDescent="0.25">
      <c r="T5376" s="10"/>
      <c r="U5376" s="4"/>
      <c r="V5376" s="4"/>
      <c r="X5376" s="4"/>
      <c r="Y5376" s="4"/>
    </row>
    <row r="5377" spans="20:25" x14ac:dyDescent="0.25">
      <c r="T5377" s="10"/>
      <c r="U5377" s="4"/>
      <c r="V5377" s="4"/>
      <c r="X5377" s="4"/>
      <c r="Y5377" s="4"/>
    </row>
    <row r="5378" spans="20:25" x14ac:dyDescent="0.25">
      <c r="T5378" s="10"/>
      <c r="U5378" s="4"/>
      <c r="V5378" s="4"/>
      <c r="X5378" s="4"/>
      <c r="Y5378" s="4"/>
    </row>
    <row r="5379" spans="20:25" x14ac:dyDescent="0.25">
      <c r="T5379" s="10"/>
      <c r="U5379" s="4"/>
      <c r="V5379" s="4"/>
      <c r="X5379" s="4"/>
      <c r="Y5379" s="4"/>
    </row>
    <row r="5380" spans="20:25" x14ac:dyDescent="0.25">
      <c r="T5380" s="10"/>
      <c r="U5380" s="4"/>
      <c r="V5380" s="4"/>
      <c r="X5380" s="4"/>
      <c r="Y5380" s="4"/>
    </row>
    <row r="5381" spans="20:25" x14ac:dyDescent="0.25">
      <c r="T5381" s="10"/>
      <c r="U5381" s="4"/>
      <c r="V5381" s="4"/>
      <c r="X5381" s="4"/>
      <c r="Y5381" s="4"/>
    </row>
    <row r="5382" spans="20:25" x14ac:dyDescent="0.25">
      <c r="T5382" s="10"/>
      <c r="U5382" s="4"/>
      <c r="V5382" s="4"/>
      <c r="X5382" s="4"/>
      <c r="Y5382" s="4"/>
    </row>
    <row r="5383" spans="20:25" x14ac:dyDescent="0.25">
      <c r="T5383" s="10"/>
      <c r="U5383" s="4"/>
      <c r="V5383" s="4"/>
      <c r="X5383" s="4"/>
      <c r="Y5383" s="4"/>
    </row>
    <row r="5384" spans="20:25" x14ac:dyDescent="0.25">
      <c r="T5384" s="10"/>
      <c r="U5384" s="4"/>
      <c r="V5384" s="4"/>
      <c r="X5384" s="4"/>
      <c r="Y5384" s="4"/>
    </row>
    <row r="5385" spans="20:25" x14ac:dyDescent="0.25">
      <c r="T5385" s="10"/>
      <c r="U5385" s="4"/>
      <c r="V5385" s="4"/>
      <c r="X5385" s="4"/>
      <c r="Y5385" s="4"/>
    </row>
    <row r="5386" spans="20:25" x14ac:dyDescent="0.25">
      <c r="T5386" s="10"/>
      <c r="U5386" s="4"/>
      <c r="V5386" s="4"/>
      <c r="X5386" s="4"/>
      <c r="Y5386" s="4"/>
    </row>
    <row r="5387" spans="20:25" x14ac:dyDescent="0.25">
      <c r="T5387" s="10"/>
      <c r="U5387" s="4"/>
      <c r="V5387" s="4"/>
      <c r="X5387" s="4"/>
      <c r="Y5387" s="4"/>
    </row>
    <row r="5388" spans="20:25" x14ac:dyDescent="0.25">
      <c r="T5388" s="10"/>
      <c r="U5388" s="4"/>
      <c r="V5388" s="4"/>
      <c r="X5388" s="4"/>
      <c r="Y5388" s="4"/>
    </row>
    <row r="5389" spans="20:25" x14ac:dyDescent="0.25">
      <c r="T5389" s="10"/>
      <c r="U5389" s="4"/>
      <c r="V5389" s="4"/>
      <c r="X5389" s="4"/>
      <c r="Y5389" s="4"/>
    </row>
    <row r="5390" spans="20:25" x14ac:dyDescent="0.25">
      <c r="T5390" s="10"/>
      <c r="U5390" s="4"/>
      <c r="V5390" s="4"/>
      <c r="X5390" s="4"/>
      <c r="Y5390" s="4"/>
    </row>
    <row r="5391" spans="20:25" x14ac:dyDescent="0.25">
      <c r="T5391" s="10"/>
      <c r="U5391" s="4"/>
      <c r="V5391" s="4"/>
      <c r="X5391" s="4"/>
      <c r="Y5391" s="4"/>
    </row>
    <row r="5392" spans="20:25" x14ac:dyDescent="0.25">
      <c r="T5392" s="10"/>
      <c r="U5392" s="4"/>
      <c r="V5392" s="4"/>
      <c r="X5392" s="4"/>
      <c r="Y5392" s="4"/>
    </row>
    <row r="5393" spans="20:25" x14ac:dyDescent="0.25">
      <c r="T5393" s="10"/>
      <c r="U5393" s="4"/>
      <c r="V5393" s="4"/>
      <c r="X5393" s="4"/>
      <c r="Y5393" s="4"/>
    </row>
    <row r="5394" spans="20:25" x14ac:dyDescent="0.25">
      <c r="T5394" s="10"/>
      <c r="U5394" s="4"/>
      <c r="V5394" s="4"/>
      <c r="X5394" s="4"/>
      <c r="Y5394" s="4"/>
    </row>
    <row r="5395" spans="20:25" x14ac:dyDescent="0.25">
      <c r="T5395" s="10"/>
      <c r="U5395" s="4"/>
      <c r="V5395" s="4"/>
      <c r="X5395" s="4"/>
      <c r="Y5395" s="4"/>
    </row>
    <row r="5396" spans="20:25" x14ac:dyDescent="0.25">
      <c r="T5396" s="10"/>
      <c r="U5396" s="4"/>
      <c r="V5396" s="4"/>
      <c r="X5396" s="4"/>
      <c r="Y5396" s="4"/>
    </row>
    <row r="5397" spans="20:25" x14ac:dyDescent="0.25">
      <c r="T5397" s="10"/>
      <c r="U5397" s="4"/>
      <c r="V5397" s="4"/>
      <c r="X5397" s="4"/>
      <c r="Y5397" s="4"/>
    </row>
    <row r="5398" spans="20:25" x14ac:dyDescent="0.25">
      <c r="T5398" s="10"/>
      <c r="U5398" s="4"/>
      <c r="V5398" s="4"/>
      <c r="X5398" s="4"/>
      <c r="Y5398" s="4"/>
    </row>
    <row r="5399" spans="20:25" x14ac:dyDescent="0.25">
      <c r="T5399" s="10"/>
      <c r="U5399" s="4"/>
      <c r="V5399" s="4"/>
      <c r="X5399" s="4"/>
      <c r="Y5399" s="4"/>
    </row>
    <row r="5400" spans="20:25" x14ac:dyDescent="0.25">
      <c r="T5400" s="10"/>
      <c r="U5400" s="4"/>
      <c r="V5400" s="4"/>
      <c r="X5400" s="4"/>
      <c r="Y5400" s="4"/>
    </row>
    <row r="5401" spans="20:25" x14ac:dyDescent="0.25">
      <c r="T5401" s="10"/>
      <c r="U5401" s="4"/>
      <c r="V5401" s="4"/>
      <c r="X5401" s="4"/>
      <c r="Y5401" s="4"/>
    </row>
    <row r="5402" spans="20:25" x14ac:dyDescent="0.25">
      <c r="T5402" s="10"/>
      <c r="U5402" s="4"/>
      <c r="V5402" s="4"/>
      <c r="X5402" s="4"/>
      <c r="Y5402" s="4"/>
    </row>
    <row r="5403" spans="20:25" x14ac:dyDescent="0.25">
      <c r="T5403" s="10"/>
      <c r="U5403" s="4"/>
      <c r="V5403" s="4"/>
      <c r="X5403" s="4"/>
      <c r="Y5403" s="4"/>
    </row>
    <row r="5404" spans="20:25" x14ac:dyDescent="0.25">
      <c r="T5404" s="10"/>
      <c r="U5404" s="4"/>
      <c r="V5404" s="4"/>
      <c r="X5404" s="4"/>
      <c r="Y5404" s="4"/>
    </row>
    <row r="5405" spans="20:25" x14ac:dyDescent="0.25">
      <c r="T5405" s="10"/>
      <c r="U5405" s="4"/>
      <c r="V5405" s="4"/>
      <c r="X5405" s="4"/>
      <c r="Y5405" s="4"/>
    </row>
    <row r="5406" spans="20:25" x14ac:dyDescent="0.25">
      <c r="T5406" s="10"/>
      <c r="U5406" s="4"/>
      <c r="V5406" s="4"/>
      <c r="X5406" s="4"/>
      <c r="Y5406" s="4"/>
    </row>
    <row r="5407" spans="20:25" x14ac:dyDescent="0.25">
      <c r="T5407" s="10"/>
      <c r="U5407" s="4"/>
      <c r="V5407" s="4"/>
      <c r="X5407" s="4"/>
      <c r="Y5407" s="4"/>
    </row>
    <row r="5408" spans="20:25" x14ac:dyDescent="0.25">
      <c r="T5408" s="10"/>
      <c r="U5408" s="4"/>
      <c r="V5408" s="4"/>
      <c r="X5408" s="4"/>
      <c r="Y5408" s="4"/>
    </row>
    <row r="5409" spans="20:25" x14ac:dyDescent="0.25">
      <c r="T5409" s="10"/>
      <c r="U5409" s="4"/>
      <c r="V5409" s="4"/>
      <c r="X5409" s="4"/>
      <c r="Y5409" s="4"/>
    </row>
    <row r="5410" spans="20:25" x14ac:dyDescent="0.25">
      <c r="T5410" s="10"/>
      <c r="U5410" s="4"/>
      <c r="V5410" s="4"/>
      <c r="X5410" s="4"/>
      <c r="Y5410" s="4"/>
    </row>
    <row r="5411" spans="20:25" x14ac:dyDescent="0.25">
      <c r="T5411" s="10"/>
      <c r="U5411" s="4"/>
      <c r="V5411" s="4"/>
      <c r="X5411" s="4"/>
      <c r="Y5411" s="4"/>
    </row>
    <row r="5412" spans="20:25" x14ac:dyDescent="0.25">
      <c r="T5412" s="10"/>
      <c r="U5412" s="4"/>
      <c r="V5412" s="4"/>
      <c r="X5412" s="4"/>
      <c r="Y5412" s="4"/>
    </row>
    <row r="5413" spans="20:25" x14ac:dyDescent="0.25">
      <c r="T5413" s="10"/>
      <c r="U5413" s="4"/>
      <c r="V5413" s="4"/>
      <c r="X5413" s="4"/>
      <c r="Y5413" s="4"/>
    </row>
    <row r="5414" spans="20:25" x14ac:dyDescent="0.25">
      <c r="T5414" s="10"/>
      <c r="U5414" s="4"/>
      <c r="V5414" s="4"/>
      <c r="X5414" s="4"/>
      <c r="Y5414" s="4"/>
    </row>
    <row r="5415" spans="20:25" x14ac:dyDescent="0.25">
      <c r="T5415" s="10"/>
      <c r="U5415" s="4"/>
      <c r="V5415" s="4"/>
      <c r="X5415" s="4"/>
      <c r="Y5415" s="4"/>
    </row>
    <row r="5416" spans="20:25" x14ac:dyDescent="0.25">
      <c r="T5416" s="10"/>
      <c r="U5416" s="4"/>
      <c r="V5416" s="4"/>
      <c r="X5416" s="4"/>
      <c r="Y5416" s="4"/>
    </row>
    <row r="5417" spans="20:25" x14ac:dyDescent="0.25">
      <c r="T5417" s="10"/>
      <c r="U5417" s="4"/>
      <c r="V5417" s="4"/>
      <c r="X5417" s="4"/>
      <c r="Y5417" s="4"/>
    </row>
    <row r="5418" spans="20:25" x14ac:dyDescent="0.25">
      <c r="T5418" s="10"/>
      <c r="U5418" s="4"/>
      <c r="V5418" s="4"/>
      <c r="X5418" s="4"/>
      <c r="Y5418" s="4"/>
    </row>
    <row r="5419" spans="20:25" x14ac:dyDescent="0.25">
      <c r="T5419" s="10"/>
      <c r="U5419" s="4"/>
      <c r="V5419" s="4"/>
      <c r="X5419" s="4"/>
      <c r="Y5419" s="4"/>
    </row>
    <row r="5420" spans="20:25" x14ac:dyDescent="0.25">
      <c r="T5420" s="10"/>
      <c r="U5420" s="4"/>
      <c r="V5420" s="4"/>
      <c r="X5420" s="4"/>
      <c r="Y5420" s="4"/>
    </row>
    <row r="5421" spans="20:25" x14ac:dyDescent="0.25">
      <c r="T5421" s="10"/>
      <c r="U5421" s="4"/>
      <c r="V5421" s="4"/>
      <c r="X5421" s="4"/>
      <c r="Y5421" s="4"/>
    </row>
    <row r="5422" spans="20:25" x14ac:dyDescent="0.25">
      <c r="T5422" s="10"/>
      <c r="U5422" s="4"/>
      <c r="V5422" s="4"/>
      <c r="X5422" s="4"/>
      <c r="Y5422" s="4"/>
    </row>
    <row r="5423" spans="20:25" x14ac:dyDescent="0.25">
      <c r="T5423" s="10"/>
      <c r="U5423" s="4"/>
      <c r="V5423" s="4"/>
      <c r="X5423" s="4"/>
      <c r="Y5423" s="4"/>
    </row>
    <row r="5424" spans="20:25" x14ac:dyDescent="0.25">
      <c r="T5424" s="10"/>
      <c r="U5424" s="4"/>
      <c r="V5424" s="4"/>
      <c r="X5424" s="4"/>
      <c r="Y5424" s="4"/>
    </row>
    <row r="5425" spans="20:25" x14ac:dyDescent="0.25">
      <c r="T5425" s="10"/>
      <c r="U5425" s="4"/>
      <c r="V5425" s="4"/>
      <c r="X5425" s="4"/>
      <c r="Y5425" s="4"/>
    </row>
    <row r="5426" spans="20:25" x14ac:dyDescent="0.25">
      <c r="T5426" s="10"/>
      <c r="U5426" s="4"/>
      <c r="V5426" s="4"/>
      <c r="X5426" s="4"/>
      <c r="Y5426" s="4"/>
    </row>
    <row r="5427" spans="20:25" x14ac:dyDescent="0.25">
      <c r="T5427" s="10"/>
      <c r="U5427" s="4"/>
      <c r="V5427" s="4"/>
      <c r="X5427" s="4"/>
      <c r="Y5427" s="4"/>
    </row>
    <row r="5428" spans="20:25" x14ac:dyDescent="0.25">
      <c r="T5428" s="10"/>
      <c r="U5428" s="4"/>
      <c r="V5428" s="4"/>
      <c r="X5428" s="4"/>
      <c r="Y5428" s="4"/>
    </row>
    <row r="5429" spans="20:25" x14ac:dyDescent="0.25">
      <c r="T5429" s="10"/>
      <c r="U5429" s="4"/>
      <c r="V5429" s="4"/>
      <c r="X5429" s="4"/>
      <c r="Y5429" s="4"/>
    </row>
    <row r="5430" spans="20:25" x14ac:dyDescent="0.25">
      <c r="T5430" s="10"/>
      <c r="U5430" s="4"/>
      <c r="V5430" s="4"/>
      <c r="X5430" s="4"/>
      <c r="Y5430" s="4"/>
    </row>
    <row r="5431" spans="20:25" x14ac:dyDescent="0.25">
      <c r="T5431" s="10"/>
      <c r="U5431" s="4"/>
      <c r="V5431" s="4"/>
      <c r="X5431" s="4"/>
      <c r="Y5431" s="4"/>
    </row>
    <row r="5432" spans="20:25" x14ac:dyDescent="0.25">
      <c r="T5432" s="10"/>
      <c r="U5432" s="4"/>
      <c r="V5432" s="4"/>
      <c r="X5432" s="4"/>
      <c r="Y5432" s="4"/>
    </row>
    <row r="5433" spans="20:25" x14ac:dyDescent="0.25">
      <c r="T5433" s="10"/>
      <c r="U5433" s="4"/>
      <c r="V5433" s="4"/>
      <c r="X5433" s="4"/>
      <c r="Y5433" s="4"/>
    </row>
    <row r="5434" spans="20:25" x14ac:dyDescent="0.25">
      <c r="T5434" s="10"/>
      <c r="U5434" s="4"/>
      <c r="V5434" s="4"/>
      <c r="X5434" s="4"/>
      <c r="Y5434" s="4"/>
    </row>
    <row r="5435" spans="20:25" x14ac:dyDescent="0.25">
      <c r="T5435" s="10"/>
      <c r="U5435" s="4"/>
      <c r="V5435" s="4"/>
      <c r="X5435" s="4"/>
      <c r="Y5435" s="4"/>
    </row>
    <row r="5436" spans="20:25" x14ac:dyDescent="0.25">
      <c r="T5436" s="10"/>
      <c r="U5436" s="4"/>
      <c r="V5436" s="4"/>
      <c r="X5436" s="4"/>
      <c r="Y5436" s="4"/>
    </row>
    <row r="5437" spans="20:25" x14ac:dyDescent="0.25">
      <c r="T5437" s="10"/>
      <c r="U5437" s="4"/>
      <c r="V5437" s="4"/>
      <c r="X5437" s="4"/>
      <c r="Y5437" s="4"/>
    </row>
    <row r="5438" spans="20:25" x14ac:dyDescent="0.25">
      <c r="T5438" s="10"/>
      <c r="U5438" s="4"/>
      <c r="V5438" s="4"/>
      <c r="X5438" s="4"/>
      <c r="Y5438" s="4"/>
    </row>
    <row r="5439" spans="20:25" x14ac:dyDescent="0.25">
      <c r="T5439" s="10"/>
      <c r="U5439" s="4"/>
      <c r="V5439" s="4"/>
      <c r="X5439" s="4"/>
      <c r="Y5439" s="4"/>
    </row>
    <row r="5440" spans="20:25" x14ac:dyDescent="0.25">
      <c r="T5440" s="10"/>
      <c r="U5440" s="4"/>
      <c r="V5440" s="4"/>
      <c r="X5440" s="4"/>
      <c r="Y5440" s="4"/>
    </row>
    <row r="5441" spans="20:25" x14ac:dyDescent="0.25">
      <c r="T5441" s="10"/>
      <c r="U5441" s="4"/>
      <c r="V5441" s="4"/>
      <c r="X5441" s="4"/>
      <c r="Y5441" s="4"/>
    </row>
    <row r="5442" spans="20:25" x14ac:dyDescent="0.25">
      <c r="T5442" s="10"/>
      <c r="U5442" s="4"/>
      <c r="V5442" s="4"/>
      <c r="X5442" s="4"/>
      <c r="Y5442" s="4"/>
    </row>
    <row r="5443" spans="20:25" x14ac:dyDescent="0.25">
      <c r="T5443" s="10"/>
      <c r="U5443" s="4"/>
      <c r="V5443" s="4"/>
      <c r="X5443" s="4"/>
      <c r="Y5443" s="4"/>
    </row>
    <row r="5444" spans="20:25" x14ac:dyDescent="0.25">
      <c r="T5444" s="10"/>
      <c r="U5444" s="4"/>
      <c r="V5444" s="4"/>
      <c r="X5444" s="4"/>
      <c r="Y5444" s="4"/>
    </row>
    <row r="5445" spans="20:25" x14ac:dyDescent="0.25">
      <c r="T5445" s="10"/>
      <c r="U5445" s="4"/>
      <c r="V5445" s="4"/>
      <c r="X5445" s="4"/>
      <c r="Y5445" s="4"/>
    </row>
    <row r="5446" spans="20:25" x14ac:dyDescent="0.25">
      <c r="T5446" s="10"/>
      <c r="U5446" s="4"/>
      <c r="V5446" s="4"/>
      <c r="X5446" s="4"/>
      <c r="Y5446" s="4"/>
    </row>
    <row r="5447" spans="20:25" x14ac:dyDescent="0.25">
      <c r="T5447" s="10"/>
      <c r="U5447" s="4"/>
      <c r="V5447" s="4"/>
      <c r="X5447" s="4"/>
      <c r="Y5447" s="4"/>
    </row>
    <row r="5448" spans="20:25" x14ac:dyDescent="0.25">
      <c r="T5448" s="10"/>
      <c r="U5448" s="4"/>
      <c r="V5448" s="4"/>
      <c r="X5448" s="4"/>
      <c r="Y5448" s="4"/>
    </row>
    <row r="5449" spans="20:25" x14ac:dyDescent="0.25">
      <c r="T5449" s="10"/>
      <c r="U5449" s="4"/>
      <c r="V5449" s="4"/>
      <c r="X5449" s="4"/>
      <c r="Y5449" s="4"/>
    </row>
    <row r="5450" spans="20:25" x14ac:dyDescent="0.25">
      <c r="T5450" s="10"/>
      <c r="U5450" s="4"/>
      <c r="V5450" s="4"/>
      <c r="X5450" s="4"/>
      <c r="Y5450" s="4"/>
    </row>
    <row r="5451" spans="20:25" x14ac:dyDescent="0.25">
      <c r="T5451" s="10"/>
      <c r="U5451" s="4"/>
      <c r="V5451" s="4"/>
      <c r="X5451" s="4"/>
      <c r="Y5451" s="4"/>
    </row>
    <row r="5452" spans="20:25" x14ac:dyDescent="0.25">
      <c r="T5452" s="10"/>
      <c r="U5452" s="4"/>
      <c r="V5452" s="4"/>
      <c r="X5452" s="4"/>
      <c r="Y5452" s="4"/>
    </row>
    <row r="5453" spans="20:25" x14ac:dyDescent="0.25">
      <c r="T5453" s="10"/>
      <c r="U5453" s="4"/>
      <c r="V5453" s="4"/>
      <c r="X5453" s="4"/>
      <c r="Y5453" s="4"/>
    </row>
    <row r="5454" spans="20:25" x14ac:dyDescent="0.25">
      <c r="T5454" s="10"/>
      <c r="U5454" s="4"/>
      <c r="V5454" s="4"/>
      <c r="X5454" s="4"/>
      <c r="Y5454" s="4"/>
    </row>
    <row r="5455" spans="20:25" x14ac:dyDescent="0.25">
      <c r="T5455" s="10"/>
      <c r="U5455" s="4"/>
      <c r="V5455" s="4"/>
      <c r="X5455" s="4"/>
      <c r="Y5455" s="4"/>
    </row>
    <row r="5456" spans="20:25" x14ac:dyDescent="0.25">
      <c r="T5456" s="10"/>
      <c r="U5456" s="4"/>
      <c r="V5456" s="4"/>
      <c r="X5456" s="4"/>
      <c r="Y5456" s="4"/>
    </row>
    <row r="5457" spans="20:25" x14ac:dyDescent="0.25">
      <c r="T5457" s="10"/>
      <c r="U5457" s="4"/>
      <c r="V5457" s="4"/>
      <c r="X5457" s="4"/>
      <c r="Y5457" s="4"/>
    </row>
    <row r="5458" spans="20:25" x14ac:dyDescent="0.25">
      <c r="T5458" s="10"/>
      <c r="U5458" s="4"/>
      <c r="V5458" s="4"/>
      <c r="X5458" s="4"/>
      <c r="Y5458" s="4"/>
    </row>
    <row r="5459" spans="20:25" x14ac:dyDescent="0.25">
      <c r="T5459" s="10"/>
      <c r="U5459" s="4"/>
      <c r="V5459" s="4"/>
      <c r="X5459" s="4"/>
      <c r="Y5459" s="4"/>
    </row>
    <row r="5460" spans="20:25" x14ac:dyDescent="0.25">
      <c r="T5460" s="10"/>
      <c r="U5460" s="4"/>
      <c r="V5460" s="4"/>
      <c r="X5460" s="4"/>
      <c r="Y5460" s="4"/>
    </row>
    <row r="5461" spans="20:25" x14ac:dyDescent="0.25">
      <c r="T5461" s="10"/>
      <c r="U5461" s="4"/>
      <c r="V5461" s="4"/>
      <c r="X5461" s="4"/>
      <c r="Y5461" s="4"/>
    </row>
    <row r="5462" spans="20:25" x14ac:dyDescent="0.25">
      <c r="T5462" s="10"/>
      <c r="U5462" s="4"/>
      <c r="V5462" s="4"/>
      <c r="X5462" s="4"/>
      <c r="Y5462" s="4"/>
    </row>
    <row r="5463" spans="20:25" x14ac:dyDescent="0.25">
      <c r="T5463" s="10"/>
      <c r="U5463" s="4"/>
      <c r="V5463" s="4"/>
      <c r="X5463" s="4"/>
      <c r="Y5463" s="4"/>
    </row>
    <row r="5464" spans="20:25" x14ac:dyDescent="0.25">
      <c r="T5464" s="10"/>
      <c r="U5464" s="4"/>
      <c r="V5464" s="4"/>
      <c r="X5464" s="4"/>
      <c r="Y5464" s="4"/>
    </row>
    <row r="5465" spans="20:25" x14ac:dyDescent="0.25">
      <c r="T5465" s="10"/>
      <c r="U5465" s="4"/>
      <c r="V5465" s="4"/>
      <c r="X5465" s="4"/>
      <c r="Y5465" s="4"/>
    </row>
    <row r="5466" spans="20:25" x14ac:dyDescent="0.25">
      <c r="T5466" s="10"/>
      <c r="U5466" s="4"/>
      <c r="V5466" s="4"/>
      <c r="X5466" s="4"/>
      <c r="Y5466" s="4"/>
    </row>
    <row r="5467" spans="20:25" x14ac:dyDescent="0.25">
      <c r="T5467" s="10"/>
      <c r="U5467" s="4"/>
      <c r="V5467" s="4"/>
      <c r="X5467" s="4"/>
      <c r="Y5467" s="4"/>
    </row>
    <row r="5468" spans="20:25" x14ac:dyDescent="0.25">
      <c r="T5468" s="10"/>
      <c r="U5468" s="4"/>
      <c r="V5468" s="4"/>
      <c r="X5468" s="4"/>
      <c r="Y5468" s="4"/>
    </row>
    <row r="5469" spans="20:25" x14ac:dyDescent="0.25">
      <c r="T5469" s="10"/>
      <c r="U5469" s="4"/>
      <c r="V5469" s="4"/>
      <c r="X5469" s="4"/>
      <c r="Y5469" s="4"/>
    </row>
    <row r="5470" spans="20:25" x14ac:dyDescent="0.25">
      <c r="T5470" s="10"/>
      <c r="U5470" s="4"/>
      <c r="V5470" s="4"/>
      <c r="X5470" s="4"/>
      <c r="Y5470" s="4"/>
    </row>
    <row r="5471" spans="20:25" x14ac:dyDescent="0.25">
      <c r="T5471" s="10"/>
      <c r="U5471" s="4"/>
      <c r="V5471" s="4"/>
      <c r="X5471" s="4"/>
      <c r="Y5471" s="4"/>
    </row>
    <row r="5472" spans="20:25" x14ac:dyDescent="0.25">
      <c r="T5472" s="10"/>
      <c r="U5472" s="4"/>
      <c r="V5472" s="4"/>
      <c r="X5472" s="4"/>
      <c r="Y5472" s="4"/>
    </row>
    <row r="5473" spans="20:25" x14ac:dyDescent="0.25">
      <c r="T5473" s="10"/>
      <c r="U5473" s="4"/>
      <c r="V5473" s="4"/>
      <c r="X5473" s="4"/>
      <c r="Y5473" s="4"/>
    </row>
    <row r="5474" spans="20:25" x14ac:dyDescent="0.25">
      <c r="T5474" s="10"/>
      <c r="U5474" s="4"/>
      <c r="V5474" s="4"/>
      <c r="X5474" s="4"/>
      <c r="Y5474" s="4"/>
    </row>
    <row r="5475" spans="20:25" x14ac:dyDescent="0.25">
      <c r="T5475" s="10"/>
      <c r="U5475" s="4"/>
      <c r="V5475" s="4"/>
      <c r="X5475" s="4"/>
      <c r="Y5475" s="4"/>
    </row>
    <row r="5476" spans="20:25" x14ac:dyDescent="0.25">
      <c r="T5476" s="10"/>
      <c r="U5476" s="4"/>
      <c r="V5476" s="4"/>
      <c r="X5476" s="4"/>
      <c r="Y5476" s="4"/>
    </row>
    <row r="5477" spans="20:25" x14ac:dyDescent="0.25">
      <c r="T5477" s="10"/>
      <c r="U5477" s="4"/>
      <c r="V5477" s="4"/>
      <c r="X5477" s="4"/>
      <c r="Y5477" s="4"/>
    </row>
    <row r="5478" spans="20:25" x14ac:dyDescent="0.25">
      <c r="T5478" s="10"/>
      <c r="U5478" s="4"/>
      <c r="V5478" s="4"/>
      <c r="X5478" s="4"/>
      <c r="Y5478" s="4"/>
    </row>
    <row r="5479" spans="20:25" x14ac:dyDescent="0.25">
      <c r="T5479" s="10"/>
      <c r="U5479" s="4"/>
      <c r="V5479" s="4"/>
      <c r="X5479" s="4"/>
      <c r="Y5479" s="4"/>
    </row>
    <row r="5480" spans="20:25" x14ac:dyDescent="0.25">
      <c r="T5480" s="10"/>
      <c r="U5480" s="4"/>
      <c r="V5480" s="4"/>
      <c r="X5480" s="4"/>
      <c r="Y5480" s="4"/>
    </row>
    <row r="5481" spans="20:25" x14ac:dyDescent="0.25">
      <c r="T5481" s="10"/>
      <c r="U5481" s="4"/>
      <c r="V5481" s="4"/>
      <c r="X5481" s="4"/>
      <c r="Y5481" s="4"/>
    </row>
    <row r="5482" spans="20:25" x14ac:dyDescent="0.25">
      <c r="T5482" s="10"/>
      <c r="U5482" s="4"/>
      <c r="V5482" s="4"/>
      <c r="X5482" s="4"/>
      <c r="Y5482" s="4"/>
    </row>
    <row r="5483" spans="20:25" x14ac:dyDescent="0.25">
      <c r="T5483" s="10"/>
      <c r="U5483" s="4"/>
      <c r="V5483" s="4"/>
      <c r="X5483" s="4"/>
      <c r="Y5483" s="4"/>
    </row>
    <row r="5484" spans="20:25" x14ac:dyDescent="0.25">
      <c r="T5484" s="10"/>
      <c r="U5484" s="4"/>
      <c r="V5484" s="4"/>
      <c r="X5484" s="4"/>
      <c r="Y5484" s="4"/>
    </row>
    <row r="5485" spans="20:25" x14ac:dyDescent="0.25">
      <c r="T5485" s="10"/>
      <c r="U5485" s="4"/>
      <c r="V5485" s="4"/>
      <c r="X5485" s="4"/>
      <c r="Y5485" s="4"/>
    </row>
    <row r="5486" spans="20:25" x14ac:dyDescent="0.25">
      <c r="T5486" s="10"/>
      <c r="U5486" s="4"/>
      <c r="V5486" s="4"/>
      <c r="X5486" s="4"/>
      <c r="Y5486" s="4"/>
    </row>
    <row r="5487" spans="20:25" x14ac:dyDescent="0.25">
      <c r="T5487" s="10"/>
      <c r="U5487" s="4"/>
      <c r="V5487" s="4"/>
      <c r="X5487" s="4"/>
      <c r="Y5487" s="4"/>
    </row>
    <row r="5488" spans="20:25" x14ac:dyDescent="0.25">
      <c r="T5488" s="10"/>
      <c r="U5488" s="4"/>
      <c r="V5488" s="4"/>
      <c r="X5488" s="4"/>
      <c r="Y5488" s="4"/>
    </row>
    <row r="5489" spans="20:25" x14ac:dyDescent="0.25">
      <c r="T5489" s="10"/>
      <c r="U5489" s="4"/>
      <c r="V5489" s="4"/>
      <c r="X5489" s="4"/>
      <c r="Y5489" s="4"/>
    </row>
    <row r="5490" spans="20:25" x14ac:dyDescent="0.25">
      <c r="T5490" s="10"/>
      <c r="U5490" s="4"/>
      <c r="V5490" s="4"/>
      <c r="X5490" s="4"/>
      <c r="Y5490" s="4"/>
    </row>
    <row r="5491" spans="20:25" x14ac:dyDescent="0.25">
      <c r="T5491" s="10"/>
      <c r="U5491" s="4"/>
      <c r="V5491" s="4"/>
      <c r="X5491" s="4"/>
      <c r="Y5491" s="4"/>
    </row>
    <row r="5492" spans="20:25" x14ac:dyDescent="0.25">
      <c r="T5492" s="10"/>
      <c r="U5492" s="4"/>
      <c r="V5492" s="4"/>
      <c r="X5492" s="4"/>
      <c r="Y5492" s="4"/>
    </row>
    <row r="5493" spans="20:25" x14ac:dyDescent="0.25">
      <c r="T5493" s="10"/>
      <c r="U5493" s="4"/>
      <c r="V5493" s="4"/>
      <c r="X5493" s="4"/>
      <c r="Y5493" s="4"/>
    </row>
    <row r="5494" spans="20:25" x14ac:dyDescent="0.25">
      <c r="T5494" s="10"/>
      <c r="U5494" s="4"/>
      <c r="V5494" s="4"/>
      <c r="X5494" s="4"/>
      <c r="Y5494" s="4"/>
    </row>
    <row r="5495" spans="20:25" x14ac:dyDescent="0.25">
      <c r="T5495" s="10"/>
      <c r="U5495" s="4"/>
      <c r="V5495" s="4"/>
      <c r="X5495" s="4"/>
      <c r="Y5495" s="4"/>
    </row>
    <row r="5496" spans="20:25" x14ac:dyDescent="0.25">
      <c r="T5496" s="10"/>
      <c r="U5496" s="4"/>
      <c r="V5496" s="4"/>
      <c r="X5496" s="4"/>
      <c r="Y5496" s="4"/>
    </row>
    <row r="5497" spans="20:25" x14ac:dyDescent="0.25">
      <c r="T5497" s="10"/>
      <c r="U5497" s="4"/>
      <c r="V5497" s="4"/>
      <c r="X5497" s="4"/>
      <c r="Y5497" s="4"/>
    </row>
    <row r="5498" spans="20:25" x14ac:dyDescent="0.25">
      <c r="T5498" s="10"/>
      <c r="U5498" s="4"/>
      <c r="V5498" s="4"/>
      <c r="X5498" s="4"/>
      <c r="Y5498" s="4"/>
    </row>
    <row r="5499" spans="20:25" x14ac:dyDescent="0.25">
      <c r="T5499" s="10"/>
      <c r="U5499" s="4"/>
      <c r="V5499" s="4"/>
      <c r="X5499" s="4"/>
      <c r="Y5499" s="4"/>
    </row>
    <row r="5500" spans="20:25" x14ac:dyDescent="0.25">
      <c r="T5500" s="10"/>
      <c r="U5500" s="4"/>
      <c r="V5500" s="4"/>
      <c r="X5500" s="4"/>
      <c r="Y5500" s="4"/>
    </row>
    <row r="5501" spans="20:25" x14ac:dyDescent="0.25">
      <c r="T5501" s="10"/>
      <c r="U5501" s="4"/>
      <c r="V5501" s="4"/>
      <c r="X5501" s="4"/>
      <c r="Y5501" s="4"/>
    </row>
    <row r="5502" spans="20:25" x14ac:dyDescent="0.25">
      <c r="T5502" s="10"/>
      <c r="U5502" s="4"/>
      <c r="V5502" s="4"/>
      <c r="X5502" s="4"/>
      <c r="Y5502" s="4"/>
    </row>
    <row r="5503" spans="20:25" x14ac:dyDescent="0.25">
      <c r="T5503" s="10"/>
      <c r="U5503" s="4"/>
      <c r="V5503" s="4"/>
      <c r="X5503" s="4"/>
      <c r="Y5503" s="4"/>
    </row>
    <row r="5504" spans="20:25" x14ac:dyDescent="0.25">
      <c r="T5504" s="10"/>
      <c r="U5504" s="4"/>
      <c r="V5504" s="4"/>
      <c r="X5504" s="4"/>
      <c r="Y5504" s="4"/>
    </row>
    <row r="5505" spans="20:25" x14ac:dyDescent="0.25">
      <c r="T5505" s="10"/>
      <c r="U5505" s="4"/>
      <c r="V5505" s="4"/>
      <c r="X5505" s="4"/>
      <c r="Y5505" s="4"/>
    </row>
    <row r="5506" spans="20:25" x14ac:dyDescent="0.25">
      <c r="T5506" s="10"/>
      <c r="U5506" s="4"/>
      <c r="V5506" s="4"/>
      <c r="X5506" s="4"/>
      <c r="Y5506" s="4"/>
    </row>
    <row r="5507" spans="20:25" x14ac:dyDescent="0.25">
      <c r="T5507" s="10"/>
      <c r="U5507" s="4"/>
      <c r="V5507" s="4"/>
      <c r="X5507" s="4"/>
      <c r="Y5507" s="4"/>
    </row>
    <row r="5508" spans="20:25" x14ac:dyDescent="0.25">
      <c r="T5508" s="10"/>
      <c r="U5508" s="4"/>
      <c r="V5508" s="4"/>
      <c r="X5508" s="4"/>
      <c r="Y5508" s="4"/>
    </row>
    <row r="5509" spans="20:25" x14ac:dyDescent="0.25">
      <c r="T5509" s="10"/>
      <c r="U5509" s="4"/>
      <c r="V5509" s="4"/>
      <c r="X5509" s="4"/>
      <c r="Y5509" s="4"/>
    </row>
    <row r="5510" spans="20:25" x14ac:dyDescent="0.25">
      <c r="T5510" s="10"/>
      <c r="U5510" s="4"/>
      <c r="V5510" s="4"/>
      <c r="X5510" s="4"/>
      <c r="Y5510" s="4"/>
    </row>
    <row r="5511" spans="20:25" x14ac:dyDescent="0.25">
      <c r="T5511" s="10"/>
      <c r="U5511" s="4"/>
      <c r="V5511" s="4"/>
      <c r="X5511" s="4"/>
      <c r="Y5511" s="4"/>
    </row>
    <row r="5512" spans="20:25" x14ac:dyDescent="0.25">
      <c r="T5512" s="10"/>
      <c r="U5512" s="4"/>
      <c r="V5512" s="4"/>
      <c r="X5512" s="4"/>
      <c r="Y5512" s="4"/>
    </row>
    <row r="5513" spans="20:25" x14ac:dyDescent="0.25">
      <c r="T5513" s="10"/>
      <c r="U5513" s="4"/>
      <c r="V5513" s="4"/>
      <c r="X5513" s="4"/>
      <c r="Y5513" s="4"/>
    </row>
    <row r="5514" spans="20:25" x14ac:dyDescent="0.25">
      <c r="T5514" s="10"/>
      <c r="U5514" s="4"/>
      <c r="V5514" s="4"/>
      <c r="X5514" s="4"/>
      <c r="Y5514" s="4"/>
    </row>
    <row r="5515" spans="20:25" x14ac:dyDescent="0.25">
      <c r="T5515" s="10"/>
      <c r="U5515" s="4"/>
      <c r="V5515" s="4"/>
      <c r="X5515" s="4"/>
      <c r="Y5515" s="4"/>
    </row>
    <row r="5516" spans="20:25" x14ac:dyDescent="0.25">
      <c r="T5516" s="10"/>
      <c r="U5516" s="4"/>
      <c r="V5516" s="4"/>
      <c r="X5516" s="4"/>
      <c r="Y5516" s="4"/>
    </row>
    <row r="5517" spans="20:25" x14ac:dyDescent="0.25">
      <c r="T5517" s="10"/>
      <c r="U5517" s="4"/>
      <c r="V5517" s="4"/>
      <c r="X5517" s="4"/>
      <c r="Y5517" s="4"/>
    </row>
    <row r="5518" spans="20:25" x14ac:dyDescent="0.25">
      <c r="T5518" s="10"/>
      <c r="U5518" s="4"/>
      <c r="V5518" s="4"/>
      <c r="X5518" s="4"/>
      <c r="Y5518" s="4"/>
    </row>
    <row r="5519" spans="20:25" x14ac:dyDescent="0.25">
      <c r="T5519" s="10"/>
      <c r="U5519" s="4"/>
      <c r="V5519" s="4"/>
      <c r="X5519" s="4"/>
      <c r="Y5519" s="4"/>
    </row>
    <row r="5520" spans="20:25" x14ac:dyDescent="0.25">
      <c r="T5520" s="10"/>
      <c r="U5520" s="4"/>
      <c r="V5520" s="4"/>
      <c r="X5520" s="4"/>
      <c r="Y5520" s="4"/>
    </row>
    <row r="5521" spans="20:25" x14ac:dyDescent="0.25">
      <c r="T5521" s="10"/>
      <c r="U5521" s="4"/>
      <c r="V5521" s="4"/>
      <c r="X5521" s="4"/>
      <c r="Y5521" s="4"/>
    </row>
    <row r="5522" spans="20:25" x14ac:dyDescent="0.25">
      <c r="T5522" s="10"/>
      <c r="U5522" s="4"/>
      <c r="V5522" s="4"/>
      <c r="X5522" s="4"/>
      <c r="Y5522" s="4"/>
    </row>
    <row r="5523" spans="20:25" x14ac:dyDescent="0.25">
      <c r="T5523" s="10"/>
      <c r="U5523" s="4"/>
      <c r="V5523" s="4"/>
      <c r="X5523" s="4"/>
      <c r="Y5523" s="4"/>
    </row>
    <row r="5524" spans="20:25" x14ac:dyDescent="0.25">
      <c r="T5524" s="10"/>
      <c r="U5524" s="4"/>
      <c r="V5524" s="4"/>
      <c r="X5524" s="4"/>
      <c r="Y5524" s="4"/>
    </row>
    <row r="5525" spans="20:25" x14ac:dyDescent="0.25">
      <c r="T5525" s="10"/>
      <c r="U5525" s="4"/>
      <c r="V5525" s="4"/>
      <c r="X5525" s="4"/>
      <c r="Y5525" s="4"/>
    </row>
    <row r="5526" spans="20:25" x14ac:dyDescent="0.25">
      <c r="T5526" s="10"/>
      <c r="U5526" s="4"/>
      <c r="V5526" s="4"/>
      <c r="X5526" s="4"/>
      <c r="Y5526" s="4"/>
    </row>
    <row r="5527" spans="20:25" x14ac:dyDescent="0.25">
      <c r="T5527" s="10"/>
      <c r="U5527" s="4"/>
      <c r="V5527" s="4"/>
      <c r="X5527" s="4"/>
      <c r="Y5527" s="4"/>
    </row>
    <row r="5528" spans="20:25" x14ac:dyDescent="0.25">
      <c r="T5528" s="10"/>
      <c r="U5528" s="4"/>
      <c r="V5528" s="4"/>
      <c r="X5528" s="4"/>
      <c r="Y5528" s="4"/>
    </row>
    <row r="5529" spans="20:25" x14ac:dyDescent="0.25">
      <c r="T5529" s="10"/>
      <c r="U5529" s="4"/>
      <c r="V5529" s="4"/>
      <c r="X5529" s="4"/>
      <c r="Y5529" s="4"/>
    </row>
    <row r="5530" spans="20:25" x14ac:dyDescent="0.25">
      <c r="T5530" s="10"/>
      <c r="U5530" s="4"/>
      <c r="V5530" s="4"/>
      <c r="X5530" s="4"/>
      <c r="Y5530" s="4"/>
    </row>
    <row r="5531" spans="20:25" x14ac:dyDescent="0.25">
      <c r="T5531" s="10"/>
      <c r="U5531" s="4"/>
      <c r="V5531" s="4"/>
      <c r="X5531" s="4"/>
      <c r="Y5531" s="4"/>
    </row>
    <row r="5532" spans="20:25" x14ac:dyDescent="0.25">
      <c r="T5532" s="10"/>
      <c r="U5532" s="4"/>
      <c r="V5532" s="4"/>
      <c r="X5532" s="4"/>
      <c r="Y5532" s="4"/>
    </row>
    <row r="5533" spans="20:25" x14ac:dyDescent="0.25">
      <c r="T5533" s="10"/>
      <c r="U5533" s="4"/>
      <c r="V5533" s="4"/>
      <c r="X5533" s="4"/>
      <c r="Y5533" s="4"/>
    </row>
    <row r="5534" spans="20:25" x14ac:dyDescent="0.25">
      <c r="T5534" s="10"/>
      <c r="U5534" s="4"/>
      <c r="V5534" s="4"/>
      <c r="X5534" s="4"/>
      <c r="Y5534" s="4"/>
    </row>
    <row r="5535" spans="20:25" x14ac:dyDescent="0.25">
      <c r="T5535" s="10"/>
      <c r="U5535" s="4"/>
      <c r="V5535" s="4"/>
      <c r="X5535" s="4"/>
      <c r="Y5535" s="4"/>
    </row>
    <row r="5536" spans="20:25" x14ac:dyDescent="0.25">
      <c r="T5536" s="10"/>
      <c r="U5536" s="4"/>
      <c r="V5536" s="4"/>
      <c r="X5536" s="4"/>
      <c r="Y5536" s="4"/>
    </row>
    <row r="5537" spans="20:25" x14ac:dyDescent="0.25">
      <c r="T5537" s="10"/>
      <c r="U5537" s="4"/>
      <c r="V5537" s="4"/>
      <c r="X5537" s="4"/>
      <c r="Y5537" s="4"/>
    </row>
    <row r="5538" spans="20:25" x14ac:dyDescent="0.25">
      <c r="T5538" s="10"/>
      <c r="U5538" s="4"/>
      <c r="V5538" s="4"/>
      <c r="X5538" s="4"/>
      <c r="Y5538" s="4"/>
    </row>
    <row r="5539" spans="20:25" x14ac:dyDescent="0.25">
      <c r="T5539" s="10"/>
      <c r="U5539" s="4"/>
      <c r="V5539" s="4"/>
      <c r="X5539" s="4"/>
      <c r="Y5539" s="4"/>
    </row>
    <row r="5540" spans="20:25" x14ac:dyDescent="0.25">
      <c r="T5540" s="10"/>
      <c r="U5540" s="4"/>
      <c r="V5540" s="4"/>
      <c r="X5540" s="4"/>
      <c r="Y5540" s="4"/>
    </row>
    <row r="5541" spans="20:25" x14ac:dyDescent="0.25">
      <c r="T5541" s="10"/>
      <c r="U5541" s="4"/>
      <c r="V5541" s="4"/>
      <c r="X5541" s="4"/>
      <c r="Y5541" s="4"/>
    </row>
    <row r="5542" spans="20:25" x14ac:dyDescent="0.25">
      <c r="T5542" s="10"/>
      <c r="U5542" s="4"/>
      <c r="V5542" s="4"/>
      <c r="X5542" s="4"/>
      <c r="Y5542" s="4"/>
    </row>
    <row r="5543" spans="20:25" x14ac:dyDescent="0.25">
      <c r="T5543" s="10"/>
      <c r="U5543" s="4"/>
      <c r="V5543" s="4"/>
      <c r="X5543" s="4"/>
      <c r="Y5543" s="4"/>
    </row>
    <row r="5544" spans="20:25" x14ac:dyDescent="0.25">
      <c r="T5544" s="10"/>
      <c r="U5544" s="4"/>
      <c r="V5544" s="4"/>
      <c r="X5544" s="4"/>
      <c r="Y5544" s="4"/>
    </row>
    <row r="5545" spans="20:25" x14ac:dyDescent="0.25">
      <c r="T5545" s="10"/>
      <c r="U5545" s="4"/>
      <c r="V5545" s="4"/>
      <c r="X5545" s="4"/>
      <c r="Y5545" s="4"/>
    </row>
    <row r="5546" spans="20:25" x14ac:dyDescent="0.25">
      <c r="T5546" s="10"/>
      <c r="U5546" s="4"/>
      <c r="V5546" s="4"/>
      <c r="X5546" s="4"/>
      <c r="Y5546" s="4"/>
    </row>
    <row r="5547" spans="20:25" x14ac:dyDescent="0.25">
      <c r="T5547" s="10"/>
      <c r="U5547" s="4"/>
      <c r="V5547" s="4"/>
      <c r="X5547" s="4"/>
      <c r="Y5547" s="4"/>
    </row>
    <row r="5548" spans="20:25" x14ac:dyDescent="0.25">
      <c r="T5548" s="10"/>
      <c r="U5548" s="4"/>
      <c r="V5548" s="4"/>
      <c r="X5548" s="4"/>
      <c r="Y5548" s="4"/>
    </row>
    <row r="5549" spans="20:25" x14ac:dyDescent="0.25">
      <c r="T5549" s="10"/>
      <c r="U5549" s="4"/>
      <c r="V5549" s="4"/>
      <c r="X5549" s="4"/>
      <c r="Y5549" s="4"/>
    </row>
    <row r="5550" spans="20:25" x14ac:dyDescent="0.25">
      <c r="T5550" s="10"/>
      <c r="U5550" s="4"/>
      <c r="V5550" s="4"/>
      <c r="X5550" s="4"/>
      <c r="Y5550" s="4"/>
    </row>
    <row r="5551" spans="20:25" x14ac:dyDescent="0.25">
      <c r="T5551" s="10"/>
      <c r="U5551" s="4"/>
      <c r="V5551" s="4"/>
      <c r="X5551" s="4"/>
      <c r="Y5551" s="4"/>
    </row>
    <row r="5552" spans="20:25" x14ac:dyDescent="0.25">
      <c r="T5552" s="10"/>
      <c r="U5552" s="4"/>
      <c r="V5552" s="4"/>
      <c r="X5552" s="4"/>
      <c r="Y5552" s="4"/>
    </row>
    <row r="5553" spans="20:25" x14ac:dyDescent="0.25">
      <c r="T5553" s="10"/>
      <c r="U5553" s="4"/>
      <c r="V5553" s="4"/>
      <c r="X5553" s="4"/>
      <c r="Y5553" s="4"/>
    </row>
    <row r="5554" spans="20:25" x14ac:dyDescent="0.25">
      <c r="T5554" s="10"/>
      <c r="U5554" s="4"/>
      <c r="V5554" s="4"/>
      <c r="X5554" s="4"/>
      <c r="Y5554" s="4"/>
    </row>
    <row r="5555" spans="20:25" x14ac:dyDescent="0.25">
      <c r="T5555" s="10"/>
      <c r="U5555" s="4"/>
      <c r="V5555" s="4"/>
      <c r="X5555" s="4"/>
      <c r="Y5555" s="4"/>
    </row>
    <row r="5556" spans="20:25" x14ac:dyDescent="0.25">
      <c r="T5556" s="10"/>
      <c r="U5556" s="4"/>
      <c r="V5556" s="4"/>
      <c r="X5556" s="4"/>
      <c r="Y5556" s="4"/>
    </row>
    <row r="5557" spans="20:25" x14ac:dyDescent="0.25">
      <c r="T5557" s="10"/>
      <c r="U5557" s="4"/>
      <c r="V5557" s="4"/>
      <c r="X5557" s="4"/>
      <c r="Y5557" s="4"/>
    </row>
    <row r="5558" spans="20:25" x14ac:dyDescent="0.25">
      <c r="T5558" s="10"/>
      <c r="U5558" s="4"/>
      <c r="V5558" s="4"/>
      <c r="X5558" s="4"/>
      <c r="Y5558" s="4"/>
    </row>
    <row r="5559" spans="20:25" x14ac:dyDescent="0.25">
      <c r="T5559" s="10"/>
      <c r="U5559" s="4"/>
      <c r="V5559" s="4"/>
      <c r="X5559" s="4"/>
      <c r="Y5559" s="4"/>
    </row>
    <row r="5560" spans="20:25" x14ac:dyDescent="0.25">
      <c r="T5560" s="10"/>
      <c r="U5560" s="4"/>
      <c r="V5560" s="4"/>
      <c r="X5560" s="4"/>
      <c r="Y5560" s="4"/>
    </row>
    <row r="5561" spans="20:25" x14ac:dyDescent="0.25">
      <c r="T5561" s="10"/>
      <c r="U5561" s="4"/>
      <c r="V5561" s="4"/>
      <c r="X5561" s="4"/>
      <c r="Y5561" s="4"/>
    </row>
    <row r="5562" spans="20:25" x14ac:dyDescent="0.25">
      <c r="T5562" s="10"/>
      <c r="U5562" s="4"/>
      <c r="V5562" s="4"/>
      <c r="X5562" s="4"/>
      <c r="Y5562" s="4"/>
    </row>
    <row r="5563" spans="20:25" x14ac:dyDescent="0.25">
      <c r="T5563" s="10"/>
      <c r="U5563" s="4"/>
      <c r="V5563" s="4"/>
      <c r="X5563" s="4"/>
      <c r="Y5563" s="4"/>
    </row>
    <row r="5564" spans="20:25" x14ac:dyDescent="0.25">
      <c r="T5564" s="10"/>
      <c r="U5564" s="4"/>
      <c r="V5564" s="4"/>
      <c r="X5564" s="4"/>
      <c r="Y5564" s="4"/>
    </row>
    <row r="5565" spans="20:25" x14ac:dyDescent="0.25">
      <c r="T5565" s="10"/>
      <c r="U5565" s="4"/>
      <c r="V5565" s="4"/>
      <c r="X5565" s="4"/>
      <c r="Y5565" s="4"/>
    </row>
    <row r="5566" spans="20:25" x14ac:dyDescent="0.25">
      <c r="T5566" s="10"/>
      <c r="U5566" s="4"/>
      <c r="V5566" s="4"/>
      <c r="X5566" s="4"/>
      <c r="Y5566" s="4"/>
    </row>
    <row r="5567" spans="20:25" x14ac:dyDescent="0.25">
      <c r="T5567" s="10"/>
      <c r="U5567" s="4"/>
      <c r="V5567" s="4"/>
      <c r="X5567" s="4"/>
      <c r="Y5567" s="4"/>
    </row>
    <row r="5568" spans="20:25" x14ac:dyDescent="0.25">
      <c r="T5568" s="10"/>
      <c r="U5568" s="4"/>
      <c r="V5568" s="4"/>
      <c r="X5568" s="4"/>
      <c r="Y5568" s="4"/>
    </row>
    <row r="5569" spans="20:25" x14ac:dyDescent="0.25">
      <c r="T5569" s="10"/>
      <c r="U5569" s="4"/>
      <c r="V5569" s="4"/>
      <c r="X5569" s="4"/>
      <c r="Y5569" s="4"/>
    </row>
    <row r="5570" spans="20:25" x14ac:dyDescent="0.25">
      <c r="T5570" s="10"/>
      <c r="U5570" s="4"/>
      <c r="V5570" s="4"/>
      <c r="X5570" s="4"/>
      <c r="Y5570" s="4"/>
    </row>
    <row r="5571" spans="20:25" x14ac:dyDescent="0.25">
      <c r="T5571" s="10"/>
      <c r="U5571" s="4"/>
      <c r="V5571" s="4"/>
      <c r="X5571" s="4"/>
      <c r="Y5571" s="4"/>
    </row>
    <row r="5572" spans="20:25" x14ac:dyDescent="0.25">
      <c r="T5572" s="10"/>
      <c r="U5572" s="4"/>
      <c r="V5572" s="4"/>
      <c r="X5572" s="4"/>
      <c r="Y5572" s="4"/>
    </row>
    <row r="5573" spans="20:25" x14ac:dyDescent="0.25">
      <c r="T5573" s="10"/>
      <c r="U5573" s="4"/>
      <c r="V5573" s="4"/>
      <c r="X5573" s="4"/>
      <c r="Y5573" s="4"/>
    </row>
    <row r="5574" spans="20:25" x14ac:dyDescent="0.25">
      <c r="T5574" s="10"/>
      <c r="U5574" s="4"/>
      <c r="V5574" s="4"/>
      <c r="X5574" s="4"/>
      <c r="Y5574" s="4"/>
    </row>
    <row r="5575" spans="20:25" x14ac:dyDescent="0.25">
      <c r="T5575" s="10"/>
      <c r="U5575" s="4"/>
      <c r="V5575" s="4"/>
      <c r="X5575" s="4"/>
      <c r="Y5575" s="4"/>
    </row>
    <row r="5576" spans="20:25" x14ac:dyDescent="0.25">
      <c r="T5576" s="10"/>
      <c r="U5576" s="4"/>
      <c r="V5576" s="4"/>
      <c r="X5576" s="4"/>
      <c r="Y5576" s="4"/>
    </row>
    <row r="5577" spans="20:25" x14ac:dyDescent="0.25">
      <c r="T5577" s="10"/>
      <c r="U5577" s="4"/>
      <c r="V5577" s="4"/>
      <c r="X5577" s="4"/>
      <c r="Y5577" s="4"/>
    </row>
    <row r="5578" spans="20:25" x14ac:dyDescent="0.25">
      <c r="T5578" s="10"/>
      <c r="U5578" s="4"/>
      <c r="V5578" s="4"/>
      <c r="X5578" s="4"/>
      <c r="Y5578" s="4"/>
    </row>
    <row r="5579" spans="20:25" x14ac:dyDescent="0.25">
      <c r="T5579" s="10"/>
      <c r="U5579" s="4"/>
      <c r="V5579" s="4"/>
      <c r="X5579" s="4"/>
      <c r="Y5579" s="4"/>
    </row>
    <row r="5580" spans="20:25" x14ac:dyDescent="0.25">
      <c r="T5580" s="10"/>
      <c r="U5580" s="4"/>
      <c r="V5580" s="4"/>
      <c r="X5580" s="4"/>
      <c r="Y5580" s="4"/>
    </row>
    <row r="5581" spans="20:25" x14ac:dyDescent="0.25">
      <c r="T5581" s="10"/>
      <c r="U5581" s="4"/>
      <c r="V5581" s="4"/>
      <c r="X5581" s="4"/>
      <c r="Y5581" s="4"/>
    </row>
    <row r="5582" spans="20:25" x14ac:dyDescent="0.25">
      <c r="T5582" s="10"/>
      <c r="U5582" s="4"/>
      <c r="V5582" s="4"/>
      <c r="X5582" s="4"/>
      <c r="Y5582" s="4"/>
    </row>
    <row r="5583" spans="20:25" x14ac:dyDescent="0.25">
      <c r="T5583" s="10"/>
      <c r="U5583" s="4"/>
      <c r="V5583" s="4"/>
      <c r="X5583" s="4"/>
      <c r="Y5583" s="4"/>
    </row>
    <row r="5584" spans="20:25" x14ac:dyDescent="0.25">
      <c r="T5584" s="10"/>
      <c r="U5584" s="4"/>
      <c r="V5584" s="4"/>
      <c r="X5584" s="4"/>
      <c r="Y5584" s="4"/>
    </row>
    <row r="5585" spans="20:25" x14ac:dyDescent="0.25">
      <c r="T5585" s="10"/>
      <c r="U5585" s="4"/>
      <c r="V5585" s="4"/>
      <c r="X5585" s="4"/>
      <c r="Y5585" s="4"/>
    </row>
    <row r="5586" spans="20:25" x14ac:dyDescent="0.25">
      <c r="T5586" s="10"/>
      <c r="U5586" s="4"/>
      <c r="V5586" s="4"/>
      <c r="X5586" s="4"/>
      <c r="Y5586" s="4"/>
    </row>
    <row r="5587" spans="20:25" x14ac:dyDescent="0.25">
      <c r="T5587" s="10"/>
      <c r="U5587" s="4"/>
      <c r="V5587" s="4"/>
      <c r="X5587" s="4"/>
      <c r="Y5587" s="4"/>
    </row>
    <row r="5588" spans="20:25" x14ac:dyDescent="0.25">
      <c r="T5588" s="10"/>
      <c r="U5588" s="4"/>
      <c r="V5588" s="4"/>
      <c r="X5588" s="4"/>
      <c r="Y5588" s="4"/>
    </row>
    <row r="5589" spans="20:25" x14ac:dyDescent="0.25">
      <c r="T5589" s="10"/>
      <c r="U5589" s="4"/>
      <c r="V5589" s="4"/>
      <c r="X5589" s="4"/>
      <c r="Y5589" s="4"/>
    </row>
    <row r="5590" spans="20:25" x14ac:dyDescent="0.25">
      <c r="T5590" s="10"/>
      <c r="U5590" s="4"/>
      <c r="V5590" s="4"/>
      <c r="X5590" s="4"/>
      <c r="Y5590" s="4"/>
    </row>
    <row r="5591" spans="20:25" x14ac:dyDescent="0.25">
      <c r="T5591" s="10"/>
      <c r="U5591" s="4"/>
      <c r="V5591" s="4"/>
      <c r="X5591" s="4"/>
      <c r="Y5591" s="4"/>
    </row>
    <row r="5592" spans="20:25" x14ac:dyDescent="0.25">
      <c r="T5592" s="10"/>
      <c r="U5592" s="4"/>
      <c r="V5592" s="4"/>
      <c r="X5592" s="4"/>
      <c r="Y5592" s="4"/>
    </row>
    <row r="5593" spans="20:25" x14ac:dyDescent="0.25">
      <c r="T5593" s="10"/>
      <c r="U5593" s="4"/>
      <c r="V5593" s="4"/>
      <c r="X5593" s="4"/>
      <c r="Y5593" s="4"/>
    </row>
    <row r="5594" spans="20:25" x14ac:dyDescent="0.25">
      <c r="T5594" s="10"/>
      <c r="U5594" s="4"/>
      <c r="V5594" s="4"/>
      <c r="X5594" s="4"/>
      <c r="Y5594" s="4"/>
    </row>
    <row r="5595" spans="20:25" x14ac:dyDescent="0.25">
      <c r="T5595" s="10"/>
      <c r="U5595" s="4"/>
      <c r="V5595" s="4"/>
      <c r="X5595" s="4"/>
      <c r="Y5595" s="4"/>
    </row>
    <row r="5596" spans="20:25" x14ac:dyDescent="0.25">
      <c r="T5596" s="10"/>
      <c r="U5596" s="4"/>
      <c r="V5596" s="4"/>
      <c r="X5596" s="4"/>
      <c r="Y5596" s="4"/>
    </row>
    <row r="5597" spans="20:25" x14ac:dyDescent="0.25">
      <c r="T5597" s="10"/>
      <c r="U5597" s="4"/>
      <c r="V5597" s="4"/>
      <c r="X5597" s="4"/>
      <c r="Y5597" s="4"/>
    </row>
    <row r="5598" spans="20:25" x14ac:dyDescent="0.25">
      <c r="T5598" s="10"/>
      <c r="U5598" s="4"/>
      <c r="V5598" s="4"/>
      <c r="X5598" s="4"/>
      <c r="Y5598" s="4"/>
    </row>
    <row r="5599" spans="20:25" x14ac:dyDescent="0.25">
      <c r="T5599" s="10"/>
      <c r="U5599" s="4"/>
      <c r="V5599" s="4"/>
      <c r="X5599" s="4"/>
      <c r="Y5599" s="4"/>
    </row>
    <row r="5600" spans="20:25" x14ac:dyDescent="0.25">
      <c r="T5600" s="10"/>
      <c r="U5600" s="4"/>
      <c r="V5600" s="4"/>
      <c r="X5600" s="4"/>
      <c r="Y5600" s="4"/>
    </row>
    <row r="5601" spans="20:25" x14ac:dyDescent="0.25">
      <c r="T5601" s="10"/>
      <c r="U5601" s="4"/>
      <c r="V5601" s="4"/>
      <c r="X5601" s="4"/>
      <c r="Y5601" s="4"/>
    </row>
    <row r="5602" spans="20:25" x14ac:dyDescent="0.25">
      <c r="T5602" s="10"/>
      <c r="U5602" s="4"/>
      <c r="V5602" s="4"/>
      <c r="X5602" s="4"/>
      <c r="Y5602" s="4"/>
    </row>
    <row r="5603" spans="20:25" x14ac:dyDescent="0.25">
      <c r="T5603" s="10"/>
      <c r="U5603" s="4"/>
      <c r="V5603" s="4"/>
      <c r="X5603" s="4"/>
      <c r="Y5603" s="4"/>
    </row>
    <row r="5604" spans="20:25" x14ac:dyDescent="0.25">
      <c r="T5604" s="10"/>
      <c r="U5604" s="4"/>
      <c r="V5604" s="4"/>
      <c r="X5604" s="4"/>
      <c r="Y5604" s="4"/>
    </row>
    <row r="5605" spans="20:25" x14ac:dyDescent="0.25">
      <c r="T5605" s="10"/>
      <c r="U5605" s="4"/>
      <c r="V5605" s="4"/>
      <c r="X5605" s="4"/>
      <c r="Y5605" s="4"/>
    </row>
    <row r="5606" spans="20:25" x14ac:dyDescent="0.25">
      <c r="T5606" s="10"/>
      <c r="U5606" s="4"/>
      <c r="V5606" s="4"/>
      <c r="X5606" s="4"/>
      <c r="Y5606" s="4"/>
    </row>
    <row r="5607" spans="20:25" x14ac:dyDescent="0.25">
      <c r="T5607" s="10"/>
      <c r="U5607" s="4"/>
      <c r="V5607" s="4"/>
      <c r="X5607" s="4"/>
      <c r="Y5607" s="4"/>
    </row>
    <row r="5608" spans="20:25" x14ac:dyDescent="0.25">
      <c r="T5608" s="10"/>
      <c r="U5608" s="4"/>
      <c r="V5608" s="4"/>
      <c r="X5608" s="4"/>
      <c r="Y5608" s="4"/>
    </row>
    <row r="5609" spans="20:25" x14ac:dyDescent="0.25">
      <c r="T5609" s="10"/>
      <c r="U5609" s="4"/>
      <c r="V5609" s="4"/>
      <c r="X5609" s="4"/>
      <c r="Y5609" s="4"/>
    </row>
    <row r="5610" spans="20:25" x14ac:dyDescent="0.25">
      <c r="T5610" s="10"/>
      <c r="U5610" s="4"/>
      <c r="V5610" s="4"/>
      <c r="X5610" s="4"/>
      <c r="Y5610" s="4"/>
    </row>
    <row r="5611" spans="20:25" x14ac:dyDescent="0.25">
      <c r="T5611" s="10"/>
      <c r="U5611" s="4"/>
      <c r="V5611" s="4"/>
      <c r="X5611" s="4"/>
      <c r="Y5611" s="4"/>
    </row>
    <row r="5612" spans="20:25" x14ac:dyDescent="0.25">
      <c r="T5612" s="10"/>
      <c r="U5612" s="4"/>
      <c r="V5612" s="4"/>
      <c r="X5612" s="4"/>
      <c r="Y5612" s="4"/>
    </row>
    <row r="5613" spans="20:25" x14ac:dyDescent="0.25">
      <c r="T5613" s="10"/>
      <c r="U5613" s="4"/>
      <c r="V5613" s="4"/>
      <c r="X5613" s="4"/>
      <c r="Y5613" s="4"/>
    </row>
    <row r="5614" spans="20:25" x14ac:dyDescent="0.25">
      <c r="T5614" s="10"/>
      <c r="U5614" s="4"/>
      <c r="V5614" s="4"/>
      <c r="X5614" s="4"/>
      <c r="Y5614" s="4"/>
    </row>
    <row r="5615" spans="20:25" x14ac:dyDescent="0.25">
      <c r="T5615" s="10"/>
      <c r="U5615" s="4"/>
      <c r="V5615" s="4"/>
      <c r="X5615" s="4"/>
      <c r="Y5615" s="4"/>
    </row>
    <row r="5616" spans="20:25" x14ac:dyDescent="0.25">
      <c r="T5616" s="10"/>
      <c r="U5616" s="4"/>
      <c r="V5616" s="4"/>
      <c r="X5616" s="4"/>
      <c r="Y5616" s="4"/>
    </row>
    <row r="5617" spans="20:25" x14ac:dyDescent="0.25">
      <c r="T5617" s="10"/>
      <c r="U5617" s="4"/>
      <c r="V5617" s="4"/>
      <c r="X5617" s="4"/>
      <c r="Y5617" s="4"/>
    </row>
    <row r="5618" spans="20:25" x14ac:dyDescent="0.25">
      <c r="T5618" s="10"/>
      <c r="U5618" s="4"/>
      <c r="V5618" s="4"/>
      <c r="X5618" s="4"/>
      <c r="Y5618" s="4"/>
    </row>
    <row r="5619" spans="20:25" x14ac:dyDescent="0.25">
      <c r="T5619" s="10"/>
      <c r="U5619" s="4"/>
      <c r="V5619" s="4"/>
      <c r="X5619" s="4"/>
      <c r="Y5619" s="4"/>
    </row>
    <row r="5620" spans="20:25" x14ac:dyDescent="0.25">
      <c r="T5620" s="10"/>
      <c r="U5620" s="4"/>
      <c r="V5620" s="4"/>
      <c r="X5620" s="4"/>
      <c r="Y5620" s="4"/>
    </row>
    <row r="5621" spans="20:25" x14ac:dyDescent="0.25">
      <c r="T5621" s="10"/>
      <c r="U5621" s="4"/>
      <c r="V5621" s="4"/>
      <c r="X5621" s="4"/>
      <c r="Y5621" s="4"/>
    </row>
    <row r="5622" spans="20:25" x14ac:dyDescent="0.25">
      <c r="T5622" s="10"/>
      <c r="U5622" s="4"/>
      <c r="V5622" s="4"/>
      <c r="X5622" s="4"/>
      <c r="Y5622" s="4"/>
    </row>
    <row r="5623" spans="20:25" x14ac:dyDescent="0.25">
      <c r="T5623" s="10"/>
      <c r="U5623" s="4"/>
      <c r="V5623" s="4"/>
      <c r="X5623" s="4"/>
      <c r="Y5623" s="4"/>
    </row>
    <row r="5624" spans="20:25" x14ac:dyDescent="0.25">
      <c r="T5624" s="10"/>
      <c r="U5624" s="4"/>
      <c r="V5624" s="4"/>
      <c r="X5624" s="4"/>
      <c r="Y5624" s="4"/>
    </row>
    <row r="5625" spans="20:25" x14ac:dyDescent="0.25">
      <c r="T5625" s="10"/>
      <c r="U5625" s="4"/>
      <c r="V5625" s="4"/>
      <c r="X5625" s="4"/>
      <c r="Y5625" s="4"/>
    </row>
    <row r="5626" spans="20:25" x14ac:dyDescent="0.25">
      <c r="T5626" s="10"/>
      <c r="U5626" s="4"/>
      <c r="V5626" s="4"/>
      <c r="X5626" s="4"/>
      <c r="Y5626" s="4"/>
    </row>
    <row r="5627" spans="20:25" x14ac:dyDescent="0.25">
      <c r="T5627" s="10"/>
      <c r="U5627" s="4"/>
      <c r="V5627" s="4"/>
      <c r="X5627" s="4"/>
      <c r="Y5627" s="4"/>
    </row>
    <row r="5628" spans="20:25" x14ac:dyDescent="0.25">
      <c r="T5628" s="10"/>
      <c r="U5628" s="4"/>
      <c r="V5628" s="4"/>
      <c r="X5628" s="4"/>
      <c r="Y5628" s="4"/>
    </row>
    <row r="5629" spans="20:25" x14ac:dyDescent="0.25">
      <c r="T5629" s="10"/>
      <c r="U5629" s="4"/>
      <c r="V5629" s="4"/>
      <c r="X5629" s="4"/>
      <c r="Y5629" s="4"/>
    </row>
    <row r="5630" spans="20:25" x14ac:dyDescent="0.25">
      <c r="T5630" s="10"/>
      <c r="U5630" s="4"/>
      <c r="V5630" s="4"/>
      <c r="X5630" s="4"/>
      <c r="Y5630" s="4"/>
    </row>
    <row r="5631" spans="20:25" x14ac:dyDescent="0.25">
      <c r="T5631" s="10"/>
      <c r="U5631" s="4"/>
      <c r="V5631" s="4"/>
      <c r="X5631" s="4"/>
      <c r="Y5631" s="4"/>
    </row>
    <row r="5632" spans="20:25" x14ac:dyDescent="0.25">
      <c r="T5632" s="10"/>
      <c r="U5632" s="4"/>
      <c r="V5632" s="4"/>
      <c r="X5632" s="4"/>
      <c r="Y5632" s="4"/>
    </row>
    <row r="5633" spans="20:25" x14ac:dyDescent="0.25">
      <c r="T5633" s="10"/>
      <c r="U5633" s="4"/>
      <c r="V5633" s="4"/>
      <c r="X5633" s="4"/>
      <c r="Y5633" s="4"/>
    </row>
    <row r="5634" spans="20:25" x14ac:dyDescent="0.25">
      <c r="T5634" s="10"/>
      <c r="U5634" s="4"/>
      <c r="V5634" s="4"/>
      <c r="X5634" s="4"/>
      <c r="Y5634" s="4"/>
    </row>
    <row r="5635" spans="20:25" x14ac:dyDescent="0.25">
      <c r="T5635" s="10"/>
      <c r="U5635" s="4"/>
      <c r="V5635" s="4"/>
      <c r="X5635" s="4"/>
      <c r="Y5635" s="4"/>
    </row>
    <row r="5636" spans="20:25" x14ac:dyDescent="0.25">
      <c r="T5636" s="10"/>
      <c r="U5636" s="4"/>
      <c r="V5636" s="4"/>
      <c r="X5636" s="4"/>
      <c r="Y5636" s="4"/>
    </row>
    <row r="5637" spans="20:25" x14ac:dyDescent="0.25">
      <c r="T5637" s="10"/>
      <c r="U5637" s="4"/>
      <c r="V5637" s="4"/>
      <c r="X5637" s="4"/>
      <c r="Y5637" s="4"/>
    </row>
    <row r="5638" spans="20:25" x14ac:dyDescent="0.25">
      <c r="T5638" s="10"/>
      <c r="U5638" s="4"/>
      <c r="V5638" s="4"/>
      <c r="X5638" s="4"/>
      <c r="Y5638" s="4"/>
    </row>
    <row r="5639" spans="20:25" x14ac:dyDescent="0.25">
      <c r="T5639" s="10"/>
      <c r="U5639" s="4"/>
      <c r="V5639" s="4"/>
      <c r="X5639" s="4"/>
      <c r="Y5639" s="4"/>
    </row>
    <row r="5640" spans="20:25" x14ac:dyDescent="0.25">
      <c r="T5640" s="10"/>
      <c r="U5640" s="4"/>
      <c r="V5640" s="4"/>
      <c r="X5640" s="4"/>
      <c r="Y5640" s="4"/>
    </row>
    <row r="5641" spans="20:25" x14ac:dyDescent="0.25">
      <c r="T5641" s="10"/>
      <c r="U5641" s="4"/>
      <c r="V5641" s="4"/>
      <c r="X5641" s="4"/>
      <c r="Y5641" s="4"/>
    </row>
    <row r="5642" spans="20:25" x14ac:dyDescent="0.25">
      <c r="T5642" s="10"/>
      <c r="U5642" s="4"/>
      <c r="V5642" s="4"/>
      <c r="X5642" s="4"/>
      <c r="Y5642" s="4"/>
    </row>
    <row r="5643" spans="20:25" x14ac:dyDescent="0.25">
      <c r="T5643" s="10"/>
      <c r="U5643" s="4"/>
      <c r="V5643" s="4"/>
      <c r="X5643" s="4"/>
      <c r="Y5643" s="4"/>
    </row>
    <row r="5644" spans="20:25" x14ac:dyDescent="0.25">
      <c r="T5644" s="10"/>
      <c r="U5644" s="4"/>
      <c r="V5644" s="4"/>
      <c r="X5644" s="4"/>
      <c r="Y5644" s="4"/>
    </row>
    <row r="5645" spans="20:25" x14ac:dyDescent="0.25">
      <c r="T5645" s="10"/>
      <c r="U5645" s="4"/>
      <c r="V5645" s="4"/>
      <c r="X5645" s="4"/>
      <c r="Y5645" s="4"/>
    </row>
    <row r="5646" spans="20:25" x14ac:dyDescent="0.25">
      <c r="T5646" s="10"/>
      <c r="U5646" s="4"/>
      <c r="V5646" s="4"/>
      <c r="X5646" s="4"/>
      <c r="Y5646" s="4"/>
    </row>
    <row r="5647" spans="20:25" x14ac:dyDescent="0.25">
      <c r="T5647" s="10"/>
      <c r="U5647" s="4"/>
      <c r="V5647" s="4"/>
      <c r="X5647" s="4"/>
      <c r="Y5647" s="4"/>
    </row>
    <row r="5648" spans="20:25" x14ac:dyDescent="0.25">
      <c r="T5648" s="10"/>
      <c r="U5648" s="4"/>
      <c r="V5648" s="4"/>
      <c r="X5648" s="4"/>
      <c r="Y5648" s="4"/>
    </row>
    <row r="5649" spans="20:25" x14ac:dyDescent="0.25">
      <c r="T5649" s="10"/>
      <c r="U5649" s="4"/>
      <c r="V5649" s="4"/>
      <c r="X5649" s="4"/>
      <c r="Y5649" s="4"/>
    </row>
    <row r="5650" spans="20:25" x14ac:dyDescent="0.25">
      <c r="T5650" s="10"/>
      <c r="U5650" s="4"/>
      <c r="V5650" s="4"/>
      <c r="X5650" s="4"/>
      <c r="Y5650" s="4"/>
    </row>
    <row r="5651" spans="20:25" x14ac:dyDescent="0.25">
      <c r="T5651" s="10"/>
      <c r="U5651" s="4"/>
      <c r="V5651" s="4"/>
      <c r="X5651" s="4"/>
      <c r="Y5651" s="4"/>
    </row>
    <row r="5652" spans="20:25" x14ac:dyDescent="0.25">
      <c r="T5652" s="10"/>
      <c r="U5652" s="4"/>
      <c r="V5652" s="4"/>
      <c r="X5652" s="4"/>
      <c r="Y5652" s="4"/>
    </row>
    <row r="5653" spans="20:25" x14ac:dyDescent="0.25">
      <c r="T5653" s="10"/>
      <c r="U5653" s="4"/>
      <c r="V5653" s="4"/>
      <c r="X5653" s="4"/>
      <c r="Y5653" s="4"/>
    </row>
    <row r="5654" spans="20:25" x14ac:dyDescent="0.25">
      <c r="T5654" s="10"/>
      <c r="U5654" s="4"/>
      <c r="V5654" s="4"/>
      <c r="X5654" s="4"/>
      <c r="Y5654" s="4"/>
    </row>
    <row r="5655" spans="20:25" x14ac:dyDescent="0.25">
      <c r="T5655" s="10"/>
      <c r="U5655" s="4"/>
      <c r="V5655" s="4"/>
      <c r="X5655" s="4"/>
      <c r="Y5655" s="4"/>
    </row>
    <row r="5656" spans="20:25" x14ac:dyDescent="0.25">
      <c r="T5656" s="10"/>
      <c r="U5656" s="4"/>
      <c r="V5656" s="4"/>
      <c r="X5656" s="4"/>
      <c r="Y5656" s="4"/>
    </row>
    <row r="5657" spans="20:25" x14ac:dyDescent="0.25">
      <c r="T5657" s="10"/>
      <c r="U5657" s="4"/>
      <c r="V5657" s="4"/>
      <c r="X5657" s="4"/>
      <c r="Y5657" s="4"/>
    </row>
    <row r="5658" spans="20:25" x14ac:dyDescent="0.25">
      <c r="T5658" s="10"/>
      <c r="U5658" s="4"/>
      <c r="V5658" s="4"/>
      <c r="X5658" s="4"/>
      <c r="Y5658" s="4"/>
    </row>
    <row r="5659" spans="20:25" x14ac:dyDescent="0.25">
      <c r="T5659" s="10"/>
      <c r="U5659" s="4"/>
      <c r="V5659" s="4"/>
      <c r="X5659" s="4"/>
      <c r="Y5659" s="4"/>
    </row>
    <row r="5660" spans="20:25" x14ac:dyDescent="0.25">
      <c r="T5660" s="10"/>
      <c r="U5660" s="4"/>
      <c r="V5660" s="4"/>
      <c r="X5660" s="4"/>
      <c r="Y5660" s="4"/>
    </row>
    <row r="5661" spans="20:25" x14ac:dyDescent="0.25">
      <c r="T5661" s="10"/>
      <c r="U5661" s="4"/>
      <c r="V5661" s="4"/>
      <c r="X5661" s="4"/>
      <c r="Y5661" s="4"/>
    </row>
    <row r="5662" spans="20:25" x14ac:dyDescent="0.25">
      <c r="T5662" s="10"/>
      <c r="U5662" s="4"/>
      <c r="V5662" s="4"/>
      <c r="X5662" s="4"/>
      <c r="Y5662" s="4"/>
    </row>
    <row r="5663" spans="20:25" x14ac:dyDescent="0.25">
      <c r="T5663" s="10"/>
      <c r="U5663" s="4"/>
      <c r="V5663" s="4"/>
      <c r="X5663" s="4"/>
      <c r="Y5663" s="4"/>
    </row>
    <row r="5664" spans="20:25" x14ac:dyDescent="0.25">
      <c r="T5664" s="10"/>
      <c r="U5664" s="4"/>
      <c r="V5664" s="4"/>
      <c r="X5664" s="4"/>
      <c r="Y5664" s="4"/>
    </row>
    <row r="5665" spans="20:25" x14ac:dyDescent="0.25">
      <c r="T5665" s="10"/>
      <c r="U5665" s="4"/>
      <c r="V5665" s="4"/>
      <c r="X5665" s="4"/>
      <c r="Y5665" s="4"/>
    </row>
    <row r="5666" spans="20:25" x14ac:dyDescent="0.25">
      <c r="T5666" s="10"/>
      <c r="U5666" s="4"/>
      <c r="V5666" s="4"/>
      <c r="X5666" s="4"/>
      <c r="Y5666" s="4"/>
    </row>
    <row r="5667" spans="20:25" x14ac:dyDescent="0.25">
      <c r="T5667" s="10"/>
      <c r="U5667" s="4"/>
      <c r="V5667" s="4"/>
      <c r="X5667" s="4"/>
      <c r="Y5667" s="4"/>
    </row>
    <row r="5668" spans="20:25" x14ac:dyDescent="0.25">
      <c r="T5668" s="10"/>
      <c r="U5668" s="4"/>
      <c r="V5668" s="4"/>
      <c r="X5668" s="4"/>
      <c r="Y5668" s="4"/>
    </row>
    <row r="5669" spans="20:25" x14ac:dyDescent="0.25">
      <c r="T5669" s="10"/>
      <c r="U5669" s="4"/>
      <c r="V5669" s="4"/>
      <c r="X5669" s="4"/>
      <c r="Y5669" s="4"/>
    </row>
    <row r="5670" spans="20:25" x14ac:dyDescent="0.25">
      <c r="T5670" s="10"/>
      <c r="U5670" s="4"/>
      <c r="V5670" s="4"/>
      <c r="X5670" s="4"/>
      <c r="Y5670" s="4"/>
    </row>
    <row r="5671" spans="20:25" x14ac:dyDescent="0.25">
      <c r="T5671" s="10"/>
      <c r="U5671" s="4"/>
      <c r="V5671" s="4"/>
      <c r="X5671" s="4"/>
      <c r="Y5671" s="4"/>
    </row>
    <row r="5672" spans="20:25" x14ac:dyDescent="0.25">
      <c r="T5672" s="10"/>
      <c r="U5672" s="4"/>
      <c r="V5672" s="4"/>
      <c r="X5672" s="4"/>
      <c r="Y5672" s="4"/>
    </row>
    <row r="5673" spans="20:25" x14ac:dyDescent="0.25">
      <c r="T5673" s="10"/>
      <c r="U5673" s="4"/>
      <c r="V5673" s="4"/>
      <c r="X5673" s="4"/>
      <c r="Y5673" s="4"/>
    </row>
    <row r="5674" spans="20:25" x14ac:dyDescent="0.25">
      <c r="T5674" s="10"/>
      <c r="U5674" s="4"/>
      <c r="V5674" s="4"/>
      <c r="X5674" s="4"/>
      <c r="Y5674" s="4"/>
    </row>
    <row r="5675" spans="20:25" x14ac:dyDescent="0.25">
      <c r="T5675" s="10"/>
      <c r="U5675" s="4"/>
      <c r="V5675" s="4"/>
      <c r="X5675" s="4"/>
      <c r="Y5675" s="4"/>
    </row>
    <row r="5676" spans="20:25" x14ac:dyDescent="0.25">
      <c r="T5676" s="10"/>
      <c r="U5676" s="4"/>
      <c r="V5676" s="4"/>
      <c r="X5676" s="4"/>
      <c r="Y5676" s="4"/>
    </row>
    <row r="5677" spans="20:25" x14ac:dyDescent="0.25">
      <c r="T5677" s="10"/>
      <c r="U5677" s="4"/>
      <c r="V5677" s="4"/>
      <c r="X5677" s="4"/>
      <c r="Y5677" s="4"/>
    </row>
    <row r="5678" spans="20:25" x14ac:dyDescent="0.25">
      <c r="T5678" s="10"/>
      <c r="U5678" s="4"/>
      <c r="V5678" s="4"/>
      <c r="X5678" s="4"/>
      <c r="Y5678" s="4"/>
    </row>
    <row r="5679" spans="20:25" x14ac:dyDescent="0.25">
      <c r="T5679" s="10"/>
      <c r="U5679" s="4"/>
      <c r="V5679" s="4"/>
      <c r="X5679" s="4"/>
      <c r="Y5679" s="4"/>
    </row>
    <row r="5680" spans="20:25" x14ac:dyDescent="0.25">
      <c r="T5680" s="10"/>
      <c r="U5680" s="4"/>
      <c r="V5680" s="4"/>
      <c r="X5680" s="4"/>
      <c r="Y5680" s="4"/>
    </row>
    <row r="5681" spans="20:25" x14ac:dyDescent="0.25">
      <c r="T5681" s="10"/>
      <c r="U5681" s="4"/>
      <c r="V5681" s="4"/>
      <c r="X5681" s="4"/>
      <c r="Y5681" s="4"/>
    </row>
    <row r="5682" spans="20:25" x14ac:dyDescent="0.25">
      <c r="T5682" s="10"/>
      <c r="U5682" s="4"/>
      <c r="V5682" s="4"/>
      <c r="X5682" s="4"/>
      <c r="Y5682" s="4"/>
    </row>
    <row r="5683" spans="20:25" x14ac:dyDescent="0.25">
      <c r="T5683" s="10"/>
      <c r="U5683" s="4"/>
      <c r="V5683" s="4"/>
      <c r="X5683" s="4"/>
      <c r="Y5683" s="4"/>
    </row>
    <row r="5684" spans="20:25" x14ac:dyDescent="0.25">
      <c r="T5684" s="10"/>
      <c r="U5684" s="4"/>
      <c r="V5684" s="4"/>
      <c r="X5684" s="4"/>
      <c r="Y5684" s="4"/>
    </row>
    <row r="5685" spans="20:25" x14ac:dyDescent="0.25">
      <c r="T5685" s="10"/>
      <c r="U5685" s="4"/>
      <c r="V5685" s="4"/>
      <c r="X5685" s="4"/>
      <c r="Y5685" s="4"/>
    </row>
    <row r="5686" spans="20:25" x14ac:dyDescent="0.25">
      <c r="T5686" s="10"/>
      <c r="U5686" s="4"/>
      <c r="V5686" s="4"/>
      <c r="X5686" s="4"/>
      <c r="Y5686" s="4"/>
    </row>
    <row r="5687" spans="20:25" x14ac:dyDescent="0.25">
      <c r="T5687" s="10"/>
      <c r="U5687" s="4"/>
      <c r="V5687" s="4"/>
      <c r="X5687" s="4"/>
      <c r="Y5687" s="4"/>
    </row>
    <row r="5688" spans="20:25" x14ac:dyDescent="0.25">
      <c r="T5688" s="10"/>
      <c r="U5688" s="4"/>
      <c r="V5688" s="4"/>
      <c r="X5688" s="4"/>
      <c r="Y5688" s="4"/>
    </row>
    <row r="5689" spans="20:25" x14ac:dyDescent="0.25">
      <c r="T5689" s="10"/>
      <c r="U5689" s="4"/>
      <c r="V5689" s="4"/>
      <c r="X5689" s="4"/>
      <c r="Y5689" s="4"/>
    </row>
    <row r="5690" spans="20:25" x14ac:dyDescent="0.25">
      <c r="T5690" s="10"/>
      <c r="U5690" s="4"/>
      <c r="V5690" s="4"/>
      <c r="X5690" s="4"/>
      <c r="Y5690" s="4"/>
    </row>
    <row r="5691" spans="20:25" x14ac:dyDescent="0.25">
      <c r="T5691" s="10"/>
      <c r="U5691" s="4"/>
      <c r="V5691" s="4"/>
      <c r="X5691" s="4"/>
      <c r="Y5691" s="4"/>
    </row>
    <row r="5692" spans="20:25" x14ac:dyDescent="0.25">
      <c r="T5692" s="10"/>
      <c r="U5692" s="4"/>
      <c r="V5692" s="4"/>
      <c r="X5692" s="4"/>
      <c r="Y5692" s="4"/>
    </row>
    <row r="5693" spans="20:25" x14ac:dyDescent="0.25">
      <c r="T5693" s="10"/>
      <c r="U5693" s="4"/>
      <c r="V5693" s="4"/>
      <c r="X5693" s="4"/>
      <c r="Y5693" s="4"/>
    </row>
    <row r="5694" spans="20:25" x14ac:dyDescent="0.25">
      <c r="T5694" s="10"/>
      <c r="U5694" s="4"/>
      <c r="V5694" s="4"/>
      <c r="X5694" s="4"/>
      <c r="Y5694" s="4"/>
    </row>
    <row r="5695" spans="20:25" x14ac:dyDescent="0.25">
      <c r="T5695" s="10"/>
      <c r="U5695" s="4"/>
      <c r="V5695" s="4"/>
      <c r="X5695" s="4"/>
      <c r="Y5695" s="4"/>
    </row>
    <row r="5696" spans="20:25" x14ac:dyDescent="0.25">
      <c r="T5696" s="10"/>
      <c r="U5696" s="4"/>
      <c r="V5696" s="4"/>
      <c r="X5696" s="4"/>
      <c r="Y5696" s="4"/>
    </row>
    <row r="5697" spans="20:25" x14ac:dyDescent="0.25">
      <c r="T5697" s="10"/>
      <c r="U5697" s="4"/>
      <c r="V5697" s="4"/>
      <c r="X5697" s="4"/>
      <c r="Y5697" s="4"/>
    </row>
    <row r="5698" spans="20:25" x14ac:dyDescent="0.25">
      <c r="T5698" s="10"/>
      <c r="U5698" s="4"/>
      <c r="V5698" s="4"/>
      <c r="X5698" s="4"/>
      <c r="Y5698" s="4"/>
    </row>
    <row r="5699" spans="20:25" x14ac:dyDescent="0.25">
      <c r="T5699" s="10"/>
      <c r="U5699" s="4"/>
      <c r="V5699" s="4"/>
      <c r="X5699" s="4"/>
      <c r="Y5699" s="4"/>
    </row>
    <row r="5700" spans="20:25" x14ac:dyDescent="0.25">
      <c r="T5700" s="10"/>
      <c r="U5700" s="4"/>
      <c r="V5700" s="4"/>
      <c r="X5700" s="4"/>
      <c r="Y5700" s="4"/>
    </row>
    <row r="5701" spans="20:25" x14ac:dyDescent="0.25">
      <c r="T5701" s="10"/>
      <c r="U5701" s="4"/>
      <c r="V5701" s="4"/>
      <c r="X5701" s="4"/>
      <c r="Y5701" s="4"/>
    </row>
    <row r="5702" spans="20:25" x14ac:dyDescent="0.25">
      <c r="T5702" s="10"/>
      <c r="U5702" s="4"/>
      <c r="V5702" s="4"/>
      <c r="X5702" s="4"/>
      <c r="Y5702" s="4"/>
    </row>
    <row r="5703" spans="20:25" x14ac:dyDescent="0.25">
      <c r="T5703" s="10"/>
      <c r="U5703" s="4"/>
      <c r="V5703" s="4"/>
      <c r="X5703" s="4"/>
      <c r="Y5703" s="4"/>
    </row>
    <row r="5704" spans="20:25" x14ac:dyDescent="0.25">
      <c r="T5704" s="10"/>
      <c r="U5704" s="4"/>
      <c r="V5704" s="4"/>
      <c r="X5704" s="4"/>
      <c r="Y5704" s="4"/>
    </row>
    <row r="5705" spans="20:25" x14ac:dyDescent="0.25">
      <c r="T5705" s="10"/>
      <c r="U5705" s="4"/>
      <c r="V5705" s="4"/>
      <c r="X5705" s="4"/>
      <c r="Y5705" s="4"/>
    </row>
    <row r="5706" spans="20:25" x14ac:dyDescent="0.25">
      <c r="T5706" s="10"/>
      <c r="U5706" s="4"/>
      <c r="V5706" s="4"/>
      <c r="X5706" s="4"/>
      <c r="Y5706" s="4"/>
    </row>
    <row r="5707" spans="20:25" x14ac:dyDescent="0.25">
      <c r="T5707" s="10"/>
      <c r="U5707" s="4"/>
      <c r="V5707" s="4"/>
      <c r="X5707" s="4"/>
      <c r="Y5707" s="4"/>
    </row>
    <row r="5708" spans="20:25" x14ac:dyDescent="0.25">
      <c r="T5708" s="10"/>
      <c r="U5708" s="4"/>
      <c r="V5708" s="4"/>
      <c r="X5708" s="4"/>
      <c r="Y5708" s="4"/>
    </row>
    <row r="5709" spans="20:25" x14ac:dyDescent="0.25">
      <c r="T5709" s="10"/>
      <c r="U5709" s="4"/>
      <c r="V5709" s="4"/>
      <c r="X5709" s="4"/>
      <c r="Y5709" s="4"/>
    </row>
    <row r="5710" spans="20:25" x14ac:dyDescent="0.25">
      <c r="T5710" s="10"/>
      <c r="U5710" s="4"/>
      <c r="V5710" s="4"/>
      <c r="X5710" s="4"/>
      <c r="Y5710" s="4"/>
    </row>
    <row r="5711" spans="20:25" x14ac:dyDescent="0.25">
      <c r="T5711" s="10"/>
      <c r="U5711" s="4"/>
      <c r="V5711" s="4"/>
      <c r="X5711" s="4"/>
      <c r="Y5711" s="4"/>
    </row>
    <row r="5712" spans="20:25" x14ac:dyDescent="0.25">
      <c r="T5712" s="10"/>
      <c r="U5712" s="4"/>
      <c r="V5712" s="4"/>
      <c r="X5712" s="4"/>
      <c r="Y5712" s="4"/>
    </row>
    <row r="5713" spans="20:25" x14ac:dyDescent="0.25">
      <c r="T5713" s="10"/>
      <c r="U5713" s="4"/>
      <c r="V5713" s="4"/>
      <c r="X5713" s="4"/>
      <c r="Y5713" s="4"/>
    </row>
    <row r="5714" spans="20:25" x14ac:dyDescent="0.25">
      <c r="T5714" s="10"/>
      <c r="U5714" s="4"/>
      <c r="V5714" s="4"/>
      <c r="X5714" s="4"/>
      <c r="Y5714" s="4"/>
    </row>
    <row r="5715" spans="20:25" x14ac:dyDescent="0.25">
      <c r="T5715" s="10"/>
      <c r="U5715" s="4"/>
      <c r="V5715" s="4"/>
      <c r="X5715" s="4"/>
      <c r="Y5715" s="4"/>
    </row>
    <row r="5716" spans="20:25" x14ac:dyDescent="0.25">
      <c r="T5716" s="10"/>
      <c r="U5716" s="4"/>
      <c r="V5716" s="4"/>
      <c r="X5716" s="4"/>
      <c r="Y5716" s="4"/>
    </row>
    <row r="5717" spans="20:25" x14ac:dyDescent="0.25">
      <c r="T5717" s="10"/>
      <c r="U5717" s="4"/>
      <c r="V5717" s="4"/>
      <c r="X5717" s="4"/>
      <c r="Y5717" s="4"/>
    </row>
    <row r="5718" spans="20:25" x14ac:dyDescent="0.25">
      <c r="T5718" s="10"/>
      <c r="U5718" s="4"/>
      <c r="V5718" s="4"/>
      <c r="X5718" s="4"/>
      <c r="Y5718" s="4"/>
    </row>
    <row r="5719" spans="20:25" x14ac:dyDescent="0.25">
      <c r="T5719" s="10"/>
      <c r="U5719" s="4"/>
      <c r="V5719" s="4"/>
      <c r="X5719" s="4"/>
      <c r="Y5719" s="4"/>
    </row>
    <row r="5720" spans="20:25" x14ac:dyDescent="0.25">
      <c r="T5720" s="10"/>
      <c r="U5720" s="4"/>
      <c r="V5720" s="4"/>
      <c r="X5720" s="4"/>
      <c r="Y5720" s="4"/>
    </row>
    <row r="5721" spans="20:25" x14ac:dyDescent="0.25">
      <c r="T5721" s="10"/>
      <c r="U5721" s="4"/>
      <c r="V5721" s="4"/>
      <c r="X5721" s="4"/>
      <c r="Y5721" s="4"/>
    </row>
    <row r="5722" spans="20:25" x14ac:dyDescent="0.25">
      <c r="T5722" s="10"/>
      <c r="U5722" s="4"/>
      <c r="V5722" s="4"/>
      <c r="X5722" s="4"/>
      <c r="Y5722" s="4"/>
    </row>
    <row r="5723" spans="20:25" x14ac:dyDescent="0.25">
      <c r="T5723" s="10"/>
      <c r="U5723" s="4"/>
      <c r="V5723" s="4"/>
      <c r="X5723" s="4"/>
      <c r="Y5723" s="4"/>
    </row>
    <row r="5724" spans="20:25" x14ac:dyDescent="0.25">
      <c r="T5724" s="10"/>
      <c r="U5724" s="4"/>
      <c r="V5724" s="4"/>
      <c r="X5724" s="4"/>
      <c r="Y5724" s="4"/>
    </row>
    <row r="5725" spans="20:25" x14ac:dyDescent="0.25">
      <c r="T5725" s="10"/>
      <c r="U5725" s="4"/>
      <c r="V5725" s="4"/>
      <c r="X5725" s="4"/>
      <c r="Y5725" s="4"/>
    </row>
    <row r="5726" spans="20:25" x14ac:dyDescent="0.25">
      <c r="T5726" s="10"/>
      <c r="U5726" s="4"/>
      <c r="V5726" s="4"/>
      <c r="X5726" s="4"/>
      <c r="Y5726" s="4"/>
    </row>
    <row r="5727" spans="20:25" x14ac:dyDescent="0.25">
      <c r="T5727" s="10"/>
      <c r="U5727" s="4"/>
      <c r="V5727" s="4"/>
      <c r="X5727" s="4"/>
      <c r="Y5727" s="4"/>
    </row>
    <row r="5728" spans="20:25" x14ac:dyDescent="0.25">
      <c r="T5728" s="10"/>
      <c r="U5728" s="4"/>
      <c r="V5728" s="4"/>
      <c r="X5728" s="4"/>
      <c r="Y5728" s="4"/>
    </row>
    <row r="5729" spans="20:25" x14ac:dyDescent="0.25">
      <c r="T5729" s="10"/>
      <c r="U5729" s="4"/>
      <c r="V5729" s="4"/>
      <c r="X5729" s="4"/>
      <c r="Y5729" s="4"/>
    </row>
    <row r="5730" spans="20:25" x14ac:dyDescent="0.25">
      <c r="T5730" s="10"/>
      <c r="U5730" s="4"/>
      <c r="V5730" s="4"/>
      <c r="X5730" s="4"/>
      <c r="Y5730" s="4"/>
    </row>
    <row r="5731" spans="20:25" x14ac:dyDescent="0.25">
      <c r="T5731" s="10"/>
      <c r="U5731" s="4"/>
      <c r="V5731" s="4"/>
      <c r="X5731" s="4"/>
      <c r="Y5731" s="4"/>
    </row>
    <row r="5732" spans="20:25" x14ac:dyDescent="0.25">
      <c r="T5732" s="10"/>
      <c r="U5732" s="4"/>
      <c r="V5732" s="4"/>
      <c r="X5732" s="4"/>
      <c r="Y5732" s="4"/>
    </row>
    <row r="5733" spans="20:25" x14ac:dyDescent="0.25">
      <c r="T5733" s="10"/>
      <c r="U5733" s="4"/>
      <c r="V5733" s="4"/>
      <c r="X5733" s="4"/>
      <c r="Y5733" s="4"/>
    </row>
    <row r="5734" spans="20:25" x14ac:dyDescent="0.25">
      <c r="T5734" s="10"/>
      <c r="U5734" s="4"/>
      <c r="V5734" s="4"/>
      <c r="X5734" s="4"/>
      <c r="Y5734" s="4"/>
    </row>
    <row r="5735" spans="20:25" x14ac:dyDescent="0.25">
      <c r="T5735" s="10"/>
      <c r="U5735" s="4"/>
      <c r="V5735" s="4"/>
      <c r="X5735" s="4"/>
      <c r="Y5735" s="4"/>
    </row>
    <row r="5736" spans="20:25" x14ac:dyDescent="0.25">
      <c r="T5736" s="10"/>
      <c r="U5736" s="4"/>
      <c r="V5736" s="4"/>
      <c r="X5736" s="4"/>
      <c r="Y5736" s="4"/>
    </row>
    <row r="5737" spans="20:25" x14ac:dyDescent="0.25">
      <c r="T5737" s="10"/>
      <c r="U5737" s="4"/>
      <c r="V5737" s="4"/>
      <c r="X5737" s="4"/>
      <c r="Y5737" s="4"/>
    </row>
    <row r="5738" spans="20:25" x14ac:dyDescent="0.25">
      <c r="T5738" s="10"/>
      <c r="U5738" s="4"/>
      <c r="V5738" s="4"/>
      <c r="X5738" s="4"/>
      <c r="Y5738" s="4"/>
    </row>
    <row r="5739" spans="20:25" x14ac:dyDescent="0.25">
      <c r="T5739" s="10"/>
      <c r="U5739" s="4"/>
      <c r="V5739" s="4"/>
      <c r="X5739" s="4"/>
      <c r="Y5739" s="4"/>
    </row>
    <row r="5740" spans="20:25" x14ac:dyDescent="0.25">
      <c r="T5740" s="10"/>
      <c r="U5740" s="4"/>
      <c r="V5740" s="4"/>
      <c r="X5740" s="4"/>
      <c r="Y5740" s="4"/>
    </row>
    <row r="5741" spans="20:25" x14ac:dyDescent="0.25">
      <c r="T5741" s="10"/>
      <c r="U5741" s="4"/>
      <c r="V5741" s="4"/>
      <c r="X5741" s="4"/>
      <c r="Y5741" s="4"/>
    </row>
    <row r="5742" spans="20:25" x14ac:dyDescent="0.25">
      <c r="T5742" s="10"/>
      <c r="U5742" s="4"/>
      <c r="V5742" s="4"/>
      <c r="X5742" s="4"/>
      <c r="Y5742" s="4"/>
    </row>
    <row r="5743" spans="20:25" x14ac:dyDescent="0.25">
      <c r="T5743" s="10"/>
      <c r="U5743" s="4"/>
      <c r="V5743" s="4"/>
      <c r="X5743" s="4"/>
      <c r="Y5743" s="4"/>
    </row>
    <row r="5744" spans="20:25" x14ac:dyDescent="0.25">
      <c r="T5744" s="10"/>
      <c r="U5744" s="4"/>
      <c r="V5744" s="4"/>
      <c r="X5744" s="4"/>
      <c r="Y5744" s="4"/>
    </row>
    <row r="5745" spans="20:25" x14ac:dyDescent="0.25">
      <c r="T5745" s="10"/>
      <c r="U5745" s="4"/>
      <c r="V5745" s="4"/>
      <c r="X5745" s="4"/>
      <c r="Y5745" s="4"/>
    </row>
    <row r="5746" spans="20:25" x14ac:dyDescent="0.25">
      <c r="T5746" s="10"/>
      <c r="U5746" s="4"/>
      <c r="V5746" s="4"/>
      <c r="X5746" s="4"/>
      <c r="Y5746" s="4"/>
    </row>
    <row r="5747" spans="20:25" x14ac:dyDescent="0.25">
      <c r="T5747" s="10"/>
      <c r="U5747" s="4"/>
      <c r="V5747" s="4"/>
      <c r="X5747" s="4"/>
      <c r="Y5747" s="4"/>
    </row>
    <row r="5748" spans="20:25" x14ac:dyDescent="0.25">
      <c r="T5748" s="10"/>
      <c r="U5748" s="4"/>
      <c r="V5748" s="4"/>
      <c r="X5748" s="4"/>
      <c r="Y5748" s="4"/>
    </row>
    <row r="5749" spans="20:25" x14ac:dyDescent="0.25">
      <c r="T5749" s="10"/>
      <c r="U5749" s="4"/>
      <c r="V5749" s="4"/>
      <c r="X5749" s="4"/>
      <c r="Y5749" s="4"/>
    </row>
    <row r="5750" spans="20:25" x14ac:dyDescent="0.25">
      <c r="T5750" s="10"/>
      <c r="U5750" s="4"/>
      <c r="V5750" s="4"/>
      <c r="X5750" s="4"/>
      <c r="Y5750" s="4"/>
    </row>
    <row r="5751" spans="20:25" x14ac:dyDescent="0.25">
      <c r="T5751" s="10"/>
      <c r="U5751" s="4"/>
      <c r="V5751" s="4"/>
      <c r="X5751" s="4"/>
      <c r="Y5751" s="4"/>
    </row>
    <row r="5752" spans="20:25" x14ac:dyDescent="0.25">
      <c r="T5752" s="10"/>
      <c r="U5752" s="4"/>
      <c r="V5752" s="4"/>
      <c r="X5752" s="4"/>
      <c r="Y5752" s="4"/>
    </row>
    <row r="5753" spans="20:25" x14ac:dyDescent="0.25">
      <c r="T5753" s="10"/>
      <c r="U5753" s="4"/>
      <c r="V5753" s="4"/>
      <c r="X5753" s="4"/>
      <c r="Y5753" s="4"/>
    </row>
    <row r="5754" spans="20:25" x14ac:dyDescent="0.25">
      <c r="T5754" s="10"/>
      <c r="U5754" s="4"/>
      <c r="V5754" s="4"/>
      <c r="X5754" s="4"/>
      <c r="Y5754" s="4"/>
    </row>
    <row r="5755" spans="20:25" x14ac:dyDescent="0.25">
      <c r="T5755" s="10"/>
      <c r="U5755" s="4"/>
      <c r="V5755" s="4"/>
      <c r="X5755" s="4"/>
      <c r="Y5755" s="4"/>
    </row>
    <row r="5756" spans="20:25" x14ac:dyDescent="0.25">
      <c r="T5756" s="10"/>
      <c r="U5756" s="4"/>
      <c r="V5756" s="4"/>
      <c r="X5756" s="4"/>
      <c r="Y5756" s="4"/>
    </row>
    <row r="5757" spans="20:25" x14ac:dyDescent="0.25">
      <c r="T5757" s="10"/>
      <c r="U5757" s="4"/>
      <c r="V5757" s="4"/>
      <c r="X5757" s="4"/>
      <c r="Y5757" s="4"/>
    </row>
    <row r="5758" spans="20:25" x14ac:dyDescent="0.25">
      <c r="T5758" s="10"/>
      <c r="U5758" s="4"/>
      <c r="V5758" s="4"/>
      <c r="X5758" s="4"/>
      <c r="Y5758" s="4"/>
    </row>
    <row r="5759" spans="20:25" x14ac:dyDescent="0.25">
      <c r="T5759" s="10"/>
      <c r="U5759" s="4"/>
      <c r="V5759" s="4"/>
      <c r="X5759" s="4"/>
      <c r="Y5759" s="4"/>
    </row>
    <row r="5760" spans="20:25" x14ac:dyDescent="0.25">
      <c r="T5760" s="10"/>
      <c r="U5760" s="4"/>
      <c r="V5760" s="4"/>
      <c r="X5760" s="4"/>
      <c r="Y5760" s="4"/>
    </row>
    <row r="5761" spans="20:25" x14ac:dyDescent="0.25">
      <c r="T5761" s="10"/>
      <c r="U5761" s="4"/>
      <c r="V5761" s="4"/>
      <c r="X5761" s="4"/>
      <c r="Y5761" s="4"/>
    </row>
    <row r="5762" spans="20:25" x14ac:dyDescent="0.25">
      <c r="T5762" s="10"/>
      <c r="U5762" s="4"/>
      <c r="V5762" s="4"/>
      <c r="X5762" s="4"/>
      <c r="Y5762" s="4"/>
    </row>
    <row r="5763" spans="20:25" x14ac:dyDescent="0.25">
      <c r="T5763" s="10"/>
      <c r="U5763" s="4"/>
      <c r="V5763" s="4"/>
      <c r="X5763" s="4"/>
      <c r="Y5763" s="4"/>
    </row>
    <row r="5764" spans="20:25" x14ac:dyDescent="0.25">
      <c r="T5764" s="10"/>
      <c r="U5764" s="4"/>
      <c r="V5764" s="4"/>
      <c r="X5764" s="4"/>
      <c r="Y5764" s="4"/>
    </row>
    <row r="5765" spans="20:25" x14ac:dyDescent="0.25">
      <c r="T5765" s="10"/>
      <c r="U5765" s="4"/>
      <c r="V5765" s="4"/>
      <c r="X5765" s="4"/>
      <c r="Y5765" s="4"/>
    </row>
    <row r="5766" spans="20:25" x14ac:dyDescent="0.25">
      <c r="T5766" s="10"/>
      <c r="U5766" s="4"/>
      <c r="V5766" s="4"/>
      <c r="X5766" s="4"/>
      <c r="Y5766" s="4"/>
    </row>
    <row r="5767" spans="20:25" x14ac:dyDescent="0.25">
      <c r="T5767" s="10"/>
      <c r="U5767" s="4"/>
      <c r="V5767" s="4"/>
      <c r="X5767" s="4"/>
      <c r="Y5767" s="4"/>
    </row>
    <row r="5768" spans="20:25" x14ac:dyDescent="0.25">
      <c r="T5768" s="10"/>
      <c r="U5768" s="4"/>
      <c r="V5768" s="4"/>
      <c r="X5768" s="4"/>
      <c r="Y5768" s="4"/>
    </row>
    <row r="5769" spans="20:25" x14ac:dyDescent="0.25">
      <c r="T5769" s="10"/>
      <c r="U5769" s="4"/>
      <c r="V5769" s="4"/>
      <c r="X5769" s="4"/>
      <c r="Y5769" s="4"/>
    </row>
    <row r="5770" spans="20:25" x14ac:dyDescent="0.25">
      <c r="T5770" s="10"/>
      <c r="U5770" s="4"/>
      <c r="V5770" s="4"/>
      <c r="X5770" s="4"/>
      <c r="Y5770" s="4"/>
    </row>
    <row r="5771" spans="20:25" x14ac:dyDescent="0.25">
      <c r="T5771" s="10"/>
      <c r="U5771" s="4"/>
      <c r="V5771" s="4"/>
      <c r="X5771" s="4"/>
      <c r="Y5771" s="4"/>
    </row>
    <row r="5772" spans="20:25" x14ac:dyDescent="0.25">
      <c r="T5772" s="10"/>
      <c r="U5772" s="4"/>
      <c r="V5772" s="4"/>
      <c r="X5772" s="4"/>
      <c r="Y5772" s="4"/>
    </row>
    <row r="5773" spans="20:25" x14ac:dyDescent="0.25">
      <c r="T5773" s="10"/>
      <c r="U5773" s="4"/>
      <c r="V5773" s="4"/>
      <c r="X5773" s="4"/>
      <c r="Y5773" s="4"/>
    </row>
    <row r="5774" spans="20:25" x14ac:dyDescent="0.25">
      <c r="T5774" s="10"/>
      <c r="U5774" s="4"/>
      <c r="V5774" s="4"/>
      <c r="X5774" s="4"/>
      <c r="Y5774" s="4"/>
    </row>
    <row r="5775" spans="20:25" x14ac:dyDescent="0.25">
      <c r="T5775" s="10"/>
      <c r="U5775" s="4"/>
      <c r="V5775" s="4"/>
      <c r="X5775" s="4"/>
      <c r="Y5775" s="4"/>
    </row>
    <row r="5776" spans="20:25" x14ac:dyDescent="0.25">
      <c r="T5776" s="10"/>
      <c r="U5776" s="4"/>
      <c r="V5776" s="4"/>
      <c r="X5776" s="4"/>
      <c r="Y5776" s="4"/>
    </row>
    <row r="5777" spans="20:25" x14ac:dyDescent="0.25">
      <c r="T5777" s="10"/>
      <c r="U5777" s="4"/>
      <c r="V5777" s="4"/>
      <c r="X5777" s="4"/>
      <c r="Y5777" s="4"/>
    </row>
    <row r="5778" spans="20:25" x14ac:dyDescent="0.25">
      <c r="T5778" s="10"/>
      <c r="U5778" s="4"/>
      <c r="V5778" s="4"/>
      <c r="X5778" s="4"/>
      <c r="Y5778" s="4"/>
    </row>
    <row r="5779" spans="20:25" x14ac:dyDescent="0.25">
      <c r="T5779" s="10"/>
      <c r="U5779" s="4"/>
      <c r="V5779" s="4"/>
      <c r="X5779" s="4"/>
      <c r="Y5779" s="4"/>
    </row>
    <row r="5780" spans="20:25" x14ac:dyDescent="0.25">
      <c r="T5780" s="10"/>
      <c r="U5780" s="4"/>
      <c r="V5780" s="4"/>
      <c r="X5780" s="4"/>
      <c r="Y5780" s="4"/>
    </row>
    <row r="5781" spans="20:25" x14ac:dyDescent="0.25">
      <c r="T5781" s="10"/>
      <c r="U5781" s="4"/>
      <c r="V5781" s="4"/>
      <c r="X5781" s="4"/>
      <c r="Y5781" s="4"/>
    </row>
    <row r="5782" spans="20:25" x14ac:dyDescent="0.25">
      <c r="T5782" s="10"/>
      <c r="U5782" s="4"/>
      <c r="V5782" s="4"/>
      <c r="X5782" s="4"/>
      <c r="Y5782" s="4"/>
    </row>
    <row r="5783" spans="20:25" x14ac:dyDescent="0.25">
      <c r="T5783" s="10"/>
      <c r="U5783" s="4"/>
      <c r="V5783" s="4"/>
      <c r="X5783" s="4"/>
      <c r="Y5783" s="4"/>
    </row>
    <row r="5784" spans="20:25" x14ac:dyDescent="0.25">
      <c r="T5784" s="10"/>
      <c r="U5784" s="4"/>
      <c r="V5784" s="4"/>
      <c r="X5784" s="4"/>
      <c r="Y5784" s="4"/>
    </row>
    <row r="5785" spans="20:25" x14ac:dyDescent="0.25">
      <c r="T5785" s="10"/>
      <c r="U5785" s="4"/>
      <c r="V5785" s="4"/>
      <c r="X5785" s="4"/>
      <c r="Y5785" s="4"/>
    </row>
    <row r="5786" spans="20:25" x14ac:dyDescent="0.25">
      <c r="T5786" s="10"/>
      <c r="U5786" s="4"/>
      <c r="V5786" s="4"/>
      <c r="X5786" s="4"/>
      <c r="Y5786" s="4"/>
    </row>
    <row r="5787" spans="20:25" x14ac:dyDescent="0.25">
      <c r="T5787" s="10"/>
      <c r="U5787" s="4"/>
      <c r="V5787" s="4"/>
      <c r="X5787" s="4"/>
      <c r="Y5787" s="4"/>
    </row>
    <row r="5788" spans="20:25" x14ac:dyDescent="0.25">
      <c r="T5788" s="10"/>
      <c r="U5788" s="4"/>
      <c r="V5788" s="4"/>
      <c r="X5788" s="4"/>
      <c r="Y5788" s="4"/>
    </row>
    <row r="5789" spans="20:25" x14ac:dyDescent="0.25">
      <c r="T5789" s="10"/>
      <c r="U5789" s="4"/>
      <c r="V5789" s="4"/>
      <c r="X5789" s="4"/>
      <c r="Y5789" s="4"/>
    </row>
    <row r="5790" spans="20:25" x14ac:dyDescent="0.25">
      <c r="T5790" s="10"/>
      <c r="U5790" s="4"/>
      <c r="V5790" s="4"/>
      <c r="X5790" s="4"/>
      <c r="Y5790" s="4"/>
    </row>
    <row r="5791" spans="20:25" x14ac:dyDescent="0.25">
      <c r="T5791" s="10"/>
      <c r="U5791" s="4"/>
      <c r="V5791" s="4"/>
      <c r="X5791" s="4"/>
      <c r="Y5791" s="4"/>
    </row>
    <row r="5792" spans="20:25" x14ac:dyDescent="0.25">
      <c r="T5792" s="10"/>
      <c r="U5792" s="4"/>
      <c r="V5792" s="4"/>
      <c r="X5792" s="4"/>
      <c r="Y5792" s="4"/>
    </row>
    <row r="5793" spans="20:25" x14ac:dyDescent="0.25">
      <c r="T5793" s="10"/>
      <c r="U5793" s="4"/>
      <c r="V5793" s="4"/>
      <c r="X5793" s="4"/>
      <c r="Y5793" s="4"/>
    </row>
    <row r="5794" spans="20:25" x14ac:dyDescent="0.25">
      <c r="T5794" s="10"/>
      <c r="U5794" s="4"/>
      <c r="V5794" s="4"/>
      <c r="X5794" s="4"/>
      <c r="Y5794" s="4"/>
    </row>
    <row r="5795" spans="20:25" x14ac:dyDescent="0.25">
      <c r="T5795" s="10"/>
      <c r="U5795" s="4"/>
      <c r="V5795" s="4"/>
      <c r="X5795" s="4"/>
      <c r="Y5795" s="4"/>
    </row>
    <row r="5796" spans="20:25" x14ac:dyDescent="0.25">
      <c r="T5796" s="10"/>
      <c r="U5796" s="4"/>
      <c r="V5796" s="4"/>
      <c r="X5796" s="4"/>
      <c r="Y5796" s="4"/>
    </row>
    <row r="5797" spans="20:25" x14ac:dyDescent="0.25">
      <c r="T5797" s="10"/>
      <c r="U5797" s="4"/>
      <c r="V5797" s="4"/>
      <c r="X5797" s="4"/>
      <c r="Y5797" s="4"/>
    </row>
    <row r="5798" spans="20:25" x14ac:dyDescent="0.25">
      <c r="T5798" s="10"/>
      <c r="U5798" s="4"/>
      <c r="V5798" s="4"/>
      <c r="X5798" s="4"/>
      <c r="Y5798" s="4"/>
    </row>
    <row r="5799" spans="20:25" x14ac:dyDescent="0.25">
      <c r="T5799" s="10"/>
      <c r="U5799" s="4"/>
      <c r="V5799" s="4"/>
      <c r="X5799" s="4"/>
      <c r="Y5799" s="4"/>
    </row>
    <row r="5800" spans="20:25" x14ac:dyDescent="0.25">
      <c r="T5800" s="10"/>
      <c r="U5800" s="4"/>
      <c r="V5800" s="4"/>
      <c r="X5800" s="4"/>
      <c r="Y5800" s="4"/>
    </row>
    <row r="5801" spans="20:25" x14ac:dyDescent="0.25">
      <c r="T5801" s="10"/>
      <c r="U5801" s="4"/>
      <c r="V5801" s="4"/>
      <c r="X5801" s="4"/>
      <c r="Y5801" s="4"/>
    </row>
    <row r="5802" spans="20:25" x14ac:dyDescent="0.25">
      <c r="T5802" s="10"/>
      <c r="U5802" s="4"/>
      <c r="V5802" s="4"/>
      <c r="X5802" s="4"/>
      <c r="Y5802" s="4"/>
    </row>
    <row r="5803" spans="20:25" x14ac:dyDescent="0.25">
      <c r="T5803" s="10"/>
      <c r="U5803" s="4"/>
      <c r="V5803" s="4"/>
      <c r="X5803" s="4"/>
      <c r="Y5803" s="4"/>
    </row>
    <row r="5804" spans="20:25" x14ac:dyDescent="0.25">
      <c r="T5804" s="10"/>
      <c r="U5804" s="4"/>
      <c r="V5804" s="4"/>
      <c r="X5804" s="4"/>
      <c r="Y5804" s="4"/>
    </row>
    <row r="5805" spans="20:25" x14ac:dyDescent="0.25">
      <c r="T5805" s="10"/>
      <c r="U5805" s="4"/>
      <c r="V5805" s="4"/>
      <c r="X5805" s="4"/>
      <c r="Y5805" s="4"/>
    </row>
    <row r="5806" spans="20:25" x14ac:dyDescent="0.25">
      <c r="T5806" s="10"/>
      <c r="U5806" s="4"/>
      <c r="V5806" s="4"/>
      <c r="X5806" s="4"/>
      <c r="Y5806" s="4"/>
    </row>
    <row r="5807" spans="20:25" x14ac:dyDescent="0.25">
      <c r="T5807" s="10"/>
      <c r="U5807" s="4"/>
      <c r="V5807" s="4"/>
      <c r="X5807" s="4"/>
      <c r="Y5807" s="4"/>
    </row>
    <row r="5808" spans="20:25" x14ac:dyDescent="0.25">
      <c r="T5808" s="10"/>
      <c r="U5808" s="4"/>
      <c r="V5808" s="4"/>
      <c r="X5808" s="4"/>
      <c r="Y5808" s="4"/>
    </row>
    <row r="5809" spans="20:25" x14ac:dyDescent="0.25">
      <c r="T5809" s="10"/>
      <c r="U5809" s="4"/>
      <c r="V5809" s="4"/>
      <c r="X5809" s="4"/>
      <c r="Y5809" s="4"/>
    </row>
    <row r="5810" spans="20:25" x14ac:dyDescent="0.25">
      <c r="T5810" s="10"/>
      <c r="U5810" s="4"/>
      <c r="V5810" s="4"/>
      <c r="X5810" s="4"/>
      <c r="Y5810" s="4"/>
    </row>
    <row r="5811" spans="20:25" x14ac:dyDescent="0.25">
      <c r="T5811" s="10"/>
      <c r="U5811" s="4"/>
      <c r="V5811" s="4"/>
      <c r="X5811" s="4"/>
      <c r="Y5811" s="4"/>
    </row>
    <row r="5812" spans="20:25" x14ac:dyDescent="0.25">
      <c r="T5812" s="10"/>
      <c r="U5812" s="4"/>
      <c r="V5812" s="4"/>
      <c r="X5812" s="4"/>
      <c r="Y5812" s="4"/>
    </row>
    <row r="5813" spans="20:25" x14ac:dyDescent="0.25">
      <c r="T5813" s="10"/>
      <c r="U5813" s="4"/>
      <c r="V5813" s="4"/>
      <c r="X5813" s="4"/>
      <c r="Y5813" s="4"/>
    </row>
    <row r="5814" spans="20:25" x14ac:dyDescent="0.25">
      <c r="T5814" s="10"/>
      <c r="U5814" s="4"/>
      <c r="V5814" s="4"/>
      <c r="X5814" s="4"/>
      <c r="Y5814" s="4"/>
    </row>
    <row r="5815" spans="20:25" x14ac:dyDescent="0.25">
      <c r="T5815" s="10"/>
      <c r="U5815" s="4"/>
      <c r="V5815" s="4"/>
      <c r="X5815" s="4"/>
      <c r="Y5815" s="4"/>
    </row>
    <row r="5816" spans="20:25" x14ac:dyDescent="0.25">
      <c r="T5816" s="10"/>
      <c r="U5816" s="4"/>
      <c r="V5816" s="4"/>
      <c r="X5816" s="4"/>
      <c r="Y5816" s="4"/>
    </row>
    <row r="5817" spans="20:25" x14ac:dyDescent="0.25">
      <c r="T5817" s="10"/>
      <c r="U5817" s="4"/>
      <c r="V5817" s="4"/>
      <c r="X5817" s="4"/>
      <c r="Y5817" s="4"/>
    </row>
    <row r="5818" spans="20:25" x14ac:dyDescent="0.25">
      <c r="T5818" s="10"/>
      <c r="U5818" s="4"/>
      <c r="V5818" s="4"/>
      <c r="X5818" s="4"/>
      <c r="Y5818" s="4"/>
    </row>
    <row r="5819" spans="20:25" x14ac:dyDescent="0.25">
      <c r="T5819" s="10"/>
      <c r="U5819" s="4"/>
      <c r="V5819" s="4"/>
      <c r="X5819" s="4"/>
      <c r="Y5819" s="4"/>
    </row>
    <row r="5820" spans="20:25" x14ac:dyDescent="0.25">
      <c r="T5820" s="10"/>
      <c r="U5820" s="4"/>
      <c r="V5820" s="4"/>
      <c r="X5820" s="4"/>
      <c r="Y5820" s="4"/>
    </row>
    <row r="5821" spans="20:25" x14ac:dyDescent="0.25">
      <c r="T5821" s="10"/>
      <c r="U5821" s="4"/>
      <c r="V5821" s="4"/>
      <c r="X5821" s="4"/>
      <c r="Y5821" s="4"/>
    </row>
    <row r="5822" spans="20:25" x14ac:dyDescent="0.25">
      <c r="T5822" s="10"/>
      <c r="U5822" s="4"/>
      <c r="V5822" s="4"/>
      <c r="X5822" s="4"/>
      <c r="Y5822" s="4"/>
    </row>
    <row r="5823" spans="20:25" x14ac:dyDescent="0.25">
      <c r="T5823" s="10"/>
      <c r="U5823" s="4"/>
      <c r="V5823" s="4"/>
      <c r="X5823" s="4"/>
      <c r="Y5823" s="4"/>
    </row>
    <row r="5824" spans="20:25" x14ac:dyDescent="0.25">
      <c r="T5824" s="10"/>
      <c r="U5824" s="4"/>
      <c r="V5824" s="4"/>
      <c r="X5824" s="4"/>
      <c r="Y5824" s="4"/>
    </row>
    <row r="5825" spans="20:25" x14ac:dyDescent="0.25">
      <c r="T5825" s="10"/>
      <c r="U5825" s="4"/>
      <c r="V5825" s="4"/>
      <c r="X5825" s="4"/>
      <c r="Y5825" s="4"/>
    </row>
    <row r="5826" spans="20:25" x14ac:dyDescent="0.25">
      <c r="T5826" s="10"/>
      <c r="U5826" s="4"/>
      <c r="V5826" s="4"/>
      <c r="X5826" s="4"/>
      <c r="Y5826" s="4"/>
    </row>
    <row r="5827" spans="20:25" x14ac:dyDescent="0.25">
      <c r="T5827" s="10"/>
      <c r="U5827" s="4"/>
      <c r="V5827" s="4"/>
      <c r="X5827" s="4"/>
      <c r="Y5827" s="4"/>
    </row>
    <row r="5828" spans="20:25" x14ac:dyDescent="0.25">
      <c r="T5828" s="10"/>
      <c r="U5828" s="4"/>
      <c r="V5828" s="4"/>
      <c r="X5828" s="4"/>
      <c r="Y5828" s="4"/>
    </row>
    <row r="5829" spans="20:25" x14ac:dyDescent="0.25">
      <c r="T5829" s="10"/>
      <c r="U5829" s="4"/>
      <c r="V5829" s="4"/>
      <c r="X5829" s="4"/>
      <c r="Y5829" s="4"/>
    </row>
    <row r="5830" spans="20:25" x14ac:dyDescent="0.25">
      <c r="T5830" s="10"/>
      <c r="U5830" s="4"/>
      <c r="V5830" s="4"/>
      <c r="X5830" s="4"/>
      <c r="Y5830" s="4"/>
    </row>
    <row r="5831" spans="20:25" x14ac:dyDescent="0.25">
      <c r="T5831" s="10"/>
      <c r="U5831" s="4"/>
      <c r="V5831" s="4"/>
      <c r="X5831" s="4"/>
      <c r="Y5831" s="4"/>
    </row>
    <row r="5832" spans="20:25" x14ac:dyDescent="0.25">
      <c r="T5832" s="10"/>
      <c r="U5832" s="4"/>
      <c r="V5832" s="4"/>
      <c r="X5832" s="4"/>
      <c r="Y5832" s="4"/>
    </row>
    <row r="5833" spans="20:25" x14ac:dyDescent="0.25">
      <c r="T5833" s="10"/>
      <c r="U5833" s="4"/>
      <c r="V5833" s="4"/>
      <c r="X5833" s="4"/>
      <c r="Y5833" s="4"/>
    </row>
    <row r="5834" spans="20:25" x14ac:dyDescent="0.25">
      <c r="T5834" s="10"/>
      <c r="U5834" s="4"/>
      <c r="V5834" s="4"/>
      <c r="X5834" s="4"/>
      <c r="Y5834" s="4"/>
    </row>
    <row r="5835" spans="20:25" x14ac:dyDescent="0.25">
      <c r="T5835" s="10"/>
      <c r="U5835" s="4"/>
      <c r="V5835" s="4"/>
      <c r="X5835" s="4"/>
      <c r="Y5835" s="4"/>
    </row>
    <row r="5836" spans="20:25" x14ac:dyDescent="0.25">
      <c r="T5836" s="10"/>
      <c r="U5836" s="4"/>
      <c r="V5836" s="4"/>
      <c r="X5836" s="4"/>
      <c r="Y5836" s="4"/>
    </row>
    <row r="5837" spans="20:25" x14ac:dyDescent="0.25">
      <c r="T5837" s="10"/>
      <c r="U5837" s="4"/>
      <c r="V5837" s="4"/>
      <c r="X5837" s="4"/>
      <c r="Y5837" s="4"/>
    </row>
    <row r="5838" spans="20:25" x14ac:dyDescent="0.25">
      <c r="T5838" s="10"/>
      <c r="U5838" s="4"/>
      <c r="V5838" s="4"/>
      <c r="X5838" s="4"/>
      <c r="Y5838" s="4"/>
    </row>
    <row r="5839" spans="20:25" x14ac:dyDescent="0.25">
      <c r="T5839" s="10"/>
      <c r="U5839" s="4"/>
      <c r="V5839" s="4"/>
      <c r="X5839" s="4"/>
      <c r="Y5839" s="4"/>
    </row>
    <row r="5840" spans="20:25" x14ac:dyDescent="0.25">
      <c r="T5840" s="10"/>
      <c r="U5840" s="4"/>
      <c r="V5840" s="4"/>
      <c r="X5840" s="4"/>
      <c r="Y5840" s="4"/>
    </row>
    <row r="5841" spans="20:25" x14ac:dyDescent="0.25">
      <c r="T5841" s="10"/>
      <c r="U5841" s="4"/>
      <c r="V5841" s="4"/>
      <c r="X5841" s="4"/>
      <c r="Y5841" s="4"/>
    </row>
    <row r="5842" spans="20:25" x14ac:dyDescent="0.25">
      <c r="T5842" s="10"/>
      <c r="U5842" s="4"/>
      <c r="V5842" s="4"/>
      <c r="X5842" s="4"/>
      <c r="Y5842" s="4"/>
    </row>
    <row r="5843" spans="20:25" x14ac:dyDescent="0.25">
      <c r="T5843" s="10"/>
      <c r="U5843" s="4"/>
      <c r="V5843" s="4"/>
      <c r="X5843" s="4"/>
      <c r="Y5843" s="4"/>
    </row>
    <row r="5844" spans="20:25" x14ac:dyDescent="0.25">
      <c r="T5844" s="10"/>
      <c r="U5844" s="4"/>
      <c r="V5844" s="4"/>
      <c r="X5844" s="4"/>
      <c r="Y5844" s="4"/>
    </row>
    <row r="5845" spans="20:25" x14ac:dyDescent="0.25">
      <c r="T5845" s="10"/>
      <c r="U5845" s="4"/>
      <c r="V5845" s="4"/>
      <c r="X5845" s="4"/>
      <c r="Y5845" s="4"/>
    </row>
    <row r="5846" spans="20:25" x14ac:dyDescent="0.25">
      <c r="T5846" s="10"/>
      <c r="U5846" s="4"/>
      <c r="V5846" s="4"/>
      <c r="X5846" s="4"/>
      <c r="Y5846" s="4"/>
    </row>
    <row r="5847" spans="20:25" x14ac:dyDescent="0.25">
      <c r="T5847" s="10"/>
      <c r="U5847" s="4"/>
      <c r="V5847" s="4"/>
      <c r="X5847" s="4"/>
      <c r="Y5847" s="4"/>
    </row>
    <row r="5848" spans="20:25" x14ac:dyDescent="0.25">
      <c r="T5848" s="10"/>
      <c r="U5848" s="4"/>
      <c r="V5848" s="4"/>
      <c r="X5848" s="4"/>
      <c r="Y5848" s="4"/>
    </row>
    <row r="5849" spans="20:25" x14ac:dyDescent="0.25">
      <c r="T5849" s="10"/>
      <c r="U5849" s="4"/>
      <c r="V5849" s="4"/>
      <c r="X5849" s="4"/>
      <c r="Y5849" s="4"/>
    </row>
    <row r="5850" spans="20:25" x14ac:dyDescent="0.25">
      <c r="T5850" s="10"/>
      <c r="U5850" s="4"/>
      <c r="V5850" s="4"/>
      <c r="X5850" s="4"/>
      <c r="Y5850" s="4"/>
    </row>
    <row r="5851" spans="20:25" x14ac:dyDescent="0.25">
      <c r="T5851" s="10"/>
      <c r="U5851" s="4"/>
      <c r="V5851" s="4"/>
      <c r="X5851" s="4"/>
      <c r="Y5851" s="4"/>
    </row>
    <row r="5852" spans="20:25" x14ac:dyDescent="0.25">
      <c r="T5852" s="10"/>
      <c r="U5852" s="4"/>
      <c r="V5852" s="4"/>
      <c r="X5852" s="4"/>
      <c r="Y5852" s="4"/>
    </row>
    <row r="5853" spans="20:25" x14ac:dyDescent="0.25">
      <c r="T5853" s="10"/>
      <c r="U5853" s="4"/>
      <c r="V5853" s="4"/>
      <c r="X5853" s="4"/>
      <c r="Y5853" s="4"/>
    </row>
    <row r="5854" spans="20:25" x14ac:dyDescent="0.25">
      <c r="T5854" s="10"/>
      <c r="U5854" s="4"/>
      <c r="V5854" s="4"/>
      <c r="X5854" s="4"/>
      <c r="Y5854" s="4"/>
    </row>
    <row r="5855" spans="20:25" x14ac:dyDescent="0.25">
      <c r="T5855" s="10"/>
      <c r="U5855" s="4"/>
      <c r="V5855" s="4"/>
      <c r="X5855" s="4"/>
      <c r="Y5855" s="4"/>
    </row>
    <row r="5856" spans="20:25" x14ac:dyDescent="0.25">
      <c r="T5856" s="10"/>
      <c r="U5856" s="4"/>
      <c r="V5856" s="4"/>
      <c r="X5856" s="4"/>
      <c r="Y5856" s="4"/>
    </row>
    <row r="5857" spans="20:25" x14ac:dyDescent="0.25">
      <c r="T5857" s="10"/>
      <c r="U5857" s="4"/>
      <c r="V5857" s="4"/>
      <c r="X5857" s="4"/>
      <c r="Y5857" s="4"/>
    </row>
    <row r="5858" spans="20:25" x14ac:dyDescent="0.25">
      <c r="T5858" s="10"/>
      <c r="U5858" s="4"/>
      <c r="V5858" s="4"/>
      <c r="X5858" s="4"/>
      <c r="Y5858" s="4"/>
    </row>
    <row r="5859" spans="20:25" x14ac:dyDescent="0.25">
      <c r="T5859" s="10"/>
      <c r="U5859" s="4"/>
      <c r="V5859" s="4"/>
      <c r="X5859" s="4"/>
      <c r="Y5859" s="4"/>
    </row>
    <row r="5860" spans="20:25" x14ac:dyDescent="0.25">
      <c r="T5860" s="10"/>
      <c r="U5860" s="4"/>
      <c r="V5860" s="4"/>
      <c r="X5860" s="4"/>
      <c r="Y5860" s="4"/>
    </row>
    <row r="5861" spans="20:25" x14ac:dyDescent="0.25">
      <c r="T5861" s="10"/>
      <c r="U5861" s="4"/>
      <c r="V5861" s="4"/>
      <c r="X5861" s="4"/>
      <c r="Y5861" s="4"/>
    </row>
    <row r="5862" spans="20:25" x14ac:dyDescent="0.25">
      <c r="T5862" s="10"/>
      <c r="U5862" s="4"/>
      <c r="V5862" s="4"/>
      <c r="X5862" s="4"/>
      <c r="Y5862" s="4"/>
    </row>
    <row r="5863" spans="20:25" x14ac:dyDescent="0.25">
      <c r="T5863" s="10"/>
      <c r="U5863" s="4"/>
      <c r="V5863" s="4"/>
      <c r="X5863" s="4"/>
      <c r="Y5863" s="4"/>
    </row>
    <row r="5864" spans="20:25" x14ac:dyDescent="0.25">
      <c r="T5864" s="10"/>
      <c r="U5864" s="4"/>
      <c r="V5864" s="4"/>
      <c r="X5864" s="4"/>
      <c r="Y5864" s="4"/>
    </row>
    <row r="5865" spans="20:25" x14ac:dyDescent="0.25">
      <c r="T5865" s="10"/>
      <c r="U5865" s="4"/>
      <c r="V5865" s="4"/>
      <c r="X5865" s="4"/>
      <c r="Y5865" s="4"/>
    </row>
    <row r="5866" spans="20:25" x14ac:dyDescent="0.25">
      <c r="T5866" s="10"/>
      <c r="U5866" s="4"/>
      <c r="V5866" s="4"/>
      <c r="X5866" s="4"/>
      <c r="Y5866" s="4"/>
    </row>
    <row r="5867" spans="20:25" x14ac:dyDescent="0.25">
      <c r="T5867" s="10"/>
      <c r="U5867" s="4"/>
      <c r="V5867" s="4"/>
      <c r="X5867" s="4"/>
      <c r="Y5867" s="4"/>
    </row>
    <row r="5868" spans="20:25" x14ac:dyDescent="0.25">
      <c r="T5868" s="10"/>
      <c r="U5868" s="4"/>
      <c r="V5868" s="4"/>
      <c r="X5868" s="4"/>
      <c r="Y5868" s="4"/>
    </row>
    <row r="5869" spans="20:25" x14ac:dyDescent="0.25">
      <c r="T5869" s="10"/>
      <c r="U5869" s="4"/>
      <c r="V5869" s="4"/>
      <c r="X5869" s="4"/>
      <c r="Y5869" s="4"/>
    </row>
    <row r="5870" spans="20:25" x14ac:dyDescent="0.25">
      <c r="T5870" s="10"/>
      <c r="U5870" s="4"/>
      <c r="V5870" s="4"/>
      <c r="X5870" s="4"/>
      <c r="Y5870" s="4"/>
    </row>
    <row r="5871" spans="20:25" x14ac:dyDescent="0.25">
      <c r="T5871" s="10"/>
      <c r="U5871" s="4"/>
      <c r="V5871" s="4"/>
      <c r="X5871" s="4"/>
      <c r="Y5871" s="4"/>
    </row>
    <row r="5872" spans="20:25" x14ac:dyDescent="0.25">
      <c r="T5872" s="10"/>
      <c r="U5872" s="4"/>
      <c r="V5872" s="4"/>
      <c r="X5872" s="4"/>
      <c r="Y5872" s="4"/>
    </row>
    <row r="5873" spans="20:25" x14ac:dyDescent="0.25">
      <c r="T5873" s="10"/>
      <c r="U5873" s="4"/>
      <c r="V5873" s="4"/>
      <c r="X5873" s="4"/>
      <c r="Y5873" s="4"/>
    </row>
    <row r="5874" spans="20:25" x14ac:dyDescent="0.25">
      <c r="T5874" s="10"/>
      <c r="U5874" s="4"/>
      <c r="V5874" s="4"/>
      <c r="X5874" s="4"/>
      <c r="Y5874" s="4"/>
    </row>
    <row r="5875" spans="20:25" x14ac:dyDescent="0.25">
      <c r="T5875" s="10"/>
      <c r="U5875" s="4"/>
      <c r="V5875" s="4"/>
      <c r="X5875" s="4"/>
      <c r="Y5875" s="4"/>
    </row>
    <row r="5876" spans="20:25" x14ac:dyDescent="0.25">
      <c r="T5876" s="10"/>
      <c r="U5876" s="4"/>
      <c r="V5876" s="4"/>
      <c r="X5876" s="4"/>
      <c r="Y5876" s="4"/>
    </row>
    <row r="5877" spans="20:25" x14ac:dyDescent="0.25">
      <c r="T5877" s="10"/>
      <c r="U5877" s="4"/>
      <c r="V5877" s="4"/>
      <c r="X5877" s="4"/>
      <c r="Y5877" s="4"/>
    </row>
    <row r="5878" spans="20:25" x14ac:dyDescent="0.25">
      <c r="T5878" s="10"/>
      <c r="U5878" s="4"/>
      <c r="V5878" s="4"/>
      <c r="X5878" s="4"/>
      <c r="Y5878" s="4"/>
    </row>
    <row r="5879" spans="20:25" x14ac:dyDescent="0.25">
      <c r="T5879" s="10"/>
      <c r="U5879" s="4"/>
      <c r="V5879" s="4"/>
      <c r="X5879" s="4"/>
      <c r="Y5879" s="4"/>
    </row>
    <row r="5880" spans="20:25" x14ac:dyDescent="0.25">
      <c r="T5880" s="10"/>
      <c r="U5880" s="4"/>
      <c r="V5880" s="4"/>
      <c r="X5880" s="4"/>
      <c r="Y5880" s="4"/>
    </row>
    <row r="5881" spans="20:25" x14ac:dyDescent="0.25">
      <c r="T5881" s="10"/>
      <c r="U5881" s="4"/>
      <c r="V5881" s="4"/>
      <c r="X5881" s="4"/>
      <c r="Y5881" s="4"/>
    </row>
    <row r="5882" spans="20:25" x14ac:dyDescent="0.25">
      <c r="T5882" s="10"/>
      <c r="U5882" s="4"/>
      <c r="V5882" s="4"/>
      <c r="X5882" s="4"/>
      <c r="Y5882" s="4"/>
    </row>
    <row r="5883" spans="20:25" x14ac:dyDescent="0.25">
      <c r="T5883" s="10"/>
      <c r="U5883" s="4"/>
      <c r="V5883" s="4"/>
      <c r="X5883" s="4"/>
      <c r="Y5883" s="4"/>
    </row>
    <row r="5884" spans="20:25" x14ac:dyDescent="0.25">
      <c r="T5884" s="10"/>
      <c r="U5884" s="4"/>
      <c r="V5884" s="4"/>
      <c r="X5884" s="4"/>
      <c r="Y5884" s="4"/>
    </row>
    <row r="5885" spans="20:25" x14ac:dyDescent="0.25">
      <c r="T5885" s="10"/>
      <c r="U5885" s="4"/>
      <c r="V5885" s="4"/>
      <c r="X5885" s="4"/>
      <c r="Y5885" s="4"/>
    </row>
    <row r="5886" spans="20:25" x14ac:dyDescent="0.25">
      <c r="T5886" s="10"/>
      <c r="U5886" s="4"/>
      <c r="V5886" s="4"/>
      <c r="X5886" s="4"/>
      <c r="Y5886" s="4"/>
    </row>
    <row r="5887" spans="20:25" x14ac:dyDescent="0.25">
      <c r="T5887" s="10"/>
      <c r="U5887" s="4"/>
      <c r="V5887" s="4"/>
      <c r="X5887" s="4"/>
      <c r="Y5887" s="4"/>
    </row>
    <row r="5888" spans="20:25" x14ac:dyDescent="0.25">
      <c r="T5888" s="10"/>
      <c r="U5888" s="4"/>
      <c r="V5888" s="4"/>
      <c r="X5888" s="4"/>
      <c r="Y5888" s="4"/>
    </row>
    <row r="5889" spans="20:25" x14ac:dyDescent="0.25">
      <c r="T5889" s="10"/>
      <c r="U5889" s="4"/>
      <c r="V5889" s="4"/>
      <c r="X5889" s="4"/>
      <c r="Y5889" s="4"/>
    </row>
    <row r="5890" spans="20:25" x14ac:dyDescent="0.25">
      <c r="T5890" s="10"/>
      <c r="U5890" s="4"/>
      <c r="V5890" s="4"/>
      <c r="X5890" s="4"/>
      <c r="Y5890" s="4"/>
    </row>
    <row r="5891" spans="20:25" x14ac:dyDescent="0.25">
      <c r="T5891" s="10"/>
      <c r="U5891" s="4"/>
      <c r="V5891" s="4"/>
      <c r="X5891" s="4"/>
      <c r="Y5891" s="4"/>
    </row>
    <row r="5892" spans="20:25" x14ac:dyDescent="0.25">
      <c r="T5892" s="10"/>
      <c r="U5892" s="4"/>
      <c r="V5892" s="4"/>
      <c r="X5892" s="4"/>
      <c r="Y5892" s="4"/>
    </row>
    <row r="5893" spans="20:25" x14ac:dyDescent="0.25">
      <c r="T5893" s="10"/>
      <c r="U5893" s="4"/>
      <c r="V5893" s="4"/>
      <c r="X5893" s="4"/>
      <c r="Y5893" s="4"/>
    </row>
    <row r="5894" spans="20:25" x14ac:dyDescent="0.25">
      <c r="T5894" s="10"/>
      <c r="U5894" s="4"/>
      <c r="V5894" s="4"/>
      <c r="X5894" s="4"/>
      <c r="Y5894" s="4"/>
    </row>
    <row r="5895" spans="20:25" x14ac:dyDescent="0.25">
      <c r="T5895" s="10"/>
      <c r="U5895" s="4"/>
      <c r="V5895" s="4"/>
      <c r="X5895" s="4"/>
      <c r="Y5895" s="4"/>
    </row>
    <row r="5896" spans="20:25" x14ac:dyDescent="0.25">
      <c r="T5896" s="10"/>
      <c r="U5896" s="4"/>
      <c r="V5896" s="4"/>
      <c r="X5896" s="4"/>
      <c r="Y5896" s="4"/>
    </row>
    <row r="5897" spans="20:25" x14ac:dyDescent="0.25">
      <c r="T5897" s="10"/>
      <c r="U5897" s="4"/>
      <c r="V5897" s="4"/>
      <c r="X5897" s="4"/>
      <c r="Y5897" s="4"/>
    </row>
    <row r="5898" spans="20:25" x14ac:dyDescent="0.25">
      <c r="T5898" s="10"/>
      <c r="U5898" s="4"/>
      <c r="V5898" s="4"/>
      <c r="X5898" s="4"/>
      <c r="Y5898" s="4"/>
    </row>
    <row r="5899" spans="20:25" x14ac:dyDescent="0.25">
      <c r="T5899" s="10"/>
      <c r="U5899" s="4"/>
      <c r="V5899" s="4"/>
      <c r="X5899" s="4"/>
      <c r="Y5899" s="4"/>
    </row>
    <row r="5900" spans="20:25" x14ac:dyDescent="0.25">
      <c r="T5900" s="10"/>
      <c r="U5900" s="4"/>
      <c r="V5900" s="4"/>
      <c r="X5900" s="4"/>
      <c r="Y5900" s="4"/>
    </row>
    <row r="5901" spans="20:25" x14ac:dyDescent="0.25">
      <c r="T5901" s="10"/>
      <c r="U5901" s="4"/>
      <c r="V5901" s="4"/>
      <c r="X5901" s="4"/>
      <c r="Y5901" s="4"/>
    </row>
    <row r="5902" spans="20:25" x14ac:dyDescent="0.25">
      <c r="T5902" s="10"/>
      <c r="U5902" s="4"/>
      <c r="V5902" s="4"/>
      <c r="X5902" s="4"/>
      <c r="Y5902" s="4"/>
    </row>
    <row r="5903" spans="20:25" x14ac:dyDescent="0.25">
      <c r="T5903" s="10"/>
      <c r="U5903" s="4"/>
      <c r="V5903" s="4"/>
      <c r="X5903" s="4"/>
      <c r="Y5903" s="4"/>
    </row>
    <row r="5904" spans="20:25" x14ac:dyDescent="0.25">
      <c r="T5904" s="10"/>
      <c r="U5904" s="4"/>
      <c r="V5904" s="4"/>
      <c r="X5904" s="4"/>
      <c r="Y5904" s="4"/>
    </row>
    <row r="5905" spans="20:25" x14ac:dyDescent="0.25">
      <c r="T5905" s="10"/>
      <c r="U5905" s="4"/>
      <c r="V5905" s="4"/>
      <c r="X5905" s="4"/>
      <c r="Y5905" s="4"/>
    </row>
    <row r="5906" spans="20:25" x14ac:dyDescent="0.25">
      <c r="T5906" s="10"/>
      <c r="U5906" s="4"/>
      <c r="V5906" s="4"/>
      <c r="X5906" s="4"/>
      <c r="Y5906" s="4"/>
    </row>
    <row r="5907" spans="20:25" x14ac:dyDescent="0.25">
      <c r="T5907" s="10"/>
      <c r="U5907" s="4"/>
      <c r="V5907" s="4"/>
      <c r="X5907" s="4"/>
      <c r="Y5907" s="4"/>
    </row>
    <row r="5908" spans="20:25" x14ac:dyDescent="0.25">
      <c r="T5908" s="10"/>
      <c r="U5908" s="4"/>
      <c r="V5908" s="4"/>
      <c r="X5908" s="4"/>
      <c r="Y5908" s="4"/>
    </row>
    <row r="5909" spans="20:25" x14ac:dyDescent="0.25">
      <c r="T5909" s="10"/>
      <c r="U5909" s="4"/>
      <c r="V5909" s="4"/>
      <c r="X5909" s="4"/>
      <c r="Y5909" s="4"/>
    </row>
    <row r="5910" spans="20:25" x14ac:dyDescent="0.25">
      <c r="T5910" s="10"/>
      <c r="U5910" s="4"/>
      <c r="V5910" s="4"/>
      <c r="X5910" s="4"/>
      <c r="Y5910" s="4"/>
    </row>
    <row r="5911" spans="20:25" x14ac:dyDescent="0.25">
      <c r="T5911" s="10"/>
      <c r="U5911" s="4"/>
      <c r="V5911" s="4"/>
      <c r="X5911" s="4"/>
      <c r="Y5911" s="4"/>
    </row>
    <row r="5912" spans="20:25" x14ac:dyDescent="0.25">
      <c r="T5912" s="10"/>
      <c r="U5912" s="4"/>
      <c r="V5912" s="4"/>
      <c r="X5912" s="4"/>
      <c r="Y5912" s="4"/>
    </row>
    <row r="5913" spans="20:25" x14ac:dyDescent="0.25">
      <c r="T5913" s="10"/>
      <c r="U5913" s="4"/>
      <c r="V5913" s="4"/>
      <c r="X5913" s="4"/>
      <c r="Y5913" s="4"/>
    </row>
    <row r="5914" spans="20:25" x14ac:dyDescent="0.25">
      <c r="T5914" s="10"/>
      <c r="U5914" s="4"/>
      <c r="V5914" s="4"/>
      <c r="X5914" s="4"/>
      <c r="Y5914" s="4"/>
    </row>
    <row r="5915" spans="20:25" x14ac:dyDescent="0.25">
      <c r="T5915" s="10"/>
      <c r="U5915" s="4"/>
      <c r="V5915" s="4"/>
      <c r="X5915" s="4"/>
      <c r="Y5915" s="4"/>
    </row>
    <row r="5916" spans="20:25" x14ac:dyDescent="0.25">
      <c r="T5916" s="10"/>
      <c r="U5916" s="4"/>
      <c r="V5916" s="4"/>
      <c r="X5916" s="4"/>
      <c r="Y5916" s="4"/>
    </row>
    <row r="5917" spans="20:25" x14ac:dyDescent="0.25">
      <c r="T5917" s="10"/>
      <c r="U5917" s="4"/>
      <c r="V5917" s="4"/>
      <c r="X5917" s="4"/>
      <c r="Y5917" s="4"/>
    </row>
    <row r="5918" spans="20:25" x14ac:dyDescent="0.25">
      <c r="T5918" s="10"/>
      <c r="U5918" s="4"/>
      <c r="V5918" s="4"/>
      <c r="X5918" s="4"/>
      <c r="Y5918" s="4"/>
    </row>
    <row r="5919" spans="20:25" x14ac:dyDescent="0.25">
      <c r="T5919" s="10"/>
      <c r="U5919" s="4"/>
      <c r="V5919" s="4"/>
      <c r="X5919" s="4"/>
      <c r="Y5919" s="4"/>
    </row>
    <row r="5920" spans="20:25" x14ac:dyDescent="0.25">
      <c r="T5920" s="10"/>
      <c r="U5920" s="4"/>
      <c r="V5920" s="4"/>
      <c r="X5920" s="4"/>
      <c r="Y5920" s="4"/>
    </row>
    <row r="5921" spans="20:25" x14ac:dyDescent="0.25">
      <c r="T5921" s="10"/>
      <c r="U5921" s="4"/>
      <c r="V5921" s="4"/>
      <c r="X5921" s="4"/>
      <c r="Y5921" s="4"/>
    </row>
    <row r="5922" spans="20:25" x14ac:dyDescent="0.25">
      <c r="T5922" s="10"/>
      <c r="U5922" s="4"/>
      <c r="V5922" s="4"/>
      <c r="X5922" s="4"/>
      <c r="Y5922" s="4"/>
    </row>
    <row r="5923" spans="20:25" x14ac:dyDescent="0.25">
      <c r="T5923" s="10"/>
      <c r="U5923" s="4"/>
      <c r="V5923" s="4"/>
      <c r="X5923" s="4"/>
      <c r="Y5923" s="4"/>
    </row>
    <row r="5924" spans="20:25" x14ac:dyDescent="0.25">
      <c r="T5924" s="10"/>
      <c r="U5924" s="4"/>
      <c r="V5924" s="4"/>
      <c r="X5924" s="4"/>
      <c r="Y5924" s="4"/>
    </row>
    <row r="5925" spans="20:25" x14ac:dyDescent="0.25">
      <c r="T5925" s="10"/>
      <c r="U5925" s="4"/>
      <c r="V5925" s="4"/>
      <c r="X5925" s="4"/>
      <c r="Y5925" s="4"/>
    </row>
    <row r="5926" spans="20:25" x14ac:dyDescent="0.25">
      <c r="T5926" s="10"/>
      <c r="U5926" s="4"/>
      <c r="V5926" s="4"/>
      <c r="X5926" s="4"/>
      <c r="Y5926" s="4"/>
    </row>
    <row r="5927" spans="20:25" x14ac:dyDescent="0.25">
      <c r="T5927" s="10"/>
      <c r="U5927" s="4"/>
      <c r="V5927" s="4"/>
      <c r="X5927" s="4"/>
      <c r="Y5927" s="4"/>
    </row>
    <row r="5928" spans="20:25" x14ac:dyDescent="0.25">
      <c r="T5928" s="10"/>
      <c r="U5928" s="4"/>
      <c r="V5928" s="4"/>
      <c r="X5928" s="4"/>
      <c r="Y5928" s="4"/>
    </row>
    <row r="5929" spans="20:25" x14ac:dyDescent="0.25">
      <c r="T5929" s="10"/>
      <c r="U5929" s="4"/>
      <c r="V5929" s="4"/>
      <c r="X5929" s="4"/>
      <c r="Y5929" s="4"/>
    </row>
    <row r="5930" spans="20:25" x14ac:dyDescent="0.25">
      <c r="T5930" s="10"/>
      <c r="U5930" s="4"/>
      <c r="V5930" s="4"/>
      <c r="X5930" s="4"/>
      <c r="Y5930" s="4"/>
    </row>
    <row r="5931" spans="20:25" x14ac:dyDescent="0.25">
      <c r="T5931" s="10"/>
      <c r="U5931" s="4"/>
      <c r="V5931" s="4"/>
      <c r="X5931" s="4"/>
      <c r="Y5931" s="4"/>
    </row>
    <row r="5932" spans="20:25" x14ac:dyDescent="0.25">
      <c r="T5932" s="10"/>
      <c r="U5932" s="4"/>
      <c r="V5932" s="4"/>
      <c r="X5932" s="4"/>
      <c r="Y5932" s="4"/>
    </row>
    <row r="5933" spans="20:25" x14ac:dyDescent="0.25">
      <c r="T5933" s="10"/>
      <c r="U5933" s="4"/>
      <c r="V5933" s="4"/>
      <c r="X5933" s="4"/>
      <c r="Y5933" s="4"/>
    </row>
    <row r="5934" spans="20:25" x14ac:dyDescent="0.25">
      <c r="T5934" s="10"/>
      <c r="U5934" s="4"/>
      <c r="V5934" s="4"/>
      <c r="X5934" s="4"/>
      <c r="Y5934" s="4"/>
    </row>
    <row r="5935" spans="20:25" x14ac:dyDescent="0.25">
      <c r="T5935" s="10"/>
      <c r="U5935" s="4"/>
      <c r="V5935" s="4"/>
      <c r="X5935" s="4"/>
      <c r="Y5935" s="4"/>
    </row>
    <row r="5936" spans="20:25" x14ac:dyDescent="0.25">
      <c r="T5936" s="10"/>
      <c r="U5936" s="4"/>
      <c r="V5936" s="4"/>
      <c r="X5936" s="4"/>
      <c r="Y5936" s="4"/>
    </row>
    <row r="5937" spans="20:25" x14ac:dyDescent="0.25">
      <c r="T5937" s="10"/>
      <c r="U5937" s="4"/>
      <c r="V5937" s="4"/>
      <c r="X5937" s="4"/>
      <c r="Y5937" s="4"/>
    </row>
    <row r="5938" spans="20:25" x14ac:dyDescent="0.25">
      <c r="T5938" s="10"/>
      <c r="U5938" s="4"/>
      <c r="V5938" s="4"/>
      <c r="X5938" s="4"/>
      <c r="Y5938" s="4"/>
    </row>
    <row r="5939" spans="20:25" x14ac:dyDescent="0.25">
      <c r="T5939" s="10"/>
      <c r="U5939" s="4"/>
      <c r="V5939" s="4"/>
      <c r="X5939" s="4"/>
      <c r="Y5939" s="4"/>
    </row>
    <row r="5940" spans="20:25" x14ac:dyDescent="0.25">
      <c r="T5940" s="10"/>
      <c r="U5940" s="4"/>
      <c r="V5940" s="4"/>
      <c r="X5940" s="4"/>
      <c r="Y5940" s="4"/>
    </row>
    <row r="5941" spans="20:25" x14ac:dyDescent="0.25">
      <c r="T5941" s="10"/>
      <c r="U5941" s="4"/>
      <c r="V5941" s="4"/>
      <c r="X5941" s="4"/>
      <c r="Y5941" s="4"/>
    </row>
    <row r="5942" spans="20:25" x14ac:dyDescent="0.25">
      <c r="T5942" s="10"/>
      <c r="U5942" s="4"/>
      <c r="V5942" s="4"/>
      <c r="X5942" s="4"/>
      <c r="Y5942" s="4"/>
    </row>
    <row r="5943" spans="20:25" x14ac:dyDescent="0.25">
      <c r="T5943" s="10"/>
      <c r="U5943" s="4"/>
      <c r="V5943" s="4"/>
      <c r="X5943" s="4"/>
      <c r="Y5943" s="4"/>
    </row>
    <row r="5944" spans="20:25" x14ac:dyDescent="0.25">
      <c r="T5944" s="10"/>
      <c r="U5944" s="4"/>
      <c r="V5944" s="4"/>
      <c r="X5944" s="4"/>
      <c r="Y5944" s="4"/>
    </row>
    <row r="5945" spans="20:25" x14ac:dyDescent="0.25">
      <c r="T5945" s="10"/>
      <c r="U5945" s="4"/>
      <c r="V5945" s="4"/>
      <c r="X5945" s="4"/>
      <c r="Y5945" s="4"/>
    </row>
    <row r="5946" spans="20:25" x14ac:dyDescent="0.25">
      <c r="T5946" s="10"/>
      <c r="U5946" s="4"/>
      <c r="V5946" s="4"/>
      <c r="X5946" s="4"/>
      <c r="Y5946" s="4"/>
    </row>
    <row r="5947" spans="20:25" x14ac:dyDescent="0.25">
      <c r="T5947" s="10"/>
      <c r="U5947" s="4"/>
      <c r="V5947" s="4"/>
      <c r="X5947" s="4"/>
      <c r="Y5947" s="4"/>
    </row>
    <row r="5948" spans="20:25" x14ac:dyDescent="0.25">
      <c r="T5948" s="10"/>
      <c r="U5948" s="4"/>
      <c r="V5948" s="4"/>
      <c r="X5948" s="4"/>
      <c r="Y5948" s="4"/>
    </row>
    <row r="5949" spans="20:25" x14ac:dyDescent="0.25">
      <c r="T5949" s="10"/>
      <c r="U5949" s="4"/>
      <c r="V5949" s="4"/>
      <c r="X5949" s="4"/>
      <c r="Y5949" s="4"/>
    </row>
    <row r="5950" spans="20:25" x14ac:dyDescent="0.25">
      <c r="T5950" s="10"/>
      <c r="U5950" s="4"/>
      <c r="V5950" s="4"/>
      <c r="X5950" s="4"/>
      <c r="Y5950" s="4"/>
    </row>
    <row r="5951" spans="20:25" x14ac:dyDescent="0.25">
      <c r="T5951" s="10"/>
      <c r="U5951" s="4"/>
      <c r="V5951" s="4"/>
      <c r="X5951" s="4"/>
      <c r="Y5951" s="4"/>
    </row>
    <row r="5952" spans="20:25" x14ac:dyDescent="0.25">
      <c r="T5952" s="10"/>
      <c r="U5952" s="4"/>
      <c r="V5952" s="4"/>
      <c r="X5952" s="4"/>
      <c r="Y5952" s="4"/>
    </row>
    <row r="5953" spans="20:25" x14ac:dyDescent="0.25">
      <c r="T5953" s="10"/>
      <c r="U5953" s="4"/>
      <c r="V5953" s="4"/>
      <c r="X5953" s="4"/>
      <c r="Y5953" s="4"/>
    </row>
    <row r="5954" spans="20:25" x14ac:dyDescent="0.25">
      <c r="T5954" s="10"/>
      <c r="U5954" s="4"/>
      <c r="V5954" s="4"/>
      <c r="X5954" s="4"/>
      <c r="Y5954" s="4"/>
    </row>
    <row r="5955" spans="20:25" x14ac:dyDescent="0.25">
      <c r="T5955" s="10"/>
      <c r="U5955" s="4"/>
      <c r="V5955" s="4"/>
      <c r="X5955" s="4"/>
      <c r="Y5955" s="4"/>
    </row>
    <row r="5956" spans="20:25" x14ac:dyDescent="0.25">
      <c r="T5956" s="10"/>
      <c r="U5956" s="4"/>
      <c r="V5956" s="4"/>
      <c r="X5956" s="4"/>
      <c r="Y5956" s="4"/>
    </row>
    <row r="5957" spans="20:25" x14ac:dyDescent="0.25">
      <c r="T5957" s="10"/>
      <c r="U5957" s="4"/>
      <c r="V5957" s="4"/>
      <c r="X5957" s="4"/>
      <c r="Y5957" s="4"/>
    </row>
    <row r="5958" spans="20:25" x14ac:dyDescent="0.25">
      <c r="T5958" s="10"/>
      <c r="U5958" s="4"/>
      <c r="V5958" s="4"/>
      <c r="X5958" s="4"/>
      <c r="Y5958" s="4"/>
    </row>
    <row r="5959" spans="20:25" x14ac:dyDescent="0.25">
      <c r="T5959" s="10"/>
      <c r="U5959" s="4"/>
      <c r="V5959" s="4"/>
      <c r="X5959" s="4"/>
      <c r="Y5959" s="4"/>
    </row>
    <row r="5960" spans="20:25" x14ac:dyDescent="0.25">
      <c r="T5960" s="10"/>
      <c r="U5960" s="4"/>
      <c r="V5960" s="4"/>
      <c r="X5960" s="4"/>
      <c r="Y5960" s="4"/>
    </row>
    <row r="5961" spans="20:25" x14ac:dyDescent="0.25">
      <c r="T5961" s="10"/>
      <c r="U5961" s="4"/>
      <c r="V5961" s="4"/>
      <c r="X5961" s="4"/>
      <c r="Y5961" s="4"/>
    </row>
    <row r="5962" spans="20:25" x14ac:dyDescent="0.25">
      <c r="T5962" s="10"/>
      <c r="U5962" s="4"/>
      <c r="V5962" s="4"/>
      <c r="X5962" s="4"/>
      <c r="Y5962" s="4"/>
    </row>
    <row r="5963" spans="20:25" x14ac:dyDescent="0.25">
      <c r="T5963" s="10"/>
      <c r="U5963" s="4"/>
      <c r="V5963" s="4"/>
      <c r="X5963" s="4"/>
      <c r="Y5963" s="4"/>
    </row>
    <row r="5964" spans="20:25" x14ac:dyDescent="0.25">
      <c r="T5964" s="10"/>
      <c r="U5964" s="4"/>
      <c r="V5964" s="4"/>
      <c r="X5964" s="4"/>
      <c r="Y5964" s="4"/>
    </row>
    <row r="5965" spans="20:25" x14ac:dyDescent="0.25">
      <c r="T5965" s="10"/>
      <c r="U5965" s="4"/>
      <c r="V5965" s="4"/>
      <c r="X5965" s="4"/>
      <c r="Y5965" s="4"/>
    </row>
    <row r="5966" spans="20:25" x14ac:dyDescent="0.25">
      <c r="T5966" s="10"/>
      <c r="U5966" s="4"/>
      <c r="V5966" s="4"/>
      <c r="X5966" s="4"/>
      <c r="Y5966" s="4"/>
    </row>
    <row r="5967" spans="20:25" x14ac:dyDescent="0.25">
      <c r="T5967" s="10"/>
      <c r="U5967" s="4"/>
      <c r="V5967" s="4"/>
      <c r="X5967" s="4"/>
      <c r="Y5967" s="4"/>
    </row>
    <row r="5968" spans="20:25" x14ac:dyDescent="0.25">
      <c r="T5968" s="10"/>
      <c r="U5968" s="4"/>
      <c r="V5968" s="4"/>
      <c r="X5968" s="4"/>
      <c r="Y5968" s="4"/>
    </row>
    <row r="5969" spans="20:25" x14ac:dyDescent="0.25">
      <c r="T5969" s="10"/>
      <c r="U5969" s="4"/>
      <c r="V5969" s="4"/>
      <c r="X5969" s="4"/>
      <c r="Y5969" s="4"/>
    </row>
    <row r="5970" spans="20:25" x14ac:dyDescent="0.25">
      <c r="T5970" s="10"/>
      <c r="U5970" s="4"/>
      <c r="V5970" s="4"/>
      <c r="X5970" s="4"/>
      <c r="Y5970" s="4"/>
    </row>
    <row r="5971" spans="20:25" x14ac:dyDescent="0.25">
      <c r="T5971" s="10"/>
      <c r="U5971" s="4"/>
      <c r="V5971" s="4"/>
      <c r="X5971" s="4"/>
      <c r="Y5971" s="4"/>
    </row>
    <row r="5972" spans="20:25" x14ac:dyDescent="0.25">
      <c r="T5972" s="10"/>
      <c r="U5972" s="4"/>
      <c r="V5972" s="4"/>
      <c r="X5972" s="4"/>
      <c r="Y5972" s="4"/>
    </row>
    <row r="5973" spans="20:25" x14ac:dyDescent="0.25">
      <c r="T5973" s="10"/>
      <c r="U5973" s="4"/>
      <c r="V5973" s="4"/>
      <c r="X5973" s="4"/>
      <c r="Y5973" s="4"/>
    </row>
    <row r="5974" spans="20:25" x14ac:dyDescent="0.25">
      <c r="T5974" s="10"/>
      <c r="U5974" s="4"/>
      <c r="V5974" s="4"/>
      <c r="X5974" s="4"/>
      <c r="Y5974" s="4"/>
    </row>
    <row r="5975" spans="20:25" x14ac:dyDescent="0.25">
      <c r="T5975" s="10"/>
      <c r="U5975" s="4"/>
      <c r="V5975" s="4"/>
      <c r="X5975" s="4"/>
      <c r="Y5975" s="4"/>
    </row>
    <row r="5976" spans="20:25" x14ac:dyDescent="0.25">
      <c r="T5976" s="10"/>
      <c r="U5976" s="4"/>
      <c r="V5976" s="4"/>
      <c r="X5976" s="4"/>
      <c r="Y5976" s="4"/>
    </row>
    <row r="5977" spans="20:25" x14ac:dyDescent="0.25">
      <c r="T5977" s="10"/>
      <c r="U5977" s="4"/>
      <c r="V5977" s="4"/>
      <c r="X5977" s="4"/>
      <c r="Y5977" s="4"/>
    </row>
    <row r="5978" spans="20:25" x14ac:dyDescent="0.25">
      <c r="T5978" s="10"/>
      <c r="U5978" s="4"/>
      <c r="V5978" s="4"/>
      <c r="X5978" s="4"/>
      <c r="Y5978" s="4"/>
    </row>
    <row r="5979" spans="20:25" x14ac:dyDescent="0.25">
      <c r="T5979" s="10"/>
      <c r="U5979" s="4"/>
      <c r="V5979" s="4"/>
      <c r="X5979" s="4"/>
      <c r="Y5979" s="4"/>
    </row>
    <row r="5980" spans="20:25" x14ac:dyDescent="0.25">
      <c r="T5980" s="10"/>
      <c r="U5980" s="4"/>
      <c r="V5980" s="4"/>
      <c r="X5980" s="4"/>
      <c r="Y5980" s="4"/>
    </row>
    <row r="5981" spans="20:25" x14ac:dyDescent="0.25">
      <c r="T5981" s="10"/>
      <c r="U5981" s="4"/>
      <c r="V5981" s="4"/>
      <c r="X5981" s="4"/>
      <c r="Y5981" s="4"/>
    </row>
    <row r="5982" spans="20:25" x14ac:dyDescent="0.25">
      <c r="T5982" s="10"/>
      <c r="U5982" s="4"/>
      <c r="V5982" s="4"/>
      <c r="X5982" s="4"/>
      <c r="Y5982" s="4"/>
    </row>
    <row r="5983" spans="20:25" x14ac:dyDescent="0.25">
      <c r="T5983" s="10"/>
      <c r="U5983" s="4"/>
      <c r="V5983" s="4"/>
      <c r="X5983" s="4"/>
      <c r="Y5983" s="4"/>
    </row>
    <row r="5984" spans="20:25" x14ac:dyDescent="0.25">
      <c r="T5984" s="10"/>
      <c r="U5984" s="4"/>
      <c r="V5984" s="4"/>
      <c r="X5984" s="4"/>
      <c r="Y5984" s="4"/>
    </row>
    <row r="5985" spans="20:25" x14ac:dyDescent="0.25">
      <c r="T5985" s="10"/>
      <c r="U5985" s="4"/>
      <c r="V5985" s="4"/>
      <c r="X5985" s="4"/>
      <c r="Y5985" s="4"/>
    </row>
    <row r="5986" spans="20:25" x14ac:dyDescent="0.25">
      <c r="T5986" s="10"/>
      <c r="U5986" s="4"/>
      <c r="V5986" s="4"/>
      <c r="X5986" s="4"/>
      <c r="Y5986" s="4"/>
    </row>
    <row r="5987" spans="20:25" x14ac:dyDescent="0.25">
      <c r="T5987" s="10"/>
      <c r="U5987" s="4"/>
      <c r="V5987" s="4"/>
      <c r="X5987" s="4"/>
      <c r="Y5987" s="4"/>
    </row>
    <row r="5988" spans="20:25" x14ac:dyDescent="0.25">
      <c r="T5988" s="10"/>
      <c r="U5988" s="4"/>
      <c r="V5988" s="4"/>
      <c r="X5988" s="4"/>
      <c r="Y5988" s="4"/>
    </row>
    <row r="5989" spans="20:25" x14ac:dyDescent="0.25">
      <c r="T5989" s="10"/>
      <c r="U5989" s="4"/>
      <c r="V5989" s="4"/>
      <c r="X5989" s="4"/>
      <c r="Y5989" s="4"/>
    </row>
    <row r="5990" spans="20:25" x14ac:dyDescent="0.25">
      <c r="T5990" s="10"/>
      <c r="U5990" s="4"/>
      <c r="V5990" s="4"/>
      <c r="X5990" s="4"/>
      <c r="Y5990" s="4"/>
    </row>
    <row r="5991" spans="20:25" x14ac:dyDescent="0.25">
      <c r="T5991" s="10"/>
      <c r="U5991" s="4"/>
      <c r="V5991" s="4"/>
      <c r="X5991" s="4"/>
      <c r="Y5991" s="4"/>
    </row>
    <row r="5992" spans="20:25" x14ac:dyDescent="0.25">
      <c r="T5992" s="10"/>
      <c r="U5992" s="4"/>
      <c r="V5992" s="4"/>
      <c r="X5992" s="4"/>
      <c r="Y5992" s="4"/>
    </row>
    <row r="5993" spans="20:25" x14ac:dyDescent="0.25">
      <c r="T5993" s="10"/>
      <c r="U5993" s="4"/>
      <c r="V5993" s="4"/>
      <c r="X5993" s="4"/>
      <c r="Y5993" s="4"/>
    </row>
    <row r="5994" spans="20:25" x14ac:dyDescent="0.25">
      <c r="T5994" s="10"/>
      <c r="U5994" s="4"/>
      <c r="V5994" s="4"/>
      <c r="X5994" s="4"/>
      <c r="Y5994" s="4"/>
    </row>
    <row r="5995" spans="20:25" x14ac:dyDescent="0.25">
      <c r="T5995" s="10"/>
      <c r="U5995" s="4"/>
      <c r="V5995" s="4"/>
      <c r="X5995" s="4"/>
      <c r="Y5995" s="4"/>
    </row>
    <row r="5996" spans="20:25" x14ac:dyDescent="0.25">
      <c r="T5996" s="10"/>
      <c r="U5996" s="4"/>
      <c r="V5996" s="4"/>
      <c r="X5996" s="4"/>
      <c r="Y5996" s="4"/>
    </row>
    <row r="5997" spans="20:25" x14ac:dyDescent="0.25">
      <c r="T5997" s="10"/>
      <c r="U5997" s="4"/>
      <c r="V5997" s="4"/>
      <c r="X5997" s="4"/>
      <c r="Y5997" s="4"/>
    </row>
    <row r="5998" spans="20:25" x14ac:dyDescent="0.25">
      <c r="T5998" s="10"/>
      <c r="U5998" s="4"/>
      <c r="V5998" s="4"/>
      <c r="X5998" s="4"/>
      <c r="Y5998" s="4"/>
    </row>
    <row r="5999" spans="20:25" x14ac:dyDescent="0.25">
      <c r="T5999" s="10"/>
      <c r="U5999" s="4"/>
      <c r="V5999" s="4"/>
      <c r="X5999" s="4"/>
      <c r="Y5999" s="4"/>
    </row>
    <row r="6000" spans="20:25" x14ac:dyDescent="0.25">
      <c r="T6000" s="10"/>
      <c r="U6000" s="4"/>
      <c r="V6000" s="4"/>
      <c r="X6000" s="4"/>
      <c r="Y6000" s="4"/>
    </row>
    <row r="6001" spans="20:25" x14ac:dyDescent="0.25">
      <c r="T6001" s="10"/>
      <c r="U6001" s="4"/>
      <c r="V6001" s="4"/>
      <c r="X6001" s="4"/>
      <c r="Y6001" s="4"/>
    </row>
    <row r="6002" spans="20:25" x14ac:dyDescent="0.25">
      <c r="T6002" s="10"/>
      <c r="U6002" s="4"/>
      <c r="V6002" s="4"/>
      <c r="X6002" s="4"/>
      <c r="Y6002" s="4"/>
    </row>
    <row r="6003" spans="20:25" x14ac:dyDescent="0.25">
      <c r="T6003" s="10"/>
      <c r="U6003" s="4"/>
      <c r="V6003" s="4"/>
      <c r="X6003" s="4"/>
      <c r="Y6003" s="4"/>
    </row>
    <row r="6004" spans="20:25" x14ac:dyDescent="0.25">
      <c r="T6004" s="10"/>
      <c r="U6004" s="4"/>
      <c r="V6004" s="4"/>
      <c r="X6004" s="4"/>
      <c r="Y6004" s="4"/>
    </row>
    <row r="6005" spans="20:25" x14ac:dyDescent="0.25">
      <c r="T6005" s="10"/>
      <c r="U6005" s="4"/>
      <c r="V6005" s="4"/>
      <c r="X6005" s="4"/>
      <c r="Y6005" s="4"/>
    </row>
    <row r="6006" spans="20:25" x14ac:dyDescent="0.25">
      <c r="T6006" s="10"/>
      <c r="U6006" s="4"/>
      <c r="V6006" s="4"/>
      <c r="X6006" s="4"/>
      <c r="Y6006" s="4"/>
    </row>
    <row r="6007" spans="20:25" x14ac:dyDescent="0.25">
      <c r="T6007" s="10"/>
      <c r="U6007" s="4"/>
      <c r="V6007" s="4"/>
      <c r="X6007" s="4"/>
      <c r="Y6007" s="4"/>
    </row>
    <row r="6008" spans="20:25" x14ac:dyDescent="0.25">
      <c r="T6008" s="10"/>
      <c r="U6008" s="4"/>
      <c r="V6008" s="4"/>
      <c r="X6008" s="4"/>
      <c r="Y6008" s="4"/>
    </row>
    <row r="6009" spans="20:25" x14ac:dyDescent="0.25">
      <c r="T6009" s="10"/>
      <c r="U6009" s="4"/>
      <c r="V6009" s="4"/>
      <c r="X6009" s="4"/>
      <c r="Y6009" s="4"/>
    </row>
    <row r="6010" spans="20:25" x14ac:dyDescent="0.25">
      <c r="T6010" s="10"/>
      <c r="U6010" s="4"/>
      <c r="V6010" s="4"/>
      <c r="X6010" s="4"/>
      <c r="Y6010" s="4"/>
    </row>
    <row r="6011" spans="20:25" x14ac:dyDescent="0.25">
      <c r="T6011" s="10"/>
      <c r="U6011" s="4"/>
      <c r="V6011" s="4"/>
      <c r="X6011" s="4"/>
      <c r="Y6011" s="4"/>
    </row>
    <row r="6012" spans="20:25" x14ac:dyDescent="0.25">
      <c r="T6012" s="10"/>
      <c r="U6012" s="4"/>
      <c r="V6012" s="4"/>
      <c r="X6012" s="4"/>
      <c r="Y6012" s="4"/>
    </row>
    <row r="6013" spans="20:25" x14ac:dyDescent="0.25">
      <c r="T6013" s="10"/>
      <c r="U6013" s="4"/>
      <c r="V6013" s="4"/>
      <c r="X6013" s="4"/>
      <c r="Y6013" s="4"/>
    </row>
    <row r="6014" spans="20:25" x14ac:dyDescent="0.25">
      <c r="T6014" s="10"/>
      <c r="U6014" s="4"/>
      <c r="V6014" s="4"/>
      <c r="X6014" s="4"/>
      <c r="Y6014" s="4"/>
    </row>
    <row r="6015" spans="20:25" x14ac:dyDescent="0.25">
      <c r="T6015" s="10"/>
      <c r="U6015" s="4"/>
      <c r="V6015" s="4"/>
      <c r="X6015" s="4"/>
      <c r="Y6015" s="4"/>
    </row>
    <row r="6016" spans="20:25" x14ac:dyDescent="0.25">
      <c r="T6016" s="10"/>
      <c r="U6016" s="4"/>
      <c r="V6016" s="4"/>
      <c r="X6016" s="4"/>
      <c r="Y6016" s="4"/>
    </row>
    <row r="6017" spans="20:25" x14ac:dyDescent="0.25">
      <c r="T6017" s="10"/>
      <c r="U6017" s="4"/>
      <c r="V6017" s="4"/>
      <c r="X6017" s="4"/>
      <c r="Y6017" s="4"/>
    </row>
    <row r="6018" spans="20:25" x14ac:dyDescent="0.25">
      <c r="T6018" s="10"/>
      <c r="U6018" s="4"/>
      <c r="V6018" s="4"/>
      <c r="X6018" s="4"/>
      <c r="Y6018" s="4"/>
    </row>
    <row r="6019" spans="20:25" x14ac:dyDescent="0.25">
      <c r="T6019" s="10"/>
      <c r="U6019" s="4"/>
      <c r="V6019" s="4"/>
      <c r="X6019" s="4"/>
      <c r="Y6019" s="4"/>
    </row>
    <row r="6020" spans="20:25" x14ac:dyDescent="0.25">
      <c r="T6020" s="10"/>
      <c r="U6020" s="4"/>
      <c r="V6020" s="4"/>
      <c r="X6020" s="4"/>
      <c r="Y6020" s="4"/>
    </row>
    <row r="6021" spans="20:25" x14ac:dyDescent="0.25">
      <c r="T6021" s="10"/>
      <c r="U6021" s="4"/>
      <c r="V6021" s="4"/>
      <c r="X6021" s="4"/>
      <c r="Y6021" s="4"/>
    </row>
    <row r="6022" spans="20:25" x14ac:dyDescent="0.25">
      <c r="T6022" s="10"/>
      <c r="U6022" s="4"/>
      <c r="V6022" s="4"/>
      <c r="X6022" s="4"/>
      <c r="Y6022" s="4"/>
    </row>
    <row r="6023" spans="20:25" x14ac:dyDescent="0.25">
      <c r="T6023" s="10"/>
      <c r="U6023" s="4"/>
      <c r="V6023" s="4"/>
      <c r="X6023" s="4"/>
      <c r="Y6023" s="4"/>
    </row>
    <row r="6024" spans="20:25" x14ac:dyDescent="0.25">
      <c r="T6024" s="10"/>
      <c r="U6024" s="4"/>
      <c r="V6024" s="4"/>
      <c r="X6024" s="4"/>
      <c r="Y6024" s="4"/>
    </row>
    <row r="6025" spans="20:25" x14ac:dyDescent="0.25">
      <c r="T6025" s="10"/>
      <c r="U6025" s="4"/>
      <c r="V6025" s="4"/>
      <c r="X6025" s="4"/>
      <c r="Y6025" s="4"/>
    </row>
    <row r="6026" spans="20:25" x14ac:dyDescent="0.25">
      <c r="T6026" s="10"/>
      <c r="U6026" s="4"/>
      <c r="V6026" s="4"/>
      <c r="X6026" s="4"/>
      <c r="Y6026" s="4"/>
    </row>
    <row r="6027" spans="20:25" x14ac:dyDescent="0.25">
      <c r="T6027" s="10"/>
      <c r="U6027" s="4"/>
      <c r="V6027" s="4"/>
      <c r="X6027" s="4"/>
      <c r="Y6027" s="4"/>
    </row>
    <row r="6028" spans="20:25" x14ac:dyDescent="0.25">
      <c r="T6028" s="10"/>
      <c r="U6028" s="4"/>
      <c r="V6028" s="4"/>
      <c r="X6028" s="4"/>
      <c r="Y6028" s="4"/>
    </row>
    <row r="6029" spans="20:25" x14ac:dyDescent="0.25">
      <c r="T6029" s="10"/>
      <c r="U6029" s="4"/>
      <c r="V6029" s="4"/>
      <c r="X6029" s="4"/>
      <c r="Y6029" s="4"/>
    </row>
    <row r="6030" spans="20:25" x14ac:dyDescent="0.25">
      <c r="T6030" s="10"/>
      <c r="U6030" s="4"/>
      <c r="V6030" s="4"/>
      <c r="X6030" s="4"/>
      <c r="Y6030" s="4"/>
    </row>
    <row r="6031" spans="20:25" x14ac:dyDescent="0.25">
      <c r="T6031" s="10"/>
      <c r="U6031" s="4"/>
      <c r="V6031" s="4"/>
      <c r="X6031" s="4"/>
      <c r="Y6031" s="4"/>
    </row>
    <row r="6032" spans="20:25" x14ac:dyDescent="0.25">
      <c r="T6032" s="10"/>
      <c r="U6032" s="4"/>
      <c r="V6032" s="4"/>
      <c r="X6032" s="4"/>
      <c r="Y6032" s="4"/>
    </row>
    <row r="6033" spans="20:25" x14ac:dyDescent="0.25">
      <c r="T6033" s="10"/>
      <c r="U6033" s="4"/>
      <c r="V6033" s="4"/>
      <c r="X6033" s="4"/>
      <c r="Y6033" s="4"/>
    </row>
    <row r="6034" spans="20:25" x14ac:dyDescent="0.25">
      <c r="T6034" s="10"/>
      <c r="U6034" s="4"/>
      <c r="V6034" s="4"/>
      <c r="X6034" s="4"/>
      <c r="Y6034" s="4"/>
    </row>
    <row r="6035" spans="20:25" x14ac:dyDescent="0.25">
      <c r="T6035" s="10"/>
      <c r="U6035" s="4"/>
      <c r="V6035" s="4"/>
      <c r="X6035" s="4"/>
      <c r="Y6035" s="4"/>
    </row>
    <row r="6036" spans="20:25" x14ac:dyDescent="0.25">
      <c r="T6036" s="10"/>
      <c r="U6036" s="4"/>
      <c r="V6036" s="4"/>
      <c r="X6036" s="4"/>
      <c r="Y6036" s="4"/>
    </row>
    <row r="6037" spans="20:25" x14ac:dyDescent="0.25">
      <c r="T6037" s="10"/>
      <c r="U6037" s="4"/>
      <c r="V6037" s="4"/>
      <c r="X6037" s="4"/>
      <c r="Y6037" s="4"/>
    </row>
    <row r="6038" spans="20:25" x14ac:dyDescent="0.25">
      <c r="T6038" s="10"/>
      <c r="U6038" s="4"/>
      <c r="V6038" s="4"/>
      <c r="X6038" s="4"/>
      <c r="Y6038" s="4"/>
    </row>
    <row r="6039" spans="20:25" x14ac:dyDescent="0.25">
      <c r="T6039" s="10"/>
      <c r="U6039" s="4"/>
      <c r="V6039" s="4"/>
      <c r="X6039" s="4"/>
      <c r="Y6039" s="4"/>
    </row>
    <row r="6040" spans="20:25" x14ac:dyDescent="0.25">
      <c r="T6040" s="10"/>
      <c r="U6040" s="4"/>
      <c r="V6040" s="4"/>
      <c r="X6040" s="4"/>
      <c r="Y6040" s="4"/>
    </row>
    <row r="6041" spans="20:25" x14ac:dyDescent="0.25">
      <c r="T6041" s="10"/>
      <c r="U6041" s="4"/>
      <c r="V6041" s="4"/>
      <c r="X6041" s="4"/>
      <c r="Y6041" s="4"/>
    </row>
    <row r="6042" spans="20:25" x14ac:dyDescent="0.25">
      <c r="T6042" s="10"/>
      <c r="U6042" s="4"/>
      <c r="V6042" s="4"/>
      <c r="X6042" s="4"/>
      <c r="Y6042" s="4"/>
    </row>
    <row r="6043" spans="20:25" x14ac:dyDescent="0.25">
      <c r="T6043" s="10"/>
      <c r="U6043" s="4"/>
      <c r="V6043" s="4"/>
      <c r="X6043" s="4"/>
      <c r="Y6043" s="4"/>
    </row>
    <row r="6044" spans="20:25" x14ac:dyDescent="0.25">
      <c r="T6044" s="10"/>
      <c r="U6044" s="4"/>
      <c r="V6044" s="4"/>
      <c r="X6044" s="4"/>
      <c r="Y6044" s="4"/>
    </row>
    <row r="6045" spans="20:25" x14ac:dyDescent="0.25">
      <c r="T6045" s="10"/>
      <c r="U6045" s="4"/>
      <c r="V6045" s="4"/>
      <c r="X6045" s="4"/>
      <c r="Y6045" s="4"/>
    </row>
    <row r="6046" spans="20:25" x14ac:dyDescent="0.25">
      <c r="T6046" s="10"/>
      <c r="U6046" s="4"/>
      <c r="V6046" s="4"/>
      <c r="X6046" s="4"/>
      <c r="Y6046" s="4"/>
    </row>
    <row r="6047" spans="20:25" x14ac:dyDescent="0.25">
      <c r="T6047" s="10"/>
      <c r="U6047" s="4"/>
      <c r="V6047" s="4"/>
      <c r="X6047" s="4"/>
      <c r="Y6047" s="4"/>
    </row>
    <row r="6048" spans="20:25" x14ac:dyDescent="0.25">
      <c r="T6048" s="10"/>
      <c r="U6048" s="4"/>
      <c r="V6048" s="4"/>
      <c r="X6048" s="4"/>
      <c r="Y6048" s="4"/>
    </row>
    <row r="6049" spans="20:25" x14ac:dyDescent="0.25">
      <c r="T6049" s="10"/>
      <c r="U6049" s="4"/>
      <c r="V6049" s="4"/>
      <c r="X6049" s="4"/>
      <c r="Y6049" s="4"/>
    </row>
    <row r="6050" spans="20:25" x14ac:dyDescent="0.25">
      <c r="T6050" s="10"/>
      <c r="U6050" s="4"/>
      <c r="V6050" s="4"/>
      <c r="X6050" s="4"/>
      <c r="Y6050" s="4"/>
    </row>
    <row r="6051" spans="20:25" x14ac:dyDescent="0.25">
      <c r="T6051" s="10"/>
      <c r="U6051" s="4"/>
      <c r="V6051" s="4"/>
      <c r="X6051" s="4"/>
      <c r="Y6051" s="4"/>
    </row>
    <row r="6052" spans="20:25" x14ac:dyDescent="0.25">
      <c r="T6052" s="10"/>
      <c r="U6052" s="4"/>
      <c r="V6052" s="4"/>
      <c r="X6052" s="4"/>
      <c r="Y6052" s="4"/>
    </row>
    <row r="6053" spans="20:25" x14ac:dyDescent="0.25">
      <c r="T6053" s="10"/>
      <c r="U6053" s="4"/>
      <c r="V6053" s="4"/>
      <c r="X6053" s="4"/>
      <c r="Y6053" s="4"/>
    </row>
    <row r="6054" spans="20:25" x14ac:dyDescent="0.25">
      <c r="T6054" s="10"/>
      <c r="U6054" s="4"/>
      <c r="V6054" s="4"/>
      <c r="X6054" s="4"/>
      <c r="Y6054" s="4"/>
    </row>
    <row r="6055" spans="20:25" x14ac:dyDescent="0.25">
      <c r="T6055" s="10"/>
      <c r="U6055" s="4"/>
      <c r="V6055" s="4"/>
      <c r="X6055" s="4"/>
      <c r="Y6055" s="4"/>
    </row>
    <row r="6056" spans="20:25" x14ac:dyDescent="0.25">
      <c r="T6056" s="10"/>
      <c r="U6056" s="4"/>
      <c r="V6056" s="4"/>
      <c r="X6056" s="4"/>
      <c r="Y6056" s="4"/>
    </row>
    <row r="6057" spans="20:25" x14ac:dyDescent="0.25">
      <c r="T6057" s="10"/>
      <c r="U6057" s="4"/>
      <c r="V6057" s="4"/>
      <c r="X6057" s="4"/>
      <c r="Y6057" s="4"/>
    </row>
    <row r="6058" spans="20:25" x14ac:dyDescent="0.25">
      <c r="T6058" s="10"/>
      <c r="U6058" s="4"/>
      <c r="V6058" s="4"/>
      <c r="X6058" s="4"/>
      <c r="Y6058" s="4"/>
    </row>
    <row r="6059" spans="20:25" x14ac:dyDescent="0.25">
      <c r="T6059" s="10"/>
      <c r="U6059" s="4"/>
      <c r="V6059" s="4"/>
      <c r="X6059" s="4"/>
      <c r="Y6059" s="4"/>
    </row>
    <row r="6060" spans="20:25" x14ac:dyDescent="0.25">
      <c r="T6060" s="10"/>
      <c r="U6060" s="4"/>
      <c r="V6060" s="4"/>
      <c r="X6060" s="4"/>
      <c r="Y6060" s="4"/>
    </row>
    <row r="6061" spans="20:25" x14ac:dyDescent="0.25">
      <c r="T6061" s="10"/>
      <c r="U6061" s="4"/>
      <c r="V6061" s="4"/>
      <c r="X6061" s="4"/>
      <c r="Y6061" s="4"/>
    </row>
    <row r="6062" spans="20:25" x14ac:dyDescent="0.25">
      <c r="T6062" s="10"/>
      <c r="U6062" s="4"/>
      <c r="V6062" s="4"/>
      <c r="X6062" s="4"/>
      <c r="Y6062" s="4"/>
    </row>
    <row r="6063" spans="20:25" x14ac:dyDescent="0.25">
      <c r="T6063" s="10"/>
      <c r="U6063" s="4"/>
      <c r="V6063" s="4"/>
      <c r="X6063" s="4"/>
      <c r="Y6063" s="4"/>
    </row>
    <row r="6064" spans="20:25" x14ac:dyDescent="0.25">
      <c r="T6064" s="10"/>
      <c r="U6064" s="4"/>
      <c r="V6064" s="4"/>
      <c r="X6064" s="4"/>
      <c r="Y6064" s="4"/>
    </row>
    <row r="6065" spans="20:25" x14ac:dyDescent="0.25">
      <c r="T6065" s="10"/>
      <c r="U6065" s="4"/>
      <c r="V6065" s="4"/>
      <c r="X6065" s="4"/>
      <c r="Y6065" s="4"/>
    </row>
    <row r="6066" spans="20:25" x14ac:dyDescent="0.25">
      <c r="T6066" s="10"/>
      <c r="U6066" s="4"/>
      <c r="V6066" s="4"/>
      <c r="X6066" s="4"/>
      <c r="Y6066" s="4"/>
    </row>
    <row r="6067" spans="20:25" x14ac:dyDescent="0.25">
      <c r="T6067" s="10"/>
      <c r="U6067" s="4"/>
      <c r="V6067" s="4"/>
      <c r="X6067" s="4"/>
      <c r="Y6067" s="4"/>
    </row>
    <row r="6068" spans="20:25" x14ac:dyDescent="0.25">
      <c r="T6068" s="10"/>
      <c r="U6068" s="4"/>
      <c r="V6068" s="4"/>
      <c r="X6068" s="4"/>
      <c r="Y6068" s="4"/>
    </row>
    <row r="6069" spans="20:25" x14ac:dyDescent="0.25">
      <c r="T6069" s="10"/>
      <c r="U6069" s="4"/>
      <c r="V6069" s="4"/>
      <c r="X6069" s="4"/>
      <c r="Y6069" s="4"/>
    </row>
    <row r="6070" spans="20:25" x14ac:dyDescent="0.25">
      <c r="T6070" s="10"/>
      <c r="U6070" s="4"/>
      <c r="V6070" s="4"/>
      <c r="X6070" s="4"/>
      <c r="Y6070" s="4"/>
    </row>
    <row r="6071" spans="20:25" x14ac:dyDescent="0.25">
      <c r="T6071" s="10"/>
      <c r="U6071" s="4"/>
      <c r="V6071" s="4"/>
      <c r="X6071" s="4"/>
      <c r="Y6071" s="4"/>
    </row>
    <row r="6072" spans="20:25" x14ac:dyDescent="0.25">
      <c r="T6072" s="10"/>
      <c r="U6072" s="4"/>
      <c r="V6072" s="4"/>
      <c r="X6072" s="4"/>
      <c r="Y6072" s="4"/>
    </row>
    <row r="6073" spans="20:25" x14ac:dyDescent="0.25">
      <c r="T6073" s="10"/>
      <c r="U6073" s="4"/>
      <c r="V6073" s="4"/>
      <c r="X6073" s="4"/>
      <c r="Y6073" s="4"/>
    </row>
    <row r="6074" spans="20:25" x14ac:dyDescent="0.25">
      <c r="T6074" s="10"/>
      <c r="U6074" s="4"/>
      <c r="V6074" s="4"/>
      <c r="X6074" s="4"/>
      <c r="Y6074" s="4"/>
    </row>
    <row r="6075" spans="20:25" x14ac:dyDescent="0.25">
      <c r="T6075" s="10"/>
      <c r="U6075" s="4"/>
      <c r="V6075" s="4"/>
      <c r="X6075" s="4"/>
      <c r="Y6075" s="4"/>
    </row>
    <row r="6076" spans="20:25" x14ac:dyDescent="0.25">
      <c r="T6076" s="10"/>
      <c r="U6076" s="4"/>
      <c r="V6076" s="4"/>
      <c r="X6076" s="4"/>
      <c r="Y6076" s="4"/>
    </row>
    <row r="6077" spans="20:25" x14ac:dyDescent="0.25">
      <c r="T6077" s="10"/>
      <c r="U6077" s="4"/>
      <c r="V6077" s="4"/>
      <c r="X6077" s="4"/>
      <c r="Y6077" s="4"/>
    </row>
    <row r="6078" spans="20:25" x14ac:dyDescent="0.25">
      <c r="T6078" s="10"/>
      <c r="U6078" s="4"/>
      <c r="V6078" s="4"/>
      <c r="X6078" s="4"/>
      <c r="Y6078" s="4"/>
    </row>
    <row r="6079" spans="20:25" x14ac:dyDescent="0.25">
      <c r="T6079" s="10"/>
      <c r="U6079" s="4"/>
      <c r="V6079" s="4"/>
      <c r="X6079" s="4"/>
      <c r="Y6079" s="4"/>
    </row>
    <row r="6080" spans="20:25" x14ac:dyDescent="0.25">
      <c r="T6080" s="10"/>
      <c r="U6080" s="4"/>
      <c r="V6080" s="4"/>
      <c r="X6080" s="4"/>
      <c r="Y6080" s="4"/>
    </row>
    <row r="6081" spans="20:25" x14ac:dyDescent="0.25">
      <c r="T6081" s="10"/>
      <c r="U6081" s="4"/>
      <c r="V6081" s="4"/>
      <c r="X6081" s="4"/>
      <c r="Y6081" s="4"/>
    </row>
    <row r="6082" spans="20:25" x14ac:dyDescent="0.25">
      <c r="T6082" s="10"/>
      <c r="U6082" s="4"/>
      <c r="V6082" s="4"/>
      <c r="X6082" s="4"/>
      <c r="Y6082" s="4"/>
    </row>
    <row r="6083" spans="20:25" x14ac:dyDescent="0.25">
      <c r="T6083" s="10"/>
      <c r="U6083" s="4"/>
      <c r="V6083" s="4"/>
      <c r="X6083" s="4"/>
      <c r="Y6083" s="4"/>
    </row>
    <row r="6084" spans="20:25" x14ac:dyDescent="0.25">
      <c r="T6084" s="10"/>
      <c r="U6084" s="4"/>
      <c r="V6084" s="4"/>
      <c r="X6084" s="4"/>
      <c r="Y6084" s="4"/>
    </row>
    <row r="6085" spans="20:25" x14ac:dyDescent="0.25">
      <c r="T6085" s="10"/>
      <c r="U6085" s="4"/>
      <c r="V6085" s="4"/>
      <c r="X6085" s="4"/>
      <c r="Y6085" s="4"/>
    </row>
    <row r="6086" spans="20:25" x14ac:dyDescent="0.25">
      <c r="T6086" s="10"/>
      <c r="U6086" s="4"/>
      <c r="V6086" s="4"/>
      <c r="X6086" s="4"/>
      <c r="Y6086" s="4"/>
    </row>
    <row r="6087" spans="20:25" x14ac:dyDescent="0.25">
      <c r="T6087" s="10"/>
      <c r="U6087" s="4"/>
      <c r="V6087" s="4"/>
      <c r="X6087" s="4"/>
      <c r="Y6087" s="4"/>
    </row>
    <row r="6088" spans="20:25" x14ac:dyDescent="0.25">
      <c r="T6088" s="10"/>
      <c r="U6088" s="4"/>
      <c r="V6088" s="4"/>
      <c r="X6088" s="4"/>
      <c r="Y6088" s="4"/>
    </row>
    <row r="6089" spans="20:25" x14ac:dyDescent="0.25">
      <c r="T6089" s="10"/>
      <c r="U6089" s="4"/>
      <c r="V6089" s="4"/>
      <c r="X6089" s="4"/>
      <c r="Y6089" s="4"/>
    </row>
    <row r="6090" spans="20:25" x14ac:dyDescent="0.25">
      <c r="T6090" s="10"/>
      <c r="U6090" s="4"/>
      <c r="V6090" s="4"/>
      <c r="X6090" s="4"/>
      <c r="Y6090" s="4"/>
    </row>
    <row r="6091" spans="20:25" x14ac:dyDescent="0.25">
      <c r="T6091" s="10"/>
      <c r="U6091" s="4"/>
      <c r="V6091" s="4"/>
      <c r="X6091" s="4"/>
      <c r="Y6091" s="4"/>
    </row>
    <row r="6092" spans="20:25" x14ac:dyDescent="0.25">
      <c r="T6092" s="10"/>
      <c r="U6092" s="4"/>
      <c r="V6092" s="4"/>
      <c r="X6092" s="4"/>
      <c r="Y6092" s="4"/>
    </row>
    <row r="6093" spans="20:25" x14ac:dyDescent="0.25">
      <c r="T6093" s="10"/>
      <c r="U6093" s="4"/>
      <c r="V6093" s="4"/>
      <c r="X6093" s="4"/>
      <c r="Y6093" s="4"/>
    </row>
    <row r="6094" spans="20:25" x14ac:dyDescent="0.25">
      <c r="T6094" s="10"/>
      <c r="U6094" s="4"/>
      <c r="V6094" s="4"/>
      <c r="X6094" s="4"/>
      <c r="Y6094" s="4"/>
    </row>
    <row r="6095" spans="20:25" x14ac:dyDescent="0.25">
      <c r="T6095" s="10"/>
      <c r="U6095" s="4"/>
      <c r="V6095" s="4"/>
      <c r="X6095" s="4"/>
      <c r="Y6095" s="4"/>
    </row>
    <row r="6096" spans="20:25" x14ac:dyDescent="0.25">
      <c r="T6096" s="10"/>
      <c r="U6096" s="4"/>
      <c r="V6096" s="4"/>
      <c r="X6096" s="4"/>
      <c r="Y6096" s="4"/>
    </row>
    <row r="6097" spans="20:25" x14ac:dyDescent="0.25">
      <c r="T6097" s="10"/>
      <c r="U6097" s="4"/>
      <c r="V6097" s="4"/>
      <c r="X6097" s="4"/>
      <c r="Y6097" s="4"/>
    </row>
    <row r="6098" spans="20:25" x14ac:dyDescent="0.25">
      <c r="T6098" s="10"/>
      <c r="U6098" s="4"/>
      <c r="V6098" s="4"/>
      <c r="X6098" s="4"/>
      <c r="Y6098" s="4"/>
    </row>
    <row r="6099" spans="20:25" x14ac:dyDescent="0.25">
      <c r="T6099" s="10"/>
      <c r="U6099" s="4"/>
      <c r="V6099" s="4"/>
      <c r="X6099" s="4"/>
      <c r="Y6099" s="4"/>
    </row>
    <row r="6100" spans="20:25" x14ac:dyDescent="0.25">
      <c r="T6100" s="10"/>
      <c r="U6100" s="4"/>
      <c r="V6100" s="4"/>
      <c r="X6100" s="4"/>
      <c r="Y6100" s="4"/>
    </row>
    <row r="6101" spans="20:25" x14ac:dyDescent="0.25">
      <c r="T6101" s="10"/>
      <c r="U6101" s="4"/>
      <c r="V6101" s="4"/>
      <c r="X6101" s="4"/>
      <c r="Y6101" s="4"/>
    </row>
    <row r="6102" spans="20:25" x14ac:dyDescent="0.25">
      <c r="T6102" s="10"/>
      <c r="U6102" s="4"/>
      <c r="V6102" s="4"/>
      <c r="X6102" s="4"/>
      <c r="Y6102" s="4"/>
    </row>
    <row r="6103" spans="20:25" x14ac:dyDescent="0.25">
      <c r="T6103" s="10"/>
      <c r="U6103" s="4"/>
      <c r="V6103" s="4"/>
      <c r="X6103" s="4"/>
      <c r="Y6103" s="4"/>
    </row>
    <row r="6104" spans="20:25" x14ac:dyDescent="0.25">
      <c r="T6104" s="10"/>
      <c r="U6104" s="4"/>
      <c r="V6104" s="4"/>
      <c r="X6104" s="4"/>
      <c r="Y6104" s="4"/>
    </row>
    <row r="6105" spans="20:25" x14ac:dyDescent="0.25">
      <c r="T6105" s="10"/>
      <c r="U6105" s="4"/>
      <c r="V6105" s="4"/>
      <c r="X6105" s="4"/>
      <c r="Y6105" s="4"/>
    </row>
    <row r="6106" spans="20:25" x14ac:dyDescent="0.25">
      <c r="T6106" s="10"/>
      <c r="U6106" s="4"/>
      <c r="V6106" s="4"/>
      <c r="X6106" s="4"/>
      <c r="Y6106" s="4"/>
    </row>
    <row r="6107" spans="20:25" x14ac:dyDescent="0.25">
      <c r="T6107" s="10"/>
      <c r="U6107" s="4"/>
      <c r="V6107" s="4"/>
      <c r="X6107" s="4"/>
      <c r="Y6107" s="4"/>
    </row>
    <row r="6108" spans="20:25" x14ac:dyDescent="0.25">
      <c r="T6108" s="10"/>
      <c r="U6108" s="4"/>
      <c r="V6108" s="4"/>
      <c r="X6108" s="4"/>
      <c r="Y6108" s="4"/>
    </row>
    <row r="6109" spans="20:25" x14ac:dyDescent="0.25">
      <c r="T6109" s="10"/>
      <c r="U6109" s="4"/>
      <c r="V6109" s="4"/>
      <c r="X6109" s="4"/>
      <c r="Y6109" s="4"/>
    </row>
    <row r="6110" spans="20:25" x14ac:dyDescent="0.25">
      <c r="T6110" s="10"/>
      <c r="U6110" s="4"/>
      <c r="V6110" s="4"/>
      <c r="X6110" s="4"/>
      <c r="Y6110" s="4"/>
    </row>
    <row r="6111" spans="20:25" x14ac:dyDescent="0.25">
      <c r="T6111" s="10"/>
      <c r="U6111" s="4"/>
      <c r="V6111" s="4"/>
      <c r="X6111" s="4"/>
      <c r="Y6111" s="4"/>
    </row>
    <row r="6112" spans="20:25" x14ac:dyDescent="0.25">
      <c r="T6112" s="10"/>
      <c r="U6112" s="4"/>
      <c r="V6112" s="4"/>
      <c r="X6112" s="4"/>
      <c r="Y6112" s="4"/>
    </row>
    <row r="6113" spans="20:25" x14ac:dyDescent="0.25">
      <c r="T6113" s="10"/>
      <c r="U6113" s="4"/>
      <c r="V6113" s="4"/>
      <c r="X6113" s="4"/>
      <c r="Y6113" s="4"/>
    </row>
    <row r="6114" spans="20:25" x14ac:dyDescent="0.25">
      <c r="T6114" s="10"/>
      <c r="U6114" s="4"/>
      <c r="V6114" s="4"/>
      <c r="X6114" s="4"/>
      <c r="Y6114" s="4"/>
    </row>
    <row r="6115" spans="20:25" x14ac:dyDescent="0.25">
      <c r="T6115" s="10"/>
      <c r="U6115" s="4"/>
      <c r="V6115" s="4"/>
      <c r="X6115" s="4"/>
      <c r="Y6115" s="4"/>
    </row>
    <row r="6116" spans="20:25" x14ac:dyDescent="0.25">
      <c r="T6116" s="10"/>
      <c r="U6116" s="4"/>
      <c r="V6116" s="4"/>
      <c r="X6116" s="4"/>
      <c r="Y6116" s="4"/>
    </row>
    <row r="6117" spans="20:25" x14ac:dyDescent="0.25">
      <c r="T6117" s="10"/>
      <c r="U6117" s="4"/>
      <c r="V6117" s="4"/>
      <c r="X6117" s="4"/>
      <c r="Y6117" s="4"/>
    </row>
    <row r="6118" spans="20:25" x14ac:dyDescent="0.25">
      <c r="T6118" s="10"/>
      <c r="U6118" s="4"/>
      <c r="V6118" s="4"/>
      <c r="X6118" s="4"/>
      <c r="Y6118" s="4"/>
    </row>
    <row r="6119" spans="20:25" x14ac:dyDescent="0.25">
      <c r="T6119" s="10"/>
      <c r="U6119" s="4"/>
      <c r="V6119" s="4"/>
      <c r="X6119" s="4"/>
      <c r="Y6119" s="4"/>
    </row>
    <row r="6120" spans="20:25" x14ac:dyDescent="0.25">
      <c r="T6120" s="10"/>
      <c r="U6120" s="4"/>
      <c r="V6120" s="4"/>
      <c r="X6120" s="4"/>
      <c r="Y6120" s="4"/>
    </row>
    <row r="6121" spans="20:25" x14ac:dyDescent="0.25">
      <c r="T6121" s="10"/>
      <c r="U6121" s="4"/>
      <c r="V6121" s="4"/>
      <c r="X6121" s="4"/>
      <c r="Y6121" s="4"/>
    </row>
    <row r="6122" spans="20:25" x14ac:dyDescent="0.25">
      <c r="T6122" s="10"/>
      <c r="U6122" s="4"/>
      <c r="V6122" s="4"/>
      <c r="X6122" s="4"/>
      <c r="Y6122" s="4"/>
    </row>
    <row r="6123" spans="20:25" x14ac:dyDescent="0.25">
      <c r="T6123" s="10"/>
      <c r="U6123" s="4"/>
      <c r="V6123" s="4"/>
      <c r="X6123" s="4"/>
      <c r="Y6123" s="4"/>
    </row>
    <row r="6124" spans="20:25" x14ac:dyDescent="0.25">
      <c r="T6124" s="10"/>
      <c r="U6124" s="4"/>
      <c r="V6124" s="4"/>
      <c r="X6124" s="4"/>
      <c r="Y6124" s="4"/>
    </row>
    <row r="6125" spans="20:25" x14ac:dyDescent="0.25">
      <c r="T6125" s="10"/>
      <c r="U6125" s="4"/>
      <c r="V6125" s="4"/>
      <c r="X6125" s="4"/>
      <c r="Y6125" s="4"/>
    </row>
    <row r="6126" spans="20:25" x14ac:dyDescent="0.25">
      <c r="T6126" s="10"/>
      <c r="U6126" s="4"/>
      <c r="V6126" s="4"/>
      <c r="X6126" s="4"/>
      <c r="Y6126" s="4"/>
    </row>
    <row r="6127" spans="20:25" x14ac:dyDescent="0.25">
      <c r="T6127" s="10"/>
      <c r="U6127" s="4"/>
      <c r="V6127" s="4"/>
      <c r="X6127" s="4"/>
      <c r="Y6127" s="4"/>
    </row>
    <row r="6128" spans="20:25" x14ac:dyDescent="0.25">
      <c r="T6128" s="10"/>
      <c r="U6128" s="4"/>
      <c r="V6128" s="4"/>
      <c r="X6128" s="4"/>
      <c r="Y6128" s="4"/>
    </row>
    <row r="6129" spans="20:25" x14ac:dyDescent="0.25">
      <c r="T6129" s="10"/>
      <c r="U6129" s="4"/>
      <c r="V6129" s="4"/>
      <c r="X6129" s="4"/>
      <c r="Y6129" s="4"/>
    </row>
    <row r="6130" spans="20:25" x14ac:dyDescent="0.25">
      <c r="T6130" s="10"/>
      <c r="U6130" s="4"/>
      <c r="V6130" s="4"/>
      <c r="X6130" s="4"/>
      <c r="Y6130" s="4"/>
    </row>
    <row r="6131" spans="20:25" x14ac:dyDescent="0.25">
      <c r="T6131" s="10"/>
      <c r="U6131" s="4"/>
      <c r="V6131" s="4"/>
      <c r="X6131" s="4"/>
      <c r="Y6131" s="4"/>
    </row>
    <row r="6132" spans="20:25" x14ac:dyDescent="0.25">
      <c r="T6132" s="10"/>
      <c r="U6132" s="4"/>
      <c r="V6132" s="4"/>
      <c r="X6132" s="4"/>
      <c r="Y6132" s="4"/>
    </row>
    <row r="6133" spans="20:25" x14ac:dyDescent="0.25">
      <c r="T6133" s="10"/>
      <c r="U6133" s="4"/>
      <c r="V6133" s="4"/>
      <c r="X6133" s="4"/>
      <c r="Y6133" s="4"/>
    </row>
    <row r="6134" spans="20:25" x14ac:dyDescent="0.25">
      <c r="T6134" s="10"/>
      <c r="U6134" s="4"/>
      <c r="V6134" s="4"/>
      <c r="X6134" s="4"/>
      <c r="Y6134" s="4"/>
    </row>
    <row r="6135" spans="20:25" x14ac:dyDescent="0.25">
      <c r="T6135" s="10"/>
      <c r="U6135" s="4"/>
      <c r="V6135" s="4"/>
      <c r="X6135" s="4"/>
      <c r="Y6135" s="4"/>
    </row>
    <row r="6136" spans="20:25" x14ac:dyDescent="0.25">
      <c r="T6136" s="10"/>
      <c r="U6136" s="4"/>
      <c r="V6136" s="4"/>
      <c r="X6136" s="4"/>
      <c r="Y6136" s="4"/>
    </row>
    <row r="6137" spans="20:25" x14ac:dyDescent="0.25">
      <c r="T6137" s="10"/>
      <c r="U6137" s="4"/>
      <c r="V6137" s="4"/>
      <c r="X6137" s="4"/>
      <c r="Y6137" s="4"/>
    </row>
    <row r="6138" spans="20:25" x14ac:dyDescent="0.25">
      <c r="T6138" s="10"/>
      <c r="U6138" s="4"/>
      <c r="V6138" s="4"/>
      <c r="X6138" s="4"/>
      <c r="Y6138" s="4"/>
    </row>
    <row r="6139" spans="20:25" x14ac:dyDescent="0.25">
      <c r="T6139" s="10"/>
      <c r="U6139" s="4"/>
      <c r="V6139" s="4"/>
      <c r="X6139" s="4"/>
      <c r="Y6139" s="4"/>
    </row>
    <row r="6140" spans="20:25" x14ac:dyDescent="0.25">
      <c r="T6140" s="10"/>
      <c r="U6140" s="4"/>
      <c r="V6140" s="4"/>
      <c r="X6140" s="4"/>
      <c r="Y6140" s="4"/>
    </row>
    <row r="6141" spans="20:25" x14ac:dyDescent="0.25">
      <c r="T6141" s="10"/>
      <c r="U6141" s="4"/>
      <c r="V6141" s="4"/>
      <c r="X6141" s="4"/>
      <c r="Y6141" s="4"/>
    </row>
    <row r="6142" spans="20:25" x14ac:dyDescent="0.25">
      <c r="T6142" s="10"/>
      <c r="U6142" s="4"/>
      <c r="V6142" s="4"/>
      <c r="X6142" s="4"/>
      <c r="Y6142" s="4"/>
    </row>
    <row r="6143" spans="20:25" x14ac:dyDescent="0.25">
      <c r="T6143" s="10"/>
      <c r="U6143" s="4"/>
      <c r="V6143" s="4"/>
      <c r="X6143" s="4"/>
      <c r="Y6143" s="4"/>
    </row>
    <row r="6144" spans="20:25" x14ac:dyDescent="0.25">
      <c r="T6144" s="10"/>
      <c r="U6144" s="4"/>
      <c r="V6144" s="4"/>
      <c r="X6144" s="4"/>
      <c r="Y6144" s="4"/>
    </row>
    <row r="6145" spans="20:25" x14ac:dyDescent="0.25">
      <c r="T6145" s="10"/>
      <c r="U6145" s="4"/>
      <c r="V6145" s="4"/>
      <c r="X6145" s="4"/>
      <c r="Y6145" s="4"/>
    </row>
    <row r="6146" spans="20:25" x14ac:dyDescent="0.25">
      <c r="T6146" s="10"/>
      <c r="U6146" s="4"/>
      <c r="V6146" s="4"/>
      <c r="X6146" s="4"/>
      <c r="Y6146" s="4"/>
    </row>
    <row r="6147" spans="20:25" x14ac:dyDescent="0.25">
      <c r="T6147" s="10"/>
      <c r="U6147" s="4"/>
      <c r="V6147" s="4"/>
      <c r="X6147" s="4"/>
      <c r="Y6147" s="4"/>
    </row>
    <row r="6148" spans="20:25" x14ac:dyDescent="0.25">
      <c r="T6148" s="10"/>
      <c r="U6148" s="4"/>
      <c r="V6148" s="4"/>
      <c r="X6148" s="4"/>
      <c r="Y6148" s="4"/>
    </row>
    <row r="6149" spans="20:25" x14ac:dyDescent="0.25">
      <c r="T6149" s="10"/>
      <c r="U6149" s="4"/>
      <c r="V6149" s="4"/>
      <c r="X6149" s="4"/>
      <c r="Y6149" s="4"/>
    </row>
    <row r="6150" spans="20:25" x14ac:dyDescent="0.25">
      <c r="T6150" s="10"/>
      <c r="U6150" s="4"/>
      <c r="V6150" s="4"/>
      <c r="X6150" s="4"/>
      <c r="Y6150" s="4"/>
    </row>
    <row r="6151" spans="20:25" x14ac:dyDescent="0.25">
      <c r="T6151" s="10"/>
      <c r="U6151" s="4"/>
      <c r="V6151" s="4"/>
      <c r="X6151" s="4"/>
      <c r="Y6151" s="4"/>
    </row>
    <row r="6152" spans="20:25" x14ac:dyDescent="0.25">
      <c r="T6152" s="10"/>
      <c r="U6152" s="4"/>
      <c r="V6152" s="4"/>
      <c r="X6152" s="4"/>
      <c r="Y6152" s="4"/>
    </row>
    <row r="6153" spans="20:25" x14ac:dyDescent="0.25">
      <c r="T6153" s="10"/>
      <c r="U6153" s="4"/>
      <c r="V6153" s="4"/>
      <c r="X6153" s="4"/>
      <c r="Y6153" s="4"/>
    </row>
    <row r="6154" spans="20:25" x14ac:dyDescent="0.25">
      <c r="T6154" s="10"/>
      <c r="U6154" s="4"/>
      <c r="V6154" s="4"/>
      <c r="X6154" s="4"/>
      <c r="Y6154" s="4"/>
    </row>
    <row r="6155" spans="20:25" x14ac:dyDescent="0.25">
      <c r="T6155" s="10"/>
      <c r="U6155" s="4"/>
      <c r="V6155" s="4"/>
      <c r="X6155" s="4"/>
      <c r="Y6155" s="4"/>
    </row>
    <row r="6156" spans="20:25" x14ac:dyDescent="0.25">
      <c r="T6156" s="10"/>
      <c r="U6156" s="4"/>
      <c r="V6156" s="4"/>
      <c r="X6156" s="4"/>
      <c r="Y6156" s="4"/>
    </row>
    <row r="6157" spans="20:25" x14ac:dyDescent="0.25">
      <c r="T6157" s="10"/>
      <c r="U6157" s="4"/>
      <c r="V6157" s="4"/>
      <c r="X6157" s="4"/>
      <c r="Y6157" s="4"/>
    </row>
    <row r="6158" spans="20:25" x14ac:dyDescent="0.25">
      <c r="T6158" s="10"/>
      <c r="U6158" s="4"/>
      <c r="V6158" s="4"/>
      <c r="X6158" s="4"/>
      <c r="Y6158" s="4"/>
    </row>
    <row r="6159" spans="20:25" x14ac:dyDescent="0.25">
      <c r="T6159" s="10"/>
      <c r="U6159" s="4"/>
      <c r="V6159" s="4"/>
      <c r="X6159" s="4"/>
      <c r="Y6159" s="4"/>
    </row>
    <row r="6160" spans="20:25" x14ac:dyDescent="0.25">
      <c r="T6160" s="10"/>
      <c r="U6160" s="4"/>
      <c r="V6160" s="4"/>
      <c r="X6160" s="4"/>
      <c r="Y6160" s="4"/>
    </row>
    <row r="6161" spans="20:25" x14ac:dyDescent="0.25">
      <c r="T6161" s="10"/>
      <c r="U6161" s="4"/>
      <c r="V6161" s="4"/>
      <c r="X6161" s="4"/>
      <c r="Y6161" s="4"/>
    </row>
    <row r="6162" spans="20:25" x14ac:dyDescent="0.25">
      <c r="T6162" s="10"/>
      <c r="U6162" s="4"/>
      <c r="V6162" s="4"/>
      <c r="X6162" s="4"/>
      <c r="Y6162" s="4"/>
    </row>
    <row r="6163" spans="20:25" x14ac:dyDescent="0.25">
      <c r="T6163" s="10"/>
      <c r="U6163" s="4"/>
      <c r="V6163" s="4"/>
      <c r="X6163" s="4"/>
      <c r="Y6163" s="4"/>
    </row>
    <row r="6164" spans="20:25" x14ac:dyDescent="0.25">
      <c r="T6164" s="10"/>
      <c r="U6164" s="4"/>
      <c r="V6164" s="4"/>
      <c r="X6164" s="4"/>
      <c r="Y6164" s="4"/>
    </row>
    <row r="6165" spans="20:25" x14ac:dyDescent="0.25">
      <c r="T6165" s="10"/>
      <c r="U6165" s="4"/>
      <c r="V6165" s="4"/>
      <c r="X6165" s="4"/>
      <c r="Y6165" s="4"/>
    </row>
    <row r="6166" spans="20:25" x14ac:dyDescent="0.25">
      <c r="T6166" s="10"/>
      <c r="U6166" s="4"/>
      <c r="V6166" s="4"/>
      <c r="X6166" s="4"/>
      <c r="Y6166" s="4"/>
    </row>
    <row r="6167" spans="20:25" x14ac:dyDescent="0.25">
      <c r="T6167" s="10"/>
      <c r="U6167" s="4"/>
      <c r="V6167" s="4"/>
      <c r="X6167" s="4"/>
      <c r="Y6167" s="4"/>
    </row>
    <row r="6168" spans="20:25" x14ac:dyDescent="0.25">
      <c r="T6168" s="10"/>
      <c r="U6168" s="4"/>
      <c r="V6168" s="4"/>
      <c r="X6168" s="4"/>
      <c r="Y6168" s="4"/>
    </row>
    <row r="6169" spans="20:25" x14ac:dyDescent="0.25">
      <c r="T6169" s="10"/>
      <c r="U6169" s="4"/>
      <c r="V6169" s="4"/>
      <c r="X6169" s="4"/>
      <c r="Y6169" s="4"/>
    </row>
    <row r="6170" spans="20:25" x14ac:dyDescent="0.25">
      <c r="T6170" s="10"/>
      <c r="U6170" s="4"/>
      <c r="V6170" s="4"/>
      <c r="X6170" s="4"/>
      <c r="Y6170" s="4"/>
    </row>
    <row r="6171" spans="20:25" x14ac:dyDescent="0.25">
      <c r="T6171" s="10"/>
      <c r="U6171" s="4"/>
      <c r="V6171" s="4"/>
      <c r="X6171" s="4"/>
      <c r="Y6171" s="4"/>
    </row>
    <row r="6172" spans="20:25" x14ac:dyDescent="0.25">
      <c r="T6172" s="10"/>
      <c r="U6172" s="4"/>
      <c r="V6172" s="4"/>
      <c r="X6172" s="4"/>
      <c r="Y6172" s="4"/>
    </row>
    <row r="6173" spans="20:25" x14ac:dyDescent="0.25">
      <c r="T6173" s="10"/>
      <c r="U6173" s="4"/>
      <c r="V6173" s="4"/>
      <c r="X6173" s="4"/>
      <c r="Y6173" s="4"/>
    </row>
    <row r="6174" spans="20:25" x14ac:dyDescent="0.25">
      <c r="T6174" s="10"/>
      <c r="U6174" s="4"/>
      <c r="V6174" s="4"/>
      <c r="X6174" s="4"/>
      <c r="Y6174" s="4"/>
    </row>
    <row r="6175" spans="20:25" x14ac:dyDescent="0.25">
      <c r="T6175" s="10"/>
      <c r="U6175" s="4"/>
      <c r="V6175" s="4"/>
      <c r="X6175" s="4"/>
      <c r="Y6175" s="4"/>
    </row>
    <row r="6176" spans="20:25" x14ac:dyDescent="0.25">
      <c r="T6176" s="10"/>
      <c r="U6176" s="4"/>
      <c r="V6176" s="4"/>
      <c r="X6176" s="4"/>
      <c r="Y6176" s="4"/>
    </row>
    <row r="6177" spans="20:25" x14ac:dyDescent="0.25">
      <c r="T6177" s="10"/>
      <c r="U6177" s="4"/>
      <c r="V6177" s="4"/>
      <c r="X6177" s="4"/>
      <c r="Y6177" s="4"/>
    </row>
    <row r="6178" spans="20:25" x14ac:dyDescent="0.25">
      <c r="T6178" s="10"/>
      <c r="U6178" s="4"/>
      <c r="V6178" s="4"/>
      <c r="X6178" s="4"/>
      <c r="Y6178" s="4"/>
    </row>
    <row r="6179" spans="20:25" x14ac:dyDescent="0.25">
      <c r="T6179" s="10"/>
      <c r="U6179" s="4"/>
      <c r="V6179" s="4"/>
      <c r="X6179" s="4"/>
      <c r="Y6179" s="4"/>
    </row>
    <row r="6180" spans="20:25" x14ac:dyDescent="0.25">
      <c r="T6180" s="10"/>
      <c r="U6180" s="4"/>
      <c r="V6180" s="4"/>
      <c r="X6180" s="4"/>
      <c r="Y6180" s="4"/>
    </row>
    <row r="6181" spans="20:25" x14ac:dyDescent="0.25">
      <c r="T6181" s="10"/>
      <c r="U6181" s="4"/>
      <c r="V6181" s="4"/>
      <c r="X6181" s="4"/>
      <c r="Y6181" s="4"/>
    </row>
    <row r="6182" spans="20:25" x14ac:dyDescent="0.25">
      <c r="T6182" s="10"/>
      <c r="U6182" s="4"/>
      <c r="V6182" s="4"/>
      <c r="X6182" s="4"/>
      <c r="Y6182" s="4"/>
    </row>
    <row r="6183" spans="20:25" x14ac:dyDescent="0.25">
      <c r="T6183" s="10"/>
      <c r="U6183" s="4"/>
      <c r="V6183" s="4"/>
      <c r="X6183" s="4"/>
      <c r="Y6183" s="4"/>
    </row>
    <row r="6184" spans="20:25" x14ac:dyDescent="0.25">
      <c r="T6184" s="10"/>
      <c r="U6184" s="4"/>
      <c r="V6184" s="4"/>
      <c r="X6184" s="4"/>
      <c r="Y6184" s="4"/>
    </row>
    <row r="6185" spans="20:25" x14ac:dyDescent="0.25">
      <c r="T6185" s="10"/>
      <c r="U6185" s="4"/>
      <c r="V6185" s="4"/>
      <c r="X6185" s="4"/>
      <c r="Y6185" s="4"/>
    </row>
    <row r="6186" spans="20:25" x14ac:dyDescent="0.25">
      <c r="T6186" s="10"/>
      <c r="U6186" s="4"/>
      <c r="V6186" s="4"/>
      <c r="X6186" s="4"/>
      <c r="Y6186" s="4"/>
    </row>
    <row r="6187" spans="20:25" x14ac:dyDescent="0.25">
      <c r="T6187" s="10"/>
      <c r="U6187" s="4"/>
      <c r="V6187" s="4"/>
      <c r="X6187" s="4"/>
      <c r="Y6187" s="4"/>
    </row>
    <row r="6188" spans="20:25" x14ac:dyDescent="0.25">
      <c r="T6188" s="10"/>
      <c r="U6188" s="4"/>
      <c r="V6188" s="4"/>
      <c r="X6188" s="4"/>
      <c r="Y6188" s="4"/>
    </row>
    <row r="6189" spans="20:25" x14ac:dyDescent="0.25">
      <c r="T6189" s="10"/>
      <c r="U6189" s="4"/>
      <c r="V6189" s="4"/>
      <c r="X6189" s="4"/>
      <c r="Y6189" s="4"/>
    </row>
    <row r="6190" spans="20:25" x14ac:dyDescent="0.25">
      <c r="T6190" s="10"/>
      <c r="U6190" s="4"/>
      <c r="V6190" s="4"/>
      <c r="X6190" s="4"/>
      <c r="Y6190" s="4"/>
    </row>
    <row r="6191" spans="20:25" x14ac:dyDescent="0.25">
      <c r="T6191" s="10"/>
      <c r="U6191" s="4"/>
      <c r="V6191" s="4"/>
      <c r="X6191" s="4"/>
      <c r="Y6191" s="4"/>
    </row>
    <row r="6192" spans="20:25" x14ac:dyDescent="0.25">
      <c r="T6192" s="10"/>
      <c r="U6192" s="4"/>
      <c r="V6192" s="4"/>
      <c r="X6192" s="4"/>
      <c r="Y6192" s="4"/>
    </row>
    <row r="6193" spans="20:25" x14ac:dyDescent="0.25">
      <c r="T6193" s="10"/>
      <c r="U6193" s="4"/>
      <c r="V6193" s="4"/>
      <c r="X6193" s="4"/>
      <c r="Y6193" s="4"/>
    </row>
    <row r="6194" spans="20:25" x14ac:dyDescent="0.25">
      <c r="T6194" s="10"/>
      <c r="U6194" s="4"/>
      <c r="V6194" s="4"/>
      <c r="X6194" s="4"/>
      <c r="Y6194" s="4"/>
    </row>
    <row r="6195" spans="20:25" x14ac:dyDescent="0.25">
      <c r="T6195" s="10"/>
      <c r="U6195" s="4"/>
      <c r="V6195" s="4"/>
      <c r="X6195" s="4"/>
      <c r="Y6195" s="4"/>
    </row>
    <row r="6196" spans="20:25" x14ac:dyDescent="0.25">
      <c r="T6196" s="10"/>
      <c r="U6196" s="4"/>
      <c r="V6196" s="4"/>
      <c r="X6196" s="4"/>
      <c r="Y6196" s="4"/>
    </row>
    <row r="6197" spans="20:25" x14ac:dyDescent="0.25">
      <c r="T6197" s="10"/>
      <c r="U6197" s="4"/>
      <c r="V6197" s="4"/>
      <c r="X6197" s="4"/>
      <c r="Y6197" s="4"/>
    </row>
    <row r="6198" spans="20:25" x14ac:dyDescent="0.25">
      <c r="T6198" s="10"/>
      <c r="U6198" s="4"/>
      <c r="V6198" s="4"/>
      <c r="X6198" s="4"/>
      <c r="Y6198" s="4"/>
    </row>
    <row r="6199" spans="20:25" x14ac:dyDescent="0.25">
      <c r="T6199" s="10"/>
      <c r="U6199" s="4"/>
      <c r="V6199" s="4"/>
      <c r="X6199" s="4"/>
      <c r="Y6199" s="4"/>
    </row>
    <row r="6200" spans="20:25" x14ac:dyDescent="0.25">
      <c r="T6200" s="10"/>
      <c r="U6200" s="4"/>
      <c r="V6200" s="4"/>
      <c r="X6200" s="4"/>
      <c r="Y6200" s="4"/>
    </row>
    <row r="6201" spans="20:25" x14ac:dyDescent="0.25">
      <c r="T6201" s="10"/>
      <c r="U6201" s="4"/>
      <c r="V6201" s="4"/>
      <c r="X6201" s="4"/>
      <c r="Y6201" s="4"/>
    </row>
    <row r="6202" spans="20:25" x14ac:dyDescent="0.25">
      <c r="T6202" s="10"/>
      <c r="U6202" s="4"/>
      <c r="V6202" s="4"/>
      <c r="X6202" s="4"/>
      <c r="Y6202" s="4"/>
    </row>
    <row r="6203" spans="20:25" x14ac:dyDescent="0.25">
      <c r="T6203" s="10"/>
      <c r="U6203" s="4"/>
      <c r="V6203" s="4"/>
      <c r="X6203" s="4"/>
      <c r="Y6203" s="4"/>
    </row>
    <row r="6204" spans="20:25" x14ac:dyDescent="0.25">
      <c r="T6204" s="10"/>
      <c r="U6204" s="4"/>
      <c r="V6204" s="4"/>
      <c r="X6204" s="4"/>
      <c r="Y6204" s="4"/>
    </row>
    <row r="6205" spans="20:25" x14ac:dyDescent="0.25">
      <c r="T6205" s="10"/>
      <c r="U6205" s="4"/>
      <c r="V6205" s="4"/>
      <c r="X6205" s="4"/>
      <c r="Y6205" s="4"/>
    </row>
    <row r="6206" spans="20:25" x14ac:dyDescent="0.25">
      <c r="T6206" s="10"/>
      <c r="U6206" s="4"/>
      <c r="V6206" s="4"/>
      <c r="X6206" s="4"/>
      <c r="Y6206" s="4"/>
    </row>
    <row r="6207" spans="20:25" x14ac:dyDescent="0.25">
      <c r="T6207" s="10"/>
      <c r="U6207" s="4"/>
      <c r="V6207" s="4"/>
      <c r="X6207" s="4"/>
      <c r="Y6207" s="4"/>
    </row>
    <row r="6208" spans="20:25" x14ac:dyDescent="0.25">
      <c r="T6208" s="10"/>
      <c r="U6208" s="4"/>
      <c r="V6208" s="4"/>
      <c r="X6208" s="4"/>
      <c r="Y6208" s="4"/>
    </row>
    <row r="6209" spans="20:25" x14ac:dyDescent="0.25">
      <c r="T6209" s="10"/>
      <c r="U6209" s="4"/>
      <c r="V6209" s="4"/>
      <c r="X6209" s="4"/>
      <c r="Y6209" s="4"/>
    </row>
    <row r="6210" spans="20:25" x14ac:dyDescent="0.25">
      <c r="T6210" s="10"/>
      <c r="U6210" s="4"/>
      <c r="V6210" s="4"/>
      <c r="X6210" s="4"/>
      <c r="Y6210" s="4"/>
    </row>
    <row r="6211" spans="20:25" x14ac:dyDescent="0.25">
      <c r="T6211" s="10"/>
      <c r="U6211" s="4"/>
      <c r="V6211" s="4"/>
      <c r="X6211" s="4"/>
      <c r="Y6211" s="4"/>
    </row>
    <row r="6212" spans="20:25" x14ac:dyDescent="0.25">
      <c r="T6212" s="10"/>
      <c r="U6212" s="4"/>
      <c r="V6212" s="4"/>
      <c r="X6212" s="4"/>
      <c r="Y6212" s="4"/>
    </row>
    <row r="6213" spans="20:25" x14ac:dyDescent="0.25">
      <c r="T6213" s="10"/>
      <c r="U6213" s="4"/>
      <c r="V6213" s="4"/>
      <c r="X6213" s="4"/>
      <c r="Y6213" s="4"/>
    </row>
    <row r="6214" spans="20:25" x14ac:dyDescent="0.25">
      <c r="T6214" s="10"/>
      <c r="U6214" s="4"/>
      <c r="V6214" s="4"/>
      <c r="X6214" s="4"/>
      <c r="Y6214" s="4"/>
    </row>
    <row r="6215" spans="20:25" x14ac:dyDescent="0.25">
      <c r="T6215" s="10"/>
      <c r="U6215" s="4"/>
      <c r="V6215" s="4"/>
      <c r="X6215" s="4"/>
      <c r="Y6215" s="4"/>
    </row>
    <row r="6216" spans="20:25" x14ac:dyDescent="0.25">
      <c r="T6216" s="10"/>
      <c r="U6216" s="4"/>
      <c r="V6216" s="4"/>
      <c r="X6216" s="4"/>
      <c r="Y6216" s="4"/>
    </row>
    <row r="6217" spans="20:25" x14ac:dyDescent="0.25">
      <c r="T6217" s="10"/>
      <c r="U6217" s="4"/>
      <c r="V6217" s="4"/>
      <c r="X6217" s="4"/>
      <c r="Y6217" s="4"/>
    </row>
    <row r="6218" spans="20:25" x14ac:dyDescent="0.25">
      <c r="T6218" s="10"/>
      <c r="U6218" s="4"/>
      <c r="V6218" s="4"/>
      <c r="X6218" s="4"/>
      <c r="Y6218" s="4"/>
    </row>
    <row r="6219" spans="20:25" x14ac:dyDescent="0.25">
      <c r="T6219" s="10"/>
      <c r="U6219" s="4"/>
      <c r="V6219" s="4"/>
      <c r="X6219" s="4"/>
      <c r="Y6219" s="4"/>
    </row>
    <row r="6220" spans="20:25" x14ac:dyDescent="0.25">
      <c r="T6220" s="10"/>
      <c r="U6220" s="4"/>
      <c r="V6220" s="4"/>
      <c r="X6220" s="4"/>
      <c r="Y6220" s="4"/>
    </row>
    <row r="6221" spans="20:25" x14ac:dyDescent="0.25">
      <c r="T6221" s="10"/>
      <c r="U6221" s="4"/>
      <c r="V6221" s="4"/>
      <c r="X6221" s="4"/>
      <c r="Y6221" s="4"/>
    </row>
    <row r="6222" spans="20:25" x14ac:dyDescent="0.25">
      <c r="T6222" s="10"/>
      <c r="U6222" s="4"/>
      <c r="V6222" s="4"/>
      <c r="X6222" s="4"/>
      <c r="Y6222" s="4"/>
    </row>
    <row r="6223" spans="20:25" x14ac:dyDescent="0.25">
      <c r="T6223" s="10"/>
      <c r="U6223" s="4"/>
      <c r="V6223" s="4"/>
      <c r="X6223" s="4"/>
      <c r="Y6223" s="4"/>
    </row>
    <row r="6224" spans="20:25" x14ac:dyDescent="0.25">
      <c r="T6224" s="10"/>
      <c r="U6224" s="4"/>
      <c r="V6224" s="4"/>
      <c r="X6224" s="4"/>
      <c r="Y6224" s="4"/>
    </row>
    <row r="6225" spans="20:25" x14ac:dyDescent="0.25">
      <c r="T6225" s="10"/>
      <c r="U6225" s="4"/>
      <c r="V6225" s="4"/>
      <c r="X6225" s="4"/>
      <c r="Y6225" s="4"/>
    </row>
    <row r="6226" spans="20:25" x14ac:dyDescent="0.25">
      <c r="T6226" s="10"/>
      <c r="U6226" s="4"/>
      <c r="V6226" s="4"/>
      <c r="X6226" s="4"/>
      <c r="Y6226" s="4"/>
    </row>
    <row r="6227" spans="20:25" x14ac:dyDescent="0.25">
      <c r="T6227" s="10"/>
      <c r="U6227" s="4"/>
      <c r="V6227" s="4"/>
      <c r="X6227" s="4"/>
      <c r="Y6227" s="4"/>
    </row>
    <row r="6228" spans="20:25" x14ac:dyDescent="0.25">
      <c r="T6228" s="10"/>
      <c r="U6228" s="4"/>
      <c r="V6228" s="4"/>
      <c r="X6228" s="4"/>
      <c r="Y6228" s="4"/>
    </row>
    <row r="6229" spans="20:25" x14ac:dyDescent="0.25">
      <c r="T6229" s="10"/>
      <c r="U6229" s="4"/>
      <c r="V6229" s="4"/>
      <c r="X6229" s="4"/>
      <c r="Y6229" s="4"/>
    </row>
    <row r="6230" spans="20:25" x14ac:dyDescent="0.25">
      <c r="T6230" s="10"/>
      <c r="U6230" s="4"/>
      <c r="V6230" s="4"/>
      <c r="X6230" s="4"/>
      <c r="Y6230" s="4"/>
    </row>
    <row r="6231" spans="20:25" x14ac:dyDescent="0.25">
      <c r="T6231" s="10"/>
      <c r="U6231" s="4"/>
      <c r="V6231" s="4"/>
      <c r="X6231" s="4"/>
      <c r="Y6231" s="4"/>
    </row>
    <row r="6232" spans="20:25" x14ac:dyDescent="0.25">
      <c r="T6232" s="10"/>
      <c r="U6232" s="4"/>
      <c r="V6232" s="4"/>
      <c r="X6232" s="4"/>
      <c r="Y6232" s="4"/>
    </row>
    <row r="6233" spans="20:25" x14ac:dyDescent="0.25">
      <c r="T6233" s="10"/>
      <c r="U6233" s="4"/>
      <c r="V6233" s="4"/>
      <c r="X6233" s="4"/>
      <c r="Y6233" s="4"/>
    </row>
    <row r="6234" spans="20:25" x14ac:dyDescent="0.25">
      <c r="T6234" s="10"/>
      <c r="U6234" s="4"/>
      <c r="V6234" s="4"/>
      <c r="X6234" s="4"/>
      <c r="Y6234" s="4"/>
    </row>
    <row r="6235" spans="20:25" x14ac:dyDescent="0.25">
      <c r="T6235" s="10"/>
      <c r="U6235" s="4"/>
      <c r="V6235" s="4"/>
      <c r="X6235" s="4"/>
      <c r="Y6235" s="4"/>
    </row>
    <row r="6236" spans="20:25" x14ac:dyDescent="0.25">
      <c r="T6236" s="10"/>
      <c r="U6236" s="4"/>
      <c r="V6236" s="4"/>
      <c r="X6236" s="4"/>
      <c r="Y6236" s="4"/>
    </row>
    <row r="6237" spans="20:25" x14ac:dyDescent="0.25">
      <c r="T6237" s="10"/>
      <c r="U6237" s="4"/>
      <c r="V6237" s="4"/>
      <c r="X6237" s="4"/>
      <c r="Y6237" s="4"/>
    </row>
    <row r="6238" spans="20:25" x14ac:dyDescent="0.25">
      <c r="T6238" s="10"/>
      <c r="U6238" s="4"/>
      <c r="V6238" s="4"/>
      <c r="X6238" s="4"/>
      <c r="Y6238" s="4"/>
    </row>
    <row r="6239" spans="20:25" x14ac:dyDescent="0.25">
      <c r="T6239" s="10"/>
      <c r="U6239" s="4"/>
      <c r="V6239" s="4"/>
      <c r="X6239" s="4"/>
      <c r="Y6239" s="4"/>
    </row>
    <row r="6240" spans="20:25" x14ac:dyDescent="0.25">
      <c r="T6240" s="10"/>
      <c r="U6240" s="4"/>
      <c r="V6240" s="4"/>
      <c r="X6240" s="4"/>
      <c r="Y6240" s="4"/>
    </row>
    <row r="6241" spans="20:25" x14ac:dyDescent="0.25">
      <c r="T6241" s="10"/>
      <c r="U6241" s="4"/>
      <c r="V6241" s="4"/>
      <c r="X6241" s="4"/>
      <c r="Y6241" s="4"/>
    </row>
    <row r="6242" spans="20:25" x14ac:dyDescent="0.25">
      <c r="T6242" s="10"/>
      <c r="U6242" s="4"/>
      <c r="V6242" s="4"/>
      <c r="X6242" s="4"/>
      <c r="Y6242" s="4"/>
    </row>
    <row r="6243" spans="20:25" x14ac:dyDescent="0.25">
      <c r="T6243" s="10"/>
      <c r="U6243" s="4"/>
      <c r="V6243" s="4"/>
      <c r="X6243" s="4"/>
      <c r="Y6243" s="4"/>
    </row>
    <row r="6244" spans="20:25" x14ac:dyDescent="0.25">
      <c r="T6244" s="10"/>
      <c r="U6244" s="4"/>
      <c r="V6244" s="4"/>
      <c r="X6244" s="4"/>
      <c r="Y6244" s="4"/>
    </row>
    <row r="6245" spans="20:25" x14ac:dyDescent="0.25">
      <c r="T6245" s="10"/>
      <c r="U6245" s="4"/>
      <c r="V6245" s="4"/>
      <c r="X6245" s="4"/>
      <c r="Y6245" s="4"/>
    </row>
    <row r="6246" spans="20:25" x14ac:dyDescent="0.25">
      <c r="T6246" s="10"/>
      <c r="U6246" s="4"/>
      <c r="V6246" s="4"/>
      <c r="X6246" s="4"/>
      <c r="Y6246" s="4"/>
    </row>
    <row r="6247" spans="20:25" x14ac:dyDescent="0.25">
      <c r="T6247" s="10"/>
      <c r="U6247" s="4"/>
      <c r="V6247" s="4"/>
      <c r="X6247" s="4"/>
      <c r="Y6247" s="4"/>
    </row>
    <row r="6248" spans="20:25" x14ac:dyDescent="0.25">
      <c r="T6248" s="10"/>
      <c r="U6248" s="4"/>
      <c r="V6248" s="4"/>
      <c r="X6248" s="4"/>
      <c r="Y6248" s="4"/>
    </row>
    <row r="6249" spans="20:25" x14ac:dyDescent="0.25">
      <c r="T6249" s="10"/>
      <c r="U6249" s="4"/>
      <c r="V6249" s="4"/>
      <c r="X6249" s="4"/>
      <c r="Y6249" s="4"/>
    </row>
    <row r="6250" spans="20:25" x14ac:dyDescent="0.25">
      <c r="T6250" s="10"/>
      <c r="U6250" s="4"/>
      <c r="V6250" s="4"/>
      <c r="X6250" s="4"/>
      <c r="Y6250" s="4"/>
    </row>
    <row r="6251" spans="20:25" x14ac:dyDescent="0.25">
      <c r="T6251" s="10"/>
      <c r="U6251" s="4"/>
      <c r="V6251" s="4"/>
      <c r="X6251" s="4"/>
      <c r="Y6251" s="4"/>
    </row>
    <row r="6252" spans="20:25" x14ac:dyDescent="0.25">
      <c r="T6252" s="10"/>
      <c r="U6252" s="4"/>
      <c r="V6252" s="4"/>
      <c r="X6252" s="4"/>
      <c r="Y6252" s="4"/>
    </row>
    <row r="6253" spans="20:25" x14ac:dyDescent="0.25">
      <c r="T6253" s="10"/>
      <c r="U6253" s="4"/>
      <c r="V6253" s="4"/>
      <c r="X6253" s="4"/>
      <c r="Y6253" s="4"/>
    </row>
    <row r="6254" spans="20:25" x14ac:dyDescent="0.25">
      <c r="T6254" s="10"/>
      <c r="U6254" s="4"/>
      <c r="V6254" s="4"/>
      <c r="X6254" s="4"/>
      <c r="Y6254" s="4"/>
    </row>
    <row r="6255" spans="20:25" x14ac:dyDescent="0.25">
      <c r="T6255" s="10"/>
      <c r="U6255" s="4"/>
      <c r="V6255" s="4"/>
      <c r="X6255" s="4"/>
      <c r="Y6255" s="4"/>
    </row>
    <row r="6256" spans="20:25" x14ac:dyDescent="0.25">
      <c r="T6256" s="10"/>
      <c r="U6256" s="4"/>
      <c r="V6256" s="4"/>
      <c r="X6256" s="4"/>
      <c r="Y6256" s="4"/>
    </row>
    <row r="6257" spans="20:25" x14ac:dyDescent="0.25">
      <c r="T6257" s="10"/>
      <c r="U6257" s="4"/>
      <c r="V6257" s="4"/>
      <c r="X6257" s="4"/>
      <c r="Y6257" s="4"/>
    </row>
    <row r="6258" spans="20:25" x14ac:dyDescent="0.25">
      <c r="T6258" s="10"/>
      <c r="U6258" s="4"/>
      <c r="V6258" s="4"/>
      <c r="X6258" s="4"/>
      <c r="Y6258" s="4"/>
    </row>
    <row r="6259" spans="20:25" x14ac:dyDescent="0.25">
      <c r="T6259" s="10"/>
      <c r="U6259" s="4"/>
      <c r="V6259" s="4"/>
      <c r="X6259" s="4"/>
      <c r="Y6259" s="4"/>
    </row>
    <row r="6260" spans="20:25" x14ac:dyDescent="0.25">
      <c r="T6260" s="10"/>
      <c r="U6260" s="4"/>
      <c r="V6260" s="4"/>
      <c r="X6260" s="4"/>
      <c r="Y6260" s="4"/>
    </row>
    <row r="6261" spans="20:25" x14ac:dyDescent="0.25">
      <c r="T6261" s="10"/>
      <c r="U6261" s="4"/>
      <c r="V6261" s="4"/>
      <c r="X6261" s="4"/>
      <c r="Y6261" s="4"/>
    </row>
    <row r="6262" spans="20:25" x14ac:dyDescent="0.25">
      <c r="T6262" s="10"/>
      <c r="U6262" s="4"/>
      <c r="V6262" s="4"/>
      <c r="X6262" s="4"/>
      <c r="Y6262" s="4"/>
    </row>
    <row r="6263" spans="20:25" x14ac:dyDescent="0.25">
      <c r="T6263" s="10"/>
      <c r="U6263" s="4"/>
      <c r="V6263" s="4"/>
      <c r="X6263" s="4"/>
      <c r="Y6263" s="4"/>
    </row>
    <row r="6264" spans="20:25" x14ac:dyDescent="0.25">
      <c r="T6264" s="10"/>
      <c r="U6264" s="4"/>
      <c r="V6264" s="4"/>
      <c r="X6264" s="4"/>
      <c r="Y6264" s="4"/>
    </row>
    <row r="6265" spans="20:25" x14ac:dyDescent="0.25">
      <c r="T6265" s="10"/>
      <c r="U6265" s="4"/>
      <c r="V6265" s="4"/>
      <c r="X6265" s="4"/>
      <c r="Y6265" s="4"/>
    </row>
    <row r="6266" spans="20:25" x14ac:dyDescent="0.25">
      <c r="T6266" s="10"/>
      <c r="U6266" s="4"/>
      <c r="V6266" s="4"/>
      <c r="X6266" s="4"/>
      <c r="Y6266" s="4"/>
    </row>
    <row r="6267" spans="20:25" x14ac:dyDescent="0.25">
      <c r="T6267" s="10"/>
      <c r="U6267" s="4"/>
      <c r="V6267" s="4"/>
      <c r="X6267" s="4"/>
      <c r="Y6267" s="4"/>
    </row>
    <row r="6268" spans="20:25" x14ac:dyDescent="0.25">
      <c r="T6268" s="10"/>
      <c r="U6268" s="4"/>
      <c r="V6268" s="4"/>
      <c r="X6268" s="4"/>
      <c r="Y6268" s="4"/>
    </row>
    <row r="6269" spans="20:25" x14ac:dyDescent="0.25">
      <c r="T6269" s="10"/>
      <c r="U6269" s="4"/>
      <c r="V6269" s="4"/>
      <c r="X6269" s="4"/>
      <c r="Y6269" s="4"/>
    </row>
    <row r="6270" spans="20:25" x14ac:dyDescent="0.25">
      <c r="T6270" s="10"/>
      <c r="U6270" s="4"/>
      <c r="V6270" s="4"/>
      <c r="X6270" s="4"/>
      <c r="Y6270" s="4"/>
    </row>
    <row r="6271" spans="20:25" x14ac:dyDescent="0.25">
      <c r="T6271" s="10"/>
      <c r="U6271" s="4"/>
      <c r="V6271" s="4"/>
      <c r="X6271" s="4"/>
      <c r="Y6271" s="4"/>
    </row>
    <row r="6272" spans="20:25" x14ac:dyDescent="0.25">
      <c r="T6272" s="10"/>
      <c r="U6272" s="4"/>
      <c r="V6272" s="4"/>
      <c r="X6272" s="4"/>
      <c r="Y6272" s="4"/>
    </row>
    <row r="6273" spans="20:25" x14ac:dyDescent="0.25">
      <c r="T6273" s="10"/>
      <c r="U6273" s="4"/>
      <c r="V6273" s="4"/>
      <c r="X6273" s="4"/>
      <c r="Y6273" s="4"/>
    </row>
    <row r="6274" spans="20:25" x14ac:dyDescent="0.25">
      <c r="T6274" s="10"/>
      <c r="U6274" s="4"/>
      <c r="V6274" s="4"/>
      <c r="X6274" s="4"/>
      <c r="Y6274" s="4"/>
    </row>
    <row r="6275" spans="20:25" x14ac:dyDescent="0.25">
      <c r="T6275" s="10"/>
      <c r="U6275" s="4"/>
      <c r="V6275" s="4"/>
      <c r="X6275" s="4"/>
      <c r="Y6275" s="4"/>
    </row>
    <row r="6276" spans="20:25" x14ac:dyDescent="0.25">
      <c r="T6276" s="10"/>
      <c r="U6276" s="4"/>
      <c r="V6276" s="4"/>
      <c r="X6276" s="4"/>
      <c r="Y6276" s="4"/>
    </row>
    <row r="6277" spans="20:25" x14ac:dyDescent="0.25">
      <c r="T6277" s="10"/>
      <c r="U6277" s="4"/>
      <c r="V6277" s="4"/>
      <c r="X6277" s="4"/>
      <c r="Y6277" s="4"/>
    </row>
    <row r="6278" spans="20:25" x14ac:dyDescent="0.25">
      <c r="T6278" s="10"/>
      <c r="U6278" s="4"/>
      <c r="V6278" s="4"/>
      <c r="X6278" s="4"/>
      <c r="Y6278" s="4"/>
    </row>
    <row r="6279" spans="20:25" x14ac:dyDescent="0.25">
      <c r="T6279" s="10"/>
      <c r="U6279" s="4"/>
      <c r="V6279" s="4"/>
      <c r="X6279" s="4"/>
      <c r="Y6279" s="4"/>
    </row>
    <row r="6280" spans="20:25" x14ac:dyDescent="0.25">
      <c r="T6280" s="10"/>
      <c r="U6280" s="4"/>
      <c r="V6280" s="4"/>
      <c r="X6280" s="4"/>
      <c r="Y6280" s="4"/>
    </row>
    <row r="6281" spans="20:25" x14ac:dyDescent="0.25">
      <c r="T6281" s="10"/>
      <c r="U6281" s="4"/>
      <c r="V6281" s="4"/>
      <c r="X6281" s="4"/>
      <c r="Y6281" s="4"/>
    </row>
    <row r="6282" spans="20:25" x14ac:dyDescent="0.25">
      <c r="T6282" s="10"/>
      <c r="U6282" s="4"/>
      <c r="V6282" s="4"/>
      <c r="X6282" s="4"/>
      <c r="Y6282" s="4"/>
    </row>
    <row r="6283" spans="20:25" x14ac:dyDescent="0.25">
      <c r="T6283" s="10"/>
      <c r="U6283" s="4"/>
      <c r="V6283" s="4"/>
      <c r="X6283" s="4"/>
      <c r="Y6283" s="4"/>
    </row>
    <row r="6284" spans="20:25" x14ac:dyDescent="0.25">
      <c r="T6284" s="10"/>
      <c r="U6284" s="4"/>
      <c r="V6284" s="4"/>
      <c r="X6284" s="4"/>
      <c r="Y6284" s="4"/>
    </row>
    <row r="6285" spans="20:25" x14ac:dyDescent="0.25">
      <c r="T6285" s="10"/>
      <c r="U6285" s="4"/>
      <c r="V6285" s="4"/>
      <c r="X6285" s="4"/>
      <c r="Y6285" s="4"/>
    </row>
    <row r="6286" spans="20:25" x14ac:dyDescent="0.25">
      <c r="T6286" s="10"/>
      <c r="U6286" s="4"/>
      <c r="V6286" s="4"/>
      <c r="X6286" s="4"/>
      <c r="Y6286" s="4"/>
    </row>
    <row r="6287" spans="20:25" x14ac:dyDescent="0.25">
      <c r="T6287" s="10"/>
      <c r="U6287" s="4"/>
      <c r="V6287" s="4"/>
      <c r="X6287" s="4"/>
      <c r="Y6287" s="4"/>
    </row>
    <row r="6288" spans="20:25" x14ac:dyDescent="0.25">
      <c r="T6288" s="10"/>
      <c r="U6288" s="4"/>
      <c r="V6288" s="4"/>
      <c r="X6288" s="4"/>
      <c r="Y6288" s="4"/>
    </row>
    <row r="6289" spans="20:25" x14ac:dyDescent="0.25">
      <c r="T6289" s="10"/>
      <c r="U6289" s="4"/>
      <c r="V6289" s="4"/>
      <c r="X6289" s="4"/>
      <c r="Y6289" s="4"/>
    </row>
    <row r="6290" spans="20:25" x14ac:dyDescent="0.25">
      <c r="T6290" s="10"/>
      <c r="U6290" s="4"/>
      <c r="V6290" s="4"/>
      <c r="X6290" s="4"/>
      <c r="Y6290" s="4"/>
    </row>
    <row r="6291" spans="20:25" x14ac:dyDescent="0.25">
      <c r="T6291" s="10"/>
      <c r="U6291" s="4"/>
      <c r="V6291" s="4"/>
      <c r="X6291" s="4"/>
      <c r="Y6291" s="4"/>
    </row>
    <row r="6292" spans="20:25" x14ac:dyDescent="0.25">
      <c r="T6292" s="10"/>
      <c r="U6292" s="4"/>
      <c r="V6292" s="4"/>
      <c r="X6292" s="4"/>
      <c r="Y6292" s="4"/>
    </row>
    <row r="6293" spans="20:25" x14ac:dyDescent="0.25">
      <c r="T6293" s="10"/>
      <c r="U6293" s="4"/>
      <c r="V6293" s="4"/>
      <c r="X6293" s="4"/>
      <c r="Y6293" s="4"/>
    </row>
    <row r="6294" spans="20:25" x14ac:dyDescent="0.25">
      <c r="T6294" s="10"/>
      <c r="U6294" s="4"/>
      <c r="V6294" s="4"/>
      <c r="X6294" s="4"/>
      <c r="Y6294" s="4"/>
    </row>
    <row r="6295" spans="20:25" x14ac:dyDescent="0.25">
      <c r="T6295" s="10"/>
      <c r="U6295" s="4"/>
      <c r="V6295" s="4"/>
      <c r="X6295" s="4"/>
      <c r="Y6295" s="4"/>
    </row>
    <row r="6296" spans="20:25" x14ac:dyDescent="0.25">
      <c r="T6296" s="10"/>
      <c r="U6296" s="4"/>
      <c r="V6296" s="4"/>
      <c r="X6296" s="4"/>
      <c r="Y6296" s="4"/>
    </row>
    <row r="6297" spans="20:25" x14ac:dyDescent="0.25">
      <c r="T6297" s="10"/>
      <c r="U6297" s="4"/>
      <c r="V6297" s="4"/>
      <c r="X6297" s="4"/>
      <c r="Y6297" s="4"/>
    </row>
    <row r="6298" spans="20:25" x14ac:dyDescent="0.25">
      <c r="T6298" s="10"/>
      <c r="U6298" s="4"/>
      <c r="V6298" s="4"/>
      <c r="X6298" s="4"/>
      <c r="Y6298" s="4"/>
    </row>
    <row r="6299" spans="20:25" x14ac:dyDescent="0.25">
      <c r="T6299" s="10"/>
      <c r="U6299" s="4"/>
      <c r="V6299" s="4"/>
      <c r="X6299" s="4"/>
      <c r="Y6299" s="4"/>
    </row>
    <row r="6300" spans="20:25" x14ac:dyDescent="0.25">
      <c r="T6300" s="10"/>
      <c r="U6300" s="4"/>
      <c r="V6300" s="4"/>
      <c r="X6300" s="4"/>
      <c r="Y6300" s="4"/>
    </row>
    <row r="6301" spans="20:25" x14ac:dyDescent="0.25">
      <c r="T6301" s="10"/>
      <c r="U6301" s="4"/>
      <c r="V6301" s="4"/>
      <c r="X6301" s="4"/>
      <c r="Y6301" s="4"/>
    </row>
    <row r="6302" spans="20:25" x14ac:dyDescent="0.25">
      <c r="T6302" s="10"/>
      <c r="U6302" s="4"/>
      <c r="V6302" s="4"/>
      <c r="X6302" s="4"/>
      <c r="Y6302" s="4"/>
    </row>
    <row r="6303" spans="20:25" x14ac:dyDescent="0.25">
      <c r="T6303" s="10"/>
      <c r="U6303" s="4"/>
      <c r="V6303" s="4"/>
      <c r="X6303" s="4"/>
      <c r="Y6303" s="4"/>
    </row>
    <row r="6304" spans="20:25" x14ac:dyDescent="0.25">
      <c r="T6304" s="10"/>
      <c r="U6304" s="4"/>
      <c r="V6304" s="4"/>
      <c r="X6304" s="4"/>
      <c r="Y6304" s="4"/>
    </row>
    <row r="6305" spans="20:25" x14ac:dyDescent="0.25">
      <c r="T6305" s="10"/>
      <c r="U6305" s="4"/>
      <c r="V6305" s="4"/>
      <c r="X6305" s="4"/>
      <c r="Y6305" s="4"/>
    </row>
    <row r="6306" spans="20:25" x14ac:dyDescent="0.25">
      <c r="T6306" s="10"/>
      <c r="U6306" s="4"/>
      <c r="V6306" s="4"/>
      <c r="X6306" s="4"/>
      <c r="Y6306" s="4"/>
    </row>
    <row r="6307" spans="20:25" x14ac:dyDescent="0.25">
      <c r="T6307" s="10"/>
      <c r="U6307" s="4"/>
      <c r="V6307" s="4"/>
      <c r="X6307" s="4"/>
      <c r="Y6307" s="4"/>
    </row>
    <row r="6308" spans="20:25" x14ac:dyDescent="0.25">
      <c r="T6308" s="10"/>
      <c r="U6308" s="4"/>
      <c r="V6308" s="4"/>
      <c r="X6308" s="4"/>
      <c r="Y6308" s="4"/>
    </row>
    <row r="6309" spans="20:25" x14ac:dyDescent="0.25">
      <c r="T6309" s="10"/>
      <c r="U6309" s="4"/>
      <c r="V6309" s="4"/>
      <c r="X6309" s="4"/>
      <c r="Y6309" s="4"/>
    </row>
    <row r="6310" spans="20:25" x14ac:dyDescent="0.25">
      <c r="T6310" s="10"/>
      <c r="U6310" s="4"/>
      <c r="V6310" s="4"/>
      <c r="X6310" s="4"/>
      <c r="Y6310" s="4"/>
    </row>
    <row r="6311" spans="20:25" x14ac:dyDescent="0.25">
      <c r="T6311" s="10"/>
      <c r="U6311" s="4"/>
      <c r="V6311" s="4"/>
      <c r="X6311" s="4"/>
      <c r="Y6311" s="4"/>
    </row>
    <row r="6312" spans="20:25" x14ac:dyDescent="0.25">
      <c r="T6312" s="10"/>
      <c r="U6312" s="4"/>
      <c r="V6312" s="4"/>
      <c r="X6312" s="4"/>
      <c r="Y6312" s="4"/>
    </row>
    <row r="6313" spans="20:25" x14ac:dyDescent="0.25">
      <c r="T6313" s="10"/>
      <c r="U6313" s="4"/>
      <c r="V6313" s="4"/>
      <c r="X6313" s="4"/>
      <c r="Y6313" s="4"/>
    </row>
    <row r="6314" spans="20:25" x14ac:dyDescent="0.25">
      <c r="T6314" s="10"/>
      <c r="U6314" s="4"/>
      <c r="V6314" s="4"/>
      <c r="X6314" s="4"/>
      <c r="Y6314" s="4"/>
    </row>
    <row r="6315" spans="20:25" x14ac:dyDescent="0.25">
      <c r="T6315" s="10"/>
      <c r="U6315" s="4"/>
      <c r="V6315" s="4"/>
      <c r="X6315" s="4"/>
      <c r="Y6315" s="4"/>
    </row>
    <row r="6316" spans="20:25" x14ac:dyDescent="0.25">
      <c r="T6316" s="10"/>
      <c r="U6316" s="4"/>
      <c r="V6316" s="4"/>
      <c r="X6316" s="4"/>
      <c r="Y6316" s="4"/>
    </row>
    <row r="6317" spans="20:25" x14ac:dyDescent="0.25">
      <c r="T6317" s="10"/>
      <c r="U6317" s="4"/>
      <c r="V6317" s="4"/>
      <c r="X6317" s="4"/>
      <c r="Y6317" s="4"/>
    </row>
    <row r="6318" spans="20:25" x14ac:dyDescent="0.25">
      <c r="T6318" s="10"/>
      <c r="U6318" s="4"/>
      <c r="V6318" s="4"/>
      <c r="X6318" s="4"/>
      <c r="Y6318" s="4"/>
    </row>
    <row r="6319" spans="20:25" x14ac:dyDescent="0.25">
      <c r="T6319" s="10"/>
      <c r="U6319" s="4"/>
      <c r="V6319" s="4"/>
      <c r="X6319" s="4"/>
      <c r="Y6319" s="4"/>
    </row>
    <row r="6320" spans="20:25" x14ac:dyDescent="0.25">
      <c r="T6320" s="10"/>
      <c r="U6320" s="4"/>
      <c r="V6320" s="4"/>
      <c r="X6320" s="4"/>
      <c r="Y6320" s="4"/>
    </row>
    <row r="6321" spans="20:25" x14ac:dyDescent="0.25">
      <c r="T6321" s="10"/>
      <c r="U6321" s="4"/>
      <c r="V6321" s="4"/>
      <c r="X6321" s="4"/>
      <c r="Y6321" s="4"/>
    </row>
    <row r="6322" spans="20:25" x14ac:dyDescent="0.25">
      <c r="T6322" s="10"/>
      <c r="U6322" s="4"/>
      <c r="V6322" s="4"/>
      <c r="X6322" s="4"/>
      <c r="Y6322" s="4"/>
    </row>
    <row r="6323" spans="20:25" x14ac:dyDescent="0.25">
      <c r="T6323" s="10"/>
      <c r="U6323" s="4"/>
      <c r="V6323" s="4"/>
      <c r="X6323" s="4"/>
      <c r="Y6323" s="4"/>
    </row>
    <row r="6324" spans="20:25" x14ac:dyDescent="0.25">
      <c r="T6324" s="10"/>
      <c r="U6324" s="4"/>
      <c r="V6324" s="4"/>
      <c r="X6324" s="4"/>
      <c r="Y6324" s="4"/>
    </row>
    <row r="6325" spans="20:25" x14ac:dyDescent="0.25">
      <c r="T6325" s="10"/>
      <c r="U6325" s="4"/>
      <c r="V6325" s="4"/>
      <c r="X6325" s="4"/>
      <c r="Y6325" s="4"/>
    </row>
    <row r="6326" spans="20:25" x14ac:dyDescent="0.25">
      <c r="T6326" s="10"/>
      <c r="U6326" s="4"/>
      <c r="V6326" s="4"/>
      <c r="X6326" s="4"/>
      <c r="Y6326" s="4"/>
    </row>
    <row r="6327" spans="20:25" x14ac:dyDescent="0.25">
      <c r="T6327" s="10"/>
      <c r="U6327" s="4"/>
      <c r="V6327" s="4"/>
      <c r="X6327" s="4"/>
      <c r="Y6327" s="4"/>
    </row>
    <row r="6328" spans="20:25" x14ac:dyDescent="0.25">
      <c r="T6328" s="10"/>
      <c r="U6328" s="4"/>
      <c r="V6328" s="4"/>
      <c r="X6328" s="4"/>
      <c r="Y6328" s="4"/>
    </row>
    <row r="6329" spans="20:25" x14ac:dyDescent="0.25">
      <c r="T6329" s="10"/>
      <c r="U6329" s="4"/>
      <c r="V6329" s="4"/>
      <c r="X6329" s="4"/>
      <c r="Y6329" s="4"/>
    </row>
    <row r="6330" spans="20:25" x14ac:dyDescent="0.25">
      <c r="T6330" s="10"/>
      <c r="U6330" s="4"/>
      <c r="V6330" s="4"/>
      <c r="X6330" s="4"/>
      <c r="Y6330" s="4"/>
    </row>
    <row r="6331" spans="20:25" x14ac:dyDescent="0.25">
      <c r="T6331" s="10"/>
      <c r="U6331" s="4"/>
      <c r="V6331" s="4"/>
      <c r="X6331" s="4"/>
      <c r="Y6331" s="4"/>
    </row>
    <row r="6332" spans="20:25" x14ac:dyDescent="0.25">
      <c r="T6332" s="10"/>
      <c r="U6332" s="4"/>
      <c r="V6332" s="4"/>
      <c r="X6332" s="4"/>
      <c r="Y6332" s="4"/>
    </row>
    <row r="6333" spans="20:25" x14ac:dyDescent="0.25">
      <c r="T6333" s="10"/>
      <c r="U6333" s="4"/>
      <c r="V6333" s="4"/>
      <c r="X6333" s="4"/>
      <c r="Y6333" s="4"/>
    </row>
    <row r="6334" spans="20:25" x14ac:dyDescent="0.25">
      <c r="T6334" s="10"/>
      <c r="U6334" s="4"/>
      <c r="V6334" s="4"/>
      <c r="X6334" s="4"/>
      <c r="Y6334" s="4"/>
    </row>
    <row r="6335" spans="20:25" x14ac:dyDescent="0.25">
      <c r="T6335" s="10"/>
      <c r="U6335" s="4"/>
      <c r="V6335" s="4"/>
      <c r="X6335" s="4"/>
      <c r="Y6335" s="4"/>
    </row>
    <row r="6336" spans="20:25" x14ac:dyDescent="0.25">
      <c r="T6336" s="10"/>
      <c r="U6336" s="4"/>
      <c r="V6336" s="4"/>
      <c r="X6336" s="4"/>
      <c r="Y6336" s="4"/>
    </row>
    <row r="6337" spans="20:25" x14ac:dyDescent="0.25">
      <c r="T6337" s="10"/>
      <c r="U6337" s="4"/>
      <c r="V6337" s="4"/>
      <c r="X6337" s="4"/>
      <c r="Y6337" s="4"/>
    </row>
    <row r="6338" spans="20:25" x14ac:dyDescent="0.25">
      <c r="T6338" s="10"/>
      <c r="U6338" s="4"/>
      <c r="V6338" s="4"/>
      <c r="X6338" s="4"/>
      <c r="Y6338" s="4"/>
    </row>
    <row r="6339" spans="20:25" x14ac:dyDescent="0.25">
      <c r="T6339" s="10"/>
      <c r="U6339" s="4"/>
      <c r="V6339" s="4"/>
      <c r="X6339" s="4"/>
      <c r="Y6339" s="4"/>
    </row>
    <row r="6340" spans="20:25" x14ac:dyDescent="0.25">
      <c r="T6340" s="10"/>
      <c r="U6340" s="4"/>
      <c r="V6340" s="4"/>
      <c r="X6340" s="4"/>
      <c r="Y6340" s="4"/>
    </row>
    <row r="6341" spans="20:25" x14ac:dyDescent="0.25">
      <c r="T6341" s="10"/>
      <c r="U6341" s="4"/>
      <c r="V6341" s="4"/>
      <c r="X6341" s="4"/>
      <c r="Y6341" s="4"/>
    </row>
    <row r="6342" spans="20:25" x14ac:dyDescent="0.25">
      <c r="T6342" s="10"/>
      <c r="U6342" s="4"/>
      <c r="V6342" s="4"/>
      <c r="X6342" s="4"/>
      <c r="Y6342" s="4"/>
    </row>
    <row r="6343" spans="20:25" x14ac:dyDescent="0.25">
      <c r="T6343" s="10"/>
      <c r="U6343" s="4"/>
      <c r="V6343" s="4"/>
      <c r="X6343" s="4"/>
      <c r="Y6343" s="4"/>
    </row>
    <row r="6344" spans="20:25" x14ac:dyDescent="0.25">
      <c r="T6344" s="10"/>
      <c r="U6344" s="4"/>
      <c r="V6344" s="4"/>
      <c r="X6344" s="4"/>
      <c r="Y6344" s="4"/>
    </row>
    <row r="6345" spans="20:25" x14ac:dyDescent="0.25">
      <c r="T6345" s="10"/>
      <c r="U6345" s="4"/>
      <c r="V6345" s="4"/>
      <c r="X6345" s="4"/>
      <c r="Y6345" s="4"/>
    </row>
    <row r="6346" spans="20:25" x14ac:dyDescent="0.25">
      <c r="T6346" s="10"/>
      <c r="U6346" s="4"/>
      <c r="V6346" s="4"/>
      <c r="X6346" s="4"/>
      <c r="Y6346" s="4"/>
    </row>
    <row r="6347" spans="20:25" x14ac:dyDescent="0.25">
      <c r="T6347" s="10"/>
      <c r="U6347" s="4"/>
      <c r="V6347" s="4"/>
      <c r="X6347" s="4"/>
      <c r="Y6347" s="4"/>
    </row>
    <row r="6348" spans="20:25" x14ac:dyDescent="0.25">
      <c r="T6348" s="10"/>
      <c r="U6348" s="4"/>
      <c r="V6348" s="4"/>
      <c r="X6348" s="4"/>
      <c r="Y6348" s="4"/>
    </row>
    <row r="6349" spans="20:25" x14ac:dyDescent="0.25">
      <c r="T6349" s="10"/>
      <c r="U6349" s="4"/>
      <c r="V6349" s="4"/>
      <c r="X6349" s="4"/>
      <c r="Y6349" s="4"/>
    </row>
    <row r="6350" spans="20:25" x14ac:dyDescent="0.25">
      <c r="T6350" s="10"/>
      <c r="U6350" s="4"/>
      <c r="V6350" s="4"/>
      <c r="X6350" s="4"/>
      <c r="Y6350" s="4"/>
    </row>
    <row r="6351" spans="20:25" x14ac:dyDescent="0.25">
      <c r="T6351" s="10"/>
      <c r="U6351" s="4"/>
      <c r="V6351" s="4"/>
      <c r="X6351" s="4"/>
      <c r="Y6351" s="4"/>
    </row>
    <row r="6352" spans="20:25" x14ac:dyDescent="0.25">
      <c r="T6352" s="10"/>
      <c r="U6352" s="4"/>
      <c r="V6352" s="4"/>
      <c r="X6352" s="4"/>
      <c r="Y6352" s="4"/>
    </row>
    <row r="6353" spans="20:25" x14ac:dyDescent="0.25">
      <c r="T6353" s="10"/>
      <c r="U6353" s="4"/>
      <c r="V6353" s="4"/>
      <c r="X6353" s="4"/>
      <c r="Y6353" s="4"/>
    </row>
    <row r="6354" spans="20:25" x14ac:dyDescent="0.25">
      <c r="T6354" s="10"/>
      <c r="U6354" s="4"/>
      <c r="V6354" s="4"/>
      <c r="X6354" s="4"/>
      <c r="Y6354" s="4"/>
    </row>
    <row r="6355" spans="20:25" x14ac:dyDescent="0.25">
      <c r="T6355" s="10"/>
      <c r="U6355" s="4"/>
      <c r="V6355" s="4"/>
      <c r="X6355" s="4"/>
      <c r="Y6355" s="4"/>
    </row>
    <row r="6356" spans="20:25" x14ac:dyDescent="0.25">
      <c r="T6356" s="10"/>
      <c r="U6356" s="4"/>
      <c r="V6356" s="4"/>
      <c r="X6356" s="4"/>
      <c r="Y6356" s="4"/>
    </row>
    <row r="6357" spans="20:25" x14ac:dyDescent="0.25">
      <c r="T6357" s="10"/>
      <c r="U6357" s="4"/>
      <c r="V6357" s="4"/>
      <c r="X6357" s="4"/>
      <c r="Y6357" s="4"/>
    </row>
    <row r="6358" spans="20:25" x14ac:dyDescent="0.25">
      <c r="T6358" s="10"/>
      <c r="U6358" s="4"/>
      <c r="V6358" s="4"/>
      <c r="X6358" s="4"/>
      <c r="Y6358" s="4"/>
    </row>
    <row r="6359" spans="20:25" x14ac:dyDescent="0.25">
      <c r="T6359" s="10"/>
      <c r="U6359" s="4"/>
      <c r="V6359" s="4"/>
      <c r="X6359" s="4"/>
      <c r="Y6359" s="4"/>
    </row>
    <row r="6360" spans="20:25" x14ac:dyDescent="0.25">
      <c r="T6360" s="10"/>
      <c r="U6360" s="4"/>
      <c r="V6360" s="4"/>
      <c r="X6360" s="4"/>
      <c r="Y6360" s="4"/>
    </row>
    <row r="6361" spans="20:25" x14ac:dyDescent="0.25">
      <c r="T6361" s="10"/>
      <c r="U6361" s="4"/>
      <c r="V6361" s="4"/>
      <c r="X6361" s="4"/>
      <c r="Y6361" s="4"/>
    </row>
    <row r="6362" spans="20:25" x14ac:dyDescent="0.25">
      <c r="T6362" s="10"/>
      <c r="U6362" s="4"/>
      <c r="V6362" s="4"/>
      <c r="X6362" s="4"/>
      <c r="Y6362" s="4"/>
    </row>
    <row r="6363" spans="20:25" x14ac:dyDescent="0.25">
      <c r="T6363" s="10"/>
      <c r="U6363" s="4"/>
      <c r="V6363" s="4"/>
      <c r="X6363" s="4"/>
      <c r="Y6363" s="4"/>
    </row>
    <row r="6364" spans="20:25" x14ac:dyDescent="0.25">
      <c r="T6364" s="10"/>
      <c r="U6364" s="4"/>
      <c r="V6364" s="4"/>
      <c r="X6364" s="4"/>
      <c r="Y6364" s="4"/>
    </row>
    <row r="6365" spans="20:25" x14ac:dyDescent="0.25">
      <c r="T6365" s="10"/>
      <c r="U6365" s="4"/>
      <c r="V6365" s="4"/>
      <c r="X6365" s="4"/>
      <c r="Y6365" s="4"/>
    </row>
    <row r="6366" spans="20:25" x14ac:dyDescent="0.25">
      <c r="T6366" s="10"/>
      <c r="U6366" s="4"/>
      <c r="V6366" s="4"/>
      <c r="X6366" s="4"/>
      <c r="Y6366" s="4"/>
    </row>
    <row r="6367" spans="20:25" x14ac:dyDescent="0.25">
      <c r="T6367" s="10"/>
      <c r="U6367" s="4"/>
      <c r="V6367" s="4"/>
      <c r="X6367" s="4"/>
      <c r="Y6367" s="4"/>
    </row>
    <row r="6368" spans="20:25" x14ac:dyDescent="0.25">
      <c r="T6368" s="10"/>
      <c r="U6368" s="4"/>
      <c r="V6368" s="4"/>
      <c r="X6368" s="4"/>
      <c r="Y6368" s="4"/>
    </row>
    <row r="6369" spans="20:25" x14ac:dyDescent="0.25">
      <c r="T6369" s="10"/>
      <c r="U6369" s="4"/>
      <c r="V6369" s="4"/>
      <c r="X6369" s="4"/>
      <c r="Y6369" s="4"/>
    </row>
    <row r="6370" spans="20:25" x14ac:dyDescent="0.25">
      <c r="T6370" s="10"/>
      <c r="U6370" s="4"/>
      <c r="V6370" s="4"/>
      <c r="X6370" s="4"/>
      <c r="Y6370" s="4"/>
    </row>
    <row r="6371" spans="20:25" x14ac:dyDescent="0.25">
      <c r="T6371" s="10"/>
      <c r="U6371" s="4"/>
      <c r="V6371" s="4"/>
      <c r="X6371" s="4"/>
      <c r="Y6371" s="4"/>
    </row>
    <row r="6372" spans="20:25" x14ac:dyDescent="0.25">
      <c r="T6372" s="10"/>
      <c r="U6372" s="4"/>
      <c r="V6372" s="4"/>
      <c r="X6372" s="4"/>
      <c r="Y6372" s="4"/>
    </row>
    <row r="6373" spans="20:25" x14ac:dyDescent="0.25">
      <c r="T6373" s="10"/>
      <c r="U6373" s="4"/>
      <c r="V6373" s="4"/>
      <c r="X6373" s="4"/>
      <c r="Y6373" s="4"/>
    </row>
    <row r="6374" spans="20:25" x14ac:dyDescent="0.25">
      <c r="T6374" s="10"/>
      <c r="U6374" s="4"/>
      <c r="V6374" s="4"/>
      <c r="X6374" s="4"/>
      <c r="Y6374" s="4"/>
    </row>
    <row r="6375" spans="20:25" x14ac:dyDescent="0.25">
      <c r="T6375" s="10"/>
      <c r="U6375" s="4"/>
      <c r="V6375" s="4"/>
      <c r="X6375" s="4"/>
      <c r="Y6375" s="4"/>
    </row>
    <row r="6376" spans="20:25" x14ac:dyDescent="0.25">
      <c r="T6376" s="10"/>
      <c r="U6376" s="4"/>
      <c r="V6376" s="4"/>
      <c r="X6376" s="4"/>
      <c r="Y6376" s="4"/>
    </row>
    <row r="6377" spans="20:25" x14ac:dyDescent="0.25">
      <c r="T6377" s="10"/>
      <c r="U6377" s="4"/>
      <c r="V6377" s="4"/>
      <c r="X6377" s="4"/>
      <c r="Y6377" s="4"/>
    </row>
    <row r="6378" spans="20:25" x14ac:dyDescent="0.25">
      <c r="T6378" s="10"/>
      <c r="U6378" s="4"/>
      <c r="V6378" s="4"/>
      <c r="X6378" s="4"/>
      <c r="Y6378" s="4"/>
    </row>
    <row r="6379" spans="20:25" x14ac:dyDescent="0.25">
      <c r="T6379" s="10"/>
      <c r="U6379" s="4"/>
      <c r="V6379" s="4"/>
      <c r="X6379" s="4"/>
      <c r="Y6379" s="4"/>
    </row>
    <row r="6380" spans="20:25" x14ac:dyDescent="0.25">
      <c r="T6380" s="10"/>
      <c r="U6380" s="4"/>
      <c r="V6380" s="4"/>
      <c r="X6380" s="4"/>
      <c r="Y6380" s="4"/>
    </row>
    <row r="6381" spans="20:25" x14ac:dyDescent="0.25">
      <c r="T6381" s="10"/>
      <c r="U6381" s="4"/>
      <c r="V6381" s="4"/>
      <c r="X6381" s="4"/>
      <c r="Y6381" s="4"/>
    </row>
    <row r="6382" spans="20:25" x14ac:dyDescent="0.25">
      <c r="T6382" s="10"/>
      <c r="U6382" s="4"/>
      <c r="V6382" s="4"/>
      <c r="X6382" s="4"/>
      <c r="Y6382" s="4"/>
    </row>
    <row r="6383" spans="20:25" x14ac:dyDescent="0.25">
      <c r="T6383" s="10"/>
      <c r="U6383" s="4"/>
      <c r="V6383" s="4"/>
      <c r="X6383" s="4"/>
      <c r="Y6383" s="4"/>
    </row>
    <row r="6384" spans="20:25" x14ac:dyDescent="0.25">
      <c r="T6384" s="10"/>
      <c r="U6384" s="4"/>
      <c r="V6384" s="4"/>
      <c r="X6384" s="4"/>
      <c r="Y6384" s="4"/>
    </row>
    <row r="6385" spans="20:25" x14ac:dyDescent="0.25">
      <c r="T6385" s="10"/>
      <c r="U6385" s="4"/>
      <c r="V6385" s="4"/>
      <c r="X6385" s="4"/>
      <c r="Y6385" s="4"/>
    </row>
    <row r="6386" spans="20:25" x14ac:dyDescent="0.25">
      <c r="T6386" s="10"/>
      <c r="U6386" s="4"/>
      <c r="V6386" s="4"/>
      <c r="X6386" s="4"/>
      <c r="Y6386" s="4"/>
    </row>
    <row r="6387" spans="20:25" x14ac:dyDescent="0.25">
      <c r="T6387" s="10"/>
      <c r="U6387" s="4"/>
      <c r="V6387" s="4"/>
      <c r="X6387" s="4"/>
      <c r="Y6387" s="4"/>
    </row>
    <row r="6388" spans="20:25" x14ac:dyDescent="0.25">
      <c r="T6388" s="10"/>
      <c r="U6388" s="4"/>
      <c r="V6388" s="4"/>
      <c r="X6388" s="4"/>
      <c r="Y6388" s="4"/>
    </row>
    <row r="6389" spans="20:25" x14ac:dyDescent="0.25">
      <c r="T6389" s="10"/>
      <c r="U6389" s="4"/>
      <c r="V6389" s="4"/>
      <c r="X6389" s="4"/>
      <c r="Y6389" s="4"/>
    </row>
    <row r="6390" spans="20:25" x14ac:dyDescent="0.25">
      <c r="T6390" s="10"/>
      <c r="U6390" s="4"/>
      <c r="V6390" s="4"/>
      <c r="X6390" s="4"/>
      <c r="Y6390" s="4"/>
    </row>
    <row r="6391" spans="20:25" x14ac:dyDescent="0.25">
      <c r="T6391" s="10"/>
      <c r="U6391" s="4"/>
      <c r="V6391" s="4"/>
      <c r="X6391" s="4"/>
      <c r="Y6391" s="4"/>
    </row>
    <row r="6392" spans="20:25" x14ac:dyDescent="0.25">
      <c r="T6392" s="10"/>
      <c r="U6392" s="4"/>
      <c r="V6392" s="4"/>
      <c r="X6392" s="4"/>
      <c r="Y6392" s="4"/>
    </row>
    <row r="6393" spans="20:25" x14ac:dyDescent="0.25">
      <c r="T6393" s="10"/>
      <c r="U6393" s="4"/>
      <c r="V6393" s="4"/>
      <c r="X6393" s="4"/>
      <c r="Y6393" s="4"/>
    </row>
    <row r="6394" spans="20:25" x14ac:dyDescent="0.25">
      <c r="T6394" s="10"/>
      <c r="U6394" s="4"/>
      <c r="V6394" s="4"/>
      <c r="X6394" s="4"/>
      <c r="Y6394" s="4"/>
    </row>
    <row r="6395" spans="20:25" x14ac:dyDescent="0.25">
      <c r="T6395" s="10"/>
      <c r="U6395" s="4"/>
      <c r="V6395" s="4"/>
      <c r="X6395" s="4"/>
      <c r="Y6395" s="4"/>
    </row>
    <row r="6396" spans="20:25" x14ac:dyDescent="0.25">
      <c r="T6396" s="10"/>
      <c r="U6396" s="4"/>
      <c r="V6396" s="4"/>
      <c r="X6396" s="4"/>
      <c r="Y6396" s="4"/>
    </row>
    <row r="6397" spans="20:25" x14ac:dyDescent="0.25">
      <c r="T6397" s="10"/>
      <c r="U6397" s="4"/>
      <c r="V6397" s="4"/>
      <c r="X6397" s="4"/>
      <c r="Y6397" s="4"/>
    </row>
    <row r="6398" spans="20:25" x14ac:dyDescent="0.25">
      <c r="T6398" s="10"/>
      <c r="U6398" s="4"/>
      <c r="V6398" s="4"/>
      <c r="X6398" s="4"/>
      <c r="Y6398" s="4"/>
    </row>
    <row r="6399" spans="20:25" x14ac:dyDescent="0.25">
      <c r="T6399" s="10"/>
      <c r="U6399" s="4"/>
      <c r="V6399" s="4"/>
      <c r="X6399" s="4"/>
      <c r="Y6399" s="4"/>
    </row>
    <row r="6400" spans="20:25" x14ac:dyDescent="0.25">
      <c r="T6400" s="10"/>
      <c r="U6400" s="4"/>
      <c r="V6400" s="4"/>
      <c r="X6400" s="4"/>
      <c r="Y6400" s="4"/>
    </row>
    <row r="6401" spans="20:25" x14ac:dyDescent="0.25">
      <c r="T6401" s="10"/>
      <c r="U6401" s="4"/>
      <c r="V6401" s="4"/>
      <c r="X6401" s="4"/>
      <c r="Y6401" s="4"/>
    </row>
    <row r="6402" spans="20:25" x14ac:dyDescent="0.25">
      <c r="T6402" s="10"/>
      <c r="U6402" s="4"/>
      <c r="V6402" s="4"/>
      <c r="X6402" s="4"/>
      <c r="Y6402" s="4"/>
    </row>
    <row r="6403" spans="20:25" x14ac:dyDescent="0.25">
      <c r="T6403" s="10"/>
      <c r="U6403" s="4"/>
      <c r="V6403" s="4"/>
      <c r="X6403" s="4"/>
      <c r="Y6403" s="4"/>
    </row>
    <row r="6404" spans="20:25" x14ac:dyDescent="0.25">
      <c r="T6404" s="10"/>
      <c r="U6404" s="4"/>
      <c r="V6404" s="4"/>
      <c r="X6404" s="4"/>
      <c r="Y6404" s="4"/>
    </row>
    <row r="6405" spans="20:25" x14ac:dyDescent="0.25">
      <c r="T6405" s="10"/>
      <c r="U6405" s="4"/>
      <c r="V6405" s="4"/>
      <c r="X6405" s="4"/>
      <c r="Y6405" s="4"/>
    </row>
    <row r="6406" spans="20:25" x14ac:dyDescent="0.25">
      <c r="T6406" s="10"/>
      <c r="U6406" s="4"/>
      <c r="V6406" s="4"/>
      <c r="X6406" s="4"/>
      <c r="Y6406" s="4"/>
    </row>
    <row r="6407" spans="20:25" x14ac:dyDescent="0.25">
      <c r="T6407" s="10"/>
      <c r="U6407" s="4"/>
      <c r="V6407" s="4"/>
      <c r="X6407" s="4"/>
      <c r="Y6407" s="4"/>
    </row>
    <row r="6408" spans="20:25" x14ac:dyDescent="0.25">
      <c r="T6408" s="10"/>
      <c r="U6408" s="4"/>
      <c r="V6408" s="4"/>
      <c r="X6408" s="4"/>
      <c r="Y6408" s="4"/>
    </row>
    <row r="6409" spans="20:25" x14ac:dyDescent="0.25">
      <c r="T6409" s="10"/>
      <c r="U6409" s="4"/>
      <c r="V6409" s="4"/>
      <c r="X6409" s="4"/>
      <c r="Y6409" s="4"/>
    </row>
    <row r="6410" spans="20:25" x14ac:dyDescent="0.25">
      <c r="T6410" s="10"/>
      <c r="U6410" s="4"/>
      <c r="V6410" s="4"/>
      <c r="X6410" s="4"/>
      <c r="Y6410" s="4"/>
    </row>
    <row r="6411" spans="20:25" x14ac:dyDescent="0.25">
      <c r="T6411" s="10"/>
      <c r="U6411" s="4"/>
      <c r="V6411" s="4"/>
      <c r="X6411" s="4"/>
      <c r="Y6411" s="4"/>
    </row>
    <row r="6412" spans="20:25" x14ac:dyDescent="0.25">
      <c r="T6412" s="10"/>
      <c r="U6412" s="4"/>
      <c r="V6412" s="4"/>
      <c r="X6412" s="4"/>
      <c r="Y6412" s="4"/>
    </row>
    <row r="6413" spans="20:25" x14ac:dyDescent="0.25">
      <c r="T6413" s="10"/>
      <c r="U6413" s="4"/>
      <c r="V6413" s="4"/>
      <c r="X6413" s="4"/>
      <c r="Y6413" s="4"/>
    </row>
    <row r="6414" spans="20:25" x14ac:dyDescent="0.25">
      <c r="T6414" s="10"/>
      <c r="U6414" s="4"/>
      <c r="V6414" s="4"/>
      <c r="X6414" s="4"/>
      <c r="Y6414" s="4"/>
    </row>
    <row r="6415" spans="20:25" x14ac:dyDescent="0.25">
      <c r="T6415" s="10"/>
      <c r="U6415" s="4"/>
      <c r="V6415" s="4"/>
      <c r="X6415" s="4"/>
      <c r="Y6415" s="4"/>
    </row>
    <row r="6416" spans="20:25" x14ac:dyDescent="0.25">
      <c r="T6416" s="10"/>
      <c r="U6416" s="4"/>
      <c r="V6416" s="4"/>
      <c r="X6416" s="4"/>
      <c r="Y6416" s="4"/>
    </row>
    <row r="6417" spans="20:25" x14ac:dyDescent="0.25">
      <c r="T6417" s="10"/>
      <c r="U6417" s="4"/>
      <c r="V6417" s="4"/>
      <c r="X6417" s="4"/>
      <c r="Y6417" s="4"/>
    </row>
    <row r="6418" spans="20:25" x14ac:dyDescent="0.25">
      <c r="T6418" s="10"/>
      <c r="U6418" s="4"/>
      <c r="V6418" s="4"/>
      <c r="X6418" s="4"/>
      <c r="Y6418" s="4"/>
    </row>
    <row r="6419" spans="20:25" x14ac:dyDescent="0.25">
      <c r="T6419" s="10"/>
      <c r="U6419" s="4"/>
      <c r="V6419" s="4"/>
      <c r="X6419" s="4"/>
      <c r="Y6419" s="4"/>
    </row>
    <row r="6420" spans="20:25" x14ac:dyDescent="0.25">
      <c r="T6420" s="10"/>
      <c r="U6420" s="4"/>
      <c r="V6420" s="4"/>
      <c r="X6420" s="4"/>
      <c r="Y6420" s="4"/>
    </row>
    <row r="6421" spans="20:25" x14ac:dyDescent="0.25">
      <c r="T6421" s="10"/>
      <c r="U6421" s="4"/>
      <c r="V6421" s="4"/>
      <c r="X6421" s="4"/>
      <c r="Y6421" s="4"/>
    </row>
    <row r="6422" spans="20:25" x14ac:dyDescent="0.25">
      <c r="T6422" s="10"/>
      <c r="U6422" s="4"/>
      <c r="V6422" s="4"/>
      <c r="X6422" s="4"/>
      <c r="Y6422" s="4"/>
    </row>
    <row r="6423" spans="20:25" x14ac:dyDescent="0.25">
      <c r="T6423" s="10"/>
      <c r="U6423" s="4"/>
      <c r="V6423" s="4"/>
      <c r="X6423" s="4"/>
      <c r="Y6423" s="4"/>
    </row>
    <row r="6424" spans="20:25" x14ac:dyDescent="0.25">
      <c r="T6424" s="10"/>
      <c r="U6424" s="4"/>
      <c r="V6424" s="4"/>
      <c r="X6424" s="4"/>
      <c r="Y6424" s="4"/>
    </row>
    <row r="6425" spans="20:25" x14ac:dyDescent="0.25">
      <c r="T6425" s="10"/>
      <c r="U6425" s="4"/>
      <c r="V6425" s="4"/>
      <c r="X6425" s="4"/>
      <c r="Y6425" s="4"/>
    </row>
    <row r="6426" spans="20:25" x14ac:dyDescent="0.25">
      <c r="T6426" s="10"/>
      <c r="U6426" s="4"/>
      <c r="V6426" s="4"/>
      <c r="X6426" s="4"/>
      <c r="Y6426" s="4"/>
    </row>
    <row r="6427" spans="20:25" x14ac:dyDescent="0.25">
      <c r="T6427" s="10"/>
      <c r="U6427" s="4"/>
      <c r="V6427" s="4"/>
      <c r="X6427" s="4"/>
      <c r="Y6427" s="4"/>
    </row>
    <row r="6428" spans="20:25" x14ac:dyDescent="0.25">
      <c r="T6428" s="10"/>
      <c r="U6428" s="4"/>
      <c r="V6428" s="4"/>
      <c r="X6428" s="4"/>
      <c r="Y6428" s="4"/>
    </row>
    <row r="6429" spans="20:25" x14ac:dyDescent="0.25">
      <c r="T6429" s="10"/>
      <c r="U6429" s="4"/>
      <c r="V6429" s="4"/>
      <c r="X6429" s="4"/>
      <c r="Y6429" s="4"/>
    </row>
    <row r="6430" spans="20:25" x14ac:dyDescent="0.25">
      <c r="T6430" s="10"/>
      <c r="U6430" s="4"/>
      <c r="V6430" s="4"/>
      <c r="X6430" s="4"/>
      <c r="Y6430" s="4"/>
    </row>
    <row r="6431" spans="20:25" x14ac:dyDescent="0.25">
      <c r="T6431" s="10"/>
      <c r="U6431" s="4"/>
      <c r="V6431" s="4"/>
      <c r="X6431" s="4"/>
      <c r="Y6431" s="4"/>
    </row>
    <row r="6432" spans="20:25" x14ac:dyDescent="0.25">
      <c r="T6432" s="10"/>
      <c r="U6432" s="4"/>
      <c r="V6432" s="4"/>
      <c r="X6432" s="4"/>
      <c r="Y6432" s="4"/>
    </row>
    <row r="6433" spans="20:25" x14ac:dyDescent="0.25">
      <c r="T6433" s="10"/>
      <c r="U6433" s="4"/>
      <c r="V6433" s="4"/>
      <c r="X6433" s="4"/>
      <c r="Y6433" s="4"/>
    </row>
    <row r="6434" spans="20:25" x14ac:dyDescent="0.25">
      <c r="T6434" s="10"/>
      <c r="U6434" s="4"/>
      <c r="V6434" s="4"/>
      <c r="X6434" s="4"/>
      <c r="Y6434" s="4"/>
    </row>
    <row r="6435" spans="20:25" x14ac:dyDescent="0.25">
      <c r="T6435" s="10"/>
      <c r="U6435" s="4"/>
      <c r="V6435" s="4"/>
      <c r="X6435" s="4"/>
      <c r="Y6435" s="4"/>
    </row>
    <row r="6436" spans="20:25" x14ac:dyDescent="0.25">
      <c r="T6436" s="10"/>
      <c r="U6436" s="4"/>
      <c r="V6436" s="4"/>
      <c r="X6436" s="4"/>
      <c r="Y6436" s="4"/>
    </row>
    <row r="6437" spans="20:25" x14ac:dyDescent="0.25">
      <c r="T6437" s="10"/>
      <c r="U6437" s="4"/>
      <c r="V6437" s="4"/>
      <c r="X6437" s="4"/>
      <c r="Y6437" s="4"/>
    </row>
    <row r="6438" spans="20:25" x14ac:dyDescent="0.25">
      <c r="T6438" s="10"/>
      <c r="U6438" s="4"/>
      <c r="V6438" s="4"/>
      <c r="X6438" s="4"/>
      <c r="Y6438" s="4"/>
    </row>
    <row r="6439" spans="20:25" x14ac:dyDescent="0.25">
      <c r="T6439" s="10"/>
      <c r="U6439" s="4"/>
      <c r="V6439" s="4"/>
      <c r="X6439" s="4"/>
      <c r="Y6439" s="4"/>
    </row>
    <row r="6440" spans="20:25" x14ac:dyDescent="0.25">
      <c r="T6440" s="10"/>
      <c r="U6440" s="4"/>
      <c r="V6440" s="4"/>
      <c r="X6440" s="4"/>
      <c r="Y6440" s="4"/>
    </row>
    <row r="6441" spans="20:25" x14ac:dyDescent="0.25">
      <c r="T6441" s="10"/>
      <c r="U6441" s="4"/>
      <c r="V6441" s="4"/>
      <c r="X6441" s="4"/>
      <c r="Y6441" s="4"/>
    </row>
    <row r="6442" spans="20:25" x14ac:dyDescent="0.25">
      <c r="T6442" s="10"/>
      <c r="U6442" s="4"/>
      <c r="V6442" s="4"/>
      <c r="X6442" s="4"/>
      <c r="Y6442" s="4"/>
    </row>
    <row r="6443" spans="20:25" x14ac:dyDescent="0.25">
      <c r="T6443" s="10"/>
      <c r="U6443" s="4"/>
      <c r="V6443" s="4"/>
      <c r="X6443" s="4"/>
      <c r="Y6443" s="4"/>
    </row>
    <row r="6444" spans="20:25" x14ac:dyDescent="0.25">
      <c r="T6444" s="10"/>
      <c r="U6444" s="4"/>
      <c r="V6444" s="4"/>
      <c r="X6444" s="4"/>
      <c r="Y6444" s="4"/>
    </row>
    <row r="6445" spans="20:25" x14ac:dyDescent="0.25">
      <c r="T6445" s="10"/>
      <c r="U6445" s="4"/>
      <c r="V6445" s="4"/>
      <c r="X6445" s="4"/>
      <c r="Y6445" s="4"/>
    </row>
    <row r="6446" spans="20:25" x14ac:dyDescent="0.25">
      <c r="T6446" s="10"/>
      <c r="U6446" s="4"/>
      <c r="V6446" s="4"/>
      <c r="X6446" s="4"/>
      <c r="Y6446" s="4"/>
    </row>
    <row r="6447" spans="20:25" x14ac:dyDescent="0.25">
      <c r="T6447" s="10"/>
      <c r="U6447" s="4"/>
      <c r="V6447" s="4"/>
      <c r="X6447" s="4"/>
      <c r="Y6447" s="4"/>
    </row>
    <row r="6448" spans="20:25" x14ac:dyDescent="0.25">
      <c r="T6448" s="10"/>
      <c r="U6448" s="4"/>
      <c r="V6448" s="4"/>
      <c r="X6448" s="4"/>
      <c r="Y6448" s="4"/>
    </row>
    <row r="6449" spans="20:25" x14ac:dyDescent="0.25">
      <c r="T6449" s="10"/>
      <c r="U6449" s="4"/>
      <c r="V6449" s="4"/>
      <c r="X6449" s="4"/>
      <c r="Y6449" s="4"/>
    </row>
    <row r="6450" spans="20:25" x14ac:dyDescent="0.25">
      <c r="T6450" s="10"/>
      <c r="U6450" s="4"/>
      <c r="V6450" s="4"/>
      <c r="X6450" s="4"/>
      <c r="Y6450" s="4"/>
    </row>
    <row r="6451" spans="20:25" x14ac:dyDescent="0.25">
      <c r="T6451" s="10"/>
      <c r="U6451" s="4"/>
      <c r="V6451" s="4"/>
      <c r="X6451" s="4"/>
      <c r="Y6451" s="4"/>
    </row>
    <row r="6452" spans="20:25" x14ac:dyDescent="0.25">
      <c r="T6452" s="10"/>
      <c r="U6452" s="4"/>
      <c r="V6452" s="4"/>
      <c r="X6452" s="4"/>
      <c r="Y6452" s="4"/>
    </row>
    <row r="6453" spans="20:25" x14ac:dyDescent="0.25">
      <c r="T6453" s="10"/>
      <c r="U6453" s="4"/>
      <c r="V6453" s="4"/>
      <c r="X6453" s="4"/>
      <c r="Y6453" s="4"/>
    </row>
    <row r="6454" spans="20:25" x14ac:dyDescent="0.25">
      <c r="T6454" s="10"/>
      <c r="U6454" s="4"/>
      <c r="V6454" s="4"/>
      <c r="X6454" s="4"/>
      <c r="Y6454" s="4"/>
    </row>
    <row r="6455" spans="20:25" x14ac:dyDescent="0.25">
      <c r="T6455" s="10"/>
      <c r="U6455" s="4"/>
      <c r="V6455" s="4"/>
      <c r="X6455" s="4"/>
      <c r="Y6455" s="4"/>
    </row>
    <row r="6456" spans="20:25" x14ac:dyDescent="0.25">
      <c r="T6456" s="10"/>
      <c r="U6456" s="4"/>
      <c r="V6456" s="4"/>
      <c r="X6456" s="4"/>
      <c r="Y6456" s="4"/>
    </row>
    <row r="6457" spans="20:25" x14ac:dyDescent="0.25">
      <c r="T6457" s="10"/>
      <c r="U6457" s="4"/>
      <c r="V6457" s="4"/>
      <c r="X6457" s="4"/>
      <c r="Y6457" s="4"/>
    </row>
    <row r="6458" spans="20:25" x14ac:dyDescent="0.25">
      <c r="T6458" s="10"/>
      <c r="U6458" s="4"/>
      <c r="V6458" s="4"/>
      <c r="X6458" s="4"/>
      <c r="Y6458" s="4"/>
    </row>
    <row r="6459" spans="20:25" x14ac:dyDescent="0.25">
      <c r="T6459" s="10"/>
      <c r="U6459" s="4"/>
      <c r="V6459" s="4"/>
      <c r="X6459" s="4"/>
      <c r="Y6459" s="4"/>
    </row>
    <row r="6460" spans="20:25" x14ac:dyDescent="0.25">
      <c r="T6460" s="10"/>
      <c r="U6460" s="4"/>
      <c r="V6460" s="4"/>
      <c r="X6460" s="4"/>
      <c r="Y6460" s="4"/>
    </row>
    <row r="6461" spans="20:25" x14ac:dyDescent="0.25">
      <c r="T6461" s="10"/>
      <c r="U6461" s="4"/>
      <c r="V6461" s="4"/>
      <c r="X6461" s="4"/>
      <c r="Y6461" s="4"/>
    </row>
    <row r="6462" spans="20:25" x14ac:dyDescent="0.25">
      <c r="T6462" s="10"/>
      <c r="U6462" s="4"/>
      <c r="V6462" s="4"/>
      <c r="X6462" s="4"/>
      <c r="Y6462" s="4"/>
    </row>
    <row r="6463" spans="20:25" x14ac:dyDescent="0.25">
      <c r="T6463" s="10"/>
      <c r="U6463" s="4"/>
      <c r="V6463" s="4"/>
      <c r="X6463" s="4"/>
      <c r="Y6463" s="4"/>
    </row>
    <row r="6464" spans="20:25" x14ac:dyDescent="0.25">
      <c r="T6464" s="10"/>
      <c r="U6464" s="4"/>
      <c r="V6464" s="4"/>
      <c r="X6464" s="4"/>
      <c r="Y6464" s="4"/>
    </row>
    <row r="6465" spans="20:25" x14ac:dyDescent="0.25">
      <c r="T6465" s="10"/>
      <c r="U6465" s="4"/>
      <c r="V6465" s="4"/>
      <c r="X6465" s="4"/>
      <c r="Y6465" s="4"/>
    </row>
    <row r="6466" spans="20:25" x14ac:dyDescent="0.25">
      <c r="T6466" s="10"/>
      <c r="U6466" s="4"/>
      <c r="V6466" s="4"/>
      <c r="X6466" s="4"/>
      <c r="Y6466" s="4"/>
    </row>
    <row r="6467" spans="20:25" x14ac:dyDescent="0.25">
      <c r="T6467" s="10"/>
      <c r="U6467" s="4"/>
      <c r="V6467" s="4"/>
      <c r="X6467" s="4"/>
      <c r="Y6467" s="4"/>
    </row>
    <row r="6468" spans="20:25" x14ac:dyDescent="0.25">
      <c r="T6468" s="10"/>
      <c r="U6468" s="4"/>
      <c r="V6468" s="4"/>
      <c r="X6468" s="4"/>
      <c r="Y6468" s="4"/>
    </row>
    <row r="6469" spans="20:25" x14ac:dyDescent="0.25">
      <c r="T6469" s="10"/>
      <c r="U6469" s="4"/>
      <c r="V6469" s="4"/>
      <c r="X6469" s="4"/>
      <c r="Y6469" s="4"/>
    </row>
    <row r="6470" spans="20:25" x14ac:dyDescent="0.25">
      <c r="T6470" s="10"/>
      <c r="U6470" s="4"/>
      <c r="V6470" s="4"/>
      <c r="X6470" s="4"/>
      <c r="Y6470" s="4"/>
    </row>
    <row r="6471" spans="20:25" x14ac:dyDescent="0.25">
      <c r="T6471" s="10"/>
      <c r="U6471" s="4"/>
      <c r="V6471" s="4"/>
      <c r="X6471" s="4"/>
      <c r="Y6471" s="4"/>
    </row>
    <row r="6472" spans="20:25" x14ac:dyDescent="0.25">
      <c r="T6472" s="10"/>
      <c r="U6472" s="4"/>
      <c r="V6472" s="4"/>
      <c r="X6472" s="4"/>
      <c r="Y6472" s="4"/>
    </row>
    <row r="6473" spans="20:25" x14ac:dyDescent="0.25">
      <c r="T6473" s="10"/>
      <c r="U6473" s="4"/>
      <c r="V6473" s="4"/>
      <c r="X6473" s="4"/>
      <c r="Y6473" s="4"/>
    </row>
    <row r="6474" spans="20:25" x14ac:dyDescent="0.25">
      <c r="T6474" s="10"/>
      <c r="U6474" s="4"/>
      <c r="V6474" s="4"/>
      <c r="X6474" s="4"/>
      <c r="Y6474" s="4"/>
    </row>
    <row r="6475" spans="20:25" x14ac:dyDescent="0.25">
      <c r="T6475" s="10"/>
      <c r="U6475" s="4"/>
      <c r="V6475" s="4"/>
      <c r="X6475" s="4"/>
      <c r="Y6475" s="4"/>
    </row>
    <row r="6476" spans="20:25" x14ac:dyDescent="0.25">
      <c r="T6476" s="10"/>
      <c r="U6476" s="4"/>
      <c r="V6476" s="4"/>
      <c r="X6476" s="4"/>
      <c r="Y6476" s="4"/>
    </row>
    <row r="6477" spans="20:25" x14ac:dyDescent="0.25">
      <c r="T6477" s="10"/>
      <c r="U6477" s="4"/>
      <c r="V6477" s="4"/>
      <c r="X6477" s="4"/>
      <c r="Y6477" s="4"/>
    </row>
    <row r="6478" spans="20:25" x14ac:dyDescent="0.25">
      <c r="T6478" s="10"/>
      <c r="U6478" s="4"/>
      <c r="V6478" s="4"/>
      <c r="X6478" s="4"/>
      <c r="Y6478" s="4"/>
    </row>
    <row r="6479" spans="20:25" x14ac:dyDescent="0.25">
      <c r="T6479" s="10"/>
      <c r="U6479" s="4"/>
      <c r="V6479" s="4"/>
      <c r="X6479" s="4"/>
      <c r="Y6479" s="4"/>
    </row>
    <row r="6480" spans="20:25" x14ac:dyDescent="0.25">
      <c r="T6480" s="10"/>
      <c r="U6480" s="4"/>
      <c r="V6480" s="4"/>
      <c r="X6480" s="4"/>
      <c r="Y6480" s="4"/>
    </row>
    <row r="6481" spans="20:25" x14ac:dyDescent="0.25">
      <c r="T6481" s="10"/>
      <c r="U6481" s="4"/>
      <c r="V6481" s="4"/>
      <c r="X6481" s="4"/>
      <c r="Y6481" s="4"/>
    </row>
    <row r="6482" spans="20:25" x14ac:dyDescent="0.25">
      <c r="T6482" s="10"/>
      <c r="U6482" s="4"/>
      <c r="V6482" s="4"/>
      <c r="X6482" s="4"/>
      <c r="Y6482" s="4"/>
    </row>
    <row r="6483" spans="20:25" x14ac:dyDescent="0.25">
      <c r="T6483" s="10"/>
      <c r="U6483" s="4"/>
      <c r="V6483" s="4"/>
      <c r="X6483" s="4"/>
      <c r="Y6483" s="4"/>
    </row>
    <row r="6484" spans="20:25" x14ac:dyDescent="0.25">
      <c r="T6484" s="10"/>
      <c r="U6484" s="4"/>
      <c r="V6484" s="4"/>
      <c r="X6484" s="4"/>
      <c r="Y6484" s="4"/>
    </row>
    <row r="6485" spans="20:25" x14ac:dyDescent="0.25">
      <c r="T6485" s="10"/>
      <c r="U6485" s="4"/>
      <c r="V6485" s="4"/>
      <c r="X6485" s="4"/>
      <c r="Y6485" s="4"/>
    </row>
    <row r="6486" spans="20:25" x14ac:dyDescent="0.25">
      <c r="T6486" s="10"/>
      <c r="U6486" s="4"/>
      <c r="V6486" s="4"/>
      <c r="X6486" s="4"/>
      <c r="Y6486" s="4"/>
    </row>
    <row r="6487" spans="20:25" x14ac:dyDescent="0.25">
      <c r="T6487" s="10"/>
      <c r="U6487" s="4"/>
      <c r="V6487" s="4"/>
      <c r="X6487" s="4"/>
      <c r="Y6487" s="4"/>
    </row>
    <row r="6488" spans="20:25" x14ac:dyDescent="0.25">
      <c r="T6488" s="10"/>
      <c r="U6488" s="4"/>
      <c r="V6488" s="4"/>
      <c r="X6488" s="4"/>
      <c r="Y6488" s="4"/>
    </row>
    <row r="6489" spans="20:25" x14ac:dyDescent="0.25">
      <c r="T6489" s="10"/>
      <c r="U6489" s="4"/>
      <c r="V6489" s="4"/>
      <c r="X6489" s="4"/>
      <c r="Y6489" s="4"/>
    </row>
    <row r="6490" spans="20:25" x14ac:dyDescent="0.25">
      <c r="T6490" s="10"/>
      <c r="U6490" s="4"/>
      <c r="V6490" s="4"/>
      <c r="X6490" s="4"/>
      <c r="Y6490" s="4"/>
    </row>
    <row r="6491" spans="20:25" x14ac:dyDescent="0.25">
      <c r="T6491" s="10"/>
      <c r="U6491" s="4"/>
      <c r="V6491" s="4"/>
      <c r="X6491" s="4"/>
      <c r="Y6491" s="4"/>
    </row>
    <row r="6492" spans="20:25" x14ac:dyDescent="0.25">
      <c r="T6492" s="10"/>
      <c r="U6492" s="4"/>
      <c r="V6492" s="4"/>
      <c r="X6492" s="4"/>
      <c r="Y6492" s="4"/>
    </row>
    <row r="6493" spans="20:25" x14ac:dyDescent="0.25">
      <c r="T6493" s="10"/>
      <c r="U6493" s="4"/>
      <c r="V6493" s="4"/>
      <c r="X6493" s="4"/>
      <c r="Y6493" s="4"/>
    </row>
    <row r="6494" spans="20:25" x14ac:dyDescent="0.25">
      <c r="T6494" s="10"/>
      <c r="U6494" s="4"/>
      <c r="V6494" s="4"/>
      <c r="X6494" s="4"/>
      <c r="Y6494" s="4"/>
    </row>
    <row r="6495" spans="20:25" x14ac:dyDescent="0.25">
      <c r="T6495" s="10"/>
      <c r="U6495" s="4"/>
      <c r="V6495" s="4"/>
      <c r="X6495" s="4"/>
      <c r="Y6495" s="4"/>
    </row>
    <row r="6496" spans="20:25" x14ac:dyDescent="0.25">
      <c r="T6496" s="10"/>
      <c r="U6496" s="4"/>
      <c r="V6496" s="4"/>
      <c r="X6496" s="4"/>
      <c r="Y6496" s="4"/>
    </row>
    <row r="6497" spans="20:25" x14ac:dyDescent="0.25">
      <c r="T6497" s="10"/>
      <c r="U6497" s="4"/>
      <c r="V6497" s="4"/>
      <c r="X6497" s="4"/>
      <c r="Y6497" s="4"/>
    </row>
    <row r="6498" spans="20:25" x14ac:dyDescent="0.25">
      <c r="T6498" s="10"/>
      <c r="U6498" s="4"/>
      <c r="V6498" s="4"/>
      <c r="X6498" s="4"/>
      <c r="Y6498" s="4"/>
    </row>
    <row r="6499" spans="20:25" x14ac:dyDescent="0.25">
      <c r="T6499" s="10"/>
      <c r="U6499" s="4"/>
      <c r="V6499" s="4"/>
      <c r="X6499" s="4"/>
      <c r="Y6499" s="4"/>
    </row>
    <row r="6500" spans="20:25" x14ac:dyDescent="0.25">
      <c r="T6500" s="10"/>
      <c r="U6500" s="4"/>
      <c r="V6500" s="4"/>
      <c r="X6500" s="4"/>
      <c r="Y6500" s="4"/>
    </row>
    <row r="6501" spans="20:25" x14ac:dyDescent="0.25">
      <c r="T6501" s="10"/>
      <c r="U6501" s="4"/>
      <c r="V6501" s="4"/>
      <c r="X6501" s="4"/>
      <c r="Y6501" s="4"/>
    </row>
    <row r="6502" spans="20:25" x14ac:dyDescent="0.25">
      <c r="T6502" s="10"/>
      <c r="U6502" s="4"/>
      <c r="V6502" s="4"/>
      <c r="X6502" s="4"/>
      <c r="Y6502" s="4"/>
    </row>
    <row r="6503" spans="20:25" x14ac:dyDescent="0.25">
      <c r="T6503" s="10"/>
      <c r="U6503" s="4"/>
      <c r="V6503" s="4"/>
      <c r="X6503" s="4"/>
      <c r="Y6503" s="4"/>
    </row>
    <row r="6504" spans="20:25" x14ac:dyDescent="0.25">
      <c r="T6504" s="10"/>
      <c r="U6504" s="4"/>
      <c r="V6504" s="4"/>
      <c r="X6504" s="4"/>
      <c r="Y6504" s="4"/>
    </row>
    <row r="6505" spans="20:25" x14ac:dyDescent="0.25">
      <c r="T6505" s="10"/>
      <c r="U6505" s="4"/>
      <c r="V6505" s="4"/>
      <c r="X6505" s="4"/>
      <c r="Y6505" s="4"/>
    </row>
    <row r="6506" spans="20:25" x14ac:dyDescent="0.25">
      <c r="T6506" s="10"/>
      <c r="U6506" s="4"/>
      <c r="V6506" s="4"/>
      <c r="X6506" s="4"/>
      <c r="Y6506" s="4"/>
    </row>
    <row r="6507" spans="20:25" x14ac:dyDescent="0.25">
      <c r="T6507" s="10"/>
      <c r="U6507" s="4"/>
      <c r="V6507" s="4"/>
      <c r="X6507" s="4"/>
      <c r="Y6507" s="4"/>
    </row>
    <row r="6508" spans="20:25" x14ac:dyDescent="0.25">
      <c r="T6508" s="10"/>
      <c r="U6508" s="4"/>
      <c r="V6508" s="4"/>
      <c r="X6508" s="4"/>
      <c r="Y6508" s="4"/>
    </row>
    <row r="6509" spans="20:25" x14ac:dyDescent="0.25">
      <c r="T6509" s="10"/>
      <c r="U6509" s="4"/>
      <c r="V6509" s="4"/>
      <c r="X6509" s="4"/>
      <c r="Y6509" s="4"/>
    </row>
    <row r="6510" spans="20:25" x14ac:dyDescent="0.25">
      <c r="T6510" s="10"/>
      <c r="U6510" s="4"/>
      <c r="V6510" s="4"/>
      <c r="X6510" s="4"/>
      <c r="Y6510" s="4"/>
    </row>
    <row r="6511" spans="20:25" x14ac:dyDescent="0.25">
      <c r="T6511" s="10"/>
      <c r="U6511" s="4"/>
      <c r="V6511" s="4"/>
      <c r="X6511" s="4"/>
      <c r="Y6511" s="4"/>
    </row>
    <row r="6512" spans="20:25" x14ac:dyDescent="0.25">
      <c r="T6512" s="10"/>
      <c r="U6512" s="4"/>
      <c r="V6512" s="4"/>
      <c r="X6512" s="4"/>
      <c r="Y6512" s="4"/>
    </row>
    <row r="6513" spans="20:25" x14ac:dyDescent="0.25">
      <c r="T6513" s="10"/>
      <c r="U6513" s="4"/>
      <c r="V6513" s="4"/>
      <c r="X6513" s="4"/>
      <c r="Y6513" s="4"/>
    </row>
    <row r="6514" spans="20:25" x14ac:dyDescent="0.25">
      <c r="T6514" s="10"/>
      <c r="U6514" s="4"/>
      <c r="V6514" s="4"/>
      <c r="X6514" s="4"/>
      <c r="Y6514" s="4"/>
    </row>
    <row r="6515" spans="20:25" x14ac:dyDescent="0.25">
      <c r="T6515" s="10"/>
      <c r="U6515" s="4"/>
      <c r="V6515" s="4"/>
      <c r="X6515" s="4"/>
      <c r="Y6515" s="4"/>
    </row>
    <row r="6516" spans="20:25" x14ac:dyDescent="0.25">
      <c r="T6516" s="10"/>
      <c r="U6516" s="4"/>
      <c r="V6516" s="4"/>
      <c r="X6516" s="4"/>
      <c r="Y6516" s="4"/>
    </row>
    <row r="6517" spans="20:25" x14ac:dyDescent="0.25">
      <c r="T6517" s="10"/>
      <c r="U6517" s="4"/>
      <c r="V6517" s="4"/>
      <c r="X6517" s="4"/>
      <c r="Y6517" s="4"/>
    </row>
    <row r="6518" spans="20:25" x14ac:dyDescent="0.25">
      <c r="T6518" s="10"/>
      <c r="U6518" s="4"/>
      <c r="V6518" s="4"/>
      <c r="X6518" s="4"/>
      <c r="Y6518" s="4"/>
    </row>
    <row r="6519" spans="20:25" x14ac:dyDescent="0.25">
      <c r="T6519" s="10"/>
      <c r="U6519" s="4"/>
      <c r="V6519" s="4"/>
      <c r="X6519" s="4"/>
      <c r="Y6519" s="4"/>
    </row>
    <row r="6520" spans="20:25" x14ac:dyDescent="0.25">
      <c r="T6520" s="10"/>
      <c r="U6520" s="4"/>
      <c r="V6520" s="4"/>
      <c r="X6520" s="4"/>
      <c r="Y6520" s="4"/>
    </row>
    <row r="6521" spans="20:25" x14ac:dyDescent="0.25">
      <c r="T6521" s="10"/>
      <c r="U6521" s="4"/>
      <c r="V6521" s="4"/>
      <c r="X6521" s="4"/>
      <c r="Y6521" s="4"/>
    </row>
    <row r="6522" spans="20:25" x14ac:dyDescent="0.25">
      <c r="T6522" s="10"/>
      <c r="U6522" s="4"/>
      <c r="V6522" s="4"/>
      <c r="X6522" s="4"/>
      <c r="Y6522" s="4"/>
    </row>
    <row r="6523" spans="20:25" x14ac:dyDescent="0.25">
      <c r="T6523" s="10"/>
      <c r="U6523" s="4"/>
      <c r="V6523" s="4"/>
      <c r="X6523" s="4"/>
      <c r="Y6523" s="4"/>
    </row>
    <row r="6524" spans="20:25" x14ac:dyDescent="0.25">
      <c r="T6524" s="10"/>
      <c r="U6524" s="4"/>
      <c r="V6524" s="4"/>
      <c r="X6524" s="4"/>
      <c r="Y6524" s="4"/>
    </row>
    <row r="6525" spans="20:25" x14ac:dyDescent="0.25">
      <c r="T6525" s="10"/>
      <c r="U6525" s="4"/>
      <c r="V6525" s="4"/>
      <c r="X6525" s="4"/>
      <c r="Y6525" s="4"/>
    </row>
    <row r="6526" spans="20:25" x14ac:dyDescent="0.25">
      <c r="T6526" s="10"/>
      <c r="U6526" s="4"/>
      <c r="V6526" s="4"/>
      <c r="X6526" s="4"/>
      <c r="Y6526" s="4"/>
    </row>
    <row r="6527" spans="20:25" x14ac:dyDescent="0.25">
      <c r="T6527" s="10"/>
      <c r="U6527" s="4"/>
      <c r="V6527" s="4"/>
      <c r="X6527" s="4"/>
      <c r="Y6527" s="4"/>
    </row>
    <row r="6528" spans="20:25" x14ac:dyDescent="0.25">
      <c r="T6528" s="10"/>
      <c r="U6528" s="4"/>
      <c r="V6528" s="4"/>
      <c r="X6528" s="4"/>
      <c r="Y6528" s="4"/>
    </row>
    <row r="6529" spans="20:25" x14ac:dyDescent="0.25">
      <c r="T6529" s="10"/>
      <c r="U6529" s="4"/>
      <c r="V6529" s="4"/>
      <c r="X6529" s="4"/>
      <c r="Y6529" s="4"/>
    </row>
    <row r="6530" spans="20:25" x14ac:dyDescent="0.25">
      <c r="T6530" s="10"/>
      <c r="U6530" s="4"/>
      <c r="V6530" s="4"/>
      <c r="X6530" s="4"/>
      <c r="Y6530" s="4"/>
    </row>
    <row r="6531" spans="20:25" x14ac:dyDescent="0.25">
      <c r="T6531" s="10"/>
      <c r="U6531" s="4"/>
      <c r="V6531" s="4"/>
      <c r="X6531" s="4"/>
      <c r="Y6531" s="4"/>
    </row>
    <row r="6532" spans="20:25" x14ac:dyDescent="0.25">
      <c r="T6532" s="10"/>
      <c r="U6532" s="4"/>
      <c r="V6532" s="4"/>
      <c r="X6532" s="4"/>
      <c r="Y6532" s="4"/>
    </row>
    <row r="6533" spans="20:25" x14ac:dyDescent="0.25">
      <c r="T6533" s="10"/>
      <c r="U6533" s="4"/>
      <c r="V6533" s="4"/>
      <c r="X6533" s="4"/>
      <c r="Y6533" s="4"/>
    </row>
    <row r="6534" spans="20:25" x14ac:dyDescent="0.25">
      <c r="T6534" s="10"/>
      <c r="U6534" s="4"/>
      <c r="V6534" s="4"/>
      <c r="X6534" s="4"/>
      <c r="Y6534" s="4"/>
    </row>
    <row r="6535" spans="20:25" x14ac:dyDescent="0.25">
      <c r="T6535" s="10"/>
      <c r="U6535" s="4"/>
      <c r="V6535" s="4"/>
      <c r="X6535" s="4"/>
      <c r="Y6535" s="4"/>
    </row>
    <row r="6536" spans="20:25" x14ac:dyDescent="0.25">
      <c r="T6536" s="10"/>
      <c r="U6536" s="4"/>
      <c r="V6536" s="4"/>
      <c r="X6536" s="4"/>
      <c r="Y6536" s="4"/>
    </row>
    <row r="6537" spans="20:25" x14ac:dyDescent="0.25">
      <c r="T6537" s="10"/>
      <c r="U6537" s="4"/>
      <c r="V6537" s="4"/>
      <c r="X6537" s="4"/>
      <c r="Y6537" s="4"/>
    </row>
    <row r="6538" spans="20:25" x14ac:dyDescent="0.25">
      <c r="T6538" s="10"/>
      <c r="U6538" s="4"/>
      <c r="V6538" s="4"/>
      <c r="X6538" s="4"/>
      <c r="Y6538" s="4"/>
    </row>
    <row r="6539" spans="20:25" x14ac:dyDescent="0.25">
      <c r="T6539" s="10"/>
      <c r="U6539" s="4"/>
      <c r="V6539" s="4"/>
      <c r="X6539" s="4"/>
      <c r="Y6539" s="4"/>
    </row>
    <row r="6540" spans="20:25" x14ac:dyDescent="0.25">
      <c r="T6540" s="10"/>
      <c r="U6540" s="4"/>
      <c r="V6540" s="4"/>
      <c r="X6540" s="4"/>
      <c r="Y6540" s="4"/>
    </row>
    <row r="6541" spans="20:25" x14ac:dyDescent="0.25">
      <c r="T6541" s="10"/>
      <c r="U6541" s="4"/>
      <c r="V6541" s="4"/>
      <c r="X6541" s="4"/>
      <c r="Y6541" s="4"/>
    </row>
    <row r="6542" spans="20:25" x14ac:dyDescent="0.25">
      <c r="T6542" s="10"/>
      <c r="U6542" s="4"/>
      <c r="V6542" s="4"/>
      <c r="X6542" s="4"/>
      <c r="Y6542" s="4"/>
    </row>
    <row r="6543" spans="20:25" x14ac:dyDescent="0.25">
      <c r="T6543" s="10"/>
      <c r="U6543" s="4"/>
      <c r="V6543" s="4"/>
      <c r="X6543" s="4"/>
      <c r="Y6543" s="4"/>
    </row>
    <row r="6544" spans="20:25" x14ac:dyDescent="0.25">
      <c r="T6544" s="10"/>
      <c r="U6544" s="4"/>
      <c r="V6544" s="4"/>
      <c r="X6544" s="4"/>
      <c r="Y6544" s="4"/>
    </row>
    <row r="6545" spans="20:25" x14ac:dyDescent="0.25">
      <c r="T6545" s="10"/>
      <c r="U6545" s="4"/>
      <c r="V6545" s="4"/>
      <c r="X6545" s="4"/>
      <c r="Y6545" s="4"/>
    </row>
    <row r="6546" spans="20:25" x14ac:dyDescent="0.25">
      <c r="T6546" s="10"/>
      <c r="U6546" s="4"/>
      <c r="V6546" s="4"/>
      <c r="X6546" s="4"/>
      <c r="Y6546" s="4"/>
    </row>
    <row r="6547" spans="20:25" x14ac:dyDescent="0.25">
      <c r="T6547" s="10"/>
      <c r="U6547" s="4"/>
      <c r="V6547" s="4"/>
      <c r="X6547" s="4"/>
      <c r="Y6547" s="4"/>
    </row>
    <row r="6548" spans="20:25" x14ac:dyDescent="0.25">
      <c r="T6548" s="10"/>
      <c r="U6548" s="4"/>
      <c r="V6548" s="4"/>
      <c r="X6548" s="4"/>
      <c r="Y6548" s="4"/>
    </row>
    <row r="6549" spans="20:25" x14ac:dyDescent="0.25">
      <c r="T6549" s="10"/>
      <c r="U6549" s="4"/>
      <c r="V6549" s="4"/>
      <c r="X6549" s="4"/>
      <c r="Y6549" s="4"/>
    </row>
    <row r="6550" spans="20:25" x14ac:dyDescent="0.25">
      <c r="T6550" s="10"/>
      <c r="U6550" s="4"/>
      <c r="V6550" s="4"/>
      <c r="X6550" s="4"/>
      <c r="Y6550" s="4"/>
    </row>
    <row r="6551" spans="20:25" x14ac:dyDescent="0.25">
      <c r="T6551" s="10"/>
      <c r="U6551" s="4"/>
      <c r="V6551" s="4"/>
      <c r="X6551" s="4"/>
      <c r="Y6551" s="4"/>
    </row>
    <row r="6552" spans="20:25" x14ac:dyDescent="0.25">
      <c r="T6552" s="10"/>
      <c r="U6552" s="4"/>
      <c r="V6552" s="4"/>
      <c r="X6552" s="4"/>
      <c r="Y6552" s="4"/>
    </row>
    <row r="6553" spans="20:25" x14ac:dyDescent="0.25">
      <c r="T6553" s="10"/>
      <c r="U6553" s="4"/>
      <c r="V6553" s="4"/>
      <c r="X6553" s="4"/>
      <c r="Y6553" s="4"/>
    </row>
    <row r="6554" spans="20:25" x14ac:dyDescent="0.25">
      <c r="T6554" s="10"/>
      <c r="U6554" s="4"/>
      <c r="V6554" s="4"/>
      <c r="X6554" s="4"/>
      <c r="Y6554" s="4"/>
    </row>
    <row r="6555" spans="20:25" x14ac:dyDescent="0.25">
      <c r="T6555" s="10"/>
      <c r="U6555" s="4"/>
      <c r="V6555" s="4"/>
      <c r="X6555" s="4"/>
      <c r="Y6555" s="4"/>
    </row>
    <row r="6556" spans="20:25" x14ac:dyDescent="0.25">
      <c r="T6556" s="10"/>
      <c r="U6556" s="4"/>
      <c r="V6556" s="4"/>
      <c r="X6556" s="4"/>
      <c r="Y6556" s="4"/>
    </row>
    <row r="6557" spans="20:25" x14ac:dyDescent="0.25">
      <c r="T6557" s="10"/>
      <c r="U6557" s="4"/>
      <c r="V6557" s="4"/>
      <c r="X6557" s="4"/>
      <c r="Y6557" s="4"/>
    </row>
    <row r="6558" spans="20:25" x14ac:dyDescent="0.25">
      <c r="T6558" s="10"/>
      <c r="U6558" s="4"/>
      <c r="V6558" s="4"/>
      <c r="X6558" s="4"/>
      <c r="Y6558" s="4"/>
    </row>
    <row r="6559" spans="20:25" x14ac:dyDescent="0.25">
      <c r="T6559" s="10"/>
      <c r="U6559" s="4"/>
      <c r="V6559" s="4"/>
      <c r="X6559" s="4"/>
      <c r="Y6559" s="4"/>
    </row>
    <row r="6560" spans="20:25" x14ac:dyDescent="0.25">
      <c r="T6560" s="10"/>
      <c r="U6560" s="4"/>
      <c r="V6560" s="4"/>
      <c r="X6560" s="4"/>
      <c r="Y6560" s="4"/>
    </row>
    <row r="6561" spans="20:25" x14ac:dyDescent="0.25">
      <c r="T6561" s="10"/>
      <c r="U6561" s="4"/>
      <c r="V6561" s="4"/>
      <c r="X6561" s="4"/>
      <c r="Y6561" s="4"/>
    </row>
    <row r="6562" spans="20:25" x14ac:dyDescent="0.25">
      <c r="T6562" s="10"/>
      <c r="U6562" s="4"/>
      <c r="V6562" s="4"/>
      <c r="X6562" s="4"/>
      <c r="Y6562" s="4"/>
    </row>
    <row r="6563" spans="20:25" x14ac:dyDescent="0.25">
      <c r="T6563" s="10"/>
      <c r="U6563" s="4"/>
      <c r="V6563" s="4"/>
      <c r="X6563" s="4"/>
      <c r="Y6563" s="4"/>
    </row>
    <row r="6564" spans="20:25" x14ac:dyDescent="0.25">
      <c r="T6564" s="10"/>
      <c r="U6564" s="4"/>
      <c r="V6564" s="4"/>
      <c r="X6564" s="4"/>
      <c r="Y6564" s="4"/>
    </row>
    <row r="6565" spans="20:25" x14ac:dyDescent="0.25">
      <c r="T6565" s="10"/>
      <c r="U6565" s="4"/>
      <c r="V6565" s="4"/>
      <c r="X6565" s="4"/>
      <c r="Y6565" s="4"/>
    </row>
    <row r="6566" spans="20:25" x14ac:dyDescent="0.25">
      <c r="T6566" s="10"/>
      <c r="U6566" s="4"/>
      <c r="V6566" s="4"/>
      <c r="X6566" s="4"/>
      <c r="Y6566" s="4"/>
    </row>
    <row r="6567" spans="20:25" x14ac:dyDescent="0.25">
      <c r="T6567" s="10"/>
      <c r="U6567" s="4"/>
      <c r="V6567" s="4"/>
      <c r="X6567" s="4"/>
      <c r="Y6567" s="4"/>
    </row>
    <row r="6568" spans="20:25" x14ac:dyDescent="0.25">
      <c r="T6568" s="10"/>
      <c r="U6568" s="4"/>
      <c r="V6568" s="4"/>
      <c r="X6568" s="4"/>
      <c r="Y6568" s="4"/>
    </row>
    <row r="6569" spans="20:25" x14ac:dyDescent="0.25">
      <c r="T6569" s="10"/>
      <c r="U6569" s="4"/>
      <c r="V6569" s="4"/>
      <c r="X6569" s="4"/>
      <c r="Y6569" s="4"/>
    </row>
    <row r="6570" spans="20:25" x14ac:dyDescent="0.25">
      <c r="T6570" s="10"/>
      <c r="U6570" s="4"/>
      <c r="V6570" s="4"/>
      <c r="X6570" s="4"/>
      <c r="Y6570" s="4"/>
    </row>
    <row r="6571" spans="20:25" x14ac:dyDescent="0.25">
      <c r="T6571" s="10"/>
      <c r="U6571" s="4"/>
      <c r="V6571" s="4"/>
      <c r="X6571" s="4"/>
      <c r="Y6571" s="4"/>
    </row>
    <row r="6572" spans="20:25" x14ac:dyDescent="0.25">
      <c r="T6572" s="10"/>
      <c r="U6572" s="4"/>
      <c r="V6572" s="4"/>
      <c r="X6572" s="4"/>
      <c r="Y6572" s="4"/>
    </row>
    <row r="6573" spans="20:25" x14ac:dyDescent="0.25">
      <c r="T6573" s="10"/>
      <c r="U6573" s="4"/>
      <c r="V6573" s="4"/>
      <c r="X6573" s="4"/>
      <c r="Y6573" s="4"/>
    </row>
    <row r="6574" spans="20:25" x14ac:dyDescent="0.25">
      <c r="T6574" s="10"/>
      <c r="U6574" s="4"/>
      <c r="V6574" s="4"/>
      <c r="X6574" s="4"/>
      <c r="Y6574" s="4"/>
    </row>
    <row r="6575" spans="20:25" x14ac:dyDescent="0.25">
      <c r="T6575" s="10"/>
      <c r="U6575" s="4"/>
      <c r="V6575" s="4"/>
      <c r="X6575" s="4"/>
      <c r="Y6575" s="4"/>
    </row>
    <row r="6576" spans="20:25" x14ac:dyDescent="0.25">
      <c r="T6576" s="10"/>
      <c r="U6576" s="4"/>
      <c r="V6576" s="4"/>
      <c r="X6576" s="4"/>
      <c r="Y6576" s="4"/>
    </row>
    <row r="6577" spans="20:25" x14ac:dyDescent="0.25">
      <c r="T6577" s="10"/>
      <c r="U6577" s="4"/>
      <c r="V6577" s="4"/>
      <c r="X6577" s="4"/>
      <c r="Y6577" s="4"/>
    </row>
    <row r="6578" spans="20:25" x14ac:dyDescent="0.25">
      <c r="T6578" s="10"/>
      <c r="U6578" s="4"/>
      <c r="V6578" s="4"/>
      <c r="X6578" s="4"/>
      <c r="Y6578" s="4"/>
    </row>
    <row r="6579" spans="20:25" x14ac:dyDescent="0.25">
      <c r="T6579" s="10"/>
      <c r="U6579" s="4"/>
      <c r="V6579" s="4"/>
      <c r="X6579" s="4"/>
      <c r="Y6579" s="4"/>
    </row>
    <row r="6580" spans="20:25" x14ac:dyDescent="0.25">
      <c r="T6580" s="10"/>
      <c r="U6580" s="4"/>
      <c r="V6580" s="4"/>
      <c r="X6580" s="4"/>
      <c r="Y6580" s="4"/>
    </row>
    <row r="6581" spans="20:25" x14ac:dyDescent="0.25">
      <c r="T6581" s="10"/>
      <c r="U6581" s="4"/>
      <c r="V6581" s="4"/>
      <c r="X6581" s="4"/>
      <c r="Y6581" s="4"/>
    </row>
    <row r="6582" spans="20:25" x14ac:dyDescent="0.25">
      <c r="T6582" s="10"/>
      <c r="U6582" s="4"/>
      <c r="V6582" s="4"/>
      <c r="X6582" s="4"/>
      <c r="Y6582" s="4"/>
    </row>
    <row r="6583" spans="20:25" x14ac:dyDescent="0.25">
      <c r="T6583" s="10"/>
      <c r="U6583" s="4"/>
      <c r="V6583" s="4"/>
      <c r="X6583" s="4"/>
      <c r="Y6583" s="4"/>
    </row>
    <row r="6584" spans="20:25" x14ac:dyDescent="0.25">
      <c r="T6584" s="10"/>
      <c r="U6584" s="4"/>
      <c r="V6584" s="4"/>
      <c r="X6584" s="4"/>
      <c r="Y6584" s="4"/>
    </row>
    <row r="6585" spans="20:25" x14ac:dyDescent="0.25">
      <c r="T6585" s="10"/>
      <c r="U6585" s="4"/>
      <c r="V6585" s="4"/>
      <c r="X6585" s="4"/>
      <c r="Y6585" s="4"/>
    </row>
    <row r="6586" spans="20:25" x14ac:dyDescent="0.25">
      <c r="T6586" s="10"/>
      <c r="U6586" s="4"/>
      <c r="V6586" s="4"/>
      <c r="X6586" s="4"/>
      <c r="Y6586" s="4"/>
    </row>
    <row r="6587" spans="20:25" x14ac:dyDescent="0.25">
      <c r="T6587" s="10"/>
      <c r="U6587" s="4"/>
      <c r="V6587" s="4"/>
      <c r="X6587" s="4"/>
      <c r="Y6587" s="4"/>
    </row>
    <row r="6588" spans="20:25" x14ac:dyDescent="0.25">
      <c r="T6588" s="10"/>
      <c r="U6588" s="4"/>
      <c r="V6588" s="4"/>
      <c r="X6588" s="4"/>
      <c r="Y6588" s="4"/>
    </row>
    <row r="6589" spans="20:25" x14ac:dyDescent="0.25">
      <c r="T6589" s="10"/>
      <c r="U6589" s="4"/>
      <c r="V6589" s="4"/>
      <c r="X6589" s="4"/>
      <c r="Y6589" s="4"/>
    </row>
    <row r="6590" spans="20:25" x14ac:dyDescent="0.25">
      <c r="T6590" s="10"/>
      <c r="U6590" s="4"/>
      <c r="V6590" s="4"/>
      <c r="X6590" s="4"/>
      <c r="Y6590" s="4"/>
    </row>
    <row r="6591" spans="20:25" x14ac:dyDescent="0.25">
      <c r="T6591" s="10"/>
      <c r="U6591" s="4"/>
      <c r="V6591" s="4"/>
      <c r="X6591" s="4"/>
      <c r="Y6591" s="4"/>
    </row>
    <row r="6592" spans="20:25" x14ac:dyDescent="0.25">
      <c r="T6592" s="10"/>
      <c r="U6592" s="4"/>
      <c r="V6592" s="4"/>
      <c r="X6592" s="4"/>
      <c r="Y6592" s="4"/>
    </row>
    <row r="6593" spans="20:25" x14ac:dyDescent="0.25">
      <c r="T6593" s="10"/>
      <c r="U6593" s="4"/>
      <c r="V6593" s="4"/>
      <c r="X6593" s="4"/>
      <c r="Y6593" s="4"/>
    </row>
    <row r="6594" spans="20:25" x14ac:dyDescent="0.25">
      <c r="T6594" s="10"/>
      <c r="U6594" s="4"/>
      <c r="V6594" s="4"/>
      <c r="X6594" s="4"/>
      <c r="Y6594" s="4"/>
    </row>
    <row r="6595" spans="20:25" x14ac:dyDescent="0.25">
      <c r="T6595" s="10"/>
      <c r="U6595" s="4"/>
      <c r="V6595" s="4"/>
      <c r="X6595" s="4"/>
      <c r="Y6595" s="4"/>
    </row>
    <row r="6596" spans="20:25" x14ac:dyDescent="0.25">
      <c r="T6596" s="10"/>
      <c r="U6596" s="4"/>
      <c r="V6596" s="4"/>
      <c r="X6596" s="4"/>
      <c r="Y6596" s="4"/>
    </row>
    <row r="6597" spans="20:25" x14ac:dyDescent="0.25">
      <c r="T6597" s="10"/>
      <c r="U6597" s="4"/>
      <c r="V6597" s="4"/>
      <c r="X6597" s="4"/>
      <c r="Y6597" s="4"/>
    </row>
    <row r="6598" spans="20:25" x14ac:dyDescent="0.25">
      <c r="T6598" s="10"/>
      <c r="U6598" s="4"/>
      <c r="V6598" s="4"/>
      <c r="X6598" s="4"/>
      <c r="Y6598" s="4"/>
    </row>
    <row r="6599" spans="20:25" x14ac:dyDescent="0.25">
      <c r="T6599" s="10"/>
      <c r="U6599" s="4"/>
      <c r="V6599" s="4"/>
      <c r="X6599" s="4"/>
      <c r="Y6599" s="4"/>
    </row>
    <row r="6600" spans="20:25" x14ac:dyDescent="0.25">
      <c r="T6600" s="10"/>
      <c r="U6600" s="4"/>
      <c r="V6600" s="4"/>
      <c r="X6600" s="4"/>
      <c r="Y6600" s="4"/>
    </row>
    <row r="6601" spans="20:25" x14ac:dyDescent="0.25">
      <c r="T6601" s="10"/>
      <c r="U6601" s="4"/>
      <c r="V6601" s="4"/>
      <c r="X6601" s="4"/>
      <c r="Y6601" s="4"/>
    </row>
    <row r="6602" spans="20:25" x14ac:dyDescent="0.25">
      <c r="T6602" s="10"/>
      <c r="U6602" s="4"/>
      <c r="V6602" s="4"/>
      <c r="X6602" s="4"/>
      <c r="Y6602" s="4"/>
    </row>
    <row r="6603" spans="20:25" x14ac:dyDescent="0.25">
      <c r="T6603" s="10"/>
      <c r="U6603" s="4"/>
      <c r="V6603" s="4"/>
      <c r="X6603" s="4"/>
      <c r="Y6603" s="4"/>
    </row>
    <row r="6604" spans="20:25" x14ac:dyDescent="0.25">
      <c r="T6604" s="10"/>
      <c r="U6604" s="4"/>
      <c r="V6604" s="4"/>
      <c r="X6604" s="4"/>
      <c r="Y6604" s="4"/>
    </row>
    <row r="6605" spans="20:25" x14ac:dyDescent="0.25">
      <c r="T6605" s="10"/>
      <c r="U6605" s="4"/>
      <c r="V6605" s="4"/>
      <c r="X6605" s="4"/>
      <c r="Y6605" s="4"/>
    </row>
    <row r="6606" spans="20:25" x14ac:dyDescent="0.25">
      <c r="T6606" s="10"/>
      <c r="U6606" s="4"/>
      <c r="V6606" s="4"/>
      <c r="X6606" s="4"/>
      <c r="Y6606" s="4"/>
    </row>
    <row r="6607" spans="20:25" x14ac:dyDescent="0.25">
      <c r="T6607" s="10"/>
      <c r="U6607" s="4"/>
      <c r="V6607" s="4"/>
      <c r="X6607" s="4"/>
      <c r="Y6607" s="4"/>
    </row>
    <row r="6608" spans="20:25" x14ac:dyDescent="0.25">
      <c r="T6608" s="10"/>
      <c r="U6608" s="4"/>
      <c r="V6608" s="4"/>
      <c r="X6608" s="4"/>
      <c r="Y6608" s="4"/>
    </row>
    <row r="6609" spans="20:25" x14ac:dyDescent="0.25">
      <c r="T6609" s="10"/>
      <c r="U6609" s="4"/>
      <c r="V6609" s="4"/>
      <c r="X6609" s="4"/>
      <c r="Y6609" s="4"/>
    </row>
    <row r="6610" spans="20:25" x14ac:dyDescent="0.25">
      <c r="T6610" s="10"/>
      <c r="U6610" s="4"/>
      <c r="V6610" s="4"/>
      <c r="X6610" s="4"/>
      <c r="Y6610" s="4"/>
    </row>
    <row r="6611" spans="20:25" x14ac:dyDescent="0.25">
      <c r="T6611" s="10"/>
      <c r="U6611" s="4"/>
      <c r="V6611" s="4"/>
      <c r="X6611" s="4"/>
      <c r="Y6611" s="4"/>
    </row>
    <row r="6612" spans="20:25" x14ac:dyDescent="0.25">
      <c r="T6612" s="10"/>
      <c r="U6612" s="4"/>
      <c r="V6612" s="4"/>
      <c r="X6612" s="4"/>
      <c r="Y6612" s="4"/>
    </row>
    <row r="6613" spans="20:25" x14ac:dyDescent="0.25">
      <c r="T6613" s="10"/>
      <c r="U6613" s="4"/>
      <c r="V6613" s="4"/>
      <c r="X6613" s="4"/>
      <c r="Y6613" s="4"/>
    </row>
    <row r="6614" spans="20:25" x14ac:dyDescent="0.25">
      <c r="T6614" s="10"/>
      <c r="U6614" s="4"/>
      <c r="V6614" s="4"/>
      <c r="X6614" s="4"/>
      <c r="Y6614" s="4"/>
    </row>
    <row r="6615" spans="20:25" x14ac:dyDescent="0.25">
      <c r="T6615" s="10"/>
      <c r="U6615" s="4"/>
      <c r="V6615" s="4"/>
      <c r="X6615" s="4"/>
      <c r="Y6615" s="4"/>
    </row>
    <row r="6616" spans="20:25" x14ac:dyDescent="0.25">
      <c r="T6616" s="10"/>
      <c r="U6616" s="4"/>
      <c r="V6616" s="4"/>
      <c r="X6616" s="4"/>
      <c r="Y6616" s="4"/>
    </row>
    <row r="6617" spans="20:25" x14ac:dyDescent="0.25">
      <c r="T6617" s="10"/>
      <c r="U6617" s="4"/>
      <c r="V6617" s="4"/>
      <c r="X6617" s="4"/>
      <c r="Y6617" s="4"/>
    </row>
    <row r="6618" spans="20:25" x14ac:dyDescent="0.25">
      <c r="T6618" s="10"/>
      <c r="U6618" s="4"/>
      <c r="V6618" s="4"/>
      <c r="X6618" s="4"/>
      <c r="Y6618" s="4"/>
    </row>
    <row r="6619" spans="20:25" x14ac:dyDescent="0.25">
      <c r="T6619" s="10"/>
      <c r="U6619" s="4"/>
      <c r="V6619" s="4"/>
      <c r="X6619" s="4"/>
      <c r="Y6619" s="4"/>
    </row>
    <row r="6620" spans="20:25" x14ac:dyDescent="0.25">
      <c r="T6620" s="10"/>
      <c r="U6620" s="4"/>
      <c r="V6620" s="4"/>
      <c r="X6620" s="4"/>
      <c r="Y6620" s="4"/>
    </row>
    <row r="6621" spans="20:25" x14ac:dyDescent="0.25">
      <c r="T6621" s="10"/>
      <c r="U6621" s="4"/>
      <c r="V6621" s="4"/>
      <c r="X6621" s="4"/>
      <c r="Y6621" s="4"/>
    </row>
    <row r="6622" spans="20:25" x14ac:dyDescent="0.25">
      <c r="T6622" s="10"/>
      <c r="U6622" s="4"/>
      <c r="V6622" s="4"/>
      <c r="X6622" s="4"/>
      <c r="Y6622" s="4"/>
    </row>
    <row r="6623" spans="20:25" x14ac:dyDescent="0.25">
      <c r="T6623" s="10"/>
      <c r="U6623" s="4"/>
      <c r="V6623" s="4"/>
      <c r="X6623" s="4"/>
      <c r="Y6623" s="4"/>
    </row>
    <row r="6624" spans="20:25" x14ac:dyDescent="0.25">
      <c r="T6624" s="10"/>
      <c r="U6624" s="4"/>
      <c r="V6624" s="4"/>
      <c r="X6624" s="4"/>
      <c r="Y6624" s="4"/>
    </row>
    <row r="6625" spans="20:25" x14ac:dyDescent="0.25">
      <c r="T6625" s="10"/>
      <c r="U6625" s="4"/>
      <c r="V6625" s="4"/>
      <c r="X6625" s="4"/>
      <c r="Y6625" s="4"/>
    </row>
    <row r="6626" spans="20:25" x14ac:dyDescent="0.25">
      <c r="T6626" s="10"/>
      <c r="U6626" s="4"/>
      <c r="V6626" s="4"/>
      <c r="X6626" s="4"/>
      <c r="Y6626" s="4"/>
    </row>
    <row r="6627" spans="20:25" x14ac:dyDescent="0.25">
      <c r="T6627" s="10"/>
      <c r="U6627" s="4"/>
      <c r="V6627" s="4"/>
      <c r="X6627" s="4"/>
      <c r="Y6627" s="4"/>
    </row>
    <row r="6628" spans="20:25" x14ac:dyDescent="0.25">
      <c r="T6628" s="10"/>
      <c r="U6628" s="4"/>
      <c r="V6628" s="4"/>
      <c r="X6628" s="4"/>
      <c r="Y6628" s="4"/>
    </row>
    <row r="6629" spans="20:25" x14ac:dyDescent="0.25">
      <c r="T6629" s="10"/>
      <c r="U6629" s="4"/>
      <c r="V6629" s="4"/>
      <c r="X6629" s="4"/>
      <c r="Y6629" s="4"/>
    </row>
    <row r="6630" spans="20:25" x14ac:dyDescent="0.25">
      <c r="T6630" s="10"/>
      <c r="U6630" s="4"/>
      <c r="V6630" s="4"/>
      <c r="X6630" s="4"/>
      <c r="Y6630" s="4"/>
    </row>
    <row r="6631" spans="20:25" x14ac:dyDescent="0.25">
      <c r="T6631" s="10"/>
      <c r="U6631" s="4"/>
      <c r="V6631" s="4"/>
      <c r="X6631" s="4"/>
      <c r="Y6631" s="4"/>
    </row>
    <row r="6632" spans="20:25" x14ac:dyDescent="0.25">
      <c r="T6632" s="10"/>
      <c r="U6632" s="4"/>
      <c r="V6632" s="4"/>
      <c r="X6632" s="4"/>
      <c r="Y6632" s="4"/>
    </row>
    <row r="6633" spans="20:25" x14ac:dyDescent="0.25">
      <c r="T6633" s="10"/>
      <c r="U6633" s="4"/>
      <c r="V6633" s="4"/>
      <c r="X6633" s="4"/>
      <c r="Y6633" s="4"/>
    </row>
    <row r="6634" spans="20:25" x14ac:dyDescent="0.25">
      <c r="T6634" s="10"/>
      <c r="U6634" s="4"/>
      <c r="V6634" s="4"/>
      <c r="X6634" s="4"/>
      <c r="Y6634" s="4"/>
    </row>
    <row r="6635" spans="20:25" x14ac:dyDescent="0.25">
      <c r="T6635" s="10"/>
      <c r="U6635" s="4"/>
      <c r="V6635" s="4"/>
      <c r="X6635" s="4"/>
      <c r="Y6635" s="4"/>
    </row>
    <row r="6636" spans="20:25" x14ac:dyDescent="0.25">
      <c r="T6636" s="10"/>
      <c r="U6636" s="4"/>
      <c r="V6636" s="4"/>
      <c r="X6636" s="4"/>
      <c r="Y6636" s="4"/>
    </row>
    <row r="6637" spans="20:25" x14ac:dyDescent="0.25">
      <c r="T6637" s="10"/>
      <c r="U6637" s="4"/>
      <c r="V6637" s="4"/>
      <c r="X6637" s="4"/>
      <c r="Y6637" s="4"/>
    </row>
    <row r="6638" spans="20:25" x14ac:dyDescent="0.25">
      <c r="T6638" s="10"/>
      <c r="U6638" s="4"/>
      <c r="V6638" s="4"/>
      <c r="X6638" s="4"/>
      <c r="Y6638" s="4"/>
    </row>
    <row r="6639" spans="20:25" x14ac:dyDescent="0.25">
      <c r="T6639" s="10"/>
      <c r="U6639" s="4"/>
      <c r="V6639" s="4"/>
      <c r="X6639" s="4"/>
      <c r="Y6639" s="4"/>
    </row>
    <row r="6640" spans="20:25" x14ac:dyDescent="0.25">
      <c r="T6640" s="10"/>
      <c r="U6640" s="4"/>
      <c r="V6640" s="4"/>
      <c r="X6640" s="4"/>
      <c r="Y6640" s="4"/>
    </row>
    <row r="6641" spans="20:25" x14ac:dyDescent="0.25">
      <c r="T6641" s="10"/>
      <c r="U6641" s="4"/>
      <c r="V6641" s="4"/>
      <c r="X6641" s="4"/>
      <c r="Y6641" s="4"/>
    </row>
    <row r="6642" spans="20:25" x14ac:dyDescent="0.25">
      <c r="T6642" s="10"/>
      <c r="U6642" s="4"/>
      <c r="V6642" s="4"/>
      <c r="X6642" s="4"/>
      <c r="Y6642" s="4"/>
    </row>
    <row r="6643" spans="20:25" x14ac:dyDescent="0.25">
      <c r="T6643" s="10"/>
      <c r="U6643" s="4"/>
      <c r="V6643" s="4"/>
      <c r="X6643" s="4"/>
      <c r="Y6643" s="4"/>
    </row>
    <row r="6644" spans="20:25" x14ac:dyDescent="0.25">
      <c r="T6644" s="10"/>
      <c r="U6644" s="4"/>
      <c r="V6644" s="4"/>
      <c r="X6644" s="4"/>
      <c r="Y6644" s="4"/>
    </row>
    <row r="6645" spans="20:25" x14ac:dyDescent="0.25">
      <c r="T6645" s="10"/>
      <c r="U6645" s="4"/>
      <c r="V6645" s="4"/>
      <c r="X6645" s="4"/>
      <c r="Y6645" s="4"/>
    </row>
    <row r="6646" spans="20:25" x14ac:dyDescent="0.25">
      <c r="T6646" s="10"/>
      <c r="U6646" s="4"/>
      <c r="V6646" s="4"/>
      <c r="X6646" s="4"/>
      <c r="Y6646" s="4"/>
    </row>
    <row r="6647" spans="20:25" x14ac:dyDescent="0.25">
      <c r="T6647" s="10"/>
      <c r="U6647" s="4"/>
      <c r="V6647" s="4"/>
      <c r="X6647" s="4"/>
      <c r="Y6647" s="4"/>
    </row>
    <row r="6648" spans="20:25" x14ac:dyDescent="0.25">
      <c r="T6648" s="10"/>
      <c r="U6648" s="4"/>
      <c r="V6648" s="4"/>
      <c r="X6648" s="4"/>
      <c r="Y6648" s="4"/>
    </row>
    <row r="6649" spans="20:25" x14ac:dyDescent="0.25">
      <c r="T6649" s="10"/>
      <c r="U6649" s="4"/>
      <c r="V6649" s="4"/>
      <c r="X6649" s="4"/>
      <c r="Y6649" s="4"/>
    </row>
    <row r="6650" spans="20:25" x14ac:dyDescent="0.25">
      <c r="T6650" s="10"/>
      <c r="U6650" s="4"/>
      <c r="V6650" s="4"/>
      <c r="X6650" s="4"/>
      <c r="Y6650" s="4"/>
    </row>
    <row r="6651" spans="20:25" x14ac:dyDescent="0.25">
      <c r="T6651" s="10"/>
      <c r="U6651" s="4"/>
      <c r="V6651" s="4"/>
      <c r="X6651" s="4"/>
      <c r="Y6651" s="4"/>
    </row>
    <row r="6652" spans="20:25" x14ac:dyDescent="0.25">
      <c r="T6652" s="10"/>
      <c r="U6652" s="4"/>
      <c r="V6652" s="4"/>
      <c r="X6652" s="4"/>
      <c r="Y6652" s="4"/>
    </row>
    <row r="6653" spans="20:25" x14ac:dyDescent="0.25">
      <c r="T6653" s="10"/>
      <c r="U6653" s="4"/>
      <c r="V6653" s="4"/>
      <c r="X6653" s="4"/>
      <c r="Y6653" s="4"/>
    </row>
    <row r="6654" spans="20:25" x14ac:dyDescent="0.25">
      <c r="T6654" s="10"/>
      <c r="U6654" s="4"/>
      <c r="V6654" s="4"/>
      <c r="X6654" s="4"/>
      <c r="Y6654" s="4"/>
    </row>
    <row r="6655" spans="20:25" x14ac:dyDescent="0.25">
      <c r="T6655" s="10"/>
      <c r="U6655" s="4"/>
      <c r="V6655" s="4"/>
      <c r="X6655" s="4"/>
      <c r="Y6655" s="4"/>
    </row>
    <row r="6656" spans="20:25" x14ac:dyDescent="0.25">
      <c r="T6656" s="10"/>
      <c r="U6656" s="4"/>
      <c r="V6656" s="4"/>
      <c r="X6656" s="4"/>
      <c r="Y6656" s="4"/>
    </row>
    <row r="6657" spans="20:25" x14ac:dyDescent="0.25">
      <c r="T6657" s="10"/>
      <c r="U6657" s="4"/>
      <c r="V6657" s="4"/>
      <c r="X6657" s="4"/>
      <c r="Y6657" s="4"/>
    </row>
    <row r="6658" spans="20:25" x14ac:dyDescent="0.25">
      <c r="T6658" s="10"/>
      <c r="U6658" s="4"/>
      <c r="V6658" s="4"/>
      <c r="X6658" s="4"/>
      <c r="Y6658" s="4"/>
    </row>
    <row r="6659" spans="20:25" x14ac:dyDescent="0.25">
      <c r="T6659" s="10"/>
      <c r="U6659" s="4"/>
      <c r="V6659" s="4"/>
      <c r="X6659" s="4"/>
      <c r="Y6659" s="4"/>
    </row>
    <row r="6660" spans="20:25" x14ac:dyDescent="0.25">
      <c r="T6660" s="10"/>
      <c r="U6660" s="4"/>
      <c r="V6660" s="4"/>
      <c r="X6660" s="4"/>
      <c r="Y6660" s="4"/>
    </row>
    <row r="6661" spans="20:25" x14ac:dyDescent="0.25">
      <c r="T6661" s="10"/>
      <c r="U6661" s="4"/>
      <c r="V6661" s="4"/>
      <c r="X6661" s="4"/>
      <c r="Y6661" s="4"/>
    </row>
    <row r="6662" spans="20:25" x14ac:dyDescent="0.25">
      <c r="T6662" s="10"/>
      <c r="U6662" s="4"/>
      <c r="V6662" s="4"/>
      <c r="X6662" s="4"/>
      <c r="Y6662" s="4"/>
    </row>
    <row r="6663" spans="20:25" x14ac:dyDescent="0.25">
      <c r="T6663" s="10"/>
      <c r="U6663" s="4"/>
      <c r="V6663" s="4"/>
      <c r="X6663" s="4"/>
      <c r="Y6663" s="4"/>
    </row>
    <row r="6664" spans="20:25" x14ac:dyDescent="0.25">
      <c r="T6664" s="10"/>
      <c r="U6664" s="4"/>
      <c r="V6664" s="4"/>
      <c r="X6664" s="4"/>
      <c r="Y6664" s="4"/>
    </row>
    <row r="6665" spans="20:25" x14ac:dyDescent="0.25">
      <c r="T6665" s="10"/>
      <c r="U6665" s="4"/>
      <c r="V6665" s="4"/>
      <c r="X6665" s="4"/>
      <c r="Y6665" s="4"/>
    </row>
    <row r="6666" spans="20:25" x14ac:dyDescent="0.25">
      <c r="T6666" s="10"/>
      <c r="U6666" s="4"/>
      <c r="V6666" s="4"/>
      <c r="X6666" s="4"/>
      <c r="Y6666" s="4"/>
    </row>
    <row r="6667" spans="20:25" x14ac:dyDescent="0.25">
      <c r="T6667" s="10"/>
      <c r="U6667" s="4"/>
      <c r="V6667" s="4"/>
      <c r="X6667" s="4"/>
      <c r="Y6667" s="4"/>
    </row>
    <row r="6668" spans="20:25" x14ac:dyDescent="0.25">
      <c r="T6668" s="10"/>
      <c r="U6668" s="4"/>
      <c r="V6668" s="4"/>
      <c r="X6668" s="4"/>
      <c r="Y6668" s="4"/>
    </row>
    <row r="6669" spans="20:25" x14ac:dyDescent="0.25">
      <c r="T6669" s="10"/>
      <c r="U6669" s="4"/>
      <c r="V6669" s="4"/>
      <c r="X6669" s="4"/>
      <c r="Y6669" s="4"/>
    </row>
    <row r="6670" spans="20:25" x14ac:dyDescent="0.25">
      <c r="T6670" s="10"/>
      <c r="U6670" s="4"/>
      <c r="V6670" s="4"/>
      <c r="X6670" s="4"/>
      <c r="Y6670" s="4"/>
    </row>
    <row r="6671" spans="20:25" x14ac:dyDescent="0.25">
      <c r="T6671" s="10"/>
      <c r="U6671" s="4"/>
      <c r="V6671" s="4"/>
      <c r="X6671" s="4"/>
      <c r="Y6671" s="4"/>
    </row>
    <row r="6672" spans="20:25" x14ac:dyDescent="0.25">
      <c r="T6672" s="10"/>
      <c r="U6672" s="4"/>
      <c r="V6672" s="4"/>
      <c r="X6672" s="4"/>
      <c r="Y6672" s="4"/>
    </row>
    <row r="6673" spans="20:25" x14ac:dyDescent="0.25">
      <c r="T6673" s="10"/>
      <c r="U6673" s="4"/>
      <c r="V6673" s="4"/>
      <c r="X6673" s="4"/>
      <c r="Y6673" s="4"/>
    </row>
    <row r="6674" spans="20:25" x14ac:dyDescent="0.25">
      <c r="T6674" s="10"/>
      <c r="U6674" s="4"/>
      <c r="V6674" s="4"/>
      <c r="X6674" s="4"/>
      <c r="Y6674" s="4"/>
    </row>
    <row r="6675" spans="20:25" x14ac:dyDescent="0.25">
      <c r="T6675" s="10"/>
      <c r="U6675" s="4"/>
      <c r="V6675" s="4"/>
      <c r="X6675" s="4"/>
      <c r="Y6675" s="4"/>
    </row>
    <row r="6676" spans="20:25" x14ac:dyDescent="0.25">
      <c r="T6676" s="10"/>
      <c r="U6676" s="4"/>
      <c r="V6676" s="4"/>
      <c r="X6676" s="4"/>
      <c r="Y6676" s="4"/>
    </row>
    <row r="6677" spans="20:25" x14ac:dyDescent="0.25">
      <c r="T6677" s="10"/>
      <c r="U6677" s="4"/>
      <c r="V6677" s="4"/>
      <c r="X6677" s="4"/>
      <c r="Y6677" s="4"/>
    </row>
    <row r="6678" spans="20:25" x14ac:dyDescent="0.25">
      <c r="T6678" s="10"/>
      <c r="U6678" s="4"/>
      <c r="V6678" s="4"/>
      <c r="X6678" s="4"/>
      <c r="Y6678" s="4"/>
    </row>
    <row r="6679" spans="20:25" x14ac:dyDescent="0.25">
      <c r="T6679" s="10"/>
      <c r="U6679" s="4"/>
      <c r="V6679" s="4"/>
      <c r="X6679" s="4"/>
      <c r="Y6679" s="4"/>
    </row>
    <row r="6680" spans="20:25" x14ac:dyDescent="0.25">
      <c r="T6680" s="10"/>
      <c r="U6680" s="4"/>
      <c r="V6680" s="4"/>
      <c r="X6680" s="4"/>
      <c r="Y6680" s="4"/>
    </row>
    <row r="6681" spans="20:25" x14ac:dyDescent="0.25">
      <c r="T6681" s="10"/>
      <c r="U6681" s="4"/>
      <c r="V6681" s="4"/>
      <c r="X6681" s="4"/>
      <c r="Y6681" s="4"/>
    </row>
    <row r="6682" spans="20:25" x14ac:dyDescent="0.25">
      <c r="T6682" s="10"/>
      <c r="U6682" s="4"/>
      <c r="V6682" s="4"/>
      <c r="X6682" s="4"/>
      <c r="Y6682" s="4"/>
    </row>
    <row r="6683" spans="20:25" x14ac:dyDescent="0.25">
      <c r="T6683" s="10"/>
      <c r="U6683" s="4"/>
      <c r="V6683" s="4"/>
      <c r="X6683" s="4"/>
      <c r="Y6683" s="4"/>
    </row>
    <row r="6684" spans="20:25" x14ac:dyDescent="0.25">
      <c r="T6684" s="10"/>
      <c r="U6684" s="4"/>
      <c r="V6684" s="4"/>
      <c r="X6684" s="4"/>
      <c r="Y6684" s="4"/>
    </row>
    <row r="6685" spans="20:25" x14ac:dyDescent="0.25">
      <c r="T6685" s="10"/>
      <c r="U6685" s="4"/>
      <c r="V6685" s="4"/>
      <c r="X6685" s="4"/>
      <c r="Y6685" s="4"/>
    </row>
    <row r="6686" spans="20:25" x14ac:dyDescent="0.25">
      <c r="T6686" s="10"/>
      <c r="U6686" s="4"/>
      <c r="V6686" s="4"/>
      <c r="X6686" s="4"/>
      <c r="Y6686" s="4"/>
    </row>
    <row r="6687" spans="20:25" x14ac:dyDescent="0.25">
      <c r="T6687" s="10"/>
      <c r="U6687" s="4"/>
      <c r="V6687" s="4"/>
      <c r="X6687" s="4"/>
      <c r="Y6687" s="4"/>
    </row>
    <row r="6688" spans="20:25" x14ac:dyDescent="0.25">
      <c r="T6688" s="10"/>
      <c r="U6688" s="4"/>
      <c r="V6688" s="4"/>
      <c r="X6688" s="4"/>
      <c r="Y6688" s="4"/>
    </row>
    <row r="6689" spans="20:25" x14ac:dyDescent="0.25">
      <c r="T6689" s="10"/>
      <c r="U6689" s="4"/>
      <c r="V6689" s="4"/>
      <c r="X6689" s="4"/>
      <c r="Y6689" s="4"/>
    </row>
    <row r="6690" spans="20:25" x14ac:dyDescent="0.25">
      <c r="T6690" s="10"/>
      <c r="U6690" s="4"/>
      <c r="V6690" s="4"/>
      <c r="X6690" s="4"/>
      <c r="Y6690" s="4"/>
    </row>
    <row r="6691" spans="20:25" x14ac:dyDescent="0.25">
      <c r="T6691" s="10"/>
      <c r="U6691" s="4"/>
      <c r="V6691" s="4"/>
      <c r="X6691" s="4"/>
      <c r="Y6691" s="4"/>
    </row>
    <row r="6692" spans="20:25" x14ac:dyDescent="0.25">
      <c r="T6692" s="10"/>
      <c r="U6692" s="4"/>
      <c r="V6692" s="4"/>
      <c r="X6692" s="4"/>
      <c r="Y6692" s="4"/>
    </row>
    <row r="6693" spans="20:25" x14ac:dyDescent="0.25">
      <c r="T6693" s="10"/>
      <c r="U6693" s="4"/>
      <c r="V6693" s="4"/>
      <c r="X6693" s="4"/>
      <c r="Y6693" s="4"/>
    </row>
    <row r="6694" spans="20:25" x14ac:dyDescent="0.25">
      <c r="T6694" s="10"/>
      <c r="U6694" s="4"/>
      <c r="V6694" s="4"/>
      <c r="X6694" s="4"/>
      <c r="Y6694" s="4"/>
    </row>
    <row r="6695" spans="20:25" x14ac:dyDescent="0.25">
      <c r="T6695" s="10"/>
      <c r="U6695" s="4"/>
      <c r="V6695" s="4"/>
      <c r="X6695" s="4"/>
      <c r="Y6695" s="4"/>
    </row>
    <row r="6696" spans="20:25" x14ac:dyDescent="0.25">
      <c r="T6696" s="10"/>
      <c r="U6696" s="4"/>
      <c r="V6696" s="4"/>
      <c r="X6696" s="4"/>
      <c r="Y6696" s="4"/>
    </row>
    <row r="6697" spans="20:25" x14ac:dyDescent="0.25">
      <c r="T6697" s="10"/>
      <c r="U6697" s="4"/>
      <c r="V6697" s="4"/>
      <c r="X6697" s="4"/>
      <c r="Y6697" s="4"/>
    </row>
    <row r="6698" spans="20:25" x14ac:dyDescent="0.25">
      <c r="T6698" s="10"/>
      <c r="U6698" s="4"/>
      <c r="V6698" s="4"/>
      <c r="X6698" s="4"/>
      <c r="Y6698" s="4"/>
    </row>
    <row r="6699" spans="20:25" x14ac:dyDescent="0.25">
      <c r="T6699" s="10"/>
      <c r="U6699" s="4"/>
      <c r="V6699" s="4"/>
      <c r="X6699" s="4"/>
      <c r="Y6699" s="4"/>
    </row>
    <row r="6700" spans="20:25" x14ac:dyDescent="0.25">
      <c r="T6700" s="10"/>
      <c r="U6700" s="4"/>
      <c r="V6700" s="4"/>
      <c r="X6700" s="4"/>
      <c r="Y6700" s="4"/>
    </row>
    <row r="6701" spans="20:25" x14ac:dyDescent="0.25">
      <c r="T6701" s="10"/>
      <c r="U6701" s="4"/>
      <c r="V6701" s="4"/>
      <c r="X6701" s="4"/>
      <c r="Y6701" s="4"/>
    </row>
    <row r="6702" spans="20:25" x14ac:dyDescent="0.25">
      <c r="T6702" s="10"/>
      <c r="U6702" s="4"/>
      <c r="V6702" s="4"/>
      <c r="X6702" s="4"/>
      <c r="Y6702" s="4"/>
    </row>
    <row r="6703" spans="20:25" x14ac:dyDescent="0.25">
      <c r="T6703" s="10"/>
      <c r="U6703" s="4"/>
      <c r="V6703" s="4"/>
      <c r="X6703" s="4"/>
      <c r="Y6703" s="4"/>
    </row>
    <row r="6704" spans="20:25" x14ac:dyDescent="0.25">
      <c r="T6704" s="10"/>
      <c r="U6704" s="4"/>
      <c r="V6704" s="4"/>
      <c r="X6704" s="4"/>
      <c r="Y6704" s="4"/>
    </row>
    <row r="6705" spans="20:25" x14ac:dyDescent="0.25">
      <c r="T6705" s="10"/>
      <c r="U6705" s="4"/>
      <c r="V6705" s="4"/>
      <c r="X6705" s="4"/>
      <c r="Y6705" s="4"/>
    </row>
    <row r="6706" spans="20:25" x14ac:dyDescent="0.25">
      <c r="T6706" s="10"/>
      <c r="U6706" s="4"/>
      <c r="V6706" s="4"/>
      <c r="X6706" s="4"/>
      <c r="Y6706" s="4"/>
    </row>
    <row r="6707" spans="20:25" x14ac:dyDescent="0.25">
      <c r="T6707" s="10"/>
      <c r="U6707" s="4"/>
      <c r="V6707" s="4"/>
      <c r="X6707" s="4"/>
      <c r="Y6707" s="4"/>
    </row>
    <row r="6708" spans="20:25" x14ac:dyDescent="0.25">
      <c r="T6708" s="10"/>
      <c r="U6708" s="4"/>
      <c r="V6708" s="4"/>
      <c r="X6708" s="4"/>
      <c r="Y6708" s="4"/>
    </row>
    <row r="6709" spans="20:25" x14ac:dyDescent="0.25">
      <c r="T6709" s="10"/>
      <c r="U6709" s="4"/>
      <c r="V6709" s="4"/>
      <c r="X6709" s="4"/>
      <c r="Y6709" s="4"/>
    </row>
    <row r="6710" spans="20:25" x14ac:dyDescent="0.25">
      <c r="T6710" s="10"/>
      <c r="U6710" s="4"/>
      <c r="V6710" s="4"/>
      <c r="X6710" s="4"/>
      <c r="Y6710" s="4"/>
    </row>
    <row r="6711" spans="20:25" x14ac:dyDescent="0.25">
      <c r="T6711" s="10"/>
      <c r="U6711" s="4"/>
      <c r="V6711" s="4"/>
      <c r="X6711" s="4"/>
      <c r="Y6711" s="4"/>
    </row>
    <row r="6712" spans="20:25" x14ac:dyDescent="0.25">
      <c r="T6712" s="10"/>
      <c r="U6712" s="4"/>
      <c r="V6712" s="4"/>
      <c r="X6712" s="4"/>
      <c r="Y6712" s="4"/>
    </row>
    <row r="6713" spans="20:25" x14ac:dyDescent="0.25">
      <c r="T6713" s="10"/>
      <c r="U6713" s="4"/>
      <c r="V6713" s="4"/>
      <c r="X6713" s="4"/>
      <c r="Y6713" s="4"/>
    </row>
    <row r="6714" spans="20:25" x14ac:dyDescent="0.25">
      <c r="T6714" s="10"/>
      <c r="U6714" s="4"/>
      <c r="V6714" s="4"/>
      <c r="X6714" s="4"/>
      <c r="Y6714" s="4"/>
    </row>
    <row r="6715" spans="20:25" x14ac:dyDescent="0.25">
      <c r="T6715" s="10"/>
      <c r="U6715" s="4"/>
      <c r="V6715" s="4"/>
      <c r="X6715" s="4"/>
      <c r="Y6715" s="4"/>
    </row>
    <row r="6716" spans="20:25" x14ac:dyDescent="0.25">
      <c r="T6716" s="10"/>
      <c r="U6716" s="4"/>
      <c r="V6716" s="4"/>
      <c r="X6716" s="4"/>
      <c r="Y6716" s="4"/>
    </row>
    <row r="6717" spans="20:25" x14ac:dyDescent="0.25">
      <c r="T6717" s="10"/>
      <c r="U6717" s="4"/>
      <c r="V6717" s="4"/>
      <c r="X6717" s="4"/>
      <c r="Y6717" s="4"/>
    </row>
    <row r="6718" spans="20:25" x14ac:dyDescent="0.25">
      <c r="T6718" s="10"/>
      <c r="U6718" s="4"/>
      <c r="V6718" s="4"/>
      <c r="X6718" s="4"/>
      <c r="Y6718" s="4"/>
    </row>
    <row r="6719" spans="20:25" x14ac:dyDescent="0.25">
      <c r="T6719" s="10"/>
      <c r="U6719" s="4"/>
      <c r="V6719" s="4"/>
      <c r="X6719" s="4"/>
      <c r="Y6719" s="4"/>
    </row>
    <row r="6720" spans="20:25" x14ac:dyDescent="0.25">
      <c r="T6720" s="10"/>
      <c r="U6720" s="4"/>
      <c r="V6720" s="4"/>
      <c r="X6720" s="4"/>
      <c r="Y6720" s="4"/>
    </row>
    <row r="6721" spans="20:25" x14ac:dyDescent="0.25">
      <c r="T6721" s="10"/>
      <c r="U6721" s="4"/>
      <c r="V6721" s="4"/>
      <c r="X6721" s="4"/>
      <c r="Y6721" s="4"/>
    </row>
    <row r="6722" spans="20:25" x14ac:dyDescent="0.25">
      <c r="T6722" s="10"/>
      <c r="U6722" s="4"/>
      <c r="V6722" s="4"/>
      <c r="X6722" s="4"/>
      <c r="Y6722" s="4"/>
    </row>
    <row r="6723" spans="20:25" x14ac:dyDescent="0.25">
      <c r="T6723" s="10"/>
      <c r="U6723" s="4"/>
      <c r="V6723" s="4"/>
      <c r="X6723" s="4"/>
      <c r="Y6723" s="4"/>
    </row>
    <row r="6724" spans="20:25" x14ac:dyDescent="0.25">
      <c r="T6724" s="10"/>
      <c r="U6724" s="4"/>
      <c r="V6724" s="4"/>
      <c r="X6724" s="4"/>
      <c r="Y6724" s="4"/>
    </row>
    <row r="6725" spans="20:25" x14ac:dyDescent="0.25">
      <c r="T6725" s="10"/>
      <c r="U6725" s="4"/>
      <c r="V6725" s="4"/>
      <c r="X6725" s="4"/>
      <c r="Y6725" s="4"/>
    </row>
    <row r="6726" spans="20:25" x14ac:dyDescent="0.25">
      <c r="T6726" s="10"/>
      <c r="U6726" s="4"/>
      <c r="V6726" s="4"/>
      <c r="X6726" s="4"/>
      <c r="Y6726" s="4"/>
    </row>
    <row r="6727" spans="20:25" x14ac:dyDescent="0.25">
      <c r="T6727" s="10"/>
      <c r="U6727" s="4"/>
      <c r="V6727" s="4"/>
      <c r="X6727" s="4"/>
      <c r="Y6727" s="4"/>
    </row>
    <row r="6728" spans="20:25" x14ac:dyDescent="0.25">
      <c r="T6728" s="10"/>
      <c r="U6728" s="4"/>
      <c r="V6728" s="4"/>
      <c r="X6728" s="4"/>
      <c r="Y6728" s="4"/>
    </row>
    <row r="6729" spans="20:25" x14ac:dyDescent="0.25">
      <c r="T6729" s="10"/>
      <c r="U6729" s="4"/>
      <c r="V6729" s="4"/>
      <c r="X6729" s="4"/>
      <c r="Y6729" s="4"/>
    </row>
    <row r="6730" spans="20:25" x14ac:dyDescent="0.25">
      <c r="T6730" s="10"/>
      <c r="U6730" s="4"/>
      <c r="V6730" s="4"/>
      <c r="X6730" s="4"/>
      <c r="Y6730" s="4"/>
    </row>
    <row r="6731" spans="20:25" x14ac:dyDescent="0.25">
      <c r="T6731" s="10"/>
      <c r="U6731" s="4"/>
      <c r="V6731" s="4"/>
      <c r="X6731" s="4"/>
      <c r="Y6731" s="4"/>
    </row>
    <row r="6732" spans="20:25" x14ac:dyDescent="0.25">
      <c r="T6732" s="10"/>
      <c r="U6732" s="4"/>
      <c r="V6732" s="4"/>
      <c r="X6732" s="4"/>
      <c r="Y6732" s="4"/>
    </row>
    <row r="6733" spans="20:25" x14ac:dyDescent="0.25">
      <c r="T6733" s="10"/>
      <c r="U6733" s="4"/>
      <c r="V6733" s="4"/>
      <c r="X6733" s="4"/>
      <c r="Y6733" s="4"/>
    </row>
    <row r="6734" spans="20:25" x14ac:dyDescent="0.25">
      <c r="T6734" s="10"/>
      <c r="U6734" s="4"/>
      <c r="V6734" s="4"/>
      <c r="X6734" s="4"/>
      <c r="Y6734" s="4"/>
    </row>
    <row r="6735" spans="20:25" x14ac:dyDescent="0.25">
      <c r="T6735" s="10"/>
      <c r="U6735" s="4"/>
      <c r="V6735" s="4"/>
      <c r="X6735" s="4"/>
      <c r="Y6735" s="4"/>
    </row>
    <row r="6736" spans="20:25" x14ac:dyDescent="0.25">
      <c r="T6736" s="10"/>
      <c r="U6736" s="4"/>
      <c r="V6736" s="4"/>
      <c r="X6736" s="4"/>
      <c r="Y6736" s="4"/>
    </row>
    <row r="6737" spans="20:25" x14ac:dyDescent="0.25">
      <c r="T6737" s="10"/>
      <c r="U6737" s="4"/>
      <c r="V6737" s="4"/>
      <c r="X6737" s="4"/>
      <c r="Y6737" s="4"/>
    </row>
    <row r="6738" spans="20:25" x14ac:dyDescent="0.25">
      <c r="T6738" s="10"/>
      <c r="U6738" s="4"/>
      <c r="V6738" s="4"/>
      <c r="X6738" s="4"/>
      <c r="Y6738" s="4"/>
    </row>
    <row r="6739" spans="20:25" x14ac:dyDescent="0.25">
      <c r="T6739" s="10"/>
      <c r="U6739" s="4"/>
      <c r="V6739" s="4"/>
      <c r="X6739" s="4"/>
      <c r="Y6739" s="4"/>
    </row>
    <row r="6740" spans="20:25" x14ac:dyDescent="0.25">
      <c r="T6740" s="10"/>
      <c r="U6740" s="4"/>
      <c r="V6740" s="4"/>
      <c r="X6740" s="4"/>
      <c r="Y6740" s="4"/>
    </row>
    <row r="6741" spans="20:25" x14ac:dyDescent="0.25">
      <c r="T6741" s="10"/>
      <c r="U6741" s="4"/>
      <c r="V6741" s="4"/>
      <c r="X6741" s="4"/>
      <c r="Y6741" s="4"/>
    </row>
    <row r="6742" spans="20:25" x14ac:dyDescent="0.25">
      <c r="T6742" s="10"/>
      <c r="U6742" s="4"/>
      <c r="V6742" s="4"/>
      <c r="X6742" s="4"/>
      <c r="Y6742" s="4"/>
    </row>
    <row r="6743" spans="20:25" x14ac:dyDescent="0.25">
      <c r="T6743" s="10"/>
      <c r="U6743" s="4"/>
      <c r="V6743" s="4"/>
      <c r="X6743" s="4"/>
      <c r="Y6743" s="4"/>
    </row>
    <row r="6744" spans="20:25" x14ac:dyDescent="0.25">
      <c r="T6744" s="10"/>
      <c r="U6744" s="4"/>
      <c r="V6744" s="4"/>
      <c r="X6744" s="4"/>
      <c r="Y6744" s="4"/>
    </row>
    <row r="6745" spans="20:25" x14ac:dyDescent="0.25">
      <c r="T6745" s="10"/>
      <c r="U6745" s="4"/>
      <c r="V6745" s="4"/>
      <c r="X6745" s="4"/>
      <c r="Y6745" s="4"/>
    </row>
    <row r="6746" spans="20:25" x14ac:dyDescent="0.25">
      <c r="T6746" s="10"/>
      <c r="U6746" s="4"/>
      <c r="V6746" s="4"/>
      <c r="X6746" s="4"/>
      <c r="Y6746" s="4"/>
    </row>
    <row r="6747" spans="20:25" x14ac:dyDescent="0.25">
      <c r="T6747" s="10"/>
      <c r="U6747" s="4"/>
      <c r="V6747" s="4"/>
      <c r="X6747" s="4"/>
      <c r="Y6747" s="4"/>
    </row>
    <row r="6748" spans="20:25" x14ac:dyDescent="0.25">
      <c r="T6748" s="10"/>
      <c r="U6748" s="4"/>
      <c r="V6748" s="4"/>
      <c r="X6748" s="4"/>
      <c r="Y6748" s="4"/>
    </row>
    <row r="6749" spans="20:25" x14ac:dyDescent="0.25">
      <c r="T6749" s="10"/>
      <c r="U6749" s="4"/>
      <c r="V6749" s="4"/>
      <c r="X6749" s="4"/>
      <c r="Y6749" s="4"/>
    </row>
    <row r="6750" spans="20:25" x14ac:dyDescent="0.25">
      <c r="T6750" s="10"/>
      <c r="U6750" s="4"/>
      <c r="V6750" s="4"/>
      <c r="X6750" s="4"/>
      <c r="Y6750" s="4"/>
    </row>
    <row r="6751" spans="20:25" x14ac:dyDescent="0.25">
      <c r="T6751" s="10"/>
      <c r="U6751" s="4"/>
      <c r="V6751" s="4"/>
      <c r="X6751" s="4"/>
      <c r="Y6751" s="4"/>
    </row>
    <row r="6752" spans="20:25" x14ac:dyDescent="0.25">
      <c r="T6752" s="10"/>
      <c r="U6752" s="4"/>
      <c r="V6752" s="4"/>
      <c r="X6752" s="4"/>
      <c r="Y6752" s="4"/>
    </row>
    <row r="6753" spans="20:25" x14ac:dyDescent="0.25">
      <c r="T6753" s="10"/>
      <c r="U6753" s="4"/>
      <c r="V6753" s="4"/>
      <c r="X6753" s="4"/>
      <c r="Y6753" s="4"/>
    </row>
    <row r="6754" spans="20:25" x14ac:dyDescent="0.25">
      <c r="T6754" s="10"/>
      <c r="U6754" s="4"/>
      <c r="V6754" s="4"/>
      <c r="X6754" s="4"/>
      <c r="Y6754" s="4"/>
    </row>
    <row r="6755" spans="20:25" x14ac:dyDescent="0.25">
      <c r="T6755" s="10"/>
      <c r="U6755" s="4"/>
      <c r="V6755" s="4"/>
      <c r="X6755" s="4"/>
      <c r="Y6755" s="4"/>
    </row>
    <row r="6756" spans="20:25" x14ac:dyDescent="0.25">
      <c r="T6756" s="10"/>
      <c r="U6756" s="4"/>
      <c r="V6756" s="4"/>
      <c r="X6756" s="4"/>
      <c r="Y6756" s="4"/>
    </row>
    <row r="6757" spans="20:25" x14ac:dyDescent="0.25">
      <c r="T6757" s="10"/>
      <c r="U6757" s="4"/>
      <c r="V6757" s="4"/>
      <c r="X6757" s="4"/>
      <c r="Y6757" s="4"/>
    </row>
    <row r="6758" spans="20:25" x14ac:dyDescent="0.25">
      <c r="T6758" s="10"/>
      <c r="U6758" s="4"/>
      <c r="V6758" s="4"/>
      <c r="X6758" s="4"/>
      <c r="Y6758" s="4"/>
    </row>
    <row r="6759" spans="20:25" x14ac:dyDescent="0.25">
      <c r="T6759" s="10"/>
      <c r="U6759" s="4"/>
      <c r="V6759" s="4"/>
      <c r="X6759" s="4"/>
      <c r="Y6759" s="4"/>
    </row>
    <row r="6760" spans="20:25" x14ac:dyDescent="0.25">
      <c r="T6760" s="10"/>
      <c r="U6760" s="4"/>
      <c r="V6760" s="4"/>
      <c r="X6760" s="4"/>
      <c r="Y6760" s="4"/>
    </row>
    <row r="6761" spans="20:25" x14ac:dyDescent="0.25">
      <c r="T6761" s="10"/>
      <c r="U6761" s="4"/>
      <c r="V6761" s="4"/>
      <c r="X6761" s="4"/>
      <c r="Y6761" s="4"/>
    </row>
    <row r="6762" spans="20:25" x14ac:dyDescent="0.25">
      <c r="T6762" s="10"/>
      <c r="U6762" s="4"/>
      <c r="V6762" s="4"/>
      <c r="X6762" s="4"/>
      <c r="Y6762" s="4"/>
    </row>
    <row r="6763" spans="20:25" x14ac:dyDescent="0.25">
      <c r="T6763" s="10"/>
      <c r="U6763" s="4"/>
      <c r="V6763" s="4"/>
      <c r="X6763" s="4"/>
      <c r="Y6763" s="4"/>
    </row>
    <row r="6764" spans="20:25" x14ac:dyDescent="0.25">
      <c r="T6764" s="10"/>
      <c r="U6764" s="4"/>
      <c r="V6764" s="4"/>
      <c r="X6764" s="4"/>
      <c r="Y6764" s="4"/>
    </row>
    <row r="6765" spans="20:25" x14ac:dyDescent="0.25">
      <c r="T6765" s="10"/>
      <c r="U6765" s="4"/>
      <c r="V6765" s="4"/>
      <c r="X6765" s="4"/>
      <c r="Y6765" s="4"/>
    </row>
    <row r="6766" spans="20:25" x14ac:dyDescent="0.25">
      <c r="T6766" s="10"/>
      <c r="U6766" s="4"/>
      <c r="V6766" s="4"/>
      <c r="X6766" s="4"/>
      <c r="Y6766" s="4"/>
    </row>
    <row r="6767" spans="20:25" x14ac:dyDescent="0.25">
      <c r="T6767" s="10"/>
      <c r="U6767" s="4"/>
      <c r="V6767" s="4"/>
      <c r="X6767" s="4"/>
      <c r="Y6767" s="4"/>
    </row>
    <row r="6768" spans="20:25" x14ac:dyDescent="0.25">
      <c r="T6768" s="10"/>
      <c r="U6768" s="4"/>
      <c r="V6768" s="4"/>
      <c r="X6768" s="4"/>
      <c r="Y6768" s="4"/>
    </row>
    <row r="6769" spans="20:25" x14ac:dyDescent="0.25">
      <c r="T6769" s="10"/>
      <c r="U6769" s="4"/>
      <c r="V6769" s="4"/>
      <c r="X6769" s="4"/>
      <c r="Y6769" s="4"/>
    </row>
    <row r="6770" spans="20:25" x14ac:dyDescent="0.25">
      <c r="T6770" s="10"/>
      <c r="U6770" s="4"/>
      <c r="V6770" s="4"/>
      <c r="X6770" s="4"/>
      <c r="Y6770" s="4"/>
    </row>
    <row r="6771" spans="20:25" x14ac:dyDescent="0.25">
      <c r="T6771" s="10"/>
      <c r="U6771" s="4"/>
      <c r="V6771" s="4"/>
      <c r="X6771" s="4"/>
      <c r="Y6771" s="4"/>
    </row>
    <row r="6772" spans="20:25" x14ac:dyDescent="0.25">
      <c r="T6772" s="10"/>
      <c r="U6772" s="4"/>
      <c r="V6772" s="4"/>
      <c r="X6772" s="4"/>
      <c r="Y6772" s="4"/>
    </row>
    <row r="6773" spans="20:25" x14ac:dyDescent="0.25">
      <c r="T6773" s="10"/>
      <c r="U6773" s="4"/>
      <c r="V6773" s="4"/>
      <c r="X6773" s="4"/>
      <c r="Y6773" s="4"/>
    </row>
    <row r="6774" spans="20:25" x14ac:dyDescent="0.25">
      <c r="T6774" s="10"/>
      <c r="U6774" s="4"/>
      <c r="V6774" s="4"/>
      <c r="X6774" s="4"/>
      <c r="Y6774" s="4"/>
    </row>
    <row r="6775" spans="20:25" x14ac:dyDescent="0.25">
      <c r="T6775" s="10"/>
      <c r="U6775" s="4"/>
      <c r="V6775" s="4"/>
      <c r="X6775" s="4"/>
      <c r="Y6775" s="4"/>
    </row>
    <row r="6776" spans="20:25" x14ac:dyDescent="0.25">
      <c r="T6776" s="10"/>
      <c r="U6776" s="4"/>
      <c r="V6776" s="4"/>
      <c r="X6776" s="4"/>
      <c r="Y6776" s="4"/>
    </row>
    <row r="6777" spans="20:25" x14ac:dyDescent="0.25">
      <c r="T6777" s="10"/>
      <c r="U6777" s="4"/>
      <c r="V6777" s="4"/>
      <c r="X6777" s="4"/>
      <c r="Y6777" s="4"/>
    </row>
    <row r="6778" spans="20:25" x14ac:dyDescent="0.25">
      <c r="T6778" s="10"/>
      <c r="U6778" s="4"/>
      <c r="V6778" s="4"/>
      <c r="X6778" s="4"/>
      <c r="Y6778" s="4"/>
    </row>
    <row r="6779" spans="20:25" x14ac:dyDescent="0.25">
      <c r="T6779" s="10"/>
      <c r="U6779" s="4"/>
      <c r="V6779" s="4"/>
      <c r="X6779" s="4"/>
      <c r="Y6779" s="4"/>
    </row>
    <row r="6780" spans="20:25" x14ac:dyDescent="0.25">
      <c r="T6780" s="10"/>
      <c r="U6780" s="4"/>
      <c r="V6780" s="4"/>
      <c r="X6780" s="4"/>
      <c r="Y6780" s="4"/>
    </row>
    <row r="6781" spans="20:25" x14ac:dyDescent="0.25">
      <c r="T6781" s="10"/>
      <c r="U6781" s="4"/>
      <c r="V6781" s="4"/>
      <c r="X6781" s="4"/>
      <c r="Y6781" s="4"/>
    </row>
    <row r="6782" spans="20:25" x14ac:dyDescent="0.25">
      <c r="T6782" s="10"/>
      <c r="U6782" s="4"/>
      <c r="V6782" s="4"/>
      <c r="X6782" s="4"/>
      <c r="Y6782" s="4"/>
    </row>
    <row r="6783" spans="20:25" x14ac:dyDescent="0.25">
      <c r="T6783" s="10"/>
      <c r="U6783" s="4"/>
      <c r="V6783" s="4"/>
      <c r="X6783" s="4"/>
      <c r="Y6783" s="4"/>
    </row>
    <row r="6784" spans="20:25" x14ac:dyDescent="0.25">
      <c r="T6784" s="10"/>
      <c r="U6784" s="4"/>
      <c r="V6784" s="4"/>
      <c r="X6784" s="4"/>
      <c r="Y6784" s="4"/>
    </row>
    <row r="6785" spans="20:25" x14ac:dyDescent="0.25">
      <c r="T6785" s="10"/>
      <c r="U6785" s="4"/>
      <c r="V6785" s="4"/>
      <c r="X6785" s="4"/>
      <c r="Y6785" s="4"/>
    </row>
    <row r="6786" spans="20:25" x14ac:dyDescent="0.25">
      <c r="T6786" s="10"/>
      <c r="U6786" s="4"/>
      <c r="V6786" s="4"/>
      <c r="X6786" s="4"/>
      <c r="Y6786" s="4"/>
    </row>
    <row r="6787" spans="20:25" x14ac:dyDescent="0.25">
      <c r="T6787" s="10"/>
      <c r="U6787" s="4"/>
      <c r="V6787" s="4"/>
      <c r="X6787" s="4"/>
      <c r="Y6787" s="4"/>
    </row>
    <row r="6788" spans="20:25" x14ac:dyDescent="0.25">
      <c r="T6788" s="10"/>
      <c r="U6788" s="4"/>
      <c r="V6788" s="4"/>
      <c r="X6788" s="4"/>
      <c r="Y6788" s="4"/>
    </row>
    <row r="6789" spans="20:25" x14ac:dyDescent="0.25">
      <c r="T6789" s="10"/>
      <c r="U6789" s="4"/>
      <c r="V6789" s="4"/>
      <c r="X6789" s="4"/>
      <c r="Y6789" s="4"/>
    </row>
    <row r="6790" spans="20:25" x14ac:dyDescent="0.25">
      <c r="T6790" s="10"/>
      <c r="U6790" s="4"/>
      <c r="V6790" s="4"/>
      <c r="X6790" s="4"/>
      <c r="Y6790" s="4"/>
    </row>
    <row r="6791" spans="20:25" x14ac:dyDescent="0.25">
      <c r="T6791" s="10"/>
      <c r="U6791" s="4"/>
      <c r="V6791" s="4"/>
      <c r="X6791" s="4"/>
      <c r="Y6791" s="4"/>
    </row>
    <row r="6792" spans="20:25" x14ac:dyDescent="0.25">
      <c r="T6792" s="10"/>
      <c r="U6792" s="4"/>
      <c r="V6792" s="4"/>
      <c r="X6792" s="4"/>
      <c r="Y6792" s="4"/>
    </row>
    <row r="6793" spans="20:25" x14ac:dyDescent="0.25">
      <c r="T6793" s="10"/>
      <c r="U6793" s="4"/>
      <c r="V6793" s="4"/>
      <c r="X6793" s="4"/>
      <c r="Y6793" s="4"/>
    </row>
    <row r="6794" spans="20:25" x14ac:dyDescent="0.25">
      <c r="T6794" s="10"/>
      <c r="U6794" s="4"/>
      <c r="V6794" s="4"/>
      <c r="X6794" s="4"/>
      <c r="Y6794" s="4"/>
    </row>
    <row r="6795" spans="20:25" x14ac:dyDescent="0.25">
      <c r="T6795" s="10"/>
      <c r="U6795" s="4"/>
      <c r="V6795" s="4"/>
      <c r="X6795" s="4"/>
      <c r="Y6795" s="4"/>
    </row>
    <row r="6796" spans="20:25" x14ac:dyDescent="0.25">
      <c r="T6796" s="10"/>
      <c r="U6796" s="4"/>
      <c r="V6796" s="4"/>
      <c r="X6796" s="4"/>
      <c r="Y6796" s="4"/>
    </row>
    <row r="6797" spans="20:25" x14ac:dyDescent="0.25">
      <c r="T6797" s="10"/>
      <c r="U6797" s="4"/>
      <c r="V6797" s="4"/>
      <c r="X6797" s="4"/>
      <c r="Y6797" s="4"/>
    </row>
    <row r="6798" spans="20:25" x14ac:dyDescent="0.25">
      <c r="T6798" s="10"/>
      <c r="U6798" s="4"/>
      <c r="V6798" s="4"/>
      <c r="X6798" s="4"/>
      <c r="Y6798" s="4"/>
    </row>
    <row r="6799" spans="20:25" x14ac:dyDescent="0.25">
      <c r="T6799" s="10"/>
      <c r="U6799" s="4"/>
      <c r="V6799" s="4"/>
      <c r="X6799" s="4"/>
      <c r="Y6799" s="4"/>
    </row>
    <row r="6800" spans="20:25" x14ac:dyDescent="0.25">
      <c r="T6800" s="10"/>
      <c r="U6800" s="4"/>
      <c r="V6800" s="4"/>
      <c r="X6800" s="4"/>
      <c r="Y6800" s="4"/>
    </row>
    <row r="6801" spans="20:25" x14ac:dyDescent="0.25">
      <c r="T6801" s="10"/>
      <c r="U6801" s="4"/>
      <c r="V6801" s="4"/>
      <c r="X6801" s="4"/>
      <c r="Y6801" s="4"/>
    </row>
    <row r="6802" spans="20:25" x14ac:dyDescent="0.25">
      <c r="T6802" s="10"/>
      <c r="U6802" s="4"/>
      <c r="V6802" s="4"/>
      <c r="X6802" s="4"/>
      <c r="Y6802" s="4"/>
    </row>
    <row r="6803" spans="20:25" x14ac:dyDescent="0.25">
      <c r="T6803" s="10"/>
      <c r="U6803" s="4"/>
      <c r="V6803" s="4"/>
      <c r="X6803" s="4"/>
      <c r="Y6803" s="4"/>
    </row>
    <row r="6804" spans="20:25" x14ac:dyDescent="0.25">
      <c r="T6804" s="10"/>
      <c r="U6804" s="4"/>
      <c r="V6804" s="4"/>
      <c r="X6804" s="4"/>
      <c r="Y6804" s="4"/>
    </row>
    <row r="6805" spans="20:25" x14ac:dyDescent="0.25">
      <c r="T6805" s="10"/>
      <c r="U6805" s="4"/>
      <c r="V6805" s="4"/>
      <c r="X6805" s="4"/>
      <c r="Y6805" s="4"/>
    </row>
    <row r="6806" spans="20:25" x14ac:dyDescent="0.25">
      <c r="T6806" s="10"/>
      <c r="U6806" s="4"/>
      <c r="V6806" s="4"/>
      <c r="X6806" s="4"/>
      <c r="Y6806" s="4"/>
    </row>
    <row r="6807" spans="20:25" x14ac:dyDescent="0.25">
      <c r="T6807" s="10"/>
      <c r="U6807" s="4"/>
      <c r="V6807" s="4"/>
      <c r="X6807" s="4"/>
      <c r="Y6807" s="4"/>
    </row>
    <row r="6808" spans="20:25" x14ac:dyDescent="0.25">
      <c r="T6808" s="10"/>
      <c r="U6808" s="4"/>
      <c r="V6808" s="4"/>
      <c r="X6808" s="4"/>
      <c r="Y6808" s="4"/>
    </row>
    <row r="6809" spans="20:25" x14ac:dyDescent="0.25">
      <c r="T6809" s="10"/>
      <c r="U6809" s="4"/>
      <c r="V6809" s="4"/>
      <c r="X6809" s="4"/>
      <c r="Y6809" s="4"/>
    </row>
    <row r="6810" spans="20:25" x14ac:dyDescent="0.25">
      <c r="T6810" s="10"/>
      <c r="U6810" s="4"/>
      <c r="V6810" s="4"/>
      <c r="X6810" s="4"/>
      <c r="Y6810" s="4"/>
    </row>
    <row r="6811" spans="20:25" x14ac:dyDescent="0.25">
      <c r="T6811" s="10"/>
      <c r="U6811" s="4"/>
      <c r="V6811" s="4"/>
      <c r="X6811" s="4"/>
      <c r="Y6811" s="4"/>
    </row>
    <row r="6812" spans="20:25" x14ac:dyDescent="0.25">
      <c r="T6812" s="10"/>
      <c r="U6812" s="4"/>
      <c r="V6812" s="4"/>
      <c r="X6812" s="4"/>
      <c r="Y6812" s="4"/>
    </row>
    <row r="6813" spans="20:25" x14ac:dyDescent="0.25">
      <c r="T6813" s="10"/>
      <c r="U6813" s="4"/>
      <c r="V6813" s="4"/>
      <c r="X6813" s="4"/>
      <c r="Y6813" s="4"/>
    </row>
    <row r="6814" spans="20:25" x14ac:dyDescent="0.25">
      <c r="T6814" s="10"/>
      <c r="U6814" s="4"/>
      <c r="V6814" s="4"/>
      <c r="X6814" s="4"/>
      <c r="Y6814" s="4"/>
    </row>
    <row r="6815" spans="20:25" x14ac:dyDescent="0.25">
      <c r="T6815" s="10"/>
      <c r="U6815" s="4"/>
      <c r="V6815" s="4"/>
      <c r="X6815" s="4"/>
      <c r="Y6815" s="4"/>
    </row>
    <row r="6816" spans="20:25" x14ac:dyDescent="0.25">
      <c r="T6816" s="10"/>
      <c r="U6816" s="4"/>
      <c r="V6816" s="4"/>
      <c r="X6816" s="4"/>
      <c r="Y6816" s="4"/>
    </row>
    <row r="6817" spans="20:25" x14ac:dyDescent="0.25">
      <c r="T6817" s="10"/>
      <c r="U6817" s="4"/>
      <c r="V6817" s="4"/>
      <c r="X6817" s="4"/>
      <c r="Y6817" s="4"/>
    </row>
    <row r="6818" spans="20:25" x14ac:dyDescent="0.25">
      <c r="T6818" s="10"/>
      <c r="U6818" s="4"/>
      <c r="V6818" s="4"/>
      <c r="X6818" s="4"/>
      <c r="Y6818" s="4"/>
    </row>
    <row r="6819" spans="20:25" x14ac:dyDescent="0.25">
      <c r="T6819" s="10"/>
      <c r="U6819" s="4"/>
      <c r="V6819" s="4"/>
      <c r="X6819" s="4"/>
      <c r="Y6819" s="4"/>
    </row>
    <row r="6820" spans="20:25" x14ac:dyDescent="0.25">
      <c r="T6820" s="10"/>
      <c r="U6820" s="4"/>
      <c r="V6820" s="4"/>
      <c r="X6820" s="4"/>
      <c r="Y6820" s="4"/>
    </row>
    <row r="6821" spans="20:25" x14ac:dyDescent="0.25">
      <c r="T6821" s="10"/>
      <c r="U6821" s="4"/>
      <c r="V6821" s="4"/>
      <c r="X6821" s="4"/>
      <c r="Y6821" s="4"/>
    </row>
    <row r="6822" spans="20:25" x14ac:dyDescent="0.25">
      <c r="T6822" s="10"/>
      <c r="U6822" s="4"/>
      <c r="V6822" s="4"/>
      <c r="X6822" s="4"/>
      <c r="Y6822" s="4"/>
    </row>
    <row r="6823" spans="20:25" x14ac:dyDescent="0.25">
      <c r="T6823" s="10"/>
      <c r="U6823" s="4"/>
      <c r="V6823" s="4"/>
      <c r="X6823" s="4"/>
      <c r="Y6823" s="4"/>
    </row>
    <row r="6824" spans="20:25" x14ac:dyDescent="0.25">
      <c r="T6824" s="10"/>
      <c r="U6824" s="4"/>
      <c r="V6824" s="4"/>
      <c r="X6824" s="4"/>
      <c r="Y6824" s="4"/>
    </row>
    <row r="6825" spans="20:25" x14ac:dyDescent="0.25">
      <c r="T6825" s="10"/>
      <c r="U6825" s="4"/>
      <c r="V6825" s="4"/>
      <c r="X6825" s="4"/>
      <c r="Y6825" s="4"/>
    </row>
    <row r="6826" spans="20:25" x14ac:dyDescent="0.25">
      <c r="T6826" s="10"/>
      <c r="U6826" s="4"/>
      <c r="V6826" s="4"/>
      <c r="X6826" s="4"/>
      <c r="Y6826" s="4"/>
    </row>
    <row r="6827" spans="20:25" x14ac:dyDescent="0.25">
      <c r="T6827" s="10"/>
      <c r="U6827" s="4"/>
      <c r="V6827" s="4"/>
      <c r="X6827" s="4"/>
      <c r="Y6827" s="4"/>
    </row>
    <row r="6828" spans="20:25" x14ac:dyDescent="0.25">
      <c r="T6828" s="10"/>
      <c r="U6828" s="4"/>
      <c r="V6828" s="4"/>
      <c r="X6828" s="4"/>
      <c r="Y6828" s="4"/>
    </row>
    <row r="6829" spans="20:25" x14ac:dyDescent="0.25">
      <c r="T6829" s="10"/>
      <c r="U6829" s="4"/>
      <c r="V6829" s="4"/>
      <c r="X6829" s="4"/>
      <c r="Y6829" s="4"/>
    </row>
    <row r="6830" spans="20:25" x14ac:dyDescent="0.25">
      <c r="T6830" s="10"/>
      <c r="U6830" s="4"/>
      <c r="V6830" s="4"/>
      <c r="X6830" s="4"/>
      <c r="Y6830" s="4"/>
    </row>
    <row r="6831" spans="20:25" x14ac:dyDescent="0.25">
      <c r="T6831" s="10"/>
      <c r="U6831" s="4"/>
      <c r="V6831" s="4"/>
      <c r="X6831" s="4"/>
      <c r="Y6831" s="4"/>
    </row>
    <row r="6832" spans="20:25" x14ac:dyDescent="0.25">
      <c r="T6832" s="10"/>
      <c r="U6832" s="4"/>
      <c r="V6832" s="4"/>
      <c r="X6832" s="4"/>
      <c r="Y6832" s="4"/>
    </row>
    <row r="6833" spans="20:25" x14ac:dyDescent="0.25">
      <c r="T6833" s="10"/>
      <c r="U6833" s="4"/>
      <c r="V6833" s="4"/>
      <c r="X6833" s="4"/>
      <c r="Y6833" s="4"/>
    </row>
    <row r="6834" spans="20:25" x14ac:dyDescent="0.25">
      <c r="T6834" s="10"/>
      <c r="U6834" s="4"/>
      <c r="V6834" s="4"/>
      <c r="X6834" s="4"/>
      <c r="Y6834" s="4"/>
    </row>
    <row r="6835" spans="20:25" x14ac:dyDescent="0.25">
      <c r="T6835" s="10"/>
      <c r="U6835" s="4"/>
      <c r="V6835" s="4"/>
      <c r="X6835" s="4"/>
      <c r="Y6835" s="4"/>
    </row>
    <row r="6836" spans="20:25" x14ac:dyDescent="0.25">
      <c r="T6836" s="10"/>
      <c r="U6836" s="4"/>
      <c r="V6836" s="4"/>
      <c r="X6836" s="4"/>
      <c r="Y6836" s="4"/>
    </row>
    <row r="6837" spans="20:25" x14ac:dyDescent="0.25">
      <c r="T6837" s="10"/>
      <c r="U6837" s="4"/>
      <c r="V6837" s="4"/>
      <c r="X6837" s="4"/>
      <c r="Y6837" s="4"/>
    </row>
    <row r="6838" spans="20:25" x14ac:dyDescent="0.25">
      <c r="T6838" s="10"/>
      <c r="U6838" s="4"/>
      <c r="V6838" s="4"/>
      <c r="X6838" s="4"/>
      <c r="Y6838" s="4"/>
    </row>
    <row r="6839" spans="20:25" x14ac:dyDescent="0.25">
      <c r="T6839" s="10"/>
      <c r="U6839" s="4"/>
      <c r="V6839" s="4"/>
      <c r="X6839" s="4"/>
      <c r="Y6839" s="4"/>
    </row>
    <row r="6840" spans="20:25" x14ac:dyDescent="0.25">
      <c r="T6840" s="10"/>
      <c r="U6840" s="4"/>
      <c r="V6840" s="4"/>
      <c r="X6840" s="4"/>
      <c r="Y6840" s="4"/>
    </row>
    <row r="6841" spans="20:25" x14ac:dyDescent="0.25">
      <c r="T6841" s="10"/>
      <c r="U6841" s="4"/>
      <c r="V6841" s="4"/>
      <c r="X6841" s="4"/>
      <c r="Y6841" s="4"/>
    </row>
    <row r="6842" spans="20:25" x14ac:dyDescent="0.25">
      <c r="T6842" s="10"/>
      <c r="U6842" s="4"/>
      <c r="V6842" s="4"/>
      <c r="X6842" s="4"/>
      <c r="Y6842" s="4"/>
    </row>
    <row r="6843" spans="20:25" x14ac:dyDescent="0.25">
      <c r="T6843" s="10"/>
      <c r="U6843" s="4"/>
      <c r="V6843" s="4"/>
      <c r="X6843" s="4"/>
      <c r="Y6843" s="4"/>
    </row>
    <row r="6844" spans="20:25" x14ac:dyDescent="0.25">
      <c r="T6844" s="10"/>
      <c r="U6844" s="4"/>
      <c r="V6844" s="4"/>
      <c r="X6844" s="4"/>
      <c r="Y6844" s="4"/>
    </row>
    <row r="6845" spans="20:25" x14ac:dyDescent="0.25">
      <c r="T6845" s="10"/>
      <c r="U6845" s="4"/>
      <c r="V6845" s="4"/>
      <c r="X6845" s="4"/>
      <c r="Y6845" s="4"/>
    </row>
    <row r="6846" spans="20:25" x14ac:dyDescent="0.25">
      <c r="T6846" s="10"/>
      <c r="U6846" s="4"/>
      <c r="V6846" s="4"/>
      <c r="X6846" s="4"/>
      <c r="Y6846" s="4"/>
    </row>
    <row r="6847" spans="20:25" x14ac:dyDescent="0.25">
      <c r="T6847" s="10"/>
      <c r="U6847" s="4"/>
      <c r="V6847" s="4"/>
      <c r="X6847" s="4"/>
      <c r="Y6847" s="4"/>
    </row>
    <row r="6848" spans="20:25" x14ac:dyDescent="0.25">
      <c r="T6848" s="10"/>
      <c r="U6848" s="4"/>
      <c r="V6848" s="4"/>
      <c r="X6848" s="4"/>
      <c r="Y6848" s="4"/>
    </row>
    <row r="6849" spans="20:25" x14ac:dyDescent="0.25">
      <c r="T6849" s="10"/>
      <c r="U6849" s="4"/>
      <c r="V6849" s="4"/>
      <c r="X6849" s="4"/>
      <c r="Y6849" s="4"/>
    </row>
    <row r="6850" spans="20:25" x14ac:dyDescent="0.25">
      <c r="T6850" s="10"/>
      <c r="U6850" s="4"/>
      <c r="V6850" s="4"/>
      <c r="X6850" s="4"/>
      <c r="Y6850" s="4"/>
    </row>
    <row r="6851" spans="20:25" x14ac:dyDescent="0.25">
      <c r="T6851" s="10"/>
      <c r="U6851" s="4"/>
      <c r="V6851" s="4"/>
      <c r="X6851" s="4"/>
      <c r="Y6851" s="4"/>
    </row>
    <row r="6852" spans="20:25" x14ac:dyDescent="0.25">
      <c r="T6852" s="10"/>
      <c r="U6852" s="4"/>
      <c r="V6852" s="4"/>
      <c r="X6852" s="4"/>
      <c r="Y6852" s="4"/>
    </row>
    <row r="6853" spans="20:25" x14ac:dyDescent="0.25">
      <c r="T6853" s="10"/>
      <c r="U6853" s="4"/>
      <c r="V6853" s="4"/>
      <c r="X6853" s="4"/>
      <c r="Y6853" s="4"/>
    </row>
    <row r="6854" spans="20:25" x14ac:dyDescent="0.25">
      <c r="T6854" s="10"/>
      <c r="U6854" s="4"/>
      <c r="V6854" s="4"/>
      <c r="X6854" s="4"/>
      <c r="Y6854" s="4"/>
    </row>
    <row r="6855" spans="20:25" x14ac:dyDescent="0.25">
      <c r="T6855" s="10"/>
      <c r="U6855" s="4"/>
      <c r="V6855" s="4"/>
      <c r="X6855" s="4"/>
      <c r="Y6855" s="4"/>
    </row>
    <row r="6856" spans="20:25" x14ac:dyDescent="0.25">
      <c r="T6856" s="10"/>
      <c r="U6856" s="4"/>
      <c r="V6856" s="4"/>
      <c r="X6856" s="4"/>
      <c r="Y6856" s="4"/>
    </row>
    <row r="6857" spans="20:25" x14ac:dyDescent="0.25">
      <c r="T6857" s="10"/>
      <c r="U6857" s="4"/>
      <c r="V6857" s="4"/>
      <c r="X6857" s="4"/>
      <c r="Y6857" s="4"/>
    </row>
    <row r="6858" spans="20:25" x14ac:dyDescent="0.25">
      <c r="T6858" s="10"/>
      <c r="U6858" s="4"/>
      <c r="V6858" s="4"/>
      <c r="X6858" s="4"/>
      <c r="Y6858" s="4"/>
    </row>
    <row r="6859" spans="20:25" x14ac:dyDescent="0.25">
      <c r="T6859" s="10"/>
      <c r="U6859" s="4"/>
      <c r="V6859" s="4"/>
      <c r="X6859" s="4"/>
      <c r="Y6859" s="4"/>
    </row>
    <row r="6860" spans="20:25" x14ac:dyDescent="0.25">
      <c r="T6860" s="10"/>
      <c r="U6860" s="4"/>
      <c r="V6860" s="4"/>
      <c r="X6860" s="4"/>
      <c r="Y6860" s="4"/>
    </row>
    <row r="6861" spans="20:25" x14ac:dyDescent="0.25">
      <c r="T6861" s="10"/>
      <c r="U6861" s="4"/>
      <c r="V6861" s="4"/>
      <c r="X6861" s="4"/>
      <c r="Y6861" s="4"/>
    </row>
    <row r="6862" spans="20:25" x14ac:dyDescent="0.25">
      <c r="T6862" s="10"/>
      <c r="U6862" s="4"/>
      <c r="V6862" s="4"/>
      <c r="X6862" s="4"/>
      <c r="Y6862" s="4"/>
    </row>
    <row r="6863" spans="20:25" x14ac:dyDescent="0.25">
      <c r="T6863" s="10"/>
      <c r="U6863" s="4"/>
      <c r="V6863" s="4"/>
      <c r="X6863" s="4"/>
      <c r="Y6863" s="4"/>
    </row>
    <row r="6864" spans="20:25" x14ac:dyDescent="0.25">
      <c r="T6864" s="10"/>
      <c r="U6864" s="4"/>
      <c r="V6864" s="4"/>
      <c r="X6864" s="4"/>
      <c r="Y6864" s="4"/>
    </row>
    <row r="6865" spans="20:25" x14ac:dyDescent="0.25">
      <c r="T6865" s="10"/>
      <c r="U6865" s="4"/>
      <c r="V6865" s="4"/>
      <c r="X6865" s="4"/>
      <c r="Y6865" s="4"/>
    </row>
    <row r="6866" spans="20:25" x14ac:dyDescent="0.25">
      <c r="T6866" s="10"/>
      <c r="U6866" s="4"/>
      <c r="V6866" s="4"/>
      <c r="X6866" s="4"/>
      <c r="Y6866" s="4"/>
    </row>
    <row r="6867" spans="20:25" x14ac:dyDescent="0.25">
      <c r="T6867" s="10"/>
      <c r="U6867" s="4"/>
      <c r="V6867" s="4"/>
      <c r="X6867" s="4"/>
      <c r="Y6867" s="4"/>
    </row>
    <row r="6868" spans="20:25" x14ac:dyDescent="0.25">
      <c r="T6868" s="10"/>
      <c r="U6868" s="4"/>
      <c r="V6868" s="4"/>
      <c r="X6868" s="4"/>
      <c r="Y6868" s="4"/>
    </row>
    <row r="6869" spans="20:25" x14ac:dyDescent="0.25">
      <c r="T6869" s="10"/>
      <c r="U6869" s="4"/>
      <c r="V6869" s="4"/>
      <c r="X6869" s="4"/>
      <c r="Y6869" s="4"/>
    </row>
    <row r="6870" spans="20:25" x14ac:dyDescent="0.25">
      <c r="T6870" s="10"/>
      <c r="U6870" s="4"/>
      <c r="V6870" s="4"/>
      <c r="X6870" s="4"/>
      <c r="Y6870" s="4"/>
    </row>
    <row r="6871" spans="20:25" x14ac:dyDescent="0.25">
      <c r="T6871" s="10"/>
      <c r="U6871" s="4"/>
      <c r="V6871" s="4"/>
      <c r="X6871" s="4"/>
      <c r="Y6871" s="4"/>
    </row>
    <row r="6872" spans="20:25" x14ac:dyDescent="0.25">
      <c r="T6872" s="10"/>
      <c r="U6872" s="4"/>
      <c r="V6872" s="4"/>
      <c r="X6872" s="4"/>
      <c r="Y6872" s="4"/>
    </row>
    <row r="6873" spans="20:25" x14ac:dyDescent="0.25">
      <c r="T6873" s="10"/>
      <c r="U6873" s="4"/>
      <c r="V6873" s="4"/>
      <c r="X6873" s="4"/>
      <c r="Y6873" s="4"/>
    </row>
    <row r="6874" spans="20:25" x14ac:dyDescent="0.25">
      <c r="T6874" s="10"/>
      <c r="U6874" s="4"/>
      <c r="V6874" s="4"/>
      <c r="X6874" s="4"/>
      <c r="Y6874" s="4"/>
    </row>
    <row r="6875" spans="20:25" x14ac:dyDescent="0.25">
      <c r="T6875" s="10"/>
      <c r="U6875" s="4"/>
      <c r="V6875" s="4"/>
      <c r="X6875" s="4"/>
      <c r="Y6875" s="4"/>
    </row>
    <row r="6876" spans="20:25" x14ac:dyDescent="0.25">
      <c r="T6876" s="10"/>
      <c r="U6876" s="4"/>
      <c r="V6876" s="4"/>
      <c r="X6876" s="4"/>
      <c r="Y6876" s="4"/>
    </row>
    <row r="6877" spans="20:25" x14ac:dyDescent="0.25">
      <c r="T6877" s="10"/>
      <c r="U6877" s="4"/>
      <c r="V6877" s="4"/>
      <c r="X6877" s="4"/>
      <c r="Y6877" s="4"/>
    </row>
    <row r="6878" spans="20:25" x14ac:dyDescent="0.25">
      <c r="T6878" s="10"/>
      <c r="U6878" s="4"/>
      <c r="V6878" s="4"/>
      <c r="X6878" s="4"/>
      <c r="Y6878" s="4"/>
    </row>
    <row r="6879" spans="20:25" x14ac:dyDescent="0.25">
      <c r="T6879" s="10"/>
      <c r="U6879" s="4"/>
      <c r="V6879" s="4"/>
      <c r="X6879" s="4"/>
      <c r="Y6879" s="4"/>
    </row>
    <row r="6880" spans="20:25" x14ac:dyDescent="0.25">
      <c r="T6880" s="10"/>
      <c r="U6880" s="4"/>
      <c r="V6880" s="4"/>
      <c r="X6880" s="4"/>
      <c r="Y6880" s="4"/>
    </row>
    <row r="6881" spans="20:25" x14ac:dyDescent="0.25">
      <c r="T6881" s="10"/>
      <c r="U6881" s="4"/>
      <c r="V6881" s="4"/>
      <c r="X6881" s="4"/>
      <c r="Y6881" s="4"/>
    </row>
    <row r="6882" spans="20:25" x14ac:dyDescent="0.25">
      <c r="T6882" s="10"/>
      <c r="U6882" s="4"/>
      <c r="V6882" s="4"/>
      <c r="X6882" s="4"/>
      <c r="Y6882" s="4"/>
    </row>
    <row r="6883" spans="20:25" x14ac:dyDescent="0.25">
      <c r="T6883" s="10"/>
      <c r="U6883" s="4"/>
      <c r="V6883" s="4"/>
      <c r="X6883" s="4"/>
      <c r="Y6883" s="4"/>
    </row>
    <row r="6884" spans="20:25" x14ac:dyDescent="0.25">
      <c r="T6884" s="10"/>
      <c r="U6884" s="4"/>
      <c r="V6884" s="4"/>
      <c r="X6884" s="4"/>
      <c r="Y6884" s="4"/>
    </row>
    <row r="6885" spans="20:25" x14ac:dyDescent="0.25">
      <c r="T6885" s="10"/>
      <c r="U6885" s="4"/>
      <c r="V6885" s="4"/>
      <c r="X6885" s="4"/>
      <c r="Y6885" s="4"/>
    </row>
    <row r="6886" spans="20:25" x14ac:dyDescent="0.25">
      <c r="T6886" s="10"/>
      <c r="U6886" s="4"/>
      <c r="V6886" s="4"/>
      <c r="X6886" s="4"/>
      <c r="Y6886" s="4"/>
    </row>
    <row r="6887" spans="20:25" x14ac:dyDescent="0.25">
      <c r="T6887" s="10"/>
      <c r="U6887" s="4"/>
      <c r="V6887" s="4"/>
      <c r="X6887" s="4"/>
      <c r="Y6887" s="4"/>
    </row>
    <row r="6888" spans="20:25" x14ac:dyDescent="0.25">
      <c r="T6888" s="10"/>
      <c r="U6888" s="4"/>
      <c r="V6888" s="4"/>
      <c r="X6888" s="4"/>
      <c r="Y6888" s="4"/>
    </row>
    <row r="6889" spans="20:25" x14ac:dyDescent="0.25">
      <c r="T6889" s="10"/>
      <c r="U6889" s="4"/>
      <c r="V6889" s="4"/>
      <c r="X6889" s="4"/>
      <c r="Y6889" s="4"/>
    </row>
    <row r="6890" spans="20:25" x14ac:dyDescent="0.25">
      <c r="T6890" s="10"/>
      <c r="U6890" s="4"/>
      <c r="V6890" s="4"/>
      <c r="X6890" s="4"/>
      <c r="Y6890" s="4"/>
    </row>
    <row r="6891" spans="20:25" x14ac:dyDescent="0.25">
      <c r="T6891" s="10"/>
      <c r="U6891" s="4"/>
      <c r="V6891" s="4"/>
      <c r="X6891" s="4"/>
      <c r="Y6891" s="4"/>
    </row>
    <row r="6892" spans="20:25" x14ac:dyDescent="0.25">
      <c r="T6892" s="10"/>
      <c r="U6892" s="4"/>
      <c r="V6892" s="4"/>
      <c r="X6892" s="4"/>
      <c r="Y6892" s="4"/>
    </row>
    <row r="6893" spans="20:25" x14ac:dyDescent="0.25">
      <c r="T6893" s="10"/>
      <c r="U6893" s="4"/>
      <c r="V6893" s="4"/>
      <c r="X6893" s="4"/>
      <c r="Y6893" s="4"/>
    </row>
    <row r="6894" spans="20:25" x14ac:dyDescent="0.25">
      <c r="T6894" s="10"/>
      <c r="U6894" s="4"/>
      <c r="V6894" s="4"/>
      <c r="X6894" s="4"/>
      <c r="Y6894" s="4"/>
    </row>
    <row r="6895" spans="20:25" x14ac:dyDescent="0.25">
      <c r="T6895" s="10"/>
      <c r="U6895" s="4"/>
      <c r="V6895" s="4"/>
      <c r="X6895" s="4"/>
      <c r="Y6895" s="4"/>
    </row>
    <row r="6896" spans="20:25" x14ac:dyDescent="0.25">
      <c r="T6896" s="10"/>
      <c r="U6896" s="4"/>
      <c r="V6896" s="4"/>
      <c r="X6896" s="4"/>
      <c r="Y6896" s="4"/>
    </row>
    <row r="6897" spans="20:25" x14ac:dyDescent="0.25">
      <c r="T6897" s="10"/>
      <c r="U6897" s="4"/>
      <c r="V6897" s="4"/>
      <c r="X6897" s="4"/>
      <c r="Y6897" s="4"/>
    </row>
    <row r="6898" spans="20:25" x14ac:dyDescent="0.25">
      <c r="T6898" s="10"/>
      <c r="U6898" s="4"/>
      <c r="V6898" s="4"/>
      <c r="X6898" s="4"/>
      <c r="Y6898" s="4"/>
    </row>
    <row r="6899" spans="20:25" x14ac:dyDescent="0.25">
      <c r="T6899" s="10"/>
      <c r="U6899" s="4"/>
      <c r="V6899" s="4"/>
      <c r="X6899" s="4"/>
      <c r="Y6899" s="4"/>
    </row>
    <row r="6900" spans="20:25" x14ac:dyDescent="0.25">
      <c r="T6900" s="10"/>
      <c r="U6900" s="4"/>
      <c r="V6900" s="4"/>
      <c r="X6900" s="4"/>
      <c r="Y6900" s="4"/>
    </row>
    <row r="6901" spans="20:25" x14ac:dyDescent="0.25">
      <c r="T6901" s="10"/>
      <c r="U6901" s="4"/>
      <c r="V6901" s="4"/>
      <c r="X6901" s="4"/>
      <c r="Y6901" s="4"/>
    </row>
    <row r="6902" spans="20:25" x14ac:dyDescent="0.25">
      <c r="T6902" s="10"/>
      <c r="U6902" s="4"/>
      <c r="V6902" s="4"/>
      <c r="X6902" s="4"/>
      <c r="Y6902" s="4"/>
    </row>
    <row r="6903" spans="20:25" x14ac:dyDescent="0.25">
      <c r="T6903" s="10"/>
      <c r="U6903" s="4"/>
      <c r="V6903" s="4"/>
      <c r="X6903" s="4"/>
      <c r="Y6903" s="4"/>
    </row>
    <row r="6904" spans="20:25" x14ac:dyDescent="0.25">
      <c r="T6904" s="10"/>
      <c r="U6904" s="4"/>
      <c r="V6904" s="4"/>
      <c r="X6904" s="4"/>
      <c r="Y6904" s="4"/>
    </row>
    <row r="6905" spans="20:25" x14ac:dyDescent="0.25">
      <c r="T6905" s="10"/>
      <c r="U6905" s="4"/>
      <c r="V6905" s="4"/>
      <c r="X6905" s="4"/>
      <c r="Y6905" s="4"/>
    </row>
    <row r="6906" spans="20:25" x14ac:dyDescent="0.25">
      <c r="T6906" s="10"/>
      <c r="U6906" s="4"/>
      <c r="V6906" s="4"/>
      <c r="X6906" s="4"/>
      <c r="Y6906" s="4"/>
    </row>
    <row r="6907" spans="20:25" x14ac:dyDescent="0.25">
      <c r="T6907" s="10"/>
      <c r="U6907" s="4"/>
      <c r="V6907" s="4"/>
      <c r="X6907" s="4"/>
      <c r="Y6907" s="4"/>
    </row>
    <row r="6908" spans="20:25" x14ac:dyDescent="0.25">
      <c r="T6908" s="10"/>
      <c r="U6908" s="4"/>
      <c r="V6908" s="4"/>
      <c r="X6908" s="4"/>
      <c r="Y6908" s="4"/>
    </row>
    <row r="6909" spans="20:25" x14ac:dyDescent="0.25">
      <c r="T6909" s="10"/>
      <c r="U6909" s="4"/>
      <c r="V6909" s="4"/>
      <c r="X6909" s="4"/>
      <c r="Y6909" s="4"/>
    </row>
    <row r="6910" spans="20:25" x14ac:dyDescent="0.25">
      <c r="T6910" s="10"/>
      <c r="U6910" s="4"/>
      <c r="V6910" s="4"/>
      <c r="X6910" s="4"/>
      <c r="Y6910" s="4"/>
    </row>
    <row r="6911" spans="20:25" x14ac:dyDescent="0.25">
      <c r="T6911" s="10"/>
      <c r="U6911" s="4"/>
      <c r="V6911" s="4"/>
      <c r="X6911" s="4"/>
      <c r="Y6911" s="4"/>
    </row>
    <row r="6912" spans="20:25" x14ac:dyDescent="0.25">
      <c r="T6912" s="10"/>
      <c r="U6912" s="4"/>
      <c r="V6912" s="4"/>
      <c r="X6912" s="4"/>
      <c r="Y6912" s="4"/>
    </row>
    <row r="6913" spans="20:25" x14ac:dyDescent="0.25">
      <c r="T6913" s="10"/>
      <c r="U6913" s="4"/>
      <c r="V6913" s="4"/>
      <c r="X6913" s="4"/>
      <c r="Y6913" s="4"/>
    </row>
    <row r="6914" spans="20:25" x14ac:dyDescent="0.25">
      <c r="T6914" s="10"/>
      <c r="U6914" s="4"/>
      <c r="V6914" s="4"/>
      <c r="X6914" s="4"/>
      <c r="Y6914" s="4"/>
    </row>
    <row r="6915" spans="20:25" x14ac:dyDescent="0.25">
      <c r="T6915" s="10"/>
      <c r="U6915" s="4"/>
      <c r="V6915" s="4"/>
      <c r="X6915" s="4"/>
      <c r="Y6915" s="4"/>
    </row>
    <row r="6916" spans="20:25" x14ac:dyDescent="0.25">
      <c r="T6916" s="10"/>
      <c r="U6916" s="4"/>
      <c r="V6916" s="4"/>
      <c r="X6916" s="4"/>
      <c r="Y6916" s="4"/>
    </row>
    <row r="6917" spans="20:25" x14ac:dyDescent="0.25">
      <c r="T6917" s="10"/>
      <c r="U6917" s="4"/>
      <c r="V6917" s="4"/>
      <c r="X6917" s="4"/>
      <c r="Y6917" s="4"/>
    </row>
    <row r="6918" spans="20:25" x14ac:dyDescent="0.25">
      <c r="T6918" s="10"/>
      <c r="U6918" s="4"/>
      <c r="V6918" s="4"/>
      <c r="X6918" s="4"/>
      <c r="Y6918" s="4"/>
    </row>
    <row r="6919" spans="20:25" x14ac:dyDescent="0.25">
      <c r="T6919" s="10"/>
      <c r="U6919" s="4"/>
      <c r="V6919" s="4"/>
      <c r="X6919" s="4"/>
      <c r="Y6919" s="4"/>
    </row>
    <row r="6920" spans="20:25" x14ac:dyDescent="0.25">
      <c r="T6920" s="10"/>
      <c r="U6920" s="4"/>
      <c r="V6920" s="4"/>
      <c r="X6920" s="4"/>
      <c r="Y6920" s="4"/>
    </row>
    <row r="6921" spans="20:25" x14ac:dyDescent="0.25">
      <c r="T6921" s="10"/>
      <c r="U6921" s="4"/>
      <c r="V6921" s="4"/>
      <c r="X6921" s="4"/>
      <c r="Y6921" s="4"/>
    </row>
    <row r="6922" spans="20:25" x14ac:dyDescent="0.25">
      <c r="T6922" s="10"/>
      <c r="U6922" s="4"/>
      <c r="V6922" s="4"/>
      <c r="X6922" s="4"/>
      <c r="Y6922" s="4"/>
    </row>
    <row r="6923" spans="20:25" x14ac:dyDescent="0.25">
      <c r="T6923" s="10"/>
      <c r="U6923" s="4"/>
      <c r="V6923" s="4"/>
      <c r="X6923" s="4"/>
      <c r="Y6923" s="4"/>
    </row>
    <row r="6924" spans="20:25" x14ac:dyDescent="0.25">
      <c r="T6924" s="10"/>
      <c r="U6924" s="4"/>
      <c r="V6924" s="4"/>
      <c r="X6924" s="4"/>
      <c r="Y6924" s="4"/>
    </row>
    <row r="6925" spans="20:25" x14ac:dyDescent="0.25">
      <c r="T6925" s="10"/>
      <c r="U6925" s="4"/>
      <c r="V6925" s="4"/>
      <c r="X6925" s="4"/>
      <c r="Y6925" s="4"/>
    </row>
    <row r="6926" spans="20:25" x14ac:dyDescent="0.25">
      <c r="T6926" s="10"/>
      <c r="U6926" s="4"/>
      <c r="V6926" s="4"/>
      <c r="X6926" s="4"/>
      <c r="Y6926" s="4"/>
    </row>
    <row r="6927" spans="20:25" x14ac:dyDescent="0.25">
      <c r="T6927" s="10"/>
      <c r="U6927" s="4"/>
      <c r="V6927" s="4"/>
      <c r="X6927" s="4"/>
      <c r="Y6927" s="4"/>
    </row>
    <row r="6928" spans="20:25" x14ac:dyDescent="0.25">
      <c r="T6928" s="10"/>
      <c r="U6928" s="4"/>
      <c r="V6928" s="4"/>
      <c r="X6928" s="4"/>
      <c r="Y6928" s="4"/>
    </row>
    <row r="6929" spans="20:25" x14ac:dyDescent="0.25">
      <c r="T6929" s="10"/>
      <c r="U6929" s="4"/>
      <c r="V6929" s="4"/>
      <c r="X6929" s="4"/>
      <c r="Y6929" s="4"/>
    </row>
    <row r="6930" spans="20:25" x14ac:dyDescent="0.25">
      <c r="T6930" s="10"/>
      <c r="U6930" s="4"/>
      <c r="V6930" s="4"/>
      <c r="X6930" s="4"/>
      <c r="Y6930" s="4"/>
    </row>
    <row r="6931" spans="20:25" x14ac:dyDescent="0.25">
      <c r="T6931" s="10"/>
      <c r="U6931" s="4"/>
      <c r="V6931" s="4"/>
      <c r="X6931" s="4"/>
      <c r="Y6931" s="4"/>
    </row>
    <row r="6932" spans="20:25" x14ac:dyDescent="0.25">
      <c r="T6932" s="10"/>
      <c r="U6932" s="4"/>
      <c r="V6932" s="4"/>
      <c r="X6932" s="4"/>
      <c r="Y6932" s="4"/>
    </row>
    <row r="6933" spans="20:25" x14ac:dyDescent="0.25">
      <c r="T6933" s="10"/>
      <c r="U6933" s="4"/>
      <c r="V6933" s="4"/>
      <c r="X6933" s="4"/>
      <c r="Y6933" s="4"/>
    </row>
    <row r="6934" spans="20:25" x14ac:dyDescent="0.25">
      <c r="T6934" s="10"/>
      <c r="U6934" s="4"/>
      <c r="V6934" s="4"/>
      <c r="X6934" s="4"/>
      <c r="Y6934" s="4"/>
    </row>
    <row r="6935" spans="20:25" x14ac:dyDescent="0.25">
      <c r="T6935" s="10"/>
      <c r="U6935" s="4"/>
      <c r="V6935" s="4"/>
      <c r="X6935" s="4"/>
      <c r="Y6935" s="4"/>
    </row>
    <row r="6936" spans="20:25" x14ac:dyDescent="0.25">
      <c r="T6936" s="10"/>
      <c r="U6936" s="4"/>
      <c r="V6936" s="4"/>
      <c r="X6936" s="4"/>
      <c r="Y6936" s="4"/>
    </row>
    <row r="6937" spans="20:25" x14ac:dyDescent="0.25">
      <c r="T6937" s="10"/>
      <c r="U6937" s="4"/>
      <c r="V6937" s="4"/>
      <c r="X6937" s="4"/>
      <c r="Y6937" s="4"/>
    </row>
    <row r="6938" spans="20:25" x14ac:dyDescent="0.25">
      <c r="T6938" s="10"/>
      <c r="U6938" s="4"/>
      <c r="V6938" s="4"/>
      <c r="X6938" s="4"/>
      <c r="Y6938" s="4"/>
    </row>
    <row r="6939" spans="20:25" x14ac:dyDescent="0.25">
      <c r="T6939" s="10"/>
      <c r="U6939" s="4"/>
      <c r="V6939" s="4"/>
      <c r="X6939" s="4"/>
      <c r="Y6939" s="4"/>
    </row>
    <row r="6940" spans="20:25" x14ac:dyDescent="0.25">
      <c r="T6940" s="10"/>
      <c r="U6940" s="4"/>
      <c r="V6940" s="4"/>
      <c r="X6940" s="4"/>
      <c r="Y6940" s="4"/>
    </row>
    <row r="6941" spans="20:25" x14ac:dyDescent="0.25">
      <c r="T6941" s="10"/>
      <c r="U6941" s="4"/>
      <c r="V6941" s="4"/>
      <c r="X6941" s="4"/>
      <c r="Y6941" s="4"/>
    </row>
    <row r="6942" spans="20:25" x14ac:dyDescent="0.25">
      <c r="T6942" s="10"/>
      <c r="U6942" s="4"/>
      <c r="V6942" s="4"/>
      <c r="X6942" s="4"/>
      <c r="Y6942" s="4"/>
    </row>
    <row r="6943" spans="20:25" x14ac:dyDescent="0.25">
      <c r="T6943" s="10"/>
      <c r="U6943" s="4"/>
      <c r="V6943" s="4"/>
      <c r="X6943" s="4"/>
      <c r="Y6943" s="4"/>
    </row>
    <row r="6944" spans="20:25" x14ac:dyDescent="0.25">
      <c r="T6944" s="10"/>
      <c r="U6944" s="4"/>
      <c r="V6944" s="4"/>
      <c r="X6944" s="4"/>
      <c r="Y6944" s="4"/>
    </row>
    <row r="6945" spans="20:25" x14ac:dyDescent="0.25">
      <c r="T6945" s="10"/>
      <c r="U6945" s="4"/>
      <c r="V6945" s="4"/>
      <c r="X6945" s="4"/>
      <c r="Y6945" s="4"/>
    </row>
    <row r="6946" spans="20:25" x14ac:dyDescent="0.25">
      <c r="T6946" s="10"/>
      <c r="U6946" s="4"/>
      <c r="V6946" s="4"/>
      <c r="X6946" s="4"/>
      <c r="Y6946" s="4"/>
    </row>
    <row r="6947" spans="20:25" x14ac:dyDescent="0.25">
      <c r="T6947" s="10"/>
      <c r="U6947" s="4"/>
      <c r="V6947" s="4"/>
      <c r="X6947" s="4"/>
      <c r="Y6947" s="4"/>
    </row>
    <row r="6948" spans="20:25" x14ac:dyDescent="0.25">
      <c r="T6948" s="10"/>
      <c r="U6948" s="4"/>
      <c r="V6948" s="4"/>
      <c r="X6948" s="4"/>
      <c r="Y6948" s="4"/>
    </row>
    <row r="6949" spans="20:25" x14ac:dyDescent="0.25">
      <c r="T6949" s="10"/>
      <c r="U6949" s="4"/>
      <c r="V6949" s="4"/>
      <c r="X6949" s="4"/>
      <c r="Y6949" s="4"/>
    </row>
    <row r="6950" spans="20:25" x14ac:dyDescent="0.25">
      <c r="T6950" s="10"/>
      <c r="U6950" s="4"/>
      <c r="V6950" s="4"/>
      <c r="X6950" s="4"/>
      <c r="Y6950" s="4"/>
    </row>
    <row r="6951" spans="20:25" x14ac:dyDescent="0.25">
      <c r="T6951" s="10"/>
      <c r="U6951" s="4"/>
      <c r="V6951" s="4"/>
      <c r="X6951" s="4"/>
      <c r="Y6951" s="4"/>
    </row>
    <row r="6952" spans="20:25" x14ac:dyDescent="0.25">
      <c r="T6952" s="10"/>
      <c r="U6952" s="4"/>
      <c r="V6952" s="4"/>
      <c r="X6952" s="4"/>
      <c r="Y6952" s="4"/>
    </row>
    <row r="6953" spans="20:25" x14ac:dyDescent="0.25">
      <c r="T6953" s="10"/>
      <c r="U6953" s="4"/>
      <c r="V6953" s="4"/>
      <c r="X6953" s="4"/>
      <c r="Y6953" s="4"/>
    </row>
    <row r="6954" spans="20:25" x14ac:dyDescent="0.25">
      <c r="T6954" s="10"/>
      <c r="U6954" s="4"/>
      <c r="V6954" s="4"/>
      <c r="X6954" s="4"/>
      <c r="Y6954" s="4"/>
    </row>
    <row r="6955" spans="20:25" x14ac:dyDescent="0.25">
      <c r="T6955" s="10"/>
      <c r="U6955" s="4"/>
      <c r="V6955" s="4"/>
      <c r="X6955" s="4"/>
      <c r="Y6955" s="4"/>
    </row>
    <row r="6956" spans="20:25" x14ac:dyDescent="0.25">
      <c r="T6956" s="10"/>
      <c r="U6956" s="4"/>
      <c r="V6956" s="4"/>
      <c r="X6956" s="4"/>
      <c r="Y6956" s="4"/>
    </row>
    <row r="6957" spans="20:25" x14ac:dyDescent="0.25">
      <c r="T6957" s="10"/>
      <c r="U6957" s="4"/>
      <c r="V6957" s="4"/>
      <c r="X6957" s="4"/>
      <c r="Y6957" s="4"/>
    </row>
    <row r="6958" spans="20:25" x14ac:dyDescent="0.25">
      <c r="T6958" s="10"/>
      <c r="U6958" s="4"/>
      <c r="V6958" s="4"/>
      <c r="X6958" s="4"/>
      <c r="Y6958" s="4"/>
    </row>
    <row r="6959" spans="20:25" x14ac:dyDescent="0.25">
      <c r="T6959" s="10"/>
      <c r="U6959" s="4"/>
      <c r="V6959" s="4"/>
      <c r="X6959" s="4"/>
      <c r="Y6959" s="4"/>
    </row>
    <row r="6960" spans="20:25" x14ac:dyDescent="0.25">
      <c r="T6960" s="10"/>
      <c r="U6960" s="4"/>
      <c r="V6960" s="4"/>
      <c r="X6960" s="4"/>
      <c r="Y6960" s="4"/>
    </row>
    <row r="6961" spans="20:25" x14ac:dyDescent="0.25">
      <c r="T6961" s="10"/>
      <c r="U6961" s="4"/>
      <c r="V6961" s="4"/>
      <c r="X6961" s="4"/>
      <c r="Y6961" s="4"/>
    </row>
    <row r="6962" spans="20:25" x14ac:dyDescent="0.25">
      <c r="T6962" s="10"/>
      <c r="U6962" s="4"/>
      <c r="V6962" s="4"/>
      <c r="X6962" s="4"/>
      <c r="Y6962" s="4"/>
    </row>
    <row r="6963" spans="20:25" x14ac:dyDescent="0.25">
      <c r="T6963" s="10"/>
      <c r="U6963" s="4"/>
      <c r="V6963" s="4"/>
      <c r="X6963" s="4"/>
      <c r="Y6963" s="4"/>
    </row>
    <row r="6964" spans="20:25" x14ac:dyDescent="0.25">
      <c r="T6964" s="10"/>
      <c r="U6964" s="4"/>
      <c r="V6964" s="4"/>
      <c r="X6964" s="4"/>
      <c r="Y6964" s="4"/>
    </row>
    <row r="6965" spans="20:25" x14ac:dyDescent="0.25">
      <c r="T6965" s="10"/>
      <c r="U6965" s="4"/>
      <c r="V6965" s="4"/>
      <c r="X6965" s="4"/>
      <c r="Y6965" s="4"/>
    </row>
    <row r="6966" spans="20:25" x14ac:dyDescent="0.25">
      <c r="T6966" s="10"/>
      <c r="U6966" s="4"/>
      <c r="V6966" s="4"/>
      <c r="X6966" s="4"/>
      <c r="Y6966" s="4"/>
    </row>
    <row r="6967" spans="20:25" x14ac:dyDescent="0.25">
      <c r="T6967" s="10"/>
      <c r="U6967" s="4"/>
      <c r="V6967" s="4"/>
      <c r="X6967" s="4"/>
      <c r="Y6967" s="4"/>
    </row>
    <row r="6968" spans="20:25" x14ac:dyDescent="0.25">
      <c r="T6968" s="10"/>
      <c r="U6968" s="4"/>
      <c r="V6968" s="4"/>
      <c r="X6968" s="4"/>
      <c r="Y6968" s="4"/>
    </row>
    <row r="6969" spans="20:25" x14ac:dyDescent="0.25">
      <c r="T6969" s="10"/>
      <c r="U6969" s="4"/>
      <c r="V6969" s="4"/>
      <c r="X6969" s="4"/>
      <c r="Y6969" s="4"/>
    </row>
    <row r="6970" spans="20:25" x14ac:dyDescent="0.25">
      <c r="T6970" s="10"/>
      <c r="U6970" s="4"/>
      <c r="V6970" s="4"/>
      <c r="X6970" s="4"/>
      <c r="Y6970" s="4"/>
    </row>
    <row r="6971" spans="20:25" x14ac:dyDescent="0.25">
      <c r="T6971" s="10"/>
      <c r="U6971" s="4"/>
      <c r="V6971" s="4"/>
      <c r="X6971" s="4"/>
      <c r="Y6971" s="4"/>
    </row>
    <row r="6972" spans="20:25" x14ac:dyDescent="0.25">
      <c r="T6972" s="10"/>
      <c r="U6972" s="4"/>
      <c r="V6972" s="4"/>
      <c r="X6972" s="4"/>
      <c r="Y6972" s="4"/>
    </row>
    <row r="6973" spans="20:25" x14ac:dyDescent="0.25">
      <c r="T6973" s="10"/>
      <c r="U6973" s="4"/>
      <c r="V6973" s="4"/>
      <c r="X6973" s="4"/>
      <c r="Y6973" s="4"/>
    </row>
    <row r="6974" spans="20:25" x14ac:dyDescent="0.25">
      <c r="T6974" s="10"/>
      <c r="U6974" s="4"/>
      <c r="V6974" s="4"/>
      <c r="X6974" s="4"/>
      <c r="Y6974" s="4"/>
    </row>
    <row r="6975" spans="20:25" x14ac:dyDescent="0.25">
      <c r="T6975" s="10"/>
      <c r="U6975" s="4"/>
      <c r="V6975" s="4"/>
      <c r="X6975" s="4"/>
      <c r="Y6975" s="4"/>
    </row>
    <row r="6976" spans="20:25" x14ac:dyDescent="0.25">
      <c r="T6976" s="10"/>
      <c r="U6976" s="4"/>
      <c r="V6976" s="4"/>
      <c r="X6976" s="4"/>
      <c r="Y6976" s="4"/>
    </row>
    <row r="6977" spans="20:25" x14ac:dyDescent="0.25">
      <c r="T6977" s="10"/>
      <c r="U6977" s="4"/>
      <c r="V6977" s="4"/>
      <c r="X6977" s="4"/>
      <c r="Y6977" s="4"/>
    </row>
    <row r="6978" spans="20:25" x14ac:dyDescent="0.25">
      <c r="T6978" s="10"/>
      <c r="U6978" s="4"/>
      <c r="V6978" s="4"/>
      <c r="X6978" s="4"/>
      <c r="Y6978" s="4"/>
    </row>
    <row r="6979" spans="20:25" x14ac:dyDescent="0.25">
      <c r="T6979" s="10"/>
      <c r="U6979" s="4"/>
      <c r="V6979" s="4"/>
      <c r="X6979" s="4"/>
      <c r="Y6979" s="4"/>
    </row>
    <row r="6980" spans="20:25" x14ac:dyDescent="0.25">
      <c r="T6980" s="10"/>
      <c r="U6980" s="4"/>
      <c r="V6980" s="4"/>
      <c r="X6980" s="4"/>
      <c r="Y6980" s="4"/>
    </row>
    <row r="6981" spans="20:25" x14ac:dyDescent="0.25">
      <c r="T6981" s="10"/>
      <c r="U6981" s="4"/>
      <c r="V6981" s="4"/>
      <c r="X6981" s="4"/>
      <c r="Y6981" s="4"/>
    </row>
    <row r="6982" spans="20:25" x14ac:dyDescent="0.25">
      <c r="T6982" s="10"/>
      <c r="U6982" s="4"/>
      <c r="V6982" s="4"/>
      <c r="X6982" s="4"/>
      <c r="Y6982" s="4"/>
    </row>
    <row r="6983" spans="20:25" x14ac:dyDescent="0.25">
      <c r="T6983" s="10"/>
      <c r="U6983" s="4"/>
      <c r="V6983" s="4"/>
      <c r="X6983" s="4"/>
      <c r="Y6983" s="4"/>
    </row>
    <row r="6984" spans="20:25" x14ac:dyDescent="0.25">
      <c r="T6984" s="10"/>
      <c r="U6984" s="4"/>
      <c r="V6984" s="4"/>
      <c r="X6984" s="4"/>
      <c r="Y6984" s="4"/>
    </row>
    <row r="6985" spans="20:25" x14ac:dyDescent="0.25">
      <c r="T6985" s="10"/>
      <c r="U6985" s="4"/>
      <c r="V6985" s="4"/>
      <c r="X6985" s="4"/>
      <c r="Y6985" s="4"/>
    </row>
    <row r="6986" spans="20:25" x14ac:dyDescent="0.25">
      <c r="T6986" s="10"/>
      <c r="U6986" s="4"/>
      <c r="V6986" s="4"/>
      <c r="X6986" s="4"/>
      <c r="Y6986" s="4"/>
    </row>
    <row r="6987" spans="20:25" x14ac:dyDescent="0.25">
      <c r="T6987" s="10"/>
      <c r="U6987" s="4"/>
      <c r="V6987" s="4"/>
      <c r="X6987" s="4"/>
      <c r="Y6987" s="4"/>
    </row>
    <row r="6988" spans="20:25" x14ac:dyDescent="0.25">
      <c r="T6988" s="10"/>
      <c r="U6988" s="4"/>
      <c r="V6988" s="4"/>
      <c r="X6988" s="4"/>
      <c r="Y6988" s="4"/>
    </row>
    <row r="6989" spans="20:25" x14ac:dyDescent="0.25">
      <c r="T6989" s="10"/>
      <c r="U6989" s="4"/>
      <c r="V6989" s="4"/>
      <c r="X6989" s="4"/>
      <c r="Y6989" s="4"/>
    </row>
    <row r="6990" spans="20:25" x14ac:dyDescent="0.25">
      <c r="T6990" s="10"/>
      <c r="U6990" s="4"/>
      <c r="V6990" s="4"/>
      <c r="X6990" s="4"/>
      <c r="Y6990" s="4"/>
    </row>
    <row r="6991" spans="20:25" x14ac:dyDescent="0.25">
      <c r="T6991" s="10"/>
      <c r="U6991" s="4"/>
      <c r="V6991" s="4"/>
      <c r="X6991" s="4"/>
      <c r="Y6991" s="4"/>
    </row>
    <row r="6992" spans="20:25" x14ac:dyDescent="0.25">
      <c r="T6992" s="10"/>
      <c r="U6992" s="4"/>
      <c r="V6992" s="4"/>
      <c r="X6992" s="4"/>
      <c r="Y6992" s="4"/>
    </row>
    <row r="6993" spans="20:25" x14ac:dyDescent="0.25">
      <c r="T6993" s="10"/>
      <c r="U6993" s="4"/>
      <c r="V6993" s="4"/>
      <c r="X6993" s="4"/>
      <c r="Y6993" s="4"/>
    </row>
    <row r="6994" spans="20:25" x14ac:dyDescent="0.25">
      <c r="T6994" s="10"/>
      <c r="U6994" s="4"/>
      <c r="V6994" s="4"/>
      <c r="X6994" s="4"/>
      <c r="Y6994" s="4"/>
    </row>
    <row r="6995" spans="20:25" x14ac:dyDescent="0.25">
      <c r="T6995" s="10"/>
      <c r="U6995" s="4"/>
      <c r="V6995" s="4"/>
      <c r="X6995" s="4"/>
      <c r="Y6995" s="4"/>
    </row>
    <row r="6996" spans="20:25" x14ac:dyDescent="0.25">
      <c r="T6996" s="10"/>
      <c r="U6996" s="4"/>
      <c r="V6996" s="4"/>
      <c r="X6996" s="4"/>
      <c r="Y6996" s="4"/>
    </row>
    <row r="6997" spans="20:25" x14ac:dyDescent="0.25">
      <c r="T6997" s="10"/>
      <c r="U6997" s="4"/>
      <c r="V6997" s="4"/>
      <c r="X6997" s="4"/>
      <c r="Y6997" s="4"/>
    </row>
    <row r="6998" spans="20:25" x14ac:dyDescent="0.25">
      <c r="T6998" s="10"/>
      <c r="U6998" s="4"/>
      <c r="V6998" s="4"/>
      <c r="X6998" s="4"/>
      <c r="Y6998" s="4"/>
    </row>
    <row r="6999" spans="20:25" x14ac:dyDescent="0.25">
      <c r="T6999" s="10"/>
      <c r="U6999" s="4"/>
      <c r="V6999" s="4"/>
      <c r="X6999" s="4"/>
      <c r="Y6999" s="4"/>
    </row>
    <row r="7000" spans="20:25" x14ac:dyDescent="0.25">
      <c r="T7000" s="10"/>
      <c r="U7000" s="4"/>
      <c r="V7000" s="4"/>
      <c r="X7000" s="4"/>
      <c r="Y7000" s="4"/>
    </row>
    <row r="7001" spans="20:25" x14ac:dyDescent="0.25">
      <c r="T7001" s="10"/>
      <c r="U7001" s="4"/>
      <c r="V7001" s="4"/>
      <c r="X7001" s="4"/>
      <c r="Y7001" s="4"/>
    </row>
    <row r="7002" spans="20:25" x14ac:dyDescent="0.25">
      <c r="T7002" s="10"/>
      <c r="U7002" s="4"/>
      <c r="V7002" s="4"/>
      <c r="X7002" s="4"/>
      <c r="Y7002" s="4"/>
    </row>
    <row r="7003" spans="20:25" x14ac:dyDescent="0.25">
      <c r="T7003" s="10"/>
      <c r="U7003" s="4"/>
      <c r="V7003" s="4"/>
      <c r="X7003" s="4"/>
      <c r="Y7003" s="4"/>
    </row>
    <row r="7004" spans="20:25" x14ac:dyDescent="0.25">
      <c r="T7004" s="10"/>
      <c r="U7004" s="4"/>
      <c r="V7004" s="4"/>
      <c r="X7004" s="4"/>
      <c r="Y7004" s="4"/>
    </row>
    <row r="7005" spans="20:25" x14ac:dyDescent="0.25">
      <c r="T7005" s="10"/>
      <c r="U7005" s="4"/>
      <c r="V7005" s="4"/>
      <c r="X7005" s="4"/>
      <c r="Y7005" s="4"/>
    </row>
    <row r="7006" spans="20:25" x14ac:dyDescent="0.25">
      <c r="T7006" s="10"/>
      <c r="U7006" s="4"/>
      <c r="V7006" s="4"/>
      <c r="X7006" s="4"/>
      <c r="Y7006" s="4"/>
    </row>
    <row r="7007" spans="20:25" x14ac:dyDescent="0.25">
      <c r="T7007" s="10"/>
      <c r="U7007" s="4"/>
      <c r="V7007" s="4"/>
      <c r="X7007" s="4"/>
      <c r="Y7007" s="4"/>
    </row>
    <row r="7008" spans="20:25" x14ac:dyDescent="0.25">
      <c r="T7008" s="10"/>
      <c r="U7008" s="4"/>
      <c r="V7008" s="4"/>
      <c r="X7008" s="4"/>
      <c r="Y7008" s="4"/>
    </row>
    <row r="7009" spans="20:25" x14ac:dyDescent="0.25">
      <c r="T7009" s="10"/>
      <c r="U7009" s="4"/>
      <c r="V7009" s="4"/>
      <c r="X7009" s="4"/>
      <c r="Y7009" s="4"/>
    </row>
    <row r="7010" spans="20:25" x14ac:dyDescent="0.25">
      <c r="T7010" s="10"/>
      <c r="U7010" s="4"/>
      <c r="V7010" s="4"/>
      <c r="X7010" s="4"/>
      <c r="Y7010" s="4"/>
    </row>
    <row r="7011" spans="20:25" x14ac:dyDescent="0.25">
      <c r="T7011" s="10"/>
      <c r="U7011" s="4"/>
      <c r="V7011" s="4"/>
      <c r="X7011" s="4"/>
      <c r="Y7011" s="4"/>
    </row>
    <row r="7012" spans="20:25" x14ac:dyDescent="0.25">
      <c r="T7012" s="10"/>
      <c r="U7012" s="4"/>
      <c r="V7012" s="4"/>
      <c r="X7012" s="4"/>
      <c r="Y7012" s="4"/>
    </row>
    <row r="7013" spans="20:25" x14ac:dyDescent="0.25">
      <c r="T7013" s="10"/>
      <c r="U7013" s="4"/>
      <c r="V7013" s="4"/>
      <c r="X7013" s="4"/>
      <c r="Y7013" s="4"/>
    </row>
    <row r="7014" spans="20:25" x14ac:dyDescent="0.25">
      <c r="T7014" s="10"/>
      <c r="U7014" s="4"/>
      <c r="V7014" s="4"/>
      <c r="X7014" s="4"/>
      <c r="Y7014" s="4"/>
    </row>
    <row r="7015" spans="20:25" x14ac:dyDescent="0.25">
      <c r="T7015" s="10"/>
      <c r="U7015" s="4"/>
      <c r="V7015" s="4"/>
      <c r="X7015" s="4"/>
      <c r="Y7015" s="4"/>
    </row>
    <row r="7016" spans="20:25" x14ac:dyDescent="0.25">
      <c r="T7016" s="10"/>
      <c r="U7016" s="4"/>
      <c r="V7016" s="4"/>
      <c r="X7016" s="4"/>
      <c r="Y7016" s="4"/>
    </row>
    <row r="7017" spans="20:25" x14ac:dyDescent="0.25">
      <c r="T7017" s="10"/>
      <c r="U7017" s="4"/>
      <c r="V7017" s="4"/>
      <c r="X7017" s="4"/>
      <c r="Y7017" s="4"/>
    </row>
    <row r="7018" spans="20:25" x14ac:dyDescent="0.25">
      <c r="T7018" s="10"/>
      <c r="U7018" s="4"/>
      <c r="V7018" s="4"/>
      <c r="X7018" s="4"/>
      <c r="Y7018" s="4"/>
    </row>
    <row r="7019" spans="20:25" x14ac:dyDescent="0.25">
      <c r="T7019" s="10"/>
      <c r="U7019" s="4"/>
      <c r="V7019" s="4"/>
      <c r="X7019" s="4"/>
      <c r="Y7019" s="4"/>
    </row>
    <row r="7020" spans="20:25" x14ac:dyDescent="0.25">
      <c r="T7020" s="10"/>
      <c r="U7020" s="4"/>
      <c r="V7020" s="4"/>
      <c r="X7020" s="4"/>
      <c r="Y7020" s="4"/>
    </row>
    <row r="7021" spans="20:25" x14ac:dyDescent="0.25">
      <c r="T7021" s="10"/>
      <c r="U7021" s="4"/>
      <c r="V7021" s="4"/>
      <c r="X7021" s="4"/>
      <c r="Y7021" s="4"/>
    </row>
    <row r="7022" spans="20:25" x14ac:dyDescent="0.25">
      <c r="T7022" s="10"/>
      <c r="U7022" s="4"/>
      <c r="V7022" s="4"/>
      <c r="X7022" s="4"/>
      <c r="Y7022" s="4"/>
    </row>
    <row r="7023" spans="20:25" x14ac:dyDescent="0.25">
      <c r="T7023" s="10"/>
      <c r="U7023" s="4"/>
      <c r="V7023" s="4"/>
      <c r="X7023" s="4"/>
      <c r="Y7023" s="4"/>
    </row>
    <row r="7024" spans="20:25" x14ac:dyDescent="0.25">
      <c r="T7024" s="10"/>
      <c r="U7024" s="4"/>
      <c r="V7024" s="4"/>
      <c r="X7024" s="4"/>
      <c r="Y7024" s="4"/>
    </row>
    <row r="7025" spans="20:25" x14ac:dyDescent="0.25">
      <c r="T7025" s="10"/>
      <c r="U7025" s="4"/>
      <c r="V7025" s="4"/>
      <c r="X7025" s="4"/>
      <c r="Y7025" s="4"/>
    </row>
    <row r="7026" spans="20:25" x14ac:dyDescent="0.25">
      <c r="T7026" s="10"/>
      <c r="U7026" s="4"/>
      <c r="V7026" s="4"/>
      <c r="X7026" s="4"/>
      <c r="Y7026" s="4"/>
    </row>
    <row r="7027" spans="20:25" x14ac:dyDescent="0.25">
      <c r="T7027" s="10"/>
      <c r="U7027" s="4"/>
      <c r="V7027" s="4"/>
      <c r="X7027" s="4"/>
      <c r="Y7027" s="4"/>
    </row>
    <row r="7028" spans="20:25" x14ac:dyDescent="0.25">
      <c r="T7028" s="10"/>
      <c r="U7028" s="4"/>
      <c r="V7028" s="4"/>
      <c r="X7028" s="4"/>
      <c r="Y7028" s="4"/>
    </row>
    <row r="7029" spans="20:25" x14ac:dyDescent="0.25">
      <c r="T7029" s="10"/>
      <c r="U7029" s="4"/>
      <c r="V7029" s="4"/>
      <c r="X7029" s="4"/>
      <c r="Y7029" s="4"/>
    </row>
    <row r="7030" spans="20:25" x14ac:dyDescent="0.25">
      <c r="T7030" s="10"/>
      <c r="U7030" s="4"/>
      <c r="V7030" s="4"/>
      <c r="X7030" s="4"/>
      <c r="Y7030" s="4"/>
    </row>
    <row r="7031" spans="20:25" x14ac:dyDescent="0.25">
      <c r="T7031" s="10"/>
      <c r="U7031" s="4"/>
      <c r="V7031" s="4"/>
      <c r="X7031" s="4"/>
      <c r="Y7031" s="4"/>
    </row>
    <row r="7032" spans="20:25" x14ac:dyDescent="0.25">
      <c r="T7032" s="10"/>
      <c r="U7032" s="4"/>
      <c r="V7032" s="4"/>
      <c r="X7032" s="4"/>
      <c r="Y7032" s="4"/>
    </row>
    <row r="7033" spans="20:25" x14ac:dyDescent="0.25">
      <c r="T7033" s="10"/>
      <c r="U7033" s="4"/>
      <c r="V7033" s="4"/>
      <c r="X7033" s="4"/>
      <c r="Y7033" s="4"/>
    </row>
    <row r="7034" spans="20:25" x14ac:dyDescent="0.25">
      <c r="T7034" s="10"/>
      <c r="U7034" s="4"/>
      <c r="V7034" s="4"/>
      <c r="X7034" s="4"/>
      <c r="Y7034" s="4"/>
    </row>
    <row r="7035" spans="20:25" x14ac:dyDescent="0.25">
      <c r="T7035" s="10"/>
      <c r="U7035" s="4"/>
      <c r="V7035" s="4"/>
      <c r="X7035" s="4"/>
      <c r="Y7035" s="4"/>
    </row>
    <row r="7036" spans="20:25" x14ac:dyDescent="0.25">
      <c r="T7036" s="10"/>
      <c r="U7036" s="4"/>
      <c r="V7036" s="4"/>
      <c r="X7036" s="4"/>
      <c r="Y7036" s="4"/>
    </row>
    <row r="7037" spans="20:25" x14ac:dyDescent="0.25">
      <c r="T7037" s="10"/>
      <c r="U7037" s="4"/>
      <c r="V7037" s="4"/>
      <c r="X7037" s="4"/>
      <c r="Y7037" s="4"/>
    </row>
    <row r="7038" spans="20:25" x14ac:dyDescent="0.25">
      <c r="T7038" s="10"/>
      <c r="U7038" s="4"/>
      <c r="V7038" s="4"/>
      <c r="X7038" s="4"/>
      <c r="Y7038" s="4"/>
    </row>
    <row r="7039" spans="20:25" x14ac:dyDescent="0.25">
      <c r="T7039" s="10"/>
      <c r="U7039" s="4"/>
      <c r="V7039" s="4"/>
      <c r="X7039" s="4"/>
      <c r="Y7039" s="4"/>
    </row>
    <row r="7040" spans="20:25" x14ac:dyDescent="0.25">
      <c r="T7040" s="10"/>
      <c r="U7040" s="4"/>
      <c r="V7040" s="4"/>
      <c r="X7040" s="4"/>
      <c r="Y7040" s="4"/>
    </row>
    <row r="7041" spans="20:25" x14ac:dyDescent="0.25">
      <c r="T7041" s="10"/>
      <c r="U7041" s="4"/>
      <c r="V7041" s="4"/>
      <c r="X7041" s="4"/>
      <c r="Y7041" s="4"/>
    </row>
    <row r="7042" spans="20:25" x14ac:dyDescent="0.25">
      <c r="T7042" s="10"/>
      <c r="U7042" s="4"/>
      <c r="V7042" s="4"/>
      <c r="X7042" s="4"/>
      <c r="Y7042" s="4"/>
    </row>
    <row r="7043" spans="20:25" x14ac:dyDescent="0.25">
      <c r="T7043" s="10"/>
      <c r="U7043" s="4"/>
      <c r="V7043" s="4"/>
      <c r="X7043" s="4"/>
      <c r="Y7043" s="4"/>
    </row>
    <row r="7044" spans="20:25" x14ac:dyDescent="0.25">
      <c r="T7044" s="10"/>
      <c r="U7044" s="4"/>
      <c r="V7044" s="4"/>
      <c r="X7044" s="4"/>
      <c r="Y7044" s="4"/>
    </row>
    <row r="7045" spans="20:25" x14ac:dyDescent="0.25">
      <c r="T7045" s="10"/>
      <c r="U7045" s="4"/>
      <c r="V7045" s="4"/>
      <c r="X7045" s="4"/>
      <c r="Y7045" s="4"/>
    </row>
    <row r="7046" spans="20:25" x14ac:dyDescent="0.25">
      <c r="T7046" s="10"/>
      <c r="U7046" s="4"/>
      <c r="V7046" s="4"/>
      <c r="X7046" s="4"/>
      <c r="Y7046" s="4"/>
    </row>
    <row r="7047" spans="20:25" x14ac:dyDescent="0.25">
      <c r="T7047" s="10"/>
      <c r="U7047" s="4"/>
      <c r="V7047" s="4"/>
      <c r="X7047" s="4"/>
      <c r="Y7047" s="4"/>
    </row>
    <row r="7048" spans="20:25" x14ac:dyDescent="0.25">
      <c r="T7048" s="10"/>
      <c r="U7048" s="4"/>
      <c r="V7048" s="4"/>
      <c r="X7048" s="4"/>
      <c r="Y7048" s="4"/>
    </row>
    <row r="7049" spans="20:25" x14ac:dyDescent="0.25">
      <c r="T7049" s="10"/>
      <c r="U7049" s="4"/>
      <c r="V7049" s="4"/>
      <c r="X7049" s="4"/>
      <c r="Y7049" s="4"/>
    </row>
    <row r="7050" spans="20:25" x14ac:dyDescent="0.25">
      <c r="T7050" s="10"/>
      <c r="U7050" s="4"/>
      <c r="V7050" s="4"/>
      <c r="X7050" s="4"/>
      <c r="Y7050" s="4"/>
    </row>
    <row r="7051" spans="20:25" x14ac:dyDescent="0.25">
      <c r="T7051" s="10"/>
      <c r="U7051" s="4"/>
      <c r="V7051" s="4"/>
      <c r="X7051" s="4"/>
      <c r="Y7051" s="4"/>
    </row>
    <row r="7052" spans="20:25" x14ac:dyDescent="0.25">
      <c r="T7052" s="10"/>
      <c r="U7052" s="4"/>
      <c r="V7052" s="4"/>
      <c r="X7052" s="4"/>
      <c r="Y7052" s="4"/>
    </row>
    <row r="7053" spans="20:25" x14ac:dyDescent="0.25">
      <c r="T7053" s="10"/>
      <c r="U7053" s="4"/>
      <c r="V7053" s="4"/>
      <c r="X7053" s="4"/>
      <c r="Y7053" s="4"/>
    </row>
    <row r="7054" spans="20:25" x14ac:dyDescent="0.25">
      <c r="T7054" s="10"/>
      <c r="U7054" s="4"/>
      <c r="V7054" s="4"/>
      <c r="X7054" s="4"/>
      <c r="Y7054" s="4"/>
    </row>
    <row r="7055" spans="20:25" x14ac:dyDescent="0.25">
      <c r="T7055" s="10"/>
      <c r="U7055" s="4"/>
      <c r="V7055" s="4"/>
      <c r="X7055" s="4"/>
      <c r="Y7055" s="4"/>
    </row>
    <row r="7056" spans="20:25" x14ac:dyDescent="0.25">
      <c r="T7056" s="10"/>
      <c r="U7056" s="4"/>
      <c r="V7056" s="4"/>
      <c r="X7056" s="4"/>
      <c r="Y7056" s="4"/>
    </row>
    <row r="7057" spans="20:25" x14ac:dyDescent="0.25">
      <c r="T7057" s="10"/>
      <c r="U7057" s="4"/>
      <c r="V7057" s="4"/>
      <c r="X7057" s="4"/>
      <c r="Y7057" s="4"/>
    </row>
    <row r="7058" spans="20:25" x14ac:dyDescent="0.25">
      <c r="T7058" s="10"/>
      <c r="U7058" s="4"/>
      <c r="V7058" s="4"/>
      <c r="X7058" s="4"/>
      <c r="Y7058" s="4"/>
    </row>
    <row r="7059" spans="20:25" x14ac:dyDescent="0.25">
      <c r="T7059" s="10"/>
      <c r="U7059" s="4"/>
      <c r="V7059" s="4"/>
      <c r="X7059" s="4"/>
      <c r="Y7059" s="4"/>
    </row>
    <row r="7060" spans="20:25" x14ac:dyDescent="0.25">
      <c r="T7060" s="10"/>
      <c r="U7060" s="4"/>
      <c r="V7060" s="4"/>
      <c r="X7060" s="4"/>
      <c r="Y7060" s="4"/>
    </row>
    <row r="7061" spans="20:25" x14ac:dyDescent="0.25">
      <c r="T7061" s="10"/>
      <c r="U7061" s="4"/>
      <c r="V7061" s="4"/>
      <c r="X7061" s="4"/>
      <c r="Y7061" s="4"/>
    </row>
    <row r="7062" spans="20:25" x14ac:dyDescent="0.25">
      <c r="T7062" s="10"/>
      <c r="U7062" s="4"/>
      <c r="V7062" s="4"/>
      <c r="X7062" s="4"/>
      <c r="Y7062" s="4"/>
    </row>
    <row r="7063" spans="20:25" x14ac:dyDescent="0.25">
      <c r="T7063" s="10"/>
      <c r="U7063" s="4"/>
      <c r="V7063" s="4"/>
      <c r="X7063" s="4"/>
      <c r="Y7063" s="4"/>
    </row>
    <row r="7064" spans="20:25" x14ac:dyDescent="0.25">
      <c r="T7064" s="10"/>
      <c r="U7064" s="4"/>
      <c r="V7064" s="4"/>
      <c r="X7064" s="4"/>
      <c r="Y7064" s="4"/>
    </row>
    <row r="7065" spans="20:25" x14ac:dyDescent="0.25">
      <c r="T7065" s="10"/>
      <c r="U7065" s="4"/>
      <c r="V7065" s="4"/>
      <c r="X7065" s="4"/>
      <c r="Y7065" s="4"/>
    </row>
    <row r="7066" spans="20:25" x14ac:dyDescent="0.25">
      <c r="T7066" s="10"/>
      <c r="U7066" s="4"/>
      <c r="V7066" s="4"/>
      <c r="X7066" s="4"/>
      <c r="Y7066" s="4"/>
    </row>
    <row r="7067" spans="20:25" x14ac:dyDescent="0.25">
      <c r="T7067" s="10"/>
      <c r="U7067" s="4"/>
      <c r="V7067" s="4"/>
      <c r="X7067" s="4"/>
      <c r="Y7067" s="4"/>
    </row>
    <row r="7068" spans="20:25" x14ac:dyDescent="0.25">
      <c r="T7068" s="10"/>
      <c r="U7068" s="4"/>
      <c r="V7068" s="4"/>
      <c r="X7068" s="4"/>
      <c r="Y7068" s="4"/>
    </row>
    <row r="7069" spans="20:25" x14ac:dyDescent="0.25">
      <c r="T7069" s="10"/>
      <c r="U7069" s="4"/>
      <c r="V7069" s="4"/>
      <c r="X7069" s="4"/>
      <c r="Y7069" s="4"/>
    </row>
    <row r="7070" spans="20:25" x14ac:dyDescent="0.25">
      <c r="T7070" s="10"/>
      <c r="U7070" s="4"/>
      <c r="V7070" s="4"/>
      <c r="X7070" s="4"/>
      <c r="Y7070" s="4"/>
    </row>
    <row r="7071" spans="20:25" x14ac:dyDescent="0.25">
      <c r="T7071" s="10"/>
      <c r="U7071" s="4"/>
      <c r="V7071" s="4"/>
      <c r="X7071" s="4"/>
      <c r="Y7071" s="4"/>
    </row>
    <row r="7072" spans="20:25" x14ac:dyDescent="0.25">
      <c r="T7072" s="10"/>
      <c r="U7072" s="4"/>
      <c r="V7072" s="4"/>
      <c r="X7072" s="4"/>
      <c r="Y7072" s="4"/>
    </row>
    <row r="7073" spans="20:25" x14ac:dyDescent="0.25">
      <c r="T7073" s="10"/>
      <c r="U7073" s="4"/>
      <c r="V7073" s="4"/>
      <c r="X7073" s="4"/>
      <c r="Y7073" s="4"/>
    </row>
    <row r="7074" spans="20:25" x14ac:dyDescent="0.25">
      <c r="T7074" s="10"/>
      <c r="U7074" s="4"/>
      <c r="V7074" s="4"/>
      <c r="X7074" s="4"/>
      <c r="Y7074" s="4"/>
    </row>
    <row r="7075" spans="20:25" x14ac:dyDescent="0.25">
      <c r="T7075" s="10"/>
      <c r="U7075" s="4"/>
      <c r="V7075" s="4"/>
      <c r="X7075" s="4"/>
      <c r="Y7075" s="4"/>
    </row>
    <row r="7076" spans="20:25" x14ac:dyDescent="0.25">
      <c r="T7076" s="10"/>
      <c r="U7076" s="4"/>
      <c r="V7076" s="4"/>
      <c r="X7076" s="4"/>
      <c r="Y7076" s="4"/>
    </row>
    <row r="7077" spans="20:25" x14ac:dyDescent="0.25">
      <c r="T7077" s="10"/>
      <c r="U7077" s="4"/>
      <c r="V7077" s="4"/>
      <c r="X7077" s="4"/>
      <c r="Y7077" s="4"/>
    </row>
    <row r="7078" spans="20:25" x14ac:dyDescent="0.25">
      <c r="T7078" s="10"/>
      <c r="U7078" s="4"/>
      <c r="V7078" s="4"/>
      <c r="X7078" s="4"/>
      <c r="Y7078" s="4"/>
    </row>
    <row r="7079" spans="20:25" x14ac:dyDescent="0.25">
      <c r="T7079" s="10"/>
      <c r="U7079" s="4"/>
      <c r="V7079" s="4"/>
      <c r="X7079" s="4"/>
      <c r="Y7079" s="4"/>
    </row>
    <row r="7080" spans="20:25" x14ac:dyDescent="0.25">
      <c r="T7080" s="10"/>
      <c r="U7080" s="4"/>
      <c r="V7080" s="4"/>
      <c r="X7080" s="4"/>
      <c r="Y7080" s="4"/>
    </row>
    <row r="7081" spans="20:25" x14ac:dyDescent="0.25">
      <c r="T7081" s="10"/>
      <c r="U7081" s="4"/>
      <c r="V7081" s="4"/>
      <c r="X7081" s="4"/>
      <c r="Y7081" s="4"/>
    </row>
    <row r="7082" spans="20:25" x14ac:dyDescent="0.25">
      <c r="T7082" s="10"/>
      <c r="U7082" s="4"/>
      <c r="V7082" s="4"/>
      <c r="X7082" s="4"/>
      <c r="Y7082" s="4"/>
    </row>
    <row r="7083" spans="20:25" x14ac:dyDescent="0.25">
      <c r="T7083" s="10"/>
      <c r="U7083" s="4"/>
      <c r="V7083" s="4"/>
      <c r="X7083" s="4"/>
      <c r="Y7083" s="4"/>
    </row>
    <row r="7084" spans="20:25" x14ac:dyDescent="0.25">
      <c r="T7084" s="10"/>
      <c r="U7084" s="4"/>
      <c r="V7084" s="4"/>
      <c r="X7084" s="4"/>
      <c r="Y7084" s="4"/>
    </row>
    <row r="7085" spans="20:25" x14ac:dyDescent="0.25">
      <c r="T7085" s="10"/>
      <c r="U7085" s="4"/>
      <c r="V7085" s="4"/>
      <c r="X7085" s="4"/>
      <c r="Y7085" s="4"/>
    </row>
    <row r="7086" spans="20:25" x14ac:dyDescent="0.25">
      <c r="T7086" s="10"/>
      <c r="U7086" s="4"/>
      <c r="V7086" s="4"/>
      <c r="X7086" s="4"/>
      <c r="Y7086" s="4"/>
    </row>
    <row r="7087" spans="20:25" x14ac:dyDescent="0.25">
      <c r="T7087" s="10"/>
      <c r="U7087" s="4"/>
      <c r="V7087" s="4"/>
      <c r="X7087" s="4"/>
      <c r="Y7087" s="4"/>
    </row>
    <row r="7088" spans="20:25" x14ac:dyDescent="0.25">
      <c r="T7088" s="10"/>
      <c r="U7088" s="4"/>
      <c r="V7088" s="4"/>
      <c r="X7088" s="4"/>
      <c r="Y7088" s="4"/>
    </row>
    <row r="7089" spans="20:25" x14ac:dyDescent="0.25">
      <c r="T7089" s="10"/>
      <c r="U7089" s="4"/>
      <c r="V7089" s="4"/>
      <c r="X7089" s="4"/>
      <c r="Y7089" s="4"/>
    </row>
    <row r="7090" spans="20:25" x14ac:dyDescent="0.25">
      <c r="T7090" s="10"/>
      <c r="U7090" s="4"/>
      <c r="V7090" s="4"/>
      <c r="X7090" s="4"/>
      <c r="Y7090" s="4"/>
    </row>
    <row r="7091" spans="20:25" x14ac:dyDescent="0.25">
      <c r="T7091" s="10"/>
      <c r="U7091" s="4"/>
      <c r="V7091" s="4"/>
      <c r="X7091" s="4"/>
      <c r="Y7091" s="4"/>
    </row>
    <row r="7092" spans="20:25" x14ac:dyDescent="0.25">
      <c r="T7092" s="10"/>
      <c r="U7092" s="4"/>
      <c r="V7092" s="4"/>
      <c r="X7092" s="4"/>
      <c r="Y7092" s="4"/>
    </row>
    <row r="7093" spans="20:25" x14ac:dyDescent="0.25">
      <c r="T7093" s="10"/>
      <c r="U7093" s="4"/>
      <c r="V7093" s="4"/>
      <c r="X7093" s="4"/>
      <c r="Y7093" s="4"/>
    </row>
    <row r="7094" spans="20:25" x14ac:dyDescent="0.25">
      <c r="T7094" s="10"/>
      <c r="U7094" s="4"/>
      <c r="V7094" s="4"/>
      <c r="X7094" s="4"/>
      <c r="Y7094" s="4"/>
    </row>
    <row r="7095" spans="20:25" x14ac:dyDescent="0.25">
      <c r="T7095" s="10"/>
      <c r="U7095" s="4"/>
      <c r="V7095" s="4"/>
      <c r="X7095" s="4"/>
      <c r="Y7095" s="4"/>
    </row>
    <row r="7096" spans="20:25" x14ac:dyDescent="0.25">
      <c r="T7096" s="10"/>
      <c r="U7096" s="4"/>
      <c r="V7096" s="4"/>
      <c r="X7096" s="4"/>
      <c r="Y7096" s="4"/>
    </row>
    <row r="7097" spans="20:25" x14ac:dyDescent="0.25">
      <c r="T7097" s="10"/>
      <c r="U7097" s="4"/>
      <c r="V7097" s="4"/>
      <c r="X7097" s="4"/>
      <c r="Y7097" s="4"/>
    </row>
    <row r="7098" spans="20:25" x14ac:dyDescent="0.25">
      <c r="T7098" s="10"/>
      <c r="U7098" s="4"/>
      <c r="V7098" s="4"/>
      <c r="X7098" s="4"/>
      <c r="Y7098" s="4"/>
    </row>
    <row r="7099" spans="20:25" x14ac:dyDescent="0.25">
      <c r="T7099" s="10"/>
      <c r="U7099" s="4"/>
      <c r="V7099" s="4"/>
      <c r="X7099" s="4"/>
      <c r="Y7099" s="4"/>
    </row>
    <row r="7100" spans="20:25" x14ac:dyDescent="0.25">
      <c r="T7100" s="10"/>
      <c r="U7100" s="4"/>
      <c r="V7100" s="4"/>
      <c r="X7100" s="4"/>
      <c r="Y7100" s="4"/>
    </row>
    <row r="7101" spans="20:25" x14ac:dyDescent="0.25">
      <c r="T7101" s="10"/>
      <c r="U7101" s="4"/>
      <c r="V7101" s="4"/>
      <c r="X7101" s="4"/>
      <c r="Y7101" s="4"/>
    </row>
    <row r="7102" spans="20:25" x14ac:dyDescent="0.25">
      <c r="T7102" s="10"/>
      <c r="U7102" s="4"/>
      <c r="V7102" s="4"/>
      <c r="X7102" s="4"/>
      <c r="Y7102" s="4"/>
    </row>
    <row r="7103" spans="20:25" x14ac:dyDescent="0.25">
      <c r="T7103" s="10"/>
      <c r="U7103" s="4"/>
      <c r="V7103" s="4"/>
      <c r="X7103" s="4"/>
      <c r="Y7103" s="4"/>
    </row>
    <row r="7104" spans="20:25" x14ac:dyDescent="0.25">
      <c r="T7104" s="10"/>
      <c r="U7104" s="4"/>
      <c r="V7104" s="4"/>
      <c r="X7104" s="4"/>
      <c r="Y7104" s="4"/>
    </row>
    <row r="7105" spans="20:25" x14ac:dyDescent="0.25">
      <c r="T7105" s="10"/>
      <c r="U7105" s="4"/>
      <c r="V7105" s="4"/>
      <c r="X7105" s="4"/>
      <c r="Y7105" s="4"/>
    </row>
    <row r="7106" spans="20:25" x14ac:dyDescent="0.25">
      <c r="T7106" s="10"/>
      <c r="U7106" s="4"/>
      <c r="V7106" s="4"/>
      <c r="X7106" s="4"/>
      <c r="Y7106" s="4"/>
    </row>
    <row r="7107" spans="20:25" x14ac:dyDescent="0.25">
      <c r="T7107" s="10"/>
      <c r="U7107" s="4"/>
      <c r="V7107" s="4"/>
      <c r="X7107" s="4"/>
      <c r="Y7107" s="4"/>
    </row>
    <row r="7108" spans="20:25" x14ac:dyDescent="0.25">
      <c r="T7108" s="10"/>
      <c r="U7108" s="4"/>
      <c r="V7108" s="4"/>
      <c r="X7108" s="4"/>
      <c r="Y7108" s="4"/>
    </row>
    <row r="7109" spans="20:25" x14ac:dyDescent="0.25">
      <c r="T7109" s="10"/>
      <c r="U7109" s="4"/>
      <c r="V7109" s="4"/>
      <c r="X7109" s="4"/>
      <c r="Y7109" s="4"/>
    </row>
    <row r="7110" spans="20:25" x14ac:dyDescent="0.25">
      <c r="T7110" s="10"/>
      <c r="U7110" s="4"/>
      <c r="V7110" s="4"/>
      <c r="X7110" s="4"/>
      <c r="Y7110" s="4"/>
    </row>
    <row r="7111" spans="20:25" x14ac:dyDescent="0.25">
      <c r="T7111" s="10"/>
      <c r="U7111" s="4"/>
      <c r="V7111" s="4"/>
      <c r="X7111" s="4"/>
      <c r="Y7111" s="4"/>
    </row>
    <row r="7112" spans="20:25" x14ac:dyDescent="0.25">
      <c r="T7112" s="10"/>
      <c r="U7112" s="4"/>
      <c r="V7112" s="4"/>
      <c r="X7112" s="4"/>
      <c r="Y7112" s="4"/>
    </row>
    <row r="7113" spans="20:25" x14ac:dyDescent="0.25">
      <c r="T7113" s="10"/>
      <c r="U7113" s="4"/>
      <c r="V7113" s="4"/>
      <c r="X7113" s="4"/>
      <c r="Y7113" s="4"/>
    </row>
    <row r="7114" spans="20:25" x14ac:dyDescent="0.25">
      <c r="T7114" s="10"/>
      <c r="U7114" s="4"/>
      <c r="V7114" s="4"/>
      <c r="X7114" s="4"/>
      <c r="Y7114" s="4"/>
    </row>
    <row r="7115" spans="20:25" x14ac:dyDescent="0.25">
      <c r="T7115" s="10"/>
      <c r="U7115" s="4"/>
      <c r="V7115" s="4"/>
      <c r="X7115" s="4"/>
      <c r="Y7115" s="4"/>
    </row>
    <row r="7116" spans="20:25" x14ac:dyDescent="0.25">
      <c r="T7116" s="10"/>
      <c r="U7116" s="4"/>
      <c r="V7116" s="4"/>
      <c r="X7116" s="4"/>
      <c r="Y7116" s="4"/>
    </row>
    <row r="7117" spans="20:25" x14ac:dyDescent="0.25">
      <c r="T7117" s="10"/>
      <c r="U7117" s="4"/>
      <c r="V7117" s="4"/>
      <c r="X7117" s="4"/>
      <c r="Y7117" s="4"/>
    </row>
    <row r="7118" spans="20:25" x14ac:dyDescent="0.25">
      <c r="T7118" s="10"/>
      <c r="U7118" s="4"/>
      <c r="V7118" s="4"/>
      <c r="X7118" s="4"/>
      <c r="Y7118" s="4"/>
    </row>
    <row r="7119" spans="20:25" x14ac:dyDescent="0.25">
      <c r="T7119" s="10"/>
      <c r="U7119" s="4"/>
      <c r="V7119" s="4"/>
      <c r="X7119" s="4"/>
      <c r="Y7119" s="4"/>
    </row>
    <row r="7120" spans="20:25" x14ac:dyDescent="0.25">
      <c r="T7120" s="10"/>
      <c r="U7120" s="4"/>
      <c r="V7120" s="4"/>
      <c r="X7120" s="4"/>
      <c r="Y7120" s="4"/>
    </row>
    <row r="7121" spans="20:25" x14ac:dyDescent="0.25">
      <c r="T7121" s="10"/>
      <c r="U7121" s="4"/>
      <c r="V7121" s="4"/>
      <c r="X7121" s="4"/>
      <c r="Y7121" s="4"/>
    </row>
    <row r="7122" spans="20:25" x14ac:dyDescent="0.25">
      <c r="T7122" s="10"/>
      <c r="U7122" s="4"/>
      <c r="V7122" s="4"/>
      <c r="X7122" s="4"/>
      <c r="Y7122" s="4"/>
    </row>
    <row r="7123" spans="20:25" x14ac:dyDescent="0.25">
      <c r="T7123" s="10"/>
      <c r="U7123" s="4"/>
      <c r="V7123" s="4"/>
      <c r="X7123" s="4"/>
      <c r="Y7123" s="4"/>
    </row>
    <row r="7124" spans="20:25" x14ac:dyDescent="0.25">
      <c r="T7124" s="10"/>
      <c r="U7124" s="4"/>
      <c r="V7124" s="4"/>
      <c r="X7124" s="4"/>
      <c r="Y7124" s="4"/>
    </row>
    <row r="7125" spans="20:25" x14ac:dyDescent="0.25">
      <c r="T7125" s="10"/>
      <c r="U7125" s="4"/>
      <c r="V7125" s="4"/>
      <c r="X7125" s="4"/>
      <c r="Y7125" s="4"/>
    </row>
    <row r="7126" spans="20:25" x14ac:dyDescent="0.25">
      <c r="T7126" s="10"/>
      <c r="U7126" s="4"/>
      <c r="V7126" s="4"/>
      <c r="X7126" s="4"/>
      <c r="Y7126" s="4"/>
    </row>
    <row r="7127" spans="20:25" x14ac:dyDescent="0.25">
      <c r="T7127" s="10"/>
      <c r="U7127" s="4"/>
      <c r="V7127" s="4"/>
      <c r="X7127" s="4"/>
      <c r="Y7127" s="4"/>
    </row>
    <row r="7128" spans="20:25" x14ac:dyDescent="0.25">
      <c r="T7128" s="10"/>
      <c r="U7128" s="4"/>
      <c r="V7128" s="4"/>
      <c r="X7128" s="4"/>
      <c r="Y7128" s="4"/>
    </row>
    <row r="7129" spans="20:25" x14ac:dyDescent="0.25">
      <c r="T7129" s="10"/>
      <c r="U7129" s="4"/>
      <c r="V7129" s="4"/>
      <c r="X7129" s="4"/>
      <c r="Y7129" s="4"/>
    </row>
    <row r="7130" spans="20:25" x14ac:dyDescent="0.25">
      <c r="T7130" s="10"/>
      <c r="U7130" s="4"/>
      <c r="V7130" s="4"/>
      <c r="X7130" s="4"/>
      <c r="Y7130" s="4"/>
    </row>
    <row r="7131" spans="20:25" x14ac:dyDescent="0.25">
      <c r="T7131" s="10"/>
      <c r="U7131" s="4"/>
      <c r="V7131" s="4"/>
      <c r="X7131" s="4"/>
      <c r="Y7131" s="4"/>
    </row>
    <row r="7132" spans="20:25" x14ac:dyDescent="0.25">
      <c r="T7132" s="10"/>
      <c r="U7132" s="4"/>
      <c r="V7132" s="4"/>
      <c r="X7132" s="4"/>
      <c r="Y7132" s="4"/>
    </row>
    <row r="7133" spans="20:25" x14ac:dyDescent="0.25">
      <c r="T7133" s="10"/>
      <c r="U7133" s="4"/>
      <c r="V7133" s="4"/>
      <c r="X7133" s="4"/>
      <c r="Y7133" s="4"/>
    </row>
    <row r="7134" spans="20:25" x14ac:dyDescent="0.25">
      <c r="T7134" s="10"/>
      <c r="U7134" s="4"/>
      <c r="V7134" s="4"/>
      <c r="X7134" s="4"/>
      <c r="Y7134" s="4"/>
    </row>
    <row r="7135" spans="20:25" x14ac:dyDescent="0.25">
      <c r="T7135" s="10"/>
      <c r="U7135" s="4"/>
      <c r="V7135" s="4"/>
      <c r="X7135" s="4"/>
      <c r="Y7135" s="4"/>
    </row>
    <row r="7136" spans="20:25" x14ac:dyDescent="0.25">
      <c r="T7136" s="10"/>
      <c r="U7136" s="4"/>
      <c r="V7136" s="4"/>
      <c r="X7136" s="4"/>
      <c r="Y7136" s="4"/>
    </row>
    <row r="7137" spans="20:25" x14ac:dyDescent="0.25">
      <c r="T7137" s="10"/>
      <c r="U7137" s="4"/>
      <c r="V7137" s="4"/>
      <c r="X7137" s="4"/>
      <c r="Y7137" s="4"/>
    </row>
    <row r="7138" spans="20:25" x14ac:dyDescent="0.25">
      <c r="T7138" s="10"/>
      <c r="U7138" s="4"/>
      <c r="V7138" s="4"/>
      <c r="X7138" s="4"/>
      <c r="Y7138" s="4"/>
    </row>
    <row r="7139" spans="20:25" x14ac:dyDescent="0.25">
      <c r="T7139" s="10"/>
      <c r="U7139" s="4"/>
      <c r="V7139" s="4"/>
      <c r="X7139" s="4"/>
      <c r="Y7139" s="4"/>
    </row>
    <row r="7140" spans="20:25" x14ac:dyDescent="0.25">
      <c r="T7140" s="10"/>
      <c r="U7140" s="4"/>
      <c r="V7140" s="4"/>
      <c r="X7140" s="4"/>
      <c r="Y7140" s="4"/>
    </row>
    <row r="7141" spans="20:25" x14ac:dyDescent="0.25">
      <c r="T7141" s="10"/>
      <c r="U7141" s="4"/>
      <c r="V7141" s="4"/>
      <c r="X7141" s="4"/>
      <c r="Y7141" s="4"/>
    </row>
    <row r="7142" spans="20:25" x14ac:dyDescent="0.25">
      <c r="T7142" s="10"/>
      <c r="U7142" s="4"/>
      <c r="V7142" s="4"/>
      <c r="X7142" s="4"/>
      <c r="Y7142" s="4"/>
    </row>
    <row r="7143" spans="20:25" x14ac:dyDescent="0.25">
      <c r="T7143" s="10"/>
      <c r="U7143" s="4"/>
      <c r="V7143" s="4"/>
      <c r="X7143" s="4"/>
      <c r="Y7143" s="4"/>
    </row>
    <row r="7144" spans="20:25" x14ac:dyDescent="0.25">
      <c r="T7144" s="10"/>
      <c r="U7144" s="4"/>
      <c r="V7144" s="4"/>
      <c r="X7144" s="4"/>
      <c r="Y7144" s="4"/>
    </row>
    <row r="7145" spans="20:25" x14ac:dyDescent="0.25">
      <c r="T7145" s="10"/>
      <c r="U7145" s="4"/>
      <c r="V7145" s="4"/>
      <c r="X7145" s="4"/>
      <c r="Y7145" s="4"/>
    </row>
    <row r="7146" spans="20:25" x14ac:dyDescent="0.25">
      <c r="T7146" s="10"/>
      <c r="U7146" s="4"/>
      <c r="V7146" s="4"/>
      <c r="X7146" s="4"/>
      <c r="Y7146" s="4"/>
    </row>
    <row r="7147" spans="20:25" x14ac:dyDescent="0.25">
      <c r="T7147" s="10"/>
      <c r="U7147" s="4"/>
      <c r="V7147" s="4"/>
      <c r="X7147" s="4"/>
      <c r="Y7147" s="4"/>
    </row>
    <row r="7148" spans="20:25" x14ac:dyDescent="0.25">
      <c r="T7148" s="10"/>
      <c r="U7148" s="4"/>
      <c r="V7148" s="4"/>
      <c r="X7148" s="4"/>
      <c r="Y7148" s="4"/>
    </row>
    <row r="7149" spans="20:25" x14ac:dyDescent="0.25">
      <c r="T7149" s="10"/>
      <c r="U7149" s="4"/>
      <c r="V7149" s="4"/>
      <c r="X7149" s="4"/>
      <c r="Y7149" s="4"/>
    </row>
    <row r="7150" spans="20:25" x14ac:dyDescent="0.25">
      <c r="T7150" s="10"/>
      <c r="U7150" s="4"/>
      <c r="V7150" s="4"/>
      <c r="X7150" s="4"/>
      <c r="Y7150" s="4"/>
    </row>
    <row r="7151" spans="20:25" x14ac:dyDescent="0.25">
      <c r="T7151" s="10"/>
      <c r="U7151" s="4"/>
      <c r="V7151" s="4"/>
      <c r="X7151" s="4"/>
      <c r="Y7151" s="4"/>
    </row>
    <row r="7152" spans="20:25" x14ac:dyDescent="0.25">
      <c r="T7152" s="10"/>
      <c r="U7152" s="4"/>
      <c r="V7152" s="4"/>
      <c r="X7152" s="4"/>
      <c r="Y7152" s="4"/>
    </row>
    <row r="7153" spans="20:25" x14ac:dyDescent="0.25">
      <c r="T7153" s="10"/>
      <c r="U7153" s="4"/>
      <c r="V7153" s="4"/>
      <c r="X7153" s="4"/>
      <c r="Y7153" s="4"/>
    </row>
    <row r="7154" spans="20:25" x14ac:dyDescent="0.25">
      <c r="T7154" s="10"/>
      <c r="U7154" s="4"/>
      <c r="V7154" s="4"/>
      <c r="X7154" s="4"/>
      <c r="Y7154" s="4"/>
    </row>
    <row r="7155" spans="20:25" x14ac:dyDescent="0.25">
      <c r="T7155" s="10"/>
      <c r="U7155" s="4"/>
      <c r="V7155" s="4"/>
      <c r="X7155" s="4"/>
      <c r="Y7155" s="4"/>
    </row>
    <row r="7156" spans="20:25" x14ac:dyDescent="0.25">
      <c r="T7156" s="10"/>
      <c r="U7156" s="4"/>
      <c r="V7156" s="4"/>
      <c r="X7156" s="4"/>
      <c r="Y7156" s="4"/>
    </row>
    <row r="7157" spans="20:25" x14ac:dyDescent="0.25">
      <c r="T7157" s="10"/>
      <c r="U7157" s="4"/>
      <c r="V7157" s="4"/>
      <c r="X7157" s="4"/>
      <c r="Y7157" s="4"/>
    </row>
    <row r="7158" spans="20:25" x14ac:dyDescent="0.25">
      <c r="T7158" s="10"/>
      <c r="U7158" s="4"/>
      <c r="V7158" s="4"/>
      <c r="X7158" s="4"/>
      <c r="Y7158" s="4"/>
    </row>
    <row r="7159" spans="20:25" x14ac:dyDescent="0.25">
      <c r="T7159" s="10"/>
      <c r="U7159" s="4"/>
      <c r="V7159" s="4"/>
      <c r="X7159" s="4"/>
      <c r="Y7159" s="4"/>
    </row>
    <row r="7160" spans="20:25" x14ac:dyDescent="0.25">
      <c r="T7160" s="10"/>
      <c r="U7160" s="4"/>
      <c r="V7160" s="4"/>
      <c r="X7160" s="4"/>
      <c r="Y7160" s="4"/>
    </row>
    <row r="7161" spans="20:25" x14ac:dyDescent="0.25">
      <c r="T7161" s="10"/>
      <c r="U7161" s="4"/>
      <c r="V7161" s="4"/>
      <c r="X7161" s="4"/>
      <c r="Y7161" s="4"/>
    </row>
    <row r="7162" spans="20:25" x14ac:dyDescent="0.25">
      <c r="T7162" s="10"/>
      <c r="U7162" s="4"/>
      <c r="V7162" s="4"/>
      <c r="X7162" s="4"/>
      <c r="Y7162" s="4"/>
    </row>
    <row r="7163" spans="20:25" x14ac:dyDescent="0.25">
      <c r="T7163" s="10"/>
      <c r="U7163" s="4"/>
      <c r="V7163" s="4"/>
      <c r="X7163" s="4"/>
      <c r="Y7163" s="4"/>
    </row>
    <row r="7164" spans="20:25" x14ac:dyDescent="0.25">
      <c r="T7164" s="10"/>
      <c r="U7164" s="4"/>
      <c r="V7164" s="4"/>
      <c r="X7164" s="4"/>
      <c r="Y7164" s="4"/>
    </row>
    <row r="7165" spans="20:25" x14ac:dyDescent="0.25">
      <c r="T7165" s="10"/>
      <c r="U7165" s="4"/>
      <c r="V7165" s="4"/>
      <c r="X7165" s="4"/>
      <c r="Y7165" s="4"/>
    </row>
    <row r="7166" spans="20:25" x14ac:dyDescent="0.25">
      <c r="T7166" s="10"/>
      <c r="U7166" s="4"/>
      <c r="V7166" s="4"/>
      <c r="X7166" s="4"/>
      <c r="Y7166" s="4"/>
    </row>
    <row r="7167" spans="20:25" x14ac:dyDescent="0.25">
      <c r="T7167" s="10"/>
      <c r="U7167" s="4"/>
      <c r="V7167" s="4"/>
      <c r="X7167" s="4"/>
      <c r="Y7167" s="4"/>
    </row>
    <row r="7168" spans="20:25" x14ac:dyDescent="0.25">
      <c r="T7168" s="10"/>
      <c r="U7168" s="4"/>
      <c r="V7168" s="4"/>
      <c r="X7168" s="4"/>
      <c r="Y7168" s="4"/>
    </row>
    <row r="7169" spans="20:25" x14ac:dyDescent="0.25">
      <c r="T7169" s="10"/>
      <c r="U7169" s="4"/>
      <c r="V7169" s="4"/>
      <c r="X7169" s="4"/>
      <c r="Y7169" s="4"/>
    </row>
    <row r="7170" spans="20:25" x14ac:dyDescent="0.25">
      <c r="T7170" s="10"/>
      <c r="U7170" s="4"/>
      <c r="V7170" s="4"/>
      <c r="X7170" s="4"/>
      <c r="Y7170" s="4"/>
    </row>
    <row r="7171" spans="20:25" x14ac:dyDescent="0.25">
      <c r="T7171" s="10"/>
      <c r="U7171" s="4"/>
      <c r="V7171" s="4"/>
      <c r="X7171" s="4"/>
      <c r="Y7171" s="4"/>
    </row>
    <row r="7172" spans="20:25" x14ac:dyDescent="0.25">
      <c r="T7172" s="10"/>
      <c r="U7172" s="4"/>
      <c r="V7172" s="4"/>
      <c r="X7172" s="4"/>
      <c r="Y7172" s="4"/>
    </row>
    <row r="7173" spans="20:25" x14ac:dyDescent="0.25">
      <c r="T7173" s="10"/>
      <c r="U7173" s="4"/>
      <c r="V7173" s="4"/>
      <c r="X7173" s="4"/>
      <c r="Y7173" s="4"/>
    </row>
    <row r="7174" spans="20:25" x14ac:dyDescent="0.25">
      <c r="T7174" s="10"/>
      <c r="U7174" s="4"/>
      <c r="V7174" s="4"/>
      <c r="X7174" s="4"/>
      <c r="Y7174" s="4"/>
    </row>
    <row r="7175" spans="20:25" x14ac:dyDescent="0.25">
      <c r="T7175" s="10"/>
      <c r="U7175" s="4"/>
      <c r="V7175" s="4"/>
      <c r="X7175" s="4"/>
      <c r="Y7175" s="4"/>
    </row>
    <row r="7176" spans="20:25" x14ac:dyDescent="0.25">
      <c r="T7176" s="10"/>
      <c r="U7176" s="4"/>
      <c r="V7176" s="4"/>
      <c r="X7176" s="4"/>
      <c r="Y7176" s="4"/>
    </row>
    <row r="7177" spans="20:25" x14ac:dyDescent="0.25">
      <c r="T7177" s="10"/>
      <c r="U7177" s="4"/>
      <c r="V7177" s="4"/>
      <c r="X7177" s="4"/>
      <c r="Y7177" s="4"/>
    </row>
    <row r="7178" spans="20:25" x14ac:dyDescent="0.25">
      <c r="T7178" s="10"/>
      <c r="U7178" s="4"/>
      <c r="V7178" s="4"/>
      <c r="X7178" s="4"/>
      <c r="Y7178" s="4"/>
    </row>
    <row r="7179" spans="20:25" x14ac:dyDescent="0.25">
      <c r="T7179" s="10"/>
      <c r="U7179" s="4"/>
      <c r="V7179" s="4"/>
      <c r="X7179" s="4"/>
      <c r="Y7179" s="4"/>
    </row>
    <row r="7180" spans="20:25" x14ac:dyDescent="0.25">
      <c r="T7180" s="10"/>
      <c r="U7180" s="4"/>
      <c r="V7180" s="4"/>
      <c r="X7180" s="4"/>
      <c r="Y7180" s="4"/>
    </row>
    <row r="7181" spans="20:25" x14ac:dyDescent="0.25">
      <c r="T7181" s="10"/>
      <c r="U7181" s="4"/>
      <c r="V7181" s="4"/>
      <c r="X7181" s="4"/>
      <c r="Y7181" s="4"/>
    </row>
    <row r="7182" spans="20:25" x14ac:dyDescent="0.25">
      <c r="T7182" s="10"/>
      <c r="U7182" s="4"/>
      <c r="V7182" s="4"/>
      <c r="X7182" s="4"/>
      <c r="Y7182" s="4"/>
    </row>
    <row r="7183" spans="20:25" x14ac:dyDescent="0.25">
      <c r="T7183" s="10"/>
      <c r="U7183" s="4"/>
      <c r="V7183" s="4"/>
      <c r="X7183" s="4"/>
      <c r="Y7183" s="4"/>
    </row>
    <row r="7184" spans="20:25" x14ac:dyDescent="0.25">
      <c r="T7184" s="10"/>
      <c r="U7184" s="4"/>
      <c r="V7184" s="4"/>
      <c r="X7184" s="4"/>
      <c r="Y7184" s="4"/>
    </row>
    <row r="7185" spans="20:25" x14ac:dyDescent="0.25">
      <c r="T7185" s="10"/>
      <c r="U7185" s="4"/>
      <c r="V7185" s="4"/>
      <c r="X7185" s="4"/>
      <c r="Y7185" s="4"/>
    </row>
    <row r="7186" spans="20:25" x14ac:dyDescent="0.25">
      <c r="T7186" s="10"/>
      <c r="U7186" s="4"/>
      <c r="V7186" s="4"/>
      <c r="X7186" s="4"/>
      <c r="Y7186" s="4"/>
    </row>
    <row r="7187" spans="20:25" x14ac:dyDescent="0.25">
      <c r="T7187" s="10"/>
      <c r="U7187" s="4"/>
      <c r="V7187" s="4"/>
      <c r="X7187" s="4"/>
      <c r="Y7187" s="4"/>
    </row>
    <row r="7188" spans="20:25" x14ac:dyDescent="0.25">
      <c r="T7188" s="10"/>
      <c r="U7188" s="4"/>
      <c r="V7188" s="4"/>
      <c r="X7188" s="4"/>
      <c r="Y7188" s="4"/>
    </row>
    <row r="7189" spans="20:25" x14ac:dyDescent="0.25">
      <c r="T7189" s="10"/>
      <c r="U7189" s="4"/>
      <c r="V7189" s="4"/>
      <c r="X7189" s="4"/>
      <c r="Y7189" s="4"/>
    </row>
    <row r="7190" spans="20:25" x14ac:dyDescent="0.25">
      <c r="T7190" s="10"/>
      <c r="U7190" s="4"/>
      <c r="V7190" s="4"/>
      <c r="X7190" s="4"/>
      <c r="Y7190" s="4"/>
    </row>
    <row r="7191" spans="20:25" x14ac:dyDescent="0.25">
      <c r="T7191" s="10"/>
      <c r="U7191" s="4"/>
      <c r="V7191" s="4"/>
      <c r="X7191" s="4"/>
      <c r="Y7191" s="4"/>
    </row>
    <row r="7192" spans="20:25" x14ac:dyDescent="0.25">
      <c r="T7192" s="10"/>
      <c r="U7192" s="4"/>
      <c r="V7192" s="4"/>
      <c r="X7192" s="4"/>
      <c r="Y7192" s="4"/>
    </row>
    <row r="7193" spans="20:25" x14ac:dyDescent="0.25">
      <c r="T7193" s="10"/>
      <c r="U7193" s="4"/>
      <c r="V7193" s="4"/>
      <c r="X7193" s="4"/>
      <c r="Y7193" s="4"/>
    </row>
    <row r="7194" spans="20:25" x14ac:dyDescent="0.25">
      <c r="T7194" s="10"/>
      <c r="U7194" s="4"/>
      <c r="V7194" s="4"/>
      <c r="X7194" s="4"/>
      <c r="Y7194" s="4"/>
    </row>
    <row r="7195" spans="20:25" x14ac:dyDescent="0.25">
      <c r="T7195" s="10"/>
      <c r="U7195" s="4"/>
      <c r="V7195" s="4"/>
      <c r="X7195" s="4"/>
      <c r="Y7195" s="4"/>
    </row>
    <row r="7196" spans="20:25" x14ac:dyDescent="0.25">
      <c r="T7196" s="10"/>
      <c r="U7196" s="4"/>
      <c r="V7196" s="4"/>
      <c r="X7196" s="4"/>
      <c r="Y7196" s="4"/>
    </row>
    <row r="7197" spans="20:25" x14ac:dyDescent="0.25">
      <c r="T7197" s="10"/>
      <c r="U7197" s="4"/>
      <c r="V7197" s="4"/>
      <c r="X7197" s="4"/>
      <c r="Y7197" s="4"/>
    </row>
    <row r="7198" spans="20:25" x14ac:dyDescent="0.25">
      <c r="T7198" s="10"/>
      <c r="U7198" s="4"/>
      <c r="V7198" s="4"/>
      <c r="X7198" s="4"/>
      <c r="Y7198" s="4"/>
    </row>
    <row r="7199" spans="20:25" x14ac:dyDescent="0.25">
      <c r="T7199" s="10"/>
      <c r="U7199" s="4"/>
      <c r="V7199" s="4"/>
      <c r="X7199" s="4"/>
      <c r="Y7199" s="4"/>
    </row>
    <row r="7200" spans="20:25" x14ac:dyDescent="0.25">
      <c r="T7200" s="10"/>
      <c r="U7200" s="4"/>
      <c r="V7200" s="4"/>
      <c r="X7200" s="4"/>
      <c r="Y7200" s="4"/>
    </row>
    <row r="7201" spans="20:25" x14ac:dyDescent="0.25">
      <c r="T7201" s="10"/>
      <c r="U7201" s="4"/>
      <c r="V7201" s="4"/>
      <c r="X7201" s="4"/>
      <c r="Y7201" s="4"/>
    </row>
    <row r="7202" spans="20:25" x14ac:dyDescent="0.25">
      <c r="T7202" s="10"/>
      <c r="U7202" s="4"/>
      <c r="V7202" s="4"/>
      <c r="X7202" s="4"/>
      <c r="Y7202" s="4"/>
    </row>
    <row r="7203" spans="20:25" x14ac:dyDescent="0.25">
      <c r="T7203" s="10"/>
      <c r="U7203" s="4"/>
      <c r="V7203" s="4"/>
      <c r="X7203" s="4"/>
      <c r="Y7203" s="4"/>
    </row>
    <row r="7204" spans="20:25" x14ac:dyDescent="0.25">
      <c r="T7204" s="10"/>
      <c r="U7204" s="4"/>
      <c r="V7204" s="4"/>
      <c r="X7204" s="4"/>
      <c r="Y7204" s="4"/>
    </row>
    <row r="7205" spans="20:25" x14ac:dyDescent="0.25">
      <c r="T7205" s="10"/>
      <c r="U7205" s="4"/>
      <c r="V7205" s="4"/>
      <c r="X7205" s="4"/>
      <c r="Y7205" s="4"/>
    </row>
    <row r="7206" spans="20:25" x14ac:dyDescent="0.25">
      <c r="T7206" s="10"/>
      <c r="U7206" s="4"/>
      <c r="V7206" s="4"/>
      <c r="X7206" s="4"/>
      <c r="Y7206" s="4"/>
    </row>
    <row r="7207" spans="20:25" x14ac:dyDescent="0.25">
      <c r="T7207" s="10"/>
      <c r="U7207" s="4"/>
      <c r="V7207" s="4"/>
      <c r="X7207" s="4"/>
      <c r="Y7207" s="4"/>
    </row>
    <row r="7208" spans="20:25" x14ac:dyDescent="0.25">
      <c r="T7208" s="10"/>
      <c r="U7208" s="4"/>
      <c r="V7208" s="4"/>
      <c r="X7208" s="4"/>
      <c r="Y7208" s="4"/>
    </row>
    <row r="7209" spans="20:25" x14ac:dyDescent="0.25">
      <c r="T7209" s="10"/>
      <c r="U7209" s="4"/>
      <c r="V7209" s="4"/>
      <c r="X7209" s="4"/>
      <c r="Y7209" s="4"/>
    </row>
    <row r="7210" spans="20:25" x14ac:dyDescent="0.25">
      <c r="T7210" s="10"/>
      <c r="U7210" s="4"/>
      <c r="V7210" s="4"/>
      <c r="X7210" s="4"/>
      <c r="Y7210" s="4"/>
    </row>
    <row r="7211" spans="20:25" x14ac:dyDescent="0.25">
      <c r="T7211" s="10"/>
      <c r="U7211" s="4"/>
      <c r="V7211" s="4"/>
      <c r="X7211" s="4"/>
      <c r="Y7211" s="4"/>
    </row>
    <row r="7212" spans="20:25" x14ac:dyDescent="0.25">
      <c r="T7212" s="10"/>
      <c r="U7212" s="4"/>
      <c r="V7212" s="4"/>
      <c r="X7212" s="4"/>
      <c r="Y7212" s="4"/>
    </row>
    <row r="7213" spans="20:25" x14ac:dyDescent="0.25">
      <c r="T7213" s="10"/>
      <c r="U7213" s="4"/>
      <c r="V7213" s="4"/>
      <c r="X7213" s="4"/>
      <c r="Y7213" s="4"/>
    </row>
    <row r="7214" spans="20:25" x14ac:dyDescent="0.25">
      <c r="T7214" s="10"/>
      <c r="U7214" s="4"/>
      <c r="V7214" s="4"/>
      <c r="X7214" s="4"/>
      <c r="Y7214" s="4"/>
    </row>
    <row r="7215" spans="20:25" x14ac:dyDescent="0.25">
      <c r="T7215" s="10"/>
      <c r="U7215" s="4"/>
      <c r="V7215" s="4"/>
      <c r="X7215" s="4"/>
      <c r="Y7215" s="4"/>
    </row>
    <row r="7216" spans="20:25" x14ac:dyDescent="0.25">
      <c r="T7216" s="10"/>
      <c r="U7216" s="4"/>
      <c r="V7216" s="4"/>
      <c r="X7216" s="4"/>
      <c r="Y7216" s="4"/>
    </row>
    <row r="7217" spans="20:25" x14ac:dyDescent="0.25">
      <c r="T7217" s="10"/>
      <c r="U7217" s="4"/>
      <c r="V7217" s="4"/>
      <c r="X7217" s="4"/>
      <c r="Y7217" s="4"/>
    </row>
    <row r="7218" spans="20:25" x14ac:dyDescent="0.25">
      <c r="T7218" s="10"/>
      <c r="U7218" s="4"/>
      <c r="V7218" s="4"/>
      <c r="X7218" s="4"/>
      <c r="Y7218" s="4"/>
    </row>
    <row r="7219" spans="20:25" x14ac:dyDescent="0.25">
      <c r="T7219" s="10"/>
      <c r="U7219" s="4"/>
      <c r="V7219" s="4"/>
      <c r="X7219" s="4"/>
      <c r="Y7219" s="4"/>
    </row>
    <row r="7220" spans="20:25" x14ac:dyDescent="0.25">
      <c r="T7220" s="10"/>
      <c r="U7220" s="4"/>
      <c r="V7220" s="4"/>
      <c r="X7220" s="4"/>
      <c r="Y7220" s="4"/>
    </row>
    <row r="7221" spans="20:25" x14ac:dyDescent="0.25">
      <c r="T7221" s="10"/>
      <c r="U7221" s="4"/>
      <c r="V7221" s="4"/>
      <c r="X7221" s="4"/>
      <c r="Y7221" s="4"/>
    </row>
    <row r="7222" spans="20:25" x14ac:dyDescent="0.25">
      <c r="T7222" s="10"/>
      <c r="U7222" s="4"/>
      <c r="V7222" s="4"/>
      <c r="X7222" s="4"/>
      <c r="Y7222" s="4"/>
    </row>
    <row r="7223" spans="20:25" x14ac:dyDescent="0.25">
      <c r="T7223" s="10"/>
      <c r="U7223" s="4"/>
      <c r="V7223" s="4"/>
      <c r="X7223" s="4"/>
      <c r="Y7223" s="4"/>
    </row>
    <row r="7224" spans="20:25" x14ac:dyDescent="0.25">
      <c r="T7224" s="10"/>
      <c r="U7224" s="4"/>
      <c r="V7224" s="4"/>
      <c r="X7224" s="4"/>
      <c r="Y7224" s="4"/>
    </row>
    <row r="7225" spans="20:25" x14ac:dyDescent="0.25">
      <c r="T7225" s="10"/>
      <c r="U7225" s="4"/>
      <c r="V7225" s="4"/>
      <c r="X7225" s="4"/>
      <c r="Y7225" s="4"/>
    </row>
    <row r="7226" spans="20:25" x14ac:dyDescent="0.25">
      <c r="T7226" s="10"/>
      <c r="U7226" s="4"/>
      <c r="V7226" s="4"/>
      <c r="X7226" s="4"/>
      <c r="Y7226" s="4"/>
    </row>
    <row r="7227" spans="20:25" x14ac:dyDescent="0.25">
      <c r="T7227" s="10"/>
      <c r="U7227" s="4"/>
      <c r="V7227" s="4"/>
      <c r="X7227" s="4"/>
      <c r="Y7227" s="4"/>
    </row>
    <row r="7228" spans="20:25" x14ac:dyDescent="0.25">
      <c r="T7228" s="10"/>
      <c r="U7228" s="4"/>
      <c r="V7228" s="4"/>
      <c r="X7228" s="4"/>
      <c r="Y7228" s="4"/>
    </row>
    <row r="7229" spans="20:25" x14ac:dyDescent="0.25">
      <c r="T7229" s="10"/>
      <c r="U7229" s="4"/>
      <c r="V7229" s="4"/>
      <c r="X7229" s="4"/>
      <c r="Y7229" s="4"/>
    </row>
    <row r="7230" spans="20:25" x14ac:dyDescent="0.25">
      <c r="T7230" s="10"/>
      <c r="U7230" s="4"/>
      <c r="V7230" s="4"/>
      <c r="X7230" s="4"/>
      <c r="Y7230" s="4"/>
    </row>
    <row r="7231" spans="20:25" x14ac:dyDescent="0.25">
      <c r="T7231" s="10"/>
      <c r="U7231" s="4"/>
      <c r="V7231" s="4"/>
      <c r="X7231" s="4"/>
      <c r="Y7231" s="4"/>
    </row>
    <row r="7232" spans="20:25" x14ac:dyDescent="0.25">
      <c r="T7232" s="10"/>
      <c r="U7232" s="4"/>
      <c r="V7232" s="4"/>
      <c r="X7232" s="4"/>
      <c r="Y7232" s="4"/>
    </row>
    <row r="7233" spans="20:25" x14ac:dyDescent="0.25">
      <c r="T7233" s="10"/>
      <c r="U7233" s="4"/>
      <c r="V7233" s="4"/>
      <c r="X7233" s="4"/>
      <c r="Y7233" s="4"/>
    </row>
    <row r="7234" spans="20:25" x14ac:dyDescent="0.25">
      <c r="T7234" s="10"/>
      <c r="U7234" s="4"/>
      <c r="V7234" s="4"/>
      <c r="X7234" s="4"/>
      <c r="Y7234" s="4"/>
    </row>
    <row r="7235" spans="20:25" x14ac:dyDescent="0.25">
      <c r="T7235" s="10"/>
      <c r="U7235" s="4"/>
      <c r="V7235" s="4"/>
      <c r="X7235" s="4"/>
      <c r="Y7235" s="4"/>
    </row>
    <row r="7236" spans="20:25" x14ac:dyDescent="0.25">
      <c r="T7236" s="10"/>
      <c r="U7236" s="4"/>
      <c r="V7236" s="4"/>
      <c r="X7236" s="4"/>
      <c r="Y7236" s="4"/>
    </row>
    <row r="7237" spans="20:25" x14ac:dyDescent="0.25">
      <c r="T7237" s="10"/>
      <c r="U7237" s="4"/>
      <c r="V7237" s="4"/>
      <c r="X7237" s="4"/>
      <c r="Y7237" s="4"/>
    </row>
    <row r="7238" spans="20:25" x14ac:dyDescent="0.25">
      <c r="T7238" s="10"/>
      <c r="U7238" s="4"/>
      <c r="V7238" s="4"/>
      <c r="X7238" s="4"/>
      <c r="Y7238" s="4"/>
    </row>
    <row r="7239" spans="20:25" x14ac:dyDescent="0.25">
      <c r="T7239" s="10"/>
      <c r="U7239" s="4"/>
      <c r="V7239" s="4"/>
      <c r="X7239" s="4"/>
      <c r="Y7239" s="4"/>
    </row>
    <row r="7240" spans="20:25" x14ac:dyDescent="0.25">
      <c r="T7240" s="10"/>
      <c r="U7240" s="4"/>
      <c r="V7240" s="4"/>
      <c r="X7240" s="4"/>
      <c r="Y7240" s="4"/>
    </row>
    <row r="7241" spans="20:25" x14ac:dyDescent="0.25">
      <c r="T7241" s="10"/>
      <c r="U7241" s="4"/>
      <c r="V7241" s="4"/>
      <c r="X7241" s="4"/>
      <c r="Y7241" s="4"/>
    </row>
    <row r="7242" spans="20:25" x14ac:dyDescent="0.25">
      <c r="T7242" s="10"/>
      <c r="U7242" s="4"/>
      <c r="V7242" s="4"/>
      <c r="X7242" s="4"/>
      <c r="Y7242" s="4"/>
    </row>
    <row r="7243" spans="20:25" x14ac:dyDescent="0.25">
      <c r="T7243" s="10"/>
      <c r="U7243" s="4"/>
      <c r="V7243" s="4"/>
      <c r="X7243" s="4"/>
      <c r="Y7243" s="4"/>
    </row>
    <row r="7244" spans="20:25" x14ac:dyDescent="0.25">
      <c r="T7244" s="10"/>
      <c r="U7244" s="4"/>
      <c r="V7244" s="4"/>
      <c r="X7244" s="4"/>
      <c r="Y7244" s="4"/>
    </row>
    <row r="7245" spans="20:25" x14ac:dyDescent="0.25">
      <c r="T7245" s="10"/>
      <c r="U7245" s="4"/>
      <c r="V7245" s="4"/>
      <c r="X7245" s="4"/>
      <c r="Y7245" s="4"/>
    </row>
    <row r="7246" spans="20:25" x14ac:dyDescent="0.25">
      <c r="T7246" s="10"/>
      <c r="U7246" s="4"/>
      <c r="V7246" s="4"/>
      <c r="X7246" s="4"/>
      <c r="Y7246" s="4"/>
    </row>
    <row r="7247" spans="20:25" x14ac:dyDescent="0.25">
      <c r="T7247" s="10"/>
      <c r="U7247" s="4"/>
      <c r="V7247" s="4"/>
      <c r="X7247" s="4"/>
      <c r="Y7247" s="4"/>
    </row>
    <row r="7248" spans="20:25" x14ac:dyDescent="0.25">
      <c r="T7248" s="10"/>
      <c r="U7248" s="4"/>
      <c r="V7248" s="4"/>
      <c r="X7248" s="4"/>
      <c r="Y7248" s="4"/>
    </row>
    <row r="7249" spans="20:25" x14ac:dyDescent="0.25">
      <c r="T7249" s="10"/>
      <c r="U7249" s="4"/>
      <c r="V7249" s="4"/>
      <c r="X7249" s="4"/>
      <c r="Y7249" s="4"/>
    </row>
    <row r="7250" spans="20:25" x14ac:dyDescent="0.25">
      <c r="T7250" s="10"/>
      <c r="U7250" s="4"/>
      <c r="V7250" s="4"/>
      <c r="X7250" s="4"/>
      <c r="Y7250" s="4"/>
    </row>
    <row r="7251" spans="20:25" x14ac:dyDescent="0.25">
      <c r="T7251" s="10"/>
      <c r="U7251" s="4"/>
      <c r="V7251" s="4"/>
      <c r="X7251" s="4"/>
      <c r="Y7251" s="4"/>
    </row>
    <row r="7252" spans="20:25" x14ac:dyDescent="0.25">
      <c r="T7252" s="10"/>
      <c r="U7252" s="4"/>
      <c r="V7252" s="4"/>
      <c r="X7252" s="4"/>
      <c r="Y7252" s="4"/>
    </row>
    <row r="7253" spans="20:25" x14ac:dyDescent="0.25">
      <c r="T7253" s="10"/>
      <c r="U7253" s="4"/>
      <c r="V7253" s="4"/>
      <c r="X7253" s="4"/>
      <c r="Y7253" s="4"/>
    </row>
    <row r="7254" spans="20:25" x14ac:dyDescent="0.25">
      <c r="T7254" s="10"/>
      <c r="U7254" s="4"/>
      <c r="V7254" s="4"/>
      <c r="X7254" s="4"/>
      <c r="Y7254" s="4"/>
    </row>
    <row r="7255" spans="20:25" x14ac:dyDescent="0.25">
      <c r="T7255" s="10"/>
      <c r="U7255" s="4"/>
      <c r="V7255" s="4"/>
      <c r="X7255" s="4"/>
      <c r="Y7255" s="4"/>
    </row>
    <row r="7256" spans="20:25" x14ac:dyDescent="0.25">
      <c r="T7256" s="10"/>
      <c r="U7256" s="4"/>
      <c r="V7256" s="4"/>
      <c r="X7256" s="4"/>
      <c r="Y7256" s="4"/>
    </row>
    <row r="7257" spans="20:25" x14ac:dyDescent="0.25">
      <c r="T7257" s="10"/>
      <c r="U7257" s="4"/>
      <c r="V7257" s="4"/>
      <c r="X7257" s="4"/>
      <c r="Y7257" s="4"/>
    </row>
    <row r="7258" spans="20:25" x14ac:dyDescent="0.25">
      <c r="T7258" s="10"/>
      <c r="U7258" s="4"/>
      <c r="V7258" s="4"/>
      <c r="X7258" s="4"/>
      <c r="Y7258" s="4"/>
    </row>
    <row r="7259" spans="20:25" x14ac:dyDescent="0.25">
      <c r="T7259" s="10"/>
      <c r="U7259" s="4"/>
      <c r="V7259" s="4"/>
      <c r="X7259" s="4"/>
      <c r="Y7259" s="4"/>
    </row>
    <row r="7260" spans="20:25" x14ac:dyDescent="0.25">
      <c r="T7260" s="10"/>
      <c r="U7260" s="4"/>
      <c r="V7260" s="4"/>
      <c r="X7260" s="4"/>
      <c r="Y7260" s="4"/>
    </row>
    <row r="7261" spans="20:25" x14ac:dyDescent="0.25">
      <c r="T7261" s="10"/>
      <c r="U7261" s="4"/>
      <c r="V7261" s="4"/>
      <c r="X7261" s="4"/>
      <c r="Y7261" s="4"/>
    </row>
    <row r="7262" spans="20:25" x14ac:dyDescent="0.25">
      <c r="T7262" s="10"/>
      <c r="U7262" s="4"/>
      <c r="V7262" s="4"/>
      <c r="X7262" s="4"/>
      <c r="Y7262" s="4"/>
    </row>
    <row r="7263" spans="20:25" x14ac:dyDescent="0.25">
      <c r="T7263" s="10"/>
      <c r="U7263" s="4"/>
      <c r="V7263" s="4"/>
      <c r="X7263" s="4"/>
      <c r="Y7263" s="4"/>
    </row>
    <row r="7264" spans="20:25" x14ac:dyDescent="0.25">
      <c r="T7264" s="10"/>
      <c r="U7264" s="4"/>
      <c r="V7264" s="4"/>
      <c r="X7264" s="4"/>
      <c r="Y7264" s="4"/>
    </row>
    <row r="7265" spans="20:25" x14ac:dyDescent="0.25">
      <c r="T7265" s="10"/>
      <c r="U7265" s="4"/>
      <c r="V7265" s="4"/>
      <c r="X7265" s="4"/>
      <c r="Y7265" s="4"/>
    </row>
    <row r="7266" spans="20:25" x14ac:dyDescent="0.25">
      <c r="T7266" s="10"/>
      <c r="U7266" s="4"/>
      <c r="V7266" s="4"/>
      <c r="X7266" s="4"/>
      <c r="Y7266" s="4"/>
    </row>
    <row r="7267" spans="20:25" x14ac:dyDescent="0.25">
      <c r="T7267" s="10"/>
      <c r="U7267" s="4"/>
      <c r="V7267" s="4"/>
      <c r="X7267" s="4"/>
      <c r="Y7267" s="4"/>
    </row>
    <row r="7268" spans="20:25" x14ac:dyDescent="0.25">
      <c r="T7268" s="10"/>
      <c r="U7268" s="4"/>
      <c r="V7268" s="4"/>
      <c r="X7268" s="4"/>
      <c r="Y7268" s="4"/>
    </row>
    <row r="7269" spans="20:25" x14ac:dyDescent="0.25">
      <c r="T7269" s="10"/>
      <c r="U7269" s="4"/>
      <c r="V7269" s="4"/>
      <c r="X7269" s="4"/>
      <c r="Y7269" s="4"/>
    </row>
    <row r="7270" spans="20:25" x14ac:dyDescent="0.25">
      <c r="T7270" s="10"/>
      <c r="U7270" s="4"/>
      <c r="V7270" s="4"/>
      <c r="X7270" s="4"/>
      <c r="Y7270" s="4"/>
    </row>
    <row r="7271" spans="20:25" x14ac:dyDescent="0.25">
      <c r="T7271" s="10"/>
      <c r="U7271" s="4"/>
      <c r="V7271" s="4"/>
      <c r="X7271" s="4"/>
      <c r="Y7271" s="4"/>
    </row>
    <row r="7272" spans="20:25" x14ac:dyDescent="0.25">
      <c r="T7272" s="10"/>
      <c r="U7272" s="4"/>
      <c r="V7272" s="4"/>
      <c r="X7272" s="4"/>
      <c r="Y7272" s="4"/>
    </row>
    <row r="7273" spans="20:25" x14ac:dyDescent="0.25">
      <c r="T7273" s="10"/>
      <c r="U7273" s="4"/>
      <c r="V7273" s="4"/>
      <c r="X7273" s="4"/>
      <c r="Y7273" s="4"/>
    </row>
    <row r="7274" spans="20:25" x14ac:dyDescent="0.25">
      <c r="T7274" s="10"/>
      <c r="U7274" s="4"/>
      <c r="V7274" s="4"/>
      <c r="X7274" s="4"/>
      <c r="Y7274" s="4"/>
    </row>
    <row r="7275" spans="20:25" x14ac:dyDescent="0.25">
      <c r="T7275" s="10"/>
      <c r="U7275" s="4"/>
      <c r="V7275" s="4"/>
      <c r="X7275" s="4"/>
      <c r="Y7275" s="4"/>
    </row>
    <row r="7276" spans="20:25" x14ac:dyDescent="0.25">
      <c r="T7276" s="10"/>
      <c r="U7276" s="4"/>
      <c r="V7276" s="4"/>
      <c r="X7276" s="4"/>
      <c r="Y7276" s="4"/>
    </row>
    <row r="7277" spans="20:25" x14ac:dyDescent="0.25">
      <c r="T7277" s="10"/>
      <c r="U7277" s="4"/>
      <c r="V7277" s="4"/>
      <c r="X7277" s="4"/>
      <c r="Y7277" s="4"/>
    </row>
    <row r="7278" spans="20:25" x14ac:dyDescent="0.25">
      <c r="T7278" s="10"/>
      <c r="U7278" s="4"/>
      <c r="V7278" s="4"/>
      <c r="X7278" s="4"/>
      <c r="Y7278" s="4"/>
    </row>
    <row r="7279" spans="20:25" x14ac:dyDescent="0.25">
      <c r="T7279" s="10"/>
      <c r="U7279" s="4"/>
      <c r="V7279" s="4"/>
      <c r="X7279" s="4"/>
      <c r="Y7279" s="4"/>
    </row>
    <row r="7280" spans="20:25" x14ac:dyDescent="0.25">
      <c r="T7280" s="10"/>
      <c r="U7280" s="4"/>
      <c r="V7280" s="4"/>
      <c r="X7280" s="4"/>
      <c r="Y7280" s="4"/>
    </row>
    <row r="7281" spans="20:25" x14ac:dyDescent="0.25">
      <c r="T7281" s="10"/>
      <c r="U7281" s="4"/>
      <c r="V7281" s="4"/>
      <c r="X7281" s="4"/>
      <c r="Y7281" s="4"/>
    </row>
    <row r="7282" spans="20:25" x14ac:dyDescent="0.25">
      <c r="T7282" s="10"/>
      <c r="U7282" s="4"/>
      <c r="V7282" s="4"/>
      <c r="X7282" s="4"/>
      <c r="Y7282" s="4"/>
    </row>
    <row r="7283" spans="20:25" x14ac:dyDescent="0.25">
      <c r="T7283" s="10"/>
      <c r="U7283" s="4"/>
      <c r="V7283" s="4"/>
      <c r="X7283" s="4"/>
      <c r="Y7283" s="4"/>
    </row>
    <row r="7284" spans="20:25" x14ac:dyDescent="0.25">
      <c r="T7284" s="10"/>
      <c r="U7284" s="4"/>
      <c r="V7284" s="4"/>
      <c r="X7284" s="4"/>
      <c r="Y7284" s="4"/>
    </row>
    <row r="7285" spans="20:25" x14ac:dyDescent="0.25">
      <c r="T7285" s="10"/>
      <c r="U7285" s="4"/>
      <c r="V7285" s="4"/>
      <c r="X7285" s="4"/>
      <c r="Y7285" s="4"/>
    </row>
    <row r="7286" spans="20:25" x14ac:dyDescent="0.25">
      <c r="T7286" s="10"/>
      <c r="U7286" s="4"/>
      <c r="V7286" s="4"/>
      <c r="X7286" s="4"/>
      <c r="Y7286" s="4"/>
    </row>
    <row r="7287" spans="20:25" x14ac:dyDescent="0.25">
      <c r="T7287" s="10"/>
      <c r="U7287" s="4"/>
      <c r="V7287" s="4"/>
      <c r="X7287" s="4"/>
      <c r="Y7287" s="4"/>
    </row>
    <row r="7288" spans="20:25" x14ac:dyDescent="0.25">
      <c r="T7288" s="10"/>
      <c r="U7288" s="4"/>
      <c r="V7288" s="4"/>
      <c r="X7288" s="4"/>
      <c r="Y7288" s="4"/>
    </row>
    <row r="7289" spans="20:25" x14ac:dyDescent="0.25">
      <c r="T7289" s="10"/>
      <c r="U7289" s="4"/>
      <c r="V7289" s="4"/>
      <c r="X7289" s="4"/>
      <c r="Y7289" s="4"/>
    </row>
    <row r="7290" spans="20:25" x14ac:dyDescent="0.25">
      <c r="T7290" s="10"/>
      <c r="U7290" s="4"/>
      <c r="V7290" s="4"/>
      <c r="X7290" s="4"/>
      <c r="Y7290" s="4"/>
    </row>
    <row r="7291" spans="20:25" x14ac:dyDescent="0.25">
      <c r="T7291" s="10"/>
      <c r="U7291" s="4"/>
      <c r="V7291" s="4"/>
      <c r="X7291" s="4"/>
      <c r="Y7291" s="4"/>
    </row>
    <row r="7292" spans="20:25" x14ac:dyDescent="0.25">
      <c r="T7292" s="10"/>
      <c r="U7292" s="4"/>
      <c r="V7292" s="4"/>
      <c r="X7292" s="4"/>
      <c r="Y7292" s="4"/>
    </row>
    <row r="7293" spans="20:25" x14ac:dyDescent="0.25">
      <c r="T7293" s="10"/>
      <c r="U7293" s="4"/>
      <c r="V7293" s="4"/>
      <c r="X7293" s="4"/>
      <c r="Y7293" s="4"/>
    </row>
    <row r="7294" spans="20:25" x14ac:dyDescent="0.25">
      <c r="T7294" s="10"/>
      <c r="U7294" s="4"/>
      <c r="V7294" s="4"/>
      <c r="X7294" s="4"/>
      <c r="Y7294" s="4"/>
    </row>
    <row r="7295" spans="20:25" x14ac:dyDescent="0.25">
      <c r="T7295" s="10"/>
      <c r="U7295" s="4"/>
      <c r="V7295" s="4"/>
      <c r="X7295" s="4"/>
      <c r="Y7295" s="4"/>
    </row>
    <row r="7296" spans="20:25" x14ac:dyDescent="0.25">
      <c r="T7296" s="10"/>
      <c r="U7296" s="4"/>
      <c r="V7296" s="4"/>
      <c r="X7296" s="4"/>
      <c r="Y7296" s="4"/>
    </row>
    <row r="7297" spans="20:25" x14ac:dyDescent="0.25">
      <c r="T7297" s="10"/>
      <c r="U7297" s="4"/>
      <c r="V7297" s="4"/>
      <c r="X7297" s="4"/>
      <c r="Y7297" s="4"/>
    </row>
    <row r="7298" spans="20:25" x14ac:dyDescent="0.25">
      <c r="T7298" s="10"/>
      <c r="U7298" s="4"/>
      <c r="V7298" s="4"/>
      <c r="X7298" s="4"/>
      <c r="Y7298" s="4"/>
    </row>
    <row r="7299" spans="20:25" x14ac:dyDescent="0.25">
      <c r="T7299" s="10"/>
      <c r="U7299" s="4"/>
      <c r="V7299" s="4"/>
      <c r="X7299" s="4"/>
      <c r="Y7299" s="4"/>
    </row>
    <row r="7300" spans="20:25" x14ac:dyDescent="0.25">
      <c r="T7300" s="10"/>
      <c r="U7300" s="4"/>
      <c r="V7300" s="4"/>
      <c r="X7300" s="4"/>
      <c r="Y7300" s="4"/>
    </row>
    <row r="7301" spans="20:25" x14ac:dyDescent="0.25">
      <c r="T7301" s="10"/>
      <c r="U7301" s="4"/>
      <c r="V7301" s="4"/>
      <c r="X7301" s="4"/>
      <c r="Y7301" s="4"/>
    </row>
    <row r="7302" spans="20:25" x14ac:dyDescent="0.25">
      <c r="T7302" s="10"/>
      <c r="U7302" s="4"/>
      <c r="V7302" s="4"/>
      <c r="X7302" s="4"/>
      <c r="Y7302" s="4"/>
    </row>
    <row r="7303" spans="20:25" x14ac:dyDescent="0.25">
      <c r="T7303" s="10"/>
      <c r="U7303" s="4"/>
      <c r="V7303" s="4"/>
      <c r="X7303" s="4"/>
      <c r="Y7303" s="4"/>
    </row>
    <row r="7304" spans="20:25" x14ac:dyDescent="0.25">
      <c r="T7304" s="10"/>
      <c r="U7304" s="4"/>
      <c r="V7304" s="4"/>
      <c r="X7304" s="4"/>
      <c r="Y7304" s="4"/>
    </row>
    <row r="7305" spans="20:25" x14ac:dyDescent="0.25">
      <c r="T7305" s="10"/>
      <c r="U7305" s="4"/>
      <c r="V7305" s="4"/>
      <c r="X7305" s="4"/>
      <c r="Y7305" s="4"/>
    </row>
    <row r="7306" spans="20:25" x14ac:dyDescent="0.25">
      <c r="T7306" s="10"/>
      <c r="U7306" s="4"/>
      <c r="V7306" s="4"/>
      <c r="X7306" s="4"/>
      <c r="Y7306" s="4"/>
    </row>
    <row r="7307" spans="20:25" x14ac:dyDescent="0.25">
      <c r="T7307" s="10"/>
      <c r="U7307" s="4"/>
      <c r="V7307" s="4"/>
      <c r="X7307" s="4"/>
      <c r="Y7307" s="4"/>
    </row>
    <row r="7308" spans="20:25" x14ac:dyDescent="0.25">
      <c r="T7308" s="10"/>
      <c r="U7308" s="4"/>
      <c r="V7308" s="4"/>
      <c r="X7308" s="4"/>
      <c r="Y7308" s="4"/>
    </row>
    <row r="7309" spans="20:25" x14ac:dyDescent="0.25">
      <c r="T7309" s="10"/>
      <c r="U7309" s="4"/>
      <c r="V7309" s="4"/>
      <c r="X7309" s="4"/>
      <c r="Y7309" s="4"/>
    </row>
    <row r="7310" spans="20:25" x14ac:dyDescent="0.25">
      <c r="T7310" s="10"/>
      <c r="U7310" s="4"/>
      <c r="V7310" s="4"/>
      <c r="X7310" s="4"/>
      <c r="Y7310" s="4"/>
    </row>
    <row r="7311" spans="20:25" x14ac:dyDescent="0.25">
      <c r="T7311" s="10"/>
      <c r="U7311" s="4"/>
      <c r="V7311" s="4"/>
      <c r="X7311" s="4"/>
      <c r="Y7311" s="4"/>
    </row>
    <row r="7312" spans="20:25" x14ac:dyDescent="0.25">
      <c r="T7312" s="10"/>
      <c r="U7312" s="4"/>
      <c r="V7312" s="4"/>
      <c r="X7312" s="4"/>
      <c r="Y7312" s="4"/>
    </row>
    <row r="7313" spans="20:25" x14ac:dyDescent="0.25">
      <c r="T7313" s="10"/>
      <c r="U7313" s="4"/>
      <c r="V7313" s="4"/>
      <c r="X7313" s="4"/>
      <c r="Y7313" s="4"/>
    </row>
    <row r="7314" spans="20:25" x14ac:dyDescent="0.25">
      <c r="T7314" s="10"/>
      <c r="U7314" s="4"/>
      <c r="V7314" s="4"/>
      <c r="X7314" s="4"/>
      <c r="Y7314" s="4"/>
    </row>
    <row r="7315" spans="20:25" x14ac:dyDescent="0.25">
      <c r="T7315" s="10"/>
      <c r="U7315" s="4"/>
      <c r="V7315" s="4"/>
      <c r="X7315" s="4"/>
      <c r="Y7315" s="4"/>
    </row>
    <row r="7316" spans="20:25" x14ac:dyDescent="0.25">
      <c r="T7316" s="10"/>
      <c r="U7316" s="4"/>
      <c r="V7316" s="4"/>
      <c r="X7316" s="4"/>
      <c r="Y7316" s="4"/>
    </row>
    <row r="7317" spans="20:25" x14ac:dyDescent="0.25">
      <c r="T7317" s="10"/>
      <c r="U7317" s="4"/>
      <c r="V7317" s="4"/>
      <c r="X7317" s="4"/>
      <c r="Y7317" s="4"/>
    </row>
    <row r="7318" spans="20:25" x14ac:dyDescent="0.25">
      <c r="T7318" s="10"/>
      <c r="U7318" s="4"/>
      <c r="V7318" s="4"/>
      <c r="X7318" s="4"/>
      <c r="Y7318" s="4"/>
    </row>
    <row r="7319" spans="20:25" x14ac:dyDescent="0.25">
      <c r="T7319" s="10"/>
      <c r="U7319" s="4"/>
      <c r="V7319" s="4"/>
      <c r="X7319" s="4"/>
      <c r="Y7319" s="4"/>
    </row>
    <row r="7320" spans="20:25" x14ac:dyDescent="0.25">
      <c r="T7320" s="10"/>
      <c r="U7320" s="4"/>
      <c r="V7320" s="4"/>
      <c r="X7320" s="4"/>
      <c r="Y7320" s="4"/>
    </row>
    <row r="7321" spans="20:25" x14ac:dyDescent="0.25">
      <c r="T7321" s="10"/>
      <c r="U7321" s="4"/>
      <c r="V7321" s="4"/>
      <c r="X7321" s="4"/>
      <c r="Y7321" s="4"/>
    </row>
    <row r="7322" spans="20:25" x14ac:dyDescent="0.25">
      <c r="T7322" s="10"/>
      <c r="U7322" s="4"/>
      <c r="V7322" s="4"/>
      <c r="X7322" s="4"/>
      <c r="Y7322" s="4"/>
    </row>
    <row r="7323" spans="20:25" x14ac:dyDescent="0.25">
      <c r="T7323" s="10"/>
      <c r="U7323" s="4"/>
      <c r="V7323" s="4"/>
      <c r="X7323" s="4"/>
      <c r="Y7323" s="4"/>
    </row>
    <row r="7324" spans="20:25" x14ac:dyDescent="0.25">
      <c r="T7324" s="10"/>
      <c r="U7324" s="4"/>
      <c r="V7324" s="4"/>
      <c r="X7324" s="4"/>
      <c r="Y7324" s="4"/>
    </row>
    <row r="7325" spans="20:25" x14ac:dyDescent="0.25">
      <c r="T7325" s="10"/>
      <c r="U7325" s="4"/>
      <c r="V7325" s="4"/>
      <c r="X7325" s="4"/>
      <c r="Y7325" s="4"/>
    </row>
    <row r="7326" spans="20:25" x14ac:dyDescent="0.25">
      <c r="T7326" s="10"/>
      <c r="U7326" s="4"/>
      <c r="V7326" s="4"/>
      <c r="X7326" s="4"/>
      <c r="Y7326" s="4"/>
    </row>
    <row r="7327" spans="20:25" x14ac:dyDescent="0.25">
      <c r="T7327" s="10"/>
      <c r="U7327" s="4"/>
      <c r="V7327" s="4"/>
      <c r="X7327" s="4"/>
      <c r="Y7327" s="4"/>
    </row>
    <row r="7328" spans="20:25" x14ac:dyDescent="0.25">
      <c r="T7328" s="10"/>
      <c r="U7328" s="4"/>
      <c r="V7328" s="4"/>
      <c r="X7328" s="4"/>
      <c r="Y7328" s="4"/>
    </row>
    <row r="7329" spans="20:25" x14ac:dyDescent="0.25">
      <c r="T7329" s="10"/>
      <c r="U7329" s="4"/>
      <c r="V7329" s="4"/>
      <c r="X7329" s="4"/>
      <c r="Y7329" s="4"/>
    </row>
    <row r="7330" spans="20:25" x14ac:dyDescent="0.25">
      <c r="T7330" s="10"/>
      <c r="U7330" s="4"/>
      <c r="V7330" s="4"/>
      <c r="X7330" s="4"/>
      <c r="Y7330" s="4"/>
    </row>
    <row r="7331" spans="20:25" x14ac:dyDescent="0.25">
      <c r="T7331" s="10"/>
      <c r="U7331" s="4"/>
      <c r="V7331" s="4"/>
      <c r="X7331" s="4"/>
      <c r="Y7331" s="4"/>
    </row>
    <row r="7332" spans="20:25" x14ac:dyDescent="0.25">
      <c r="T7332" s="10"/>
      <c r="U7332" s="4"/>
      <c r="V7332" s="4"/>
      <c r="X7332" s="4"/>
      <c r="Y7332" s="4"/>
    </row>
    <row r="7333" spans="20:25" x14ac:dyDescent="0.25">
      <c r="T7333" s="10"/>
      <c r="U7333" s="4"/>
      <c r="V7333" s="4"/>
      <c r="X7333" s="4"/>
      <c r="Y7333" s="4"/>
    </row>
    <row r="7334" spans="20:25" x14ac:dyDescent="0.25">
      <c r="T7334" s="10"/>
      <c r="U7334" s="4"/>
      <c r="V7334" s="4"/>
      <c r="X7334" s="4"/>
      <c r="Y7334" s="4"/>
    </row>
    <row r="7335" spans="20:25" x14ac:dyDescent="0.25">
      <c r="T7335" s="10"/>
      <c r="U7335" s="4"/>
      <c r="V7335" s="4"/>
      <c r="X7335" s="4"/>
      <c r="Y7335" s="4"/>
    </row>
    <row r="7336" spans="20:25" x14ac:dyDescent="0.25">
      <c r="T7336" s="10"/>
      <c r="U7336" s="4"/>
      <c r="V7336" s="4"/>
      <c r="X7336" s="4"/>
      <c r="Y7336" s="4"/>
    </row>
    <row r="7337" spans="20:25" x14ac:dyDescent="0.25">
      <c r="T7337" s="10"/>
      <c r="U7337" s="4"/>
      <c r="V7337" s="4"/>
      <c r="X7337" s="4"/>
      <c r="Y7337" s="4"/>
    </row>
    <row r="7338" spans="20:25" x14ac:dyDescent="0.25">
      <c r="T7338" s="10"/>
      <c r="U7338" s="4"/>
      <c r="V7338" s="4"/>
      <c r="X7338" s="4"/>
      <c r="Y7338" s="4"/>
    </row>
    <row r="7339" spans="20:25" x14ac:dyDescent="0.25">
      <c r="T7339" s="10"/>
      <c r="U7339" s="4"/>
      <c r="V7339" s="4"/>
      <c r="X7339" s="4"/>
      <c r="Y7339" s="4"/>
    </row>
    <row r="7340" spans="20:25" x14ac:dyDescent="0.25">
      <c r="T7340" s="10"/>
      <c r="U7340" s="4"/>
      <c r="V7340" s="4"/>
      <c r="X7340" s="4"/>
      <c r="Y7340" s="4"/>
    </row>
    <row r="7341" spans="20:25" x14ac:dyDescent="0.25">
      <c r="T7341" s="10"/>
      <c r="U7341" s="4"/>
      <c r="V7341" s="4"/>
      <c r="X7341" s="4"/>
      <c r="Y7341" s="4"/>
    </row>
    <row r="7342" spans="20:25" x14ac:dyDescent="0.25">
      <c r="T7342" s="10"/>
      <c r="U7342" s="4"/>
      <c r="V7342" s="4"/>
      <c r="X7342" s="4"/>
      <c r="Y7342" s="4"/>
    </row>
    <row r="7343" spans="20:25" x14ac:dyDescent="0.25">
      <c r="T7343" s="10"/>
      <c r="U7343" s="4"/>
      <c r="V7343" s="4"/>
      <c r="X7343" s="4"/>
      <c r="Y7343" s="4"/>
    </row>
    <row r="7344" spans="20:25" x14ac:dyDescent="0.25">
      <c r="T7344" s="10"/>
      <c r="U7344" s="4"/>
      <c r="V7344" s="4"/>
      <c r="X7344" s="4"/>
      <c r="Y7344" s="4"/>
    </row>
    <row r="7345" spans="20:25" x14ac:dyDescent="0.25">
      <c r="T7345" s="10"/>
      <c r="U7345" s="4"/>
      <c r="V7345" s="4"/>
      <c r="X7345" s="4"/>
      <c r="Y7345" s="4"/>
    </row>
    <row r="7346" spans="20:25" x14ac:dyDescent="0.25">
      <c r="T7346" s="10"/>
      <c r="U7346" s="4"/>
      <c r="V7346" s="4"/>
      <c r="X7346" s="4"/>
      <c r="Y7346" s="4"/>
    </row>
    <row r="7347" spans="20:25" x14ac:dyDescent="0.25">
      <c r="T7347" s="10"/>
      <c r="U7347" s="4"/>
      <c r="V7347" s="4"/>
      <c r="X7347" s="4"/>
      <c r="Y7347" s="4"/>
    </row>
    <row r="7348" spans="20:25" x14ac:dyDescent="0.25">
      <c r="T7348" s="10"/>
      <c r="U7348" s="4"/>
      <c r="V7348" s="4"/>
      <c r="X7348" s="4"/>
      <c r="Y7348" s="4"/>
    </row>
    <row r="7349" spans="20:25" x14ac:dyDescent="0.25">
      <c r="T7349" s="10"/>
      <c r="U7349" s="4"/>
      <c r="V7349" s="4"/>
      <c r="X7349" s="4"/>
      <c r="Y7349" s="4"/>
    </row>
    <row r="7350" spans="20:25" x14ac:dyDescent="0.25">
      <c r="T7350" s="10"/>
      <c r="U7350" s="4"/>
      <c r="V7350" s="4"/>
      <c r="X7350" s="4"/>
      <c r="Y7350" s="4"/>
    </row>
    <row r="7351" spans="20:25" x14ac:dyDescent="0.25">
      <c r="T7351" s="10"/>
      <c r="U7351" s="4"/>
      <c r="V7351" s="4"/>
      <c r="X7351" s="4"/>
      <c r="Y7351" s="4"/>
    </row>
    <row r="7352" spans="20:25" x14ac:dyDescent="0.25">
      <c r="T7352" s="10"/>
      <c r="U7352" s="4"/>
      <c r="V7352" s="4"/>
      <c r="X7352" s="4"/>
      <c r="Y7352" s="4"/>
    </row>
    <row r="7353" spans="20:25" x14ac:dyDescent="0.25">
      <c r="T7353" s="10"/>
      <c r="U7353" s="4"/>
      <c r="V7353" s="4"/>
      <c r="X7353" s="4"/>
      <c r="Y7353" s="4"/>
    </row>
    <row r="7354" spans="20:25" x14ac:dyDescent="0.25">
      <c r="T7354" s="10"/>
      <c r="U7354" s="4"/>
      <c r="V7354" s="4"/>
      <c r="X7354" s="4"/>
      <c r="Y7354" s="4"/>
    </row>
    <row r="7355" spans="20:25" x14ac:dyDescent="0.25">
      <c r="T7355" s="10"/>
      <c r="U7355" s="4"/>
      <c r="V7355" s="4"/>
      <c r="X7355" s="4"/>
      <c r="Y7355" s="4"/>
    </row>
    <row r="7356" spans="20:25" x14ac:dyDescent="0.25">
      <c r="T7356" s="10"/>
      <c r="U7356" s="4"/>
      <c r="V7356" s="4"/>
      <c r="X7356" s="4"/>
      <c r="Y7356" s="4"/>
    </row>
    <row r="7357" spans="20:25" x14ac:dyDescent="0.25">
      <c r="T7357" s="10"/>
      <c r="U7357" s="4"/>
      <c r="V7357" s="4"/>
      <c r="X7357" s="4"/>
      <c r="Y7357" s="4"/>
    </row>
    <row r="7358" spans="20:25" x14ac:dyDescent="0.25">
      <c r="T7358" s="10"/>
      <c r="U7358" s="4"/>
      <c r="V7358" s="4"/>
      <c r="X7358" s="4"/>
      <c r="Y7358" s="4"/>
    </row>
    <row r="7359" spans="20:25" x14ac:dyDescent="0.25">
      <c r="T7359" s="10"/>
      <c r="U7359" s="4"/>
      <c r="V7359" s="4"/>
      <c r="X7359" s="4"/>
      <c r="Y7359" s="4"/>
    </row>
    <row r="7360" spans="20:25" x14ac:dyDescent="0.25">
      <c r="T7360" s="10"/>
      <c r="U7360" s="4"/>
      <c r="V7360" s="4"/>
      <c r="X7360" s="4"/>
      <c r="Y7360" s="4"/>
    </row>
    <row r="7361" spans="20:25" x14ac:dyDescent="0.25">
      <c r="T7361" s="10"/>
      <c r="U7361" s="4"/>
      <c r="V7361" s="4"/>
      <c r="X7361" s="4"/>
      <c r="Y7361" s="4"/>
    </row>
    <row r="7362" spans="20:25" x14ac:dyDescent="0.25">
      <c r="T7362" s="10"/>
      <c r="U7362" s="4"/>
      <c r="V7362" s="4"/>
      <c r="X7362" s="4"/>
      <c r="Y7362" s="4"/>
    </row>
    <row r="7363" spans="20:25" x14ac:dyDescent="0.25">
      <c r="T7363" s="10"/>
      <c r="U7363" s="4"/>
      <c r="V7363" s="4"/>
      <c r="X7363" s="4"/>
      <c r="Y7363" s="4"/>
    </row>
    <row r="7364" spans="20:25" x14ac:dyDescent="0.25">
      <c r="T7364" s="10"/>
      <c r="U7364" s="4"/>
      <c r="V7364" s="4"/>
      <c r="X7364" s="4"/>
      <c r="Y7364" s="4"/>
    </row>
    <row r="7365" spans="20:25" x14ac:dyDescent="0.25">
      <c r="T7365" s="10"/>
      <c r="U7365" s="4"/>
      <c r="V7365" s="4"/>
      <c r="X7365" s="4"/>
      <c r="Y7365" s="4"/>
    </row>
    <row r="7366" spans="20:25" x14ac:dyDescent="0.25">
      <c r="T7366" s="10"/>
      <c r="U7366" s="4"/>
      <c r="V7366" s="4"/>
      <c r="X7366" s="4"/>
      <c r="Y7366" s="4"/>
    </row>
    <row r="7367" spans="20:25" x14ac:dyDescent="0.25">
      <c r="T7367" s="10"/>
      <c r="U7367" s="4"/>
      <c r="V7367" s="4"/>
      <c r="X7367" s="4"/>
      <c r="Y7367" s="4"/>
    </row>
    <row r="7368" spans="20:25" x14ac:dyDescent="0.25">
      <c r="T7368" s="10"/>
      <c r="U7368" s="4"/>
      <c r="V7368" s="4"/>
      <c r="X7368" s="4"/>
      <c r="Y7368" s="4"/>
    </row>
    <row r="7369" spans="20:25" x14ac:dyDescent="0.25">
      <c r="T7369" s="10"/>
      <c r="U7369" s="4"/>
      <c r="V7369" s="4"/>
      <c r="X7369" s="4"/>
      <c r="Y7369" s="4"/>
    </row>
    <row r="7370" spans="20:25" x14ac:dyDescent="0.25">
      <c r="T7370" s="10"/>
      <c r="U7370" s="4"/>
      <c r="V7370" s="4"/>
      <c r="X7370" s="4"/>
      <c r="Y7370" s="4"/>
    </row>
    <row r="7371" spans="20:25" x14ac:dyDescent="0.25">
      <c r="T7371" s="10"/>
      <c r="U7371" s="4"/>
      <c r="V7371" s="4"/>
      <c r="X7371" s="4"/>
      <c r="Y7371" s="4"/>
    </row>
    <row r="7372" spans="20:25" x14ac:dyDescent="0.25">
      <c r="T7372" s="10"/>
      <c r="U7372" s="4"/>
      <c r="V7372" s="4"/>
      <c r="X7372" s="4"/>
      <c r="Y7372" s="4"/>
    </row>
    <row r="7373" spans="20:25" x14ac:dyDescent="0.25">
      <c r="T7373" s="10"/>
      <c r="U7373" s="4"/>
      <c r="V7373" s="4"/>
      <c r="X7373" s="4"/>
      <c r="Y7373" s="4"/>
    </row>
    <row r="7374" spans="20:25" x14ac:dyDescent="0.25">
      <c r="T7374" s="10"/>
      <c r="U7374" s="4"/>
      <c r="V7374" s="4"/>
      <c r="X7374" s="4"/>
      <c r="Y7374" s="4"/>
    </row>
    <row r="7375" spans="20:25" x14ac:dyDescent="0.25">
      <c r="T7375" s="10"/>
      <c r="U7375" s="4"/>
      <c r="V7375" s="4"/>
      <c r="X7375" s="4"/>
      <c r="Y7375" s="4"/>
    </row>
    <row r="7376" spans="20:25" x14ac:dyDescent="0.25">
      <c r="T7376" s="10"/>
      <c r="U7376" s="4"/>
      <c r="V7376" s="4"/>
      <c r="X7376" s="4"/>
      <c r="Y7376" s="4"/>
    </row>
    <row r="7377" spans="20:25" x14ac:dyDescent="0.25">
      <c r="T7377" s="10"/>
      <c r="U7377" s="4"/>
      <c r="V7377" s="4"/>
      <c r="X7377" s="4"/>
      <c r="Y7377" s="4"/>
    </row>
    <row r="7378" spans="20:25" x14ac:dyDescent="0.25">
      <c r="T7378" s="10"/>
      <c r="U7378" s="4"/>
      <c r="V7378" s="4"/>
      <c r="X7378" s="4"/>
      <c r="Y7378" s="4"/>
    </row>
    <row r="7379" spans="20:25" x14ac:dyDescent="0.25">
      <c r="T7379" s="10"/>
      <c r="U7379" s="4"/>
      <c r="V7379" s="4"/>
      <c r="X7379" s="4"/>
      <c r="Y7379" s="4"/>
    </row>
    <row r="7380" spans="20:25" x14ac:dyDescent="0.25">
      <c r="T7380" s="10"/>
      <c r="U7380" s="4"/>
      <c r="V7380" s="4"/>
      <c r="X7380" s="4"/>
      <c r="Y7380" s="4"/>
    </row>
    <row r="7381" spans="20:25" x14ac:dyDescent="0.25">
      <c r="T7381" s="10"/>
      <c r="U7381" s="4"/>
      <c r="V7381" s="4"/>
      <c r="X7381" s="4"/>
      <c r="Y7381" s="4"/>
    </row>
    <row r="7382" spans="20:25" x14ac:dyDescent="0.25">
      <c r="T7382" s="10"/>
      <c r="U7382" s="4"/>
      <c r="V7382" s="4"/>
      <c r="X7382" s="4"/>
      <c r="Y7382" s="4"/>
    </row>
    <row r="7383" spans="20:25" x14ac:dyDescent="0.25">
      <c r="T7383" s="10"/>
      <c r="U7383" s="4"/>
      <c r="V7383" s="4"/>
      <c r="X7383" s="4"/>
      <c r="Y7383" s="4"/>
    </row>
    <row r="7384" spans="20:25" x14ac:dyDescent="0.25">
      <c r="T7384" s="10"/>
      <c r="U7384" s="4"/>
      <c r="V7384" s="4"/>
      <c r="X7384" s="4"/>
      <c r="Y7384" s="4"/>
    </row>
    <row r="7385" spans="20:25" x14ac:dyDescent="0.25">
      <c r="T7385" s="10"/>
      <c r="U7385" s="4"/>
      <c r="V7385" s="4"/>
      <c r="X7385" s="4"/>
      <c r="Y7385" s="4"/>
    </row>
    <row r="7386" spans="20:25" x14ac:dyDescent="0.25">
      <c r="T7386" s="10"/>
      <c r="U7386" s="4"/>
      <c r="V7386" s="4"/>
      <c r="X7386" s="4"/>
      <c r="Y7386" s="4"/>
    </row>
    <row r="7387" spans="20:25" x14ac:dyDescent="0.25">
      <c r="T7387" s="10"/>
      <c r="U7387" s="4"/>
      <c r="V7387" s="4"/>
      <c r="X7387" s="4"/>
      <c r="Y7387" s="4"/>
    </row>
    <row r="7388" spans="20:25" x14ac:dyDescent="0.25">
      <c r="T7388" s="10"/>
      <c r="U7388" s="4"/>
      <c r="V7388" s="4"/>
      <c r="X7388" s="4"/>
      <c r="Y7388" s="4"/>
    </row>
    <row r="7389" spans="20:25" x14ac:dyDescent="0.25">
      <c r="T7389" s="10"/>
      <c r="U7389" s="4"/>
      <c r="V7389" s="4"/>
      <c r="X7389" s="4"/>
      <c r="Y7389" s="4"/>
    </row>
    <row r="7390" spans="20:25" x14ac:dyDescent="0.25">
      <c r="T7390" s="10"/>
      <c r="U7390" s="4"/>
      <c r="V7390" s="4"/>
      <c r="X7390" s="4"/>
      <c r="Y7390" s="4"/>
    </row>
    <row r="7391" spans="20:25" x14ac:dyDescent="0.25">
      <c r="T7391" s="10"/>
      <c r="U7391" s="4"/>
      <c r="V7391" s="4"/>
      <c r="X7391" s="4"/>
      <c r="Y7391" s="4"/>
    </row>
    <row r="7392" spans="20:25" x14ac:dyDescent="0.25">
      <c r="T7392" s="10"/>
      <c r="U7392" s="4"/>
      <c r="V7392" s="4"/>
      <c r="X7392" s="4"/>
      <c r="Y7392" s="4"/>
    </row>
    <row r="7393" spans="20:25" x14ac:dyDescent="0.25">
      <c r="T7393" s="10"/>
      <c r="U7393" s="4"/>
      <c r="V7393" s="4"/>
      <c r="X7393" s="4"/>
      <c r="Y7393" s="4"/>
    </row>
    <row r="7394" spans="20:25" x14ac:dyDescent="0.25">
      <c r="T7394" s="10"/>
      <c r="U7394" s="4"/>
      <c r="V7394" s="4"/>
      <c r="X7394" s="4"/>
      <c r="Y7394" s="4"/>
    </row>
    <row r="7395" spans="20:25" x14ac:dyDescent="0.25">
      <c r="T7395" s="10"/>
      <c r="U7395" s="4"/>
      <c r="V7395" s="4"/>
      <c r="X7395" s="4"/>
      <c r="Y7395" s="4"/>
    </row>
    <row r="7396" spans="20:25" x14ac:dyDescent="0.25">
      <c r="T7396" s="10"/>
      <c r="U7396" s="4"/>
      <c r="V7396" s="4"/>
      <c r="X7396" s="4"/>
      <c r="Y7396" s="4"/>
    </row>
    <row r="7397" spans="20:25" x14ac:dyDescent="0.25">
      <c r="T7397" s="10"/>
      <c r="U7397" s="4"/>
      <c r="V7397" s="4"/>
      <c r="X7397" s="4"/>
      <c r="Y7397" s="4"/>
    </row>
    <row r="7398" spans="20:25" x14ac:dyDescent="0.25">
      <c r="T7398" s="10"/>
      <c r="U7398" s="4"/>
      <c r="V7398" s="4"/>
      <c r="X7398" s="4"/>
      <c r="Y7398" s="4"/>
    </row>
    <row r="7399" spans="20:25" x14ac:dyDescent="0.25">
      <c r="T7399" s="10"/>
      <c r="U7399" s="4"/>
      <c r="V7399" s="4"/>
      <c r="X7399" s="4"/>
      <c r="Y7399" s="4"/>
    </row>
    <row r="7400" spans="20:25" x14ac:dyDescent="0.25">
      <c r="T7400" s="10"/>
      <c r="U7400" s="4"/>
      <c r="V7400" s="4"/>
      <c r="X7400" s="4"/>
      <c r="Y7400" s="4"/>
    </row>
    <row r="7401" spans="20:25" x14ac:dyDescent="0.25">
      <c r="T7401" s="10"/>
      <c r="U7401" s="4"/>
      <c r="V7401" s="4"/>
      <c r="X7401" s="4"/>
      <c r="Y7401" s="4"/>
    </row>
    <row r="7402" spans="20:25" x14ac:dyDescent="0.25">
      <c r="T7402" s="10"/>
      <c r="U7402" s="4"/>
      <c r="V7402" s="4"/>
      <c r="X7402" s="4"/>
      <c r="Y7402" s="4"/>
    </row>
    <row r="7403" spans="20:25" x14ac:dyDescent="0.25">
      <c r="T7403" s="10"/>
      <c r="U7403" s="4"/>
      <c r="V7403" s="4"/>
      <c r="X7403" s="4"/>
      <c r="Y7403" s="4"/>
    </row>
    <row r="7404" spans="20:25" x14ac:dyDescent="0.25">
      <c r="T7404" s="10"/>
      <c r="U7404" s="4"/>
      <c r="V7404" s="4"/>
      <c r="X7404" s="4"/>
      <c r="Y7404" s="4"/>
    </row>
    <row r="7405" spans="20:25" x14ac:dyDescent="0.25">
      <c r="T7405" s="10"/>
      <c r="U7405" s="4"/>
      <c r="V7405" s="4"/>
      <c r="X7405" s="4"/>
      <c r="Y7405" s="4"/>
    </row>
    <row r="7406" spans="20:25" x14ac:dyDescent="0.25">
      <c r="T7406" s="10"/>
      <c r="U7406" s="4"/>
      <c r="V7406" s="4"/>
      <c r="X7406" s="4"/>
      <c r="Y7406" s="4"/>
    </row>
    <row r="7407" spans="20:25" x14ac:dyDescent="0.25">
      <c r="T7407" s="10"/>
      <c r="U7407" s="4"/>
      <c r="V7407" s="4"/>
      <c r="X7407" s="4"/>
      <c r="Y7407" s="4"/>
    </row>
    <row r="7408" spans="20:25" x14ac:dyDescent="0.25">
      <c r="T7408" s="10"/>
      <c r="U7408" s="4"/>
      <c r="V7408" s="4"/>
      <c r="X7408" s="4"/>
      <c r="Y7408" s="4"/>
    </row>
    <row r="7409" spans="20:25" x14ac:dyDescent="0.25">
      <c r="T7409" s="10"/>
      <c r="U7409" s="4"/>
      <c r="V7409" s="4"/>
      <c r="X7409" s="4"/>
      <c r="Y7409" s="4"/>
    </row>
    <row r="7410" spans="20:25" x14ac:dyDescent="0.25">
      <c r="T7410" s="10"/>
      <c r="U7410" s="4"/>
      <c r="V7410" s="4"/>
      <c r="X7410" s="4"/>
      <c r="Y7410" s="4"/>
    </row>
    <row r="7411" spans="20:25" x14ac:dyDescent="0.25">
      <c r="T7411" s="10"/>
      <c r="U7411" s="4"/>
      <c r="V7411" s="4"/>
      <c r="X7411" s="4"/>
      <c r="Y7411" s="4"/>
    </row>
    <row r="7412" spans="20:25" x14ac:dyDescent="0.25">
      <c r="T7412" s="10"/>
      <c r="U7412" s="4"/>
      <c r="V7412" s="4"/>
      <c r="X7412" s="4"/>
      <c r="Y7412" s="4"/>
    </row>
    <row r="7413" spans="20:25" x14ac:dyDescent="0.25">
      <c r="T7413" s="10"/>
      <c r="U7413" s="4"/>
      <c r="V7413" s="4"/>
      <c r="X7413" s="4"/>
      <c r="Y7413" s="4"/>
    </row>
    <row r="7414" spans="20:25" x14ac:dyDescent="0.25">
      <c r="T7414" s="10"/>
      <c r="U7414" s="4"/>
      <c r="V7414" s="4"/>
      <c r="X7414" s="4"/>
      <c r="Y7414" s="4"/>
    </row>
    <row r="7415" spans="20:25" x14ac:dyDescent="0.25">
      <c r="T7415" s="10"/>
      <c r="U7415" s="4"/>
      <c r="V7415" s="4"/>
      <c r="X7415" s="4"/>
      <c r="Y7415" s="4"/>
    </row>
    <row r="7416" spans="20:25" x14ac:dyDescent="0.25">
      <c r="T7416" s="10"/>
      <c r="U7416" s="4"/>
      <c r="V7416" s="4"/>
      <c r="X7416" s="4"/>
      <c r="Y7416" s="4"/>
    </row>
    <row r="7417" spans="20:25" x14ac:dyDescent="0.25">
      <c r="T7417" s="10"/>
      <c r="U7417" s="4"/>
      <c r="V7417" s="4"/>
      <c r="X7417" s="4"/>
      <c r="Y7417" s="4"/>
    </row>
    <row r="7418" spans="20:25" x14ac:dyDescent="0.25">
      <c r="T7418" s="10"/>
      <c r="U7418" s="4"/>
      <c r="V7418" s="4"/>
      <c r="X7418" s="4"/>
      <c r="Y7418" s="4"/>
    </row>
    <row r="7419" spans="20:25" x14ac:dyDescent="0.25">
      <c r="T7419" s="10"/>
      <c r="U7419" s="4"/>
      <c r="V7419" s="4"/>
      <c r="X7419" s="4"/>
      <c r="Y7419" s="4"/>
    </row>
    <row r="7420" spans="20:25" x14ac:dyDescent="0.25">
      <c r="T7420" s="10"/>
      <c r="U7420" s="4"/>
      <c r="V7420" s="4"/>
      <c r="X7420" s="4"/>
      <c r="Y7420" s="4"/>
    </row>
    <row r="7421" spans="20:25" x14ac:dyDescent="0.25">
      <c r="T7421" s="10"/>
      <c r="U7421" s="4"/>
      <c r="V7421" s="4"/>
      <c r="X7421" s="4"/>
      <c r="Y7421" s="4"/>
    </row>
    <row r="7422" spans="20:25" x14ac:dyDescent="0.25">
      <c r="T7422" s="10"/>
      <c r="U7422" s="4"/>
      <c r="V7422" s="4"/>
      <c r="X7422" s="4"/>
      <c r="Y7422" s="4"/>
    </row>
    <row r="7423" spans="20:25" x14ac:dyDescent="0.25">
      <c r="T7423" s="10"/>
      <c r="U7423" s="4"/>
      <c r="V7423" s="4"/>
      <c r="X7423" s="4"/>
      <c r="Y7423" s="4"/>
    </row>
    <row r="7424" spans="20:25" x14ac:dyDescent="0.25">
      <c r="T7424" s="10"/>
      <c r="U7424" s="4"/>
      <c r="V7424" s="4"/>
      <c r="X7424" s="4"/>
      <c r="Y7424" s="4"/>
    </row>
    <row r="7425" spans="20:25" x14ac:dyDescent="0.25">
      <c r="T7425" s="10"/>
      <c r="U7425" s="4"/>
      <c r="V7425" s="4"/>
      <c r="X7425" s="4"/>
      <c r="Y7425" s="4"/>
    </row>
    <row r="7426" spans="20:25" x14ac:dyDescent="0.25">
      <c r="T7426" s="10"/>
      <c r="U7426" s="4"/>
      <c r="V7426" s="4"/>
      <c r="X7426" s="4"/>
      <c r="Y7426" s="4"/>
    </row>
    <row r="7427" spans="20:25" x14ac:dyDescent="0.25">
      <c r="T7427" s="10"/>
      <c r="U7427" s="4"/>
      <c r="V7427" s="4"/>
      <c r="X7427" s="4"/>
      <c r="Y7427" s="4"/>
    </row>
    <row r="7428" spans="20:25" x14ac:dyDescent="0.25">
      <c r="T7428" s="10"/>
      <c r="U7428" s="4"/>
      <c r="V7428" s="4"/>
      <c r="X7428" s="4"/>
      <c r="Y7428" s="4"/>
    </row>
    <row r="7429" spans="20:25" x14ac:dyDescent="0.25">
      <c r="T7429" s="10"/>
      <c r="U7429" s="4"/>
      <c r="V7429" s="4"/>
      <c r="X7429" s="4"/>
      <c r="Y7429" s="4"/>
    </row>
    <row r="7430" spans="20:25" x14ac:dyDescent="0.25">
      <c r="T7430" s="10"/>
      <c r="U7430" s="4"/>
      <c r="V7430" s="4"/>
      <c r="X7430" s="4"/>
      <c r="Y7430" s="4"/>
    </row>
    <row r="7431" spans="20:25" x14ac:dyDescent="0.25">
      <c r="T7431" s="10"/>
      <c r="U7431" s="4"/>
      <c r="V7431" s="4"/>
      <c r="X7431" s="4"/>
      <c r="Y7431" s="4"/>
    </row>
    <row r="7432" spans="20:25" x14ac:dyDescent="0.25">
      <c r="T7432" s="10"/>
      <c r="U7432" s="4"/>
      <c r="V7432" s="4"/>
      <c r="X7432" s="4"/>
      <c r="Y7432" s="4"/>
    </row>
    <row r="7433" spans="20:25" x14ac:dyDescent="0.25">
      <c r="T7433" s="10"/>
      <c r="U7433" s="4"/>
      <c r="V7433" s="4"/>
      <c r="X7433" s="4"/>
      <c r="Y7433" s="4"/>
    </row>
    <row r="7434" spans="20:25" x14ac:dyDescent="0.25">
      <c r="T7434" s="10"/>
      <c r="U7434" s="4"/>
      <c r="V7434" s="4"/>
      <c r="X7434" s="4"/>
      <c r="Y7434" s="4"/>
    </row>
    <row r="7435" spans="20:25" x14ac:dyDescent="0.25">
      <c r="T7435" s="10"/>
      <c r="U7435" s="4"/>
      <c r="V7435" s="4"/>
      <c r="X7435" s="4"/>
      <c r="Y7435" s="4"/>
    </row>
    <row r="7436" spans="20:25" x14ac:dyDescent="0.25">
      <c r="T7436" s="10"/>
      <c r="U7436" s="4"/>
      <c r="V7436" s="4"/>
      <c r="X7436" s="4"/>
      <c r="Y7436" s="4"/>
    </row>
    <row r="7437" spans="20:25" x14ac:dyDescent="0.25">
      <c r="T7437" s="10"/>
      <c r="U7437" s="4"/>
      <c r="V7437" s="4"/>
      <c r="X7437" s="4"/>
      <c r="Y7437" s="4"/>
    </row>
    <row r="7438" spans="20:25" x14ac:dyDescent="0.25">
      <c r="T7438" s="10"/>
      <c r="U7438" s="4"/>
      <c r="V7438" s="4"/>
      <c r="X7438" s="4"/>
      <c r="Y7438" s="4"/>
    </row>
    <row r="7439" spans="20:25" x14ac:dyDescent="0.25">
      <c r="T7439" s="10"/>
      <c r="U7439" s="4"/>
      <c r="V7439" s="4"/>
      <c r="X7439" s="4"/>
      <c r="Y7439" s="4"/>
    </row>
    <row r="7440" spans="20:25" x14ac:dyDescent="0.25">
      <c r="T7440" s="10"/>
      <c r="U7440" s="4"/>
      <c r="V7440" s="4"/>
      <c r="X7440" s="4"/>
      <c r="Y7440" s="4"/>
    </row>
    <row r="7441" spans="20:25" x14ac:dyDescent="0.25">
      <c r="T7441" s="10"/>
      <c r="U7441" s="4"/>
      <c r="V7441" s="4"/>
      <c r="X7441" s="4"/>
      <c r="Y7441" s="4"/>
    </row>
    <row r="7442" spans="20:25" x14ac:dyDescent="0.25">
      <c r="T7442" s="10"/>
      <c r="U7442" s="4"/>
      <c r="V7442" s="4"/>
      <c r="X7442" s="4"/>
      <c r="Y7442" s="4"/>
    </row>
    <row r="7443" spans="20:25" x14ac:dyDescent="0.25">
      <c r="T7443" s="10"/>
      <c r="U7443" s="4"/>
      <c r="V7443" s="4"/>
      <c r="X7443" s="4"/>
      <c r="Y7443" s="4"/>
    </row>
    <row r="7444" spans="20:25" x14ac:dyDescent="0.25">
      <c r="T7444" s="10"/>
      <c r="U7444" s="4"/>
      <c r="V7444" s="4"/>
      <c r="X7444" s="4"/>
      <c r="Y7444" s="4"/>
    </row>
    <row r="7445" spans="20:25" x14ac:dyDescent="0.25">
      <c r="T7445" s="10"/>
      <c r="U7445" s="4"/>
      <c r="V7445" s="4"/>
      <c r="X7445" s="4"/>
      <c r="Y7445" s="4"/>
    </row>
    <row r="7446" spans="20:25" x14ac:dyDescent="0.25">
      <c r="T7446" s="10"/>
      <c r="U7446" s="4"/>
      <c r="V7446" s="4"/>
      <c r="X7446" s="4"/>
      <c r="Y7446" s="4"/>
    </row>
    <row r="7447" spans="20:25" x14ac:dyDescent="0.25">
      <c r="T7447" s="10"/>
      <c r="U7447" s="4"/>
      <c r="V7447" s="4"/>
      <c r="X7447" s="4"/>
      <c r="Y7447" s="4"/>
    </row>
    <row r="7448" spans="20:25" x14ac:dyDescent="0.25">
      <c r="T7448" s="10"/>
      <c r="U7448" s="4"/>
      <c r="V7448" s="4"/>
      <c r="X7448" s="4"/>
      <c r="Y7448" s="4"/>
    </row>
    <row r="7449" spans="20:25" x14ac:dyDescent="0.25">
      <c r="T7449" s="10"/>
      <c r="U7449" s="4"/>
      <c r="V7449" s="4"/>
      <c r="X7449" s="4"/>
      <c r="Y7449" s="4"/>
    </row>
    <row r="7450" spans="20:25" x14ac:dyDescent="0.25">
      <c r="T7450" s="10"/>
      <c r="U7450" s="4"/>
      <c r="V7450" s="4"/>
      <c r="X7450" s="4"/>
      <c r="Y7450" s="4"/>
    </row>
    <row r="7451" spans="20:25" x14ac:dyDescent="0.25">
      <c r="T7451" s="10"/>
      <c r="U7451" s="4"/>
      <c r="V7451" s="4"/>
      <c r="X7451" s="4"/>
      <c r="Y7451" s="4"/>
    </row>
    <row r="7452" spans="20:25" x14ac:dyDescent="0.25">
      <c r="T7452" s="10"/>
      <c r="U7452" s="4"/>
      <c r="V7452" s="4"/>
      <c r="X7452" s="4"/>
      <c r="Y7452" s="4"/>
    </row>
    <row r="7453" spans="20:25" x14ac:dyDescent="0.25">
      <c r="T7453" s="10"/>
      <c r="U7453" s="4"/>
      <c r="V7453" s="4"/>
      <c r="X7453" s="4"/>
      <c r="Y7453" s="4"/>
    </row>
    <row r="7454" spans="20:25" x14ac:dyDescent="0.25">
      <c r="T7454" s="10"/>
      <c r="U7454" s="4"/>
      <c r="V7454" s="4"/>
      <c r="X7454" s="4"/>
      <c r="Y7454" s="4"/>
    </row>
    <row r="7455" spans="20:25" x14ac:dyDescent="0.25">
      <c r="T7455" s="10"/>
      <c r="U7455" s="4"/>
      <c r="V7455" s="4"/>
      <c r="X7455" s="4"/>
      <c r="Y7455" s="4"/>
    </row>
    <row r="7456" spans="20:25" x14ac:dyDescent="0.25">
      <c r="T7456" s="10"/>
      <c r="U7456" s="4"/>
      <c r="V7456" s="4"/>
      <c r="X7456" s="4"/>
      <c r="Y7456" s="4"/>
    </row>
    <row r="7457" spans="20:25" x14ac:dyDescent="0.25">
      <c r="T7457" s="10"/>
      <c r="U7457" s="4"/>
      <c r="V7457" s="4"/>
      <c r="X7457" s="4"/>
      <c r="Y7457" s="4"/>
    </row>
    <row r="7458" spans="20:25" x14ac:dyDescent="0.25">
      <c r="T7458" s="10"/>
      <c r="U7458" s="4"/>
      <c r="V7458" s="4"/>
      <c r="X7458" s="4"/>
      <c r="Y7458" s="4"/>
    </row>
    <row r="7459" spans="20:25" x14ac:dyDescent="0.25">
      <c r="T7459" s="10"/>
      <c r="U7459" s="4"/>
      <c r="V7459" s="4"/>
      <c r="X7459" s="4"/>
      <c r="Y7459" s="4"/>
    </row>
    <row r="7460" spans="20:25" x14ac:dyDescent="0.25">
      <c r="T7460" s="10"/>
      <c r="U7460" s="4"/>
      <c r="V7460" s="4"/>
      <c r="X7460" s="4"/>
      <c r="Y7460" s="4"/>
    </row>
    <row r="7461" spans="20:25" x14ac:dyDescent="0.25">
      <c r="T7461" s="10"/>
      <c r="U7461" s="4"/>
      <c r="V7461" s="4"/>
      <c r="X7461" s="4"/>
      <c r="Y7461" s="4"/>
    </row>
    <row r="7462" spans="20:25" x14ac:dyDescent="0.25">
      <c r="T7462" s="10"/>
      <c r="U7462" s="4"/>
      <c r="V7462" s="4"/>
      <c r="X7462" s="4"/>
      <c r="Y7462" s="4"/>
    </row>
    <row r="7463" spans="20:25" x14ac:dyDescent="0.25">
      <c r="T7463" s="10"/>
      <c r="U7463" s="4"/>
      <c r="V7463" s="4"/>
      <c r="X7463" s="4"/>
      <c r="Y7463" s="4"/>
    </row>
    <row r="7464" spans="20:25" x14ac:dyDescent="0.25">
      <c r="T7464" s="10"/>
      <c r="U7464" s="4"/>
      <c r="V7464" s="4"/>
      <c r="X7464" s="4"/>
      <c r="Y7464" s="4"/>
    </row>
    <row r="7465" spans="20:25" x14ac:dyDescent="0.25">
      <c r="T7465" s="10"/>
      <c r="U7465" s="4"/>
      <c r="V7465" s="4"/>
      <c r="X7465" s="4"/>
      <c r="Y7465" s="4"/>
    </row>
    <row r="7466" spans="20:25" x14ac:dyDescent="0.25">
      <c r="T7466" s="10"/>
      <c r="U7466" s="4"/>
      <c r="V7466" s="4"/>
      <c r="X7466" s="4"/>
      <c r="Y7466" s="4"/>
    </row>
    <row r="7467" spans="20:25" x14ac:dyDescent="0.25">
      <c r="T7467" s="10"/>
      <c r="U7467" s="4"/>
      <c r="V7467" s="4"/>
      <c r="X7467" s="4"/>
      <c r="Y7467" s="4"/>
    </row>
    <row r="7468" spans="20:25" x14ac:dyDescent="0.25">
      <c r="T7468" s="10"/>
      <c r="U7468" s="4"/>
      <c r="V7468" s="4"/>
      <c r="X7468" s="4"/>
      <c r="Y7468" s="4"/>
    </row>
    <row r="7469" spans="20:25" x14ac:dyDescent="0.25">
      <c r="T7469" s="10"/>
      <c r="U7469" s="4"/>
      <c r="V7469" s="4"/>
      <c r="X7469" s="4"/>
      <c r="Y7469" s="4"/>
    </row>
    <row r="7470" spans="20:25" x14ac:dyDescent="0.25">
      <c r="T7470" s="10"/>
      <c r="U7470" s="4"/>
      <c r="V7470" s="4"/>
      <c r="X7470" s="4"/>
      <c r="Y7470" s="4"/>
    </row>
    <row r="7471" spans="20:25" x14ac:dyDescent="0.25">
      <c r="T7471" s="10"/>
      <c r="U7471" s="4"/>
      <c r="V7471" s="4"/>
      <c r="X7471" s="4"/>
      <c r="Y7471" s="4"/>
    </row>
    <row r="7472" spans="20:25" x14ac:dyDescent="0.25">
      <c r="T7472" s="10"/>
      <c r="U7472" s="4"/>
      <c r="V7472" s="4"/>
      <c r="X7472" s="4"/>
      <c r="Y7472" s="4"/>
    </row>
    <row r="7473" spans="20:25" x14ac:dyDescent="0.25">
      <c r="T7473" s="10"/>
      <c r="U7473" s="4"/>
      <c r="V7473" s="4"/>
      <c r="X7473" s="4"/>
      <c r="Y7473" s="4"/>
    </row>
    <row r="7474" spans="20:25" x14ac:dyDescent="0.25">
      <c r="T7474" s="10"/>
      <c r="U7474" s="4"/>
      <c r="V7474" s="4"/>
      <c r="X7474" s="4"/>
      <c r="Y7474" s="4"/>
    </row>
    <row r="7475" spans="20:25" x14ac:dyDescent="0.25">
      <c r="T7475" s="10"/>
      <c r="U7475" s="4"/>
      <c r="V7475" s="4"/>
      <c r="X7475" s="4"/>
      <c r="Y7475" s="4"/>
    </row>
    <row r="7476" spans="20:25" x14ac:dyDescent="0.25">
      <c r="T7476" s="10"/>
      <c r="U7476" s="4"/>
      <c r="V7476" s="4"/>
      <c r="X7476" s="4"/>
      <c r="Y7476" s="4"/>
    </row>
    <row r="7477" spans="20:25" x14ac:dyDescent="0.25">
      <c r="T7477" s="10"/>
      <c r="U7477" s="4"/>
      <c r="V7477" s="4"/>
      <c r="X7477" s="4"/>
      <c r="Y7477" s="4"/>
    </row>
    <row r="7478" spans="20:25" x14ac:dyDescent="0.25">
      <c r="T7478" s="10"/>
      <c r="U7478" s="4"/>
      <c r="V7478" s="4"/>
      <c r="X7478" s="4"/>
      <c r="Y7478" s="4"/>
    </row>
    <row r="7479" spans="20:25" x14ac:dyDescent="0.25">
      <c r="T7479" s="10"/>
      <c r="U7479" s="4"/>
      <c r="V7479" s="4"/>
      <c r="X7479" s="4"/>
      <c r="Y7479" s="4"/>
    </row>
    <row r="7480" spans="20:25" x14ac:dyDescent="0.25">
      <c r="T7480" s="10"/>
      <c r="U7480" s="4"/>
      <c r="V7480" s="4"/>
      <c r="X7480" s="4"/>
      <c r="Y7480" s="4"/>
    </row>
    <row r="7481" spans="20:25" x14ac:dyDescent="0.25">
      <c r="T7481" s="10"/>
      <c r="U7481" s="4"/>
      <c r="V7481" s="4"/>
      <c r="X7481" s="4"/>
      <c r="Y7481" s="4"/>
    </row>
    <row r="7482" spans="20:25" x14ac:dyDescent="0.25">
      <c r="T7482" s="10"/>
      <c r="U7482" s="4"/>
      <c r="V7482" s="4"/>
      <c r="X7482" s="4"/>
      <c r="Y7482" s="4"/>
    </row>
    <row r="7483" spans="20:25" x14ac:dyDescent="0.25">
      <c r="T7483" s="10"/>
      <c r="U7483" s="4"/>
      <c r="V7483" s="4"/>
      <c r="X7483" s="4"/>
      <c r="Y7483" s="4"/>
    </row>
    <row r="7484" spans="20:25" x14ac:dyDescent="0.25">
      <c r="T7484" s="10"/>
      <c r="U7484" s="4"/>
      <c r="V7484" s="4"/>
      <c r="X7484" s="4"/>
      <c r="Y7484" s="4"/>
    </row>
    <row r="7485" spans="20:25" x14ac:dyDescent="0.25">
      <c r="T7485" s="10"/>
      <c r="U7485" s="4"/>
      <c r="V7485" s="4"/>
      <c r="X7485" s="4"/>
      <c r="Y7485" s="4"/>
    </row>
    <row r="7486" spans="20:25" x14ac:dyDescent="0.25">
      <c r="T7486" s="10"/>
      <c r="U7486" s="4"/>
      <c r="V7486" s="4"/>
      <c r="X7486" s="4"/>
      <c r="Y7486" s="4"/>
    </row>
    <row r="7487" spans="20:25" x14ac:dyDescent="0.25">
      <c r="T7487" s="10"/>
      <c r="U7487" s="4"/>
      <c r="V7487" s="4"/>
      <c r="X7487" s="4"/>
      <c r="Y7487" s="4"/>
    </row>
    <row r="7488" spans="20:25" x14ac:dyDescent="0.25">
      <c r="T7488" s="10"/>
      <c r="U7488" s="4"/>
      <c r="V7488" s="4"/>
      <c r="X7488" s="4"/>
      <c r="Y7488" s="4"/>
    </row>
    <row r="7489" spans="20:25" x14ac:dyDescent="0.25">
      <c r="T7489" s="10"/>
      <c r="U7489" s="4"/>
      <c r="V7489" s="4"/>
      <c r="X7489" s="4"/>
      <c r="Y7489" s="4"/>
    </row>
    <row r="7490" spans="20:25" x14ac:dyDescent="0.25">
      <c r="T7490" s="10"/>
      <c r="U7490" s="4"/>
      <c r="V7490" s="4"/>
      <c r="X7490" s="4"/>
      <c r="Y7490" s="4"/>
    </row>
    <row r="7491" spans="20:25" x14ac:dyDescent="0.25">
      <c r="T7491" s="10"/>
      <c r="U7491" s="4"/>
      <c r="V7491" s="4"/>
      <c r="X7491" s="4"/>
      <c r="Y7491" s="4"/>
    </row>
    <row r="7492" spans="20:25" x14ac:dyDescent="0.25">
      <c r="T7492" s="10"/>
      <c r="U7492" s="4"/>
      <c r="V7492" s="4"/>
      <c r="X7492" s="4"/>
      <c r="Y7492" s="4"/>
    </row>
    <row r="7493" spans="20:25" x14ac:dyDescent="0.25">
      <c r="T7493" s="10"/>
      <c r="U7493" s="4"/>
      <c r="V7493" s="4"/>
      <c r="X7493" s="4"/>
      <c r="Y7493" s="4"/>
    </row>
    <row r="7494" spans="20:25" x14ac:dyDescent="0.25">
      <c r="T7494" s="10"/>
      <c r="U7494" s="4"/>
      <c r="V7494" s="4"/>
      <c r="X7494" s="4"/>
      <c r="Y7494" s="4"/>
    </row>
    <row r="7495" spans="20:25" x14ac:dyDescent="0.25">
      <c r="T7495" s="10"/>
      <c r="U7495" s="4"/>
      <c r="V7495" s="4"/>
      <c r="X7495" s="4"/>
      <c r="Y7495" s="4"/>
    </row>
    <row r="7496" spans="20:25" x14ac:dyDescent="0.25">
      <c r="T7496" s="10"/>
      <c r="U7496" s="4"/>
      <c r="V7496" s="4"/>
      <c r="X7496" s="4"/>
      <c r="Y7496" s="4"/>
    </row>
    <row r="7497" spans="20:25" x14ac:dyDescent="0.25">
      <c r="T7497" s="10"/>
      <c r="U7497" s="4"/>
      <c r="V7497" s="4"/>
      <c r="X7497" s="4"/>
      <c r="Y7497" s="4"/>
    </row>
    <row r="7498" spans="20:25" x14ac:dyDescent="0.25">
      <c r="T7498" s="10"/>
      <c r="U7498" s="4"/>
      <c r="V7498" s="4"/>
      <c r="X7498" s="4"/>
      <c r="Y7498" s="4"/>
    </row>
    <row r="7499" spans="20:25" x14ac:dyDescent="0.25">
      <c r="T7499" s="10"/>
      <c r="U7499" s="4"/>
      <c r="V7499" s="4"/>
      <c r="X7499" s="4"/>
      <c r="Y7499" s="4"/>
    </row>
    <row r="7500" spans="20:25" x14ac:dyDescent="0.25">
      <c r="T7500" s="10"/>
      <c r="U7500" s="4"/>
      <c r="V7500" s="4"/>
      <c r="X7500" s="4"/>
      <c r="Y7500" s="4"/>
    </row>
    <row r="7501" spans="20:25" x14ac:dyDescent="0.25">
      <c r="T7501" s="10"/>
      <c r="U7501" s="4"/>
      <c r="V7501" s="4"/>
      <c r="X7501" s="4"/>
      <c r="Y7501" s="4"/>
    </row>
    <row r="7502" spans="20:25" x14ac:dyDescent="0.25">
      <c r="T7502" s="10"/>
      <c r="U7502" s="4"/>
      <c r="V7502" s="4"/>
      <c r="X7502" s="4"/>
      <c r="Y7502" s="4"/>
    </row>
    <row r="7503" spans="20:25" x14ac:dyDescent="0.25">
      <c r="T7503" s="10"/>
      <c r="U7503" s="4"/>
      <c r="V7503" s="4"/>
      <c r="X7503" s="4"/>
      <c r="Y7503" s="4"/>
    </row>
    <row r="7504" spans="20:25" x14ac:dyDescent="0.25">
      <c r="T7504" s="10"/>
      <c r="U7504" s="4"/>
      <c r="V7504" s="4"/>
      <c r="X7504" s="4"/>
      <c r="Y7504" s="4"/>
    </row>
    <row r="7505" spans="20:25" x14ac:dyDescent="0.25">
      <c r="T7505" s="10"/>
      <c r="U7505" s="4"/>
      <c r="V7505" s="4"/>
      <c r="X7505" s="4"/>
      <c r="Y7505" s="4"/>
    </row>
    <row r="7506" spans="20:25" x14ac:dyDescent="0.25">
      <c r="T7506" s="10"/>
      <c r="U7506" s="4"/>
      <c r="V7506" s="4"/>
      <c r="X7506" s="4"/>
      <c r="Y7506" s="4"/>
    </row>
    <row r="7507" spans="20:25" x14ac:dyDescent="0.25">
      <c r="T7507" s="10"/>
      <c r="U7507" s="4"/>
      <c r="V7507" s="4"/>
      <c r="X7507" s="4"/>
      <c r="Y7507" s="4"/>
    </row>
    <row r="7508" spans="20:25" x14ac:dyDescent="0.25">
      <c r="T7508" s="10"/>
      <c r="U7508" s="4"/>
      <c r="V7508" s="4"/>
      <c r="X7508" s="4"/>
      <c r="Y7508" s="4"/>
    </row>
    <row r="7509" spans="20:25" x14ac:dyDescent="0.25">
      <c r="T7509" s="10"/>
      <c r="U7509" s="4"/>
      <c r="V7509" s="4"/>
      <c r="X7509" s="4"/>
      <c r="Y7509" s="4"/>
    </row>
    <row r="7510" spans="20:25" x14ac:dyDescent="0.25">
      <c r="T7510" s="10"/>
      <c r="U7510" s="4"/>
      <c r="V7510" s="4"/>
      <c r="X7510" s="4"/>
      <c r="Y7510" s="4"/>
    </row>
    <row r="7511" spans="20:25" x14ac:dyDescent="0.25">
      <c r="T7511" s="10"/>
      <c r="U7511" s="4"/>
      <c r="V7511" s="4"/>
      <c r="X7511" s="4"/>
      <c r="Y7511" s="4"/>
    </row>
    <row r="7512" spans="20:25" x14ac:dyDescent="0.25">
      <c r="T7512" s="10"/>
      <c r="U7512" s="4"/>
      <c r="V7512" s="4"/>
      <c r="X7512" s="4"/>
      <c r="Y7512" s="4"/>
    </row>
    <row r="7513" spans="20:25" x14ac:dyDescent="0.25">
      <c r="T7513" s="10"/>
      <c r="U7513" s="4"/>
      <c r="V7513" s="4"/>
      <c r="X7513" s="4"/>
      <c r="Y7513" s="4"/>
    </row>
    <row r="7514" spans="20:25" x14ac:dyDescent="0.25">
      <c r="T7514" s="10"/>
      <c r="U7514" s="4"/>
      <c r="V7514" s="4"/>
      <c r="X7514" s="4"/>
      <c r="Y7514" s="4"/>
    </row>
    <row r="7515" spans="20:25" x14ac:dyDescent="0.25">
      <c r="T7515" s="10"/>
      <c r="U7515" s="4"/>
      <c r="V7515" s="4"/>
      <c r="X7515" s="4"/>
      <c r="Y7515" s="4"/>
    </row>
    <row r="7516" spans="20:25" x14ac:dyDescent="0.25">
      <c r="T7516" s="10"/>
      <c r="U7516" s="4"/>
      <c r="V7516" s="4"/>
      <c r="X7516" s="4"/>
      <c r="Y7516" s="4"/>
    </row>
    <row r="7517" spans="20:25" x14ac:dyDescent="0.25">
      <c r="T7517" s="10"/>
      <c r="U7517" s="4"/>
      <c r="V7517" s="4"/>
      <c r="X7517" s="4"/>
      <c r="Y7517" s="4"/>
    </row>
    <row r="7518" spans="20:25" x14ac:dyDescent="0.25">
      <c r="T7518" s="10"/>
      <c r="U7518" s="4"/>
      <c r="V7518" s="4"/>
      <c r="X7518" s="4"/>
      <c r="Y7518" s="4"/>
    </row>
    <row r="7519" spans="20:25" x14ac:dyDescent="0.25">
      <c r="T7519" s="10"/>
      <c r="U7519" s="4"/>
      <c r="V7519" s="4"/>
      <c r="X7519" s="4"/>
      <c r="Y7519" s="4"/>
    </row>
    <row r="7520" spans="20:25" x14ac:dyDescent="0.25">
      <c r="T7520" s="10"/>
      <c r="U7520" s="4"/>
      <c r="V7520" s="4"/>
      <c r="X7520" s="4"/>
      <c r="Y7520" s="4"/>
    </row>
    <row r="7521" spans="20:25" x14ac:dyDescent="0.25">
      <c r="T7521" s="10"/>
      <c r="U7521" s="4"/>
      <c r="V7521" s="4"/>
      <c r="X7521" s="4"/>
      <c r="Y7521" s="4"/>
    </row>
    <row r="7522" spans="20:25" x14ac:dyDescent="0.25">
      <c r="T7522" s="10"/>
      <c r="U7522" s="4"/>
      <c r="V7522" s="4"/>
      <c r="X7522" s="4"/>
      <c r="Y7522" s="4"/>
    </row>
    <row r="7523" spans="20:25" x14ac:dyDescent="0.25">
      <c r="T7523" s="10"/>
      <c r="U7523" s="4"/>
      <c r="V7523" s="4"/>
      <c r="X7523" s="4"/>
      <c r="Y7523" s="4"/>
    </row>
    <row r="7524" spans="20:25" x14ac:dyDescent="0.25">
      <c r="T7524" s="10"/>
      <c r="U7524" s="4"/>
      <c r="V7524" s="4"/>
      <c r="X7524" s="4"/>
      <c r="Y7524" s="4"/>
    </row>
    <row r="7525" spans="20:25" x14ac:dyDescent="0.25">
      <c r="T7525" s="10"/>
      <c r="U7525" s="4"/>
      <c r="V7525" s="4"/>
      <c r="X7525" s="4"/>
      <c r="Y7525" s="4"/>
    </row>
    <row r="7526" spans="20:25" x14ac:dyDescent="0.25">
      <c r="T7526" s="10"/>
      <c r="U7526" s="4"/>
      <c r="V7526" s="4"/>
      <c r="X7526" s="4"/>
      <c r="Y7526" s="4"/>
    </row>
    <row r="7527" spans="20:25" x14ac:dyDescent="0.25">
      <c r="T7527" s="10"/>
      <c r="U7527" s="4"/>
      <c r="V7527" s="4"/>
      <c r="X7527" s="4"/>
      <c r="Y7527" s="4"/>
    </row>
    <row r="7528" spans="20:25" x14ac:dyDescent="0.25">
      <c r="T7528" s="10"/>
      <c r="U7528" s="4"/>
      <c r="V7528" s="4"/>
      <c r="X7528" s="4"/>
      <c r="Y7528" s="4"/>
    </row>
    <row r="7529" spans="20:25" x14ac:dyDescent="0.25">
      <c r="T7529" s="10"/>
      <c r="U7529" s="4"/>
      <c r="V7529" s="4"/>
      <c r="X7529" s="4"/>
      <c r="Y7529" s="4"/>
    </row>
    <row r="7530" spans="20:25" x14ac:dyDescent="0.25">
      <c r="T7530" s="10"/>
      <c r="U7530" s="4"/>
      <c r="V7530" s="4"/>
      <c r="X7530" s="4"/>
      <c r="Y7530" s="4"/>
    </row>
    <row r="7531" spans="20:25" x14ac:dyDescent="0.25">
      <c r="T7531" s="10"/>
      <c r="U7531" s="4"/>
      <c r="V7531" s="4"/>
      <c r="X7531" s="4"/>
      <c r="Y7531" s="4"/>
    </row>
    <row r="7532" spans="20:25" x14ac:dyDescent="0.25">
      <c r="T7532" s="10"/>
      <c r="U7532" s="4"/>
      <c r="V7532" s="4"/>
      <c r="X7532" s="4"/>
      <c r="Y7532" s="4"/>
    </row>
    <row r="7533" spans="20:25" x14ac:dyDescent="0.25">
      <c r="T7533" s="10"/>
      <c r="U7533" s="4"/>
      <c r="V7533" s="4"/>
      <c r="X7533" s="4"/>
      <c r="Y7533" s="4"/>
    </row>
    <row r="7534" spans="20:25" x14ac:dyDescent="0.25">
      <c r="T7534" s="10"/>
      <c r="U7534" s="4"/>
      <c r="V7534" s="4"/>
      <c r="X7534" s="4"/>
      <c r="Y7534" s="4"/>
    </row>
    <row r="7535" spans="20:25" x14ac:dyDescent="0.25">
      <c r="T7535" s="10"/>
      <c r="U7535" s="4"/>
      <c r="V7535" s="4"/>
      <c r="X7535" s="4"/>
      <c r="Y7535" s="4"/>
    </row>
    <row r="7536" spans="20:25" x14ac:dyDescent="0.25">
      <c r="T7536" s="10"/>
      <c r="U7536" s="4"/>
      <c r="V7536" s="4"/>
      <c r="X7536" s="4"/>
      <c r="Y7536" s="4"/>
    </row>
    <row r="7537" spans="20:25" x14ac:dyDescent="0.25">
      <c r="T7537" s="10"/>
      <c r="U7537" s="4"/>
      <c r="V7537" s="4"/>
      <c r="X7537" s="4"/>
      <c r="Y7537" s="4"/>
    </row>
    <row r="7538" spans="20:25" x14ac:dyDescent="0.25">
      <c r="T7538" s="10"/>
      <c r="U7538" s="4"/>
      <c r="V7538" s="4"/>
      <c r="X7538" s="4"/>
      <c r="Y7538" s="4"/>
    </row>
    <row r="7539" spans="20:25" x14ac:dyDescent="0.25">
      <c r="T7539" s="10"/>
      <c r="U7539" s="4"/>
      <c r="V7539" s="4"/>
      <c r="X7539" s="4"/>
      <c r="Y7539" s="4"/>
    </row>
    <row r="7540" spans="20:25" x14ac:dyDescent="0.25">
      <c r="T7540" s="10"/>
      <c r="U7540" s="4"/>
      <c r="V7540" s="4"/>
      <c r="X7540" s="4"/>
      <c r="Y7540" s="4"/>
    </row>
    <row r="7541" spans="20:25" x14ac:dyDescent="0.25">
      <c r="T7541" s="10"/>
      <c r="U7541" s="4"/>
      <c r="V7541" s="4"/>
      <c r="X7541" s="4"/>
      <c r="Y7541" s="4"/>
    </row>
    <row r="7542" spans="20:25" x14ac:dyDescent="0.25">
      <c r="T7542" s="10"/>
      <c r="U7542" s="4"/>
      <c r="V7542" s="4"/>
      <c r="X7542" s="4"/>
      <c r="Y7542" s="4"/>
    </row>
    <row r="7543" spans="20:25" x14ac:dyDescent="0.25">
      <c r="T7543" s="10"/>
      <c r="U7543" s="4"/>
      <c r="V7543" s="4"/>
      <c r="X7543" s="4"/>
      <c r="Y7543" s="4"/>
    </row>
    <row r="7544" spans="20:25" x14ac:dyDescent="0.25">
      <c r="T7544" s="10"/>
      <c r="U7544" s="4"/>
      <c r="V7544" s="4"/>
      <c r="X7544" s="4"/>
      <c r="Y7544" s="4"/>
    </row>
    <row r="7545" spans="20:25" x14ac:dyDescent="0.25">
      <c r="T7545" s="10"/>
      <c r="U7545" s="4"/>
      <c r="V7545" s="4"/>
      <c r="X7545" s="4"/>
      <c r="Y7545" s="4"/>
    </row>
    <row r="7546" spans="20:25" x14ac:dyDescent="0.25">
      <c r="T7546" s="10"/>
      <c r="U7546" s="4"/>
      <c r="V7546" s="4"/>
      <c r="X7546" s="4"/>
      <c r="Y7546" s="4"/>
    </row>
    <row r="7547" spans="20:25" x14ac:dyDescent="0.25">
      <c r="T7547" s="10"/>
      <c r="U7547" s="4"/>
      <c r="V7547" s="4"/>
      <c r="X7547" s="4"/>
      <c r="Y7547" s="4"/>
    </row>
    <row r="7548" spans="20:25" x14ac:dyDescent="0.25">
      <c r="T7548" s="10"/>
      <c r="U7548" s="4"/>
      <c r="V7548" s="4"/>
      <c r="X7548" s="4"/>
      <c r="Y7548" s="4"/>
    </row>
    <row r="7549" spans="20:25" x14ac:dyDescent="0.25">
      <c r="T7549" s="10"/>
      <c r="U7549" s="4"/>
      <c r="V7549" s="4"/>
      <c r="X7549" s="4"/>
      <c r="Y7549" s="4"/>
    </row>
    <row r="7550" spans="20:25" x14ac:dyDescent="0.25">
      <c r="T7550" s="10"/>
      <c r="U7550" s="4"/>
      <c r="V7550" s="4"/>
      <c r="X7550" s="4"/>
      <c r="Y7550" s="4"/>
    </row>
    <row r="7551" spans="20:25" x14ac:dyDescent="0.25">
      <c r="T7551" s="10"/>
      <c r="U7551" s="4"/>
      <c r="V7551" s="4"/>
      <c r="X7551" s="4"/>
      <c r="Y7551" s="4"/>
    </row>
    <row r="7552" spans="20:25" x14ac:dyDescent="0.25">
      <c r="T7552" s="10"/>
      <c r="U7552" s="4"/>
      <c r="V7552" s="4"/>
      <c r="X7552" s="4"/>
      <c r="Y7552" s="4"/>
    </row>
    <row r="7553" spans="20:25" x14ac:dyDescent="0.25">
      <c r="T7553" s="10"/>
      <c r="U7553" s="4"/>
      <c r="V7553" s="4"/>
      <c r="X7553" s="4"/>
      <c r="Y7553" s="4"/>
    </row>
    <row r="7554" spans="20:25" x14ac:dyDescent="0.25">
      <c r="T7554" s="10"/>
      <c r="U7554" s="4"/>
      <c r="V7554" s="4"/>
      <c r="X7554" s="4"/>
      <c r="Y7554" s="4"/>
    </row>
    <row r="7555" spans="20:25" x14ac:dyDescent="0.25">
      <c r="T7555" s="10"/>
      <c r="U7555" s="4"/>
      <c r="V7555" s="4"/>
      <c r="X7555" s="4"/>
      <c r="Y7555" s="4"/>
    </row>
    <row r="7556" spans="20:25" x14ac:dyDescent="0.25">
      <c r="T7556" s="10"/>
      <c r="U7556" s="4"/>
      <c r="V7556" s="4"/>
      <c r="X7556" s="4"/>
      <c r="Y7556" s="4"/>
    </row>
    <row r="7557" spans="20:25" x14ac:dyDescent="0.25">
      <c r="T7557" s="10"/>
      <c r="U7557" s="4"/>
      <c r="V7557" s="4"/>
      <c r="X7557" s="4"/>
      <c r="Y7557" s="4"/>
    </row>
    <row r="7558" spans="20:25" x14ac:dyDescent="0.25">
      <c r="T7558" s="10"/>
      <c r="U7558" s="4"/>
      <c r="V7558" s="4"/>
      <c r="X7558" s="4"/>
      <c r="Y7558" s="4"/>
    </row>
    <row r="7559" spans="20:25" x14ac:dyDescent="0.25">
      <c r="T7559" s="10"/>
      <c r="U7559" s="4"/>
      <c r="V7559" s="4"/>
      <c r="X7559" s="4"/>
      <c r="Y7559" s="4"/>
    </row>
    <row r="7560" spans="20:25" x14ac:dyDescent="0.25">
      <c r="T7560" s="10"/>
      <c r="U7560" s="4"/>
      <c r="V7560" s="4"/>
      <c r="X7560" s="4"/>
      <c r="Y7560" s="4"/>
    </row>
    <row r="7561" spans="20:25" x14ac:dyDescent="0.25">
      <c r="T7561" s="10"/>
      <c r="U7561" s="4"/>
      <c r="V7561" s="4"/>
      <c r="X7561" s="4"/>
      <c r="Y7561" s="4"/>
    </row>
    <row r="7562" spans="20:25" x14ac:dyDescent="0.25">
      <c r="T7562" s="10"/>
      <c r="U7562" s="4"/>
      <c r="V7562" s="4"/>
      <c r="X7562" s="4"/>
      <c r="Y7562" s="4"/>
    </row>
    <row r="7563" spans="20:25" x14ac:dyDescent="0.25">
      <c r="T7563" s="10"/>
      <c r="U7563" s="4"/>
      <c r="V7563" s="4"/>
      <c r="X7563" s="4"/>
      <c r="Y7563" s="4"/>
    </row>
    <row r="7564" spans="20:25" x14ac:dyDescent="0.25">
      <c r="T7564" s="10"/>
      <c r="U7564" s="4"/>
      <c r="V7564" s="4"/>
      <c r="X7564" s="4"/>
      <c r="Y7564" s="4"/>
    </row>
    <row r="7565" spans="20:25" x14ac:dyDescent="0.25">
      <c r="T7565" s="10"/>
      <c r="U7565" s="4"/>
      <c r="V7565" s="4"/>
      <c r="X7565" s="4"/>
      <c r="Y7565" s="4"/>
    </row>
    <row r="7566" spans="20:25" x14ac:dyDescent="0.25">
      <c r="T7566" s="10"/>
      <c r="U7566" s="4"/>
      <c r="V7566" s="4"/>
      <c r="X7566" s="4"/>
      <c r="Y7566" s="4"/>
    </row>
    <row r="7567" spans="20:25" x14ac:dyDescent="0.25">
      <c r="T7567" s="10"/>
      <c r="U7567" s="4"/>
      <c r="V7567" s="4"/>
      <c r="X7567" s="4"/>
      <c r="Y7567" s="4"/>
    </row>
    <row r="7568" spans="20:25" x14ac:dyDescent="0.25">
      <c r="T7568" s="10"/>
      <c r="U7568" s="4"/>
      <c r="V7568" s="4"/>
      <c r="X7568" s="4"/>
      <c r="Y7568" s="4"/>
    </row>
    <row r="7569" spans="20:25" x14ac:dyDescent="0.25">
      <c r="T7569" s="10"/>
      <c r="U7569" s="4"/>
      <c r="V7569" s="4"/>
      <c r="X7569" s="4"/>
      <c r="Y7569" s="4"/>
    </row>
    <row r="7570" spans="20:25" x14ac:dyDescent="0.25">
      <c r="T7570" s="10"/>
      <c r="U7570" s="4"/>
      <c r="V7570" s="4"/>
      <c r="X7570" s="4"/>
      <c r="Y7570" s="4"/>
    </row>
    <row r="7571" spans="20:25" x14ac:dyDescent="0.25">
      <c r="T7571" s="10"/>
      <c r="U7571" s="4"/>
      <c r="V7571" s="4"/>
      <c r="X7571" s="4"/>
      <c r="Y7571" s="4"/>
    </row>
    <row r="7572" spans="20:25" x14ac:dyDescent="0.25">
      <c r="T7572" s="10"/>
      <c r="U7572" s="4"/>
      <c r="V7572" s="4"/>
      <c r="X7572" s="4"/>
      <c r="Y7572" s="4"/>
    </row>
    <row r="7573" spans="20:25" x14ac:dyDescent="0.25">
      <c r="T7573" s="10"/>
      <c r="U7573" s="4"/>
      <c r="V7573" s="4"/>
      <c r="X7573" s="4"/>
      <c r="Y7573" s="4"/>
    </row>
    <row r="7574" spans="20:25" x14ac:dyDescent="0.25">
      <c r="T7574" s="10"/>
      <c r="U7574" s="4"/>
      <c r="V7574" s="4"/>
      <c r="X7574" s="4"/>
      <c r="Y7574" s="4"/>
    </row>
    <row r="7575" spans="20:25" x14ac:dyDescent="0.25">
      <c r="T7575" s="10"/>
      <c r="U7575" s="4"/>
      <c r="V7575" s="4"/>
      <c r="X7575" s="4"/>
      <c r="Y7575" s="4"/>
    </row>
    <row r="7576" spans="20:25" x14ac:dyDescent="0.25">
      <c r="T7576" s="10"/>
      <c r="U7576" s="4"/>
      <c r="V7576" s="4"/>
      <c r="X7576" s="4"/>
      <c r="Y7576" s="4"/>
    </row>
    <row r="7577" spans="20:25" x14ac:dyDescent="0.25">
      <c r="T7577" s="10"/>
      <c r="U7577" s="4"/>
      <c r="V7577" s="4"/>
      <c r="X7577" s="4"/>
      <c r="Y7577" s="4"/>
    </row>
    <row r="7578" spans="20:25" x14ac:dyDescent="0.25">
      <c r="T7578" s="10"/>
      <c r="U7578" s="4"/>
      <c r="V7578" s="4"/>
      <c r="X7578" s="4"/>
      <c r="Y7578" s="4"/>
    </row>
    <row r="7579" spans="20:25" x14ac:dyDescent="0.25">
      <c r="T7579" s="10"/>
      <c r="U7579" s="4"/>
      <c r="V7579" s="4"/>
      <c r="X7579" s="4"/>
      <c r="Y7579" s="4"/>
    </row>
    <row r="7580" spans="20:25" x14ac:dyDescent="0.25">
      <c r="T7580" s="10"/>
      <c r="U7580" s="4"/>
      <c r="V7580" s="4"/>
      <c r="X7580" s="4"/>
      <c r="Y7580" s="4"/>
    </row>
    <row r="7581" spans="20:25" x14ac:dyDescent="0.25">
      <c r="T7581" s="10"/>
      <c r="U7581" s="4"/>
      <c r="V7581" s="4"/>
      <c r="X7581" s="4"/>
      <c r="Y7581" s="4"/>
    </row>
    <row r="7582" spans="20:25" x14ac:dyDescent="0.25">
      <c r="T7582" s="10"/>
      <c r="U7582" s="4"/>
      <c r="V7582" s="4"/>
      <c r="X7582" s="4"/>
      <c r="Y7582" s="4"/>
    </row>
    <row r="7583" spans="20:25" x14ac:dyDescent="0.25">
      <c r="T7583" s="10"/>
      <c r="U7583" s="4"/>
      <c r="V7583" s="4"/>
      <c r="X7583" s="4"/>
      <c r="Y7583" s="4"/>
    </row>
    <row r="7584" spans="20:25" x14ac:dyDescent="0.25">
      <c r="T7584" s="10"/>
      <c r="U7584" s="4"/>
      <c r="V7584" s="4"/>
      <c r="X7584" s="4"/>
      <c r="Y7584" s="4"/>
    </row>
    <row r="7585" spans="20:25" x14ac:dyDescent="0.25">
      <c r="T7585" s="10"/>
      <c r="U7585" s="4"/>
      <c r="V7585" s="4"/>
      <c r="X7585" s="4"/>
      <c r="Y7585" s="4"/>
    </row>
    <row r="7586" spans="20:25" x14ac:dyDescent="0.25">
      <c r="T7586" s="10"/>
      <c r="U7586" s="4"/>
      <c r="V7586" s="4"/>
      <c r="X7586" s="4"/>
      <c r="Y7586" s="4"/>
    </row>
    <row r="7587" spans="20:25" x14ac:dyDescent="0.25">
      <c r="T7587" s="10"/>
      <c r="U7587" s="4"/>
      <c r="V7587" s="4"/>
      <c r="X7587" s="4"/>
      <c r="Y7587" s="4"/>
    </row>
    <row r="7588" spans="20:25" x14ac:dyDescent="0.25">
      <c r="T7588" s="10"/>
      <c r="U7588" s="4"/>
      <c r="V7588" s="4"/>
      <c r="X7588" s="4"/>
      <c r="Y7588" s="4"/>
    </row>
    <row r="7589" spans="20:25" x14ac:dyDescent="0.25">
      <c r="T7589" s="10"/>
      <c r="U7589" s="4"/>
      <c r="V7589" s="4"/>
      <c r="X7589" s="4"/>
      <c r="Y7589" s="4"/>
    </row>
    <row r="7590" spans="20:25" x14ac:dyDescent="0.25">
      <c r="T7590" s="10"/>
      <c r="U7590" s="4"/>
      <c r="V7590" s="4"/>
      <c r="X7590" s="4"/>
      <c r="Y7590" s="4"/>
    </row>
    <row r="7591" spans="20:25" x14ac:dyDescent="0.25">
      <c r="T7591" s="10"/>
      <c r="U7591" s="4"/>
      <c r="V7591" s="4"/>
      <c r="X7591" s="4"/>
      <c r="Y7591" s="4"/>
    </row>
    <row r="7592" spans="20:25" x14ac:dyDescent="0.25">
      <c r="T7592" s="10"/>
      <c r="U7592" s="4"/>
      <c r="V7592" s="4"/>
      <c r="X7592" s="4"/>
      <c r="Y7592" s="4"/>
    </row>
    <row r="7593" spans="20:25" x14ac:dyDescent="0.25">
      <c r="T7593" s="10"/>
      <c r="U7593" s="4"/>
      <c r="V7593" s="4"/>
      <c r="X7593" s="4"/>
      <c r="Y7593" s="4"/>
    </row>
    <row r="7594" spans="20:25" x14ac:dyDescent="0.25">
      <c r="T7594" s="10"/>
      <c r="U7594" s="4"/>
      <c r="V7594" s="4"/>
      <c r="X7594" s="4"/>
      <c r="Y7594" s="4"/>
    </row>
    <row r="7595" spans="20:25" x14ac:dyDescent="0.25">
      <c r="T7595" s="10"/>
      <c r="U7595" s="4"/>
      <c r="V7595" s="4"/>
      <c r="X7595" s="4"/>
      <c r="Y7595" s="4"/>
    </row>
    <row r="7596" spans="20:25" x14ac:dyDescent="0.25">
      <c r="T7596" s="10"/>
      <c r="U7596" s="4"/>
      <c r="V7596" s="4"/>
      <c r="X7596" s="4"/>
      <c r="Y7596" s="4"/>
    </row>
    <row r="7597" spans="20:25" x14ac:dyDescent="0.25">
      <c r="T7597" s="10"/>
      <c r="U7597" s="4"/>
      <c r="V7597" s="4"/>
      <c r="X7597" s="4"/>
      <c r="Y7597" s="4"/>
    </row>
    <row r="7598" spans="20:25" x14ac:dyDescent="0.25">
      <c r="T7598" s="10"/>
      <c r="U7598" s="4"/>
      <c r="V7598" s="4"/>
      <c r="X7598" s="4"/>
      <c r="Y7598" s="4"/>
    </row>
    <row r="7599" spans="20:25" x14ac:dyDescent="0.25">
      <c r="T7599" s="10"/>
      <c r="U7599" s="4"/>
      <c r="V7599" s="4"/>
      <c r="X7599" s="4"/>
      <c r="Y7599" s="4"/>
    </row>
    <row r="7600" spans="20:25" x14ac:dyDescent="0.25">
      <c r="T7600" s="10"/>
      <c r="U7600" s="4"/>
      <c r="V7600" s="4"/>
      <c r="X7600" s="4"/>
      <c r="Y7600" s="4"/>
    </row>
    <row r="7601" spans="20:25" x14ac:dyDescent="0.25">
      <c r="T7601" s="10"/>
      <c r="U7601" s="4"/>
      <c r="V7601" s="4"/>
      <c r="X7601" s="4"/>
      <c r="Y7601" s="4"/>
    </row>
    <row r="7602" spans="20:25" x14ac:dyDescent="0.25">
      <c r="T7602" s="10"/>
      <c r="U7602" s="4"/>
      <c r="V7602" s="4"/>
      <c r="X7602" s="4"/>
      <c r="Y7602" s="4"/>
    </row>
    <row r="7603" spans="20:25" x14ac:dyDescent="0.25">
      <c r="T7603" s="10"/>
      <c r="U7603" s="4"/>
      <c r="V7603" s="4"/>
      <c r="X7603" s="4"/>
      <c r="Y7603" s="4"/>
    </row>
    <row r="7604" spans="20:25" x14ac:dyDescent="0.25">
      <c r="T7604" s="10"/>
      <c r="U7604" s="4"/>
      <c r="V7604" s="4"/>
      <c r="X7604" s="4"/>
      <c r="Y7604" s="4"/>
    </row>
    <row r="7605" spans="20:25" x14ac:dyDescent="0.25">
      <c r="T7605" s="10"/>
      <c r="U7605" s="4"/>
      <c r="V7605" s="4"/>
      <c r="X7605" s="4"/>
      <c r="Y7605" s="4"/>
    </row>
    <row r="7606" spans="20:25" x14ac:dyDescent="0.25">
      <c r="T7606" s="10"/>
      <c r="U7606" s="4"/>
      <c r="V7606" s="4"/>
      <c r="X7606" s="4"/>
      <c r="Y7606" s="4"/>
    </row>
    <row r="7607" spans="20:25" x14ac:dyDescent="0.25">
      <c r="T7607" s="10"/>
      <c r="U7607" s="4"/>
      <c r="V7607" s="4"/>
      <c r="X7607" s="4"/>
      <c r="Y7607" s="4"/>
    </row>
    <row r="7608" spans="20:25" x14ac:dyDescent="0.25">
      <c r="T7608" s="10"/>
      <c r="U7608" s="4"/>
      <c r="V7608" s="4"/>
      <c r="X7608" s="4"/>
      <c r="Y7608" s="4"/>
    </row>
    <row r="7609" spans="20:25" x14ac:dyDescent="0.25">
      <c r="T7609" s="10"/>
      <c r="U7609" s="4"/>
      <c r="V7609" s="4"/>
      <c r="X7609" s="4"/>
      <c r="Y7609" s="4"/>
    </row>
    <row r="7610" spans="20:25" x14ac:dyDescent="0.25">
      <c r="T7610" s="10"/>
      <c r="U7610" s="4"/>
      <c r="V7610" s="4"/>
      <c r="X7610" s="4"/>
      <c r="Y7610" s="4"/>
    </row>
    <row r="7611" spans="20:25" x14ac:dyDescent="0.25">
      <c r="T7611" s="10"/>
      <c r="U7611" s="4"/>
      <c r="V7611" s="4"/>
      <c r="X7611" s="4"/>
      <c r="Y7611" s="4"/>
    </row>
    <row r="7612" spans="20:25" x14ac:dyDescent="0.25">
      <c r="T7612" s="10"/>
      <c r="U7612" s="4"/>
      <c r="V7612" s="4"/>
      <c r="X7612" s="4"/>
      <c r="Y7612" s="4"/>
    </row>
    <row r="7613" spans="20:25" x14ac:dyDescent="0.25">
      <c r="T7613" s="10"/>
      <c r="U7613" s="4"/>
      <c r="V7613" s="4"/>
      <c r="X7613" s="4"/>
      <c r="Y7613" s="4"/>
    </row>
    <row r="7614" spans="20:25" x14ac:dyDescent="0.25">
      <c r="T7614" s="10"/>
      <c r="U7614" s="4"/>
      <c r="V7614" s="4"/>
      <c r="X7614" s="4"/>
      <c r="Y7614" s="4"/>
    </row>
    <row r="7615" spans="20:25" x14ac:dyDescent="0.25">
      <c r="T7615" s="10"/>
      <c r="U7615" s="4"/>
      <c r="V7615" s="4"/>
      <c r="X7615" s="4"/>
      <c r="Y7615" s="4"/>
    </row>
    <row r="7616" spans="20:25" x14ac:dyDescent="0.25">
      <c r="T7616" s="10"/>
      <c r="U7616" s="4"/>
      <c r="V7616" s="4"/>
      <c r="X7616" s="4"/>
      <c r="Y7616" s="4"/>
    </row>
    <row r="7617" spans="20:25" x14ac:dyDescent="0.25">
      <c r="T7617" s="10"/>
      <c r="U7617" s="4"/>
      <c r="V7617" s="4"/>
      <c r="X7617" s="4"/>
      <c r="Y7617" s="4"/>
    </row>
    <row r="7618" spans="20:25" x14ac:dyDescent="0.25">
      <c r="T7618" s="10"/>
      <c r="U7618" s="4"/>
      <c r="V7618" s="4"/>
      <c r="X7618" s="4"/>
      <c r="Y7618" s="4"/>
    </row>
    <row r="7619" spans="20:25" x14ac:dyDescent="0.25">
      <c r="T7619" s="10"/>
      <c r="U7619" s="4"/>
      <c r="V7619" s="4"/>
      <c r="X7619" s="4"/>
      <c r="Y7619" s="4"/>
    </row>
    <row r="7620" spans="20:25" x14ac:dyDescent="0.25">
      <c r="T7620" s="10"/>
      <c r="U7620" s="4"/>
      <c r="V7620" s="4"/>
      <c r="X7620" s="4"/>
      <c r="Y7620" s="4"/>
    </row>
    <row r="7621" spans="20:25" x14ac:dyDescent="0.25">
      <c r="T7621" s="10"/>
      <c r="U7621" s="4"/>
      <c r="V7621" s="4"/>
      <c r="X7621" s="4"/>
      <c r="Y7621" s="4"/>
    </row>
    <row r="7622" spans="20:25" x14ac:dyDescent="0.25">
      <c r="T7622" s="10"/>
      <c r="U7622" s="4"/>
      <c r="V7622" s="4"/>
      <c r="X7622" s="4"/>
      <c r="Y7622" s="4"/>
    </row>
    <row r="7623" spans="20:25" x14ac:dyDescent="0.25">
      <c r="T7623" s="10"/>
      <c r="U7623" s="4"/>
      <c r="V7623" s="4"/>
      <c r="X7623" s="4"/>
      <c r="Y7623" s="4"/>
    </row>
    <row r="7624" spans="20:25" x14ac:dyDescent="0.25">
      <c r="T7624" s="10"/>
      <c r="U7624" s="4"/>
      <c r="V7624" s="4"/>
      <c r="X7624" s="4"/>
      <c r="Y7624" s="4"/>
    </row>
    <row r="7625" spans="20:25" x14ac:dyDescent="0.25">
      <c r="T7625" s="10"/>
      <c r="U7625" s="4"/>
      <c r="V7625" s="4"/>
      <c r="X7625" s="4"/>
      <c r="Y7625" s="4"/>
    </row>
    <row r="7626" spans="20:25" x14ac:dyDescent="0.25">
      <c r="T7626" s="10"/>
      <c r="U7626" s="4"/>
      <c r="V7626" s="4"/>
      <c r="X7626" s="4"/>
      <c r="Y7626" s="4"/>
    </row>
    <row r="7627" spans="20:25" x14ac:dyDescent="0.25">
      <c r="T7627" s="10"/>
      <c r="U7627" s="4"/>
      <c r="V7627" s="4"/>
      <c r="X7627" s="4"/>
      <c r="Y7627" s="4"/>
    </row>
    <row r="7628" spans="20:25" x14ac:dyDescent="0.25">
      <c r="T7628" s="10"/>
      <c r="U7628" s="4"/>
      <c r="V7628" s="4"/>
      <c r="X7628" s="4"/>
      <c r="Y7628" s="4"/>
    </row>
    <row r="7629" spans="20:25" x14ac:dyDescent="0.25">
      <c r="T7629" s="10"/>
      <c r="U7629" s="4"/>
      <c r="V7629" s="4"/>
      <c r="X7629" s="4"/>
      <c r="Y7629" s="4"/>
    </row>
    <row r="7630" spans="20:25" x14ac:dyDescent="0.25">
      <c r="T7630" s="10"/>
      <c r="U7630" s="4"/>
      <c r="V7630" s="4"/>
      <c r="X7630" s="4"/>
      <c r="Y7630" s="4"/>
    </row>
    <row r="7631" spans="20:25" x14ac:dyDescent="0.25">
      <c r="T7631" s="10"/>
      <c r="U7631" s="4"/>
      <c r="V7631" s="4"/>
      <c r="X7631" s="4"/>
      <c r="Y7631" s="4"/>
    </row>
    <row r="7632" spans="20:25" x14ac:dyDescent="0.25">
      <c r="T7632" s="10"/>
      <c r="U7632" s="4"/>
      <c r="V7632" s="4"/>
      <c r="X7632" s="4"/>
      <c r="Y7632" s="4"/>
    </row>
    <row r="7633" spans="20:25" x14ac:dyDescent="0.25">
      <c r="T7633" s="10"/>
      <c r="U7633" s="4"/>
      <c r="V7633" s="4"/>
      <c r="X7633" s="4"/>
      <c r="Y7633" s="4"/>
    </row>
    <row r="7634" spans="20:25" x14ac:dyDescent="0.25">
      <c r="T7634" s="10"/>
      <c r="U7634" s="4"/>
      <c r="V7634" s="4"/>
      <c r="X7634" s="4"/>
      <c r="Y7634" s="4"/>
    </row>
    <row r="7635" spans="20:25" x14ac:dyDescent="0.25">
      <c r="T7635" s="10"/>
      <c r="U7635" s="4"/>
      <c r="V7635" s="4"/>
      <c r="X7635" s="4"/>
      <c r="Y7635" s="4"/>
    </row>
    <row r="7636" spans="20:25" x14ac:dyDescent="0.25">
      <c r="T7636" s="10"/>
      <c r="U7636" s="4"/>
      <c r="V7636" s="4"/>
      <c r="X7636" s="4"/>
      <c r="Y7636" s="4"/>
    </row>
    <row r="7637" spans="20:25" x14ac:dyDescent="0.25">
      <c r="T7637" s="10"/>
      <c r="U7637" s="4"/>
      <c r="V7637" s="4"/>
      <c r="X7637" s="4"/>
      <c r="Y7637" s="4"/>
    </row>
    <row r="7638" spans="20:25" x14ac:dyDescent="0.25">
      <c r="T7638" s="10"/>
      <c r="U7638" s="4"/>
      <c r="V7638" s="4"/>
      <c r="X7638" s="4"/>
      <c r="Y7638" s="4"/>
    </row>
    <row r="7639" spans="20:25" x14ac:dyDescent="0.25">
      <c r="T7639" s="10"/>
      <c r="U7639" s="4"/>
      <c r="V7639" s="4"/>
      <c r="X7639" s="4"/>
      <c r="Y7639" s="4"/>
    </row>
    <row r="7640" spans="20:25" x14ac:dyDescent="0.25">
      <c r="T7640" s="10"/>
      <c r="U7640" s="4"/>
      <c r="V7640" s="4"/>
      <c r="X7640" s="4"/>
      <c r="Y7640" s="4"/>
    </row>
    <row r="7641" spans="20:25" x14ac:dyDescent="0.25">
      <c r="T7641" s="10"/>
      <c r="U7641" s="4"/>
      <c r="V7641" s="4"/>
      <c r="X7641" s="4"/>
      <c r="Y7641" s="4"/>
    </row>
    <row r="7642" spans="20:25" x14ac:dyDescent="0.25">
      <c r="T7642" s="10"/>
      <c r="U7642" s="4"/>
      <c r="V7642" s="4"/>
      <c r="X7642" s="4"/>
      <c r="Y7642" s="4"/>
    </row>
    <row r="7643" spans="20:25" x14ac:dyDescent="0.25">
      <c r="T7643" s="10"/>
      <c r="U7643" s="4"/>
      <c r="V7643" s="4"/>
      <c r="X7643" s="4"/>
      <c r="Y7643" s="4"/>
    </row>
    <row r="7644" spans="20:25" x14ac:dyDescent="0.25">
      <c r="T7644" s="10"/>
      <c r="U7644" s="4"/>
      <c r="V7644" s="4"/>
      <c r="X7644" s="4"/>
      <c r="Y7644" s="4"/>
    </row>
    <row r="7645" spans="20:25" x14ac:dyDescent="0.25">
      <c r="T7645" s="10"/>
      <c r="U7645" s="4"/>
      <c r="V7645" s="4"/>
      <c r="X7645" s="4"/>
      <c r="Y7645" s="4"/>
    </row>
    <row r="7646" spans="20:25" x14ac:dyDescent="0.25">
      <c r="T7646" s="10"/>
      <c r="U7646" s="4"/>
      <c r="V7646" s="4"/>
      <c r="X7646" s="4"/>
      <c r="Y7646" s="4"/>
    </row>
    <row r="7647" spans="20:25" x14ac:dyDescent="0.25">
      <c r="T7647" s="10"/>
      <c r="U7647" s="4"/>
      <c r="V7647" s="4"/>
      <c r="X7647" s="4"/>
      <c r="Y7647" s="4"/>
    </row>
    <row r="7648" spans="20:25" x14ac:dyDescent="0.25">
      <c r="T7648" s="10"/>
      <c r="U7648" s="4"/>
      <c r="V7648" s="4"/>
      <c r="X7648" s="4"/>
      <c r="Y7648" s="4"/>
    </row>
    <row r="7649" spans="20:25" x14ac:dyDescent="0.25">
      <c r="T7649" s="10"/>
      <c r="U7649" s="4"/>
      <c r="V7649" s="4"/>
      <c r="X7649" s="4"/>
      <c r="Y7649" s="4"/>
    </row>
    <row r="7650" spans="20:25" x14ac:dyDescent="0.25">
      <c r="T7650" s="10"/>
      <c r="U7650" s="4"/>
      <c r="V7650" s="4"/>
      <c r="X7650" s="4"/>
      <c r="Y7650" s="4"/>
    </row>
    <row r="7651" spans="20:25" x14ac:dyDescent="0.25">
      <c r="T7651" s="10"/>
      <c r="U7651" s="4"/>
      <c r="V7651" s="4"/>
      <c r="X7651" s="4"/>
      <c r="Y7651" s="4"/>
    </row>
    <row r="7652" spans="20:25" x14ac:dyDescent="0.25">
      <c r="T7652" s="10"/>
      <c r="U7652" s="4"/>
      <c r="V7652" s="4"/>
      <c r="X7652" s="4"/>
      <c r="Y7652" s="4"/>
    </row>
    <row r="7653" spans="20:25" x14ac:dyDescent="0.25">
      <c r="T7653" s="10"/>
      <c r="U7653" s="4"/>
      <c r="V7653" s="4"/>
      <c r="X7653" s="4"/>
      <c r="Y7653" s="4"/>
    </row>
    <row r="7654" spans="20:25" x14ac:dyDescent="0.25">
      <c r="T7654" s="10"/>
      <c r="U7654" s="4"/>
      <c r="V7654" s="4"/>
      <c r="X7654" s="4"/>
      <c r="Y7654" s="4"/>
    </row>
    <row r="7655" spans="20:25" x14ac:dyDescent="0.25">
      <c r="T7655" s="10"/>
      <c r="U7655" s="4"/>
      <c r="V7655" s="4"/>
      <c r="X7655" s="4"/>
      <c r="Y7655" s="4"/>
    </row>
    <row r="7656" spans="20:25" x14ac:dyDescent="0.25">
      <c r="T7656" s="10"/>
      <c r="U7656" s="4"/>
      <c r="V7656" s="4"/>
      <c r="X7656" s="4"/>
      <c r="Y7656" s="4"/>
    </row>
    <row r="7657" spans="20:25" x14ac:dyDescent="0.25">
      <c r="T7657" s="10"/>
      <c r="U7657" s="4"/>
      <c r="V7657" s="4"/>
      <c r="X7657" s="4"/>
      <c r="Y7657" s="4"/>
    </row>
    <row r="7658" spans="20:25" x14ac:dyDescent="0.25">
      <c r="T7658" s="10"/>
      <c r="U7658" s="4"/>
      <c r="V7658" s="4"/>
      <c r="X7658" s="4"/>
      <c r="Y7658" s="4"/>
    </row>
    <row r="7659" spans="20:25" x14ac:dyDescent="0.25">
      <c r="T7659" s="10"/>
      <c r="U7659" s="4"/>
      <c r="V7659" s="4"/>
      <c r="X7659" s="4"/>
      <c r="Y7659" s="4"/>
    </row>
    <row r="7660" spans="20:25" x14ac:dyDescent="0.25">
      <c r="T7660" s="10"/>
      <c r="U7660" s="4"/>
      <c r="V7660" s="4"/>
      <c r="X7660" s="4"/>
      <c r="Y7660" s="4"/>
    </row>
    <row r="7661" spans="20:25" x14ac:dyDescent="0.25">
      <c r="T7661" s="10"/>
      <c r="U7661" s="4"/>
      <c r="V7661" s="4"/>
      <c r="X7661" s="4"/>
      <c r="Y7661" s="4"/>
    </row>
    <row r="7662" spans="20:25" x14ac:dyDescent="0.25">
      <c r="T7662" s="10"/>
      <c r="U7662" s="4"/>
      <c r="V7662" s="4"/>
      <c r="X7662" s="4"/>
      <c r="Y7662" s="4"/>
    </row>
    <row r="7663" spans="20:25" x14ac:dyDescent="0.25">
      <c r="T7663" s="10"/>
      <c r="U7663" s="4"/>
      <c r="V7663" s="4"/>
      <c r="X7663" s="4"/>
      <c r="Y7663" s="4"/>
    </row>
    <row r="7664" spans="20:25" x14ac:dyDescent="0.25">
      <c r="T7664" s="10"/>
      <c r="U7664" s="4"/>
      <c r="V7664" s="4"/>
      <c r="X7664" s="4"/>
      <c r="Y7664" s="4"/>
    </row>
    <row r="7665" spans="20:25" x14ac:dyDescent="0.25">
      <c r="T7665" s="10"/>
      <c r="U7665" s="4"/>
      <c r="V7665" s="4"/>
      <c r="X7665" s="4"/>
      <c r="Y7665" s="4"/>
    </row>
    <row r="7666" spans="20:25" x14ac:dyDescent="0.25">
      <c r="T7666" s="10"/>
      <c r="U7666" s="4"/>
      <c r="V7666" s="4"/>
      <c r="X7666" s="4"/>
      <c r="Y7666" s="4"/>
    </row>
    <row r="7667" spans="20:25" x14ac:dyDescent="0.25">
      <c r="T7667" s="10"/>
      <c r="U7667" s="4"/>
      <c r="V7667" s="4"/>
      <c r="X7667" s="4"/>
      <c r="Y7667" s="4"/>
    </row>
    <row r="7668" spans="20:25" x14ac:dyDescent="0.25">
      <c r="T7668" s="10"/>
      <c r="U7668" s="4"/>
      <c r="V7668" s="4"/>
      <c r="X7668" s="4"/>
      <c r="Y7668" s="4"/>
    </row>
    <row r="7669" spans="20:25" x14ac:dyDescent="0.25">
      <c r="T7669" s="10"/>
      <c r="U7669" s="4"/>
      <c r="V7669" s="4"/>
      <c r="X7669" s="4"/>
      <c r="Y7669" s="4"/>
    </row>
    <row r="7670" spans="20:25" x14ac:dyDescent="0.25">
      <c r="T7670" s="10"/>
      <c r="U7670" s="4"/>
      <c r="V7670" s="4"/>
      <c r="X7670" s="4"/>
      <c r="Y7670" s="4"/>
    </row>
    <row r="7671" spans="20:25" x14ac:dyDescent="0.25">
      <c r="T7671" s="10"/>
      <c r="U7671" s="4"/>
      <c r="V7671" s="4"/>
      <c r="X7671" s="4"/>
      <c r="Y7671" s="4"/>
    </row>
    <row r="7672" spans="20:25" x14ac:dyDescent="0.25">
      <c r="T7672" s="10"/>
      <c r="U7672" s="4"/>
      <c r="V7672" s="4"/>
      <c r="X7672" s="4"/>
      <c r="Y7672" s="4"/>
    </row>
    <row r="7673" spans="20:25" x14ac:dyDescent="0.25">
      <c r="T7673" s="10"/>
      <c r="U7673" s="4"/>
      <c r="V7673" s="4"/>
      <c r="X7673" s="4"/>
      <c r="Y7673" s="4"/>
    </row>
    <row r="7674" spans="20:25" x14ac:dyDescent="0.25">
      <c r="T7674" s="10"/>
      <c r="U7674" s="4"/>
      <c r="V7674" s="4"/>
      <c r="X7674" s="4"/>
      <c r="Y7674" s="4"/>
    </row>
    <row r="7675" spans="20:25" x14ac:dyDescent="0.25">
      <c r="T7675" s="10"/>
      <c r="U7675" s="4"/>
      <c r="V7675" s="4"/>
      <c r="X7675" s="4"/>
      <c r="Y7675" s="4"/>
    </row>
    <row r="7676" spans="20:25" x14ac:dyDescent="0.25">
      <c r="T7676" s="10"/>
      <c r="U7676" s="4"/>
      <c r="V7676" s="4"/>
      <c r="X7676" s="4"/>
      <c r="Y7676" s="4"/>
    </row>
    <row r="7677" spans="20:25" x14ac:dyDescent="0.25">
      <c r="T7677" s="10"/>
      <c r="U7677" s="4"/>
      <c r="V7677" s="4"/>
      <c r="X7677" s="4"/>
      <c r="Y7677" s="4"/>
    </row>
    <row r="7678" spans="20:25" x14ac:dyDescent="0.25">
      <c r="T7678" s="10"/>
      <c r="U7678" s="4"/>
      <c r="V7678" s="4"/>
      <c r="X7678" s="4"/>
      <c r="Y7678" s="4"/>
    </row>
    <row r="7679" spans="20:25" x14ac:dyDescent="0.25">
      <c r="T7679" s="10"/>
      <c r="U7679" s="4"/>
      <c r="V7679" s="4"/>
      <c r="X7679" s="4"/>
      <c r="Y7679" s="4"/>
    </row>
    <row r="7680" spans="20:25" x14ac:dyDescent="0.25">
      <c r="T7680" s="10"/>
      <c r="U7680" s="4"/>
      <c r="V7680" s="4"/>
      <c r="X7680" s="4"/>
      <c r="Y7680" s="4"/>
    </row>
    <row r="7681" spans="20:25" x14ac:dyDescent="0.25">
      <c r="T7681" s="10"/>
      <c r="U7681" s="4"/>
      <c r="V7681" s="4"/>
      <c r="X7681" s="4"/>
      <c r="Y7681" s="4"/>
    </row>
    <row r="7682" spans="20:25" x14ac:dyDescent="0.25">
      <c r="T7682" s="10"/>
      <c r="U7682" s="4"/>
      <c r="V7682" s="4"/>
      <c r="X7682" s="4"/>
      <c r="Y7682" s="4"/>
    </row>
    <row r="7683" spans="20:25" x14ac:dyDescent="0.25">
      <c r="T7683" s="10"/>
      <c r="U7683" s="4"/>
      <c r="V7683" s="4"/>
      <c r="X7683" s="4"/>
      <c r="Y7683" s="4"/>
    </row>
    <row r="7684" spans="20:25" x14ac:dyDescent="0.25">
      <c r="T7684" s="10"/>
      <c r="U7684" s="4"/>
      <c r="V7684" s="4"/>
      <c r="X7684" s="4"/>
      <c r="Y7684" s="4"/>
    </row>
    <row r="7685" spans="20:25" x14ac:dyDescent="0.25">
      <c r="T7685" s="10"/>
      <c r="U7685" s="4"/>
      <c r="V7685" s="4"/>
      <c r="X7685" s="4"/>
      <c r="Y7685" s="4"/>
    </row>
    <row r="7686" spans="20:25" x14ac:dyDescent="0.25">
      <c r="T7686" s="10"/>
      <c r="U7686" s="4"/>
      <c r="V7686" s="4"/>
      <c r="X7686" s="4"/>
      <c r="Y7686" s="4"/>
    </row>
    <row r="7687" spans="20:25" x14ac:dyDescent="0.25">
      <c r="T7687" s="10"/>
      <c r="U7687" s="4"/>
      <c r="V7687" s="4"/>
      <c r="X7687" s="4"/>
      <c r="Y7687" s="4"/>
    </row>
    <row r="7688" spans="20:25" x14ac:dyDescent="0.25">
      <c r="T7688" s="10"/>
      <c r="U7688" s="4"/>
      <c r="V7688" s="4"/>
      <c r="X7688" s="4"/>
      <c r="Y7688" s="4"/>
    </row>
    <row r="7689" spans="20:25" x14ac:dyDescent="0.25">
      <c r="T7689" s="10"/>
      <c r="U7689" s="4"/>
      <c r="V7689" s="4"/>
      <c r="X7689" s="4"/>
      <c r="Y7689" s="4"/>
    </row>
    <row r="7690" spans="20:25" x14ac:dyDescent="0.25">
      <c r="T7690" s="10"/>
      <c r="U7690" s="4"/>
      <c r="V7690" s="4"/>
      <c r="X7690" s="4"/>
      <c r="Y7690" s="4"/>
    </row>
    <row r="7691" spans="20:25" x14ac:dyDescent="0.25">
      <c r="T7691" s="10"/>
      <c r="U7691" s="4"/>
      <c r="V7691" s="4"/>
      <c r="X7691" s="4"/>
      <c r="Y7691" s="4"/>
    </row>
    <row r="7692" spans="20:25" x14ac:dyDescent="0.25">
      <c r="T7692" s="10"/>
      <c r="U7692" s="4"/>
      <c r="V7692" s="4"/>
      <c r="X7692" s="4"/>
      <c r="Y7692" s="4"/>
    </row>
    <row r="7693" spans="20:25" x14ac:dyDescent="0.25">
      <c r="T7693" s="10"/>
      <c r="U7693" s="4"/>
      <c r="V7693" s="4"/>
      <c r="X7693" s="4"/>
      <c r="Y7693" s="4"/>
    </row>
    <row r="7694" spans="20:25" x14ac:dyDescent="0.25">
      <c r="T7694" s="10"/>
      <c r="U7694" s="4"/>
      <c r="V7694" s="4"/>
      <c r="X7694" s="4"/>
      <c r="Y7694" s="4"/>
    </row>
    <row r="7695" spans="20:25" x14ac:dyDescent="0.25">
      <c r="T7695" s="10"/>
      <c r="U7695" s="4"/>
      <c r="V7695" s="4"/>
      <c r="X7695" s="4"/>
      <c r="Y7695" s="4"/>
    </row>
    <row r="7696" spans="20:25" x14ac:dyDescent="0.25">
      <c r="T7696" s="10"/>
      <c r="U7696" s="4"/>
      <c r="V7696" s="4"/>
      <c r="X7696" s="4"/>
      <c r="Y7696" s="4"/>
    </row>
    <row r="7697" spans="20:25" x14ac:dyDescent="0.25">
      <c r="T7697" s="10"/>
      <c r="U7697" s="4"/>
      <c r="V7697" s="4"/>
      <c r="X7697" s="4"/>
      <c r="Y7697" s="4"/>
    </row>
    <row r="7698" spans="20:25" x14ac:dyDescent="0.25">
      <c r="T7698" s="10"/>
      <c r="U7698" s="4"/>
      <c r="V7698" s="4"/>
      <c r="X7698" s="4"/>
      <c r="Y7698" s="4"/>
    </row>
    <row r="7699" spans="20:25" x14ac:dyDescent="0.25">
      <c r="T7699" s="10"/>
      <c r="U7699" s="4"/>
      <c r="V7699" s="4"/>
      <c r="X7699" s="4"/>
      <c r="Y7699" s="4"/>
    </row>
    <row r="7700" spans="20:25" x14ac:dyDescent="0.25">
      <c r="T7700" s="10"/>
      <c r="U7700" s="4"/>
      <c r="V7700" s="4"/>
      <c r="X7700" s="4"/>
      <c r="Y7700" s="4"/>
    </row>
    <row r="7701" spans="20:25" x14ac:dyDescent="0.25">
      <c r="T7701" s="10"/>
      <c r="U7701" s="4"/>
      <c r="V7701" s="4"/>
      <c r="X7701" s="4"/>
      <c r="Y7701" s="4"/>
    </row>
    <row r="7702" spans="20:25" x14ac:dyDescent="0.25">
      <c r="T7702" s="10"/>
      <c r="U7702" s="4"/>
      <c r="V7702" s="4"/>
      <c r="X7702" s="4"/>
      <c r="Y7702" s="4"/>
    </row>
    <row r="7703" spans="20:25" x14ac:dyDescent="0.25">
      <c r="T7703" s="10"/>
      <c r="U7703" s="4"/>
      <c r="V7703" s="4"/>
      <c r="X7703" s="4"/>
      <c r="Y7703" s="4"/>
    </row>
    <row r="7704" spans="20:25" x14ac:dyDescent="0.25">
      <c r="T7704" s="10"/>
      <c r="U7704" s="4"/>
      <c r="V7704" s="4"/>
      <c r="X7704" s="4"/>
      <c r="Y7704" s="4"/>
    </row>
    <row r="7705" spans="20:25" x14ac:dyDescent="0.25">
      <c r="T7705" s="10"/>
      <c r="U7705" s="4"/>
      <c r="V7705" s="4"/>
      <c r="X7705" s="4"/>
      <c r="Y7705" s="4"/>
    </row>
    <row r="7706" spans="20:25" x14ac:dyDescent="0.25">
      <c r="T7706" s="10"/>
      <c r="U7706" s="4"/>
      <c r="V7706" s="4"/>
      <c r="X7706" s="4"/>
      <c r="Y7706" s="4"/>
    </row>
    <row r="7707" spans="20:25" x14ac:dyDescent="0.25">
      <c r="T7707" s="10"/>
      <c r="U7707" s="4"/>
      <c r="V7707" s="4"/>
      <c r="X7707" s="4"/>
      <c r="Y7707" s="4"/>
    </row>
    <row r="7708" spans="20:25" x14ac:dyDescent="0.25">
      <c r="T7708" s="10"/>
      <c r="U7708" s="4"/>
      <c r="V7708" s="4"/>
      <c r="X7708" s="4"/>
      <c r="Y7708" s="4"/>
    </row>
    <row r="7709" spans="20:25" x14ac:dyDescent="0.25">
      <c r="T7709" s="10"/>
      <c r="U7709" s="4"/>
      <c r="V7709" s="4"/>
      <c r="X7709" s="4"/>
      <c r="Y7709" s="4"/>
    </row>
    <row r="7710" spans="20:25" x14ac:dyDescent="0.25">
      <c r="T7710" s="10"/>
      <c r="U7710" s="4"/>
      <c r="V7710" s="4"/>
      <c r="X7710" s="4"/>
      <c r="Y7710" s="4"/>
    </row>
    <row r="7711" spans="20:25" x14ac:dyDescent="0.25">
      <c r="T7711" s="10"/>
      <c r="U7711" s="4"/>
      <c r="V7711" s="4"/>
      <c r="X7711" s="4"/>
      <c r="Y7711" s="4"/>
    </row>
    <row r="7712" spans="20:25" x14ac:dyDescent="0.25">
      <c r="T7712" s="10"/>
      <c r="U7712" s="4"/>
      <c r="V7712" s="4"/>
      <c r="X7712" s="4"/>
      <c r="Y7712" s="4"/>
    </row>
    <row r="7713" spans="20:25" x14ac:dyDescent="0.25">
      <c r="T7713" s="10"/>
      <c r="U7713" s="4"/>
      <c r="V7713" s="4"/>
      <c r="X7713" s="4"/>
      <c r="Y7713" s="4"/>
    </row>
    <row r="7714" spans="20:25" x14ac:dyDescent="0.25">
      <c r="T7714" s="10"/>
      <c r="U7714" s="4"/>
      <c r="V7714" s="4"/>
      <c r="X7714" s="4"/>
      <c r="Y7714" s="4"/>
    </row>
    <row r="7715" spans="20:25" x14ac:dyDescent="0.25">
      <c r="T7715" s="10"/>
      <c r="U7715" s="4"/>
      <c r="V7715" s="4"/>
      <c r="X7715" s="4"/>
      <c r="Y7715" s="4"/>
    </row>
    <row r="7716" spans="20:25" x14ac:dyDescent="0.25">
      <c r="T7716" s="10"/>
      <c r="U7716" s="4"/>
      <c r="V7716" s="4"/>
      <c r="X7716" s="4"/>
      <c r="Y7716" s="4"/>
    </row>
    <row r="7717" spans="20:25" x14ac:dyDescent="0.25">
      <c r="T7717" s="10"/>
      <c r="U7717" s="4"/>
      <c r="V7717" s="4"/>
      <c r="X7717" s="4"/>
      <c r="Y7717" s="4"/>
    </row>
    <row r="7718" spans="20:25" x14ac:dyDescent="0.25">
      <c r="T7718" s="10"/>
      <c r="U7718" s="4"/>
      <c r="V7718" s="4"/>
      <c r="X7718" s="4"/>
      <c r="Y7718" s="4"/>
    </row>
    <row r="7719" spans="20:25" x14ac:dyDescent="0.25">
      <c r="T7719" s="10"/>
      <c r="U7719" s="4"/>
      <c r="V7719" s="4"/>
      <c r="X7719" s="4"/>
      <c r="Y7719" s="4"/>
    </row>
    <row r="7720" spans="20:25" x14ac:dyDescent="0.25">
      <c r="T7720" s="10"/>
      <c r="U7720" s="4"/>
      <c r="V7720" s="4"/>
      <c r="X7720" s="4"/>
      <c r="Y7720" s="4"/>
    </row>
    <row r="7721" spans="20:25" x14ac:dyDescent="0.25">
      <c r="T7721" s="10"/>
      <c r="U7721" s="4"/>
      <c r="V7721" s="4"/>
      <c r="X7721" s="4"/>
      <c r="Y7721" s="4"/>
    </row>
    <row r="7722" spans="20:25" x14ac:dyDescent="0.25">
      <c r="T7722" s="10"/>
      <c r="U7722" s="4"/>
      <c r="V7722" s="4"/>
      <c r="X7722" s="4"/>
      <c r="Y7722" s="4"/>
    </row>
    <row r="7723" spans="20:25" x14ac:dyDescent="0.25">
      <c r="T7723" s="10"/>
      <c r="U7723" s="4"/>
      <c r="V7723" s="4"/>
      <c r="X7723" s="4"/>
      <c r="Y7723" s="4"/>
    </row>
    <row r="7724" spans="20:25" x14ac:dyDescent="0.25">
      <c r="T7724" s="10"/>
      <c r="U7724" s="4"/>
      <c r="V7724" s="4"/>
      <c r="X7724" s="4"/>
      <c r="Y7724" s="4"/>
    </row>
    <row r="7725" spans="20:25" x14ac:dyDescent="0.25">
      <c r="T7725" s="10"/>
      <c r="U7725" s="4"/>
      <c r="V7725" s="4"/>
      <c r="X7725" s="4"/>
      <c r="Y7725" s="4"/>
    </row>
    <row r="7726" spans="20:25" x14ac:dyDescent="0.25">
      <c r="T7726" s="10"/>
      <c r="U7726" s="4"/>
      <c r="V7726" s="4"/>
      <c r="X7726" s="4"/>
      <c r="Y7726" s="4"/>
    </row>
    <row r="7727" spans="20:25" x14ac:dyDescent="0.25">
      <c r="T7727" s="10"/>
      <c r="U7727" s="4"/>
      <c r="V7727" s="4"/>
      <c r="X7727" s="4"/>
      <c r="Y7727" s="4"/>
    </row>
    <row r="7728" spans="20:25" x14ac:dyDescent="0.25">
      <c r="T7728" s="10"/>
      <c r="U7728" s="4"/>
      <c r="V7728" s="4"/>
      <c r="X7728" s="4"/>
      <c r="Y7728" s="4"/>
    </row>
    <row r="7729" spans="20:25" x14ac:dyDescent="0.25">
      <c r="T7729" s="10"/>
      <c r="U7729" s="4"/>
      <c r="V7729" s="4"/>
      <c r="X7729" s="4"/>
      <c r="Y7729" s="4"/>
    </row>
    <row r="7730" spans="20:25" x14ac:dyDescent="0.25">
      <c r="T7730" s="10"/>
      <c r="U7730" s="4"/>
      <c r="V7730" s="4"/>
      <c r="X7730" s="4"/>
      <c r="Y7730" s="4"/>
    </row>
    <row r="7731" spans="20:25" x14ac:dyDescent="0.25">
      <c r="T7731" s="10"/>
      <c r="U7731" s="4"/>
      <c r="V7731" s="4"/>
      <c r="X7731" s="4"/>
      <c r="Y7731" s="4"/>
    </row>
    <row r="7732" spans="20:25" x14ac:dyDescent="0.25">
      <c r="T7732" s="10"/>
      <c r="U7732" s="4"/>
      <c r="V7732" s="4"/>
      <c r="X7732" s="4"/>
      <c r="Y7732" s="4"/>
    </row>
    <row r="7733" spans="20:25" x14ac:dyDescent="0.25">
      <c r="T7733" s="10"/>
      <c r="U7733" s="4"/>
      <c r="V7733" s="4"/>
      <c r="X7733" s="4"/>
      <c r="Y7733" s="4"/>
    </row>
    <row r="7734" spans="20:25" x14ac:dyDescent="0.25">
      <c r="T7734" s="10"/>
      <c r="U7734" s="4"/>
      <c r="V7734" s="4"/>
      <c r="X7734" s="4"/>
      <c r="Y7734" s="4"/>
    </row>
    <row r="7735" spans="20:25" x14ac:dyDescent="0.25">
      <c r="T7735" s="10"/>
      <c r="U7735" s="4"/>
      <c r="V7735" s="4"/>
      <c r="X7735" s="4"/>
      <c r="Y7735" s="4"/>
    </row>
    <row r="7736" spans="20:25" x14ac:dyDescent="0.25">
      <c r="T7736" s="10"/>
      <c r="U7736" s="4"/>
      <c r="V7736" s="4"/>
      <c r="X7736" s="4"/>
      <c r="Y7736" s="4"/>
    </row>
    <row r="7737" spans="20:25" x14ac:dyDescent="0.25">
      <c r="T7737" s="10"/>
      <c r="U7737" s="4"/>
      <c r="V7737" s="4"/>
      <c r="X7737" s="4"/>
      <c r="Y7737" s="4"/>
    </row>
    <row r="7738" spans="20:25" x14ac:dyDescent="0.25">
      <c r="T7738" s="10"/>
      <c r="U7738" s="4"/>
      <c r="V7738" s="4"/>
      <c r="X7738" s="4"/>
      <c r="Y7738" s="4"/>
    </row>
    <row r="7739" spans="20:25" x14ac:dyDescent="0.25">
      <c r="T7739" s="10"/>
      <c r="U7739" s="4"/>
      <c r="V7739" s="4"/>
      <c r="X7739" s="4"/>
      <c r="Y7739" s="4"/>
    </row>
    <row r="7740" spans="20:25" x14ac:dyDescent="0.25">
      <c r="T7740" s="10"/>
      <c r="U7740" s="4"/>
      <c r="V7740" s="4"/>
      <c r="X7740" s="4"/>
      <c r="Y7740" s="4"/>
    </row>
    <row r="7741" spans="20:25" x14ac:dyDescent="0.25">
      <c r="T7741" s="10"/>
      <c r="U7741" s="4"/>
      <c r="V7741" s="4"/>
      <c r="X7741" s="4"/>
      <c r="Y7741" s="4"/>
    </row>
    <row r="7742" spans="20:25" x14ac:dyDescent="0.25">
      <c r="T7742" s="10"/>
      <c r="U7742" s="4"/>
      <c r="V7742" s="4"/>
      <c r="X7742" s="4"/>
      <c r="Y7742" s="4"/>
    </row>
    <row r="7743" spans="20:25" x14ac:dyDescent="0.25">
      <c r="T7743" s="10"/>
      <c r="U7743" s="4"/>
      <c r="V7743" s="4"/>
      <c r="X7743" s="4"/>
      <c r="Y7743" s="4"/>
    </row>
    <row r="7744" spans="20:25" x14ac:dyDescent="0.25">
      <c r="T7744" s="10"/>
      <c r="U7744" s="4"/>
      <c r="V7744" s="4"/>
      <c r="X7744" s="4"/>
      <c r="Y7744" s="4"/>
    </row>
    <row r="7745" spans="20:25" x14ac:dyDescent="0.25">
      <c r="T7745" s="10"/>
      <c r="U7745" s="4"/>
      <c r="V7745" s="4"/>
      <c r="X7745" s="4"/>
      <c r="Y7745" s="4"/>
    </row>
    <row r="7746" spans="20:25" x14ac:dyDescent="0.25">
      <c r="T7746" s="10"/>
      <c r="U7746" s="4"/>
      <c r="V7746" s="4"/>
      <c r="X7746" s="4"/>
      <c r="Y7746" s="4"/>
    </row>
    <row r="7747" spans="20:25" x14ac:dyDescent="0.25">
      <c r="T7747" s="10"/>
      <c r="U7747" s="4"/>
      <c r="V7747" s="4"/>
      <c r="X7747" s="4"/>
      <c r="Y7747" s="4"/>
    </row>
    <row r="7748" spans="20:25" x14ac:dyDescent="0.25">
      <c r="T7748" s="10"/>
      <c r="U7748" s="4"/>
      <c r="V7748" s="4"/>
      <c r="X7748" s="4"/>
      <c r="Y7748" s="4"/>
    </row>
    <row r="7749" spans="20:25" x14ac:dyDescent="0.25">
      <c r="T7749" s="10"/>
      <c r="U7749" s="4"/>
      <c r="V7749" s="4"/>
      <c r="X7749" s="4"/>
      <c r="Y7749" s="4"/>
    </row>
    <row r="7750" spans="20:25" x14ac:dyDescent="0.25">
      <c r="T7750" s="10"/>
      <c r="U7750" s="4"/>
      <c r="V7750" s="4"/>
      <c r="X7750" s="4"/>
      <c r="Y7750" s="4"/>
    </row>
    <row r="7751" spans="20:25" x14ac:dyDescent="0.25">
      <c r="T7751" s="10"/>
      <c r="U7751" s="4"/>
      <c r="V7751" s="4"/>
      <c r="X7751" s="4"/>
      <c r="Y7751" s="4"/>
    </row>
    <row r="7752" spans="20:25" x14ac:dyDescent="0.25">
      <c r="T7752" s="10"/>
      <c r="U7752" s="4"/>
      <c r="V7752" s="4"/>
      <c r="X7752" s="4"/>
      <c r="Y7752" s="4"/>
    </row>
    <row r="7753" spans="20:25" x14ac:dyDescent="0.25">
      <c r="T7753" s="10"/>
      <c r="U7753" s="4"/>
      <c r="V7753" s="4"/>
      <c r="X7753" s="4"/>
      <c r="Y7753" s="4"/>
    </row>
    <row r="7754" spans="20:25" x14ac:dyDescent="0.25">
      <c r="T7754" s="10"/>
      <c r="U7754" s="4"/>
      <c r="V7754" s="4"/>
      <c r="X7754" s="4"/>
      <c r="Y7754" s="4"/>
    </row>
    <row r="7755" spans="20:25" x14ac:dyDescent="0.25">
      <c r="T7755" s="10"/>
      <c r="U7755" s="4"/>
      <c r="V7755" s="4"/>
      <c r="X7755" s="4"/>
      <c r="Y7755" s="4"/>
    </row>
    <row r="7756" spans="20:25" x14ac:dyDescent="0.25">
      <c r="T7756" s="10"/>
      <c r="U7756" s="4"/>
      <c r="V7756" s="4"/>
      <c r="X7756" s="4"/>
      <c r="Y7756" s="4"/>
    </row>
    <row r="7757" spans="20:25" x14ac:dyDescent="0.25">
      <c r="T7757" s="10"/>
      <c r="U7757" s="4"/>
      <c r="V7757" s="4"/>
      <c r="X7757" s="4"/>
      <c r="Y7757" s="4"/>
    </row>
    <row r="7758" spans="20:25" x14ac:dyDescent="0.25">
      <c r="T7758" s="10"/>
      <c r="U7758" s="4"/>
      <c r="V7758" s="4"/>
      <c r="X7758" s="4"/>
      <c r="Y7758" s="4"/>
    </row>
    <row r="7759" spans="20:25" x14ac:dyDescent="0.25">
      <c r="T7759" s="10"/>
      <c r="U7759" s="4"/>
      <c r="V7759" s="4"/>
      <c r="X7759" s="4"/>
      <c r="Y7759" s="4"/>
    </row>
    <row r="7760" spans="20:25" x14ac:dyDescent="0.25">
      <c r="T7760" s="10"/>
      <c r="U7760" s="4"/>
      <c r="V7760" s="4"/>
      <c r="X7760" s="4"/>
      <c r="Y7760" s="4"/>
    </row>
    <row r="7761" spans="20:25" x14ac:dyDescent="0.25">
      <c r="T7761" s="10"/>
      <c r="U7761" s="4"/>
      <c r="V7761" s="4"/>
      <c r="X7761" s="4"/>
      <c r="Y7761" s="4"/>
    </row>
    <row r="7762" spans="20:25" x14ac:dyDescent="0.25">
      <c r="T7762" s="10"/>
      <c r="U7762" s="4"/>
      <c r="V7762" s="4"/>
      <c r="X7762" s="4"/>
      <c r="Y7762" s="4"/>
    </row>
    <row r="7763" spans="20:25" x14ac:dyDescent="0.25">
      <c r="T7763" s="10"/>
      <c r="U7763" s="4"/>
      <c r="V7763" s="4"/>
      <c r="X7763" s="4"/>
      <c r="Y7763" s="4"/>
    </row>
    <row r="7764" spans="20:25" x14ac:dyDescent="0.25">
      <c r="T7764" s="10"/>
      <c r="U7764" s="4"/>
      <c r="V7764" s="4"/>
      <c r="X7764" s="4"/>
      <c r="Y7764" s="4"/>
    </row>
    <row r="7765" spans="20:25" x14ac:dyDescent="0.25">
      <c r="T7765" s="10"/>
      <c r="U7765" s="4"/>
      <c r="V7765" s="4"/>
      <c r="X7765" s="4"/>
      <c r="Y7765" s="4"/>
    </row>
    <row r="7766" spans="20:25" x14ac:dyDescent="0.25">
      <c r="T7766" s="10"/>
      <c r="U7766" s="4"/>
      <c r="V7766" s="4"/>
      <c r="X7766" s="4"/>
      <c r="Y7766" s="4"/>
    </row>
    <row r="7767" spans="20:25" x14ac:dyDescent="0.25">
      <c r="T7767" s="10"/>
      <c r="U7767" s="4"/>
      <c r="V7767" s="4"/>
      <c r="X7767" s="4"/>
      <c r="Y7767" s="4"/>
    </row>
    <row r="7768" spans="20:25" x14ac:dyDescent="0.25">
      <c r="T7768" s="10"/>
      <c r="U7768" s="4"/>
      <c r="V7768" s="4"/>
      <c r="X7768" s="4"/>
      <c r="Y7768" s="4"/>
    </row>
    <row r="7769" spans="20:25" x14ac:dyDescent="0.25">
      <c r="T7769" s="10"/>
      <c r="U7769" s="4"/>
      <c r="V7769" s="4"/>
      <c r="X7769" s="4"/>
      <c r="Y7769" s="4"/>
    </row>
    <row r="7770" spans="20:25" x14ac:dyDescent="0.25">
      <c r="T7770" s="10"/>
      <c r="U7770" s="4"/>
      <c r="V7770" s="4"/>
      <c r="X7770" s="4"/>
      <c r="Y7770" s="4"/>
    </row>
    <row r="7771" spans="20:25" x14ac:dyDescent="0.25">
      <c r="T7771" s="10"/>
      <c r="U7771" s="4"/>
      <c r="V7771" s="4"/>
      <c r="X7771" s="4"/>
      <c r="Y7771" s="4"/>
    </row>
    <row r="7772" spans="20:25" x14ac:dyDescent="0.25">
      <c r="T7772" s="10"/>
      <c r="U7772" s="4"/>
      <c r="V7772" s="4"/>
      <c r="X7772" s="4"/>
      <c r="Y7772" s="4"/>
    </row>
    <row r="7773" spans="20:25" x14ac:dyDescent="0.25">
      <c r="T7773" s="10"/>
      <c r="U7773" s="4"/>
      <c r="V7773" s="4"/>
      <c r="X7773" s="4"/>
      <c r="Y7773" s="4"/>
    </row>
    <row r="7774" spans="20:25" x14ac:dyDescent="0.25">
      <c r="T7774" s="10"/>
      <c r="U7774" s="4"/>
      <c r="V7774" s="4"/>
      <c r="X7774" s="4"/>
      <c r="Y7774" s="4"/>
    </row>
    <row r="7775" spans="20:25" x14ac:dyDescent="0.25">
      <c r="T7775" s="10"/>
      <c r="U7775" s="4"/>
      <c r="V7775" s="4"/>
      <c r="X7775" s="4"/>
      <c r="Y7775" s="4"/>
    </row>
    <row r="7776" spans="20:25" x14ac:dyDescent="0.25">
      <c r="T7776" s="10"/>
      <c r="U7776" s="4"/>
      <c r="V7776" s="4"/>
      <c r="X7776" s="4"/>
      <c r="Y7776" s="4"/>
    </row>
    <row r="7777" spans="20:25" x14ac:dyDescent="0.25">
      <c r="T7777" s="10"/>
      <c r="U7777" s="4"/>
      <c r="V7777" s="4"/>
      <c r="X7777" s="4"/>
      <c r="Y7777" s="4"/>
    </row>
    <row r="7778" spans="20:25" x14ac:dyDescent="0.25">
      <c r="T7778" s="10"/>
      <c r="U7778" s="4"/>
      <c r="V7778" s="4"/>
      <c r="X7778" s="4"/>
      <c r="Y7778" s="4"/>
    </row>
    <row r="7779" spans="20:25" x14ac:dyDescent="0.25">
      <c r="T7779" s="10"/>
      <c r="U7779" s="4"/>
      <c r="V7779" s="4"/>
      <c r="X7779" s="4"/>
      <c r="Y7779" s="4"/>
    </row>
    <row r="7780" spans="20:25" x14ac:dyDescent="0.25">
      <c r="T7780" s="10"/>
      <c r="U7780" s="4"/>
      <c r="V7780" s="4"/>
      <c r="X7780" s="4"/>
      <c r="Y7780" s="4"/>
    </row>
    <row r="7781" spans="20:25" x14ac:dyDescent="0.25">
      <c r="T7781" s="10"/>
      <c r="U7781" s="4"/>
      <c r="V7781" s="4"/>
      <c r="X7781" s="4"/>
      <c r="Y7781" s="4"/>
    </row>
    <row r="7782" spans="20:25" x14ac:dyDescent="0.25">
      <c r="T7782" s="10"/>
      <c r="U7782" s="4"/>
      <c r="V7782" s="4"/>
      <c r="X7782" s="4"/>
      <c r="Y7782" s="4"/>
    </row>
    <row r="7783" spans="20:25" x14ac:dyDescent="0.25">
      <c r="T7783" s="10"/>
      <c r="U7783" s="4"/>
      <c r="V7783" s="4"/>
      <c r="X7783" s="4"/>
      <c r="Y7783" s="4"/>
    </row>
    <row r="7784" spans="20:25" x14ac:dyDescent="0.25">
      <c r="T7784" s="10"/>
      <c r="U7784" s="4"/>
      <c r="V7784" s="4"/>
      <c r="X7784" s="4"/>
      <c r="Y7784" s="4"/>
    </row>
    <row r="7785" spans="20:25" x14ac:dyDescent="0.25">
      <c r="T7785" s="10"/>
      <c r="U7785" s="4"/>
      <c r="V7785" s="4"/>
      <c r="X7785" s="4"/>
      <c r="Y7785" s="4"/>
    </row>
    <row r="7786" spans="20:25" x14ac:dyDescent="0.25">
      <c r="T7786" s="10"/>
      <c r="U7786" s="4"/>
      <c r="V7786" s="4"/>
      <c r="X7786" s="4"/>
      <c r="Y7786" s="4"/>
    </row>
    <row r="7787" spans="20:25" x14ac:dyDescent="0.25">
      <c r="T7787" s="10"/>
      <c r="U7787" s="4"/>
      <c r="V7787" s="4"/>
      <c r="X7787" s="4"/>
      <c r="Y7787" s="4"/>
    </row>
    <row r="7788" spans="20:25" x14ac:dyDescent="0.25">
      <c r="T7788" s="10"/>
      <c r="U7788" s="4"/>
      <c r="V7788" s="4"/>
      <c r="X7788" s="4"/>
      <c r="Y7788" s="4"/>
    </row>
    <row r="7789" spans="20:25" x14ac:dyDescent="0.25">
      <c r="T7789" s="10"/>
      <c r="U7789" s="4"/>
      <c r="V7789" s="4"/>
      <c r="X7789" s="4"/>
      <c r="Y7789" s="4"/>
    </row>
    <row r="7790" spans="20:25" x14ac:dyDescent="0.25">
      <c r="T7790" s="10"/>
      <c r="U7790" s="4"/>
      <c r="V7790" s="4"/>
      <c r="X7790" s="4"/>
      <c r="Y7790" s="4"/>
    </row>
    <row r="7791" spans="20:25" x14ac:dyDescent="0.25">
      <c r="T7791" s="10"/>
      <c r="U7791" s="4"/>
      <c r="V7791" s="4"/>
      <c r="X7791" s="4"/>
      <c r="Y7791" s="4"/>
    </row>
    <row r="7792" spans="20:25" x14ac:dyDescent="0.25">
      <c r="T7792" s="10"/>
      <c r="U7792" s="4"/>
      <c r="V7792" s="4"/>
      <c r="X7792" s="4"/>
      <c r="Y7792" s="4"/>
    </row>
    <row r="7793" spans="20:25" x14ac:dyDescent="0.25">
      <c r="T7793" s="10"/>
      <c r="U7793" s="4"/>
      <c r="V7793" s="4"/>
      <c r="X7793" s="4"/>
      <c r="Y7793" s="4"/>
    </row>
    <row r="7794" spans="20:25" x14ac:dyDescent="0.25">
      <c r="T7794" s="10"/>
      <c r="U7794" s="4"/>
      <c r="V7794" s="4"/>
      <c r="X7794" s="4"/>
      <c r="Y7794" s="4"/>
    </row>
    <row r="7795" spans="20:25" x14ac:dyDescent="0.25">
      <c r="T7795" s="10"/>
      <c r="U7795" s="4"/>
      <c r="V7795" s="4"/>
      <c r="X7795" s="4"/>
      <c r="Y7795" s="4"/>
    </row>
    <row r="7796" spans="20:25" x14ac:dyDescent="0.25">
      <c r="T7796" s="10"/>
      <c r="U7796" s="4"/>
      <c r="V7796" s="4"/>
      <c r="X7796" s="4"/>
      <c r="Y7796" s="4"/>
    </row>
    <row r="7797" spans="20:25" x14ac:dyDescent="0.25">
      <c r="T7797" s="10"/>
      <c r="U7797" s="4"/>
      <c r="V7797" s="4"/>
      <c r="X7797" s="4"/>
      <c r="Y7797" s="4"/>
    </row>
    <row r="7798" spans="20:25" x14ac:dyDescent="0.25">
      <c r="T7798" s="10"/>
      <c r="U7798" s="4"/>
      <c r="V7798" s="4"/>
      <c r="X7798" s="4"/>
      <c r="Y7798" s="4"/>
    </row>
    <row r="7799" spans="20:25" x14ac:dyDescent="0.25">
      <c r="T7799" s="10"/>
      <c r="U7799" s="4"/>
      <c r="V7799" s="4"/>
      <c r="X7799" s="4"/>
      <c r="Y7799" s="4"/>
    </row>
    <row r="7800" spans="20:25" x14ac:dyDescent="0.25">
      <c r="T7800" s="10"/>
      <c r="U7800" s="4"/>
      <c r="V7800" s="4"/>
      <c r="X7800" s="4"/>
      <c r="Y7800" s="4"/>
    </row>
    <row r="7801" spans="20:25" x14ac:dyDescent="0.25">
      <c r="T7801" s="10"/>
      <c r="U7801" s="4"/>
      <c r="V7801" s="4"/>
      <c r="X7801" s="4"/>
      <c r="Y7801" s="4"/>
    </row>
    <row r="7802" spans="20:25" x14ac:dyDescent="0.25">
      <c r="T7802" s="10"/>
      <c r="U7802" s="4"/>
      <c r="V7802" s="4"/>
      <c r="X7802" s="4"/>
      <c r="Y7802" s="4"/>
    </row>
    <row r="7803" spans="20:25" x14ac:dyDescent="0.25">
      <c r="T7803" s="10"/>
      <c r="U7803" s="4"/>
      <c r="V7803" s="4"/>
      <c r="X7803" s="4"/>
      <c r="Y7803" s="4"/>
    </row>
    <row r="7804" spans="20:25" x14ac:dyDescent="0.25">
      <c r="T7804" s="10"/>
      <c r="U7804" s="4"/>
      <c r="V7804" s="4"/>
      <c r="X7804" s="4"/>
      <c r="Y7804" s="4"/>
    </row>
    <row r="7805" spans="20:25" x14ac:dyDescent="0.25">
      <c r="T7805" s="10"/>
      <c r="U7805" s="4"/>
      <c r="V7805" s="4"/>
      <c r="X7805" s="4"/>
      <c r="Y7805" s="4"/>
    </row>
    <row r="7806" spans="20:25" x14ac:dyDescent="0.25">
      <c r="T7806" s="10"/>
      <c r="U7806" s="4"/>
      <c r="V7806" s="4"/>
      <c r="X7806" s="4"/>
      <c r="Y7806" s="4"/>
    </row>
    <row r="7807" spans="20:25" x14ac:dyDescent="0.25">
      <c r="T7807" s="10"/>
      <c r="U7807" s="4"/>
      <c r="V7807" s="4"/>
      <c r="X7807" s="4"/>
      <c r="Y7807" s="4"/>
    </row>
    <row r="7808" spans="20:25" x14ac:dyDescent="0.25">
      <c r="T7808" s="10"/>
      <c r="U7808" s="4"/>
      <c r="V7808" s="4"/>
      <c r="X7808" s="4"/>
      <c r="Y7808" s="4"/>
    </row>
    <row r="7809" spans="20:25" x14ac:dyDescent="0.25">
      <c r="T7809" s="10"/>
      <c r="U7809" s="4"/>
      <c r="V7809" s="4"/>
      <c r="X7809" s="4"/>
      <c r="Y7809" s="4"/>
    </row>
    <row r="7810" spans="20:25" x14ac:dyDescent="0.25">
      <c r="T7810" s="10"/>
      <c r="U7810" s="4"/>
      <c r="V7810" s="4"/>
      <c r="X7810" s="4"/>
      <c r="Y7810" s="4"/>
    </row>
    <row r="7811" spans="20:25" x14ac:dyDescent="0.25">
      <c r="T7811" s="10"/>
      <c r="U7811" s="4"/>
      <c r="V7811" s="4"/>
      <c r="X7811" s="4"/>
      <c r="Y7811" s="4"/>
    </row>
    <row r="7812" spans="20:25" x14ac:dyDescent="0.25">
      <c r="T7812" s="10"/>
      <c r="U7812" s="4"/>
      <c r="V7812" s="4"/>
      <c r="X7812" s="4"/>
      <c r="Y7812" s="4"/>
    </row>
    <row r="7813" spans="20:25" x14ac:dyDescent="0.25">
      <c r="T7813" s="10"/>
      <c r="U7813" s="4"/>
      <c r="V7813" s="4"/>
      <c r="X7813" s="4"/>
      <c r="Y7813" s="4"/>
    </row>
    <row r="7814" spans="20:25" x14ac:dyDescent="0.25">
      <c r="T7814" s="10"/>
      <c r="U7814" s="4"/>
      <c r="V7814" s="4"/>
      <c r="X7814" s="4"/>
      <c r="Y7814" s="4"/>
    </row>
    <row r="7815" spans="20:25" x14ac:dyDescent="0.25">
      <c r="T7815" s="10"/>
      <c r="U7815" s="4"/>
      <c r="V7815" s="4"/>
      <c r="X7815" s="4"/>
      <c r="Y7815" s="4"/>
    </row>
    <row r="7816" spans="20:25" x14ac:dyDescent="0.25">
      <c r="T7816" s="10"/>
      <c r="U7816" s="4"/>
      <c r="V7816" s="4"/>
      <c r="X7816" s="4"/>
      <c r="Y7816" s="4"/>
    </row>
    <row r="7817" spans="20:25" x14ac:dyDescent="0.25">
      <c r="T7817" s="10"/>
      <c r="U7817" s="4"/>
      <c r="V7817" s="4"/>
      <c r="X7817" s="4"/>
      <c r="Y7817" s="4"/>
    </row>
    <row r="7818" spans="20:25" x14ac:dyDescent="0.25">
      <c r="T7818" s="10"/>
      <c r="U7818" s="4"/>
      <c r="V7818" s="4"/>
      <c r="X7818" s="4"/>
      <c r="Y7818" s="4"/>
    </row>
    <row r="7819" spans="20:25" x14ac:dyDescent="0.25">
      <c r="T7819" s="10"/>
      <c r="U7819" s="4"/>
      <c r="V7819" s="4"/>
      <c r="X7819" s="4"/>
      <c r="Y7819" s="4"/>
    </row>
    <row r="7820" spans="20:25" x14ac:dyDescent="0.25">
      <c r="T7820" s="10"/>
      <c r="U7820" s="4"/>
      <c r="V7820" s="4"/>
      <c r="X7820" s="4"/>
      <c r="Y7820" s="4"/>
    </row>
    <row r="7821" spans="20:25" x14ac:dyDescent="0.25">
      <c r="T7821" s="10"/>
      <c r="U7821" s="4"/>
      <c r="V7821" s="4"/>
      <c r="X7821" s="4"/>
      <c r="Y7821" s="4"/>
    </row>
    <row r="7822" spans="20:25" x14ac:dyDescent="0.25">
      <c r="T7822" s="10"/>
      <c r="U7822" s="4"/>
      <c r="V7822" s="4"/>
      <c r="X7822" s="4"/>
      <c r="Y7822" s="4"/>
    </row>
    <row r="7823" spans="20:25" x14ac:dyDescent="0.25">
      <c r="T7823" s="10"/>
      <c r="U7823" s="4"/>
      <c r="V7823" s="4"/>
      <c r="X7823" s="4"/>
      <c r="Y7823" s="4"/>
    </row>
    <row r="7824" spans="20:25" x14ac:dyDescent="0.25">
      <c r="T7824" s="10"/>
      <c r="U7824" s="4"/>
      <c r="V7824" s="4"/>
      <c r="X7824" s="4"/>
      <c r="Y7824" s="4"/>
    </row>
    <row r="7825" spans="20:25" x14ac:dyDescent="0.25">
      <c r="T7825" s="10"/>
      <c r="U7825" s="4"/>
      <c r="V7825" s="4"/>
      <c r="X7825" s="4"/>
      <c r="Y7825" s="4"/>
    </row>
    <row r="7826" spans="20:25" x14ac:dyDescent="0.25">
      <c r="T7826" s="10"/>
      <c r="U7826" s="4"/>
      <c r="V7826" s="4"/>
      <c r="X7826" s="4"/>
      <c r="Y7826" s="4"/>
    </row>
    <row r="7827" spans="20:25" x14ac:dyDescent="0.25">
      <c r="T7827" s="10"/>
      <c r="U7827" s="4"/>
      <c r="V7827" s="4"/>
      <c r="X7827" s="4"/>
      <c r="Y7827" s="4"/>
    </row>
    <row r="7828" spans="20:25" x14ac:dyDescent="0.25">
      <c r="T7828" s="10"/>
      <c r="U7828" s="4"/>
      <c r="V7828" s="4"/>
      <c r="X7828" s="4"/>
      <c r="Y7828" s="4"/>
    </row>
    <row r="7829" spans="20:25" x14ac:dyDescent="0.25">
      <c r="T7829" s="10"/>
      <c r="U7829" s="4"/>
      <c r="V7829" s="4"/>
      <c r="X7829" s="4"/>
      <c r="Y7829" s="4"/>
    </row>
    <row r="7830" spans="20:25" x14ac:dyDescent="0.25">
      <c r="T7830" s="10"/>
      <c r="U7830" s="4"/>
      <c r="V7830" s="4"/>
      <c r="X7830" s="4"/>
      <c r="Y7830" s="4"/>
    </row>
    <row r="7831" spans="20:25" x14ac:dyDescent="0.25">
      <c r="T7831" s="10"/>
      <c r="U7831" s="4"/>
      <c r="V7831" s="4"/>
      <c r="X7831" s="4"/>
      <c r="Y7831" s="4"/>
    </row>
    <row r="7832" spans="20:25" x14ac:dyDescent="0.25">
      <c r="T7832" s="10"/>
      <c r="U7832" s="4"/>
      <c r="V7832" s="4"/>
      <c r="X7832" s="4"/>
      <c r="Y7832" s="4"/>
    </row>
    <row r="7833" spans="20:25" x14ac:dyDescent="0.25">
      <c r="T7833" s="10"/>
      <c r="U7833" s="4"/>
      <c r="V7833" s="4"/>
      <c r="X7833" s="4"/>
      <c r="Y7833" s="4"/>
    </row>
    <row r="7834" spans="20:25" x14ac:dyDescent="0.25">
      <c r="T7834" s="10"/>
      <c r="U7834" s="4"/>
      <c r="V7834" s="4"/>
      <c r="X7834" s="4"/>
      <c r="Y7834" s="4"/>
    </row>
    <row r="7835" spans="20:25" x14ac:dyDescent="0.25">
      <c r="T7835" s="10"/>
      <c r="U7835" s="4"/>
      <c r="V7835" s="4"/>
      <c r="X7835" s="4"/>
      <c r="Y7835" s="4"/>
    </row>
    <row r="7836" spans="20:25" x14ac:dyDescent="0.25">
      <c r="T7836" s="10"/>
      <c r="U7836" s="4"/>
      <c r="V7836" s="4"/>
      <c r="X7836" s="4"/>
      <c r="Y7836" s="4"/>
    </row>
    <row r="7837" spans="20:25" x14ac:dyDescent="0.25">
      <c r="T7837" s="10"/>
      <c r="U7837" s="4"/>
      <c r="V7837" s="4"/>
      <c r="X7837" s="4"/>
      <c r="Y7837" s="4"/>
    </row>
    <row r="7838" spans="20:25" x14ac:dyDescent="0.25">
      <c r="T7838" s="10"/>
      <c r="U7838" s="4"/>
      <c r="V7838" s="4"/>
      <c r="X7838" s="4"/>
      <c r="Y7838" s="4"/>
    </row>
    <row r="7839" spans="20:25" x14ac:dyDescent="0.25">
      <c r="T7839" s="10"/>
      <c r="U7839" s="4"/>
      <c r="V7839" s="4"/>
      <c r="X7839" s="4"/>
      <c r="Y7839" s="4"/>
    </row>
    <row r="7840" spans="20:25" x14ac:dyDescent="0.25">
      <c r="T7840" s="10"/>
      <c r="U7840" s="4"/>
      <c r="V7840" s="4"/>
      <c r="X7840" s="4"/>
      <c r="Y7840" s="4"/>
    </row>
    <row r="7841" spans="20:25" x14ac:dyDescent="0.25">
      <c r="T7841" s="10"/>
      <c r="U7841" s="4"/>
      <c r="V7841" s="4"/>
      <c r="X7841" s="4"/>
      <c r="Y7841" s="4"/>
    </row>
    <row r="7842" spans="20:25" x14ac:dyDescent="0.25">
      <c r="T7842" s="10"/>
      <c r="U7842" s="4"/>
      <c r="V7842" s="4"/>
      <c r="X7842" s="4"/>
      <c r="Y7842" s="4"/>
    </row>
    <row r="7843" spans="20:25" x14ac:dyDescent="0.25">
      <c r="T7843" s="10"/>
      <c r="U7843" s="4"/>
      <c r="V7843" s="4"/>
      <c r="X7843" s="4"/>
      <c r="Y7843" s="4"/>
    </row>
    <row r="7844" spans="20:25" x14ac:dyDescent="0.25">
      <c r="T7844" s="10"/>
      <c r="U7844" s="4"/>
      <c r="V7844" s="4"/>
      <c r="X7844" s="4"/>
      <c r="Y7844" s="4"/>
    </row>
    <row r="7845" spans="20:25" x14ac:dyDescent="0.25">
      <c r="T7845" s="10"/>
      <c r="U7845" s="4"/>
      <c r="V7845" s="4"/>
      <c r="X7845" s="4"/>
      <c r="Y7845" s="4"/>
    </row>
    <row r="7846" spans="20:25" x14ac:dyDescent="0.25">
      <c r="T7846" s="10"/>
      <c r="U7846" s="4"/>
      <c r="V7846" s="4"/>
      <c r="X7846" s="4"/>
      <c r="Y7846" s="4"/>
    </row>
    <row r="7847" spans="20:25" x14ac:dyDescent="0.25">
      <c r="T7847" s="10"/>
      <c r="U7847" s="4"/>
      <c r="V7847" s="4"/>
      <c r="X7847" s="4"/>
      <c r="Y7847" s="4"/>
    </row>
    <row r="7848" spans="20:25" x14ac:dyDescent="0.25">
      <c r="T7848" s="10"/>
      <c r="U7848" s="4"/>
      <c r="V7848" s="4"/>
      <c r="X7848" s="4"/>
      <c r="Y7848" s="4"/>
    </row>
    <row r="7849" spans="20:25" x14ac:dyDescent="0.25">
      <c r="T7849" s="10"/>
      <c r="U7849" s="4"/>
      <c r="V7849" s="4"/>
      <c r="X7849" s="4"/>
      <c r="Y7849" s="4"/>
    </row>
    <row r="7850" spans="20:25" x14ac:dyDescent="0.25">
      <c r="T7850" s="10"/>
      <c r="U7850" s="4"/>
      <c r="V7850" s="4"/>
      <c r="X7850" s="4"/>
      <c r="Y7850" s="4"/>
    </row>
    <row r="7851" spans="20:25" x14ac:dyDescent="0.25">
      <c r="T7851" s="10"/>
      <c r="U7851" s="4"/>
      <c r="V7851" s="4"/>
      <c r="X7851" s="4"/>
      <c r="Y7851" s="4"/>
    </row>
    <row r="7852" spans="20:25" x14ac:dyDescent="0.25">
      <c r="T7852" s="10"/>
      <c r="U7852" s="4"/>
      <c r="V7852" s="4"/>
      <c r="X7852" s="4"/>
      <c r="Y7852" s="4"/>
    </row>
    <row r="7853" spans="20:25" x14ac:dyDescent="0.25">
      <c r="T7853" s="10"/>
      <c r="U7853" s="4"/>
      <c r="V7853" s="4"/>
      <c r="X7853" s="4"/>
      <c r="Y7853" s="4"/>
    </row>
    <row r="7854" spans="20:25" x14ac:dyDescent="0.25">
      <c r="T7854" s="10"/>
      <c r="U7854" s="4"/>
      <c r="V7854" s="4"/>
      <c r="X7854" s="4"/>
      <c r="Y7854" s="4"/>
    </row>
    <row r="7855" spans="20:25" x14ac:dyDescent="0.25">
      <c r="T7855" s="10"/>
      <c r="U7855" s="4"/>
      <c r="V7855" s="4"/>
      <c r="X7855" s="4"/>
      <c r="Y7855" s="4"/>
    </row>
    <row r="7856" spans="20:25" x14ac:dyDescent="0.25">
      <c r="T7856" s="10"/>
      <c r="U7856" s="4"/>
      <c r="V7856" s="4"/>
      <c r="X7856" s="4"/>
      <c r="Y7856" s="4"/>
    </row>
    <row r="7857" spans="20:25" x14ac:dyDescent="0.25">
      <c r="T7857" s="10"/>
      <c r="U7857" s="4"/>
      <c r="V7857" s="4"/>
      <c r="X7857" s="4"/>
      <c r="Y7857" s="4"/>
    </row>
    <row r="7858" spans="20:25" x14ac:dyDescent="0.25">
      <c r="T7858" s="10"/>
      <c r="U7858" s="4"/>
      <c r="V7858" s="4"/>
      <c r="X7858" s="4"/>
      <c r="Y7858" s="4"/>
    </row>
    <row r="7859" spans="20:25" x14ac:dyDescent="0.25">
      <c r="T7859" s="10"/>
      <c r="U7859" s="4"/>
      <c r="V7859" s="4"/>
      <c r="X7859" s="4"/>
      <c r="Y7859" s="4"/>
    </row>
    <row r="7860" spans="20:25" x14ac:dyDescent="0.25">
      <c r="T7860" s="10"/>
      <c r="U7860" s="4"/>
      <c r="V7860" s="4"/>
      <c r="X7860" s="4"/>
      <c r="Y7860" s="4"/>
    </row>
    <row r="7861" spans="20:25" x14ac:dyDescent="0.25">
      <c r="T7861" s="10"/>
      <c r="U7861" s="4"/>
      <c r="V7861" s="4"/>
      <c r="X7861" s="4"/>
      <c r="Y7861" s="4"/>
    </row>
    <row r="7862" spans="20:25" x14ac:dyDescent="0.25">
      <c r="T7862" s="10"/>
      <c r="U7862" s="4"/>
      <c r="V7862" s="4"/>
      <c r="X7862" s="4"/>
      <c r="Y7862" s="4"/>
    </row>
    <row r="7863" spans="20:25" x14ac:dyDescent="0.25">
      <c r="T7863" s="10"/>
      <c r="U7863" s="4"/>
      <c r="V7863" s="4"/>
      <c r="X7863" s="4"/>
      <c r="Y7863" s="4"/>
    </row>
    <row r="7864" spans="20:25" x14ac:dyDescent="0.25">
      <c r="T7864" s="10"/>
      <c r="U7864" s="4"/>
      <c r="V7864" s="4"/>
      <c r="X7864" s="4"/>
      <c r="Y7864" s="4"/>
    </row>
    <row r="7865" spans="20:25" x14ac:dyDescent="0.25">
      <c r="T7865" s="10"/>
      <c r="U7865" s="4"/>
      <c r="V7865" s="4"/>
      <c r="X7865" s="4"/>
      <c r="Y7865" s="4"/>
    </row>
    <row r="7866" spans="20:25" x14ac:dyDescent="0.25">
      <c r="T7866" s="10"/>
      <c r="U7866" s="4"/>
      <c r="V7866" s="4"/>
      <c r="X7866" s="4"/>
      <c r="Y7866" s="4"/>
    </row>
    <row r="7867" spans="20:25" x14ac:dyDescent="0.25">
      <c r="T7867" s="10"/>
      <c r="U7867" s="4"/>
      <c r="V7867" s="4"/>
      <c r="X7867" s="4"/>
      <c r="Y7867" s="4"/>
    </row>
    <row r="7868" spans="20:25" x14ac:dyDescent="0.25">
      <c r="T7868" s="10"/>
      <c r="U7868" s="4"/>
      <c r="V7868" s="4"/>
      <c r="X7868" s="4"/>
      <c r="Y7868" s="4"/>
    </row>
    <row r="7869" spans="20:25" x14ac:dyDescent="0.25">
      <c r="T7869" s="10"/>
      <c r="U7869" s="4"/>
      <c r="V7869" s="4"/>
      <c r="X7869" s="4"/>
      <c r="Y7869" s="4"/>
    </row>
    <row r="7870" spans="20:25" x14ac:dyDescent="0.25">
      <c r="T7870" s="10"/>
      <c r="U7870" s="4"/>
      <c r="V7870" s="4"/>
      <c r="X7870" s="4"/>
      <c r="Y7870" s="4"/>
    </row>
    <row r="7871" spans="20:25" x14ac:dyDescent="0.25">
      <c r="T7871" s="10"/>
      <c r="U7871" s="4"/>
      <c r="V7871" s="4"/>
      <c r="X7871" s="4"/>
      <c r="Y7871" s="4"/>
    </row>
    <row r="7872" spans="20:25" x14ac:dyDescent="0.25">
      <c r="T7872" s="10"/>
      <c r="U7872" s="4"/>
      <c r="V7872" s="4"/>
      <c r="X7872" s="4"/>
      <c r="Y7872" s="4"/>
    </row>
    <row r="7873" spans="20:25" x14ac:dyDescent="0.25">
      <c r="T7873" s="10"/>
      <c r="U7873" s="4"/>
      <c r="V7873" s="4"/>
      <c r="X7873" s="4"/>
      <c r="Y7873" s="4"/>
    </row>
    <row r="7874" spans="20:25" x14ac:dyDescent="0.25">
      <c r="T7874" s="10"/>
      <c r="U7874" s="4"/>
      <c r="V7874" s="4"/>
      <c r="X7874" s="4"/>
      <c r="Y7874" s="4"/>
    </row>
    <row r="7875" spans="20:25" x14ac:dyDescent="0.25">
      <c r="T7875" s="10"/>
      <c r="U7875" s="4"/>
      <c r="V7875" s="4"/>
      <c r="X7875" s="4"/>
      <c r="Y7875" s="4"/>
    </row>
    <row r="7876" spans="20:25" x14ac:dyDescent="0.25">
      <c r="T7876" s="10"/>
      <c r="U7876" s="4"/>
      <c r="V7876" s="4"/>
      <c r="X7876" s="4"/>
      <c r="Y7876" s="4"/>
    </row>
    <row r="7877" spans="20:25" x14ac:dyDescent="0.25">
      <c r="T7877" s="10"/>
      <c r="U7877" s="4"/>
      <c r="V7877" s="4"/>
      <c r="X7877" s="4"/>
      <c r="Y7877" s="4"/>
    </row>
    <row r="7878" spans="20:25" x14ac:dyDescent="0.25">
      <c r="T7878" s="10"/>
      <c r="U7878" s="4"/>
      <c r="V7878" s="4"/>
      <c r="X7878" s="4"/>
      <c r="Y7878" s="4"/>
    </row>
    <row r="7879" spans="20:25" x14ac:dyDescent="0.25">
      <c r="T7879" s="10"/>
      <c r="U7879" s="4"/>
      <c r="V7879" s="4"/>
      <c r="X7879" s="4"/>
      <c r="Y7879" s="4"/>
    </row>
    <row r="7880" spans="20:25" x14ac:dyDescent="0.25">
      <c r="T7880" s="10"/>
      <c r="U7880" s="4"/>
      <c r="V7880" s="4"/>
      <c r="X7880" s="4"/>
      <c r="Y7880" s="4"/>
    </row>
    <row r="7881" spans="20:25" x14ac:dyDescent="0.25">
      <c r="T7881" s="10"/>
      <c r="U7881" s="4"/>
      <c r="V7881" s="4"/>
      <c r="X7881" s="4"/>
      <c r="Y7881" s="4"/>
    </row>
    <row r="7882" spans="20:25" x14ac:dyDescent="0.25">
      <c r="T7882" s="10"/>
      <c r="U7882" s="4"/>
      <c r="V7882" s="4"/>
      <c r="X7882" s="4"/>
      <c r="Y7882" s="4"/>
    </row>
    <row r="7883" spans="20:25" x14ac:dyDescent="0.25">
      <c r="T7883" s="10"/>
      <c r="U7883" s="4"/>
      <c r="V7883" s="4"/>
      <c r="X7883" s="4"/>
      <c r="Y7883" s="4"/>
    </row>
    <row r="7884" spans="20:25" x14ac:dyDescent="0.25">
      <c r="T7884" s="10"/>
      <c r="U7884" s="4"/>
      <c r="V7884" s="4"/>
      <c r="X7884" s="4"/>
      <c r="Y7884" s="4"/>
    </row>
    <row r="7885" spans="20:25" x14ac:dyDescent="0.25">
      <c r="T7885" s="10"/>
      <c r="U7885" s="4"/>
      <c r="V7885" s="4"/>
      <c r="X7885" s="4"/>
      <c r="Y7885" s="4"/>
    </row>
    <row r="7886" spans="20:25" x14ac:dyDescent="0.25">
      <c r="T7886" s="10"/>
      <c r="U7886" s="4"/>
      <c r="V7886" s="4"/>
      <c r="X7886" s="4"/>
      <c r="Y7886" s="4"/>
    </row>
    <row r="7887" spans="20:25" x14ac:dyDescent="0.25">
      <c r="T7887" s="10"/>
      <c r="U7887" s="4"/>
      <c r="V7887" s="4"/>
      <c r="X7887" s="4"/>
      <c r="Y7887" s="4"/>
    </row>
    <row r="7888" spans="20:25" x14ac:dyDescent="0.25">
      <c r="T7888" s="10"/>
      <c r="U7888" s="4"/>
      <c r="V7888" s="4"/>
      <c r="X7888" s="4"/>
      <c r="Y7888" s="4"/>
    </row>
    <row r="7889" spans="20:25" x14ac:dyDescent="0.25">
      <c r="T7889" s="10"/>
      <c r="U7889" s="4"/>
      <c r="V7889" s="4"/>
      <c r="X7889" s="4"/>
      <c r="Y7889" s="4"/>
    </row>
    <row r="7890" spans="20:25" x14ac:dyDescent="0.25">
      <c r="T7890" s="10"/>
      <c r="U7890" s="4"/>
      <c r="V7890" s="4"/>
      <c r="X7890" s="4"/>
      <c r="Y7890" s="4"/>
    </row>
    <row r="7891" spans="20:25" x14ac:dyDescent="0.25">
      <c r="T7891" s="10"/>
      <c r="U7891" s="4"/>
      <c r="V7891" s="4"/>
      <c r="X7891" s="4"/>
      <c r="Y7891" s="4"/>
    </row>
    <row r="7892" spans="20:25" x14ac:dyDescent="0.25">
      <c r="T7892" s="10"/>
      <c r="U7892" s="4"/>
      <c r="V7892" s="4"/>
      <c r="X7892" s="4"/>
      <c r="Y7892" s="4"/>
    </row>
    <row r="7893" spans="20:25" x14ac:dyDescent="0.25">
      <c r="T7893" s="10"/>
      <c r="U7893" s="4"/>
      <c r="V7893" s="4"/>
      <c r="X7893" s="4"/>
      <c r="Y7893" s="4"/>
    </row>
    <row r="7894" spans="20:25" x14ac:dyDescent="0.25">
      <c r="T7894" s="10"/>
      <c r="U7894" s="4"/>
      <c r="V7894" s="4"/>
      <c r="X7894" s="4"/>
      <c r="Y7894" s="4"/>
    </row>
    <row r="7895" spans="20:25" x14ac:dyDescent="0.25">
      <c r="T7895" s="10"/>
      <c r="U7895" s="4"/>
      <c r="V7895" s="4"/>
      <c r="X7895" s="4"/>
      <c r="Y7895" s="4"/>
    </row>
    <row r="7896" spans="20:25" x14ac:dyDescent="0.25">
      <c r="T7896" s="10"/>
      <c r="U7896" s="4"/>
      <c r="V7896" s="4"/>
      <c r="X7896" s="4"/>
      <c r="Y7896" s="4"/>
    </row>
    <row r="7897" spans="20:25" x14ac:dyDescent="0.25">
      <c r="T7897" s="10"/>
      <c r="U7897" s="4"/>
      <c r="V7897" s="4"/>
      <c r="X7897" s="4"/>
      <c r="Y7897" s="4"/>
    </row>
    <row r="7898" spans="20:25" x14ac:dyDescent="0.25">
      <c r="T7898" s="10"/>
      <c r="U7898" s="4"/>
      <c r="V7898" s="4"/>
      <c r="X7898" s="4"/>
      <c r="Y7898" s="4"/>
    </row>
    <row r="7899" spans="20:25" x14ac:dyDescent="0.25">
      <c r="T7899" s="10"/>
      <c r="U7899" s="4"/>
      <c r="V7899" s="4"/>
      <c r="X7899" s="4"/>
      <c r="Y7899" s="4"/>
    </row>
    <row r="7900" spans="20:25" x14ac:dyDescent="0.25">
      <c r="T7900" s="10"/>
      <c r="U7900" s="4"/>
      <c r="V7900" s="4"/>
      <c r="X7900" s="4"/>
      <c r="Y7900" s="4"/>
    </row>
    <row r="7901" spans="20:25" x14ac:dyDescent="0.25">
      <c r="T7901" s="10"/>
      <c r="U7901" s="4"/>
      <c r="V7901" s="4"/>
      <c r="X7901" s="4"/>
      <c r="Y7901" s="4"/>
    </row>
    <row r="7902" spans="20:25" x14ac:dyDescent="0.25">
      <c r="T7902" s="10"/>
      <c r="U7902" s="4"/>
      <c r="V7902" s="4"/>
      <c r="X7902" s="4"/>
      <c r="Y7902" s="4"/>
    </row>
    <row r="7903" spans="20:25" x14ac:dyDescent="0.25">
      <c r="T7903" s="10"/>
      <c r="U7903" s="4"/>
      <c r="V7903" s="4"/>
      <c r="X7903" s="4"/>
      <c r="Y7903" s="4"/>
    </row>
    <row r="7904" spans="20:25" x14ac:dyDescent="0.25">
      <c r="T7904" s="10"/>
      <c r="U7904" s="4"/>
      <c r="V7904" s="4"/>
      <c r="X7904" s="4"/>
      <c r="Y7904" s="4"/>
    </row>
    <row r="7905" spans="20:25" x14ac:dyDescent="0.25">
      <c r="T7905" s="10"/>
      <c r="U7905" s="4"/>
      <c r="V7905" s="4"/>
      <c r="X7905" s="4"/>
      <c r="Y7905" s="4"/>
    </row>
    <row r="7906" spans="20:25" x14ac:dyDescent="0.25">
      <c r="T7906" s="10"/>
      <c r="U7906" s="4"/>
      <c r="V7906" s="4"/>
      <c r="X7906" s="4"/>
      <c r="Y7906" s="4"/>
    </row>
    <row r="7907" spans="20:25" x14ac:dyDescent="0.25">
      <c r="T7907" s="10"/>
      <c r="U7907" s="4"/>
      <c r="V7907" s="4"/>
      <c r="X7907" s="4"/>
      <c r="Y7907" s="4"/>
    </row>
    <row r="7908" spans="20:25" x14ac:dyDescent="0.25">
      <c r="T7908" s="10"/>
      <c r="U7908" s="4"/>
      <c r="V7908" s="4"/>
      <c r="X7908" s="4"/>
      <c r="Y7908" s="4"/>
    </row>
    <row r="7909" spans="20:25" x14ac:dyDescent="0.25">
      <c r="T7909" s="10"/>
      <c r="U7909" s="4"/>
      <c r="V7909" s="4"/>
      <c r="X7909" s="4"/>
      <c r="Y7909" s="4"/>
    </row>
    <row r="7910" spans="20:25" x14ac:dyDescent="0.25">
      <c r="T7910" s="10"/>
      <c r="U7910" s="4"/>
      <c r="V7910" s="4"/>
      <c r="X7910" s="4"/>
      <c r="Y7910" s="4"/>
    </row>
    <row r="7911" spans="20:25" x14ac:dyDescent="0.25">
      <c r="T7911" s="10"/>
      <c r="U7911" s="4"/>
      <c r="V7911" s="4"/>
      <c r="X7911" s="4"/>
      <c r="Y7911" s="4"/>
    </row>
    <row r="7912" spans="20:25" x14ac:dyDescent="0.25">
      <c r="T7912" s="10"/>
      <c r="U7912" s="4"/>
      <c r="V7912" s="4"/>
      <c r="X7912" s="4"/>
      <c r="Y7912" s="4"/>
    </row>
    <row r="7913" spans="20:25" x14ac:dyDescent="0.25">
      <c r="T7913" s="10"/>
      <c r="U7913" s="4"/>
      <c r="V7913" s="4"/>
      <c r="X7913" s="4"/>
      <c r="Y7913" s="4"/>
    </row>
    <row r="7914" spans="20:25" x14ac:dyDescent="0.25">
      <c r="T7914" s="10"/>
      <c r="U7914" s="4"/>
      <c r="V7914" s="4"/>
      <c r="X7914" s="4"/>
      <c r="Y7914" s="4"/>
    </row>
    <row r="7915" spans="20:25" x14ac:dyDescent="0.25">
      <c r="T7915" s="10"/>
      <c r="U7915" s="4"/>
      <c r="V7915" s="4"/>
      <c r="X7915" s="4"/>
      <c r="Y7915" s="4"/>
    </row>
    <row r="7916" spans="20:25" x14ac:dyDescent="0.25">
      <c r="T7916" s="10"/>
      <c r="U7916" s="4"/>
      <c r="V7916" s="4"/>
      <c r="X7916" s="4"/>
      <c r="Y7916" s="4"/>
    </row>
    <row r="7917" spans="20:25" x14ac:dyDescent="0.25">
      <c r="T7917" s="10"/>
      <c r="U7917" s="4"/>
      <c r="V7917" s="4"/>
      <c r="X7917" s="4"/>
      <c r="Y7917" s="4"/>
    </row>
    <row r="7918" spans="20:25" x14ac:dyDescent="0.25">
      <c r="T7918" s="10"/>
      <c r="U7918" s="4"/>
      <c r="V7918" s="4"/>
      <c r="X7918" s="4"/>
      <c r="Y7918" s="4"/>
    </row>
    <row r="7919" spans="20:25" x14ac:dyDescent="0.25">
      <c r="T7919" s="10"/>
      <c r="U7919" s="4"/>
      <c r="V7919" s="4"/>
      <c r="X7919" s="4"/>
      <c r="Y7919" s="4"/>
    </row>
    <row r="7920" spans="20:25" x14ac:dyDescent="0.25">
      <c r="T7920" s="10"/>
      <c r="U7920" s="4"/>
      <c r="V7920" s="4"/>
      <c r="X7920" s="4"/>
      <c r="Y7920" s="4"/>
    </row>
    <row r="7921" spans="20:25" x14ac:dyDescent="0.25">
      <c r="T7921" s="10"/>
      <c r="U7921" s="4"/>
      <c r="V7921" s="4"/>
      <c r="X7921" s="4"/>
      <c r="Y7921" s="4"/>
    </row>
    <row r="7922" spans="20:25" x14ac:dyDescent="0.25">
      <c r="T7922" s="10"/>
      <c r="U7922" s="4"/>
      <c r="V7922" s="4"/>
      <c r="X7922" s="4"/>
      <c r="Y7922" s="4"/>
    </row>
    <row r="7923" spans="20:25" x14ac:dyDescent="0.25">
      <c r="T7923" s="10"/>
      <c r="U7923" s="4"/>
      <c r="V7923" s="4"/>
      <c r="X7923" s="4"/>
      <c r="Y7923" s="4"/>
    </row>
    <row r="7924" spans="20:25" x14ac:dyDescent="0.25">
      <c r="T7924" s="10"/>
      <c r="U7924" s="4"/>
      <c r="V7924" s="4"/>
      <c r="X7924" s="4"/>
      <c r="Y7924" s="4"/>
    </row>
    <row r="7925" spans="20:25" x14ac:dyDescent="0.25">
      <c r="T7925" s="10"/>
      <c r="U7925" s="4"/>
      <c r="V7925" s="4"/>
      <c r="X7925" s="4"/>
      <c r="Y7925" s="4"/>
    </row>
    <row r="7926" spans="20:25" x14ac:dyDescent="0.25">
      <c r="T7926" s="10"/>
      <c r="U7926" s="4"/>
      <c r="V7926" s="4"/>
      <c r="X7926" s="4"/>
      <c r="Y7926" s="4"/>
    </row>
    <row r="7927" spans="20:25" x14ac:dyDescent="0.25">
      <c r="T7927" s="10"/>
      <c r="U7927" s="4"/>
      <c r="V7927" s="4"/>
      <c r="X7927" s="4"/>
      <c r="Y7927" s="4"/>
    </row>
    <row r="7928" spans="20:25" x14ac:dyDescent="0.25">
      <c r="T7928" s="10"/>
      <c r="U7928" s="4"/>
      <c r="V7928" s="4"/>
      <c r="X7928" s="4"/>
      <c r="Y7928" s="4"/>
    </row>
    <row r="7929" spans="20:25" x14ac:dyDescent="0.25">
      <c r="T7929" s="10"/>
      <c r="U7929" s="4"/>
      <c r="V7929" s="4"/>
      <c r="X7929" s="4"/>
      <c r="Y7929" s="4"/>
    </row>
    <row r="7930" spans="20:25" x14ac:dyDescent="0.25">
      <c r="T7930" s="10"/>
      <c r="U7930" s="4"/>
      <c r="V7930" s="4"/>
      <c r="X7930" s="4"/>
      <c r="Y7930" s="4"/>
    </row>
    <row r="7931" spans="20:25" x14ac:dyDescent="0.25">
      <c r="T7931" s="10"/>
      <c r="U7931" s="4"/>
      <c r="V7931" s="4"/>
      <c r="X7931" s="4"/>
      <c r="Y7931" s="4"/>
    </row>
    <row r="7932" spans="20:25" x14ac:dyDescent="0.25">
      <c r="T7932" s="10"/>
      <c r="U7932" s="4"/>
      <c r="V7932" s="4"/>
      <c r="X7932" s="4"/>
      <c r="Y7932" s="4"/>
    </row>
    <row r="7933" spans="20:25" x14ac:dyDescent="0.25">
      <c r="T7933" s="10"/>
      <c r="U7933" s="4"/>
      <c r="V7933" s="4"/>
      <c r="X7933" s="4"/>
      <c r="Y7933" s="4"/>
    </row>
    <row r="7934" spans="20:25" x14ac:dyDescent="0.25">
      <c r="T7934" s="10"/>
      <c r="U7934" s="4"/>
      <c r="V7934" s="4"/>
      <c r="X7934" s="4"/>
      <c r="Y7934" s="4"/>
    </row>
    <row r="7935" spans="20:25" x14ac:dyDescent="0.25">
      <c r="T7935" s="10"/>
      <c r="U7935" s="4"/>
      <c r="V7935" s="4"/>
      <c r="X7935" s="4"/>
      <c r="Y7935" s="4"/>
    </row>
    <row r="7936" spans="20:25" x14ac:dyDescent="0.25">
      <c r="T7936" s="10"/>
      <c r="U7936" s="4"/>
      <c r="V7936" s="4"/>
      <c r="X7936" s="4"/>
      <c r="Y7936" s="4"/>
    </row>
    <row r="7937" spans="20:25" x14ac:dyDescent="0.25">
      <c r="T7937" s="10"/>
      <c r="U7937" s="4"/>
      <c r="V7937" s="4"/>
      <c r="X7937" s="4"/>
      <c r="Y7937" s="4"/>
    </row>
    <row r="7938" spans="20:25" x14ac:dyDescent="0.25">
      <c r="T7938" s="10"/>
      <c r="U7938" s="4"/>
      <c r="V7938" s="4"/>
      <c r="X7938" s="4"/>
      <c r="Y7938" s="4"/>
    </row>
    <row r="7939" spans="20:25" x14ac:dyDescent="0.25">
      <c r="T7939" s="10"/>
      <c r="U7939" s="4"/>
      <c r="V7939" s="4"/>
      <c r="X7939" s="4"/>
      <c r="Y7939" s="4"/>
    </row>
    <row r="7940" spans="20:25" x14ac:dyDescent="0.25">
      <c r="T7940" s="10"/>
      <c r="U7940" s="4"/>
      <c r="V7940" s="4"/>
      <c r="X7940" s="4"/>
      <c r="Y7940" s="4"/>
    </row>
    <row r="7941" spans="20:25" x14ac:dyDescent="0.25">
      <c r="T7941" s="10"/>
      <c r="U7941" s="4"/>
      <c r="V7941" s="4"/>
      <c r="X7941" s="4"/>
      <c r="Y7941" s="4"/>
    </row>
    <row r="7942" spans="20:25" x14ac:dyDescent="0.25">
      <c r="T7942" s="10"/>
      <c r="U7942" s="4"/>
      <c r="V7942" s="4"/>
      <c r="X7942" s="4"/>
      <c r="Y7942" s="4"/>
    </row>
    <row r="7943" spans="20:25" x14ac:dyDescent="0.25">
      <c r="T7943" s="10"/>
      <c r="U7943" s="4"/>
      <c r="V7943" s="4"/>
      <c r="X7943" s="4"/>
      <c r="Y7943" s="4"/>
    </row>
    <row r="7944" spans="20:25" x14ac:dyDescent="0.25">
      <c r="T7944" s="10"/>
      <c r="U7944" s="4"/>
      <c r="V7944" s="4"/>
      <c r="X7944" s="4"/>
      <c r="Y7944" s="4"/>
    </row>
    <row r="7945" spans="20:25" x14ac:dyDescent="0.25">
      <c r="T7945" s="10"/>
      <c r="U7945" s="4"/>
      <c r="V7945" s="4"/>
      <c r="X7945" s="4"/>
      <c r="Y7945" s="4"/>
    </row>
    <row r="7946" spans="20:25" x14ac:dyDescent="0.25">
      <c r="T7946" s="10"/>
      <c r="U7946" s="4"/>
      <c r="V7946" s="4"/>
      <c r="X7946" s="4"/>
      <c r="Y7946" s="4"/>
    </row>
    <row r="7947" spans="20:25" x14ac:dyDescent="0.25">
      <c r="T7947" s="10"/>
      <c r="U7947" s="4"/>
      <c r="V7947" s="4"/>
      <c r="X7947" s="4"/>
      <c r="Y7947" s="4"/>
    </row>
    <row r="7948" spans="20:25" x14ac:dyDescent="0.25">
      <c r="T7948" s="10"/>
      <c r="U7948" s="4"/>
      <c r="V7948" s="4"/>
      <c r="X7948" s="4"/>
      <c r="Y7948" s="4"/>
    </row>
    <row r="7949" spans="20:25" x14ac:dyDescent="0.25">
      <c r="T7949" s="10"/>
      <c r="U7949" s="4"/>
      <c r="V7949" s="4"/>
      <c r="X7949" s="4"/>
      <c r="Y7949" s="4"/>
    </row>
    <row r="7950" spans="20:25" x14ac:dyDescent="0.25">
      <c r="T7950" s="10"/>
      <c r="U7950" s="4"/>
      <c r="V7950" s="4"/>
      <c r="X7950" s="4"/>
      <c r="Y7950" s="4"/>
    </row>
    <row r="7951" spans="20:25" x14ac:dyDescent="0.25">
      <c r="T7951" s="10"/>
      <c r="U7951" s="4"/>
      <c r="V7951" s="4"/>
      <c r="X7951" s="4"/>
      <c r="Y7951" s="4"/>
    </row>
    <row r="7952" spans="20:25" x14ac:dyDescent="0.25">
      <c r="T7952" s="10"/>
      <c r="U7952" s="4"/>
      <c r="V7952" s="4"/>
      <c r="X7952" s="4"/>
      <c r="Y7952" s="4"/>
    </row>
    <row r="7953" spans="20:25" x14ac:dyDescent="0.25">
      <c r="T7953" s="10"/>
      <c r="U7953" s="4"/>
      <c r="V7953" s="4"/>
      <c r="X7953" s="4"/>
      <c r="Y7953" s="4"/>
    </row>
    <row r="7954" spans="20:25" x14ac:dyDescent="0.25">
      <c r="T7954" s="10"/>
      <c r="U7954" s="4"/>
      <c r="V7954" s="4"/>
      <c r="X7954" s="4"/>
      <c r="Y7954" s="4"/>
    </row>
    <row r="7955" spans="20:25" x14ac:dyDescent="0.25">
      <c r="T7955" s="10"/>
      <c r="U7955" s="4"/>
      <c r="V7955" s="4"/>
      <c r="X7955" s="4"/>
      <c r="Y7955" s="4"/>
    </row>
    <row r="7956" spans="20:25" x14ac:dyDescent="0.25">
      <c r="T7956" s="10"/>
      <c r="U7956" s="4"/>
      <c r="V7956" s="4"/>
      <c r="X7956" s="4"/>
      <c r="Y7956" s="4"/>
    </row>
    <row r="7957" spans="20:25" x14ac:dyDescent="0.25">
      <c r="T7957" s="10"/>
      <c r="U7957" s="4"/>
      <c r="V7957" s="4"/>
      <c r="X7957" s="4"/>
      <c r="Y7957" s="4"/>
    </row>
    <row r="7958" spans="20:25" x14ac:dyDescent="0.25">
      <c r="T7958" s="10"/>
      <c r="U7958" s="4"/>
      <c r="V7958" s="4"/>
      <c r="X7958" s="4"/>
      <c r="Y7958" s="4"/>
    </row>
    <row r="7959" spans="20:25" x14ac:dyDescent="0.25">
      <c r="T7959" s="10"/>
      <c r="U7959" s="4"/>
      <c r="V7959" s="4"/>
      <c r="X7959" s="4"/>
      <c r="Y7959" s="4"/>
    </row>
    <row r="7960" spans="20:25" x14ac:dyDescent="0.25">
      <c r="T7960" s="10"/>
      <c r="U7960" s="4"/>
      <c r="V7960" s="4"/>
      <c r="X7960" s="4"/>
      <c r="Y7960" s="4"/>
    </row>
    <row r="7961" spans="20:25" x14ac:dyDescent="0.25">
      <c r="T7961" s="10"/>
      <c r="U7961" s="4"/>
      <c r="V7961" s="4"/>
      <c r="X7961" s="4"/>
      <c r="Y7961" s="4"/>
    </row>
    <row r="7962" spans="20:25" x14ac:dyDescent="0.25">
      <c r="T7962" s="10"/>
      <c r="U7962" s="4"/>
      <c r="V7962" s="4"/>
      <c r="X7962" s="4"/>
      <c r="Y7962" s="4"/>
    </row>
    <row r="7963" spans="20:25" x14ac:dyDescent="0.25">
      <c r="T7963" s="10"/>
      <c r="U7963" s="4"/>
      <c r="V7963" s="4"/>
      <c r="X7963" s="4"/>
      <c r="Y7963" s="4"/>
    </row>
    <row r="7964" spans="20:25" x14ac:dyDescent="0.25">
      <c r="T7964" s="10"/>
      <c r="U7964" s="4"/>
      <c r="V7964" s="4"/>
      <c r="X7964" s="4"/>
      <c r="Y7964" s="4"/>
    </row>
    <row r="7965" spans="20:25" x14ac:dyDescent="0.25">
      <c r="T7965" s="10"/>
      <c r="U7965" s="4"/>
      <c r="V7965" s="4"/>
      <c r="X7965" s="4"/>
      <c r="Y7965" s="4"/>
    </row>
    <row r="7966" spans="20:25" x14ac:dyDescent="0.25">
      <c r="T7966" s="10"/>
      <c r="U7966" s="4"/>
      <c r="V7966" s="4"/>
      <c r="X7966" s="4"/>
      <c r="Y7966" s="4"/>
    </row>
    <row r="7967" spans="20:25" x14ac:dyDescent="0.25">
      <c r="T7967" s="10"/>
      <c r="U7967" s="4"/>
      <c r="V7967" s="4"/>
      <c r="X7967" s="4"/>
      <c r="Y7967" s="4"/>
    </row>
    <row r="7968" spans="20:25" x14ac:dyDescent="0.25">
      <c r="T7968" s="10"/>
      <c r="U7968" s="4"/>
      <c r="V7968" s="4"/>
      <c r="X7968" s="4"/>
      <c r="Y7968" s="4"/>
    </row>
    <row r="7969" spans="20:25" x14ac:dyDescent="0.25">
      <c r="T7969" s="10"/>
      <c r="U7969" s="4"/>
      <c r="V7969" s="4"/>
      <c r="X7969" s="4"/>
      <c r="Y7969" s="4"/>
    </row>
    <row r="7970" spans="20:25" x14ac:dyDescent="0.25">
      <c r="T7970" s="10"/>
      <c r="U7970" s="4"/>
      <c r="V7970" s="4"/>
      <c r="X7970" s="4"/>
      <c r="Y7970" s="4"/>
    </row>
    <row r="7971" spans="20:25" x14ac:dyDescent="0.25">
      <c r="T7971" s="10"/>
      <c r="U7971" s="4"/>
      <c r="V7971" s="4"/>
      <c r="X7971" s="4"/>
      <c r="Y7971" s="4"/>
    </row>
    <row r="7972" spans="20:25" x14ac:dyDescent="0.25">
      <c r="T7972" s="10"/>
      <c r="U7972" s="4"/>
      <c r="V7972" s="4"/>
      <c r="X7972" s="4"/>
      <c r="Y7972" s="4"/>
    </row>
    <row r="7973" spans="20:25" x14ac:dyDescent="0.25">
      <c r="T7973" s="10"/>
      <c r="U7973" s="4"/>
      <c r="V7973" s="4"/>
      <c r="X7973" s="4"/>
      <c r="Y7973" s="4"/>
    </row>
    <row r="7974" spans="20:25" x14ac:dyDescent="0.25">
      <c r="T7974" s="10"/>
      <c r="U7974" s="4"/>
      <c r="V7974" s="4"/>
      <c r="X7974" s="4"/>
      <c r="Y7974" s="4"/>
    </row>
    <row r="7975" spans="20:25" x14ac:dyDescent="0.25">
      <c r="T7975" s="10"/>
      <c r="U7975" s="4"/>
      <c r="V7975" s="4"/>
      <c r="X7975" s="4"/>
      <c r="Y7975" s="4"/>
    </row>
    <row r="7976" spans="20:25" x14ac:dyDescent="0.25">
      <c r="T7976" s="10"/>
      <c r="U7976" s="4"/>
      <c r="V7976" s="4"/>
      <c r="X7976" s="4"/>
      <c r="Y7976" s="4"/>
    </row>
    <row r="7977" spans="20:25" x14ac:dyDescent="0.25">
      <c r="T7977" s="10"/>
      <c r="U7977" s="4"/>
      <c r="V7977" s="4"/>
      <c r="X7977" s="4"/>
      <c r="Y7977" s="4"/>
    </row>
    <row r="7978" spans="20:25" x14ac:dyDescent="0.25">
      <c r="T7978" s="10"/>
      <c r="U7978" s="4"/>
      <c r="V7978" s="4"/>
      <c r="X7978" s="4"/>
      <c r="Y7978" s="4"/>
    </row>
    <row r="7979" spans="20:25" x14ac:dyDescent="0.25">
      <c r="T7979" s="10"/>
      <c r="U7979" s="4"/>
      <c r="V7979" s="4"/>
      <c r="X7979" s="4"/>
      <c r="Y7979" s="4"/>
    </row>
    <row r="7980" spans="20:25" x14ac:dyDescent="0.25">
      <c r="T7980" s="10"/>
      <c r="U7980" s="4"/>
      <c r="V7980" s="4"/>
      <c r="X7980" s="4"/>
      <c r="Y7980" s="4"/>
    </row>
    <row r="7981" spans="20:25" x14ac:dyDescent="0.25">
      <c r="T7981" s="10"/>
      <c r="U7981" s="4"/>
      <c r="V7981" s="4"/>
      <c r="X7981" s="4"/>
      <c r="Y7981" s="4"/>
    </row>
    <row r="7982" spans="20:25" x14ac:dyDescent="0.25">
      <c r="T7982" s="10"/>
      <c r="U7982" s="4"/>
      <c r="V7982" s="4"/>
      <c r="X7982" s="4"/>
      <c r="Y7982" s="4"/>
    </row>
    <row r="7983" spans="20:25" x14ac:dyDescent="0.25">
      <c r="T7983" s="10"/>
      <c r="U7983" s="4"/>
      <c r="V7983" s="4"/>
      <c r="X7983" s="4"/>
      <c r="Y7983" s="4"/>
    </row>
    <row r="7984" spans="20:25" x14ac:dyDescent="0.25">
      <c r="T7984" s="10"/>
      <c r="U7984" s="4"/>
      <c r="V7984" s="4"/>
      <c r="X7984" s="4"/>
      <c r="Y7984" s="4"/>
    </row>
    <row r="7985" spans="20:25" x14ac:dyDescent="0.25">
      <c r="T7985" s="10"/>
      <c r="U7985" s="4"/>
      <c r="V7985" s="4"/>
      <c r="X7985" s="4"/>
      <c r="Y7985" s="4"/>
    </row>
    <row r="7986" spans="20:25" x14ac:dyDescent="0.25">
      <c r="T7986" s="10"/>
      <c r="U7986" s="4"/>
      <c r="V7986" s="4"/>
      <c r="X7986" s="4"/>
      <c r="Y7986" s="4"/>
    </row>
    <row r="7987" spans="20:25" x14ac:dyDescent="0.25">
      <c r="T7987" s="10"/>
      <c r="U7987" s="4"/>
      <c r="V7987" s="4"/>
      <c r="X7987" s="4"/>
      <c r="Y7987" s="4"/>
    </row>
    <row r="7988" spans="20:25" x14ac:dyDescent="0.25">
      <c r="T7988" s="10"/>
      <c r="U7988" s="4"/>
      <c r="V7988" s="4"/>
      <c r="X7988" s="4"/>
      <c r="Y7988" s="4"/>
    </row>
    <row r="7989" spans="20:25" x14ac:dyDescent="0.25">
      <c r="T7989" s="10"/>
      <c r="U7989" s="4"/>
      <c r="V7989" s="4"/>
      <c r="X7989" s="4"/>
      <c r="Y7989" s="4"/>
    </row>
    <row r="7990" spans="20:25" x14ac:dyDescent="0.25">
      <c r="T7990" s="10"/>
      <c r="U7990" s="4"/>
      <c r="V7990" s="4"/>
      <c r="X7990" s="4"/>
      <c r="Y7990" s="4"/>
    </row>
    <row r="7991" spans="20:25" x14ac:dyDescent="0.25">
      <c r="T7991" s="10"/>
      <c r="U7991" s="4"/>
      <c r="V7991" s="4"/>
      <c r="X7991" s="4"/>
      <c r="Y7991" s="4"/>
    </row>
    <row r="7992" spans="20:25" x14ac:dyDescent="0.25">
      <c r="T7992" s="10"/>
      <c r="U7992" s="4"/>
      <c r="V7992" s="4"/>
      <c r="X7992" s="4"/>
      <c r="Y7992" s="4"/>
    </row>
    <row r="7993" spans="20:25" x14ac:dyDescent="0.25">
      <c r="T7993" s="10"/>
      <c r="U7993" s="4"/>
      <c r="V7993" s="4"/>
      <c r="X7993" s="4"/>
      <c r="Y7993" s="4"/>
    </row>
    <row r="7994" spans="20:25" x14ac:dyDescent="0.25">
      <c r="T7994" s="10"/>
      <c r="U7994" s="4"/>
      <c r="V7994" s="4"/>
      <c r="X7994" s="4"/>
      <c r="Y7994" s="4"/>
    </row>
    <row r="7995" spans="20:25" x14ac:dyDescent="0.25">
      <c r="T7995" s="10"/>
      <c r="U7995" s="4"/>
      <c r="V7995" s="4"/>
      <c r="X7995" s="4"/>
      <c r="Y7995" s="4"/>
    </row>
    <row r="7996" spans="20:25" x14ac:dyDescent="0.25">
      <c r="T7996" s="10"/>
      <c r="U7996" s="4"/>
      <c r="V7996" s="4"/>
      <c r="X7996" s="4"/>
      <c r="Y7996" s="4"/>
    </row>
    <row r="7997" spans="20:25" x14ac:dyDescent="0.25">
      <c r="T7997" s="10"/>
      <c r="U7997" s="4"/>
      <c r="V7997" s="4"/>
      <c r="X7997" s="4"/>
      <c r="Y7997" s="4"/>
    </row>
    <row r="7998" spans="20:25" x14ac:dyDescent="0.25">
      <c r="T7998" s="10"/>
      <c r="U7998" s="4"/>
      <c r="V7998" s="4"/>
      <c r="X7998" s="4"/>
      <c r="Y7998" s="4"/>
    </row>
    <row r="7999" spans="20:25" x14ac:dyDescent="0.25">
      <c r="T7999" s="10"/>
      <c r="U7999" s="4"/>
      <c r="V7999" s="4"/>
      <c r="X7999" s="4"/>
      <c r="Y7999" s="4"/>
    </row>
    <row r="8000" spans="20:25" x14ac:dyDescent="0.25">
      <c r="T8000" s="10"/>
      <c r="U8000" s="4"/>
      <c r="V8000" s="4"/>
      <c r="X8000" s="4"/>
      <c r="Y8000" s="4"/>
    </row>
    <row r="8001" spans="20:25" x14ac:dyDescent="0.25">
      <c r="T8001" s="10"/>
      <c r="U8001" s="4"/>
      <c r="V8001" s="4"/>
      <c r="X8001" s="4"/>
      <c r="Y8001" s="4"/>
    </row>
    <row r="8002" spans="20:25" x14ac:dyDescent="0.25">
      <c r="T8002" s="10"/>
      <c r="U8002" s="4"/>
      <c r="V8002" s="4"/>
      <c r="X8002" s="4"/>
      <c r="Y8002" s="4"/>
    </row>
    <row r="8003" spans="20:25" x14ac:dyDescent="0.25">
      <c r="T8003" s="10"/>
      <c r="U8003" s="4"/>
      <c r="V8003" s="4"/>
      <c r="X8003" s="4"/>
      <c r="Y8003" s="4"/>
    </row>
    <row r="8004" spans="20:25" x14ac:dyDescent="0.25">
      <c r="T8004" s="10"/>
      <c r="U8004" s="4"/>
      <c r="V8004" s="4"/>
      <c r="X8004" s="4"/>
      <c r="Y8004" s="4"/>
    </row>
    <row r="8005" spans="20:25" x14ac:dyDescent="0.25">
      <c r="T8005" s="10"/>
      <c r="U8005" s="4"/>
      <c r="V8005" s="4"/>
      <c r="X8005" s="4"/>
      <c r="Y8005" s="4"/>
    </row>
    <row r="8006" spans="20:25" x14ac:dyDescent="0.25">
      <c r="T8006" s="10"/>
      <c r="U8006" s="4"/>
      <c r="V8006" s="4"/>
      <c r="X8006" s="4"/>
      <c r="Y8006" s="4"/>
    </row>
    <row r="8007" spans="20:25" x14ac:dyDescent="0.25">
      <c r="T8007" s="10"/>
      <c r="U8007" s="4"/>
      <c r="V8007" s="4"/>
      <c r="X8007" s="4"/>
      <c r="Y8007" s="4"/>
    </row>
    <row r="8008" spans="20:25" x14ac:dyDescent="0.25">
      <c r="T8008" s="10"/>
      <c r="U8008" s="4"/>
      <c r="V8008" s="4"/>
      <c r="X8008" s="4"/>
      <c r="Y8008" s="4"/>
    </row>
    <row r="8009" spans="20:25" x14ac:dyDescent="0.25">
      <c r="T8009" s="10"/>
      <c r="U8009" s="4"/>
      <c r="V8009" s="4"/>
      <c r="X8009" s="4"/>
      <c r="Y8009" s="4"/>
    </row>
    <row r="8010" spans="20:25" x14ac:dyDescent="0.25">
      <c r="T8010" s="10"/>
      <c r="U8010" s="4"/>
      <c r="V8010" s="4"/>
      <c r="X8010" s="4"/>
      <c r="Y8010" s="4"/>
    </row>
    <row r="8011" spans="20:25" x14ac:dyDescent="0.25">
      <c r="T8011" s="10"/>
      <c r="U8011" s="4"/>
      <c r="V8011" s="4"/>
      <c r="X8011" s="4"/>
      <c r="Y8011" s="4"/>
    </row>
    <row r="8012" spans="20:25" x14ac:dyDescent="0.25">
      <c r="T8012" s="10"/>
      <c r="U8012" s="4"/>
      <c r="V8012" s="4"/>
      <c r="X8012" s="4"/>
      <c r="Y8012" s="4"/>
    </row>
    <row r="8013" spans="20:25" x14ac:dyDescent="0.25">
      <c r="T8013" s="10"/>
      <c r="U8013" s="4"/>
      <c r="V8013" s="4"/>
      <c r="X8013" s="4"/>
      <c r="Y8013" s="4"/>
    </row>
    <row r="8014" spans="20:25" x14ac:dyDescent="0.25">
      <c r="T8014" s="10"/>
      <c r="U8014" s="4"/>
      <c r="V8014" s="4"/>
      <c r="X8014" s="4"/>
      <c r="Y8014" s="4"/>
    </row>
    <row r="8015" spans="20:25" x14ac:dyDescent="0.25">
      <c r="T8015" s="10"/>
      <c r="U8015" s="4"/>
      <c r="V8015" s="4"/>
      <c r="X8015" s="4"/>
      <c r="Y8015" s="4"/>
    </row>
    <row r="8016" spans="20:25" x14ac:dyDescent="0.25">
      <c r="T8016" s="10"/>
      <c r="U8016" s="4"/>
      <c r="V8016" s="4"/>
      <c r="X8016" s="4"/>
      <c r="Y8016" s="4"/>
    </row>
    <row r="8017" spans="20:25" x14ac:dyDescent="0.25">
      <c r="T8017" s="10"/>
      <c r="U8017" s="4"/>
      <c r="V8017" s="4"/>
      <c r="X8017" s="4"/>
      <c r="Y8017" s="4"/>
    </row>
    <row r="8018" spans="20:25" x14ac:dyDescent="0.25">
      <c r="T8018" s="10"/>
      <c r="U8018" s="4"/>
      <c r="V8018" s="4"/>
      <c r="X8018" s="4"/>
      <c r="Y8018" s="4"/>
    </row>
    <row r="8019" spans="20:25" x14ac:dyDescent="0.25">
      <c r="T8019" s="10"/>
      <c r="U8019" s="4"/>
      <c r="V8019" s="4"/>
      <c r="X8019" s="4"/>
      <c r="Y8019" s="4"/>
    </row>
    <row r="8020" spans="20:25" x14ac:dyDescent="0.25">
      <c r="T8020" s="10"/>
      <c r="U8020" s="4"/>
      <c r="V8020" s="4"/>
      <c r="X8020" s="4"/>
      <c r="Y8020" s="4"/>
    </row>
    <row r="8021" spans="20:25" x14ac:dyDescent="0.25">
      <c r="T8021" s="10"/>
      <c r="U8021" s="4"/>
      <c r="V8021" s="4"/>
      <c r="X8021" s="4"/>
      <c r="Y8021" s="4"/>
    </row>
    <row r="8022" spans="20:25" x14ac:dyDescent="0.25">
      <c r="T8022" s="10"/>
      <c r="U8022" s="4"/>
      <c r="V8022" s="4"/>
      <c r="X8022" s="4"/>
      <c r="Y8022" s="4"/>
    </row>
    <row r="8023" spans="20:25" x14ac:dyDescent="0.25">
      <c r="T8023" s="10"/>
      <c r="U8023" s="4"/>
      <c r="V8023" s="4"/>
      <c r="X8023" s="4"/>
      <c r="Y8023" s="4"/>
    </row>
    <row r="8024" spans="20:25" x14ac:dyDescent="0.25">
      <c r="T8024" s="10"/>
      <c r="U8024" s="4"/>
      <c r="V8024" s="4"/>
      <c r="X8024" s="4"/>
      <c r="Y8024" s="4"/>
    </row>
    <row r="8025" spans="20:25" x14ac:dyDescent="0.25">
      <c r="T8025" s="10"/>
      <c r="U8025" s="4"/>
      <c r="V8025" s="4"/>
      <c r="X8025" s="4"/>
      <c r="Y8025" s="4"/>
    </row>
    <row r="8026" spans="20:25" x14ac:dyDescent="0.25">
      <c r="T8026" s="10"/>
      <c r="U8026" s="4"/>
      <c r="V8026" s="4"/>
      <c r="X8026" s="4"/>
      <c r="Y8026" s="4"/>
    </row>
    <row r="8027" spans="20:25" x14ac:dyDescent="0.25">
      <c r="T8027" s="10"/>
      <c r="U8027" s="4"/>
      <c r="V8027" s="4"/>
      <c r="X8027" s="4"/>
      <c r="Y8027" s="4"/>
    </row>
    <row r="8028" spans="20:25" x14ac:dyDescent="0.25">
      <c r="T8028" s="10"/>
      <c r="U8028" s="4"/>
      <c r="V8028" s="4"/>
      <c r="X8028" s="4"/>
      <c r="Y8028" s="4"/>
    </row>
    <row r="8029" spans="20:25" x14ac:dyDescent="0.25">
      <c r="T8029" s="10"/>
      <c r="U8029" s="4"/>
      <c r="V8029" s="4"/>
      <c r="X8029" s="4"/>
      <c r="Y8029" s="4"/>
    </row>
    <row r="8030" spans="20:25" x14ac:dyDescent="0.25">
      <c r="T8030" s="10"/>
      <c r="U8030" s="4"/>
      <c r="V8030" s="4"/>
      <c r="X8030" s="4"/>
      <c r="Y8030" s="4"/>
    </row>
    <row r="8031" spans="20:25" x14ac:dyDescent="0.25">
      <c r="T8031" s="10"/>
      <c r="U8031" s="4"/>
      <c r="V8031" s="4"/>
      <c r="X8031" s="4"/>
      <c r="Y8031" s="4"/>
    </row>
    <row r="8032" spans="20:25" x14ac:dyDescent="0.25">
      <c r="T8032" s="10"/>
      <c r="U8032" s="4"/>
      <c r="V8032" s="4"/>
      <c r="X8032" s="4"/>
      <c r="Y8032" s="4"/>
    </row>
    <row r="8033" spans="20:25" x14ac:dyDescent="0.25">
      <c r="T8033" s="10"/>
      <c r="U8033" s="4"/>
      <c r="V8033" s="4"/>
      <c r="X8033" s="4"/>
      <c r="Y8033" s="4"/>
    </row>
    <row r="8034" spans="20:25" x14ac:dyDescent="0.25">
      <c r="T8034" s="10"/>
      <c r="U8034" s="4"/>
      <c r="V8034" s="4"/>
      <c r="X8034" s="4"/>
      <c r="Y8034" s="4"/>
    </row>
    <row r="8035" spans="20:25" x14ac:dyDescent="0.25">
      <c r="T8035" s="10"/>
      <c r="U8035" s="4"/>
      <c r="V8035" s="4"/>
      <c r="X8035" s="4"/>
      <c r="Y8035" s="4"/>
    </row>
    <row r="8036" spans="20:25" x14ac:dyDescent="0.25">
      <c r="T8036" s="10"/>
      <c r="U8036" s="4"/>
      <c r="V8036" s="4"/>
      <c r="X8036" s="4"/>
      <c r="Y8036" s="4"/>
    </row>
    <row r="8037" spans="20:25" x14ac:dyDescent="0.25">
      <c r="T8037" s="10"/>
      <c r="U8037" s="4"/>
      <c r="V8037" s="4"/>
      <c r="X8037" s="4"/>
      <c r="Y8037" s="4"/>
    </row>
    <row r="8038" spans="20:25" x14ac:dyDescent="0.25">
      <c r="T8038" s="10"/>
      <c r="U8038" s="4"/>
      <c r="V8038" s="4"/>
      <c r="X8038" s="4"/>
      <c r="Y8038" s="4"/>
    </row>
    <row r="8039" spans="20:25" x14ac:dyDescent="0.25">
      <c r="T8039" s="10"/>
      <c r="U8039" s="4"/>
      <c r="V8039" s="4"/>
      <c r="X8039" s="4"/>
      <c r="Y8039" s="4"/>
    </row>
    <row r="8040" spans="20:25" x14ac:dyDescent="0.25">
      <c r="T8040" s="10"/>
      <c r="U8040" s="4"/>
      <c r="V8040" s="4"/>
      <c r="X8040" s="4"/>
      <c r="Y8040" s="4"/>
    </row>
    <row r="8041" spans="20:25" x14ac:dyDescent="0.25">
      <c r="T8041" s="10"/>
      <c r="U8041" s="4"/>
      <c r="V8041" s="4"/>
      <c r="X8041" s="4"/>
      <c r="Y8041" s="4"/>
    </row>
    <row r="8042" spans="20:25" x14ac:dyDescent="0.25">
      <c r="T8042" s="10"/>
      <c r="U8042" s="4"/>
      <c r="V8042" s="4"/>
      <c r="X8042" s="4"/>
      <c r="Y8042" s="4"/>
    </row>
    <row r="8043" spans="20:25" x14ac:dyDescent="0.25">
      <c r="T8043" s="10"/>
      <c r="U8043" s="4"/>
      <c r="V8043" s="4"/>
      <c r="X8043" s="4"/>
      <c r="Y8043" s="4"/>
    </row>
    <row r="8044" spans="20:25" x14ac:dyDescent="0.25">
      <c r="T8044" s="10"/>
      <c r="U8044" s="4"/>
      <c r="V8044" s="4"/>
      <c r="X8044" s="4"/>
      <c r="Y8044" s="4"/>
    </row>
    <row r="8045" spans="20:25" x14ac:dyDescent="0.25">
      <c r="T8045" s="10"/>
      <c r="U8045" s="4"/>
      <c r="V8045" s="4"/>
      <c r="X8045" s="4"/>
      <c r="Y8045" s="4"/>
    </row>
    <row r="8046" spans="20:25" x14ac:dyDescent="0.25">
      <c r="T8046" s="10"/>
      <c r="U8046" s="4"/>
      <c r="V8046" s="4"/>
      <c r="X8046" s="4"/>
      <c r="Y8046" s="4"/>
    </row>
    <row r="8047" spans="20:25" x14ac:dyDescent="0.25">
      <c r="T8047" s="10"/>
      <c r="U8047" s="4"/>
      <c r="V8047" s="4"/>
      <c r="X8047" s="4"/>
      <c r="Y8047" s="4"/>
    </row>
    <row r="8048" spans="20:25" x14ac:dyDescent="0.25">
      <c r="T8048" s="10"/>
      <c r="U8048" s="4"/>
      <c r="V8048" s="4"/>
      <c r="X8048" s="4"/>
      <c r="Y8048" s="4"/>
    </row>
    <row r="8049" spans="20:25" x14ac:dyDescent="0.25">
      <c r="T8049" s="10"/>
      <c r="U8049" s="4"/>
      <c r="V8049" s="4"/>
      <c r="X8049" s="4"/>
      <c r="Y8049" s="4"/>
    </row>
    <row r="8050" spans="20:25" x14ac:dyDescent="0.25">
      <c r="T8050" s="10"/>
      <c r="U8050" s="4"/>
      <c r="V8050" s="4"/>
      <c r="X8050" s="4"/>
      <c r="Y8050" s="4"/>
    </row>
    <row r="8051" spans="20:25" x14ac:dyDescent="0.25">
      <c r="T8051" s="10"/>
      <c r="U8051" s="4"/>
      <c r="V8051" s="4"/>
      <c r="X8051" s="4"/>
      <c r="Y8051" s="4"/>
    </row>
    <row r="8052" spans="20:25" x14ac:dyDescent="0.25">
      <c r="T8052" s="10"/>
      <c r="U8052" s="4"/>
      <c r="V8052" s="4"/>
      <c r="X8052" s="4"/>
      <c r="Y8052" s="4"/>
    </row>
    <row r="8053" spans="20:25" x14ac:dyDescent="0.25">
      <c r="T8053" s="10"/>
      <c r="U8053" s="4"/>
      <c r="V8053" s="4"/>
      <c r="X8053" s="4"/>
      <c r="Y8053" s="4"/>
    </row>
    <row r="8054" spans="20:25" x14ac:dyDescent="0.25">
      <c r="T8054" s="10"/>
      <c r="U8054" s="4"/>
      <c r="V8054" s="4"/>
      <c r="X8054" s="4"/>
      <c r="Y8054" s="4"/>
    </row>
    <row r="8055" spans="20:25" x14ac:dyDescent="0.25">
      <c r="T8055" s="10"/>
      <c r="U8055" s="4"/>
      <c r="V8055" s="4"/>
      <c r="X8055" s="4"/>
      <c r="Y8055" s="4"/>
    </row>
    <row r="8056" spans="20:25" x14ac:dyDescent="0.25">
      <c r="T8056" s="10"/>
      <c r="U8056" s="4"/>
      <c r="V8056" s="4"/>
      <c r="X8056" s="4"/>
      <c r="Y8056" s="4"/>
    </row>
    <row r="8057" spans="20:25" x14ac:dyDescent="0.25">
      <c r="T8057" s="10"/>
      <c r="U8057" s="4"/>
      <c r="V8057" s="4"/>
      <c r="X8057" s="4"/>
      <c r="Y8057" s="4"/>
    </row>
    <row r="8058" spans="20:25" x14ac:dyDescent="0.25">
      <c r="T8058" s="10"/>
      <c r="U8058" s="4"/>
      <c r="V8058" s="4"/>
      <c r="X8058" s="4"/>
      <c r="Y8058" s="4"/>
    </row>
    <row r="8059" spans="20:25" x14ac:dyDescent="0.25">
      <c r="T8059" s="10"/>
      <c r="U8059" s="4"/>
      <c r="V8059" s="4"/>
      <c r="X8059" s="4"/>
      <c r="Y8059" s="4"/>
    </row>
    <row r="8060" spans="20:25" x14ac:dyDescent="0.25">
      <c r="T8060" s="10"/>
      <c r="U8060" s="4"/>
      <c r="V8060" s="4"/>
      <c r="X8060" s="4"/>
      <c r="Y8060" s="4"/>
    </row>
    <row r="8061" spans="20:25" x14ac:dyDescent="0.25">
      <c r="T8061" s="10"/>
      <c r="U8061" s="4"/>
      <c r="V8061" s="4"/>
      <c r="X8061" s="4"/>
      <c r="Y8061" s="4"/>
    </row>
    <row r="8062" spans="20:25" x14ac:dyDescent="0.25">
      <c r="T8062" s="10"/>
      <c r="U8062" s="4"/>
      <c r="V8062" s="4"/>
      <c r="X8062" s="4"/>
      <c r="Y8062" s="4"/>
    </row>
    <row r="8063" spans="20:25" x14ac:dyDescent="0.25">
      <c r="T8063" s="10"/>
      <c r="U8063" s="4"/>
      <c r="V8063" s="4"/>
      <c r="X8063" s="4"/>
      <c r="Y8063" s="4"/>
    </row>
    <row r="8064" spans="20:25" x14ac:dyDescent="0.25">
      <c r="T8064" s="10"/>
      <c r="U8064" s="4"/>
      <c r="V8064" s="4"/>
      <c r="X8064" s="4"/>
      <c r="Y8064" s="4"/>
    </row>
    <row r="8065" spans="20:25" x14ac:dyDescent="0.25">
      <c r="T8065" s="10"/>
      <c r="U8065" s="4"/>
      <c r="V8065" s="4"/>
      <c r="X8065" s="4"/>
      <c r="Y8065" s="4"/>
    </row>
    <row r="8066" spans="20:25" x14ac:dyDescent="0.25">
      <c r="T8066" s="10"/>
      <c r="U8066" s="4"/>
      <c r="V8066" s="4"/>
      <c r="X8066" s="4"/>
      <c r="Y8066" s="4"/>
    </row>
    <row r="8067" spans="20:25" x14ac:dyDescent="0.25">
      <c r="T8067" s="10"/>
      <c r="U8067" s="4"/>
      <c r="V8067" s="4"/>
      <c r="X8067" s="4"/>
      <c r="Y8067" s="4"/>
    </row>
    <row r="8068" spans="20:25" x14ac:dyDescent="0.25">
      <c r="T8068" s="10"/>
      <c r="U8068" s="4"/>
      <c r="V8068" s="4"/>
      <c r="X8068" s="4"/>
      <c r="Y8068" s="4"/>
    </row>
    <row r="8069" spans="20:25" x14ac:dyDescent="0.25">
      <c r="T8069" s="10"/>
      <c r="U8069" s="4"/>
      <c r="V8069" s="4"/>
      <c r="X8069" s="4"/>
      <c r="Y8069" s="4"/>
    </row>
    <row r="8070" spans="20:25" x14ac:dyDescent="0.25">
      <c r="T8070" s="10"/>
      <c r="U8070" s="4"/>
      <c r="V8070" s="4"/>
      <c r="X8070" s="4"/>
      <c r="Y8070" s="4"/>
    </row>
    <row r="8071" spans="20:25" x14ac:dyDescent="0.25">
      <c r="T8071" s="10"/>
      <c r="U8071" s="4"/>
      <c r="V8071" s="4"/>
      <c r="X8071" s="4"/>
      <c r="Y8071" s="4"/>
    </row>
    <row r="8072" spans="20:25" x14ac:dyDescent="0.25">
      <c r="T8072" s="10"/>
      <c r="U8072" s="4"/>
      <c r="V8072" s="4"/>
      <c r="X8072" s="4"/>
      <c r="Y8072" s="4"/>
    </row>
    <row r="8073" spans="20:25" x14ac:dyDescent="0.25">
      <c r="T8073" s="10"/>
      <c r="U8073" s="4"/>
      <c r="V8073" s="4"/>
      <c r="X8073" s="4"/>
      <c r="Y8073" s="4"/>
    </row>
    <row r="8074" spans="20:25" x14ac:dyDescent="0.25">
      <c r="T8074" s="10"/>
      <c r="U8074" s="4"/>
      <c r="V8074" s="4"/>
      <c r="X8074" s="4"/>
      <c r="Y8074" s="4"/>
    </row>
    <row r="8075" spans="20:25" x14ac:dyDescent="0.25">
      <c r="T8075" s="10"/>
      <c r="U8075" s="4"/>
      <c r="V8075" s="4"/>
      <c r="X8075" s="4"/>
      <c r="Y8075" s="4"/>
    </row>
    <row r="8076" spans="20:25" x14ac:dyDescent="0.25">
      <c r="T8076" s="10"/>
      <c r="U8076" s="4"/>
      <c r="V8076" s="4"/>
      <c r="X8076" s="4"/>
      <c r="Y8076" s="4"/>
    </row>
    <row r="8077" spans="20:25" x14ac:dyDescent="0.25">
      <c r="T8077" s="10"/>
      <c r="U8077" s="4"/>
      <c r="V8077" s="4"/>
      <c r="X8077" s="4"/>
      <c r="Y8077" s="4"/>
    </row>
    <row r="8078" spans="20:25" x14ac:dyDescent="0.25">
      <c r="T8078" s="10"/>
      <c r="U8078" s="4"/>
      <c r="V8078" s="4"/>
      <c r="X8078" s="4"/>
      <c r="Y8078" s="4"/>
    </row>
    <row r="8079" spans="20:25" x14ac:dyDescent="0.25">
      <c r="T8079" s="10"/>
      <c r="U8079" s="4"/>
      <c r="V8079" s="4"/>
      <c r="X8079" s="4"/>
      <c r="Y8079" s="4"/>
    </row>
    <row r="8080" spans="20:25" x14ac:dyDescent="0.25">
      <c r="T8080" s="10"/>
      <c r="U8080" s="4"/>
      <c r="V8080" s="4"/>
      <c r="X8080" s="4"/>
      <c r="Y8080" s="4"/>
    </row>
    <row r="8081" spans="20:25" x14ac:dyDescent="0.25">
      <c r="T8081" s="10"/>
      <c r="U8081" s="4"/>
      <c r="V8081" s="4"/>
      <c r="X8081" s="4"/>
      <c r="Y8081" s="4"/>
    </row>
    <row r="8082" spans="20:25" x14ac:dyDescent="0.25">
      <c r="T8082" s="10"/>
      <c r="U8082" s="4"/>
      <c r="V8082" s="4"/>
      <c r="X8082" s="4"/>
      <c r="Y8082" s="4"/>
    </row>
    <row r="8083" spans="20:25" x14ac:dyDescent="0.25">
      <c r="T8083" s="10"/>
      <c r="U8083" s="4"/>
      <c r="V8083" s="4"/>
      <c r="X8083" s="4"/>
      <c r="Y8083" s="4"/>
    </row>
    <row r="8084" spans="20:25" x14ac:dyDescent="0.25">
      <c r="T8084" s="10"/>
      <c r="U8084" s="4"/>
      <c r="V8084" s="4"/>
      <c r="X8084" s="4"/>
      <c r="Y8084" s="4"/>
    </row>
    <row r="8085" spans="20:25" x14ac:dyDescent="0.25">
      <c r="T8085" s="10"/>
      <c r="U8085" s="4"/>
      <c r="V8085" s="4"/>
      <c r="X8085" s="4"/>
      <c r="Y8085" s="4"/>
    </row>
    <row r="8086" spans="20:25" x14ac:dyDescent="0.25">
      <c r="T8086" s="10"/>
      <c r="U8086" s="4"/>
      <c r="V8086" s="4"/>
      <c r="X8086" s="4"/>
      <c r="Y8086" s="4"/>
    </row>
    <row r="8087" spans="20:25" x14ac:dyDescent="0.25">
      <c r="T8087" s="10"/>
      <c r="U8087" s="4"/>
      <c r="V8087" s="4"/>
      <c r="X8087" s="4"/>
      <c r="Y8087" s="4"/>
    </row>
    <row r="8088" spans="20:25" x14ac:dyDescent="0.25">
      <c r="T8088" s="10"/>
      <c r="U8088" s="4"/>
      <c r="V8088" s="4"/>
      <c r="X8088" s="4"/>
      <c r="Y8088" s="4"/>
    </row>
    <row r="8089" spans="20:25" x14ac:dyDescent="0.25">
      <c r="T8089" s="10"/>
      <c r="U8089" s="4"/>
      <c r="V8089" s="4"/>
      <c r="X8089" s="4"/>
      <c r="Y8089" s="4"/>
    </row>
    <row r="8090" spans="20:25" x14ac:dyDescent="0.25">
      <c r="T8090" s="10"/>
      <c r="U8090" s="4"/>
      <c r="V8090" s="4"/>
      <c r="X8090" s="4"/>
      <c r="Y8090" s="4"/>
    </row>
    <row r="8091" spans="20:25" x14ac:dyDescent="0.25">
      <c r="T8091" s="10"/>
      <c r="U8091" s="4"/>
      <c r="V8091" s="4"/>
      <c r="X8091" s="4"/>
      <c r="Y8091" s="4"/>
    </row>
    <row r="8092" spans="20:25" x14ac:dyDescent="0.25">
      <c r="T8092" s="10"/>
      <c r="U8092" s="4"/>
      <c r="V8092" s="4"/>
      <c r="X8092" s="4"/>
      <c r="Y8092" s="4"/>
    </row>
    <row r="8093" spans="20:25" x14ac:dyDescent="0.25">
      <c r="T8093" s="10"/>
      <c r="U8093" s="4"/>
      <c r="V8093" s="4"/>
      <c r="X8093" s="4"/>
      <c r="Y8093" s="4"/>
    </row>
    <row r="8094" spans="20:25" x14ac:dyDescent="0.25">
      <c r="T8094" s="10"/>
      <c r="U8094" s="4"/>
      <c r="V8094" s="4"/>
      <c r="X8094" s="4"/>
      <c r="Y8094" s="4"/>
    </row>
    <row r="8095" spans="20:25" x14ac:dyDescent="0.25">
      <c r="T8095" s="10"/>
      <c r="U8095" s="4"/>
      <c r="V8095" s="4"/>
      <c r="X8095" s="4"/>
      <c r="Y8095" s="4"/>
    </row>
    <row r="8096" spans="20:25" x14ac:dyDescent="0.25">
      <c r="T8096" s="10"/>
      <c r="U8096" s="4"/>
      <c r="V8096" s="4"/>
      <c r="X8096" s="4"/>
      <c r="Y8096" s="4"/>
    </row>
    <row r="8097" spans="20:25" x14ac:dyDescent="0.25">
      <c r="T8097" s="10"/>
      <c r="U8097" s="4"/>
      <c r="V8097" s="4"/>
      <c r="X8097" s="4"/>
      <c r="Y8097" s="4"/>
    </row>
    <row r="8098" spans="20:25" x14ac:dyDescent="0.25">
      <c r="T8098" s="10"/>
      <c r="U8098" s="4"/>
      <c r="V8098" s="4"/>
      <c r="X8098" s="4"/>
      <c r="Y8098" s="4"/>
    </row>
    <row r="8099" spans="20:25" x14ac:dyDescent="0.25">
      <c r="T8099" s="10"/>
      <c r="U8099" s="4"/>
      <c r="V8099" s="4"/>
      <c r="X8099" s="4"/>
      <c r="Y8099" s="4"/>
    </row>
    <row r="8100" spans="20:25" x14ac:dyDescent="0.25">
      <c r="T8100" s="10"/>
      <c r="U8100" s="4"/>
      <c r="V8100" s="4"/>
      <c r="X8100" s="4"/>
      <c r="Y8100" s="4"/>
    </row>
    <row r="8101" spans="20:25" x14ac:dyDescent="0.25">
      <c r="T8101" s="10"/>
      <c r="U8101" s="4"/>
      <c r="V8101" s="4"/>
      <c r="X8101" s="4"/>
      <c r="Y8101" s="4"/>
    </row>
    <row r="8102" spans="20:25" x14ac:dyDescent="0.25">
      <c r="T8102" s="10"/>
      <c r="U8102" s="4"/>
      <c r="V8102" s="4"/>
      <c r="X8102" s="4"/>
      <c r="Y8102" s="4"/>
    </row>
    <row r="8103" spans="20:25" x14ac:dyDescent="0.25">
      <c r="T8103" s="10"/>
      <c r="U8103" s="4"/>
      <c r="V8103" s="4"/>
      <c r="X8103" s="4"/>
      <c r="Y8103" s="4"/>
    </row>
    <row r="8104" spans="20:25" x14ac:dyDescent="0.25">
      <c r="T8104" s="10"/>
      <c r="U8104" s="4"/>
      <c r="V8104" s="4"/>
      <c r="X8104" s="4"/>
      <c r="Y8104" s="4"/>
    </row>
    <row r="8105" spans="20:25" x14ac:dyDescent="0.25">
      <c r="T8105" s="10"/>
      <c r="U8105" s="4"/>
      <c r="V8105" s="4"/>
      <c r="X8105" s="4"/>
      <c r="Y8105" s="4"/>
    </row>
    <row r="8106" spans="20:25" x14ac:dyDescent="0.25">
      <c r="T8106" s="10"/>
      <c r="U8106" s="4"/>
      <c r="V8106" s="4"/>
      <c r="X8106" s="4"/>
      <c r="Y8106" s="4"/>
    </row>
    <row r="8107" spans="20:25" x14ac:dyDescent="0.25">
      <c r="T8107" s="10"/>
      <c r="U8107" s="4"/>
      <c r="V8107" s="4"/>
      <c r="X8107" s="4"/>
      <c r="Y8107" s="4"/>
    </row>
    <row r="8108" spans="20:25" x14ac:dyDescent="0.25">
      <c r="T8108" s="10"/>
      <c r="U8108" s="4"/>
      <c r="V8108" s="4"/>
      <c r="X8108" s="4"/>
      <c r="Y8108" s="4"/>
    </row>
    <row r="8109" spans="20:25" x14ac:dyDescent="0.25">
      <c r="T8109" s="10"/>
      <c r="U8109" s="4"/>
      <c r="V8109" s="4"/>
      <c r="X8109" s="4"/>
      <c r="Y8109" s="4"/>
    </row>
    <row r="8110" spans="20:25" x14ac:dyDescent="0.25">
      <c r="T8110" s="10"/>
      <c r="U8110" s="4"/>
      <c r="V8110" s="4"/>
      <c r="X8110" s="4"/>
      <c r="Y8110" s="4"/>
    </row>
    <row r="8111" spans="20:25" x14ac:dyDescent="0.25">
      <c r="T8111" s="10"/>
      <c r="U8111" s="4"/>
      <c r="V8111" s="4"/>
      <c r="X8111" s="4"/>
      <c r="Y8111" s="4"/>
    </row>
    <row r="8112" spans="20:25" x14ac:dyDescent="0.25">
      <c r="T8112" s="10"/>
      <c r="U8112" s="4"/>
      <c r="V8112" s="4"/>
      <c r="X8112" s="4"/>
      <c r="Y8112" s="4"/>
    </row>
    <row r="8113" spans="20:25" x14ac:dyDescent="0.25">
      <c r="T8113" s="10"/>
      <c r="U8113" s="4"/>
      <c r="V8113" s="4"/>
      <c r="X8113" s="4"/>
      <c r="Y8113" s="4"/>
    </row>
    <row r="8114" spans="20:25" x14ac:dyDescent="0.25">
      <c r="T8114" s="10"/>
      <c r="U8114" s="4"/>
      <c r="V8114" s="4"/>
      <c r="X8114" s="4"/>
      <c r="Y8114" s="4"/>
    </row>
    <row r="8115" spans="20:25" x14ac:dyDescent="0.25">
      <c r="T8115" s="10"/>
      <c r="U8115" s="4"/>
      <c r="V8115" s="4"/>
      <c r="X8115" s="4"/>
      <c r="Y8115" s="4"/>
    </row>
    <row r="8116" spans="20:25" x14ac:dyDescent="0.25">
      <c r="T8116" s="10"/>
      <c r="U8116" s="4"/>
      <c r="V8116" s="4"/>
      <c r="X8116" s="4"/>
      <c r="Y8116" s="4"/>
    </row>
    <row r="8117" spans="20:25" x14ac:dyDescent="0.25">
      <c r="T8117" s="10"/>
      <c r="U8117" s="4"/>
      <c r="V8117" s="4"/>
      <c r="X8117" s="4"/>
      <c r="Y8117" s="4"/>
    </row>
    <row r="8118" spans="20:25" x14ac:dyDescent="0.25">
      <c r="T8118" s="10"/>
      <c r="U8118" s="4"/>
      <c r="V8118" s="4"/>
      <c r="X8118" s="4"/>
      <c r="Y8118" s="4"/>
    </row>
    <row r="8119" spans="20:25" x14ac:dyDescent="0.25">
      <c r="T8119" s="10"/>
      <c r="U8119" s="4"/>
      <c r="V8119" s="4"/>
      <c r="X8119" s="4"/>
      <c r="Y8119" s="4"/>
    </row>
    <row r="8120" spans="20:25" x14ac:dyDescent="0.25">
      <c r="T8120" s="10"/>
      <c r="U8120" s="4"/>
      <c r="V8120" s="4"/>
      <c r="X8120" s="4"/>
      <c r="Y8120" s="4"/>
    </row>
    <row r="8121" spans="20:25" x14ac:dyDescent="0.25">
      <c r="T8121" s="10"/>
      <c r="U8121" s="4"/>
      <c r="V8121" s="4"/>
      <c r="X8121" s="4"/>
      <c r="Y8121" s="4"/>
    </row>
    <row r="8122" spans="20:25" x14ac:dyDescent="0.25">
      <c r="T8122" s="10"/>
      <c r="U8122" s="4"/>
      <c r="V8122" s="4"/>
      <c r="X8122" s="4"/>
      <c r="Y8122" s="4"/>
    </row>
    <row r="8123" spans="20:25" x14ac:dyDescent="0.25">
      <c r="T8123" s="10"/>
      <c r="U8123" s="4"/>
      <c r="V8123" s="4"/>
      <c r="X8123" s="4"/>
      <c r="Y8123" s="4"/>
    </row>
    <row r="8124" spans="20:25" x14ac:dyDescent="0.25">
      <c r="T8124" s="10"/>
      <c r="U8124" s="4"/>
      <c r="V8124" s="4"/>
      <c r="X8124" s="4"/>
      <c r="Y8124" s="4"/>
    </row>
    <row r="8125" spans="20:25" x14ac:dyDescent="0.25">
      <c r="T8125" s="10"/>
      <c r="U8125" s="4"/>
      <c r="V8125" s="4"/>
      <c r="X8125" s="4"/>
      <c r="Y8125" s="4"/>
    </row>
    <row r="8126" spans="20:25" x14ac:dyDescent="0.25">
      <c r="T8126" s="10"/>
      <c r="U8126" s="4"/>
      <c r="V8126" s="4"/>
      <c r="X8126" s="4"/>
      <c r="Y8126" s="4"/>
    </row>
    <row r="8127" spans="20:25" x14ac:dyDescent="0.25">
      <c r="T8127" s="10"/>
      <c r="U8127" s="4"/>
      <c r="V8127" s="4"/>
      <c r="X8127" s="4"/>
      <c r="Y8127" s="4"/>
    </row>
    <row r="8128" spans="20:25" x14ac:dyDescent="0.25">
      <c r="T8128" s="10"/>
      <c r="U8128" s="4"/>
      <c r="V8128" s="4"/>
      <c r="X8128" s="4"/>
      <c r="Y8128" s="4"/>
    </row>
    <row r="8129" spans="20:25" x14ac:dyDescent="0.25">
      <c r="T8129" s="10"/>
      <c r="U8129" s="4"/>
      <c r="V8129" s="4"/>
      <c r="X8129" s="4"/>
      <c r="Y8129" s="4"/>
    </row>
    <row r="8130" spans="20:25" x14ac:dyDescent="0.25">
      <c r="T8130" s="10"/>
      <c r="U8130" s="4"/>
      <c r="V8130" s="4"/>
      <c r="X8130" s="4"/>
      <c r="Y8130" s="4"/>
    </row>
    <row r="8131" spans="20:25" x14ac:dyDescent="0.25">
      <c r="T8131" s="10"/>
      <c r="U8131" s="4"/>
      <c r="V8131" s="4"/>
      <c r="X8131" s="4"/>
      <c r="Y8131" s="4"/>
    </row>
    <row r="8132" spans="20:25" x14ac:dyDescent="0.25">
      <c r="T8132" s="10"/>
      <c r="U8132" s="4"/>
      <c r="V8132" s="4"/>
      <c r="X8132" s="4"/>
      <c r="Y8132" s="4"/>
    </row>
    <row r="8133" spans="20:25" x14ac:dyDescent="0.25">
      <c r="T8133" s="10"/>
      <c r="U8133" s="4"/>
      <c r="V8133" s="4"/>
      <c r="X8133" s="4"/>
      <c r="Y8133" s="4"/>
    </row>
    <row r="8134" spans="20:25" x14ac:dyDescent="0.25">
      <c r="T8134" s="10"/>
      <c r="U8134" s="4"/>
      <c r="V8134" s="4"/>
      <c r="X8134" s="4"/>
      <c r="Y8134" s="4"/>
    </row>
    <row r="8135" spans="20:25" x14ac:dyDescent="0.25">
      <c r="T8135" s="10"/>
      <c r="U8135" s="4"/>
      <c r="V8135" s="4"/>
      <c r="X8135" s="4"/>
      <c r="Y8135" s="4"/>
    </row>
    <row r="8136" spans="20:25" x14ac:dyDescent="0.25">
      <c r="T8136" s="10"/>
      <c r="U8136" s="4"/>
      <c r="V8136" s="4"/>
      <c r="X8136" s="4"/>
      <c r="Y8136" s="4"/>
    </row>
    <row r="8137" spans="20:25" x14ac:dyDescent="0.25">
      <c r="T8137" s="10"/>
      <c r="U8137" s="4"/>
      <c r="V8137" s="4"/>
      <c r="X8137" s="4"/>
      <c r="Y8137" s="4"/>
    </row>
    <row r="8138" spans="20:25" x14ac:dyDescent="0.25">
      <c r="T8138" s="10"/>
      <c r="U8138" s="4"/>
      <c r="V8138" s="4"/>
      <c r="X8138" s="4"/>
      <c r="Y8138" s="4"/>
    </row>
    <row r="8139" spans="20:25" x14ac:dyDescent="0.25">
      <c r="T8139" s="10"/>
      <c r="U8139" s="4"/>
      <c r="V8139" s="4"/>
      <c r="X8139" s="4"/>
      <c r="Y8139" s="4"/>
    </row>
    <row r="8140" spans="20:25" x14ac:dyDescent="0.25">
      <c r="T8140" s="10"/>
      <c r="U8140" s="4"/>
      <c r="V8140" s="4"/>
      <c r="X8140" s="4"/>
      <c r="Y8140" s="4"/>
    </row>
    <row r="8141" spans="20:25" x14ac:dyDescent="0.25">
      <c r="T8141" s="10"/>
      <c r="U8141" s="4"/>
      <c r="V8141" s="4"/>
      <c r="X8141" s="4"/>
      <c r="Y8141" s="4"/>
    </row>
    <row r="8142" spans="20:25" x14ac:dyDescent="0.25">
      <c r="T8142" s="10"/>
      <c r="U8142" s="4"/>
      <c r="V8142" s="4"/>
      <c r="X8142" s="4"/>
      <c r="Y8142" s="4"/>
    </row>
    <row r="8143" spans="20:25" x14ac:dyDescent="0.25">
      <c r="T8143" s="10"/>
      <c r="U8143" s="4"/>
      <c r="V8143" s="4"/>
      <c r="X8143" s="4"/>
      <c r="Y8143" s="4"/>
    </row>
    <row r="8144" spans="20:25" x14ac:dyDescent="0.25">
      <c r="T8144" s="10"/>
      <c r="U8144" s="4"/>
      <c r="V8144" s="4"/>
      <c r="X8144" s="4"/>
      <c r="Y8144" s="4"/>
    </row>
    <row r="8145" spans="20:25" x14ac:dyDescent="0.25">
      <c r="T8145" s="10"/>
      <c r="U8145" s="4"/>
      <c r="V8145" s="4"/>
      <c r="X8145" s="4"/>
      <c r="Y8145" s="4"/>
    </row>
    <row r="8146" spans="20:25" x14ac:dyDescent="0.25">
      <c r="T8146" s="10"/>
      <c r="U8146" s="4"/>
      <c r="V8146" s="4"/>
      <c r="X8146" s="4"/>
      <c r="Y8146" s="4"/>
    </row>
    <row r="8147" spans="20:25" x14ac:dyDescent="0.25">
      <c r="T8147" s="10"/>
      <c r="U8147" s="4"/>
      <c r="V8147" s="4"/>
      <c r="X8147" s="4"/>
      <c r="Y8147" s="4"/>
    </row>
    <row r="8148" spans="20:25" x14ac:dyDescent="0.25">
      <c r="T8148" s="10"/>
      <c r="U8148" s="4"/>
      <c r="V8148" s="4"/>
      <c r="X8148" s="4"/>
      <c r="Y8148" s="4"/>
    </row>
    <row r="8149" spans="20:25" x14ac:dyDescent="0.25">
      <c r="T8149" s="10"/>
      <c r="U8149" s="4"/>
      <c r="V8149" s="4"/>
      <c r="X8149" s="4"/>
      <c r="Y8149" s="4"/>
    </row>
    <row r="8150" spans="20:25" x14ac:dyDescent="0.25">
      <c r="T8150" s="10"/>
      <c r="U8150" s="4"/>
      <c r="V8150" s="4"/>
      <c r="X8150" s="4"/>
      <c r="Y8150" s="4"/>
    </row>
    <row r="8151" spans="20:25" x14ac:dyDescent="0.25">
      <c r="T8151" s="10"/>
      <c r="U8151" s="4"/>
      <c r="V8151" s="4"/>
      <c r="X8151" s="4"/>
      <c r="Y8151" s="4"/>
    </row>
    <row r="8152" spans="20:25" x14ac:dyDescent="0.25">
      <c r="T8152" s="10"/>
      <c r="U8152" s="4"/>
      <c r="V8152" s="4"/>
      <c r="X8152" s="4"/>
      <c r="Y8152" s="4"/>
    </row>
    <row r="8153" spans="20:25" x14ac:dyDescent="0.25">
      <c r="T8153" s="10"/>
      <c r="U8153" s="4"/>
      <c r="V8153" s="4"/>
      <c r="X8153" s="4"/>
      <c r="Y8153" s="4"/>
    </row>
    <row r="8154" spans="20:25" x14ac:dyDescent="0.25">
      <c r="T8154" s="10"/>
      <c r="U8154" s="4"/>
      <c r="V8154" s="4"/>
      <c r="X8154" s="4"/>
      <c r="Y8154" s="4"/>
    </row>
    <row r="8155" spans="20:25" x14ac:dyDescent="0.25">
      <c r="T8155" s="10"/>
      <c r="U8155" s="4"/>
      <c r="V8155" s="4"/>
      <c r="X8155" s="4"/>
      <c r="Y8155" s="4"/>
    </row>
    <row r="8156" spans="20:25" x14ac:dyDescent="0.25">
      <c r="T8156" s="10"/>
      <c r="U8156" s="4"/>
      <c r="V8156" s="4"/>
      <c r="X8156" s="4"/>
      <c r="Y8156" s="4"/>
    </row>
    <row r="8157" spans="20:25" x14ac:dyDescent="0.25">
      <c r="T8157" s="10"/>
      <c r="U8157" s="4"/>
      <c r="V8157" s="4"/>
      <c r="X8157" s="4"/>
      <c r="Y8157" s="4"/>
    </row>
    <row r="8158" spans="20:25" x14ac:dyDescent="0.25">
      <c r="T8158" s="10"/>
      <c r="U8158" s="4"/>
      <c r="V8158" s="4"/>
      <c r="X8158" s="4"/>
      <c r="Y8158" s="4"/>
    </row>
    <row r="8159" spans="20:25" x14ac:dyDescent="0.25">
      <c r="T8159" s="10"/>
      <c r="U8159" s="4"/>
      <c r="V8159" s="4"/>
      <c r="X8159" s="4"/>
      <c r="Y8159" s="4"/>
    </row>
    <row r="8160" spans="20:25" x14ac:dyDescent="0.25">
      <c r="T8160" s="10"/>
      <c r="U8160" s="4"/>
      <c r="V8160" s="4"/>
      <c r="X8160" s="4"/>
      <c r="Y8160" s="4"/>
    </row>
    <row r="8161" spans="20:25" x14ac:dyDescent="0.25">
      <c r="T8161" s="10"/>
      <c r="U8161" s="4"/>
      <c r="V8161" s="4"/>
      <c r="X8161" s="4"/>
      <c r="Y8161" s="4"/>
    </row>
    <row r="8162" spans="20:25" x14ac:dyDescent="0.25">
      <c r="T8162" s="10"/>
      <c r="U8162" s="4"/>
      <c r="V8162" s="4"/>
      <c r="X8162" s="4"/>
      <c r="Y8162" s="4"/>
    </row>
    <row r="8163" spans="20:25" x14ac:dyDescent="0.25">
      <c r="T8163" s="10"/>
      <c r="U8163" s="4"/>
      <c r="V8163" s="4"/>
      <c r="X8163" s="4"/>
      <c r="Y8163" s="4"/>
    </row>
    <row r="8164" spans="20:25" x14ac:dyDescent="0.25">
      <c r="T8164" s="10"/>
      <c r="U8164" s="4"/>
      <c r="V8164" s="4"/>
      <c r="X8164" s="4"/>
      <c r="Y8164" s="4"/>
    </row>
    <row r="8165" spans="20:25" x14ac:dyDescent="0.25">
      <c r="T8165" s="10"/>
      <c r="U8165" s="4"/>
      <c r="V8165" s="4"/>
      <c r="X8165" s="4"/>
      <c r="Y8165" s="4"/>
    </row>
    <row r="8166" spans="20:25" x14ac:dyDescent="0.25">
      <c r="T8166" s="10"/>
      <c r="U8166" s="4"/>
      <c r="V8166" s="4"/>
      <c r="X8166" s="4"/>
      <c r="Y8166" s="4"/>
    </row>
    <row r="8167" spans="20:25" x14ac:dyDescent="0.25">
      <c r="T8167" s="10"/>
      <c r="U8167" s="4"/>
      <c r="V8167" s="4"/>
      <c r="X8167" s="4"/>
      <c r="Y8167" s="4"/>
    </row>
    <row r="8168" spans="20:25" x14ac:dyDescent="0.25">
      <c r="T8168" s="10"/>
      <c r="U8168" s="4"/>
      <c r="V8168" s="4"/>
      <c r="X8168" s="4"/>
      <c r="Y8168" s="4"/>
    </row>
    <row r="8169" spans="20:25" x14ac:dyDescent="0.25">
      <c r="T8169" s="10"/>
      <c r="U8169" s="4"/>
      <c r="V8169" s="4"/>
      <c r="X8169" s="4"/>
      <c r="Y8169" s="4"/>
    </row>
    <row r="8170" spans="20:25" x14ac:dyDescent="0.25">
      <c r="T8170" s="10"/>
      <c r="U8170" s="4"/>
      <c r="V8170" s="4"/>
      <c r="X8170" s="4"/>
      <c r="Y8170" s="4"/>
    </row>
    <row r="8171" spans="20:25" x14ac:dyDescent="0.25">
      <c r="T8171" s="10"/>
      <c r="U8171" s="4"/>
      <c r="V8171" s="4"/>
      <c r="X8171" s="4"/>
      <c r="Y8171" s="4"/>
    </row>
    <row r="8172" spans="20:25" x14ac:dyDescent="0.25">
      <c r="T8172" s="10"/>
      <c r="U8172" s="4"/>
      <c r="V8172" s="4"/>
      <c r="X8172" s="4"/>
      <c r="Y8172" s="4"/>
    </row>
    <row r="8173" spans="20:25" x14ac:dyDescent="0.25">
      <c r="T8173" s="10"/>
      <c r="U8173" s="4"/>
      <c r="V8173" s="4"/>
      <c r="X8173" s="4"/>
      <c r="Y8173" s="4"/>
    </row>
    <row r="8174" spans="20:25" x14ac:dyDescent="0.25">
      <c r="T8174" s="10"/>
      <c r="U8174" s="4"/>
      <c r="V8174" s="4"/>
      <c r="X8174" s="4"/>
      <c r="Y8174" s="4"/>
    </row>
    <row r="8175" spans="20:25" x14ac:dyDescent="0.25">
      <c r="T8175" s="10"/>
      <c r="U8175" s="4"/>
      <c r="V8175" s="4"/>
      <c r="X8175" s="4"/>
      <c r="Y8175" s="4"/>
    </row>
    <row r="8176" spans="20:25" x14ac:dyDescent="0.25">
      <c r="T8176" s="10"/>
      <c r="U8176" s="4"/>
      <c r="V8176" s="4"/>
      <c r="X8176" s="4"/>
      <c r="Y8176" s="4"/>
    </row>
    <row r="8177" spans="20:25" x14ac:dyDescent="0.25">
      <c r="T8177" s="10"/>
      <c r="U8177" s="4"/>
      <c r="V8177" s="4"/>
      <c r="X8177" s="4"/>
      <c r="Y8177" s="4"/>
    </row>
    <row r="8178" spans="20:25" x14ac:dyDescent="0.25">
      <c r="T8178" s="10"/>
      <c r="U8178" s="4"/>
      <c r="V8178" s="4"/>
      <c r="X8178" s="4"/>
      <c r="Y8178" s="4"/>
    </row>
    <row r="8179" spans="20:25" x14ac:dyDescent="0.25">
      <c r="T8179" s="10"/>
      <c r="U8179" s="4"/>
      <c r="V8179" s="4"/>
      <c r="X8179" s="4"/>
      <c r="Y8179" s="4"/>
    </row>
    <row r="8180" spans="20:25" x14ac:dyDescent="0.25">
      <c r="T8180" s="10"/>
      <c r="U8180" s="4"/>
      <c r="V8180" s="4"/>
      <c r="X8180" s="4"/>
      <c r="Y8180" s="4"/>
    </row>
    <row r="8181" spans="20:25" x14ac:dyDescent="0.25">
      <c r="T8181" s="10"/>
      <c r="U8181" s="4"/>
      <c r="V8181" s="4"/>
      <c r="X8181" s="4"/>
      <c r="Y8181" s="4"/>
    </row>
    <row r="8182" spans="20:25" x14ac:dyDescent="0.25">
      <c r="T8182" s="10"/>
      <c r="U8182" s="4"/>
      <c r="V8182" s="4"/>
      <c r="X8182" s="4"/>
      <c r="Y8182" s="4"/>
    </row>
    <row r="8183" spans="20:25" x14ac:dyDescent="0.25">
      <c r="T8183" s="10"/>
      <c r="U8183" s="4"/>
      <c r="V8183" s="4"/>
      <c r="X8183" s="4"/>
      <c r="Y8183" s="4"/>
    </row>
    <row r="8184" spans="20:25" x14ac:dyDescent="0.25">
      <c r="T8184" s="10"/>
      <c r="U8184" s="4"/>
      <c r="V8184" s="4"/>
      <c r="X8184" s="4"/>
      <c r="Y8184" s="4"/>
    </row>
    <row r="8185" spans="20:25" x14ac:dyDescent="0.25">
      <c r="T8185" s="10"/>
      <c r="U8185" s="4"/>
      <c r="V8185" s="4"/>
      <c r="X8185" s="4"/>
      <c r="Y8185" s="4"/>
    </row>
    <row r="8186" spans="20:25" x14ac:dyDescent="0.25">
      <c r="T8186" s="10"/>
      <c r="U8186" s="4"/>
      <c r="V8186" s="4"/>
      <c r="X8186" s="4"/>
      <c r="Y8186" s="4"/>
    </row>
    <row r="8187" spans="20:25" x14ac:dyDescent="0.25">
      <c r="T8187" s="10"/>
      <c r="U8187" s="4"/>
      <c r="V8187" s="4"/>
      <c r="X8187" s="4"/>
      <c r="Y8187" s="4"/>
    </row>
    <row r="8188" spans="20:25" x14ac:dyDescent="0.25">
      <c r="T8188" s="10"/>
      <c r="U8188" s="4"/>
      <c r="V8188" s="4"/>
      <c r="X8188" s="4"/>
      <c r="Y8188" s="4"/>
    </row>
    <row r="8189" spans="20:25" x14ac:dyDescent="0.25">
      <c r="T8189" s="10"/>
      <c r="U8189" s="4"/>
      <c r="V8189" s="4"/>
      <c r="X8189" s="4"/>
      <c r="Y8189" s="4"/>
    </row>
    <row r="8190" spans="20:25" x14ac:dyDescent="0.25">
      <c r="T8190" s="10"/>
      <c r="U8190" s="4"/>
      <c r="V8190" s="4"/>
      <c r="X8190" s="4"/>
      <c r="Y8190" s="4"/>
    </row>
    <row r="8191" spans="20:25" x14ac:dyDescent="0.25">
      <c r="T8191" s="10"/>
      <c r="U8191" s="4"/>
      <c r="V8191" s="4"/>
      <c r="X8191" s="4"/>
      <c r="Y8191" s="4"/>
    </row>
    <row r="8192" spans="20:25" x14ac:dyDescent="0.25">
      <c r="T8192" s="10"/>
      <c r="U8192" s="4"/>
      <c r="V8192" s="4"/>
      <c r="X8192" s="4"/>
      <c r="Y8192" s="4"/>
    </row>
    <row r="8193" spans="20:25" x14ac:dyDescent="0.25">
      <c r="T8193" s="10"/>
      <c r="U8193" s="4"/>
      <c r="V8193" s="4"/>
      <c r="X8193" s="4"/>
      <c r="Y8193" s="4"/>
    </row>
    <row r="8194" spans="20:25" x14ac:dyDescent="0.25">
      <c r="T8194" s="10"/>
      <c r="U8194" s="4"/>
      <c r="V8194" s="4"/>
      <c r="X8194" s="4"/>
      <c r="Y8194" s="4"/>
    </row>
    <row r="8195" spans="20:25" x14ac:dyDescent="0.25">
      <c r="T8195" s="10"/>
      <c r="U8195" s="4"/>
      <c r="V8195" s="4"/>
      <c r="X8195" s="4"/>
      <c r="Y8195" s="4"/>
    </row>
    <row r="8196" spans="20:25" x14ac:dyDescent="0.25">
      <c r="T8196" s="10"/>
      <c r="U8196" s="4"/>
      <c r="V8196" s="4"/>
      <c r="X8196" s="4"/>
      <c r="Y8196" s="4"/>
    </row>
    <row r="8197" spans="20:25" x14ac:dyDescent="0.25">
      <c r="T8197" s="10"/>
      <c r="U8197" s="4"/>
      <c r="V8197" s="4"/>
      <c r="X8197" s="4"/>
      <c r="Y8197" s="4"/>
    </row>
    <row r="8198" spans="20:25" x14ac:dyDescent="0.25">
      <c r="T8198" s="10"/>
      <c r="U8198" s="4"/>
      <c r="V8198" s="4"/>
      <c r="X8198" s="4"/>
      <c r="Y8198" s="4"/>
    </row>
    <row r="8199" spans="20:25" x14ac:dyDescent="0.25">
      <c r="T8199" s="10"/>
      <c r="U8199" s="4"/>
      <c r="V8199" s="4"/>
      <c r="X8199" s="4"/>
      <c r="Y8199" s="4"/>
    </row>
    <row r="8200" spans="20:25" x14ac:dyDescent="0.25">
      <c r="T8200" s="10"/>
      <c r="U8200" s="4"/>
      <c r="V8200" s="4"/>
      <c r="X8200" s="4"/>
      <c r="Y8200" s="4"/>
    </row>
    <row r="8201" spans="20:25" x14ac:dyDescent="0.25">
      <c r="T8201" s="10"/>
      <c r="U8201" s="4"/>
      <c r="V8201" s="4"/>
      <c r="X8201" s="4"/>
      <c r="Y8201" s="4"/>
    </row>
    <row r="8202" spans="20:25" x14ac:dyDescent="0.25">
      <c r="T8202" s="10"/>
      <c r="U8202" s="4"/>
      <c r="V8202" s="4"/>
      <c r="X8202" s="4"/>
      <c r="Y8202" s="4"/>
    </row>
    <row r="8203" spans="20:25" x14ac:dyDescent="0.25">
      <c r="T8203" s="10"/>
      <c r="U8203" s="4"/>
      <c r="V8203" s="4"/>
      <c r="X8203" s="4"/>
      <c r="Y8203" s="4"/>
    </row>
    <row r="8204" spans="20:25" x14ac:dyDescent="0.25">
      <c r="T8204" s="10"/>
      <c r="U8204" s="4"/>
      <c r="V8204" s="4"/>
      <c r="X8204" s="4"/>
      <c r="Y8204" s="4"/>
    </row>
    <row r="8205" spans="20:25" x14ac:dyDescent="0.25">
      <c r="T8205" s="10"/>
      <c r="U8205" s="4"/>
      <c r="V8205" s="4"/>
      <c r="X8205" s="4"/>
      <c r="Y8205" s="4"/>
    </row>
    <row r="8206" spans="20:25" x14ac:dyDescent="0.25">
      <c r="T8206" s="10"/>
      <c r="U8206" s="4"/>
      <c r="V8206" s="4"/>
      <c r="X8206" s="4"/>
      <c r="Y8206" s="4"/>
    </row>
    <row r="8207" spans="20:25" x14ac:dyDescent="0.25">
      <c r="T8207" s="10"/>
      <c r="U8207" s="4"/>
      <c r="V8207" s="4"/>
      <c r="X8207" s="4"/>
      <c r="Y8207" s="4"/>
    </row>
    <row r="8208" spans="20:25" x14ac:dyDescent="0.25">
      <c r="T8208" s="10"/>
      <c r="U8208" s="4"/>
      <c r="V8208" s="4"/>
      <c r="X8208" s="4"/>
      <c r="Y8208" s="4"/>
    </row>
    <row r="8209" spans="20:25" x14ac:dyDescent="0.25">
      <c r="T8209" s="10"/>
      <c r="U8209" s="4"/>
      <c r="V8209" s="4"/>
      <c r="X8209" s="4"/>
      <c r="Y8209" s="4"/>
    </row>
    <row r="8210" spans="20:25" x14ac:dyDescent="0.25">
      <c r="T8210" s="10"/>
      <c r="U8210" s="4"/>
      <c r="V8210" s="4"/>
      <c r="X8210" s="4"/>
      <c r="Y8210" s="4"/>
    </row>
    <row r="8211" spans="20:25" x14ac:dyDescent="0.25">
      <c r="T8211" s="10"/>
      <c r="U8211" s="4"/>
      <c r="V8211" s="4"/>
      <c r="X8211" s="4"/>
      <c r="Y8211" s="4"/>
    </row>
    <row r="8212" spans="20:25" x14ac:dyDescent="0.25">
      <c r="T8212" s="10"/>
      <c r="U8212" s="4"/>
      <c r="V8212" s="4"/>
      <c r="X8212" s="4"/>
      <c r="Y8212" s="4"/>
    </row>
    <row r="8213" spans="20:25" x14ac:dyDescent="0.25">
      <c r="T8213" s="10"/>
      <c r="U8213" s="4"/>
      <c r="V8213" s="4"/>
      <c r="X8213" s="4"/>
      <c r="Y8213" s="4"/>
    </row>
    <row r="8214" spans="20:25" x14ac:dyDescent="0.25">
      <c r="T8214" s="10"/>
      <c r="U8214" s="4"/>
      <c r="V8214" s="4"/>
      <c r="X8214" s="4"/>
      <c r="Y8214" s="4"/>
    </row>
    <row r="8215" spans="20:25" x14ac:dyDescent="0.25">
      <c r="T8215" s="10"/>
      <c r="U8215" s="4"/>
      <c r="V8215" s="4"/>
      <c r="X8215" s="4"/>
      <c r="Y8215" s="4"/>
    </row>
    <row r="8216" spans="20:25" x14ac:dyDescent="0.25">
      <c r="T8216" s="10"/>
      <c r="U8216" s="4"/>
      <c r="V8216" s="4"/>
      <c r="X8216" s="4"/>
      <c r="Y8216" s="4"/>
    </row>
    <row r="8217" spans="20:25" x14ac:dyDescent="0.25">
      <c r="T8217" s="10"/>
      <c r="U8217" s="4"/>
      <c r="V8217" s="4"/>
      <c r="X8217" s="4"/>
      <c r="Y8217" s="4"/>
    </row>
    <row r="8218" spans="20:25" x14ac:dyDescent="0.25">
      <c r="T8218" s="10"/>
      <c r="U8218" s="4"/>
      <c r="V8218" s="4"/>
      <c r="X8218" s="4"/>
      <c r="Y8218" s="4"/>
    </row>
    <row r="8219" spans="20:25" x14ac:dyDescent="0.25">
      <c r="T8219" s="10"/>
      <c r="U8219" s="4"/>
      <c r="V8219" s="4"/>
      <c r="X8219" s="4"/>
      <c r="Y8219" s="4"/>
    </row>
    <row r="8220" spans="20:25" x14ac:dyDescent="0.25">
      <c r="T8220" s="10"/>
      <c r="U8220" s="4"/>
      <c r="V8220" s="4"/>
      <c r="X8220" s="4"/>
      <c r="Y8220" s="4"/>
    </row>
    <row r="8221" spans="20:25" x14ac:dyDescent="0.25">
      <c r="T8221" s="10"/>
      <c r="U8221" s="4"/>
      <c r="V8221" s="4"/>
      <c r="X8221" s="4"/>
      <c r="Y8221" s="4"/>
    </row>
    <row r="8222" spans="20:25" x14ac:dyDescent="0.25">
      <c r="T8222" s="10"/>
      <c r="U8222" s="4"/>
      <c r="V8222" s="4"/>
      <c r="X8222" s="4"/>
      <c r="Y8222" s="4"/>
    </row>
    <row r="8223" spans="20:25" x14ac:dyDescent="0.25">
      <c r="T8223" s="10"/>
      <c r="U8223" s="4"/>
      <c r="V8223" s="4"/>
      <c r="X8223" s="4"/>
      <c r="Y8223" s="4"/>
    </row>
    <row r="8224" spans="20:25" x14ac:dyDescent="0.25">
      <c r="T8224" s="10"/>
      <c r="U8224" s="4"/>
      <c r="V8224" s="4"/>
      <c r="X8224" s="4"/>
      <c r="Y8224" s="4"/>
    </row>
    <row r="8225" spans="20:25" x14ac:dyDescent="0.25">
      <c r="T8225" s="10"/>
      <c r="U8225" s="4"/>
      <c r="V8225" s="4"/>
      <c r="X8225" s="4"/>
      <c r="Y8225" s="4"/>
    </row>
    <row r="8226" spans="20:25" x14ac:dyDescent="0.25">
      <c r="T8226" s="10"/>
      <c r="U8226" s="4"/>
      <c r="V8226" s="4"/>
      <c r="X8226" s="4"/>
      <c r="Y8226" s="4"/>
    </row>
    <row r="8227" spans="20:25" x14ac:dyDescent="0.25">
      <c r="T8227" s="10"/>
      <c r="U8227" s="4"/>
      <c r="V8227" s="4"/>
      <c r="X8227" s="4"/>
      <c r="Y8227" s="4"/>
    </row>
    <row r="8228" spans="20:25" x14ac:dyDescent="0.25">
      <c r="T8228" s="10"/>
      <c r="U8228" s="4"/>
      <c r="V8228" s="4"/>
      <c r="X8228" s="4"/>
      <c r="Y8228" s="4"/>
    </row>
    <row r="8229" spans="20:25" x14ac:dyDescent="0.25">
      <c r="T8229" s="10"/>
      <c r="U8229" s="4"/>
      <c r="V8229" s="4"/>
      <c r="X8229" s="4"/>
      <c r="Y8229" s="4"/>
    </row>
    <row r="8230" spans="20:25" x14ac:dyDescent="0.25">
      <c r="T8230" s="10"/>
      <c r="U8230" s="4"/>
      <c r="V8230" s="4"/>
      <c r="X8230" s="4"/>
      <c r="Y8230" s="4"/>
    </row>
    <row r="8231" spans="20:25" x14ac:dyDescent="0.25">
      <c r="T8231" s="10"/>
      <c r="U8231" s="4"/>
      <c r="V8231" s="4"/>
      <c r="X8231" s="4"/>
      <c r="Y8231" s="4"/>
    </row>
    <row r="8232" spans="20:25" x14ac:dyDescent="0.25">
      <c r="T8232" s="10"/>
      <c r="U8232" s="4"/>
      <c r="V8232" s="4"/>
      <c r="X8232" s="4"/>
      <c r="Y8232" s="4"/>
    </row>
    <row r="8233" spans="20:25" x14ac:dyDescent="0.25">
      <c r="T8233" s="10"/>
      <c r="U8233" s="4"/>
      <c r="V8233" s="4"/>
      <c r="X8233" s="4"/>
      <c r="Y8233" s="4"/>
    </row>
    <row r="8234" spans="20:25" x14ac:dyDescent="0.25">
      <c r="T8234" s="10"/>
      <c r="U8234" s="4"/>
      <c r="V8234" s="4"/>
      <c r="X8234" s="4"/>
      <c r="Y8234" s="4"/>
    </row>
    <row r="8235" spans="20:25" x14ac:dyDescent="0.25">
      <c r="T8235" s="10"/>
      <c r="U8235" s="4"/>
      <c r="V8235" s="4"/>
      <c r="X8235" s="4"/>
      <c r="Y8235" s="4"/>
    </row>
    <row r="8236" spans="20:25" x14ac:dyDescent="0.25">
      <c r="T8236" s="10"/>
      <c r="U8236" s="4"/>
      <c r="V8236" s="4"/>
      <c r="X8236" s="4"/>
      <c r="Y8236" s="4"/>
    </row>
    <row r="8237" spans="20:25" x14ac:dyDescent="0.25">
      <c r="T8237" s="10"/>
      <c r="U8237" s="4"/>
      <c r="V8237" s="4"/>
      <c r="X8237" s="4"/>
      <c r="Y8237" s="4"/>
    </row>
    <row r="8238" spans="20:25" x14ac:dyDescent="0.25">
      <c r="T8238" s="10"/>
      <c r="U8238" s="4"/>
      <c r="V8238" s="4"/>
      <c r="X8238" s="4"/>
      <c r="Y8238" s="4"/>
    </row>
    <row r="8239" spans="20:25" x14ac:dyDescent="0.25">
      <c r="T8239" s="10"/>
      <c r="U8239" s="4"/>
      <c r="V8239" s="4"/>
      <c r="X8239" s="4"/>
      <c r="Y8239" s="4"/>
    </row>
    <row r="8240" spans="20:25" x14ac:dyDescent="0.25">
      <c r="T8240" s="10"/>
      <c r="U8240" s="4"/>
      <c r="V8240" s="4"/>
      <c r="X8240" s="4"/>
      <c r="Y8240" s="4"/>
    </row>
    <row r="8241" spans="20:25" x14ac:dyDescent="0.25">
      <c r="T8241" s="10"/>
      <c r="U8241" s="4"/>
      <c r="V8241" s="4"/>
      <c r="X8241" s="4"/>
      <c r="Y8241" s="4"/>
    </row>
    <row r="8242" spans="20:25" x14ac:dyDescent="0.25">
      <c r="T8242" s="10"/>
      <c r="U8242" s="4"/>
      <c r="V8242" s="4"/>
      <c r="X8242" s="4"/>
      <c r="Y8242" s="4"/>
    </row>
    <row r="8243" spans="20:25" x14ac:dyDescent="0.25">
      <c r="T8243" s="10"/>
      <c r="U8243" s="4"/>
      <c r="V8243" s="4"/>
      <c r="X8243" s="4"/>
      <c r="Y8243" s="4"/>
    </row>
    <row r="8244" spans="20:25" x14ac:dyDescent="0.25">
      <c r="T8244" s="10"/>
      <c r="U8244" s="4"/>
      <c r="V8244" s="4"/>
      <c r="X8244" s="4"/>
      <c r="Y8244" s="4"/>
    </row>
    <row r="8245" spans="20:25" x14ac:dyDescent="0.25">
      <c r="T8245" s="10"/>
      <c r="U8245" s="4"/>
      <c r="V8245" s="4"/>
      <c r="X8245" s="4"/>
      <c r="Y8245" s="4"/>
    </row>
    <row r="8246" spans="20:25" x14ac:dyDescent="0.25">
      <c r="T8246" s="10"/>
      <c r="U8246" s="4"/>
      <c r="V8246" s="4"/>
      <c r="X8246" s="4"/>
      <c r="Y8246" s="4"/>
    </row>
    <row r="8247" spans="20:25" x14ac:dyDescent="0.25">
      <c r="T8247" s="10"/>
      <c r="U8247" s="4"/>
      <c r="V8247" s="4"/>
      <c r="X8247" s="4"/>
      <c r="Y8247" s="4"/>
    </row>
    <row r="8248" spans="20:25" x14ac:dyDescent="0.25">
      <c r="T8248" s="10"/>
      <c r="U8248" s="4"/>
      <c r="V8248" s="4"/>
      <c r="X8248" s="4"/>
      <c r="Y8248" s="4"/>
    </row>
    <row r="8249" spans="20:25" x14ac:dyDescent="0.25">
      <c r="T8249" s="10"/>
      <c r="U8249" s="4"/>
      <c r="V8249" s="4"/>
      <c r="X8249" s="4"/>
      <c r="Y8249" s="4"/>
    </row>
    <row r="8250" spans="20:25" x14ac:dyDescent="0.25">
      <c r="T8250" s="10"/>
      <c r="U8250" s="4"/>
      <c r="V8250" s="4"/>
      <c r="X8250" s="4"/>
      <c r="Y8250" s="4"/>
    </row>
    <row r="8251" spans="20:25" x14ac:dyDescent="0.25">
      <c r="T8251" s="10"/>
      <c r="U8251" s="4"/>
      <c r="V8251" s="4"/>
      <c r="X8251" s="4"/>
      <c r="Y8251" s="4"/>
    </row>
    <row r="8252" spans="20:25" x14ac:dyDescent="0.25">
      <c r="T8252" s="10"/>
      <c r="U8252" s="4"/>
      <c r="V8252" s="4"/>
      <c r="X8252" s="4"/>
      <c r="Y8252" s="4"/>
    </row>
    <row r="8253" spans="20:25" x14ac:dyDescent="0.25">
      <c r="T8253" s="10"/>
      <c r="U8253" s="4"/>
      <c r="V8253" s="4"/>
      <c r="X8253" s="4"/>
      <c r="Y8253" s="4"/>
    </row>
    <row r="8254" spans="20:25" x14ac:dyDescent="0.25">
      <c r="T8254" s="10"/>
      <c r="U8254" s="4"/>
      <c r="V8254" s="4"/>
      <c r="X8254" s="4"/>
      <c r="Y8254" s="4"/>
    </row>
    <row r="8255" spans="20:25" x14ac:dyDescent="0.25">
      <c r="T8255" s="10"/>
      <c r="U8255" s="4"/>
      <c r="V8255" s="4"/>
      <c r="X8255" s="4"/>
      <c r="Y8255" s="4"/>
    </row>
    <row r="8256" spans="20:25" x14ac:dyDescent="0.25">
      <c r="T8256" s="10"/>
      <c r="U8256" s="4"/>
      <c r="V8256" s="4"/>
      <c r="X8256" s="4"/>
      <c r="Y8256" s="4"/>
    </row>
    <row r="8257" spans="20:25" x14ac:dyDescent="0.25">
      <c r="T8257" s="10"/>
      <c r="U8257" s="4"/>
      <c r="V8257" s="4"/>
      <c r="X8257" s="4"/>
      <c r="Y8257" s="4"/>
    </row>
    <row r="8258" spans="20:25" x14ac:dyDescent="0.25">
      <c r="T8258" s="10"/>
      <c r="U8258" s="4"/>
      <c r="V8258" s="4"/>
      <c r="X8258" s="4"/>
      <c r="Y8258" s="4"/>
    </row>
    <row r="8259" spans="20:25" x14ac:dyDescent="0.25">
      <c r="T8259" s="10"/>
      <c r="U8259" s="4"/>
      <c r="V8259" s="4"/>
      <c r="X8259" s="4"/>
      <c r="Y8259" s="4"/>
    </row>
    <row r="8260" spans="20:25" x14ac:dyDescent="0.25">
      <c r="T8260" s="10"/>
      <c r="U8260" s="4"/>
      <c r="V8260" s="4"/>
      <c r="X8260" s="4"/>
      <c r="Y8260" s="4"/>
    </row>
    <row r="8261" spans="20:25" x14ac:dyDescent="0.25">
      <c r="T8261" s="10"/>
      <c r="U8261" s="4"/>
      <c r="V8261" s="4"/>
      <c r="X8261" s="4"/>
      <c r="Y8261" s="4"/>
    </row>
    <row r="8262" spans="20:25" x14ac:dyDescent="0.25">
      <c r="T8262" s="10"/>
      <c r="U8262" s="4"/>
      <c r="V8262" s="4"/>
      <c r="X8262" s="4"/>
      <c r="Y8262" s="4"/>
    </row>
    <row r="8263" spans="20:25" x14ac:dyDescent="0.25">
      <c r="T8263" s="10"/>
      <c r="U8263" s="4"/>
      <c r="V8263" s="4"/>
      <c r="X8263" s="4"/>
      <c r="Y8263" s="4"/>
    </row>
    <row r="8264" spans="20:25" x14ac:dyDescent="0.25">
      <c r="T8264" s="10"/>
      <c r="U8264" s="4"/>
      <c r="V8264" s="4"/>
      <c r="X8264" s="4"/>
      <c r="Y8264" s="4"/>
    </row>
    <row r="8265" spans="20:25" x14ac:dyDescent="0.25">
      <c r="T8265" s="10"/>
      <c r="U8265" s="4"/>
      <c r="V8265" s="4"/>
      <c r="X8265" s="4"/>
      <c r="Y8265" s="4"/>
    </row>
    <row r="8266" spans="20:25" x14ac:dyDescent="0.25">
      <c r="T8266" s="10"/>
      <c r="U8266" s="4"/>
      <c r="V8266" s="4"/>
      <c r="X8266" s="4"/>
      <c r="Y8266" s="4"/>
    </row>
    <row r="8267" spans="20:25" x14ac:dyDescent="0.25">
      <c r="T8267" s="10"/>
      <c r="U8267" s="4"/>
      <c r="V8267" s="4"/>
      <c r="X8267" s="4"/>
      <c r="Y8267" s="4"/>
    </row>
    <row r="8268" spans="20:25" x14ac:dyDescent="0.25">
      <c r="T8268" s="10"/>
      <c r="U8268" s="4"/>
      <c r="V8268" s="4"/>
      <c r="X8268" s="4"/>
      <c r="Y8268" s="4"/>
    </row>
    <row r="8269" spans="20:25" x14ac:dyDescent="0.25">
      <c r="T8269" s="10"/>
      <c r="U8269" s="4"/>
      <c r="V8269" s="4"/>
      <c r="X8269" s="4"/>
      <c r="Y8269" s="4"/>
    </row>
    <row r="8270" spans="20:25" x14ac:dyDescent="0.25">
      <c r="T8270" s="10"/>
      <c r="U8270" s="4"/>
      <c r="V8270" s="4"/>
      <c r="X8270" s="4"/>
      <c r="Y8270" s="4"/>
    </row>
    <row r="8271" spans="20:25" x14ac:dyDescent="0.25">
      <c r="T8271" s="10"/>
      <c r="U8271" s="4"/>
      <c r="V8271" s="4"/>
      <c r="X8271" s="4"/>
      <c r="Y8271" s="4"/>
    </row>
    <row r="8272" spans="20:25" x14ac:dyDescent="0.25">
      <c r="T8272" s="10"/>
      <c r="U8272" s="4"/>
      <c r="V8272" s="4"/>
      <c r="X8272" s="4"/>
      <c r="Y8272" s="4"/>
    </row>
    <row r="8273" spans="20:25" x14ac:dyDescent="0.25">
      <c r="T8273" s="10"/>
      <c r="U8273" s="4"/>
      <c r="V8273" s="4"/>
      <c r="X8273" s="4"/>
      <c r="Y8273" s="4"/>
    </row>
    <row r="8274" spans="20:25" x14ac:dyDescent="0.25">
      <c r="T8274" s="10"/>
      <c r="U8274" s="4"/>
      <c r="V8274" s="4"/>
      <c r="X8274" s="4"/>
      <c r="Y8274" s="4"/>
    </row>
    <row r="8275" spans="20:25" x14ac:dyDescent="0.25">
      <c r="T8275" s="10"/>
      <c r="U8275" s="4"/>
      <c r="V8275" s="4"/>
      <c r="X8275" s="4"/>
      <c r="Y8275" s="4"/>
    </row>
    <row r="8276" spans="20:25" x14ac:dyDescent="0.25">
      <c r="T8276" s="10"/>
      <c r="U8276" s="4"/>
      <c r="V8276" s="4"/>
      <c r="X8276" s="4"/>
      <c r="Y8276" s="4"/>
    </row>
    <row r="8277" spans="20:25" x14ac:dyDescent="0.25">
      <c r="T8277" s="10"/>
      <c r="U8277" s="4"/>
      <c r="V8277" s="4"/>
      <c r="X8277" s="4"/>
      <c r="Y8277" s="4"/>
    </row>
    <row r="8278" spans="20:25" x14ac:dyDescent="0.25">
      <c r="T8278" s="10"/>
      <c r="U8278" s="4"/>
      <c r="V8278" s="4"/>
      <c r="X8278" s="4"/>
      <c r="Y8278" s="4"/>
    </row>
    <row r="8279" spans="20:25" x14ac:dyDescent="0.25">
      <c r="T8279" s="10"/>
      <c r="U8279" s="4"/>
      <c r="V8279" s="4"/>
      <c r="X8279" s="4"/>
      <c r="Y8279" s="4"/>
    </row>
    <row r="8280" spans="20:25" x14ac:dyDescent="0.25">
      <c r="T8280" s="10"/>
      <c r="U8280" s="4"/>
      <c r="V8280" s="4"/>
      <c r="X8280" s="4"/>
      <c r="Y8280" s="4"/>
    </row>
    <row r="8281" spans="20:25" x14ac:dyDescent="0.25">
      <c r="T8281" s="10"/>
      <c r="U8281" s="4"/>
      <c r="V8281" s="4"/>
      <c r="X8281" s="4"/>
      <c r="Y8281" s="4"/>
    </row>
    <row r="8282" spans="20:25" x14ac:dyDescent="0.25">
      <c r="T8282" s="10"/>
      <c r="U8282" s="4"/>
      <c r="V8282" s="4"/>
      <c r="X8282" s="4"/>
      <c r="Y8282" s="4"/>
    </row>
    <row r="8283" spans="20:25" x14ac:dyDescent="0.25">
      <c r="T8283" s="10"/>
      <c r="U8283" s="4"/>
      <c r="V8283" s="4"/>
      <c r="X8283" s="4"/>
      <c r="Y8283" s="4"/>
    </row>
    <row r="8284" spans="20:25" x14ac:dyDescent="0.25">
      <c r="T8284" s="10"/>
      <c r="U8284" s="4"/>
      <c r="V8284" s="4"/>
      <c r="X8284" s="4"/>
      <c r="Y8284" s="4"/>
    </row>
    <row r="8285" spans="20:25" x14ac:dyDescent="0.25">
      <c r="T8285" s="10"/>
      <c r="U8285" s="4"/>
      <c r="V8285" s="4"/>
      <c r="X8285" s="4"/>
      <c r="Y8285" s="4"/>
    </row>
    <row r="8286" spans="20:25" x14ac:dyDescent="0.25">
      <c r="T8286" s="10"/>
      <c r="U8286" s="4"/>
      <c r="V8286" s="4"/>
      <c r="X8286" s="4"/>
      <c r="Y8286" s="4"/>
    </row>
    <row r="8287" spans="20:25" x14ac:dyDescent="0.25">
      <c r="T8287" s="10"/>
      <c r="U8287" s="4"/>
      <c r="V8287" s="4"/>
      <c r="X8287" s="4"/>
      <c r="Y8287" s="4"/>
    </row>
    <row r="8288" spans="20:25" x14ac:dyDescent="0.25">
      <c r="T8288" s="10"/>
      <c r="U8288" s="4"/>
      <c r="V8288" s="4"/>
      <c r="X8288" s="4"/>
      <c r="Y8288" s="4"/>
    </row>
    <row r="8289" spans="20:25" x14ac:dyDescent="0.25">
      <c r="T8289" s="10"/>
      <c r="U8289" s="4"/>
      <c r="V8289" s="4"/>
      <c r="X8289" s="4"/>
      <c r="Y8289" s="4"/>
    </row>
    <row r="8290" spans="20:25" x14ac:dyDescent="0.25">
      <c r="T8290" s="10"/>
      <c r="U8290" s="4"/>
      <c r="V8290" s="4"/>
      <c r="X8290" s="4"/>
      <c r="Y8290" s="4"/>
    </row>
    <row r="8291" spans="20:25" x14ac:dyDescent="0.25">
      <c r="T8291" s="10"/>
      <c r="U8291" s="4"/>
      <c r="V8291" s="4"/>
      <c r="X8291" s="4"/>
      <c r="Y8291" s="4"/>
    </row>
    <row r="8292" spans="20:25" x14ac:dyDescent="0.25">
      <c r="T8292" s="10"/>
      <c r="U8292" s="4"/>
      <c r="V8292" s="4"/>
      <c r="X8292" s="4"/>
      <c r="Y8292" s="4"/>
    </row>
    <row r="8293" spans="20:25" x14ac:dyDescent="0.25">
      <c r="T8293" s="10"/>
      <c r="U8293" s="4"/>
      <c r="V8293" s="4"/>
      <c r="X8293" s="4"/>
      <c r="Y8293" s="4"/>
    </row>
    <row r="8294" spans="20:25" x14ac:dyDescent="0.25">
      <c r="T8294" s="10"/>
      <c r="U8294" s="4"/>
      <c r="V8294" s="4"/>
      <c r="X8294" s="4"/>
      <c r="Y8294" s="4"/>
    </row>
    <row r="8295" spans="20:25" x14ac:dyDescent="0.25">
      <c r="T8295" s="10"/>
      <c r="U8295" s="4"/>
      <c r="V8295" s="4"/>
      <c r="X8295" s="4"/>
      <c r="Y8295" s="4"/>
    </row>
    <row r="8296" spans="20:25" x14ac:dyDescent="0.25">
      <c r="T8296" s="10"/>
      <c r="U8296" s="4"/>
      <c r="V8296" s="4"/>
      <c r="X8296" s="4"/>
      <c r="Y8296" s="4"/>
    </row>
    <row r="8297" spans="20:25" x14ac:dyDescent="0.25">
      <c r="T8297" s="10"/>
      <c r="U8297" s="4"/>
      <c r="V8297" s="4"/>
      <c r="X8297" s="4"/>
      <c r="Y8297" s="4"/>
    </row>
    <row r="8298" spans="20:25" x14ac:dyDescent="0.25">
      <c r="T8298" s="10"/>
      <c r="U8298" s="4"/>
      <c r="V8298" s="4"/>
      <c r="X8298" s="4"/>
      <c r="Y8298" s="4"/>
    </row>
    <row r="8299" spans="20:25" x14ac:dyDescent="0.25">
      <c r="T8299" s="10"/>
      <c r="U8299" s="4"/>
      <c r="V8299" s="4"/>
      <c r="X8299" s="4"/>
      <c r="Y8299" s="4"/>
    </row>
    <row r="8300" spans="20:25" x14ac:dyDescent="0.25">
      <c r="T8300" s="10"/>
      <c r="U8300" s="4"/>
      <c r="V8300" s="4"/>
      <c r="X8300" s="4"/>
      <c r="Y8300" s="4"/>
    </row>
    <row r="8301" spans="20:25" x14ac:dyDescent="0.25">
      <c r="T8301" s="10"/>
      <c r="U8301" s="4"/>
      <c r="V8301" s="4"/>
      <c r="X8301" s="4"/>
      <c r="Y8301" s="4"/>
    </row>
    <row r="8302" spans="20:25" x14ac:dyDescent="0.25">
      <c r="T8302" s="10"/>
      <c r="U8302" s="4"/>
      <c r="V8302" s="4"/>
      <c r="X8302" s="4"/>
      <c r="Y8302" s="4"/>
    </row>
    <row r="8303" spans="20:25" x14ac:dyDescent="0.25">
      <c r="T8303" s="10"/>
      <c r="U8303" s="4"/>
      <c r="V8303" s="4"/>
      <c r="X8303" s="4"/>
      <c r="Y8303" s="4"/>
    </row>
    <row r="8304" spans="20:25" x14ac:dyDescent="0.25">
      <c r="T8304" s="10"/>
      <c r="U8304" s="4"/>
      <c r="V8304" s="4"/>
      <c r="X8304" s="4"/>
      <c r="Y8304" s="4"/>
    </row>
    <row r="8305" spans="20:25" x14ac:dyDescent="0.25">
      <c r="T8305" s="10"/>
      <c r="U8305" s="4"/>
      <c r="V8305" s="4"/>
      <c r="X8305" s="4"/>
      <c r="Y8305" s="4"/>
    </row>
    <row r="8306" spans="20:25" x14ac:dyDescent="0.25">
      <c r="T8306" s="10"/>
      <c r="U8306" s="4"/>
      <c r="V8306" s="4"/>
      <c r="X8306" s="4"/>
      <c r="Y8306" s="4"/>
    </row>
    <row r="8307" spans="20:25" x14ac:dyDescent="0.25">
      <c r="T8307" s="10"/>
      <c r="U8307" s="4"/>
      <c r="V8307" s="4"/>
      <c r="X8307" s="4"/>
      <c r="Y8307" s="4"/>
    </row>
    <row r="8308" spans="20:25" x14ac:dyDescent="0.25">
      <c r="T8308" s="10"/>
      <c r="U8308" s="4"/>
      <c r="V8308" s="4"/>
      <c r="X8308" s="4"/>
      <c r="Y8308" s="4"/>
    </row>
    <row r="8309" spans="20:25" x14ac:dyDescent="0.25">
      <c r="T8309" s="10"/>
      <c r="U8309" s="4"/>
      <c r="V8309" s="4"/>
      <c r="X8309" s="4"/>
      <c r="Y8309" s="4"/>
    </row>
    <row r="8310" spans="20:25" x14ac:dyDescent="0.25">
      <c r="T8310" s="10"/>
      <c r="U8310" s="4"/>
      <c r="V8310" s="4"/>
      <c r="X8310" s="4"/>
      <c r="Y8310" s="4"/>
    </row>
    <row r="8311" spans="20:25" x14ac:dyDescent="0.25">
      <c r="T8311" s="10"/>
      <c r="U8311" s="4"/>
      <c r="V8311" s="4"/>
      <c r="X8311" s="4"/>
      <c r="Y8311" s="4"/>
    </row>
    <row r="8312" spans="20:25" x14ac:dyDescent="0.25">
      <c r="T8312" s="10"/>
      <c r="U8312" s="4"/>
      <c r="V8312" s="4"/>
      <c r="X8312" s="4"/>
      <c r="Y8312" s="4"/>
    </row>
    <row r="8313" spans="20:25" x14ac:dyDescent="0.25">
      <c r="T8313" s="10"/>
      <c r="U8313" s="4"/>
      <c r="V8313" s="4"/>
      <c r="X8313" s="4"/>
      <c r="Y8313" s="4"/>
    </row>
    <row r="8314" spans="20:25" x14ac:dyDescent="0.25">
      <c r="T8314" s="10"/>
      <c r="U8314" s="4"/>
      <c r="V8314" s="4"/>
      <c r="X8314" s="4"/>
      <c r="Y8314" s="4"/>
    </row>
    <row r="8315" spans="20:25" x14ac:dyDescent="0.25">
      <c r="T8315" s="10"/>
      <c r="U8315" s="4"/>
      <c r="V8315" s="4"/>
      <c r="X8315" s="4"/>
      <c r="Y8315" s="4"/>
    </row>
    <row r="8316" spans="20:25" x14ac:dyDescent="0.25">
      <c r="T8316" s="10"/>
      <c r="U8316" s="4"/>
      <c r="V8316" s="4"/>
      <c r="X8316" s="4"/>
      <c r="Y8316" s="4"/>
    </row>
    <row r="8317" spans="20:25" x14ac:dyDescent="0.25">
      <c r="T8317" s="10"/>
      <c r="U8317" s="4"/>
      <c r="V8317" s="4"/>
      <c r="X8317" s="4"/>
      <c r="Y8317" s="4"/>
    </row>
    <row r="8318" spans="20:25" x14ac:dyDescent="0.25">
      <c r="T8318" s="10"/>
      <c r="U8318" s="4"/>
      <c r="V8318" s="4"/>
      <c r="X8318" s="4"/>
      <c r="Y8318" s="4"/>
    </row>
    <row r="8319" spans="20:25" x14ac:dyDescent="0.25">
      <c r="T8319" s="10"/>
      <c r="U8319" s="4"/>
      <c r="V8319" s="4"/>
      <c r="X8319" s="4"/>
      <c r="Y8319" s="4"/>
    </row>
    <row r="8320" spans="20:25" x14ac:dyDescent="0.25">
      <c r="T8320" s="10"/>
      <c r="U8320" s="4"/>
      <c r="V8320" s="4"/>
      <c r="X8320" s="4"/>
      <c r="Y8320" s="4"/>
    </row>
    <row r="8321" spans="20:25" x14ac:dyDescent="0.25">
      <c r="T8321" s="10"/>
      <c r="U8321" s="4"/>
      <c r="V8321" s="4"/>
      <c r="X8321" s="4"/>
      <c r="Y8321" s="4"/>
    </row>
    <row r="8322" spans="20:25" x14ac:dyDescent="0.25">
      <c r="T8322" s="10"/>
      <c r="U8322" s="4"/>
      <c r="V8322" s="4"/>
      <c r="X8322" s="4"/>
      <c r="Y8322" s="4"/>
    </row>
    <row r="8323" spans="20:25" x14ac:dyDescent="0.25">
      <c r="T8323" s="10"/>
      <c r="U8323" s="4"/>
      <c r="V8323" s="4"/>
      <c r="X8323" s="4"/>
      <c r="Y8323" s="4"/>
    </row>
    <row r="8324" spans="20:25" x14ac:dyDescent="0.25">
      <c r="T8324" s="10"/>
      <c r="U8324" s="4"/>
      <c r="V8324" s="4"/>
      <c r="X8324" s="4"/>
      <c r="Y8324" s="4"/>
    </row>
    <row r="8325" spans="20:25" x14ac:dyDescent="0.25">
      <c r="T8325" s="10"/>
      <c r="U8325" s="4"/>
      <c r="V8325" s="4"/>
      <c r="X8325" s="4"/>
      <c r="Y8325" s="4"/>
    </row>
    <row r="8326" spans="20:25" x14ac:dyDescent="0.25">
      <c r="T8326" s="10"/>
      <c r="U8326" s="4"/>
      <c r="V8326" s="4"/>
      <c r="X8326" s="4"/>
      <c r="Y8326" s="4"/>
    </row>
    <row r="8327" spans="20:25" x14ac:dyDescent="0.25">
      <c r="T8327" s="10"/>
      <c r="U8327" s="4"/>
      <c r="V8327" s="4"/>
      <c r="X8327" s="4"/>
      <c r="Y8327" s="4"/>
    </row>
    <row r="8328" spans="20:25" x14ac:dyDescent="0.25">
      <c r="T8328" s="10"/>
      <c r="U8328" s="4"/>
      <c r="V8328" s="4"/>
      <c r="X8328" s="4"/>
      <c r="Y8328" s="4"/>
    </row>
    <row r="8329" spans="20:25" x14ac:dyDescent="0.25">
      <c r="T8329" s="10"/>
      <c r="U8329" s="4"/>
      <c r="V8329" s="4"/>
      <c r="X8329" s="4"/>
      <c r="Y8329" s="4"/>
    </row>
    <row r="8330" spans="20:25" x14ac:dyDescent="0.25">
      <c r="T8330" s="10"/>
      <c r="U8330" s="4"/>
      <c r="V8330" s="4"/>
      <c r="X8330" s="4"/>
      <c r="Y8330" s="4"/>
    </row>
    <row r="8331" spans="20:25" x14ac:dyDescent="0.25">
      <c r="T8331" s="10"/>
      <c r="U8331" s="4"/>
      <c r="V8331" s="4"/>
      <c r="X8331" s="4"/>
      <c r="Y8331" s="4"/>
    </row>
    <row r="8332" spans="20:25" x14ac:dyDescent="0.25">
      <c r="T8332" s="10"/>
      <c r="U8332" s="4"/>
      <c r="V8332" s="4"/>
      <c r="X8332" s="4"/>
      <c r="Y8332" s="4"/>
    </row>
    <row r="8333" spans="20:25" x14ac:dyDescent="0.25">
      <c r="T8333" s="10"/>
      <c r="U8333" s="4"/>
      <c r="V8333" s="4"/>
      <c r="X8333" s="4"/>
      <c r="Y8333" s="4"/>
    </row>
    <row r="8334" spans="20:25" x14ac:dyDescent="0.25">
      <c r="T8334" s="10"/>
      <c r="U8334" s="4"/>
      <c r="V8334" s="4"/>
      <c r="X8334" s="4"/>
      <c r="Y8334" s="4"/>
    </row>
    <row r="8335" spans="20:25" x14ac:dyDescent="0.25">
      <c r="T8335" s="10"/>
      <c r="U8335" s="4"/>
      <c r="V8335" s="4"/>
      <c r="X8335" s="4"/>
      <c r="Y8335" s="4"/>
    </row>
    <row r="8336" spans="20:25" x14ac:dyDescent="0.25">
      <c r="T8336" s="10"/>
      <c r="U8336" s="4"/>
      <c r="V8336" s="4"/>
      <c r="X8336" s="4"/>
      <c r="Y8336" s="4"/>
    </row>
    <row r="8337" spans="20:25" x14ac:dyDescent="0.25">
      <c r="T8337" s="10"/>
      <c r="U8337" s="4"/>
      <c r="V8337" s="4"/>
      <c r="X8337" s="4"/>
      <c r="Y8337" s="4"/>
    </row>
    <row r="8338" spans="20:25" x14ac:dyDescent="0.25">
      <c r="T8338" s="10"/>
      <c r="U8338" s="4"/>
      <c r="V8338" s="4"/>
      <c r="X8338" s="4"/>
      <c r="Y8338" s="4"/>
    </row>
    <row r="8339" spans="20:25" x14ac:dyDescent="0.25">
      <c r="T8339" s="10"/>
      <c r="U8339" s="4"/>
      <c r="V8339" s="4"/>
      <c r="X8339" s="4"/>
      <c r="Y8339" s="4"/>
    </row>
    <row r="8340" spans="20:25" x14ac:dyDescent="0.25">
      <c r="T8340" s="10"/>
      <c r="U8340" s="4"/>
      <c r="V8340" s="4"/>
      <c r="X8340" s="4"/>
      <c r="Y8340" s="4"/>
    </row>
    <row r="8341" spans="20:25" x14ac:dyDescent="0.25">
      <c r="T8341" s="10"/>
      <c r="U8341" s="4"/>
      <c r="V8341" s="4"/>
      <c r="X8341" s="4"/>
      <c r="Y8341" s="4"/>
    </row>
    <row r="8342" spans="20:25" x14ac:dyDescent="0.25">
      <c r="T8342" s="10"/>
      <c r="U8342" s="4"/>
      <c r="V8342" s="4"/>
      <c r="X8342" s="4"/>
      <c r="Y8342" s="4"/>
    </row>
    <row r="8343" spans="20:25" x14ac:dyDescent="0.25">
      <c r="T8343" s="10"/>
      <c r="U8343" s="4"/>
      <c r="V8343" s="4"/>
      <c r="X8343" s="4"/>
      <c r="Y8343" s="4"/>
    </row>
    <row r="8344" spans="20:25" x14ac:dyDescent="0.25">
      <c r="T8344" s="10"/>
      <c r="U8344" s="4"/>
      <c r="V8344" s="4"/>
      <c r="X8344" s="4"/>
      <c r="Y8344" s="4"/>
    </row>
    <row r="8345" spans="20:25" x14ac:dyDescent="0.25">
      <c r="T8345" s="10"/>
      <c r="U8345" s="4"/>
      <c r="V8345" s="4"/>
      <c r="X8345" s="4"/>
      <c r="Y8345" s="4"/>
    </row>
    <row r="8346" spans="20:25" x14ac:dyDescent="0.25">
      <c r="T8346" s="10"/>
      <c r="U8346" s="4"/>
      <c r="V8346" s="4"/>
      <c r="X8346" s="4"/>
      <c r="Y8346" s="4"/>
    </row>
    <row r="8347" spans="20:25" x14ac:dyDescent="0.25">
      <c r="T8347" s="10"/>
      <c r="U8347" s="4"/>
      <c r="V8347" s="4"/>
      <c r="X8347" s="4"/>
      <c r="Y8347" s="4"/>
    </row>
    <row r="8348" spans="20:25" x14ac:dyDescent="0.25">
      <c r="T8348" s="10"/>
      <c r="U8348" s="4"/>
      <c r="V8348" s="4"/>
      <c r="X8348" s="4"/>
      <c r="Y8348" s="4"/>
    </row>
    <row r="8349" spans="20:25" x14ac:dyDescent="0.25">
      <c r="T8349" s="10"/>
      <c r="U8349" s="4"/>
      <c r="V8349" s="4"/>
      <c r="X8349" s="4"/>
      <c r="Y8349" s="4"/>
    </row>
    <row r="8350" spans="20:25" x14ac:dyDescent="0.25">
      <c r="T8350" s="10"/>
      <c r="U8350" s="4"/>
      <c r="V8350" s="4"/>
      <c r="X8350" s="4"/>
      <c r="Y8350" s="4"/>
    </row>
    <row r="8351" spans="20:25" x14ac:dyDescent="0.25">
      <c r="T8351" s="10"/>
      <c r="U8351" s="4"/>
      <c r="V8351" s="4"/>
      <c r="X8351" s="4"/>
      <c r="Y8351" s="4"/>
    </row>
    <row r="8352" spans="20:25" x14ac:dyDescent="0.25">
      <c r="T8352" s="10"/>
      <c r="U8352" s="4"/>
      <c r="V8352" s="4"/>
      <c r="X8352" s="4"/>
      <c r="Y8352" s="4"/>
    </row>
    <row r="8353" spans="20:25" x14ac:dyDescent="0.25">
      <c r="T8353" s="10"/>
      <c r="U8353" s="4"/>
      <c r="V8353" s="4"/>
      <c r="X8353" s="4"/>
      <c r="Y8353" s="4"/>
    </row>
    <row r="8354" spans="20:25" x14ac:dyDescent="0.25">
      <c r="T8354" s="10"/>
      <c r="U8354" s="4"/>
      <c r="V8354" s="4"/>
      <c r="X8354" s="4"/>
      <c r="Y8354" s="4"/>
    </row>
    <row r="8355" spans="20:25" x14ac:dyDescent="0.25">
      <c r="T8355" s="10"/>
      <c r="U8355" s="4"/>
      <c r="V8355" s="4"/>
      <c r="X8355" s="4"/>
      <c r="Y8355" s="4"/>
    </row>
    <row r="8356" spans="20:25" x14ac:dyDescent="0.25">
      <c r="T8356" s="10"/>
      <c r="U8356" s="4"/>
      <c r="V8356" s="4"/>
      <c r="X8356" s="4"/>
      <c r="Y8356" s="4"/>
    </row>
    <row r="8357" spans="20:25" x14ac:dyDescent="0.25">
      <c r="T8357" s="10"/>
      <c r="U8357" s="4"/>
      <c r="V8357" s="4"/>
      <c r="X8357" s="4"/>
      <c r="Y8357" s="4"/>
    </row>
    <row r="8358" spans="20:25" x14ac:dyDescent="0.25">
      <c r="T8358" s="10"/>
      <c r="U8358" s="4"/>
      <c r="V8358" s="4"/>
      <c r="X8358" s="4"/>
      <c r="Y8358" s="4"/>
    </row>
    <row r="8359" spans="20:25" x14ac:dyDescent="0.25">
      <c r="T8359" s="10"/>
      <c r="U8359" s="4"/>
      <c r="V8359" s="4"/>
      <c r="X8359" s="4"/>
      <c r="Y8359" s="4"/>
    </row>
    <row r="8360" spans="20:25" x14ac:dyDescent="0.25">
      <c r="T8360" s="10"/>
      <c r="U8360" s="4"/>
      <c r="V8360" s="4"/>
      <c r="X8360" s="4"/>
      <c r="Y8360" s="4"/>
    </row>
    <row r="8361" spans="20:25" x14ac:dyDescent="0.25">
      <c r="T8361" s="10"/>
      <c r="U8361" s="4"/>
      <c r="V8361" s="4"/>
      <c r="X8361" s="4"/>
      <c r="Y8361" s="4"/>
    </row>
    <row r="8362" spans="20:25" x14ac:dyDescent="0.25">
      <c r="T8362" s="10"/>
      <c r="U8362" s="4"/>
      <c r="V8362" s="4"/>
      <c r="X8362" s="4"/>
      <c r="Y8362" s="4"/>
    </row>
    <row r="8363" spans="20:25" x14ac:dyDescent="0.25">
      <c r="T8363" s="10"/>
      <c r="U8363" s="4"/>
      <c r="V8363" s="4"/>
      <c r="X8363" s="4"/>
      <c r="Y8363" s="4"/>
    </row>
    <row r="8364" spans="20:25" x14ac:dyDescent="0.25">
      <c r="T8364" s="10"/>
      <c r="U8364" s="4"/>
      <c r="V8364" s="4"/>
      <c r="X8364" s="4"/>
      <c r="Y8364" s="4"/>
    </row>
    <row r="8365" spans="20:25" x14ac:dyDescent="0.25">
      <c r="T8365" s="10"/>
      <c r="U8365" s="4"/>
      <c r="V8365" s="4"/>
      <c r="X8365" s="4"/>
      <c r="Y8365" s="4"/>
    </row>
    <row r="8366" spans="20:25" x14ac:dyDescent="0.25">
      <c r="T8366" s="10"/>
      <c r="U8366" s="4"/>
      <c r="V8366" s="4"/>
      <c r="X8366" s="4"/>
      <c r="Y8366" s="4"/>
    </row>
    <row r="8367" spans="20:25" x14ac:dyDescent="0.25">
      <c r="T8367" s="10"/>
      <c r="U8367" s="4"/>
      <c r="V8367" s="4"/>
      <c r="X8367" s="4"/>
      <c r="Y8367" s="4"/>
    </row>
    <row r="8368" spans="20:25" x14ac:dyDescent="0.25">
      <c r="T8368" s="10"/>
      <c r="U8368" s="4"/>
      <c r="V8368" s="4"/>
      <c r="X8368" s="4"/>
      <c r="Y8368" s="4"/>
    </row>
    <row r="8369" spans="20:25" x14ac:dyDescent="0.25">
      <c r="T8369" s="10"/>
      <c r="U8369" s="4"/>
      <c r="V8369" s="4"/>
      <c r="X8369" s="4"/>
      <c r="Y8369" s="4"/>
    </row>
    <row r="8370" spans="20:25" x14ac:dyDescent="0.25">
      <c r="T8370" s="10"/>
      <c r="U8370" s="4"/>
      <c r="V8370" s="4"/>
      <c r="X8370" s="4"/>
      <c r="Y8370" s="4"/>
    </row>
    <row r="8371" spans="20:25" x14ac:dyDescent="0.25">
      <c r="T8371" s="10"/>
      <c r="U8371" s="4"/>
      <c r="V8371" s="4"/>
      <c r="X8371" s="4"/>
      <c r="Y8371" s="4"/>
    </row>
    <row r="8372" spans="20:25" x14ac:dyDescent="0.25">
      <c r="T8372" s="10"/>
      <c r="U8372" s="4"/>
      <c r="V8372" s="4"/>
      <c r="X8372" s="4"/>
      <c r="Y8372" s="4"/>
    </row>
    <row r="8373" spans="20:25" x14ac:dyDescent="0.25">
      <c r="T8373" s="10"/>
      <c r="U8373" s="4"/>
      <c r="V8373" s="4"/>
      <c r="X8373" s="4"/>
      <c r="Y8373" s="4"/>
    </row>
    <row r="8374" spans="20:25" x14ac:dyDescent="0.25">
      <c r="T8374" s="10"/>
      <c r="U8374" s="4"/>
      <c r="V8374" s="4"/>
      <c r="X8374" s="4"/>
      <c r="Y8374" s="4"/>
    </row>
    <row r="8375" spans="20:25" x14ac:dyDescent="0.25">
      <c r="T8375" s="10"/>
      <c r="U8375" s="4"/>
      <c r="V8375" s="4"/>
      <c r="X8375" s="4"/>
      <c r="Y8375" s="4"/>
    </row>
    <row r="8376" spans="20:25" x14ac:dyDescent="0.25">
      <c r="T8376" s="10"/>
      <c r="U8376" s="4"/>
      <c r="V8376" s="4"/>
      <c r="X8376" s="4"/>
      <c r="Y8376" s="4"/>
    </row>
    <row r="8377" spans="20:25" x14ac:dyDescent="0.25">
      <c r="T8377" s="10"/>
      <c r="U8377" s="4"/>
      <c r="V8377" s="4"/>
      <c r="X8377" s="4"/>
      <c r="Y8377" s="4"/>
    </row>
    <row r="8378" spans="20:25" x14ac:dyDescent="0.25">
      <c r="T8378" s="10"/>
      <c r="U8378" s="4"/>
      <c r="V8378" s="4"/>
      <c r="X8378" s="4"/>
      <c r="Y8378" s="4"/>
    </row>
    <row r="8379" spans="20:25" x14ac:dyDescent="0.25">
      <c r="T8379" s="10"/>
      <c r="U8379" s="4"/>
      <c r="V8379" s="4"/>
      <c r="X8379" s="4"/>
      <c r="Y8379" s="4"/>
    </row>
    <row r="8380" spans="20:25" x14ac:dyDescent="0.25">
      <c r="T8380" s="10"/>
      <c r="U8380" s="4"/>
      <c r="V8380" s="4"/>
      <c r="X8380" s="4"/>
      <c r="Y8380" s="4"/>
    </row>
    <row r="8381" spans="20:25" x14ac:dyDescent="0.25">
      <c r="T8381" s="10"/>
      <c r="U8381" s="4"/>
      <c r="V8381" s="4"/>
      <c r="X8381" s="4"/>
      <c r="Y8381" s="4"/>
    </row>
    <row r="8382" spans="20:25" x14ac:dyDescent="0.25">
      <c r="T8382" s="10"/>
      <c r="U8382" s="4"/>
      <c r="V8382" s="4"/>
      <c r="X8382" s="4"/>
      <c r="Y8382" s="4"/>
    </row>
    <row r="8383" spans="20:25" x14ac:dyDescent="0.25">
      <c r="T8383" s="10"/>
      <c r="U8383" s="4"/>
      <c r="V8383" s="4"/>
      <c r="X8383" s="4"/>
      <c r="Y8383" s="4"/>
    </row>
    <row r="8384" spans="20:25" x14ac:dyDescent="0.25">
      <c r="T8384" s="10"/>
      <c r="U8384" s="4"/>
      <c r="V8384" s="4"/>
      <c r="X8384" s="4"/>
      <c r="Y8384" s="4"/>
    </row>
    <row r="8385" spans="20:25" x14ac:dyDescent="0.25">
      <c r="T8385" s="10"/>
      <c r="U8385" s="4"/>
      <c r="V8385" s="4"/>
      <c r="X8385" s="4"/>
      <c r="Y8385" s="4"/>
    </row>
    <row r="8386" spans="20:25" x14ac:dyDescent="0.25">
      <c r="T8386" s="10"/>
      <c r="U8386" s="4"/>
      <c r="V8386" s="4"/>
      <c r="X8386" s="4"/>
      <c r="Y8386" s="4"/>
    </row>
    <row r="8387" spans="20:25" x14ac:dyDescent="0.25">
      <c r="T8387" s="10"/>
      <c r="U8387" s="4"/>
      <c r="V8387" s="4"/>
      <c r="X8387" s="4"/>
      <c r="Y8387" s="4"/>
    </row>
    <row r="8388" spans="20:25" x14ac:dyDescent="0.25">
      <c r="T8388" s="10"/>
      <c r="U8388" s="4"/>
      <c r="V8388" s="4"/>
      <c r="X8388" s="4"/>
      <c r="Y8388" s="4"/>
    </row>
    <row r="8389" spans="20:25" x14ac:dyDescent="0.25">
      <c r="T8389" s="10"/>
      <c r="U8389" s="4"/>
      <c r="V8389" s="4"/>
      <c r="X8389" s="4"/>
      <c r="Y8389" s="4"/>
    </row>
    <row r="8390" spans="20:25" x14ac:dyDescent="0.25">
      <c r="T8390" s="10"/>
      <c r="U8390" s="4"/>
      <c r="V8390" s="4"/>
      <c r="X8390" s="4"/>
      <c r="Y8390" s="4"/>
    </row>
    <row r="8391" spans="20:25" x14ac:dyDescent="0.25">
      <c r="T8391" s="10"/>
      <c r="U8391" s="4"/>
      <c r="V8391" s="4"/>
      <c r="X8391" s="4"/>
      <c r="Y8391" s="4"/>
    </row>
    <row r="8392" spans="20:25" x14ac:dyDescent="0.25">
      <c r="T8392" s="10"/>
      <c r="U8392" s="4"/>
      <c r="V8392" s="4"/>
      <c r="X8392" s="4"/>
      <c r="Y8392" s="4"/>
    </row>
    <row r="8393" spans="20:25" x14ac:dyDescent="0.25">
      <c r="T8393" s="10"/>
      <c r="U8393" s="4"/>
      <c r="V8393" s="4"/>
      <c r="X8393" s="4"/>
      <c r="Y8393" s="4"/>
    </row>
    <row r="8394" spans="20:25" x14ac:dyDescent="0.25">
      <c r="T8394" s="10"/>
      <c r="U8394" s="4"/>
      <c r="V8394" s="4"/>
      <c r="X8394" s="4"/>
      <c r="Y8394" s="4"/>
    </row>
    <row r="8395" spans="20:25" x14ac:dyDescent="0.25">
      <c r="T8395" s="10"/>
      <c r="U8395" s="4"/>
      <c r="V8395" s="4"/>
      <c r="X8395" s="4"/>
      <c r="Y8395" s="4"/>
    </row>
    <row r="8396" spans="20:25" x14ac:dyDescent="0.25">
      <c r="T8396" s="10"/>
      <c r="U8396" s="4"/>
      <c r="V8396" s="4"/>
      <c r="X8396" s="4"/>
      <c r="Y8396" s="4"/>
    </row>
    <row r="8397" spans="20:25" x14ac:dyDescent="0.25">
      <c r="T8397" s="10"/>
      <c r="U8397" s="4"/>
      <c r="V8397" s="4"/>
      <c r="X8397" s="4"/>
      <c r="Y8397" s="4"/>
    </row>
    <row r="8398" spans="20:25" x14ac:dyDescent="0.25">
      <c r="T8398" s="10"/>
      <c r="U8398" s="4"/>
      <c r="V8398" s="4"/>
      <c r="X8398" s="4"/>
      <c r="Y8398" s="4"/>
    </row>
    <row r="8399" spans="20:25" x14ac:dyDescent="0.25">
      <c r="T8399" s="10"/>
      <c r="U8399" s="4"/>
      <c r="V8399" s="4"/>
      <c r="X8399" s="4"/>
      <c r="Y8399" s="4"/>
    </row>
    <row r="8400" spans="20:25" x14ac:dyDescent="0.25">
      <c r="T8400" s="10"/>
      <c r="U8400" s="4"/>
      <c r="V8400" s="4"/>
      <c r="X8400" s="4"/>
      <c r="Y8400" s="4"/>
    </row>
    <row r="8401" spans="20:25" x14ac:dyDescent="0.25">
      <c r="T8401" s="10"/>
      <c r="U8401" s="4"/>
      <c r="V8401" s="4"/>
      <c r="X8401" s="4"/>
      <c r="Y8401" s="4"/>
    </row>
    <row r="8402" spans="20:25" x14ac:dyDescent="0.25">
      <c r="T8402" s="10"/>
      <c r="U8402" s="4"/>
      <c r="V8402" s="4"/>
      <c r="X8402" s="4"/>
      <c r="Y8402" s="4"/>
    </row>
    <row r="8403" spans="20:25" x14ac:dyDescent="0.25">
      <c r="T8403" s="10"/>
      <c r="U8403" s="4"/>
      <c r="V8403" s="4"/>
      <c r="X8403" s="4"/>
      <c r="Y8403" s="4"/>
    </row>
    <row r="8404" spans="20:25" x14ac:dyDescent="0.25">
      <c r="T8404" s="10"/>
      <c r="U8404" s="4"/>
      <c r="V8404" s="4"/>
      <c r="X8404" s="4"/>
      <c r="Y8404" s="4"/>
    </row>
    <row r="8405" spans="20:25" x14ac:dyDescent="0.25">
      <c r="T8405" s="10"/>
      <c r="U8405" s="4"/>
      <c r="V8405" s="4"/>
      <c r="X8405" s="4"/>
      <c r="Y8405" s="4"/>
    </row>
    <row r="8406" spans="20:25" x14ac:dyDescent="0.25">
      <c r="T8406" s="10"/>
      <c r="U8406" s="4"/>
      <c r="V8406" s="4"/>
      <c r="X8406" s="4"/>
      <c r="Y8406" s="4"/>
    </row>
    <row r="8407" spans="20:25" x14ac:dyDescent="0.25">
      <c r="T8407" s="10"/>
      <c r="U8407" s="4"/>
      <c r="V8407" s="4"/>
      <c r="X8407" s="4"/>
      <c r="Y8407" s="4"/>
    </row>
    <row r="8408" spans="20:25" x14ac:dyDescent="0.25">
      <c r="T8408" s="10"/>
      <c r="U8408" s="4"/>
      <c r="V8408" s="4"/>
      <c r="X8408" s="4"/>
      <c r="Y8408" s="4"/>
    </row>
    <row r="8409" spans="20:25" x14ac:dyDescent="0.25">
      <c r="T8409" s="10"/>
      <c r="U8409" s="4"/>
      <c r="V8409" s="4"/>
      <c r="X8409" s="4"/>
      <c r="Y8409" s="4"/>
    </row>
    <row r="8410" spans="20:25" x14ac:dyDescent="0.25">
      <c r="T8410" s="10"/>
      <c r="U8410" s="4"/>
      <c r="V8410" s="4"/>
      <c r="X8410" s="4"/>
      <c r="Y8410" s="4"/>
    </row>
    <row r="8411" spans="20:25" x14ac:dyDescent="0.25">
      <c r="T8411" s="10"/>
      <c r="U8411" s="4"/>
      <c r="V8411" s="4"/>
      <c r="X8411" s="4"/>
      <c r="Y8411" s="4"/>
    </row>
    <row r="8412" spans="20:25" x14ac:dyDescent="0.25">
      <c r="T8412" s="10"/>
      <c r="U8412" s="4"/>
      <c r="V8412" s="4"/>
      <c r="X8412" s="4"/>
      <c r="Y8412" s="4"/>
    </row>
    <row r="8413" spans="20:25" x14ac:dyDescent="0.25">
      <c r="T8413" s="10"/>
      <c r="U8413" s="4"/>
      <c r="V8413" s="4"/>
      <c r="X8413" s="4"/>
      <c r="Y8413" s="4"/>
    </row>
    <row r="8414" spans="20:25" x14ac:dyDescent="0.25">
      <c r="T8414" s="10"/>
      <c r="U8414" s="4"/>
      <c r="V8414" s="4"/>
      <c r="X8414" s="4"/>
      <c r="Y8414" s="4"/>
    </row>
    <row r="8415" spans="20:25" x14ac:dyDescent="0.25">
      <c r="T8415" s="10"/>
      <c r="U8415" s="4"/>
      <c r="V8415" s="4"/>
      <c r="X8415" s="4"/>
      <c r="Y8415" s="4"/>
    </row>
    <row r="8416" spans="20:25" x14ac:dyDescent="0.25">
      <c r="T8416" s="10"/>
      <c r="U8416" s="4"/>
      <c r="V8416" s="4"/>
      <c r="X8416" s="4"/>
      <c r="Y8416" s="4"/>
    </row>
    <row r="8417" spans="20:25" x14ac:dyDescent="0.25">
      <c r="T8417" s="10"/>
      <c r="U8417" s="4"/>
      <c r="V8417" s="4"/>
      <c r="X8417" s="4"/>
      <c r="Y8417" s="4"/>
    </row>
    <row r="8418" spans="20:25" x14ac:dyDescent="0.25">
      <c r="T8418" s="10"/>
      <c r="U8418" s="4"/>
      <c r="V8418" s="4"/>
      <c r="X8418" s="4"/>
      <c r="Y8418" s="4"/>
    </row>
    <row r="8419" spans="20:25" x14ac:dyDescent="0.25">
      <c r="T8419" s="10"/>
      <c r="U8419" s="4"/>
      <c r="V8419" s="4"/>
      <c r="X8419" s="4"/>
      <c r="Y8419" s="4"/>
    </row>
    <row r="8420" spans="20:25" x14ac:dyDescent="0.25">
      <c r="T8420" s="10"/>
      <c r="U8420" s="4"/>
      <c r="V8420" s="4"/>
      <c r="X8420" s="4"/>
      <c r="Y8420" s="4"/>
    </row>
    <row r="8421" spans="20:25" x14ac:dyDescent="0.25">
      <c r="T8421" s="10"/>
      <c r="U8421" s="4"/>
      <c r="V8421" s="4"/>
      <c r="X8421" s="4"/>
      <c r="Y8421" s="4"/>
    </row>
    <row r="8422" spans="20:25" x14ac:dyDescent="0.25">
      <c r="T8422" s="10"/>
      <c r="U8422" s="4"/>
      <c r="V8422" s="4"/>
      <c r="X8422" s="4"/>
      <c r="Y8422" s="4"/>
    </row>
    <row r="8423" spans="20:25" x14ac:dyDescent="0.25">
      <c r="T8423" s="10"/>
      <c r="U8423" s="4"/>
      <c r="V8423" s="4"/>
      <c r="X8423" s="4"/>
      <c r="Y8423" s="4"/>
    </row>
    <row r="8424" spans="20:25" x14ac:dyDescent="0.25">
      <c r="T8424" s="10"/>
      <c r="U8424" s="4"/>
      <c r="V8424" s="4"/>
      <c r="X8424" s="4"/>
      <c r="Y8424" s="4"/>
    </row>
    <row r="8425" spans="20:25" x14ac:dyDescent="0.25">
      <c r="T8425" s="10"/>
      <c r="U8425" s="4"/>
      <c r="V8425" s="4"/>
      <c r="X8425" s="4"/>
      <c r="Y8425" s="4"/>
    </row>
    <row r="8426" spans="20:25" x14ac:dyDescent="0.25">
      <c r="T8426" s="10"/>
      <c r="U8426" s="4"/>
      <c r="V8426" s="4"/>
      <c r="X8426" s="4"/>
      <c r="Y8426" s="4"/>
    </row>
    <row r="8427" spans="20:25" x14ac:dyDescent="0.25">
      <c r="T8427" s="10"/>
      <c r="U8427" s="4"/>
      <c r="V8427" s="4"/>
      <c r="X8427" s="4"/>
      <c r="Y8427" s="4"/>
    </row>
    <row r="8428" spans="20:25" x14ac:dyDescent="0.25">
      <c r="T8428" s="10"/>
      <c r="U8428" s="4"/>
      <c r="V8428" s="4"/>
      <c r="X8428" s="4"/>
      <c r="Y8428" s="4"/>
    </row>
    <row r="8429" spans="20:25" x14ac:dyDescent="0.25">
      <c r="T8429" s="10"/>
      <c r="U8429" s="4"/>
      <c r="V8429" s="4"/>
      <c r="X8429" s="4"/>
      <c r="Y8429" s="4"/>
    </row>
    <row r="8430" spans="20:25" x14ac:dyDescent="0.25">
      <c r="T8430" s="10"/>
      <c r="U8430" s="4"/>
      <c r="V8430" s="4"/>
      <c r="X8430" s="4"/>
      <c r="Y8430" s="4"/>
    </row>
    <row r="8431" spans="20:25" x14ac:dyDescent="0.25">
      <c r="T8431" s="10"/>
      <c r="U8431" s="4"/>
      <c r="V8431" s="4"/>
      <c r="X8431" s="4"/>
      <c r="Y8431" s="4"/>
    </row>
    <row r="8432" spans="20:25" x14ac:dyDescent="0.25">
      <c r="T8432" s="10"/>
      <c r="U8432" s="4"/>
      <c r="V8432" s="4"/>
      <c r="X8432" s="4"/>
      <c r="Y8432" s="4"/>
    </row>
    <row r="8433" spans="20:25" x14ac:dyDescent="0.25">
      <c r="T8433" s="10"/>
      <c r="U8433" s="4"/>
      <c r="V8433" s="4"/>
      <c r="X8433" s="4"/>
      <c r="Y8433" s="4"/>
    </row>
    <row r="8434" spans="20:25" x14ac:dyDescent="0.25">
      <c r="T8434" s="10"/>
      <c r="U8434" s="4"/>
      <c r="V8434" s="4"/>
      <c r="X8434" s="4"/>
      <c r="Y8434" s="4"/>
    </row>
    <row r="8435" spans="20:25" x14ac:dyDescent="0.25">
      <c r="T8435" s="10"/>
      <c r="U8435" s="4"/>
      <c r="V8435" s="4"/>
      <c r="X8435" s="4"/>
      <c r="Y8435" s="4"/>
    </row>
    <row r="8436" spans="20:25" x14ac:dyDescent="0.25">
      <c r="T8436" s="10"/>
      <c r="U8436" s="4"/>
      <c r="V8436" s="4"/>
      <c r="X8436" s="4"/>
      <c r="Y8436" s="4"/>
    </row>
    <row r="8437" spans="20:25" x14ac:dyDescent="0.25">
      <c r="T8437" s="10"/>
      <c r="U8437" s="4"/>
      <c r="V8437" s="4"/>
      <c r="X8437" s="4"/>
      <c r="Y8437" s="4"/>
    </row>
    <row r="8438" spans="20:25" x14ac:dyDescent="0.25">
      <c r="T8438" s="10"/>
      <c r="U8438" s="4"/>
      <c r="V8438" s="4"/>
      <c r="X8438" s="4"/>
      <c r="Y8438" s="4"/>
    </row>
    <row r="8439" spans="20:25" x14ac:dyDescent="0.25">
      <c r="T8439" s="10"/>
      <c r="U8439" s="4"/>
      <c r="V8439" s="4"/>
      <c r="X8439" s="4"/>
      <c r="Y8439" s="4"/>
    </row>
    <row r="8440" spans="20:25" x14ac:dyDescent="0.25">
      <c r="T8440" s="10"/>
      <c r="U8440" s="4"/>
      <c r="V8440" s="4"/>
      <c r="X8440" s="4"/>
      <c r="Y8440" s="4"/>
    </row>
    <row r="8441" spans="20:25" x14ac:dyDescent="0.25">
      <c r="T8441" s="10"/>
      <c r="U8441" s="4"/>
      <c r="V8441" s="4"/>
      <c r="X8441" s="4"/>
      <c r="Y8441" s="4"/>
    </row>
    <row r="8442" spans="20:25" x14ac:dyDescent="0.25">
      <c r="T8442" s="10"/>
      <c r="U8442" s="4"/>
      <c r="V8442" s="4"/>
      <c r="X8442" s="4"/>
      <c r="Y8442" s="4"/>
    </row>
    <row r="8443" spans="20:25" x14ac:dyDescent="0.25">
      <c r="T8443" s="10"/>
      <c r="U8443" s="4"/>
      <c r="V8443" s="4"/>
      <c r="X8443" s="4"/>
      <c r="Y8443" s="4"/>
    </row>
    <row r="8444" spans="20:25" x14ac:dyDescent="0.25">
      <c r="T8444" s="10"/>
      <c r="U8444" s="4"/>
      <c r="V8444" s="4"/>
      <c r="X8444" s="4"/>
      <c r="Y8444" s="4"/>
    </row>
    <row r="8445" spans="20:25" x14ac:dyDescent="0.25">
      <c r="T8445" s="10"/>
      <c r="U8445" s="4"/>
      <c r="V8445" s="4"/>
      <c r="X8445" s="4"/>
      <c r="Y8445" s="4"/>
    </row>
    <row r="8446" spans="20:25" x14ac:dyDescent="0.25">
      <c r="T8446" s="10"/>
      <c r="U8446" s="4"/>
      <c r="V8446" s="4"/>
      <c r="X8446" s="4"/>
      <c r="Y8446" s="4"/>
    </row>
    <row r="8447" spans="20:25" x14ac:dyDescent="0.25">
      <c r="T8447" s="10"/>
      <c r="U8447" s="4"/>
      <c r="V8447" s="4"/>
      <c r="X8447" s="4"/>
      <c r="Y8447" s="4"/>
    </row>
    <row r="8448" spans="20:25" x14ac:dyDescent="0.25">
      <c r="T8448" s="10"/>
      <c r="U8448" s="4"/>
      <c r="V8448" s="4"/>
      <c r="X8448" s="4"/>
      <c r="Y8448" s="4"/>
    </row>
    <row r="8449" spans="20:25" x14ac:dyDescent="0.25">
      <c r="T8449" s="10"/>
      <c r="U8449" s="4"/>
      <c r="V8449" s="4"/>
      <c r="X8449" s="4"/>
      <c r="Y8449" s="4"/>
    </row>
    <row r="8450" spans="20:25" x14ac:dyDescent="0.25">
      <c r="T8450" s="10"/>
      <c r="U8450" s="4"/>
      <c r="V8450" s="4"/>
      <c r="X8450" s="4"/>
      <c r="Y8450" s="4"/>
    </row>
    <row r="8451" spans="20:25" x14ac:dyDescent="0.25">
      <c r="T8451" s="10"/>
      <c r="U8451" s="4"/>
      <c r="V8451" s="4"/>
      <c r="X8451" s="4"/>
      <c r="Y8451" s="4"/>
    </row>
    <row r="8452" spans="20:25" x14ac:dyDescent="0.25">
      <c r="T8452" s="10"/>
      <c r="U8452" s="4"/>
      <c r="V8452" s="4"/>
      <c r="X8452" s="4"/>
      <c r="Y8452" s="4"/>
    </row>
    <row r="8453" spans="20:25" x14ac:dyDescent="0.25">
      <c r="T8453" s="10"/>
      <c r="U8453" s="4"/>
      <c r="V8453" s="4"/>
      <c r="X8453" s="4"/>
      <c r="Y8453" s="4"/>
    </row>
    <row r="8454" spans="20:25" x14ac:dyDescent="0.25">
      <c r="T8454" s="10"/>
      <c r="U8454" s="4"/>
      <c r="V8454" s="4"/>
      <c r="X8454" s="4"/>
      <c r="Y8454" s="4"/>
    </row>
    <row r="8455" spans="20:25" x14ac:dyDescent="0.25">
      <c r="T8455" s="10"/>
      <c r="U8455" s="4"/>
      <c r="V8455" s="4"/>
      <c r="X8455" s="4"/>
      <c r="Y8455" s="4"/>
    </row>
    <row r="8456" spans="20:25" x14ac:dyDescent="0.25">
      <c r="T8456" s="10"/>
      <c r="U8456" s="4"/>
      <c r="V8456" s="4"/>
      <c r="X8456" s="4"/>
      <c r="Y8456" s="4"/>
    </row>
    <row r="8457" spans="20:25" x14ac:dyDescent="0.25">
      <c r="T8457" s="10"/>
      <c r="U8457" s="4"/>
      <c r="V8457" s="4"/>
      <c r="X8457" s="4"/>
      <c r="Y8457" s="4"/>
    </row>
    <row r="8458" spans="20:25" x14ac:dyDescent="0.25">
      <c r="T8458" s="10"/>
      <c r="U8458" s="4"/>
      <c r="V8458" s="4"/>
      <c r="X8458" s="4"/>
      <c r="Y8458" s="4"/>
    </row>
    <row r="8459" spans="20:25" x14ac:dyDescent="0.25">
      <c r="T8459" s="10"/>
      <c r="U8459" s="4"/>
      <c r="V8459" s="4"/>
      <c r="X8459" s="4"/>
      <c r="Y8459" s="4"/>
    </row>
    <row r="8460" spans="20:25" x14ac:dyDescent="0.25">
      <c r="T8460" s="10"/>
      <c r="U8460" s="4"/>
      <c r="V8460" s="4"/>
      <c r="X8460" s="4"/>
      <c r="Y8460" s="4"/>
    </row>
    <row r="8461" spans="20:25" x14ac:dyDescent="0.25">
      <c r="T8461" s="10"/>
      <c r="U8461" s="4"/>
      <c r="V8461" s="4"/>
      <c r="X8461" s="4"/>
      <c r="Y8461" s="4"/>
    </row>
    <row r="8462" spans="20:25" x14ac:dyDescent="0.25">
      <c r="T8462" s="10"/>
      <c r="U8462" s="4"/>
      <c r="V8462" s="4"/>
      <c r="X8462" s="4"/>
      <c r="Y8462" s="4"/>
    </row>
    <row r="8463" spans="20:25" x14ac:dyDescent="0.25">
      <c r="T8463" s="10"/>
      <c r="U8463" s="4"/>
      <c r="V8463" s="4"/>
      <c r="X8463" s="4"/>
      <c r="Y8463" s="4"/>
    </row>
    <row r="8464" spans="20:25" x14ac:dyDescent="0.25">
      <c r="T8464" s="10"/>
      <c r="U8464" s="4"/>
      <c r="V8464" s="4"/>
      <c r="X8464" s="4"/>
      <c r="Y8464" s="4"/>
    </row>
    <row r="8465" spans="20:25" x14ac:dyDescent="0.25">
      <c r="T8465" s="10"/>
      <c r="U8465" s="4"/>
      <c r="V8465" s="4"/>
      <c r="X8465" s="4"/>
      <c r="Y8465" s="4"/>
    </row>
    <row r="8466" spans="20:25" x14ac:dyDescent="0.25">
      <c r="T8466" s="10"/>
      <c r="U8466" s="4"/>
      <c r="V8466" s="4"/>
      <c r="X8466" s="4"/>
      <c r="Y8466" s="4"/>
    </row>
    <row r="8467" spans="20:25" x14ac:dyDescent="0.25">
      <c r="T8467" s="10"/>
      <c r="U8467" s="4"/>
      <c r="V8467" s="4"/>
      <c r="X8467" s="4"/>
      <c r="Y8467" s="4"/>
    </row>
    <row r="8468" spans="20:25" x14ac:dyDescent="0.25">
      <c r="T8468" s="10"/>
      <c r="U8468" s="4"/>
      <c r="V8468" s="4"/>
      <c r="X8468" s="4"/>
      <c r="Y8468" s="4"/>
    </row>
    <row r="8469" spans="20:25" x14ac:dyDescent="0.25">
      <c r="T8469" s="10"/>
      <c r="U8469" s="4"/>
      <c r="V8469" s="4"/>
      <c r="X8469" s="4"/>
      <c r="Y8469" s="4"/>
    </row>
    <row r="8470" spans="20:25" x14ac:dyDescent="0.25">
      <c r="T8470" s="10"/>
      <c r="U8470" s="4"/>
      <c r="V8470" s="4"/>
      <c r="X8470" s="4"/>
      <c r="Y8470" s="4"/>
    </row>
    <row r="8471" spans="20:25" x14ac:dyDescent="0.25">
      <c r="T8471" s="10"/>
      <c r="U8471" s="4"/>
      <c r="V8471" s="4"/>
      <c r="X8471" s="4"/>
      <c r="Y8471" s="4"/>
    </row>
    <row r="8472" spans="20:25" x14ac:dyDescent="0.25">
      <c r="T8472" s="10"/>
      <c r="U8472" s="4"/>
      <c r="V8472" s="4"/>
      <c r="X8472" s="4"/>
      <c r="Y8472" s="4"/>
    </row>
    <row r="8473" spans="20:25" x14ac:dyDescent="0.25">
      <c r="T8473" s="10"/>
      <c r="U8473" s="4"/>
      <c r="V8473" s="4"/>
      <c r="X8473" s="4"/>
      <c r="Y8473" s="4"/>
    </row>
    <row r="8474" spans="20:25" x14ac:dyDescent="0.25">
      <c r="T8474" s="10"/>
      <c r="U8474" s="4"/>
      <c r="V8474" s="4"/>
      <c r="X8474" s="4"/>
      <c r="Y8474" s="4"/>
    </row>
    <row r="8475" spans="20:25" x14ac:dyDescent="0.25">
      <c r="T8475" s="10"/>
      <c r="U8475" s="4"/>
      <c r="V8475" s="4"/>
      <c r="X8475" s="4"/>
      <c r="Y8475" s="4"/>
    </row>
    <row r="8476" spans="20:25" x14ac:dyDescent="0.25">
      <c r="T8476" s="10"/>
      <c r="U8476" s="4"/>
      <c r="V8476" s="4"/>
      <c r="X8476" s="4"/>
      <c r="Y8476" s="4"/>
    </row>
    <row r="8477" spans="20:25" x14ac:dyDescent="0.25">
      <c r="T8477" s="10"/>
      <c r="U8477" s="4"/>
      <c r="V8477" s="4"/>
      <c r="X8477" s="4"/>
      <c r="Y8477" s="4"/>
    </row>
    <row r="8478" spans="20:25" x14ac:dyDescent="0.25">
      <c r="T8478" s="10"/>
      <c r="U8478" s="4"/>
      <c r="V8478" s="4"/>
      <c r="X8478" s="4"/>
      <c r="Y8478" s="4"/>
    </row>
    <row r="8479" spans="20:25" x14ac:dyDescent="0.25">
      <c r="T8479" s="10"/>
      <c r="U8479" s="4"/>
      <c r="V8479" s="4"/>
      <c r="X8479" s="4"/>
      <c r="Y8479" s="4"/>
    </row>
    <row r="8480" spans="20:25" x14ac:dyDescent="0.25">
      <c r="T8480" s="10"/>
      <c r="U8480" s="4"/>
      <c r="V8480" s="4"/>
      <c r="X8480" s="4"/>
      <c r="Y8480" s="4"/>
    </row>
    <row r="8481" spans="20:25" x14ac:dyDescent="0.25">
      <c r="T8481" s="10"/>
      <c r="U8481" s="4"/>
      <c r="V8481" s="4"/>
      <c r="X8481" s="4"/>
      <c r="Y8481" s="4"/>
    </row>
    <row r="8482" spans="20:25" x14ac:dyDescent="0.25">
      <c r="T8482" s="10"/>
      <c r="U8482" s="4"/>
      <c r="V8482" s="4"/>
      <c r="X8482" s="4"/>
      <c r="Y8482" s="4"/>
    </row>
    <row r="8483" spans="20:25" x14ac:dyDescent="0.25">
      <c r="T8483" s="10"/>
      <c r="U8483" s="4"/>
      <c r="V8483" s="4"/>
      <c r="X8483" s="4"/>
      <c r="Y8483" s="4"/>
    </row>
    <row r="8484" spans="20:25" x14ac:dyDescent="0.25">
      <c r="T8484" s="10"/>
      <c r="U8484" s="4"/>
      <c r="V8484" s="4"/>
      <c r="X8484" s="4"/>
      <c r="Y8484" s="4"/>
    </row>
    <row r="8485" spans="20:25" x14ac:dyDescent="0.25">
      <c r="T8485" s="10"/>
      <c r="U8485" s="4"/>
      <c r="V8485" s="4"/>
      <c r="X8485" s="4"/>
      <c r="Y8485" s="4"/>
    </row>
    <row r="8486" spans="20:25" x14ac:dyDescent="0.25">
      <c r="T8486" s="10"/>
      <c r="U8486" s="4"/>
      <c r="V8486" s="4"/>
      <c r="X8486" s="4"/>
      <c r="Y8486" s="4"/>
    </row>
    <row r="8487" spans="20:25" x14ac:dyDescent="0.25">
      <c r="T8487" s="10"/>
      <c r="U8487" s="4"/>
      <c r="V8487" s="4"/>
      <c r="X8487" s="4"/>
      <c r="Y8487" s="4"/>
    </row>
    <row r="8488" spans="20:25" x14ac:dyDescent="0.25">
      <c r="T8488" s="10"/>
      <c r="U8488" s="4"/>
      <c r="V8488" s="4"/>
      <c r="X8488" s="4"/>
      <c r="Y8488" s="4"/>
    </row>
    <row r="8489" spans="20:25" x14ac:dyDescent="0.25">
      <c r="T8489" s="10"/>
      <c r="U8489" s="4"/>
      <c r="V8489" s="4"/>
      <c r="X8489" s="4"/>
      <c r="Y8489" s="4"/>
    </row>
    <row r="8490" spans="20:25" x14ac:dyDescent="0.25">
      <c r="T8490" s="10"/>
      <c r="U8490" s="4"/>
      <c r="V8490" s="4"/>
      <c r="X8490" s="4"/>
      <c r="Y8490" s="4"/>
    </row>
    <row r="8491" spans="20:25" x14ac:dyDescent="0.25">
      <c r="T8491" s="10"/>
      <c r="U8491" s="4"/>
      <c r="V8491" s="4"/>
      <c r="X8491" s="4"/>
      <c r="Y8491" s="4"/>
    </row>
    <row r="8492" spans="20:25" x14ac:dyDescent="0.25">
      <c r="T8492" s="10"/>
      <c r="U8492" s="4"/>
      <c r="V8492" s="4"/>
      <c r="X8492" s="4"/>
      <c r="Y8492" s="4"/>
    </row>
    <row r="8493" spans="20:25" x14ac:dyDescent="0.25">
      <c r="T8493" s="10"/>
      <c r="U8493" s="4"/>
      <c r="V8493" s="4"/>
      <c r="X8493" s="4"/>
      <c r="Y8493" s="4"/>
    </row>
    <row r="8494" spans="20:25" x14ac:dyDescent="0.25">
      <c r="T8494" s="10"/>
      <c r="U8494" s="4"/>
      <c r="V8494" s="4"/>
      <c r="X8494" s="4"/>
      <c r="Y8494" s="4"/>
    </row>
    <row r="8495" spans="20:25" x14ac:dyDescent="0.25">
      <c r="T8495" s="10"/>
      <c r="U8495" s="4"/>
      <c r="V8495" s="4"/>
      <c r="X8495" s="4"/>
      <c r="Y8495" s="4"/>
    </row>
    <row r="8496" spans="20:25" x14ac:dyDescent="0.25">
      <c r="T8496" s="10"/>
      <c r="U8496" s="4"/>
      <c r="V8496" s="4"/>
      <c r="X8496" s="4"/>
      <c r="Y8496" s="4"/>
    </row>
    <row r="8497" spans="20:25" x14ac:dyDescent="0.25">
      <c r="T8497" s="10"/>
      <c r="U8497" s="4"/>
      <c r="V8497" s="4"/>
      <c r="X8497" s="4"/>
      <c r="Y8497" s="4"/>
    </row>
    <row r="8498" spans="20:25" x14ac:dyDescent="0.25">
      <c r="T8498" s="10"/>
      <c r="U8498" s="4"/>
      <c r="V8498" s="4"/>
      <c r="X8498" s="4"/>
      <c r="Y8498" s="4"/>
    </row>
    <row r="8499" spans="20:25" x14ac:dyDescent="0.25">
      <c r="T8499" s="10"/>
      <c r="U8499" s="4"/>
      <c r="V8499" s="4"/>
      <c r="X8499" s="4"/>
      <c r="Y8499" s="4"/>
    </row>
    <row r="8500" spans="20:25" x14ac:dyDescent="0.25">
      <c r="T8500" s="10"/>
      <c r="U8500" s="4"/>
      <c r="V8500" s="4"/>
      <c r="X8500" s="4"/>
      <c r="Y8500" s="4"/>
    </row>
    <row r="8501" spans="20:25" x14ac:dyDescent="0.25">
      <c r="T8501" s="10"/>
      <c r="U8501" s="4"/>
      <c r="V8501" s="4"/>
      <c r="X8501" s="4"/>
      <c r="Y8501" s="4"/>
    </row>
    <row r="8502" spans="20:25" x14ac:dyDescent="0.25">
      <c r="T8502" s="10"/>
      <c r="U8502" s="4"/>
      <c r="V8502" s="4"/>
      <c r="X8502" s="4"/>
      <c r="Y8502" s="4"/>
    </row>
    <row r="8503" spans="20:25" x14ac:dyDescent="0.25">
      <c r="T8503" s="10"/>
      <c r="U8503" s="4"/>
      <c r="V8503" s="4"/>
      <c r="X8503" s="4"/>
      <c r="Y8503" s="4"/>
    </row>
    <row r="8504" spans="20:25" x14ac:dyDescent="0.25">
      <c r="T8504" s="10"/>
      <c r="U8504" s="4"/>
      <c r="V8504" s="4"/>
      <c r="X8504" s="4"/>
      <c r="Y8504" s="4"/>
    </row>
    <row r="8505" spans="20:25" x14ac:dyDescent="0.25">
      <c r="T8505" s="10"/>
      <c r="U8505" s="4"/>
      <c r="V8505" s="4"/>
      <c r="X8505" s="4"/>
      <c r="Y8505" s="4"/>
    </row>
    <row r="8506" spans="20:25" x14ac:dyDescent="0.25">
      <c r="T8506" s="10"/>
      <c r="U8506" s="4"/>
      <c r="V8506" s="4"/>
      <c r="X8506" s="4"/>
      <c r="Y8506" s="4"/>
    </row>
    <row r="8507" spans="20:25" x14ac:dyDescent="0.25">
      <c r="T8507" s="10"/>
      <c r="U8507" s="4"/>
      <c r="V8507" s="4"/>
      <c r="X8507" s="4"/>
      <c r="Y8507" s="4"/>
    </row>
    <row r="8508" spans="20:25" x14ac:dyDescent="0.25">
      <c r="T8508" s="10"/>
      <c r="U8508" s="4"/>
      <c r="V8508" s="4"/>
      <c r="X8508" s="4"/>
      <c r="Y8508" s="4"/>
    </row>
    <row r="8509" spans="20:25" x14ac:dyDescent="0.25">
      <c r="T8509" s="10"/>
      <c r="U8509" s="4"/>
      <c r="V8509" s="4"/>
      <c r="X8509" s="4"/>
      <c r="Y8509" s="4"/>
    </row>
    <row r="8510" spans="20:25" x14ac:dyDescent="0.25">
      <c r="T8510" s="10"/>
      <c r="U8510" s="4"/>
      <c r="V8510" s="4"/>
      <c r="X8510" s="4"/>
      <c r="Y8510" s="4"/>
    </row>
    <row r="8511" spans="20:25" x14ac:dyDescent="0.25">
      <c r="T8511" s="10"/>
      <c r="U8511" s="4"/>
      <c r="V8511" s="4"/>
      <c r="X8511" s="4"/>
      <c r="Y8511" s="4"/>
    </row>
    <row r="8512" spans="20:25" x14ac:dyDescent="0.25">
      <c r="T8512" s="10"/>
      <c r="U8512" s="4"/>
      <c r="V8512" s="4"/>
      <c r="X8512" s="4"/>
      <c r="Y8512" s="4"/>
    </row>
    <row r="8513" spans="20:25" x14ac:dyDescent="0.25">
      <c r="T8513" s="10"/>
      <c r="U8513" s="4"/>
      <c r="V8513" s="4"/>
      <c r="X8513" s="4"/>
      <c r="Y8513" s="4"/>
    </row>
    <row r="8514" spans="20:25" x14ac:dyDescent="0.25">
      <c r="T8514" s="10"/>
      <c r="U8514" s="4"/>
      <c r="V8514" s="4"/>
      <c r="X8514" s="4"/>
      <c r="Y8514" s="4"/>
    </row>
    <row r="8515" spans="20:25" x14ac:dyDescent="0.25">
      <c r="T8515" s="10"/>
      <c r="U8515" s="4"/>
      <c r="V8515" s="4"/>
      <c r="X8515" s="4"/>
      <c r="Y8515" s="4"/>
    </row>
    <row r="8516" spans="20:25" x14ac:dyDescent="0.25">
      <c r="T8516" s="10"/>
      <c r="U8516" s="4"/>
      <c r="V8516" s="4"/>
      <c r="X8516" s="4"/>
      <c r="Y8516" s="4"/>
    </row>
    <row r="8517" spans="20:25" x14ac:dyDescent="0.25">
      <c r="T8517" s="10"/>
      <c r="U8517" s="4"/>
      <c r="V8517" s="4"/>
      <c r="X8517" s="4"/>
      <c r="Y8517" s="4"/>
    </row>
    <row r="8518" spans="20:25" x14ac:dyDescent="0.25">
      <c r="T8518" s="10"/>
      <c r="U8518" s="4"/>
      <c r="V8518" s="4"/>
      <c r="X8518" s="4"/>
      <c r="Y8518" s="4"/>
    </row>
    <row r="8519" spans="20:25" x14ac:dyDescent="0.25">
      <c r="T8519" s="10"/>
      <c r="U8519" s="4"/>
      <c r="V8519" s="4"/>
      <c r="X8519" s="4"/>
      <c r="Y8519" s="4"/>
    </row>
    <row r="8520" spans="20:25" x14ac:dyDescent="0.25">
      <c r="T8520" s="10"/>
      <c r="U8520" s="4"/>
      <c r="V8520" s="4"/>
      <c r="X8520" s="4"/>
      <c r="Y8520" s="4"/>
    </row>
    <row r="8521" spans="20:25" x14ac:dyDescent="0.25">
      <c r="T8521" s="10"/>
      <c r="U8521" s="4"/>
      <c r="V8521" s="4"/>
      <c r="X8521" s="4"/>
      <c r="Y8521" s="4"/>
    </row>
    <row r="8522" spans="20:25" x14ac:dyDescent="0.25">
      <c r="T8522" s="10"/>
      <c r="U8522" s="4"/>
      <c r="V8522" s="4"/>
      <c r="X8522" s="4"/>
      <c r="Y8522" s="4"/>
    </row>
    <row r="8523" spans="20:25" x14ac:dyDescent="0.25">
      <c r="T8523" s="10"/>
      <c r="U8523" s="4"/>
      <c r="V8523" s="4"/>
      <c r="X8523" s="4"/>
      <c r="Y8523" s="4"/>
    </row>
    <row r="8524" spans="20:25" x14ac:dyDescent="0.25">
      <c r="T8524" s="10"/>
      <c r="U8524" s="4"/>
      <c r="V8524" s="4"/>
      <c r="X8524" s="4"/>
      <c r="Y8524" s="4"/>
    </row>
    <row r="8525" spans="20:25" x14ac:dyDescent="0.25">
      <c r="T8525" s="10"/>
      <c r="U8525" s="4"/>
      <c r="V8525" s="4"/>
      <c r="X8525" s="4"/>
      <c r="Y8525" s="4"/>
    </row>
    <row r="8526" spans="20:25" x14ac:dyDescent="0.25">
      <c r="T8526" s="10"/>
      <c r="U8526" s="4"/>
      <c r="V8526" s="4"/>
      <c r="X8526" s="4"/>
      <c r="Y8526" s="4"/>
    </row>
    <row r="8527" spans="20:25" x14ac:dyDescent="0.25">
      <c r="T8527" s="10"/>
      <c r="U8527" s="4"/>
      <c r="V8527" s="4"/>
      <c r="X8527" s="4"/>
      <c r="Y8527" s="4"/>
    </row>
    <row r="8528" spans="20:25" x14ac:dyDescent="0.25">
      <c r="T8528" s="10"/>
      <c r="U8528" s="4"/>
      <c r="V8528" s="4"/>
      <c r="X8528" s="4"/>
      <c r="Y8528" s="4"/>
    </row>
    <row r="8529" spans="20:25" x14ac:dyDescent="0.25">
      <c r="T8529" s="10"/>
      <c r="U8529" s="4"/>
      <c r="V8529" s="4"/>
      <c r="X8529" s="4"/>
      <c r="Y8529" s="4"/>
    </row>
    <row r="8530" spans="20:25" x14ac:dyDescent="0.25">
      <c r="T8530" s="10"/>
      <c r="U8530" s="4"/>
      <c r="V8530" s="4"/>
      <c r="X8530" s="4"/>
      <c r="Y8530" s="4"/>
    </row>
    <row r="8531" spans="20:25" x14ac:dyDescent="0.25">
      <c r="T8531" s="10"/>
      <c r="U8531" s="4"/>
      <c r="V8531" s="4"/>
      <c r="X8531" s="4"/>
      <c r="Y8531" s="4"/>
    </row>
    <row r="8532" spans="20:25" x14ac:dyDescent="0.25">
      <c r="T8532" s="10"/>
      <c r="U8532" s="4"/>
      <c r="V8532" s="4"/>
      <c r="X8532" s="4"/>
      <c r="Y8532" s="4"/>
    </row>
    <row r="8533" spans="20:25" x14ac:dyDescent="0.25">
      <c r="T8533" s="10"/>
      <c r="U8533" s="4"/>
      <c r="V8533" s="4"/>
      <c r="X8533" s="4"/>
      <c r="Y8533" s="4"/>
    </row>
    <row r="8534" spans="20:25" x14ac:dyDescent="0.25">
      <c r="T8534" s="10"/>
      <c r="U8534" s="4"/>
      <c r="V8534" s="4"/>
      <c r="X8534" s="4"/>
      <c r="Y8534" s="4"/>
    </row>
    <row r="8535" spans="20:25" x14ac:dyDescent="0.25">
      <c r="T8535" s="10"/>
      <c r="U8535" s="4"/>
      <c r="V8535" s="4"/>
      <c r="X8535" s="4"/>
      <c r="Y8535" s="4"/>
    </row>
    <row r="8536" spans="20:25" x14ac:dyDescent="0.25">
      <c r="T8536" s="10"/>
      <c r="U8536" s="4"/>
      <c r="V8536" s="4"/>
      <c r="X8536" s="4"/>
      <c r="Y8536" s="4"/>
    </row>
    <row r="8537" spans="20:25" x14ac:dyDescent="0.25">
      <c r="T8537" s="10"/>
      <c r="U8537" s="4"/>
      <c r="V8537" s="4"/>
      <c r="X8537" s="4"/>
      <c r="Y8537" s="4"/>
    </row>
    <row r="8538" spans="20:25" x14ac:dyDescent="0.25">
      <c r="T8538" s="10"/>
      <c r="U8538" s="4"/>
      <c r="V8538" s="4"/>
      <c r="X8538" s="4"/>
      <c r="Y8538" s="4"/>
    </row>
    <row r="8539" spans="20:25" x14ac:dyDescent="0.25">
      <c r="T8539" s="10"/>
      <c r="U8539" s="4"/>
      <c r="V8539" s="4"/>
      <c r="X8539" s="4"/>
      <c r="Y8539" s="4"/>
    </row>
    <row r="8540" spans="20:25" x14ac:dyDescent="0.25">
      <c r="T8540" s="10"/>
      <c r="U8540" s="4"/>
      <c r="V8540" s="4"/>
      <c r="X8540" s="4"/>
      <c r="Y8540" s="4"/>
    </row>
    <row r="8541" spans="20:25" x14ac:dyDescent="0.25">
      <c r="T8541" s="10"/>
      <c r="U8541" s="4"/>
      <c r="V8541" s="4"/>
      <c r="X8541" s="4"/>
      <c r="Y8541" s="4"/>
    </row>
    <row r="8542" spans="20:25" x14ac:dyDescent="0.25">
      <c r="T8542" s="10"/>
      <c r="U8542" s="4"/>
      <c r="V8542" s="4"/>
      <c r="X8542" s="4"/>
      <c r="Y8542" s="4"/>
    </row>
    <row r="8543" spans="20:25" x14ac:dyDescent="0.25">
      <c r="T8543" s="10"/>
      <c r="U8543" s="4"/>
      <c r="V8543" s="4"/>
      <c r="X8543" s="4"/>
      <c r="Y8543" s="4"/>
    </row>
    <row r="8544" spans="20:25" x14ac:dyDescent="0.25">
      <c r="T8544" s="10"/>
      <c r="U8544" s="4"/>
      <c r="V8544" s="4"/>
      <c r="X8544" s="4"/>
      <c r="Y8544" s="4"/>
    </row>
    <row r="8545" spans="20:25" x14ac:dyDescent="0.25">
      <c r="T8545" s="10"/>
      <c r="U8545" s="4"/>
      <c r="V8545" s="4"/>
      <c r="X8545" s="4"/>
      <c r="Y8545" s="4"/>
    </row>
    <row r="8546" spans="20:25" x14ac:dyDescent="0.25">
      <c r="T8546" s="10"/>
      <c r="U8546" s="4"/>
      <c r="V8546" s="4"/>
      <c r="X8546" s="4"/>
      <c r="Y8546" s="4"/>
    </row>
    <row r="8547" spans="20:25" x14ac:dyDescent="0.25">
      <c r="T8547" s="10"/>
      <c r="U8547" s="4"/>
      <c r="V8547" s="4"/>
      <c r="X8547" s="4"/>
      <c r="Y8547" s="4"/>
    </row>
    <row r="8548" spans="20:25" x14ac:dyDescent="0.25">
      <c r="T8548" s="10"/>
      <c r="U8548" s="4"/>
      <c r="V8548" s="4"/>
      <c r="X8548" s="4"/>
      <c r="Y8548" s="4"/>
    </row>
    <row r="8549" spans="20:25" x14ac:dyDescent="0.25">
      <c r="T8549" s="10"/>
      <c r="U8549" s="4"/>
      <c r="V8549" s="4"/>
      <c r="X8549" s="4"/>
      <c r="Y8549" s="4"/>
    </row>
    <row r="8550" spans="20:25" x14ac:dyDescent="0.25">
      <c r="T8550" s="10"/>
      <c r="U8550" s="4"/>
      <c r="V8550" s="4"/>
      <c r="X8550" s="4"/>
      <c r="Y8550" s="4"/>
    </row>
    <row r="8551" spans="20:25" x14ac:dyDescent="0.25">
      <c r="T8551" s="10"/>
      <c r="U8551" s="4"/>
      <c r="V8551" s="4"/>
      <c r="X8551" s="4"/>
      <c r="Y8551" s="4"/>
    </row>
    <row r="8552" spans="20:25" x14ac:dyDescent="0.25">
      <c r="T8552" s="10"/>
      <c r="U8552" s="4"/>
      <c r="V8552" s="4"/>
      <c r="X8552" s="4"/>
      <c r="Y8552" s="4"/>
    </row>
    <row r="8553" spans="20:25" x14ac:dyDescent="0.25">
      <c r="T8553" s="10"/>
      <c r="U8553" s="4"/>
      <c r="V8553" s="4"/>
      <c r="X8553" s="4"/>
      <c r="Y8553" s="4"/>
    </row>
    <row r="8554" spans="20:25" x14ac:dyDescent="0.25">
      <c r="T8554" s="10"/>
      <c r="U8554" s="4"/>
      <c r="V8554" s="4"/>
      <c r="X8554" s="4"/>
      <c r="Y8554" s="4"/>
    </row>
    <row r="8555" spans="20:25" x14ac:dyDescent="0.25">
      <c r="T8555" s="10"/>
      <c r="U8555" s="4"/>
      <c r="V8555" s="4"/>
      <c r="X8555" s="4"/>
      <c r="Y8555" s="4"/>
    </row>
    <row r="8556" spans="20:25" x14ac:dyDescent="0.25">
      <c r="T8556" s="10"/>
      <c r="U8556" s="4"/>
      <c r="V8556" s="4"/>
      <c r="X8556" s="4"/>
      <c r="Y8556" s="4"/>
    </row>
    <row r="8557" spans="20:25" x14ac:dyDescent="0.25">
      <c r="T8557" s="10"/>
      <c r="U8557" s="4"/>
      <c r="V8557" s="4"/>
      <c r="X8557" s="4"/>
      <c r="Y8557" s="4"/>
    </row>
    <row r="8558" spans="20:25" x14ac:dyDescent="0.25">
      <c r="T8558" s="10"/>
      <c r="U8558" s="4"/>
      <c r="V8558" s="4"/>
      <c r="X8558" s="4"/>
      <c r="Y8558" s="4"/>
    </row>
    <row r="8559" spans="20:25" x14ac:dyDescent="0.25">
      <c r="T8559" s="10"/>
      <c r="U8559" s="4"/>
      <c r="V8559" s="4"/>
      <c r="X8559" s="4"/>
      <c r="Y8559" s="4"/>
    </row>
    <row r="8560" spans="20:25" x14ac:dyDescent="0.25">
      <c r="T8560" s="10"/>
      <c r="U8560" s="4"/>
      <c r="V8560" s="4"/>
      <c r="X8560" s="4"/>
      <c r="Y8560" s="4"/>
    </row>
    <row r="8561" spans="20:25" x14ac:dyDescent="0.25">
      <c r="T8561" s="10"/>
      <c r="U8561" s="4"/>
      <c r="V8561" s="4"/>
      <c r="X8561" s="4"/>
      <c r="Y8561" s="4"/>
    </row>
    <row r="8562" spans="20:25" x14ac:dyDescent="0.25">
      <c r="T8562" s="10"/>
      <c r="U8562" s="4"/>
      <c r="V8562" s="4"/>
      <c r="X8562" s="4"/>
      <c r="Y8562" s="4"/>
    </row>
    <row r="8563" spans="20:25" x14ac:dyDescent="0.25">
      <c r="T8563" s="10"/>
      <c r="U8563" s="4"/>
      <c r="V8563" s="4"/>
      <c r="X8563" s="4"/>
      <c r="Y8563" s="4"/>
    </row>
    <row r="8564" spans="20:25" x14ac:dyDescent="0.25">
      <c r="T8564" s="10"/>
      <c r="U8564" s="4"/>
      <c r="V8564" s="4"/>
      <c r="X8564" s="4"/>
      <c r="Y8564" s="4"/>
    </row>
    <row r="8565" spans="20:25" x14ac:dyDescent="0.25">
      <c r="T8565" s="10"/>
      <c r="U8565" s="4"/>
      <c r="V8565" s="4"/>
      <c r="X8565" s="4"/>
      <c r="Y8565" s="4"/>
    </row>
    <row r="8566" spans="20:25" x14ac:dyDescent="0.25">
      <c r="T8566" s="10"/>
      <c r="U8566" s="4"/>
      <c r="V8566" s="4"/>
      <c r="X8566" s="4"/>
      <c r="Y8566" s="4"/>
    </row>
    <row r="8567" spans="20:25" x14ac:dyDescent="0.25">
      <c r="T8567" s="10"/>
      <c r="U8567" s="4"/>
      <c r="V8567" s="4"/>
      <c r="X8567" s="4"/>
      <c r="Y8567" s="4"/>
    </row>
    <row r="8568" spans="20:25" x14ac:dyDescent="0.25">
      <c r="T8568" s="10"/>
      <c r="U8568" s="4"/>
      <c r="V8568" s="4"/>
      <c r="X8568" s="4"/>
      <c r="Y8568" s="4"/>
    </row>
    <row r="8569" spans="20:25" x14ac:dyDescent="0.25">
      <c r="T8569" s="10"/>
      <c r="U8569" s="4"/>
      <c r="V8569" s="4"/>
      <c r="X8569" s="4"/>
      <c r="Y8569" s="4"/>
    </row>
    <row r="8570" spans="20:25" x14ac:dyDescent="0.25">
      <c r="T8570" s="10"/>
      <c r="U8570" s="4"/>
      <c r="V8570" s="4"/>
      <c r="X8570" s="4"/>
      <c r="Y8570" s="4"/>
    </row>
    <row r="8571" spans="20:25" x14ac:dyDescent="0.25">
      <c r="T8571" s="10"/>
      <c r="U8571" s="4"/>
      <c r="V8571" s="4"/>
      <c r="X8571" s="4"/>
      <c r="Y8571" s="4"/>
    </row>
    <row r="8572" spans="20:25" x14ac:dyDescent="0.25">
      <c r="T8572" s="10"/>
      <c r="U8572" s="4"/>
      <c r="V8572" s="4"/>
      <c r="X8572" s="4"/>
      <c r="Y8572" s="4"/>
    </row>
    <row r="8573" spans="20:25" x14ac:dyDescent="0.25">
      <c r="T8573" s="10"/>
      <c r="U8573" s="4"/>
      <c r="V8573" s="4"/>
      <c r="X8573" s="4"/>
      <c r="Y8573" s="4"/>
    </row>
    <row r="8574" spans="20:25" x14ac:dyDescent="0.25">
      <c r="T8574" s="10"/>
      <c r="U8574" s="4"/>
      <c r="V8574" s="4"/>
      <c r="X8574" s="4"/>
      <c r="Y8574" s="4"/>
    </row>
    <row r="8575" spans="20:25" x14ac:dyDescent="0.25">
      <c r="T8575" s="10"/>
      <c r="U8575" s="4"/>
      <c r="V8575" s="4"/>
      <c r="X8575" s="4"/>
      <c r="Y8575" s="4"/>
    </row>
    <row r="8576" spans="20:25" x14ac:dyDescent="0.25">
      <c r="T8576" s="10"/>
      <c r="U8576" s="4"/>
      <c r="V8576" s="4"/>
      <c r="X8576" s="4"/>
      <c r="Y8576" s="4"/>
    </row>
    <row r="8577" spans="20:25" x14ac:dyDescent="0.25">
      <c r="T8577" s="10"/>
      <c r="U8577" s="4"/>
      <c r="V8577" s="4"/>
      <c r="X8577" s="4"/>
      <c r="Y8577" s="4"/>
    </row>
    <row r="8578" spans="20:25" x14ac:dyDescent="0.25">
      <c r="T8578" s="10"/>
      <c r="U8578" s="4"/>
      <c r="V8578" s="4"/>
      <c r="X8578" s="4"/>
      <c r="Y8578" s="4"/>
    </row>
    <row r="8579" spans="20:25" x14ac:dyDescent="0.25">
      <c r="T8579" s="10"/>
      <c r="U8579" s="4"/>
      <c r="V8579" s="4"/>
      <c r="X8579" s="4"/>
      <c r="Y8579" s="4"/>
    </row>
    <row r="8580" spans="20:25" x14ac:dyDescent="0.25">
      <c r="T8580" s="10"/>
      <c r="U8580" s="4"/>
      <c r="V8580" s="4"/>
      <c r="X8580" s="4"/>
      <c r="Y8580" s="4"/>
    </row>
    <row r="8581" spans="20:25" x14ac:dyDescent="0.25">
      <c r="T8581" s="10"/>
      <c r="U8581" s="4"/>
      <c r="V8581" s="4"/>
      <c r="X8581" s="4"/>
      <c r="Y8581" s="4"/>
    </row>
    <row r="8582" spans="20:25" x14ac:dyDescent="0.25">
      <c r="T8582" s="10"/>
      <c r="U8582" s="4"/>
      <c r="V8582" s="4"/>
      <c r="X8582" s="4"/>
      <c r="Y8582" s="4"/>
    </row>
    <row r="8583" spans="20:25" x14ac:dyDescent="0.25">
      <c r="T8583" s="10"/>
      <c r="U8583" s="4"/>
      <c r="V8583" s="4"/>
      <c r="X8583" s="4"/>
      <c r="Y8583" s="4"/>
    </row>
    <row r="8584" spans="20:25" x14ac:dyDescent="0.25">
      <c r="T8584" s="10"/>
      <c r="U8584" s="4"/>
      <c r="V8584" s="4"/>
      <c r="X8584" s="4"/>
      <c r="Y8584" s="4"/>
    </row>
    <row r="8585" spans="20:25" x14ac:dyDescent="0.25">
      <c r="T8585" s="10"/>
      <c r="U8585" s="4"/>
      <c r="V8585" s="4"/>
      <c r="X8585" s="4"/>
      <c r="Y8585" s="4"/>
    </row>
    <row r="8586" spans="20:25" x14ac:dyDescent="0.25">
      <c r="T8586" s="10"/>
      <c r="U8586" s="4"/>
      <c r="V8586" s="4"/>
      <c r="X8586" s="4"/>
      <c r="Y8586" s="4"/>
    </row>
    <row r="8587" spans="20:25" x14ac:dyDescent="0.25">
      <c r="T8587" s="10"/>
      <c r="U8587" s="4"/>
      <c r="V8587" s="4"/>
      <c r="X8587" s="4"/>
      <c r="Y8587" s="4"/>
    </row>
    <row r="8588" spans="20:25" x14ac:dyDescent="0.25">
      <c r="T8588" s="10"/>
      <c r="U8588" s="4"/>
      <c r="V8588" s="4"/>
      <c r="X8588" s="4"/>
      <c r="Y8588" s="4"/>
    </row>
    <row r="8589" spans="20:25" x14ac:dyDescent="0.25">
      <c r="T8589" s="10"/>
      <c r="U8589" s="4"/>
      <c r="V8589" s="4"/>
      <c r="X8589" s="4"/>
      <c r="Y8589" s="4"/>
    </row>
    <row r="8590" spans="20:25" x14ac:dyDescent="0.25">
      <c r="T8590" s="10"/>
      <c r="U8590" s="4"/>
      <c r="V8590" s="4"/>
      <c r="X8590" s="4"/>
      <c r="Y8590" s="4"/>
    </row>
    <row r="8591" spans="20:25" x14ac:dyDescent="0.25">
      <c r="T8591" s="10"/>
      <c r="U8591" s="4"/>
      <c r="V8591" s="4"/>
      <c r="X8591" s="4"/>
      <c r="Y8591" s="4"/>
    </row>
    <row r="8592" spans="20:25" x14ac:dyDescent="0.25">
      <c r="T8592" s="10"/>
      <c r="U8592" s="4"/>
      <c r="V8592" s="4"/>
      <c r="X8592" s="4"/>
      <c r="Y8592" s="4"/>
    </row>
    <row r="8593" spans="20:25" x14ac:dyDescent="0.25">
      <c r="T8593" s="10"/>
      <c r="U8593" s="4"/>
      <c r="V8593" s="4"/>
      <c r="X8593" s="4"/>
      <c r="Y8593" s="4"/>
    </row>
    <row r="8594" spans="20:25" x14ac:dyDescent="0.25">
      <c r="T8594" s="10"/>
      <c r="U8594" s="4"/>
      <c r="V8594" s="4"/>
      <c r="X8594" s="4"/>
      <c r="Y8594" s="4"/>
    </row>
    <row r="8595" spans="20:25" x14ac:dyDescent="0.25">
      <c r="T8595" s="10"/>
      <c r="U8595" s="4"/>
      <c r="V8595" s="4"/>
      <c r="X8595" s="4"/>
      <c r="Y8595" s="4"/>
    </row>
    <row r="8596" spans="20:25" x14ac:dyDescent="0.25">
      <c r="T8596" s="10"/>
      <c r="U8596" s="4"/>
      <c r="V8596" s="4"/>
      <c r="X8596" s="4"/>
      <c r="Y8596" s="4"/>
    </row>
    <row r="8597" spans="20:25" x14ac:dyDescent="0.25">
      <c r="T8597" s="10"/>
      <c r="U8597" s="4"/>
      <c r="V8597" s="4"/>
      <c r="X8597" s="4"/>
      <c r="Y8597" s="4"/>
    </row>
    <row r="8598" spans="20:25" x14ac:dyDescent="0.25">
      <c r="T8598" s="10"/>
      <c r="U8598" s="4"/>
      <c r="V8598" s="4"/>
      <c r="X8598" s="4"/>
      <c r="Y8598" s="4"/>
    </row>
    <row r="8599" spans="20:25" x14ac:dyDescent="0.25">
      <c r="T8599" s="10"/>
      <c r="U8599" s="4"/>
      <c r="V8599" s="4"/>
      <c r="X8599" s="4"/>
      <c r="Y8599" s="4"/>
    </row>
    <row r="8600" spans="20:25" x14ac:dyDescent="0.25">
      <c r="T8600" s="10"/>
      <c r="U8600" s="4"/>
      <c r="V8600" s="4"/>
      <c r="X8600" s="4"/>
      <c r="Y8600" s="4"/>
    </row>
    <row r="8601" spans="20:25" x14ac:dyDescent="0.25">
      <c r="T8601" s="10"/>
      <c r="U8601" s="4"/>
      <c r="V8601" s="4"/>
      <c r="X8601" s="4"/>
      <c r="Y8601" s="4"/>
    </row>
    <row r="8602" spans="20:25" x14ac:dyDescent="0.25">
      <c r="T8602" s="10"/>
      <c r="U8602" s="4"/>
      <c r="V8602" s="4"/>
      <c r="X8602" s="4"/>
      <c r="Y8602" s="4"/>
    </row>
    <row r="8603" spans="20:25" x14ac:dyDescent="0.25">
      <c r="T8603" s="10"/>
      <c r="U8603" s="4"/>
      <c r="V8603" s="4"/>
      <c r="X8603" s="4"/>
      <c r="Y8603" s="4"/>
    </row>
    <row r="8604" spans="20:25" x14ac:dyDescent="0.25">
      <c r="T8604" s="10"/>
      <c r="U8604" s="4"/>
      <c r="V8604" s="4"/>
      <c r="X8604" s="4"/>
      <c r="Y8604" s="4"/>
    </row>
    <row r="8605" spans="20:25" x14ac:dyDescent="0.25">
      <c r="T8605" s="10"/>
      <c r="U8605" s="4"/>
      <c r="V8605" s="4"/>
      <c r="X8605" s="4"/>
      <c r="Y8605" s="4"/>
    </row>
    <row r="8606" spans="20:25" x14ac:dyDescent="0.25">
      <c r="T8606" s="10"/>
      <c r="U8606" s="4"/>
      <c r="V8606" s="4"/>
      <c r="X8606" s="4"/>
      <c r="Y8606" s="4"/>
    </row>
    <row r="8607" spans="20:25" x14ac:dyDescent="0.25">
      <c r="T8607" s="10"/>
      <c r="U8607" s="4"/>
      <c r="V8607" s="4"/>
      <c r="X8607" s="4"/>
      <c r="Y8607" s="4"/>
    </row>
    <row r="8608" spans="20:25" x14ac:dyDescent="0.25">
      <c r="T8608" s="10"/>
      <c r="U8608" s="4"/>
      <c r="V8608" s="4"/>
      <c r="X8608" s="4"/>
      <c r="Y8608" s="4"/>
    </row>
    <row r="8609" spans="20:25" x14ac:dyDescent="0.25">
      <c r="T8609" s="10"/>
      <c r="U8609" s="4"/>
      <c r="V8609" s="4"/>
      <c r="X8609" s="4"/>
      <c r="Y8609" s="4"/>
    </row>
    <row r="8610" spans="20:25" x14ac:dyDescent="0.25">
      <c r="T8610" s="10"/>
      <c r="U8610" s="4"/>
      <c r="V8610" s="4"/>
      <c r="X8610" s="4"/>
      <c r="Y8610" s="4"/>
    </row>
    <row r="8611" spans="20:25" x14ac:dyDescent="0.25">
      <c r="T8611" s="10"/>
      <c r="U8611" s="4"/>
      <c r="V8611" s="4"/>
      <c r="X8611" s="4"/>
      <c r="Y8611" s="4"/>
    </row>
    <row r="8612" spans="20:25" x14ac:dyDescent="0.25">
      <c r="T8612" s="10"/>
      <c r="U8612" s="4"/>
      <c r="V8612" s="4"/>
      <c r="X8612" s="4"/>
      <c r="Y8612" s="4"/>
    </row>
    <row r="8613" spans="20:25" x14ac:dyDescent="0.25">
      <c r="T8613" s="10"/>
      <c r="U8613" s="4"/>
      <c r="V8613" s="4"/>
      <c r="X8613" s="4"/>
      <c r="Y8613" s="4"/>
    </row>
    <row r="8614" spans="20:25" x14ac:dyDescent="0.25">
      <c r="T8614" s="10"/>
      <c r="U8614" s="4"/>
      <c r="V8614" s="4"/>
      <c r="X8614" s="4"/>
      <c r="Y8614" s="4"/>
    </row>
    <row r="8615" spans="20:25" x14ac:dyDescent="0.25">
      <c r="T8615" s="10"/>
      <c r="U8615" s="4"/>
      <c r="V8615" s="4"/>
      <c r="X8615" s="4"/>
      <c r="Y8615" s="4"/>
    </row>
    <row r="8616" spans="20:25" x14ac:dyDescent="0.25">
      <c r="T8616" s="10"/>
      <c r="U8616" s="4"/>
      <c r="V8616" s="4"/>
      <c r="X8616" s="4"/>
      <c r="Y8616" s="4"/>
    </row>
    <row r="8617" spans="20:25" x14ac:dyDescent="0.25">
      <c r="T8617" s="10"/>
      <c r="U8617" s="4"/>
      <c r="V8617" s="4"/>
      <c r="X8617" s="4"/>
      <c r="Y8617" s="4"/>
    </row>
    <row r="8618" spans="20:25" x14ac:dyDescent="0.25">
      <c r="T8618" s="10"/>
      <c r="U8618" s="4"/>
      <c r="V8618" s="4"/>
      <c r="X8618" s="4"/>
      <c r="Y8618" s="4"/>
    </row>
    <row r="8619" spans="20:25" x14ac:dyDescent="0.25">
      <c r="T8619" s="10"/>
      <c r="U8619" s="4"/>
      <c r="V8619" s="4"/>
      <c r="X8619" s="4"/>
      <c r="Y8619" s="4"/>
    </row>
    <row r="8620" spans="20:25" x14ac:dyDescent="0.25">
      <c r="T8620" s="10"/>
      <c r="U8620" s="4"/>
      <c r="V8620" s="4"/>
      <c r="X8620" s="4"/>
      <c r="Y8620" s="4"/>
    </row>
    <row r="8621" spans="20:25" x14ac:dyDescent="0.25">
      <c r="T8621" s="10"/>
      <c r="U8621" s="4"/>
      <c r="V8621" s="4"/>
      <c r="X8621" s="4"/>
      <c r="Y8621" s="4"/>
    </row>
    <row r="8622" spans="20:25" x14ac:dyDescent="0.25">
      <c r="T8622" s="10"/>
      <c r="U8622" s="4"/>
      <c r="V8622" s="4"/>
      <c r="X8622" s="4"/>
      <c r="Y8622" s="4"/>
    </row>
    <row r="8623" spans="20:25" x14ac:dyDescent="0.25">
      <c r="T8623" s="10"/>
      <c r="U8623" s="4"/>
      <c r="V8623" s="4"/>
      <c r="X8623" s="4"/>
      <c r="Y8623" s="4"/>
    </row>
    <row r="8624" spans="20:25" x14ac:dyDescent="0.25">
      <c r="T8624" s="10"/>
      <c r="U8624" s="4"/>
      <c r="V8624" s="4"/>
      <c r="X8624" s="4"/>
      <c r="Y8624" s="4"/>
    </row>
    <row r="8625" spans="20:25" x14ac:dyDescent="0.25">
      <c r="T8625" s="10"/>
      <c r="U8625" s="4"/>
      <c r="V8625" s="4"/>
      <c r="X8625" s="4"/>
      <c r="Y8625" s="4"/>
    </row>
    <row r="8626" spans="20:25" x14ac:dyDescent="0.25">
      <c r="T8626" s="10"/>
      <c r="U8626" s="4"/>
      <c r="V8626" s="4"/>
      <c r="X8626" s="4"/>
      <c r="Y8626" s="4"/>
    </row>
    <row r="8627" spans="20:25" x14ac:dyDescent="0.25">
      <c r="T8627" s="10"/>
      <c r="U8627" s="4"/>
      <c r="V8627" s="4"/>
      <c r="X8627" s="4"/>
      <c r="Y8627" s="4"/>
    </row>
    <row r="8628" spans="20:25" x14ac:dyDescent="0.25">
      <c r="T8628" s="10"/>
      <c r="U8628" s="4"/>
      <c r="V8628" s="4"/>
      <c r="X8628" s="4"/>
      <c r="Y8628" s="4"/>
    </row>
    <row r="8629" spans="20:25" x14ac:dyDescent="0.25">
      <c r="T8629" s="10"/>
      <c r="U8629" s="4"/>
      <c r="V8629" s="4"/>
      <c r="X8629" s="4"/>
      <c r="Y8629" s="4"/>
    </row>
    <row r="8630" spans="20:25" x14ac:dyDescent="0.25">
      <c r="T8630" s="10"/>
      <c r="U8630" s="4"/>
      <c r="V8630" s="4"/>
      <c r="X8630" s="4"/>
      <c r="Y8630" s="4"/>
    </row>
    <row r="8631" spans="20:25" x14ac:dyDescent="0.25">
      <c r="T8631" s="10"/>
      <c r="U8631" s="4"/>
      <c r="V8631" s="4"/>
      <c r="X8631" s="4"/>
      <c r="Y8631" s="4"/>
    </row>
    <row r="8632" spans="20:25" x14ac:dyDescent="0.25">
      <c r="T8632" s="10"/>
      <c r="U8632" s="4"/>
      <c r="V8632" s="4"/>
      <c r="X8632" s="4"/>
      <c r="Y8632" s="4"/>
    </row>
    <row r="8633" spans="20:25" x14ac:dyDescent="0.25">
      <c r="T8633" s="10"/>
      <c r="U8633" s="4"/>
      <c r="V8633" s="4"/>
      <c r="X8633" s="4"/>
      <c r="Y8633" s="4"/>
    </row>
    <row r="8634" spans="20:25" x14ac:dyDescent="0.25">
      <c r="T8634" s="10"/>
      <c r="U8634" s="4"/>
      <c r="V8634" s="4"/>
      <c r="X8634" s="4"/>
      <c r="Y8634" s="4"/>
    </row>
    <row r="8635" spans="20:25" x14ac:dyDescent="0.25">
      <c r="T8635" s="10"/>
      <c r="U8635" s="4"/>
      <c r="V8635" s="4"/>
      <c r="X8635" s="4"/>
      <c r="Y8635" s="4"/>
    </row>
    <row r="8636" spans="20:25" x14ac:dyDescent="0.25">
      <c r="T8636" s="10"/>
      <c r="U8636" s="4"/>
      <c r="V8636" s="4"/>
      <c r="X8636" s="4"/>
      <c r="Y8636" s="4"/>
    </row>
    <row r="8637" spans="20:25" x14ac:dyDescent="0.25">
      <c r="T8637" s="10"/>
      <c r="U8637" s="4"/>
      <c r="V8637" s="4"/>
      <c r="X8637" s="4"/>
      <c r="Y8637" s="4"/>
    </row>
    <row r="8638" spans="20:25" x14ac:dyDescent="0.25">
      <c r="T8638" s="10"/>
      <c r="U8638" s="4"/>
      <c r="V8638" s="4"/>
      <c r="X8638" s="4"/>
      <c r="Y8638" s="4"/>
    </row>
    <row r="8639" spans="20:25" x14ac:dyDescent="0.25">
      <c r="T8639" s="10"/>
      <c r="U8639" s="4"/>
      <c r="V8639" s="4"/>
      <c r="X8639" s="4"/>
      <c r="Y8639" s="4"/>
    </row>
    <row r="8640" spans="20:25" x14ac:dyDescent="0.25">
      <c r="T8640" s="10"/>
      <c r="U8640" s="4"/>
      <c r="V8640" s="4"/>
      <c r="X8640" s="4"/>
      <c r="Y8640" s="4"/>
    </row>
    <row r="8641" spans="20:25" x14ac:dyDescent="0.25">
      <c r="T8641" s="10"/>
      <c r="U8641" s="4"/>
      <c r="V8641" s="4"/>
      <c r="X8641" s="4"/>
      <c r="Y8641" s="4"/>
    </row>
    <row r="8642" spans="20:25" x14ac:dyDescent="0.25">
      <c r="T8642" s="10"/>
      <c r="U8642" s="4"/>
      <c r="V8642" s="4"/>
      <c r="X8642" s="4"/>
      <c r="Y8642" s="4"/>
    </row>
    <row r="8643" spans="20:25" x14ac:dyDescent="0.25">
      <c r="T8643" s="10"/>
      <c r="U8643" s="4"/>
      <c r="V8643" s="4"/>
      <c r="X8643" s="4"/>
      <c r="Y8643" s="4"/>
    </row>
    <row r="8644" spans="20:25" x14ac:dyDescent="0.25">
      <c r="T8644" s="10"/>
      <c r="U8644" s="4"/>
      <c r="V8644" s="4"/>
      <c r="X8644" s="4"/>
      <c r="Y8644" s="4"/>
    </row>
    <row r="8645" spans="20:25" x14ac:dyDescent="0.25">
      <c r="T8645" s="10"/>
      <c r="U8645" s="4"/>
      <c r="V8645" s="4"/>
      <c r="X8645" s="4"/>
      <c r="Y8645" s="4"/>
    </row>
    <row r="8646" spans="20:25" x14ac:dyDescent="0.25">
      <c r="T8646" s="10"/>
      <c r="U8646" s="4"/>
      <c r="V8646" s="4"/>
      <c r="X8646" s="4"/>
      <c r="Y8646" s="4"/>
    </row>
    <row r="8647" spans="20:25" x14ac:dyDescent="0.25">
      <c r="T8647" s="10"/>
      <c r="U8647" s="4"/>
      <c r="V8647" s="4"/>
      <c r="X8647" s="4"/>
      <c r="Y8647" s="4"/>
    </row>
    <row r="8648" spans="20:25" x14ac:dyDescent="0.25">
      <c r="T8648" s="10"/>
      <c r="U8648" s="4"/>
      <c r="V8648" s="4"/>
      <c r="X8648" s="4"/>
      <c r="Y8648" s="4"/>
    </row>
    <row r="8649" spans="20:25" x14ac:dyDescent="0.25">
      <c r="T8649" s="10"/>
      <c r="U8649" s="4"/>
      <c r="V8649" s="4"/>
      <c r="X8649" s="4"/>
      <c r="Y8649" s="4"/>
    </row>
    <row r="8650" spans="20:25" x14ac:dyDescent="0.25">
      <c r="T8650" s="10"/>
      <c r="U8650" s="4"/>
      <c r="V8650" s="4"/>
      <c r="X8650" s="4"/>
      <c r="Y8650" s="4"/>
    </row>
    <row r="8651" spans="20:25" x14ac:dyDescent="0.25">
      <c r="T8651" s="10"/>
      <c r="U8651" s="4"/>
      <c r="V8651" s="4"/>
      <c r="X8651" s="4"/>
      <c r="Y8651" s="4"/>
    </row>
    <row r="8652" spans="20:25" x14ac:dyDescent="0.25">
      <c r="T8652" s="10"/>
      <c r="U8652" s="4"/>
      <c r="V8652" s="4"/>
      <c r="X8652" s="4"/>
      <c r="Y8652" s="4"/>
    </row>
    <row r="8653" spans="20:25" x14ac:dyDescent="0.25">
      <c r="T8653" s="10"/>
      <c r="U8653" s="4"/>
      <c r="V8653" s="4"/>
      <c r="X8653" s="4"/>
      <c r="Y8653" s="4"/>
    </row>
    <row r="8654" spans="20:25" x14ac:dyDescent="0.25">
      <c r="T8654" s="10"/>
      <c r="U8654" s="4"/>
      <c r="V8654" s="4"/>
      <c r="X8654" s="4"/>
      <c r="Y8654" s="4"/>
    </row>
    <row r="8655" spans="20:25" x14ac:dyDescent="0.25">
      <c r="T8655" s="10"/>
      <c r="U8655" s="4"/>
      <c r="V8655" s="4"/>
      <c r="X8655" s="4"/>
      <c r="Y8655" s="4"/>
    </row>
    <row r="8656" spans="20:25" x14ac:dyDescent="0.25">
      <c r="T8656" s="10"/>
      <c r="U8656" s="4"/>
      <c r="V8656" s="4"/>
      <c r="X8656" s="4"/>
      <c r="Y8656" s="4"/>
    </row>
    <row r="8657" spans="20:25" x14ac:dyDescent="0.25">
      <c r="T8657" s="10"/>
      <c r="U8657" s="4"/>
      <c r="V8657" s="4"/>
      <c r="X8657" s="4"/>
      <c r="Y8657" s="4"/>
    </row>
    <row r="8658" spans="20:25" x14ac:dyDescent="0.25">
      <c r="T8658" s="10"/>
      <c r="U8658" s="4"/>
      <c r="V8658" s="4"/>
      <c r="X8658" s="4"/>
      <c r="Y8658" s="4"/>
    </row>
    <row r="8659" spans="20:25" x14ac:dyDescent="0.25">
      <c r="T8659" s="10"/>
      <c r="U8659" s="4"/>
      <c r="V8659" s="4"/>
      <c r="X8659" s="4"/>
      <c r="Y8659" s="4"/>
    </row>
    <row r="8660" spans="20:25" x14ac:dyDescent="0.25">
      <c r="T8660" s="10"/>
      <c r="U8660" s="4"/>
      <c r="V8660" s="4"/>
      <c r="X8660" s="4"/>
      <c r="Y8660" s="4"/>
    </row>
    <row r="8661" spans="20:25" x14ac:dyDescent="0.25">
      <c r="T8661" s="10"/>
      <c r="U8661" s="4"/>
      <c r="V8661" s="4"/>
      <c r="X8661" s="4"/>
      <c r="Y8661" s="4"/>
    </row>
    <row r="8662" spans="20:25" x14ac:dyDescent="0.25">
      <c r="T8662" s="10"/>
      <c r="U8662" s="4"/>
      <c r="V8662" s="4"/>
      <c r="X8662" s="4"/>
      <c r="Y8662" s="4"/>
    </row>
    <row r="8663" spans="20:25" x14ac:dyDescent="0.25">
      <c r="T8663" s="10"/>
      <c r="U8663" s="4"/>
      <c r="V8663" s="4"/>
      <c r="X8663" s="4"/>
      <c r="Y8663" s="4"/>
    </row>
    <row r="8664" spans="20:25" x14ac:dyDescent="0.25">
      <c r="T8664" s="10"/>
      <c r="U8664" s="4"/>
      <c r="V8664" s="4"/>
      <c r="X8664" s="4"/>
      <c r="Y8664" s="4"/>
    </row>
    <row r="8665" spans="20:25" x14ac:dyDescent="0.25">
      <c r="T8665" s="10"/>
      <c r="U8665" s="4"/>
      <c r="V8665" s="4"/>
      <c r="X8665" s="4"/>
      <c r="Y8665" s="4"/>
    </row>
    <row r="8666" spans="20:25" x14ac:dyDescent="0.25">
      <c r="T8666" s="10"/>
      <c r="U8666" s="4"/>
      <c r="V8666" s="4"/>
      <c r="X8666" s="4"/>
      <c r="Y8666" s="4"/>
    </row>
    <row r="8667" spans="20:25" x14ac:dyDescent="0.25">
      <c r="T8667" s="10"/>
      <c r="U8667" s="4"/>
      <c r="V8667" s="4"/>
      <c r="X8667" s="4"/>
      <c r="Y8667" s="4"/>
    </row>
    <row r="8668" spans="20:25" x14ac:dyDescent="0.25">
      <c r="T8668" s="10"/>
      <c r="U8668" s="4"/>
      <c r="V8668" s="4"/>
      <c r="X8668" s="4"/>
      <c r="Y8668" s="4"/>
    </row>
    <row r="8669" spans="20:25" x14ac:dyDescent="0.25">
      <c r="T8669" s="10"/>
      <c r="U8669" s="4"/>
      <c r="V8669" s="4"/>
      <c r="X8669" s="4"/>
      <c r="Y8669" s="4"/>
    </row>
    <row r="8670" spans="20:25" x14ac:dyDescent="0.25">
      <c r="T8670" s="10"/>
      <c r="U8670" s="4"/>
      <c r="V8670" s="4"/>
      <c r="X8670" s="4"/>
      <c r="Y8670" s="4"/>
    </row>
    <row r="8671" spans="20:25" x14ac:dyDescent="0.25">
      <c r="T8671" s="10"/>
      <c r="U8671" s="4"/>
      <c r="V8671" s="4"/>
      <c r="X8671" s="4"/>
      <c r="Y8671" s="4"/>
    </row>
    <row r="8672" spans="20:25" x14ac:dyDescent="0.25">
      <c r="T8672" s="10"/>
      <c r="U8672" s="4"/>
      <c r="V8672" s="4"/>
      <c r="X8672" s="4"/>
      <c r="Y8672" s="4"/>
    </row>
    <row r="8673" spans="20:25" x14ac:dyDescent="0.25">
      <c r="T8673" s="10"/>
      <c r="U8673" s="4"/>
      <c r="V8673" s="4"/>
      <c r="X8673" s="4"/>
      <c r="Y8673" s="4"/>
    </row>
    <row r="8674" spans="20:25" x14ac:dyDescent="0.25">
      <c r="T8674" s="10"/>
      <c r="U8674" s="4"/>
      <c r="V8674" s="4"/>
      <c r="X8674" s="4"/>
      <c r="Y8674" s="4"/>
    </row>
    <row r="8675" spans="20:25" x14ac:dyDescent="0.25">
      <c r="T8675" s="10"/>
      <c r="U8675" s="4"/>
      <c r="V8675" s="4"/>
      <c r="X8675" s="4"/>
      <c r="Y8675" s="4"/>
    </row>
    <row r="8676" spans="20:25" x14ac:dyDescent="0.25">
      <c r="T8676" s="10"/>
      <c r="U8676" s="4"/>
      <c r="V8676" s="4"/>
      <c r="X8676" s="4"/>
      <c r="Y8676" s="4"/>
    </row>
    <row r="8677" spans="20:25" x14ac:dyDescent="0.25">
      <c r="T8677" s="10"/>
      <c r="U8677" s="4"/>
      <c r="V8677" s="4"/>
      <c r="X8677" s="4"/>
      <c r="Y8677" s="4"/>
    </row>
    <row r="8678" spans="20:25" x14ac:dyDescent="0.25">
      <c r="T8678" s="10"/>
      <c r="U8678" s="4"/>
      <c r="V8678" s="4"/>
      <c r="X8678" s="4"/>
      <c r="Y8678" s="4"/>
    </row>
    <row r="8679" spans="20:25" x14ac:dyDescent="0.25">
      <c r="T8679" s="10"/>
      <c r="U8679" s="4"/>
      <c r="V8679" s="4"/>
      <c r="X8679" s="4"/>
      <c r="Y8679" s="4"/>
    </row>
    <row r="8680" spans="20:25" x14ac:dyDescent="0.25">
      <c r="T8680" s="10"/>
      <c r="U8680" s="4"/>
      <c r="V8680" s="4"/>
      <c r="X8680" s="4"/>
      <c r="Y8680" s="4"/>
    </row>
    <row r="8681" spans="20:25" x14ac:dyDescent="0.25">
      <c r="T8681" s="10"/>
      <c r="U8681" s="4"/>
      <c r="V8681" s="4"/>
      <c r="X8681" s="4"/>
      <c r="Y8681" s="4"/>
    </row>
    <row r="8682" spans="20:25" x14ac:dyDescent="0.25">
      <c r="T8682" s="10"/>
      <c r="U8682" s="4"/>
      <c r="V8682" s="4"/>
      <c r="X8682" s="4"/>
      <c r="Y8682" s="4"/>
    </row>
    <row r="8683" spans="20:25" x14ac:dyDescent="0.25">
      <c r="T8683" s="10"/>
      <c r="U8683" s="4"/>
      <c r="V8683" s="4"/>
      <c r="X8683" s="4"/>
      <c r="Y8683" s="4"/>
    </row>
    <row r="8684" spans="20:25" x14ac:dyDescent="0.25">
      <c r="T8684" s="10"/>
      <c r="U8684" s="4"/>
      <c r="V8684" s="4"/>
      <c r="X8684" s="4"/>
      <c r="Y8684" s="4"/>
    </row>
    <row r="8685" spans="20:25" x14ac:dyDescent="0.25">
      <c r="T8685" s="10"/>
      <c r="U8685" s="4"/>
      <c r="V8685" s="4"/>
      <c r="X8685" s="4"/>
      <c r="Y8685" s="4"/>
    </row>
    <row r="8686" spans="20:25" x14ac:dyDescent="0.25">
      <c r="T8686" s="10"/>
      <c r="U8686" s="4"/>
      <c r="V8686" s="4"/>
      <c r="X8686" s="4"/>
      <c r="Y8686" s="4"/>
    </row>
    <row r="8687" spans="20:25" x14ac:dyDescent="0.25">
      <c r="T8687" s="10"/>
      <c r="U8687" s="4"/>
      <c r="V8687" s="4"/>
      <c r="X8687" s="4"/>
      <c r="Y8687" s="4"/>
    </row>
    <row r="8688" spans="20:25" x14ac:dyDescent="0.25">
      <c r="T8688" s="10"/>
      <c r="U8688" s="4"/>
      <c r="V8688" s="4"/>
      <c r="X8688" s="4"/>
      <c r="Y8688" s="4"/>
    </row>
    <row r="8689" spans="20:25" x14ac:dyDescent="0.25">
      <c r="T8689" s="10"/>
      <c r="U8689" s="4"/>
      <c r="V8689" s="4"/>
      <c r="X8689" s="4"/>
      <c r="Y8689" s="4"/>
    </row>
    <row r="8690" spans="20:25" x14ac:dyDescent="0.25">
      <c r="T8690" s="10"/>
      <c r="U8690" s="4"/>
      <c r="V8690" s="4"/>
      <c r="X8690" s="4"/>
      <c r="Y8690" s="4"/>
    </row>
    <row r="8691" spans="20:25" x14ac:dyDescent="0.25">
      <c r="T8691" s="10"/>
      <c r="U8691" s="4"/>
      <c r="V8691" s="4"/>
      <c r="X8691" s="4"/>
      <c r="Y8691" s="4"/>
    </row>
    <row r="8692" spans="20:25" x14ac:dyDescent="0.25">
      <c r="T8692" s="10"/>
      <c r="U8692" s="4"/>
      <c r="V8692" s="4"/>
      <c r="X8692" s="4"/>
      <c r="Y8692" s="4"/>
    </row>
    <row r="8693" spans="20:25" x14ac:dyDescent="0.25">
      <c r="T8693" s="10"/>
      <c r="U8693" s="4"/>
      <c r="V8693" s="4"/>
      <c r="X8693" s="4"/>
      <c r="Y8693" s="4"/>
    </row>
    <row r="8694" spans="20:25" x14ac:dyDescent="0.25">
      <c r="T8694" s="10"/>
      <c r="U8694" s="4"/>
      <c r="V8694" s="4"/>
      <c r="X8694" s="4"/>
      <c r="Y8694" s="4"/>
    </row>
    <row r="8695" spans="20:25" x14ac:dyDescent="0.25">
      <c r="T8695" s="10"/>
      <c r="U8695" s="4"/>
      <c r="V8695" s="4"/>
      <c r="X8695" s="4"/>
      <c r="Y8695" s="4"/>
    </row>
    <row r="8696" spans="20:25" x14ac:dyDescent="0.25">
      <c r="T8696" s="10"/>
      <c r="U8696" s="4"/>
      <c r="V8696" s="4"/>
      <c r="X8696" s="4"/>
      <c r="Y8696" s="4"/>
    </row>
    <row r="8697" spans="20:25" x14ac:dyDescent="0.25">
      <c r="T8697" s="10"/>
      <c r="U8697" s="4"/>
      <c r="V8697" s="4"/>
      <c r="X8697" s="4"/>
      <c r="Y8697" s="4"/>
    </row>
    <row r="8698" spans="20:25" x14ac:dyDescent="0.25">
      <c r="T8698" s="10"/>
      <c r="U8698" s="4"/>
      <c r="V8698" s="4"/>
      <c r="X8698" s="4"/>
      <c r="Y8698" s="4"/>
    </row>
    <row r="8699" spans="20:25" x14ac:dyDescent="0.25">
      <c r="T8699" s="10"/>
      <c r="U8699" s="4"/>
      <c r="V8699" s="4"/>
      <c r="X8699" s="4"/>
      <c r="Y8699" s="4"/>
    </row>
    <row r="8700" spans="20:25" x14ac:dyDescent="0.25">
      <c r="T8700" s="10"/>
      <c r="U8700" s="4"/>
      <c r="V8700" s="4"/>
      <c r="X8700" s="4"/>
      <c r="Y8700" s="4"/>
    </row>
    <row r="8701" spans="20:25" x14ac:dyDescent="0.25">
      <c r="T8701" s="10"/>
      <c r="U8701" s="4"/>
      <c r="V8701" s="4"/>
      <c r="X8701" s="4"/>
      <c r="Y8701" s="4"/>
    </row>
    <row r="8702" spans="20:25" x14ac:dyDescent="0.25">
      <c r="T8702" s="10"/>
      <c r="U8702" s="4"/>
      <c r="V8702" s="4"/>
      <c r="X8702" s="4"/>
      <c r="Y8702" s="4"/>
    </row>
    <row r="8703" spans="20:25" x14ac:dyDescent="0.25">
      <c r="T8703" s="10"/>
      <c r="U8703" s="4"/>
      <c r="V8703" s="4"/>
      <c r="X8703" s="4"/>
      <c r="Y8703" s="4"/>
    </row>
    <row r="8704" spans="20:25" x14ac:dyDescent="0.25">
      <c r="T8704" s="10"/>
      <c r="U8704" s="4"/>
      <c r="V8704" s="4"/>
      <c r="X8704" s="4"/>
      <c r="Y8704" s="4"/>
    </row>
    <row r="8705" spans="20:25" x14ac:dyDescent="0.25">
      <c r="T8705" s="10"/>
      <c r="U8705" s="4"/>
      <c r="V8705" s="4"/>
      <c r="X8705" s="4"/>
      <c r="Y8705" s="4"/>
    </row>
    <row r="8706" spans="20:25" x14ac:dyDescent="0.25">
      <c r="T8706" s="10"/>
      <c r="U8706" s="4"/>
      <c r="V8706" s="4"/>
      <c r="X8706" s="4"/>
      <c r="Y8706" s="4"/>
    </row>
    <row r="8707" spans="20:25" x14ac:dyDescent="0.25">
      <c r="T8707" s="10"/>
      <c r="U8707" s="4"/>
      <c r="V8707" s="4"/>
      <c r="X8707" s="4"/>
      <c r="Y8707" s="4"/>
    </row>
    <row r="8708" spans="20:25" x14ac:dyDescent="0.25">
      <c r="T8708" s="10"/>
      <c r="U8708" s="4"/>
      <c r="V8708" s="4"/>
      <c r="X8708" s="4"/>
      <c r="Y8708" s="4"/>
    </row>
    <row r="8709" spans="20:25" x14ac:dyDescent="0.25">
      <c r="T8709" s="10"/>
      <c r="U8709" s="4"/>
      <c r="V8709" s="4"/>
      <c r="X8709" s="4"/>
      <c r="Y8709" s="4"/>
    </row>
    <row r="8710" spans="20:25" x14ac:dyDescent="0.25">
      <c r="T8710" s="10"/>
      <c r="U8710" s="4"/>
      <c r="V8710" s="4"/>
      <c r="X8710" s="4"/>
      <c r="Y8710" s="4"/>
    </row>
    <row r="8711" spans="20:25" x14ac:dyDescent="0.25">
      <c r="T8711" s="10"/>
      <c r="U8711" s="4"/>
      <c r="V8711" s="4"/>
      <c r="X8711" s="4"/>
      <c r="Y8711" s="4"/>
    </row>
    <row r="8712" spans="20:25" x14ac:dyDescent="0.25">
      <c r="T8712" s="10"/>
      <c r="U8712" s="4"/>
      <c r="V8712" s="4"/>
      <c r="X8712" s="4"/>
      <c r="Y8712" s="4"/>
    </row>
    <row r="8713" spans="20:25" x14ac:dyDescent="0.25">
      <c r="T8713" s="10"/>
      <c r="U8713" s="4"/>
      <c r="V8713" s="4"/>
      <c r="X8713" s="4"/>
      <c r="Y8713" s="4"/>
    </row>
    <row r="8714" spans="20:25" x14ac:dyDescent="0.25">
      <c r="T8714" s="10"/>
      <c r="U8714" s="4"/>
      <c r="V8714" s="4"/>
      <c r="X8714" s="4"/>
      <c r="Y8714" s="4"/>
    </row>
    <row r="8715" spans="20:25" x14ac:dyDescent="0.25">
      <c r="T8715" s="10"/>
      <c r="U8715" s="4"/>
      <c r="V8715" s="4"/>
      <c r="X8715" s="4"/>
      <c r="Y8715" s="4"/>
    </row>
    <row r="8716" spans="20:25" x14ac:dyDescent="0.25">
      <c r="T8716" s="10"/>
      <c r="U8716" s="4"/>
      <c r="V8716" s="4"/>
      <c r="X8716" s="4"/>
      <c r="Y8716" s="4"/>
    </row>
    <row r="8717" spans="20:25" x14ac:dyDescent="0.25">
      <c r="T8717" s="10"/>
      <c r="U8717" s="4"/>
      <c r="V8717" s="4"/>
      <c r="X8717" s="4"/>
      <c r="Y8717" s="4"/>
    </row>
    <row r="8718" spans="20:25" x14ac:dyDescent="0.25">
      <c r="T8718" s="10"/>
      <c r="U8718" s="4"/>
      <c r="V8718" s="4"/>
      <c r="X8718" s="4"/>
      <c r="Y8718" s="4"/>
    </row>
    <row r="8719" spans="20:25" x14ac:dyDescent="0.25">
      <c r="T8719" s="10"/>
      <c r="U8719" s="4"/>
      <c r="V8719" s="4"/>
      <c r="X8719" s="4"/>
      <c r="Y8719" s="4"/>
    </row>
    <row r="8720" spans="20:25" x14ac:dyDescent="0.25">
      <c r="T8720" s="10"/>
      <c r="U8720" s="4"/>
      <c r="V8720" s="4"/>
      <c r="X8720" s="4"/>
      <c r="Y8720" s="4"/>
    </row>
    <row r="8721" spans="20:25" x14ac:dyDescent="0.25">
      <c r="T8721" s="10"/>
      <c r="U8721" s="4"/>
      <c r="V8721" s="4"/>
      <c r="X8721" s="4"/>
      <c r="Y8721" s="4"/>
    </row>
    <row r="8722" spans="20:25" x14ac:dyDescent="0.25">
      <c r="T8722" s="10"/>
      <c r="U8722" s="4"/>
      <c r="V8722" s="4"/>
      <c r="X8722" s="4"/>
      <c r="Y8722" s="4"/>
    </row>
    <row r="8723" spans="20:25" x14ac:dyDescent="0.25">
      <c r="T8723" s="10"/>
      <c r="U8723" s="4"/>
      <c r="V8723" s="4"/>
      <c r="X8723" s="4"/>
      <c r="Y8723" s="4"/>
    </row>
    <row r="8724" spans="20:25" x14ac:dyDescent="0.25">
      <c r="T8724" s="10"/>
      <c r="U8724" s="4"/>
      <c r="V8724" s="4"/>
      <c r="X8724" s="4"/>
      <c r="Y8724" s="4"/>
    </row>
    <row r="8725" spans="20:25" x14ac:dyDescent="0.25">
      <c r="T8725" s="10"/>
      <c r="U8725" s="4"/>
      <c r="V8725" s="4"/>
      <c r="X8725" s="4"/>
      <c r="Y8725" s="4"/>
    </row>
    <row r="8726" spans="20:25" x14ac:dyDescent="0.25">
      <c r="T8726" s="10"/>
      <c r="U8726" s="4"/>
      <c r="V8726" s="4"/>
      <c r="X8726" s="4"/>
      <c r="Y8726" s="4"/>
    </row>
    <row r="8727" spans="20:25" x14ac:dyDescent="0.25">
      <c r="T8727" s="10"/>
      <c r="U8727" s="4"/>
      <c r="V8727" s="4"/>
      <c r="X8727" s="4"/>
      <c r="Y8727" s="4"/>
    </row>
    <row r="8728" spans="20:25" x14ac:dyDescent="0.25">
      <c r="T8728" s="10"/>
      <c r="U8728" s="4"/>
      <c r="V8728" s="4"/>
      <c r="X8728" s="4"/>
      <c r="Y8728" s="4"/>
    </row>
    <row r="8729" spans="20:25" x14ac:dyDescent="0.25">
      <c r="T8729" s="10"/>
      <c r="U8729" s="4"/>
      <c r="V8729" s="4"/>
      <c r="X8729" s="4"/>
      <c r="Y8729" s="4"/>
    </row>
    <row r="8730" spans="20:25" x14ac:dyDescent="0.25">
      <c r="T8730" s="10"/>
      <c r="U8730" s="4"/>
      <c r="V8730" s="4"/>
      <c r="X8730" s="4"/>
      <c r="Y8730" s="4"/>
    </row>
    <row r="8731" spans="20:25" x14ac:dyDescent="0.25">
      <c r="T8731" s="10"/>
      <c r="U8731" s="4"/>
      <c r="V8731" s="4"/>
      <c r="X8731" s="4"/>
      <c r="Y8731" s="4"/>
    </row>
    <row r="8732" spans="20:25" x14ac:dyDescent="0.25">
      <c r="T8732" s="10"/>
      <c r="U8732" s="4"/>
      <c r="V8732" s="4"/>
      <c r="X8732" s="4"/>
      <c r="Y8732" s="4"/>
    </row>
    <row r="8733" spans="20:25" x14ac:dyDescent="0.25">
      <c r="T8733" s="10"/>
      <c r="U8733" s="4"/>
      <c r="V8733" s="4"/>
      <c r="X8733" s="4"/>
      <c r="Y8733" s="4"/>
    </row>
    <row r="8734" spans="20:25" x14ac:dyDescent="0.25">
      <c r="T8734" s="10"/>
      <c r="U8734" s="4"/>
      <c r="V8734" s="4"/>
      <c r="X8734" s="4"/>
      <c r="Y8734" s="4"/>
    </row>
    <row r="8735" spans="20:25" x14ac:dyDescent="0.25">
      <c r="T8735" s="10"/>
      <c r="U8735" s="4"/>
      <c r="V8735" s="4"/>
      <c r="X8735" s="4"/>
      <c r="Y8735" s="4"/>
    </row>
    <row r="8736" spans="20:25" x14ac:dyDescent="0.25">
      <c r="T8736" s="10"/>
      <c r="U8736" s="4"/>
      <c r="V8736" s="4"/>
      <c r="X8736" s="4"/>
      <c r="Y8736" s="4"/>
    </row>
    <row r="8737" spans="20:25" x14ac:dyDescent="0.25">
      <c r="T8737" s="10"/>
      <c r="U8737" s="4"/>
      <c r="V8737" s="4"/>
      <c r="X8737" s="4"/>
      <c r="Y8737" s="4"/>
    </row>
    <row r="8738" spans="20:25" x14ac:dyDescent="0.25">
      <c r="T8738" s="10"/>
      <c r="U8738" s="4"/>
      <c r="V8738" s="4"/>
      <c r="X8738" s="4"/>
      <c r="Y8738" s="4"/>
    </row>
    <row r="8739" spans="20:25" x14ac:dyDescent="0.25">
      <c r="T8739" s="10"/>
      <c r="U8739" s="4"/>
      <c r="V8739" s="4"/>
      <c r="X8739" s="4"/>
      <c r="Y8739" s="4"/>
    </row>
    <row r="8740" spans="20:25" x14ac:dyDescent="0.25">
      <c r="T8740" s="10"/>
      <c r="U8740" s="4"/>
      <c r="V8740" s="4"/>
      <c r="X8740" s="4"/>
      <c r="Y8740" s="4"/>
    </row>
    <row r="8741" spans="20:25" x14ac:dyDescent="0.25">
      <c r="T8741" s="10"/>
      <c r="U8741" s="4"/>
      <c r="V8741" s="4"/>
      <c r="X8741" s="4"/>
      <c r="Y8741" s="4"/>
    </row>
    <row r="8742" spans="20:25" x14ac:dyDescent="0.25">
      <c r="T8742" s="10"/>
      <c r="U8742" s="4"/>
      <c r="V8742" s="4"/>
      <c r="X8742" s="4"/>
      <c r="Y8742" s="4"/>
    </row>
    <row r="8743" spans="20:25" x14ac:dyDescent="0.25">
      <c r="T8743" s="10"/>
      <c r="U8743" s="4"/>
      <c r="V8743" s="4"/>
      <c r="X8743" s="4"/>
      <c r="Y8743" s="4"/>
    </row>
    <row r="8744" spans="20:25" x14ac:dyDescent="0.25">
      <c r="T8744" s="10"/>
      <c r="U8744" s="4"/>
      <c r="V8744" s="4"/>
      <c r="X8744" s="4"/>
      <c r="Y8744" s="4"/>
    </row>
    <row r="8745" spans="20:25" x14ac:dyDescent="0.25">
      <c r="T8745" s="10"/>
      <c r="U8745" s="4"/>
      <c r="V8745" s="4"/>
      <c r="X8745" s="4"/>
      <c r="Y8745" s="4"/>
    </row>
    <row r="8746" spans="20:25" x14ac:dyDescent="0.25">
      <c r="T8746" s="10"/>
      <c r="U8746" s="4"/>
      <c r="V8746" s="4"/>
      <c r="X8746" s="4"/>
      <c r="Y8746" s="4"/>
    </row>
    <row r="8747" spans="20:25" x14ac:dyDescent="0.25">
      <c r="T8747" s="10"/>
      <c r="U8747" s="4"/>
      <c r="V8747" s="4"/>
      <c r="X8747" s="4"/>
      <c r="Y8747" s="4"/>
    </row>
    <row r="8748" spans="20:25" x14ac:dyDescent="0.25">
      <c r="T8748" s="10"/>
      <c r="U8748" s="4"/>
      <c r="V8748" s="4"/>
      <c r="X8748" s="4"/>
      <c r="Y8748" s="4"/>
    </row>
    <row r="8749" spans="20:25" x14ac:dyDescent="0.25">
      <c r="T8749" s="10"/>
      <c r="U8749" s="4"/>
      <c r="V8749" s="4"/>
      <c r="X8749" s="4"/>
      <c r="Y8749" s="4"/>
    </row>
    <row r="8750" spans="20:25" x14ac:dyDescent="0.25">
      <c r="T8750" s="10"/>
      <c r="U8750" s="4"/>
      <c r="V8750" s="4"/>
      <c r="X8750" s="4"/>
      <c r="Y8750" s="4"/>
    </row>
    <row r="8751" spans="20:25" x14ac:dyDescent="0.25">
      <c r="T8751" s="10"/>
      <c r="U8751" s="4"/>
      <c r="V8751" s="4"/>
      <c r="X8751" s="4"/>
      <c r="Y8751" s="4"/>
    </row>
    <row r="8752" spans="20:25" x14ac:dyDescent="0.25">
      <c r="T8752" s="10"/>
      <c r="U8752" s="4"/>
      <c r="V8752" s="4"/>
      <c r="X8752" s="4"/>
      <c r="Y8752" s="4"/>
    </row>
    <row r="8753" spans="20:25" x14ac:dyDescent="0.25">
      <c r="T8753" s="10"/>
      <c r="U8753" s="4"/>
      <c r="V8753" s="4"/>
      <c r="X8753" s="4"/>
      <c r="Y8753" s="4"/>
    </row>
    <row r="8754" spans="20:25" x14ac:dyDescent="0.25">
      <c r="T8754" s="10"/>
      <c r="U8754" s="4"/>
      <c r="V8754" s="4"/>
      <c r="X8754" s="4"/>
      <c r="Y8754" s="4"/>
    </row>
    <row r="8755" spans="20:25" x14ac:dyDescent="0.25">
      <c r="T8755" s="10"/>
      <c r="U8755" s="4"/>
      <c r="V8755" s="4"/>
      <c r="X8755" s="4"/>
      <c r="Y8755" s="4"/>
    </row>
    <row r="8756" spans="20:25" x14ac:dyDescent="0.25">
      <c r="T8756" s="10"/>
      <c r="U8756" s="4"/>
      <c r="V8756" s="4"/>
      <c r="X8756" s="4"/>
      <c r="Y8756" s="4"/>
    </row>
    <row r="8757" spans="20:25" x14ac:dyDescent="0.25">
      <c r="T8757" s="10"/>
      <c r="U8757" s="4"/>
      <c r="V8757" s="4"/>
      <c r="X8757" s="4"/>
      <c r="Y8757" s="4"/>
    </row>
    <row r="8758" spans="20:25" x14ac:dyDescent="0.25">
      <c r="T8758" s="10"/>
      <c r="U8758" s="4"/>
      <c r="V8758" s="4"/>
      <c r="X8758" s="4"/>
      <c r="Y8758" s="4"/>
    </row>
    <row r="8759" spans="20:25" x14ac:dyDescent="0.25">
      <c r="T8759" s="10"/>
      <c r="U8759" s="4"/>
      <c r="V8759" s="4"/>
      <c r="X8759" s="4"/>
      <c r="Y8759" s="4"/>
    </row>
    <row r="8760" spans="20:25" x14ac:dyDescent="0.25">
      <c r="T8760" s="10"/>
      <c r="U8760" s="4"/>
      <c r="V8760" s="4"/>
      <c r="X8760" s="4"/>
      <c r="Y8760" s="4"/>
    </row>
    <row r="8761" spans="20:25" x14ac:dyDescent="0.25">
      <c r="T8761" s="10"/>
      <c r="U8761" s="4"/>
      <c r="V8761" s="4"/>
      <c r="X8761" s="4"/>
      <c r="Y8761" s="4"/>
    </row>
    <row r="8762" spans="20:25" x14ac:dyDescent="0.25">
      <c r="T8762" s="10"/>
      <c r="U8762" s="4"/>
      <c r="V8762" s="4"/>
      <c r="X8762" s="4"/>
      <c r="Y8762" s="4"/>
    </row>
    <row r="8763" spans="20:25" x14ac:dyDescent="0.25">
      <c r="T8763" s="10"/>
      <c r="U8763" s="4"/>
      <c r="V8763" s="4"/>
      <c r="X8763" s="4"/>
      <c r="Y8763" s="4"/>
    </row>
    <row r="8764" spans="20:25" x14ac:dyDescent="0.25">
      <c r="T8764" s="10"/>
      <c r="U8764" s="4"/>
      <c r="V8764" s="4"/>
      <c r="X8764" s="4"/>
      <c r="Y8764" s="4"/>
    </row>
    <row r="8765" spans="20:25" x14ac:dyDescent="0.25">
      <c r="T8765" s="10"/>
      <c r="U8765" s="4"/>
      <c r="V8765" s="4"/>
      <c r="X8765" s="4"/>
      <c r="Y8765" s="4"/>
    </row>
    <row r="8766" spans="20:25" x14ac:dyDescent="0.25">
      <c r="T8766" s="10"/>
      <c r="U8766" s="4"/>
      <c r="V8766" s="4"/>
      <c r="X8766" s="4"/>
      <c r="Y8766" s="4"/>
    </row>
    <row r="8767" spans="20:25" x14ac:dyDescent="0.25">
      <c r="T8767" s="10"/>
      <c r="U8767" s="4"/>
      <c r="V8767" s="4"/>
      <c r="X8767" s="4"/>
      <c r="Y8767" s="4"/>
    </row>
    <row r="8768" spans="20:25" x14ac:dyDescent="0.25">
      <c r="T8768" s="10"/>
      <c r="U8768" s="4"/>
      <c r="V8768" s="4"/>
      <c r="X8768" s="4"/>
      <c r="Y8768" s="4"/>
    </row>
    <row r="8769" spans="20:25" x14ac:dyDescent="0.25">
      <c r="T8769" s="10"/>
      <c r="U8769" s="4"/>
      <c r="V8769" s="4"/>
      <c r="X8769" s="4"/>
      <c r="Y8769" s="4"/>
    </row>
    <row r="8770" spans="20:25" x14ac:dyDescent="0.25">
      <c r="T8770" s="10"/>
      <c r="U8770" s="4"/>
      <c r="V8770" s="4"/>
      <c r="X8770" s="4"/>
      <c r="Y8770" s="4"/>
    </row>
    <row r="8771" spans="20:25" x14ac:dyDescent="0.25">
      <c r="T8771" s="10"/>
      <c r="U8771" s="4"/>
      <c r="V8771" s="4"/>
      <c r="X8771" s="4"/>
      <c r="Y8771" s="4"/>
    </row>
    <row r="8772" spans="20:25" x14ac:dyDescent="0.25">
      <c r="T8772" s="10"/>
      <c r="U8772" s="4"/>
      <c r="V8772" s="4"/>
      <c r="X8772" s="4"/>
      <c r="Y8772" s="4"/>
    </row>
    <row r="8773" spans="20:25" x14ac:dyDescent="0.25">
      <c r="T8773" s="10"/>
      <c r="U8773" s="4"/>
      <c r="V8773" s="4"/>
      <c r="X8773" s="4"/>
      <c r="Y8773" s="4"/>
    </row>
    <row r="8774" spans="20:25" x14ac:dyDescent="0.25">
      <c r="T8774" s="10"/>
      <c r="U8774" s="4"/>
      <c r="V8774" s="4"/>
      <c r="X8774" s="4"/>
      <c r="Y8774" s="4"/>
    </row>
    <row r="8775" spans="20:25" x14ac:dyDescent="0.25">
      <c r="T8775" s="10"/>
      <c r="U8775" s="4"/>
      <c r="V8775" s="4"/>
      <c r="X8775" s="4"/>
      <c r="Y8775" s="4"/>
    </row>
    <row r="8776" spans="20:25" x14ac:dyDescent="0.25">
      <c r="T8776" s="10"/>
      <c r="U8776" s="4"/>
      <c r="V8776" s="4"/>
      <c r="X8776" s="4"/>
      <c r="Y8776" s="4"/>
    </row>
    <row r="8777" spans="20:25" x14ac:dyDescent="0.25">
      <c r="T8777" s="10"/>
      <c r="U8777" s="4"/>
      <c r="V8777" s="4"/>
      <c r="X8777" s="4"/>
      <c r="Y8777" s="4"/>
    </row>
    <row r="8778" spans="20:25" x14ac:dyDescent="0.25">
      <c r="T8778" s="10"/>
      <c r="U8778" s="4"/>
      <c r="V8778" s="4"/>
      <c r="X8778" s="4"/>
      <c r="Y8778" s="4"/>
    </row>
    <row r="8779" spans="20:25" x14ac:dyDescent="0.25">
      <c r="T8779" s="10"/>
      <c r="U8779" s="4"/>
      <c r="V8779" s="4"/>
      <c r="X8779" s="4"/>
      <c r="Y8779" s="4"/>
    </row>
    <row r="8780" spans="20:25" x14ac:dyDescent="0.25">
      <c r="T8780" s="10"/>
      <c r="U8780" s="4"/>
      <c r="V8780" s="4"/>
      <c r="X8780" s="4"/>
      <c r="Y8780" s="4"/>
    </row>
    <row r="8781" spans="20:25" x14ac:dyDescent="0.25">
      <c r="T8781" s="10"/>
      <c r="U8781" s="4"/>
      <c r="V8781" s="4"/>
      <c r="X8781" s="4"/>
      <c r="Y8781" s="4"/>
    </row>
    <row r="8782" spans="20:25" x14ac:dyDescent="0.25">
      <c r="T8782" s="10"/>
      <c r="U8782" s="4"/>
      <c r="V8782" s="4"/>
      <c r="X8782" s="4"/>
      <c r="Y8782" s="4"/>
    </row>
    <row r="8783" spans="20:25" x14ac:dyDescent="0.25">
      <c r="T8783" s="10"/>
      <c r="U8783" s="4"/>
      <c r="V8783" s="4"/>
      <c r="X8783" s="4"/>
      <c r="Y8783" s="4"/>
    </row>
    <row r="8784" spans="20:25" x14ac:dyDescent="0.25">
      <c r="T8784" s="10"/>
      <c r="U8784" s="4"/>
      <c r="V8784" s="4"/>
      <c r="X8784" s="4"/>
      <c r="Y8784" s="4"/>
    </row>
    <row r="8785" spans="20:25" x14ac:dyDescent="0.25">
      <c r="T8785" s="10"/>
      <c r="U8785" s="4"/>
      <c r="V8785" s="4"/>
      <c r="X8785" s="4"/>
      <c r="Y8785" s="4"/>
    </row>
    <row r="8786" spans="20:25" x14ac:dyDescent="0.25">
      <c r="T8786" s="10"/>
      <c r="U8786" s="4"/>
      <c r="V8786" s="4"/>
      <c r="X8786" s="4"/>
      <c r="Y8786" s="4"/>
    </row>
    <row r="8787" spans="20:25" x14ac:dyDescent="0.25">
      <c r="T8787" s="10"/>
      <c r="U8787" s="4"/>
      <c r="V8787" s="4"/>
      <c r="X8787" s="4"/>
      <c r="Y8787" s="4"/>
    </row>
    <row r="8788" spans="20:25" x14ac:dyDescent="0.25">
      <c r="T8788" s="10"/>
      <c r="U8788" s="4"/>
      <c r="V8788" s="4"/>
      <c r="X8788" s="4"/>
      <c r="Y8788" s="4"/>
    </row>
    <row r="8789" spans="20:25" x14ac:dyDescent="0.25">
      <c r="T8789" s="10"/>
      <c r="U8789" s="4"/>
      <c r="V8789" s="4"/>
      <c r="X8789" s="4"/>
      <c r="Y8789" s="4"/>
    </row>
    <row r="8790" spans="20:25" x14ac:dyDescent="0.25">
      <c r="T8790" s="10"/>
      <c r="U8790" s="4"/>
      <c r="V8790" s="4"/>
      <c r="X8790" s="4"/>
      <c r="Y8790" s="4"/>
    </row>
    <row r="8791" spans="20:25" x14ac:dyDescent="0.25">
      <c r="T8791" s="10"/>
      <c r="U8791" s="4"/>
      <c r="V8791" s="4"/>
      <c r="X8791" s="4"/>
      <c r="Y8791" s="4"/>
    </row>
    <row r="8792" spans="20:25" x14ac:dyDescent="0.25">
      <c r="T8792" s="10"/>
      <c r="U8792" s="4"/>
      <c r="V8792" s="4"/>
      <c r="X8792" s="4"/>
      <c r="Y8792" s="4"/>
    </row>
    <row r="8793" spans="20:25" x14ac:dyDescent="0.25">
      <c r="T8793" s="10"/>
      <c r="U8793" s="4"/>
      <c r="V8793" s="4"/>
      <c r="X8793" s="4"/>
      <c r="Y8793" s="4"/>
    </row>
    <row r="8794" spans="20:25" x14ac:dyDescent="0.25">
      <c r="T8794" s="10"/>
      <c r="U8794" s="4"/>
      <c r="V8794" s="4"/>
      <c r="X8794" s="4"/>
      <c r="Y8794" s="4"/>
    </row>
    <row r="8795" spans="20:25" x14ac:dyDescent="0.25">
      <c r="T8795" s="10"/>
      <c r="U8795" s="4"/>
      <c r="V8795" s="4"/>
      <c r="X8795" s="4"/>
      <c r="Y8795" s="4"/>
    </row>
    <row r="8796" spans="20:25" x14ac:dyDescent="0.25">
      <c r="T8796" s="10"/>
      <c r="U8796" s="4"/>
      <c r="V8796" s="4"/>
      <c r="X8796" s="4"/>
      <c r="Y8796" s="4"/>
    </row>
    <row r="8797" spans="20:25" x14ac:dyDescent="0.25">
      <c r="T8797" s="10"/>
      <c r="U8797" s="4"/>
      <c r="V8797" s="4"/>
      <c r="X8797" s="4"/>
      <c r="Y8797" s="4"/>
    </row>
    <row r="8798" spans="20:25" x14ac:dyDescent="0.25">
      <c r="T8798" s="10"/>
      <c r="U8798" s="4"/>
      <c r="V8798" s="4"/>
      <c r="X8798" s="4"/>
      <c r="Y8798" s="4"/>
    </row>
    <row r="8799" spans="20:25" x14ac:dyDescent="0.25">
      <c r="T8799" s="10"/>
      <c r="U8799" s="4"/>
      <c r="V8799" s="4"/>
      <c r="X8799" s="4"/>
      <c r="Y8799" s="4"/>
    </row>
    <row r="8800" spans="20:25" x14ac:dyDescent="0.25">
      <c r="T8800" s="10"/>
      <c r="U8800" s="4"/>
      <c r="V8800" s="4"/>
      <c r="X8800" s="4"/>
      <c r="Y8800" s="4"/>
    </row>
    <row r="8801" spans="20:25" x14ac:dyDescent="0.25">
      <c r="T8801" s="10"/>
      <c r="U8801" s="4"/>
      <c r="V8801" s="4"/>
      <c r="X8801" s="4"/>
      <c r="Y8801" s="4"/>
    </row>
    <row r="8802" spans="20:25" x14ac:dyDescent="0.25">
      <c r="T8802" s="10"/>
      <c r="U8802" s="4"/>
      <c r="V8802" s="4"/>
      <c r="X8802" s="4"/>
      <c r="Y8802" s="4"/>
    </row>
    <row r="8803" spans="20:25" x14ac:dyDescent="0.25">
      <c r="T8803" s="10"/>
      <c r="U8803" s="4"/>
      <c r="V8803" s="4"/>
      <c r="X8803" s="4"/>
      <c r="Y8803" s="4"/>
    </row>
    <row r="8804" spans="20:25" x14ac:dyDescent="0.25">
      <c r="T8804" s="10"/>
      <c r="U8804" s="4"/>
      <c r="V8804" s="4"/>
      <c r="X8804" s="4"/>
      <c r="Y8804" s="4"/>
    </row>
    <row r="8805" spans="20:25" x14ac:dyDescent="0.25">
      <c r="T8805" s="10"/>
      <c r="U8805" s="4"/>
      <c r="V8805" s="4"/>
      <c r="X8805" s="4"/>
      <c r="Y8805" s="4"/>
    </row>
    <row r="8806" spans="20:25" x14ac:dyDescent="0.25">
      <c r="T8806" s="10"/>
      <c r="U8806" s="4"/>
      <c r="V8806" s="4"/>
      <c r="X8806" s="4"/>
      <c r="Y8806" s="4"/>
    </row>
    <row r="8807" spans="20:25" x14ac:dyDescent="0.25">
      <c r="T8807" s="10"/>
      <c r="U8807" s="4"/>
      <c r="V8807" s="4"/>
      <c r="X8807" s="4"/>
      <c r="Y8807" s="4"/>
    </row>
    <row r="8808" spans="20:25" x14ac:dyDescent="0.25">
      <c r="T8808" s="10"/>
      <c r="U8808" s="4"/>
      <c r="V8808" s="4"/>
      <c r="X8808" s="4"/>
      <c r="Y8808" s="4"/>
    </row>
    <row r="8809" spans="20:25" x14ac:dyDescent="0.25">
      <c r="T8809" s="10"/>
      <c r="U8809" s="4"/>
      <c r="V8809" s="4"/>
      <c r="X8809" s="4"/>
      <c r="Y8809" s="4"/>
    </row>
    <row r="8810" spans="20:25" x14ac:dyDescent="0.25">
      <c r="T8810" s="10"/>
      <c r="U8810" s="4"/>
      <c r="V8810" s="4"/>
      <c r="X8810" s="4"/>
      <c r="Y8810" s="4"/>
    </row>
    <row r="8811" spans="20:25" x14ac:dyDescent="0.25">
      <c r="T8811" s="10"/>
      <c r="U8811" s="4"/>
      <c r="V8811" s="4"/>
      <c r="X8811" s="4"/>
      <c r="Y8811" s="4"/>
    </row>
    <row r="8812" spans="20:25" x14ac:dyDescent="0.25">
      <c r="T8812" s="10"/>
      <c r="U8812" s="4"/>
      <c r="V8812" s="4"/>
      <c r="X8812" s="4"/>
      <c r="Y8812" s="4"/>
    </row>
    <row r="8813" spans="20:25" x14ac:dyDescent="0.25">
      <c r="T8813" s="10"/>
      <c r="U8813" s="4"/>
      <c r="V8813" s="4"/>
      <c r="X8813" s="4"/>
      <c r="Y8813" s="4"/>
    </row>
    <row r="8814" spans="20:25" x14ac:dyDescent="0.25">
      <c r="T8814" s="10"/>
      <c r="U8814" s="4"/>
      <c r="V8814" s="4"/>
      <c r="X8814" s="4"/>
      <c r="Y8814" s="4"/>
    </row>
    <row r="8815" spans="20:25" x14ac:dyDescent="0.25">
      <c r="T8815" s="10"/>
      <c r="U8815" s="4"/>
      <c r="V8815" s="4"/>
      <c r="X8815" s="4"/>
      <c r="Y8815" s="4"/>
    </row>
    <row r="8816" spans="20:25" x14ac:dyDescent="0.25">
      <c r="T8816" s="10"/>
      <c r="U8816" s="4"/>
      <c r="V8816" s="4"/>
      <c r="X8816" s="4"/>
      <c r="Y8816" s="4"/>
    </row>
    <row r="8817" spans="20:25" x14ac:dyDescent="0.25">
      <c r="T8817" s="10"/>
      <c r="U8817" s="4"/>
      <c r="V8817" s="4"/>
      <c r="X8817" s="4"/>
      <c r="Y8817" s="4"/>
    </row>
    <row r="8818" spans="20:25" x14ac:dyDescent="0.25">
      <c r="T8818" s="10"/>
      <c r="U8818" s="4"/>
      <c r="V8818" s="4"/>
      <c r="X8818" s="4"/>
      <c r="Y8818" s="4"/>
    </row>
    <row r="8819" spans="20:25" x14ac:dyDescent="0.25">
      <c r="T8819" s="10"/>
      <c r="U8819" s="4"/>
      <c r="V8819" s="4"/>
      <c r="X8819" s="4"/>
      <c r="Y8819" s="4"/>
    </row>
    <row r="8820" spans="20:25" x14ac:dyDescent="0.25">
      <c r="T8820" s="10"/>
      <c r="U8820" s="4"/>
      <c r="V8820" s="4"/>
      <c r="X8820" s="4"/>
      <c r="Y8820" s="4"/>
    </row>
    <row r="8821" spans="20:25" x14ac:dyDescent="0.25">
      <c r="T8821" s="10"/>
      <c r="U8821" s="4"/>
      <c r="V8821" s="4"/>
      <c r="X8821" s="4"/>
      <c r="Y8821" s="4"/>
    </row>
    <row r="8822" spans="20:25" x14ac:dyDescent="0.25">
      <c r="T8822" s="10"/>
      <c r="U8822" s="4"/>
      <c r="V8822" s="4"/>
      <c r="X8822" s="4"/>
      <c r="Y8822" s="4"/>
    </row>
    <row r="8823" spans="20:25" x14ac:dyDescent="0.25">
      <c r="T8823" s="10"/>
      <c r="U8823" s="4"/>
      <c r="V8823" s="4"/>
      <c r="X8823" s="4"/>
      <c r="Y8823" s="4"/>
    </row>
    <row r="8824" spans="20:25" x14ac:dyDescent="0.25">
      <c r="T8824" s="10"/>
      <c r="U8824" s="4"/>
      <c r="V8824" s="4"/>
      <c r="X8824" s="4"/>
      <c r="Y8824" s="4"/>
    </row>
    <row r="8825" spans="20:25" x14ac:dyDescent="0.25">
      <c r="T8825" s="10"/>
      <c r="U8825" s="4"/>
      <c r="V8825" s="4"/>
      <c r="X8825" s="4"/>
      <c r="Y8825" s="4"/>
    </row>
    <row r="8826" spans="20:25" x14ac:dyDescent="0.25">
      <c r="T8826" s="10"/>
      <c r="U8826" s="4"/>
      <c r="V8826" s="4"/>
      <c r="X8826" s="4"/>
      <c r="Y8826" s="4"/>
    </row>
    <row r="8827" spans="20:25" x14ac:dyDescent="0.25">
      <c r="T8827" s="10"/>
      <c r="U8827" s="4"/>
      <c r="V8827" s="4"/>
      <c r="X8827" s="4"/>
      <c r="Y8827" s="4"/>
    </row>
    <row r="8828" spans="20:25" x14ac:dyDescent="0.25">
      <c r="T8828" s="10"/>
      <c r="U8828" s="4"/>
      <c r="V8828" s="4"/>
      <c r="X8828" s="4"/>
      <c r="Y8828" s="4"/>
    </row>
    <row r="8829" spans="20:25" x14ac:dyDescent="0.25">
      <c r="T8829" s="10"/>
      <c r="U8829" s="4"/>
      <c r="V8829" s="4"/>
      <c r="X8829" s="4"/>
      <c r="Y8829" s="4"/>
    </row>
    <row r="8830" spans="20:25" x14ac:dyDescent="0.25">
      <c r="T8830" s="10"/>
      <c r="U8830" s="4"/>
      <c r="V8830" s="4"/>
      <c r="X8830" s="4"/>
      <c r="Y8830" s="4"/>
    </row>
    <row r="8831" spans="20:25" x14ac:dyDescent="0.25">
      <c r="T8831" s="10"/>
      <c r="U8831" s="4"/>
      <c r="V8831" s="4"/>
      <c r="X8831" s="4"/>
      <c r="Y8831" s="4"/>
    </row>
    <row r="8832" spans="20:25" x14ac:dyDescent="0.25">
      <c r="T8832" s="10"/>
      <c r="U8832" s="4"/>
      <c r="V8832" s="4"/>
      <c r="X8832" s="4"/>
      <c r="Y8832" s="4"/>
    </row>
    <row r="8833" spans="20:25" x14ac:dyDescent="0.25">
      <c r="T8833" s="10"/>
      <c r="U8833" s="4"/>
      <c r="V8833" s="4"/>
      <c r="X8833" s="4"/>
      <c r="Y8833" s="4"/>
    </row>
    <row r="8834" spans="20:25" x14ac:dyDescent="0.25">
      <c r="T8834" s="10"/>
      <c r="U8834" s="4"/>
      <c r="V8834" s="4"/>
      <c r="X8834" s="4"/>
      <c r="Y8834" s="4"/>
    </row>
    <row r="8835" spans="20:25" x14ac:dyDescent="0.25">
      <c r="T8835" s="10"/>
      <c r="U8835" s="4"/>
      <c r="V8835" s="4"/>
      <c r="X8835" s="4"/>
      <c r="Y8835" s="4"/>
    </row>
    <row r="8836" spans="20:25" x14ac:dyDescent="0.25">
      <c r="T8836" s="10"/>
      <c r="U8836" s="4"/>
      <c r="V8836" s="4"/>
      <c r="X8836" s="4"/>
      <c r="Y8836" s="4"/>
    </row>
    <row r="8837" spans="20:25" x14ac:dyDescent="0.25">
      <c r="T8837" s="10"/>
      <c r="U8837" s="4"/>
      <c r="V8837" s="4"/>
      <c r="X8837" s="4"/>
      <c r="Y8837" s="4"/>
    </row>
    <row r="8838" spans="20:25" x14ac:dyDescent="0.25">
      <c r="T8838" s="10"/>
      <c r="U8838" s="4"/>
      <c r="V8838" s="4"/>
      <c r="X8838" s="4"/>
      <c r="Y8838" s="4"/>
    </row>
    <row r="8839" spans="20:25" x14ac:dyDescent="0.25">
      <c r="T8839" s="10"/>
      <c r="U8839" s="4"/>
      <c r="V8839" s="4"/>
      <c r="X8839" s="4"/>
      <c r="Y8839" s="4"/>
    </row>
    <row r="8840" spans="20:25" x14ac:dyDescent="0.25">
      <c r="T8840" s="10"/>
      <c r="U8840" s="4"/>
      <c r="V8840" s="4"/>
      <c r="X8840" s="4"/>
      <c r="Y8840" s="4"/>
    </row>
    <row r="8841" spans="20:25" x14ac:dyDescent="0.25">
      <c r="T8841" s="10"/>
      <c r="U8841" s="4"/>
      <c r="V8841" s="4"/>
      <c r="X8841" s="4"/>
      <c r="Y8841" s="4"/>
    </row>
    <row r="8842" spans="20:25" x14ac:dyDescent="0.25">
      <c r="T8842" s="10"/>
      <c r="U8842" s="4"/>
      <c r="V8842" s="4"/>
      <c r="X8842" s="4"/>
      <c r="Y8842" s="4"/>
    </row>
    <row r="8843" spans="20:25" x14ac:dyDescent="0.25">
      <c r="T8843" s="10"/>
      <c r="U8843" s="4"/>
      <c r="V8843" s="4"/>
      <c r="X8843" s="4"/>
      <c r="Y8843" s="4"/>
    </row>
    <row r="8844" spans="20:25" x14ac:dyDescent="0.25">
      <c r="T8844" s="10"/>
      <c r="U8844" s="4"/>
      <c r="V8844" s="4"/>
      <c r="X8844" s="4"/>
      <c r="Y8844" s="4"/>
    </row>
    <row r="8845" spans="20:25" x14ac:dyDescent="0.25">
      <c r="T8845" s="10"/>
      <c r="U8845" s="4"/>
      <c r="V8845" s="4"/>
      <c r="X8845" s="4"/>
      <c r="Y8845" s="4"/>
    </row>
    <row r="8846" spans="20:25" x14ac:dyDescent="0.25">
      <c r="T8846" s="10"/>
      <c r="U8846" s="4"/>
      <c r="V8846" s="4"/>
      <c r="X8846" s="4"/>
      <c r="Y8846" s="4"/>
    </row>
    <row r="8847" spans="20:25" x14ac:dyDescent="0.25">
      <c r="T8847" s="10"/>
      <c r="U8847" s="4"/>
      <c r="V8847" s="4"/>
      <c r="X8847" s="4"/>
      <c r="Y8847" s="4"/>
    </row>
    <row r="8848" spans="20:25" x14ac:dyDescent="0.25">
      <c r="T8848" s="10"/>
      <c r="U8848" s="4"/>
      <c r="V8848" s="4"/>
      <c r="X8848" s="4"/>
      <c r="Y8848" s="4"/>
    </row>
    <row r="8849" spans="20:25" x14ac:dyDescent="0.25">
      <c r="T8849" s="10"/>
      <c r="U8849" s="4"/>
      <c r="V8849" s="4"/>
      <c r="X8849" s="4"/>
      <c r="Y8849" s="4"/>
    </row>
    <row r="8850" spans="20:25" x14ac:dyDescent="0.25">
      <c r="T8850" s="10"/>
      <c r="U8850" s="4"/>
      <c r="V8850" s="4"/>
      <c r="X8850" s="4"/>
      <c r="Y8850" s="4"/>
    </row>
    <row r="8851" spans="20:25" x14ac:dyDescent="0.25">
      <c r="T8851" s="10"/>
      <c r="U8851" s="4"/>
      <c r="V8851" s="4"/>
      <c r="X8851" s="4"/>
      <c r="Y8851" s="4"/>
    </row>
    <row r="8852" spans="20:25" x14ac:dyDescent="0.25">
      <c r="T8852" s="10"/>
      <c r="U8852" s="4"/>
      <c r="V8852" s="4"/>
      <c r="X8852" s="4"/>
      <c r="Y8852" s="4"/>
    </row>
    <row r="8853" spans="20:25" x14ac:dyDescent="0.25">
      <c r="T8853" s="10"/>
      <c r="U8853" s="4"/>
      <c r="V8853" s="4"/>
      <c r="X8853" s="4"/>
      <c r="Y8853" s="4"/>
    </row>
    <row r="8854" spans="20:25" x14ac:dyDescent="0.25">
      <c r="T8854" s="10"/>
      <c r="U8854" s="4"/>
      <c r="V8854" s="4"/>
      <c r="X8854" s="4"/>
      <c r="Y8854" s="4"/>
    </row>
    <row r="8855" spans="20:25" x14ac:dyDescent="0.25">
      <c r="T8855" s="10"/>
      <c r="U8855" s="4"/>
      <c r="V8855" s="4"/>
      <c r="X8855" s="4"/>
      <c r="Y8855" s="4"/>
    </row>
    <row r="8856" spans="20:25" x14ac:dyDescent="0.25">
      <c r="T8856" s="10"/>
      <c r="U8856" s="4"/>
      <c r="V8856" s="4"/>
      <c r="X8856" s="4"/>
      <c r="Y8856" s="4"/>
    </row>
    <row r="8857" spans="20:25" x14ac:dyDescent="0.25">
      <c r="T8857" s="10"/>
      <c r="U8857" s="4"/>
      <c r="V8857" s="4"/>
      <c r="X8857" s="4"/>
      <c r="Y8857" s="4"/>
    </row>
    <row r="8858" spans="20:25" x14ac:dyDescent="0.25">
      <c r="T8858" s="10"/>
      <c r="U8858" s="4"/>
      <c r="V8858" s="4"/>
      <c r="X8858" s="4"/>
      <c r="Y8858" s="4"/>
    </row>
    <row r="8859" spans="20:25" x14ac:dyDescent="0.25">
      <c r="T8859" s="10"/>
      <c r="U8859" s="4"/>
      <c r="V8859" s="4"/>
      <c r="X8859" s="4"/>
      <c r="Y8859" s="4"/>
    </row>
    <row r="8860" spans="20:25" x14ac:dyDescent="0.25">
      <c r="T8860" s="10"/>
      <c r="U8860" s="4"/>
      <c r="V8860" s="4"/>
      <c r="X8860" s="4"/>
      <c r="Y8860" s="4"/>
    </row>
    <row r="8861" spans="20:25" x14ac:dyDescent="0.25">
      <c r="T8861" s="10"/>
      <c r="U8861" s="4"/>
      <c r="V8861" s="4"/>
      <c r="X8861" s="4"/>
      <c r="Y8861" s="4"/>
    </row>
    <row r="8862" spans="20:25" x14ac:dyDescent="0.25">
      <c r="T8862" s="10"/>
      <c r="U8862" s="4"/>
      <c r="V8862" s="4"/>
      <c r="X8862" s="4"/>
      <c r="Y8862" s="4"/>
    </row>
    <row r="8863" spans="20:25" x14ac:dyDescent="0.25">
      <c r="T8863" s="10"/>
      <c r="U8863" s="4"/>
      <c r="V8863" s="4"/>
      <c r="X8863" s="4"/>
      <c r="Y8863" s="4"/>
    </row>
    <row r="8864" spans="20:25" x14ac:dyDescent="0.25">
      <c r="T8864" s="10"/>
      <c r="U8864" s="4"/>
      <c r="V8864" s="4"/>
      <c r="X8864" s="4"/>
      <c r="Y8864" s="4"/>
    </row>
    <row r="8865" spans="20:25" x14ac:dyDescent="0.25">
      <c r="T8865" s="10"/>
      <c r="U8865" s="4"/>
      <c r="V8865" s="4"/>
      <c r="X8865" s="4"/>
      <c r="Y8865" s="4"/>
    </row>
    <row r="8866" spans="20:25" x14ac:dyDescent="0.25">
      <c r="T8866" s="10"/>
      <c r="U8866" s="4"/>
      <c r="V8866" s="4"/>
      <c r="X8866" s="4"/>
      <c r="Y8866" s="4"/>
    </row>
    <row r="8867" spans="20:25" x14ac:dyDescent="0.25">
      <c r="T8867" s="10"/>
      <c r="U8867" s="4"/>
      <c r="V8867" s="4"/>
      <c r="X8867" s="4"/>
      <c r="Y8867" s="4"/>
    </row>
    <row r="8868" spans="20:25" x14ac:dyDescent="0.25">
      <c r="T8868" s="10"/>
      <c r="U8868" s="4"/>
      <c r="V8868" s="4"/>
      <c r="X8868" s="4"/>
      <c r="Y8868" s="4"/>
    </row>
    <row r="8869" spans="20:25" x14ac:dyDescent="0.25">
      <c r="T8869" s="10"/>
      <c r="U8869" s="4"/>
      <c r="V8869" s="4"/>
      <c r="X8869" s="4"/>
      <c r="Y8869" s="4"/>
    </row>
    <row r="8870" spans="20:25" x14ac:dyDescent="0.25">
      <c r="T8870" s="10"/>
      <c r="U8870" s="4"/>
      <c r="V8870" s="4"/>
      <c r="X8870" s="4"/>
      <c r="Y8870" s="4"/>
    </row>
    <row r="8871" spans="20:25" x14ac:dyDescent="0.25">
      <c r="T8871" s="10"/>
      <c r="U8871" s="4"/>
      <c r="V8871" s="4"/>
      <c r="X8871" s="4"/>
      <c r="Y8871" s="4"/>
    </row>
    <row r="8872" spans="20:25" x14ac:dyDescent="0.25">
      <c r="T8872" s="10"/>
      <c r="U8872" s="4"/>
      <c r="V8872" s="4"/>
      <c r="X8872" s="4"/>
      <c r="Y8872" s="4"/>
    </row>
    <row r="8873" spans="20:25" x14ac:dyDescent="0.25">
      <c r="T8873" s="10"/>
      <c r="U8873" s="4"/>
      <c r="V8873" s="4"/>
      <c r="X8873" s="4"/>
      <c r="Y8873" s="4"/>
    </row>
    <row r="8874" spans="20:25" x14ac:dyDescent="0.25">
      <c r="T8874" s="10"/>
      <c r="U8874" s="4"/>
      <c r="V8874" s="4"/>
      <c r="X8874" s="4"/>
      <c r="Y8874" s="4"/>
    </row>
    <row r="8875" spans="20:25" x14ac:dyDescent="0.25">
      <c r="T8875" s="10"/>
      <c r="U8875" s="4"/>
      <c r="V8875" s="4"/>
      <c r="X8875" s="4"/>
      <c r="Y8875" s="4"/>
    </row>
    <row r="8876" spans="20:25" x14ac:dyDescent="0.25">
      <c r="T8876" s="10"/>
      <c r="U8876" s="4"/>
      <c r="V8876" s="4"/>
      <c r="X8876" s="4"/>
      <c r="Y8876" s="4"/>
    </row>
    <row r="8877" spans="20:25" x14ac:dyDescent="0.25">
      <c r="T8877" s="10"/>
      <c r="U8877" s="4"/>
      <c r="V8877" s="4"/>
      <c r="X8877" s="4"/>
      <c r="Y8877" s="4"/>
    </row>
    <row r="8878" spans="20:25" x14ac:dyDescent="0.25">
      <c r="T8878" s="10"/>
      <c r="U8878" s="4"/>
      <c r="V8878" s="4"/>
      <c r="X8878" s="4"/>
      <c r="Y8878" s="4"/>
    </row>
    <row r="8879" spans="20:25" x14ac:dyDescent="0.25">
      <c r="T8879" s="10"/>
      <c r="U8879" s="4"/>
      <c r="V8879" s="4"/>
      <c r="X8879" s="4"/>
      <c r="Y8879" s="4"/>
    </row>
    <row r="8880" spans="20:25" x14ac:dyDescent="0.25">
      <c r="T8880" s="10"/>
      <c r="U8880" s="4"/>
      <c r="V8880" s="4"/>
      <c r="X8880" s="4"/>
      <c r="Y8880" s="4"/>
    </row>
    <row r="8881" spans="20:25" x14ac:dyDescent="0.25">
      <c r="T8881" s="10"/>
      <c r="U8881" s="4"/>
      <c r="V8881" s="4"/>
      <c r="X8881" s="4"/>
      <c r="Y8881" s="4"/>
    </row>
    <row r="8882" spans="20:25" x14ac:dyDescent="0.25">
      <c r="T8882" s="10"/>
      <c r="U8882" s="4"/>
      <c r="V8882" s="4"/>
      <c r="X8882" s="4"/>
      <c r="Y8882" s="4"/>
    </row>
    <row r="8883" spans="20:25" x14ac:dyDescent="0.25">
      <c r="T8883" s="10"/>
      <c r="U8883" s="4"/>
      <c r="V8883" s="4"/>
      <c r="X8883" s="4"/>
      <c r="Y8883" s="4"/>
    </row>
    <row r="8884" spans="20:25" x14ac:dyDescent="0.25">
      <c r="T8884" s="10"/>
      <c r="U8884" s="4"/>
      <c r="V8884" s="4"/>
      <c r="X8884" s="4"/>
      <c r="Y8884" s="4"/>
    </row>
    <row r="8885" spans="20:25" x14ac:dyDescent="0.25">
      <c r="T8885" s="10"/>
      <c r="U8885" s="4"/>
      <c r="V8885" s="4"/>
      <c r="X8885" s="4"/>
      <c r="Y8885" s="4"/>
    </row>
    <row r="8886" spans="20:25" x14ac:dyDescent="0.25">
      <c r="T8886" s="10"/>
      <c r="U8886" s="4"/>
      <c r="V8886" s="4"/>
      <c r="X8886" s="4"/>
      <c r="Y8886" s="4"/>
    </row>
    <row r="8887" spans="20:25" x14ac:dyDescent="0.25">
      <c r="T8887" s="10"/>
      <c r="U8887" s="4"/>
      <c r="V8887" s="4"/>
      <c r="X8887" s="4"/>
      <c r="Y8887" s="4"/>
    </row>
    <row r="8888" spans="20:25" x14ac:dyDescent="0.25">
      <c r="T8888" s="10"/>
      <c r="U8888" s="4"/>
      <c r="V8888" s="4"/>
      <c r="X8888" s="4"/>
      <c r="Y8888" s="4"/>
    </row>
    <row r="8889" spans="20:25" x14ac:dyDescent="0.25">
      <c r="T8889" s="10"/>
      <c r="U8889" s="4"/>
      <c r="V8889" s="4"/>
      <c r="X8889" s="4"/>
      <c r="Y8889" s="4"/>
    </row>
    <row r="8890" spans="20:25" x14ac:dyDescent="0.25">
      <c r="T8890" s="10"/>
      <c r="U8890" s="4"/>
      <c r="V8890" s="4"/>
      <c r="X8890" s="4"/>
      <c r="Y8890" s="4"/>
    </row>
    <row r="8891" spans="20:25" x14ac:dyDescent="0.25">
      <c r="T8891" s="10"/>
      <c r="U8891" s="4"/>
      <c r="V8891" s="4"/>
      <c r="X8891" s="4"/>
      <c r="Y8891" s="4"/>
    </row>
    <row r="8892" spans="20:25" x14ac:dyDescent="0.25">
      <c r="T8892" s="10"/>
      <c r="U8892" s="4"/>
      <c r="V8892" s="4"/>
      <c r="X8892" s="4"/>
      <c r="Y8892" s="4"/>
    </row>
    <row r="8893" spans="20:25" x14ac:dyDescent="0.25">
      <c r="T8893" s="10"/>
      <c r="U8893" s="4"/>
      <c r="V8893" s="4"/>
      <c r="X8893" s="4"/>
      <c r="Y8893" s="4"/>
    </row>
    <row r="8894" spans="20:25" x14ac:dyDescent="0.25">
      <c r="T8894" s="10"/>
      <c r="U8894" s="4"/>
      <c r="V8894" s="4"/>
      <c r="X8894" s="4"/>
      <c r="Y8894" s="4"/>
    </row>
    <row r="8895" spans="20:25" x14ac:dyDescent="0.25">
      <c r="T8895" s="10"/>
      <c r="U8895" s="4"/>
      <c r="V8895" s="4"/>
      <c r="X8895" s="4"/>
      <c r="Y8895" s="4"/>
    </row>
    <row r="8896" spans="20:25" x14ac:dyDescent="0.25">
      <c r="T8896" s="10"/>
      <c r="U8896" s="4"/>
      <c r="V8896" s="4"/>
      <c r="X8896" s="4"/>
      <c r="Y8896" s="4"/>
    </row>
    <row r="8897" spans="20:25" x14ac:dyDescent="0.25">
      <c r="T8897" s="10"/>
      <c r="U8897" s="4"/>
      <c r="V8897" s="4"/>
      <c r="X8897" s="4"/>
      <c r="Y8897" s="4"/>
    </row>
    <row r="8898" spans="20:25" x14ac:dyDescent="0.25">
      <c r="T8898" s="10"/>
      <c r="U8898" s="4"/>
      <c r="V8898" s="4"/>
      <c r="X8898" s="4"/>
      <c r="Y8898" s="4"/>
    </row>
    <row r="8899" spans="20:25" x14ac:dyDescent="0.25">
      <c r="T8899" s="10"/>
      <c r="U8899" s="4"/>
      <c r="V8899" s="4"/>
      <c r="X8899" s="4"/>
      <c r="Y8899" s="4"/>
    </row>
    <row r="8900" spans="20:25" x14ac:dyDescent="0.25">
      <c r="T8900" s="10"/>
      <c r="U8900" s="4"/>
      <c r="V8900" s="4"/>
      <c r="X8900" s="4"/>
      <c r="Y8900" s="4"/>
    </row>
    <row r="8901" spans="20:25" x14ac:dyDescent="0.25">
      <c r="T8901" s="10"/>
      <c r="U8901" s="4"/>
      <c r="V8901" s="4"/>
      <c r="X8901" s="4"/>
      <c r="Y8901" s="4"/>
    </row>
    <row r="8902" spans="20:25" x14ac:dyDescent="0.25">
      <c r="T8902" s="10"/>
      <c r="U8902" s="4"/>
      <c r="V8902" s="4"/>
      <c r="X8902" s="4"/>
      <c r="Y8902" s="4"/>
    </row>
    <row r="8903" spans="20:25" x14ac:dyDescent="0.25">
      <c r="T8903" s="10"/>
      <c r="U8903" s="4"/>
      <c r="V8903" s="4"/>
      <c r="X8903" s="4"/>
      <c r="Y8903" s="4"/>
    </row>
    <row r="8904" spans="20:25" x14ac:dyDescent="0.25">
      <c r="T8904" s="10"/>
      <c r="U8904" s="4"/>
      <c r="V8904" s="4"/>
      <c r="X8904" s="4"/>
      <c r="Y8904" s="4"/>
    </row>
    <row r="8905" spans="20:25" x14ac:dyDescent="0.25">
      <c r="T8905" s="10"/>
      <c r="U8905" s="4"/>
      <c r="V8905" s="4"/>
      <c r="X8905" s="4"/>
      <c r="Y8905" s="4"/>
    </row>
    <row r="8906" spans="20:25" x14ac:dyDescent="0.25">
      <c r="T8906" s="10"/>
      <c r="U8906" s="4"/>
      <c r="V8906" s="4"/>
      <c r="X8906" s="4"/>
      <c r="Y8906" s="4"/>
    </row>
    <row r="8907" spans="20:25" x14ac:dyDescent="0.25">
      <c r="T8907" s="10"/>
      <c r="U8907" s="4"/>
      <c r="V8907" s="4"/>
      <c r="X8907" s="4"/>
      <c r="Y8907" s="4"/>
    </row>
    <row r="8908" spans="20:25" x14ac:dyDescent="0.25">
      <c r="T8908" s="10"/>
      <c r="U8908" s="4"/>
      <c r="V8908" s="4"/>
      <c r="X8908" s="4"/>
      <c r="Y8908" s="4"/>
    </row>
    <row r="8909" spans="20:25" x14ac:dyDescent="0.25">
      <c r="T8909" s="10"/>
      <c r="U8909" s="4"/>
      <c r="V8909" s="4"/>
      <c r="X8909" s="4"/>
      <c r="Y8909" s="4"/>
    </row>
    <row r="8910" spans="20:25" x14ac:dyDescent="0.25">
      <c r="T8910" s="10"/>
      <c r="U8910" s="4"/>
      <c r="V8910" s="4"/>
      <c r="X8910" s="4"/>
      <c r="Y8910" s="4"/>
    </row>
    <row r="8911" spans="20:25" x14ac:dyDescent="0.25">
      <c r="T8911" s="10"/>
      <c r="U8911" s="4"/>
      <c r="V8911" s="4"/>
      <c r="X8911" s="4"/>
      <c r="Y8911" s="4"/>
    </row>
    <row r="8912" spans="20:25" x14ac:dyDescent="0.25">
      <c r="T8912" s="10"/>
      <c r="U8912" s="4"/>
      <c r="V8912" s="4"/>
      <c r="X8912" s="4"/>
      <c r="Y8912" s="4"/>
    </row>
    <row r="8913" spans="20:25" x14ac:dyDescent="0.25">
      <c r="T8913" s="10"/>
      <c r="U8913" s="4"/>
      <c r="V8913" s="4"/>
      <c r="X8913" s="4"/>
      <c r="Y8913" s="4"/>
    </row>
    <row r="8914" spans="20:25" x14ac:dyDescent="0.25">
      <c r="T8914" s="10"/>
      <c r="U8914" s="4"/>
      <c r="V8914" s="4"/>
      <c r="X8914" s="4"/>
      <c r="Y8914" s="4"/>
    </row>
    <row r="8915" spans="20:25" x14ac:dyDescent="0.25">
      <c r="T8915" s="10"/>
      <c r="U8915" s="4"/>
      <c r="V8915" s="4"/>
      <c r="X8915" s="4"/>
      <c r="Y8915" s="4"/>
    </row>
    <row r="8916" spans="20:25" x14ac:dyDescent="0.25">
      <c r="T8916" s="10"/>
      <c r="U8916" s="4"/>
      <c r="V8916" s="4"/>
      <c r="X8916" s="4"/>
      <c r="Y8916" s="4"/>
    </row>
    <row r="8917" spans="20:25" x14ac:dyDescent="0.25">
      <c r="T8917" s="10"/>
      <c r="U8917" s="4"/>
      <c r="V8917" s="4"/>
      <c r="X8917" s="4"/>
      <c r="Y8917" s="4"/>
    </row>
    <row r="8918" spans="20:25" x14ac:dyDescent="0.25">
      <c r="T8918" s="10"/>
      <c r="U8918" s="4"/>
      <c r="V8918" s="4"/>
      <c r="X8918" s="4"/>
      <c r="Y8918" s="4"/>
    </row>
    <row r="8919" spans="20:25" x14ac:dyDescent="0.25">
      <c r="T8919" s="10"/>
      <c r="U8919" s="4"/>
      <c r="V8919" s="4"/>
      <c r="X8919" s="4"/>
      <c r="Y8919" s="4"/>
    </row>
    <row r="8920" spans="20:25" x14ac:dyDescent="0.25">
      <c r="T8920" s="10"/>
      <c r="U8920" s="4"/>
      <c r="V8920" s="4"/>
      <c r="X8920" s="4"/>
      <c r="Y8920" s="4"/>
    </row>
    <row r="8921" spans="20:25" x14ac:dyDescent="0.25">
      <c r="T8921" s="10"/>
      <c r="U8921" s="4"/>
      <c r="V8921" s="4"/>
      <c r="X8921" s="4"/>
      <c r="Y8921" s="4"/>
    </row>
    <row r="8922" spans="20:25" x14ac:dyDescent="0.25">
      <c r="T8922" s="10"/>
      <c r="U8922" s="4"/>
      <c r="V8922" s="4"/>
      <c r="X8922" s="4"/>
      <c r="Y8922" s="4"/>
    </row>
    <row r="8923" spans="20:25" x14ac:dyDescent="0.25">
      <c r="T8923" s="10"/>
      <c r="U8923" s="4"/>
      <c r="V8923" s="4"/>
      <c r="X8923" s="4"/>
      <c r="Y8923" s="4"/>
    </row>
    <row r="8924" spans="20:25" x14ac:dyDescent="0.25">
      <c r="T8924" s="10"/>
      <c r="U8924" s="4"/>
      <c r="V8924" s="4"/>
      <c r="X8924" s="4"/>
      <c r="Y8924" s="4"/>
    </row>
    <row r="8925" spans="20:25" x14ac:dyDescent="0.25">
      <c r="T8925" s="10"/>
      <c r="U8925" s="4"/>
      <c r="V8925" s="4"/>
      <c r="X8925" s="4"/>
      <c r="Y8925" s="4"/>
    </row>
    <row r="8926" spans="20:25" x14ac:dyDescent="0.25">
      <c r="T8926" s="10"/>
      <c r="U8926" s="4"/>
      <c r="V8926" s="4"/>
      <c r="X8926" s="4"/>
      <c r="Y8926" s="4"/>
    </row>
    <row r="8927" spans="20:25" x14ac:dyDescent="0.25">
      <c r="T8927" s="10"/>
      <c r="U8927" s="4"/>
      <c r="V8927" s="4"/>
      <c r="X8927" s="4"/>
      <c r="Y8927" s="4"/>
    </row>
    <row r="8928" spans="20:25" x14ac:dyDescent="0.25">
      <c r="T8928" s="10"/>
      <c r="U8928" s="4"/>
      <c r="V8928" s="4"/>
      <c r="X8928" s="4"/>
      <c r="Y8928" s="4"/>
    </row>
    <row r="8929" spans="20:25" x14ac:dyDescent="0.25">
      <c r="T8929" s="10"/>
      <c r="U8929" s="4"/>
      <c r="V8929" s="4"/>
      <c r="X8929" s="4"/>
      <c r="Y8929" s="4"/>
    </row>
    <row r="8930" spans="20:25" x14ac:dyDescent="0.25">
      <c r="T8930" s="10"/>
      <c r="U8930" s="4"/>
      <c r="V8930" s="4"/>
      <c r="X8930" s="4"/>
      <c r="Y8930" s="4"/>
    </row>
    <row r="8931" spans="20:25" x14ac:dyDescent="0.25">
      <c r="T8931" s="10"/>
      <c r="U8931" s="4"/>
      <c r="V8931" s="4"/>
      <c r="X8931" s="4"/>
      <c r="Y8931" s="4"/>
    </row>
    <row r="8932" spans="20:25" x14ac:dyDescent="0.25">
      <c r="T8932" s="10"/>
      <c r="U8932" s="4"/>
      <c r="V8932" s="4"/>
      <c r="X8932" s="4"/>
      <c r="Y8932" s="4"/>
    </row>
    <row r="8933" spans="20:25" x14ac:dyDescent="0.25">
      <c r="T8933" s="10"/>
      <c r="U8933" s="4"/>
      <c r="V8933" s="4"/>
      <c r="X8933" s="4"/>
      <c r="Y8933" s="4"/>
    </row>
    <row r="8934" spans="20:25" x14ac:dyDescent="0.25">
      <c r="T8934" s="10"/>
      <c r="U8934" s="4"/>
      <c r="V8934" s="4"/>
      <c r="X8934" s="4"/>
      <c r="Y8934" s="4"/>
    </row>
    <row r="8935" spans="20:25" x14ac:dyDescent="0.25">
      <c r="T8935" s="10"/>
      <c r="U8935" s="4"/>
      <c r="V8935" s="4"/>
      <c r="X8935" s="4"/>
      <c r="Y8935" s="4"/>
    </row>
    <row r="8936" spans="20:25" x14ac:dyDescent="0.25">
      <c r="T8936" s="10"/>
      <c r="U8936" s="4"/>
      <c r="V8936" s="4"/>
      <c r="X8936" s="4"/>
      <c r="Y8936" s="4"/>
    </row>
    <row r="8937" spans="20:25" x14ac:dyDescent="0.25">
      <c r="T8937" s="10"/>
      <c r="U8937" s="4"/>
      <c r="V8937" s="4"/>
      <c r="X8937" s="4"/>
      <c r="Y8937" s="4"/>
    </row>
    <row r="8938" spans="20:25" x14ac:dyDescent="0.25">
      <c r="T8938" s="10"/>
      <c r="U8938" s="4"/>
      <c r="V8938" s="4"/>
      <c r="X8938" s="4"/>
      <c r="Y8938" s="4"/>
    </row>
    <row r="8939" spans="20:25" x14ac:dyDescent="0.25">
      <c r="T8939" s="10"/>
      <c r="U8939" s="4"/>
      <c r="V8939" s="4"/>
      <c r="X8939" s="4"/>
      <c r="Y8939" s="4"/>
    </row>
    <row r="8940" spans="20:25" x14ac:dyDescent="0.25">
      <c r="T8940" s="10"/>
      <c r="U8940" s="4"/>
      <c r="V8940" s="4"/>
      <c r="X8940" s="4"/>
      <c r="Y8940" s="4"/>
    </row>
    <row r="8941" spans="20:25" x14ac:dyDescent="0.25">
      <c r="T8941" s="10"/>
      <c r="U8941" s="4"/>
      <c r="V8941" s="4"/>
      <c r="X8941" s="4"/>
      <c r="Y8941" s="4"/>
    </row>
    <row r="8942" spans="20:25" x14ac:dyDescent="0.25">
      <c r="T8942" s="10"/>
      <c r="U8942" s="4"/>
      <c r="V8942" s="4"/>
      <c r="X8942" s="4"/>
      <c r="Y8942" s="4"/>
    </row>
    <row r="8943" spans="20:25" x14ac:dyDescent="0.25">
      <c r="T8943" s="10"/>
      <c r="U8943" s="4"/>
      <c r="V8943" s="4"/>
      <c r="X8943" s="4"/>
      <c r="Y8943" s="4"/>
    </row>
    <row r="8944" spans="20:25" x14ac:dyDescent="0.25">
      <c r="T8944" s="10"/>
      <c r="U8944" s="4"/>
      <c r="V8944" s="4"/>
      <c r="X8944" s="4"/>
      <c r="Y8944" s="4"/>
    </row>
    <row r="8945" spans="20:25" x14ac:dyDescent="0.25">
      <c r="T8945" s="10"/>
      <c r="U8945" s="4"/>
      <c r="V8945" s="4"/>
      <c r="X8945" s="4"/>
      <c r="Y8945" s="4"/>
    </row>
    <row r="8946" spans="20:25" x14ac:dyDescent="0.25">
      <c r="T8946" s="10"/>
      <c r="U8946" s="4"/>
      <c r="V8946" s="4"/>
      <c r="X8946" s="4"/>
      <c r="Y8946" s="4"/>
    </row>
    <row r="8947" spans="20:25" x14ac:dyDescent="0.25">
      <c r="T8947" s="10"/>
      <c r="U8947" s="4"/>
      <c r="V8947" s="4"/>
      <c r="X8947" s="4"/>
      <c r="Y8947" s="4"/>
    </row>
    <row r="8948" spans="20:25" x14ac:dyDescent="0.25">
      <c r="T8948" s="10"/>
      <c r="U8948" s="4"/>
      <c r="V8948" s="4"/>
      <c r="X8948" s="4"/>
      <c r="Y8948" s="4"/>
    </row>
    <row r="8949" spans="20:25" x14ac:dyDescent="0.25">
      <c r="T8949" s="10"/>
      <c r="U8949" s="4"/>
      <c r="V8949" s="4"/>
      <c r="X8949" s="4"/>
      <c r="Y8949" s="4"/>
    </row>
    <row r="8950" spans="20:25" x14ac:dyDescent="0.25">
      <c r="T8950" s="10"/>
      <c r="U8950" s="4"/>
      <c r="V8950" s="4"/>
      <c r="X8950" s="4"/>
      <c r="Y8950" s="4"/>
    </row>
    <row r="8951" spans="20:25" x14ac:dyDescent="0.25">
      <c r="T8951" s="10"/>
      <c r="U8951" s="4"/>
      <c r="V8951" s="4"/>
      <c r="X8951" s="4"/>
      <c r="Y8951" s="4"/>
    </row>
    <row r="8952" spans="20:25" x14ac:dyDescent="0.25">
      <c r="T8952" s="10"/>
      <c r="U8952" s="4"/>
      <c r="V8952" s="4"/>
      <c r="X8952" s="4"/>
      <c r="Y8952" s="4"/>
    </row>
    <row r="8953" spans="20:25" x14ac:dyDescent="0.25">
      <c r="T8953" s="10"/>
      <c r="U8953" s="4"/>
      <c r="V8953" s="4"/>
      <c r="X8953" s="4"/>
      <c r="Y8953" s="4"/>
    </row>
    <row r="8954" spans="20:25" x14ac:dyDescent="0.25">
      <c r="T8954" s="10"/>
      <c r="U8954" s="4"/>
      <c r="V8954" s="4"/>
      <c r="X8954" s="4"/>
      <c r="Y8954" s="4"/>
    </row>
    <row r="8955" spans="20:25" x14ac:dyDescent="0.25">
      <c r="T8955" s="10"/>
      <c r="U8955" s="4"/>
      <c r="V8955" s="4"/>
      <c r="X8955" s="4"/>
      <c r="Y8955" s="4"/>
    </row>
    <row r="8956" spans="20:25" x14ac:dyDescent="0.25">
      <c r="T8956" s="10"/>
      <c r="U8956" s="4"/>
      <c r="V8956" s="4"/>
      <c r="X8956" s="4"/>
      <c r="Y8956" s="4"/>
    </row>
    <row r="8957" spans="20:25" x14ac:dyDescent="0.25">
      <c r="T8957" s="10"/>
      <c r="U8957" s="4"/>
      <c r="V8957" s="4"/>
      <c r="X8957" s="4"/>
      <c r="Y8957" s="4"/>
    </row>
    <row r="8958" spans="20:25" x14ac:dyDescent="0.25">
      <c r="T8958" s="10"/>
      <c r="U8958" s="4"/>
      <c r="V8958" s="4"/>
      <c r="X8958" s="4"/>
      <c r="Y8958" s="4"/>
    </row>
    <row r="8959" spans="20:25" x14ac:dyDescent="0.25">
      <c r="T8959" s="10"/>
      <c r="U8959" s="4"/>
      <c r="V8959" s="4"/>
      <c r="X8959" s="4"/>
      <c r="Y8959" s="4"/>
    </row>
    <row r="8960" spans="20:25" x14ac:dyDescent="0.25">
      <c r="T8960" s="10"/>
      <c r="U8960" s="4"/>
      <c r="V8960" s="4"/>
      <c r="X8960" s="4"/>
      <c r="Y8960" s="4"/>
    </row>
    <row r="8961" spans="20:25" x14ac:dyDescent="0.25">
      <c r="T8961" s="10"/>
      <c r="U8961" s="4"/>
      <c r="V8961" s="4"/>
      <c r="X8961" s="4"/>
      <c r="Y8961" s="4"/>
    </row>
    <row r="8962" spans="20:25" x14ac:dyDescent="0.25">
      <c r="T8962" s="10"/>
      <c r="U8962" s="4"/>
      <c r="V8962" s="4"/>
      <c r="X8962" s="4"/>
      <c r="Y8962" s="4"/>
    </row>
    <row r="8963" spans="20:25" x14ac:dyDescent="0.25">
      <c r="T8963" s="10"/>
      <c r="U8963" s="4"/>
      <c r="V8963" s="4"/>
      <c r="X8963" s="4"/>
      <c r="Y8963" s="4"/>
    </row>
    <row r="8964" spans="20:25" x14ac:dyDescent="0.25">
      <c r="T8964" s="10"/>
      <c r="U8964" s="4"/>
      <c r="V8964" s="4"/>
      <c r="X8964" s="4"/>
      <c r="Y8964" s="4"/>
    </row>
    <row r="8965" spans="20:25" x14ac:dyDescent="0.25">
      <c r="T8965" s="10"/>
      <c r="U8965" s="4"/>
      <c r="V8965" s="4"/>
      <c r="X8965" s="4"/>
      <c r="Y8965" s="4"/>
    </row>
    <row r="8966" spans="20:25" x14ac:dyDescent="0.25">
      <c r="T8966" s="10"/>
      <c r="U8966" s="4"/>
      <c r="V8966" s="4"/>
      <c r="X8966" s="4"/>
      <c r="Y8966" s="4"/>
    </row>
    <row r="8967" spans="20:25" x14ac:dyDescent="0.25">
      <c r="T8967" s="10"/>
      <c r="U8967" s="4"/>
      <c r="V8967" s="4"/>
      <c r="X8967" s="4"/>
      <c r="Y8967" s="4"/>
    </row>
    <row r="8968" spans="20:25" x14ac:dyDescent="0.25">
      <c r="T8968" s="10"/>
      <c r="U8968" s="4"/>
      <c r="V8968" s="4"/>
      <c r="X8968" s="4"/>
      <c r="Y8968" s="4"/>
    </row>
    <row r="8969" spans="20:25" x14ac:dyDescent="0.25">
      <c r="T8969" s="10"/>
      <c r="U8969" s="4"/>
      <c r="V8969" s="4"/>
      <c r="X8969" s="4"/>
      <c r="Y8969" s="4"/>
    </row>
    <row r="8970" spans="20:25" x14ac:dyDescent="0.25">
      <c r="T8970" s="10"/>
      <c r="U8970" s="4"/>
      <c r="V8970" s="4"/>
      <c r="X8970" s="4"/>
      <c r="Y8970" s="4"/>
    </row>
    <row r="8971" spans="20:25" x14ac:dyDescent="0.25">
      <c r="T8971" s="10"/>
      <c r="U8971" s="4"/>
      <c r="V8971" s="4"/>
      <c r="X8971" s="4"/>
      <c r="Y8971" s="4"/>
    </row>
    <row r="8972" spans="20:25" x14ac:dyDescent="0.25">
      <c r="T8972" s="10"/>
      <c r="U8972" s="4"/>
      <c r="V8972" s="4"/>
      <c r="X8972" s="4"/>
      <c r="Y8972" s="4"/>
    </row>
    <row r="8973" spans="20:25" x14ac:dyDescent="0.25">
      <c r="T8973" s="10"/>
      <c r="U8973" s="4"/>
      <c r="V8973" s="4"/>
      <c r="X8973" s="4"/>
      <c r="Y8973" s="4"/>
    </row>
    <row r="8974" spans="20:25" x14ac:dyDescent="0.25">
      <c r="T8974" s="10"/>
      <c r="U8974" s="4"/>
      <c r="V8974" s="4"/>
      <c r="X8974" s="4"/>
      <c r="Y8974" s="4"/>
    </row>
    <row r="8975" spans="20:25" x14ac:dyDescent="0.25">
      <c r="T8975" s="10"/>
      <c r="U8975" s="4"/>
      <c r="V8975" s="4"/>
      <c r="X8975" s="4"/>
      <c r="Y8975" s="4"/>
    </row>
    <row r="8976" spans="20:25" x14ac:dyDescent="0.25">
      <c r="T8976" s="10"/>
      <c r="U8976" s="4"/>
      <c r="V8976" s="4"/>
      <c r="X8976" s="4"/>
      <c r="Y8976" s="4"/>
    </row>
    <row r="8977" spans="20:25" x14ac:dyDescent="0.25">
      <c r="T8977" s="10"/>
      <c r="U8977" s="4"/>
      <c r="V8977" s="4"/>
      <c r="X8977" s="4"/>
      <c r="Y8977" s="4"/>
    </row>
    <row r="8978" spans="20:25" x14ac:dyDescent="0.25">
      <c r="T8978" s="10"/>
      <c r="U8978" s="4"/>
      <c r="V8978" s="4"/>
      <c r="X8978" s="4"/>
      <c r="Y8978" s="4"/>
    </row>
    <row r="8979" spans="20:25" x14ac:dyDescent="0.25">
      <c r="T8979" s="10"/>
      <c r="U8979" s="4"/>
      <c r="V8979" s="4"/>
      <c r="X8979" s="4"/>
      <c r="Y8979" s="4"/>
    </row>
    <row r="8980" spans="20:25" x14ac:dyDescent="0.25">
      <c r="T8980" s="10"/>
      <c r="U8980" s="4"/>
      <c r="V8980" s="4"/>
      <c r="X8980" s="4"/>
      <c r="Y8980" s="4"/>
    </row>
    <row r="8981" spans="20:25" x14ac:dyDescent="0.25">
      <c r="T8981" s="10"/>
      <c r="U8981" s="4"/>
      <c r="V8981" s="4"/>
      <c r="X8981" s="4"/>
      <c r="Y8981" s="4"/>
    </row>
    <row r="8982" spans="20:25" x14ac:dyDescent="0.25">
      <c r="T8982" s="10"/>
      <c r="U8982" s="4"/>
      <c r="V8982" s="4"/>
      <c r="X8982" s="4"/>
      <c r="Y8982" s="4"/>
    </row>
    <row r="8983" spans="20:25" x14ac:dyDescent="0.25">
      <c r="T8983" s="10"/>
      <c r="U8983" s="4"/>
      <c r="V8983" s="4"/>
      <c r="X8983" s="4"/>
      <c r="Y8983" s="4"/>
    </row>
    <row r="8984" spans="20:25" x14ac:dyDescent="0.25">
      <c r="T8984" s="10"/>
      <c r="U8984" s="4"/>
      <c r="V8984" s="4"/>
      <c r="X8984" s="4"/>
      <c r="Y8984" s="4"/>
    </row>
    <row r="8985" spans="20:25" x14ac:dyDescent="0.25">
      <c r="T8985" s="10"/>
      <c r="U8985" s="4"/>
      <c r="V8985" s="4"/>
      <c r="X8985" s="4"/>
      <c r="Y8985" s="4"/>
    </row>
    <row r="8986" spans="20:25" x14ac:dyDescent="0.25">
      <c r="T8986" s="10"/>
      <c r="U8986" s="4"/>
      <c r="V8986" s="4"/>
      <c r="X8986" s="4"/>
      <c r="Y8986" s="4"/>
    </row>
    <row r="8987" spans="20:25" x14ac:dyDescent="0.25">
      <c r="T8987" s="10"/>
      <c r="U8987" s="4"/>
      <c r="V8987" s="4"/>
      <c r="X8987" s="4"/>
      <c r="Y8987" s="4"/>
    </row>
    <row r="8988" spans="20:25" x14ac:dyDescent="0.25">
      <c r="T8988" s="10"/>
      <c r="U8988" s="4"/>
      <c r="V8988" s="4"/>
      <c r="X8988" s="4"/>
      <c r="Y8988" s="4"/>
    </row>
    <row r="8989" spans="20:25" x14ac:dyDescent="0.25">
      <c r="T8989" s="10"/>
      <c r="U8989" s="4"/>
      <c r="V8989" s="4"/>
      <c r="X8989" s="4"/>
      <c r="Y8989" s="4"/>
    </row>
    <row r="8990" spans="20:25" x14ac:dyDescent="0.25">
      <c r="T8990" s="10"/>
      <c r="U8990" s="4"/>
      <c r="V8990" s="4"/>
      <c r="X8990" s="4"/>
      <c r="Y8990" s="4"/>
    </row>
    <row r="8991" spans="20:25" x14ac:dyDescent="0.25">
      <c r="T8991" s="10"/>
      <c r="U8991" s="4"/>
      <c r="V8991" s="4"/>
      <c r="X8991" s="4"/>
      <c r="Y8991" s="4"/>
    </row>
    <row r="8992" spans="20:25" x14ac:dyDescent="0.25">
      <c r="T8992" s="10"/>
      <c r="U8992" s="4"/>
      <c r="V8992" s="4"/>
      <c r="X8992" s="4"/>
      <c r="Y8992" s="4"/>
    </row>
    <row r="8993" spans="20:25" x14ac:dyDescent="0.25">
      <c r="T8993" s="10"/>
      <c r="U8993" s="4"/>
      <c r="V8993" s="4"/>
      <c r="X8993" s="4"/>
      <c r="Y8993" s="4"/>
    </row>
    <row r="8994" spans="20:25" x14ac:dyDescent="0.25">
      <c r="T8994" s="10"/>
      <c r="U8994" s="4"/>
      <c r="V8994" s="4"/>
      <c r="X8994" s="4"/>
      <c r="Y8994" s="4"/>
    </row>
    <row r="8995" spans="20:25" x14ac:dyDescent="0.25">
      <c r="T8995" s="10"/>
      <c r="U8995" s="4"/>
      <c r="V8995" s="4"/>
      <c r="X8995" s="4"/>
      <c r="Y8995" s="4"/>
    </row>
    <row r="8996" spans="20:25" x14ac:dyDescent="0.25">
      <c r="T8996" s="10"/>
      <c r="U8996" s="4"/>
      <c r="V8996" s="4"/>
      <c r="X8996" s="4"/>
      <c r="Y8996" s="4"/>
    </row>
    <row r="8997" spans="20:25" x14ac:dyDescent="0.25">
      <c r="T8997" s="10"/>
      <c r="U8997" s="4"/>
      <c r="V8997" s="4"/>
      <c r="X8997" s="4"/>
      <c r="Y8997" s="4"/>
    </row>
    <row r="8998" spans="20:25" x14ac:dyDescent="0.25">
      <c r="T8998" s="10"/>
      <c r="U8998" s="4"/>
      <c r="V8998" s="4"/>
      <c r="X8998" s="4"/>
      <c r="Y8998" s="4"/>
    </row>
    <row r="8999" spans="20:25" x14ac:dyDescent="0.25">
      <c r="T8999" s="10"/>
      <c r="U8999" s="4"/>
      <c r="V8999" s="4"/>
      <c r="X8999" s="4"/>
      <c r="Y8999" s="4"/>
    </row>
    <row r="9000" spans="20:25" x14ac:dyDescent="0.25">
      <c r="T9000" s="10"/>
      <c r="U9000" s="4"/>
      <c r="V9000" s="4"/>
      <c r="X9000" s="4"/>
      <c r="Y9000" s="4"/>
    </row>
    <row r="9001" spans="20:25" x14ac:dyDescent="0.25">
      <c r="T9001" s="10"/>
      <c r="U9001" s="4"/>
      <c r="V9001" s="4"/>
      <c r="X9001" s="4"/>
      <c r="Y9001" s="4"/>
    </row>
    <row r="9002" spans="20:25" x14ac:dyDescent="0.25">
      <c r="T9002" s="10"/>
      <c r="U9002" s="4"/>
      <c r="V9002" s="4"/>
      <c r="X9002" s="4"/>
      <c r="Y9002" s="4"/>
    </row>
    <row r="9003" spans="20:25" x14ac:dyDescent="0.25">
      <c r="T9003" s="10"/>
      <c r="U9003" s="4"/>
      <c r="V9003" s="4"/>
      <c r="X9003" s="4"/>
      <c r="Y9003" s="4"/>
    </row>
    <row r="9004" spans="20:25" x14ac:dyDescent="0.25">
      <c r="T9004" s="10"/>
      <c r="U9004" s="4"/>
      <c r="V9004" s="4"/>
      <c r="X9004" s="4"/>
      <c r="Y9004" s="4"/>
    </row>
    <row r="9005" spans="20:25" x14ac:dyDescent="0.25">
      <c r="T9005" s="10"/>
      <c r="U9005" s="4"/>
      <c r="V9005" s="4"/>
      <c r="X9005" s="4"/>
      <c r="Y9005" s="4"/>
    </row>
    <row r="9006" spans="20:25" x14ac:dyDescent="0.25">
      <c r="T9006" s="10"/>
      <c r="U9006" s="4"/>
      <c r="V9006" s="4"/>
      <c r="X9006" s="4"/>
      <c r="Y9006" s="4"/>
    </row>
    <row r="9007" spans="20:25" x14ac:dyDescent="0.25">
      <c r="T9007" s="10"/>
      <c r="U9007" s="4"/>
      <c r="V9007" s="4"/>
      <c r="X9007" s="4"/>
      <c r="Y9007" s="4"/>
    </row>
    <row r="9008" spans="20:25" x14ac:dyDescent="0.25">
      <c r="T9008" s="10"/>
      <c r="U9008" s="4"/>
      <c r="V9008" s="4"/>
      <c r="X9008" s="4"/>
      <c r="Y9008" s="4"/>
    </row>
    <row r="9009" spans="20:25" x14ac:dyDescent="0.25">
      <c r="T9009" s="10"/>
      <c r="U9009" s="4"/>
      <c r="V9009" s="4"/>
      <c r="X9009" s="4"/>
      <c r="Y9009" s="4"/>
    </row>
    <row r="9010" spans="20:25" x14ac:dyDescent="0.25">
      <c r="T9010" s="10"/>
      <c r="U9010" s="4"/>
      <c r="V9010" s="4"/>
      <c r="X9010" s="4"/>
      <c r="Y9010" s="4"/>
    </row>
    <row r="9011" spans="20:25" x14ac:dyDescent="0.25">
      <c r="T9011" s="10"/>
      <c r="U9011" s="4"/>
      <c r="V9011" s="4"/>
      <c r="X9011" s="4"/>
      <c r="Y9011" s="4"/>
    </row>
    <row r="9012" spans="20:25" x14ac:dyDescent="0.25">
      <c r="T9012" s="10"/>
      <c r="U9012" s="4"/>
      <c r="V9012" s="4"/>
      <c r="X9012" s="4"/>
      <c r="Y9012" s="4"/>
    </row>
    <row r="9013" spans="20:25" x14ac:dyDescent="0.25">
      <c r="T9013" s="10"/>
      <c r="U9013" s="4"/>
      <c r="V9013" s="4"/>
      <c r="X9013" s="4"/>
      <c r="Y9013" s="4"/>
    </row>
    <row r="9014" spans="20:25" x14ac:dyDescent="0.25">
      <c r="T9014" s="10"/>
      <c r="U9014" s="4"/>
      <c r="V9014" s="4"/>
      <c r="X9014" s="4"/>
      <c r="Y9014" s="4"/>
    </row>
    <row r="9015" spans="20:25" x14ac:dyDescent="0.25">
      <c r="T9015" s="10"/>
      <c r="U9015" s="4"/>
      <c r="V9015" s="4"/>
      <c r="X9015" s="4"/>
      <c r="Y9015" s="4"/>
    </row>
    <row r="9016" spans="20:25" x14ac:dyDescent="0.25">
      <c r="T9016" s="10"/>
      <c r="U9016" s="4"/>
      <c r="V9016" s="4"/>
      <c r="X9016" s="4"/>
      <c r="Y9016" s="4"/>
    </row>
    <row r="9017" spans="20:25" x14ac:dyDescent="0.25">
      <c r="T9017" s="10"/>
      <c r="U9017" s="4"/>
      <c r="V9017" s="4"/>
      <c r="X9017" s="4"/>
      <c r="Y9017" s="4"/>
    </row>
    <row r="9018" spans="20:25" x14ac:dyDescent="0.25">
      <c r="T9018" s="10"/>
      <c r="U9018" s="4"/>
      <c r="V9018" s="4"/>
      <c r="X9018" s="4"/>
      <c r="Y9018" s="4"/>
    </row>
    <row r="9019" spans="20:25" x14ac:dyDescent="0.25">
      <c r="T9019" s="10"/>
      <c r="U9019" s="4"/>
      <c r="V9019" s="4"/>
      <c r="X9019" s="4"/>
      <c r="Y9019" s="4"/>
    </row>
    <row r="9020" spans="20:25" x14ac:dyDescent="0.25">
      <c r="T9020" s="10"/>
      <c r="U9020" s="4"/>
      <c r="V9020" s="4"/>
      <c r="X9020" s="4"/>
      <c r="Y9020" s="4"/>
    </row>
    <row r="9021" spans="20:25" x14ac:dyDescent="0.25">
      <c r="T9021" s="10"/>
      <c r="U9021" s="4"/>
      <c r="V9021" s="4"/>
      <c r="X9021" s="4"/>
      <c r="Y9021" s="4"/>
    </row>
    <row r="9022" spans="20:25" x14ac:dyDescent="0.25">
      <c r="T9022" s="10"/>
      <c r="U9022" s="4"/>
      <c r="V9022" s="4"/>
      <c r="X9022" s="4"/>
      <c r="Y9022" s="4"/>
    </row>
    <row r="9023" spans="20:25" x14ac:dyDescent="0.25">
      <c r="T9023" s="10"/>
      <c r="U9023" s="4"/>
      <c r="V9023" s="4"/>
      <c r="X9023" s="4"/>
      <c r="Y9023" s="4"/>
    </row>
    <row r="9024" spans="20:25" x14ac:dyDescent="0.25">
      <c r="T9024" s="10"/>
      <c r="U9024" s="4"/>
      <c r="V9024" s="4"/>
      <c r="X9024" s="4"/>
      <c r="Y9024" s="4"/>
    </row>
    <row r="9025" spans="20:25" x14ac:dyDescent="0.25">
      <c r="T9025" s="10"/>
      <c r="U9025" s="4"/>
      <c r="V9025" s="4"/>
      <c r="X9025" s="4"/>
      <c r="Y9025" s="4"/>
    </row>
    <row r="9026" spans="20:25" x14ac:dyDescent="0.25">
      <c r="T9026" s="10"/>
      <c r="U9026" s="4"/>
      <c r="V9026" s="4"/>
      <c r="X9026" s="4"/>
      <c r="Y9026" s="4"/>
    </row>
    <row r="9027" spans="20:25" x14ac:dyDescent="0.25">
      <c r="T9027" s="10"/>
      <c r="U9027" s="4"/>
      <c r="V9027" s="4"/>
      <c r="X9027" s="4"/>
      <c r="Y9027" s="4"/>
    </row>
    <row r="9028" spans="20:25" x14ac:dyDescent="0.25">
      <c r="T9028" s="10"/>
      <c r="U9028" s="4"/>
      <c r="V9028" s="4"/>
      <c r="X9028" s="4"/>
      <c r="Y9028" s="4"/>
    </row>
    <row r="9029" spans="20:25" x14ac:dyDescent="0.25">
      <c r="T9029" s="10"/>
      <c r="U9029" s="4"/>
      <c r="V9029" s="4"/>
      <c r="X9029" s="4"/>
      <c r="Y9029" s="4"/>
    </row>
    <row r="9030" spans="20:25" x14ac:dyDescent="0.25">
      <c r="T9030" s="10"/>
      <c r="U9030" s="4"/>
      <c r="V9030" s="4"/>
      <c r="X9030" s="4"/>
      <c r="Y9030" s="4"/>
    </row>
    <row r="9031" spans="20:25" x14ac:dyDescent="0.25">
      <c r="T9031" s="10"/>
      <c r="U9031" s="4"/>
      <c r="V9031" s="4"/>
      <c r="X9031" s="4"/>
      <c r="Y9031" s="4"/>
    </row>
    <row r="9032" spans="20:25" x14ac:dyDescent="0.25">
      <c r="T9032" s="10"/>
      <c r="U9032" s="4"/>
      <c r="V9032" s="4"/>
      <c r="X9032" s="4"/>
      <c r="Y9032" s="4"/>
    </row>
    <row r="9033" spans="20:25" x14ac:dyDescent="0.25">
      <c r="T9033" s="10"/>
      <c r="U9033" s="4"/>
      <c r="V9033" s="4"/>
      <c r="X9033" s="4"/>
      <c r="Y9033" s="4"/>
    </row>
    <row r="9034" spans="20:25" x14ac:dyDescent="0.25">
      <c r="T9034" s="10"/>
      <c r="U9034" s="4"/>
      <c r="V9034" s="4"/>
      <c r="X9034" s="4"/>
      <c r="Y9034" s="4"/>
    </row>
    <row r="9035" spans="20:25" x14ac:dyDescent="0.25">
      <c r="T9035" s="10"/>
      <c r="U9035" s="4"/>
      <c r="V9035" s="4"/>
      <c r="X9035" s="4"/>
      <c r="Y9035" s="4"/>
    </row>
    <row r="9036" spans="20:25" x14ac:dyDescent="0.25">
      <c r="T9036" s="10"/>
      <c r="U9036" s="4"/>
      <c r="V9036" s="4"/>
      <c r="X9036" s="4"/>
      <c r="Y9036" s="4"/>
    </row>
    <row r="9037" spans="20:25" x14ac:dyDescent="0.25">
      <c r="T9037" s="10"/>
      <c r="U9037" s="4"/>
      <c r="V9037" s="4"/>
      <c r="X9037" s="4"/>
      <c r="Y9037" s="4"/>
    </row>
    <row r="9038" spans="20:25" x14ac:dyDescent="0.25">
      <c r="T9038" s="10"/>
      <c r="U9038" s="4"/>
      <c r="V9038" s="4"/>
      <c r="X9038" s="4"/>
      <c r="Y9038" s="4"/>
    </row>
    <row r="9039" spans="20:25" x14ac:dyDescent="0.25">
      <c r="T9039" s="10"/>
      <c r="U9039" s="4"/>
      <c r="V9039" s="4"/>
      <c r="X9039" s="4"/>
      <c r="Y9039" s="4"/>
    </row>
    <row r="9040" spans="20:25" x14ac:dyDescent="0.25">
      <c r="T9040" s="10"/>
      <c r="U9040" s="4"/>
      <c r="V9040" s="4"/>
      <c r="X9040" s="4"/>
      <c r="Y9040" s="4"/>
    </row>
    <row r="9041" spans="20:25" x14ac:dyDescent="0.25">
      <c r="T9041" s="10"/>
      <c r="U9041" s="4"/>
      <c r="V9041" s="4"/>
      <c r="X9041" s="4"/>
      <c r="Y9041" s="4"/>
    </row>
    <row r="9042" spans="20:25" x14ac:dyDescent="0.25">
      <c r="T9042" s="10"/>
      <c r="U9042" s="4"/>
      <c r="V9042" s="4"/>
      <c r="X9042" s="4"/>
      <c r="Y9042" s="4"/>
    </row>
    <row r="9043" spans="20:25" x14ac:dyDescent="0.25">
      <c r="T9043" s="10"/>
      <c r="U9043" s="4"/>
      <c r="V9043" s="4"/>
      <c r="X9043" s="4"/>
      <c r="Y9043" s="4"/>
    </row>
    <row r="9044" spans="20:25" x14ac:dyDescent="0.25">
      <c r="T9044" s="10"/>
      <c r="U9044" s="4"/>
      <c r="V9044" s="4"/>
      <c r="X9044" s="4"/>
      <c r="Y9044" s="4"/>
    </row>
    <row r="9045" spans="20:25" x14ac:dyDescent="0.25">
      <c r="T9045" s="10"/>
      <c r="U9045" s="4"/>
      <c r="V9045" s="4"/>
      <c r="X9045" s="4"/>
      <c r="Y9045" s="4"/>
    </row>
    <row r="9046" spans="20:25" x14ac:dyDescent="0.25">
      <c r="T9046" s="10"/>
      <c r="U9046" s="4"/>
      <c r="V9046" s="4"/>
      <c r="X9046" s="4"/>
      <c r="Y9046" s="4"/>
    </row>
    <row r="9047" spans="20:25" x14ac:dyDescent="0.25">
      <c r="T9047" s="10"/>
      <c r="U9047" s="4"/>
      <c r="V9047" s="4"/>
      <c r="X9047" s="4"/>
      <c r="Y9047" s="4"/>
    </row>
    <row r="9048" spans="20:25" x14ac:dyDescent="0.25">
      <c r="T9048" s="10"/>
      <c r="U9048" s="4"/>
      <c r="V9048" s="4"/>
      <c r="X9048" s="4"/>
      <c r="Y9048" s="4"/>
    </row>
    <row r="9049" spans="20:25" x14ac:dyDescent="0.25">
      <c r="T9049" s="10"/>
      <c r="U9049" s="4"/>
      <c r="V9049" s="4"/>
      <c r="X9049" s="4"/>
      <c r="Y9049" s="4"/>
    </row>
    <row r="9050" spans="20:25" x14ac:dyDescent="0.25">
      <c r="T9050" s="10"/>
      <c r="U9050" s="4"/>
      <c r="V9050" s="4"/>
      <c r="X9050" s="4"/>
      <c r="Y9050" s="4"/>
    </row>
    <row r="9051" spans="20:25" x14ac:dyDescent="0.25">
      <c r="T9051" s="10"/>
      <c r="U9051" s="4"/>
      <c r="V9051" s="4"/>
      <c r="X9051" s="4"/>
      <c r="Y9051" s="4"/>
    </row>
    <row r="9052" spans="20:25" x14ac:dyDescent="0.25">
      <c r="T9052" s="10"/>
      <c r="U9052" s="4"/>
      <c r="V9052" s="4"/>
      <c r="X9052" s="4"/>
      <c r="Y9052" s="4"/>
    </row>
    <row r="9053" spans="20:25" x14ac:dyDescent="0.25">
      <c r="T9053" s="10"/>
      <c r="U9053" s="4"/>
      <c r="V9053" s="4"/>
      <c r="X9053" s="4"/>
      <c r="Y9053" s="4"/>
    </row>
    <row r="9054" spans="20:25" x14ac:dyDescent="0.25">
      <c r="T9054" s="10"/>
      <c r="U9054" s="4"/>
      <c r="V9054" s="4"/>
      <c r="X9054" s="4"/>
      <c r="Y9054" s="4"/>
    </row>
    <row r="9055" spans="20:25" x14ac:dyDescent="0.25">
      <c r="T9055" s="10"/>
      <c r="U9055" s="4"/>
      <c r="V9055" s="4"/>
      <c r="X9055" s="4"/>
      <c r="Y9055" s="4"/>
    </row>
    <row r="9056" spans="20:25" x14ac:dyDescent="0.25">
      <c r="T9056" s="10"/>
      <c r="U9056" s="4"/>
      <c r="V9056" s="4"/>
      <c r="X9056" s="4"/>
      <c r="Y9056" s="4"/>
    </row>
    <row r="9057" spans="20:25" x14ac:dyDescent="0.25">
      <c r="T9057" s="10"/>
      <c r="U9057" s="4"/>
      <c r="V9057" s="4"/>
      <c r="X9057" s="4"/>
      <c r="Y9057" s="4"/>
    </row>
    <row r="9058" spans="20:25" x14ac:dyDescent="0.25">
      <c r="T9058" s="10"/>
      <c r="U9058" s="4"/>
      <c r="V9058" s="4"/>
      <c r="X9058" s="4"/>
      <c r="Y9058" s="4"/>
    </row>
    <row r="9059" spans="20:25" x14ac:dyDescent="0.25">
      <c r="T9059" s="10"/>
      <c r="U9059" s="4"/>
      <c r="V9059" s="4"/>
      <c r="X9059" s="4"/>
      <c r="Y9059" s="4"/>
    </row>
    <row r="9060" spans="20:25" x14ac:dyDescent="0.25">
      <c r="T9060" s="10"/>
      <c r="U9060" s="4"/>
      <c r="V9060" s="4"/>
      <c r="X9060" s="4"/>
      <c r="Y9060" s="4"/>
    </row>
    <row r="9061" spans="20:25" x14ac:dyDescent="0.25">
      <c r="T9061" s="10"/>
      <c r="U9061" s="4"/>
      <c r="V9061" s="4"/>
      <c r="X9061" s="4"/>
      <c r="Y9061" s="4"/>
    </row>
    <row r="9062" spans="20:25" x14ac:dyDescent="0.25">
      <c r="T9062" s="10"/>
      <c r="U9062" s="4"/>
      <c r="V9062" s="4"/>
      <c r="X9062" s="4"/>
      <c r="Y9062" s="4"/>
    </row>
    <row r="9063" spans="20:25" x14ac:dyDescent="0.25">
      <c r="T9063" s="10"/>
      <c r="U9063" s="4"/>
      <c r="V9063" s="4"/>
      <c r="X9063" s="4"/>
      <c r="Y9063" s="4"/>
    </row>
    <row r="9064" spans="20:25" x14ac:dyDescent="0.25">
      <c r="T9064" s="10"/>
      <c r="U9064" s="4"/>
      <c r="V9064" s="4"/>
      <c r="X9064" s="4"/>
      <c r="Y9064" s="4"/>
    </row>
    <row r="9065" spans="20:25" x14ac:dyDescent="0.25">
      <c r="T9065" s="10"/>
      <c r="U9065" s="4"/>
      <c r="V9065" s="4"/>
      <c r="X9065" s="4"/>
      <c r="Y9065" s="4"/>
    </row>
    <row r="9066" spans="20:25" x14ac:dyDescent="0.25">
      <c r="T9066" s="10"/>
      <c r="U9066" s="4"/>
      <c r="V9066" s="4"/>
      <c r="X9066" s="4"/>
      <c r="Y9066" s="4"/>
    </row>
    <row r="9067" spans="20:25" x14ac:dyDescent="0.25">
      <c r="T9067" s="10"/>
      <c r="U9067" s="4"/>
      <c r="V9067" s="4"/>
      <c r="X9067" s="4"/>
      <c r="Y9067" s="4"/>
    </row>
    <row r="9068" spans="20:25" x14ac:dyDescent="0.25">
      <c r="T9068" s="10"/>
      <c r="U9068" s="4"/>
      <c r="V9068" s="4"/>
      <c r="X9068" s="4"/>
      <c r="Y9068" s="4"/>
    </row>
    <row r="9069" spans="20:25" x14ac:dyDescent="0.25">
      <c r="T9069" s="10"/>
      <c r="U9069" s="4"/>
      <c r="V9069" s="4"/>
      <c r="X9069" s="4"/>
      <c r="Y9069" s="4"/>
    </row>
    <row r="9070" spans="20:25" x14ac:dyDescent="0.25">
      <c r="T9070" s="10"/>
      <c r="U9070" s="4"/>
      <c r="V9070" s="4"/>
      <c r="X9070" s="4"/>
      <c r="Y9070" s="4"/>
    </row>
    <row r="9071" spans="20:25" x14ac:dyDescent="0.25">
      <c r="T9071" s="10"/>
      <c r="U9071" s="4"/>
      <c r="V9071" s="4"/>
      <c r="X9071" s="4"/>
      <c r="Y9071" s="4"/>
    </row>
    <row r="9072" spans="20:25" x14ac:dyDescent="0.25">
      <c r="T9072" s="10"/>
      <c r="U9072" s="4"/>
      <c r="V9072" s="4"/>
      <c r="X9072" s="4"/>
      <c r="Y9072" s="4"/>
    </row>
    <row r="9073" spans="20:25" x14ac:dyDescent="0.25">
      <c r="T9073" s="10"/>
      <c r="U9073" s="4"/>
      <c r="V9073" s="4"/>
      <c r="X9073" s="4"/>
      <c r="Y9073" s="4"/>
    </row>
    <row r="9074" spans="20:25" x14ac:dyDescent="0.25">
      <c r="T9074" s="10"/>
      <c r="U9074" s="4"/>
      <c r="V9074" s="4"/>
      <c r="X9074" s="4"/>
      <c r="Y9074" s="4"/>
    </row>
    <row r="9075" spans="20:25" x14ac:dyDescent="0.25">
      <c r="T9075" s="10"/>
      <c r="U9075" s="4"/>
      <c r="V9075" s="4"/>
      <c r="X9075" s="4"/>
      <c r="Y9075" s="4"/>
    </row>
    <row r="9076" spans="20:25" x14ac:dyDescent="0.25">
      <c r="T9076" s="10"/>
      <c r="U9076" s="4"/>
      <c r="V9076" s="4"/>
      <c r="X9076" s="4"/>
      <c r="Y9076" s="4"/>
    </row>
    <row r="9077" spans="20:25" x14ac:dyDescent="0.25">
      <c r="T9077" s="10"/>
      <c r="U9077" s="4"/>
      <c r="V9077" s="4"/>
      <c r="X9077" s="4"/>
      <c r="Y9077" s="4"/>
    </row>
    <row r="9078" spans="20:25" x14ac:dyDescent="0.25">
      <c r="T9078" s="10"/>
      <c r="U9078" s="4"/>
      <c r="V9078" s="4"/>
      <c r="X9078" s="4"/>
      <c r="Y9078" s="4"/>
    </row>
    <row r="9079" spans="20:25" x14ac:dyDescent="0.25">
      <c r="T9079" s="10"/>
      <c r="U9079" s="4"/>
      <c r="V9079" s="4"/>
      <c r="X9079" s="4"/>
      <c r="Y9079" s="4"/>
    </row>
    <row r="9080" spans="20:25" x14ac:dyDescent="0.25">
      <c r="T9080" s="10"/>
      <c r="U9080" s="4"/>
      <c r="V9080" s="4"/>
      <c r="X9080" s="4"/>
      <c r="Y9080" s="4"/>
    </row>
    <row r="9081" spans="20:25" x14ac:dyDescent="0.25">
      <c r="T9081" s="10"/>
      <c r="U9081" s="4"/>
      <c r="V9081" s="4"/>
      <c r="X9081" s="4"/>
      <c r="Y9081" s="4"/>
    </row>
    <row r="9082" spans="20:25" x14ac:dyDescent="0.25">
      <c r="T9082" s="10"/>
      <c r="U9082" s="4"/>
      <c r="V9082" s="4"/>
      <c r="X9082" s="4"/>
      <c r="Y9082" s="4"/>
    </row>
    <row r="9083" spans="20:25" x14ac:dyDescent="0.25">
      <c r="T9083" s="10"/>
      <c r="U9083" s="4"/>
      <c r="V9083" s="4"/>
      <c r="X9083" s="4"/>
      <c r="Y9083" s="4"/>
    </row>
    <row r="9084" spans="20:25" x14ac:dyDescent="0.25">
      <c r="T9084" s="10"/>
      <c r="U9084" s="4"/>
      <c r="V9084" s="4"/>
      <c r="X9084" s="4"/>
      <c r="Y9084" s="4"/>
    </row>
    <row r="9085" spans="20:25" x14ac:dyDescent="0.25">
      <c r="T9085" s="10"/>
      <c r="U9085" s="4"/>
      <c r="V9085" s="4"/>
      <c r="X9085" s="4"/>
      <c r="Y9085" s="4"/>
    </row>
    <row r="9086" spans="20:25" x14ac:dyDescent="0.25">
      <c r="T9086" s="10"/>
      <c r="U9086" s="4"/>
      <c r="V9086" s="4"/>
      <c r="X9086" s="4"/>
      <c r="Y9086" s="4"/>
    </row>
    <row r="9087" spans="20:25" x14ac:dyDescent="0.25">
      <c r="T9087" s="10"/>
      <c r="U9087" s="4"/>
      <c r="V9087" s="4"/>
      <c r="X9087" s="4"/>
      <c r="Y9087" s="4"/>
    </row>
    <row r="9088" spans="20:25" x14ac:dyDescent="0.25">
      <c r="T9088" s="10"/>
      <c r="U9088" s="4"/>
      <c r="V9088" s="4"/>
      <c r="X9088" s="4"/>
      <c r="Y9088" s="4"/>
    </row>
    <row r="9089" spans="20:25" x14ac:dyDescent="0.25">
      <c r="T9089" s="10"/>
      <c r="U9089" s="4"/>
      <c r="V9089" s="4"/>
      <c r="X9089" s="4"/>
      <c r="Y9089" s="4"/>
    </row>
    <row r="9090" spans="20:25" x14ac:dyDescent="0.25">
      <c r="T9090" s="10"/>
      <c r="U9090" s="4"/>
      <c r="V9090" s="4"/>
      <c r="X9090" s="4"/>
      <c r="Y9090" s="4"/>
    </row>
    <row r="9091" spans="20:25" x14ac:dyDescent="0.25">
      <c r="T9091" s="10"/>
      <c r="U9091" s="4"/>
      <c r="V9091" s="4"/>
      <c r="X9091" s="4"/>
      <c r="Y9091" s="4"/>
    </row>
    <row r="9092" spans="20:25" x14ac:dyDescent="0.25">
      <c r="T9092" s="10"/>
      <c r="U9092" s="4"/>
      <c r="V9092" s="4"/>
      <c r="X9092" s="4"/>
      <c r="Y9092" s="4"/>
    </row>
    <row r="9093" spans="20:25" x14ac:dyDescent="0.25">
      <c r="T9093" s="10"/>
      <c r="U9093" s="4"/>
      <c r="V9093" s="4"/>
      <c r="X9093" s="4"/>
      <c r="Y9093" s="4"/>
    </row>
    <row r="9094" spans="20:25" x14ac:dyDescent="0.25">
      <c r="T9094" s="10"/>
      <c r="U9094" s="4"/>
      <c r="V9094" s="4"/>
      <c r="X9094" s="4"/>
      <c r="Y9094" s="4"/>
    </row>
    <row r="9095" spans="20:25" x14ac:dyDescent="0.25">
      <c r="T9095" s="10"/>
      <c r="U9095" s="4"/>
      <c r="V9095" s="4"/>
      <c r="X9095" s="4"/>
      <c r="Y9095" s="4"/>
    </row>
    <row r="9096" spans="20:25" x14ac:dyDescent="0.25">
      <c r="T9096" s="10"/>
      <c r="U9096" s="4"/>
      <c r="V9096" s="4"/>
      <c r="X9096" s="4"/>
      <c r="Y9096" s="4"/>
    </row>
    <row r="9097" spans="20:25" x14ac:dyDescent="0.25">
      <c r="T9097" s="10"/>
      <c r="U9097" s="4"/>
      <c r="V9097" s="4"/>
      <c r="X9097" s="4"/>
      <c r="Y9097" s="4"/>
    </row>
    <row r="9098" spans="20:25" x14ac:dyDescent="0.25">
      <c r="T9098" s="10"/>
      <c r="U9098" s="4"/>
      <c r="V9098" s="4"/>
      <c r="X9098" s="4"/>
      <c r="Y9098" s="4"/>
    </row>
    <row r="9099" spans="20:25" x14ac:dyDescent="0.25">
      <c r="T9099" s="10"/>
      <c r="U9099" s="4"/>
      <c r="V9099" s="4"/>
      <c r="X9099" s="4"/>
      <c r="Y9099" s="4"/>
    </row>
    <row r="9100" spans="20:25" x14ac:dyDescent="0.25">
      <c r="T9100" s="10"/>
      <c r="U9100" s="4"/>
      <c r="V9100" s="4"/>
      <c r="X9100" s="4"/>
      <c r="Y9100" s="4"/>
    </row>
    <row r="9101" spans="20:25" x14ac:dyDescent="0.25">
      <c r="T9101" s="10"/>
      <c r="U9101" s="4"/>
      <c r="V9101" s="4"/>
      <c r="X9101" s="4"/>
      <c r="Y9101" s="4"/>
    </row>
    <row r="9102" spans="20:25" x14ac:dyDescent="0.25">
      <c r="T9102" s="10"/>
      <c r="U9102" s="4"/>
      <c r="V9102" s="4"/>
      <c r="X9102" s="4"/>
      <c r="Y9102" s="4"/>
    </row>
    <row r="9103" spans="20:25" x14ac:dyDescent="0.25">
      <c r="T9103" s="10"/>
      <c r="U9103" s="4"/>
      <c r="V9103" s="4"/>
      <c r="X9103" s="4"/>
      <c r="Y9103" s="4"/>
    </row>
    <row r="9104" spans="20:25" x14ac:dyDescent="0.25">
      <c r="T9104" s="10"/>
      <c r="U9104" s="4"/>
      <c r="V9104" s="4"/>
      <c r="X9104" s="4"/>
      <c r="Y9104" s="4"/>
    </row>
    <row r="9105" spans="20:25" x14ac:dyDescent="0.25">
      <c r="T9105" s="10"/>
      <c r="U9105" s="4"/>
      <c r="V9105" s="4"/>
      <c r="X9105" s="4"/>
      <c r="Y9105" s="4"/>
    </row>
    <row r="9106" spans="20:25" x14ac:dyDescent="0.25">
      <c r="T9106" s="10"/>
      <c r="U9106" s="4"/>
      <c r="V9106" s="4"/>
      <c r="X9106" s="4"/>
      <c r="Y9106" s="4"/>
    </row>
    <row r="9107" spans="20:25" x14ac:dyDescent="0.25">
      <c r="T9107" s="10"/>
      <c r="U9107" s="4"/>
      <c r="V9107" s="4"/>
      <c r="X9107" s="4"/>
      <c r="Y9107" s="4"/>
    </row>
    <row r="9108" spans="20:25" x14ac:dyDescent="0.25">
      <c r="T9108" s="10"/>
      <c r="U9108" s="4"/>
      <c r="V9108" s="4"/>
      <c r="X9108" s="4"/>
      <c r="Y9108" s="4"/>
    </row>
    <row r="9109" spans="20:25" x14ac:dyDescent="0.25">
      <c r="T9109" s="10"/>
      <c r="U9109" s="4"/>
      <c r="V9109" s="4"/>
      <c r="X9109" s="4"/>
      <c r="Y9109" s="4"/>
    </row>
    <row r="9110" spans="20:25" x14ac:dyDescent="0.25">
      <c r="T9110" s="10"/>
      <c r="U9110" s="4"/>
      <c r="V9110" s="4"/>
      <c r="X9110" s="4"/>
      <c r="Y9110" s="4"/>
    </row>
    <row r="9111" spans="20:25" x14ac:dyDescent="0.25">
      <c r="T9111" s="10"/>
      <c r="U9111" s="4"/>
      <c r="V9111" s="4"/>
      <c r="X9111" s="4"/>
      <c r="Y9111" s="4"/>
    </row>
    <row r="9112" spans="20:25" x14ac:dyDescent="0.25">
      <c r="T9112" s="10"/>
      <c r="U9112" s="4"/>
      <c r="V9112" s="4"/>
      <c r="X9112" s="4"/>
      <c r="Y9112" s="4"/>
    </row>
    <row r="9113" spans="20:25" x14ac:dyDescent="0.25">
      <c r="T9113" s="10"/>
      <c r="U9113" s="4"/>
      <c r="V9113" s="4"/>
      <c r="X9113" s="4"/>
      <c r="Y9113" s="4"/>
    </row>
    <row r="9114" spans="20:25" x14ac:dyDescent="0.25">
      <c r="T9114" s="10"/>
      <c r="U9114" s="4"/>
      <c r="V9114" s="4"/>
      <c r="X9114" s="4"/>
      <c r="Y9114" s="4"/>
    </row>
    <row r="9115" spans="20:25" x14ac:dyDescent="0.25">
      <c r="T9115" s="10"/>
      <c r="U9115" s="4"/>
      <c r="V9115" s="4"/>
      <c r="X9115" s="4"/>
      <c r="Y9115" s="4"/>
    </row>
    <row r="9116" spans="20:25" x14ac:dyDescent="0.25">
      <c r="T9116" s="10"/>
      <c r="U9116" s="4"/>
      <c r="V9116" s="4"/>
      <c r="X9116" s="4"/>
      <c r="Y9116" s="4"/>
    </row>
    <row r="9117" spans="20:25" x14ac:dyDescent="0.25">
      <c r="T9117" s="10"/>
      <c r="U9117" s="4"/>
      <c r="V9117" s="4"/>
      <c r="X9117" s="4"/>
      <c r="Y9117" s="4"/>
    </row>
    <row r="9118" spans="20:25" x14ac:dyDescent="0.25">
      <c r="T9118" s="10"/>
      <c r="U9118" s="4"/>
      <c r="V9118" s="4"/>
      <c r="X9118" s="4"/>
      <c r="Y9118" s="4"/>
    </row>
    <row r="9119" spans="20:25" x14ac:dyDescent="0.25">
      <c r="T9119" s="10"/>
      <c r="U9119" s="4"/>
      <c r="V9119" s="4"/>
      <c r="X9119" s="4"/>
      <c r="Y9119" s="4"/>
    </row>
    <row r="9120" spans="20:25" x14ac:dyDescent="0.25">
      <c r="T9120" s="10"/>
      <c r="U9120" s="4"/>
      <c r="V9120" s="4"/>
      <c r="X9120" s="4"/>
      <c r="Y9120" s="4"/>
    </row>
    <row r="9121" spans="20:25" x14ac:dyDescent="0.25">
      <c r="T9121" s="10"/>
      <c r="U9121" s="4"/>
      <c r="V9121" s="4"/>
      <c r="X9121" s="4"/>
      <c r="Y9121" s="4"/>
    </row>
    <row r="9122" spans="20:25" x14ac:dyDescent="0.25">
      <c r="T9122" s="10"/>
      <c r="U9122" s="4"/>
      <c r="V9122" s="4"/>
      <c r="X9122" s="4"/>
      <c r="Y9122" s="4"/>
    </row>
    <row r="9123" spans="20:25" x14ac:dyDescent="0.25">
      <c r="T9123" s="10"/>
      <c r="U9123" s="4"/>
      <c r="V9123" s="4"/>
      <c r="X9123" s="4"/>
      <c r="Y9123" s="4"/>
    </row>
    <row r="9124" spans="20:25" x14ac:dyDescent="0.25">
      <c r="T9124" s="10"/>
      <c r="U9124" s="4"/>
      <c r="V9124" s="4"/>
      <c r="X9124" s="4"/>
      <c r="Y9124" s="4"/>
    </row>
    <row r="9125" spans="20:25" x14ac:dyDescent="0.25">
      <c r="T9125" s="10"/>
      <c r="U9125" s="4"/>
      <c r="V9125" s="4"/>
      <c r="X9125" s="4"/>
      <c r="Y9125" s="4"/>
    </row>
    <row r="9126" spans="20:25" x14ac:dyDescent="0.25">
      <c r="T9126" s="10"/>
      <c r="U9126" s="4"/>
      <c r="V9126" s="4"/>
      <c r="X9126" s="4"/>
      <c r="Y9126" s="4"/>
    </row>
    <row r="9127" spans="20:25" x14ac:dyDescent="0.25">
      <c r="T9127" s="10"/>
      <c r="U9127" s="4"/>
      <c r="V9127" s="4"/>
      <c r="X9127" s="4"/>
      <c r="Y9127" s="4"/>
    </row>
    <row r="9128" spans="20:25" x14ac:dyDescent="0.25">
      <c r="T9128" s="10"/>
      <c r="U9128" s="4"/>
      <c r="V9128" s="4"/>
      <c r="X9128" s="4"/>
      <c r="Y9128" s="4"/>
    </row>
    <row r="9129" spans="20:25" x14ac:dyDescent="0.25">
      <c r="T9129" s="10"/>
      <c r="U9129" s="4"/>
      <c r="V9129" s="4"/>
      <c r="X9129" s="4"/>
      <c r="Y9129" s="4"/>
    </row>
    <row r="9130" spans="20:25" x14ac:dyDescent="0.25">
      <c r="T9130" s="10"/>
      <c r="U9130" s="4"/>
      <c r="V9130" s="4"/>
      <c r="X9130" s="4"/>
      <c r="Y9130" s="4"/>
    </row>
    <row r="9131" spans="20:25" x14ac:dyDescent="0.25">
      <c r="T9131" s="10"/>
      <c r="U9131" s="4"/>
      <c r="V9131" s="4"/>
      <c r="X9131" s="4"/>
      <c r="Y9131" s="4"/>
    </row>
    <row r="9132" spans="20:25" x14ac:dyDescent="0.25">
      <c r="T9132" s="10"/>
      <c r="U9132" s="4"/>
      <c r="V9132" s="4"/>
      <c r="X9132" s="4"/>
      <c r="Y9132" s="4"/>
    </row>
    <row r="9133" spans="20:25" x14ac:dyDescent="0.25">
      <c r="T9133" s="10"/>
      <c r="U9133" s="4"/>
      <c r="V9133" s="4"/>
      <c r="X9133" s="4"/>
      <c r="Y9133" s="4"/>
    </row>
    <row r="9134" spans="20:25" x14ac:dyDescent="0.25">
      <c r="T9134" s="10"/>
      <c r="U9134" s="4"/>
      <c r="V9134" s="4"/>
      <c r="X9134" s="4"/>
      <c r="Y9134" s="4"/>
    </row>
    <row r="9135" spans="20:25" x14ac:dyDescent="0.25">
      <c r="T9135" s="10"/>
      <c r="U9135" s="4"/>
      <c r="V9135" s="4"/>
      <c r="X9135" s="4"/>
      <c r="Y9135" s="4"/>
    </row>
    <row r="9136" spans="20:25" x14ac:dyDescent="0.25">
      <c r="T9136" s="10"/>
      <c r="U9136" s="4"/>
      <c r="V9136" s="4"/>
      <c r="X9136" s="4"/>
      <c r="Y9136" s="4"/>
    </row>
    <row r="9137" spans="20:25" x14ac:dyDescent="0.25">
      <c r="T9137" s="10"/>
      <c r="U9137" s="4"/>
      <c r="V9137" s="4"/>
      <c r="X9137" s="4"/>
      <c r="Y9137" s="4"/>
    </row>
    <row r="9138" spans="20:25" x14ac:dyDescent="0.25">
      <c r="T9138" s="10"/>
      <c r="U9138" s="4"/>
      <c r="V9138" s="4"/>
      <c r="X9138" s="4"/>
      <c r="Y9138" s="4"/>
    </row>
    <row r="9139" spans="20:25" x14ac:dyDescent="0.25">
      <c r="T9139" s="10"/>
      <c r="U9139" s="4"/>
      <c r="V9139" s="4"/>
      <c r="X9139" s="4"/>
      <c r="Y9139" s="4"/>
    </row>
    <row r="9140" spans="20:25" x14ac:dyDescent="0.25">
      <c r="T9140" s="10"/>
      <c r="U9140" s="4"/>
      <c r="V9140" s="4"/>
      <c r="X9140" s="4"/>
      <c r="Y9140" s="4"/>
    </row>
    <row r="9141" spans="20:25" x14ac:dyDescent="0.25">
      <c r="T9141" s="10"/>
      <c r="U9141" s="4"/>
      <c r="V9141" s="4"/>
      <c r="X9141" s="4"/>
      <c r="Y9141" s="4"/>
    </row>
    <row r="9142" spans="20:25" x14ac:dyDescent="0.25">
      <c r="T9142" s="10"/>
      <c r="U9142" s="4"/>
      <c r="V9142" s="4"/>
      <c r="X9142" s="4"/>
      <c r="Y9142" s="4"/>
    </row>
    <row r="9143" spans="20:25" x14ac:dyDescent="0.25">
      <c r="T9143" s="10"/>
      <c r="U9143" s="4"/>
      <c r="V9143" s="4"/>
      <c r="X9143" s="4"/>
      <c r="Y9143" s="4"/>
    </row>
    <row r="9144" spans="20:25" x14ac:dyDescent="0.25">
      <c r="T9144" s="10"/>
      <c r="U9144" s="4"/>
      <c r="V9144" s="4"/>
      <c r="X9144" s="4"/>
      <c r="Y9144" s="4"/>
    </row>
    <row r="9145" spans="20:25" x14ac:dyDescent="0.25">
      <c r="T9145" s="10"/>
      <c r="U9145" s="4"/>
      <c r="V9145" s="4"/>
      <c r="X9145" s="4"/>
      <c r="Y9145" s="4"/>
    </row>
    <row r="9146" spans="20:25" x14ac:dyDescent="0.25">
      <c r="T9146" s="10"/>
      <c r="U9146" s="4"/>
      <c r="V9146" s="4"/>
      <c r="X9146" s="4"/>
      <c r="Y9146" s="4"/>
    </row>
    <row r="9147" spans="20:25" x14ac:dyDescent="0.25">
      <c r="T9147" s="10"/>
      <c r="U9147" s="4"/>
      <c r="V9147" s="4"/>
      <c r="X9147" s="4"/>
      <c r="Y9147" s="4"/>
    </row>
    <row r="9148" spans="20:25" x14ac:dyDescent="0.25">
      <c r="T9148" s="10"/>
      <c r="U9148" s="4"/>
      <c r="V9148" s="4"/>
      <c r="X9148" s="4"/>
      <c r="Y9148" s="4"/>
    </row>
    <row r="9149" spans="20:25" x14ac:dyDescent="0.25">
      <c r="T9149" s="10"/>
      <c r="U9149" s="4"/>
      <c r="V9149" s="4"/>
      <c r="X9149" s="4"/>
      <c r="Y9149" s="4"/>
    </row>
    <row r="9150" spans="20:25" x14ac:dyDescent="0.25">
      <c r="T9150" s="10"/>
      <c r="U9150" s="4"/>
      <c r="V9150" s="4"/>
      <c r="X9150" s="4"/>
      <c r="Y9150" s="4"/>
    </row>
    <row r="9151" spans="20:25" x14ac:dyDescent="0.25">
      <c r="T9151" s="10"/>
      <c r="U9151" s="4"/>
      <c r="V9151" s="4"/>
      <c r="X9151" s="4"/>
      <c r="Y9151" s="4"/>
    </row>
    <row r="9152" spans="20:25" x14ac:dyDescent="0.25">
      <c r="T9152" s="10"/>
      <c r="U9152" s="4"/>
      <c r="V9152" s="4"/>
      <c r="X9152" s="4"/>
      <c r="Y9152" s="4"/>
    </row>
    <row r="9153" spans="20:25" x14ac:dyDescent="0.25">
      <c r="T9153" s="10"/>
      <c r="U9153" s="4"/>
      <c r="V9153" s="4"/>
      <c r="X9153" s="4"/>
      <c r="Y9153" s="4"/>
    </row>
    <row r="9154" spans="20:25" x14ac:dyDescent="0.25">
      <c r="T9154" s="10"/>
      <c r="U9154" s="4"/>
      <c r="V9154" s="4"/>
      <c r="X9154" s="4"/>
      <c r="Y9154" s="4"/>
    </row>
    <row r="9155" spans="20:25" x14ac:dyDescent="0.25">
      <c r="T9155" s="10"/>
      <c r="U9155" s="4"/>
      <c r="V9155" s="4"/>
      <c r="X9155" s="4"/>
      <c r="Y9155" s="4"/>
    </row>
    <row r="9156" spans="20:25" x14ac:dyDescent="0.25">
      <c r="T9156" s="10"/>
      <c r="U9156" s="4"/>
      <c r="V9156" s="4"/>
      <c r="X9156" s="4"/>
      <c r="Y9156" s="4"/>
    </row>
    <row r="9157" spans="20:25" x14ac:dyDescent="0.25">
      <c r="T9157" s="10"/>
      <c r="U9157" s="4"/>
      <c r="V9157" s="4"/>
      <c r="X9157" s="4"/>
      <c r="Y9157" s="4"/>
    </row>
    <row r="9158" spans="20:25" x14ac:dyDescent="0.25">
      <c r="T9158" s="10"/>
      <c r="U9158" s="4"/>
      <c r="V9158" s="4"/>
      <c r="X9158" s="4"/>
      <c r="Y9158" s="4"/>
    </row>
    <row r="9159" spans="20:25" x14ac:dyDescent="0.25">
      <c r="T9159" s="10"/>
      <c r="U9159" s="4"/>
      <c r="V9159" s="4"/>
      <c r="X9159" s="4"/>
      <c r="Y9159" s="4"/>
    </row>
    <row r="9160" spans="20:25" x14ac:dyDescent="0.25">
      <c r="T9160" s="10"/>
      <c r="U9160" s="4"/>
      <c r="V9160" s="4"/>
      <c r="X9160" s="4"/>
      <c r="Y9160" s="4"/>
    </row>
    <row r="9161" spans="20:25" x14ac:dyDescent="0.25">
      <c r="T9161" s="10"/>
      <c r="U9161" s="4"/>
      <c r="V9161" s="4"/>
      <c r="X9161" s="4"/>
      <c r="Y9161" s="4"/>
    </row>
    <row r="9162" spans="20:25" x14ac:dyDescent="0.25">
      <c r="T9162" s="10"/>
      <c r="U9162" s="4"/>
      <c r="V9162" s="4"/>
      <c r="X9162" s="4"/>
      <c r="Y9162" s="4"/>
    </row>
    <row r="9163" spans="20:25" x14ac:dyDescent="0.25">
      <c r="T9163" s="10"/>
      <c r="U9163" s="4"/>
      <c r="V9163" s="4"/>
      <c r="X9163" s="4"/>
      <c r="Y9163" s="4"/>
    </row>
    <row r="9164" spans="20:25" x14ac:dyDescent="0.25">
      <c r="T9164" s="10"/>
      <c r="U9164" s="4"/>
      <c r="V9164" s="4"/>
      <c r="X9164" s="4"/>
      <c r="Y9164" s="4"/>
    </row>
    <row r="9165" spans="20:25" x14ac:dyDescent="0.25">
      <c r="T9165" s="10"/>
      <c r="U9165" s="4"/>
      <c r="V9165" s="4"/>
      <c r="X9165" s="4"/>
      <c r="Y9165" s="4"/>
    </row>
    <row r="9166" spans="20:25" x14ac:dyDescent="0.25">
      <c r="T9166" s="10"/>
      <c r="U9166" s="4"/>
      <c r="V9166" s="4"/>
      <c r="X9166" s="4"/>
      <c r="Y9166" s="4"/>
    </row>
    <row r="9167" spans="20:25" x14ac:dyDescent="0.25">
      <c r="T9167" s="10"/>
      <c r="U9167" s="4"/>
      <c r="V9167" s="4"/>
      <c r="X9167" s="4"/>
      <c r="Y9167" s="4"/>
    </row>
    <row r="9168" spans="20:25" x14ac:dyDescent="0.25">
      <c r="T9168" s="10"/>
      <c r="U9168" s="4"/>
      <c r="V9168" s="4"/>
      <c r="X9168" s="4"/>
      <c r="Y9168" s="4"/>
    </row>
    <row r="9169" spans="20:25" x14ac:dyDescent="0.25">
      <c r="T9169" s="10"/>
      <c r="U9169" s="4"/>
      <c r="V9169" s="4"/>
      <c r="X9169" s="4"/>
      <c r="Y9169" s="4"/>
    </row>
    <row r="9170" spans="20:25" x14ac:dyDescent="0.25">
      <c r="T9170" s="10"/>
      <c r="U9170" s="4"/>
      <c r="V9170" s="4"/>
      <c r="X9170" s="4"/>
      <c r="Y9170" s="4"/>
    </row>
    <row r="9171" spans="20:25" x14ac:dyDescent="0.25">
      <c r="T9171" s="10"/>
      <c r="U9171" s="4"/>
      <c r="V9171" s="4"/>
      <c r="X9171" s="4"/>
      <c r="Y9171" s="4"/>
    </row>
    <row r="9172" spans="20:25" x14ac:dyDescent="0.25">
      <c r="T9172" s="10"/>
      <c r="U9172" s="4"/>
      <c r="V9172" s="4"/>
      <c r="X9172" s="4"/>
      <c r="Y9172" s="4"/>
    </row>
    <row r="9173" spans="20:25" x14ac:dyDescent="0.25">
      <c r="T9173" s="10"/>
      <c r="U9173" s="4"/>
      <c r="V9173" s="4"/>
      <c r="X9173" s="4"/>
      <c r="Y9173" s="4"/>
    </row>
    <row r="9174" spans="20:25" x14ac:dyDescent="0.25">
      <c r="T9174" s="10"/>
      <c r="U9174" s="4"/>
      <c r="V9174" s="4"/>
      <c r="X9174" s="4"/>
      <c r="Y9174" s="4"/>
    </row>
    <row r="9175" spans="20:25" x14ac:dyDescent="0.25">
      <c r="T9175" s="10"/>
      <c r="U9175" s="4"/>
      <c r="V9175" s="4"/>
      <c r="X9175" s="4"/>
      <c r="Y9175" s="4"/>
    </row>
    <row r="9176" spans="20:25" x14ac:dyDescent="0.25">
      <c r="T9176" s="10"/>
      <c r="U9176" s="4"/>
      <c r="V9176" s="4"/>
      <c r="X9176" s="4"/>
      <c r="Y9176" s="4"/>
    </row>
    <row r="9177" spans="20:25" x14ac:dyDescent="0.25">
      <c r="T9177" s="10"/>
      <c r="U9177" s="4"/>
      <c r="V9177" s="4"/>
      <c r="X9177" s="4"/>
      <c r="Y9177" s="4"/>
    </row>
    <row r="9178" spans="20:25" x14ac:dyDescent="0.25">
      <c r="T9178" s="10"/>
      <c r="U9178" s="4"/>
      <c r="V9178" s="4"/>
      <c r="X9178" s="4"/>
      <c r="Y9178" s="4"/>
    </row>
    <row r="9179" spans="20:25" x14ac:dyDescent="0.25">
      <c r="T9179" s="10"/>
      <c r="U9179" s="4"/>
      <c r="V9179" s="4"/>
      <c r="X9179" s="4"/>
      <c r="Y9179" s="4"/>
    </row>
    <row r="9180" spans="20:25" x14ac:dyDescent="0.25">
      <c r="T9180" s="10"/>
      <c r="U9180" s="4"/>
      <c r="V9180" s="4"/>
      <c r="X9180" s="4"/>
      <c r="Y9180" s="4"/>
    </row>
    <row r="9181" spans="20:25" x14ac:dyDescent="0.25">
      <c r="T9181" s="10"/>
      <c r="U9181" s="4"/>
      <c r="V9181" s="4"/>
      <c r="X9181" s="4"/>
      <c r="Y9181" s="4"/>
    </row>
    <row r="9182" spans="20:25" x14ac:dyDescent="0.25">
      <c r="T9182" s="10"/>
      <c r="U9182" s="4"/>
      <c r="V9182" s="4"/>
      <c r="X9182" s="4"/>
      <c r="Y9182" s="4"/>
    </row>
    <row r="9183" spans="20:25" x14ac:dyDescent="0.25">
      <c r="T9183" s="10"/>
      <c r="U9183" s="4"/>
      <c r="V9183" s="4"/>
      <c r="X9183" s="4"/>
      <c r="Y9183" s="4"/>
    </row>
    <row r="9184" spans="20:25" x14ac:dyDescent="0.25">
      <c r="T9184" s="10"/>
      <c r="U9184" s="4"/>
      <c r="V9184" s="4"/>
      <c r="X9184" s="4"/>
      <c r="Y9184" s="4"/>
    </row>
    <row r="9185" spans="20:25" x14ac:dyDescent="0.25">
      <c r="T9185" s="10"/>
      <c r="U9185" s="4"/>
      <c r="V9185" s="4"/>
      <c r="X9185" s="4"/>
      <c r="Y9185" s="4"/>
    </row>
    <row r="9186" spans="20:25" x14ac:dyDescent="0.25">
      <c r="T9186" s="10"/>
      <c r="U9186" s="4"/>
      <c r="V9186" s="4"/>
      <c r="X9186" s="4"/>
      <c r="Y9186" s="4"/>
    </row>
    <row r="9187" spans="20:25" x14ac:dyDescent="0.25">
      <c r="T9187" s="10"/>
      <c r="U9187" s="4"/>
      <c r="V9187" s="4"/>
      <c r="X9187" s="4"/>
      <c r="Y9187" s="4"/>
    </row>
    <row r="9188" spans="20:25" x14ac:dyDescent="0.25">
      <c r="T9188" s="10"/>
      <c r="U9188" s="4"/>
      <c r="V9188" s="4"/>
      <c r="X9188" s="4"/>
      <c r="Y9188" s="4"/>
    </row>
    <row r="9189" spans="20:25" x14ac:dyDescent="0.25">
      <c r="T9189" s="10"/>
      <c r="U9189" s="4"/>
      <c r="V9189" s="4"/>
      <c r="X9189" s="4"/>
      <c r="Y9189" s="4"/>
    </row>
    <row r="9190" spans="20:25" x14ac:dyDescent="0.25">
      <c r="T9190" s="10"/>
      <c r="U9190" s="4"/>
      <c r="V9190" s="4"/>
      <c r="X9190" s="4"/>
      <c r="Y9190" s="4"/>
    </row>
    <row r="9191" spans="20:25" x14ac:dyDescent="0.25">
      <c r="T9191" s="10"/>
      <c r="U9191" s="4"/>
      <c r="V9191" s="4"/>
      <c r="X9191" s="4"/>
      <c r="Y9191" s="4"/>
    </row>
    <row r="9192" spans="20:25" x14ac:dyDescent="0.25">
      <c r="T9192" s="10"/>
      <c r="U9192" s="4"/>
      <c r="V9192" s="4"/>
      <c r="X9192" s="4"/>
      <c r="Y9192" s="4"/>
    </row>
    <row r="9193" spans="20:25" x14ac:dyDescent="0.25">
      <c r="T9193" s="10"/>
      <c r="U9193" s="4"/>
      <c r="V9193" s="4"/>
      <c r="X9193" s="4"/>
      <c r="Y9193" s="4"/>
    </row>
    <row r="9194" spans="20:25" x14ac:dyDescent="0.25">
      <c r="T9194" s="10"/>
      <c r="U9194" s="4"/>
      <c r="V9194" s="4"/>
      <c r="X9194" s="4"/>
      <c r="Y9194" s="4"/>
    </row>
    <row r="9195" spans="20:25" x14ac:dyDescent="0.25">
      <c r="T9195" s="10"/>
      <c r="U9195" s="4"/>
      <c r="V9195" s="4"/>
      <c r="X9195" s="4"/>
      <c r="Y9195" s="4"/>
    </row>
    <row r="9196" spans="20:25" x14ac:dyDescent="0.25">
      <c r="T9196" s="10"/>
      <c r="U9196" s="4"/>
      <c r="V9196" s="4"/>
      <c r="X9196" s="4"/>
      <c r="Y9196" s="4"/>
    </row>
    <row r="9197" spans="20:25" x14ac:dyDescent="0.25">
      <c r="T9197" s="10"/>
      <c r="U9197" s="4"/>
      <c r="V9197" s="4"/>
      <c r="X9197" s="4"/>
      <c r="Y9197" s="4"/>
    </row>
    <row r="9198" spans="20:25" x14ac:dyDescent="0.25">
      <c r="T9198" s="10"/>
      <c r="U9198" s="4"/>
      <c r="V9198" s="4"/>
      <c r="X9198" s="4"/>
      <c r="Y9198" s="4"/>
    </row>
    <row r="9199" spans="20:25" x14ac:dyDescent="0.25">
      <c r="T9199" s="10"/>
      <c r="U9199" s="4"/>
      <c r="V9199" s="4"/>
      <c r="X9199" s="4"/>
      <c r="Y9199" s="4"/>
    </row>
    <row r="9200" spans="20:25" x14ac:dyDescent="0.25">
      <c r="T9200" s="10"/>
      <c r="U9200" s="4"/>
      <c r="V9200" s="4"/>
      <c r="X9200" s="4"/>
      <c r="Y9200" s="4"/>
    </row>
    <row r="9201" spans="20:25" x14ac:dyDescent="0.25">
      <c r="T9201" s="10"/>
      <c r="U9201" s="4"/>
      <c r="V9201" s="4"/>
      <c r="X9201" s="4"/>
      <c r="Y9201" s="4"/>
    </row>
    <row r="9202" spans="20:25" x14ac:dyDescent="0.25">
      <c r="T9202" s="10"/>
      <c r="U9202" s="4"/>
      <c r="V9202" s="4"/>
      <c r="X9202" s="4"/>
      <c r="Y9202" s="4"/>
    </row>
    <row r="9203" spans="20:25" x14ac:dyDescent="0.25">
      <c r="T9203" s="10"/>
      <c r="U9203" s="4"/>
      <c r="V9203" s="4"/>
      <c r="X9203" s="4"/>
      <c r="Y9203" s="4"/>
    </row>
    <row r="9204" spans="20:25" x14ac:dyDescent="0.25">
      <c r="T9204" s="10"/>
      <c r="U9204" s="4"/>
      <c r="V9204" s="4"/>
      <c r="X9204" s="4"/>
      <c r="Y9204" s="4"/>
    </row>
    <row r="9205" spans="20:25" x14ac:dyDescent="0.25">
      <c r="T9205" s="10"/>
      <c r="U9205" s="4"/>
      <c r="V9205" s="4"/>
      <c r="X9205" s="4"/>
      <c r="Y9205" s="4"/>
    </row>
    <row r="9206" spans="20:25" x14ac:dyDescent="0.25">
      <c r="T9206" s="10"/>
      <c r="U9206" s="4"/>
      <c r="V9206" s="4"/>
      <c r="X9206" s="4"/>
      <c r="Y9206" s="4"/>
    </row>
    <row r="9207" spans="20:25" x14ac:dyDescent="0.25">
      <c r="T9207" s="10"/>
      <c r="U9207" s="4"/>
      <c r="V9207" s="4"/>
      <c r="X9207" s="4"/>
      <c r="Y9207" s="4"/>
    </row>
    <row r="9208" spans="20:25" x14ac:dyDescent="0.25">
      <c r="T9208" s="10"/>
      <c r="U9208" s="4"/>
      <c r="V9208" s="4"/>
      <c r="X9208" s="4"/>
      <c r="Y9208" s="4"/>
    </row>
    <row r="9209" spans="20:25" x14ac:dyDescent="0.25">
      <c r="T9209" s="10"/>
      <c r="U9209" s="4"/>
      <c r="V9209" s="4"/>
      <c r="X9209" s="4"/>
      <c r="Y9209" s="4"/>
    </row>
    <row r="9210" spans="20:25" x14ac:dyDescent="0.25">
      <c r="T9210" s="10"/>
      <c r="U9210" s="4"/>
      <c r="V9210" s="4"/>
      <c r="X9210" s="4"/>
      <c r="Y9210" s="4"/>
    </row>
    <row r="9211" spans="20:25" x14ac:dyDescent="0.25">
      <c r="T9211" s="10"/>
      <c r="U9211" s="4"/>
      <c r="V9211" s="4"/>
      <c r="X9211" s="4"/>
      <c r="Y9211" s="4"/>
    </row>
    <row r="9212" spans="20:25" x14ac:dyDescent="0.25">
      <c r="T9212" s="10"/>
      <c r="U9212" s="4"/>
      <c r="V9212" s="4"/>
      <c r="X9212" s="4"/>
      <c r="Y9212" s="4"/>
    </row>
    <row r="9213" spans="20:25" x14ac:dyDescent="0.25">
      <c r="T9213" s="10"/>
      <c r="U9213" s="4"/>
      <c r="V9213" s="4"/>
      <c r="X9213" s="4"/>
      <c r="Y9213" s="4"/>
    </row>
    <row r="9214" spans="20:25" x14ac:dyDescent="0.25">
      <c r="T9214" s="10"/>
      <c r="U9214" s="4"/>
      <c r="V9214" s="4"/>
      <c r="X9214" s="4"/>
      <c r="Y9214" s="4"/>
    </row>
    <row r="9215" spans="20:25" x14ac:dyDescent="0.25">
      <c r="T9215" s="10"/>
      <c r="U9215" s="4"/>
      <c r="V9215" s="4"/>
      <c r="X9215" s="4"/>
      <c r="Y9215" s="4"/>
    </row>
    <row r="9216" spans="20:25" x14ac:dyDescent="0.25">
      <c r="T9216" s="10"/>
      <c r="U9216" s="4"/>
      <c r="V9216" s="4"/>
      <c r="X9216" s="4"/>
      <c r="Y9216" s="4"/>
    </row>
    <row r="9217" spans="20:25" x14ac:dyDescent="0.25">
      <c r="T9217" s="10"/>
      <c r="U9217" s="4"/>
      <c r="V9217" s="4"/>
      <c r="X9217" s="4"/>
      <c r="Y9217" s="4"/>
    </row>
    <row r="9218" spans="20:25" x14ac:dyDescent="0.25">
      <c r="T9218" s="10"/>
      <c r="U9218" s="4"/>
      <c r="V9218" s="4"/>
      <c r="X9218" s="4"/>
      <c r="Y9218" s="4"/>
    </row>
    <row r="9219" spans="20:25" x14ac:dyDescent="0.25">
      <c r="T9219" s="10"/>
      <c r="U9219" s="4"/>
      <c r="V9219" s="4"/>
      <c r="X9219" s="4"/>
      <c r="Y9219" s="4"/>
    </row>
    <row r="9220" spans="20:25" x14ac:dyDescent="0.25">
      <c r="T9220" s="10"/>
      <c r="U9220" s="4"/>
      <c r="V9220" s="4"/>
      <c r="X9220" s="4"/>
      <c r="Y9220" s="4"/>
    </row>
    <row r="9221" spans="20:25" x14ac:dyDescent="0.25">
      <c r="T9221" s="10"/>
      <c r="U9221" s="4"/>
      <c r="V9221" s="4"/>
      <c r="X9221" s="4"/>
      <c r="Y9221" s="4"/>
    </row>
    <row r="9222" spans="20:25" x14ac:dyDescent="0.25">
      <c r="T9222" s="10"/>
      <c r="U9222" s="4"/>
      <c r="V9222" s="4"/>
      <c r="X9222" s="4"/>
      <c r="Y9222" s="4"/>
    </row>
    <row r="9223" spans="20:25" x14ac:dyDescent="0.25">
      <c r="T9223" s="10"/>
      <c r="U9223" s="4"/>
      <c r="V9223" s="4"/>
      <c r="X9223" s="4"/>
      <c r="Y9223" s="4"/>
    </row>
    <row r="9224" spans="20:25" x14ac:dyDescent="0.25">
      <c r="T9224" s="10"/>
      <c r="U9224" s="4"/>
      <c r="V9224" s="4"/>
      <c r="X9224" s="4"/>
      <c r="Y9224" s="4"/>
    </row>
    <row r="9225" spans="20:25" x14ac:dyDescent="0.25">
      <c r="T9225" s="10"/>
      <c r="U9225" s="4"/>
      <c r="V9225" s="4"/>
      <c r="X9225" s="4"/>
      <c r="Y9225" s="4"/>
    </row>
    <row r="9226" spans="20:25" x14ac:dyDescent="0.25">
      <c r="T9226" s="10"/>
      <c r="U9226" s="4"/>
      <c r="V9226" s="4"/>
      <c r="X9226" s="4"/>
      <c r="Y9226" s="4"/>
    </row>
    <row r="9227" spans="20:25" x14ac:dyDescent="0.25">
      <c r="T9227" s="10"/>
      <c r="U9227" s="4"/>
      <c r="V9227" s="4"/>
      <c r="X9227" s="4"/>
      <c r="Y9227" s="4"/>
    </row>
    <row r="9228" spans="20:25" x14ac:dyDescent="0.25">
      <c r="T9228" s="10"/>
      <c r="U9228" s="4"/>
      <c r="V9228" s="4"/>
      <c r="X9228" s="4"/>
      <c r="Y9228" s="4"/>
    </row>
    <row r="9229" spans="20:25" x14ac:dyDescent="0.25">
      <c r="T9229" s="10"/>
      <c r="U9229" s="4"/>
      <c r="V9229" s="4"/>
      <c r="X9229" s="4"/>
      <c r="Y9229" s="4"/>
    </row>
    <row r="9230" spans="20:25" x14ac:dyDescent="0.25">
      <c r="T9230" s="10"/>
      <c r="U9230" s="4"/>
      <c r="V9230" s="4"/>
      <c r="X9230" s="4"/>
      <c r="Y9230" s="4"/>
    </row>
    <row r="9231" spans="20:25" x14ac:dyDescent="0.25">
      <c r="T9231" s="10"/>
      <c r="U9231" s="4"/>
      <c r="V9231" s="4"/>
      <c r="X9231" s="4"/>
      <c r="Y9231" s="4"/>
    </row>
    <row r="9232" spans="20:25" x14ac:dyDescent="0.25">
      <c r="T9232" s="10"/>
      <c r="U9232" s="4"/>
      <c r="V9232" s="4"/>
      <c r="X9232" s="4"/>
      <c r="Y9232" s="4"/>
    </row>
    <row r="9233" spans="20:25" x14ac:dyDescent="0.25">
      <c r="T9233" s="10"/>
      <c r="U9233" s="4"/>
      <c r="V9233" s="4"/>
      <c r="X9233" s="4"/>
      <c r="Y9233" s="4"/>
    </row>
    <row r="9234" spans="20:25" x14ac:dyDescent="0.25">
      <c r="T9234" s="10"/>
      <c r="U9234" s="4"/>
      <c r="V9234" s="4"/>
      <c r="X9234" s="4"/>
      <c r="Y9234" s="4"/>
    </row>
    <row r="9235" spans="20:25" x14ac:dyDescent="0.25">
      <c r="T9235" s="10"/>
      <c r="U9235" s="4"/>
      <c r="V9235" s="4"/>
      <c r="X9235" s="4"/>
      <c r="Y9235" s="4"/>
    </row>
    <row r="9236" spans="20:25" x14ac:dyDescent="0.25">
      <c r="T9236" s="10"/>
      <c r="U9236" s="4"/>
      <c r="V9236" s="4"/>
      <c r="X9236" s="4"/>
      <c r="Y9236" s="4"/>
    </row>
    <row r="9237" spans="20:25" x14ac:dyDescent="0.25">
      <c r="T9237" s="10"/>
      <c r="U9237" s="4"/>
      <c r="V9237" s="4"/>
      <c r="X9237" s="4"/>
      <c r="Y9237" s="4"/>
    </row>
    <row r="9238" spans="20:25" x14ac:dyDescent="0.25">
      <c r="T9238" s="10"/>
      <c r="U9238" s="4"/>
      <c r="V9238" s="4"/>
      <c r="X9238" s="4"/>
      <c r="Y9238" s="4"/>
    </row>
    <row r="9239" spans="20:25" x14ac:dyDescent="0.25">
      <c r="T9239" s="10"/>
      <c r="U9239" s="4"/>
      <c r="V9239" s="4"/>
      <c r="X9239" s="4"/>
      <c r="Y9239" s="4"/>
    </row>
    <row r="9240" spans="20:25" x14ac:dyDescent="0.25">
      <c r="T9240" s="10"/>
      <c r="U9240" s="4"/>
      <c r="V9240" s="4"/>
      <c r="X9240" s="4"/>
      <c r="Y9240" s="4"/>
    </row>
    <row r="9241" spans="20:25" x14ac:dyDescent="0.25">
      <c r="T9241" s="10"/>
      <c r="U9241" s="4"/>
      <c r="V9241" s="4"/>
      <c r="X9241" s="4"/>
      <c r="Y9241" s="4"/>
    </row>
    <row r="9242" spans="20:25" x14ac:dyDescent="0.25">
      <c r="T9242" s="10"/>
      <c r="U9242" s="4"/>
      <c r="V9242" s="4"/>
      <c r="X9242" s="4"/>
      <c r="Y9242" s="4"/>
    </row>
    <row r="9243" spans="20:25" x14ac:dyDescent="0.25">
      <c r="T9243" s="10"/>
      <c r="U9243" s="4"/>
      <c r="V9243" s="4"/>
      <c r="X9243" s="4"/>
      <c r="Y9243" s="4"/>
    </row>
    <row r="9244" spans="20:25" x14ac:dyDescent="0.25">
      <c r="T9244" s="10"/>
      <c r="U9244" s="4"/>
      <c r="V9244" s="4"/>
      <c r="X9244" s="4"/>
      <c r="Y9244" s="4"/>
    </row>
    <row r="9245" spans="20:25" x14ac:dyDescent="0.25">
      <c r="T9245" s="10"/>
      <c r="U9245" s="4"/>
      <c r="V9245" s="4"/>
      <c r="X9245" s="4"/>
      <c r="Y9245" s="4"/>
    </row>
    <row r="9246" spans="20:25" x14ac:dyDescent="0.25">
      <c r="T9246" s="10"/>
      <c r="U9246" s="4"/>
      <c r="V9246" s="4"/>
      <c r="X9246" s="4"/>
      <c r="Y9246" s="4"/>
    </row>
    <row r="9247" spans="20:25" x14ac:dyDescent="0.25">
      <c r="T9247" s="10"/>
      <c r="U9247" s="4"/>
      <c r="V9247" s="4"/>
      <c r="X9247" s="4"/>
      <c r="Y9247" s="4"/>
    </row>
    <row r="9248" spans="20:25" x14ac:dyDescent="0.25">
      <c r="T9248" s="10"/>
      <c r="U9248" s="4"/>
      <c r="V9248" s="4"/>
      <c r="X9248" s="4"/>
      <c r="Y9248" s="4"/>
    </row>
    <row r="9249" spans="20:25" x14ac:dyDescent="0.25">
      <c r="T9249" s="10"/>
      <c r="U9249" s="4"/>
      <c r="V9249" s="4"/>
      <c r="X9249" s="4"/>
      <c r="Y9249" s="4"/>
    </row>
    <row r="9250" spans="20:25" x14ac:dyDescent="0.25">
      <c r="T9250" s="10"/>
      <c r="U9250" s="4"/>
      <c r="V9250" s="4"/>
      <c r="X9250" s="4"/>
      <c r="Y9250" s="4"/>
    </row>
    <row r="9251" spans="20:25" x14ac:dyDescent="0.25">
      <c r="T9251" s="10"/>
      <c r="U9251" s="4"/>
      <c r="V9251" s="4"/>
      <c r="X9251" s="4"/>
      <c r="Y9251" s="4"/>
    </row>
    <row r="9252" spans="20:25" x14ac:dyDescent="0.25">
      <c r="T9252" s="10"/>
      <c r="U9252" s="4"/>
      <c r="V9252" s="4"/>
      <c r="X9252" s="4"/>
      <c r="Y9252" s="4"/>
    </row>
    <row r="9253" spans="20:25" x14ac:dyDescent="0.25">
      <c r="T9253" s="10"/>
      <c r="U9253" s="4"/>
      <c r="V9253" s="4"/>
      <c r="X9253" s="4"/>
      <c r="Y9253" s="4"/>
    </row>
    <row r="9254" spans="20:25" x14ac:dyDescent="0.25">
      <c r="T9254" s="10"/>
      <c r="U9254" s="4"/>
      <c r="V9254" s="4"/>
      <c r="X9254" s="4"/>
      <c r="Y9254" s="4"/>
    </row>
    <row r="9255" spans="20:25" x14ac:dyDescent="0.25">
      <c r="T9255" s="10"/>
      <c r="U9255" s="4"/>
      <c r="V9255" s="4"/>
      <c r="X9255" s="4"/>
      <c r="Y9255" s="4"/>
    </row>
    <row r="9256" spans="20:25" x14ac:dyDescent="0.25">
      <c r="T9256" s="10"/>
      <c r="U9256" s="4"/>
      <c r="V9256" s="4"/>
      <c r="X9256" s="4"/>
      <c r="Y9256" s="4"/>
    </row>
    <row r="9257" spans="20:25" x14ac:dyDescent="0.25">
      <c r="T9257" s="10"/>
      <c r="U9257" s="4"/>
      <c r="V9257" s="4"/>
      <c r="X9257" s="4"/>
      <c r="Y9257" s="4"/>
    </row>
    <row r="9258" spans="20:25" x14ac:dyDescent="0.25">
      <c r="T9258" s="10"/>
      <c r="U9258" s="4"/>
      <c r="V9258" s="4"/>
      <c r="X9258" s="4"/>
      <c r="Y9258" s="4"/>
    </row>
    <row r="9259" spans="20:25" x14ac:dyDescent="0.25">
      <c r="T9259" s="10"/>
      <c r="U9259" s="4"/>
      <c r="V9259" s="4"/>
      <c r="X9259" s="4"/>
      <c r="Y9259" s="4"/>
    </row>
    <row r="9260" spans="20:25" x14ac:dyDescent="0.25">
      <c r="T9260" s="10"/>
      <c r="U9260" s="4"/>
      <c r="V9260" s="4"/>
      <c r="X9260" s="4"/>
      <c r="Y9260" s="4"/>
    </row>
    <row r="9261" spans="20:25" x14ac:dyDescent="0.25">
      <c r="T9261" s="10"/>
      <c r="U9261" s="4"/>
      <c r="V9261" s="4"/>
      <c r="X9261" s="4"/>
      <c r="Y9261" s="4"/>
    </row>
    <row r="9262" spans="20:25" x14ac:dyDescent="0.25">
      <c r="T9262" s="10"/>
      <c r="U9262" s="4"/>
      <c r="V9262" s="4"/>
      <c r="X9262" s="4"/>
      <c r="Y9262" s="4"/>
    </row>
    <row r="9263" spans="20:25" x14ac:dyDescent="0.25">
      <c r="T9263" s="10"/>
      <c r="U9263" s="4"/>
      <c r="V9263" s="4"/>
      <c r="X9263" s="4"/>
      <c r="Y9263" s="4"/>
    </row>
    <row r="9264" spans="20:25" x14ac:dyDescent="0.25">
      <c r="T9264" s="10"/>
      <c r="U9264" s="4"/>
      <c r="V9264" s="4"/>
      <c r="X9264" s="4"/>
      <c r="Y9264" s="4"/>
    </row>
    <row r="9265" spans="20:25" x14ac:dyDescent="0.25">
      <c r="T9265" s="10"/>
      <c r="U9265" s="4"/>
      <c r="V9265" s="4"/>
      <c r="X9265" s="4"/>
      <c r="Y9265" s="4"/>
    </row>
    <row r="9266" spans="20:25" x14ac:dyDescent="0.25">
      <c r="T9266" s="10"/>
      <c r="U9266" s="4"/>
      <c r="V9266" s="4"/>
      <c r="X9266" s="4"/>
      <c r="Y9266" s="4"/>
    </row>
    <row r="9267" spans="20:25" x14ac:dyDescent="0.25">
      <c r="T9267" s="10"/>
      <c r="U9267" s="4"/>
      <c r="V9267" s="4"/>
      <c r="X9267" s="4"/>
      <c r="Y9267" s="4"/>
    </row>
    <row r="9268" spans="20:25" x14ac:dyDescent="0.25">
      <c r="T9268" s="10"/>
      <c r="U9268" s="4"/>
      <c r="V9268" s="4"/>
      <c r="X9268" s="4"/>
      <c r="Y9268" s="4"/>
    </row>
    <row r="9269" spans="20:25" x14ac:dyDescent="0.25">
      <c r="T9269" s="10"/>
      <c r="U9269" s="4"/>
      <c r="V9269" s="4"/>
      <c r="X9269" s="4"/>
      <c r="Y9269" s="4"/>
    </row>
    <row r="9270" spans="20:25" x14ac:dyDescent="0.25">
      <c r="T9270" s="10"/>
      <c r="U9270" s="4"/>
      <c r="V9270" s="4"/>
      <c r="X9270" s="4"/>
      <c r="Y9270" s="4"/>
    </row>
    <row r="9271" spans="20:25" x14ac:dyDescent="0.25">
      <c r="T9271" s="10"/>
      <c r="U9271" s="4"/>
      <c r="V9271" s="4"/>
      <c r="X9271" s="4"/>
      <c r="Y9271" s="4"/>
    </row>
    <row r="9272" spans="20:25" x14ac:dyDescent="0.25">
      <c r="T9272" s="10"/>
      <c r="U9272" s="4"/>
      <c r="V9272" s="4"/>
      <c r="X9272" s="4"/>
      <c r="Y9272" s="4"/>
    </row>
    <row r="9273" spans="20:25" x14ac:dyDescent="0.25">
      <c r="T9273" s="10"/>
      <c r="U9273" s="4"/>
      <c r="V9273" s="4"/>
      <c r="X9273" s="4"/>
      <c r="Y9273" s="4"/>
    </row>
    <row r="9274" spans="20:25" x14ac:dyDescent="0.25">
      <c r="T9274" s="10"/>
      <c r="U9274" s="4"/>
      <c r="V9274" s="4"/>
      <c r="X9274" s="4"/>
      <c r="Y9274" s="4"/>
    </row>
    <row r="9275" spans="20:25" x14ac:dyDescent="0.25">
      <c r="T9275" s="10"/>
      <c r="U9275" s="4"/>
      <c r="V9275" s="4"/>
      <c r="X9275" s="4"/>
      <c r="Y9275" s="4"/>
    </row>
    <row r="9276" spans="20:25" x14ac:dyDescent="0.25">
      <c r="T9276" s="10"/>
      <c r="U9276" s="4"/>
      <c r="V9276" s="4"/>
      <c r="X9276" s="4"/>
      <c r="Y9276" s="4"/>
    </row>
    <row r="9277" spans="20:25" x14ac:dyDescent="0.25">
      <c r="T9277" s="10"/>
      <c r="U9277" s="4"/>
      <c r="V9277" s="4"/>
      <c r="X9277" s="4"/>
      <c r="Y9277" s="4"/>
    </row>
    <row r="9278" spans="20:25" x14ac:dyDescent="0.25">
      <c r="T9278" s="10"/>
      <c r="U9278" s="4"/>
      <c r="V9278" s="4"/>
      <c r="X9278" s="4"/>
      <c r="Y9278" s="4"/>
    </row>
    <row r="9279" spans="20:25" x14ac:dyDescent="0.25">
      <c r="T9279" s="10"/>
      <c r="U9279" s="4"/>
      <c r="V9279" s="4"/>
      <c r="X9279" s="4"/>
      <c r="Y9279" s="4"/>
    </row>
    <row r="9280" spans="20:25" x14ac:dyDescent="0.25">
      <c r="T9280" s="10"/>
      <c r="U9280" s="4"/>
      <c r="V9280" s="4"/>
      <c r="X9280" s="4"/>
      <c r="Y9280" s="4"/>
    </row>
    <row r="9281" spans="20:25" x14ac:dyDescent="0.25">
      <c r="T9281" s="10"/>
      <c r="U9281" s="4"/>
      <c r="V9281" s="4"/>
      <c r="X9281" s="4"/>
      <c r="Y9281" s="4"/>
    </row>
    <row r="9282" spans="20:25" x14ac:dyDescent="0.25">
      <c r="T9282" s="10"/>
      <c r="U9282" s="4"/>
      <c r="V9282" s="4"/>
      <c r="X9282" s="4"/>
      <c r="Y9282" s="4"/>
    </row>
    <row r="9283" spans="20:25" x14ac:dyDescent="0.25">
      <c r="T9283" s="10"/>
      <c r="U9283" s="4"/>
      <c r="V9283" s="4"/>
      <c r="X9283" s="4"/>
      <c r="Y9283" s="4"/>
    </row>
    <row r="9284" spans="20:25" x14ac:dyDescent="0.25">
      <c r="T9284" s="10"/>
      <c r="U9284" s="4"/>
      <c r="V9284" s="4"/>
      <c r="X9284" s="4"/>
      <c r="Y9284" s="4"/>
    </row>
    <row r="9285" spans="20:25" x14ac:dyDescent="0.25">
      <c r="T9285" s="10"/>
      <c r="U9285" s="4"/>
      <c r="V9285" s="4"/>
      <c r="X9285" s="4"/>
      <c r="Y9285" s="4"/>
    </row>
    <row r="9286" spans="20:25" x14ac:dyDescent="0.25">
      <c r="T9286" s="10"/>
      <c r="U9286" s="4"/>
      <c r="V9286" s="4"/>
      <c r="X9286" s="4"/>
      <c r="Y9286" s="4"/>
    </row>
    <row r="9287" spans="20:25" x14ac:dyDescent="0.25">
      <c r="T9287" s="10"/>
      <c r="U9287" s="4"/>
      <c r="V9287" s="4"/>
      <c r="X9287" s="4"/>
      <c r="Y9287" s="4"/>
    </row>
    <row r="9288" spans="20:25" x14ac:dyDescent="0.25">
      <c r="T9288" s="10"/>
      <c r="U9288" s="4"/>
      <c r="V9288" s="4"/>
      <c r="X9288" s="4"/>
      <c r="Y9288" s="4"/>
    </row>
    <row r="9289" spans="20:25" x14ac:dyDescent="0.25">
      <c r="T9289" s="10"/>
      <c r="U9289" s="4"/>
      <c r="V9289" s="4"/>
      <c r="X9289" s="4"/>
      <c r="Y9289" s="4"/>
    </row>
    <row r="9290" spans="20:25" x14ac:dyDescent="0.25">
      <c r="T9290" s="10"/>
      <c r="U9290" s="4"/>
      <c r="V9290" s="4"/>
      <c r="X9290" s="4"/>
      <c r="Y9290" s="4"/>
    </row>
    <row r="9291" spans="20:25" x14ac:dyDescent="0.25">
      <c r="T9291" s="10"/>
      <c r="U9291" s="4"/>
      <c r="V9291" s="4"/>
      <c r="X9291" s="4"/>
      <c r="Y9291" s="4"/>
    </row>
    <row r="9292" spans="20:25" x14ac:dyDescent="0.25">
      <c r="T9292" s="10"/>
      <c r="U9292" s="4"/>
      <c r="V9292" s="4"/>
      <c r="X9292" s="4"/>
      <c r="Y9292" s="4"/>
    </row>
    <row r="9293" spans="20:25" x14ac:dyDescent="0.25">
      <c r="T9293" s="10"/>
      <c r="U9293" s="4"/>
      <c r="V9293" s="4"/>
      <c r="X9293" s="4"/>
      <c r="Y9293" s="4"/>
    </row>
    <row r="9294" spans="20:25" x14ac:dyDescent="0.25">
      <c r="T9294" s="10"/>
      <c r="U9294" s="4"/>
      <c r="V9294" s="4"/>
      <c r="X9294" s="4"/>
      <c r="Y9294" s="4"/>
    </row>
    <row r="9295" spans="20:25" x14ac:dyDescent="0.25">
      <c r="T9295" s="10"/>
      <c r="U9295" s="4"/>
      <c r="V9295" s="4"/>
      <c r="X9295" s="4"/>
      <c r="Y9295" s="4"/>
    </row>
    <row r="9296" spans="20:25" x14ac:dyDescent="0.25">
      <c r="T9296" s="10"/>
      <c r="U9296" s="4"/>
      <c r="V9296" s="4"/>
      <c r="X9296" s="4"/>
      <c r="Y9296" s="4"/>
    </row>
    <row r="9297" spans="20:25" x14ac:dyDescent="0.25">
      <c r="T9297" s="10"/>
      <c r="U9297" s="4"/>
      <c r="V9297" s="4"/>
      <c r="X9297" s="4"/>
      <c r="Y9297" s="4"/>
    </row>
    <row r="9298" spans="20:25" x14ac:dyDescent="0.25">
      <c r="T9298" s="10"/>
      <c r="U9298" s="4"/>
      <c r="V9298" s="4"/>
      <c r="X9298" s="4"/>
      <c r="Y9298" s="4"/>
    </row>
    <row r="9299" spans="20:25" x14ac:dyDescent="0.25">
      <c r="T9299" s="10"/>
      <c r="U9299" s="4"/>
      <c r="V9299" s="4"/>
      <c r="X9299" s="4"/>
      <c r="Y9299" s="4"/>
    </row>
    <row r="9300" spans="20:25" x14ac:dyDescent="0.25">
      <c r="T9300" s="10"/>
      <c r="U9300" s="4"/>
      <c r="V9300" s="4"/>
      <c r="X9300" s="4"/>
      <c r="Y9300" s="4"/>
    </row>
    <row r="9301" spans="20:25" x14ac:dyDescent="0.25">
      <c r="T9301" s="10"/>
      <c r="U9301" s="4"/>
      <c r="V9301" s="4"/>
      <c r="X9301" s="4"/>
      <c r="Y9301" s="4"/>
    </row>
    <row r="9302" spans="20:25" x14ac:dyDescent="0.25">
      <c r="T9302" s="10"/>
      <c r="U9302" s="4"/>
      <c r="V9302" s="4"/>
      <c r="X9302" s="4"/>
      <c r="Y9302" s="4"/>
    </row>
    <row r="9303" spans="20:25" x14ac:dyDescent="0.25">
      <c r="T9303" s="10"/>
      <c r="U9303" s="4"/>
      <c r="V9303" s="4"/>
      <c r="X9303" s="4"/>
      <c r="Y9303" s="4"/>
    </row>
    <row r="9304" spans="20:25" x14ac:dyDescent="0.25">
      <c r="T9304" s="10"/>
      <c r="U9304" s="4"/>
      <c r="V9304" s="4"/>
      <c r="X9304" s="4"/>
      <c r="Y9304" s="4"/>
    </row>
    <row r="9305" spans="20:25" x14ac:dyDescent="0.25">
      <c r="T9305" s="10"/>
      <c r="U9305" s="4"/>
      <c r="V9305" s="4"/>
      <c r="X9305" s="4"/>
      <c r="Y9305" s="4"/>
    </row>
    <row r="9306" spans="20:25" x14ac:dyDescent="0.25">
      <c r="T9306" s="10"/>
      <c r="U9306" s="4"/>
      <c r="V9306" s="4"/>
      <c r="X9306" s="4"/>
      <c r="Y9306" s="4"/>
    </row>
    <row r="9307" spans="20:25" x14ac:dyDescent="0.25">
      <c r="T9307" s="10"/>
      <c r="U9307" s="4"/>
      <c r="V9307" s="4"/>
      <c r="X9307" s="4"/>
      <c r="Y9307" s="4"/>
    </row>
    <row r="9308" spans="20:25" x14ac:dyDescent="0.25">
      <c r="T9308" s="10"/>
      <c r="U9308" s="4"/>
      <c r="V9308" s="4"/>
      <c r="X9308" s="4"/>
      <c r="Y9308" s="4"/>
    </row>
    <row r="9309" spans="20:25" x14ac:dyDescent="0.25">
      <c r="T9309" s="10"/>
      <c r="U9309" s="4"/>
      <c r="V9309" s="4"/>
      <c r="X9309" s="4"/>
      <c r="Y9309" s="4"/>
    </row>
    <row r="9310" spans="20:25" x14ac:dyDescent="0.25">
      <c r="T9310" s="10"/>
      <c r="U9310" s="4"/>
      <c r="V9310" s="4"/>
      <c r="X9310" s="4"/>
      <c r="Y9310" s="4"/>
    </row>
    <row r="9311" spans="20:25" x14ac:dyDescent="0.25">
      <c r="T9311" s="10"/>
      <c r="U9311" s="4"/>
      <c r="V9311" s="4"/>
      <c r="X9311" s="4"/>
      <c r="Y9311" s="4"/>
    </row>
    <row r="9312" spans="20:25" x14ac:dyDescent="0.25">
      <c r="T9312" s="10"/>
      <c r="U9312" s="4"/>
      <c r="V9312" s="4"/>
      <c r="X9312" s="4"/>
      <c r="Y9312" s="4"/>
    </row>
    <row r="9313" spans="20:25" x14ac:dyDescent="0.25">
      <c r="T9313" s="10"/>
      <c r="U9313" s="4"/>
      <c r="V9313" s="4"/>
      <c r="X9313" s="4"/>
      <c r="Y9313" s="4"/>
    </row>
    <row r="9314" spans="20:25" x14ac:dyDescent="0.25">
      <c r="T9314" s="10"/>
      <c r="U9314" s="4"/>
      <c r="V9314" s="4"/>
      <c r="X9314" s="4"/>
      <c r="Y9314" s="4"/>
    </row>
    <row r="9315" spans="20:25" x14ac:dyDescent="0.25">
      <c r="T9315" s="10"/>
      <c r="U9315" s="4"/>
      <c r="V9315" s="4"/>
      <c r="X9315" s="4"/>
      <c r="Y9315" s="4"/>
    </row>
    <row r="9316" spans="20:25" x14ac:dyDescent="0.25">
      <c r="T9316" s="10"/>
      <c r="U9316" s="4"/>
      <c r="V9316" s="4"/>
      <c r="X9316" s="4"/>
      <c r="Y9316" s="4"/>
    </row>
    <row r="9317" spans="20:25" x14ac:dyDescent="0.25">
      <c r="T9317" s="10"/>
      <c r="U9317" s="4"/>
      <c r="V9317" s="4"/>
      <c r="X9317" s="4"/>
      <c r="Y9317" s="4"/>
    </row>
    <row r="9318" spans="20:25" x14ac:dyDescent="0.25">
      <c r="T9318" s="10"/>
      <c r="U9318" s="4"/>
      <c r="V9318" s="4"/>
      <c r="X9318" s="4"/>
      <c r="Y9318" s="4"/>
    </row>
    <row r="9319" spans="20:25" x14ac:dyDescent="0.25">
      <c r="T9319" s="10"/>
      <c r="U9319" s="4"/>
      <c r="V9319" s="4"/>
      <c r="X9319" s="4"/>
      <c r="Y9319" s="4"/>
    </row>
    <row r="9320" spans="20:25" x14ac:dyDescent="0.25">
      <c r="T9320" s="10"/>
      <c r="U9320" s="4"/>
      <c r="V9320" s="4"/>
      <c r="X9320" s="4"/>
      <c r="Y9320" s="4"/>
    </row>
    <row r="9321" spans="20:25" x14ac:dyDescent="0.25">
      <c r="T9321" s="10"/>
      <c r="U9321" s="4"/>
      <c r="V9321" s="4"/>
      <c r="X9321" s="4"/>
      <c r="Y9321" s="4"/>
    </row>
    <row r="9322" spans="20:25" x14ac:dyDescent="0.25">
      <c r="T9322" s="10"/>
      <c r="U9322" s="4"/>
      <c r="V9322" s="4"/>
      <c r="X9322" s="4"/>
      <c r="Y9322" s="4"/>
    </row>
    <row r="9323" spans="20:25" x14ac:dyDescent="0.25">
      <c r="T9323" s="10"/>
      <c r="U9323" s="4"/>
      <c r="V9323" s="4"/>
      <c r="X9323" s="4"/>
      <c r="Y9323" s="4"/>
    </row>
    <row r="9324" spans="20:25" x14ac:dyDescent="0.25">
      <c r="T9324" s="10"/>
      <c r="U9324" s="4"/>
      <c r="V9324" s="4"/>
      <c r="X9324" s="4"/>
      <c r="Y9324" s="4"/>
    </row>
    <row r="9325" spans="20:25" x14ac:dyDescent="0.25">
      <c r="T9325" s="10"/>
      <c r="U9325" s="4"/>
      <c r="V9325" s="4"/>
      <c r="X9325" s="4"/>
      <c r="Y9325" s="4"/>
    </row>
    <row r="9326" spans="20:25" x14ac:dyDescent="0.25">
      <c r="T9326" s="10"/>
      <c r="U9326" s="4"/>
      <c r="V9326" s="4"/>
      <c r="X9326" s="4"/>
      <c r="Y9326" s="4"/>
    </row>
    <row r="9327" spans="20:25" x14ac:dyDescent="0.25">
      <c r="T9327" s="10"/>
      <c r="U9327" s="4"/>
      <c r="V9327" s="4"/>
      <c r="X9327" s="4"/>
      <c r="Y9327" s="4"/>
    </row>
    <row r="9328" spans="20:25" x14ac:dyDescent="0.25">
      <c r="T9328" s="10"/>
      <c r="U9328" s="4"/>
      <c r="V9328" s="4"/>
      <c r="X9328" s="4"/>
      <c r="Y9328" s="4"/>
    </row>
    <row r="9329" spans="20:25" x14ac:dyDescent="0.25">
      <c r="T9329" s="10"/>
      <c r="U9329" s="4"/>
      <c r="V9329" s="4"/>
      <c r="X9329" s="4"/>
      <c r="Y9329" s="4"/>
    </row>
    <row r="9330" spans="20:25" x14ac:dyDescent="0.25">
      <c r="T9330" s="10"/>
      <c r="U9330" s="4"/>
      <c r="V9330" s="4"/>
      <c r="X9330" s="4"/>
      <c r="Y9330" s="4"/>
    </row>
    <row r="9331" spans="20:25" x14ac:dyDescent="0.25">
      <c r="T9331" s="10"/>
      <c r="U9331" s="4"/>
      <c r="V9331" s="4"/>
      <c r="X9331" s="4"/>
      <c r="Y9331" s="4"/>
    </row>
    <row r="9332" spans="20:25" x14ac:dyDescent="0.25">
      <c r="T9332" s="10"/>
      <c r="U9332" s="4"/>
      <c r="V9332" s="4"/>
      <c r="X9332" s="4"/>
      <c r="Y9332" s="4"/>
    </row>
    <row r="9333" spans="20:25" x14ac:dyDescent="0.25">
      <c r="T9333" s="10"/>
      <c r="U9333" s="4"/>
      <c r="V9333" s="4"/>
      <c r="X9333" s="4"/>
      <c r="Y9333" s="4"/>
    </row>
    <row r="9334" spans="20:25" x14ac:dyDescent="0.25">
      <c r="T9334" s="10"/>
      <c r="U9334" s="4"/>
      <c r="V9334" s="4"/>
      <c r="X9334" s="4"/>
      <c r="Y9334" s="4"/>
    </row>
    <row r="9335" spans="20:25" x14ac:dyDescent="0.25">
      <c r="T9335" s="10"/>
      <c r="U9335" s="4"/>
      <c r="V9335" s="4"/>
      <c r="X9335" s="4"/>
      <c r="Y9335" s="4"/>
    </row>
    <row r="9336" spans="20:25" x14ac:dyDescent="0.25">
      <c r="T9336" s="10"/>
      <c r="U9336" s="4"/>
      <c r="V9336" s="4"/>
      <c r="X9336" s="4"/>
      <c r="Y9336" s="4"/>
    </row>
    <row r="9337" spans="20:25" x14ac:dyDescent="0.25">
      <c r="T9337" s="10"/>
      <c r="U9337" s="4"/>
      <c r="V9337" s="4"/>
      <c r="X9337" s="4"/>
      <c r="Y9337" s="4"/>
    </row>
    <row r="9338" spans="20:25" x14ac:dyDescent="0.25">
      <c r="T9338" s="10"/>
      <c r="U9338" s="4"/>
      <c r="V9338" s="4"/>
      <c r="X9338" s="4"/>
      <c r="Y9338" s="4"/>
    </row>
    <row r="9339" spans="20:25" x14ac:dyDescent="0.25">
      <c r="T9339" s="10"/>
      <c r="U9339" s="4"/>
      <c r="V9339" s="4"/>
      <c r="X9339" s="4"/>
      <c r="Y9339" s="4"/>
    </row>
    <row r="9340" spans="20:25" x14ac:dyDescent="0.25">
      <c r="T9340" s="10"/>
      <c r="U9340" s="4"/>
      <c r="V9340" s="4"/>
      <c r="X9340" s="4"/>
      <c r="Y9340" s="4"/>
    </row>
    <row r="9341" spans="20:25" x14ac:dyDescent="0.25">
      <c r="T9341" s="10"/>
      <c r="U9341" s="4"/>
      <c r="V9341" s="4"/>
      <c r="X9341" s="4"/>
      <c r="Y9341" s="4"/>
    </row>
    <row r="9342" spans="20:25" x14ac:dyDescent="0.25">
      <c r="T9342" s="10"/>
      <c r="U9342" s="4"/>
      <c r="V9342" s="4"/>
      <c r="X9342" s="4"/>
      <c r="Y9342" s="4"/>
    </row>
    <row r="9343" spans="20:25" x14ac:dyDescent="0.25">
      <c r="T9343" s="10"/>
      <c r="U9343" s="4"/>
      <c r="V9343" s="4"/>
      <c r="X9343" s="4"/>
      <c r="Y9343" s="4"/>
    </row>
    <row r="9344" spans="20:25" x14ac:dyDescent="0.25">
      <c r="T9344" s="10"/>
      <c r="U9344" s="4"/>
      <c r="V9344" s="4"/>
      <c r="X9344" s="4"/>
      <c r="Y9344" s="4"/>
    </row>
    <row r="9345" spans="20:25" x14ac:dyDescent="0.25">
      <c r="T9345" s="10"/>
      <c r="U9345" s="4"/>
      <c r="V9345" s="4"/>
      <c r="X9345" s="4"/>
      <c r="Y9345" s="4"/>
    </row>
    <row r="9346" spans="20:25" x14ac:dyDescent="0.25">
      <c r="T9346" s="10"/>
      <c r="U9346" s="4"/>
      <c r="V9346" s="4"/>
      <c r="X9346" s="4"/>
      <c r="Y9346" s="4"/>
    </row>
    <row r="9347" spans="20:25" x14ac:dyDescent="0.25">
      <c r="T9347" s="10"/>
      <c r="U9347" s="4"/>
      <c r="V9347" s="4"/>
      <c r="X9347" s="4"/>
      <c r="Y9347" s="4"/>
    </row>
    <row r="9348" spans="20:25" x14ac:dyDescent="0.25">
      <c r="T9348" s="10"/>
      <c r="U9348" s="4"/>
      <c r="V9348" s="4"/>
      <c r="X9348" s="4"/>
      <c r="Y9348" s="4"/>
    </row>
    <row r="9349" spans="20:25" x14ac:dyDescent="0.25">
      <c r="T9349" s="10"/>
      <c r="U9349" s="4"/>
      <c r="V9349" s="4"/>
      <c r="X9349" s="4"/>
      <c r="Y9349" s="4"/>
    </row>
    <row r="9350" spans="20:25" x14ac:dyDescent="0.25">
      <c r="T9350" s="10"/>
      <c r="U9350" s="4"/>
      <c r="V9350" s="4"/>
      <c r="X9350" s="4"/>
      <c r="Y9350" s="4"/>
    </row>
    <row r="9351" spans="20:25" x14ac:dyDescent="0.25">
      <c r="T9351" s="10"/>
      <c r="U9351" s="4"/>
      <c r="V9351" s="4"/>
      <c r="X9351" s="4"/>
      <c r="Y9351" s="4"/>
    </row>
    <row r="9352" spans="20:25" x14ac:dyDescent="0.25">
      <c r="T9352" s="10"/>
      <c r="U9352" s="4"/>
      <c r="V9352" s="4"/>
      <c r="X9352" s="4"/>
      <c r="Y9352" s="4"/>
    </row>
    <row r="9353" spans="20:25" x14ac:dyDescent="0.25">
      <c r="T9353" s="10"/>
      <c r="U9353" s="4"/>
      <c r="V9353" s="4"/>
      <c r="X9353" s="4"/>
      <c r="Y9353" s="4"/>
    </row>
    <row r="9354" spans="20:25" x14ac:dyDescent="0.25">
      <c r="T9354" s="10"/>
      <c r="U9354" s="4"/>
      <c r="V9354" s="4"/>
      <c r="X9354" s="4"/>
      <c r="Y9354" s="4"/>
    </row>
    <row r="9355" spans="20:25" x14ac:dyDescent="0.25">
      <c r="T9355" s="10"/>
      <c r="U9355" s="4"/>
      <c r="V9355" s="4"/>
      <c r="X9355" s="4"/>
      <c r="Y9355" s="4"/>
    </row>
    <row r="9356" spans="20:25" x14ac:dyDescent="0.25">
      <c r="T9356" s="10"/>
      <c r="U9356" s="4"/>
      <c r="V9356" s="4"/>
      <c r="X9356" s="4"/>
      <c r="Y9356" s="4"/>
    </row>
    <row r="9357" spans="20:25" x14ac:dyDescent="0.25">
      <c r="T9357" s="10"/>
      <c r="U9357" s="4"/>
      <c r="V9357" s="4"/>
      <c r="X9357" s="4"/>
      <c r="Y9357" s="4"/>
    </row>
    <row r="9358" spans="20:25" x14ac:dyDescent="0.25">
      <c r="T9358" s="10"/>
      <c r="U9358" s="4"/>
      <c r="V9358" s="4"/>
      <c r="X9358" s="4"/>
      <c r="Y9358" s="4"/>
    </row>
    <row r="9359" spans="20:25" x14ac:dyDescent="0.25">
      <c r="T9359" s="10"/>
      <c r="U9359" s="4"/>
      <c r="V9359" s="4"/>
      <c r="X9359" s="4"/>
      <c r="Y9359" s="4"/>
    </row>
    <row r="9360" spans="20:25" x14ac:dyDescent="0.25">
      <c r="T9360" s="10"/>
      <c r="U9360" s="4"/>
      <c r="V9360" s="4"/>
      <c r="X9360" s="4"/>
      <c r="Y9360" s="4"/>
    </row>
    <row r="9361" spans="20:25" x14ac:dyDescent="0.25">
      <c r="T9361" s="10"/>
      <c r="U9361" s="4"/>
      <c r="V9361" s="4"/>
      <c r="X9361" s="4"/>
      <c r="Y9361" s="4"/>
    </row>
    <row r="9362" spans="20:25" x14ac:dyDescent="0.25">
      <c r="T9362" s="10"/>
      <c r="U9362" s="4"/>
      <c r="V9362" s="4"/>
      <c r="X9362" s="4"/>
      <c r="Y9362" s="4"/>
    </row>
    <row r="9363" spans="20:25" x14ac:dyDescent="0.25">
      <c r="T9363" s="10"/>
      <c r="U9363" s="4"/>
      <c r="V9363" s="4"/>
      <c r="X9363" s="4"/>
      <c r="Y9363" s="4"/>
    </row>
    <row r="9364" spans="20:25" x14ac:dyDescent="0.25">
      <c r="T9364" s="10"/>
      <c r="U9364" s="4"/>
      <c r="V9364" s="4"/>
      <c r="X9364" s="4"/>
      <c r="Y9364" s="4"/>
    </row>
    <row r="9365" spans="20:25" x14ac:dyDescent="0.25">
      <c r="T9365" s="10"/>
      <c r="U9365" s="4"/>
      <c r="V9365" s="4"/>
      <c r="X9365" s="4"/>
      <c r="Y9365" s="4"/>
    </row>
    <row r="9366" spans="20:25" x14ac:dyDescent="0.25">
      <c r="T9366" s="10"/>
      <c r="U9366" s="4"/>
      <c r="V9366" s="4"/>
      <c r="X9366" s="4"/>
      <c r="Y9366" s="4"/>
    </row>
    <row r="9367" spans="20:25" x14ac:dyDescent="0.25">
      <c r="T9367" s="10"/>
      <c r="U9367" s="4"/>
      <c r="V9367" s="4"/>
      <c r="X9367" s="4"/>
      <c r="Y9367" s="4"/>
    </row>
    <row r="9368" spans="20:25" x14ac:dyDescent="0.25">
      <c r="T9368" s="10"/>
      <c r="U9368" s="4"/>
      <c r="V9368" s="4"/>
      <c r="X9368" s="4"/>
      <c r="Y9368" s="4"/>
    </row>
    <row r="9369" spans="20:25" x14ac:dyDescent="0.25">
      <c r="T9369" s="10"/>
      <c r="U9369" s="4"/>
      <c r="V9369" s="4"/>
      <c r="X9369" s="4"/>
      <c r="Y9369" s="4"/>
    </row>
    <row r="9370" spans="20:25" x14ac:dyDescent="0.25">
      <c r="T9370" s="10"/>
      <c r="U9370" s="4"/>
      <c r="V9370" s="4"/>
      <c r="X9370" s="4"/>
      <c r="Y9370" s="4"/>
    </row>
    <row r="9371" spans="20:25" x14ac:dyDescent="0.25">
      <c r="T9371" s="10"/>
      <c r="U9371" s="4"/>
      <c r="V9371" s="4"/>
      <c r="X9371" s="4"/>
      <c r="Y9371" s="4"/>
    </row>
    <row r="9372" spans="20:25" x14ac:dyDescent="0.25">
      <c r="T9372" s="10"/>
      <c r="U9372" s="4"/>
      <c r="V9372" s="4"/>
      <c r="X9372" s="4"/>
      <c r="Y9372" s="4"/>
    </row>
    <row r="9373" spans="20:25" x14ac:dyDescent="0.25">
      <c r="T9373" s="10"/>
      <c r="U9373" s="4"/>
      <c r="V9373" s="4"/>
      <c r="X9373" s="4"/>
      <c r="Y9373" s="4"/>
    </row>
    <row r="9374" spans="20:25" x14ac:dyDescent="0.25">
      <c r="T9374" s="10"/>
      <c r="U9374" s="4"/>
      <c r="V9374" s="4"/>
      <c r="X9374" s="4"/>
      <c r="Y9374" s="4"/>
    </row>
    <row r="9375" spans="20:25" x14ac:dyDescent="0.25">
      <c r="T9375" s="10"/>
      <c r="U9375" s="4"/>
      <c r="V9375" s="4"/>
      <c r="X9375" s="4"/>
      <c r="Y9375" s="4"/>
    </row>
    <row r="9376" spans="20:25" x14ac:dyDescent="0.25">
      <c r="T9376" s="10"/>
      <c r="U9376" s="4"/>
      <c r="V9376" s="4"/>
      <c r="X9376" s="4"/>
      <c r="Y9376" s="4"/>
    </row>
    <row r="9377" spans="20:25" x14ac:dyDescent="0.25">
      <c r="T9377" s="10"/>
      <c r="U9377" s="4"/>
      <c r="V9377" s="4"/>
      <c r="X9377" s="4"/>
      <c r="Y9377" s="4"/>
    </row>
    <row r="9378" spans="20:25" x14ac:dyDescent="0.25">
      <c r="T9378" s="10"/>
      <c r="U9378" s="4"/>
      <c r="V9378" s="4"/>
      <c r="X9378" s="4"/>
      <c r="Y9378" s="4"/>
    </row>
    <row r="9379" spans="20:25" x14ac:dyDescent="0.25">
      <c r="T9379" s="10"/>
      <c r="U9379" s="4"/>
      <c r="V9379" s="4"/>
      <c r="X9379" s="4"/>
      <c r="Y9379" s="4"/>
    </row>
    <row r="9380" spans="20:25" x14ac:dyDescent="0.25">
      <c r="T9380" s="10"/>
      <c r="U9380" s="4"/>
      <c r="V9380" s="4"/>
      <c r="X9380" s="4"/>
      <c r="Y9380" s="4"/>
    </row>
    <row r="9381" spans="20:25" x14ac:dyDescent="0.25">
      <c r="T9381" s="10"/>
      <c r="U9381" s="4"/>
      <c r="V9381" s="4"/>
      <c r="X9381" s="4"/>
      <c r="Y9381" s="4"/>
    </row>
    <row r="9382" spans="20:25" x14ac:dyDescent="0.25">
      <c r="T9382" s="10"/>
      <c r="U9382" s="4"/>
      <c r="V9382" s="4"/>
      <c r="X9382" s="4"/>
      <c r="Y9382" s="4"/>
    </row>
    <row r="9383" spans="20:25" x14ac:dyDescent="0.25">
      <c r="T9383" s="10"/>
      <c r="U9383" s="4"/>
      <c r="V9383" s="4"/>
      <c r="X9383" s="4"/>
      <c r="Y9383" s="4"/>
    </row>
    <row r="9384" spans="20:25" x14ac:dyDescent="0.25">
      <c r="T9384" s="10"/>
      <c r="U9384" s="4"/>
      <c r="V9384" s="4"/>
      <c r="X9384" s="4"/>
      <c r="Y9384" s="4"/>
    </row>
    <row r="9385" spans="20:25" x14ac:dyDescent="0.25">
      <c r="T9385" s="10"/>
      <c r="U9385" s="4"/>
      <c r="V9385" s="4"/>
      <c r="X9385" s="4"/>
      <c r="Y9385" s="4"/>
    </row>
    <row r="9386" spans="20:25" x14ac:dyDescent="0.25">
      <c r="T9386" s="10"/>
      <c r="U9386" s="4"/>
      <c r="V9386" s="4"/>
      <c r="X9386" s="4"/>
      <c r="Y9386" s="4"/>
    </row>
    <row r="9387" spans="20:25" x14ac:dyDescent="0.25">
      <c r="T9387" s="10"/>
      <c r="U9387" s="4"/>
      <c r="V9387" s="4"/>
      <c r="X9387" s="4"/>
      <c r="Y9387" s="4"/>
    </row>
    <row r="9388" spans="20:25" x14ac:dyDescent="0.25">
      <c r="T9388" s="10"/>
      <c r="U9388" s="4"/>
      <c r="V9388" s="4"/>
      <c r="X9388" s="4"/>
      <c r="Y9388" s="4"/>
    </row>
    <row r="9389" spans="20:25" x14ac:dyDescent="0.25">
      <c r="T9389" s="10"/>
      <c r="U9389" s="4"/>
      <c r="V9389" s="4"/>
      <c r="X9389" s="4"/>
      <c r="Y9389" s="4"/>
    </row>
    <row r="9390" spans="20:25" x14ac:dyDescent="0.25">
      <c r="T9390" s="10"/>
      <c r="U9390" s="4"/>
      <c r="V9390" s="4"/>
      <c r="X9390" s="4"/>
      <c r="Y9390" s="4"/>
    </row>
    <row r="9391" spans="20:25" x14ac:dyDescent="0.25">
      <c r="T9391" s="10"/>
      <c r="U9391" s="4"/>
      <c r="V9391" s="4"/>
      <c r="X9391" s="4"/>
      <c r="Y9391" s="4"/>
    </row>
    <row r="9392" spans="20:25" x14ac:dyDescent="0.25">
      <c r="T9392" s="10"/>
      <c r="U9392" s="4"/>
      <c r="V9392" s="4"/>
      <c r="X9392" s="4"/>
      <c r="Y9392" s="4"/>
    </row>
    <row r="9393" spans="20:25" x14ac:dyDescent="0.25">
      <c r="T9393" s="10"/>
      <c r="U9393" s="4"/>
      <c r="V9393" s="4"/>
      <c r="X9393" s="4"/>
      <c r="Y9393" s="4"/>
    </row>
    <row r="9394" spans="20:25" x14ac:dyDescent="0.25">
      <c r="T9394" s="10"/>
      <c r="U9394" s="4"/>
      <c r="V9394" s="4"/>
      <c r="X9394" s="4"/>
      <c r="Y9394" s="4"/>
    </row>
    <row r="9395" spans="20:25" x14ac:dyDescent="0.25">
      <c r="T9395" s="10"/>
      <c r="U9395" s="4"/>
      <c r="V9395" s="4"/>
      <c r="X9395" s="4"/>
      <c r="Y9395" s="4"/>
    </row>
    <row r="9396" spans="20:25" x14ac:dyDescent="0.25">
      <c r="T9396" s="10"/>
      <c r="U9396" s="4"/>
      <c r="V9396" s="4"/>
      <c r="X9396" s="4"/>
      <c r="Y9396" s="4"/>
    </row>
    <row r="9397" spans="20:25" x14ac:dyDescent="0.25">
      <c r="T9397" s="10"/>
      <c r="U9397" s="4"/>
      <c r="V9397" s="4"/>
      <c r="X9397" s="4"/>
      <c r="Y9397" s="4"/>
    </row>
    <row r="9398" spans="20:25" x14ac:dyDescent="0.25">
      <c r="T9398" s="10"/>
      <c r="U9398" s="4"/>
      <c r="V9398" s="4"/>
      <c r="X9398" s="4"/>
      <c r="Y9398" s="4"/>
    </row>
    <row r="9399" spans="20:25" x14ac:dyDescent="0.25">
      <c r="T9399" s="10"/>
      <c r="U9399" s="4"/>
      <c r="V9399" s="4"/>
      <c r="X9399" s="4"/>
      <c r="Y9399" s="4"/>
    </row>
    <row r="9400" spans="20:25" x14ac:dyDescent="0.25">
      <c r="T9400" s="10"/>
      <c r="U9400" s="4"/>
      <c r="V9400" s="4"/>
      <c r="X9400" s="4"/>
      <c r="Y9400" s="4"/>
    </row>
    <row r="9401" spans="20:25" x14ac:dyDescent="0.25">
      <c r="T9401" s="10"/>
      <c r="U9401" s="4"/>
      <c r="V9401" s="4"/>
      <c r="X9401" s="4"/>
      <c r="Y9401" s="4"/>
    </row>
    <row r="9402" spans="20:25" x14ac:dyDescent="0.25">
      <c r="T9402" s="10"/>
      <c r="U9402" s="4"/>
      <c r="V9402" s="4"/>
      <c r="X9402" s="4"/>
      <c r="Y9402" s="4"/>
    </row>
    <row r="9403" spans="20:25" x14ac:dyDescent="0.25">
      <c r="T9403" s="10"/>
      <c r="U9403" s="4"/>
      <c r="V9403" s="4"/>
      <c r="X9403" s="4"/>
      <c r="Y9403" s="4"/>
    </row>
    <row r="9404" spans="20:25" x14ac:dyDescent="0.25">
      <c r="T9404" s="10"/>
      <c r="U9404" s="4"/>
      <c r="V9404" s="4"/>
      <c r="X9404" s="4"/>
      <c r="Y9404" s="4"/>
    </row>
    <row r="9405" spans="20:25" x14ac:dyDescent="0.25">
      <c r="T9405" s="10"/>
      <c r="U9405" s="4"/>
      <c r="V9405" s="4"/>
      <c r="X9405" s="4"/>
      <c r="Y9405" s="4"/>
    </row>
    <row r="9406" spans="20:25" x14ac:dyDescent="0.25">
      <c r="T9406" s="10"/>
      <c r="U9406" s="4"/>
      <c r="V9406" s="4"/>
      <c r="X9406" s="4"/>
      <c r="Y9406" s="4"/>
    </row>
    <row r="9407" spans="20:25" x14ac:dyDescent="0.25">
      <c r="T9407" s="10"/>
      <c r="U9407" s="4"/>
      <c r="V9407" s="4"/>
      <c r="X9407" s="4"/>
      <c r="Y9407" s="4"/>
    </row>
    <row r="9408" spans="20:25" x14ac:dyDescent="0.25">
      <c r="T9408" s="10"/>
      <c r="U9408" s="4"/>
      <c r="V9408" s="4"/>
      <c r="X9408" s="4"/>
      <c r="Y9408" s="4"/>
    </row>
    <row r="9409" spans="20:25" x14ac:dyDescent="0.25">
      <c r="T9409" s="10"/>
      <c r="U9409" s="4"/>
      <c r="V9409" s="4"/>
      <c r="X9409" s="4"/>
      <c r="Y9409" s="4"/>
    </row>
    <row r="9410" spans="20:25" x14ac:dyDescent="0.25">
      <c r="T9410" s="10"/>
      <c r="U9410" s="4"/>
      <c r="V9410" s="4"/>
      <c r="X9410" s="4"/>
      <c r="Y9410" s="4"/>
    </row>
    <row r="9411" spans="20:25" x14ac:dyDescent="0.25">
      <c r="T9411" s="10"/>
      <c r="U9411" s="4"/>
      <c r="V9411" s="4"/>
      <c r="X9411" s="4"/>
      <c r="Y9411" s="4"/>
    </row>
    <row r="9412" spans="20:25" x14ac:dyDescent="0.25">
      <c r="T9412" s="10"/>
      <c r="U9412" s="4"/>
      <c r="V9412" s="4"/>
      <c r="X9412" s="4"/>
      <c r="Y9412" s="4"/>
    </row>
    <row r="9413" spans="20:25" x14ac:dyDescent="0.25">
      <c r="T9413" s="10"/>
      <c r="U9413" s="4"/>
      <c r="V9413" s="4"/>
      <c r="X9413" s="4"/>
      <c r="Y9413" s="4"/>
    </row>
    <row r="9414" spans="20:25" x14ac:dyDescent="0.25">
      <c r="T9414" s="10"/>
      <c r="U9414" s="4"/>
      <c r="V9414" s="4"/>
      <c r="X9414" s="4"/>
      <c r="Y9414" s="4"/>
    </row>
    <row r="9415" spans="20:25" x14ac:dyDescent="0.25">
      <c r="T9415" s="10"/>
      <c r="U9415" s="4"/>
      <c r="V9415" s="4"/>
      <c r="X9415" s="4"/>
      <c r="Y9415" s="4"/>
    </row>
    <row r="9416" spans="20:25" x14ac:dyDescent="0.25">
      <c r="T9416" s="10"/>
      <c r="U9416" s="4"/>
      <c r="V9416" s="4"/>
      <c r="X9416" s="4"/>
      <c r="Y9416" s="4"/>
    </row>
    <row r="9417" spans="20:25" x14ac:dyDescent="0.25">
      <c r="T9417" s="10"/>
      <c r="U9417" s="4"/>
      <c r="V9417" s="4"/>
      <c r="X9417" s="4"/>
      <c r="Y9417" s="4"/>
    </row>
    <row r="9418" spans="20:25" x14ac:dyDescent="0.25">
      <c r="T9418" s="10"/>
      <c r="U9418" s="4"/>
      <c r="V9418" s="4"/>
      <c r="X9418" s="4"/>
      <c r="Y9418" s="4"/>
    </row>
    <row r="9419" spans="20:25" x14ac:dyDescent="0.25">
      <c r="T9419" s="10"/>
      <c r="U9419" s="4"/>
      <c r="V9419" s="4"/>
      <c r="X9419" s="4"/>
      <c r="Y9419" s="4"/>
    </row>
    <row r="9420" spans="20:25" x14ac:dyDescent="0.25">
      <c r="T9420" s="10"/>
      <c r="U9420" s="4"/>
      <c r="V9420" s="4"/>
      <c r="X9420" s="4"/>
      <c r="Y9420" s="4"/>
    </row>
    <row r="9421" spans="20:25" x14ac:dyDescent="0.25">
      <c r="T9421" s="10"/>
      <c r="U9421" s="4"/>
      <c r="V9421" s="4"/>
      <c r="X9421" s="4"/>
      <c r="Y9421" s="4"/>
    </row>
    <row r="9422" spans="20:25" x14ac:dyDescent="0.25">
      <c r="T9422" s="10"/>
      <c r="U9422" s="4"/>
      <c r="V9422" s="4"/>
      <c r="X9422" s="4"/>
      <c r="Y9422" s="4"/>
    </row>
    <row r="9423" spans="20:25" x14ac:dyDescent="0.25">
      <c r="T9423" s="10"/>
      <c r="U9423" s="4"/>
      <c r="V9423" s="4"/>
      <c r="X9423" s="4"/>
      <c r="Y9423" s="4"/>
    </row>
    <row r="9424" spans="20:25" x14ac:dyDescent="0.25">
      <c r="T9424" s="10"/>
      <c r="U9424" s="4"/>
      <c r="V9424" s="4"/>
      <c r="X9424" s="4"/>
      <c r="Y9424" s="4"/>
    </row>
    <row r="9425" spans="20:25" x14ac:dyDescent="0.25">
      <c r="T9425" s="10"/>
      <c r="U9425" s="4"/>
      <c r="V9425" s="4"/>
      <c r="X9425" s="4"/>
      <c r="Y9425" s="4"/>
    </row>
    <row r="9426" spans="20:25" x14ac:dyDescent="0.25">
      <c r="T9426" s="10"/>
      <c r="U9426" s="4"/>
      <c r="V9426" s="4"/>
      <c r="X9426" s="4"/>
      <c r="Y9426" s="4"/>
    </row>
    <row r="9427" spans="20:25" x14ac:dyDescent="0.25">
      <c r="T9427" s="10"/>
      <c r="U9427" s="4"/>
      <c r="V9427" s="4"/>
      <c r="X9427" s="4"/>
      <c r="Y9427" s="4"/>
    </row>
    <row r="9428" spans="20:25" x14ac:dyDescent="0.25">
      <c r="T9428" s="10"/>
      <c r="U9428" s="4"/>
      <c r="V9428" s="4"/>
      <c r="X9428" s="4"/>
      <c r="Y9428" s="4"/>
    </row>
    <row r="9429" spans="20:25" x14ac:dyDescent="0.25">
      <c r="T9429" s="10"/>
      <c r="U9429" s="4"/>
      <c r="V9429" s="4"/>
      <c r="X9429" s="4"/>
      <c r="Y9429" s="4"/>
    </row>
    <row r="9430" spans="20:25" x14ac:dyDescent="0.25">
      <c r="T9430" s="10"/>
      <c r="U9430" s="4"/>
      <c r="V9430" s="4"/>
      <c r="X9430" s="4"/>
      <c r="Y9430" s="4"/>
    </row>
    <row r="9431" spans="20:25" x14ac:dyDescent="0.25">
      <c r="T9431" s="10"/>
      <c r="U9431" s="4"/>
      <c r="V9431" s="4"/>
      <c r="X9431" s="4"/>
      <c r="Y9431" s="4"/>
    </row>
    <row r="9432" spans="20:25" x14ac:dyDescent="0.25">
      <c r="T9432" s="10"/>
      <c r="U9432" s="4"/>
      <c r="V9432" s="4"/>
      <c r="X9432" s="4"/>
      <c r="Y9432" s="4"/>
    </row>
    <row r="9433" spans="20:25" x14ac:dyDescent="0.25">
      <c r="T9433" s="10"/>
      <c r="U9433" s="4"/>
      <c r="V9433" s="4"/>
      <c r="X9433" s="4"/>
      <c r="Y9433" s="4"/>
    </row>
    <row r="9434" spans="20:25" x14ac:dyDescent="0.25">
      <c r="T9434" s="10"/>
      <c r="U9434" s="4"/>
      <c r="V9434" s="4"/>
      <c r="X9434" s="4"/>
      <c r="Y9434" s="4"/>
    </row>
    <row r="9435" spans="20:25" x14ac:dyDescent="0.25">
      <c r="T9435" s="10"/>
      <c r="U9435" s="4"/>
      <c r="V9435" s="4"/>
      <c r="X9435" s="4"/>
      <c r="Y9435" s="4"/>
    </row>
    <row r="9436" spans="20:25" x14ac:dyDescent="0.25">
      <c r="T9436" s="10"/>
      <c r="U9436" s="4"/>
      <c r="V9436" s="4"/>
      <c r="X9436" s="4"/>
      <c r="Y9436" s="4"/>
    </row>
    <row r="9437" spans="20:25" x14ac:dyDescent="0.25">
      <c r="T9437" s="10"/>
      <c r="U9437" s="4"/>
      <c r="V9437" s="4"/>
      <c r="X9437" s="4"/>
      <c r="Y9437" s="4"/>
    </row>
    <row r="9438" spans="20:25" x14ac:dyDescent="0.25">
      <c r="T9438" s="10"/>
      <c r="U9438" s="4"/>
      <c r="V9438" s="4"/>
      <c r="X9438" s="4"/>
      <c r="Y9438" s="4"/>
    </row>
    <row r="9439" spans="20:25" x14ac:dyDescent="0.25">
      <c r="T9439" s="10"/>
      <c r="U9439" s="4"/>
      <c r="V9439" s="4"/>
      <c r="X9439" s="4"/>
      <c r="Y9439" s="4"/>
    </row>
    <row r="9440" spans="20:25" x14ac:dyDescent="0.25">
      <c r="T9440" s="10"/>
      <c r="U9440" s="4"/>
      <c r="V9440" s="4"/>
      <c r="X9440" s="4"/>
      <c r="Y9440" s="4"/>
    </row>
    <row r="9441" spans="20:25" x14ac:dyDescent="0.25">
      <c r="T9441" s="10"/>
      <c r="U9441" s="4"/>
      <c r="V9441" s="4"/>
      <c r="X9441" s="4"/>
      <c r="Y9441" s="4"/>
    </row>
    <row r="9442" spans="20:25" x14ac:dyDescent="0.25">
      <c r="T9442" s="10"/>
      <c r="U9442" s="4"/>
      <c r="V9442" s="4"/>
      <c r="X9442" s="4"/>
      <c r="Y9442" s="4"/>
    </row>
    <row r="9443" spans="20:25" x14ac:dyDescent="0.25">
      <c r="T9443" s="10"/>
      <c r="U9443" s="4"/>
      <c r="V9443" s="4"/>
      <c r="X9443" s="4"/>
      <c r="Y9443" s="4"/>
    </row>
    <row r="9444" spans="20:25" x14ac:dyDescent="0.25">
      <c r="T9444" s="10"/>
      <c r="U9444" s="4"/>
      <c r="V9444" s="4"/>
      <c r="X9444" s="4"/>
      <c r="Y9444" s="4"/>
    </row>
    <row r="9445" spans="20:25" x14ac:dyDescent="0.25">
      <c r="T9445" s="10"/>
      <c r="U9445" s="4"/>
      <c r="V9445" s="4"/>
      <c r="X9445" s="4"/>
      <c r="Y9445" s="4"/>
    </row>
    <row r="9446" spans="20:25" x14ac:dyDescent="0.25">
      <c r="T9446" s="10"/>
      <c r="U9446" s="4"/>
      <c r="V9446" s="4"/>
      <c r="X9446" s="4"/>
      <c r="Y9446" s="4"/>
    </row>
    <row r="9447" spans="20:25" x14ac:dyDescent="0.25">
      <c r="T9447" s="10"/>
      <c r="U9447" s="4"/>
      <c r="V9447" s="4"/>
      <c r="X9447" s="4"/>
      <c r="Y9447" s="4"/>
    </row>
    <row r="9448" spans="20:25" x14ac:dyDescent="0.25">
      <c r="T9448" s="10"/>
      <c r="U9448" s="4"/>
      <c r="V9448" s="4"/>
      <c r="X9448" s="4"/>
      <c r="Y9448" s="4"/>
    </row>
    <row r="9449" spans="20:25" x14ac:dyDescent="0.25">
      <c r="T9449" s="10"/>
      <c r="U9449" s="4"/>
      <c r="V9449" s="4"/>
      <c r="X9449" s="4"/>
      <c r="Y9449" s="4"/>
    </row>
    <row r="9450" spans="20:25" x14ac:dyDescent="0.25">
      <c r="T9450" s="10"/>
      <c r="U9450" s="4"/>
      <c r="V9450" s="4"/>
      <c r="X9450" s="4"/>
      <c r="Y9450" s="4"/>
    </row>
    <row r="9451" spans="20:25" x14ac:dyDescent="0.25">
      <c r="T9451" s="10"/>
      <c r="U9451" s="4"/>
      <c r="V9451" s="4"/>
      <c r="X9451" s="4"/>
      <c r="Y9451" s="4"/>
    </row>
    <row r="9452" spans="20:25" x14ac:dyDescent="0.25">
      <c r="T9452" s="10"/>
      <c r="U9452" s="4"/>
      <c r="V9452" s="4"/>
      <c r="X9452" s="4"/>
      <c r="Y9452" s="4"/>
    </row>
    <row r="9453" spans="20:25" x14ac:dyDescent="0.25">
      <c r="T9453" s="10"/>
      <c r="U9453" s="4"/>
      <c r="V9453" s="4"/>
      <c r="X9453" s="4"/>
      <c r="Y9453" s="4"/>
    </row>
    <row r="9454" spans="20:25" x14ac:dyDescent="0.25">
      <c r="T9454" s="10"/>
      <c r="U9454" s="4"/>
      <c r="V9454" s="4"/>
      <c r="X9454" s="4"/>
      <c r="Y9454" s="4"/>
    </row>
    <row r="9455" spans="20:25" x14ac:dyDescent="0.25">
      <c r="T9455" s="10"/>
      <c r="U9455" s="4"/>
      <c r="V9455" s="4"/>
      <c r="X9455" s="4"/>
      <c r="Y9455" s="4"/>
    </row>
    <row r="9456" spans="20:25" x14ac:dyDescent="0.25">
      <c r="T9456" s="10"/>
      <c r="U9456" s="4"/>
      <c r="V9456" s="4"/>
      <c r="X9456" s="4"/>
      <c r="Y9456" s="4"/>
    </row>
    <row r="9457" spans="20:25" x14ac:dyDescent="0.25">
      <c r="T9457" s="10"/>
      <c r="U9457" s="4"/>
      <c r="V9457" s="4"/>
      <c r="X9457" s="4"/>
      <c r="Y9457" s="4"/>
    </row>
    <row r="9458" spans="20:25" x14ac:dyDescent="0.25">
      <c r="T9458" s="10"/>
      <c r="U9458" s="4"/>
      <c r="V9458" s="4"/>
      <c r="X9458" s="4"/>
      <c r="Y9458" s="4"/>
    </row>
    <row r="9459" spans="20:25" x14ac:dyDescent="0.25">
      <c r="T9459" s="10"/>
      <c r="U9459" s="4"/>
      <c r="V9459" s="4"/>
      <c r="X9459" s="4"/>
      <c r="Y9459" s="4"/>
    </row>
    <row r="9460" spans="20:25" x14ac:dyDescent="0.25">
      <c r="T9460" s="10"/>
      <c r="U9460" s="4"/>
      <c r="V9460" s="4"/>
      <c r="X9460" s="4"/>
      <c r="Y9460" s="4"/>
    </row>
    <row r="9461" spans="20:25" x14ac:dyDescent="0.25">
      <c r="T9461" s="10"/>
      <c r="U9461" s="4"/>
      <c r="V9461" s="4"/>
      <c r="X9461" s="4"/>
      <c r="Y9461" s="4"/>
    </row>
    <row r="9462" spans="20:25" x14ac:dyDescent="0.25">
      <c r="T9462" s="10"/>
      <c r="U9462" s="4"/>
      <c r="V9462" s="4"/>
      <c r="X9462" s="4"/>
      <c r="Y9462" s="4"/>
    </row>
    <row r="9463" spans="20:25" x14ac:dyDescent="0.25">
      <c r="T9463" s="10"/>
      <c r="U9463" s="4"/>
      <c r="V9463" s="4"/>
      <c r="X9463" s="4"/>
      <c r="Y9463" s="4"/>
    </row>
    <row r="9464" spans="20:25" x14ac:dyDescent="0.25">
      <c r="T9464" s="10"/>
      <c r="U9464" s="4"/>
      <c r="V9464" s="4"/>
      <c r="X9464" s="4"/>
      <c r="Y9464" s="4"/>
    </row>
    <row r="9465" spans="20:25" x14ac:dyDescent="0.25">
      <c r="T9465" s="10"/>
      <c r="U9465" s="4"/>
      <c r="V9465" s="4"/>
      <c r="X9465" s="4"/>
      <c r="Y9465" s="4"/>
    </row>
    <row r="9466" spans="20:25" x14ac:dyDescent="0.25">
      <c r="T9466" s="10"/>
      <c r="U9466" s="4"/>
      <c r="V9466" s="4"/>
      <c r="X9466" s="4"/>
      <c r="Y9466" s="4"/>
    </row>
    <row r="9467" spans="20:25" x14ac:dyDescent="0.25">
      <c r="T9467" s="10"/>
      <c r="U9467" s="4"/>
      <c r="V9467" s="4"/>
      <c r="X9467" s="4"/>
      <c r="Y9467" s="4"/>
    </row>
    <row r="9468" spans="20:25" x14ac:dyDescent="0.25">
      <c r="T9468" s="10"/>
      <c r="U9468" s="4"/>
      <c r="V9468" s="4"/>
      <c r="X9468" s="4"/>
      <c r="Y9468" s="4"/>
    </row>
    <row r="9469" spans="20:25" x14ac:dyDescent="0.25">
      <c r="T9469" s="10"/>
      <c r="U9469" s="4"/>
      <c r="V9469" s="4"/>
      <c r="X9469" s="4"/>
      <c r="Y9469" s="4"/>
    </row>
    <row r="9470" spans="20:25" x14ac:dyDescent="0.25">
      <c r="T9470" s="10"/>
      <c r="U9470" s="4"/>
      <c r="V9470" s="4"/>
      <c r="X9470" s="4"/>
      <c r="Y9470" s="4"/>
    </row>
    <row r="9471" spans="20:25" x14ac:dyDescent="0.25">
      <c r="T9471" s="10"/>
      <c r="U9471" s="4"/>
      <c r="V9471" s="4"/>
      <c r="X9471" s="4"/>
      <c r="Y9471" s="4"/>
    </row>
    <row r="9472" spans="20:25" x14ac:dyDescent="0.25">
      <c r="T9472" s="10"/>
      <c r="U9472" s="4"/>
      <c r="V9472" s="4"/>
      <c r="X9472" s="4"/>
      <c r="Y9472" s="4"/>
    </row>
    <row r="9473" spans="20:25" x14ac:dyDescent="0.25">
      <c r="T9473" s="10"/>
      <c r="U9473" s="4"/>
      <c r="V9473" s="4"/>
      <c r="X9473" s="4"/>
      <c r="Y9473" s="4"/>
    </row>
    <row r="9474" spans="20:25" x14ac:dyDescent="0.25">
      <c r="T9474" s="10"/>
      <c r="U9474" s="4"/>
      <c r="V9474" s="4"/>
      <c r="X9474" s="4"/>
      <c r="Y9474" s="4"/>
    </row>
    <row r="9475" spans="20:25" x14ac:dyDescent="0.25">
      <c r="T9475" s="10"/>
      <c r="U9475" s="4"/>
      <c r="V9475" s="4"/>
      <c r="X9475" s="4"/>
      <c r="Y9475" s="4"/>
    </row>
    <row r="9476" spans="20:25" x14ac:dyDescent="0.25">
      <c r="T9476" s="10"/>
      <c r="U9476" s="4"/>
      <c r="V9476" s="4"/>
      <c r="X9476" s="4"/>
      <c r="Y9476" s="4"/>
    </row>
    <row r="9477" spans="20:25" x14ac:dyDescent="0.25">
      <c r="T9477" s="10"/>
      <c r="U9477" s="4"/>
      <c r="V9477" s="4"/>
      <c r="X9477" s="4"/>
      <c r="Y9477" s="4"/>
    </row>
    <row r="9478" spans="20:25" x14ac:dyDescent="0.25">
      <c r="T9478" s="10"/>
      <c r="U9478" s="4"/>
      <c r="V9478" s="4"/>
      <c r="X9478" s="4"/>
      <c r="Y9478" s="4"/>
    </row>
    <row r="9479" spans="20:25" x14ac:dyDescent="0.25">
      <c r="T9479" s="10"/>
      <c r="U9479" s="4"/>
      <c r="V9479" s="4"/>
      <c r="X9479" s="4"/>
      <c r="Y9479" s="4"/>
    </row>
    <row r="9480" spans="20:25" x14ac:dyDescent="0.25">
      <c r="T9480" s="10"/>
      <c r="U9480" s="4"/>
      <c r="V9480" s="4"/>
      <c r="X9480" s="4"/>
      <c r="Y9480" s="4"/>
    </row>
    <row r="9481" spans="20:25" x14ac:dyDescent="0.25">
      <c r="T9481" s="10"/>
      <c r="U9481" s="4"/>
      <c r="V9481" s="4"/>
      <c r="X9481" s="4"/>
      <c r="Y9481" s="4"/>
    </row>
    <row r="9482" spans="20:25" x14ac:dyDescent="0.25">
      <c r="T9482" s="10"/>
      <c r="U9482" s="4"/>
      <c r="V9482" s="4"/>
      <c r="X9482" s="4"/>
      <c r="Y9482" s="4"/>
    </row>
    <row r="9483" spans="20:25" x14ac:dyDescent="0.25">
      <c r="T9483" s="10"/>
      <c r="U9483" s="4"/>
      <c r="V9483" s="4"/>
      <c r="X9483" s="4"/>
      <c r="Y9483" s="4"/>
    </row>
    <row r="9484" spans="20:25" x14ac:dyDescent="0.25">
      <c r="T9484" s="10"/>
      <c r="U9484" s="4"/>
      <c r="V9484" s="4"/>
      <c r="X9484" s="4"/>
      <c r="Y9484" s="4"/>
    </row>
    <row r="9485" spans="20:25" x14ac:dyDescent="0.25">
      <c r="T9485" s="10"/>
      <c r="U9485" s="4"/>
      <c r="V9485" s="4"/>
      <c r="X9485" s="4"/>
      <c r="Y9485" s="4"/>
    </row>
    <row r="9486" spans="20:25" x14ac:dyDescent="0.25">
      <c r="T9486" s="10"/>
      <c r="U9486" s="4"/>
      <c r="V9486" s="4"/>
      <c r="X9486" s="4"/>
      <c r="Y9486" s="4"/>
    </row>
    <row r="9487" spans="20:25" x14ac:dyDescent="0.25">
      <c r="T9487" s="10"/>
      <c r="U9487" s="4"/>
      <c r="V9487" s="4"/>
      <c r="X9487" s="4"/>
      <c r="Y9487" s="4"/>
    </row>
    <row r="9488" spans="20:25" x14ac:dyDescent="0.25">
      <c r="T9488" s="10"/>
      <c r="U9488" s="4"/>
      <c r="V9488" s="4"/>
      <c r="X9488" s="4"/>
      <c r="Y9488" s="4"/>
    </row>
    <row r="9489" spans="20:25" x14ac:dyDescent="0.25">
      <c r="T9489" s="10"/>
      <c r="U9489" s="4"/>
      <c r="V9489" s="4"/>
      <c r="X9489" s="4"/>
      <c r="Y9489" s="4"/>
    </row>
    <row r="9490" spans="20:25" x14ac:dyDescent="0.25">
      <c r="T9490" s="10"/>
      <c r="U9490" s="4"/>
      <c r="V9490" s="4"/>
      <c r="X9490" s="4"/>
      <c r="Y9490" s="4"/>
    </row>
    <row r="9491" spans="20:25" x14ac:dyDescent="0.25">
      <c r="T9491" s="10"/>
      <c r="U9491" s="4"/>
      <c r="V9491" s="4"/>
      <c r="X9491" s="4"/>
      <c r="Y9491" s="4"/>
    </row>
    <row r="9492" spans="20:25" x14ac:dyDescent="0.25">
      <c r="T9492" s="10"/>
      <c r="U9492" s="4"/>
      <c r="V9492" s="4"/>
      <c r="X9492" s="4"/>
      <c r="Y9492" s="4"/>
    </row>
    <row r="9493" spans="20:25" x14ac:dyDescent="0.25">
      <c r="T9493" s="10"/>
      <c r="U9493" s="4"/>
      <c r="V9493" s="4"/>
      <c r="X9493" s="4"/>
      <c r="Y9493" s="4"/>
    </row>
    <row r="9494" spans="20:25" x14ac:dyDescent="0.25">
      <c r="T9494" s="10"/>
      <c r="U9494" s="4"/>
      <c r="V9494" s="4"/>
      <c r="X9494" s="4"/>
      <c r="Y9494" s="4"/>
    </row>
    <row r="9495" spans="20:25" x14ac:dyDescent="0.25">
      <c r="T9495" s="10"/>
      <c r="U9495" s="4"/>
      <c r="V9495" s="4"/>
      <c r="X9495" s="4"/>
      <c r="Y9495" s="4"/>
    </row>
    <row r="9496" spans="20:25" x14ac:dyDescent="0.25">
      <c r="T9496" s="10"/>
      <c r="U9496" s="4"/>
      <c r="V9496" s="4"/>
      <c r="X9496" s="4"/>
      <c r="Y9496" s="4"/>
    </row>
    <row r="9497" spans="20:25" x14ac:dyDescent="0.25">
      <c r="T9497" s="10"/>
      <c r="U9497" s="4"/>
      <c r="V9497" s="4"/>
      <c r="X9497" s="4"/>
      <c r="Y9497" s="4"/>
    </row>
    <row r="9498" spans="20:25" x14ac:dyDescent="0.25">
      <c r="T9498" s="10"/>
      <c r="U9498" s="4"/>
      <c r="V9498" s="4"/>
      <c r="X9498" s="4"/>
      <c r="Y9498" s="4"/>
    </row>
    <row r="9499" spans="20:25" x14ac:dyDescent="0.25">
      <c r="T9499" s="10"/>
      <c r="U9499" s="4"/>
      <c r="V9499" s="4"/>
      <c r="X9499" s="4"/>
      <c r="Y9499" s="4"/>
    </row>
    <row r="9500" spans="20:25" x14ac:dyDescent="0.25">
      <c r="T9500" s="10"/>
      <c r="U9500" s="4"/>
      <c r="V9500" s="4"/>
      <c r="X9500" s="4"/>
      <c r="Y9500" s="4"/>
    </row>
    <row r="9501" spans="20:25" x14ac:dyDescent="0.25">
      <c r="T9501" s="10"/>
      <c r="U9501" s="4"/>
      <c r="V9501" s="4"/>
      <c r="X9501" s="4"/>
      <c r="Y9501" s="4"/>
    </row>
    <row r="9502" spans="20:25" x14ac:dyDescent="0.25">
      <c r="T9502" s="10"/>
      <c r="U9502" s="4"/>
      <c r="V9502" s="4"/>
      <c r="X9502" s="4"/>
      <c r="Y9502" s="4"/>
    </row>
    <row r="9503" spans="20:25" x14ac:dyDescent="0.25">
      <c r="T9503" s="10"/>
      <c r="U9503" s="4"/>
      <c r="V9503" s="4"/>
      <c r="X9503" s="4"/>
      <c r="Y9503" s="4"/>
    </row>
    <row r="9504" spans="20:25" x14ac:dyDescent="0.25">
      <c r="T9504" s="10"/>
      <c r="U9504" s="4"/>
      <c r="V9504" s="4"/>
      <c r="X9504" s="4"/>
      <c r="Y9504" s="4"/>
    </row>
    <row r="9505" spans="20:25" x14ac:dyDescent="0.25">
      <c r="T9505" s="10"/>
      <c r="U9505" s="4"/>
      <c r="V9505" s="4"/>
      <c r="X9505" s="4"/>
      <c r="Y9505" s="4"/>
    </row>
    <row r="9506" spans="20:25" x14ac:dyDescent="0.25">
      <c r="T9506" s="10"/>
      <c r="U9506" s="4"/>
      <c r="V9506" s="4"/>
      <c r="X9506" s="4"/>
      <c r="Y9506" s="4"/>
    </row>
    <row r="9507" spans="20:25" x14ac:dyDescent="0.25">
      <c r="T9507" s="10"/>
      <c r="U9507" s="4"/>
      <c r="V9507" s="4"/>
      <c r="X9507" s="4"/>
      <c r="Y9507" s="4"/>
    </row>
    <row r="9508" spans="20:25" x14ac:dyDescent="0.25">
      <c r="T9508" s="10"/>
      <c r="U9508" s="4"/>
      <c r="V9508" s="4"/>
      <c r="X9508" s="4"/>
      <c r="Y9508" s="4"/>
    </row>
    <row r="9509" spans="20:25" x14ac:dyDescent="0.25">
      <c r="T9509" s="10"/>
      <c r="U9509" s="4"/>
      <c r="V9509" s="4"/>
      <c r="X9509" s="4"/>
      <c r="Y9509" s="4"/>
    </row>
    <row r="9510" spans="20:25" x14ac:dyDescent="0.25">
      <c r="T9510" s="10"/>
      <c r="U9510" s="4"/>
      <c r="V9510" s="4"/>
      <c r="X9510" s="4"/>
      <c r="Y9510" s="4"/>
    </row>
    <row r="9511" spans="20:25" x14ac:dyDescent="0.25">
      <c r="T9511" s="10"/>
      <c r="U9511" s="4"/>
      <c r="V9511" s="4"/>
      <c r="X9511" s="4"/>
      <c r="Y9511" s="4"/>
    </row>
    <row r="9512" spans="20:25" x14ac:dyDescent="0.25">
      <c r="T9512" s="10"/>
      <c r="U9512" s="4"/>
      <c r="V9512" s="4"/>
      <c r="X9512" s="4"/>
      <c r="Y9512" s="4"/>
    </row>
    <row r="9513" spans="20:25" x14ac:dyDescent="0.25">
      <c r="T9513" s="10"/>
      <c r="U9513" s="4"/>
      <c r="V9513" s="4"/>
      <c r="X9513" s="4"/>
      <c r="Y9513" s="4"/>
    </row>
    <row r="9514" spans="20:25" x14ac:dyDescent="0.25">
      <c r="T9514" s="10"/>
      <c r="U9514" s="4"/>
      <c r="V9514" s="4"/>
      <c r="X9514" s="4"/>
      <c r="Y9514" s="4"/>
    </row>
    <row r="9515" spans="20:25" x14ac:dyDescent="0.25">
      <c r="T9515" s="10"/>
      <c r="U9515" s="4"/>
      <c r="V9515" s="4"/>
      <c r="X9515" s="4"/>
      <c r="Y9515" s="4"/>
    </row>
    <row r="9516" spans="20:25" x14ac:dyDescent="0.25">
      <c r="T9516" s="10"/>
      <c r="U9516" s="4"/>
      <c r="V9516" s="4"/>
      <c r="X9516" s="4"/>
      <c r="Y9516" s="4"/>
    </row>
    <row r="9517" spans="20:25" x14ac:dyDescent="0.25">
      <c r="T9517" s="10"/>
      <c r="U9517" s="4"/>
      <c r="V9517" s="4"/>
      <c r="X9517" s="4"/>
      <c r="Y9517" s="4"/>
    </row>
    <row r="9518" spans="20:25" x14ac:dyDescent="0.25">
      <c r="T9518" s="10"/>
      <c r="U9518" s="4"/>
      <c r="V9518" s="4"/>
      <c r="X9518" s="4"/>
      <c r="Y9518" s="4"/>
    </row>
    <row r="9519" spans="20:25" x14ac:dyDescent="0.25">
      <c r="T9519" s="10"/>
      <c r="U9519" s="4"/>
      <c r="V9519" s="4"/>
      <c r="X9519" s="4"/>
      <c r="Y9519" s="4"/>
    </row>
    <row r="9520" spans="20:25" x14ac:dyDescent="0.25">
      <c r="T9520" s="10"/>
      <c r="U9520" s="4"/>
      <c r="V9520" s="4"/>
      <c r="X9520" s="4"/>
      <c r="Y9520" s="4"/>
    </row>
    <row r="9521" spans="20:25" x14ac:dyDescent="0.25">
      <c r="T9521" s="10"/>
      <c r="U9521" s="4"/>
      <c r="V9521" s="4"/>
      <c r="X9521" s="4"/>
      <c r="Y9521" s="4"/>
    </row>
    <row r="9522" spans="20:25" x14ac:dyDescent="0.25">
      <c r="T9522" s="10"/>
      <c r="U9522" s="4"/>
      <c r="V9522" s="4"/>
      <c r="X9522" s="4"/>
      <c r="Y9522" s="4"/>
    </row>
    <row r="9523" spans="20:25" x14ac:dyDescent="0.25">
      <c r="T9523" s="10"/>
      <c r="U9523" s="4"/>
      <c r="V9523" s="4"/>
      <c r="X9523" s="4"/>
      <c r="Y9523" s="4"/>
    </row>
    <row r="9524" spans="20:25" x14ac:dyDescent="0.25">
      <c r="T9524" s="10"/>
      <c r="U9524" s="4"/>
      <c r="V9524" s="4"/>
      <c r="X9524" s="4"/>
      <c r="Y9524" s="4"/>
    </row>
    <row r="9525" spans="20:25" x14ac:dyDescent="0.25">
      <c r="T9525" s="10"/>
      <c r="U9525" s="4"/>
      <c r="V9525" s="4"/>
      <c r="X9525" s="4"/>
      <c r="Y9525" s="4"/>
    </row>
    <row r="9526" spans="20:25" x14ac:dyDescent="0.25">
      <c r="T9526" s="10"/>
      <c r="U9526" s="4"/>
      <c r="V9526" s="4"/>
      <c r="X9526" s="4"/>
      <c r="Y9526" s="4"/>
    </row>
    <row r="9527" spans="20:25" x14ac:dyDescent="0.25">
      <c r="T9527" s="10"/>
      <c r="U9527" s="4"/>
      <c r="V9527" s="4"/>
      <c r="X9527" s="4"/>
      <c r="Y9527" s="4"/>
    </row>
    <row r="9528" spans="20:25" x14ac:dyDescent="0.25">
      <c r="T9528" s="10"/>
      <c r="U9528" s="4"/>
      <c r="V9528" s="4"/>
      <c r="X9528" s="4"/>
      <c r="Y9528" s="4"/>
    </row>
    <row r="9529" spans="20:25" x14ac:dyDescent="0.25">
      <c r="T9529" s="10"/>
      <c r="U9529" s="4"/>
      <c r="V9529" s="4"/>
      <c r="X9529" s="4"/>
      <c r="Y9529" s="4"/>
    </row>
    <row r="9530" spans="20:25" x14ac:dyDescent="0.25">
      <c r="T9530" s="10"/>
      <c r="U9530" s="4"/>
      <c r="V9530" s="4"/>
      <c r="X9530" s="4"/>
      <c r="Y9530" s="4"/>
    </row>
    <row r="9531" spans="20:25" x14ac:dyDescent="0.25">
      <c r="T9531" s="10"/>
      <c r="U9531" s="4"/>
      <c r="V9531" s="4"/>
      <c r="X9531" s="4"/>
      <c r="Y9531" s="4"/>
    </row>
    <row r="9532" spans="20:25" x14ac:dyDescent="0.25">
      <c r="T9532" s="10"/>
      <c r="U9532" s="4"/>
      <c r="V9532" s="4"/>
      <c r="X9532" s="4"/>
      <c r="Y9532" s="4"/>
    </row>
    <row r="9533" spans="20:25" x14ac:dyDescent="0.25">
      <c r="T9533" s="10"/>
      <c r="U9533" s="4"/>
      <c r="V9533" s="4"/>
      <c r="X9533" s="4"/>
      <c r="Y9533" s="4"/>
    </row>
    <row r="9534" spans="20:25" x14ac:dyDescent="0.25">
      <c r="T9534" s="10"/>
      <c r="U9534" s="4"/>
      <c r="V9534" s="4"/>
      <c r="X9534" s="4"/>
      <c r="Y9534" s="4"/>
    </row>
    <row r="9535" spans="20:25" x14ac:dyDescent="0.25">
      <c r="T9535" s="10"/>
      <c r="U9535" s="4"/>
      <c r="V9535" s="4"/>
      <c r="X9535" s="4"/>
      <c r="Y9535" s="4"/>
    </row>
    <row r="9536" spans="20:25" x14ac:dyDescent="0.25">
      <c r="T9536" s="10"/>
      <c r="U9536" s="4"/>
      <c r="V9536" s="4"/>
      <c r="X9536" s="4"/>
      <c r="Y9536" s="4"/>
    </row>
    <row r="9537" spans="20:25" x14ac:dyDescent="0.25">
      <c r="T9537" s="10"/>
      <c r="U9537" s="4"/>
      <c r="V9537" s="4"/>
      <c r="X9537" s="4"/>
      <c r="Y9537" s="4"/>
    </row>
    <row r="9538" spans="20:25" x14ac:dyDescent="0.25">
      <c r="T9538" s="10"/>
      <c r="U9538" s="4"/>
      <c r="V9538" s="4"/>
      <c r="X9538" s="4"/>
      <c r="Y9538" s="4"/>
    </row>
    <row r="9539" spans="20:25" x14ac:dyDescent="0.25">
      <c r="T9539" s="10"/>
      <c r="U9539" s="4"/>
      <c r="V9539" s="4"/>
      <c r="X9539" s="4"/>
      <c r="Y9539" s="4"/>
    </row>
    <row r="9540" spans="20:25" x14ac:dyDescent="0.25">
      <c r="T9540" s="10"/>
      <c r="U9540" s="4"/>
      <c r="V9540" s="4"/>
      <c r="X9540" s="4"/>
      <c r="Y9540" s="4"/>
    </row>
    <row r="9541" spans="20:25" x14ac:dyDescent="0.25">
      <c r="T9541" s="10"/>
      <c r="U9541" s="4"/>
      <c r="V9541" s="4"/>
      <c r="X9541" s="4"/>
      <c r="Y9541" s="4"/>
    </row>
    <row r="9542" spans="20:25" x14ac:dyDescent="0.25">
      <c r="T9542" s="10"/>
      <c r="U9542" s="4"/>
      <c r="V9542" s="4"/>
      <c r="X9542" s="4"/>
      <c r="Y9542" s="4"/>
    </row>
    <row r="9543" spans="20:25" x14ac:dyDescent="0.25">
      <c r="T9543" s="10"/>
      <c r="U9543" s="4"/>
      <c r="V9543" s="4"/>
      <c r="X9543" s="4"/>
      <c r="Y9543" s="4"/>
    </row>
    <row r="9544" spans="20:25" x14ac:dyDescent="0.25">
      <c r="T9544" s="10"/>
      <c r="U9544" s="4"/>
      <c r="V9544" s="4"/>
      <c r="X9544" s="4"/>
      <c r="Y9544" s="4"/>
    </row>
    <row r="9545" spans="20:25" x14ac:dyDescent="0.25">
      <c r="T9545" s="10"/>
      <c r="U9545" s="4"/>
      <c r="V9545" s="4"/>
      <c r="X9545" s="4"/>
      <c r="Y9545" s="4"/>
    </row>
    <row r="9546" spans="20:25" x14ac:dyDescent="0.25">
      <c r="T9546" s="10"/>
      <c r="U9546" s="4"/>
      <c r="V9546" s="4"/>
      <c r="X9546" s="4"/>
      <c r="Y9546" s="4"/>
    </row>
    <row r="9547" spans="20:25" x14ac:dyDescent="0.25">
      <c r="T9547" s="10"/>
      <c r="U9547" s="4"/>
      <c r="V9547" s="4"/>
      <c r="X9547" s="4"/>
      <c r="Y9547" s="4"/>
    </row>
    <row r="9548" spans="20:25" x14ac:dyDescent="0.25">
      <c r="T9548" s="10"/>
      <c r="U9548" s="4"/>
      <c r="V9548" s="4"/>
      <c r="X9548" s="4"/>
      <c r="Y9548" s="4"/>
    </row>
    <row r="9549" spans="20:25" x14ac:dyDescent="0.25">
      <c r="T9549" s="10"/>
      <c r="U9549" s="4"/>
      <c r="V9549" s="4"/>
      <c r="X9549" s="4"/>
      <c r="Y9549" s="4"/>
    </row>
    <row r="9550" spans="20:25" x14ac:dyDescent="0.25">
      <c r="T9550" s="10"/>
      <c r="U9550" s="4"/>
      <c r="V9550" s="4"/>
      <c r="X9550" s="4"/>
      <c r="Y9550" s="4"/>
    </row>
    <row r="9551" spans="20:25" x14ac:dyDescent="0.25">
      <c r="T9551" s="10"/>
      <c r="U9551" s="4"/>
      <c r="V9551" s="4"/>
      <c r="X9551" s="4"/>
      <c r="Y9551" s="4"/>
    </row>
    <row r="9552" spans="20:25" x14ac:dyDescent="0.25">
      <c r="T9552" s="10"/>
      <c r="U9552" s="4"/>
      <c r="V9552" s="4"/>
      <c r="X9552" s="4"/>
      <c r="Y9552" s="4"/>
    </row>
    <row r="9553" spans="20:25" x14ac:dyDescent="0.25">
      <c r="T9553" s="10"/>
      <c r="U9553" s="4"/>
      <c r="V9553" s="4"/>
      <c r="X9553" s="4"/>
      <c r="Y9553" s="4"/>
    </row>
    <row r="9554" spans="20:25" x14ac:dyDescent="0.25">
      <c r="T9554" s="10"/>
      <c r="U9554" s="4"/>
      <c r="V9554" s="4"/>
      <c r="X9554" s="4"/>
      <c r="Y9554" s="4"/>
    </row>
    <row r="9555" spans="20:25" x14ac:dyDescent="0.25">
      <c r="T9555" s="10"/>
      <c r="U9555" s="4"/>
      <c r="V9555" s="4"/>
      <c r="X9555" s="4"/>
      <c r="Y9555" s="4"/>
    </row>
    <row r="9556" spans="20:25" x14ac:dyDescent="0.25">
      <c r="T9556" s="10"/>
      <c r="U9556" s="4"/>
      <c r="V9556" s="4"/>
      <c r="X9556" s="4"/>
      <c r="Y9556" s="4"/>
    </row>
    <row r="9557" spans="20:25" x14ac:dyDescent="0.25">
      <c r="T9557" s="10"/>
      <c r="U9557" s="4"/>
      <c r="V9557" s="4"/>
      <c r="X9557" s="4"/>
      <c r="Y9557" s="4"/>
    </row>
    <row r="9558" spans="20:25" x14ac:dyDescent="0.25">
      <c r="T9558" s="10"/>
      <c r="U9558" s="4"/>
      <c r="V9558" s="4"/>
      <c r="X9558" s="4"/>
      <c r="Y9558" s="4"/>
    </row>
    <row r="9559" spans="20:25" x14ac:dyDescent="0.25">
      <c r="T9559" s="10"/>
      <c r="U9559" s="4"/>
      <c r="V9559" s="4"/>
      <c r="X9559" s="4"/>
      <c r="Y9559" s="4"/>
    </row>
    <row r="9560" spans="20:25" x14ac:dyDescent="0.25">
      <c r="T9560" s="10"/>
      <c r="U9560" s="4"/>
      <c r="V9560" s="4"/>
      <c r="X9560" s="4"/>
      <c r="Y9560" s="4"/>
    </row>
    <row r="9561" spans="20:25" x14ac:dyDescent="0.25">
      <c r="T9561" s="10"/>
      <c r="U9561" s="4"/>
      <c r="V9561" s="4"/>
      <c r="X9561" s="4"/>
      <c r="Y9561" s="4"/>
    </row>
    <row r="9562" spans="20:25" x14ac:dyDescent="0.25">
      <c r="T9562" s="10"/>
      <c r="U9562" s="4"/>
      <c r="V9562" s="4"/>
      <c r="X9562" s="4"/>
      <c r="Y9562" s="4"/>
    </row>
    <row r="9563" spans="20:25" x14ac:dyDescent="0.25">
      <c r="T9563" s="10"/>
      <c r="U9563" s="4"/>
      <c r="V9563" s="4"/>
      <c r="X9563" s="4"/>
      <c r="Y9563" s="4"/>
    </row>
    <row r="9564" spans="20:25" x14ac:dyDescent="0.25">
      <c r="T9564" s="10"/>
      <c r="U9564" s="4"/>
      <c r="V9564" s="4"/>
      <c r="X9564" s="4"/>
      <c r="Y9564" s="4"/>
    </row>
    <row r="9565" spans="20:25" x14ac:dyDescent="0.25">
      <c r="T9565" s="10"/>
      <c r="U9565" s="4"/>
      <c r="V9565" s="4"/>
      <c r="X9565" s="4"/>
      <c r="Y9565" s="4"/>
    </row>
    <row r="9566" spans="20:25" x14ac:dyDescent="0.25">
      <c r="T9566" s="10"/>
      <c r="U9566" s="4"/>
      <c r="V9566" s="4"/>
      <c r="X9566" s="4"/>
      <c r="Y9566" s="4"/>
    </row>
    <row r="9567" spans="20:25" x14ac:dyDescent="0.25">
      <c r="T9567" s="10"/>
      <c r="U9567" s="4"/>
      <c r="V9567" s="4"/>
      <c r="X9567" s="4"/>
      <c r="Y9567" s="4"/>
    </row>
    <row r="9568" spans="20:25" x14ac:dyDescent="0.25">
      <c r="T9568" s="10"/>
      <c r="U9568" s="4"/>
      <c r="V9568" s="4"/>
      <c r="X9568" s="4"/>
      <c r="Y9568" s="4"/>
    </row>
    <row r="9569" spans="20:25" x14ac:dyDescent="0.25">
      <c r="T9569" s="10"/>
      <c r="U9569" s="4"/>
      <c r="V9569" s="4"/>
      <c r="X9569" s="4"/>
      <c r="Y9569" s="4"/>
    </row>
    <row r="9570" spans="20:25" x14ac:dyDescent="0.25">
      <c r="T9570" s="10"/>
      <c r="U9570" s="4"/>
      <c r="V9570" s="4"/>
      <c r="X9570" s="4"/>
      <c r="Y9570" s="4"/>
    </row>
    <row r="9571" spans="20:25" x14ac:dyDescent="0.25">
      <c r="T9571" s="10"/>
      <c r="U9571" s="4"/>
      <c r="V9571" s="4"/>
      <c r="X9571" s="4"/>
      <c r="Y9571" s="4"/>
    </row>
    <row r="9572" spans="20:25" x14ac:dyDescent="0.25">
      <c r="T9572" s="10"/>
      <c r="U9572" s="4"/>
      <c r="V9572" s="4"/>
      <c r="X9572" s="4"/>
      <c r="Y9572" s="4"/>
    </row>
    <row r="9573" spans="20:25" x14ac:dyDescent="0.25">
      <c r="T9573" s="10"/>
      <c r="U9573" s="4"/>
      <c r="V9573" s="4"/>
      <c r="X9573" s="4"/>
      <c r="Y9573" s="4"/>
    </row>
    <row r="9574" spans="20:25" x14ac:dyDescent="0.25">
      <c r="T9574" s="10"/>
      <c r="U9574" s="4"/>
      <c r="V9574" s="4"/>
      <c r="X9574" s="4"/>
      <c r="Y9574" s="4"/>
    </row>
    <row r="9575" spans="20:25" x14ac:dyDescent="0.25">
      <c r="T9575" s="10"/>
      <c r="U9575" s="4"/>
      <c r="V9575" s="4"/>
      <c r="X9575" s="4"/>
      <c r="Y9575" s="4"/>
    </row>
    <row r="9576" spans="20:25" x14ac:dyDescent="0.25">
      <c r="T9576" s="10"/>
      <c r="U9576" s="4"/>
      <c r="V9576" s="4"/>
      <c r="X9576" s="4"/>
      <c r="Y9576" s="4"/>
    </row>
    <row r="9577" spans="20:25" x14ac:dyDescent="0.25">
      <c r="T9577" s="10"/>
      <c r="U9577" s="4"/>
      <c r="V9577" s="4"/>
      <c r="X9577" s="4"/>
      <c r="Y9577" s="4"/>
    </row>
    <row r="9578" spans="20:25" x14ac:dyDescent="0.25">
      <c r="T9578" s="10"/>
      <c r="U9578" s="4"/>
      <c r="V9578" s="4"/>
      <c r="X9578" s="4"/>
      <c r="Y9578" s="4"/>
    </row>
    <row r="9579" spans="20:25" x14ac:dyDescent="0.25">
      <c r="T9579" s="10"/>
      <c r="U9579" s="4"/>
      <c r="V9579" s="4"/>
      <c r="X9579" s="4"/>
      <c r="Y9579" s="4"/>
    </row>
    <row r="9580" spans="20:25" x14ac:dyDescent="0.25">
      <c r="T9580" s="10"/>
      <c r="U9580" s="4"/>
      <c r="V9580" s="4"/>
      <c r="X9580" s="4"/>
      <c r="Y9580" s="4"/>
    </row>
    <row r="9581" spans="20:25" x14ac:dyDescent="0.25">
      <c r="T9581" s="10"/>
      <c r="U9581" s="4"/>
      <c r="V9581" s="4"/>
      <c r="X9581" s="4"/>
      <c r="Y9581" s="4"/>
    </row>
    <row r="9582" spans="20:25" x14ac:dyDescent="0.25">
      <c r="T9582" s="10"/>
      <c r="U9582" s="4"/>
      <c r="V9582" s="4"/>
      <c r="X9582" s="4"/>
      <c r="Y9582" s="4"/>
    </row>
    <row r="9583" spans="20:25" x14ac:dyDescent="0.25">
      <c r="T9583" s="10"/>
      <c r="U9583" s="4"/>
      <c r="V9583" s="4"/>
      <c r="X9583" s="4"/>
      <c r="Y9583" s="4"/>
    </row>
    <row r="9584" spans="20:25" x14ac:dyDescent="0.25">
      <c r="T9584" s="10"/>
      <c r="U9584" s="4"/>
      <c r="V9584" s="4"/>
      <c r="X9584" s="4"/>
      <c r="Y9584" s="4"/>
    </row>
    <row r="9585" spans="20:25" x14ac:dyDescent="0.25">
      <c r="T9585" s="10"/>
      <c r="U9585" s="4"/>
      <c r="V9585" s="4"/>
      <c r="X9585" s="4"/>
      <c r="Y9585" s="4"/>
    </row>
    <row r="9586" spans="20:25" x14ac:dyDescent="0.25">
      <c r="T9586" s="10"/>
      <c r="U9586" s="4"/>
      <c r="V9586" s="4"/>
      <c r="X9586" s="4"/>
      <c r="Y9586" s="4"/>
    </row>
    <row r="9587" spans="20:25" x14ac:dyDescent="0.25">
      <c r="T9587" s="10"/>
      <c r="U9587" s="4"/>
      <c r="V9587" s="4"/>
      <c r="X9587" s="4"/>
      <c r="Y9587" s="4"/>
    </row>
    <row r="9588" spans="20:25" x14ac:dyDescent="0.25">
      <c r="T9588" s="10"/>
      <c r="U9588" s="4"/>
      <c r="V9588" s="4"/>
      <c r="X9588" s="4"/>
      <c r="Y9588" s="4"/>
    </row>
    <row r="9589" spans="20:25" x14ac:dyDescent="0.25">
      <c r="T9589" s="10"/>
      <c r="U9589" s="4"/>
      <c r="V9589" s="4"/>
      <c r="X9589" s="4"/>
      <c r="Y9589" s="4"/>
    </row>
    <row r="9590" spans="20:25" x14ac:dyDescent="0.25">
      <c r="T9590" s="10"/>
      <c r="U9590" s="4"/>
      <c r="V9590" s="4"/>
      <c r="X9590" s="4"/>
      <c r="Y9590" s="4"/>
    </row>
    <row r="9591" spans="20:25" x14ac:dyDescent="0.25">
      <c r="T9591" s="10"/>
      <c r="U9591" s="4"/>
      <c r="V9591" s="4"/>
      <c r="X9591" s="4"/>
      <c r="Y9591" s="4"/>
    </row>
    <row r="9592" spans="20:25" x14ac:dyDescent="0.25">
      <c r="T9592" s="10"/>
      <c r="U9592" s="4"/>
      <c r="V9592" s="4"/>
      <c r="X9592" s="4"/>
      <c r="Y9592" s="4"/>
    </row>
    <row r="9593" spans="20:25" x14ac:dyDescent="0.25">
      <c r="T9593" s="10"/>
      <c r="U9593" s="4"/>
      <c r="V9593" s="4"/>
      <c r="X9593" s="4"/>
      <c r="Y9593" s="4"/>
    </row>
    <row r="9594" spans="20:25" x14ac:dyDescent="0.25">
      <c r="T9594" s="10"/>
      <c r="U9594" s="4"/>
      <c r="V9594" s="4"/>
      <c r="X9594" s="4"/>
      <c r="Y9594" s="4"/>
    </row>
    <row r="9595" spans="20:25" x14ac:dyDescent="0.25">
      <c r="T9595" s="10"/>
      <c r="U9595" s="4"/>
      <c r="V9595" s="4"/>
      <c r="X9595" s="4"/>
      <c r="Y9595" s="4"/>
    </row>
    <row r="9596" spans="20:25" x14ac:dyDescent="0.25">
      <c r="T9596" s="10"/>
      <c r="U9596" s="4"/>
      <c r="V9596" s="4"/>
      <c r="X9596" s="4"/>
      <c r="Y9596" s="4"/>
    </row>
    <row r="9597" spans="20:25" x14ac:dyDescent="0.25">
      <c r="T9597" s="10"/>
      <c r="U9597" s="4"/>
      <c r="V9597" s="4"/>
      <c r="X9597" s="4"/>
      <c r="Y9597" s="4"/>
    </row>
    <row r="9598" spans="20:25" x14ac:dyDescent="0.25">
      <c r="T9598" s="10"/>
      <c r="U9598" s="4"/>
      <c r="V9598" s="4"/>
      <c r="X9598" s="4"/>
      <c r="Y9598" s="4"/>
    </row>
    <row r="9599" spans="20:25" x14ac:dyDescent="0.25">
      <c r="T9599" s="10"/>
      <c r="U9599" s="4"/>
      <c r="V9599" s="4"/>
      <c r="X9599" s="4"/>
      <c r="Y9599" s="4"/>
    </row>
    <row r="9600" spans="20:25" x14ac:dyDescent="0.25">
      <c r="T9600" s="10"/>
      <c r="U9600" s="4"/>
      <c r="V9600" s="4"/>
      <c r="X9600" s="4"/>
      <c r="Y9600" s="4"/>
    </row>
    <row r="9601" spans="20:25" x14ac:dyDescent="0.25">
      <c r="T9601" s="10"/>
      <c r="U9601" s="4"/>
      <c r="V9601" s="4"/>
      <c r="X9601" s="4"/>
      <c r="Y9601" s="4"/>
    </row>
    <row r="9602" spans="20:25" x14ac:dyDescent="0.25">
      <c r="T9602" s="10"/>
      <c r="U9602" s="4"/>
      <c r="V9602" s="4"/>
      <c r="X9602" s="4"/>
      <c r="Y9602" s="4"/>
    </row>
    <row r="9603" spans="20:25" x14ac:dyDescent="0.25">
      <c r="T9603" s="10"/>
      <c r="U9603" s="4"/>
      <c r="V9603" s="4"/>
      <c r="X9603" s="4"/>
      <c r="Y9603" s="4"/>
    </row>
    <row r="9604" spans="20:25" x14ac:dyDescent="0.25">
      <c r="T9604" s="10"/>
      <c r="U9604" s="4"/>
      <c r="V9604" s="4"/>
      <c r="X9604" s="4"/>
      <c r="Y9604" s="4"/>
    </row>
    <row r="9605" spans="20:25" x14ac:dyDescent="0.25">
      <c r="T9605" s="10"/>
      <c r="U9605" s="4"/>
      <c r="V9605" s="4"/>
      <c r="X9605" s="4"/>
      <c r="Y9605" s="4"/>
    </row>
    <row r="9606" spans="20:25" x14ac:dyDescent="0.25">
      <c r="T9606" s="10"/>
      <c r="U9606" s="4"/>
      <c r="V9606" s="4"/>
      <c r="X9606" s="4"/>
      <c r="Y9606" s="4"/>
    </row>
    <row r="9607" spans="20:25" x14ac:dyDescent="0.25">
      <c r="T9607" s="10"/>
      <c r="U9607" s="4"/>
      <c r="V9607" s="4"/>
      <c r="X9607" s="4"/>
      <c r="Y9607" s="4"/>
    </row>
    <row r="9608" spans="20:25" x14ac:dyDescent="0.25">
      <c r="T9608" s="10"/>
      <c r="U9608" s="4"/>
      <c r="V9608" s="4"/>
      <c r="X9608" s="4"/>
      <c r="Y9608" s="4"/>
    </row>
    <row r="9609" spans="20:25" x14ac:dyDescent="0.25">
      <c r="T9609" s="10"/>
      <c r="U9609" s="4"/>
      <c r="V9609" s="4"/>
      <c r="X9609" s="4"/>
      <c r="Y9609" s="4"/>
    </row>
    <row r="9610" spans="20:25" x14ac:dyDescent="0.25">
      <c r="T9610" s="10"/>
      <c r="U9610" s="4"/>
      <c r="V9610" s="4"/>
      <c r="X9610" s="4"/>
      <c r="Y9610" s="4"/>
    </row>
    <row r="9611" spans="20:25" x14ac:dyDescent="0.25">
      <c r="T9611" s="10"/>
      <c r="U9611" s="4"/>
      <c r="V9611" s="4"/>
      <c r="X9611" s="4"/>
      <c r="Y9611" s="4"/>
    </row>
    <row r="9612" spans="20:25" x14ac:dyDescent="0.25">
      <c r="T9612" s="10"/>
      <c r="U9612" s="4"/>
      <c r="V9612" s="4"/>
      <c r="X9612" s="4"/>
      <c r="Y9612" s="4"/>
    </row>
    <row r="9613" spans="20:25" x14ac:dyDescent="0.25">
      <c r="T9613" s="10"/>
      <c r="U9613" s="4"/>
      <c r="V9613" s="4"/>
      <c r="X9613" s="4"/>
      <c r="Y9613" s="4"/>
    </row>
    <row r="9614" spans="20:25" x14ac:dyDescent="0.25">
      <c r="T9614" s="10"/>
      <c r="U9614" s="4"/>
      <c r="V9614" s="4"/>
      <c r="X9614" s="4"/>
      <c r="Y9614" s="4"/>
    </row>
    <row r="9615" spans="20:25" x14ac:dyDescent="0.25">
      <c r="T9615" s="10"/>
      <c r="U9615" s="4"/>
      <c r="V9615" s="4"/>
      <c r="X9615" s="4"/>
      <c r="Y9615" s="4"/>
    </row>
    <row r="9616" spans="20:25" x14ac:dyDescent="0.25">
      <c r="T9616" s="10"/>
      <c r="U9616" s="4"/>
      <c r="V9616" s="4"/>
      <c r="X9616" s="4"/>
      <c r="Y9616" s="4"/>
    </row>
    <row r="9617" spans="20:25" x14ac:dyDescent="0.25">
      <c r="T9617" s="10"/>
      <c r="U9617" s="4"/>
      <c r="V9617" s="4"/>
      <c r="X9617" s="4"/>
      <c r="Y9617" s="4"/>
    </row>
    <row r="9618" spans="20:25" x14ac:dyDescent="0.25">
      <c r="T9618" s="10"/>
      <c r="U9618" s="4"/>
      <c r="V9618" s="4"/>
      <c r="X9618" s="4"/>
      <c r="Y9618" s="4"/>
    </row>
    <row r="9619" spans="20:25" x14ac:dyDescent="0.25">
      <c r="T9619" s="10"/>
      <c r="U9619" s="4"/>
      <c r="V9619" s="4"/>
      <c r="X9619" s="4"/>
      <c r="Y9619" s="4"/>
    </row>
    <row r="9620" spans="20:25" x14ac:dyDescent="0.25">
      <c r="T9620" s="10"/>
      <c r="U9620" s="4"/>
      <c r="V9620" s="4"/>
      <c r="X9620" s="4"/>
      <c r="Y9620" s="4"/>
    </row>
    <row r="9621" spans="20:25" x14ac:dyDescent="0.25">
      <c r="T9621" s="10"/>
      <c r="U9621" s="4"/>
      <c r="V9621" s="4"/>
      <c r="X9621" s="4"/>
      <c r="Y9621" s="4"/>
    </row>
    <row r="9622" spans="20:25" x14ac:dyDescent="0.25">
      <c r="T9622" s="10"/>
      <c r="U9622" s="4"/>
      <c r="V9622" s="4"/>
      <c r="X9622" s="4"/>
      <c r="Y9622" s="4"/>
    </row>
    <row r="9623" spans="20:25" x14ac:dyDescent="0.25">
      <c r="T9623" s="10"/>
      <c r="U9623" s="4"/>
      <c r="V9623" s="4"/>
      <c r="X9623" s="4"/>
      <c r="Y9623" s="4"/>
    </row>
    <row r="9624" spans="20:25" x14ac:dyDescent="0.25">
      <c r="T9624" s="10"/>
      <c r="U9624" s="4"/>
      <c r="V9624" s="4"/>
      <c r="X9624" s="4"/>
      <c r="Y9624" s="4"/>
    </row>
    <row r="9625" spans="20:25" x14ac:dyDescent="0.25">
      <c r="T9625" s="10"/>
      <c r="U9625" s="4"/>
      <c r="V9625" s="4"/>
      <c r="X9625" s="4"/>
      <c r="Y9625" s="4"/>
    </row>
    <row r="9626" spans="20:25" x14ac:dyDescent="0.25">
      <c r="T9626" s="10"/>
      <c r="U9626" s="4"/>
      <c r="V9626" s="4"/>
      <c r="X9626" s="4"/>
      <c r="Y9626" s="4"/>
    </row>
    <row r="9627" spans="20:25" x14ac:dyDescent="0.25">
      <c r="T9627" s="10"/>
      <c r="U9627" s="4"/>
      <c r="V9627" s="4"/>
      <c r="X9627" s="4"/>
      <c r="Y9627" s="4"/>
    </row>
    <row r="9628" spans="20:25" x14ac:dyDescent="0.25">
      <c r="T9628" s="10"/>
      <c r="U9628" s="4"/>
      <c r="V9628" s="4"/>
      <c r="X9628" s="4"/>
      <c r="Y9628" s="4"/>
    </row>
    <row r="9629" spans="20:25" x14ac:dyDescent="0.25">
      <c r="T9629" s="10"/>
      <c r="U9629" s="4"/>
      <c r="V9629" s="4"/>
      <c r="X9629" s="4"/>
      <c r="Y9629" s="4"/>
    </row>
    <row r="9630" spans="20:25" x14ac:dyDescent="0.25">
      <c r="T9630" s="10"/>
      <c r="U9630" s="4"/>
      <c r="V9630" s="4"/>
      <c r="X9630" s="4"/>
      <c r="Y9630" s="4"/>
    </row>
    <row r="9631" spans="20:25" x14ac:dyDescent="0.25">
      <c r="T9631" s="10"/>
      <c r="U9631" s="4"/>
      <c r="V9631" s="4"/>
      <c r="X9631" s="4"/>
      <c r="Y9631" s="4"/>
    </row>
    <row r="9632" spans="20:25" x14ac:dyDescent="0.25">
      <c r="T9632" s="10"/>
      <c r="U9632" s="4"/>
      <c r="V9632" s="4"/>
      <c r="X9632" s="4"/>
      <c r="Y9632" s="4"/>
    </row>
    <row r="9633" spans="20:25" x14ac:dyDescent="0.25">
      <c r="T9633" s="10"/>
      <c r="U9633" s="4"/>
      <c r="V9633" s="4"/>
      <c r="X9633" s="4"/>
      <c r="Y9633" s="4"/>
    </row>
    <row r="9634" spans="20:25" x14ac:dyDescent="0.25">
      <c r="T9634" s="10"/>
      <c r="U9634" s="4"/>
      <c r="V9634" s="4"/>
      <c r="X9634" s="4"/>
      <c r="Y9634" s="4"/>
    </row>
    <row r="9635" spans="20:25" x14ac:dyDescent="0.25">
      <c r="T9635" s="10"/>
      <c r="U9635" s="4"/>
      <c r="V9635" s="4"/>
      <c r="X9635" s="4"/>
      <c r="Y9635" s="4"/>
    </row>
    <row r="9636" spans="20:25" x14ac:dyDescent="0.25">
      <c r="T9636" s="10"/>
      <c r="U9636" s="4"/>
      <c r="V9636" s="4"/>
      <c r="X9636" s="4"/>
      <c r="Y9636" s="4"/>
    </row>
    <row r="9637" spans="20:25" x14ac:dyDescent="0.25">
      <c r="T9637" s="10"/>
      <c r="U9637" s="4"/>
      <c r="V9637" s="4"/>
      <c r="X9637" s="4"/>
      <c r="Y9637" s="4"/>
    </row>
    <row r="9638" spans="20:25" x14ac:dyDescent="0.25">
      <c r="T9638" s="10"/>
      <c r="U9638" s="4"/>
      <c r="V9638" s="4"/>
      <c r="X9638" s="4"/>
      <c r="Y9638" s="4"/>
    </row>
    <row r="9639" spans="20:25" x14ac:dyDescent="0.25">
      <c r="T9639" s="10"/>
      <c r="U9639" s="4"/>
      <c r="V9639" s="4"/>
      <c r="X9639" s="4"/>
      <c r="Y9639" s="4"/>
    </row>
    <row r="9640" spans="20:25" x14ac:dyDescent="0.25">
      <c r="T9640" s="10"/>
      <c r="U9640" s="4"/>
      <c r="V9640" s="4"/>
      <c r="X9640" s="4"/>
      <c r="Y9640" s="4"/>
    </row>
    <row r="9641" spans="20:25" x14ac:dyDescent="0.25">
      <c r="T9641" s="10"/>
      <c r="U9641" s="4"/>
      <c r="V9641" s="4"/>
      <c r="X9641" s="4"/>
      <c r="Y9641" s="4"/>
    </row>
    <row r="9642" spans="20:25" x14ac:dyDescent="0.25">
      <c r="T9642" s="10"/>
      <c r="U9642" s="4"/>
      <c r="V9642" s="4"/>
      <c r="X9642" s="4"/>
      <c r="Y9642" s="4"/>
    </row>
    <row r="9643" spans="20:25" x14ac:dyDescent="0.25">
      <c r="T9643" s="10"/>
      <c r="U9643" s="4"/>
      <c r="V9643" s="4"/>
      <c r="X9643" s="4"/>
      <c r="Y9643" s="4"/>
    </row>
    <row r="9644" spans="20:25" x14ac:dyDescent="0.25">
      <c r="T9644" s="10"/>
      <c r="U9644" s="4"/>
      <c r="V9644" s="4"/>
      <c r="X9644" s="4"/>
      <c r="Y9644" s="4"/>
    </row>
    <row r="9645" spans="20:25" x14ac:dyDescent="0.25">
      <c r="T9645" s="10"/>
      <c r="U9645" s="4"/>
      <c r="V9645" s="4"/>
      <c r="X9645" s="4"/>
      <c r="Y9645" s="4"/>
    </row>
    <row r="9646" spans="20:25" x14ac:dyDescent="0.25">
      <c r="T9646" s="10"/>
      <c r="U9646" s="4"/>
      <c r="V9646" s="4"/>
      <c r="X9646" s="4"/>
      <c r="Y9646" s="4"/>
    </row>
    <row r="9647" spans="20:25" x14ac:dyDescent="0.25">
      <c r="T9647" s="10"/>
      <c r="U9647" s="4"/>
      <c r="V9647" s="4"/>
      <c r="X9647" s="4"/>
      <c r="Y9647" s="4"/>
    </row>
    <row r="9648" spans="20:25" x14ac:dyDescent="0.25">
      <c r="T9648" s="10"/>
      <c r="U9648" s="4"/>
      <c r="V9648" s="4"/>
      <c r="X9648" s="4"/>
      <c r="Y9648" s="4"/>
    </row>
    <row r="9649" spans="20:25" x14ac:dyDescent="0.25">
      <c r="T9649" s="10"/>
      <c r="U9649" s="4"/>
      <c r="V9649" s="4"/>
      <c r="X9649" s="4"/>
      <c r="Y9649" s="4"/>
    </row>
    <row r="9650" spans="20:25" x14ac:dyDescent="0.25">
      <c r="T9650" s="10"/>
      <c r="U9650" s="4"/>
      <c r="V9650" s="4"/>
      <c r="X9650" s="4"/>
      <c r="Y9650" s="4"/>
    </row>
    <row r="9651" spans="20:25" x14ac:dyDescent="0.25">
      <c r="T9651" s="10"/>
      <c r="U9651" s="4"/>
      <c r="V9651" s="4"/>
      <c r="X9651" s="4"/>
      <c r="Y9651" s="4"/>
    </row>
    <row r="9652" spans="20:25" x14ac:dyDescent="0.25">
      <c r="T9652" s="10"/>
      <c r="U9652" s="4"/>
      <c r="V9652" s="4"/>
      <c r="X9652" s="4"/>
      <c r="Y9652" s="4"/>
    </row>
    <row r="9653" spans="20:25" x14ac:dyDescent="0.25">
      <c r="T9653" s="10"/>
      <c r="U9653" s="4"/>
      <c r="V9653" s="4"/>
      <c r="X9653" s="4"/>
      <c r="Y9653" s="4"/>
    </row>
    <row r="9654" spans="20:25" x14ac:dyDescent="0.25">
      <c r="T9654" s="10"/>
      <c r="U9654" s="4"/>
      <c r="V9654" s="4"/>
      <c r="X9654" s="4"/>
      <c r="Y9654" s="4"/>
    </row>
    <row r="9655" spans="20:25" x14ac:dyDescent="0.25">
      <c r="T9655" s="10"/>
      <c r="U9655" s="4"/>
      <c r="V9655" s="4"/>
      <c r="X9655" s="4"/>
      <c r="Y9655" s="4"/>
    </row>
    <row r="9656" spans="20:25" x14ac:dyDescent="0.25">
      <c r="T9656" s="10"/>
      <c r="U9656" s="4"/>
      <c r="V9656" s="4"/>
      <c r="X9656" s="4"/>
      <c r="Y9656" s="4"/>
    </row>
    <row r="9657" spans="20:25" x14ac:dyDescent="0.25">
      <c r="T9657" s="10"/>
      <c r="U9657" s="4"/>
      <c r="V9657" s="4"/>
      <c r="X9657" s="4"/>
      <c r="Y9657" s="4"/>
    </row>
    <row r="9658" spans="20:25" x14ac:dyDescent="0.25">
      <c r="T9658" s="10"/>
      <c r="U9658" s="4"/>
      <c r="V9658" s="4"/>
      <c r="X9658" s="4"/>
      <c r="Y9658" s="4"/>
    </row>
    <row r="9659" spans="20:25" x14ac:dyDescent="0.25">
      <c r="T9659" s="10"/>
      <c r="U9659" s="4"/>
      <c r="V9659" s="4"/>
      <c r="X9659" s="4"/>
      <c r="Y9659" s="4"/>
    </row>
    <row r="9660" spans="20:25" x14ac:dyDescent="0.25">
      <c r="T9660" s="10"/>
      <c r="U9660" s="4"/>
      <c r="V9660" s="4"/>
      <c r="X9660" s="4"/>
      <c r="Y9660" s="4"/>
    </row>
    <row r="9661" spans="20:25" x14ac:dyDescent="0.25">
      <c r="T9661" s="10"/>
      <c r="U9661" s="4"/>
      <c r="V9661" s="4"/>
      <c r="X9661" s="4"/>
      <c r="Y9661" s="4"/>
    </row>
    <row r="9662" spans="20:25" x14ac:dyDescent="0.25">
      <c r="T9662" s="10"/>
      <c r="U9662" s="4"/>
      <c r="V9662" s="4"/>
      <c r="X9662" s="4"/>
      <c r="Y9662" s="4"/>
    </row>
    <row r="9663" spans="20:25" x14ac:dyDescent="0.25">
      <c r="T9663" s="10"/>
      <c r="U9663" s="4"/>
      <c r="V9663" s="4"/>
      <c r="X9663" s="4"/>
      <c r="Y9663" s="4"/>
    </row>
    <row r="9664" spans="20:25" x14ac:dyDescent="0.25">
      <c r="T9664" s="10"/>
      <c r="U9664" s="4"/>
      <c r="V9664" s="4"/>
      <c r="X9664" s="4"/>
      <c r="Y9664" s="4"/>
    </row>
    <row r="9665" spans="20:25" x14ac:dyDescent="0.25">
      <c r="T9665" s="10"/>
      <c r="U9665" s="4"/>
      <c r="V9665" s="4"/>
      <c r="X9665" s="4"/>
      <c r="Y9665" s="4"/>
    </row>
    <row r="9666" spans="20:25" x14ac:dyDescent="0.25">
      <c r="T9666" s="10"/>
      <c r="U9666" s="4"/>
      <c r="V9666" s="4"/>
      <c r="X9666" s="4"/>
      <c r="Y9666" s="4"/>
    </row>
    <row r="9667" spans="20:25" x14ac:dyDescent="0.25">
      <c r="T9667" s="10"/>
      <c r="U9667" s="4"/>
      <c r="V9667" s="4"/>
      <c r="X9667" s="4"/>
      <c r="Y9667" s="4"/>
    </row>
    <row r="9668" spans="20:25" x14ac:dyDescent="0.25">
      <c r="T9668" s="10"/>
      <c r="U9668" s="4"/>
      <c r="V9668" s="4"/>
      <c r="X9668" s="4"/>
      <c r="Y9668" s="4"/>
    </row>
    <row r="9669" spans="20:25" x14ac:dyDescent="0.25">
      <c r="T9669" s="10"/>
      <c r="U9669" s="4"/>
      <c r="V9669" s="4"/>
      <c r="X9669" s="4"/>
      <c r="Y9669" s="4"/>
    </row>
    <row r="9670" spans="20:25" x14ac:dyDescent="0.25">
      <c r="T9670" s="10"/>
      <c r="U9670" s="4"/>
      <c r="V9670" s="4"/>
      <c r="X9670" s="4"/>
      <c r="Y9670" s="4"/>
    </row>
    <row r="9671" spans="20:25" x14ac:dyDescent="0.25">
      <c r="T9671" s="10"/>
      <c r="U9671" s="4"/>
      <c r="V9671" s="4"/>
      <c r="X9671" s="4"/>
      <c r="Y9671" s="4"/>
    </row>
    <row r="9672" spans="20:25" x14ac:dyDescent="0.25">
      <c r="T9672" s="10"/>
      <c r="U9672" s="4"/>
      <c r="V9672" s="4"/>
      <c r="X9672" s="4"/>
      <c r="Y9672" s="4"/>
    </row>
    <row r="9673" spans="20:25" x14ac:dyDescent="0.25">
      <c r="T9673" s="10"/>
      <c r="U9673" s="4"/>
      <c r="V9673" s="4"/>
      <c r="X9673" s="4"/>
      <c r="Y9673" s="4"/>
    </row>
    <row r="9674" spans="20:25" x14ac:dyDescent="0.25">
      <c r="T9674" s="10"/>
      <c r="U9674" s="4"/>
      <c r="V9674" s="4"/>
      <c r="X9674" s="4"/>
      <c r="Y9674" s="4"/>
    </row>
    <row r="9675" spans="20:25" x14ac:dyDescent="0.25">
      <c r="T9675" s="10"/>
      <c r="U9675" s="4"/>
      <c r="V9675" s="4"/>
      <c r="X9675" s="4"/>
      <c r="Y9675" s="4"/>
    </row>
    <row r="9676" spans="20:25" x14ac:dyDescent="0.25">
      <c r="T9676" s="10"/>
      <c r="U9676" s="4"/>
      <c r="V9676" s="4"/>
      <c r="X9676" s="4"/>
      <c r="Y9676" s="4"/>
    </row>
    <row r="9677" spans="20:25" x14ac:dyDescent="0.25">
      <c r="T9677" s="10"/>
      <c r="U9677" s="4"/>
      <c r="V9677" s="4"/>
      <c r="X9677" s="4"/>
      <c r="Y9677" s="4"/>
    </row>
    <row r="9678" spans="20:25" x14ac:dyDescent="0.25">
      <c r="T9678" s="10"/>
      <c r="U9678" s="4"/>
      <c r="V9678" s="4"/>
      <c r="X9678" s="4"/>
      <c r="Y9678" s="4"/>
    </row>
    <row r="9679" spans="20:25" x14ac:dyDescent="0.25">
      <c r="T9679" s="10"/>
      <c r="U9679" s="4"/>
      <c r="V9679" s="4"/>
      <c r="X9679" s="4"/>
      <c r="Y9679" s="4"/>
    </row>
    <row r="9680" spans="20:25" x14ac:dyDescent="0.25">
      <c r="T9680" s="10"/>
      <c r="U9680" s="4"/>
      <c r="V9680" s="4"/>
      <c r="X9680" s="4"/>
      <c r="Y9680" s="4"/>
    </row>
    <row r="9681" spans="20:25" x14ac:dyDescent="0.25">
      <c r="T9681" s="10"/>
      <c r="U9681" s="4"/>
      <c r="V9681" s="4"/>
      <c r="X9681" s="4"/>
      <c r="Y9681" s="4"/>
    </row>
    <row r="9682" spans="20:25" x14ac:dyDescent="0.25">
      <c r="T9682" s="10"/>
      <c r="U9682" s="4"/>
      <c r="V9682" s="4"/>
      <c r="X9682" s="4"/>
      <c r="Y9682" s="4"/>
    </row>
    <row r="9683" spans="20:25" x14ac:dyDescent="0.25">
      <c r="T9683" s="10"/>
      <c r="U9683" s="4"/>
      <c r="V9683" s="4"/>
      <c r="X9683" s="4"/>
      <c r="Y9683" s="4"/>
    </row>
    <row r="9684" spans="20:25" x14ac:dyDescent="0.25">
      <c r="T9684" s="10"/>
      <c r="U9684" s="4"/>
      <c r="V9684" s="4"/>
      <c r="X9684" s="4"/>
      <c r="Y9684" s="4"/>
    </row>
    <row r="9685" spans="20:25" x14ac:dyDescent="0.25">
      <c r="T9685" s="10"/>
      <c r="U9685" s="4"/>
      <c r="V9685" s="4"/>
      <c r="X9685" s="4"/>
      <c r="Y9685" s="4"/>
    </row>
    <row r="9686" spans="20:25" x14ac:dyDescent="0.25">
      <c r="T9686" s="10"/>
      <c r="U9686" s="4"/>
      <c r="V9686" s="4"/>
      <c r="X9686" s="4"/>
      <c r="Y9686" s="4"/>
    </row>
    <row r="9687" spans="20:25" x14ac:dyDescent="0.25">
      <c r="T9687" s="10"/>
      <c r="U9687" s="4"/>
      <c r="V9687" s="4"/>
      <c r="X9687" s="4"/>
      <c r="Y9687" s="4"/>
    </row>
    <row r="9688" spans="20:25" x14ac:dyDescent="0.25">
      <c r="T9688" s="10"/>
      <c r="U9688" s="4"/>
      <c r="V9688" s="4"/>
      <c r="X9688" s="4"/>
      <c r="Y9688" s="4"/>
    </row>
    <row r="9689" spans="20:25" x14ac:dyDescent="0.25">
      <c r="T9689" s="10"/>
      <c r="U9689" s="4"/>
      <c r="V9689" s="4"/>
      <c r="X9689" s="4"/>
      <c r="Y9689" s="4"/>
    </row>
    <row r="9690" spans="20:25" x14ac:dyDescent="0.25">
      <c r="T9690" s="10"/>
      <c r="U9690" s="4"/>
      <c r="V9690" s="4"/>
      <c r="X9690" s="4"/>
      <c r="Y9690" s="4"/>
    </row>
    <row r="9691" spans="20:25" x14ac:dyDescent="0.25">
      <c r="T9691" s="10"/>
      <c r="U9691" s="4"/>
      <c r="V9691" s="4"/>
      <c r="X9691" s="4"/>
      <c r="Y9691" s="4"/>
    </row>
    <row r="9692" spans="20:25" x14ac:dyDescent="0.25">
      <c r="T9692" s="10"/>
      <c r="U9692" s="4"/>
      <c r="V9692" s="4"/>
      <c r="X9692" s="4"/>
      <c r="Y9692" s="4"/>
    </row>
    <row r="9693" spans="20:25" x14ac:dyDescent="0.25">
      <c r="T9693" s="10"/>
      <c r="U9693" s="4"/>
      <c r="V9693" s="4"/>
      <c r="X9693" s="4"/>
      <c r="Y9693" s="4"/>
    </row>
    <row r="9694" spans="20:25" x14ac:dyDescent="0.25">
      <c r="T9694" s="10"/>
      <c r="U9694" s="4"/>
      <c r="V9694" s="4"/>
      <c r="X9694" s="4"/>
      <c r="Y9694" s="4"/>
    </row>
    <row r="9695" spans="20:25" x14ac:dyDescent="0.25">
      <c r="T9695" s="10"/>
      <c r="U9695" s="4"/>
      <c r="V9695" s="4"/>
      <c r="X9695" s="4"/>
      <c r="Y9695" s="4"/>
    </row>
    <row r="9696" spans="20:25" x14ac:dyDescent="0.25">
      <c r="T9696" s="10"/>
      <c r="U9696" s="4"/>
      <c r="V9696" s="4"/>
      <c r="X9696" s="4"/>
      <c r="Y9696" s="4"/>
    </row>
    <row r="9697" spans="20:25" x14ac:dyDescent="0.25">
      <c r="T9697" s="10"/>
      <c r="U9697" s="4"/>
      <c r="V9697" s="4"/>
      <c r="X9697" s="4"/>
      <c r="Y9697" s="4"/>
    </row>
    <row r="9698" spans="20:25" x14ac:dyDescent="0.25">
      <c r="T9698" s="10"/>
      <c r="U9698" s="4"/>
      <c r="V9698" s="4"/>
      <c r="X9698" s="4"/>
      <c r="Y9698" s="4"/>
    </row>
    <row r="9699" spans="20:25" x14ac:dyDescent="0.25">
      <c r="T9699" s="10"/>
      <c r="U9699" s="4"/>
      <c r="V9699" s="4"/>
      <c r="X9699" s="4"/>
      <c r="Y9699" s="4"/>
    </row>
    <row r="9700" spans="20:25" x14ac:dyDescent="0.25">
      <c r="T9700" s="10"/>
      <c r="U9700" s="4"/>
      <c r="V9700" s="4"/>
      <c r="X9700" s="4"/>
      <c r="Y9700" s="4"/>
    </row>
    <row r="9701" spans="20:25" x14ac:dyDescent="0.25">
      <c r="T9701" s="10"/>
      <c r="U9701" s="4"/>
      <c r="V9701" s="4"/>
      <c r="X9701" s="4"/>
      <c r="Y9701" s="4"/>
    </row>
    <row r="9702" spans="20:25" x14ac:dyDescent="0.25">
      <c r="T9702" s="10"/>
      <c r="U9702" s="4"/>
      <c r="V9702" s="4"/>
      <c r="X9702" s="4"/>
      <c r="Y9702" s="4"/>
    </row>
    <row r="9703" spans="20:25" x14ac:dyDescent="0.25">
      <c r="T9703" s="10"/>
      <c r="U9703" s="4"/>
      <c r="V9703" s="4"/>
      <c r="X9703" s="4"/>
      <c r="Y9703" s="4"/>
    </row>
    <row r="9704" spans="20:25" x14ac:dyDescent="0.25">
      <c r="T9704" s="10"/>
      <c r="U9704" s="4"/>
      <c r="V9704" s="4"/>
      <c r="X9704" s="4"/>
      <c r="Y9704" s="4"/>
    </row>
    <row r="9705" spans="20:25" x14ac:dyDescent="0.25">
      <c r="T9705" s="10"/>
      <c r="U9705" s="4"/>
      <c r="V9705" s="4"/>
      <c r="X9705" s="4"/>
      <c r="Y9705" s="4"/>
    </row>
    <row r="9706" spans="20:25" x14ac:dyDescent="0.25">
      <c r="T9706" s="10"/>
      <c r="U9706" s="4"/>
      <c r="V9706" s="4"/>
      <c r="X9706" s="4"/>
      <c r="Y9706" s="4"/>
    </row>
    <row r="9707" spans="20:25" x14ac:dyDescent="0.25">
      <c r="T9707" s="10"/>
      <c r="U9707" s="4"/>
      <c r="V9707" s="4"/>
      <c r="X9707" s="4"/>
      <c r="Y9707" s="4"/>
    </row>
    <row r="9708" spans="20:25" x14ac:dyDescent="0.25">
      <c r="T9708" s="10"/>
      <c r="U9708" s="4"/>
      <c r="V9708" s="4"/>
      <c r="X9708" s="4"/>
      <c r="Y9708" s="4"/>
    </row>
    <row r="9709" spans="20:25" x14ac:dyDescent="0.25">
      <c r="T9709" s="10"/>
      <c r="U9709" s="4"/>
      <c r="V9709" s="4"/>
      <c r="X9709" s="4"/>
      <c r="Y9709" s="4"/>
    </row>
    <row r="9710" spans="20:25" x14ac:dyDescent="0.25">
      <c r="T9710" s="10"/>
      <c r="U9710" s="4"/>
      <c r="V9710" s="4"/>
      <c r="X9710" s="4"/>
      <c r="Y9710" s="4"/>
    </row>
    <row r="9711" spans="20:25" x14ac:dyDescent="0.25">
      <c r="T9711" s="10"/>
      <c r="U9711" s="4"/>
      <c r="V9711" s="4"/>
      <c r="X9711" s="4"/>
      <c r="Y9711" s="4"/>
    </row>
    <row r="9712" spans="20:25" x14ac:dyDescent="0.25">
      <c r="T9712" s="10"/>
      <c r="U9712" s="4"/>
      <c r="V9712" s="4"/>
      <c r="X9712" s="4"/>
      <c r="Y9712" s="4"/>
    </row>
    <row r="9713" spans="20:25" x14ac:dyDescent="0.25">
      <c r="T9713" s="10"/>
      <c r="U9713" s="4"/>
      <c r="V9713" s="4"/>
      <c r="X9713" s="4"/>
      <c r="Y9713" s="4"/>
    </row>
    <row r="9714" spans="20:25" x14ac:dyDescent="0.25">
      <c r="T9714" s="10"/>
      <c r="U9714" s="4"/>
      <c r="V9714" s="4"/>
      <c r="X9714" s="4"/>
      <c r="Y9714" s="4"/>
    </row>
    <row r="9715" spans="20:25" x14ac:dyDescent="0.25">
      <c r="T9715" s="10"/>
      <c r="U9715" s="4"/>
      <c r="V9715" s="4"/>
      <c r="X9715" s="4"/>
      <c r="Y9715" s="4"/>
    </row>
    <row r="9716" spans="20:25" x14ac:dyDescent="0.25">
      <c r="T9716" s="10"/>
      <c r="U9716" s="4"/>
      <c r="V9716" s="4"/>
      <c r="X9716" s="4"/>
      <c r="Y9716" s="4"/>
    </row>
    <row r="9717" spans="20:25" x14ac:dyDescent="0.25">
      <c r="T9717" s="10"/>
      <c r="U9717" s="4"/>
      <c r="V9717" s="4"/>
      <c r="X9717" s="4"/>
      <c r="Y9717" s="4"/>
    </row>
    <row r="9718" spans="20:25" x14ac:dyDescent="0.25">
      <c r="T9718" s="10"/>
      <c r="U9718" s="4"/>
      <c r="V9718" s="4"/>
      <c r="X9718" s="4"/>
      <c r="Y9718" s="4"/>
    </row>
    <row r="9719" spans="20:25" x14ac:dyDescent="0.25">
      <c r="T9719" s="10"/>
      <c r="U9719" s="4"/>
      <c r="V9719" s="4"/>
      <c r="X9719" s="4"/>
      <c r="Y9719" s="4"/>
    </row>
    <row r="9720" spans="20:25" x14ac:dyDescent="0.25">
      <c r="T9720" s="10"/>
      <c r="U9720" s="4"/>
      <c r="V9720" s="4"/>
      <c r="X9720" s="4"/>
      <c r="Y9720" s="4"/>
    </row>
    <row r="9721" spans="20:25" x14ac:dyDescent="0.25">
      <c r="T9721" s="10"/>
      <c r="U9721" s="4"/>
      <c r="V9721" s="4"/>
      <c r="X9721" s="4"/>
      <c r="Y9721" s="4"/>
    </row>
    <row r="9722" spans="20:25" x14ac:dyDescent="0.25">
      <c r="T9722" s="10"/>
      <c r="U9722" s="4"/>
      <c r="V9722" s="4"/>
      <c r="X9722" s="4"/>
      <c r="Y9722" s="4"/>
    </row>
    <row r="9723" spans="20:25" x14ac:dyDescent="0.25">
      <c r="T9723" s="10"/>
      <c r="U9723" s="4"/>
      <c r="V9723" s="4"/>
      <c r="X9723" s="4"/>
      <c r="Y9723" s="4"/>
    </row>
    <row r="9724" spans="20:25" x14ac:dyDescent="0.25">
      <c r="T9724" s="10"/>
      <c r="U9724" s="4"/>
      <c r="V9724" s="4"/>
      <c r="X9724" s="4"/>
      <c r="Y9724" s="4"/>
    </row>
    <row r="9725" spans="20:25" x14ac:dyDescent="0.25">
      <c r="T9725" s="10"/>
      <c r="U9725" s="4"/>
      <c r="V9725" s="4"/>
      <c r="X9725" s="4"/>
      <c r="Y9725" s="4"/>
    </row>
    <row r="9726" spans="20:25" x14ac:dyDescent="0.25">
      <c r="T9726" s="10"/>
      <c r="U9726" s="4"/>
      <c r="V9726" s="4"/>
      <c r="X9726" s="4"/>
      <c r="Y9726" s="4"/>
    </row>
    <row r="9727" spans="20:25" x14ac:dyDescent="0.25">
      <c r="T9727" s="10"/>
      <c r="U9727" s="4"/>
      <c r="V9727" s="4"/>
      <c r="X9727" s="4"/>
      <c r="Y9727" s="4"/>
    </row>
    <row r="9728" spans="20:25" x14ac:dyDescent="0.25">
      <c r="T9728" s="10"/>
      <c r="U9728" s="4"/>
      <c r="V9728" s="4"/>
      <c r="X9728" s="4"/>
      <c r="Y9728" s="4"/>
    </row>
    <row r="9729" spans="20:25" x14ac:dyDescent="0.25">
      <c r="T9729" s="10"/>
      <c r="U9729" s="4"/>
      <c r="V9729" s="4"/>
      <c r="X9729" s="4"/>
      <c r="Y9729" s="4"/>
    </row>
    <row r="9730" spans="20:25" x14ac:dyDescent="0.25">
      <c r="T9730" s="10"/>
      <c r="U9730" s="4"/>
      <c r="V9730" s="4"/>
      <c r="X9730" s="4"/>
      <c r="Y9730" s="4"/>
    </row>
    <row r="9731" spans="20:25" x14ac:dyDescent="0.25">
      <c r="T9731" s="10"/>
      <c r="U9731" s="4"/>
      <c r="V9731" s="4"/>
      <c r="X9731" s="4"/>
      <c r="Y9731" s="4"/>
    </row>
    <row r="9732" spans="20:25" x14ac:dyDescent="0.25">
      <c r="T9732" s="10"/>
      <c r="U9732" s="4"/>
      <c r="V9732" s="4"/>
      <c r="X9732" s="4"/>
      <c r="Y9732" s="4"/>
    </row>
    <row r="9733" spans="20:25" x14ac:dyDescent="0.25">
      <c r="T9733" s="10"/>
      <c r="U9733" s="4"/>
      <c r="V9733" s="4"/>
      <c r="X9733" s="4"/>
      <c r="Y9733" s="4"/>
    </row>
    <row r="9734" spans="20:25" x14ac:dyDescent="0.25">
      <c r="T9734" s="10"/>
      <c r="U9734" s="4"/>
      <c r="V9734" s="4"/>
      <c r="X9734" s="4"/>
      <c r="Y9734" s="4"/>
    </row>
    <row r="9735" spans="20:25" x14ac:dyDescent="0.25">
      <c r="T9735" s="10"/>
      <c r="U9735" s="4"/>
      <c r="V9735" s="4"/>
      <c r="X9735" s="4"/>
      <c r="Y9735" s="4"/>
    </row>
    <row r="9736" spans="20:25" x14ac:dyDescent="0.25">
      <c r="T9736" s="10"/>
      <c r="U9736" s="4"/>
      <c r="V9736" s="4"/>
      <c r="X9736" s="4"/>
      <c r="Y9736" s="4"/>
    </row>
    <row r="9737" spans="20:25" x14ac:dyDescent="0.25">
      <c r="T9737" s="10"/>
      <c r="U9737" s="4"/>
      <c r="V9737" s="4"/>
      <c r="X9737" s="4"/>
      <c r="Y9737" s="4"/>
    </row>
    <row r="9738" spans="20:25" x14ac:dyDescent="0.25">
      <c r="T9738" s="10"/>
      <c r="U9738" s="4"/>
      <c r="V9738" s="4"/>
      <c r="X9738" s="4"/>
      <c r="Y9738" s="4"/>
    </row>
    <row r="9739" spans="20:25" x14ac:dyDescent="0.25">
      <c r="T9739" s="10"/>
      <c r="U9739" s="4"/>
      <c r="V9739" s="4"/>
      <c r="X9739" s="4"/>
      <c r="Y9739" s="4"/>
    </row>
    <row r="9740" spans="20:25" x14ac:dyDescent="0.25">
      <c r="T9740" s="10"/>
      <c r="U9740" s="4"/>
      <c r="V9740" s="4"/>
      <c r="X9740" s="4"/>
      <c r="Y9740" s="4"/>
    </row>
    <row r="9741" spans="20:25" x14ac:dyDescent="0.25">
      <c r="T9741" s="10"/>
      <c r="U9741" s="4"/>
      <c r="V9741" s="4"/>
      <c r="X9741" s="4"/>
      <c r="Y9741" s="4"/>
    </row>
    <row r="9742" spans="20:25" x14ac:dyDescent="0.25">
      <c r="T9742" s="10"/>
      <c r="U9742" s="4"/>
      <c r="V9742" s="4"/>
      <c r="X9742" s="4"/>
      <c r="Y9742" s="4"/>
    </row>
    <row r="9743" spans="20:25" x14ac:dyDescent="0.25">
      <c r="T9743" s="10"/>
      <c r="U9743" s="4"/>
      <c r="V9743" s="4"/>
      <c r="X9743" s="4"/>
      <c r="Y9743" s="4"/>
    </row>
    <row r="9744" spans="20:25" x14ac:dyDescent="0.25">
      <c r="T9744" s="10"/>
      <c r="U9744" s="4"/>
      <c r="V9744" s="4"/>
      <c r="X9744" s="4"/>
      <c r="Y9744" s="4"/>
    </row>
    <row r="9745" spans="20:25" x14ac:dyDescent="0.25">
      <c r="T9745" s="10"/>
      <c r="U9745" s="4"/>
      <c r="V9745" s="4"/>
      <c r="X9745" s="4"/>
      <c r="Y9745" s="4"/>
    </row>
    <row r="9746" spans="20:25" x14ac:dyDescent="0.25">
      <c r="T9746" s="10"/>
      <c r="U9746" s="4"/>
      <c r="V9746" s="4"/>
      <c r="X9746" s="4"/>
      <c r="Y9746" s="4"/>
    </row>
    <row r="9747" spans="20:25" x14ac:dyDescent="0.25">
      <c r="T9747" s="10"/>
      <c r="U9747" s="4"/>
      <c r="V9747" s="4"/>
      <c r="X9747" s="4"/>
      <c r="Y9747" s="4"/>
    </row>
    <row r="9748" spans="20:25" x14ac:dyDescent="0.25">
      <c r="T9748" s="10"/>
      <c r="U9748" s="4"/>
      <c r="V9748" s="4"/>
      <c r="X9748" s="4"/>
      <c r="Y9748" s="4"/>
    </row>
    <row r="9749" spans="20:25" x14ac:dyDescent="0.25">
      <c r="T9749" s="10"/>
      <c r="U9749" s="4"/>
      <c r="V9749" s="4"/>
      <c r="X9749" s="4"/>
      <c r="Y9749" s="4"/>
    </row>
    <row r="9750" spans="20:25" x14ac:dyDescent="0.25">
      <c r="T9750" s="10"/>
      <c r="U9750" s="4"/>
      <c r="V9750" s="4"/>
      <c r="X9750" s="4"/>
      <c r="Y9750" s="4"/>
    </row>
    <row r="9751" spans="20:25" x14ac:dyDescent="0.25">
      <c r="T9751" s="10"/>
      <c r="U9751" s="4"/>
      <c r="V9751" s="4"/>
      <c r="X9751" s="4"/>
      <c r="Y9751" s="4"/>
    </row>
    <row r="9752" spans="20:25" x14ac:dyDescent="0.25">
      <c r="T9752" s="10"/>
      <c r="U9752" s="4"/>
      <c r="V9752" s="4"/>
      <c r="X9752" s="4"/>
      <c r="Y9752" s="4"/>
    </row>
    <row r="9753" spans="20:25" x14ac:dyDescent="0.25">
      <c r="T9753" s="10"/>
      <c r="U9753" s="4"/>
      <c r="V9753" s="4"/>
      <c r="X9753" s="4"/>
      <c r="Y9753" s="4"/>
    </row>
    <row r="9754" spans="20:25" x14ac:dyDescent="0.25">
      <c r="T9754" s="10"/>
      <c r="U9754" s="4"/>
      <c r="V9754" s="4"/>
      <c r="X9754" s="4"/>
      <c r="Y9754" s="4"/>
    </row>
    <row r="9755" spans="20:25" x14ac:dyDescent="0.25">
      <c r="T9755" s="10"/>
      <c r="U9755" s="4"/>
      <c r="V9755" s="4"/>
      <c r="X9755" s="4"/>
      <c r="Y9755" s="4"/>
    </row>
    <row r="9756" spans="20:25" x14ac:dyDescent="0.25">
      <c r="T9756" s="10"/>
      <c r="U9756" s="4"/>
      <c r="V9756" s="4"/>
      <c r="X9756" s="4"/>
      <c r="Y9756" s="4"/>
    </row>
    <row r="9757" spans="20:25" x14ac:dyDescent="0.25">
      <c r="T9757" s="10"/>
      <c r="U9757" s="4"/>
      <c r="V9757" s="4"/>
      <c r="X9757" s="4"/>
      <c r="Y9757" s="4"/>
    </row>
    <row r="9758" spans="20:25" x14ac:dyDescent="0.25">
      <c r="T9758" s="10"/>
      <c r="U9758" s="4"/>
      <c r="V9758" s="4"/>
      <c r="X9758" s="4"/>
      <c r="Y9758" s="4"/>
    </row>
    <row r="9759" spans="20:25" x14ac:dyDescent="0.25">
      <c r="T9759" s="10"/>
      <c r="U9759" s="4"/>
      <c r="V9759" s="4"/>
      <c r="X9759" s="4"/>
      <c r="Y9759" s="4"/>
    </row>
    <row r="9760" spans="20:25" x14ac:dyDescent="0.25">
      <c r="T9760" s="10"/>
      <c r="U9760" s="4"/>
      <c r="V9760" s="4"/>
      <c r="X9760" s="4"/>
      <c r="Y9760" s="4"/>
    </row>
    <row r="9761" spans="20:25" x14ac:dyDescent="0.25">
      <c r="T9761" s="10"/>
      <c r="U9761" s="4"/>
      <c r="V9761" s="4"/>
      <c r="X9761" s="4"/>
      <c r="Y9761" s="4"/>
    </row>
    <row r="9762" spans="20:25" x14ac:dyDescent="0.25">
      <c r="T9762" s="10"/>
      <c r="U9762" s="4"/>
      <c r="V9762" s="4"/>
      <c r="X9762" s="4"/>
      <c r="Y9762" s="4"/>
    </row>
    <row r="9763" spans="20:25" x14ac:dyDescent="0.25">
      <c r="T9763" s="10"/>
      <c r="U9763" s="4"/>
      <c r="V9763" s="4"/>
      <c r="X9763" s="4"/>
      <c r="Y9763" s="4"/>
    </row>
    <row r="9764" spans="20:25" x14ac:dyDescent="0.25">
      <c r="T9764" s="10"/>
      <c r="U9764" s="4"/>
      <c r="V9764" s="4"/>
      <c r="X9764" s="4"/>
      <c r="Y9764" s="4"/>
    </row>
    <row r="9765" spans="20:25" x14ac:dyDescent="0.25">
      <c r="T9765" s="10"/>
      <c r="U9765" s="4"/>
      <c r="V9765" s="4"/>
      <c r="X9765" s="4"/>
      <c r="Y9765" s="4"/>
    </row>
    <row r="9766" spans="20:25" x14ac:dyDescent="0.25">
      <c r="T9766" s="10"/>
      <c r="U9766" s="4"/>
      <c r="V9766" s="4"/>
      <c r="X9766" s="4"/>
      <c r="Y9766" s="4"/>
    </row>
    <row r="9767" spans="20:25" x14ac:dyDescent="0.25">
      <c r="T9767" s="10"/>
      <c r="U9767" s="4"/>
      <c r="V9767" s="4"/>
      <c r="X9767" s="4"/>
      <c r="Y9767" s="4"/>
    </row>
    <row r="9768" spans="20:25" x14ac:dyDescent="0.25">
      <c r="T9768" s="10"/>
      <c r="U9768" s="4"/>
      <c r="V9768" s="4"/>
      <c r="X9768" s="4"/>
      <c r="Y9768" s="4"/>
    </row>
    <row r="9769" spans="20:25" x14ac:dyDescent="0.25">
      <c r="T9769" s="10"/>
      <c r="U9769" s="4"/>
      <c r="V9769" s="4"/>
      <c r="X9769" s="4"/>
      <c r="Y9769" s="4"/>
    </row>
    <row r="9770" spans="20:25" x14ac:dyDescent="0.25">
      <c r="T9770" s="10"/>
      <c r="U9770" s="4"/>
      <c r="V9770" s="4"/>
      <c r="X9770" s="4"/>
      <c r="Y9770" s="4"/>
    </row>
    <row r="9771" spans="20:25" x14ac:dyDescent="0.25">
      <c r="T9771" s="10"/>
      <c r="U9771" s="4"/>
      <c r="V9771" s="4"/>
      <c r="X9771" s="4"/>
      <c r="Y9771" s="4"/>
    </row>
    <row r="9772" spans="20:25" x14ac:dyDescent="0.25">
      <c r="T9772" s="10"/>
      <c r="U9772" s="4"/>
      <c r="V9772" s="4"/>
      <c r="X9772" s="4"/>
      <c r="Y9772" s="4"/>
    </row>
    <row r="9773" spans="20:25" x14ac:dyDescent="0.25">
      <c r="T9773" s="10"/>
      <c r="U9773" s="4"/>
      <c r="V9773" s="4"/>
      <c r="X9773" s="4"/>
      <c r="Y9773" s="4"/>
    </row>
    <row r="9774" spans="20:25" x14ac:dyDescent="0.25">
      <c r="T9774" s="10"/>
      <c r="U9774" s="4"/>
      <c r="V9774" s="4"/>
      <c r="X9774" s="4"/>
      <c r="Y9774" s="4"/>
    </row>
    <row r="9775" spans="20:25" x14ac:dyDescent="0.25">
      <c r="T9775" s="10"/>
      <c r="U9775" s="4"/>
      <c r="V9775" s="4"/>
      <c r="X9775" s="4"/>
      <c r="Y9775" s="4"/>
    </row>
    <row r="9776" spans="20:25" x14ac:dyDescent="0.25">
      <c r="T9776" s="10"/>
      <c r="U9776" s="4"/>
      <c r="V9776" s="4"/>
      <c r="X9776" s="4"/>
      <c r="Y9776" s="4"/>
    </row>
    <row r="9777" spans="20:25" x14ac:dyDescent="0.25">
      <c r="T9777" s="10"/>
      <c r="U9777" s="4"/>
      <c r="V9777" s="4"/>
      <c r="X9777" s="4"/>
      <c r="Y9777" s="4"/>
    </row>
    <row r="9778" spans="20:25" x14ac:dyDescent="0.25">
      <c r="T9778" s="10"/>
      <c r="U9778" s="4"/>
      <c r="V9778" s="4"/>
      <c r="X9778" s="4"/>
      <c r="Y9778" s="4"/>
    </row>
    <row r="9779" spans="20:25" x14ac:dyDescent="0.25">
      <c r="T9779" s="10"/>
      <c r="U9779" s="4"/>
      <c r="V9779" s="4"/>
      <c r="X9779" s="4"/>
      <c r="Y9779" s="4"/>
    </row>
    <row r="9780" spans="20:25" x14ac:dyDescent="0.25">
      <c r="T9780" s="10"/>
      <c r="U9780" s="4"/>
      <c r="V9780" s="4"/>
      <c r="X9780" s="4"/>
      <c r="Y9780" s="4"/>
    </row>
    <row r="9781" spans="20:25" x14ac:dyDescent="0.25">
      <c r="T9781" s="10"/>
      <c r="U9781" s="4"/>
      <c r="V9781" s="4"/>
      <c r="X9781" s="4"/>
      <c r="Y9781" s="4"/>
    </row>
    <row r="9782" spans="20:25" x14ac:dyDescent="0.25">
      <c r="T9782" s="10"/>
      <c r="U9782" s="4"/>
      <c r="V9782" s="4"/>
      <c r="X9782" s="4"/>
      <c r="Y9782" s="4"/>
    </row>
    <row r="9783" spans="20:25" x14ac:dyDescent="0.25">
      <c r="T9783" s="10"/>
      <c r="U9783" s="4"/>
      <c r="V9783" s="4"/>
      <c r="X9783" s="4"/>
      <c r="Y9783" s="4"/>
    </row>
    <row r="9784" spans="20:25" x14ac:dyDescent="0.25">
      <c r="T9784" s="10"/>
      <c r="U9784" s="4"/>
      <c r="V9784" s="4"/>
      <c r="X9784" s="4"/>
      <c r="Y9784" s="4"/>
    </row>
    <row r="9785" spans="20:25" x14ac:dyDescent="0.25">
      <c r="T9785" s="10"/>
      <c r="U9785" s="4"/>
      <c r="V9785" s="4"/>
      <c r="X9785" s="4"/>
      <c r="Y9785" s="4"/>
    </row>
    <row r="9786" spans="20:25" x14ac:dyDescent="0.25">
      <c r="T9786" s="10"/>
      <c r="U9786" s="4"/>
      <c r="V9786" s="4"/>
      <c r="X9786" s="4"/>
      <c r="Y9786" s="4"/>
    </row>
    <row r="9787" spans="20:25" x14ac:dyDescent="0.25">
      <c r="T9787" s="10"/>
      <c r="U9787" s="4"/>
      <c r="V9787" s="4"/>
      <c r="X9787" s="4"/>
      <c r="Y9787" s="4"/>
    </row>
    <row r="9788" spans="20:25" x14ac:dyDescent="0.25">
      <c r="T9788" s="10"/>
      <c r="U9788" s="4"/>
      <c r="V9788" s="4"/>
      <c r="X9788" s="4"/>
      <c r="Y9788" s="4"/>
    </row>
    <row r="9789" spans="20:25" x14ac:dyDescent="0.25">
      <c r="T9789" s="10"/>
      <c r="U9789" s="4"/>
      <c r="V9789" s="4"/>
      <c r="X9789" s="4"/>
      <c r="Y9789" s="4"/>
    </row>
    <row r="9790" spans="20:25" x14ac:dyDescent="0.25">
      <c r="T9790" s="10"/>
      <c r="U9790" s="4"/>
      <c r="V9790" s="4"/>
      <c r="X9790" s="4"/>
      <c r="Y9790" s="4"/>
    </row>
    <row r="9791" spans="20:25" x14ac:dyDescent="0.25">
      <c r="T9791" s="10"/>
      <c r="U9791" s="4"/>
      <c r="V9791" s="4"/>
      <c r="X9791" s="4"/>
      <c r="Y9791" s="4"/>
    </row>
    <row r="9792" spans="20:25" x14ac:dyDescent="0.25">
      <c r="T9792" s="10"/>
      <c r="U9792" s="4"/>
      <c r="V9792" s="4"/>
      <c r="X9792" s="4"/>
      <c r="Y9792" s="4"/>
    </row>
    <row r="9793" spans="20:25" x14ac:dyDescent="0.25">
      <c r="T9793" s="10"/>
      <c r="U9793" s="4"/>
      <c r="V9793" s="4"/>
      <c r="X9793" s="4"/>
      <c r="Y9793" s="4"/>
    </row>
    <row r="9794" spans="20:25" x14ac:dyDescent="0.25">
      <c r="T9794" s="10"/>
      <c r="U9794" s="4"/>
      <c r="V9794" s="4"/>
      <c r="X9794" s="4"/>
      <c r="Y9794" s="4"/>
    </row>
    <row r="9795" spans="20:25" x14ac:dyDescent="0.25">
      <c r="T9795" s="10"/>
      <c r="U9795" s="4"/>
      <c r="V9795" s="4"/>
      <c r="X9795" s="4"/>
      <c r="Y9795" s="4"/>
    </row>
    <row r="9796" spans="20:25" x14ac:dyDescent="0.25">
      <c r="T9796" s="10"/>
      <c r="U9796" s="4"/>
      <c r="V9796" s="4"/>
      <c r="X9796" s="4"/>
      <c r="Y9796" s="4"/>
    </row>
    <row r="9797" spans="20:25" x14ac:dyDescent="0.25">
      <c r="T9797" s="10"/>
      <c r="U9797" s="4"/>
      <c r="V9797" s="4"/>
      <c r="X9797" s="4"/>
      <c r="Y9797" s="4"/>
    </row>
    <row r="9798" spans="20:25" x14ac:dyDescent="0.25">
      <c r="T9798" s="10"/>
      <c r="U9798" s="4"/>
      <c r="V9798" s="4"/>
      <c r="X9798" s="4"/>
      <c r="Y9798" s="4"/>
    </row>
    <row r="9799" spans="20:25" x14ac:dyDescent="0.25">
      <c r="T9799" s="10"/>
      <c r="U9799" s="4"/>
      <c r="V9799" s="4"/>
      <c r="X9799" s="4"/>
      <c r="Y9799" s="4"/>
    </row>
    <row r="9800" spans="20:25" x14ac:dyDescent="0.25">
      <c r="T9800" s="10"/>
      <c r="U9800" s="4"/>
      <c r="V9800" s="4"/>
      <c r="X9800" s="4"/>
      <c r="Y9800" s="4"/>
    </row>
    <row r="9801" spans="20:25" x14ac:dyDescent="0.25">
      <c r="T9801" s="10"/>
      <c r="U9801" s="4"/>
      <c r="V9801" s="4"/>
      <c r="X9801" s="4"/>
      <c r="Y9801" s="4"/>
    </row>
    <row r="9802" spans="20:25" x14ac:dyDescent="0.25">
      <c r="T9802" s="10"/>
      <c r="U9802" s="4"/>
      <c r="V9802" s="4"/>
      <c r="X9802" s="4"/>
      <c r="Y9802" s="4"/>
    </row>
    <row r="9803" spans="20:25" x14ac:dyDescent="0.25">
      <c r="T9803" s="10"/>
      <c r="U9803" s="4"/>
      <c r="V9803" s="4"/>
      <c r="X9803" s="4"/>
      <c r="Y9803" s="4"/>
    </row>
    <row r="9804" spans="20:25" x14ac:dyDescent="0.25">
      <c r="T9804" s="10"/>
      <c r="U9804" s="4"/>
      <c r="V9804" s="4"/>
      <c r="X9804" s="4"/>
      <c r="Y9804" s="4"/>
    </row>
    <row r="9805" spans="20:25" x14ac:dyDescent="0.25">
      <c r="T9805" s="10"/>
      <c r="U9805" s="4"/>
      <c r="V9805" s="4"/>
      <c r="X9805" s="4"/>
      <c r="Y9805" s="4"/>
    </row>
    <row r="9806" spans="20:25" x14ac:dyDescent="0.25">
      <c r="T9806" s="10"/>
      <c r="U9806" s="4"/>
      <c r="V9806" s="4"/>
      <c r="X9806" s="4"/>
      <c r="Y9806" s="4"/>
    </row>
    <row r="9807" spans="20:25" x14ac:dyDescent="0.25">
      <c r="T9807" s="10"/>
      <c r="U9807" s="4"/>
      <c r="V9807" s="4"/>
      <c r="X9807" s="4"/>
      <c r="Y9807" s="4"/>
    </row>
    <row r="9808" spans="20:25" x14ac:dyDescent="0.25">
      <c r="T9808" s="10"/>
      <c r="U9808" s="4"/>
      <c r="V9808" s="4"/>
      <c r="X9808" s="4"/>
      <c r="Y9808" s="4"/>
    </row>
    <row r="9809" spans="20:25" x14ac:dyDescent="0.25">
      <c r="T9809" s="10"/>
      <c r="U9809" s="4"/>
      <c r="V9809" s="4"/>
      <c r="X9809" s="4"/>
      <c r="Y9809" s="4"/>
    </row>
    <row r="9810" spans="20:25" x14ac:dyDescent="0.25">
      <c r="T9810" s="10"/>
      <c r="U9810" s="4"/>
      <c r="V9810" s="4"/>
      <c r="X9810" s="4"/>
      <c r="Y9810" s="4"/>
    </row>
    <row r="9811" spans="20:25" x14ac:dyDescent="0.25">
      <c r="T9811" s="10"/>
      <c r="U9811" s="4"/>
      <c r="V9811" s="4"/>
      <c r="X9811" s="4"/>
      <c r="Y9811" s="4"/>
    </row>
    <row r="9812" spans="20:25" x14ac:dyDescent="0.25">
      <c r="T9812" s="10"/>
      <c r="U9812" s="4"/>
      <c r="V9812" s="4"/>
      <c r="X9812" s="4"/>
      <c r="Y9812" s="4"/>
    </row>
    <row r="9813" spans="20:25" x14ac:dyDescent="0.25">
      <c r="T9813" s="10"/>
      <c r="U9813" s="4"/>
      <c r="V9813" s="4"/>
      <c r="X9813" s="4"/>
      <c r="Y9813" s="4"/>
    </row>
    <row r="9814" spans="20:25" x14ac:dyDescent="0.25">
      <c r="T9814" s="10"/>
      <c r="U9814" s="4"/>
      <c r="V9814" s="4"/>
      <c r="X9814" s="4"/>
      <c r="Y9814" s="4"/>
    </row>
    <row r="9815" spans="20:25" x14ac:dyDescent="0.25">
      <c r="T9815" s="10"/>
      <c r="U9815" s="4"/>
      <c r="V9815" s="4"/>
      <c r="X9815" s="4"/>
      <c r="Y9815" s="4"/>
    </row>
    <row r="9816" spans="20:25" x14ac:dyDescent="0.25">
      <c r="T9816" s="10"/>
      <c r="U9816" s="4"/>
      <c r="V9816" s="4"/>
      <c r="X9816" s="4"/>
      <c r="Y9816" s="4"/>
    </row>
    <row r="9817" spans="20:25" x14ac:dyDescent="0.25">
      <c r="T9817" s="10"/>
      <c r="U9817" s="4"/>
      <c r="V9817" s="4"/>
      <c r="X9817" s="4"/>
      <c r="Y9817" s="4"/>
    </row>
    <row r="9818" spans="20:25" x14ac:dyDescent="0.25">
      <c r="T9818" s="10"/>
      <c r="U9818" s="4"/>
      <c r="V9818" s="4"/>
      <c r="X9818" s="4"/>
      <c r="Y9818" s="4"/>
    </row>
    <row r="9819" spans="20:25" x14ac:dyDescent="0.25">
      <c r="T9819" s="10"/>
      <c r="U9819" s="4"/>
      <c r="V9819" s="4"/>
      <c r="X9819" s="4"/>
      <c r="Y9819" s="4"/>
    </row>
    <row r="9820" spans="20:25" x14ac:dyDescent="0.25">
      <c r="T9820" s="10"/>
      <c r="U9820" s="4"/>
      <c r="V9820" s="4"/>
      <c r="X9820" s="4"/>
      <c r="Y9820" s="4"/>
    </row>
    <row r="9821" spans="20:25" x14ac:dyDescent="0.25">
      <c r="T9821" s="10"/>
      <c r="U9821" s="4"/>
      <c r="V9821" s="4"/>
      <c r="X9821" s="4"/>
      <c r="Y9821" s="4"/>
    </row>
    <row r="9822" spans="20:25" x14ac:dyDescent="0.25">
      <c r="T9822" s="10"/>
      <c r="U9822" s="4"/>
      <c r="V9822" s="4"/>
      <c r="X9822" s="4"/>
      <c r="Y9822" s="4"/>
    </row>
    <row r="9823" spans="20:25" x14ac:dyDescent="0.25">
      <c r="T9823" s="10"/>
      <c r="U9823" s="4"/>
      <c r="V9823" s="4"/>
      <c r="X9823" s="4"/>
      <c r="Y9823" s="4"/>
    </row>
    <row r="9824" spans="20:25" x14ac:dyDescent="0.25">
      <c r="T9824" s="10"/>
      <c r="U9824" s="4"/>
      <c r="V9824" s="4"/>
      <c r="X9824" s="4"/>
      <c r="Y9824" s="4"/>
    </row>
    <row r="9825" spans="20:25" x14ac:dyDescent="0.25">
      <c r="T9825" s="10"/>
      <c r="U9825" s="4"/>
      <c r="V9825" s="4"/>
      <c r="X9825" s="4"/>
      <c r="Y9825" s="4"/>
    </row>
    <row r="9826" spans="20:25" x14ac:dyDescent="0.25">
      <c r="T9826" s="10"/>
      <c r="U9826" s="4"/>
      <c r="V9826" s="4"/>
      <c r="X9826" s="4"/>
      <c r="Y9826" s="4"/>
    </row>
    <row r="9827" spans="20:25" x14ac:dyDescent="0.25">
      <c r="T9827" s="10"/>
      <c r="U9827" s="4"/>
      <c r="V9827" s="4"/>
      <c r="X9827" s="4"/>
      <c r="Y9827" s="4"/>
    </row>
    <row r="9828" spans="20:25" x14ac:dyDescent="0.25">
      <c r="T9828" s="10"/>
      <c r="U9828" s="4"/>
      <c r="V9828" s="4"/>
      <c r="X9828" s="4"/>
      <c r="Y9828" s="4"/>
    </row>
    <row r="9829" spans="20:25" x14ac:dyDescent="0.25">
      <c r="T9829" s="10"/>
      <c r="U9829" s="4"/>
      <c r="V9829" s="4"/>
      <c r="X9829" s="4"/>
      <c r="Y9829" s="4"/>
    </row>
    <row r="9830" spans="20:25" x14ac:dyDescent="0.25">
      <c r="T9830" s="10"/>
      <c r="U9830" s="4"/>
      <c r="V9830" s="4"/>
      <c r="X9830" s="4"/>
      <c r="Y9830" s="4"/>
    </row>
    <row r="9831" spans="20:25" x14ac:dyDescent="0.25">
      <c r="T9831" s="10"/>
      <c r="U9831" s="4"/>
      <c r="V9831" s="4"/>
      <c r="X9831" s="4"/>
      <c r="Y9831" s="4"/>
    </row>
    <row r="9832" spans="20:25" x14ac:dyDescent="0.25">
      <c r="T9832" s="10"/>
      <c r="U9832" s="4"/>
      <c r="V9832" s="4"/>
      <c r="X9832" s="4"/>
      <c r="Y9832" s="4"/>
    </row>
    <row r="9833" spans="20:25" x14ac:dyDescent="0.25">
      <c r="T9833" s="10"/>
      <c r="U9833" s="4"/>
      <c r="V9833" s="4"/>
      <c r="X9833" s="4"/>
      <c r="Y9833" s="4"/>
    </row>
    <row r="9834" spans="20:25" x14ac:dyDescent="0.25">
      <c r="T9834" s="10"/>
      <c r="U9834" s="4"/>
      <c r="V9834" s="4"/>
      <c r="X9834" s="4"/>
      <c r="Y9834" s="4"/>
    </row>
    <row r="9835" spans="20:25" x14ac:dyDescent="0.25">
      <c r="T9835" s="10"/>
      <c r="U9835" s="4"/>
      <c r="V9835" s="4"/>
      <c r="X9835" s="4"/>
      <c r="Y9835" s="4"/>
    </row>
    <row r="9836" spans="20:25" x14ac:dyDescent="0.25">
      <c r="T9836" s="10"/>
      <c r="U9836" s="4"/>
      <c r="V9836" s="4"/>
      <c r="X9836" s="4"/>
      <c r="Y9836" s="4"/>
    </row>
    <row r="9837" spans="20:25" x14ac:dyDescent="0.25">
      <c r="T9837" s="10"/>
      <c r="U9837" s="4"/>
      <c r="V9837" s="4"/>
      <c r="X9837" s="4"/>
      <c r="Y9837" s="4"/>
    </row>
    <row r="9838" spans="20:25" x14ac:dyDescent="0.25">
      <c r="T9838" s="10"/>
      <c r="U9838" s="4"/>
      <c r="V9838" s="4"/>
      <c r="X9838" s="4"/>
      <c r="Y9838" s="4"/>
    </row>
    <row r="9839" spans="20:25" x14ac:dyDescent="0.25">
      <c r="T9839" s="10"/>
      <c r="U9839" s="4"/>
      <c r="V9839" s="4"/>
      <c r="X9839" s="4"/>
      <c r="Y9839" s="4"/>
    </row>
    <row r="9840" spans="20:25" x14ac:dyDescent="0.25">
      <c r="T9840" s="10"/>
      <c r="U9840" s="4"/>
      <c r="V9840" s="4"/>
      <c r="X9840" s="4"/>
      <c r="Y9840" s="4"/>
    </row>
    <row r="9841" spans="20:25" x14ac:dyDescent="0.25">
      <c r="T9841" s="10"/>
      <c r="U9841" s="4"/>
      <c r="V9841" s="4"/>
      <c r="X9841" s="4"/>
      <c r="Y9841" s="4"/>
    </row>
    <row r="9842" spans="20:25" x14ac:dyDescent="0.25">
      <c r="T9842" s="10"/>
      <c r="U9842" s="4"/>
      <c r="V9842" s="4"/>
      <c r="X9842" s="4"/>
      <c r="Y9842" s="4"/>
    </row>
    <row r="9843" spans="20:25" x14ac:dyDescent="0.25">
      <c r="T9843" s="10"/>
      <c r="U9843" s="4"/>
      <c r="V9843" s="4"/>
      <c r="X9843" s="4"/>
      <c r="Y9843" s="4"/>
    </row>
    <row r="9844" spans="20:25" x14ac:dyDescent="0.25">
      <c r="T9844" s="10"/>
      <c r="U9844" s="4"/>
      <c r="V9844" s="4"/>
      <c r="X9844" s="4"/>
      <c r="Y9844" s="4"/>
    </row>
    <row r="9845" spans="20:25" x14ac:dyDescent="0.25">
      <c r="T9845" s="10"/>
      <c r="U9845" s="4"/>
      <c r="V9845" s="4"/>
      <c r="X9845" s="4"/>
      <c r="Y9845" s="4"/>
    </row>
    <row r="9846" spans="20:25" x14ac:dyDescent="0.25">
      <c r="T9846" s="10"/>
      <c r="U9846" s="4"/>
      <c r="V9846" s="4"/>
      <c r="X9846" s="4"/>
      <c r="Y9846" s="4"/>
    </row>
    <row r="9847" spans="20:25" x14ac:dyDescent="0.25">
      <c r="T9847" s="10"/>
      <c r="U9847" s="4"/>
      <c r="V9847" s="4"/>
      <c r="X9847" s="4"/>
      <c r="Y9847" s="4"/>
    </row>
    <row r="9848" spans="20:25" x14ac:dyDescent="0.25">
      <c r="T9848" s="10"/>
      <c r="U9848" s="4"/>
      <c r="V9848" s="4"/>
      <c r="X9848" s="4"/>
      <c r="Y9848" s="4"/>
    </row>
    <row r="9849" spans="20:25" x14ac:dyDescent="0.25">
      <c r="T9849" s="10"/>
      <c r="U9849" s="4"/>
      <c r="V9849" s="4"/>
      <c r="X9849" s="4"/>
      <c r="Y9849" s="4"/>
    </row>
    <row r="9850" spans="20:25" x14ac:dyDescent="0.25">
      <c r="T9850" s="10"/>
      <c r="U9850" s="4"/>
      <c r="V9850" s="4"/>
      <c r="X9850" s="4"/>
      <c r="Y9850" s="4"/>
    </row>
    <row r="9851" spans="20:25" x14ac:dyDescent="0.25">
      <c r="T9851" s="10"/>
      <c r="U9851" s="4"/>
      <c r="V9851" s="4"/>
      <c r="X9851" s="4"/>
      <c r="Y9851" s="4"/>
    </row>
    <row r="9852" spans="20:25" x14ac:dyDescent="0.25">
      <c r="T9852" s="10"/>
      <c r="U9852" s="4"/>
      <c r="V9852" s="4"/>
      <c r="X9852" s="4"/>
      <c r="Y9852" s="4"/>
    </row>
    <row r="9853" spans="20:25" x14ac:dyDescent="0.25">
      <c r="T9853" s="10"/>
      <c r="U9853" s="4"/>
      <c r="V9853" s="4"/>
      <c r="X9853" s="4"/>
      <c r="Y9853" s="4"/>
    </row>
    <row r="9854" spans="20:25" x14ac:dyDescent="0.25">
      <c r="T9854" s="10"/>
      <c r="U9854" s="4"/>
      <c r="V9854" s="4"/>
      <c r="X9854" s="4"/>
      <c r="Y9854" s="4"/>
    </row>
    <row r="9855" spans="20:25" x14ac:dyDescent="0.25">
      <c r="T9855" s="10"/>
      <c r="U9855" s="4"/>
      <c r="V9855" s="4"/>
      <c r="X9855" s="4"/>
      <c r="Y9855" s="4"/>
    </row>
    <row r="9856" spans="20:25" x14ac:dyDescent="0.25">
      <c r="T9856" s="10"/>
      <c r="U9856" s="4"/>
      <c r="V9856" s="4"/>
      <c r="X9856" s="4"/>
      <c r="Y9856" s="4"/>
    </row>
    <row r="9857" spans="20:25" x14ac:dyDescent="0.25">
      <c r="T9857" s="10"/>
      <c r="U9857" s="4"/>
      <c r="V9857" s="4"/>
      <c r="X9857" s="4"/>
      <c r="Y9857" s="4"/>
    </row>
    <row r="9858" spans="20:25" x14ac:dyDescent="0.25">
      <c r="T9858" s="10"/>
      <c r="U9858" s="4"/>
      <c r="V9858" s="4"/>
      <c r="X9858" s="4"/>
      <c r="Y9858" s="4"/>
    </row>
    <row r="9859" spans="20:25" x14ac:dyDescent="0.25">
      <c r="T9859" s="10"/>
      <c r="U9859" s="4"/>
      <c r="V9859" s="4"/>
      <c r="X9859" s="4"/>
      <c r="Y9859" s="4"/>
    </row>
    <row r="9860" spans="20:25" x14ac:dyDescent="0.25">
      <c r="T9860" s="10"/>
      <c r="U9860" s="4"/>
      <c r="V9860" s="4"/>
      <c r="X9860" s="4"/>
      <c r="Y9860" s="4"/>
    </row>
    <row r="9861" spans="20:25" x14ac:dyDescent="0.25">
      <c r="T9861" s="10"/>
      <c r="U9861" s="4"/>
      <c r="V9861" s="4"/>
      <c r="X9861" s="4"/>
      <c r="Y9861" s="4"/>
    </row>
    <row r="9862" spans="20:25" x14ac:dyDescent="0.25">
      <c r="T9862" s="10"/>
      <c r="U9862" s="4"/>
      <c r="V9862" s="4"/>
      <c r="X9862" s="4"/>
      <c r="Y9862" s="4"/>
    </row>
    <row r="9863" spans="20:25" x14ac:dyDescent="0.25">
      <c r="T9863" s="10"/>
      <c r="U9863" s="4"/>
      <c r="V9863" s="4"/>
      <c r="X9863" s="4"/>
      <c r="Y9863" s="4"/>
    </row>
    <row r="9864" spans="20:25" x14ac:dyDescent="0.25">
      <c r="T9864" s="10"/>
      <c r="U9864" s="4"/>
      <c r="V9864" s="4"/>
      <c r="X9864" s="4"/>
      <c r="Y9864" s="4"/>
    </row>
    <row r="9865" spans="20:25" x14ac:dyDescent="0.25">
      <c r="T9865" s="10"/>
      <c r="U9865" s="4"/>
      <c r="V9865" s="4"/>
      <c r="X9865" s="4"/>
      <c r="Y9865" s="4"/>
    </row>
    <row r="9866" spans="20:25" x14ac:dyDescent="0.25">
      <c r="T9866" s="10"/>
      <c r="U9866" s="4"/>
      <c r="V9866" s="4"/>
      <c r="X9866" s="4"/>
      <c r="Y9866" s="4"/>
    </row>
    <row r="9867" spans="20:25" x14ac:dyDescent="0.25">
      <c r="T9867" s="10"/>
      <c r="U9867" s="4"/>
      <c r="V9867" s="4"/>
      <c r="X9867" s="4"/>
      <c r="Y9867" s="4"/>
    </row>
    <row r="9868" spans="20:25" x14ac:dyDescent="0.25">
      <c r="T9868" s="10"/>
      <c r="U9868" s="4"/>
      <c r="V9868" s="4"/>
      <c r="X9868" s="4"/>
      <c r="Y9868" s="4"/>
    </row>
    <row r="9869" spans="20:25" x14ac:dyDescent="0.25">
      <c r="T9869" s="10"/>
      <c r="U9869" s="4"/>
      <c r="V9869" s="4"/>
      <c r="X9869" s="4"/>
      <c r="Y9869" s="4"/>
    </row>
    <row r="9870" spans="20:25" x14ac:dyDescent="0.25">
      <c r="T9870" s="10"/>
      <c r="U9870" s="4"/>
      <c r="V9870" s="4"/>
      <c r="X9870" s="4"/>
      <c r="Y9870" s="4"/>
    </row>
    <row r="9871" spans="20:25" x14ac:dyDescent="0.25">
      <c r="T9871" s="10"/>
      <c r="U9871" s="4"/>
      <c r="V9871" s="4"/>
      <c r="X9871" s="4"/>
      <c r="Y9871" s="4"/>
    </row>
    <row r="9872" spans="20:25" x14ac:dyDescent="0.25">
      <c r="T9872" s="10"/>
      <c r="U9872" s="4"/>
      <c r="V9872" s="4"/>
      <c r="X9872" s="4"/>
      <c r="Y9872" s="4"/>
    </row>
    <row r="9873" spans="20:25" x14ac:dyDescent="0.25">
      <c r="T9873" s="10"/>
      <c r="U9873" s="4"/>
      <c r="V9873" s="4"/>
      <c r="X9873" s="4"/>
      <c r="Y9873" s="4"/>
    </row>
    <row r="9874" spans="20:25" x14ac:dyDescent="0.25">
      <c r="T9874" s="10"/>
      <c r="U9874" s="4"/>
      <c r="V9874" s="4"/>
      <c r="X9874" s="4"/>
      <c r="Y9874" s="4"/>
    </row>
    <row r="9875" spans="20:25" x14ac:dyDescent="0.25">
      <c r="T9875" s="10"/>
      <c r="U9875" s="4"/>
      <c r="V9875" s="4"/>
      <c r="X9875" s="4"/>
      <c r="Y9875" s="4"/>
    </row>
    <row r="9876" spans="20:25" x14ac:dyDescent="0.25">
      <c r="T9876" s="10"/>
      <c r="U9876" s="4"/>
      <c r="V9876" s="4"/>
      <c r="X9876" s="4"/>
      <c r="Y9876" s="4"/>
    </row>
    <row r="9877" spans="20:25" x14ac:dyDescent="0.25">
      <c r="T9877" s="10"/>
      <c r="U9877" s="4"/>
      <c r="V9877" s="4"/>
      <c r="X9877" s="4"/>
      <c r="Y9877" s="4"/>
    </row>
    <row r="9878" spans="20:25" x14ac:dyDescent="0.25">
      <c r="T9878" s="10"/>
      <c r="U9878" s="4"/>
      <c r="V9878" s="4"/>
      <c r="X9878" s="4"/>
      <c r="Y9878" s="4"/>
    </row>
    <row r="9879" spans="20:25" x14ac:dyDescent="0.25">
      <c r="T9879" s="10"/>
      <c r="U9879" s="4"/>
      <c r="V9879" s="4"/>
      <c r="X9879" s="4"/>
      <c r="Y9879" s="4"/>
    </row>
    <row r="9880" spans="20:25" x14ac:dyDescent="0.25">
      <c r="T9880" s="10"/>
      <c r="U9880" s="4"/>
      <c r="V9880" s="4"/>
      <c r="X9880" s="4"/>
      <c r="Y9880" s="4"/>
    </row>
    <row r="9881" spans="20:25" x14ac:dyDescent="0.25">
      <c r="T9881" s="10"/>
      <c r="U9881" s="4"/>
      <c r="V9881" s="4"/>
      <c r="X9881" s="4"/>
      <c r="Y9881" s="4"/>
    </row>
    <row r="9882" spans="20:25" x14ac:dyDescent="0.25">
      <c r="T9882" s="10"/>
      <c r="U9882" s="4"/>
      <c r="V9882" s="4"/>
      <c r="X9882" s="4"/>
      <c r="Y9882" s="4"/>
    </row>
    <row r="9883" spans="20:25" x14ac:dyDescent="0.25">
      <c r="T9883" s="10"/>
      <c r="U9883" s="4"/>
      <c r="V9883" s="4"/>
      <c r="X9883" s="4"/>
      <c r="Y9883" s="4"/>
    </row>
    <row r="9884" spans="20:25" x14ac:dyDescent="0.25">
      <c r="T9884" s="10"/>
      <c r="U9884" s="4"/>
      <c r="V9884" s="4"/>
      <c r="X9884" s="4"/>
      <c r="Y9884" s="4"/>
    </row>
    <row r="9885" spans="20:25" x14ac:dyDescent="0.25">
      <c r="T9885" s="10"/>
      <c r="U9885" s="4"/>
      <c r="V9885" s="4"/>
      <c r="X9885" s="4"/>
      <c r="Y9885" s="4"/>
    </row>
    <row r="9886" spans="20:25" x14ac:dyDescent="0.25">
      <c r="T9886" s="10"/>
      <c r="U9886" s="4"/>
      <c r="V9886" s="4"/>
      <c r="X9886" s="4"/>
      <c r="Y9886" s="4"/>
    </row>
    <row r="9887" spans="20:25" x14ac:dyDescent="0.25">
      <c r="T9887" s="10"/>
      <c r="U9887" s="4"/>
      <c r="V9887" s="4"/>
      <c r="X9887" s="4"/>
      <c r="Y9887" s="4"/>
    </row>
    <row r="9888" spans="20:25" x14ac:dyDescent="0.25">
      <c r="T9888" s="10"/>
      <c r="U9888" s="4"/>
      <c r="V9888" s="4"/>
      <c r="X9888" s="4"/>
      <c r="Y9888" s="4"/>
    </row>
    <row r="9889" spans="20:25" x14ac:dyDescent="0.25">
      <c r="T9889" s="10"/>
      <c r="U9889" s="4"/>
      <c r="V9889" s="4"/>
      <c r="X9889" s="4"/>
      <c r="Y9889" s="4"/>
    </row>
    <row r="9890" spans="20:25" x14ac:dyDescent="0.25">
      <c r="T9890" s="10"/>
      <c r="U9890" s="4"/>
      <c r="V9890" s="4"/>
      <c r="X9890" s="4"/>
      <c r="Y9890" s="4"/>
    </row>
    <row r="9891" spans="20:25" x14ac:dyDescent="0.25">
      <c r="T9891" s="10"/>
      <c r="U9891" s="4"/>
      <c r="V9891" s="4"/>
      <c r="X9891" s="4"/>
      <c r="Y9891" s="4"/>
    </row>
    <row r="9892" spans="20:25" x14ac:dyDescent="0.25">
      <c r="T9892" s="10"/>
      <c r="U9892" s="4"/>
      <c r="V9892" s="4"/>
      <c r="X9892" s="4"/>
      <c r="Y9892" s="4"/>
    </row>
    <row r="9893" spans="20:25" x14ac:dyDescent="0.25">
      <c r="T9893" s="10"/>
      <c r="U9893" s="4"/>
      <c r="V9893" s="4"/>
      <c r="X9893" s="4"/>
      <c r="Y9893" s="4"/>
    </row>
    <row r="9894" spans="20:25" x14ac:dyDescent="0.25">
      <c r="T9894" s="10"/>
      <c r="U9894" s="4"/>
      <c r="V9894" s="4"/>
      <c r="X9894" s="4"/>
      <c r="Y9894" s="4"/>
    </row>
    <row r="9895" spans="20:25" x14ac:dyDescent="0.25">
      <c r="T9895" s="10"/>
      <c r="U9895" s="4"/>
      <c r="V9895" s="4"/>
      <c r="X9895" s="4"/>
      <c r="Y9895" s="4"/>
    </row>
    <row r="9896" spans="20:25" x14ac:dyDescent="0.25">
      <c r="T9896" s="10"/>
      <c r="U9896" s="4"/>
      <c r="V9896" s="4"/>
      <c r="X9896" s="4"/>
      <c r="Y9896" s="4"/>
    </row>
    <row r="9897" spans="20:25" x14ac:dyDescent="0.25">
      <c r="T9897" s="10"/>
      <c r="U9897" s="4"/>
      <c r="V9897" s="4"/>
      <c r="X9897" s="4"/>
      <c r="Y9897" s="4"/>
    </row>
    <row r="9898" spans="20:25" x14ac:dyDescent="0.25">
      <c r="T9898" s="10"/>
      <c r="U9898" s="4"/>
      <c r="V9898" s="4"/>
      <c r="X9898" s="4"/>
      <c r="Y9898" s="4"/>
    </row>
    <row r="9899" spans="20:25" x14ac:dyDescent="0.25">
      <c r="T9899" s="10"/>
      <c r="U9899" s="4"/>
      <c r="V9899" s="4"/>
      <c r="X9899" s="4"/>
      <c r="Y9899" s="4"/>
    </row>
    <row r="9900" spans="20:25" x14ac:dyDescent="0.25">
      <c r="T9900" s="10"/>
      <c r="U9900" s="4"/>
      <c r="V9900" s="4"/>
      <c r="X9900" s="4"/>
      <c r="Y9900" s="4"/>
    </row>
    <row r="9901" spans="20:25" x14ac:dyDescent="0.25">
      <c r="T9901" s="10"/>
      <c r="U9901" s="4"/>
      <c r="V9901" s="4"/>
      <c r="X9901" s="4"/>
      <c r="Y9901" s="4"/>
    </row>
    <row r="9902" spans="20:25" x14ac:dyDescent="0.25">
      <c r="T9902" s="10"/>
      <c r="U9902" s="4"/>
      <c r="V9902" s="4"/>
      <c r="X9902" s="4"/>
      <c r="Y9902" s="4"/>
    </row>
    <row r="9903" spans="20:25" x14ac:dyDescent="0.25">
      <c r="T9903" s="10"/>
      <c r="U9903" s="4"/>
      <c r="V9903" s="4"/>
      <c r="X9903" s="4"/>
      <c r="Y9903" s="4"/>
    </row>
    <row r="9904" spans="20:25" x14ac:dyDescent="0.25">
      <c r="T9904" s="10"/>
      <c r="U9904" s="4"/>
      <c r="V9904" s="4"/>
      <c r="X9904" s="4"/>
      <c r="Y9904" s="4"/>
    </row>
    <row r="9905" spans="20:25" x14ac:dyDescent="0.25">
      <c r="T9905" s="10"/>
      <c r="U9905" s="4"/>
      <c r="V9905" s="4"/>
      <c r="X9905" s="4"/>
      <c r="Y9905" s="4"/>
    </row>
    <row r="9906" spans="20:25" x14ac:dyDescent="0.25">
      <c r="T9906" s="10"/>
      <c r="U9906" s="4"/>
      <c r="V9906" s="4"/>
      <c r="X9906" s="4"/>
      <c r="Y9906" s="4"/>
    </row>
    <row r="9907" spans="20:25" x14ac:dyDescent="0.25">
      <c r="T9907" s="10"/>
      <c r="U9907" s="4"/>
      <c r="V9907" s="4"/>
      <c r="X9907" s="4"/>
      <c r="Y9907" s="4"/>
    </row>
    <row r="9908" spans="20:25" x14ac:dyDescent="0.25">
      <c r="T9908" s="10"/>
      <c r="U9908" s="4"/>
      <c r="V9908" s="4"/>
      <c r="X9908" s="4"/>
      <c r="Y9908" s="4"/>
    </row>
    <row r="9909" spans="20:25" x14ac:dyDescent="0.25">
      <c r="T9909" s="10"/>
      <c r="U9909" s="4"/>
      <c r="V9909" s="4"/>
      <c r="X9909" s="4"/>
      <c r="Y9909" s="4"/>
    </row>
    <row r="9910" spans="20:25" x14ac:dyDescent="0.25">
      <c r="T9910" s="10"/>
      <c r="U9910" s="4"/>
      <c r="V9910" s="4"/>
      <c r="X9910" s="4"/>
      <c r="Y9910" s="4"/>
    </row>
    <row r="9911" spans="20:25" x14ac:dyDescent="0.25">
      <c r="T9911" s="10"/>
      <c r="U9911" s="4"/>
      <c r="V9911" s="4"/>
      <c r="X9911" s="4"/>
      <c r="Y9911" s="4"/>
    </row>
    <row r="9912" spans="20:25" x14ac:dyDescent="0.25">
      <c r="T9912" s="10"/>
      <c r="U9912" s="4"/>
      <c r="V9912" s="4"/>
      <c r="X9912" s="4"/>
      <c r="Y9912" s="4"/>
    </row>
    <row r="9913" spans="20:25" x14ac:dyDescent="0.25">
      <c r="T9913" s="10"/>
      <c r="U9913" s="4"/>
      <c r="V9913" s="4"/>
      <c r="X9913" s="4"/>
      <c r="Y9913" s="4"/>
    </row>
    <row r="9914" spans="20:25" x14ac:dyDescent="0.25">
      <c r="T9914" s="10"/>
      <c r="U9914" s="4"/>
      <c r="V9914" s="4"/>
      <c r="X9914" s="4"/>
      <c r="Y9914" s="4"/>
    </row>
    <row r="9915" spans="20:25" x14ac:dyDescent="0.25">
      <c r="T9915" s="10"/>
      <c r="U9915" s="4"/>
      <c r="V9915" s="4"/>
      <c r="X9915" s="4"/>
      <c r="Y9915" s="4"/>
    </row>
    <row r="9916" spans="20:25" x14ac:dyDescent="0.25">
      <c r="T9916" s="10"/>
      <c r="U9916" s="4"/>
      <c r="V9916" s="4"/>
      <c r="X9916" s="4"/>
      <c r="Y9916" s="4"/>
    </row>
    <row r="9917" spans="20:25" x14ac:dyDescent="0.25">
      <c r="T9917" s="10"/>
      <c r="U9917" s="4"/>
      <c r="V9917" s="4"/>
      <c r="X9917" s="4"/>
      <c r="Y9917" s="4"/>
    </row>
    <row r="9918" spans="20:25" x14ac:dyDescent="0.25">
      <c r="T9918" s="10"/>
      <c r="U9918" s="4"/>
      <c r="V9918" s="4"/>
      <c r="X9918" s="4"/>
      <c r="Y9918" s="4"/>
    </row>
    <row r="9919" spans="20:25" x14ac:dyDescent="0.25">
      <c r="T9919" s="10"/>
      <c r="U9919" s="4"/>
      <c r="V9919" s="4"/>
      <c r="X9919" s="4"/>
      <c r="Y9919" s="4"/>
    </row>
    <row r="9920" spans="20:25" x14ac:dyDescent="0.25">
      <c r="T9920" s="10"/>
      <c r="U9920" s="4"/>
      <c r="V9920" s="4"/>
      <c r="X9920" s="4"/>
      <c r="Y9920" s="4"/>
    </row>
    <row r="9921" spans="20:25" x14ac:dyDescent="0.25">
      <c r="T9921" s="10"/>
      <c r="U9921" s="4"/>
      <c r="V9921" s="4"/>
      <c r="X9921" s="4"/>
      <c r="Y9921" s="4"/>
    </row>
    <row r="9922" spans="20:25" x14ac:dyDescent="0.25">
      <c r="T9922" s="10"/>
      <c r="U9922" s="4"/>
      <c r="V9922" s="4"/>
      <c r="X9922" s="4"/>
      <c r="Y9922" s="4"/>
    </row>
    <row r="9923" spans="20:25" x14ac:dyDescent="0.25">
      <c r="T9923" s="10"/>
      <c r="U9923" s="4"/>
      <c r="V9923" s="4"/>
      <c r="X9923" s="4"/>
      <c r="Y9923" s="4"/>
    </row>
    <row r="9924" spans="20:25" x14ac:dyDescent="0.25">
      <c r="T9924" s="10"/>
      <c r="U9924" s="4"/>
      <c r="V9924" s="4"/>
      <c r="X9924" s="4"/>
      <c r="Y9924" s="4"/>
    </row>
    <row r="9925" spans="20:25" x14ac:dyDescent="0.25">
      <c r="T9925" s="10"/>
      <c r="U9925" s="4"/>
      <c r="V9925" s="4"/>
      <c r="X9925" s="4"/>
      <c r="Y9925" s="4"/>
    </row>
    <row r="9926" spans="20:25" x14ac:dyDescent="0.25">
      <c r="T9926" s="10"/>
      <c r="U9926" s="4"/>
      <c r="V9926" s="4"/>
      <c r="X9926" s="4"/>
      <c r="Y9926" s="4"/>
    </row>
    <row r="9927" spans="20:25" x14ac:dyDescent="0.25">
      <c r="T9927" s="10"/>
      <c r="U9927" s="4"/>
      <c r="V9927" s="4"/>
      <c r="X9927" s="4"/>
      <c r="Y9927" s="4"/>
    </row>
    <row r="9928" spans="20:25" x14ac:dyDescent="0.25">
      <c r="T9928" s="10"/>
      <c r="U9928" s="4"/>
      <c r="V9928" s="4"/>
      <c r="X9928" s="4"/>
      <c r="Y9928" s="4"/>
    </row>
    <row r="9929" spans="20:25" x14ac:dyDescent="0.25">
      <c r="T9929" s="10"/>
      <c r="U9929" s="4"/>
      <c r="V9929" s="4"/>
      <c r="X9929" s="4"/>
      <c r="Y9929" s="4"/>
    </row>
    <row r="9930" spans="20:25" x14ac:dyDescent="0.25">
      <c r="T9930" s="10"/>
      <c r="U9930" s="4"/>
      <c r="V9930" s="4"/>
      <c r="X9930" s="4"/>
      <c r="Y9930" s="4"/>
    </row>
    <row r="9931" spans="20:25" x14ac:dyDescent="0.25">
      <c r="T9931" s="10"/>
      <c r="U9931" s="4"/>
      <c r="V9931" s="4"/>
      <c r="X9931" s="4"/>
      <c r="Y9931" s="4"/>
    </row>
    <row r="9932" spans="20:25" x14ac:dyDescent="0.25">
      <c r="T9932" s="10"/>
      <c r="U9932" s="4"/>
      <c r="V9932" s="4"/>
      <c r="X9932" s="4"/>
      <c r="Y9932" s="4"/>
    </row>
    <row r="9933" spans="20:25" x14ac:dyDescent="0.25">
      <c r="T9933" s="10"/>
      <c r="U9933" s="4"/>
      <c r="V9933" s="4"/>
      <c r="X9933" s="4"/>
      <c r="Y9933" s="4"/>
    </row>
    <row r="9934" spans="20:25" x14ac:dyDescent="0.25">
      <c r="T9934" s="10"/>
      <c r="U9934" s="4"/>
      <c r="V9934" s="4"/>
      <c r="X9934" s="4"/>
      <c r="Y9934" s="4"/>
    </row>
    <row r="9935" spans="20:25" x14ac:dyDescent="0.25">
      <c r="T9935" s="10"/>
      <c r="U9935" s="4"/>
      <c r="V9935" s="4"/>
      <c r="X9935" s="4"/>
      <c r="Y9935" s="4"/>
    </row>
    <row r="9936" spans="20:25" x14ac:dyDescent="0.25">
      <c r="T9936" s="10"/>
      <c r="U9936" s="4"/>
      <c r="V9936" s="4"/>
      <c r="X9936" s="4"/>
      <c r="Y9936" s="4"/>
    </row>
    <row r="9937" spans="20:25" x14ac:dyDescent="0.25">
      <c r="T9937" s="10"/>
      <c r="U9937" s="4"/>
      <c r="V9937" s="4"/>
      <c r="X9937" s="4"/>
      <c r="Y9937" s="4"/>
    </row>
    <row r="9938" spans="20:25" x14ac:dyDescent="0.25">
      <c r="T9938" s="10"/>
      <c r="U9938" s="4"/>
      <c r="V9938" s="4"/>
      <c r="X9938" s="4"/>
      <c r="Y9938" s="4"/>
    </row>
    <row r="9939" spans="20:25" x14ac:dyDescent="0.25">
      <c r="T9939" s="10"/>
      <c r="U9939" s="4"/>
      <c r="V9939" s="4"/>
      <c r="X9939" s="4"/>
      <c r="Y9939" s="4"/>
    </row>
    <row r="9940" spans="20:25" x14ac:dyDescent="0.25">
      <c r="T9940" s="10"/>
      <c r="U9940" s="4"/>
      <c r="V9940" s="4"/>
      <c r="X9940" s="4"/>
      <c r="Y9940" s="4"/>
    </row>
    <row r="9941" spans="20:25" x14ac:dyDescent="0.25">
      <c r="T9941" s="10"/>
      <c r="U9941" s="4"/>
      <c r="V9941" s="4"/>
      <c r="X9941" s="4"/>
      <c r="Y9941" s="4"/>
    </row>
    <row r="9942" spans="20:25" x14ac:dyDescent="0.25">
      <c r="T9942" s="10"/>
      <c r="U9942" s="4"/>
      <c r="V9942" s="4"/>
      <c r="X9942" s="4"/>
      <c r="Y9942" s="4"/>
    </row>
    <row r="9943" spans="20:25" x14ac:dyDescent="0.25">
      <c r="T9943" s="10"/>
      <c r="U9943" s="4"/>
      <c r="V9943" s="4"/>
      <c r="X9943" s="4"/>
      <c r="Y9943" s="4"/>
    </row>
    <row r="9944" spans="20:25" x14ac:dyDescent="0.25">
      <c r="T9944" s="10"/>
      <c r="U9944" s="4"/>
      <c r="V9944" s="4"/>
      <c r="X9944" s="4"/>
      <c r="Y9944" s="4"/>
    </row>
    <row r="9945" spans="20:25" x14ac:dyDescent="0.25">
      <c r="T9945" s="10"/>
      <c r="U9945" s="4"/>
      <c r="V9945" s="4"/>
      <c r="X9945" s="4"/>
      <c r="Y9945" s="4"/>
    </row>
    <row r="9946" spans="20:25" x14ac:dyDescent="0.25">
      <c r="T9946" s="10"/>
      <c r="U9946" s="4"/>
      <c r="V9946" s="4"/>
      <c r="X9946" s="4"/>
      <c r="Y9946" s="4"/>
    </row>
    <row r="9947" spans="20:25" x14ac:dyDescent="0.25">
      <c r="T9947" s="10"/>
      <c r="U9947" s="4"/>
      <c r="V9947" s="4"/>
      <c r="X9947" s="4"/>
      <c r="Y9947" s="4"/>
    </row>
    <row r="9948" spans="20:25" x14ac:dyDescent="0.25">
      <c r="T9948" s="10"/>
      <c r="U9948" s="4"/>
      <c r="V9948" s="4"/>
      <c r="X9948" s="4"/>
      <c r="Y9948" s="4"/>
    </row>
    <row r="9949" spans="20:25" x14ac:dyDescent="0.25">
      <c r="T9949" s="10"/>
      <c r="U9949" s="4"/>
      <c r="V9949" s="4"/>
      <c r="X9949" s="4"/>
      <c r="Y9949" s="4"/>
    </row>
    <row r="9950" spans="20:25" x14ac:dyDescent="0.25">
      <c r="T9950" s="10"/>
      <c r="U9950" s="4"/>
      <c r="V9950" s="4"/>
      <c r="X9950" s="4"/>
      <c r="Y9950" s="4"/>
    </row>
    <row r="9951" spans="20:25" x14ac:dyDescent="0.25">
      <c r="T9951" s="10"/>
      <c r="U9951" s="4"/>
      <c r="V9951" s="4"/>
      <c r="X9951" s="4"/>
      <c r="Y9951" s="4"/>
    </row>
    <row r="9952" spans="20:25" x14ac:dyDescent="0.25">
      <c r="T9952" s="10"/>
      <c r="U9952" s="4"/>
      <c r="V9952" s="4"/>
      <c r="X9952" s="4"/>
      <c r="Y9952" s="4"/>
    </row>
    <row r="9953" spans="20:25" x14ac:dyDescent="0.25">
      <c r="T9953" s="10"/>
      <c r="U9953" s="4"/>
      <c r="V9953" s="4"/>
      <c r="X9953" s="4"/>
      <c r="Y9953" s="4"/>
    </row>
    <row r="9954" spans="20:25" x14ac:dyDescent="0.25">
      <c r="T9954" s="10"/>
      <c r="U9954" s="4"/>
      <c r="V9954" s="4"/>
      <c r="X9954" s="4"/>
      <c r="Y9954" s="4"/>
    </row>
    <row r="9955" spans="20:25" x14ac:dyDescent="0.25">
      <c r="T9955" s="10"/>
      <c r="U9955" s="4"/>
      <c r="V9955" s="4"/>
      <c r="X9955" s="4"/>
      <c r="Y9955" s="4"/>
    </row>
    <row r="9956" spans="20:25" x14ac:dyDescent="0.25">
      <c r="T9956" s="10"/>
      <c r="U9956" s="4"/>
      <c r="V9956" s="4"/>
      <c r="X9956" s="4"/>
      <c r="Y9956" s="4"/>
    </row>
    <row r="9957" spans="20:25" x14ac:dyDescent="0.25">
      <c r="T9957" s="10"/>
      <c r="U9957" s="4"/>
      <c r="V9957" s="4"/>
      <c r="X9957" s="4"/>
      <c r="Y9957" s="4"/>
    </row>
    <row r="9958" spans="20:25" x14ac:dyDescent="0.25">
      <c r="T9958" s="10"/>
      <c r="U9958" s="4"/>
      <c r="V9958" s="4"/>
      <c r="X9958" s="4"/>
      <c r="Y9958" s="4"/>
    </row>
    <row r="9959" spans="20:25" x14ac:dyDescent="0.25">
      <c r="T9959" s="10"/>
      <c r="U9959" s="4"/>
      <c r="V9959" s="4"/>
      <c r="X9959" s="4"/>
      <c r="Y9959" s="4"/>
    </row>
    <row r="9960" spans="20:25" x14ac:dyDescent="0.25">
      <c r="T9960" s="10"/>
      <c r="U9960" s="4"/>
      <c r="V9960" s="4"/>
      <c r="X9960" s="4"/>
      <c r="Y9960" s="4"/>
    </row>
    <row r="9961" spans="20:25" x14ac:dyDescent="0.25">
      <c r="T9961" s="10"/>
      <c r="U9961" s="4"/>
      <c r="V9961" s="4"/>
      <c r="X9961" s="4"/>
      <c r="Y9961" s="4"/>
    </row>
    <row r="9962" spans="20:25" x14ac:dyDescent="0.25">
      <c r="T9962" s="10"/>
      <c r="U9962" s="4"/>
      <c r="V9962" s="4"/>
      <c r="X9962" s="4"/>
      <c r="Y9962" s="4"/>
    </row>
    <row r="9963" spans="20:25" x14ac:dyDescent="0.25">
      <c r="T9963" s="10"/>
      <c r="U9963" s="4"/>
      <c r="V9963" s="4"/>
      <c r="X9963" s="4"/>
      <c r="Y9963" s="4"/>
    </row>
    <row r="9964" spans="20:25" x14ac:dyDescent="0.25">
      <c r="T9964" s="10"/>
      <c r="U9964" s="4"/>
      <c r="V9964" s="4"/>
      <c r="X9964" s="4"/>
      <c r="Y9964" s="4"/>
    </row>
    <row r="9965" spans="20:25" x14ac:dyDescent="0.25">
      <c r="T9965" s="10"/>
      <c r="U9965" s="4"/>
      <c r="V9965" s="4"/>
      <c r="X9965" s="4"/>
      <c r="Y9965" s="4"/>
    </row>
    <row r="9966" spans="20:25" x14ac:dyDescent="0.25">
      <c r="T9966" s="10"/>
      <c r="U9966" s="4"/>
      <c r="V9966" s="4"/>
      <c r="X9966" s="4"/>
      <c r="Y9966" s="4"/>
    </row>
    <row r="9967" spans="20:25" x14ac:dyDescent="0.25">
      <c r="T9967" s="10"/>
      <c r="U9967" s="4"/>
      <c r="V9967" s="4"/>
      <c r="X9967" s="4"/>
      <c r="Y9967" s="4"/>
    </row>
    <row r="9968" spans="20:25" x14ac:dyDescent="0.25">
      <c r="T9968" s="10"/>
      <c r="U9968" s="4"/>
      <c r="V9968" s="4"/>
      <c r="X9968" s="4"/>
      <c r="Y9968" s="4"/>
    </row>
    <row r="9969" spans="20:25" x14ac:dyDescent="0.25">
      <c r="T9969" s="10"/>
      <c r="U9969" s="4"/>
      <c r="V9969" s="4"/>
      <c r="X9969" s="4"/>
      <c r="Y9969" s="4"/>
    </row>
    <row r="9970" spans="20:25" x14ac:dyDescent="0.25">
      <c r="T9970" s="10"/>
      <c r="U9970" s="4"/>
      <c r="V9970" s="4"/>
      <c r="X9970" s="4"/>
      <c r="Y9970" s="4"/>
    </row>
    <row r="9971" spans="20:25" x14ac:dyDescent="0.25">
      <c r="T9971" s="10"/>
      <c r="U9971" s="4"/>
      <c r="V9971" s="4"/>
      <c r="X9971" s="4"/>
      <c r="Y9971" s="4"/>
    </row>
    <row r="9972" spans="20:25" x14ac:dyDescent="0.25">
      <c r="T9972" s="10"/>
      <c r="U9972" s="4"/>
      <c r="V9972" s="4"/>
      <c r="X9972" s="4"/>
      <c r="Y9972" s="4"/>
    </row>
    <row r="9973" spans="20:25" x14ac:dyDescent="0.25">
      <c r="T9973" s="10"/>
      <c r="U9973" s="4"/>
      <c r="V9973" s="4"/>
      <c r="X9973" s="4"/>
      <c r="Y9973" s="4"/>
    </row>
    <row r="9974" spans="20:25" x14ac:dyDescent="0.25">
      <c r="T9974" s="10"/>
      <c r="U9974" s="4"/>
      <c r="V9974" s="4"/>
      <c r="X9974" s="4"/>
      <c r="Y9974" s="4"/>
    </row>
    <row r="9975" spans="20:25" x14ac:dyDescent="0.25">
      <c r="T9975" s="10"/>
      <c r="U9975" s="4"/>
      <c r="V9975" s="4"/>
      <c r="X9975" s="4"/>
      <c r="Y9975" s="4"/>
    </row>
    <row r="9976" spans="20:25" x14ac:dyDescent="0.25">
      <c r="T9976" s="10"/>
      <c r="U9976" s="4"/>
      <c r="V9976" s="4"/>
      <c r="X9976" s="4"/>
      <c r="Y9976" s="4"/>
    </row>
    <row r="9977" spans="20:25" x14ac:dyDescent="0.25">
      <c r="T9977" s="10"/>
      <c r="U9977" s="4"/>
      <c r="V9977" s="4"/>
      <c r="X9977" s="4"/>
      <c r="Y9977" s="4"/>
    </row>
    <row r="9978" spans="20:25" x14ac:dyDescent="0.25">
      <c r="T9978" s="10"/>
      <c r="U9978" s="4"/>
      <c r="V9978" s="4"/>
      <c r="X9978" s="4"/>
      <c r="Y9978" s="4"/>
    </row>
    <row r="9979" spans="20:25" x14ac:dyDescent="0.25">
      <c r="T9979" s="10"/>
      <c r="U9979" s="4"/>
      <c r="V9979" s="4"/>
      <c r="X9979" s="4"/>
      <c r="Y9979" s="4"/>
    </row>
    <row r="9980" spans="20:25" x14ac:dyDescent="0.25">
      <c r="T9980" s="10"/>
      <c r="U9980" s="4"/>
      <c r="V9980" s="4"/>
      <c r="X9980" s="4"/>
      <c r="Y9980" s="4"/>
    </row>
    <row r="9981" spans="20:25" x14ac:dyDescent="0.25">
      <c r="T9981" s="10"/>
      <c r="U9981" s="4"/>
      <c r="V9981" s="4"/>
      <c r="X9981" s="4"/>
      <c r="Y9981" s="4"/>
    </row>
    <row r="9982" spans="20:25" x14ac:dyDescent="0.25">
      <c r="T9982" s="10"/>
      <c r="U9982" s="4"/>
      <c r="V9982" s="4"/>
      <c r="X9982" s="4"/>
      <c r="Y9982" s="4"/>
    </row>
    <row r="9983" spans="20:25" x14ac:dyDescent="0.25">
      <c r="T9983" s="10"/>
      <c r="U9983" s="4"/>
      <c r="V9983" s="4"/>
      <c r="X9983" s="4"/>
      <c r="Y9983" s="4"/>
    </row>
    <row r="9984" spans="20:25" x14ac:dyDescent="0.25">
      <c r="T9984" s="10"/>
      <c r="U9984" s="4"/>
      <c r="V9984" s="4"/>
      <c r="X9984" s="4"/>
      <c r="Y9984" s="4"/>
    </row>
    <row r="9985" spans="20:25" x14ac:dyDescent="0.25">
      <c r="T9985" s="10"/>
      <c r="U9985" s="4"/>
      <c r="V9985" s="4"/>
      <c r="X9985" s="4"/>
      <c r="Y9985" s="4"/>
    </row>
    <row r="9986" spans="20:25" x14ac:dyDescent="0.25">
      <c r="T9986" s="10"/>
      <c r="U9986" s="4"/>
      <c r="V9986" s="4"/>
      <c r="X9986" s="4"/>
      <c r="Y9986" s="4"/>
    </row>
    <row r="9987" spans="20:25" x14ac:dyDescent="0.25">
      <c r="T9987" s="10"/>
      <c r="U9987" s="4"/>
      <c r="V9987" s="4"/>
      <c r="X9987" s="4"/>
      <c r="Y9987" s="4"/>
    </row>
    <row r="9988" spans="20:25" x14ac:dyDescent="0.25">
      <c r="T9988" s="10"/>
      <c r="U9988" s="4"/>
      <c r="V9988" s="4"/>
      <c r="X9988" s="4"/>
      <c r="Y9988" s="4"/>
    </row>
    <row r="9989" spans="20:25" x14ac:dyDescent="0.25">
      <c r="T9989" s="10"/>
      <c r="U9989" s="4"/>
      <c r="V9989" s="4"/>
      <c r="X9989" s="4"/>
      <c r="Y9989" s="4"/>
    </row>
    <row r="9990" spans="20:25" x14ac:dyDescent="0.25">
      <c r="T9990" s="10"/>
      <c r="U9990" s="4"/>
      <c r="V9990" s="4"/>
      <c r="X9990" s="4"/>
      <c r="Y9990" s="4"/>
    </row>
    <row r="9991" spans="20:25" x14ac:dyDescent="0.25">
      <c r="T9991" s="10"/>
      <c r="U9991" s="4"/>
      <c r="V9991" s="4"/>
      <c r="X9991" s="4"/>
      <c r="Y9991" s="4"/>
    </row>
    <row r="9992" spans="20:25" x14ac:dyDescent="0.25">
      <c r="T9992" s="10"/>
      <c r="U9992" s="4"/>
      <c r="V9992" s="4"/>
      <c r="X9992" s="4"/>
      <c r="Y9992" s="4"/>
    </row>
    <row r="9993" spans="20:25" x14ac:dyDescent="0.25">
      <c r="T9993" s="10"/>
      <c r="U9993" s="4"/>
      <c r="V9993" s="4"/>
      <c r="X9993" s="4"/>
      <c r="Y9993" s="4"/>
    </row>
    <row r="9994" spans="20:25" x14ac:dyDescent="0.25">
      <c r="T9994" s="10"/>
      <c r="U9994" s="4"/>
      <c r="V9994" s="4"/>
      <c r="X9994" s="4"/>
      <c r="Y9994" s="4"/>
    </row>
    <row r="9995" spans="20:25" x14ac:dyDescent="0.25">
      <c r="T9995" s="10"/>
      <c r="U9995" s="4"/>
      <c r="V9995" s="4"/>
      <c r="X9995" s="4"/>
      <c r="Y9995" s="4"/>
    </row>
    <row r="9996" spans="20:25" x14ac:dyDescent="0.25">
      <c r="T9996" s="10"/>
      <c r="U9996" s="4"/>
      <c r="V9996" s="4"/>
      <c r="X9996" s="4"/>
      <c r="Y9996" s="4"/>
    </row>
    <row r="9997" spans="20:25" x14ac:dyDescent="0.25">
      <c r="T9997" s="10"/>
      <c r="U9997" s="4"/>
      <c r="V9997" s="4"/>
      <c r="X9997" s="4"/>
      <c r="Y9997" s="4"/>
    </row>
    <row r="9998" spans="20:25" x14ac:dyDescent="0.25">
      <c r="T9998" s="10"/>
      <c r="U9998" s="4"/>
      <c r="V9998" s="4"/>
      <c r="X9998" s="4"/>
      <c r="Y9998" s="4"/>
    </row>
    <row r="9999" spans="20:25" x14ac:dyDescent="0.25">
      <c r="T9999" s="10"/>
      <c r="U9999" s="4"/>
      <c r="V9999" s="4"/>
      <c r="X9999" s="4"/>
      <c r="Y9999" s="4"/>
    </row>
    <row r="10000" spans="20:25" x14ac:dyDescent="0.25">
      <c r="T10000" s="10"/>
      <c r="U10000" s="4"/>
      <c r="V10000" s="4"/>
      <c r="X10000" s="4"/>
      <c r="Y10000" s="4"/>
    </row>
    <row r="10001" spans="20:25" x14ac:dyDescent="0.25">
      <c r="T10001" s="10"/>
      <c r="U10001" s="4"/>
      <c r="V10001" s="4"/>
      <c r="X10001" s="4"/>
      <c r="Y10001" s="4"/>
    </row>
    <row r="10002" spans="20:25" x14ac:dyDescent="0.25">
      <c r="T10002" s="10"/>
      <c r="U10002" s="4"/>
      <c r="V10002" s="4"/>
      <c r="X10002" s="4"/>
      <c r="Y10002" s="4"/>
    </row>
    <row r="10003" spans="20:25" x14ac:dyDescent="0.25">
      <c r="T10003" s="10"/>
      <c r="U10003" s="4"/>
      <c r="V10003" s="4"/>
      <c r="X10003" s="4"/>
      <c r="Y10003" s="4"/>
    </row>
    <row r="10004" spans="20:25" x14ac:dyDescent="0.25">
      <c r="T10004" s="10"/>
      <c r="U10004" s="4"/>
      <c r="V10004" s="4"/>
      <c r="X10004" s="4"/>
      <c r="Y10004" s="4"/>
    </row>
    <row r="10005" spans="20:25" x14ac:dyDescent="0.25">
      <c r="T10005" s="10"/>
      <c r="U10005" s="4"/>
      <c r="V10005" s="4"/>
      <c r="X10005" s="4"/>
      <c r="Y10005" s="4"/>
    </row>
    <row r="10006" spans="20:25" x14ac:dyDescent="0.25">
      <c r="T10006" s="10"/>
      <c r="U10006" s="4"/>
      <c r="V10006" s="4"/>
      <c r="X10006" s="4"/>
      <c r="Y10006" s="4"/>
    </row>
    <row r="10007" spans="20:25" x14ac:dyDescent="0.25">
      <c r="T10007" s="10"/>
      <c r="U10007" s="4"/>
      <c r="V10007" s="4"/>
      <c r="X10007" s="4"/>
      <c r="Y10007" s="4"/>
    </row>
    <row r="10008" spans="20:25" x14ac:dyDescent="0.25">
      <c r="T10008" s="10"/>
      <c r="U10008" s="4"/>
      <c r="V10008" s="4"/>
      <c r="X10008" s="4"/>
      <c r="Y10008" s="4"/>
    </row>
    <row r="10009" spans="20:25" x14ac:dyDescent="0.25">
      <c r="T10009" s="10"/>
      <c r="U10009" s="4"/>
      <c r="V10009" s="4"/>
      <c r="X10009" s="4"/>
      <c r="Y10009" s="4"/>
    </row>
    <row r="10010" spans="20:25" x14ac:dyDescent="0.25">
      <c r="T10010" s="10"/>
      <c r="U10010" s="4"/>
      <c r="V10010" s="4"/>
      <c r="X10010" s="4"/>
      <c r="Y10010" s="4"/>
    </row>
    <row r="10011" spans="20:25" x14ac:dyDescent="0.25">
      <c r="T10011" s="10"/>
      <c r="U10011" s="4"/>
      <c r="V10011" s="4"/>
      <c r="X10011" s="4"/>
      <c r="Y10011" s="4"/>
    </row>
    <row r="10012" spans="20:25" x14ac:dyDescent="0.25">
      <c r="T10012" s="10"/>
      <c r="U10012" s="4"/>
      <c r="V10012" s="4"/>
      <c r="X10012" s="4"/>
      <c r="Y10012" s="4"/>
    </row>
    <row r="10013" spans="20:25" x14ac:dyDescent="0.25">
      <c r="T10013" s="10"/>
      <c r="U10013" s="4"/>
      <c r="V10013" s="4"/>
      <c r="X10013" s="4"/>
      <c r="Y10013" s="4"/>
    </row>
    <row r="10014" spans="20:25" x14ac:dyDescent="0.25">
      <c r="T10014" s="10"/>
      <c r="U10014" s="4"/>
      <c r="V10014" s="4"/>
      <c r="X10014" s="4"/>
      <c r="Y10014" s="4"/>
    </row>
    <row r="10015" spans="20:25" x14ac:dyDescent="0.25">
      <c r="T10015" s="10"/>
      <c r="U10015" s="4"/>
      <c r="V10015" s="4"/>
      <c r="X10015" s="4"/>
      <c r="Y10015" s="4"/>
    </row>
    <row r="10016" spans="20:25" x14ac:dyDescent="0.25">
      <c r="T10016" s="10"/>
      <c r="U10016" s="4"/>
      <c r="V10016" s="4"/>
      <c r="X10016" s="4"/>
      <c r="Y10016" s="4"/>
    </row>
    <row r="10017" spans="20:25" x14ac:dyDescent="0.25">
      <c r="T10017" s="10"/>
      <c r="U10017" s="4"/>
      <c r="V10017" s="4"/>
      <c r="X10017" s="4"/>
      <c r="Y10017" s="4"/>
    </row>
    <row r="10018" spans="20:25" x14ac:dyDescent="0.25">
      <c r="T10018" s="10"/>
      <c r="U10018" s="4"/>
      <c r="V10018" s="4"/>
      <c r="X10018" s="4"/>
      <c r="Y10018" s="4"/>
    </row>
    <row r="10019" spans="20:25" x14ac:dyDescent="0.25">
      <c r="T10019" s="10"/>
      <c r="U10019" s="4"/>
      <c r="V10019" s="4"/>
      <c r="X10019" s="4"/>
      <c r="Y10019" s="4"/>
    </row>
    <row r="10020" spans="20:25" x14ac:dyDescent="0.25">
      <c r="T10020" s="10"/>
      <c r="U10020" s="4"/>
      <c r="V10020" s="4"/>
      <c r="X10020" s="4"/>
      <c r="Y10020" s="4"/>
    </row>
    <row r="10021" spans="20:25" x14ac:dyDescent="0.25">
      <c r="T10021" s="10"/>
      <c r="U10021" s="4"/>
      <c r="V10021" s="4"/>
      <c r="X10021" s="4"/>
      <c r="Y10021" s="4"/>
    </row>
    <row r="10022" spans="20:25" x14ac:dyDescent="0.25">
      <c r="T10022" s="10"/>
      <c r="U10022" s="4"/>
      <c r="V10022" s="4"/>
      <c r="X10022" s="4"/>
      <c r="Y10022" s="4"/>
    </row>
    <row r="10023" spans="20:25" x14ac:dyDescent="0.25">
      <c r="T10023" s="10"/>
      <c r="U10023" s="4"/>
      <c r="V10023" s="4"/>
      <c r="X10023" s="4"/>
      <c r="Y10023" s="4"/>
    </row>
    <row r="10024" spans="20:25" x14ac:dyDescent="0.25">
      <c r="T10024" s="10"/>
      <c r="U10024" s="4"/>
      <c r="V10024" s="4"/>
      <c r="X10024" s="4"/>
      <c r="Y10024" s="4"/>
    </row>
    <row r="10025" spans="20:25" x14ac:dyDescent="0.25">
      <c r="T10025" s="10"/>
      <c r="U10025" s="4"/>
      <c r="V10025" s="4"/>
      <c r="X10025" s="4"/>
      <c r="Y10025" s="4"/>
    </row>
    <row r="10026" spans="20:25" x14ac:dyDescent="0.25">
      <c r="T10026" s="10"/>
      <c r="U10026" s="4"/>
      <c r="V10026" s="4"/>
      <c r="X10026" s="4"/>
      <c r="Y10026" s="4"/>
    </row>
    <row r="10027" spans="20:25" x14ac:dyDescent="0.25">
      <c r="T10027" s="10"/>
      <c r="U10027" s="4"/>
      <c r="V10027" s="4"/>
      <c r="X10027" s="4"/>
      <c r="Y10027" s="4"/>
    </row>
    <row r="10028" spans="20:25" x14ac:dyDescent="0.25">
      <c r="T10028" s="10"/>
      <c r="U10028" s="4"/>
      <c r="V10028" s="4"/>
      <c r="X10028" s="4"/>
      <c r="Y10028" s="4"/>
    </row>
    <row r="10029" spans="20:25" x14ac:dyDescent="0.25">
      <c r="T10029" s="10"/>
      <c r="U10029" s="4"/>
      <c r="V10029" s="4"/>
      <c r="X10029" s="4"/>
      <c r="Y10029" s="4"/>
    </row>
    <row r="10030" spans="20:25" x14ac:dyDescent="0.25">
      <c r="T10030" s="10"/>
      <c r="U10030" s="4"/>
      <c r="V10030" s="4"/>
      <c r="X10030" s="4"/>
      <c r="Y10030" s="4"/>
    </row>
    <row r="10031" spans="20:25" x14ac:dyDescent="0.25">
      <c r="T10031" s="10"/>
      <c r="U10031" s="4"/>
      <c r="V10031" s="4"/>
      <c r="X10031" s="4"/>
      <c r="Y10031" s="4"/>
    </row>
    <row r="10032" spans="20:25" x14ac:dyDescent="0.25">
      <c r="T10032" s="10"/>
      <c r="U10032" s="4"/>
      <c r="V10032" s="4"/>
      <c r="X10032" s="4"/>
      <c r="Y10032" s="4"/>
    </row>
    <row r="10033" spans="20:25" x14ac:dyDescent="0.25">
      <c r="T10033" s="10"/>
      <c r="U10033" s="4"/>
      <c r="V10033" s="4"/>
      <c r="X10033" s="4"/>
      <c r="Y10033" s="4"/>
    </row>
    <row r="10034" spans="20:25" x14ac:dyDescent="0.25">
      <c r="T10034" s="10"/>
      <c r="U10034" s="4"/>
      <c r="V10034" s="4"/>
      <c r="X10034" s="4"/>
      <c r="Y10034" s="4"/>
    </row>
    <row r="10035" spans="20:25" x14ac:dyDescent="0.25">
      <c r="T10035" s="10"/>
      <c r="U10035" s="4"/>
      <c r="V10035" s="4"/>
      <c r="X10035" s="4"/>
      <c r="Y10035" s="4"/>
    </row>
    <row r="10036" spans="20:25" x14ac:dyDescent="0.25">
      <c r="T10036" s="10"/>
      <c r="U10036" s="4"/>
      <c r="V10036" s="4"/>
      <c r="X10036" s="4"/>
      <c r="Y10036" s="4"/>
    </row>
    <row r="10037" spans="20:25" x14ac:dyDescent="0.25">
      <c r="T10037" s="10"/>
      <c r="U10037" s="4"/>
      <c r="V10037" s="4"/>
      <c r="X10037" s="4"/>
      <c r="Y10037" s="4"/>
    </row>
    <row r="10038" spans="20:25" x14ac:dyDescent="0.25">
      <c r="T10038" s="10"/>
      <c r="U10038" s="4"/>
      <c r="V10038" s="4"/>
      <c r="X10038" s="4"/>
      <c r="Y10038" s="4"/>
    </row>
    <row r="10039" spans="20:25" x14ac:dyDescent="0.25">
      <c r="T10039" s="10"/>
      <c r="U10039" s="4"/>
      <c r="V10039" s="4"/>
      <c r="X10039" s="4"/>
      <c r="Y10039" s="4"/>
    </row>
    <row r="10040" spans="20:25" x14ac:dyDescent="0.25">
      <c r="T10040" s="10"/>
      <c r="U10040" s="4"/>
      <c r="V10040" s="4"/>
      <c r="X10040" s="4"/>
      <c r="Y10040" s="4"/>
    </row>
    <row r="10041" spans="20:25" x14ac:dyDescent="0.25">
      <c r="T10041" s="10"/>
      <c r="U10041" s="4"/>
      <c r="V10041" s="4"/>
      <c r="X10041" s="4"/>
      <c r="Y10041" s="4"/>
    </row>
    <row r="10042" spans="20:25" x14ac:dyDescent="0.25">
      <c r="T10042" s="10"/>
      <c r="U10042" s="4"/>
      <c r="V10042" s="4"/>
      <c r="X10042" s="4"/>
      <c r="Y10042" s="4"/>
    </row>
    <row r="10043" spans="20:25" x14ac:dyDescent="0.25">
      <c r="T10043" s="10"/>
      <c r="U10043" s="4"/>
      <c r="V10043" s="4"/>
      <c r="X10043" s="4"/>
      <c r="Y10043" s="4"/>
    </row>
    <row r="10044" spans="20:25" x14ac:dyDescent="0.25">
      <c r="T10044" s="10"/>
      <c r="U10044" s="4"/>
      <c r="V10044" s="4"/>
      <c r="X10044" s="4"/>
      <c r="Y10044" s="4"/>
    </row>
    <row r="10045" spans="20:25" x14ac:dyDescent="0.25">
      <c r="T10045" s="10"/>
      <c r="U10045" s="4"/>
      <c r="V10045" s="4"/>
      <c r="X10045" s="4"/>
      <c r="Y10045" s="4"/>
    </row>
    <row r="10046" spans="20:25" x14ac:dyDescent="0.25">
      <c r="T10046" s="10"/>
      <c r="U10046" s="4"/>
      <c r="V10046" s="4"/>
      <c r="X10046" s="4"/>
      <c r="Y10046" s="4"/>
    </row>
    <row r="10047" spans="20:25" x14ac:dyDescent="0.25">
      <c r="T10047" s="10"/>
      <c r="U10047" s="4"/>
      <c r="V10047" s="4"/>
      <c r="X10047" s="4"/>
      <c r="Y10047" s="4"/>
    </row>
    <row r="10048" spans="20:25" x14ac:dyDescent="0.25">
      <c r="T10048" s="10"/>
      <c r="U10048" s="4"/>
      <c r="V10048" s="4"/>
      <c r="X10048" s="4"/>
      <c r="Y10048" s="4"/>
    </row>
    <row r="10049" spans="20:25" x14ac:dyDescent="0.25">
      <c r="T10049" s="10"/>
      <c r="U10049" s="4"/>
      <c r="V10049" s="4"/>
      <c r="X10049" s="4"/>
      <c r="Y10049" s="4"/>
    </row>
    <row r="10050" spans="20:25" x14ac:dyDescent="0.25">
      <c r="T10050" s="10"/>
      <c r="U10050" s="4"/>
      <c r="V10050" s="4"/>
      <c r="X10050" s="4"/>
      <c r="Y10050" s="4"/>
    </row>
    <row r="10051" spans="20:25" x14ac:dyDescent="0.25">
      <c r="T10051" s="10"/>
      <c r="U10051" s="4"/>
      <c r="V10051" s="4"/>
      <c r="X10051" s="4"/>
      <c r="Y10051" s="4"/>
    </row>
    <row r="10052" spans="20:25" x14ac:dyDescent="0.25">
      <c r="T10052" s="10"/>
      <c r="U10052" s="4"/>
      <c r="V10052" s="4"/>
      <c r="X10052" s="4"/>
      <c r="Y10052" s="4"/>
    </row>
    <row r="10053" spans="20:25" x14ac:dyDescent="0.25">
      <c r="T10053" s="10"/>
      <c r="U10053" s="4"/>
      <c r="V10053" s="4"/>
      <c r="X10053" s="4"/>
      <c r="Y10053" s="4"/>
    </row>
    <row r="10054" spans="20:25" x14ac:dyDescent="0.25">
      <c r="T10054" s="10"/>
      <c r="U10054" s="4"/>
      <c r="V10054" s="4"/>
      <c r="X10054" s="4"/>
      <c r="Y10054" s="4"/>
    </row>
    <row r="10055" spans="20:25" x14ac:dyDescent="0.25">
      <c r="T10055" s="10"/>
      <c r="U10055" s="4"/>
      <c r="V10055" s="4"/>
      <c r="X10055" s="4"/>
      <c r="Y10055" s="4"/>
    </row>
    <row r="10056" spans="20:25" x14ac:dyDescent="0.25">
      <c r="T10056" s="10"/>
      <c r="U10056" s="4"/>
      <c r="V10056" s="4"/>
      <c r="X10056" s="4"/>
      <c r="Y10056" s="4"/>
    </row>
    <row r="10057" spans="20:25" x14ac:dyDescent="0.25">
      <c r="T10057" s="10"/>
      <c r="U10057" s="4"/>
      <c r="V10057" s="4"/>
      <c r="X10057" s="4"/>
      <c r="Y10057" s="4"/>
    </row>
    <row r="10058" spans="20:25" x14ac:dyDescent="0.25">
      <c r="T10058" s="10"/>
      <c r="U10058" s="4"/>
      <c r="V10058" s="4"/>
      <c r="X10058" s="4"/>
      <c r="Y10058" s="4"/>
    </row>
    <row r="10059" spans="20:25" x14ac:dyDescent="0.25">
      <c r="T10059" s="10"/>
      <c r="U10059" s="4"/>
      <c r="V10059" s="4"/>
      <c r="X10059" s="4"/>
      <c r="Y10059" s="4"/>
    </row>
    <row r="10060" spans="20:25" x14ac:dyDescent="0.25">
      <c r="T10060" s="10"/>
      <c r="U10060" s="4"/>
      <c r="V10060" s="4"/>
      <c r="X10060" s="4"/>
      <c r="Y10060" s="4"/>
    </row>
    <row r="10061" spans="20:25" x14ac:dyDescent="0.25">
      <c r="T10061" s="10"/>
      <c r="U10061" s="4"/>
      <c r="V10061" s="4"/>
      <c r="X10061" s="4"/>
      <c r="Y10061" s="4"/>
    </row>
    <row r="10062" spans="20:25" x14ac:dyDescent="0.25">
      <c r="T10062" s="10"/>
      <c r="U10062" s="4"/>
      <c r="V10062" s="4"/>
      <c r="X10062" s="4"/>
      <c r="Y10062" s="4"/>
    </row>
    <row r="10063" spans="20:25" x14ac:dyDescent="0.25">
      <c r="T10063" s="10"/>
      <c r="U10063" s="4"/>
      <c r="V10063" s="4"/>
      <c r="X10063" s="4"/>
      <c r="Y10063" s="4"/>
    </row>
    <row r="10064" spans="20:25" x14ac:dyDescent="0.25">
      <c r="T10064" s="10"/>
      <c r="U10064" s="4"/>
      <c r="V10064" s="4"/>
      <c r="X10064" s="4"/>
      <c r="Y10064" s="4"/>
    </row>
    <row r="10065" spans="20:25" x14ac:dyDescent="0.25">
      <c r="T10065" s="10"/>
      <c r="U10065" s="4"/>
      <c r="V10065" s="4"/>
      <c r="X10065" s="4"/>
      <c r="Y10065" s="4"/>
    </row>
    <row r="10066" spans="20:25" x14ac:dyDescent="0.25">
      <c r="T10066" s="10"/>
      <c r="U10066" s="4"/>
      <c r="V10066" s="4"/>
      <c r="X10066" s="4"/>
      <c r="Y10066" s="4"/>
    </row>
    <row r="10067" spans="20:25" x14ac:dyDescent="0.25">
      <c r="T10067" s="10"/>
      <c r="U10067" s="4"/>
      <c r="V10067" s="4"/>
      <c r="X10067" s="4"/>
      <c r="Y10067" s="4"/>
    </row>
    <row r="10068" spans="20:25" x14ac:dyDescent="0.25">
      <c r="T10068" s="10"/>
      <c r="U10068" s="4"/>
      <c r="V10068" s="4"/>
      <c r="X10068" s="4"/>
      <c r="Y10068" s="4"/>
    </row>
    <row r="10069" spans="20:25" x14ac:dyDescent="0.25">
      <c r="T10069" s="10"/>
      <c r="U10069" s="4"/>
      <c r="V10069" s="4"/>
      <c r="X10069" s="4"/>
      <c r="Y10069" s="4"/>
    </row>
    <row r="10070" spans="20:25" x14ac:dyDescent="0.25">
      <c r="T10070" s="10"/>
      <c r="U10070" s="4"/>
      <c r="V10070" s="4"/>
      <c r="X10070" s="4"/>
      <c r="Y10070" s="4"/>
    </row>
    <row r="10071" spans="20:25" x14ac:dyDescent="0.25">
      <c r="T10071" s="10"/>
      <c r="U10071" s="4"/>
      <c r="V10071" s="4"/>
      <c r="X10071" s="4"/>
      <c r="Y10071" s="4"/>
    </row>
    <row r="10072" spans="20:25" x14ac:dyDescent="0.25">
      <c r="T10072" s="10"/>
      <c r="U10072" s="4"/>
      <c r="V10072" s="4"/>
      <c r="X10072" s="4"/>
      <c r="Y10072" s="4"/>
    </row>
    <row r="10073" spans="20:25" x14ac:dyDescent="0.25">
      <c r="T10073" s="10"/>
      <c r="U10073" s="4"/>
      <c r="V10073" s="4"/>
      <c r="X10073" s="4"/>
      <c r="Y10073" s="4"/>
    </row>
    <row r="10074" spans="20:25" x14ac:dyDescent="0.25">
      <c r="T10074" s="10"/>
      <c r="U10074" s="4"/>
      <c r="V10074" s="4"/>
      <c r="X10074" s="4"/>
      <c r="Y10074" s="4"/>
    </row>
    <row r="10075" spans="20:25" x14ac:dyDescent="0.25">
      <c r="T10075" s="10"/>
      <c r="U10075" s="4"/>
      <c r="V10075" s="4"/>
      <c r="X10075" s="4"/>
      <c r="Y10075" s="4"/>
    </row>
    <row r="10076" spans="20:25" x14ac:dyDescent="0.25">
      <c r="T10076" s="10"/>
      <c r="U10076" s="4"/>
      <c r="V10076" s="4"/>
      <c r="X10076" s="4"/>
      <c r="Y10076" s="4"/>
    </row>
    <row r="10077" spans="20:25" x14ac:dyDescent="0.25">
      <c r="T10077" s="10"/>
      <c r="U10077" s="4"/>
      <c r="V10077" s="4"/>
      <c r="X10077" s="4"/>
      <c r="Y10077" s="4"/>
    </row>
    <row r="10078" spans="20:25" x14ac:dyDescent="0.25">
      <c r="T10078" s="10"/>
      <c r="U10078" s="4"/>
      <c r="V10078" s="4"/>
      <c r="X10078" s="4"/>
      <c r="Y10078" s="4"/>
    </row>
    <row r="10079" spans="20:25" x14ac:dyDescent="0.25">
      <c r="T10079" s="10"/>
      <c r="U10079" s="4"/>
      <c r="V10079" s="4"/>
      <c r="X10079" s="4"/>
      <c r="Y10079" s="4"/>
    </row>
    <row r="10080" spans="20:25" x14ac:dyDescent="0.25">
      <c r="T10080" s="10"/>
      <c r="U10080" s="4"/>
      <c r="V10080" s="4"/>
      <c r="X10080" s="4"/>
      <c r="Y10080" s="4"/>
    </row>
    <row r="10081" spans="20:25" x14ac:dyDescent="0.25">
      <c r="T10081" s="10"/>
      <c r="U10081" s="4"/>
      <c r="V10081" s="4"/>
      <c r="X10081" s="4"/>
      <c r="Y10081" s="4"/>
    </row>
    <row r="10082" spans="20:25" x14ac:dyDescent="0.25">
      <c r="T10082" s="10"/>
      <c r="U10082" s="4"/>
      <c r="V10082" s="4"/>
      <c r="X10082" s="4"/>
      <c r="Y10082" s="4"/>
    </row>
    <row r="10083" spans="20:25" x14ac:dyDescent="0.25">
      <c r="T10083" s="10"/>
      <c r="U10083" s="4"/>
      <c r="V10083" s="4"/>
      <c r="X10083" s="4"/>
      <c r="Y10083" s="4"/>
    </row>
    <row r="10084" spans="20:25" x14ac:dyDescent="0.25">
      <c r="T10084" s="10"/>
      <c r="U10084" s="4"/>
      <c r="V10084" s="4"/>
      <c r="X10084" s="4"/>
      <c r="Y10084" s="4"/>
    </row>
    <row r="10085" spans="20:25" x14ac:dyDescent="0.25">
      <c r="T10085" s="10"/>
      <c r="U10085" s="4"/>
      <c r="V10085" s="4"/>
      <c r="X10085" s="4"/>
      <c r="Y10085" s="4"/>
    </row>
    <row r="10086" spans="20:25" x14ac:dyDescent="0.25">
      <c r="T10086" s="10"/>
      <c r="U10086" s="4"/>
      <c r="V10086" s="4"/>
      <c r="X10086" s="4"/>
      <c r="Y10086" s="4"/>
    </row>
    <row r="10087" spans="20:25" x14ac:dyDescent="0.25">
      <c r="T10087" s="10"/>
      <c r="U10087" s="4"/>
      <c r="V10087" s="4"/>
      <c r="X10087" s="4"/>
      <c r="Y10087" s="4"/>
    </row>
    <row r="10088" spans="20:25" x14ac:dyDescent="0.25">
      <c r="T10088" s="10"/>
      <c r="U10088" s="4"/>
      <c r="V10088" s="4"/>
      <c r="X10088" s="4"/>
      <c r="Y10088" s="4"/>
    </row>
    <row r="10089" spans="20:25" x14ac:dyDescent="0.25">
      <c r="T10089" s="10"/>
      <c r="U10089" s="4"/>
      <c r="V10089" s="4"/>
      <c r="X10089" s="4"/>
      <c r="Y10089" s="4"/>
    </row>
    <row r="10090" spans="20:25" x14ac:dyDescent="0.25">
      <c r="T10090" s="10"/>
      <c r="U10090" s="4"/>
      <c r="V10090" s="4"/>
      <c r="X10090" s="4"/>
      <c r="Y10090" s="4"/>
    </row>
    <row r="10091" spans="20:25" x14ac:dyDescent="0.25">
      <c r="T10091" s="10"/>
      <c r="U10091" s="4"/>
      <c r="V10091" s="4"/>
      <c r="X10091" s="4"/>
      <c r="Y10091" s="4"/>
    </row>
    <row r="10092" spans="20:25" x14ac:dyDescent="0.25">
      <c r="T10092" s="10"/>
      <c r="U10092" s="4"/>
      <c r="V10092" s="4"/>
      <c r="X10092" s="4"/>
      <c r="Y10092" s="4"/>
    </row>
    <row r="10093" spans="20:25" x14ac:dyDescent="0.25">
      <c r="T10093" s="10"/>
      <c r="U10093" s="4"/>
      <c r="V10093" s="4"/>
      <c r="X10093" s="4"/>
      <c r="Y10093" s="4"/>
    </row>
    <row r="10094" spans="20:25" x14ac:dyDescent="0.25">
      <c r="T10094" s="10"/>
      <c r="U10094" s="4"/>
      <c r="V10094" s="4"/>
      <c r="X10094" s="4"/>
      <c r="Y10094" s="4"/>
    </row>
    <row r="10095" spans="20:25" x14ac:dyDescent="0.25">
      <c r="T10095" s="10"/>
      <c r="U10095" s="4"/>
      <c r="V10095" s="4"/>
      <c r="X10095" s="4"/>
      <c r="Y10095" s="4"/>
    </row>
    <row r="10096" spans="20:25" x14ac:dyDescent="0.25">
      <c r="T10096" s="10"/>
      <c r="U10096" s="4"/>
      <c r="V10096" s="4"/>
      <c r="X10096" s="4"/>
      <c r="Y10096" s="4"/>
    </row>
    <row r="10097" spans="20:25" x14ac:dyDescent="0.25">
      <c r="T10097" s="10"/>
      <c r="U10097" s="4"/>
      <c r="V10097" s="4"/>
      <c r="X10097" s="4"/>
      <c r="Y10097" s="4"/>
    </row>
    <row r="10098" spans="20:25" x14ac:dyDescent="0.25">
      <c r="T10098" s="10"/>
      <c r="U10098" s="4"/>
      <c r="V10098" s="4"/>
      <c r="X10098" s="4"/>
      <c r="Y10098" s="4"/>
    </row>
    <row r="10099" spans="20:25" x14ac:dyDescent="0.25">
      <c r="T10099" s="10"/>
      <c r="U10099" s="4"/>
      <c r="V10099" s="4"/>
      <c r="X10099" s="4"/>
      <c r="Y10099" s="4"/>
    </row>
    <row r="10100" spans="20:25" x14ac:dyDescent="0.25">
      <c r="T10100" s="10"/>
      <c r="U10100" s="4"/>
      <c r="V10100" s="4"/>
      <c r="X10100" s="4"/>
      <c r="Y10100" s="4"/>
    </row>
    <row r="10101" spans="20:25" x14ac:dyDescent="0.25">
      <c r="T10101" s="10"/>
      <c r="U10101" s="4"/>
      <c r="V10101" s="4"/>
      <c r="X10101" s="4"/>
      <c r="Y10101" s="4"/>
    </row>
    <row r="10102" spans="20:25" x14ac:dyDescent="0.25">
      <c r="T10102" s="10"/>
      <c r="U10102" s="4"/>
      <c r="V10102" s="4"/>
      <c r="X10102" s="4"/>
      <c r="Y10102" s="4"/>
    </row>
    <row r="10103" spans="20:25" x14ac:dyDescent="0.25">
      <c r="T10103" s="10"/>
      <c r="U10103" s="4"/>
      <c r="V10103" s="4"/>
      <c r="X10103" s="4"/>
      <c r="Y10103" s="4"/>
    </row>
    <row r="10104" spans="20:25" x14ac:dyDescent="0.25">
      <c r="T10104" s="10"/>
      <c r="U10104" s="4"/>
      <c r="V10104" s="4"/>
      <c r="X10104" s="4"/>
      <c r="Y10104" s="4"/>
    </row>
    <row r="10105" spans="20:25" x14ac:dyDescent="0.25">
      <c r="T10105" s="10"/>
      <c r="U10105" s="4"/>
      <c r="V10105" s="4"/>
      <c r="X10105" s="4"/>
      <c r="Y10105" s="4"/>
    </row>
    <row r="10106" spans="20:25" x14ac:dyDescent="0.25">
      <c r="T10106" s="10"/>
      <c r="U10106" s="4"/>
      <c r="V10106" s="4"/>
      <c r="X10106" s="4"/>
      <c r="Y10106" s="4"/>
    </row>
    <row r="10107" spans="20:25" x14ac:dyDescent="0.25">
      <c r="T10107" s="10"/>
      <c r="U10107" s="4"/>
      <c r="V10107" s="4"/>
      <c r="X10107" s="4"/>
      <c r="Y10107" s="4"/>
    </row>
    <row r="10108" spans="20:25" x14ac:dyDescent="0.25">
      <c r="T10108" s="10"/>
      <c r="U10108" s="4"/>
      <c r="V10108" s="4"/>
      <c r="X10108" s="4"/>
      <c r="Y10108" s="4"/>
    </row>
    <row r="10109" spans="20:25" x14ac:dyDescent="0.25">
      <c r="T10109" s="10"/>
      <c r="U10109" s="4"/>
      <c r="V10109" s="4"/>
      <c r="X10109" s="4"/>
      <c r="Y10109" s="4"/>
    </row>
    <row r="10110" spans="20:25" x14ac:dyDescent="0.25">
      <c r="T10110" s="10"/>
      <c r="U10110" s="4"/>
      <c r="V10110" s="4"/>
      <c r="X10110" s="4"/>
      <c r="Y10110" s="4"/>
    </row>
    <row r="10111" spans="20:25" x14ac:dyDescent="0.25">
      <c r="T10111" s="10"/>
      <c r="U10111" s="4"/>
      <c r="V10111" s="4"/>
      <c r="X10111" s="4"/>
      <c r="Y10111" s="4"/>
    </row>
    <row r="10112" spans="20:25" x14ac:dyDescent="0.25">
      <c r="T10112" s="10"/>
      <c r="U10112" s="4"/>
      <c r="V10112" s="4"/>
      <c r="X10112" s="4"/>
      <c r="Y10112" s="4"/>
    </row>
    <row r="10113" spans="20:25" x14ac:dyDescent="0.25">
      <c r="T10113" s="10"/>
      <c r="U10113" s="4"/>
      <c r="V10113" s="4"/>
      <c r="X10113" s="4"/>
      <c r="Y10113" s="4"/>
    </row>
    <row r="10114" spans="20:25" x14ac:dyDescent="0.25">
      <c r="T10114" s="10"/>
      <c r="U10114" s="4"/>
      <c r="V10114" s="4"/>
      <c r="X10114" s="4"/>
      <c r="Y10114" s="4"/>
    </row>
    <row r="10115" spans="20:25" x14ac:dyDescent="0.25">
      <c r="T10115" s="10"/>
      <c r="U10115" s="4"/>
      <c r="V10115" s="4"/>
      <c r="X10115" s="4"/>
      <c r="Y10115" s="4"/>
    </row>
    <row r="10116" spans="20:25" x14ac:dyDescent="0.25">
      <c r="T10116" s="10"/>
      <c r="U10116" s="4"/>
      <c r="V10116" s="4"/>
      <c r="X10116" s="4"/>
      <c r="Y10116" s="4"/>
    </row>
    <row r="10117" spans="20:25" x14ac:dyDescent="0.25">
      <c r="T10117" s="10"/>
      <c r="U10117" s="4"/>
      <c r="V10117" s="4"/>
      <c r="X10117" s="4"/>
      <c r="Y10117" s="4"/>
    </row>
    <row r="10118" spans="20:25" x14ac:dyDescent="0.25">
      <c r="T10118" s="10"/>
      <c r="U10118" s="4"/>
      <c r="V10118" s="4"/>
      <c r="X10118" s="4"/>
      <c r="Y10118" s="4"/>
    </row>
    <row r="10119" spans="20:25" x14ac:dyDescent="0.25">
      <c r="T10119" s="10"/>
      <c r="U10119" s="4"/>
      <c r="V10119" s="4"/>
      <c r="X10119" s="4"/>
      <c r="Y10119" s="4"/>
    </row>
    <row r="10120" spans="20:25" x14ac:dyDescent="0.25">
      <c r="T10120" s="10"/>
      <c r="U10120" s="4"/>
      <c r="V10120" s="4"/>
      <c r="X10120" s="4"/>
      <c r="Y10120" s="4"/>
    </row>
    <row r="10121" spans="20:25" x14ac:dyDescent="0.25">
      <c r="T10121" s="10"/>
      <c r="U10121" s="4"/>
      <c r="V10121" s="4"/>
      <c r="X10121" s="4"/>
      <c r="Y10121" s="4"/>
    </row>
    <row r="10122" spans="20:25" x14ac:dyDescent="0.25">
      <c r="T10122" s="10"/>
      <c r="U10122" s="4"/>
      <c r="V10122" s="4"/>
      <c r="X10122" s="4"/>
      <c r="Y10122" s="4"/>
    </row>
    <row r="10123" spans="20:25" x14ac:dyDescent="0.25">
      <c r="T10123" s="10"/>
      <c r="U10123" s="4"/>
      <c r="V10123" s="4"/>
      <c r="X10123" s="4"/>
      <c r="Y10123" s="4"/>
    </row>
    <row r="10124" spans="20:25" x14ac:dyDescent="0.25">
      <c r="T10124" s="10"/>
      <c r="U10124" s="4"/>
      <c r="V10124" s="4"/>
      <c r="X10124" s="4"/>
      <c r="Y10124" s="4"/>
    </row>
    <row r="10125" spans="20:25" x14ac:dyDescent="0.25">
      <c r="T10125" s="10"/>
      <c r="U10125" s="4"/>
      <c r="V10125" s="4"/>
      <c r="X10125" s="4"/>
      <c r="Y10125" s="4"/>
    </row>
    <row r="10126" spans="20:25" x14ac:dyDescent="0.25">
      <c r="T10126" s="10"/>
      <c r="U10126" s="4"/>
      <c r="V10126" s="4"/>
      <c r="X10126" s="4"/>
      <c r="Y10126" s="4"/>
    </row>
    <row r="10127" spans="20:25" x14ac:dyDescent="0.25">
      <c r="T10127" s="10"/>
      <c r="U10127" s="4"/>
      <c r="V10127" s="4"/>
      <c r="X10127" s="4"/>
      <c r="Y10127" s="4"/>
    </row>
    <row r="10128" spans="20:25" x14ac:dyDescent="0.25">
      <c r="T10128" s="10"/>
      <c r="U10128" s="4"/>
      <c r="V10128" s="4"/>
      <c r="X10128" s="4"/>
      <c r="Y10128" s="4"/>
    </row>
    <row r="10129" spans="20:25" x14ac:dyDescent="0.25">
      <c r="T10129" s="10"/>
      <c r="U10129" s="4"/>
      <c r="V10129" s="4"/>
      <c r="X10129" s="4"/>
      <c r="Y10129" s="4"/>
    </row>
    <row r="10130" spans="20:25" x14ac:dyDescent="0.25">
      <c r="T10130" s="10"/>
      <c r="U10130" s="4"/>
      <c r="V10130" s="4"/>
      <c r="X10130" s="4"/>
      <c r="Y10130" s="4"/>
    </row>
    <row r="10131" spans="20:25" x14ac:dyDescent="0.25">
      <c r="T10131" s="10"/>
      <c r="U10131" s="4"/>
      <c r="V10131" s="4"/>
      <c r="X10131" s="4"/>
      <c r="Y10131" s="4"/>
    </row>
    <row r="10132" spans="20:25" x14ac:dyDescent="0.25">
      <c r="T10132" s="10"/>
      <c r="U10132" s="4"/>
      <c r="V10132" s="4"/>
      <c r="X10132" s="4"/>
      <c r="Y10132" s="4"/>
    </row>
    <row r="10133" spans="20:25" x14ac:dyDescent="0.25">
      <c r="T10133" s="10"/>
      <c r="U10133" s="4"/>
      <c r="V10133" s="4"/>
      <c r="X10133" s="4"/>
      <c r="Y10133" s="4"/>
    </row>
    <row r="10134" spans="20:25" x14ac:dyDescent="0.25">
      <c r="T10134" s="10"/>
      <c r="U10134" s="4"/>
      <c r="V10134" s="4"/>
      <c r="X10134" s="4"/>
      <c r="Y10134" s="4"/>
    </row>
    <row r="10135" spans="20:25" x14ac:dyDescent="0.25">
      <c r="T10135" s="10"/>
      <c r="U10135" s="4"/>
      <c r="V10135" s="4"/>
      <c r="X10135" s="4"/>
      <c r="Y10135" s="4"/>
    </row>
    <row r="10136" spans="20:25" x14ac:dyDescent="0.25">
      <c r="T10136" s="10"/>
      <c r="U10136" s="4"/>
      <c r="V10136" s="4"/>
      <c r="X10136" s="4"/>
      <c r="Y10136" s="4"/>
    </row>
    <row r="10137" spans="20:25" x14ac:dyDescent="0.25">
      <c r="T10137" s="10"/>
      <c r="U10137" s="4"/>
      <c r="V10137" s="4"/>
      <c r="X10137" s="4"/>
      <c r="Y10137" s="4"/>
    </row>
    <row r="10138" spans="20:25" x14ac:dyDescent="0.25">
      <c r="T10138" s="10"/>
      <c r="U10138" s="4"/>
      <c r="V10138" s="4"/>
      <c r="X10138" s="4"/>
      <c r="Y10138" s="4"/>
    </row>
    <row r="10139" spans="20:25" x14ac:dyDescent="0.25">
      <c r="T10139" s="10"/>
      <c r="U10139" s="4"/>
      <c r="V10139" s="4"/>
      <c r="X10139" s="4"/>
      <c r="Y10139" s="4"/>
    </row>
    <row r="10140" spans="20:25" x14ac:dyDescent="0.25">
      <c r="T10140" s="10"/>
      <c r="U10140" s="4"/>
      <c r="V10140" s="4"/>
      <c r="X10140" s="4"/>
      <c r="Y10140" s="4"/>
    </row>
    <row r="10141" spans="20:25" x14ac:dyDescent="0.25">
      <c r="T10141" s="10"/>
      <c r="U10141" s="4"/>
      <c r="V10141" s="4"/>
      <c r="X10141" s="4"/>
      <c r="Y10141" s="4"/>
    </row>
    <row r="10142" spans="20:25" x14ac:dyDescent="0.25">
      <c r="T10142" s="10"/>
      <c r="U10142" s="4"/>
      <c r="V10142" s="4"/>
      <c r="X10142" s="4"/>
      <c r="Y10142" s="4"/>
    </row>
    <row r="10143" spans="20:25" x14ac:dyDescent="0.25">
      <c r="T10143" s="10"/>
      <c r="U10143" s="4"/>
      <c r="V10143" s="4"/>
      <c r="X10143" s="4"/>
      <c r="Y10143" s="4"/>
    </row>
    <row r="10144" spans="20:25" x14ac:dyDescent="0.25">
      <c r="T10144" s="10"/>
      <c r="U10144" s="4"/>
      <c r="V10144" s="4"/>
      <c r="X10144" s="4"/>
      <c r="Y10144" s="4"/>
    </row>
    <row r="10145" spans="20:25" x14ac:dyDescent="0.25">
      <c r="T10145" s="10"/>
      <c r="U10145" s="4"/>
      <c r="V10145" s="4"/>
      <c r="X10145" s="4"/>
      <c r="Y10145" s="4"/>
    </row>
    <row r="10146" spans="20:25" x14ac:dyDescent="0.25">
      <c r="T10146" s="10"/>
      <c r="U10146" s="4"/>
      <c r="V10146" s="4"/>
      <c r="X10146" s="4"/>
      <c r="Y10146" s="4"/>
    </row>
    <row r="10147" spans="20:25" x14ac:dyDescent="0.25">
      <c r="T10147" s="10"/>
      <c r="U10147" s="4"/>
      <c r="V10147" s="4"/>
      <c r="X10147" s="4"/>
      <c r="Y10147" s="4"/>
    </row>
    <row r="10148" spans="20:25" x14ac:dyDescent="0.25">
      <c r="T10148" s="10"/>
      <c r="U10148" s="4"/>
      <c r="V10148" s="4"/>
      <c r="X10148" s="4"/>
      <c r="Y10148" s="4"/>
    </row>
    <row r="10149" spans="20:25" x14ac:dyDescent="0.25">
      <c r="T10149" s="10"/>
      <c r="U10149" s="4"/>
      <c r="V10149" s="4"/>
      <c r="X10149" s="4"/>
      <c r="Y10149" s="4"/>
    </row>
    <row r="10150" spans="20:25" x14ac:dyDescent="0.25">
      <c r="T10150" s="10"/>
      <c r="U10150" s="4"/>
      <c r="V10150" s="4"/>
      <c r="X10150" s="4"/>
      <c r="Y10150" s="4"/>
    </row>
    <row r="10151" spans="20:25" x14ac:dyDescent="0.25">
      <c r="T10151" s="10"/>
      <c r="U10151" s="4"/>
      <c r="V10151" s="4"/>
      <c r="X10151" s="4"/>
      <c r="Y10151" s="4"/>
    </row>
    <row r="10152" spans="20:25" x14ac:dyDescent="0.25">
      <c r="T10152" s="10"/>
      <c r="U10152" s="4"/>
      <c r="V10152" s="4"/>
      <c r="X10152" s="4"/>
      <c r="Y10152" s="4"/>
    </row>
    <row r="10153" spans="20:25" x14ac:dyDescent="0.25">
      <c r="T10153" s="10"/>
      <c r="U10153" s="4"/>
      <c r="V10153" s="4"/>
      <c r="X10153" s="4"/>
      <c r="Y10153" s="4"/>
    </row>
    <row r="10154" spans="20:25" x14ac:dyDescent="0.25">
      <c r="T10154" s="10"/>
      <c r="U10154" s="4"/>
      <c r="V10154" s="4"/>
      <c r="X10154" s="4"/>
      <c r="Y10154" s="4"/>
    </row>
    <row r="10155" spans="20:25" x14ac:dyDescent="0.25">
      <c r="T10155" s="10"/>
      <c r="U10155" s="4"/>
      <c r="V10155" s="4"/>
      <c r="X10155" s="4"/>
      <c r="Y10155" s="4"/>
    </row>
    <row r="10156" spans="20:25" x14ac:dyDescent="0.25">
      <c r="T10156" s="10"/>
      <c r="U10156" s="4"/>
      <c r="V10156" s="4"/>
      <c r="X10156" s="4"/>
      <c r="Y10156" s="4"/>
    </row>
    <row r="10157" spans="20:25" x14ac:dyDescent="0.25">
      <c r="T10157" s="10"/>
      <c r="U10157" s="4"/>
      <c r="V10157" s="4"/>
      <c r="X10157" s="4"/>
      <c r="Y10157" s="4"/>
    </row>
    <row r="10158" spans="20:25" x14ac:dyDescent="0.25">
      <c r="T10158" s="10"/>
      <c r="U10158" s="4"/>
      <c r="V10158" s="4"/>
      <c r="X10158" s="4"/>
      <c r="Y10158" s="4"/>
    </row>
    <row r="10159" spans="20:25" x14ac:dyDescent="0.25">
      <c r="T10159" s="10"/>
      <c r="U10159" s="4"/>
      <c r="V10159" s="4"/>
      <c r="X10159" s="4"/>
      <c r="Y10159" s="4"/>
    </row>
    <row r="10160" spans="20:25" x14ac:dyDescent="0.25">
      <c r="T10160" s="10"/>
      <c r="U10160" s="4"/>
      <c r="V10160" s="4"/>
      <c r="X10160" s="4"/>
      <c r="Y10160" s="4"/>
    </row>
    <row r="10161" spans="20:25" x14ac:dyDescent="0.25">
      <c r="T10161" s="10"/>
      <c r="U10161" s="4"/>
      <c r="V10161" s="4"/>
      <c r="X10161" s="4"/>
      <c r="Y10161" s="4"/>
    </row>
    <row r="10162" spans="20:25" x14ac:dyDescent="0.25">
      <c r="T10162" s="10"/>
      <c r="U10162" s="4"/>
      <c r="V10162" s="4"/>
      <c r="X10162" s="4"/>
      <c r="Y10162" s="4"/>
    </row>
    <row r="10163" spans="20:25" x14ac:dyDescent="0.25">
      <c r="T10163" s="10"/>
      <c r="U10163" s="4"/>
      <c r="V10163" s="4"/>
      <c r="X10163" s="4"/>
      <c r="Y10163" s="4"/>
    </row>
    <row r="10164" spans="20:25" x14ac:dyDescent="0.25">
      <c r="T10164" s="10"/>
      <c r="U10164" s="4"/>
      <c r="V10164" s="4"/>
      <c r="X10164" s="4"/>
      <c r="Y10164" s="4"/>
    </row>
    <row r="10165" spans="20:25" x14ac:dyDescent="0.25">
      <c r="T10165" s="10"/>
      <c r="U10165" s="4"/>
      <c r="V10165" s="4"/>
      <c r="X10165" s="4"/>
      <c r="Y10165" s="4"/>
    </row>
    <row r="10166" spans="20:25" x14ac:dyDescent="0.25">
      <c r="T10166" s="10"/>
      <c r="U10166" s="4"/>
      <c r="V10166" s="4"/>
      <c r="X10166" s="4"/>
      <c r="Y10166" s="4"/>
    </row>
    <row r="10167" spans="20:25" x14ac:dyDescent="0.25">
      <c r="T10167" s="10"/>
      <c r="U10167" s="4"/>
      <c r="V10167" s="4"/>
      <c r="X10167" s="4"/>
      <c r="Y10167" s="4"/>
    </row>
    <row r="10168" spans="20:25" x14ac:dyDescent="0.25">
      <c r="T10168" s="10"/>
      <c r="U10168" s="4"/>
      <c r="V10168" s="4"/>
      <c r="X10168" s="4"/>
      <c r="Y10168" s="4"/>
    </row>
    <row r="10169" spans="20:25" x14ac:dyDescent="0.25">
      <c r="T10169" s="10"/>
      <c r="U10169" s="4"/>
      <c r="V10169" s="4"/>
      <c r="X10169" s="4"/>
      <c r="Y10169" s="4"/>
    </row>
    <row r="10170" spans="20:25" x14ac:dyDescent="0.25">
      <c r="T10170" s="10"/>
      <c r="U10170" s="4"/>
      <c r="V10170" s="4"/>
      <c r="X10170" s="4"/>
      <c r="Y10170" s="4"/>
    </row>
    <row r="10171" spans="20:25" x14ac:dyDescent="0.25">
      <c r="T10171" s="10"/>
      <c r="U10171" s="4"/>
      <c r="V10171" s="4"/>
      <c r="X10171" s="4"/>
      <c r="Y10171" s="4"/>
    </row>
    <row r="10172" spans="20:25" x14ac:dyDescent="0.25">
      <c r="T10172" s="10"/>
      <c r="U10172" s="4"/>
      <c r="V10172" s="4"/>
      <c r="X10172" s="4"/>
      <c r="Y10172" s="4"/>
    </row>
    <row r="10173" spans="20:25" x14ac:dyDescent="0.25">
      <c r="T10173" s="10"/>
      <c r="U10173" s="4"/>
      <c r="V10173" s="4"/>
      <c r="X10173" s="4"/>
      <c r="Y10173" s="4"/>
    </row>
    <row r="10174" spans="20:25" x14ac:dyDescent="0.25">
      <c r="T10174" s="10"/>
      <c r="U10174" s="4"/>
      <c r="V10174" s="4"/>
      <c r="X10174" s="4"/>
      <c r="Y10174" s="4"/>
    </row>
    <row r="10175" spans="20:25" x14ac:dyDescent="0.25">
      <c r="T10175" s="10"/>
      <c r="U10175" s="4"/>
      <c r="V10175" s="4"/>
      <c r="X10175" s="4"/>
      <c r="Y10175" s="4"/>
    </row>
    <row r="10176" spans="20:25" x14ac:dyDescent="0.25">
      <c r="T10176" s="10"/>
      <c r="U10176" s="4"/>
      <c r="V10176" s="4"/>
      <c r="X10176" s="4"/>
      <c r="Y10176" s="4"/>
    </row>
    <row r="10177" spans="20:25" x14ac:dyDescent="0.25">
      <c r="T10177" s="10"/>
      <c r="U10177" s="4"/>
      <c r="V10177" s="4"/>
      <c r="X10177" s="4"/>
      <c r="Y10177" s="4"/>
    </row>
    <row r="10178" spans="20:25" x14ac:dyDescent="0.25">
      <c r="T10178" s="10"/>
      <c r="U10178" s="4"/>
      <c r="V10178" s="4"/>
      <c r="X10178" s="4"/>
      <c r="Y10178" s="4"/>
    </row>
    <row r="10179" spans="20:25" x14ac:dyDescent="0.25">
      <c r="T10179" s="10"/>
      <c r="U10179" s="4"/>
      <c r="V10179" s="4"/>
      <c r="X10179" s="4"/>
      <c r="Y10179" s="4"/>
    </row>
    <row r="10180" spans="20:25" x14ac:dyDescent="0.25">
      <c r="T10180" s="10"/>
      <c r="U10180" s="4"/>
      <c r="V10180" s="4"/>
      <c r="X10180" s="4"/>
      <c r="Y10180" s="4"/>
    </row>
    <row r="10181" spans="20:25" x14ac:dyDescent="0.25">
      <c r="T10181" s="10"/>
      <c r="U10181" s="4"/>
      <c r="V10181" s="4"/>
      <c r="X10181" s="4"/>
      <c r="Y10181" s="4"/>
    </row>
    <row r="10182" spans="20:25" x14ac:dyDescent="0.25">
      <c r="T10182" s="10"/>
      <c r="U10182" s="4"/>
      <c r="V10182" s="4"/>
      <c r="X10182" s="4"/>
      <c r="Y10182" s="4"/>
    </row>
    <row r="10183" spans="20:25" x14ac:dyDescent="0.25">
      <c r="T10183" s="10"/>
      <c r="U10183" s="4"/>
      <c r="V10183" s="4"/>
      <c r="X10183" s="4"/>
      <c r="Y10183" s="4"/>
    </row>
    <row r="10184" spans="20:25" x14ac:dyDescent="0.25">
      <c r="T10184" s="10"/>
      <c r="U10184" s="4"/>
      <c r="V10184" s="4"/>
      <c r="X10184" s="4"/>
      <c r="Y10184" s="4"/>
    </row>
    <row r="10185" spans="20:25" x14ac:dyDescent="0.25">
      <c r="T10185" s="10"/>
      <c r="U10185" s="4"/>
      <c r="V10185" s="4"/>
      <c r="X10185" s="4"/>
      <c r="Y10185" s="4"/>
    </row>
    <row r="10186" spans="20:25" x14ac:dyDescent="0.25">
      <c r="T10186" s="10"/>
      <c r="U10186" s="4"/>
      <c r="V10186" s="4"/>
      <c r="X10186" s="4"/>
      <c r="Y10186" s="4"/>
    </row>
    <row r="10187" spans="20:25" x14ac:dyDescent="0.25">
      <c r="T10187" s="10"/>
      <c r="U10187" s="4"/>
      <c r="V10187" s="4"/>
      <c r="X10187" s="4"/>
      <c r="Y10187" s="4"/>
    </row>
    <row r="10188" spans="20:25" x14ac:dyDescent="0.25">
      <c r="T10188" s="10"/>
      <c r="U10188" s="4"/>
      <c r="V10188" s="4"/>
      <c r="X10188" s="4"/>
      <c r="Y10188" s="4"/>
    </row>
    <row r="10189" spans="20:25" x14ac:dyDescent="0.25">
      <c r="T10189" s="10"/>
      <c r="U10189" s="4"/>
      <c r="V10189" s="4"/>
      <c r="X10189" s="4"/>
      <c r="Y10189" s="4"/>
    </row>
    <row r="10190" spans="20:25" x14ac:dyDescent="0.25">
      <c r="T10190" s="10"/>
      <c r="U10190" s="4"/>
      <c r="V10190" s="4"/>
      <c r="X10190" s="4"/>
      <c r="Y10190" s="4"/>
    </row>
    <row r="10191" spans="20:25" x14ac:dyDescent="0.25">
      <c r="T10191" s="10"/>
      <c r="U10191" s="4"/>
      <c r="V10191" s="4"/>
      <c r="X10191" s="4"/>
      <c r="Y10191" s="4"/>
    </row>
    <row r="10192" spans="20:25" x14ac:dyDescent="0.25">
      <c r="T10192" s="10"/>
      <c r="U10192" s="4"/>
      <c r="V10192" s="4"/>
      <c r="X10192" s="4"/>
      <c r="Y10192" s="4"/>
    </row>
    <row r="10193" spans="20:25" x14ac:dyDescent="0.25">
      <c r="T10193" s="10"/>
      <c r="U10193" s="4"/>
      <c r="V10193" s="4"/>
      <c r="X10193" s="4"/>
      <c r="Y10193" s="4"/>
    </row>
    <row r="10194" spans="20:25" x14ac:dyDescent="0.25">
      <c r="T10194" s="10"/>
      <c r="U10194" s="4"/>
      <c r="V10194" s="4"/>
      <c r="X10194" s="4"/>
      <c r="Y10194" s="4"/>
    </row>
    <row r="10195" spans="20:25" x14ac:dyDescent="0.25">
      <c r="T10195" s="10"/>
      <c r="U10195" s="4"/>
      <c r="V10195" s="4"/>
      <c r="X10195" s="4"/>
      <c r="Y10195" s="4"/>
    </row>
    <row r="10196" spans="20:25" x14ac:dyDescent="0.25">
      <c r="T10196" s="10"/>
      <c r="U10196" s="4"/>
      <c r="V10196" s="4"/>
      <c r="X10196" s="4"/>
      <c r="Y10196" s="4"/>
    </row>
    <row r="10197" spans="20:25" x14ac:dyDescent="0.25">
      <c r="T10197" s="10"/>
      <c r="U10197" s="4"/>
      <c r="V10197" s="4"/>
      <c r="X10197" s="4"/>
      <c r="Y10197" s="4"/>
    </row>
    <row r="10198" spans="20:25" x14ac:dyDescent="0.25">
      <c r="T10198" s="10"/>
      <c r="U10198" s="4"/>
      <c r="V10198" s="4"/>
      <c r="X10198" s="4"/>
      <c r="Y10198" s="4"/>
    </row>
    <row r="10199" spans="20:25" x14ac:dyDescent="0.25">
      <c r="T10199" s="10"/>
      <c r="U10199" s="4"/>
      <c r="V10199" s="4"/>
      <c r="X10199" s="4"/>
      <c r="Y10199" s="4"/>
    </row>
    <row r="10200" spans="20:25" x14ac:dyDescent="0.25">
      <c r="T10200" s="10"/>
      <c r="U10200" s="4"/>
      <c r="V10200" s="4"/>
      <c r="X10200" s="4"/>
      <c r="Y10200" s="4"/>
    </row>
    <row r="10201" spans="20:25" x14ac:dyDescent="0.25">
      <c r="T10201" s="10"/>
      <c r="U10201" s="4"/>
      <c r="V10201" s="4"/>
      <c r="X10201" s="4"/>
      <c r="Y10201" s="4"/>
    </row>
    <row r="10202" spans="20:25" x14ac:dyDescent="0.25">
      <c r="T10202" s="10"/>
      <c r="U10202" s="4"/>
      <c r="V10202" s="4"/>
      <c r="X10202" s="4"/>
      <c r="Y10202" s="4"/>
    </row>
    <row r="10203" spans="20:25" x14ac:dyDescent="0.25">
      <c r="T10203" s="10"/>
      <c r="U10203" s="4"/>
      <c r="V10203" s="4"/>
      <c r="X10203" s="4"/>
      <c r="Y10203" s="4"/>
    </row>
    <row r="10204" spans="20:25" x14ac:dyDescent="0.25">
      <c r="T10204" s="10"/>
      <c r="U10204" s="4"/>
      <c r="V10204" s="4"/>
      <c r="X10204" s="4"/>
      <c r="Y10204" s="4"/>
    </row>
    <row r="10205" spans="20:25" x14ac:dyDescent="0.25">
      <c r="T10205" s="10"/>
      <c r="U10205" s="4"/>
      <c r="V10205" s="4"/>
      <c r="X10205" s="4"/>
      <c r="Y10205" s="4"/>
    </row>
    <row r="10206" spans="20:25" x14ac:dyDescent="0.25">
      <c r="T10206" s="10"/>
      <c r="U10206" s="4"/>
      <c r="V10206" s="4"/>
      <c r="X10206" s="4"/>
      <c r="Y10206" s="4"/>
    </row>
    <row r="10207" spans="20:25" x14ac:dyDescent="0.25">
      <c r="T10207" s="10"/>
      <c r="U10207" s="4"/>
      <c r="V10207" s="4"/>
      <c r="X10207" s="4"/>
      <c r="Y10207" s="4"/>
    </row>
    <row r="10208" spans="20:25" x14ac:dyDescent="0.25">
      <c r="T10208" s="10"/>
      <c r="U10208" s="4"/>
      <c r="V10208" s="4"/>
      <c r="X10208" s="4"/>
      <c r="Y10208" s="4"/>
    </row>
    <row r="10209" spans="20:25" x14ac:dyDescent="0.25">
      <c r="T10209" s="10"/>
      <c r="U10209" s="4"/>
      <c r="V10209" s="4"/>
      <c r="X10209" s="4"/>
      <c r="Y10209" s="4"/>
    </row>
    <row r="10210" spans="20:25" x14ac:dyDescent="0.25">
      <c r="T10210" s="10"/>
      <c r="U10210" s="4"/>
      <c r="V10210" s="4"/>
      <c r="X10210" s="4"/>
      <c r="Y10210" s="4"/>
    </row>
    <row r="10211" spans="20:25" x14ac:dyDescent="0.25">
      <c r="T10211" s="10"/>
      <c r="U10211" s="4"/>
      <c r="V10211" s="4"/>
      <c r="X10211" s="4"/>
      <c r="Y10211" s="4"/>
    </row>
    <row r="10212" spans="20:25" x14ac:dyDescent="0.25">
      <c r="T10212" s="10"/>
      <c r="U10212" s="4"/>
      <c r="V10212" s="4"/>
      <c r="X10212" s="4"/>
      <c r="Y10212" s="4"/>
    </row>
    <row r="10213" spans="20:25" x14ac:dyDescent="0.25">
      <c r="T10213" s="10"/>
      <c r="U10213" s="4"/>
      <c r="V10213" s="4"/>
      <c r="X10213" s="4"/>
      <c r="Y10213" s="4"/>
    </row>
    <row r="10214" spans="20:25" x14ac:dyDescent="0.25">
      <c r="T10214" s="10"/>
      <c r="U10214" s="4"/>
      <c r="V10214" s="4"/>
      <c r="X10214" s="4"/>
      <c r="Y10214" s="4"/>
    </row>
    <row r="10215" spans="20:25" x14ac:dyDescent="0.25">
      <c r="T10215" s="10"/>
      <c r="U10215" s="4"/>
      <c r="V10215" s="4"/>
      <c r="X10215" s="4"/>
      <c r="Y10215" s="4"/>
    </row>
    <row r="10216" spans="20:25" x14ac:dyDescent="0.25">
      <c r="T10216" s="10"/>
      <c r="U10216" s="4"/>
      <c r="V10216" s="4"/>
      <c r="X10216" s="4"/>
      <c r="Y10216" s="4"/>
    </row>
    <row r="10217" spans="20:25" x14ac:dyDescent="0.25">
      <c r="T10217" s="10"/>
      <c r="U10217" s="4"/>
      <c r="V10217" s="4"/>
      <c r="X10217" s="4"/>
      <c r="Y10217" s="4"/>
    </row>
    <row r="10218" spans="20:25" x14ac:dyDescent="0.25">
      <c r="T10218" s="10"/>
      <c r="U10218" s="4"/>
      <c r="V10218" s="4"/>
      <c r="X10218" s="4"/>
      <c r="Y10218" s="4"/>
    </row>
    <row r="10219" spans="20:25" x14ac:dyDescent="0.25">
      <c r="T10219" s="10"/>
      <c r="U10219" s="4"/>
      <c r="V10219" s="4"/>
      <c r="X10219" s="4"/>
      <c r="Y10219" s="4"/>
    </row>
    <row r="10220" spans="20:25" x14ac:dyDescent="0.25">
      <c r="T10220" s="10"/>
      <c r="U10220" s="4"/>
      <c r="V10220" s="4"/>
      <c r="X10220" s="4"/>
      <c r="Y10220" s="4"/>
    </row>
    <row r="10221" spans="20:25" x14ac:dyDescent="0.25">
      <c r="T10221" s="10"/>
      <c r="U10221" s="4"/>
      <c r="V10221" s="4"/>
      <c r="X10221" s="4"/>
      <c r="Y10221" s="4"/>
    </row>
    <row r="10222" spans="20:25" x14ac:dyDescent="0.25">
      <c r="T10222" s="10"/>
      <c r="U10222" s="4"/>
      <c r="V10222" s="4"/>
      <c r="X10222" s="4"/>
      <c r="Y10222" s="4"/>
    </row>
    <row r="10223" spans="20:25" x14ac:dyDescent="0.25">
      <c r="T10223" s="10"/>
      <c r="U10223" s="4"/>
      <c r="V10223" s="4"/>
      <c r="X10223" s="4"/>
      <c r="Y10223" s="4"/>
    </row>
    <row r="10224" spans="20:25" x14ac:dyDescent="0.25">
      <c r="T10224" s="10"/>
      <c r="U10224" s="4"/>
      <c r="V10224" s="4"/>
      <c r="X10224" s="4"/>
      <c r="Y10224" s="4"/>
    </row>
    <row r="10225" spans="20:25" x14ac:dyDescent="0.25">
      <c r="T10225" s="10"/>
      <c r="U10225" s="4"/>
      <c r="V10225" s="4"/>
      <c r="X10225" s="4"/>
      <c r="Y10225" s="4"/>
    </row>
    <row r="10226" spans="20:25" x14ac:dyDescent="0.25">
      <c r="T10226" s="10"/>
      <c r="U10226" s="4"/>
      <c r="V10226" s="4"/>
      <c r="X10226" s="4"/>
      <c r="Y10226" s="4"/>
    </row>
    <row r="10227" spans="20:25" x14ac:dyDescent="0.25">
      <c r="T10227" s="10"/>
      <c r="U10227" s="4"/>
      <c r="V10227" s="4"/>
      <c r="X10227" s="4"/>
      <c r="Y10227" s="4"/>
    </row>
    <row r="10228" spans="20:25" x14ac:dyDescent="0.25">
      <c r="T10228" s="10"/>
      <c r="U10228" s="4"/>
      <c r="V10228" s="4"/>
      <c r="X10228" s="4"/>
      <c r="Y10228" s="4"/>
    </row>
    <row r="10229" spans="20:25" x14ac:dyDescent="0.25">
      <c r="T10229" s="10"/>
      <c r="U10229" s="4"/>
      <c r="V10229" s="4"/>
      <c r="X10229" s="4"/>
      <c r="Y10229" s="4"/>
    </row>
    <row r="10230" spans="20:25" x14ac:dyDescent="0.25">
      <c r="T10230" s="10"/>
      <c r="U10230" s="4"/>
      <c r="V10230" s="4"/>
      <c r="X10230" s="4"/>
      <c r="Y10230" s="4"/>
    </row>
    <row r="10231" spans="20:25" x14ac:dyDescent="0.25">
      <c r="T10231" s="10"/>
      <c r="U10231" s="4"/>
      <c r="V10231" s="4"/>
      <c r="X10231" s="4"/>
      <c r="Y10231" s="4"/>
    </row>
    <row r="10232" spans="20:25" x14ac:dyDescent="0.25">
      <c r="T10232" s="10"/>
      <c r="U10232" s="4"/>
      <c r="V10232" s="4"/>
      <c r="X10232" s="4"/>
      <c r="Y10232" s="4"/>
    </row>
    <row r="10233" spans="20:25" x14ac:dyDescent="0.25">
      <c r="T10233" s="10"/>
      <c r="U10233" s="4"/>
      <c r="V10233" s="4"/>
      <c r="X10233" s="4"/>
      <c r="Y10233" s="4"/>
    </row>
    <row r="10234" spans="20:25" x14ac:dyDescent="0.25">
      <c r="T10234" s="10"/>
      <c r="U10234" s="4"/>
      <c r="V10234" s="4"/>
      <c r="X10234" s="4"/>
      <c r="Y10234" s="4"/>
    </row>
    <row r="10235" spans="20:25" x14ac:dyDescent="0.25">
      <c r="T10235" s="10"/>
      <c r="U10235" s="4"/>
      <c r="V10235" s="4"/>
      <c r="X10235" s="4"/>
      <c r="Y10235" s="4"/>
    </row>
    <row r="10236" spans="20:25" x14ac:dyDescent="0.25">
      <c r="T10236" s="10"/>
      <c r="U10236" s="4"/>
      <c r="V10236" s="4"/>
      <c r="X10236" s="4"/>
      <c r="Y10236" s="4"/>
    </row>
    <row r="10237" spans="20:25" x14ac:dyDescent="0.25">
      <c r="T10237" s="10"/>
      <c r="U10237" s="4"/>
      <c r="V10237" s="4"/>
      <c r="X10237" s="4"/>
      <c r="Y10237" s="4"/>
    </row>
    <row r="10238" spans="20:25" x14ac:dyDescent="0.25">
      <c r="T10238" s="10"/>
      <c r="U10238" s="4"/>
      <c r="V10238" s="4"/>
      <c r="X10238" s="4"/>
      <c r="Y10238" s="4"/>
    </row>
    <row r="10239" spans="20:25" x14ac:dyDescent="0.25">
      <c r="T10239" s="10"/>
      <c r="U10239" s="4"/>
      <c r="V10239" s="4"/>
      <c r="X10239" s="4"/>
      <c r="Y10239" s="4"/>
    </row>
    <row r="10240" spans="20:25" x14ac:dyDescent="0.25">
      <c r="T10240" s="10"/>
      <c r="U10240" s="4"/>
      <c r="V10240" s="4"/>
      <c r="X10240" s="4"/>
      <c r="Y10240" s="4"/>
    </row>
    <row r="10241" spans="20:25" x14ac:dyDescent="0.25">
      <c r="T10241" s="10"/>
      <c r="U10241" s="4"/>
      <c r="V10241" s="4"/>
      <c r="X10241" s="4"/>
      <c r="Y10241" s="4"/>
    </row>
    <row r="10242" spans="20:25" x14ac:dyDescent="0.25">
      <c r="T10242" s="10"/>
      <c r="U10242" s="4"/>
      <c r="V10242" s="4"/>
      <c r="X10242" s="4"/>
      <c r="Y10242" s="4"/>
    </row>
    <row r="10243" spans="20:25" x14ac:dyDescent="0.25">
      <c r="T10243" s="10"/>
      <c r="U10243" s="4"/>
      <c r="V10243" s="4"/>
      <c r="X10243" s="4"/>
      <c r="Y10243" s="4"/>
    </row>
    <row r="10244" spans="20:25" x14ac:dyDescent="0.25">
      <c r="T10244" s="10"/>
      <c r="U10244" s="4"/>
      <c r="V10244" s="4"/>
      <c r="X10244" s="4"/>
      <c r="Y10244" s="4"/>
    </row>
    <row r="10245" spans="20:25" x14ac:dyDescent="0.25">
      <c r="T10245" s="10"/>
      <c r="U10245" s="4"/>
      <c r="V10245" s="4"/>
      <c r="X10245" s="4"/>
      <c r="Y10245" s="4"/>
    </row>
    <row r="10246" spans="20:25" x14ac:dyDescent="0.25">
      <c r="T10246" s="10"/>
      <c r="U10246" s="4"/>
      <c r="V10246" s="4"/>
      <c r="X10246" s="4"/>
      <c r="Y10246" s="4"/>
    </row>
    <row r="10247" spans="20:25" x14ac:dyDescent="0.25">
      <c r="T10247" s="10"/>
      <c r="U10247" s="4"/>
      <c r="V10247" s="4"/>
      <c r="X10247" s="4"/>
      <c r="Y10247" s="4"/>
    </row>
    <row r="10248" spans="20:25" x14ac:dyDescent="0.25">
      <c r="T10248" s="10"/>
      <c r="U10248" s="4"/>
      <c r="V10248" s="4"/>
      <c r="X10248" s="4"/>
      <c r="Y10248" s="4"/>
    </row>
    <row r="10249" spans="20:25" x14ac:dyDescent="0.25">
      <c r="T10249" s="10"/>
      <c r="U10249" s="4"/>
      <c r="V10249" s="4"/>
      <c r="X10249" s="4"/>
      <c r="Y10249" s="4"/>
    </row>
    <row r="10250" spans="20:25" x14ac:dyDescent="0.25">
      <c r="T10250" s="10"/>
      <c r="U10250" s="4"/>
      <c r="V10250" s="4"/>
      <c r="X10250" s="4"/>
      <c r="Y10250" s="4"/>
    </row>
    <row r="10251" spans="20:25" x14ac:dyDescent="0.25">
      <c r="T10251" s="10"/>
      <c r="U10251" s="4"/>
      <c r="V10251" s="4"/>
      <c r="X10251" s="4"/>
      <c r="Y10251" s="4"/>
    </row>
    <row r="10252" spans="20:25" x14ac:dyDescent="0.25">
      <c r="T10252" s="10"/>
      <c r="U10252" s="4"/>
      <c r="V10252" s="4"/>
      <c r="X10252" s="4"/>
      <c r="Y10252" s="4"/>
    </row>
    <row r="10253" spans="20:25" x14ac:dyDescent="0.25">
      <c r="T10253" s="10"/>
      <c r="U10253" s="4"/>
      <c r="V10253" s="4"/>
      <c r="X10253" s="4"/>
      <c r="Y10253" s="4"/>
    </row>
    <row r="10254" spans="20:25" x14ac:dyDescent="0.25">
      <c r="T10254" s="10"/>
      <c r="U10254" s="4"/>
      <c r="V10254" s="4"/>
      <c r="X10254" s="4"/>
      <c r="Y10254" s="4"/>
    </row>
    <row r="10255" spans="20:25" x14ac:dyDescent="0.25">
      <c r="T10255" s="10"/>
      <c r="U10255" s="4"/>
      <c r="V10255" s="4"/>
      <c r="X10255" s="4"/>
      <c r="Y10255" s="4"/>
    </row>
    <row r="10256" spans="20:25" x14ac:dyDescent="0.25">
      <c r="T10256" s="10"/>
      <c r="U10256" s="4"/>
      <c r="V10256" s="4"/>
      <c r="X10256" s="4"/>
      <c r="Y10256" s="4"/>
    </row>
    <row r="10257" spans="20:25" x14ac:dyDescent="0.25">
      <c r="T10257" s="10"/>
      <c r="U10257" s="4"/>
      <c r="V10257" s="4"/>
      <c r="X10257" s="4"/>
      <c r="Y10257" s="4"/>
    </row>
    <row r="10258" spans="20:25" x14ac:dyDescent="0.25">
      <c r="T10258" s="10"/>
      <c r="U10258" s="4"/>
      <c r="V10258" s="4"/>
      <c r="X10258" s="4"/>
      <c r="Y10258" s="4"/>
    </row>
    <row r="10259" spans="20:25" x14ac:dyDescent="0.25">
      <c r="T10259" s="10"/>
      <c r="U10259" s="4"/>
      <c r="V10259" s="4"/>
      <c r="X10259" s="4"/>
      <c r="Y10259" s="4"/>
    </row>
    <row r="10260" spans="20:25" x14ac:dyDescent="0.25">
      <c r="T10260" s="10"/>
      <c r="U10260" s="4"/>
      <c r="V10260" s="4"/>
      <c r="X10260" s="4"/>
      <c r="Y10260" s="4"/>
    </row>
    <row r="10261" spans="20:25" x14ac:dyDescent="0.25">
      <c r="T10261" s="10"/>
      <c r="U10261" s="4"/>
      <c r="V10261" s="4"/>
      <c r="X10261" s="4"/>
      <c r="Y10261" s="4"/>
    </row>
    <row r="10262" spans="20:25" x14ac:dyDescent="0.25">
      <c r="T10262" s="10"/>
      <c r="U10262" s="4"/>
      <c r="V10262" s="4"/>
      <c r="X10262" s="4"/>
      <c r="Y10262" s="4"/>
    </row>
    <row r="10263" spans="20:25" x14ac:dyDescent="0.25">
      <c r="T10263" s="10"/>
      <c r="U10263" s="4"/>
      <c r="V10263" s="4"/>
      <c r="X10263" s="4"/>
      <c r="Y10263" s="4"/>
    </row>
    <row r="10264" spans="20:25" x14ac:dyDescent="0.25">
      <c r="T10264" s="10"/>
      <c r="U10264" s="4"/>
      <c r="V10264" s="4"/>
      <c r="X10264" s="4"/>
      <c r="Y10264" s="4"/>
    </row>
    <row r="10265" spans="20:25" x14ac:dyDescent="0.25">
      <c r="T10265" s="10"/>
      <c r="U10265" s="4"/>
      <c r="V10265" s="4"/>
      <c r="X10265" s="4"/>
      <c r="Y10265" s="4"/>
    </row>
    <row r="10266" spans="20:25" x14ac:dyDescent="0.25">
      <c r="T10266" s="10"/>
      <c r="U10266" s="4"/>
      <c r="V10266" s="4"/>
      <c r="X10266" s="4"/>
      <c r="Y10266" s="4"/>
    </row>
    <row r="10267" spans="20:25" x14ac:dyDescent="0.25">
      <c r="T10267" s="10"/>
      <c r="U10267" s="4"/>
      <c r="V10267" s="4"/>
      <c r="X10267" s="4"/>
      <c r="Y10267" s="4"/>
    </row>
    <row r="10268" spans="20:25" x14ac:dyDescent="0.25">
      <c r="T10268" s="10"/>
      <c r="U10268" s="4"/>
      <c r="V10268" s="4"/>
      <c r="X10268" s="4"/>
      <c r="Y10268" s="4"/>
    </row>
    <row r="10269" spans="20:25" x14ac:dyDescent="0.25">
      <c r="T10269" s="10"/>
      <c r="U10269" s="4"/>
      <c r="V10269" s="4"/>
      <c r="X10269" s="4"/>
      <c r="Y10269" s="4"/>
    </row>
    <row r="10270" spans="20:25" x14ac:dyDescent="0.25">
      <c r="T10270" s="10"/>
      <c r="U10270" s="4"/>
      <c r="V10270" s="4"/>
      <c r="X10270" s="4"/>
      <c r="Y10270" s="4"/>
    </row>
    <row r="10271" spans="20:25" x14ac:dyDescent="0.25">
      <c r="T10271" s="10"/>
      <c r="U10271" s="4"/>
      <c r="V10271" s="4"/>
      <c r="X10271" s="4"/>
      <c r="Y10271" s="4"/>
    </row>
    <row r="10272" spans="20:25" x14ac:dyDescent="0.25">
      <c r="T10272" s="10"/>
      <c r="U10272" s="4"/>
      <c r="V10272" s="4"/>
      <c r="X10272" s="4"/>
      <c r="Y10272" s="4"/>
    </row>
    <row r="10273" spans="20:25" x14ac:dyDescent="0.25">
      <c r="T10273" s="10"/>
      <c r="U10273" s="4"/>
      <c r="V10273" s="4"/>
      <c r="X10273" s="4"/>
      <c r="Y10273" s="4"/>
    </row>
    <row r="10274" spans="20:25" x14ac:dyDescent="0.25">
      <c r="T10274" s="10"/>
      <c r="U10274" s="4"/>
      <c r="V10274" s="4"/>
      <c r="X10274" s="4"/>
      <c r="Y10274" s="4"/>
    </row>
    <row r="10275" spans="20:25" x14ac:dyDescent="0.25">
      <c r="T10275" s="10"/>
      <c r="U10275" s="4"/>
      <c r="V10275" s="4"/>
      <c r="X10275" s="4"/>
      <c r="Y10275" s="4"/>
    </row>
    <row r="10276" spans="20:25" x14ac:dyDescent="0.25">
      <c r="T10276" s="10"/>
      <c r="U10276" s="4"/>
      <c r="V10276" s="4"/>
      <c r="X10276" s="4"/>
      <c r="Y10276" s="4"/>
    </row>
    <row r="10277" spans="20:25" x14ac:dyDescent="0.25">
      <c r="T10277" s="10"/>
      <c r="U10277" s="4"/>
      <c r="V10277" s="4"/>
      <c r="X10277" s="4"/>
      <c r="Y10277" s="4"/>
    </row>
    <row r="10278" spans="20:25" x14ac:dyDescent="0.25">
      <c r="T10278" s="10"/>
      <c r="U10278" s="4"/>
      <c r="V10278" s="4"/>
      <c r="X10278" s="4"/>
      <c r="Y10278" s="4"/>
    </row>
    <row r="10279" spans="20:25" x14ac:dyDescent="0.25">
      <c r="T10279" s="10"/>
      <c r="U10279" s="4"/>
      <c r="V10279" s="4"/>
      <c r="X10279" s="4"/>
      <c r="Y10279" s="4"/>
    </row>
    <row r="10280" spans="20:25" x14ac:dyDescent="0.25">
      <c r="T10280" s="10"/>
      <c r="U10280" s="4"/>
      <c r="V10280" s="4"/>
      <c r="X10280" s="4"/>
      <c r="Y10280" s="4"/>
    </row>
    <row r="10281" spans="20:25" x14ac:dyDescent="0.25">
      <c r="T10281" s="10"/>
      <c r="U10281" s="4"/>
      <c r="V10281" s="4"/>
      <c r="X10281" s="4"/>
      <c r="Y10281" s="4"/>
    </row>
    <row r="10282" spans="20:25" x14ac:dyDescent="0.25">
      <c r="T10282" s="10"/>
      <c r="U10282" s="4"/>
      <c r="V10282" s="4"/>
      <c r="X10282" s="4"/>
      <c r="Y10282" s="4"/>
    </row>
    <row r="10283" spans="20:25" x14ac:dyDescent="0.25">
      <c r="T10283" s="10"/>
      <c r="U10283" s="4"/>
      <c r="V10283" s="4"/>
      <c r="X10283" s="4"/>
      <c r="Y10283" s="4"/>
    </row>
    <row r="10284" spans="20:25" x14ac:dyDescent="0.25">
      <c r="T10284" s="10"/>
      <c r="U10284" s="4"/>
      <c r="V10284" s="4"/>
      <c r="X10284" s="4"/>
      <c r="Y10284" s="4"/>
    </row>
    <row r="10285" spans="20:25" x14ac:dyDescent="0.25">
      <c r="T10285" s="10"/>
      <c r="U10285" s="4"/>
      <c r="V10285" s="4"/>
      <c r="X10285" s="4"/>
      <c r="Y10285" s="4"/>
    </row>
    <row r="10286" spans="20:25" x14ac:dyDescent="0.25">
      <c r="T10286" s="10"/>
      <c r="U10286" s="4"/>
      <c r="V10286" s="4"/>
      <c r="X10286" s="4"/>
      <c r="Y10286" s="4"/>
    </row>
    <row r="10287" spans="20:25" x14ac:dyDescent="0.25">
      <c r="T10287" s="10"/>
      <c r="U10287" s="4"/>
      <c r="V10287" s="4"/>
      <c r="X10287" s="4"/>
      <c r="Y10287" s="4"/>
    </row>
    <row r="10288" spans="20:25" x14ac:dyDescent="0.25">
      <c r="T10288" s="10"/>
      <c r="U10288" s="4"/>
      <c r="V10288" s="4"/>
      <c r="X10288" s="4"/>
      <c r="Y10288" s="4"/>
    </row>
    <row r="10289" spans="20:25" x14ac:dyDescent="0.25">
      <c r="T10289" s="10"/>
      <c r="U10289" s="4"/>
      <c r="V10289" s="4"/>
      <c r="X10289" s="4"/>
      <c r="Y10289" s="4"/>
    </row>
    <row r="10290" spans="20:25" x14ac:dyDescent="0.25">
      <c r="T10290" s="10"/>
      <c r="U10290" s="4"/>
      <c r="V10290" s="4"/>
      <c r="X10290" s="4"/>
      <c r="Y10290" s="4"/>
    </row>
    <row r="10291" spans="20:25" x14ac:dyDescent="0.25">
      <c r="T10291" s="10"/>
      <c r="U10291" s="4"/>
      <c r="V10291" s="4"/>
      <c r="X10291" s="4"/>
      <c r="Y10291" s="4"/>
    </row>
    <row r="10292" spans="20:25" x14ac:dyDescent="0.25">
      <c r="T10292" s="10"/>
      <c r="U10292" s="4"/>
      <c r="V10292" s="4"/>
      <c r="X10292" s="4"/>
      <c r="Y10292" s="4"/>
    </row>
    <row r="10293" spans="20:25" x14ac:dyDescent="0.25">
      <c r="T10293" s="10"/>
      <c r="U10293" s="4"/>
      <c r="V10293" s="4"/>
      <c r="X10293" s="4"/>
      <c r="Y10293" s="4"/>
    </row>
    <row r="10294" spans="20:25" x14ac:dyDescent="0.25">
      <c r="T10294" s="10"/>
      <c r="U10294" s="4"/>
      <c r="V10294" s="4"/>
      <c r="X10294" s="4"/>
      <c r="Y10294" s="4"/>
    </row>
    <row r="10295" spans="20:25" x14ac:dyDescent="0.25">
      <c r="T10295" s="10"/>
      <c r="U10295" s="4"/>
      <c r="V10295" s="4"/>
      <c r="X10295" s="4"/>
      <c r="Y10295" s="4"/>
    </row>
    <row r="10296" spans="20:25" x14ac:dyDescent="0.25">
      <c r="T10296" s="10"/>
      <c r="U10296" s="4"/>
      <c r="V10296" s="4"/>
      <c r="X10296" s="4"/>
      <c r="Y10296" s="4"/>
    </row>
    <row r="10297" spans="20:25" x14ac:dyDescent="0.25">
      <c r="T10297" s="10"/>
      <c r="U10297" s="4"/>
      <c r="V10297" s="4"/>
      <c r="X10297" s="4"/>
      <c r="Y10297" s="4"/>
    </row>
    <row r="10298" spans="20:25" x14ac:dyDescent="0.25">
      <c r="T10298" s="10"/>
      <c r="U10298" s="4"/>
      <c r="V10298" s="4"/>
      <c r="X10298" s="4"/>
      <c r="Y10298" s="4"/>
    </row>
    <row r="10299" spans="20:25" x14ac:dyDescent="0.25">
      <c r="T10299" s="10"/>
      <c r="U10299" s="4"/>
      <c r="V10299" s="4"/>
      <c r="X10299" s="4"/>
      <c r="Y10299" s="4"/>
    </row>
    <row r="10300" spans="20:25" x14ac:dyDescent="0.25">
      <c r="T10300" s="10"/>
      <c r="U10300" s="4"/>
      <c r="V10300" s="4"/>
      <c r="X10300" s="4"/>
      <c r="Y10300" s="4"/>
    </row>
    <row r="10301" spans="20:25" x14ac:dyDescent="0.25">
      <c r="T10301" s="10"/>
      <c r="U10301" s="4"/>
      <c r="V10301" s="4"/>
      <c r="X10301" s="4"/>
      <c r="Y10301" s="4"/>
    </row>
    <row r="10302" spans="20:25" x14ac:dyDescent="0.25">
      <c r="T10302" s="10"/>
      <c r="U10302" s="4"/>
      <c r="V10302" s="4"/>
      <c r="X10302" s="4"/>
      <c r="Y10302" s="4"/>
    </row>
    <row r="10303" spans="20:25" x14ac:dyDescent="0.25">
      <c r="T10303" s="10"/>
      <c r="U10303" s="4"/>
      <c r="V10303" s="4"/>
      <c r="X10303" s="4"/>
      <c r="Y10303" s="4"/>
    </row>
    <row r="10304" spans="20:25" x14ac:dyDescent="0.25">
      <c r="T10304" s="10"/>
      <c r="U10304" s="4"/>
      <c r="V10304" s="4"/>
      <c r="X10304" s="4"/>
      <c r="Y10304" s="4"/>
    </row>
    <row r="10305" spans="20:25" x14ac:dyDescent="0.25">
      <c r="T10305" s="10"/>
      <c r="U10305" s="4"/>
      <c r="V10305" s="4"/>
      <c r="X10305" s="4"/>
      <c r="Y10305" s="4"/>
    </row>
    <row r="10306" spans="20:25" x14ac:dyDescent="0.25">
      <c r="T10306" s="10"/>
      <c r="U10306" s="4"/>
      <c r="V10306" s="4"/>
      <c r="X10306" s="4"/>
      <c r="Y10306" s="4"/>
    </row>
    <row r="10307" spans="20:25" x14ac:dyDescent="0.25">
      <c r="T10307" s="10"/>
      <c r="U10307" s="4"/>
      <c r="V10307" s="4"/>
      <c r="X10307" s="4"/>
      <c r="Y10307" s="4"/>
    </row>
    <row r="10308" spans="20:25" x14ac:dyDescent="0.25">
      <c r="T10308" s="10"/>
      <c r="U10308" s="4"/>
      <c r="V10308" s="4"/>
      <c r="X10308" s="4"/>
      <c r="Y10308" s="4"/>
    </row>
    <row r="10309" spans="20:25" x14ac:dyDescent="0.25">
      <c r="T10309" s="10"/>
      <c r="U10309" s="4"/>
      <c r="V10309" s="4"/>
      <c r="X10309" s="4"/>
      <c r="Y10309" s="4"/>
    </row>
    <row r="10310" spans="20:25" x14ac:dyDescent="0.25">
      <c r="T10310" s="10"/>
      <c r="U10310" s="4"/>
      <c r="V10310" s="4"/>
      <c r="X10310" s="4"/>
      <c r="Y10310" s="4"/>
    </row>
    <row r="10311" spans="20:25" x14ac:dyDescent="0.25">
      <c r="T10311" s="10"/>
      <c r="U10311" s="4"/>
      <c r="V10311" s="4"/>
      <c r="X10311" s="4"/>
      <c r="Y10311" s="4"/>
    </row>
    <row r="10312" spans="20:25" x14ac:dyDescent="0.25">
      <c r="T10312" s="10"/>
      <c r="U10312" s="4"/>
      <c r="V10312" s="4"/>
      <c r="X10312" s="4"/>
      <c r="Y10312" s="4"/>
    </row>
    <row r="10313" spans="20:25" x14ac:dyDescent="0.25">
      <c r="T10313" s="10"/>
      <c r="U10313" s="4"/>
      <c r="V10313" s="4"/>
      <c r="X10313" s="4"/>
      <c r="Y10313" s="4"/>
    </row>
    <row r="10314" spans="20:25" x14ac:dyDescent="0.25">
      <c r="T10314" s="10"/>
      <c r="U10314" s="4"/>
      <c r="V10314" s="4"/>
      <c r="X10314" s="4"/>
      <c r="Y10314" s="4"/>
    </row>
    <row r="10315" spans="20:25" x14ac:dyDescent="0.25">
      <c r="T10315" s="10"/>
      <c r="U10315" s="4"/>
      <c r="V10315" s="4"/>
      <c r="X10315" s="4"/>
      <c r="Y10315" s="4"/>
    </row>
    <row r="10316" spans="20:25" x14ac:dyDescent="0.25">
      <c r="T10316" s="10"/>
      <c r="U10316" s="4"/>
      <c r="V10316" s="4"/>
      <c r="X10316" s="4"/>
      <c r="Y10316" s="4"/>
    </row>
    <row r="10317" spans="20:25" x14ac:dyDescent="0.25">
      <c r="T10317" s="10"/>
      <c r="U10317" s="4"/>
      <c r="V10317" s="4"/>
      <c r="X10317" s="4"/>
      <c r="Y10317" s="4"/>
    </row>
    <row r="10318" spans="20:25" x14ac:dyDescent="0.25">
      <c r="T10318" s="10"/>
      <c r="U10318" s="4"/>
      <c r="V10318" s="4"/>
      <c r="X10318" s="4"/>
      <c r="Y10318" s="4"/>
    </row>
    <row r="10319" spans="20:25" x14ac:dyDescent="0.25">
      <c r="T10319" s="10"/>
      <c r="U10319" s="4"/>
      <c r="V10319" s="4"/>
      <c r="X10319" s="4"/>
      <c r="Y10319" s="4"/>
    </row>
    <row r="10320" spans="20:25" x14ac:dyDescent="0.25">
      <c r="T10320" s="10"/>
      <c r="U10320" s="4"/>
      <c r="V10320" s="4"/>
      <c r="X10320" s="4"/>
      <c r="Y10320" s="4"/>
    </row>
    <row r="10321" spans="20:25" x14ac:dyDescent="0.25">
      <c r="T10321" s="10"/>
      <c r="U10321" s="4"/>
      <c r="V10321" s="4"/>
      <c r="X10321" s="4"/>
      <c r="Y10321" s="4"/>
    </row>
    <row r="10322" spans="20:25" x14ac:dyDescent="0.25">
      <c r="T10322" s="10"/>
      <c r="U10322" s="4"/>
      <c r="V10322" s="4"/>
      <c r="X10322" s="4"/>
      <c r="Y10322" s="4"/>
    </row>
    <row r="10323" spans="20:25" x14ac:dyDescent="0.25">
      <c r="T10323" s="10"/>
      <c r="U10323" s="4"/>
      <c r="V10323" s="4"/>
      <c r="X10323" s="4"/>
      <c r="Y10323" s="4"/>
    </row>
    <row r="10324" spans="20:25" x14ac:dyDescent="0.25">
      <c r="T10324" s="10"/>
      <c r="U10324" s="4"/>
      <c r="V10324" s="4"/>
      <c r="X10324" s="4"/>
      <c r="Y10324" s="4"/>
    </row>
    <row r="10325" spans="20:25" x14ac:dyDescent="0.25">
      <c r="T10325" s="10"/>
      <c r="U10325" s="4"/>
      <c r="V10325" s="4"/>
      <c r="X10325" s="4"/>
      <c r="Y10325" s="4"/>
    </row>
    <row r="10326" spans="20:25" x14ac:dyDescent="0.25">
      <c r="T10326" s="10"/>
      <c r="U10326" s="4"/>
      <c r="V10326" s="4"/>
      <c r="X10326" s="4"/>
      <c r="Y10326" s="4"/>
    </row>
    <row r="10327" spans="20:25" x14ac:dyDescent="0.25">
      <c r="T10327" s="10"/>
      <c r="U10327" s="4"/>
      <c r="V10327" s="4"/>
      <c r="X10327" s="4"/>
      <c r="Y10327" s="4"/>
    </row>
    <row r="10328" spans="20:25" x14ac:dyDescent="0.25">
      <c r="T10328" s="10"/>
      <c r="U10328" s="4"/>
      <c r="V10328" s="4"/>
      <c r="X10328" s="4"/>
      <c r="Y10328" s="4"/>
    </row>
    <row r="10329" spans="20:25" x14ac:dyDescent="0.25">
      <c r="T10329" s="10"/>
      <c r="U10329" s="4"/>
      <c r="V10329" s="4"/>
      <c r="X10329" s="4"/>
      <c r="Y10329" s="4"/>
    </row>
    <row r="10330" spans="20:25" x14ac:dyDescent="0.25">
      <c r="T10330" s="10"/>
      <c r="U10330" s="4"/>
      <c r="V10330" s="4"/>
      <c r="X10330" s="4"/>
      <c r="Y10330" s="4"/>
    </row>
    <row r="10331" spans="20:25" x14ac:dyDescent="0.25">
      <c r="T10331" s="10"/>
      <c r="U10331" s="4"/>
      <c r="V10331" s="4"/>
      <c r="X10331" s="4"/>
      <c r="Y10331" s="4"/>
    </row>
    <row r="10332" spans="20:25" x14ac:dyDescent="0.25">
      <c r="T10332" s="10"/>
      <c r="U10332" s="4"/>
      <c r="V10332" s="4"/>
      <c r="X10332" s="4"/>
      <c r="Y10332" s="4"/>
    </row>
    <row r="10333" spans="20:25" x14ac:dyDescent="0.25">
      <c r="T10333" s="10"/>
      <c r="U10333" s="4"/>
      <c r="V10333" s="4"/>
      <c r="X10333" s="4"/>
      <c r="Y10333" s="4"/>
    </row>
    <row r="10334" spans="20:25" x14ac:dyDescent="0.25">
      <c r="T10334" s="10"/>
      <c r="U10334" s="4"/>
      <c r="V10334" s="4"/>
      <c r="X10334" s="4"/>
      <c r="Y10334" s="4"/>
    </row>
    <row r="10335" spans="20:25" x14ac:dyDescent="0.25">
      <c r="T10335" s="10"/>
      <c r="U10335" s="4"/>
      <c r="V10335" s="4"/>
      <c r="X10335" s="4"/>
      <c r="Y10335" s="4"/>
    </row>
    <row r="10336" spans="20:25" x14ac:dyDescent="0.25">
      <c r="T10336" s="10"/>
      <c r="U10336" s="4"/>
      <c r="V10336" s="4"/>
      <c r="X10336" s="4"/>
      <c r="Y10336" s="4"/>
    </row>
    <row r="10337" spans="20:25" x14ac:dyDescent="0.25">
      <c r="T10337" s="10"/>
      <c r="U10337" s="4"/>
      <c r="V10337" s="4"/>
      <c r="X10337" s="4"/>
      <c r="Y10337" s="4"/>
    </row>
    <row r="10338" spans="20:25" x14ac:dyDescent="0.25">
      <c r="T10338" s="10"/>
      <c r="U10338" s="4"/>
      <c r="V10338" s="4"/>
      <c r="X10338" s="4"/>
      <c r="Y10338" s="4"/>
    </row>
    <row r="10339" spans="20:25" x14ac:dyDescent="0.25">
      <c r="T10339" s="10"/>
      <c r="U10339" s="4"/>
      <c r="V10339" s="4"/>
      <c r="X10339" s="4"/>
      <c r="Y10339" s="4"/>
    </row>
    <row r="10340" spans="20:25" x14ac:dyDescent="0.25">
      <c r="T10340" s="10"/>
      <c r="U10340" s="4"/>
      <c r="V10340" s="4"/>
      <c r="X10340" s="4"/>
      <c r="Y10340" s="4"/>
    </row>
    <row r="10341" spans="20:25" x14ac:dyDescent="0.25">
      <c r="T10341" s="10"/>
      <c r="U10341" s="4"/>
      <c r="V10341" s="4"/>
      <c r="X10341" s="4"/>
      <c r="Y10341" s="4"/>
    </row>
    <row r="10342" spans="20:25" x14ac:dyDescent="0.25">
      <c r="T10342" s="10"/>
      <c r="U10342" s="4"/>
      <c r="V10342" s="4"/>
      <c r="X10342" s="4"/>
      <c r="Y10342" s="4"/>
    </row>
    <row r="10343" spans="20:25" x14ac:dyDescent="0.25">
      <c r="T10343" s="10"/>
      <c r="U10343" s="4"/>
      <c r="V10343" s="4"/>
      <c r="X10343" s="4"/>
      <c r="Y10343" s="4"/>
    </row>
    <row r="10344" spans="20:25" x14ac:dyDescent="0.25">
      <c r="T10344" s="10"/>
      <c r="U10344" s="4"/>
      <c r="V10344" s="4"/>
      <c r="X10344" s="4"/>
      <c r="Y10344" s="4"/>
    </row>
    <row r="10345" spans="20:25" x14ac:dyDescent="0.25">
      <c r="T10345" s="10"/>
      <c r="U10345" s="4"/>
      <c r="V10345" s="4"/>
      <c r="X10345" s="4"/>
      <c r="Y10345" s="4"/>
    </row>
    <row r="10346" spans="20:25" x14ac:dyDescent="0.25">
      <c r="T10346" s="10"/>
      <c r="U10346" s="4"/>
      <c r="V10346" s="4"/>
      <c r="X10346" s="4"/>
      <c r="Y10346" s="4"/>
    </row>
    <row r="10347" spans="20:25" x14ac:dyDescent="0.25">
      <c r="T10347" s="10"/>
      <c r="U10347" s="4"/>
      <c r="V10347" s="4"/>
      <c r="X10347" s="4"/>
      <c r="Y10347" s="4"/>
    </row>
    <row r="10348" spans="20:25" x14ac:dyDescent="0.25">
      <c r="T10348" s="10"/>
      <c r="U10348" s="4"/>
      <c r="V10348" s="4"/>
      <c r="X10348" s="4"/>
      <c r="Y10348" s="4"/>
    </row>
    <row r="10349" spans="20:25" x14ac:dyDescent="0.25">
      <c r="T10349" s="10"/>
      <c r="U10349" s="4"/>
      <c r="V10349" s="4"/>
      <c r="X10349" s="4"/>
      <c r="Y10349" s="4"/>
    </row>
    <row r="10350" spans="20:25" x14ac:dyDescent="0.25">
      <c r="T10350" s="10"/>
      <c r="U10350" s="4"/>
      <c r="V10350" s="4"/>
      <c r="X10350" s="4"/>
      <c r="Y10350" s="4"/>
    </row>
    <row r="10351" spans="20:25" x14ac:dyDescent="0.25">
      <c r="T10351" s="10"/>
      <c r="U10351" s="4"/>
      <c r="V10351" s="4"/>
      <c r="X10351" s="4"/>
      <c r="Y10351" s="4"/>
    </row>
    <row r="10352" spans="20:25" x14ac:dyDescent="0.25">
      <c r="T10352" s="10"/>
      <c r="U10352" s="4"/>
      <c r="V10352" s="4"/>
      <c r="X10352" s="4"/>
      <c r="Y10352" s="4"/>
    </row>
    <row r="10353" spans="20:25" x14ac:dyDescent="0.25">
      <c r="T10353" s="10"/>
      <c r="U10353" s="4"/>
      <c r="V10353" s="4"/>
      <c r="X10353" s="4"/>
      <c r="Y10353" s="4"/>
    </row>
    <row r="10354" spans="20:25" x14ac:dyDescent="0.25">
      <c r="T10354" s="10"/>
      <c r="U10354" s="4"/>
      <c r="V10354" s="4"/>
      <c r="X10354" s="4"/>
      <c r="Y10354" s="4"/>
    </row>
    <row r="10355" spans="20:25" x14ac:dyDescent="0.25">
      <c r="T10355" s="10"/>
      <c r="U10355" s="4"/>
      <c r="V10355" s="4"/>
      <c r="X10355" s="4"/>
      <c r="Y10355" s="4"/>
    </row>
    <row r="10356" spans="20:25" x14ac:dyDescent="0.25">
      <c r="T10356" s="10"/>
      <c r="U10356" s="4"/>
      <c r="V10356" s="4"/>
      <c r="X10356" s="4"/>
      <c r="Y10356" s="4"/>
    </row>
    <row r="10357" spans="20:25" x14ac:dyDescent="0.25">
      <c r="T10357" s="10"/>
      <c r="U10357" s="4"/>
      <c r="V10357" s="4"/>
      <c r="X10357" s="4"/>
      <c r="Y10357" s="4"/>
    </row>
    <row r="10358" spans="20:25" x14ac:dyDescent="0.25">
      <c r="T10358" s="10"/>
      <c r="U10358" s="4"/>
      <c r="V10358" s="4"/>
      <c r="X10358" s="4"/>
      <c r="Y10358" s="4"/>
    </row>
    <row r="10359" spans="20:25" x14ac:dyDescent="0.25">
      <c r="T10359" s="10"/>
      <c r="U10359" s="4"/>
      <c r="V10359" s="4"/>
      <c r="X10359" s="4"/>
      <c r="Y10359" s="4"/>
    </row>
    <row r="10360" spans="20:25" x14ac:dyDescent="0.25">
      <c r="T10360" s="10"/>
      <c r="U10360" s="4"/>
      <c r="V10360" s="4"/>
      <c r="X10360" s="4"/>
      <c r="Y10360" s="4"/>
    </row>
    <row r="10361" spans="20:25" x14ac:dyDescent="0.25">
      <c r="T10361" s="10"/>
      <c r="U10361" s="4"/>
      <c r="V10361" s="4"/>
      <c r="X10361" s="4"/>
      <c r="Y10361" s="4"/>
    </row>
    <row r="10362" spans="20:25" x14ac:dyDescent="0.25">
      <c r="T10362" s="10"/>
      <c r="U10362" s="4"/>
      <c r="V10362" s="4"/>
      <c r="X10362" s="4"/>
      <c r="Y10362" s="4"/>
    </row>
    <row r="10363" spans="20:25" x14ac:dyDescent="0.25">
      <c r="T10363" s="10"/>
      <c r="U10363" s="4"/>
      <c r="V10363" s="4"/>
      <c r="X10363" s="4"/>
      <c r="Y10363" s="4"/>
    </row>
    <row r="10364" spans="20:25" x14ac:dyDescent="0.25">
      <c r="T10364" s="10"/>
      <c r="U10364" s="4"/>
      <c r="V10364" s="4"/>
      <c r="X10364" s="4"/>
      <c r="Y10364" s="4"/>
    </row>
    <row r="10365" spans="20:25" x14ac:dyDescent="0.25">
      <c r="T10365" s="10"/>
      <c r="U10365" s="4"/>
      <c r="V10365" s="4"/>
      <c r="X10365" s="4"/>
      <c r="Y10365" s="4"/>
    </row>
    <row r="10366" spans="20:25" x14ac:dyDescent="0.25">
      <c r="T10366" s="10"/>
      <c r="U10366" s="4"/>
      <c r="V10366" s="4"/>
      <c r="X10366" s="4"/>
      <c r="Y10366" s="4"/>
    </row>
    <row r="10367" spans="20:25" x14ac:dyDescent="0.25">
      <c r="T10367" s="10"/>
      <c r="U10367" s="4"/>
      <c r="V10367" s="4"/>
      <c r="X10367" s="4"/>
      <c r="Y10367" s="4"/>
    </row>
    <row r="10368" spans="20:25" x14ac:dyDescent="0.25">
      <c r="T10368" s="10"/>
      <c r="U10368" s="4"/>
      <c r="V10368" s="4"/>
      <c r="X10368" s="4"/>
      <c r="Y10368" s="4"/>
    </row>
    <row r="10369" spans="20:25" x14ac:dyDescent="0.25">
      <c r="T10369" s="10"/>
      <c r="U10369" s="4"/>
      <c r="V10369" s="4"/>
      <c r="X10369" s="4"/>
      <c r="Y10369" s="4"/>
    </row>
    <row r="10370" spans="20:25" x14ac:dyDescent="0.25">
      <c r="T10370" s="10"/>
      <c r="U10370" s="4"/>
      <c r="V10370" s="4"/>
      <c r="X10370" s="4"/>
      <c r="Y10370" s="4"/>
    </row>
    <row r="10371" spans="20:25" x14ac:dyDescent="0.25">
      <c r="T10371" s="10"/>
      <c r="U10371" s="4"/>
      <c r="V10371" s="4"/>
      <c r="X10371" s="4"/>
      <c r="Y10371" s="4"/>
    </row>
    <row r="10372" spans="20:25" x14ac:dyDescent="0.25">
      <c r="T10372" s="10"/>
      <c r="U10372" s="4"/>
      <c r="V10372" s="4"/>
      <c r="X10372" s="4"/>
      <c r="Y10372" s="4"/>
    </row>
    <row r="10373" spans="20:25" x14ac:dyDescent="0.25">
      <c r="T10373" s="10"/>
      <c r="U10373" s="4"/>
      <c r="V10373" s="4"/>
      <c r="X10373" s="4"/>
      <c r="Y10373" s="4"/>
    </row>
    <row r="10374" spans="20:25" x14ac:dyDescent="0.25">
      <c r="T10374" s="10"/>
      <c r="U10374" s="4"/>
      <c r="V10374" s="4"/>
      <c r="X10374" s="4"/>
      <c r="Y10374" s="4"/>
    </row>
    <row r="10375" spans="20:25" x14ac:dyDescent="0.25">
      <c r="T10375" s="10"/>
      <c r="U10375" s="4"/>
      <c r="V10375" s="4"/>
      <c r="X10375" s="4"/>
      <c r="Y10375" s="4"/>
    </row>
    <row r="10376" spans="20:25" x14ac:dyDescent="0.25">
      <c r="T10376" s="10"/>
      <c r="U10376" s="4"/>
      <c r="V10376" s="4"/>
      <c r="X10376" s="4"/>
      <c r="Y10376" s="4"/>
    </row>
    <row r="10377" spans="20:25" x14ac:dyDescent="0.25">
      <c r="T10377" s="10"/>
      <c r="U10377" s="4"/>
      <c r="V10377" s="4"/>
      <c r="X10377" s="4"/>
      <c r="Y10377" s="4"/>
    </row>
    <row r="10378" spans="20:25" x14ac:dyDescent="0.25">
      <c r="T10378" s="10"/>
      <c r="U10378" s="4"/>
      <c r="V10378" s="4"/>
      <c r="X10378" s="4"/>
      <c r="Y10378" s="4"/>
    </row>
    <row r="10379" spans="20:25" x14ac:dyDescent="0.25">
      <c r="T10379" s="10"/>
      <c r="U10379" s="4"/>
      <c r="V10379" s="4"/>
      <c r="X10379" s="4"/>
      <c r="Y10379" s="4"/>
    </row>
    <row r="10380" spans="20:25" x14ac:dyDescent="0.25">
      <c r="T10380" s="10"/>
      <c r="U10380" s="4"/>
      <c r="V10380" s="4"/>
      <c r="X10380" s="4"/>
      <c r="Y10380" s="4"/>
    </row>
    <row r="10381" spans="20:25" x14ac:dyDescent="0.25">
      <c r="T10381" s="10"/>
      <c r="U10381" s="4"/>
      <c r="V10381" s="4"/>
      <c r="X10381" s="4"/>
      <c r="Y10381" s="4"/>
    </row>
    <row r="10382" spans="20:25" x14ac:dyDescent="0.25">
      <c r="T10382" s="10"/>
      <c r="U10382" s="4"/>
      <c r="V10382" s="4"/>
      <c r="X10382" s="4"/>
      <c r="Y10382" s="4"/>
    </row>
    <row r="10383" spans="20:25" x14ac:dyDescent="0.25">
      <c r="T10383" s="10"/>
      <c r="U10383" s="4"/>
      <c r="V10383" s="4"/>
      <c r="X10383" s="4"/>
      <c r="Y10383" s="4"/>
    </row>
    <row r="10384" spans="20:25" x14ac:dyDescent="0.25">
      <c r="T10384" s="10"/>
      <c r="U10384" s="4"/>
      <c r="V10384" s="4"/>
      <c r="X10384" s="4"/>
      <c r="Y10384" s="4"/>
    </row>
    <row r="10385" spans="20:25" x14ac:dyDescent="0.25">
      <c r="T10385" s="10"/>
      <c r="U10385" s="4"/>
      <c r="V10385" s="4"/>
      <c r="X10385" s="4"/>
      <c r="Y10385" s="4"/>
    </row>
    <row r="10386" spans="20:25" x14ac:dyDescent="0.25">
      <c r="T10386" s="10"/>
      <c r="U10386" s="4"/>
      <c r="V10386" s="4"/>
      <c r="X10386" s="4"/>
      <c r="Y10386" s="4"/>
    </row>
    <row r="10387" spans="20:25" x14ac:dyDescent="0.25">
      <c r="T10387" s="10"/>
      <c r="U10387" s="4"/>
      <c r="V10387" s="4"/>
      <c r="X10387" s="4"/>
      <c r="Y10387" s="4"/>
    </row>
    <row r="10388" spans="20:25" x14ac:dyDescent="0.25">
      <c r="T10388" s="10"/>
      <c r="U10388" s="4"/>
      <c r="V10388" s="4"/>
      <c r="X10388" s="4"/>
      <c r="Y10388" s="4"/>
    </row>
    <row r="10389" spans="20:25" x14ac:dyDescent="0.25">
      <c r="T10389" s="10"/>
      <c r="U10389" s="4"/>
      <c r="V10389" s="4"/>
      <c r="X10389" s="4"/>
      <c r="Y10389" s="4"/>
    </row>
    <row r="10390" spans="20:25" x14ac:dyDescent="0.25">
      <c r="T10390" s="10"/>
      <c r="U10390" s="4"/>
      <c r="V10390" s="4"/>
      <c r="X10390" s="4"/>
      <c r="Y10390" s="4"/>
    </row>
    <row r="10391" spans="20:25" x14ac:dyDescent="0.25">
      <c r="T10391" s="10"/>
      <c r="U10391" s="4"/>
      <c r="V10391" s="4"/>
      <c r="X10391" s="4"/>
      <c r="Y10391" s="4"/>
    </row>
    <row r="10392" spans="20:25" x14ac:dyDescent="0.25">
      <c r="T10392" s="10"/>
      <c r="U10392" s="4"/>
      <c r="V10392" s="4"/>
      <c r="X10392" s="4"/>
      <c r="Y10392" s="4"/>
    </row>
    <row r="10393" spans="20:25" x14ac:dyDescent="0.25">
      <c r="T10393" s="10"/>
      <c r="U10393" s="4"/>
      <c r="V10393" s="4"/>
      <c r="X10393" s="4"/>
      <c r="Y10393" s="4"/>
    </row>
    <row r="10394" spans="20:25" x14ac:dyDescent="0.25">
      <c r="T10394" s="10"/>
      <c r="U10394" s="4"/>
      <c r="V10394" s="4"/>
      <c r="X10394" s="4"/>
      <c r="Y10394" s="4"/>
    </row>
    <row r="10395" spans="20:25" x14ac:dyDescent="0.25">
      <c r="T10395" s="10"/>
      <c r="U10395" s="4"/>
      <c r="V10395" s="4"/>
      <c r="X10395" s="4"/>
      <c r="Y10395" s="4"/>
    </row>
    <row r="10396" spans="20:25" x14ac:dyDescent="0.25">
      <c r="T10396" s="10"/>
      <c r="U10396" s="4"/>
      <c r="V10396" s="4"/>
      <c r="X10396" s="4"/>
      <c r="Y10396" s="4"/>
    </row>
    <row r="10397" spans="20:25" x14ac:dyDescent="0.25">
      <c r="T10397" s="10"/>
      <c r="U10397" s="4"/>
      <c r="V10397" s="4"/>
      <c r="X10397" s="4"/>
      <c r="Y10397" s="4"/>
    </row>
    <row r="10398" spans="20:25" x14ac:dyDescent="0.25">
      <c r="T10398" s="10"/>
      <c r="U10398" s="4"/>
      <c r="V10398" s="4"/>
      <c r="X10398" s="4"/>
      <c r="Y10398" s="4"/>
    </row>
    <row r="10399" spans="20:25" x14ac:dyDescent="0.25">
      <c r="T10399" s="10"/>
      <c r="U10399" s="4"/>
      <c r="V10399" s="4"/>
      <c r="X10399" s="4"/>
      <c r="Y10399" s="4"/>
    </row>
    <row r="10400" spans="20:25" x14ac:dyDescent="0.25">
      <c r="T10400" s="10"/>
      <c r="U10400" s="4"/>
      <c r="V10400" s="4"/>
      <c r="X10400" s="4"/>
      <c r="Y10400" s="4"/>
    </row>
    <row r="10401" spans="20:25" x14ac:dyDescent="0.25">
      <c r="T10401" s="10"/>
      <c r="U10401" s="4"/>
      <c r="V10401" s="4"/>
      <c r="X10401" s="4"/>
      <c r="Y10401" s="4"/>
    </row>
    <row r="10402" spans="20:25" x14ac:dyDescent="0.25">
      <c r="T10402" s="10"/>
      <c r="U10402" s="4"/>
      <c r="V10402" s="4"/>
      <c r="X10402" s="4"/>
      <c r="Y10402" s="4"/>
    </row>
    <row r="10403" spans="20:25" x14ac:dyDescent="0.25">
      <c r="T10403" s="10"/>
      <c r="U10403" s="4"/>
      <c r="V10403" s="4"/>
      <c r="X10403" s="4"/>
      <c r="Y10403" s="4"/>
    </row>
    <row r="10404" spans="20:25" x14ac:dyDescent="0.25">
      <c r="T10404" s="10"/>
      <c r="U10404" s="4"/>
      <c r="V10404" s="4"/>
      <c r="X10404" s="4"/>
      <c r="Y10404" s="4"/>
    </row>
    <row r="10405" spans="20:25" x14ac:dyDescent="0.25">
      <c r="T10405" s="10"/>
      <c r="U10405" s="4"/>
      <c r="V10405" s="4"/>
      <c r="X10405" s="4"/>
      <c r="Y10405" s="4"/>
    </row>
    <row r="10406" spans="20:25" x14ac:dyDescent="0.25">
      <c r="T10406" s="10"/>
      <c r="U10406" s="4"/>
      <c r="V10406" s="4"/>
      <c r="X10406" s="4"/>
      <c r="Y10406" s="4"/>
    </row>
    <row r="10407" spans="20:25" x14ac:dyDescent="0.25">
      <c r="T10407" s="10"/>
      <c r="U10407" s="4"/>
      <c r="V10407" s="4"/>
      <c r="X10407" s="4"/>
      <c r="Y10407" s="4"/>
    </row>
    <row r="10408" spans="20:25" x14ac:dyDescent="0.25">
      <c r="T10408" s="10"/>
      <c r="U10408" s="4"/>
      <c r="V10408" s="4"/>
      <c r="X10408" s="4"/>
      <c r="Y10408" s="4"/>
    </row>
    <row r="10409" spans="20:25" x14ac:dyDescent="0.25">
      <c r="T10409" s="10"/>
      <c r="U10409" s="4"/>
      <c r="V10409" s="4"/>
      <c r="X10409" s="4"/>
      <c r="Y10409" s="4"/>
    </row>
    <row r="10410" spans="20:25" x14ac:dyDescent="0.25">
      <c r="T10410" s="10"/>
      <c r="U10410" s="4"/>
      <c r="V10410" s="4"/>
      <c r="X10410" s="4"/>
      <c r="Y10410" s="4"/>
    </row>
    <row r="10411" spans="20:25" x14ac:dyDescent="0.25">
      <c r="T10411" s="10"/>
      <c r="U10411" s="4"/>
      <c r="V10411" s="4"/>
      <c r="X10411" s="4"/>
      <c r="Y10411" s="4"/>
    </row>
    <row r="10412" spans="20:25" x14ac:dyDescent="0.25">
      <c r="T10412" s="10"/>
      <c r="U10412" s="4"/>
      <c r="V10412" s="4"/>
      <c r="X10412" s="4"/>
      <c r="Y10412" s="4"/>
    </row>
    <row r="10413" spans="20:25" x14ac:dyDescent="0.25">
      <c r="T10413" s="10"/>
      <c r="U10413" s="4"/>
      <c r="V10413" s="4"/>
      <c r="X10413" s="4"/>
      <c r="Y10413" s="4"/>
    </row>
    <row r="10414" spans="20:25" x14ac:dyDescent="0.25">
      <c r="T10414" s="10"/>
      <c r="U10414" s="4"/>
      <c r="V10414" s="4"/>
      <c r="X10414" s="4"/>
      <c r="Y10414" s="4"/>
    </row>
    <row r="10415" spans="20:25" x14ac:dyDescent="0.25">
      <c r="T10415" s="10"/>
      <c r="U10415" s="4"/>
      <c r="V10415" s="4"/>
      <c r="X10415" s="4"/>
      <c r="Y10415" s="4"/>
    </row>
    <row r="10416" spans="20:25" x14ac:dyDescent="0.25">
      <c r="T10416" s="10"/>
      <c r="U10416" s="4"/>
      <c r="V10416" s="4"/>
      <c r="X10416" s="4"/>
      <c r="Y10416" s="4"/>
    </row>
    <row r="10417" spans="20:25" x14ac:dyDescent="0.25">
      <c r="T10417" s="10"/>
      <c r="U10417" s="4"/>
      <c r="V10417" s="4"/>
      <c r="X10417" s="4"/>
      <c r="Y10417" s="4"/>
    </row>
    <row r="10418" spans="20:25" x14ac:dyDescent="0.25">
      <c r="T10418" s="10"/>
      <c r="U10418" s="4"/>
      <c r="V10418" s="4"/>
      <c r="X10418" s="4"/>
      <c r="Y10418" s="4"/>
    </row>
    <row r="10419" spans="20:25" x14ac:dyDescent="0.25">
      <c r="T10419" s="10"/>
      <c r="U10419" s="4"/>
      <c r="V10419" s="4"/>
      <c r="X10419" s="4"/>
      <c r="Y10419" s="4"/>
    </row>
    <row r="10420" spans="20:25" x14ac:dyDescent="0.25">
      <c r="T10420" s="10"/>
      <c r="U10420" s="4"/>
      <c r="V10420" s="4"/>
      <c r="X10420" s="4"/>
      <c r="Y10420" s="4"/>
    </row>
    <row r="10421" spans="20:25" x14ac:dyDescent="0.25">
      <c r="T10421" s="10"/>
      <c r="U10421" s="4"/>
      <c r="V10421" s="4"/>
      <c r="X10421" s="4"/>
      <c r="Y10421" s="4"/>
    </row>
    <row r="10422" spans="20:25" x14ac:dyDescent="0.25">
      <c r="T10422" s="10"/>
      <c r="U10422" s="4"/>
      <c r="V10422" s="4"/>
      <c r="X10422" s="4"/>
      <c r="Y10422" s="4"/>
    </row>
    <row r="10423" spans="20:25" x14ac:dyDescent="0.25">
      <c r="T10423" s="10"/>
      <c r="U10423" s="4"/>
      <c r="V10423" s="4"/>
      <c r="X10423" s="4"/>
      <c r="Y10423" s="4"/>
    </row>
    <row r="10424" spans="20:25" x14ac:dyDescent="0.25">
      <c r="T10424" s="10"/>
      <c r="U10424" s="4"/>
      <c r="V10424" s="4"/>
      <c r="X10424" s="4"/>
      <c r="Y10424" s="4"/>
    </row>
    <row r="10425" spans="20:25" x14ac:dyDescent="0.25">
      <c r="T10425" s="10"/>
      <c r="U10425" s="4"/>
      <c r="V10425" s="4"/>
      <c r="X10425" s="4"/>
      <c r="Y10425" s="4"/>
    </row>
    <row r="10426" spans="20:25" x14ac:dyDescent="0.25">
      <c r="T10426" s="10"/>
      <c r="U10426" s="4"/>
      <c r="V10426" s="4"/>
      <c r="X10426" s="4"/>
      <c r="Y10426" s="4"/>
    </row>
    <row r="10427" spans="20:25" x14ac:dyDescent="0.25">
      <c r="T10427" s="10"/>
      <c r="U10427" s="4"/>
      <c r="V10427" s="4"/>
      <c r="X10427" s="4"/>
      <c r="Y10427" s="4"/>
    </row>
    <row r="10428" spans="20:25" x14ac:dyDescent="0.25">
      <c r="T10428" s="10"/>
      <c r="U10428" s="4"/>
      <c r="V10428" s="4"/>
      <c r="X10428" s="4"/>
      <c r="Y10428" s="4"/>
    </row>
    <row r="10429" spans="20:25" x14ac:dyDescent="0.25">
      <c r="T10429" s="10"/>
      <c r="U10429" s="4"/>
      <c r="V10429" s="4"/>
      <c r="X10429" s="4"/>
      <c r="Y10429" s="4"/>
    </row>
    <row r="10430" spans="20:25" x14ac:dyDescent="0.25">
      <c r="T10430" s="10"/>
      <c r="U10430" s="4"/>
      <c r="V10430" s="4"/>
      <c r="X10430" s="4"/>
      <c r="Y10430" s="4"/>
    </row>
    <row r="10431" spans="20:25" x14ac:dyDescent="0.25">
      <c r="T10431" s="10"/>
      <c r="U10431" s="4"/>
      <c r="V10431" s="4"/>
      <c r="X10431" s="4"/>
      <c r="Y10431" s="4"/>
    </row>
    <row r="10432" spans="20:25" x14ac:dyDescent="0.25">
      <c r="T10432" s="10"/>
      <c r="U10432" s="4"/>
      <c r="V10432" s="4"/>
      <c r="X10432" s="4"/>
      <c r="Y10432" s="4"/>
    </row>
    <row r="10433" spans="20:25" x14ac:dyDescent="0.25">
      <c r="T10433" s="10"/>
      <c r="U10433" s="4"/>
      <c r="V10433" s="4"/>
      <c r="X10433" s="4"/>
      <c r="Y10433" s="4"/>
    </row>
    <row r="10434" spans="20:25" x14ac:dyDescent="0.25">
      <c r="T10434" s="10"/>
      <c r="U10434" s="4"/>
      <c r="V10434" s="4"/>
      <c r="X10434" s="4"/>
      <c r="Y10434" s="4"/>
    </row>
    <row r="10435" spans="20:25" x14ac:dyDescent="0.25">
      <c r="T10435" s="10"/>
      <c r="U10435" s="4"/>
      <c r="V10435" s="4"/>
      <c r="X10435" s="4"/>
      <c r="Y10435" s="4"/>
    </row>
    <row r="10436" spans="20:25" x14ac:dyDescent="0.25">
      <c r="T10436" s="10"/>
      <c r="U10436" s="4"/>
      <c r="V10436" s="4"/>
      <c r="X10436" s="4"/>
      <c r="Y10436" s="4"/>
    </row>
    <row r="10437" spans="20:25" x14ac:dyDescent="0.25">
      <c r="T10437" s="10"/>
      <c r="U10437" s="4"/>
      <c r="V10437" s="4"/>
      <c r="X10437" s="4"/>
      <c r="Y10437" s="4"/>
    </row>
    <row r="10438" spans="20:25" x14ac:dyDescent="0.25">
      <c r="T10438" s="10"/>
      <c r="U10438" s="4"/>
      <c r="V10438" s="4"/>
      <c r="X10438" s="4"/>
      <c r="Y10438" s="4"/>
    </row>
    <row r="10439" spans="20:25" x14ac:dyDescent="0.25">
      <c r="T10439" s="10"/>
      <c r="U10439" s="4"/>
      <c r="V10439" s="4"/>
      <c r="X10439" s="4"/>
      <c r="Y10439" s="4"/>
    </row>
    <row r="10440" spans="20:25" x14ac:dyDescent="0.25">
      <c r="T10440" s="10"/>
      <c r="U10440" s="4"/>
      <c r="V10440" s="4"/>
      <c r="X10440" s="4"/>
      <c r="Y10440" s="4"/>
    </row>
    <row r="10441" spans="20:25" x14ac:dyDescent="0.25">
      <c r="T10441" s="10"/>
      <c r="U10441" s="4"/>
      <c r="V10441" s="4"/>
      <c r="X10441" s="4"/>
      <c r="Y10441" s="4"/>
    </row>
    <row r="10442" spans="20:25" x14ac:dyDescent="0.25">
      <c r="T10442" s="10"/>
      <c r="U10442" s="4"/>
      <c r="V10442" s="4"/>
      <c r="X10442" s="4"/>
      <c r="Y10442" s="4"/>
    </row>
    <row r="10443" spans="20:25" x14ac:dyDescent="0.25">
      <c r="T10443" s="10"/>
      <c r="U10443" s="4"/>
      <c r="V10443" s="4"/>
      <c r="X10443" s="4"/>
      <c r="Y10443" s="4"/>
    </row>
    <row r="10444" spans="20:25" x14ac:dyDescent="0.25">
      <c r="T10444" s="10"/>
      <c r="U10444" s="4"/>
      <c r="V10444" s="4"/>
      <c r="X10444" s="4"/>
      <c r="Y10444" s="4"/>
    </row>
    <row r="10445" spans="20:25" x14ac:dyDescent="0.25">
      <c r="T10445" s="10"/>
      <c r="U10445" s="4"/>
      <c r="V10445" s="4"/>
      <c r="X10445" s="4"/>
      <c r="Y10445" s="4"/>
    </row>
    <row r="10446" spans="20:25" x14ac:dyDescent="0.25">
      <c r="T10446" s="10"/>
      <c r="U10446" s="4"/>
      <c r="V10446" s="4"/>
      <c r="X10446" s="4"/>
      <c r="Y10446" s="4"/>
    </row>
    <row r="10447" spans="20:25" x14ac:dyDescent="0.25">
      <c r="T10447" s="10"/>
      <c r="U10447" s="4"/>
      <c r="V10447" s="4"/>
      <c r="X10447" s="4"/>
      <c r="Y10447" s="4"/>
    </row>
    <row r="10448" spans="20:25" x14ac:dyDescent="0.25">
      <c r="T10448" s="10"/>
      <c r="U10448" s="4"/>
      <c r="V10448" s="4"/>
      <c r="X10448" s="4"/>
      <c r="Y10448" s="4"/>
    </row>
    <row r="10449" spans="20:25" x14ac:dyDescent="0.25">
      <c r="T10449" s="10"/>
      <c r="U10449" s="4"/>
      <c r="V10449" s="4"/>
      <c r="X10449" s="4"/>
      <c r="Y10449" s="4"/>
    </row>
    <row r="10450" spans="20:25" x14ac:dyDescent="0.25">
      <c r="T10450" s="10"/>
      <c r="U10450" s="4"/>
      <c r="V10450" s="4"/>
      <c r="X10450" s="4"/>
      <c r="Y10450" s="4"/>
    </row>
    <row r="10451" spans="20:25" x14ac:dyDescent="0.25">
      <c r="T10451" s="10"/>
      <c r="U10451" s="4"/>
      <c r="V10451" s="4"/>
      <c r="X10451" s="4"/>
      <c r="Y10451" s="4"/>
    </row>
    <row r="10452" spans="20:25" x14ac:dyDescent="0.25">
      <c r="T10452" s="10"/>
      <c r="U10452" s="4"/>
      <c r="V10452" s="4"/>
      <c r="X10452" s="4"/>
      <c r="Y10452" s="4"/>
    </row>
    <row r="10453" spans="20:25" x14ac:dyDescent="0.25">
      <c r="T10453" s="10"/>
      <c r="U10453" s="4"/>
      <c r="V10453" s="4"/>
      <c r="X10453" s="4"/>
      <c r="Y10453" s="4"/>
    </row>
    <row r="10454" spans="20:25" x14ac:dyDescent="0.25">
      <c r="T10454" s="10"/>
      <c r="U10454" s="4"/>
      <c r="V10454" s="4"/>
      <c r="X10454" s="4"/>
      <c r="Y10454" s="4"/>
    </row>
    <row r="10455" spans="20:25" x14ac:dyDescent="0.25">
      <c r="T10455" s="10"/>
      <c r="U10455" s="4"/>
      <c r="V10455" s="4"/>
      <c r="X10455" s="4"/>
      <c r="Y10455" s="4"/>
    </row>
    <row r="10456" spans="20:25" x14ac:dyDescent="0.25">
      <c r="T10456" s="10"/>
      <c r="U10456" s="4"/>
      <c r="V10456" s="4"/>
      <c r="X10456" s="4"/>
      <c r="Y10456" s="4"/>
    </row>
    <row r="10457" spans="20:25" x14ac:dyDescent="0.25">
      <c r="T10457" s="10"/>
      <c r="U10457" s="4"/>
      <c r="V10457" s="4"/>
      <c r="X10457" s="4"/>
      <c r="Y10457" s="4"/>
    </row>
    <row r="10458" spans="20:25" x14ac:dyDescent="0.25">
      <c r="T10458" s="10"/>
      <c r="U10458" s="4"/>
      <c r="V10458" s="4"/>
      <c r="X10458" s="4"/>
      <c r="Y10458" s="4"/>
    </row>
    <row r="10459" spans="20:25" x14ac:dyDescent="0.25">
      <c r="T10459" s="10"/>
      <c r="U10459" s="4"/>
      <c r="V10459" s="4"/>
      <c r="X10459" s="4"/>
      <c r="Y10459" s="4"/>
    </row>
    <row r="10460" spans="20:25" x14ac:dyDescent="0.25">
      <c r="T10460" s="10"/>
      <c r="U10460" s="4"/>
      <c r="V10460" s="4"/>
      <c r="X10460" s="4"/>
      <c r="Y10460" s="4"/>
    </row>
    <row r="10461" spans="20:25" x14ac:dyDescent="0.25">
      <c r="T10461" s="10"/>
      <c r="U10461" s="4"/>
      <c r="V10461" s="4"/>
      <c r="X10461" s="4"/>
      <c r="Y10461" s="4"/>
    </row>
    <row r="10462" spans="20:25" x14ac:dyDescent="0.25">
      <c r="T10462" s="10"/>
      <c r="U10462" s="4"/>
      <c r="V10462" s="4"/>
      <c r="X10462" s="4"/>
      <c r="Y10462" s="4"/>
    </row>
    <row r="10463" spans="20:25" x14ac:dyDescent="0.25">
      <c r="T10463" s="10"/>
      <c r="U10463" s="4"/>
      <c r="V10463" s="4"/>
      <c r="X10463" s="4"/>
      <c r="Y10463" s="4"/>
    </row>
    <row r="10464" spans="20:25" x14ac:dyDescent="0.25">
      <c r="T10464" s="10"/>
      <c r="U10464" s="4"/>
      <c r="V10464" s="4"/>
      <c r="X10464" s="4"/>
      <c r="Y10464" s="4"/>
    </row>
    <row r="10465" spans="20:25" x14ac:dyDescent="0.25">
      <c r="T10465" s="10"/>
      <c r="U10465" s="4"/>
      <c r="V10465" s="4"/>
      <c r="X10465" s="4"/>
      <c r="Y10465" s="4"/>
    </row>
    <row r="10466" spans="20:25" x14ac:dyDescent="0.25">
      <c r="T10466" s="10"/>
      <c r="U10466" s="4"/>
      <c r="V10466" s="4"/>
      <c r="X10466" s="4"/>
      <c r="Y10466" s="4"/>
    </row>
    <row r="10467" spans="20:25" x14ac:dyDescent="0.25">
      <c r="T10467" s="10"/>
      <c r="U10467" s="4"/>
      <c r="V10467" s="4"/>
      <c r="X10467" s="4"/>
      <c r="Y10467" s="4"/>
    </row>
    <row r="10468" spans="20:25" x14ac:dyDescent="0.25">
      <c r="T10468" s="10"/>
      <c r="U10468" s="4"/>
      <c r="V10468" s="4"/>
      <c r="X10468" s="4"/>
      <c r="Y10468" s="4"/>
    </row>
    <row r="10469" spans="20:25" x14ac:dyDescent="0.25">
      <c r="T10469" s="10"/>
      <c r="U10469" s="4"/>
      <c r="V10469" s="4"/>
      <c r="X10469" s="4"/>
      <c r="Y10469" s="4"/>
    </row>
    <row r="10470" spans="20:25" x14ac:dyDescent="0.25">
      <c r="T10470" s="10"/>
      <c r="U10470" s="4"/>
      <c r="V10470" s="4"/>
      <c r="X10470" s="4"/>
      <c r="Y10470" s="4"/>
    </row>
    <row r="10471" spans="20:25" x14ac:dyDescent="0.25">
      <c r="T10471" s="10"/>
      <c r="U10471" s="4"/>
      <c r="V10471" s="4"/>
      <c r="X10471" s="4"/>
      <c r="Y10471" s="4"/>
    </row>
    <row r="10472" spans="20:25" x14ac:dyDescent="0.25">
      <c r="T10472" s="10"/>
      <c r="U10472" s="4"/>
      <c r="V10472" s="4"/>
      <c r="X10472" s="4"/>
      <c r="Y10472" s="4"/>
    </row>
    <row r="10473" spans="20:25" x14ac:dyDescent="0.25">
      <c r="T10473" s="10"/>
      <c r="U10473" s="4"/>
      <c r="V10473" s="4"/>
      <c r="X10473" s="4"/>
      <c r="Y10473" s="4"/>
    </row>
    <row r="10474" spans="20:25" x14ac:dyDescent="0.25">
      <c r="T10474" s="10"/>
      <c r="U10474" s="4"/>
      <c r="V10474" s="4"/>
      <c r="X10474" s="4"/>
      <c r="Y10474" s="4"/>
    </row>
    <row r="10475" spans="20:25" x14ac:dyDescent="0.25">
      <c r="T10475" s="10"/>
      <c r="U10475" s="4"/>
      <c r="V10475" s="4"/>
      <c r="X10475" s="4"/>
      <c r="Y10475" s="4"/>
    </row>
    <row r="10476" spans="20:25" x14ac:dyDescent="0.25">
      <c r="T10476" s="10"/>
      <c r="U10476" s="4"/>
      <c r="V10476" s="4"/>
      <c r="X10476" s="4"/>
      <c r="Y10476" s="4"/>
    </row>
    <row r="10477" spans="20:25" x14ac:dyDescent="0.25">
      <c r="T10477" s="10"/>
      <c r="U10477" s="4"/>
      <c r="V10477" s="4"/>
      <c r="X10477" s="4"/>
      <c r="Y10477" s="4"/>
    </row>
    <row r="10478" spans="20:25" x14ac:dyDescent="0.25">
      <c r="T10478" s="10"/>
      <c r="U10478" s="4"/>
      <c r="V10478" s="4"/>
      <c r="X10478" s="4"/>
      <c r="Y10478" s="4"/>
    </row>
    <row r="10479" spans="20:25" x14ac:dyDescent="0.25">
      <c r="T10479" s="10"/>
      <c r="U10479" s="4"/>
      <c r="V10479" s="4"/>
      <c r="X10479" s="4"/>
      <c r="Y10479" s="4"/>
    </row>
    <row r="10480" spans="20:25" x14ac:dyDescent="0.25">
      <c r="T10480" s="10"/>
      <c r="U10480" s="4"/>
      <c r="V10480" s="4"/>
      <c r="X10480" s="4"/>
      <c r="Y10480" s="4"/>
    </row>
    <row r="10481" spans="20:25" x14ac:dyDescent="0.25">
      <c r="T10481" s="10"/>
      <c r="U10481" s="4"/>
      <c r="V10481" s="4"/>
      <c r="X10481" s="4"/>
      <c r="Y10481" s="4"/>
    </row>
    <row r="10482" spans="20:25" x14ac:dyDescent="0.25">
      <c r="T10482" s="10"/>
      <c r="U10482" s="4"/>
      <c r="V10482" s="4"/>
      <c r="X10482" s="4"/>
      <c r="Y10482" s="4"/>
    </row>
    <row r="10483" spans="20:25" x14ac:dyDescent="0.25">
      <c r="T10483" s="10"/>
      <c r="U10483" s="4"/>
      <c r="V10483" s="4"/>
      <c r="X10483" s="4"/>
      <c r="Y10483" s="4"/>
    </row>
    <row r="10484" spans="20:25" x14ac:dyDescent="0.25">
      <c r="T10484" s="10"/>
      <c r="U10484" s="4"/>
      <c r="V10484" s="4"/>
      <c r="X10484" s="4"/>
      <c r="Y10484" s="4"/>
    </row>
    <row r="10485" spans="20:25" x14ac:dyDescent="0.25">
      <c r="T10485" s="10"/>
      <c r="U10485" s="4"/>
      <c r="V10485" s="4"/>
      <c r="X10485" s="4"/>
      <c r="Y10485" s="4"/>
    </row>
    <row r="10486" spans="20:25" x14ac:dyDescent="0.25">
      <c r="T10486" s="10"/>
      <c r="U10486" s="4"/>
      <c r="V10486" s="4"/>
      <c r="X10486" s="4"/>
      <c r="Y10486" s="4"/>
    </row>
    <row r="10487" spans="20:25" x14ac:dyDescent="0.25">
      <c r="T10487" s="10"/>
      <c r="U10487" s="4"/>
      <c r="V10487" s="4"/>
      <c r="X10487" s="4"/>
      <c r="Y10487" s="4"/>
    </row>
    <row r="10488" spans="20:25" x14ac:dyDescent="0.25">
      <c r="T10488" s="10"/>
      <c r="U10488" s="4"/>
      <c r="V10488" s="4"/>
      <c r="X10488" s="4"/>
      <c r="Y10488" s="4"/>
    </row>
    <row r="10489" spans="20:25" x14ac:dyDescent="0.25">
      <c r="T10489" s="10"/>
      <c r="U10489" s="4"/>
      <c r="V10489" s="4"/>
      <c r="X10489" s="4"/>
      <c r="Y10489" s="4"/>
    </row>
    <row r="10490" spans="20:25" x14ac:dyDescent="0.25">
      <c r="T10490" s="10"/>
      <c r="U10490" s="4"/>
      <c r="V10490" s="4"/>
      <c r="X10490" s="4"/>
      <c r="Y10490" s="4"/>
    </row>
    <row r="10491" spans="20:25" x14ac:dyDescent="0.25">
      <c r="T10491" s="10"/>
      <c r="U10491" s="4"/>
      <c r="V10491" s="4"/>
      <c r="X10491" s="4"/>
      <c r="Y10491" s="4"/>
    </row>
    <row r="10492" spans="20:25" x14ac:dyDescent="0.25">
      <c r="T10492" s="10"/>
      <c r="U10492" s="4"/>
      <c r="V10492" s="4"/>
      <c r="X10492" s="4"/>
      <c r="Y10492" s="4"/>
    </row>
    <row r="10493" spans="20:25" x14ac:dyDescent="0.25">
      <c r="T10493" s="10"/>
      <c r="U10493" s="4"/>
      <c r="V10493" s="4"/>
      <c r="X10493" s="4"/>
      <c r="Y10493" s="4"/>
    </row>
    <row r="10494" spans="20:25" x14ac:dyDescent="0.25">
      <c r="T10494" s="10"/>
      <c r="U10494" s="4"/>
      <c r="V10494" s="4"/>
      <c r="X10494" s="4"/>
      <c r="Y10494" s="4"/>
    </row>
    <row r="10495" spans="20:25" x14ac:dyDescent="0.25">
      <c r="T10495" s="10"/>
      <c r="U10495" s="4"/>
      <c r="V10495" s="4"/>
      <c r="X10495" s="4"/>
      <c r="Y10495" s="4"/>
    </row>
    <row r="10496" spans="20:25" x14ac:dyDescent="0.25">
      <c r="T10496" s="10"/>
      <c r="U10496" s="4"/>
      <c r="V10496" s="4"/>
      <c r="X10496" s="4"/>
      <c r="Y10496" s="4"/>
    </row>
    <row r="10497" spans="20:25" x14ac:dyDescent="0.25">
      <c r="T10497" s="10"/>
      <c r="U10497" s="4"/>
      <c r="V10497" s="4"/>
      <c r="X10497" s="4"/>
      <c r="Y10497" s="4"/>
    </row>
    <row r="10498" spans="20:25" x14ac:dyDescent="0.25">
      <c r="T10498" s="10"/>
      <c r="U10498" s="4"/>
      <c r="V10498" s="4"/>
      <c r="X10498" s="4"/>
      <c r="Y10498" s="4"/>
    </row>
    <row r="10499" spans="20:25" x14ac:dyDescent="0.25">
      <c r="T10499" s="10"/>
      <c r="U10499" s="4"/>
      <c r="V10499" s="4"/>
      <c r="X10499" s="4"/>
      <c r="Y10499" s="4"/>
    </row>
    <row r="10500" spans="20:25" x14ac:dyDescent="0.25">
      <c r="T10500" s="10"/>
      <c r="U10500" s="4"/>
      <c r="V10500" s="4"/>
      <c r="X10500" s="4"/>
      <c r="Y10500" s="4"/>
    </row>
    <row r="10501" spans="20:25" x14ac:dyDescent="0.25">
      <c r="T10501" s="10"/>
      <c r="U10501" s="4"/>
      <c r="V10501" s="4"/>
      <c r="X10501" s="4"/>
      <c r="Y10501" s="4"/>
    </row>
    <row r="10502" spans="20:25" x14ac:dyDescent="0.25">
      <c r="T10502" s="10"/>
      <c r="U10502" s="4"/>
      <c r="V10502" s="4"/>
      <c r="X10502" s="4"/>
      <c r="Y10502" s="4"/>
    </row>
    <row r="10503" spans="20:25" x14ac:dyDescent="0.25">
      <c r="T10503" s="10"/>
      <c r="U10503" s="4"/>
      <c r="V10503" s="4"/>
      <c r="X10503" s="4"/>
      <c r="Y10503" s="4"/>
    </row>
    <row r="10504" spans="20:25" x14ac:dyDescent="0.25">
      <c r="T10504" s="10"/>
      <c r="U10504" s="4"/>
      <c r="V10504" s="4"/>
      <c r="X10504" s="4"/>
      <c r="Y10504" s="4"/>
    </row>
    <row r="10505" spans="20:25" x14ac:dyDescent="0.25">
      <c r="T10505" s="10"/>
      <c r="U10505" s="4"/>
      <c r="V10505" s="4"/>
      <c r="X10505" s="4"/>
      <c r="Y10505" s="4"/>
    </row>
    <row r="10506" spans="20:25" x14ac:dyDescent="0.25">
      <c r="T10506" s="10"/>
      <c r="U10506" s="4"/>
      <c r="V10506" s="4"/>
      <c r="X10506" s="4"/>
      <c r="Y10506" s="4"/>
    </row>
    <row r="10507" spans="20:25" x14ac:dyDescent="0.25">
      <c r="T10507" s="10"/>
      <c r="U10507" s="4"/>
      <c r="V10507" s="4"/>
      <c r="X10507" s="4"/>
      <c r="Y10507" s="4"/>
    </row>
    <row r="10508" spans="20:25" x14ac:dyDescent="0.25">
      <c r="T10508" s="10"/>
      <c r="U10508" s="4"/>
      <c r="V10508" s="4"/>
      <c r="X10508" s="4"/>
      <c r="Y10508" s="4"/>
    </row>
    <row r="10509" spans="20:25" x14ac:dyDescent="0.25">
      <c r="T10509" s="10"/>
      <c r="U10509" s="4"/>
      <c r="V10509" s="4"/>
      <c r="X10509" s="4"/>
      <c r="Y10509" s="4"/>
    </row>
    <row r="10510" spans="20:25" x14ac:dyDescent="0.25">
      <c r="T10510" s="10"/>
      <c r="U10510" s="4"/>
      <c r="V10510" s="4"/>
      <c r="X10510" s="4"/>
      <c r="Y10510" s="4"/>
    </row>
    <row r="10511" spans="20:25" x14ac:dyDescent="0.25">
      <c r="T10511" s="10"/>
      <c r="U10511" s="4"/>
      <c r="V10511" s="4"/>
      <c r="X10511" s="4"/>
      <c r="Y10511" s="4"/>
    </row>
    <row r="10512" spans="20:25" x14ac:dyDescent="0.25">
      <c r="T10512" s="10"/>
      <c r="U10512" s="4"/>
      <c r="V10512" s="4"/>
      <c r="X10512" s="4"/>
      <c r="Y10512" s="4"/>
    </row>
    <row r="10513" spans="20:25" x14ac:dyDescent="0.25">
      <c r="T10513" s="10"/>
      <c r="U10513" s="4"/>
      <c r="V10513" s="4"/>
      <c r="X10513" s="4"/>
      <c r="Y10513" s="4"/>
    </row>
    <row r="10514" spans="20:25" x14ac:dyDescent="0.25">
      <c r="T10514" s="10"/>
      <c r="U10514" s="4"/>
      <c r="V10514" s="4"/>
      <c r="X10514" s="4"/>
      <c r="Y10514" s="4"/>
    </row>
    <row r="10515" spans="20:25" x14ac:dyDescent="0.25">
      <c r="T10515" s="10"/>
      <c r="U10515" s="4"/>
      <c r="V10515" s="4"/>
      <c r="X10515" s="4"/>
      <c r="Y10515" s="4"/>
    </row>
    <row r="10516" spans="20:25" x14ac:dyDescent="0.25">
      <c r="T10516" s="10"/>
      <c r="U10516" s="4"/>
      <c r="V10516" s="4"/>
      <c r="X10516" s="4"/>
      <c r="Y10516" s="4"/>
    </row>
    <row r="10517" spans="20:25" x14ac:dyDescent="0.25">
      <c r="T10517" s="10"/>
      <c r="U10517" s="4"/>
      <c r="V10517" s="4"/>
      <c r="X10517" s="4"/>
      <c r="Y10517" s="4"/>
    </row>
    <row r="10518" spans="20:25" x14ac:dyDescent="0.25">
      <c r="T10518" s="10"/>
      <c r="U10518" s="4"/>
      <c r="V10518" s="4"/>
      <c r="X10518" s="4"/>
      <c r="Y10518" s="4"/>
    </row>
    <row r="10519" spans="20:25" x14ac:dyDescent="0.25">
      <c r="T10519" s="10"/>
      <c r="U10519" s="4"/>
      <c r="V10519" s="4"/>
      <c r="X10519" s="4"/>
      <c r="Y10519" s="4"/>
    </row>
    <row r="10520" spans="20:25" x14ac:dyDescent="0.25">
      <c r="T10520" s="10"/>
      <c r="U10520" s="4"/>
      <c r="V10520" s="4"/>
      <c r="X10520" s="4"/>
      <c r="Y10520" s="4"/>
    </row>
    <row r="10521" spans="20:25" x14ac:dyDescent="0.25">
      <c r="T10521" s="10"/>
      <c r="U10521" s="4"/>
      <c r="V10521" s="4"/>
      <c r="X10521" s="4"/>
      <c r="Y10521" s="4"/>
    </row>
    <row r="10522" spans="20:25" x14ac:dyDescent="0.25">
      <c r="T10522" s="10"/>
      <c r="U10522" s="4"/>
      <c r="V10522" s="4"/>
      <c r="X10522" s="4"/>
      <c r="Y10522" s="4"/>
    </row>
    <row r="10523" spans="20:25" x14ac:dyDescent="0.25">
      <c r="T10523" s="10"/>
      <c r="U10523" s="4"/>
      <c r="V10523" s="4"/>
      <c r="X10523" s="4"/>
      <c r="Y10523" s="4"/>
    </row>
    <row r="10524" spans="20:25" x14ac:dyDescent="0.25">
      <c r="T10524" s="10"/>
      <c r="U10524" s="4"/>
      <c r="V10524" s="4"/>
      <c r="X10524" s="4"/>
      <c r="Y10524" s="4"/>
    </row>
    <row r="10525" spans="20:25" x14ac:dyDescent="0.25">
      <c r="T10525" s="10"/>
      <c r="U10525" s="4"/>
      <c r="V10525" s="4"/>
      <c r="X10525" s="4"/>
      <c r="Y10525" s="4"/>
    </row>
    <row r="10526" spans="20:25" x14ac:dyDescent="0.25">
      <c r="T10526" s="10"/>
      <c r="U10526" s="4"/>
      <c r="V10526" s="4"/>
      <c r="X10526" s="4"/>
      <c r="Y10526" s="4"/>
    </row>
    <row r="10527" spans="20:25" x14ac:dyDescent="0.25">
      <c r="T10527" s="10"/>
      <c r="U10527" s="4"/>
      <c r="V10527" s="4"/>
      <c r="X10527" s="4"/>
      <c r="Y10527" s="4"/>
    </row>
    <row r="10528" spans="20:25" x14ac:dyDescent="0.25">
      <c r="T10528" s="10"/>
      <c r="U10528" s="4"/>
      <c r="V10528" s="4"/>
      <c r="X10528" s="4"/>
      <c r="Y10528" s="4"/>
    </row>
    <row r="10529" spans="20:25" x14ac:dyDescent="0.25">
      <c r="T10529" s="10"/>
      <c r="U10529" s="4"/>
      <c r="V10529" s="4"/>
      <c r="X10529" s="4"/>
      <c r="Y10529" s="4"/>
    </row>
    <row r="10530" spans="20:25" x14ac:dyDescent="0.25">
      <c r="T10530" s="10"/>
      <c r="U10530" s="4"/>
      <c r="V10530" s="4"/>
      <c r="X10530" s="4"/>
      <c r="Y10530" s="4"/>
    </row>
    <row r="10531" spans="20:25" x14ac:dyDescent="0.25">
      <c r="T10531" s="10"/>
      <c r="U10531" s="4"/>
      <c r="V10531" s="4"/>
      <c r="X10531" s="4"/>
      <c r="Y10531" s="4"/>
    </row>
    <row r="10532" spans="20:25" x14ac:dyDescent="0.25">
      <c r="T10532" s="10"/>
      <c r="U10532" s="4"/>
      <c r="V10532" s="4"/>
      <c r="X10532" s="4"/>
      <c r="Y10532" s="4"/>
    </row>
    <row r="10533" spans="20:25" x14ac:dyDescent="0.25">
      <c r="T10533" s="10"/>
      <c r="U10533" s="4"/>
      <c r="V10533" s="4"/>
      <c r="X10533" s="4"/>
      <c r="Y10533" s="4"/>
    </row>
    <row r="10534" spans="20:25" x14ac:dyDescent="0.25">
      <c r="T10534" s="10"/>
      <c r="U10534" s="4"/>
      <c r="V10534" s="4"/>
      <c r="X10534" s="4"/>
      <c r="Y10534" s="4"/>
    </row>
    <row r="10535" spans="20:25" x14ac:dyDescent="0.25">
      <c r="T10535" s="10"/>
      <c r="U10535" s="4"/>
      <c r="V10535" s="4"/>
      <c r="X10535" s="4"/>
      <c r="Y10535" s="4"/>
    </row>
    <row r="10536" spans="20:25" x14ac:dyDescent="0.25">
      <c r="T10536" s="10"/>
      <c r="U10536" s="4"/>
      <c r="V10536" s="4"/>
      <c r="X10536" s="4"/>
      <c r="Y10536" s="4"/>
    </row>
    <row r="10537" spans="20:25" x14ac:dyDescent="0.25">
      <c r="T10537" s="10"/>
      <c r="U10537" s="4"/>
      <c r="V10537" s="4"/>
      <c r="X10537" s="4"/>
      <c r="Y10537" s="4"/>
    </row>
    <row r="10538" spans="20:25" x14ac:dyDescent="0.25">
      <c r="T10538" s="10"/>
      <c r="U10538" s="4"/>
      <c r="V10538" s="4"/>
      <c r="X10538" s="4"/>
      <c r="Y10538" s="4"/>
    </row>
    <row r="10539" spans="20:25" x14ac:dyDescent="0.25">
      <c r="T10539" s="10"/>
      <c r="U10539" s="4"/>
      <c r="V10539" s="4"/>
      <c r="X10539" s="4"/>
      <c r="Y10539" s="4"/>
    </row>
    <row r="10540" spans="20:25" x14ac:dyDescent="0.25">
      <c r="T10540" s="10"/>
      <c r="U10540" s="4"/>
      <c r="V10540" s="4"/>
      <c r="X10540" s="4"/>
      <c r="Y10540" s="4"/>
    </row>
    <row r="10541" spans="20:25" x14ac:dyDescent="0.25">
      <c r="T10541" s="10"/>
      <c r="U10541" s="4"/>
      <c r="V10541" s="4"/>
      <c r="X10541" s="4"/>
      <c r="Y10541" s="4"/>
    </row>
    <row r="10542" spans="20:25" x14ac:dyDescent="0.25">
      <c r="T10542" s="10"/>
      <c r="U10542" s="4"/>
      <c r="V10542" s="4"/>
      <c r="X10542" s="4"/>
      <c r="Y10542" s="4"/>
    </row>
    <row r="10543" spans="20:25" x14ac:dyDescent="0.25">
      <c r="T10543" s="10"/>
      <c r="U10543" s="4"/>
      <c r="V10543" s="4"/>
      <c r="X10543" s="4"/>
      <c r="Y10543" s="4"/>
    </row>
    <row r="10544" spans="20:25" x14ac:dyDescent="0.25">
      <c r="T10544" s="10"/>
      <c r="U10544" s="4"/>
      <c r="V10544" s="4"/>
      <c r="X10544" s="4"/>
      <c r="Y10544" s="4"/>
    </row>
    <row r="10545" spans="20:25" x14ac:dyDescent="0.25">
      <c r="T10545" s="10"/>
      <c r="U10545" s="4"/>
      <c r="V10545" s="4"/>
      <c r="X10545" s="4"/>
      <c r="Y10545" s="4"/>
    </row>
    <row r="10546" spans="20:25" x14ac:dyDescent="0.25">
      <c r="T10546" s="10"/>
      <c r="U10546" s="4"/>
      <c r="V10546" s="4"/>
      <c r="X10546" s="4"/>
      <c r="Y10546" s="4"/>
    </row>
    <row r="10547" spans="20:25" x14ac:dyDescent="0.25">
      <c r="T10547" s="10"/>
      <c r="U10547" s="4"/>
      <c r="V10547" s="4"/>
      <c r="X10547" s="4"/>
      <c r="Y10547" s="4"/>
    </row>
    <row r="10548" spans="20:25" x14ac:dyDescent="0.25">
      <c r="T10548" s="10"/>
      <c r="U10548" s="4"/>
      <c r="V10548" s="4"/>
      <c r="X10548" s="4"/>
      <c r="Y10548" s="4"/>
    </row>
    <row r="10549" spans="20:25" x14ac:dyDescent="0.25">
      <c r="T10549" s="10"/>
      <c r="U10549" s="4"/>
      <c r="V10549" s="4"/>
      <c r="X10549" s="4"/>
      <c r="Y10549" s="4"/>
    </row>
    <row r="10550" spans="20:25" x14ac:dyDescent="0.25">
      <c r="T10550" s="10"/>
      <c r="U10550" s="4"/>
      <c r="V10550" s="4"/>
      <c r="X10550" s="4"/>
      <c r="Y10550" s="4"/>
    </row>
    <row r="10551" spans="20:25" x14ac:dyDescent="0.25">
      <c r="T10551" s="10"/>
      <c r="U10551" s="4"/>
      <c r="V10551" s="4"/>
      <c r="X10551" s="4"/>
      <c r="Y10551" s="4"/>
    </row>
    <row r="10552" spans="20:25" x14ac:dyDescent="0.25">
      <c r="T10552" s="10"/>
      <c r="U10552" s="4"/>
      <c r="V10552" s="4"/>
      <c r="X10552" s="4"/>
      <c r="Y10552" s="4"/>
    </row>
    <row r="10553" spans="20:25" x14ac:dyDescent="0.25">
      <c r="T10553" s="10"/>
      <c r="U10553" s="4"/>
      <c r="V10553" s="4"/>
      <c r="X10553" s="4"/>
      <c r="Y10553" s="4"/>
    </row>
    <row r="10554" spans="20:25" x14ac:dyDescent="0.25">
      <c r="T10554" s="10"/>
      <c r="U10554" s="4"/>
      <c r="V10554" s="4"/>
      <c r="X10554" s="4"/>
      <c r="Y10554" s="4"/>
    </row>
    <row r="10555" spans="20:25" x14ac:dyDescent="0.25">
      <c r="T10555" s="10"/>
      <c r="U10555" s="4"/>
      <c r="V10555" s="4"/>
      <c r="X10555" s="4"/>
      <c r="Y10555" s="4"/>
    </row>
    <row r="10556" spans="20:25" x14ac:dyDescent="0.25">
      <c r="T10556" s="10"/>
      <c r="U10556" s="4"/>
      <c r="V10556" s="4"/>
      <c r="X10556" s="4"/>
      <c r="Y10556" s="4"/>
    </row>
    <row r="10557" spans="20:25" x14ac:dyDescent="0.25">
      <c r="T10557" s="10"/>
      <c r="U10557" s="4"/>
      <c r="V10557" s="4"/>
      <c r="X10557" s="4"/>
      <c r="Y10557" s="4"/>
    </row>
    <row r="10558" spans="20:25" x14ac:dyDescent="0.25">
      <c r="T10558" s="10"/>
      <c r="U10558" s="4"/>
      <c r="V10558" s="4"/>
      <c r="X10558" s="4"/>
      <c r="Y10558" s="4"/>
    </row>
    <row r="10559" spans="20:25" x14ac:dyDescent="0.25">
      <c r="T10559" s="10"/>
      <c r="U10559" s="4"/>
      <c r="V10559" s="4"/>
      <c r="X10559" s="4"/>
      <c r="Y10559" s="4"/>
    </row>
    <row r="10560" spans="20:25" x14ac:dyDescent="0.25">
      <c r="T10560" s="10"/>
      <c r="U10560" s="4"/>
      <c r="V10560" s="4"/>
      <c r="X10560" s="4"/>
      <c r="Y10560" s="4"/>
    </row>
    <row r="10561" spans="20:25" x14ac:dyDescent="0.25">
      <c r="T10561" s="10"/>
      <c r="U10561" s="4"/>
      <c r="V10561" s="4"/>
      <c r="X10561" s="4"/>
      <c r="Y10561" s="4"/>
    </row>
    <row r="10562" spans="20:25" x14ac:dyDescent="0.25">
      <c r="T10562" s="10"/>
      <c r="U10562" s="4"/>
      <c r="V10562" s="4"/>
      <c r="X10562" s="4"/>
      <c r="Y10562" s="4"/>
    </row>
    <row r="10563" spans="20:25" x14ac:dyDescent="0.25">
      <c r="T10563" s="10"/>
      <c r="U10563" s="4"/>
      <c r="V10563" s="4"/>
      <c r="X10563" s="4"/>
      <c r="Y10563" s="4"/>
    </row>
    <row r="10564" spans="20:25" x14ac:dyDescent="0.25">
      <c r="T10564" s="10"/>
      <c r="U10564" s="4"/>
      <c r="V10564" s="4"/>
      <c r="X10564" s="4"/>
      <c r="Y10564" s="4"/>
    </row>
    <row r="10565" spans="20:25" x14ac:dyDescent="0.25">
      <c r="T10565" s="10"/>
      <c r="U10565" s="4"/>
      <c r="V10565" s="4"/>
      <c r="X10565" s="4"/>
      <c r="Y10565" s="4"/>
    </row>
    <row r="10566" spans="20:25" x14ac:dyDescent="0.25">
      <c r="T10566" s="10"/>
      <c r="U10566" s="4"/>
      <c r="V10566" s="4"/>
      <c r="X10566" s="4"/>
      <c r="Y10566" s="4"/>
    </row>
    <row r="10567" spans="20:25" x14ac:dyDescent="0.25">
      <c r="T10567" s="10"/>
      <c r="U10567" s="4"/>
      <c r="V10567" s="4"/>
      <c r="X10567" s="4"/>
      <c r="Y10567" s="4"/>
    </row>
    <row r="10568" spans="20:25" x14ac:dyDescent="0.25">
      <c r="T10568" s="10"/>
      <c r="U10568" s="4"/>
      <c r="V10568" s="4"/>
      <c r="X10568" s="4"/>
      <c r="Y10568" s="4"/>
    </row>
    <row r="10569" spans="20:25" x14ac:dyDescent="0.25">
      <c r="T10569" s="10"/>
      <c r="U10569" s="4"/>
      <c r="V10569" s="4"/>
      <c r="X10569" s="4"/>
      <c r="Y10569" s="4"/>
    </row>
    <row r="10570" spans="20:25" x14ac:dyDescent="0.25">
      <c r="T10570" s="10"/>
      <c r="U10570" s="4"/>
      <c r="V10570" s="4"/>
      <c r="X10570" s="4"/>
      <c r="Y10570" s="4"/>
    </row>
    <row r="10571" spans="20:25" x14ac:dyDescent="0.25">
      <c r="T10571" s="10"/>
      <c r="U10571" s="4"/>
      <c r="V10571" s="4"/>
      <c r="X10571" s="4"/>
      <c r="Y10571" s="4"/>
    </row>
    <row r="10572" spans="20:25" x14ac:dyDescent="0.25">
      <c r="T10572" s="10"/>
      <c r="U10572" s="4"/>
      <c r="V10572" s="4"/>
      <c r="X10572" s="4"/>
      <c r="Y10572" s="4"/>
    </row>
    <row r="10573" spans="20:25" x14ac:dyDescent="0.25">
      <c r="T10573" s="10"/>
      <c r="U10573" s="4"/>
      <c r="V10573" s="4"/>
      <c r="X10573" s="4"/>
      <c r="Y10573" s="4"/>
    </row>
    <row r="10574" spans="20:25" x14ac:dyDescent="0.25">
      <c r="T10574" s="10"/>
      <c r="U10574" s="4"/>
      <c r="V10574" s="4"/>
      <c r="X10574" s="4"/>
      <c r="Y10574" s="4"/>
    </row>
    <row r="10575" spans="20:25" x14ac:dyDescent="0.25">
      <c r="T10575" s="10"/>
      <c r="U10575" s="4"/>
      <c r="V10575" s="4"/>
      <c r="X10575" s="4"/>
      <c r="Y10575" s="4"/>
    </row>
    <row r="10576" spans="20:25" x14ac:dyDescent="0.25">
      <c r="T10576" s="10"/>
      <c r="U10576" s="4"/>
      <c r="V10576" s="4"/>
      <c r="X10576" s="4"/>
      <c r="Y10576" s="4"/>
    </row>
    <row r="10577" spans="20:25" x14ac:dyDescent="0.25">
      <c r="T10577" s="10"/>
      <c r="U10577" s="4"/>
      <c r="V10577" s="4"/>
      <c r="X10577" s="4"/>
      <c r="Y10577" s="4"/>
    </row>
    <row r="10578" spans="20:25" x14ac:dyDescent="0.25">
      <c r="T10578" s="10"/>
      <c r="U10578" s="4"/>
      <c r="V10578" s="4"/>
      <c r="X10578" s="4"/>
      <c r="Y10578" s="4"/>
    </row>
    <row r="10579" spans="20:25" x14ac:dyDescent="0.25">
      <c r="T10579" s="10"/>
      <c r="U10579" s="4"/>
      <c r="V10579" s="4"/>
      <c r="X10579" s="4"/>
      <c r="Y10579" s="4"/>
    </row>
    <row r="10580" spans="20:25" x14ac:dyDescent="0.25">
      <c r="T10580" s="10"/>
      <c r="U10580" s="4"/>
      <c r="V10580" s="4"/>
      <c r="X10580" s="4"/>
      <c r="Y10580" s="4"/>
    </row>
    <row r="10581" spans="20:25" x14ac:dyDescent="0.25">
      <c r="T10581" s="10"/>
      <c r="U10581" s="4"/>
      <c r="V10581" s="4"/>
      <c r="X10581" s="4"/>
      <c r="Y10581" s="4"/>
    </row>
    <row r="10582" spans="20:25" x14ac:dyDescent="0.25">
      <c r="T10582" s="10"/>
      <c r="U10582" s="4"/>
      <c r="V10582" s="4"/>
      <c r="X10582" s="4"/>
      <c r="Y10582" s="4"/>
    </row>
    <row r="10583" spans="20:25" x14ac:dyDescent="0.25">
      <c r="T10583" s="10"/>
      <c r="U10583" s="4"/>
      <c r="V10583" s="4"/>
      <c r="X10583" s="4"/>
      <c r="Y10583" s="4"/>
    </row>
    <row r="10584" spans="20:25" x14ac:dyDescent="0.25">
      <c r="T10584" s="10"/>
      <c r="U10584" s="4"/>
      <c r="V10584" s="4"/>
      <c r="X10584" s="4"/>
      <c r="Y10584" s="4"/>
    </row>
    <row r="10585" spans="20:25" x14ac:dyDescent="0.25">
      <c r="T10585" s="10"/>
      <c r="U10585" s="4"/>
      <c r="V10585" s="4"/>
      <c r="X10585" s="4"/>
      <c r="Y10585" s="4"/>
    </row>
    <row r="10586" spans="20:25" x14ac:dyDescent="0.25">
      <c r="T10586" s="10"/>
      <c r="U10586" s="4"/>
      <c r="V10586" s="4"/>
      <c r="X10586" s="4"/>
      <c r="Y10586" s="4"/>
    </row>
    <row r="10587" spans="20:25" x14ac:dyDescent="0.25">
      <c r="T10587" s="10"/>
      <c r="U10587" s="4"/>
      <c r="V10587" s="4"/>
      <c r="X10587" s="4"/>
      <c r="Y10587" s="4"/>
    </row>
    <row r="10588" spans="20:25" x14ac:dyDescent="0.25">
      <c r="T10588" s="10"/>
      <c r="U10588" s="4"/>
      <c r="V10588" s="4"/>
      <c r="X10588" s="4"/>
      <c r="Y10588" s="4"/>
    </row>
    <row r="10589" spans="20:25" x14ac:dyDescent="0.25">
      <c r="T10589" s="10"/>
      <c r="U10589" s="4"/>
      <c r="V10589" s="4"/>
      <c r="X10589" s="4"/>
      <c r="Y10589" s="4"/>
    </row>
    <row r="10590" spans="20:25" x14ac:dyDescent="0.25">
      <c r="T10590" s="10"/>
      <c r="U10590" s="4"/>
      <c r="V10590" s="4"/>
      <c r="X10590" s="4"/>
      <c r="Y10590" s="4"/>
    </row>
    <row r="10591" spans="20:25" x14ac:dyDescent="0.25">
      <c r="T10591" s="10"/>
      <c r="U10591" s="4"/>
      <c r="V10591" s="4"/>
      <c r="X10591" s="4"/>
      <c r="Y10591" s="4"/>
    </row>
    <row r="10592" spans="20:25" x14ac:dyDescent="0.25">
      <c r="T10592" s="10"/>
      <c r="U10592" s="4"/>
      <c r="V10592" s="4"/>
      <c r="X10592" s="4"/>
      <c r="Y10592" s="4"/>
    </row>
    <row r="10593" spans="20:25" x14ac:dyDescent="0.25">
      <c r="T10593" s="10"/>
      <c r="U10593" s="4"/>
      <c r="V10593" s="4"/>
      <c r="X10593" s="4"/>
      <c r="Y10593" s="4"/>
    </row>
    <row r="10594" spans="20:25" x14ac:dyDescent="0.25">
      <c r="T10594" s="10"/>
      <c r="U10594" s="4"/>
      <c r="V10594" s="4"/>
      <c r="X10594" s="4"/>
      <c r="Y10594" s="4"/>
    </row>
    <row r="10595" spans="20:25" x14ac:dyDescent="0.25">
      <c r="T10595" s="10"/>
      <c r="U10595" s="4"/>
      <c r="V10595" s="4"/>
      <c r="X10595" s="4"/>
      <c r="Y10595" s="4"/>
    </row>
    <row r="10596" spans="20:25" x14ac:dyDescent="0.25">
      <c r="T10596" s="10"/>
      <c r="U10596" s="4"/>
      <c r="V10596" s="4"/>
      <c r="X10596" s="4"/>
      <c r="Y10596" s="4"/>
    </row>
    <row r="10597" spans="20:25" x14ac:dyDescent="0.25">
      <c r="T10597" s="10"/>
      <c r="U10597" s="4"/>
      <c r="V10597" s="4"/>
      <c r="X10597" s="4"/>
      <c r="Y10597" s="4"/>
    </row>
    <row r="10598" spans="20:25" x14ac:dyDescent="0.25">
      <c r="T10598" s="10"/>
      <c r="U10598" s="4"/>
      <c r="V10598" s="4"/>
      <c r="X10598" s="4"/>
      <c r="Y10598" s="4"/>
    </row>
    <row r="10599" spans="20:25" x14ac:dyDescent="0.25">
      <c r="T10599" s="10"/>
      <c r="U10599" s="4"/>
      <c r="V10599" s="4"/>
      <c r="X10599" s="4"/>
      <c r="Y10599" s="4"/>
    </row>
    <row r="10600" spans="20:25" x14ac:dyDescent="0.25">
      <c r="T10600" s="10"/>
      <c r="U10600" s="4"/>
      <c r="V10600" s="4"/>
      <c r="X10600" s="4"/>
      <c r="Y10600" s="4"/>
    </row>
    <row r="10601" spans="20:25" x14ac:dyDescent="0.25">
      <c r="T10601" s="10"/>
      <c r="U10601" s="4"/>
      <c r="V10601" s="4"/>
      <c r="X10601" s="4"/>
      <c r="Y10601" s="4"/>
    </row>
    <row r="10602" spans="20:25" x14ac:dyDescent="0.25">
      <c r="T10602" s="10"/>
      <c r="U10602" s="4"/>
      <c r="V10602" s="4"/>
      <c r="X10602" s="4"/>
      <c r="Y10602" s="4"/>
    </row>
    <row r="10603" spans="20:25" x14ac:dyDescent="0.25">
      <c r="T10603" s="10"/>
      <c r="U10603" s="4"/>
      <c r="V10603" s="4"/>
      <c r="X10603" s="4"/>
      <c r="Y10603" s="4"/>
    </row>
    <row r="10604" spans="20:25" x14ac:dyDescent="0.25">
      <c r="T10604" s="10"/>
      <c r="U10604" s="4"/>
      <c r="V10604" s="4"/>
      <c r="X10604" s="4"/>
      <c r="Y10604" s="4"/>
    </row>
    <row r="10605" spans="20:25" x14ac:dyDescent="0.25">
      <c r="T10605" s="10"/>
      <c r="U10605" s="4"/>
      <c r="V10605" s="4"/>
      <c r="X10605" s="4"/>
      <c r="Y10605" s="4"/>
    </row>
    <row r="10606" spans="20:25" x14ac:dyDescent="0.25">
      <c r="T10606" s="10"/>
      <c r="U10606" s="4"/>
      <c r="V10606" s="4"/>
      <c r="X10606" s="4"/>
      <c r="Y10606" s="4"/>
    </row>
    <row r="10607" spans="20:25" x14ac:dyDescent="0.25">
      <c r="T10607" s="10"/>
      <c r="U10607" s="4"/>
      <c r="V10607" s="4"/>
      <c r="X10607" s="4"/>
      <c r="Y10607" s="4"/>
    </row>
    <row r="10608" spans="20:25" x14ac:dyDescent="0.25">
      <c r="T10608" s="10"/>
      <c r="U10608" s="4"/>
      <c r="V10608" s="4"/>
      <c r="X10608" s="4"/>
      <c r="Y10608" s="4"/>
    </row>
    <row r="10609" spans="20:25" x14ac:dyDescent="0.25">
      <c r="T10609" s="10"/>
      <c r="U10609" s="4"/>
      <c r="V10609" s="4"/>
      <c r="X10609" s="4"/>
      <c r="Y10609" s="4"/>
    </row>
    <row r="10610" spans="20:25" x14ac:dyDescent="0.25">
      <c r="T10610" s="10"/>
      <c r="U10610" s="4"/>
      <c r="V10610" s="4"/>
      <c r="X10610" s="4"/>
      <c r="Y10610" s="4"/>
    </row>
    <row r="10611" spans="20:25" x14ac:dyDescent="0.25">
      <c r="T10611" s="10"/>
      <c r="U10611" s="4"/>
      <c r="V10611" s="4"/>
      <c r="X10611" s="4"/>
      <c r="Y10611" s="4"/>
    </row>
    <row r="10612" spans="20:25" x14ac:dyDescent="0.25">
      <c r="T10612" s="10"/>
      <c r="U10612" s="4"/>
      <c r="V10612" s="4"/>
      <c r="X10612" s="4"/>
      <c r="Y10612" s="4"/>
    </row>
    <row r="10613" spans="20:25" x14ac:dyDescent="0.25">
      <c r="T10613" s="10"/>
      <c r="U10613" s="4"/>
      <c r="V10613" s="4"/>
      <c r="X10613" s="4"/>
      <c r="Y10613" s="4"/>
    </row>
    <row r="10614" spans="20:25" x14ac:dyDescent="0.25">
      <c r="T10614" s="10"/>
      <c r="U10614" s="4"/>
      <c r="V10614" s="4"/>
      <c r="X10614" s="4"/>
      <c r="Y10614" s="4"/>
    </row>
    <row r="10615" spans="20:25" x14ac:dyDescent="0.25">
      <c r="T10615" s="10"/>
      <c r="U10615" s="4"/>
      <c r="V10615" s="4"/>
      <c r="X10615" s="4"/>
      <c r="Y10615" s="4"/>
    </row>
    <row r="10616" spans="20:25" x14ac:dyDescent="0.25">
      <c r="T10616" s="10"/>
      <c r="U10616" s="4"/>
      <c r="V10616" s="4"/>
      <c r="X10616" s="4"/>
      <c r="Y10616" s="4"/>
    </row>
    <row r="10617" spans="20:25" x14ac:dyDescent="0.25">
      <c r="T10617" s="10"/>
      <c r="U10617" s="4"/>
      <c r="V10617" s="4"/>
      <c r="X10617" s="4"/>
      <c r="Y10617" s="4"/>
    </row>
    <row r="10618" spans="20:25" x14ac:dyDescent="0.25">
      <c r="T10618" s="10"/>
      <c r="U10618" s="4"/>
      <c r="V10618" s="4"/>
      <c r="X10618" s="4"/>
      <c r="Y10618" s="4"/>
    </row>
    <row r="10619" spans="20:25" x14ac:dyDescent="0.25">
      <c r="T10619" s="10"/>
      <c r="U10619" s="4"/>
      <c r="V10619" s="4"/>
      <c r="X10619" s="4"/>
      <c r="Y10619" s="4"/>
    </row>
    <row r="10620" spans="20:25" x14ac:dyDescent="0.25">
      <c r="T10620" s="10"/>
      <c r="U10620" s="4"/>
      <c r="V10620" s="4"/>
      <c r="X10620" s="4"/>
      <c r="Y10620" s="4"/>
    </row>
    <row r="10621" spans="20:25" x14ac:dyDescent="0.25">
      <c r="T10621" s="10"/>
      <c r="U10621" s="4"/>
      <c r="V10621" s="4"/>
      <c r="X10621" s="4"/>
      <c r="Y10621" s="4"/>
    </row>
    <row r="10622" spans="20:25" x14ac:dyDescent="0.25">
      <c r="T10622" s="10"/>
      <c r="U10622" s="4"/>
      <c r="V10622" s="4"/>
      <c r="X10622" s="4"/>
      <c r="Y10622" s="4"/>
    </row>
    <row r="10623" spans="20:25" x14ac:dyDescent="0.25">
      <c r="T10623" s="10"/>
      <c r="U10623" s="4"/>
      <c r="V10623" s="4"/>
      <c r="X10623" s="4"/>
      <c r="Y10623" s="4"/>
    </row>
    <row r="10624" spans="20:25" x14ac:dyDescent="0.25">
      <c r="T10624" s="10"/>
      <c r="U10624" s="4"/>
      <c r="V10624" s="4"/>
      <c r="X10624" s="4"/>
      <c r="Y10624" s="4"/>
    </row>
    <row r="10625" spans="20:25" x14ac:dyDescent="0.25">
      <c r="T10625" s="10"/>
      <c r="U10625" s="4"/>
      <c r="V10625" s="4"/>
      <c r="X10625" s="4"/>
      <c r="Y10625" s="4"/>
    </row>
    <row r="10626" spans="20:25" x14ac:dyDescent="0.25">
      <c r="T10626" s="10"/>
      <c r="U10626" s="4"/>
      <c r="V10626" s="4"/>
      <c r="X10626" s="4"/>
      <c r="Y10626" s="4"/>
    </row>
    <row r="10627" spans="20:25" x14ac:dyDescent="0.25">
      <c r="T10627" s="10"/>
      <c r="U10627" s="4"/>
      <c r="V10627" s="4"/>
      <c r="X10627" s="4"/>
      <c r="Y10627" s="4"/>
    </row>
    <row r="10628" spans="20:25" x14ac:dyDescent="0.25">
      <c r="T10628" s="10"/>
      <c r="U10628" s="4"/>
      <c r="V10628" s="4"/>
      <c r="X10628" s="4"/>
      <c r="Y10628" s="4"/>
    </row>
    <row r="10629" spans="20:25" x14ac:dyDescent="0.25">
      <c r="T10629" s="10"/>
      <c r="U10629" s="4"/>
      <c r="V10629" s="4"/>
      <c r="X10629" s="4"/>
      <c r="Y10629" s="4"/>
    </row>
    <row r="10630" spans="20:25" x14ac:dyDescent="0.25">
      <c r="T10630" s="10"/>
      <c r="U10630" s="4"/>
      <c r="V10630" s="4"/>
      <c r="X10630" s="4"/>
      <c r="Y10630" s="4"/>
    </row>
    <row r="10631" spans="20:25" x14ac:dyDescent="0.25">
      <c r="T10631" s="10"/>
      <c r="U10631" s="4"/>
      <c r="V10631" s="4"/>
      <c r="X10631" s="4"/>
      <c r="Y10631" s="4"/>
    </row>
    <row r="10632" spans="20:25" x14ac:dyDescent="0.25">
      <c r="T10632" s="10"/>
      <c r="U10632" s="4"/>
      <c r="V10632" s="4"/>
      <c r="X10632" s="4"/>
      <c r="Y10632" s="4"/>
    </row>
    <row r="10633" spans="20:25" x14ac:dyDescent="0.25">
      <c r="T10633" s="10"/>
      <c r="U10633" s="4"/>
      <c r="V10633" s="4"/>
      <c r="X10633" s="4"/>
      <c r="Y10633" s="4"/>
    </row>
    <row r="10634" spans="20:25" x14ac:dyDescent="0.25">
      <c r="T10634" s="10"/>
      <c r="U10634" s="4"/>
      <c r="V10634" s="4"/>
      <c r="X10634" s="4"/>
      <c r="Y10634" s="4"/>
    </row>
    <row r="10635" spans="20:25" x14ac:dyDescent="0.25">
      <c r="T10635" s="10"/>
      <c r="U10635" s="4"/>
      <c r="V10635" s="4"/>
      <c r="X10635" s="4"/>
      <c r="Y10635" s="4"/>
    </row>
    <row r="10636" spans="20:25" x14ac:dyDescent="0.25">
      <c r="T10636" s="10"/>
      <c r="U10636" s="4"/>
      <c r="V10636" s="4"/>
      <c r="X10636" s="4"/>
      <c r="Y10636" s="4"/>
    </row>
    <row r="10637" spans="20:25" x14ac:dyDescent="0.25">
      <c r="T10637" s="10"/>
      <c r="U10637" s="4"/>
      <c r="V10637" s="4"/>
      <c r="X10637" s="4"/>
      <c r="Y10637" s="4"/>
    </row>
    <row r="10638" spans="20:25" x14ac:dyDescent="0.25">
      <c r="T10638" s="10"/>
      <c r="U10638" s="4"/>
      <c r="V10638" s="4"/>
      <c r="X10638" s="4"/>
      <c r="Y10638" s="4"/>
    </row>
    <row r="10639" spans="20:25" x14ac:dyDescent="0.25">
      <c r="T10639" s="10"/>
      <c r="U10639" s="4"/>
      <c r="V10639" s="4"/>
      <c r="X10639" s="4"/>
      <c r="Y10639" s="4"/>
    </row>
    <row r="10640" spans="20:25" x14ac:dyDescent="0.25">
      <c r="T10640" s="10"/>
      <c r="U10640" s="4"/>
      <c r="V10640" s="4"/>
      <c r="X10640" s="4"/>
      <c r="Y10640" s="4"/>
    </row>
    <row r="10641" spans="20:25" x14ac:dyDescent="0.25">
      <c r="T10641" s="10"/>
      <c r="U10641" s="4"/>
      <c r="V10641" s="4"/>
      <c r="X10641" s="4"/>
      <c r="Y10641" s="4"/>
    </row>
    <row r="10642" spans="20:25" x14ac:dyDescent="0.25">
      <c r="T10642" s="10"/>
      <c r="U10642" s="4"/>
      <c r="V10642" s="4"/>
      <c r="X10642" s="4"/>
      <c r="Y10642" s="4"/>
    </row>
    <row r="10643" spans="20:25" x14ac:dyDescent="0.25">
      <c r="T10643" s="10"/>
      <c r="U10643" s="4"/>
      <c r="V10643" s="4"/>
      <c r="X10643" s="4"/>
      <c r="Y10643" s="4"/>
    </row>
    <row r="10644" spans="20:25" x14ac:dyDescent="0.25">
      <c r="T10644" s="10"/>
      <c r="U10644" s="4"/>
      <c r="V10644" s="4"/>
      <c r="X10644" s="4"/>
      <c r="Y10644" s="4"/>
    </row>
    <row r="10645" spans="20:25" x14ac:dyDescent="0.25">
      <c r="T10645" s="10"/>
      <c r="U10645" s="4"/>
      <c r="V10645" s="4"/>
      <c r="X10645" s="4"/>
      <c r="Y10645" s="4"/>
    </row>
    <row r="10646" spans="20:25" x14ac:dyDescent="0.25">
      <c r="T10646" s="10"/>
      <c r="U10646" s="4"/>
      <c r="V10646" s="4"/>
      <c r="X10646" s="4"/>
      <c r="Y10646" s="4"/>
    </row>
    <row r="10647" spans="20:25" x14ac:dyDescent="0.25">
      <c r="T10647" s="10"/>
      <c r="U10647" s="4"/>
      <c r="V10647" s="4"/>
      <c r="X10647" s="4"/>
      <c r="Y10647" s="4"/>
    </row>
    <row r="10648" spans="20:25" x14ac:dyDescent="0.25">
      <c r="T10648" s="10"/>
      <c r="U10648" s="4"/>
      <c r="V10648" s="4"/>
      <c r="X10648" s="4"/>
      <c r="Y10648" s="4"/>
    </row>
    <row r="10649" spans="20:25" x14ac:dyDescent="0.25">
      <c r="T10649" s="10"/>
      <c r="U10649" s="4"/>
      <c r="V10649" s="4"/>
      <c r="X10649" s="4"/>
      <c r="Y10649" s="4"/>
    </row>
    <row r="10650" spans="20:25" x14ac:dyDescent="0.25">
      <c r="T10650" s="10"/>
      <c r="U10650" s="4"/>
      <c r="V10650" s="4"/>
      <c r="X10650" s="4"/>
      <c r="Y10650" s="4"/>
    </row>
    <row r="10651" spans="20:25" x14ac:dyDescent="0.25">
      <c r="T10651" s="10"/>
      <c r="U10651" s="4"/>
      <c r="V10651" s="4"/>
      <c r="X10651" s="4"/>
      <c r="Y10651" s="4"/>
    </row>
    <row r="10652" spans="20:25" x14ac:dyDescent="0.25">
      <c r="T10652" s="10"/>
      <c r="U10652" s="4"/>
      <c r="V10652" s="4"/>
      <c r="X10652" s="4"/>
      <c r="Y10652" s="4"/>
    </row>
    <row r="10653" spans="20:25" x14ac:dyDescent="0.25">
      <c r="T10653" s="10"/>
      <c r="U10653" s="4"/>
      <c r="V10653" s="4"/>
      <c r="X10653" s="4"/>
      <c r="Y10653" s="4"/>
    </row>
    <row r="10654" spans="20:25" x14ac:dyDescent="0.25">
      <c r="T10654" s="10"/>
      <c r="U10654" s="4"/>
      <c r="V10654" s="4"/>
      <c r="X10654" s="4"/>
      <c r="Y10654" s="4"/>
    </row>
    <row r="10655" spans="20:25" x14ac:dyDescent="0.25">
      <c r="T10655" s="10"/>
      <c r="U10655" s="4"/>
      <c r="V10655" s="4"/>
      <c r="X10655" s="4"/>
      <c r="Y10655" s="4"/>
    </row>
    <row r="10656" spans="20:25" x14ac:dyDescent="0.25">
      <c r="T10656" s="10"/>
      <c r="U10656" s="4"/>
      <c r="V10656" s="4"/>
      <c r="X10656" s="4"/>
      <c r="Y10656" s="4"/>
    </row>
    <row r="10657" spans="20:25" x14ac:dyDescent="0.25">
      <c r="T10657" s="10"/>
      <c r="U10657" s="4"/>
      <c r="V10657" s="4"/>
      <c r="X10657" s="4"/>
      <c r="Y10657" s="4"/>
    </row>
    <row r="10658" spans="20:25" x14ac:dyDescent="0.25">
      <c r="T10658" s="10"/>
      <c r="U10658" s="4"/>
      <c r="V10658" s="4"/>
      <c r="X10658" s="4"/>
      <c r="Y10658" s="4"/>
    </row>
    <row r="10659" spans="20:25" x14ac:dyDescent="0.25">
      <c r="T10659" s="10"/>
      <c r="U10659" s="4"/>
      <c r="V10659" s="4"/>
      <c r="X10659" s="4"/>
      <c r="Y10659" s="4"/>
    </row>
    <row r="10660" spans="20:25" x14ac:dyDescent="0.25">
      <c r="T10660" s="10"/>
      <c r="U10660" s="4"/>
      <c r="V10660" s="4"/>
      <c r="X10660" s="4"/>
      <c r="Y10660" s="4"/>
    </row>
    <row r="10661" spans="20:25" x14ac:dyDescent="0.25">
      <c r="T10661" s="10"/>
      <c r="U10661" s="4"/>
      <c r="V10661" s="4"/>
      <c r="X10661" s="4"/>
      <c r="Y10661" s="4"/>
    </row>
    <row r="10662" spans="20:25" x14ac:dyDescent="0.25">
      <c r="T10662" s="10"/>
      <c r="U10662" s="4"/>
      <c r="V10662" s="4"/>
      <c r="X10662" s="4"/>
      <c r="Y10662" s="4"/>
    </row>
    <row r="10663" spans="20:25" x14ac:dyDescent="0.25">
      <c r="T10663" s="10"/>
      <c r="U10663" s="4"/>
      <c r="V10663" s="4"/>
      <c r="X10663" s="4"/>
      <c r="Y10663" s="4"/>
    </row>
    <row r="10664" spans="20:25" x14ac:dyDescent="0.25">
      <c r="T10664" s="10"/>
      <c r="U10664" s="4"/>
      <c r="V10664" s="4"/>
      <c r="X10664" s="4"/>
      <c r="Y10664" s="4"/>
    </row>
    <row r="10665" spans="20:25" x14ac:dyDescent="0.25">
      <c r="T10665" s="10"/>
      <c r="U10665" s="4"/>
      <c r="V10665" s="4"/>
      <c r="X10665" s="4"/>
      <c r="Y10665" s="4"/>
    </row>
    <row r="10666" spans="20:25" x14ac:dyDescent="0.25">
      <c r="T10666" s="10"/>
      <c r="U10666" s="4"/>
      <c r="V10666" s="4"/>
      <c r="X10666" s="4"/>
      <c r="Y10666" s="4"/>
    </row>
    <row r="10667" spans="20:25" x14ac:dyDescent="0.25">
      <c r="T10667" s="10"/>
      <c r="U10667" s="4"/>
      <c r="V10667" s="4"/>
      <c r="X10667" s="4"/>
      <c r="Y10667" s="4"/>
    </row>
    <row r="10668" spans="20:25" x14ac:dyDescent="0.25">
      <c r="T10668" s="10"/>
      <c r="U10668" s="4"/>
      <c r="V10668" s="4"/>
      <c r="X10668" s="4"/>
      <c r="Y10668" s="4"/>
    </row>
    <row r="10669" spans="20:25" x14ac:dyDescent="0.25">
      <c r="T10669" s="10"/>
      <c r="U10669" s="4"/>
      <c r="V10669" s="4"/>
      <c r="X10669" s="4"/>
      <c r="Y10669" s="4"/>
    </row>
    <row r="10670" spans="20:25" x14ac:dyDescent="0.25">
      <c r="T10670" s="10"/>
      <c r="U10670" s="4"/>
      <c r="V10670" s="4"/>
      <c r="X10670" s="4"/>
      <c r="Y10670" s="4"/>
    </row>
    <row r="10671" spans="20:25" x14ac:dyDescent="0.25">
      <c r="T10671" s="10"/>
      <c r="U10671" s="4"/>
      <c r="V10671" s="4"/>
      <c r="X10671" s="4"/>
      <c r="Y10671" s="4"/>
    </row>
    <row r="10672" spans="20:25" x14ac:dyDescent="0.25">
      <c r="T10672" s="10"/>
      <c r="U10672" s="4"/>
      <c r="V10672" s="4"/>
      <c r="X10672" s="4"/>
      <c r="Y10672" s="4"/>
    </row>
    <row r="10673" spans="20:25" x14ac:dyDescent="0.25">
      <c r="T10673" s="10"/>
      <c r="U10673" s="4"/>
      <c r="V10673" s="4"/>
      <c r="X10673" s="4"/>
      <c r="Y10673" s="4"/>
    </row>
    <row r="10674" spans="20:25" x14ac:dyDescent="0.25">
      <c r="T10674" s="10"/>
      <c r="U10674" s="4"/>
      <c r="V10674" s="4"/>
      <c r="X10674" s="4"/>
      <c r="Y10674" s="4"/>
    </row>
    <row r="10675" spans="20:25" x14ac:dyDescent="0.25">
      <c r="T10675" s="10"/>
      <c r="U10675" s="4"/>
      <c r="V10675" s="4"/>
      <c r="X10675" s="4"/>
      <c r="Y10675" s="4"/>
    </row>
    <row r="10676" spans="20:25" x14ac:dyDescent="0.25">
      <c r="T10676" s="10"/>
      <c r="U10676" s="4"/>
      <c r="V10676" s="4"/>
      <c r="X10676" s="4"/>
      <c r="Y10676" s="4"/>
    </row>
    <row r="10677" spans="20:25" x14ac:dyDescent="0.25">
      <c r="T10677" s="10"/>
      <c r="U10677" s="4"/>
      <c r="V10677" s="4"/>
      <c r="X10677" s="4"/>
      <c r="Y10677" s="4"/>
    </row>
    <row r="10678" spans="20:25" x14ac:dyDescent="0.25">
      <c r="T10678" s="10"/>
      <c r="U10678" s="4"/>
      <c r="V10678" s="4"/>
      <c r="X10678" s="4"/>
      <c r="Y10678" s="4"/>
    </row>
    <row r="10679" spans="20:25" x14ac:dyDescent="0.25">
      <c r="T10679" s="10"/>
      <c r="U10679" s="4"/>
      <c r="V10679" s="4"/>
      <c r="X10679" s="4"/>
      <c r="Y10679" s="4"/>
    </row>
    <row r="10680" spans="20:25" x14ac:dyDescent="0.25">
      <c r="T10680" s="10"/>
      <c r="U10680" s="4"/>
      <c r="V10680" s="4"/>
      <c r="X10680" s="4"/>
      <c r="Y10680" s="4"/>
    </row>
    <row r="10681" spans="20:25" x14ac:dyDescent="0.25">
      <c r="T10681" s="10"/>
      <c r="U10681" s="4"/>
      <c r="V10681" s="4"/>
      <c r="X10681" s="4"/>
      <c r="Y10681" s="4"/>
    </row>
    <row r="10682" spans="20:25" x14ac:dyDescent="0.25">
      <c r="T10682" s="10"/>
      <c r="U10682" s="4"/>
      <c r="V10682" s="4"/>
      <c r="X10682" s="4"/>
      <c r="Y10682" s="4"/>
    </row>
    <row r="10683" spans="20:25" x14ac:dyDescent="0.25">
      <c r="T10683" s="10"/>
      <c r="U10683" s="4"/>
      <c r="V10683" s="4"/>
      <c r="X10683" s="4"/>
      <c r="Y10683" s="4"/>
    </row>
    <row r="10684" spans="20:25" x14ac:dyDescent="0.25">
      <c r="T10684" s="10"/>
      <c r="U10684" s="4"/>
      <c r="V10684" s="4"/>
      <c r="X10684" s="4"/>
      <c r="Y10684" s="4"/>
    </row>
    <row r="10685" spans="20:25" x14ac:dyDescent="0.25">
      <c r="T10685" s="10"/>
      <c r="U10685" s="4"/>
      <c r="V10685" s="4"/>
      <c r="X10685" s="4"/>
      <c r="Y10685" s="4"/>
    </row>
    <row r="10686" spans="20:25" x14ac:dyDescent="0.25">
      <c r="T10686" s="10"/>
      <c r="U10686" s="4"/>
      <c r="V10686" s="4"/>
      <c r="X10686" s="4"/>
      <c r="Y10686" s="4"/>
    </row>
    <row r="10687" spans="20:25" x14ac:dyDescent="0.25">
      <c r="T10687" s="10"/>
      <c r="U10687" s="4"/>
      <c r="V10687" s="4"/>
      <c r="X10687" s="4"/>
      <c r="Y10687" s="4"/>
    </row>
    <row r="10688" spans="20:25" x14ac:dyDescent="0.25">
      <c r="T10688" s="10"/>
      <c r="U10688" s="4"/>
      <c r="V10688" s="4"/>
      <c r="X10688" s="4"/>
      <c r="Y10688" s="4"/>
    </row>
    <row r="10689" spans="20:25" x14ac:dyDescent="0.25">
      <c r="T10689" s="10"/>
      <c r="U10689" s="4"/>
      <c r="V10689" s="4"/>
      <c r="X10689" s="4"/>
      <c r="Y10689" s="4"/>
    </row>
    <row r="10690" spans="20:25" x14ac:dyDescent="0.25">
      <c r="T10690" s="10"/>
      <c r="U10690" s="4"/>
      <c r="V10690" s="4"/>
      <c r="X10690" s="4"/>
      <c r="Y10690" s="4"/>
    </row>
    <row r="10691" spans="20:25" x14ac:dyDescent="0.25">
      <c r="T10691" s="10"/>
      <c r="U10691" s="4"/>
      <c r="V10691" s="4"/>
      <c r="X10691" s="4"/>
      <c r="Y10691" s="4"/>
    </row>
    <row r="10692" spans="20:25" x14ac:dyDescent="0.25">
      <c r="T10692" s="10"/>
      <c r="U10692" s="4"/>
      <c r="V10692" s="4"/>
      <c r="X10692" s="4"/>
      <c r="Y10692" s="4"/>
    </row>
    <row r="10693" spans="20:25" x14ac:dyDescent="0.25">
      <c r="T10693" s="10"/>
      <c r="U10693" s="4"/>
      <c r="V10693" s="4"/>
      <c r="X10693" s="4"/>
      <c r="Y10693" s="4"/>
    </row>
    <row r="10694" spans="20:25" x14ac:dyDescent="0.25">
      <c r="T10694" s="10"/>
      <c r="U10694" s="4"/>
      <c r="V10694" s="4"/>
      <c r="X10694" s="4"/>
      <c r="Y10694" s="4"/>
    </row>
    <row r="10695" spans="20:25" x14ac:dyDescent="0.25">
      <c r="T10695" s="10"/>
      <c r="U10695" s="4"/>
      <c r="V10695" s="4"/>
      <c r="X10695" s="4"/>
      <c r="Y10695" s="4"/>
    </row>
    <row r="10696" spans="20:25" x14ac:dyDescent="0.25">
      <c r="T10696" s="10"/>
      <c r="U10696" s="4"/>
      <c r="V10696" s="4"/>
      <c r="X10696" s="4"/>
      <c r="Y10696" s="4"/>
    </row>
    <row r="10697" spans="20:25" x14ac:dyDescent="0.25">
      <c r="T10697" s="10"/>
      <c r="U10697" s="4"/>
      <c r="V10697" s="4"/>
      <c r="X10697" s="4"/>
      <c r="Y10697" s="4"/>
    </row>
    <row r="10698" spans="20:25" x14ac:dyDescent="0.25">
      <c r="T10698" s="10"/>
      <c r="U10698" s="4"/>
      <c r="V10698" s="4"/>
      <c r="X10698" s="4"/>
      <c r="Y10698" s="4"/>
    </row>
    <row r="10699" spans="20:25" x14ac:dyDescent="0.25">
      <c r="T10699" s="10"/>
      <c r="U10699" s="4"/>
      <c r="V10699" s="4"/>
      <c r="X10699" s="4"/>
      <c r="Y10699" s="4"/>
    </row>
    <row r="10700" spans="20:25" x14ac:dyDescent="0.25">
      <c r="T10700" s="10"/>
      <c r="U10700" s="4"/>
      <c r="V10700" s="4"/>
      <c r="X10700" s="4"/>
      <c r="Y10700" s="4"/>
    </row>
    <row r="10701" spans="20:25" x14ac:dyDescent="0.25">
      <c r="T10701" s="10"/>
      <c r="U10701" s="4"/>
      <c r="V10701" s="4"/>
      <c r="X10701" s="4"/>
      <c r="Y10701" s="4"/>
    </row>
    <row r="10702" spans="20:25" x14ac:dyDescent="0.25">
      <c r="T10702" s="10"/>
      <c r="U10702" s="4"/>
      <c r="V10702" s="4"/>
      <c r="X10702" s="4"/>
      <c r="Y10702" s="4"/>
    </row>
    <row r="10703" spans="20:25" x14ac:dyDescent="0.25">
      <c r="T10703" s="10"/>
      <c r="U10703" s="4"/>
      <c r="V10703" s="4"/>
      <c r="X10703" s="4"/>
      <c r="Y10703" s="4"/>
    </row>
    <row r="10704" spans="20:25" x14ac:dyDescent="0.25">
      <c r="T10704" s="10"/>
      <c r="U10704" s="4"/>
      <c r="V10704" s="4"/>
      <c r="X10704" s="4"/>
      <c r="Y10704" s="4"/>
    </row>
    <row r="10705" spans="20:25" x14ac:dyDescent="0.25">
      <c r="T10705" s="10"/>
      <c r="U10705" s="4"/>
      <c r="V10705" s="4"/>
      <c r="X10705" s="4"/>
      <c r="Y10705" s="4"/>
    </row>
    <row r="10706" spans="20:25" x14ac:dyDescent="0.25">
      <c r="T10706" s="10"/>
      <c r="U10706" s="4"/>
      <c r="V10706" s="4"/>
      <c r="X10706" s="4"/>
      <c r="Y10706" s="4"/>
    </row>
    <row r="10707" spans="20:25" x14ac:dyDescent="0.25">
      <c r="T10707" s="10"/>
      <c r="U10707" s="4"/>
      <c r="V10707" s="4"/>
      <c r="X10707" s="4"/>
      <c r="Y10707" s="4"/>
    </row>
    <row r="10708" spans="20:25" x14ac:dyDescent="0.25">
      <c r="T10708" s="10"/>
      <c r="U10708" s="4"/>
      <c r="V10708" s="4"/>
      <c r="X10708" s="4"/>
      <c r="Y10708" s="4"/>
    </row>
    <row r="10709" spans="20:25" x14ac:dyDescent="0.25">
      <c r="T10709" s="10"/>
      <c r="U10709" s="4"/>
      <c r="V10709" s="4"/>
      <c r="X10709" s="4"/>
      <c r="Y10709" s="4"/>
    </row>
    <row r="10710" spans="20:25" x14ac:dyDescent="0.25">
      <c r="T10710" s="10"/>
      <c r="U10710" s="4"/>
      <c r="V10710" s="4"/>
      <c r="X10710" s="4"/>
      <c r="Y10710" s="4"/>
    </row>
    <row r="10711" spans="20:25" x14ac:dyDescent="0.25">
      <c r="T10711" s="10"/>
      <c r="U10711" s="4"/>
      <c r="V10711" s="4"/>
      <c r="X10711" s="4"/>
      <c r="Y10711" s="4"/>
    </row>
    <row r="10712" spans="20:25" x14ac:dyDescent="0.25">
      <c r="T10712" s="10"/>
      <c r="U10712" s="4"/>
      <c r="V10712" s="4"/>
      <c r="X10712" s="4"/>
      <c r="Y10712" s="4"/>
    </row>
    <row r="10713" spans="20:25" x14ac:dyDescent="0.25">
      <c r="T10713" s="10"/>
      <c r="U10713" s="4"/>
      <c r="V10713" s="4"/>
      <c r="X10713" s="4"/>
      <c r="Y10713" s="4"/>
    </row>
    <row r="10714" spans="20:25" x14ac:dyDescent="0.25">
      <c r="T10714" s="10"/>
      <c r="U10714" s="4"/>
      <c r="V10714" s="4"/>
      <c r="X10714" s="4"/>
      <c r="Y10714" s="4"/>
    </row>
    <row r="10715" spans="20:25" x14ac:dyDescent="0.25">
      <c r="T10715" s="10"/>
      <c r="U10715" s="4"/>
      <c r="V10715" s="4"/>
      <c r="X10715" s="4"/>
      <c r="Y10715" s="4"/>
    </row>
    <row r="10716" spans="20:25" x14ac:dyDescent="0.25">
      <c r="T10716" s="10"/>
      <c r="U10716" s="4"/>
      <c r="V10716" s="4"/>
      <c r="X10716" s="4"/>
      <c r="Y10716" s="4"/>
    </row>
    <row r="10717" spans="20:25" x14ac:dyDescent="0.25">
      <c r="T10717" s="10"/>
      <c r="U10717" s="4"/>
      <c r="V10717" s="4"/>
      <c r="X10717" s="4"/>
      <c r="Y10717" s="4"/>
    </row>
    <row r="10718" spans="20:25" x14ac:dyDescent="0.25">
      <c r="T10718" s="10"/>
      <c r="U10718" s="4"/>
      <c r="V10718" s="4"/>
      <c r="X10718" s="4"/>
      <c r="Y10718" s="4"/>
    </row>
    <row r="10719" spans="20:25" x14ac:dyDescent="0.25">
      <c r="T10719" s="10"/>
      <c r="U10719" s="4"/>
      <c r="V10719" s="4"/>
      <c r="X10719" s="4"/>
      <c r="Y10719" s="4"/>
    </row>
    <row r="10720" spans="20:25" x14ac:dyDescent="0.25">
      <c r="T10720" s="10"/>
      <c r="U10720" s="4"/>
      <c r="V10720" s="4"/>
      <c r="X10720" s="4"/>
      <c r="Y10720" s="4"/>
    </row>
    <row r="10721" spans="20:25" x14ac:dyDescent="0.25">
      <c r="T10721" s="10"/>
      <c r="U10721" s="4"/>
      <c r="V10721" s="4"/>
      <c r="X10721" s="4"/>
      <c r="Y10721" s="4"/>
    </row>
    <row r="10722" spans="20:25" x14ac:dyDescent="0.25">
      <c r="T10722" s="10"/>
      <c r="U10722" s="4"/>
      <c r="V10722" s="4"/>
      <c r="X10722" s="4"/>
      <c r="Y10722" s="4"/>
    </row>
    <row r="10723" spans="20:25" x14ac:dyDescent="0.25">
      <c r="T10723" s="10"/>
      <c r="U10723" s="4"/>
      <c r="V10723" s="4"/>
      <c r="X10723" s="4"/>
      <c r="Y10723" s="4"/>
    </row>
    <row r="10724" spans="20:25" x14ac:dyDescent="0.25">
      <c r="T10724" s="10"/>
      <c r="U10724" s="4"/>
      <c r="V10724" s="4"/>
      <c r="X10724" s="4"/>
      <c r="Y10724" s="4"/>
    </row>
    <row r="10725" spans="20:25" x14ac:dyDescent="0.25">
      <c r="T10725" s="10"/>
      <c r="U10725" s="4"/>
      <c r="V10725" s="4"/>
      <c r="X10725" s="4"/>
      <c r="Y10725" s="4"/>
    </row>
    <row r="10726" spans="20:25" x14ac:dyDescent="0.25">
      <c r="T10726" s="10"/>
      <c r="U10726" s="4"/>
      <c r="V10726" s="4"/>
      <c r="X10726" s="4"/>
      <c r="Y10726" s="4"/>
    </row>
    <row r="10727" spans="20:25" x14ac:dyDescent="0.25">
      <c r="T10727" s="10"/>
      <c r="U10727" s="4"/>
      <c r="V10727" s="4"/>
      <c r="X10727" s="4"/>
      <c r="Y10727" s="4"/>
    </row>
    <row r="10728" spans="20:25" x14ac:dyDescent="0.25">
      <c r="T10728" s="10"/>
      <c r="U10728" s="4"/>
      <c r="V10728" s="4"/>
      <c r="X10728" s="4"/>
      <c r="Y10728" s="4"/>
    </row>
    <row r="10729" spans="20:25" x14ac:dyDescent="0.25">
      <c r="T10729" s="10"/>
      <c r="U10729" s="4"/>
      <c r="V10729" s="4"/>
      <c r="X10729" s="4"/>
      <c r="Y10729" s="4"/>
    </row>
    <row r="10730" spans="20:25" x14ac:dyDescent="0.25">
      <c r="T10730" s="10"/>
      <c r="U10730" s="4"/>
      <c r="V10730" s="4"/>
      <c r="X10730" s="4"/>
      <c r="Y10730" s="4"/>
    </row>
    <row r="10731" spans="20:25" x14ac:dyDescent="0.25">
      <c r="T10731" s="10"/>
      <c r="U10731" s="4"/>
      <c r="V10731" s="4"/>
      <c r="X10731" s="4"/>
      <c r="Y10731" s="4"/>
    </row>
    <row r="10732" spans="20:25" x14ac:dyDescent="0.25">
      <c r="T10732" s="10"/>
      <c r="U10732" s="4"/>
      <c r="V10732" s="4"/>
      <c r="X10732" s="4"/>
      <c r="Y10732" s="4"/>
    </row>
    <row r="10733" spans="20:25" x14ac:dyDescent="0.25">
      <c r="T10733" s="10"/>
      <c r="U10733" s="4"/>
      <c r="V10733" s="4"/>
      <c r="X10733" s="4"/>
      <c r="Y10733" s="4"/>
    </row>
    <row r="10734" spans="20:25" x14ac:dyDescent="0.25">
      <c r="T10734" s="10"/>
      <c r="U10734" s="4"/>
      <c r="V10734" s="4"/>
      <c r="X10734" s="4"/>
      <c r="Y10734" s="4"/>
    </row>
    <row r="10735" spans="20:25" x14ac:dyDescent="0.25">
      <c r="T10735" s="10"/>
      <c r="U10735" s="4"/>
      <c r="V10735" s="4"/>
      <c r="X10735" s="4"/>
      <c r="Y10735" s="4"/>
    </row>
    <row r="10736" spans="20:25" x14ac:dyDescent="0.25">
      <c r="T10736" s="10"/>
      <c r="U10736" s="4"/>
      <c r="V10736" s="4"/>
      <c r="X10736" s="4"/>
      <c r="Y10736" s="4"/>
    </row>
    <row r="10737" spans="20:25" x14ac:dyDescent="0.25">
      <c r="T10737" s="10"/>
      <c r="U10737" s="4"/>
      <c r="V10737" s="4"/>
      <c r="X10737" s="4"/>
      <c r="Y10737" s="4"/>
    </row>
    <row r="10738" spans="20:25" x14ac:dyDescent="0.25">
      <c r="T10738" s="10"/>
      <c r="U10738" s="4"/>
      <c r="V10738" s="4"/>
      <c r="X10738" s="4"/>
      <c r="Y10738" s="4"/>
    </row>
    <row r="10739" spans="20:25" x14ac:dyDescent="0.25">
      <c r="T10739" s="10"/>
      <c r="U10739" s="4"/>
      <c r="V10739" s="4"/>
      <c r="X10739" s="4"/>
      <c r="Y10739" s="4"/>
    </row>
    <row r="10740" spans="20:25" x14ac:dyDescent="0.25">
      <c r="T10740" s="10"/>
      <c r="U10740" s="4"/>
      <c r="V10740" s="4"/>
      <c r="X10740" s="4"/>
      <c r="Y10740" s="4"/>
    </row>
    <row r="10741" spans="20:25" x14ac:dyDescent="0.25">
      <c r="T10741" s="10"/>
      <c r="U10741" s="4"/>
      <c r="V10741" s="4"/>
      <c r="X10741" s="4"/>
      <c r="Y10741" s="4"/>
    </row>
    <row r="10742" spans="20:25" x14ac:dyDescent="0.25">
      <c r="T10742" s="10"/>
      <c r="U10742" s="4"/>
      <c r="V10742" s="4"/>
      <c r="X10742" s="4"/>
      <c r="Y10742" s="4"/>
    </row>
    <row r="10743" spans="20:25" x14ac:dyDescent="0.25">
      <c r="T10743" s="10"/>
      <c r="U10743" s="4"/>
      <c r="V10743" s="4"/>
      <c r="X10743" s="4"/>
      <c r="Y10743" s="4"/>
    </row>
    <row r="10744" spans="20:25" x14ac:dyDescent="0.25">
      <c r="T10744" s="10"/>
      <c r="U10744" s="4"/>
      <c r="V10744" s="4"/>
      <c r="X10744" s="4"/>
      <c r="Y10744" s="4"/>
    </row>
    <row r="10745" spans="20:25" x14ac:dyDescent="0.25">
      <c r="T10745" s="10"/>
      <c r="U10745" s="4"/>
      <c r="V10745" s="4"/>
      <c r="X10745" s="4"/>
      <c r="Y10745" s="4"/>
    </row>
    <row r="10746" spans="20:25" x14ac:dyDescent="0.25">
      <c r="T10746" s="10"/>
      <c r="U10746" s="4"/>
      <c r="V10746" s="4"/>
      <c r="X10746" s="4"/>
      <c r="Y10746" s="4"/>
    </row>
    <row r="10747" spans="20:25" x14ac:dyDescent="0.25">
      <c r="T10747" s="10"/>
      <c r="U10747" s="4"/>
      <c r="V10747" s="4"/>
      <c r="X10747" s="4"/>
      <c r="Y10747" s="4"/>
    </row>
    <row r="10748" spans="20:25" x14ac:dyDescent="0.25">
      <c r="T10748" s="10"/>
      <c r="U10748" s="4"/>
      <c r="V10748" s="4"/>
      <c r="X10748" s="4"/>
      <c r="Y10748" s="4"/>
    </row>
    <row r="10749" spans="20:25" x14ac:dyDescent="0.25">
      <c r="T10749" s="10"/>
      <c r="U10749" s="4"/>
      <c r="V10749" s="4"/>
      <c r="X10749" s="4"/>
      <c r="Y10749" s="4"/>
    </row>
    <row r="10750" spans="20:25" x14ac:dyDescent="0.25">
      <c r="T10750" s="10"/>
      <c r="U10750" s="4"/>
      <c r="V10750" s="4"/>
      <c r="X10750" s="4"/>
      <c r="Y10750" s="4"/>
    </row>
    <row r="10751" spans="20:25" x14ac:dyDescent="0.25">
      <c r="T10751" s="10"/>
      <c r="U10751" s="4"/>
      <c r="V10751" s="4"/>
      <c r="X10751" s="4"/>
      <c r="Y10751" s="4"/>
    </row>
    <row r="10752" spans="20:25" x14ac:dyDescent="0.25">
      <c r="T10752" s="10"/>
      <c r="U10752" s="4"/>
      <c r="V10752" s="4"/>
      <c r="X10752" s="4"/>
      <c r="Y10752" s="4"/>
    </row>
    <row r="10753" spans="20:25" x14ac:dyDescent="0.25">
      <c r="T10753" s="10"/>
      <c r="U10753" s="4"/>
      <c r="V10753" s="4"/>
      <c r="X10753" s="4"/>
      <c r="Y10753" s="4"/>
    </row>
    <row r="10754" spans="20:25" x14ac:dyDescent="0.25">
      <c r="T10754" s="10"/>
      <c r="U10754" s="4"/>
      <c r="V10754" s="4"/>
      <c r="X10754" s="4"/>
      <c r="Y10754" s="4"/>
    </row>
    <row r="10755" spans="20:25" x14ac:dyDescent="0.25">
      <c r="T10755" s="10"/>
      <c r="U10755" s="4"/>
      <c r="V10755" s="4"/>
      <c r="X10755" s="4"/>
      <c r="Y10755" s="4"/>
    </row>
    <row r="10756" spans="20:25" x14ac:dyDescent="0.25">
      <c r="T10756" s="10"/>
      <c r="U10756" s="4"/>
      <c r="V10756" s="4"/>
      <c r="X10756" s="4"/>
      <c r="Y10756" s="4"/>
    </row>
    <row r="10757" spans="20:25" x14ac:dyDescent="0.25">
      <c r="T10757" s="10"/>
      <c r="U10757" s="4"/>
      <c r="V10757" s="4"/>
      <c r="X10757" s="4"/>
      <c r="Y10757" s="4"/>
    </row>
    <row r="10758" spans="20:25" x14ac:dyDescent="0.25">
      <c r="T10758" s="10"/>
      <c r="U10758" s="4"/>
      <c r="V10758" s="4"/>
      <c r="X10758" s="4"/>
      <c r="Y10758" s="4"/>
    </row>
    <row r="10759" spans="20:25" x14ac:dyDescent="0.25">
      <c r="T10759" s="10"/>
      <c r="U10759" s="4"/>
      <c r="V10759" s="4"/>
      <c r="X10759" s="4"/>
      <c r="Y10759" s="4"/>
    </row>
    <row r="10760" spans="20:25" x14ac:dyDescent="0.25">
      <c r="T10760" s="10"/>
      <c r="U10760" s="4"/>
      <c r="V10760" s="4"/>
      <c r="X10760" s="4"/>
      <c r="Y10760" s="4"/>
    </row>
    <row r="10761" spans="20:25" x14ac:dyDescent="0.25">
      <c r="T10761" s="10"/>
      <c r="U10761" s="4"/>
      <c r="V10761" s="4"/>
      <c r="X10761" s="4"/>
      <c r="Y10761" s="4"/>
    </row>
    <row r="10762" spans="20:25" x14ac:dyDescent="0.25">
      <c r="T10762" s="10"/>
      <c r="U10762" s="4"/>
      <c r="V10762" s="4"/>
      <c r="X10762" s="4"/>
      <c r="Y10762" s="4"/>
    </row>
    <row r="10763" spans="20:25" x14ac:dyDescent="0.25">
      <c r="T10763" s="10"/>
      <c r="U10763" s="4"/>
      <c r="V10763" s="4"/>
      <c r="X10763" s="4"/>
      <c r="Y10763" s="4"/>
    </row>
    <row r="10764" spans="20:25" x14ac:dyDescent="0.25">
      <c r="T10764" s="10"/>
      <c r="U10764" s="4"/>
      <c r="V10764" s="4"/>
      <c r="X10764" s="4"/>
      <c r="Y10764" s="4"/>
    </row>
    <row r="10765" spans="20:25" x14ac:dyDescent="0.25">
      <c r="T10765" s="10"/>
      <c r="U10765" s="4"/>
      <c r="V10765" s="4"/>
      <c r="X10765" s="4"/>
      <c r="Y10765" s="4"/>
    </row>
    <row r="10766" spans="20:25" x14ac:dyDescent="0.25">
      <c r="T10766" s="10"/>
      <c r="U10766" s="4"/>
      <c r="V10766" s="4"/>
      <c r="X10766" s="4"/>
      <c r="Y10766" s="4"/>
    </row>
    <row r="10767" spans="20:25" x14ac:dyDescent="0.25">
      <c r="T10767" s="10"/>
      <c r="U10767" s="4"/>
      <c r="V10767" s="4"/>
      <c r="X10767" s="4"/>
      <c r="Y10767" s="4"/>
    </row>
    <row r="10768" spans="20:25" x14ac:dyDescent="0.25">
      <c r="T10768" s="10"/>
      <c r="U10768" s="4"/>
      <c r="V10768" s="4"/>
      <c r="X10768" s="4"/>
      <c r="Y10768" s="4"/>
    </row>
    <row r="10769" spans="20:25" x14ac:dyDescent="0.25">
      <c r="T10769" s="10"/>
      <c r="U10769" s="4"/>
      <c r="V10769" s="4"/>
      <c r="X10769" s="4"/>
      <c r="Y10769" s="4"/>
    </row>
    <row r="10770" spans="20:25" x14ac:dyDescent="0.25">
      <c r="T10770" s="10"/>
      <c r="U10770" s="4"/>
      <c r="V10770" s="4"/>
      <c r="X10770" s="4"/>
      <c r="Y10770" s="4"/>
    </row>
    <row r="10771" spans="20:25" x14ac:dyDescent="0.25">
      <c r="T10771" s="10"/>
      <c r="U10771" s="4"/>
      <c r="V10771" s="4"/>
      <c r="X10771" s="4"/>
      <c r="Y10771" s="4"/>
    </row>
    <row r="10772" spans="20:25" x14ac:dyDescent="0.25">
      <c r="T10772" s="10"/>
      <c r="U10772" s="4"/>
      <c r="V10772" s="4"/>
      <c r="X10772" s="4"/>
      <c r="Y10772" s="4"/>
    </row>
    <row r="10773" spans="20:25" x14ac:dyDescent="0.25">
      <c r="T10773" s="10"/>
      <c r="U10773" s="4"/>
      <c r="V10773" s="4"/>
      <c r="X10773" s="4"/>
      <c r="Y10773" s="4"/>
    </row>
    <row r="10774" spans="20:25" x14ac:dyDescent="0.25">
      <c r="T10774" s="10"/>
      <c r="U10774" s="4"/>
      <c r="V10774" s="4"/>
      <c r="X10774" s="4"/>
      <c r="Y10774" s="4"/>
    </row>
    <row r="10775" spans="20:25" x14ac:dyDescent="0.25">
      <c r="T10775" s="10"/>
      <c r="U10775" s="4"/>
      <c r="V10775" s="4"/>
      <c r="X10775" s="4"/>
      <c r="Y10775" s="4"/>
    </row>
    <row r="10776" spans="20:25" x14ac:dyDescent="0.25">
      <c r="T10776" s="10"/>
      <c r="U10776" s="4"/>
      <c r="V10776" s="4"/>
      <c r="X10776" s="4"/>
      <c r="Y10776" s="4"/>
    </row>
    <row r="10777" spans="20:25" x14ac:dyDescent="0.25">
      <c r="T10777" s="10"/>
      <c r="U10777" s="4"/>
      <c r="V10777" s="4"/>
      <c r="X10777" s="4"/>
      <c r="Y10777" s="4"/>
    </row>
    <row r="10778" spans="20:25" x14ac:dyDescent="0.25">
      <c r="T10778" s="10"/>
      <c r="U10778" s="4"/>
      <c r="V10778" s="4"/>
      <c r="X10778" s="4"/>
      <c r="Y10778" s="4"/>
    </row>
    <row r="10779" spans="20:25" x14ac:dyDescent="0.25">
      <c r="T10779" s="10"/>
      <c r="U10779" s="4"/>
      <c r="V10779" s="4"/>
      <c r="X10779" s="4"/>
      <c r="Y10779" s="4"/>
    </row>
    <row r="10780" spans="20:25" x14ac:dyDescent="0.25">
      <c r="T10780" s="10"/>
      <c r="U10780" s="4"/>
      <c r="V10780" s="4"/>
      <c r="X10780" s="4"/>
      <c r="Y10780" s="4"/>
    </row>
    <row r="10781" spans="20:25" x14ac:dyDescent="0.25">
      <c r="T10781" s="10"/>
      <c r="U10781" s="4"/>
      <c r="V10781" s="4"/>
      <c r="X10781" s="4"/>
      <c r="Y10781" s="4"/>
    </row>
    <row r="10782" spans="20:25" x14ac:dyDescent="0.25">
      <c r="T10782" s="10"/>
      <c r="U10782" s="4"/>
      <c r="V10782" s="4"/>
      <c r="X10782" s="4"/>
      <c r="Y10782" s="4"/>
    </row>
    <row r="10783" spans="20:25" x14ac:dyDescent="0.25">
      <c r="T10783" s="10"/>
      <c r="U10783" s="4"/>
      <c r="V10783" s="4"/>
      <c r="X10783" s="4"/>
      <c r="Y10783" s="4"/>
    </row>
    <row r="10784" spans="20:25" x14ac:dyDescent="0.25">
      <c r="T10784" s="10"/>
      <c r="U10784" s="4"/>
      <c r="V10784" s="4"/>
      <c r="X10784" s="4"/>
      <c r="Y10784" s="4"/>
    </row>
    <row r="10785" spans="20:25" x14ac:dyDescent="0.25">
      <c r="T10785" s="10"/>
      <c r="U10785" s="4"/>
      <c r="V10785" s="4"/>
      <c r="X10785" s="4"/>
      <c r="Y10785" s="4"/>
    </row>
    <row r="10786" spans="20:25" x14ac:dyDescent="0.25">
      <c r="T10786" s="10"/>
      <c r="U10786" s="4"/>
      <c r="V10786" s="4"/>
      <c r="X10786" s="4"/>
      <c r="Y10786" s="4"/>
    </row>
    <row r="10787" spans="20:25" x14ac:dyDescent="0.25">
      <c r="T10787" s="10"/>
      <c r="U10787" s="4"/>
      <c r="V10787" s="4"/>
      <c r="X10787" s="4"/>
      <c r="Y10787" s="4"/>
    </row>
    <row r="10788" spans="20:25" x14ac:dyDescent="0.25">
      <c r="T10788" s="10"/>
      <c r="U10788" s="4"/>
      <c r="V10788" s="4"/>
      <c r="X10788" s="4"/>
      <c r="Y10788" s="4"/>
    </row>
    <row r="10789" spans="20:25" x14ac:dyDescent="0.25">
      <c r="T10789" s="10"/>
      <c r="U10789" s="4"/>
      <c r="V10789" s="4"/>
      <c r="X10789" s="4"/>
      <c r="Y10789" s="4"/>
    </row>
    <row r="10790" spans="20:25" x14ac:dyDescent="0.25">
      <c r="T10790" s="10"/>
      <c r="U10790" s="4"/>
      <c r="V10790" s="4"/>
      <c r="X10790" s="4"/>
      <c r="Y10790" s="4"/>
    </row>
    <row r="10791" spans="20:25" x14ac:dyDescent="0.25">
      <c r="T10791" s="10"/>
      <c r="U10791" s="4"/>
      <c r="V10791" s="4"/>
      <c r="X10791" s="4"/>
      <c r="Y10791" s="4"/>
    </row>
    <row r="10792" spans="20:25" x14ac:dyDescent="0.25">
      <c r="T10792" s="10"/>
      <c r="U10792" s="4"/>
      <c r="V10792" s="4"/>
      <c r="X10792" s="4"/>
      <c r="Y10792" s="4"/>
    </row>
    <row r="10793" spans="20:25" x14ac:dyDescent="0.25">
      <c r="T10793" s="10"/>
      <c r="U10793" s="4"/>
      <c r="V10793" s="4"/>
      <c r="X10793" s="4"/>
      <c r="Y10793" s="4"/>
    </row>
    <row r="10794" spans="20:25" x14ac:dyDescent="0.25">
      <c r="T10794" s="10"/>
      <c r="U10794" s="4"/>
      <c r="V10794" s="4"/>
      <c r="X10794" s="4"/>
      <c r="Y10794" s="4"/>
    </row>
    <row r="10795" spans="20:25" x14ac:dyDescent="0.25">
      <c r="T10795" s="10"/>
      <c r="U10795" s="4"/>
      <c r="V10795" s="4"/>
      <c r="X10795" s="4"/>
      <c r="Y10795" s="4"/>
    </row>
    <row r="10796" spans="20:25" x14ac:dyDescent="0.25">
      <c r="T10796" s="10"/>
      <c r="U10796" s="4"/>
      <c r="V10796" s="4"/>
      <c r="X10796" s="4"/>
      <c r="Y10796" s="4"/>
    </row>
    <row r="10797" spans="20:25" x14ac:dyDescent="0.25">
      <c r="T10797" s="10"/>
      <c r="U10797" s="4"/>
      <c r="V10797" s="4"/>
      <c r="X10797" s="4"/>
      <c r="Y10797" s="4"/>
    </row>
    <row r="10798" spans="20:25" x14ac:dyDescent="0.25">
      <c r="T10798" s="10"/>
      <c r="U10798" s="4"/>
      <c r="V10798" s="4"/>
      <c r="X10798" s="4"/>
      <c r="Y10798" s="4"/>
    </row>
    <row r="10799" spans="20:25" x14ac:dyDescent="0.25">
      <c r="T10799" s="10"/>
      <c r="U10799" s="4"/>
      <c r="V10799" s="4"/>
      <c r="X10799" s="4"/>
      <c r="Y10799" s="4"/>
    </row>
    <row r="10800" spans="20:25" x14ac:dyDescent="0.25">
      <c r="T10800" s="10"/>
      <c r="U10800" s="4"/>
      <c r="V10800" s="4"/>
      <c r="X10800" s="4"/>
      <c r="Y10800" s="4"/>
    </row>
    <row r="10801" spans="20:25" x14ac:dyDescent="0.25">
      <c r="T10801" s="10"/>
      <c r="U10801" s="4"/>
      <c r="V10801" s="4"/>
      <c r="X10801" s="4"/>
      <c r="Y10801" s="4"/>
    </row>
    <row r="10802" spans="20:25" x14ac:dyDescent="0.25">
      <c r="T10802" s="10"/>
      <c r="U10802" s="4"/>
      <c r="V10802" s="4"/>
      <c r="X10802" s="4"/>
      <c r="Y10802" s="4"/>
    </row>
    <row r="10803" spans="20:25" x14ac:dyDescent="0.25">
      <c r="T10803" s="10"/>
      <c r="U10803" s="4"/>
      <c r="V10803" s="4"/>
      <c r="X10803" s="4"/>
      <c r="Y10803" s="4"/>
    </row>
    <row r="10804" spans="20:25" x14ac:dyDescent="0.25">
      <c r="T10804" s="10"/>
      <c r="U10804" s="4"/>
      <c r="V10804" s="4"/>
      <c r="X10804" s="4"/>
      <c r="Y10804" s="4"/>
    </row>
    <row r="10805" spans="20:25" x14ac:dyDescent="0.25">
      <c r="T10805" s="10"/>
      <c r="U10805" s="4"/>
      <c r="V10805" s="4"/>
      <c r="X10805" s="4"/>
      <c r="Y10805" s="4"/>
    </row>
    <row r="10806" spans="20:25" x14ac:dyDescent="0.25">
      <c r="T10806" s="10"/>
      <c r="U10806" s="4"/>
      <c r="V10806" s="4"/>
      <c r="X10806" s="4"/>
      <c r="Y10806" s="4"/>
    </row>
    <row r="10807" spans="20:25" x14ac:dyDescent="0.25">
      <c r="T10807" s="10"/>
      <c r="U10807" s="4"/>
      <c r="V10807" s="4"/>
      <c r="X10807" s="4"/>
      <c r="Y10807" s="4"/>
    </row>
    <row r="10808" spans="20:25" x14ac:dyDescent="0.25">
      <c r="T10808" s="10"/>
      <c r="U10808" s="4"/>
      <c r="V10808" s="4"/>
      <c r="X10808" s="4"/>
      <c r="Y10808" s="4"/>
    </row>
    <row r="10809" spans="20:25" x14ac:dyDescent="0.25">
      <c r="T10809" s="10"/>
      <c r="U10809" s="4"/>
      <c r="V10809" s="4"/>
      <c r="X10809" s="4"/>
      <c r="Y10809" s="4"/>
    </row>
    <row r="10810" spans="20:25" x14ac:dyDescent="0.25">
      <c r="T10810" s="10"/>
      <c r="U10810" s="4"/>
      <c r="V10810" s="4"/>
      <c r="X10810" s="4"/>
      <c r="Y10810" s="4"/>
    </row>
    <row r="10811" spans="20:25" x14ac:dyDescent="0.25">
      <c r="T10811" s="10"/>
      <c r="U10811" s="4"/>
      <c r="V10811" s="4"/>
      <c r="X10811" s="4"/>
      <c r="Y10811" s="4"/>
    </row>
    <row r="10812" spans="20:25" x14ac:dyDescent="0.25">
      <c r="T10812" s="10"/>
      <c r="U10812" s="4"/>
      <c r="V10812" s="4"/>
      <c r="X10812" s="4"/>
      <c r="Y10812" s="4"/>
    </row>
    <row r="10813" spans="20:25" x14ac:dyDescent="0.25">
      <c r="T10813" s="10"/>
      <c r="U10813" s="4"/>
      <c r="V10813" s="4"/>
      <c r="X10813" s="4"/>
      <c r="Y10813" s="4"/>
    </row>
    <row r="10814" spans="20:25" x14ac:dyDescent="0.25">
      <c r="T10814" s="10"/>
      <c r="U10814" s="4"/>
      <c r="V10814" s="4"/>
      <c r="X10814" s="4"/>
      <c r="Y10814" s="4"/>
    </row>
    <row r="10815" spans="20:25" x14ac:dyDescent="0.25">
      <c r="T10815" s="10"/>
      <c r="U10815" s="4"/>
      <c r="V10815" s="4"/>
      <c r="X10815" s="4"/>
      <c r="Y10815" s="4"/>
    </row>
    <row r="10816" spans="20:25" x14ac:dyDescent="0.25">
      <c r="T10816" s="10"/>
      <c r="U10816" s="4"/>
      <c r="V10816" s="4"/>
      <c r="X10816" s="4"/>
      <c r="Y10816" s="4"/>
    </row>
    <row r="10817" spans="20:25" x14ac:dyDescent="0.25">
      <c r="T10817" s="10"/>
      <c r="U10817" s="4"/>
      <c r="V10817" s="4"/>
      <c r="X10817" s="4"/>
      <c r="Y10817" s="4"/>
    </row>
    <row r="10818" spans="20:25" x14ac:dyDescent="0.25">
      <c r="T10818" s="10"/>
      <c r="U10818" s="4"/>
      <c r="V10818" s="4"/>
      <c r="X10818" s="4"/>
      <c r="Y10818" s="4"/>
    </row>
    <row r="10819" spans="20:25" x14ac:dyDescent="0.25">
      <c r="T10819" s="10"/>
      <c r="U10819" s="4"/>
      <c r="V10819" s="4"/>
      <c r="X10819" s="4"/>
      <c r="Y10819" s="4"/>
    </row>
    <row r="10820" spans="20:25" x14ac:dyDescent="0.25">
      <c r="T10820" s="10"/>
      <c r="U10820" s="4"/>
      <c r="V10820" s="4"/>
      <c r="X10820" s="4"/>
      <c r="Y10820" s="4"/>
    </row>
    <row r="10821" spans="20:25" x14ac:dyDescent="0.25">
      <c r="T10821" s="10"/>
      <c r="U10821" s="4"/>
      <c r="V10821" s="4"/>
      <c r="X10821" s="4"/>
      <c r="Y10821" s="4"/>
    </row>
    <row r="10822" spans="20:25" x14ac:dyDescent="0.25">
      <c r="T10822" s="10"/>
      <c r="U10822" s="4"/>
      <c r="V10822" s="4"/>
      <c r="X10822" s="4"/>
      <c r="Y10822" s="4"/>
    </row>
    <row r="10823" spans="20:25" x14ac:dyDescent="0.25">
      <c r="T10823" s="10"/>
      <c r="U10823" s="4"/>
      <c r="V10823" s="4"/>
      <c r="X10823" s="4"/>
      <c r="Y10823" s="4"/>
    </row>
    <row r="10824" spans="20:25" x14ac:dyDescent="0.25">
      <c r="T10824" s="10"/>
      <c r="U10824" s="4"/>
      <c r="V10824" s="4"/>
      <c r="X10824" s="4"/>
      <c r="Y10824" s="4"/>
    </row>
    <row r="10825" spans="20:25" x14ac:dyDescent="0.25">
      <c r="T10825" s="10"/>
      <c r="U10825" s="4"/>
      <c r="V10825" s="4"/>
      <c r="X10825" s="4"/>
      <c r="Y10825" s="4"/>
    </row>
    <row r="10826" spans="20:25" x14ac:dyDescent="0.25">
      <c r="T10826" s="10"/>
      <c r="U10826" s="4"/>
      <c r="V10826" s="4"/>
      <c r="X10826" s="4"/>
      <c r="Y10826" s="4"/>
    </row>
    <row r="10827" spans="20:25" x14ac:dyDescent="0.25">
      <c r="T10827" s="10"/>
      <c r="U10827" s="4"/>
      <c r="V10827" s="4"/>
      <c r="X10827" s="4"/>
      <c r="Y10827" s="4"/>
    </row>
    <row r="10828" spans="20:25" x14ac:dyDescent="0.25">
      <c r="T10828" s="10"/>
      <c r="U10828" s="4"/>
      <c r="V10828" s="4"/>
      <c r="X10828" s="4"/>
      <c r="Y10828" s="4"/>
    </row>
    <row r="10829" spans="20:25" x14ac:dyDescent="0.25">
      <c r="T10829" s="10"/>
      <c r="U10829" s="4"/>
      <c r="V10829" s="4"/>
      <c r="X10829" s="4"/>
      <c r="Y10829" s="4"/>
    </row>
    <row r="10830" spans="20:25" x14ac:dyDescent="0.25">
      <c r="T10830" s="10"/>
      <c r="U10830" s="4"/>
      <c r="V10830" s="4"/>
      <c r="X10830" s="4"/>
      <c r="Y10830" s="4"/>
    </row>
    <row r="10831" spans="20:25" x14ac:dyDescent="0.25">
      <c r="T10831" s="10"/>
      <c r="U10831" s="4"/>
      <c r="V10831" s="4"/>
      <c r="X10831" s="4"/>
      <c r="Y10831" s="4"/>
    </row>
    <row r="10832" spans="20:25" x14ac:dyDescent="0.25">
      <c r="T10832" s="10"/>
      <c r="U10832" s="4"/>
      <c r="V10832" s="4"/>
      <c r="X10832" s="4"/>
      <c r="Y10832" s="4"/>
    </row>
    <row r="10833" spans="20:25" x14ac:dyDescent="0.25">
      <c r="T10833" s="10"/>
      <c r="U10833" s="4"/>
      <c r="V10833" s="4"/>
      <c r="X10833" s="4"/>
      <c r="Y10833" s="4"/>
    </row>
    <row r="10834" spans="20:25" x14ac:dyDescent="0.25">
      <c r="T10834" s="10"/>
      <c r="U10834" s="4"/>
      <c r="V10834" s="4"/>
      <c r="X10834" s="4"/>
      <c r="Y10834" s="4"/>
    </row>
    <row r="10835" spans="20:25" x14ac:dyDescent="0.25">
      <c r="T10835" s="10"/>
      <c r="U10835" s="4"/>
      <c r="V10835" s="4"/>
      <c r="X10835" s="4"/>
      <c r="Y10835" s="4"/>
    </row>
    <row r="10836" spans="20:25" x14ac:dyDescent="0.25">
      <c r="T10836" s="10"/>
      <c r="U10836" s="4"/>
      <c r="V10836" s="4"/>
      <c r="X10836" s="4"/>
      <c r="Y10836" s="4"/>
    </row>
    <row r="10837" spans="20:25" x14ac:dyDescent="0.25">
      <c r="T10837" s="10"/>
      <c r="U10837" s="4"/>
      <c r="V10837" s="4"/>
      <c r="X10837" s="4"/>
      <c r="Y10837" s="4"/>
    </row>
    <row r="10838" spans="20:25" x14ac:dyDescent="0.25">
      <c r="T10838" s="10"/>
      <c r="U10838" s="4"/>
      <c r="V10838" s="4"/>
      <c r="X10838" s="4"/>
      <c r="Y10838" s="4"/>
    </row>
    <row r="10839" spans="20:25" x14ac:dyDescent="0.25">
      <c r="T10839" s="10"/>
      <c r="U10839" s="4"/>
      <c r="V10839" s="4"/>
      <c r="X10839" s="4"/>
      <c r="Y10839" s="4"/>
    </row>
    <row r="10840" spans="20:25" x14ac:dyDescent="0.25">
      <c r="T10840" s="10"/>
      <c r="U10840" s="4"/>
      <c r="V10840" s="4"/>
      <c r="X10840" s="4"/>
      <c r="Y10840" s="4"/>
    </row>
    <row r="10841" spans="20:25" x14ac:dyDescent="0.25">
      <c r="T10841" s="10"/>
      <c r="U10841" s="4"/>
      <c r="V10841" s="4"/>
      <c r="X10841" s="4"/>
      <c r="Y10841" s="4"/>
    </row>
    <row r="10842" spans="20:25" x14ac:dyDescent="0.25">
      <c r="T10842" s="10"/>
      <c r="U10842" s="4"/>
      <c r="V10842" s="4"/>
      <c r="X10842" s="4"/>
      <c r="Y10842" s="4"/>
    </row>
    <row r="10843" spans="20:25" x14ac:dyDescent="0.25">
      <c r="T10843" s="10"/>
      <c r="U10843" s="4"/>
      <c r="V10843" s="4"/>
      <c r="X10843" s="4"/>
      <c r="Y10843" s="4"/>
    </row>
    <row r="10844" spans="20:25" x14ac:dyDescent="0.25">
      <c r="T10844" s="10"/>
      <c r="U10844" s="4"/>
      <c r="V10844" s="4"/>
      <c r="X10844" s="4"/>
      <c r="Y10844" s="4"/>
    </row>
    <row r="10845" spans="20:25" x14ac:dyDescent="0.25">
      <c r="T10845" s="10"/>
      <c r="U10845" s="4"/>
      <c r="V10845" s="4"/>
      <c r="X10845" s="4"/>
      <c r="Y10845" s="4"/>
    </row>
    <row r="10846" spans="20:25" x14ac:dyDescent="0.25">
      <c r="T10846" s="10"/>
      <c r="U10846" s="4"/>
      <c r="V10846" s="4"/>
      <c r="X10846" s="4"/>
      <c r="Y10846" s="4"/>
    </row>
    <row r="10847" spans="20:25" x14ac:dyDescent="0.25">
      <c r="T10847" s="10"/>
      <c r="U10847" s="4"/>
      <c r="V10847" s="4"/>
      <c r="X10847" s="4"/>
      <c r="Y10847" s="4"/>
    </row>
    <row r="10848" spans="20:25" x14ac:dyDescent="0.25">
      <c r="T10848" s="10"/>
      <c r="U10848" s="4"/>
      <c r="V10848" s="4"/>
      <c r="X10848" s="4"/>
      <c r="Y10848" s="4"/>
    </row>
    <row r="10849" spans="20:25" x14ac:dyDescent="0.25">
      <c r="T10849" s="10"/>
      <c r="U10849" s="4"/>
      <c r="V10849" s="4"/>
      <c r="X10849" s="4"/>
      <c r="Y10849" s="4"/>
    </row>
    <row r="10850" spans="20:25" x14ac:dyDescent="0.25">
      <c r="T10850" s="10"/>
      <c r="U10850" s="4"/>
      <c r="V10850" s="4"/>
      <c r="X10850" s="4"/>
      <c r="Y10850" s="4"/>
    </row>
    <row r="10851" spans="20:25" x14ac:dyDescent="0.25">
      <c r="T10851" s="10"/>
      <c r="U10851" s="4"/>
      <c r="V10851" s="4"/>
      <c r="X10851" s="4"/>
      <c r="Y10851" s="4"/>
    </row>
    <row r="10852" spans="20:25" x14ac:dyDescent="0.25">
      <c r="T10852" s="10"/>
      <c r="U10852" s="4"/>
      <c r="V10852" s="4"/>
      <c r="X10852" s="4"/>
      <c r="Y10852" s="4"/>
    </row>
    <row r="10853" spans="20:25" x14ac:dyDescent="0.25">
      <c r="T10853" s="10"/>
      <c r="U10853" s="4"/>
      <c r="V10853" s="4"/>
      <c r="X10853" s="4"/>
      <c r="Y10853" s="4"/>
    </row>
    <row r="10854" spans="20:25" x14ac:dyDescent="0.25">
      <c r="T10854" s="10"/>
      <c r="U10854" s="4"/>
      <c r="V10854" s="4"/>
      <c r="X10854" s="4"/>
      <c r="Y10854" s="4"/>
    </row>
    <row r="10855" spans="20:25" x14ac:dyDescent="0.25">
      <c r="T10855" s="10"/>
      <c r="U10855" s="4"/>
      <c r="V10855" s="4"/>
      <c r="X10855" s="4"/>
      <c r="Y10855" s="4"/>
    </row>
    <row r="10856" spans="20:25" x14ac:dyDescent="0.25">
      <c r="T10856" s="10"/>
      <c r="U10856" s="4"/>
      <c r="V10856" s="4"/>
      <c r="X10856" s="4"/>
      <c r="Y10856" s="4"/>
    </row>
    <row r="10857" spans="20:25" x14ac:dyDescent="0.25">
      <c r="T10857" s="10"/>
      <c r="U10857" s="4"/>
      <c r="V10857" s="4"/>
      <c r="X10857" s="4"/>
      <c r="Y10857" s="4"/>
    </row>
    <row r="10858" spans="20:25" x14ac:dyDescent="0.25">
      <c r="T10858" s="10"/>
      <c r="U10858" s="4"/>
      <c r="V10858" s="4"/>
      <c r="X10858" s="4"/>
      <c r="Y10858" s="4"/>
    </row>
    <row r="10859" spans="20:25" x14ac:dyDescent="0.25">
      <c r="T10859" s="10"/>
      <c r="U10859" s="4"/>
      <c r="V10859" s="4"/>
      <c r="X10859" s="4"/>
      <c r="Y10859" s="4"/>
    </row>
    <row r="10860" spans="20:25" x14ac:dyDescent="0.25">
      <c r="T10860" s="10"/>
      <c r="U10860" s="4"/>
      <c r="V10860" s="4"/>
      <c r="X10860" s="4"/>
      <c r="Y10860" s="4"/>
    </row>
    <row r="10861" spans="20:25" x14ac:dyDescent="0.25">
      <c r="T10861" s="10"/>
      <c r="U10861" s="4"/>
      <c r="V10861" s="4"/>
      <c r="X10861" s="4"/>
      <c r="Y10861" s="4"/>
    </row>
    <row r="10862" spans="20:25" x14ac:dyDescent="0.25">
      <c r="T10862" s="10"/>
      <c r="U10862" s="4"/>
      <c r="V10862" s="4"/>
      <c r="X10862" s="4"/>
      <c r="Y10862" s="4"/>
    </row>
    <row r="10863" spans="20:25" x14ac:dyDescent="0.25">
      <c r="T10863" s="10"/>
      <c r="U10863" s="4"/>
      <c r="V10863" s="4"/>
      <c r="X10863" s="4"/>
      <c r="Y10863" s="4"/>
    </row>
    <row r="10864" spans="20:25" x14ac:dyDescent="0.25">
      <c r="T10864" s="10"/>
      <c r="U10864" s="4"/>
      <c r="V10864" s="4"/>
      <c r="X10864" s="4"/>
      <c r="Y10864" s="4"/>
    </row>
    <row r="10865" spans="20:25" x14ac:dyDescent="0.25">
      <c r="T10865" s="10"/>
      <c r="U10865" s="4"/>
      <c r="V10865" s="4"/>
      <c r="X10865" s="4"/>
      <c r="Y10865" s="4"/>
    </row>
    <row r="10866" spans="20:25" x14ac:dyDescent="0.25">
      <c r="T10866" s="10"/>
      <c r="U10866" s="4"/>
      <c r="V10866" s="4"/>
      <c r="X10866" s="4"/>
      <c r="Y10866" s="4"/>
    </row>
    <row r="10867" spans="20:25" x14ac:dyDescent="0.25">
      <c r="T10867" s="10"/>
      <c r="U10867" s="4"/>
      <c r="V10867" s="4"/>
      <c r="X10867" s="4"/>
      <c r="Y10867" s="4"/>
    </row>
    <row r="10868" spans="20:25" x14ac:dyDescent="0.25">
      <c r="T10868" s="10"/>
      <c r="U10868" s="4"/>
      <c r="V10868" s="4"/>
      <c r="X10868" s="4"/>
      <c r="Y10868" s="4"/>
    </row>
    <row r="10869" spans="20:25" x14ac:dyDescent="0.25">
      <c r="T10869" s="10"/>
      <c r="U10869" s="4"/>
      <c r="V10869" s="4"/>
      <c r="X10869" s="4"/>
      <c r="Y10869" s="4"/>
    </row>
    <row r="10870" spans="20:25" x14ac:dyDescent="0.25">
      <c r="T10870" s="10"/>
      <c r="U10870" s="4"/>
      <c r="V10870" s="4"/>
      <c r="X10870" s="4"/>
      <c r="Y10870" s="4"/>
    </row>
    <row r="10871" spans="20:25" x14ac:dyDescent="0.25">
      <c r="T10871" s="10"/>
      <c r="U10871" s="4"/>
      <c r="V10871" s="4"/>
      <c r="X10871" s="4"/>
      <c r="Y10871" s="4"/>
    </row>
    <row r="10872" spans="20:25" x14ac:dyDescent="0.25">
      <c r="T10872" s="10"/>
      <c r="U10872" s="4"/>
      <c r="V10872" s="4"/>
      <c r="X10872" s="4"/>
      <c r="Y10872" s="4"/>
    </row>
    <row r="10873" spans="20:25" x14ac:dyDescent="0.25">
      <c r="T10873" s="10"/>
      <c r="U10873" s="4"/>
      <c r="V10873" s="4"/>
      <c r="X10873" s="4"/>
      <c r="Y10873" s="4"/>
    </row>
    <row r="10874" spans="20:25" x14ac:dyDescent="0.25">
      <c r="T10874" s="10"/>
      <c r="U10874" s="4"/>
      <c r="V10874" s="4"/>
      <c r="X10874" s="4"/>
      <c r="Y10874" s="4"/>
    </row>
    <row r="10875" spans="20:25" x14ac:dyDescent="0.25">
      <c r="T10875" s="10"/>
      <c r="U10875" s="4"/>
      <c r="V10875" s="4"/>
      <c r="X10875" s="4"/>
      <c r="Y10875" s="4"/>
    </row>
    <row r="10876" spans="20:25" x14ac:dyDescent="0.25">
      <c r="T10876" s="10"/>
      <c r="U10876" s="4"/>
      <c r="V10876" s="4"/>
      <c r="X10876" s="4"/>
      <c r="Y10876" s="4"/>
    </row>
    <row r="10877" spans="20:25" x14ac:dyDescent="0.25">
      <c r="T10877" s="10"/>
      <c r="U10877" s="4"/>
      <c r="V10877" s="4"/>
      <c r="X10877" s="4"/>
      <c r="Y10877" s="4"/>
    </row>
    <row r="10878" spans="20:25" x14ac:dyDescent="0.25">
      <c r="T10878" s="10"/>
      <c r="U10878" s="4"/>
      <c r="V10878" s="4"/>
      <c r="X10878" s="4"/>
      <c r="Y10878" s="4"/>
    </row>
    <row r="10879" spans="20:25" x14ac:dyDescent="0.25">
      <c r="T10879" s="10"/>
      <c r="U10879" s="4"/>
      <c r="V10879" s="4"/>
      <c r="X10879" s="4"/>
      <c r="Y10879" s="4"/>
    </row>
    <row r="10880" spans="20:25" x14ac:dyDescent="0.25">
      <c r="T10880" s="10"/>
      <c r="U10880" s="4"/>
      <c r="V10880" s="4"/>
      <c r="X10880" s="4"/>
      <c r="Y10880" s="4"/>
    </row>
    <row r="10881" spans="20:25" x14ac:dyDescent="0.25">
      <c r="T10881" s="10"/>
      <c r="U10881" s="4"/>
      <c r="V10881" s="4"/>
      <c r="X10881" s="4"/>
      <c r="Y10881" s="4"/>
    </row>
    <row r="10882" spans="20:25" x14ac:dyDescent="0.25">
      <c r="T10882" s="10"/>
      <c r="U10882" s="4"/>
      <c r="V10882" s="4"/>
      <c r="X10882" s="4"/>
      <c r="Y10882" s="4"/>
    </row>
    <row r="10883" spans="20:25" x14ac:dyDescent="0.25">
      <c r="T10883" s="10"/>
      <c r="U10883" s="4"/>
      <c r="V10883" s="4"/>
      <c r="X10883" s="4"/>
      <c r="Y10883" s="4"/>
    </row>
    <row r="10884" spans="20:25" x14ac:dyDescent="0.25">
      <c r="T10884" s="10"/>
      <c r="U10884" s="4"/>
      <c r="V10884" s="4"/>
      <c r="X10884" s="4"/>
      <c r="Y10884" s="4"/>
    </row>
    <row r="10885" spans="20:25" x14ac:dyDescent="0.25">
      <c r="T10885" s="10"/>
      <c r="U10885" s="4"/>
      <c r="V10885" s="4"/>
      <c r="X10885" s="4"/>
      <c r="Y10885" s="4"/>
    </row>
    <row r="10886" spans="20:25" x14ac:dyDescent="0.25">
      <c r="T10886" s="10"/>
      <c r="U10886" s="4"/>
      <c r="V10886" s="4"/>
      <c r="X10886" s="4"/>
      <c r="Y10886" s="4"/>
    </row>
    <row r="10887" spans="20:25" x14ac:dyDescent="0.25">
      <c r="T10887" s="10"/>
      <c r="U10887" s="4"/>
      <c r="V10887" s="4"/>
      <c r="X10887" s="4"/>
      <c r="Y10887" s="4"/>
    </row>
    <row r="10888" spans="20:25" x14ac:dyDescent="0.25">
      <c r="T10888" s="10"/>
      <c r="U10888" s="4"/>
      <c r="V10888" s="4"/>
      <c r="X10888" s="4"/>
      <c r="Y10888" s="4"/>
    </row>
    <row r="10889" spans="20:25" x14ac:dyDescent="0.25">
      <c r="T10889" s="10"/>
      <c r="U10889" s="4"/>
      <c r="V10889" s="4"/>
      <c r="X10889" s="4"/>
      <c r="Y10889" s="4"/>
    </row>
    <row r="10890" spans="20:25" x14ac:dyDescent="0.25">
      <c r="T10890" s="10"/>
      <c r="U10890" s="4"/>
      <c r="V10890" s="4"/>
      <c r="X10890" s="4"/>
      <c r="Y10890" s="4"/>
    </row>
    <row r="10891" spans="20:25" x14ac:dyDescent="0.25">
      <c r="T10891" s="10"/>
      <c r="U10891" s="4"/>
      <c r="V10891" s="4"/>
      <c r="X10891" s="4"/>
      <c r="Y10891" s="4"/>
    </row>
    <row r="10892" spans="20:25" x14ac:dyDescent="0.25">
      <c r="T10892" s="10"/>
      <c r="U10892" s="4"/>
      <c r="V10892" s="4"/>
      <c r="X10892" s="4"/>
      <c r="Y10892" s="4"/>
    </row>
    <row r="10893" spans="20:25" x14ac:dyDescent="0.25">
      <c r="T10893" s="10"/>
      <c r="U10893" s="4"/>
      <c r="V10893" s="4"/>
      <c r="X10893" s="4"/>
      <c r="Y10893" s="4"/>
    </row>
    <row r="10894" spans="20:25" x14ac:dyDescent="0.25">
      <c r="T10894" s="10"/>
      <c r="U10894" s="4"/>
      <c r="V10894" s="4"/>
      <c r="X10894" s="4"/>
      <c r="Y10894" s="4"/>
    </row>
    <row r="10895" spans="20:25" x14ac:dyDescent="0.25">
      <c r="T10895" s="10"/>
      <c r="U10895" s="4"/>
      <c r="V10895" s="4"/>
      <c r="X10895" s="4"/>
      <c r="Y10895" s="4"/>
    </row>
    <row r="10896" spans="20:25" x14ac:dyDescent="0.25">
      <c r="T10896" s="10"/>
      <c r="U10896" s="4"/>
      <c r="V10896" s="4"/>
      <c r="X10896" s="4"/>
      <c r="Y10896" s="4"/>
    </row>
    <row r="10897" spans="20:25" x14ac:dyDescent="0.25">
      <c r="T10897" s="10"/>
      <c r="U10897" s="4"/>
      <c r="V10897" s="4"/>
      <c r="X10897" s="4"/>
      <c r="Y10897" s="4"/>
    </row>
    <row r="10898" spans="20:25" x14ac:dyDescent="0.25">
      <c r="T10898" s="10"/>
      <c r="U10898" s="4"/>
      <c r="V10898" s="4"/>
      <c r="X10898" s="4"/>
      <c r="Y10898" s="4"/>
    </row>
    <row r="10899" spans="20:25" x14ac:dyDescent="0.25">
      <c r="T10899" s="10"/>
      <c r="U10899" s="4"/>
      <c r="V10899" s="4"/>
      <c r="X10899" s="4"/>
      <c r="Y10899" s="4"/>
    </row>
    <row r="10900" spans="20:25" x14ac:dyDescent="0.25">
      <c r="T10900" s="10"/>
      <c r="U10900" s="4"/>
      <c r="V10900" s="4"/>
      <c r="X10900" s="4"/>
      <c r="Y10900" s="4"/>
    </row>
    <row r="10901" spans="20:25" x14ac:dyDescent="0.25">
      <c r="T10901" s="10"/>
      <c r="U10901" s="4"/>
      <c r="V10901" s="4"/>
      <c r="X10901" s="4"/>
      <c r="Y10901" s="4"/>
    </row>
    <row r="10902" spans="20:25" x14ac:dyDescent="0.25">
      <c r="T10902" s="10"/>
      <c r="U10902" s="4"/>
      <c r="V10902" s="4"/>
      <c r="X10902" s="4"/>
      <c r="Y10902" s="4"/>
    </row>
    <row r="10903" spans="20:25" x14ac:dyDescent="0.25">
      <c r="T10903" s="10"/>
      <c r="U10903" s="4"/>
      <c r="V10903" s="4"/>
      <c r="X10903" s="4"/>
      <c r="Y10903" s="4"/>
    </row>
    <row r="10904" spans="20:25" x14ac:dyDescent="0.25">
      <c r="T10904" s="10"/>
      <c r="U10904" s="4"/>
      <c r="V10904" s="4"/>
      <c r="X10904" s="4"/>
      <c r="Y10904" s="4"/>
    </row>
    <row r="10905" spans="20:25" x14ac:dyDescent="0.25">
      <c r="T10905" s="10"/>
      <c r="U10905" s="4"/>
      <c r="V10905" s="4"/>
      <c r="X10905" s="4"/>
      <c r="Y10905" s="4"/>
    </row>
    <row r="10906" spans="20:25" x14ac:dyDescent="0.25">
      <c r="T10906" s="10"/>
      <c r="U10906" s="4"/>
      <c r="V10906" s="4"/>
      <c r="X10906" s="4"/>
      <c r="Y10906" s="4"/>
    </row>
    <row r="10907" spans="20:25" x14ac:dyDescent="0.25">
      <c r="T10907" s="10"/>
      <c r="U10907" s="4"/>
      <c r="V10907" s="4"/>
      <c r="X10907" s="4"/>
      <c r="Y10907" s="4"/>
    </row>
    <row r="10908" spans="20:25" x14ac:dyDescent="0.25">
      <c r="T10908" s="10"/>
      <c r="U10908" s="4"/>
      <c r="V10908" s="4"/>
      <c r="X10908" s="4"/>
      <c r="Y10908" s="4"/>
    </row>
    <row r="10909" spans="20:25" x14ac:dyDescent="0.25">
      <c r="T10909" s="10"/>
      <c r="U10909" s="4"/>
      <c r="V10909" s="4"/>
      <c r="X10909" s="4"/>
      <c r="Y10909" s="4"/>
    </row>
    <row r="10910" spans="20:25" x14ac:dyDescent="0.25">
      <c r="T10910" s="10"/>
      <c r="U10910" s="4"/>
      <c r="V10910" s="4"/>
      <c r="X10910" s="4"/>
      <c r="Y10910" s="4"/>
    </row>
    <row r="10911" spans="20:25" x14ac:dyDescent="0.25">
      <c r="T10911" s="10"/>
      <c r="U10911" s="4"/>
      <c r="V10911" s="4"/>
      <c r="X10911" s="4"/>
      <c r="Y10911" s="4"/>
    </row>
    <row r="10912" spans="20:25" x14ac:dyDescent="0.25">
      <c r="T10912" s="10"/>
      <c r="U10912" s="4"/>
      <c r="V10912" s="4"/>
      <c r="X10912" s="4"/>
      <c r="Y10912" s="4"/>
    </row>
    <row r="10913" spans="20:25" x14ac:dyDescent="0.25">
      <c r="T10913" s="10"/>
      <c r="U10913" s="4"/>
      <c r="V10913" s="4"/>
      <c r="X10913" s="4"/>
      <c r="Y10913" s="4"/>
    </row>
    <row r="10914" spans="20:25" x14ac:dyDescent="0.25">
      <c r="T10914" s="10"/>
      <c r="U10914" s="4"/>
      <c r="V10914" s="4"/>
      <c r="X10914" s="4"/>
      <c r="Y10914" s="4"/>
    </row>
    <row r="10915" spans="20:25" x14ac:dyDescent="0.25">
      <c r="T10915" s="10"/>
      <c r="U10915" s="4"/>
      <c r="V10915" s="4"/>
      <c r="X10915" s="4"/>
      <c r="Y10915" s="4"/>
    </row>
    <row r="10916" spans="20:25" x14ac:dyDescent="0.25">
      <c r="T10916" s="10"/>
      <c r="U10916" s="4"/>
      <c r="V10916" s="4"/>
      <c r="X10916" s="4"/>
      <c r="Y10916" s="4"/>
    </row>
    <row r="10917" spans="20:25" x14ac:dyDescent="0.25">
      <c r="T10917" s="10"/>
      <c r="U10917" s="4"/>
      <c r="V10917" s="4"/>
      <c r="X10917" s="4"/>
      <c r="Y10917" s="4"/>
    </row>
    <row r="10918" spans="20:25" x14ac:dyDescent="0.25">
      <c r="T10918" s="10"/>
      <c r="U10918" s="4"/>
      <c r="V10918" s="4"/>
      <c r="X10918" s="4"/>
      <c r="Y10918" s="4"/>
    </row>
    <row r="10919" spans="20:25" x14ac:dyDescent="0.25">
      <c r="T10919" s="10"/>
      <c r="U10919" s="4"/>
      <c r="V10919" s="4"/>
      <c r="X10919" s="4"/>
      <c r="Y10919" s="4"/>
    </row>
    <row r="10920" spans="20:25" x14ac:dyDescent="0.25">
      <c r="T10920" s="10"/>
      <c r="U10920" s="4"/>
      <c r="V10920" s="4"/>
      <c r="X10920" s="4"/>
      <c r="Y10920" s="4"/>
    </row>
    <row r="10921" spans="20:25" x14ac:dyDescent="0.25">
      <c r="T10921" s="10"/>
      <c r="U10921" s="4"/>
      <c r="V10921" s="4"/>
      <c r="X10921" s="4"/>
      <c r="Y10921" s="4"/>
    </row>
    <row r="10922" spans="20:25" x14ac:dyDescent="0.25">
      <c r="T10922" s="10"/>
      <c r="U10922" s="4"/>
      <c r="V10922" s="4"/>
      <c r="X10922" s="4"/>
      <c r="Y10922" s="4"/>
    </row>
    <row r="10923" spans="20:25" x14ac:dyDescent="0.25">
      <c r="T10923" s="10"/>
      <c r="U10923" s="4"/>
      <c r="V10923" s="4"/>
      <c r="X10923" s="4"/>
      <c r="Y10923" s="4"/>
    </row>
    <row r="10924" spans="20:25" x14ac:dyDescent="0.25">
      <c r="T10924" s="10"/>
      <c r="U10924" s="4"/>
      <c r="V10924" s="4"/>
      <c r="X10924" s="4"/>
      <c r="Y10924" s="4"/>
    </row>
    <row r="10925" spans="20:25" x14ac:dyDescent="0.25">
      <c r="T10925" s="10"/>
      <c r="U10925" s="4"/>
      <c r="V10925" s="4"/>
      <c r="X10925" s="4"/>
      <c r="Y10925" s="4"/>
    </row>
    <row r="10926" spans="20:25" x14ac:dyDescent="0.25">
      <c r="T10926" s="10"/>
      <c r="U10926" s="4"/>
      <c r="V10926" s="4"/>
      <c r="X10926" s="4"/>
      <c r="Y10926" s="4"/>
    </row>
    <row r="10927" spans="20:25" x14ac:dyDescent="0.25">
      <c r="T10927" s="10"/>
      <c r="U10927" s="4"/>
      <c r="V10927" s="4"/>
      <c r="X10927" s="4"/>
      <c r="Y10927" s="4"/>
    </row>
    <row r="10928" spans="20:25" x14ac:dyDescent="0.25">
      <c r="T10928" s="10"/>
      <c r="U10928" s="4"/>
      <c r="V10928" s="4"/>
      <c r="X10928" s="4"/>
      <c r="Y10928" s="4"/>
    </row>
    <row r="10929" spans="20:25" x14ac:dyDescent="0.25">
      <c r="T10929" s="10"/>
      <c r="U10929" s="4"/>
      <c r="V10929" s="4"/>
      <c r="X10929" s="4"/>
      <c r="Y10929" s="4"/>
    </row>
    <row r="10930" spans="20:25" x14ac:dyDescent="0.25">
      <c r="T10930" s="10"/>
      <c r="U10930" s="4"/>
      <c r="V10930" s="4"/>
      <c r="X10930" s="4"/>
      <c r="Y10930" s="4"/>
    </row>
    <row r="10931" spans="20:25" x14ac:dyDescent="0.25">
      <c r="T10931" s="10"/>
      <c r="U10931" s="4"/>
      <c r="V10931" s="4"/>
      <c r="X10931" s="4"/>
      <c r="Y10931" s="4"/>
    </row>
    <row r="10932" spans="20:25" x14ac:dyDescent="0.25">
      <c r="T10932" s="10"/>
      <c r="U10932" s="4"/>
      <c r="V10932" s="4"/>
      <c r="X10932" s="4"/>
      <c r="Y10932" s="4"/>
    </row>
    <row r="10933" spans="20:25" x14ac:dyDescent="0.25">
      <c r="T10933" s="10"/>
      <c r="U10933" s="4"/>
      <c r="V10933" s="4"/>
      <c r="X10933" s="4"/>
      <c r="Y10933" s="4"/>
    </row>
    <row r="10934" spans="20:25" x14ac:dyDescent="0.25">
      <c r="T10934" s="10"/>
      <c r="U10934" s="4"/>
      <c r="V10934" s="4"/>
      <c r="X10934" s="4"/>
      <c r="Y10934" s="4"/>
    </row>
    <row r="10935" spans="20:25" x14ac:dyDescent="0.25">
      <c r="T10935" s="10"/>
      <c r="U10935" s="4"/>
      <c r="V10935" s="4"/>
      <c r="X10935" s="4"/>
      <c r="Y10935" s="4"/>
    </row>
    <row r="10936" spans="20:25" x14ac:dyDescent="0.25">
      <c r="T10936" s="10"/>
      <c r="U10936" s="4"/>
      <c r="V10936" s="4"/>
      <c r="X10936" s="4"/>
      <c r="Y10936" s="4"/>
    </row>
    <row r="10937" spans="20:25" x14ac:dyDescent="0.25">
      <c r="T10937" s="10"/>
      <c r="U10937" s="4"/>
      <c r="V10937" s="4"/>
      <c r="X10937" s="4"/>
      <c r="Y10937" s="4"/>
    </row>
    <row r="10938" spans="20:25" x14ac:dyDescent="0.25">
      <c r="T10938" s="10"/>
      <c r="U10938" s="4"/>
      <c r="V10938" s="4"/>
      <c r="X10938" s="4"/>
      <c r="Y10938" s="4"/>
    </row>
    <row r="10939" spans="20:25" x14ac:dyDescent="0.25">
      <c r="T10939" s="10"/>
      <c r="U10939" s="4"/>
      <c r="V10939" s="4"/>
      <c r="X10939" s="4"/>
      <c r="Y10939" s="4"/>
    </row>
    <row r="10940" spans="20:25" x14ac:dyDescent="0.25">
      <c r="T10940" s="10"/>
      <c r="U10940" s="4"/>
      <c r="V10940" s="4"/>
      <c r="X10940" s="4"/>
      <c r="Y10940" s="4"/>
    </row>
    <row r="10941" spans="20:25" x14ac:dyDescent="0.25">
      <c r="T10941" s="10"/>
      <c r="U10941" s="4"/>
      <c r="V10941" s="4"/>
      <c r="X10941" s="4"/>
      <c r="Y10941" s="4"/>
    </row>
    <row r="10942" spans="20:25" x14ac:dyDescent="0.25">
      <c r="T10942" s="10"/>
      <c r="U10942" s="4"/>
      <c r="V10942" s="4"/>
      <c r="X10942" s="4"/>
      <c r="Y10942" s="4"/>
    </row>
    <row r="10943" spans="20:25" x14ac:dyDescent="0.25">
      <c r="T10943" s="10"/>
      <c r="U10943" s="4"/>
      <c r="V10943" s="4"/>
      <c r="X10943" s="4"/>
      <c r="Y10943" s="4"/>
    </row>
    <row r="10944" spans="20:25" x14ac:dyDescent="0.25">
      <c r="T10944" s="10"/>
      <c r="U10944" s="4"/>
      <c r="V10944" s="4"/>
      <c r="X10944" s="4"/>
      <c r="Y10944" s="4"/>
    </row>
    <row r="10945" spans="20:25" x14ac:dyDescent="0.25">
      <c r="T10945" s="10"/>
      <c r="U10945" s="4"/>
      <c r="V10945" s="4"/>
      <c r="X10945" s="4"/>
      <c r="Y10945" s="4"/>
    </row>
    <row r="10946" spans="20:25" x14ac:dyDescent="0.25">
      <c r="T10946" s="10"/>
      <c r="U10946" s="4"/>
      <c r="V10946" s="4"/>
      <c r="X10946" s="4"/>
      <c r="Y10946" s="4"/>
    </row>
    <row r="10947" spans="20:25" x14ac:dyDescent="0.25">
      <c r="T10947" s="10"/>
      <c r="U10947" s="4"/>
      <c r="V10947" s="4"/>
      <c r="X10947" s="4"/>
      <c r="Y10947" s="4"/>
    </row>
    <row r="10948" spans="20:25" x14ac:dyDescent="0.25">
      <c r="T10948" s="10"/>
      <c r="U10948" s="4"/>
      <c r="V10948" s="4"/>
      <c r="X10948" s="4"/>
      <c r="Y10948" s="4"/>
    </row>
    <row r="10949" spans="20:25" x14ac:dyDescent="0.25">
      <c r="T10949" s="10"/>
      <c r="U10949" s="4"/>
      <c r="V10949" s="4"/>
      <c r="X10949" s="4"/>
      <c r="Y10949" s="4"/>
    </row>
    <row r="10950" spans="20:25" x14ac:dyDescent="0.25">
      <c r="T10950" s="10"/>
      <c r="U10950" s="4"/>
      <c r="V10950" s="4"/>
      <c r="X10950" s="4"/>
      <c r="Y10950" s="4"/>
    </row>
    <row r="10951" spans="20:25" x14ac:dyDescent="0.25">
      <c r="T10951" s="10"/>
      <c r="U10951" s="4"/>
      <c r="V10951" s="4"/>
      <c r="X10951" s="4"/>
      <c r="Y10951" s="4"/>
    </row>
    <row r="10952" spans="20:25" x14ac:dyDescent="0.25">
      <c r="T10952" s="10"/>
      <c r="U10952" s="4"/>
      <c r="V10952" s="4"/>
      <c r="X10952" s="4"/>
      <c r="Y10952" s="4"/>
    </row>
    <row r="10953" spans="20:25" x14ac:dyDescent="0.25">
      <c r="T10953" s="10"/>
      <c r="U10953" s="4"/>
      <c r="V10953" s="4"/>
      <c r="X10953" s="4"/>
      <c r="Y10953" s="4"/>
    </row>
    <row r="10954" spans="20:25" x14ac:dyDescent="0.25">
      <c r="T10954" s="10"/>
      <c r="U10954" s="4"/>
      <c r="V10954" s="4"/>
      <c r="X10954" s="4"/>
      <c r="Y10954" s="4"/>
    </row>
    <row r="10955" spans="20:25" x14ac:dyDescent="0.25">
      <c r="T10955" s="10"/>
      <c r="U10955" s="4"/>
      <c r="V10955" s="4"/>
      <c r="X10955" s="4"/>
      <c r="Y10955" s="4"/>
    </row>
    <row r="10956" spans="20:25" x14ac:dyDescent="0.25">
      <c r="T10956" s="10"/>
      <c r="U10956" s="4"/>
      <c r="V10956" s="4"/>
      <c r="X10956" s="4"/>
      <c r="Y10956" s="4"/>
    </row>
    <row r="10957" spans="20:25" x14ac:dyDescent="0.25">
      <c r="T10957" s="10"/>
      <c r="U10957" s="4"/>
      <c r="V10957" s="4"/>
      <c r="X10957" s="4"/>
      <c r="Y10957" s="4"/>
    </row>
    <row r="10958" spans="20:25" x14ac:dyDescent="0.25">
      <c r="T10958" s="10"/>
      <c r="U10958" s="4"/>
      <c r="V10958" s="4"/>
      <c r="X10958" s="4"/>
      <c r="Y10958" s="4"/>
    </row>
    <row r="10959" spans="20:25" x14ac:dyDescent="0.25">
      <c r="T10959" s="10"/>
      <c r="U10959" s="4"/>
      <c r="V10959" s="4"/>
      <c r="X10959" s="4"/>
      <c r="Y10959" s="4"/>
    </row>
    <row r="10960" spans="20:25" x14ac:dyDescent="0.25">
      <c r="T10960" s="10"/>
      <c r="U10960" s="4"/>
      <c r="V10960" s="4"/>
      <c r="X10960" s="4"/>
      <c r="Y10960" s="4"/>
    </row>
    <row r="10961" spans="20:25" x14ac:dyDescent="0.25">
      <c r="T10961" s="10"/>
      <c r="U10961" s="4"/>
      <c r="V10961" s="4"/>
      <c r="X10961" s="4"/>
      <c r="Y10961" s="4"/>
    </row>
    <row r="10962" spans="20:25" x14ac:dyDescent="0.25">
      <c r="T10962" s="10"/>
      <c r="U10962" s="4"/>
      <c r="V10962" s="4"/>
      <c r="X10962" s="4"/>
      <c r="Y10962" s="4"/>
    </row>
    <row r="10963" spans="20:25" x14ac:dyDescent="0.25">
      <c r="T10963" s="10"/>
      <c r="U10963" s="4"/>
      <c r="V10963" s="4"/>
      <c r="X10963" s="4"/>
      <c r="Y10963" s="4"/>
    </row>
    <row r="10964" spans="20:25" x14ac:dyDescent="0.25">
      <c r="T10964" s="10"/>
      <c r="U10964" s="4"/>
      <c r="V10964" s="4"/>
      <c r="X10964" s="4"/>
      <c r="Y10964" s="4"/>
    </row>
    <row r="10965" spans="20:25" x14ac:dyDescent="0.25">
      <c r="T10965" s="10"/>
      <c r="U10965" s="4"/>
      <c r="V10965" s="4"/>
      <c r="X10965" s="4"/>
      <c r="Y10965" s="4"/>
    </row>
    <row r="10966" spans="20:25" x14ac:dyDescent="0.25">
      <c r="T10966" s="10"/>
      <c r="U10966" s="4"/>
      <c r="V10966" s="4"/>
      <c r="X10966" s="4"/>
      <c r="Y10966" s="4"/>
    </row>
    <row r="10967" spans="20:25" x14ac:dyDescent="0.25">
      <c r="T10967" s="10"/>
      <c r="U10967" s="4"/>
      <c r="V10967" s="4"/>
      <c r="X10967" s="4"/>
      <c r="Y10967" s="4"/>
    </row>
    <row r="10968" spans="20:25" x14ac:dyDescent="0.25">
      <c r="T10968" s="10"/>
      <c r="U10968" s="4"/>
      <c r="V10968" s="4"/>
      <c r="X10968" s="4"/>
      <c r="Y10968" s="4"/>
    </row>
    <row r="10969" spans="20:25" x14ac:dyDescent="0.25">
      <c r="T10969" s="10"/>
      <c r="U10969" s="4"/>
      <c r="V10969" s="4"/>
      <c r="X10969" s="4"/>
      <c r="Y10969" s="4"/>
    </row>
    <row r="10970" spans="20:25" x14ac:dyDescent="0.25">
      <c r="T10970" s="10"/>
      <c r="U10970" s="4"/>
      <c r="V10970" s="4"/>
      <c r="X10970" s="4"/>
      <c r="Y10970" s="4"/>
    </row>
    <row r="10971" spans="20:25" x14ac:dyDescent="0.25">
      <c r="T10971" s="10"/>
      <c r="U10971" s="4"/>
      <c r="V10971" s="4"/>
      <c r="X10971" s="4"/>
      <c r="Y10971" s="4"/>
    </row>
    <row r="10972" spans="20:25" x14ac:dyDescent="0.25">
      <c r="T10972" s="10"/>
      <c r="U10972" s="4"/>
      <c r="V10972" s="4"/>
      <c r="X10972" s="4"/>
      <c r="Y10972" s="4"/>
    </row>
    <row r="10973" spans="20:25" x14ac:dyDescent="0.25">
      <c r="T10973" s="10"/>
      <c r="U10973" s="4"/>
      <c r="V10973" s="4"/>
      <c r="X10973" s="4"/>
      <c r="Y10973" s="4"/>
    </row>
    <row r="10974" spans="20:25" x14ac:dyDescent="0.25">
      <c r="T10974" s="10"/>
      <c r="U10974" s="4"/>
      <c r="V10974" s="4"/>
      <c r="X10974" s="4"/>
      <c r="Y10974" s="4"/>
    </row>
    <row r="10975" spans="20:25" x14ac:dyDescent="0.25">
      <c r="T10975" s="10"/>
      <c r="U10975" s="4"/>
      <c r="V10975" s="4"/>
      <c r="X10975" s="4"/>
      <c r="Y10975" s="4"/>
    </row>
    <row r="10976" spans="20:25" x14ac:dyDescent="0.25">
      <c r="T10976" s="10"/>
      <c r="U10976" s="4"/>
      <c r="V10976" s="4"/>
      <c r="X10976" s="4"/>
      <c r="Y10976" s="4"/>
    </row>
    <row r="10977" spans="20:25" x14ac:dyDescent="0.25">
      <c r="T10977" s="10"/>
      <c r="U10977" s="4"/>
      <c r="V10977" s="4"/>
      <c r="X10977" s="4"/>
      <c r="Y10977" s="4"/>
    </row>
    <row r="10978" spans="20:25" x14ac:dyDescent="0.25">
      <c r="T10978" s="10"/>
      <c r="U10978" s="4"/>
      <c r="V10978" s="4"/>
      <c r="X10978" s="4"/>
      <c r="Y10978" s="4"/>
    </row>
    <row r="10979" spans="20:25" x14ac:dyDescent="0.25">
      <c r="T10979" s="10"/>
      <c r="U10979" s="4"/>
      <c r="V10979" s="4"/>
      <c r="X10979" s="4"/>
      <c r="Y10979" s="4"/>
    </row>
    <row r="10980" spans="20:25" x14ac:dyDescent="0.25">
      <c r="T10980" s="10"/>
      <c r="U10980" s="4"/>
      <c r="V10980" s="4"/>
      <c r="X10980" s="4"/>
      <c r="Y10980" s="4"/>
    </row>
    <row r="10981" spans="20:25" x14ac:dyDescent="0.25">
      <c r="T10981" s="10"/>
      <c r="U10981" s="4"/>
      <c r="V10981" s="4"/>
      <c r="X10981" s="4"/>
      <c r="Y10981" s="4"/>
    </row>
    <row r="10982" spans="20:25" x14ac:dyDescent="0.25">
      <c r="T10982" s="10"/>
      <c r="U10982" s="4"/>
      <c r="V10982" s="4"/>
      <c r="X10982" s="4"/>
      <c r="Y10982" s="4"/>
    </row>
    <row r="10983" spans="20:25" x14ac:dyDescent="0.25">
      <c r="T10983" s="10"/>
      <c r="U10983" s="4"/>
      <c r="V10983" s="4"/>
      <c r="X10983" s="4"/>
      <c r="Y10983" s="4"/>
    </row>
    <row r="10984" spans="20:25" x14ac:dyDescent="0.25">
      <c r="T10984" s="10"/>
      <c r="U10984" s="4"/>
      <c r="V10984" s="4"/>
      <c r="X10984" s="4"/>
      <c r="Y10984" s="4"/>
    </row>
    <row r="10985" spans="20:25" x14ac:dyDescent="0.25">
      <c r="T10985" s="10"/>
      <c r="U10985" s="4"/>
      <c r="V10985" s="4"/>
      <c r="X10985" s="4"/>
      <c r="Y10985" s="4"/>
    </row>
    <row r="10986" spans="20:25" x14ac:dyDescent="0.25">
      <c r="T10986" s="10"/>
      <c r="U10986" s="4"/>
      <c r="V10986" s="4"/>
      <c r="X10986" s="4"/>
      <c r="Y10986" s="4"/>
    </row>
    <row r="10987" spans="20:25" x14ac:dyDescent="0.25">
      <c r="T10987" s="10"/>
      <c r="U10987" s="4"/>
      <c r="V10987" s="4"/>
      <c r="X10987" s="4"/>
      <c r="Y10987" s="4"/>
    </row>
    <row r="10988" spans="20:25" x14ac:dyDescent="0.25">
      <c r="T10988" s="10"/>
      <c r="U10988" s="4"/>
      <c r="V10988" s="4"/>
      <c r="X10988" s="4"/>
      <c r="Y10988" s="4"/>
    </row>
    <row r="10989" spans="20:25" x14ac:dyDescent="0.25">
      <c r="T10989" s="10"/>
      <c r="U10989" s="4"/>
      <c r="V10989" s="4"/>
      <c r="X10989" s="4"/>
      <c r="Y10989" s="4"/>
    </row>
    <row r="10990" spans="20:25" x14ac:dyDescent="0.25">
      <c r="T10990" s="10"/>
      <c r="U10990" s="4"/>
      <c r="V10990" s="4"/>
      <c r="X10990" s="4"/>
      <c r="Y10990" s="4"/>
    </row>
    <row r="10991" spans="20:25" x14ac:dyDescent="0.25">
      <c r="T10991" s="10"/>
      <c r="U10991" s="4"/>
      <c r="V10991" s="4"/>
      <c r="X10991" s="4"/>
      <c r="Y10991" s="4"/>
    </row>
    <row r="10992" spans="20:25" x14ac:dyDescent="0.25">
      <c r="T10992" s="10"/>
      <c r="U10992" s="4"/>
      <c r="V10992" s="4"/>
      <c r="X10992" s="4"/>
      <c r="Y10992" s="4"/>
    </row>
    <row r="10993" spans="20:25" x14ac:dyDescent="0.25">
      <c r="T10993" s="10"/>
      <c r="U10993" s="4"/>
      <c r="V10993" s="4"/>
      <c r="X10993" s="4"/>
      <c r="Y10993" s="4"/>
    </row>
    <row r="10994" spans="20:25" x14ac:dyDescent="0.25">
      <c r="T10994" s="10"/>
      <c r="U10994" s="4"/>
      <c r="V10994" s="4"/>
      <c r="X10994" s="4"/>
      <c r="Y10994" s="4"/>
    </row>
    <row r="10995" spans="20:25" x14ac:dyDescent="0.25">
      <c r="T10995" s="10"/>
      <c r="U10995" s="4"/>
      <c r="V10995" s="4"/>
      <c r="X10995" s="4"/>
      <c r="Y10995" s="4"/>
    </row>
    <row r="10996" spans="20:25" x14ac:dyDescent="0.25">
      <c r="T10996" s="10"/>
      <c r="U10996" s="4"/>
      <c r="V10996" s="4"/>
      <c r="X10996" s="4"/>
      <c r="Y10996" s="4"/>
    </row>
    <row r="10997" spans="20:25" x14ac:dyDescent="0.25">
      <c r="T10997" s="10"/>
      <c r="U10997" s="4"/>
      <c r="V10997" s="4"/>
      <c r="X10997" s="4"/>
      <c r="Y10997" s="4"/>
    </row>
    <row r="10998" spans="20:25" x14ac:dyDescent="0.25">
      <c r="T10998" s="10"/>
      <c r="U10998" s="4"/>
      <c r="V10998" s="4"/>
      <c r="X10998" s="4"/>
      <c r="Y10998" s="4"/>
    </row>
    <row r="10999" spans="20:25" x14ac:dyDescent="0.25">
      <c r="T10999" s="10"/>
      <c r="U10999" s="4"/>
      <c r="V10999" s="4"/>
      <c r="X10999" s="4"/>
      <c r="Y10999" s="4"/>
    </row>
    <row r="11000" spans="20:25" x14ac:dyDescent="0.25">
      <c r="T11000" s="10"/>
      <c r="U11000" s="4"/>
      <c r="V11000" s="4"/>
      <c r="X11000" s="4"/>
      <c r="Y11000" s="4"/>
    </row>
    <row r="11001" spans="20:25" x14ac:dyDescent="0.25">
      <c r="T11001" s="10"/>
      <c r="U11001" s="4"/>
      <c r="V11001" s="4"/>
      <c r="X11001" s="4"/>
      <c r="Y11001" s="4"/>
    </row>
    <row r="11002" spans="20:25" x14ac:dyDescent="0.25">
      <c r="T11002" s="10"/>
      <c r="U11002" s="4"/>
      <c r="V11002" s="4"/>
      <c r="X11002" s="4"/>
      <c r="Y11002" s="4"/>
    </row>
    <row r="11003" spans="20:25" x14ac:dyDescent="0.25">
      <c r="T11003" s="10"/>
      <c r="U11003" s="4"/>
      <c r="V11003" s="4"/>
      <c r="X11003" s="4"/>
      <c r="Y11003" s="4"/>
    </row>
    <row r="11004" spans="20:25" x14ac:dyDescent="0.25">
      <c r="T11004" s="10"/>
      <c r="U11004" s="4"/>
      <c r="V11004" s="4"/>
      <c r="X11004" s="4"/>
      <c r="Y11004" s="4"/>
    </row>
    <row r="11005" spans="20:25" x14ac:dyDescent="0.25">
      <c r="T11005" s="10"/>
      <c r="U11005" s="4"/>
      <c r="V11005" s="4"/>
      <c r="X11005" s="4"/>
      <c r="Y11005" s="4"/>
    </row>
    <row r="11006" spans="20:25" x14ac:dyDescent="0.25">
      <c r="T11006" s="10"/>
      <c r="U11006" s="4"/>
      <c r="V11006" s="4"/>
      <c r="X11006" s="4"/>
      <c r="Y11006" s="4"/>
    </row>
    <row r="11007" spans="20:25" x14ac:dyDescent="0.25">
      <c r="T11007" s="10"/>
      <c r="U11007" s="4"/>
      <c r="V11007" s="4"/>
      <c r="X11007" s="4"/>
      <c r="Y11007" s="4"/>
    </row>
    <row r="11008" spans="20:25" x14ac:dyDescent="0.25">
      <c r="T11008" s="10"/>
      <c r="U11008" s="4"/>
      <c r="V11008" s="4"/>
      <c r="X11008" s="4"/>
      <c r="Y11008" s="4"/>
    </row>
    <row r="11009" spans="20:25" x14ac:dyDescent="0.25">
      <c r="T11009" s="10"/>
      <c r="U11009" s="4"/>
      <c r="V11009" s="4"/>
      <c r="X11009" s="4"/>
      <c r="Y11009" s="4"/>
    </row>
    <row r="11010" spans="20:25" x14ac:dyDescent="0.25">
      <c r="T11010" s="10"/>
      <c r="U11010" s="4"/>
      <c r="V11010" s="4"/>
      <c r="X11010" s="4"/>
      <c r="Y11010" s="4"/>
    </row>
    <row r="11011" spans="20:25" x14ac:dyDescent="0.25">
      <c r="T11011" s="10"/>
      <c r="U11011" s="4"/>
      <c r="V11011" s="4"/>
      <c r="X11011" s="4"/>
      <c r="Y11011" s="4"/>
    </row>
    <row r="11012" spans="20:25" x14ac:dyDescent="0.25">
      <c r="T11012" s="10"/>
      <c r="U11012" s="4"/>
      <c r="V11012" s="4"/>
      <c r="X11012" s="4"/>
      <c r="Y11012" s="4"/>
    </row>
    <row r="11013" spans="20:25" x14ac:dyDescent="0.25">
      <c r="T11013" s="10"/>
      <c r="U11013" s="4"/>
      <c r="V11013" s="4"/>
      <c r="X11013" s="4"/>
      <c r="Y11013" s="4"/>
    </row>
    <row r="11014" spans="20:25" x14ac:dyDescent="0.25">
      <c r="T11014" s="10"/>
      <c r="U11014" s="4"/>
      <c r="V11014" s="4"/>
      <c r="X11014" s="4"/>
      <c r="Y11014" s="4"/>
    </row>
    <row r="11015" spans="20:25" x14ac:dyDescent="0.25">
      <c r="T11015" s="10"/>
      <c r="U11015" s="4"/>
      <c r="V11015" s="4"/>
      <c r="X11015" s="4"/>
      <c r="Y11015" s="4"/>
    </row>
    <row r="11016" spans="20:25" x14ac:dyDescent="0.25">
      <c r="T11016" s="10"/>
      <c r="U11016" s="4"/>
      <c r="V11016" s="4"/>
      <c r="X11016" s="4"/>
      <c r="Y11016" s="4"/>
    </row>
    <row r="11017" spans="20:25" x14ac:dyDescent="0.25">
      <c r="T11017" s="10"/>
      <c r="U11017" s="4"/>
      <c r="V11017" s="4"/>
      <c r="X11017" s="4"/>
      <c r="Y11017" s="4"/>
    </row>
    <row r="11018" spans="20:25" x14ac:dyDescent="0.25">
      <c r="T11018" s="10"/>
      <c r="U11018" s="4"/>
      <c r="V11018" s="4"/>
      <c r="X11018" s="4"/>
      <c r="Y11018" s="4"/>
    </row>
    <row r="11019" spans="20:25" x14ac:dyDescent="0.25">
      <c r="T11019" s="10"/>
      <c r="U11019" s="4"/>
      <c r="V11019" s="4"/>
      <c r="X11019" s="4"/>
      <c r="Y11019" s="4"/>
    </row>
    <row r="11020" spans="20:25" x14ac:dyDescent="0.25">
      <c r="T11020" s="10"/>
      <c r="U11020" s="4"/>
      <c r="V11020" s="4"/>
      <c r="X11020" s="4"/>
      <c r="Y11020" s="4"/>
    </row>
    <row r="11021" spans="20:25" x14ac:dyDescent="0.25">
      <c r="T11021" s="10"/>
      <c r="U11021" s="4"/>
      <c r="V11021" s="4"/>
      <c r="X11021" s="4"/>
      <c r="Y11021" s="4"/>
    </row>
    <row r="11022" spans="20:25" x14ac:dyDescent="0.25">
      <c r="T11022" s="10"/>
      <c r="U11022" s="4"/>
      <c r="V11022" s="4"/>
      <c r="X11022" s="4"/>
      <c r="Y11022" s="4"/>
    </row>
    <row r="11023" spans="20:25" x14ac:dyDescent="0.25">
      <c r="T11023" s="10"/>
      <c r="U11023" s="4"/>
      <c r="V11023" s="4"/>
      <c r="X11023" s="4"/>
      <c r="Y11023" s="4"/>
    </row>
    <row r="11024" spans="20:25" x14ac:dyDescent="0.25">
      <c r="T11024" s="10"/>
      <c r="U11024" s="4"/>
      <c r="V11024" s="4"/>
      <c r="X11024" s="4"/>
      <c r="Y11024" s="4"/>
    </row>
    <row r="11025" spans="20:25" x14ac:dyDescent="0.25">
      <c r="T11025" s="10"/>
      <c r="U11025" s="4"/>
      <c r="V11025" s="4"/>
      <c r="X11025" s="4"/>
      <c r="Y11025" s="4"/>
    </row>
    <row r="11026" spans="20:25" x14ac:dyDescent="0.25">
      <c r="T11026" s="10"/>
      <c r="U11026" s="4"/>
      <c r="V11026" s="4"/>
      <c r="X11026" s="4"/>
      <c r="Y11026" s="4"/>
    </row>
    <row r="11027" spans="20:25" x14ac:dyDescent="0.25">
      <c r="T11027" s="10"/>
      <c r="U11027" s="4"/>
      <c r="V11027" s="4"/>
      <c r="X11027" s="4"/>
      <c r="Y11027" s="4"/>
    </row>
    <row r="11028" spans="20:25" x14ac:dyDescent="0.25">
      <c r="T11028" s="10"/>
      <c r="U11028" s="4"/>
      <c r="V11028" s="4"/>
      <c r="X11028" s="4"/>
      <c r="Y11028" s="4"/>
    </row>
    <row r="11029" spans="20:25" x14ac:dyDescent="0.25">
      <c r="T11029" s="10"/>
      <c r="U11029" s="4"/>
      <c r="V11029" s="4"/>
      <c r="X11029" s="4"/>
      <c r="Y11029" s="4"/>
    </row>
    <row r="11030" spans="20:25" x14ac:dyDescent="0.25">
      <c r="T11030" s="10"/>
      <c r="U11030" s="4"/>
      <c r="V11030" s="4"/>
      <c r="X11030" s="4"/>
      <c r="Y11030" s="4"/>
    </row>
    <row r="11031" spans="20:25" x14ac:dyDescent="0.25">
      <c r="T11031" s="10"/>
      <c r="U11031" s="4"/>
      <c r="V11031" s="4"/>
      <c r="X11031" s="4"/>
      <c r="Y11031" s="4"/>
    </row>
    <row r="11032" spans="20:25" x14ac:dyDescent="0.25">
      <c r="T11032" s="10"/>
      <c r="U11032" s="4"/>
      <c r="V11032" s="4"/>
      <c r="X11032" s="4"/>
      <c r="Y11032" s="4"/>
    </row>
    <row r="11033" spans="20:25" x14ac:dyDescent="0.25">
      <c r="T11033" s="10"/>
      <c r="U11033" s="4"/>
      <c r="V11033" s="4"/>
      <c r="X11033" s="4"/>
      <c r="Y11033" s="4"/>
    </row>
    <row r="11034" spans="20:25" x14ac:dyDescent="0.25">
      <c r="T11034" s="10"/>
      <c r="U11034" s="4"/>
      <c r="V11034" s="4"/>
      <c r="X11034" s="4"/>
      <c r="Y11034" s="4"/>
    </row>
    <row r="11035" spans="20:25" x14ac:dyDescent="0.25">
      <c r="T11035" s="10"/>
      <c r="U11035" s="4"/>
      <c r="V11035" s="4"/>
      <c r="X11035" s="4"/>
      <c r="Y11035" s="4"/>
    </row>
    <row r="11036" spans="20:25" x14ac:dyDescent="0.25">
      <c r="T11036" s="10"/>
      <c r="U11036" s="4"/>
      <c r="V11036" s="4"/>
      <c r="X11036" s="4"/>
      <c r="Y11036" s="4"/>
    </row>
    <row r="11037" spans="20:25" x14ac:dyDescent="0.25">
      <c r="T11037" s="10"/>
      <c r="U11037" s="4"/>
      <c r="V11037" s="4"/>
      <c r="X11037" s="4"/>
      <c r="Y11037" s="4"/>
    </row>
    <row r="11038" spans="20:25" x14ac:dyDescent="0.25">
      <c r="T11038" s="10"/>
      <c r="U11038" s="4"/>
      <c r="V11038" s="4"/>
      <c r="X11038" s="4"/>
      <c r="Y11038" s="4"/>
    </row>
    <row r="11039" spans="20:25" x14ac:dyDescent="0.25">
      <c r="T11039" s="10"/>
      <c r="U11039" s="4"/>
      <c r="V11039" s="4"/>
      <c r="X11039" s="4"/>
      <c r="Y11039" s="4"/>
    </row>
    <row r="11040" spans="20:25" x14ac:dyDescent="0.25">
      <c r="T11040" s="10"/>
      <c r="U11040" s="4"/>
      <c r="V11040" s="4"/>
      <c r="X11040" s="4"/>
      <c r="Y11040" s="4"/>
    </row>
    <row r="11041" spans="20:25" x14ac:dyDescent="0.25">
      <c r="T11041" s="10"/>
      <c r="U11041" s="4"/>
      <c r="V11041" s="4"/>
      <c r="X11041" s="4"/>
      <c r="Y11041" s="4"/>
    </row>
    <row r="11042" spans="20:25" x14ac:dyDescent="0.25">
      <c r="T11042" s="10"/>
      <c r="U11042" s="4"/>
      <c r="V11042" s="4"/>
      <c r="X11042" s="4"/>
      <c r="Y11042" s="4"/>
    </row>
    <row r="11043" spans="20:25" x14ac:dyDescent="0.25">
      <c r="T11043" s="10"/>
      <c r="U11043" s="4"/>
      <c r="V11043" s="4"/>
      <c r="X11043" s="4"/>
      <c r="Y11043" s="4"/>
    </row>
    <row r="11044" spans="20:25" x14ac:dyDescent="0.25">
      <c r="T11044" s="10"/>
      <c r="U11044" s="4"/>
      <c r="V11044" s="4"/>
      <c r="X11044" s="4"/>
      <c r="Y11044" s="4"/>
    </row>
    <row r="11045" spans="20:25" x14ac:dyDescent="0.25">
      <c r="T11045" s="10"/>
      <c r="U11045" s="4"/>
      <c r="V11045" s="4"/>
      <c r="X11045" s="4"/>
      <c r="Y11045" s="4"/>
    </row>
    <row r="11046" spans="20:25" x14ac:dyDescent="0.25">
      <c r="T11046" s="10"/>
      <c r="U11046" s="4"/>
      <c r="V11046" s="4"/>
      <c r="X11046" s="4"/>
      <c r="Y11046" s="4"/>
    </row>
    <row r="11047" spans="20:25" x14ac:dyDescent="0.25">
      <c r="T11047" s="10"/>
      <c r="U11047" s="4"/>
      <c r="V11047" s="4"/>
      <c r="X11047" s="4"/>
      <c r="Y11047" s="4"/>
    </row>
    <row r="11048" spans="20:25" x14ac:dyDescent="0.25">
      <c r="T11048" s="10"/>
      <c r="U11048" s="4"/>
      <c r="V11048" s="4"/>
      <c r="X11048" s="4"/>
      <c r="Y11048" s="4"/>
    </row>
    <row r="11049" spans="20:25" x14ac:dyDescent="0.25">
      <c r="T11049" s="10"/>
      <c r="U11049" s="4"/>
      <c r="V11049" s="4"/>
      <c r="X11049" s="4"/>
      <c r="Y11049" s="4"/>
    </row>
    <row r="11050" spans="20:25" x14ac:dyDescent="0.25">
      <c r="T11050" s="10"/>
      <c r="U11050" s="4"/>
      <c r="V11050" s="4"/>
      <c r="X11050" s="4"/>
      <c r="Y11050" s="4"/>
    </row>
    <row r="11051" spans="20:25" x14ac:dyDescent="0.25">
      <c r="T11051" s="10"/>
      <c r="U11051" s="4"/>
      <c r="V11051" s="4"/>
      <c r="X11051" s="4"/>
      <c r="Y11051" s="4"/>
    </row>
    <row r="11052" spans="20:25" x14ac:dyDescent="0.25">
      <c r="T11052" s="10"/>
      <c r="U11052" s="4"/>
      <c r="V11052" s="4"/>
      <c r="X11052" s="4"/>
      <c r="Y11052" s="4"/>
    </row>
    <row r="11053" spans="20:25" x14ac:dyDescent="0.25">
      <c r="T11053" s="10"/>
      <c r="U11053" s="4"/>
      <c r="V11053" s="4"/>
      <c r="X11053" s="4"/>
      <c r="Y11053" s="4"/>
    </row>
    <row r="11054" spans="20:25" x14ac:dyDescent="0.25">
      <c r="T11054" s="10"/>
      <c r="U11054" s="4"/>
      <c r="V11054" s="4"/>
      <c r="X11054" s="4"/>
      <c r="Y11054" s="4"/>
    </row>
    <row r="11055" spans="20:25" x14ac:dyDescent="0.25">
      <c r="T11055" s="10"/>
      <c r="U11055" s="4"/>
      <c r="V11055" s="4"/>
      <c r="X11055" s="4"/>
      <c r="Y11055" s="4"/>
    </row>
    <row r="11056" spans="20:25" x14ac:dyDescent="0.25">
      <c r="T11056" s="10"/>
      <c r="U11056" s="4"/>
      <c r="V11056" s="4"/>
      <c r="X11056" s="4"/>
      <c r="Y11056" s="4"/>
    </row>
    <row r="11057" spans="20:25" x14ac:dyDescent="0.25">
      <c r="T11057" s="10"/>
      <c r="U11057" s="4"/>
      <c r="V11057" s="4"/>
      <c r="X11057" s="4"/>
      <c r="Y11057" s="4"/>
    </row>
    <row r="11058" spans="20:25" x14ac:dyDescent="0.25">
      <c r="T11058" s="10"/>
      <c r="U11058" s="4"/>
      <c r="V11058" s="4"/>
      <c r="X11058" s="4"/>
      <c r="Y11058" s="4"/>
    </row>
    <row r="11059" spans="20:25" x14ac:dyDescent="0.25">
      <c r="T11059" s="10"/>
      <c r="U11059" s="4"/>
      <c r="V11059" s="4"/>
      <c r="X11059" s="4"/>
      <c r="Y11059" s="4"/>
    </row>
    <row r="11060" spans="20:25" x14ac:dyDescent="0.25">
      <c r="T11060" s="10"/>
      <c r="U11060" s="4"/>
      <c r="V11060" s="4"/>
      <c r="X11060" s="4"/>
      <c r="Y11060" s="4"/>
    </row>
    <row r="11061" spans="20:25" x14ac:dyDescent="0.25">
      <c r="T11061" s="10"/>
      <c r="U11061" s="4"/>
      <c r="V11061" s="4"/>
      <c r="X11061" s="4"/>
      <c r="Y11061" s="4"/>
    </row>
    <row r="11062" spans="20:25" x14ac:dyDescent="0.25">
      <c r="T11062" s="10"/>
      <c r="U11062" s="4"/>
      <c r="V11062" s="4"/>
      <c r="X11062" s="4"/>
      <c r="Y11062" s="4"/>
    </row>
    <row r="11063" spans="20:25" x14ac:dyDescent="0.25">
      <c r="T11063" s="10"/>
      <c r="U11063" s="4"/>
      <c r="V11063" s="4"/>
      <c r="X11063" s="4"/>
      <c r="Y11063" s="4"/>
    </row>
    <row r="11064" spans="20:25" x14ac:dyDescent="0.25">
      <c r="T11064" s="10"/>
      <c r="U11064" s="4"/>
      <c r="V11064" s="4"/>
      <c r="X11064" s="4"/>
      <c r="Y11064" s="4"/>
    </row>
    <row r="11065" spans="20:25" x14ac:dyDescent="0.25">
      <c r="T11065" s="10"/>
      <c r="U11065" s="4"/>
      <c r="V11065" s="4"/>
      <c r="X11065" s="4"/>
      <c r="Y11065" s="4"/>
    </row>
    <row r="11066" spans="20:25" x14ac:dyDescent="0.25">
      <c r="T11066" s="10"/>
      <c r="U11066" s="4"/>
      <c r="V11066" s="4"/>
      <c r="X11066" s="4"/>
      <c r="Y11066" s="4"/>
    </row>
    <row r="11067" spans="20:25" x14ac:dyDescent="0.25">
      <c r="T11067" s="10"/>
      <c r="U11067" s="4"/>
      <c r="V11067" s="4"/>
      <c r="X11067" s="4"/>
      <c r="Y11067" s="4"/>
    </row>
    <row r="11068" spans="20:25" x14ac:dyDescent="0.25">
      <c r="T11068" s="10"/>
      <c r="U11068" s="4"/>
      <c r="V11068" s="4"/>
      <c r="X11068" s="4"/>
      <c r="Y11068" s="4"/>
    </row>
    <row r="11069" spans="20:25" x14ac:dyDescent="0.25">
      <c r="T11069" s="10"/>
      <c r="U11069" s="4"/>
      <c r="V11069" s="4"/>
      <c r="X11069" s="4"/>
      <c r="Y11069" s="4"/>
    </row>
    <row r="11070" spans="20:25" x14ac:dyDescent="0.25">
      <c r="T11070" s="10"/>
      <c r="U11070" s="4"/>
      <c r="V11070" s="4"/>
      <c r="X11070" s="4"/>
      <c r="Y11070" s="4"/>
    </row>
    <row r="11071" spans="20:25" x14ac:dyDescent="0.25">
      <c r="T11071" s="10"/>
      <c r="U11071" s="4"/>
      <c r="V11071" s="4"/>
      <c r="X11071" s="4"/>
      <c r="Y11071" s="4"/>
    </row>
    <row r="11072" spans="20:25" x14ac:dyDescent="0.25">
      <c r="T11072" s="10"/>
      <c r="U11072" s="4"/>
      <c r="V11072" s="4"/>
      <c r="X11072" s="4"/>
      <c r="Y11072" s="4"/>
    </row>
    <row r="11073" spans="20:25" x14ac:dyDescent="0.25">
      <c r="T11073" s="10"/>
      <c r="U11073" s="4"/>
      <c r="V11073" s="4"/>
      <c r="X11073" s="4"/>
      <c r="Y11073" s="4"/>
    </row>
    <row r="11074" spans="20:25" x14ac:dyDescent="0.25">
      <c r="T11074" s="10"/>
      <c r="U11074" s="4"/>
      <c r="V11074" s="4"/>
      <c r="X11074" s="4"/>
      <c r="Y11074" s="4"/>
    </row>
    <row r="11075" spans="20:25" x14ac:dyDescent="0.25">
      <c r="T11075" s="10"/>
      <c r="U11075" s="4"/>
      <c r="V11075" s="4"/>
      <c r="X11075" s="4"/>
      <c r="Y11075" s="4"/>
    </row>
    <row r="11076" spans="20:25" x14ac:dyDescent="0.25">
      <c r="T11076" s="10"/>
      <c r="U11076" s="4"/>
      <c r="V11076" s="4"/>
      <c r="X11076" s="4"/>
      <c r="Y11076" s="4"/>
    </row>
    <row r="11077" spans="20:25" x14ac:dyDescent="0.25">
      <c r="T11077" s="10"/>
      <c r="U11077" s="4"/>
      <c r="V11077" s="4"/>
      <c r="X11077" s="4"/>
      <c r="Y11077" s="4"/>
    </row>
    <row r="11078" spans="20:25" x14ac:dyDescent="0.25">
      <c r="T11078" s="10"/>
      <c r="U11078" s="4"/>
      <c r="V11078" s="4"/>
      <c r="X11078" s="4"/>
      <c r="Y11078" s="4"/>
    </row>
    <row r="11079" spans="20:25" x14ac:dyDescent="0.25">
      <c r="T11079" s="10"/>
      <c r="U11079" s="4"/>
      <c r="V11079" s="4"/>
      <c r="X11079" s="4"/>
      <c r="Y11079" s="4"/>
    </row>
    <row r="11080" spans="20:25" x14ac:dyDescent="0.25">
      <c r="T11080" s="10"/>
      <c r="U11080" s="4"/>
      <c r="V11080" s="4"/>
      <c r="X11080" s="4"/>
      <c r="Y11080" s="4"/>
    </row>
    <row r="11081" spans="20:25" x14ac:dyDescent="0.25">
      <c r="T11081" s="10"/>
      <c r="U11081" s="4"/>
      <c r="V11081" s="4"/>
      <c r="X11081" s="4"/>
      <c r="Y11081" s="4"/>
    </row>
    <row r="11082" spans="20:25" x14ac:dyDescent="0.25">
      <c r="T11082" s="10"/>
      <c r="U11082" s="4"/>
      <c r="V11082" s="4"/>
      <c r="X11082" s="4"/>
      <c r="Y11082" s="4"/>
    </row>
    <row r="11083" spans="20:25" x14ac:dyDescent="0.25">
      <c r="T11083" s="10"/>
      <c r="U11083" s="4"/>
      <c r="V11083" s="4"/>
      <c r="X11083" s="4"/>
      <c r="Y11083" s="4"/>
    </row>
    <row r="11084" spans="20:25" x14ac:dyDescent="0.25">
      <c r="T11084" s="10"/>
      <c r="U11084" s="4"/>
      <c r="V11084" s="4"/>
      <c r="X11084" s="4"/>
      <c r="Y11084" s="4"/>
    </row>
    <row r="11085" spans="20:25" x14ac:dyDescent="0.25">
      <c r="T11085" s="10"/>
      <c r="U11085" s="4"/>
      <c r="V11085" s="4"/>
      <c r="X11085" s="4"/>
      <c r="Y11085" s="4"/>
    </row>
    <row r="11086" spans="20:25" x14ac:dyDescent="0.25">
      <c r="T11086" s="10"/>
      <c r="U11086" s="4"/>
      <c r="V11086" s="4"/>
      <c r="X11086" s="4"/>
      <c r="Y11086" s="4"/>
    </row>
    <row r="11087" spans="20:25" x14ac:dyDescent="0.25">
      <c r="T11087" s="10"/>
      <c r="U11087" s="4"/>
      <c r="V11087" s="4"/>
      <c r="X11087" s="4"/>
      <c r="Y11087" s="4"/>
    </row>
    <row r="11088" spans="20:25" x14ac:dyDescent="0.25">
      <c r="T11088" s="10"/>
      <c r="U11088" s="4"/>
      <c r="V11088" s="4"/>
      <c r="X11088" s="4"/>
      <c r="Y11088" s="4"/>
    </row>
    <row r="11089" spans="20:25" x14ac:dyDescent="0.25">
      <c r="T11089" s="10"/>
      <c r="U11089" s="4"/>
      <c r="V11089" s="4"/>
      <c r="X11089" s="4"/>
      <c r="Y11089" s="4"/>
    </row>
    <row r="11090" spans="20:25" x14ac:dyDescent="0.25">
      <c r="T11090" s="10"/>
      <c r="U11090" s="4"/>
      <c r="V11090" s="4"/>
      <c r="X11090" s="4"/>
      <c r="Y11090" s="4"/>
    </row>
    <row r="11091" spans="20:25" x14ac:dyDescent="0.25">
      <c r="T11091" s="10"/>
      <c r="U11091" s="4"/>
      <c r="V11091" s="4"/>
      <c r="X11091" s="4"/>
      <c r="Y11091" s="4"/>
    </row>
    <row r="11092" spans="20:25" x14ac:dyDescent="0.25">
      <c r="T11092" s="10"/>
      <c r="U11092" s="4"/>
      <c r="V11092" s="4"/>
      <c r="X11092" s="4"/>
      <c r="Y11092" s="4"/>
    </row>
    <row r="11093" spans="20:25" x14ac:dyDescent="0.25">
      <c r="T11093" s="10"/>
      <c r="U11093" s="4"/>
      <c r="V11093" s="4"/>
      <c r="X11093" s="4"/>
      <c r="Y11093" s="4"/>
    </row>
    <row r="11094" spans="20:25" x14ac:dyDescent="0.25">
      <c r="T11094" s="10"/>
      <c r="U11094" s="4"/>
      <c r="V11094" s="4"/>
      <c r="X11094" s="4"/>
      <c r="Y11094" s="4"/>
    </row>
    <row r="11095" spans="20:25" x14ac:dyDescent="0.25">
      <c r="T11095" s="10"/>
      <c r="U11095" s="4"/>
      <c r="V11095" s="4"/>
      <c r="X11095" s="4"/>
      <c r="Y11095" s="4"/>
    </row>
    <row r="11096" spans="20:25" x14ac:dyDescent="0.25">
      <c r="T11096" s="10"/>
      <c r="U11096" s="4"/>
      <c r="V11096" s="4"/>
      <c r="X11096" s="4"/>
      <c r="Y11096" s="4"/>
    </row>
    <row r="11097" spans="20:25" x14ac:dyDescent="0.25">
      <c r="T11097" s="10"/>
      <c r="U11097" s="4"/>
      <c r="V11097" s="4"/>
      <c r="X11097" s="4"/>
      <c r="Y11097" s="4"/>
    </row>
    <row r="11098" spans="20:25" x14ac:dyDescent="0.25">
      <c r="T11098" s="10"/>
      <c r="U11098" s="4"/>
      <c r="V11098" s="4"/>
      <c r="X11098" s="4"/>
      <c r="Y11098" s="4"/>
    </row>
    <row r="11099" spans="20:25" x14ac:dyDescent="0.25">
      <c r="T11099" s="10"/>
      <c r="U11099" s="4"/>
      <c r="V11099" s="4"/>
      <c r="X11099" s="4"/>
      <c r="Y11099" s="4"/>
    </row>
    <row r="11100" spans="20:25" x14ac:dyDescent="0.25">
      <c r="T11100" s="10"/>
      <c r="U11100" s="4"/>
      <c r="V11100" s="4"/>
      <c r="X11100" s="4"/>
      <c r="Y11100" s="4"/>
    </row>
    <row r="11101" spans="20:25" x14ac:dyDescent="0.25">
      <c r="T11101" s="10"/>
      <c r="U11101" s="4"/>
      <c r="V11101" s="4"/>
      <c r="X11101" s="4"/>
      <c r="Y11101" s="4"/>
    </row>
    <row r="11102" spans="20:25" x14ac:dyDescent="0.25">
      <c r="T11102" s="10"/>
      <c r="U11102" s="4"/>
      <c r="V11102" s="4"/>
      <c r="X11102" s="4"/>
      <c r="Y11102" s="4"/>
    </row>
    <row r="11103" spans="20:25" x14ac:dyDescent="0.25">
      <c r="T11103" s="10"/>
      <c r="U11103" s="4"/>
      <c r="V11103" s="4"/>
      <c r="X11103" s="4"/>
      <c r="Y11103" s="4"/>
    </row>
    <row r="11104" spans="20:25" x14ac:dyDescent="0.25">
      <c r="T11104" s="10"/>
      <c r="U11104" s="4"/>
      <c r="V11104" s="4"/>
      <c r="X11104" s="4"/>
      <c r="Y11104" s="4"/>
    </row>
    <row r="11105" spans="20:25" x14ac:dyDescent="0.25">
      <c r="T11105" s="10"/>
      <c r="U11105" s="4"/>
      <c r="V11105" s="4"/>
      <c r="X11105" s="4"/>
      <c r="Y11105" s="4"/>
    </row>
    <row r="11106" spans="20:25" x14ac:dyDescent="0.25">
      <c r="T11106" s="10"/>
      <c r="U11106" s="4"/>
      <c r="V11106" s="4"/>
      <c r="X11106" s="4"/>
      <c r="Y11106" s="4"/>
    </row>
    <row r="11107" spans="20:25" x14ac:dyDescent="0.25">
      <c r="T11107" s="10"/>
      <c r="U11107" s="4"/>
      <c r="V11107" s="4"/>
      <c r="X11107" s="4"/>
      <c r="Y11107" s="4"/>
    </row>
    <row r="11108" spans="20:25" x14ac:dyDescent="0.25">
      <c r="T11108" s="10"/>
      <c r="U11108" s="4"/>
      <c r="V11108" s="4"/>
      <c r="X11108" s="4"/>
      <c r="Y11108" s="4"/>
    </row>
    <row r="11109" spans="20:25" x14ac:dyDescent="0.25">
      <c r="T11109" s="10"/>
      <c r="U11109" s="4"/>
      <c r="V11109" s="4"/>
      <c r="X11109" s="4"/>
      <c r="Y11109" s="4"/>
    </row>
    <row r="11110" spans="20:25" x14ac:dyDescent="0.25">
      <c r="T11110" s="10"/>
      <c r="U11110" s="4"/>
      <c r="V11110" s="4"/>
      <c r="X11110" s="4"/>
      <c r="Y11110" s="4"/>
    </row>
    <row r="11111" spans="20:25" x14ac:dyDescent="0.25">
      <c r="T11111" s="10"/>
      <c r="U11111" s="4"/>
      <c r="V11111" s="4"/>
      <c r="X11111" s="4"/>
      <c r="Y11111" s="4"/>
    </row>
    <row r="11112" spans="20:25" x14ac:dyDescent="0.25">
      <c r="T11112" s="10"/>
      <c r="U11112" s="4"/>
      <c r="V11112" s="4"/>
      <c r="X11112" s="4"/>
      <c r="Y11112" s="4"/>
    </row>
    <row r="11113" spans="20:25" x14ac:dyDescent="0.25">
      <c r="T11113" s="10"/>
      <c r="U11113" s="4"/>
      <c r="V11113" s="4"/>
      <c r="X11113" s="4"/>
      <c r="Y11113" s="4"/>
    </row>
    <row r="11114" spans="20:25" x14ac:dyDescent="0.25">
      <c r="T11114" s="10"/>
      <c r="U11114" s="4"/>
      <c r="V11114" s="4"/>
      <c r="X11114" s="4"/>
      <c r="Y11114" s="4"/>
    </row>
    <row r="11115" spans="20:25" x14ac:dyDescent="0.25">
      <c r="T11115" s="10"/>
      <c r="U11115" s="4"/>
      <c r="V11115" s="4"/>
      <c r="X11115" s="4"/>
      <c r="Y11115" s="4"/>
    </row>
    <row r="11116" spans="20:25" x14ac:dyDescent="0.25">
      <c r="T11116" s="10"/>
      <c r="U11116" s="4"/>
      <c r="V11116" s="4"/>
      <c r="X11116" s="4"/>
      <c r="Y11116" s="4"/>
    </row>
    <row r="11117" spans="20:25" x14ac:dyDescent="0.25">
      <c r="T11117" s="10"/>
      <c r="U11117" s="4"/>
      <c r="V11117" s="4"/>
      <c r="X11117" s="4"/>
      <c r="Y11117" s="4"/>
    </row>
    <row r="11118" spans="20:25" x14ac:dyDescent="0.25">
      <c r="T11118" s="10"/>
      <c r="U11118" s="4"/>
      <c r="V11118" s="4"/>
      <c r="X11118" s="4"/>
      <c r="Y11118" s="4"/>
    </row>
    <row r="11119" spans="20:25" x14ac:dyDescent="0.25">
      <c r="T11119" s="10"/>
      <c r="U11119" s="4"/>
      <c r="V11119" s="4"/>
      <c r="X11119" s="4"/>
      <c r="Y11119" s="4"/>
    </row>
    <row r="11120" spans="20:25" x14ac:dyDescent="0.25">
      <c r="T11120" s="10"/>
      <c r="U11120" s="4"/>
      <c r="V11120" s="4"/>
      <c r="X11120" s="4"/>
      <c r="Y11120" s="4"/>
    </row>
    <row r="11121" spans="20:25" x14ac:dyDescent="0.25">
      <c r="T11121" s="10"/>
      <c r="U11121" s="4"/>
      <c r="V11121" s="4"/>
      <c r="X11121" s="4"/>
      <c r="Y11121" s="4"/>
    </row>
    <row r="11122" spans="20:25" x14ac:dyDescent="0.25">
      <c r="T11122" s="10"/>
      <c r="U11122" s="4"/>
      <c r="V11122" s="4"/>
      <c r="X11122" s="4"/>
      <c r="Y11122" s="4"/>
    </row>
    <row r="11123" spans="20:25" x14ac:dyDescent="0.25">
      <c r="T11123" s="10"/>
      <c r="U11123" s="4"/>
      <c r="V11123" s="4"/>
      <c r="X11123" s="4"/>
      <c r="Y11123" s="4"/>
    </row>
    <row r="11124" spans="20:25" x14ac:dyDescent="0.25">
      <c r="T11124" s="10"/>
      <c r="U11124" s="4"/>
      <c r="V11124" s="4"/>
      <c r="X11124" s="4"/>
      <c r="Y11124" s="4"/>
    </row>
    <row r="11125" spans="20:25" x14ac:dyDescent="0.25">
      <c r="T11125" s="10"/>
      <c r="U11125" s="4"/>
      <c r="V11125" s="4"/>
      <c r="X11125" s="4"/>
      <c r="Y11125" s="4"/>
    </row>
    <row r="11126" spans="20:25" x14ac:dyDescent="0.25">
      <c r="T11126" s="10"/>
      <c r="U11126" s="4"/>
      <c r="V11126" s="4"/>
      <c r="X11126" s="4"/>
      <c r="Y11126" s="4"/>
    </row>
    <row r="11127" spans="20:25" x14ac:dyDescent="0.25">
      <c r="T11127" s="10"/>
      <c r="U11127" s="4"/>
      <c r="V11127" s="4"/>
      <c r="X11127" s="4"/>
      <c r="Y11127" s="4"/>
    </row>
    <row r="11128" spans="20:25" x14ac:dyDescent="0.25">
      <c r="T11128" s="10"/>
      <c r="U11128" s="4"/>
      <c r="V11128" s="4"/>
      <c r="X11128" s="4"/>
      <c r="Y11128" s="4"/>
    </row>
    <row r="11129" spans="20:25" x14ac:dyDescent="0.25">
      <c r="T11129" s="10"/>
      <c r="U11129" s="4"/>
      <c r="V11129" s="4"/>
      <c r="X11129" s="4"/>
      <c r="Y11129" s="4"/>
    </row>
    <row r="11130" spans="20:25" x14ac:dyDescent="0.25">
      <c r="T11130" s="10"/>
      <c r="U11130" s="4"/>
      <c r="V11130" s="4"/>
      <c r="X11130" s="4"/>
      <c r="Y11130" s="4"/>
    </row>
    <row r="11131" spans="20:25" x14ac:dyDescent="0.25">
      <c r="T11131" s="10"/>
      <c r="U11131" s="4"/>
      <c r="V11131" s="4"/>
      <c r="X11131" s="4"/>
      <c r="Y11131" s="4"/>
    </row>
    <row r="11132" spans="20:25" x14ac:dyDescent="0.25">
      <c r="T11132" s="10"/>
      <c r="U11132" s="4"/>
      <c r="V11132" s="4"/>
      <c r="X11132" s="4"/>
      <c r="Y11132" s="4"/>
    </row>
    <row r="11133" spans="20:25" x14ac:dyDescent="0.25">
      <c r="T11133" s="10"/>
      <c r="U11133" s="4"/>
      <c r="V11133" s="4"/>
      <c r="X11133" s="4"/>
      <c r="Y11133" s="4"/>
    </row>
    <row r="11134" spans="20:25" x14ac:dyDescent="0.25">
      <c r="T11134" s="10"/>
      <c r="U11134" s="4"/>
      <c r="V11134" s="4"/>
      <c r="X11134" s="4"/>
      <c r="Y11134" s="4"/>
    </row>
    <row r="11135" spans="20:25" x14ac:dyDescent="0.25">
      <c r="T11135" s="10"/>
      <c r="U11135" s="4"/>
      <c r="V11135" s="4"/>
      <c r="X11135" s="4"/>
      <c r="Y11135" s="4"/>
    </row>
    <row r="11136" spans="20:25" x14ac:dyDescent="0.25">
      <c r="T11136" s="10"/>
      <c r="U11136" s="4"/>
      <c r="V11136" s="4"/>
      <c r="X11136" s="4"/>
      <c r="Y11136" s="4"/>
    </row>
    <row r="11137" spans="20:25" x14ac:dyDescent="0.25">
      <c r="T11137" s="10"/>
      <c r="U11137" s="4"/>
      <c r="V11137" s="4"/>
      <c r="X11137" s="4"/>
      <c r="Y11137" s="4"/>
    </row>
    <row r="11138" spans="20:25" x14ac:dyDescent="0.25">
      <c r="T11138" s="10"/>
      <c r="U11138" s="4"/>
      <c r="V11138" s="4"/>
      <c r="X11138" s="4"/>
      <c r="Y11138" s="4"/>
    </row>
    <row r="11139" spans="20:25" x14ac:dyDescent="0.25">
      <c r="T11139" s="10"/>
      <c r="U11139" s="4"/>
      <c r="V11139" s="4"/>
      <c r="X11139" s="4"/>
      <c r="Y11139" s="4"/>
    </row>
    <row r="11140" spans="20:25" x14ac:dyDescent="0.25">
      <c r="T11140" s="10"/>
      <c r="U11140" s="4"/>
      <c r="V11140" s="4"/>
      <c r="X11140" s="4"/>
      <c r="Y11140" s="4"/>
    </row>
    <row r="11141" spans="20:25" x14ac:dyDescent="0.25">
      <c r="T11141" s="10"/>
      <c r="U11141" s="4"/>
      <c r="V11141" s="4"/>
      <c r="X11141" s="4"/>
      <c r="Y11141" s="4"/>
    </row>
    <row r="11142" spans="20:25" x14ac:dyDescent="0.25">
      <c r="T11142" s="10"/>
      <c r="U11142" s="4"/>
      <c r="V11142" s="4"/>
      <c r="X11142" s="4"/>
      <c r="Y11142" s="4"/>
    </row>
    <row r="11143" spans="20:25" x14ac:dyDescent="0.25">
      <c r="T11143" s="10"/>
      <c r="U11143" s="4"/>
      <c r="V11143" s="4"/>
      <c r="X11143" s="4"/>
      <c r="Y11143" s="4"/>
    </row>
    <row r="11144" spans="20:25" x14ac:dyDescent="0.25">
      <c r="T11144" s="10"/>
      <c r="U11144" s="4"/>
      <c r="V11144" s="4"/>
      <c r="X11144" s="4"/>
      <c r="Y11144" s="4"/>
    </row>
    <row r="11145" spans="20:25" x14ac:dyDescent="0.25">
      <c r="T11145" s="10"/>
      <c r="U11145" s="4"/>
      <c r="V11145" s="4"/>
      <c r="X11145" s="4"/>
      <c r="Y11145" s="4"/>
    </row>
    <row r="11146" spans="20:25" x14ac:dyDescent="0.25">
      <c r="T11146" s="10"/>
      <c r="U11146" s="4"/>
      <c r="V11146" s="4"/>
      <c r="X11146" s="4"/>
      <c r="Y11146" s="4"/>
    </row>
    <row r="11147" spans="20:25" x14ac:dyDescent="0.25">
      <c r="T11147" s="10"/>
      <c r="U11147" s="4"/>
      <c r="V11147" s="4"/>
      <c r="X11147" s="4"/>
      <c r="Y11147" s="4"/>
    </row>
    <row r="11148" spans="20:25" x14ac:dyDescent="0.25">
      <c r="T11148" s="10"/>
      <c r="U11148" s="4"/>
      <c r="V11148" s="4"/>
      <c r="X11148" s="4"/>
      <c r="Y11148" s="4"/>
    </row>
    <row r="11149" spans="20:25" x14ac:dyDescent="0.25">
      <c r="T11149" s="10"/>
      <c r="U11149" s="4"/>
      <c r="V11149" s="4"/>
      <c r="X11149" s="4"/>
      <c r="Y11149" s="4"/>
    </row>
    <row r="11150" spans="20:25" x14ac:dyDescent="0.25">
      <c r="T11150" s="10"/>
      <c r="U11150" s="4"/>
      <c r="V11150" s="4"/>
      <c r="X11150" s="4"/>
      <c r="Y11150" s="4"/>
    </row>
    <row r="11151" spans="20:25" x14ac:dyDescent="0.25">
      <c r="T11151" s="10"/>
      <c r="U11151" s="4"/>
      <c r="V11151" s="4"/>
      <c r="X11151" s="4"/>
      <c r="Y11151" s="4"/>
    </row>
    <row r="11152" spans="20:25" x14ac:dyDescent="0.25">
      <c r="T11152" s="10"/>
      <c r="U11152" s="4"/>
      <c r="V11152" s="4"/>
      <c r="X11152" s="4"/>
      <c r="Y11152" s="4"/>
    </row>
    <row r="11153" spans="20:25" x14ac:dyDescent="0.25">
      <c r="T11153" s="10"/>
      <c r="U11153" s="4"/>
      <c r="V11153" s="4"/>
      <c r="X11153" s="4"/>
      <c r="Y11153" s="4"/>
    </row>
    <row r="11154" spans="20:25" x14ac:dyDescent="0.25">
      <c r="T11154" s="10"/>
      <c r="U11154" s="4"/>
      <c r="V11154" s="4"/>
      <c r="X11154" s="4"/>
      <c r="Y11154" s="4"/>
    </row>
    <row r="11155" spans="20:25" x14ac:dyDescent="0.25">
      <c r="T11155" s="10"/>
      <c r="U11155" s="4"/>
      <c r="V11155" s="4"/>
      <c r="X11155" s="4"/>
      <c r="Y11155" s="4"/>
    </row>
    <row r="11156" spans="20:25" x14ac:dyDescent="0.25">
      <c r="T11156" s="10"/>
      <c r="U11156" s="4"/>
      <c r="V11156" s="4"/>
      <c r="X11156" s="4"/>
      <c r="Y11156" s="4"/>
    </row>
    <row r="11157" spans="20:25" x14ac:dyDescent="0.25">
      <c r="T11157" s="10"/>
      <c r="U11157" s="4"/>
      <c r="V11157" s="4"/>
      <c r="X11157" s="4"/>
      <c r="Y11157" s="4"/>
    </row>
    <row r="11158" spans="20:25" x14ac:dyDescent="0.25">
      <c r="T11158" s="10"/>
      <c r="U11158" s="4"/>
      <c r="V11158" s="4"/>
      <c r="X11158" s="4"/>
      <c r="Y11158" s="4"/>
    </row>
    <row r="11159" spans="20:25" x14ac:dyDescent="0.25">
      <c r="T11159" s="10"/>
      <c r="U11159" s="4"/>
      <c r="V11159" s="4"/>
      <c r="X11159" s="4"/>
      <c r="Y11159" s="4"/>
    </row>
    <row r="11160" spans="20:25" x14ac:dyDescent="0.25">
      <c r="T11160" s="10"/>
      <c r="U11160" s="4"/>
      <c r="V11160" s="4"/>
      <c r="X11160" s="4"/>
      <c r="Y11160" s="4"/>
    </row>
    <row r="11161" spans="20:25" x14ac:dyDescent="0.25">
      <c r="T11161" s="10"/>
      <c r="U11161" s="4"/>
      <c r="V11161" s="4"/>
      <c r="X11161" s="4"/>
      <c r="Y11161" s="4"/>
    </row>
    <row r="11162" spans="20:25" x14ac:dyDescent="0.25">
      <c r="T11162" s="10"/>
      <c r="U11162" s="4"/>
      <c r="V11162" s="4"/>
      <c r="X11162" s="4"/>
      <c r="Y11162" s="4"/>
    </row>
    <row r="11163" spans="20:25" x14ac:dyDescent="0.25">
      <c r="T11163" s="10"/>
      <c r="U11163" s="4"/>
      <c r="V11163" s="4"/>
      <c r="X11163" s="4"/>
      <c r="Y11163" s="4"/>
    </row>
    <row r="11164" spans="20:25" x14ac:dyDescent="0.25">
      <c r="T11164" s="10"/>
      <c r="U11164" s="4"/>
      <c r="V11164" s="4"/>
      <c r="X11164" s="4"/>
      <c r="Y11164" s="4"/>
    </row>
    <row r="11165" spans="20:25" x14ac:dyDescent="0.25">
      <c r="T11165" s="10"/>
      <c r="U11165" s="4"/>
      <c r="V11165" s="4"/>
      <c r="X11165" s="4"/>
      <c r="Y11165" s="4"/>
    </row>
    <row r="11166" spans="20:25" x14ac:dyDescent="0.25">
      <c r="T11166" s="10"/>
      <c r="U11166" s="4"/>
      <c r="V11166" s="4"/>
      <c r="X11166" s="4"/>
      <c r="Y11166" s="4"/>
    </row>
    <row r="11167" spans="20:25" x14ac:dyDescent="0.25">
      <c r="T11167" s="10"/>
      <c r="U11167" s="4"/>
      <c r="V11167" s="4"/>
      <c r="X11167" s="4"/>
      <c r="Y11167" s="4"/>
    </row>
    <row r="11168" spans="20:25" x14ac:dyDescent="0.25">
      <c r="T11168" s="10"/>
      <c r="U11168" s="4"/>
      <c r="V11168" s="4"/>
      <c r="X11168" s="4"/>
      <c r="Y11168" s="4"/>
    </row>
    <row r="11169" spans="20:25" x14ac:dyDescent="0.25">
      <c r="T11169" s="10"/>
      <c r="U11169" s="4"/>
      <c r="V11169" s="4"/>
      <c r="X11169" s="4"/>
      <c r="Y11169" s="4"/>
    </row>
    <row r="11170" spans="20:25" x14ac:dyDescent="0.25">
      <c r="T11170" s="10"/>
      <c r="U11170" s="4"/>
      <c r="V11170" s="4"/>
      <c r="X11170" s="4"/>
      <c r="Y11170" s="4"/>
    </row>
    <row r="11171" spans="20:25" x14ac:dyDescent="0.25">
      <c r="T11171" s="10"/>
      <c r="U11171" s="4"/>
      <c r="V11171" s="4"/>
      <c r="X11171" s="4"/>
      <c r="Y11171" s="4"/>
    </row>
    <row r="11172" spans="20:25" x14ac:dyDescent="0.25">
      <c r="T11172" s="10"/>
      <c r="U11172" s="4"/>
      <c r="V11172" s="4"/>
      <c r="X11172" s="4"/>
      <c r="Y11172" s="4"/>
    </row>
    <row r="11173" spans="20:25" x14ac:dyDescent="0.25">
      <c r="T11173" s="10"/>
      <c r="U11173" s="4"/>
      <c r="V11173" s="4"/>
      <c r="X11173" s="4"/>
      <c r="Y11173" s="4"/>
    </row>
    <row r="11174" spans="20:25" x14ac:dyDescent="0.25">
      <c r="T11174" s="10"/>
      <c r="U11174" s="4"/>
      <c r="V11174" s="4"/>
      <c r="X11174" s="4"/>
      <c r="Y11174" s="4"/>
    </row>
    <row r="11175" spans="20:25" x14ac:dyDescent="0.25">
      <c r="T11175" s="10"/>
      <c r="U11175" s="4"/>
      <c r="V11175" s="4"/>
      <c r="X11175" s="4"/>
      <c r="Y11175" s="4"/>
    </row>
    <row r="11176" spans="20:25" x14ac:dyDescent="0.25">
      <c r="T11176" s="10"/>
      <c r="U11176" s="4"/>
      <c r="V11176" s="4"/>
      <c r="X11176" s="4"/>
      <c r="Y11176" s="4"/>
    </row>
    <row r="11177" spans="20:25" x14ac:dyDescent="0.25">
      <c r="T11177" s="10"/>
      <c r="U11177" s="4"/>
      <c r="V11177" s="4"/>
      <c r="X11177" s="4"/>
      <c r="Y11177" s="4"/>
    </row>
    <row r="11178" spans="20:25" x14ac:dyDescent="0.25">
      <c r="T11178" s="10"/>
      <c r="U11178" s="4"/>
      <c r="V11178" s="4"/>
      <c r="X11178" s="4"/>
      <c r="Y11178" s="4"/>
    </row>
    <row r="11179" spans="20:25" x14ac:dyDescent="0.25">
      <c r="T11179" s="10"/>
      <c r="U11179" s="4"/>
      <c r="V11179" s="4"/>
      <c r="X11179" s="4"/>
      <c r="Y11179" s="4"/>
    </row>
    <row r="11180" spans="20:25" x14ac:dyDescent="0.25">
      <c r="T11180" s="10"/>
      <c r="U11180" s="4"/>
      <c r="V11180" s="4"/>
      <c r="X11180" s="4"/>
      <c r="Y11180" s="4"/>
    </row>
    <row r="11181" spans="20:25" x14ac:dyDescent="0.25">
      <c r="T11181" s="10"/>
      <c r="U11181" s="4"/>
      <c r="V11181" s="4"/>
      <c r="X11181" s="4"/>
      <c r="Y11181" s="4"/>
    </row>
    <row r="11182" spans="20:25" x14ac:dyDescent="0.25">
      <c r="T11182" s="10"/>
      <c r="U11182" s="4"/>
      <c r="V11182" s="4"/>
      <c r="X11182" s="4"/>
      <c r="Y11182" s="4"/>
    </row>
    <row r="11183" spans="20:25" x14ac:dyDescent="0.25">
      <c r="T11183" s="10"/>
      <c r="U11183" s="4"/>
      <c r="V11183" s="4"/>
      <c r="X11183" s="4"/>
      <c r="Y11183" s="4"/>
    </row>
    <row r="11184" spans="20:25" x14ac:dyDescent="0.25">
      <c r="T11184" s="10"/>
      <c r="U11184" s="4"/>
      <c r="V11184" s="4"/>
      <c r="X11184" s="4"/>
      <c r="Y11184" s="4"/>
    </row>
    <row r="11185" spans="20:25" x14ac:dyDescent="0.25">
      <c r="T11185" s="10"/>
      <c r="U11185" s="4"/>
      <c r="V11185" s="4"/>
      <c r="X11185" s="4"/>
      <c r="Y11185" s="4"/>
    </row>
    <row r="11186" spans="20:25" x14ac:dyDescent="0.25">
      <c r="T11186" s="10"/>
      <c r="U11186" s="4"/>
      <c r="V11186" s="4"/>
      <c r="X11186" s="4"/>
      <c r="Y11186" s="4"/>
    </row>
    <row r="11187" spans="20:25" x14ac:dyDescent="0.25">
      <c r="T11187" s="10"/>
      <c r="U11187" s="4"/>
      <c r="V11187" s="4"/>
      <c r="X11187" s="4"/>
      <c r="Y11187" s="4"/>
    </row>
    <row r="11188" spans="20:25" x14ac:dyDescent="0.25">
      <c r="T11188" s="10"/>
      <c r="U11188" s="4"/>
      <c r="V11188" s="4"/>
      <c r="X11188" s="4"/>
      <c r="Y11188" s="4"/>
    </row>
    <row r="11189" spans="20:25" x14ac:dyDescent="0.25">
      <c r="T11189" s="10"/>
      <c r="U11189" s="4"/>
      <c r="V11189" s="4"/>
      <c r="X11189" s="4"/>
      <c r="Y11189" s="4"/>
    </row>
    <row r="11190" spans="20:25" x14ac:dyDescent="0.25">
      <c r="T11190" s="10"/>
      <c r="U11190" s="4"/>
      <c r="V11190" s="4"/>
      <c r="X11190" s="4"/>
      <c r="Y11190" s="4"/>
    </row>
    <row r="11191" spans="20:25" x14ac:dyDescent="0.25">
      <c r="T11191" s="10"/>
      <c r="U11191" s="4"/>
      <c r="V11191" s="4"/>
      <c r="X11191" s="4"/>
      <c r="Y11191" s="4"/>
    </row>
    <row r="11192" spans="20:25" x14ac:dyDescent="0.25">
      <c r="T11192" s="10"/>
      <c r="U11192" s="4"/>
      <c r="V11192" s="4"/>
      <c r="X11192" s="4"/>
      <c r="Y11192" s="4"/>
    </row>
    <row r="11193" spans="20:25" x14ac:dyDescent="0.25">
      <c r="T11193" s="10"/>
      <c r="U11193" s="4"/>
      <c r="V11193" s="4"/>
      <c r="X11193" s="4"/>
      <c r="Y11193" s="4"/>
    </row>
    <row r="11194" spans="20:25" x14ac:dyDescent="0.25">
      <c r="T11194" s="10"/>
      <c r="U11194" s="4"/>
      <c r="V11194" s="4"/>
      <c r="X11194" s="4"/>
      <c r="Y11194" s="4"/>
    </row>
    <row r="11195" spans="20:25" x14ac:dyDescent="0.25">
      <c r="T11195" s="10"/>
      <c r="U11195" s="4"/>
      <c r="V11195" s="4"/>
      <c r="X11195" s="4"/>
      <c r="Y11195" s="4"/>
    </row>
    <row r="11196" spans="20:25" x14ac:dyDescent="0.25">
      <c r="T11196" s="10"/>
      <c r="U11196" s="4"/>
      <c r="V11196" s="4"/>
      <c r="X11196" s="4"/>
      <c r="Y11196" s="4"/>
    </row>
    <row r="11197" spans="20:25" x14ac:dyDescent="0.25">
      <c r="T11197" s="10"/>
      <c r="U11197" s="4"/>
      <c r="V11197" s="4"/>
      <c r="X11197" s="4"/>
      <c r="Y11197" s="4"/>
    </row>
    <row r="11198" spans="20:25" x14ac:dyDescent="0.25">
      <c r="T11198" s="10"/>
      <c r="U11198" s="4"/>
      <c r="V11198" s="4"/>
      <c r="X11198" s="4"/>
      <c r="Y11198" s="4"/>
    </row>
    <row r="11199" spans="20:25" x14ac:dyDescent="0.25">
      <c r="T11199" s="10"/>
      <c r="U11199" s="4"/>
      <c r="V11199" s="4"/>
      <c r="X11199" s="4"/>
      <c r="Y11199" s="4"/>
    </row>
    <row r="11200" spans="20:25" x14ac:dyDescent="0.25">
      <c r="T11200" s="10"/>
      <c r="U11200" s="4"/>
      <c r="V11200" s="4"/>
      <c r="X11200" s="4"/>
      <c r="Y11200" s="4"/>
    </row>
    <row r="11201" spans="20:25" x14ac:dyDescent="0.25">
      <c r="T11201" s="10"/>
      <c r="U11201" s="4"/>
      <c r="V11201" s="4"/>
      <c r="X11201" s="4"/>
      <c r="Y11201" s="4"/>
    </row>
    <row r="11202" spans="20:25" x14ac:dyDescent="0.25">
      <c r="T11202" s="10"/>
      <c r="U11202" s="4"/>
      <c r="V11202" s="4"/>
      <c r="X11202" s="4"/>
      <c r="Y11202" s="4"/>
    </row>
    <row r="11203" spans="20:25" x14ac:dyDescent="0.25">
      <c r="T11203" s="10"/>
      <c r="U11203" s="4"/>
      <c r="V11203" s="4"/>
      <c r="X11203" s="4"/>
      <c r="Y11203" s="4"/>
    </row>
    <row r="11204" spans="20:25" x14ac:dyDescent="0.25">
      <c r="T11204" s="10"/>
      <c r="U11204" s="4"/>
      <c r="V11204" s="4"/>
      <c r="X11204" s="4"/>
      <c r="Y11204" s="4"/>
    </row>
    <row r="11205" spans="20:25" x14ac:dyDescent="0.25">
      <c r="T11205" s="10"/>
      <c r="U11205" s="4"/>
      <c r="V11205" s="4"/>
      <c r="X11205" s="4"/>
      <c r="Y11205" s="4"/>
    </row>
    <row r="11206" spans="20:25" x14ac:dyDescent="0.25">
      <c r="T11206" s="10"/>
      <c r="U11206" s="4"/>
      <c r="V11206" s="4"/>
      <c r="X11206" s="4"/>
      <c r="Y11206" s="4"/>
    </row>
    <row r="11207" spans="20:25" x14ac:dyDescent="0.25">
      <c r="T11207" s="10"/>
      <c r="U11207" s="4"/>
      <c r="V11207" s="4"/>
      <c r="X11207" s="4"/>
      <c r="Y11207" s="4"/>
    </row>
    <row r="11208" spans="20:25" x14ac:dyDescent="0.25">
      <c r="T11208" s="10"/>
      <c r="U11208" s="4"/>
      <c r="V11208" s="4"/>
      <c r="X11208" s="4"/>
      <c r="Y11208" s="4"/>
    </row>
    <row r="11209" spans="20:25" x14ac:dyDescent="0.25">
      <c r="T11209" s="10"/>
      <c r="U11209" s="4"/>
      <c r="V11209" s="4"/>
      <c r="X11209" s="4"/>
      <c r="Y11209" s="4"/>
    </row>
    <row r="11210" spans="20:25" x14ac:dyDescent="0.25">
      <c r="T11210" s="10"/>
      <c r="U11210" s="4"/>
      <c r="V11210" s="4"/>
      <c r="X11210" s="4"/>
      <c r="Y11210" s="4"/>
    </row>
    <row r="11211" spans="20:25" x14ac:dyDescent="0.25">
      <c r="T11211" s="10"/>
      <c r="U11211" s="4"/>
      <c r="V11211" s="4"/>
      <c r="X11211" s="4"/>
      <c r="Y11211" s="4"/>
    </row>
    <row r="11212" spans="20:25" x14ac:dyDescent="0.25">
      <c r="T11212" s="10"/>
      <c r="U11212" s="4"/>
      <c r="V11212" s="4"/>
      <c r="X11212" s="4"/>
      <c r="Y11212" s="4"/>
    </row>
    <row r="11213" spans="20:25" x14ac:dyDescent="0.25">
      <c r="T11213" s="10"/>
      <c r="U11213" s="4"/>
      <c r="V11213" s="4"/>
      <c r="X11213" s="4"/>
      <c r="Y11213" s="4"/>
    </row>
    <row r="11214" spans="20:25" x14ac:dyDescent="0.25">
      <c r="T11214" s="10"/>
      <c r="U11214" s="4"/>
      <c r="V11214" s="4"/>
      <c r="X11214" s="4"/>
      <c r="Y11214" s="4"/>
    </row>
    <row r="11215" spans="20:25" x14ac:dyDescent="0.25">
      <c r="T11215" s="10"/>
      <c r="U11215" s="4"/>
      <c r="V11215" s="4"/>
      <c r="X11215" s="4"/>
      <c r="Y11215" s="4"/>
    </row>
    <row r="11216" spans="20:25" x14ac:dyDescent="0.25">
      <c r="T11216" s="10"/>
      <c r="U11216" s="4"/>
      <c r="V11216" s="4"/>
      <c r="X11216" s="4"/>
      <c r="Y11216" s="4"/>
    </row>
    <row r="11217" spans="20:25" x14ac:dyDescent="0.25">
      <c r="T11217" s="10"/>
      <c r="U11217" s="4"/>
      <c r="V11217" s="4"/>
      <c r="X11217" s="4"/>
      <c r="Y11217" s="4"/>
    </row>
    <row r="11218" spans="20:25" x14ac:dyDescent="0.25">
      <c r="T11218" s="10"/>
      <c r="U11218" s="4"/>
      <c r="V11218" s="4"/>
      <c r="X11218" s="4"/>
      <c r="Y11218" s="4"/>
    </row>
    <row r="11219" spans="20:25" x14ac:dyDescent="0.25">
      <c r="T11219" s="10"/>
      <c r="U11219" s="4"/>
      <c r="V11219" s="4"/>
      <c r="X11219" s="4"/>
      <c r="Y11219" s="4"/>
    </row>
    <row r="11220" spans="20:25" x14ac:dyDescent="0.25">
      <c r="T11220" s="10"/>
      <c r="U11220" s="4"/>
      <c r="V11220" s="4"/>
      <c r="X11220" s="4"/>
      <c r="Y11220" s="4"/>
    </row>
    <row r="11221" spans="20:25" x14ac:dyDescent="0.25">
      <c r="T11221" s="10"/>
      <c r="U11221" s="4"/>
      <c r="V11221" s="4"/>
      <c r="X11221" s="4"/>
      <c r="Y11221" s="4"/>
    </row>
    <row r="11222" spans="20:25" x14ac:dyDescent="0.25">
      <c r="T11222" s="10"/>
      <c r="U11222" s="4"/>
      <c r="V11222" s="4"/>
      <c r="X11222" s="4"/>
      <c r="Y11222" s="4"/>
    </row>
    <row r="11223" spans="20:25" x14ac:dyDescent="0.25">
      <c r="T11223" s="10"/>
      <c r="U11223" s="4"/>
      <c r="V11223" s="4"/>
      <c r="X11223" s="4"/>
      <c r="Y11223" s="4"/>
    </row>
    <row r="11224" spans="20:25" x14ac:dyDescent="0.25">
      <c r="T11224" s="10"/>
      <c r="U11224" s="4"/>
      <c r="V11224" s="4"/>
      <c r="X11224" s="4"/>
      <c r="Y11224" s="4"/>
    </row>
    <row r="11225" spans="20:25" x14ac:dyDescent="0.25">
      <c r="T11225" s="10"/>
      <c r="U11225" s="4"/>
      <c r="V11225" s="4"/>
      <c r="X11225" s="4"/>
      <c r="Y11225" s="4"/>
    </row>
    <row r="11226" spans="20:25" x14ac:dyDescent="0.25">
      <c r="T11226" s="10"/>
      <c r="U11226" s="4"/>
      <c r="V11226" s="4"/>
      <c r="X11226" s="4"/>
      <c r="Y11226" s="4"/>
    </row>
    <row r="11227" spans="20:25" x14ac:dyDescent="0.25">
      <c r="T11227" s="10"/>
      <c r="U11227" s="4"/>
      <c r="V11227" s="4"/>
      <c r="X11227" s="4"/>
      <c r="Y11227" s="4"/>
    </row>
    <row r="11228" spans="20:25" x14ac:dyDescent="0.25">
      <c r="T11228" s="10"/>
      <c r="U11228" s="4"/>
      <c r="V11228" s="4"/>
      <c r="X11228" s="4"/>
      <c r="Y11228" s="4"/>
    </row>
    <row r="11229" spans="20:25" x14ac:dyDescent="0.25">
      <c r="T11229" s="10"/>
      <c r="U11229" s="4"/>
      <c r="V11229" s="4"/>
      <c r="X11229" s="4"/>
      <c r="Y11229" s="4"/>
    </row>
    <row r="11230" spans="20:25" x14ac:dyDescent="0.25">
      <c r="T11230" s="10"/>
      <c r="U11230" s="4"/>
      <c r="V11230" s="4"/>
      <c r="X11230" s="4"/>
      <c r="Y11230" s="4"/>
    </row>
    <row r="11231" spans="20:25" x14ac:dyDescent="0.25">
      <c r="T11231" s="10"/>
      <c r="U11231" s="4"/>
      <c r="V11231" s="4"/>
      <c r="X11231" s="4"/>
      <c r="Y11231" s="4"/>
    </row>
    <row r="11232" spans="20:25" x14ac:dyDescent="0.25">
      <c r="T11232" s="10"/>
      <c r="U11232" s="4"/>
      <c r="V11232" s="4"/>
      <c r="X11232" s="4"/>
      <c r="Y11232" s="4"/>
    </row>
    <row r="11233" spans="20:25" x14ac:dyDescent="0.25">
      <c r="T11233" s="10"/>
      <c r="U11233" s="4"/>
      <c r="V11233" s="4"/>
      <c r="X11233" s="4"/>
      <c r="Y11233" s="4"/>
    </row>
    <row r="11234" spans="20:25" x14ac:dyDescent="0.25">
      <c r="T11234" s="10"/>
      <c r="U11234" s="4"/>
      <c r="V11234" s="4"/>
      <c r="X11234" s="4"/>
      <c r="Y11234" s="4"/>
    </row>
    <row r="11235" spans="20:25" x14ac:dyDescent="0.25">
      <c r="T11235" s="10"/>
      <c r="U11235" s="4"/>
      <c r="V11235" s="4"/>
      <c r="X11235" s="4"/>
      <c r="Y11235" s="4"/>
    </row>
    <row r="11236" spans="20:25" x14ac:dyDescent="0.25">
      <c r="T11236" s="10"/>
      <c r="U11236" s="4"/>
      <c r="V11236" s="4"/>
      <c r="X11236" s="4"/>
      <c r="Y11236" s="4"/>
    </row>
    <row r="11237" spans="20:25" x14ac:dyDescent="0.25">
      <c r="T11237" s="10"/>
      <c r="U11237" s="4"/>
      <c r="V11237" s="4"/>
      <c r="X11237" s="4"/>
      <c r="Y11237" s="4"/>
    </row>
    <row r="11238" spans="20:25" x14ac:dyDescent="0.25">
      <c r="T11238" s="10"/>
      <c r="U11238" s="4"/>
      <c r="V11238" s="4"/>
      <c r="X11238" s="4"/>
      <c r="Y11238" s="4"/>
    </row>
    <row r="11239" spans="20:25" x14ac:dyDescent="0.25">
      <c r="T11239" s="10"/>
      <c r="U11239" s="4"/>
      <c r="V11239" s="4"/>
      <c r="X11239" s="4"/>
      <c r="Y11239" s="4"/>
    </row>
    <row r="11240" spans="20:25" x14ac:dyDescent="0.25">
      <c r="T11240" s="10"/>
      <c r="U11240" s="4"/>
      <c r="V11240" s="4"/>
      <c r="X11240" s="4"/>
      <c r="Y11240" s="4"/>
    </row>
    <row r="11241" spans="20:25" x14ac:dyDescent="0.25">
      <c r="T11241" s="10"/>
      <c r="U11241" s="4"/>
      <c r="V11241" s="4"/>
      <c r="X11241" s="4"/>
      <c r="Y11241" s="4"/>
    </row>
    <row r="11242" spans="20:25" x14ac:dyDescent="0.25">
      <c r="T11242" s="10"/>
      <c r="U11242" s="4"/>
      <c r="V11242" s="4"/>
      <c r="X11242" s="4"/>
      <c r="Y11242" s="4"/>
    </row>
    <row r="11243" spans="20:25" x14ac:dyDescent="0.25">
      <c r="T11243" s="10"/>
      <c r="U11243" s="4"/>
      <c r="V11243" s="4"/>
      <c r="X11243" s="4"/>
      <c r="Y11243" s="4"/>
    </row>
    <row r="11244" spans="20:25" x14ac:dyDescent="0.25">
      <c r="T11244" s="10"/>
      <c r="U11244" s="4"/>
      <c r="V11244" s="4"/>
      <c r="X11244" s="4"/>
      <c r="Y11244" s="4"/>
    </row>
    <row r="11245" spans="20:25" x14ac:dyDescent="0.25">
      <c r="T11245" s="10"/>
      <c r="U11245" s="4"/>
      <c r="V11245" s="4"/>
      <c r="X11245" s="4"/>
      <c r="Y11245" s="4"/>
    </row>
    <row r="11246" spans="20:25" x14ac:dyDescent="0.25">
      <c r="T11246" s="10"/>
      <c r="U11246" s="4"/>
      <c r="V11246" s="4"/>
      <c r="X11246" s="4"/>
      <c r="Y11246" s="4"/>
    </row>
    <row r="11247" spans="20:25" x14ac:dyDescent="0.25">
      <c r="T11247" s="10"/>
      <c r="U11247" s="4"/>
      <c r="V11247" s="4"/>
      <c r="X11247" s="4"/>
      <c r="Y11247" s="4"/>
    </row>
    <row r="11248" spans="20:25" x14ac:dyDescent="0.25">
      <c r="T11248" s="10"/>
      <c r="U11248" s="4"/>
      <c r="V11248" s="4"/>
      <c r="X11248" s="4"/>
      <c r="Y11248" s="4"/>
    </row>
    <row r="11249" spans="20:25" x14ac:dyDescent="0.25">
      <c r="T11249" s="10"/>
      <c r="U11249" s="4"/>
      <c r="V11249" s="4"/>
      <c r="X11249" s="4"/>
      <c r="Y11249" s="4"/>
    </row>
    <row r="11250" spans="20:25" x14ac:dyDescent="0.25">
      <c r="T11250" s="10"/>
      <c r="U11250" s="4"/>
      <c r="V11250" s="4"/>
      <c r="X11250" s="4"/>
      <c r="Y11250" s="4"/>
    </row>
    <row r="11251" spans="20:25" x14ac:dyDescent="0.25">
      <c r="T11251" s="10"/>
      <c r="U11251" s="4"/>
      <c r="V11251" s="4"/>
      <c r="X11251" s="4"/>
      <c r="Y11251" s="4"/>
    </row>
    <row r="11252" spans="20:25" x14ac:dyDescent="0.25">
      <c r="T11252" s="10"/>
      <c r="U11252" s="4"/>
      <c r="V11252" s="4"/>
      <c r="X11252" s="4"/>
      <c r="Y11252" s="4"/>
    </row>
    <row r="11253" spans="20:25" x14ac:dyDescent="0.25">
      <c r="T11253" s="10"/>
      <c r="U11253" s="4"/>
      <c r="V11253" s="4"/>
      <c r="X11253" s="4"/>
      <c r="Y11253" s="4"/>
    </row>
    <row r="11254" spans="20:25" x14ac:dyDescent="0.25">
      <c r="T11254" s="10"/>
      <c r="U11254" s="4"/>
      <c r="V11254" s="4"/>
      <c r="X11254" s="4"/>
      <c r="Y11254" s="4"/>
    </row>
    <row r="11255" spans="20:25" x14ac:dyDescent="0.25">
      <c r="T11255" s="10"/>
      <c r="U11255" s="4"/>
      <c r="V11255" s="4"/>
      <c r="X11255" s="4"/>
      <c r="Y11255" s="4"/>
    </row>
    <row r="11256" spans="20:25" x14ac:dyDescent="0.25">
      <c r="T11256" s="10"/>
      <c r="U11256" s="4"/>
      <c r="V11256" s="4"/>
      <c r="X11256" s="4"/>
      <c r="Y11256" s="4"/>
    </row>
    <row r="11257" spans="20:25" x14ac:dyDescent="0.25">
      <c r="T11257" s="10"/>
      <c r="U11257" s="4"/>
      <c r="V11257" s="4"/>
      <c r="X11257" s="4"/>
      <c r="Y11257" s="4"/>
    </row>
    <row r="11258" spans="20:25" x14ac:dyDescent="0.25">
      <c r="T11258" s="10"/>
      <c r="U11258" s="4"/>
      <c r="V11258" s="4"/>
      <c r="X11258" s="4"/>
      <c r="Y11258" s="4"/>
    </row>
    <row r="11259" spans="20:25" x14ac:dyDescent="0.25">
      <c r="T11259" s="10"/>
      <c r="U11259" s="4"/>
      <c r="V11259" s="4"/>
      <c r="X11259" s="4"/>
      <c r="Y11259" s="4"/>
    </row>
    <row r="11260" spans="20:25" x14ac:dyDescent="0.25">
      <c r="T11260" s="10"/>
      <c r="U11260" s="4"/>
      <c r="V11260" s="4"/>
      <c r="X11260" s="4"/>
      <c r="Y11260" s="4"/>
    </row>
    <row r="11261" spans="20:25" x14ac:dyDescent="0.25">
      <c r="T11261" s="10"/>
      <c r="U11261" s="4"/>
      <c r="V11261" s="4"/>
      <c r="X11261" s="4"/>
      <c r="Y11261" s="4"/>
    </row>
    <row r="11262" spans="20:25" x14ac:dyDescent="0.25">
      <c r="T11262" s="10"/>
      <c r="U11262" s="4"/>
      <c r="V11262" s="4"/>
      <c r="X11262" s="4"/>
      <c r="Y11262" s="4"/>
    </row>
    <row r="11263" spans="20:25" x14ac:dyDescent="0.25">
      <c r="T11263" s="10"/>
      <c r="U11263" s="4"/>
      <c r="V11263" s="4"/>
      <c r="X11263" s="4"/>
      <c r="Y11263" s="4"/>
    </row>
    <row r="11264" spans="20:25" x14ac:dyDescent="0.25">
      <c r="T11264" s="10"/>
      <c r="U11264" s="4"/>
      <c r="V11264" s="4"/>
      <c r="X11264" s="4"/>
      <c r="Y11264" s="4"/>
    </row>
    <row r="11265" spans="20:25" x14ac:dyDescent="0.25">
      <c r="T11265" s="10"/>
      <c r="U11265" s="4"/>
      <c r="V11265" s="4"/>
      <c r="X11265" s="4"/>
      <c r="Y11265" s="4"/>
    </row>
    <row r="11266" spans="20:25" x14ac:dyDescent="0.25">
      <c r="T11266" s="10"/>
      <c r="U11266" s="4"/>
      <c r="V11266" s="4"/>
      <c r="X11266" s="4"/>
      <c r="Y11266" s="4"/>
    </row>
    <row r="11267" spans="20:25" x14ac:dyDescent="0.25">
      <c r="T11267" s="10"/>
      <c r="U11267" s="4"/>
      <c r="V11267" s="4"/>
      <c r="X11267" s="4"/>
      <c r="Y11267" s="4"/>
    </row>
    <row r="11268" spans="20:25" x14ac:dyDescent="0.25">
      <c r="T11268" s="10"/>
      <c r="U11268" s="4"/>
      <c r="V11268" s="4"/>
      <c r="X11268" s="4"/>
      <c r="Y11268" s="4"/>
    </row>
    <row r="11269" spans="20:25" x14ac:dyDescent="0.25">
      <c r="T11269" s="10"/>
      <c r="U11269" s="4"/>
      <c r="V11269" s="4"/>
      <c r="X11269" s="4"/>
      <c r="Y11269" s="4"/>
    </row>
    <row r="11270" spans="20:25" x14ac:dyDescent="0.25">
      <c r="T11270" s="10"/>
      <c r="U11270" s="4"/>
      <c r="V11270" s="4"/>
      <c r="X11270" s="4"/>
      <c r="Y11270" s="4"/>
    </row>
    <row r="11271" spans="20:25" x14ac:dyDescent="0.25">
      <c r="T11271" s="10"/>
      <c r="U11271" s="4"/>
      <c r="V11271" s="4"/>
      <c r="X11271" s="4"/>
      <c r="Y11271" s="4"/>
    </row>
    <row r="11272" spans="20:25" x14ac:dyDescent="0.25">
      <c r="T11272" s="10"/>
      <c r="U11272" s="4"/>
      <c r="V11272" s="4"/>
      <c r="X11272" s="4"/>
      <c r="Y11272" s="4"/>
    </row>
    <row r="11273" spans="20:25" x14ac:dyDescent="0.25">
      <c r="T11273" s="10"/>
      <c r="U11273" s="4"/>
      <c r="V11273" s="4"/>
      <c r="X11273" s="4"/>
      <c r="Y11273" s="4"/>
    </row>
    <row r="11274" spans="20:25" x14ac:dyDescent="0.25">
      <c r="T11274" s="10"/>
      <c r="U11274" s="4"/>
      <c r="V11274" s="4"/>
      <c r="X11274" s="4"/>
      <c r="Y11274" s="4"/>
    </row>
    <row r="11275" spans="20:25" x14ac:dyDescent="0.25">
      <c r="T11275" s="10"/>
      <c r="U11275" s="4"/>
      <c r="V11275" s="4"/>
      <c r="X11275" s="4"/>
      <c r="Y11275" s="4"/>
    </row>
    <row r="11276" spans="20:25" x14ac:dyDescent="0.25">
      <c r="T11276" s="10"/>
      <c r="U11276" s="4"/>
      <c r="V11276" s="4"/>
      <c r="X11276" s="4"/>
      <c r="Y11276" s="4"/>
    </row>
    <row r="11277" spans="20:25" x14ac:dyDescent="0.25">
      <c r="T11277" s="10"/>
      <c r="U11277" s="4"/>
      <c r="V11277" s="4"/>
      <c r="X11277" s="4"/>
      <c r="Y11277" s="4"/>
    </row>
    <row r="11278" spans="20:25" x14ac:dyDescent="0.25">
      <c r="T11278" s="10"/>
      <c r="U11278" s="4"/>
      <c r="V11278" s="4"/>
      <c r="X11278" s="4"/>
      <c r="Y11278" s="4"/>
    </row>
    <row r="11279" spans="20:25" x14ac:dyDescent="0.25">
      <c r="T11279" s="10"/>
      <c r="U11279" s="4"/>
      <c r="V11279" s="4"/>
      <c r="X11279" s="4"/>
      <c r="Y11279" s="4"/>
    </row>
    <row r="11280" spans="20:25" x14ac:dyDescent="0.25">
      <c r="T11280" s="10"/>
      <c r="U11280" s="4"/>
      <c r="V11280" s="4"/>
      <c r="X11280" s="4"/>
      <c r="Y11280" s="4"/>
    </row>
    <row r="11281" spans="20:25" x14ac:dyDescent="0.25">
      <c r="T11281" s="10"/>
      <c r="U11281" s="4"/>
      <c r="V11281" s="4"/>
      <c r="X11281" s="4"/>
      <c r="Y11281" s="4"/>
    </row>
    <row r="11282" spans="20:25" x14ac:dyDescent="0.25">
      <c r="T11282" s="10"/>
      <c r="U11282" s="4"/>
      <c r="V11282" s="4"/>
      <c r="X11282" s="4"/>
      <c r="Y11282" s="4"/>
    </row>
    <row r="11283" spans="20:25" x14ac:dyDescent="0.25">
      <c r="T11283" s="10"/>
      <c r="U11283" s="4"/>
      <c r="V11283" s="4"/>
      <c r="X11283" s="4"/>
      <c r="Y11283" s="4"/>
    </row>
    <row r="11284" spans="20:25" x14ac:dyDescent="0.25">
      <c r="T11284" s="10"/>
      <c r="U11284" s="4"/>
      <c r="V11284" s="4"/>
      <c r="X11284" s="4"/>
      <c r="Y11284" s="4"/>
    </row>
    <row r="11285" spans="20:25" x14ac:dyDescent="0.25">
      <c r="T11285" s="10"/>
      <c r="U11285" s="4"/>
      <c r="V11285" s="4"/>
      <c r="X11285" s="4"/>
      <c r="Y11285" s="4"/>
    </row>
    <row r="11286" spans="20:25" x14ac:dyDescent="0.25">
      <c r="T11286" s="10"/>
      <c r="U11286" s="4"/>
      <c r="V11286" s="4"/>
      <c r="X11286" s="4"/>
      <c r="Y11286" s="4"/>
    </row>
    <row r="11287" spans="20:25" x14ac:dyDescent="0.25">
      <c r="T11287" s="10"/>
      <c r="U11287" s="4"/>
      <c r="V11287" s="4"/>
      <c r="X11287" s="4"/>
      <c r="Y11287" s="4"/>
    </row>
    <row r="11288" spans="20:25" x14ac:dyDescent="0.25">
      <c r="T11288" s="10"/>
      <c r="U11288" s="4"/>
      <c r="V11288" s="4"/>
      <c r="X11288" s="4"/>
      <c r="Y11288" s="4"/>
    </row>
    <row r="11289" spans="20:25" x14ac:dyDescent="0.25">
      <c r="T11289" s="10"/>
      <c r="U11289" s="4"/>
      <c r="V11289" s="4"/>
      <c r="X11289" s="4"/>
      <c r="Y11289" s="4"/>
    </row>
    <row r="11290" spans="20:25" x14ac:dyDescent="0.25">
      <c r="T11290" s="10"/>
      <c r="U11290" s="4"/>
      <c r="V11290" s="4"/>
      <c r="X11290" s="4"/>
      <c r="Y11290" s="4"/>
    </row>
    <row r="11291" spans="20:25" x14ac:dyDescent="0.25">
      <c r="T11291" s="10"/>
      <c r="U11291" s="4"/>
      <c r="V11291" s="4"/>
      <c r="X11291" s="4"/>
      <c r="Y11291" s="4"/>
    </row>
    <row r="11292" spans="20:25" x14ac:dyDescent="0.25">
      <c r="T11292" s="10"/>
      <c r="U11292" s="4"/>
      <c r="V11292" s="4"/>
      <c r="X11292" s="4"/>
      <c r="Y11292" s="4"/>
    </row>
    <row r="11293" spans="20:25" x14ac:dyDescent="0.25">
      <c r="T11293" s="10"/>
      <c r="U11293" s="4"/>
      <c r="V11293" s="4"/>
      <c r="X11293" s="4"/>
      <c r="Y11293" s="4"/>
    </row>
    <row r="11294" spans="20:25" x14ac:dyDescent="0.25">
      <c r="T11294" s="10"/>
      <c r="U11294" s="4"/>
      <c r="V11294" s="4"/>
      <c r="X11294" s="4"/>
      <c r="Y11294" s="4"/>
    </row>
    <row r="11295" spans="20:25" x14ac:dyDescent="0.25">
      <c r="T11295" s="10"/>
      <c r="U11295" s="4"/>
      <c r="V11295" s="4"/>
      <c r="X11295" s="4"/>
      <c r="Y11295" s="4"/>
    </row>
    <row r="11296" spans="20:25" x14ac:dyDescent="0.25">
      <c r="T11296" s="10"/>
      <c r="U11296" s="4"/>
      <c r="V11296" s="4"/>
      <c r="X11296" s="4"/>
      <c r="Y11296" s="4"/>
    </row>
    <row r="11297" spans="20:25" x14ac:dyDescent="0.25">
      <c r="T11297" s="10"/>
      <c r="U11297" s="4"/>
      <c r="V11297" s="4"/>
      <c r="X11297" s="4"/>
      <c r="Y11297" s="4"/>
    </row>
    <row r="11298" spans="20:25" x14ac:dyDescent="0.25">
      <c r="T11298" s="10"/>
      <c r="U11298" s="4"/>
      <c r="V11298" s="4"/>
      <c r="X11298" s="4"/>
      <c r="Y11298" s="4"/>
    </row>
    <row r="11299" spans="20:25" x14ac:dyDescent="0.25">
      <c r="T11299" s="10"/>
      <c r="U11299" s="4"/>
      <c r="V11299" s="4"/>
      <c r="X11299" s="4"/>
      <c r="Y11299" s="4"/>
    </row>
    <row r="11300" spans="20:25" x14ac:dyDescent="0.25">
      <c r="T11300" s="10"/>
      <c r="U11300" s="4"/>
      <c r="V11300" s="4"/>
      <c r="X11300" s="4"/>
      <c r="Y11300" s="4"/>
    </row>
    <row r="11301" spans="20:25" x14ac:dyDescent="0.25">
      <c r="T11301" s="10"/>
      <c r="U11301" s="4"/>
      <c r="V11301" s="4"/>
      <c r="X11301" s="4"/>
      <c r="Y11301" s="4"/>
    </row>
    <row r="11302" spans="20:25" x14ac:dyDescent="0.25">
      <c r="T11302" s="10"/>
      <c r="U11302" s="4"/>
      <c r="V11302" s="4"/>
      <c r="X11302" s="4"/>
      <c r="Y11302" s="4"/>
    </row>
    <row r="11303" spans="20:25" x14ac:dyDescent="0.25">
      <c r="T11303" s="10"/>
      <c r="U11303" s="4"/>
      <c r="V11303" s="4"/>
      <c r="X11303" s="4"/>
      <c r="Y11303" s="4"/>
    </row>
    <row r="11304" spans="20:25" x14ac:dyDescent="0.25">
      <c r="T11304" s="10"/>
      <c r="U11304" s="4"/>
      <c r="V11304" s="4"/>
      <c r="X11304" s="4"/>
      <c r="Y11304" s="4"/>
    </row>
    <row r="11305" spans="20:25" x14ac:dyDescent="0.25">
      <c r="T11305" s="10"/>
      <c r="U11305" s="4"/>
      <c r="V11305" s="4"/>
      <c r="X11305" s="4"/>
      <c r="Y11305" s="4"/>
    </row>
    <row r="11306" spans="20:25" x14ac:dyDescent="0.25">
      <c r="T11306" s="10"/>
      <c r="U11306" s="4"/>
      <c r="V11306" s="4"/>
      <c r="X11306" s="4"/>
      <c r="Y11306" s="4"/>
    </row>
    <row r="11307" spans="20:25" x14ac:dyDescent="0.25">
      <c r="T11307" s="10"/>
      <c r="U11307" s="4"/>
      <c r="V11307" s="4"/>
      <c r="X11307" s="4"/>
      <c r="Y11307" s="4"/>
    </row>
    <row r="11308" spans="20:25" x14ac:dyDescent="0.25">
      <c r="T11308" s="10"/>
      <c r="U11308" s="4"/>
      <c r="V11308" s="4"/>
      <c r="X11308" s="4"/>
      <c r="Y11308" s="4"/>
    </row>
    <row r="11309" spans="20:25" x14ac:dyDescent="0.25">
      <c r="T11309" s="10"/>
      <c r="U11309" s="4"/>
      <c r="V11309" s="4"/>
      <c r="X11309" s="4"/>
      <c r="Y11309" s="4"/>
    </row>
    <row r="11310" spans="20:25" x14ac:dyDescent="0.25">
      <c r="T11310" s="10"/>
      <c r="U11310" s="4"/>
      <c r="V11310" s="4"/>
      <c r="X11310" s="4"/>
      <c r="Y11310" s="4"/>
    </row>
    <row r="11311" spans="20:25" x14ac:dyDescent="0.25">
      <c r="T11311" s="10"/>
      <c r="U11311" s="4"/>
      <c r="V11311" s="4"/>
      <c r="X11311" s="4"/>
      <c r="Y11311" s="4"/>
    </row>
    <row r="11312" spans="20:25" x14ac:dyDescent="0.25">
      <c r="T11312" s="10"/>
      <c r="U11312" s="4"/>
      <c r="V11312" s="4"/>
      <c r="X11312" s="4"/>
      <c r="Y11312" s="4"/>
    </row>
    <row r="11313" spans="20:25" x14ac:dyDescent="0.25">
      <c r="T11313" s="10"/>
      <c r="U11313" s="4"/>
      <c r="V11313" s="4"/>
      <c r="X11313" s="4"/>
      <c r="Y11313" s="4"/>
    </row>
    <row r="11314" spans="20:25" x14ac:dyDescent="0.25">
      <c r="T11314" s="10"/>
      <c r="U11314" s="4"/>
      <c r="V11314" s="4"/>
      <c r="X11314" s="4"/>
      <c r="Y11314" s="4"/>
    </row>
    <row r="11315" spans="20:25" x14ac:dyDescent="0.25">
      <c r="T11315" s="10"/>
      <c r="U11315" s="4"/>
      <c r="V11315" s="4"/>
      <c r="X11315" s="4"/>
      <c r="Y11315" s="4"/>
    </row>
    <row r="11316" spans="20:25" x14ac:dyDescent="0.25">
      <c r="T11316" s="10"/>
      <c r="U11316" s="4"/>
      <c r="V11316" s="4"/>
      <c r="X11316" s="4"/>
      <c r="Y11316" s="4"/>
    </row>
    <row r="11317" spans="20:25" x14ac:dyDescent="0.25">
      <c r="T11317" s="10"/>
      <c r="U11317" s="4"/>
      <c r="V11317" s="4"/>
      <c r="X11317" s="4"/>
      <c r="Y11317" s="4"/>
    </row>
    <row r="11318" spans="20:25" x14ac:dyDescent="0.25">
      <c r="T11318" s="10"/>
      <c r="U11318" s="4"/>
      <c r="V11318" s="4"/>
      <c r="X11318" s="4"/>
      <c r="Y11318" s="4"/>
    </row>
    <row r="11319" spans="20:25" x14ac:dyDescent="0.25">
      <c r="T11319" s="10"/>
      <c r="U11319" s="4"/>
      <c r="V11319" s="4"/>
      <c r="X11319" s="4"/>
      <c r="Y11319" s="4"/>
    </row>
    <row r="11320" spans="20:25" x14ac:dyDescent="0.25">
      <c r="T11320" s="10"/>
      <c r="U11320" s="4"/>
      <c r="V11320" s="4"/>
      <c r="X11320" s="4"/>
      <c r="Y11320" s="4"/>
    </row>
    <row r="11321" spans="20:25" x14ac:dyDescent="0.25">
      <c r="T11321" s="10"/>
      <c r="U11321" s="4"/>
      <c r="V11321" s="4"/>
      <c r="X11321" s="4"/>
      <c r="Y11321" s="4"/>
    </row>
    <row r="11322" spans="20:25" x14ac:dyDescent="0.25">
      <c r="T11322" s="10"/>
      <c r="U11322" s="4"/>
      <c r="V11322" s="4"/>
      <c r="X11322" s="4"/>
      <c r="Y11322" s="4"/>
    </row>
    <row r="11323" spans="20:25" x14ac:dyDescent="0.25">
      <c r="T11323" s="10"/>
      <c r="U11323" s="4"/>
      <c r="V11323" s="4"/>
      <c r="X11323" s="4"/>
      <c r="Y11323" s="4"/>
    </row>
    <row r="11324" spans="20:25" x14ac:dyDescent="0.25">
      <c r="T11324" s="10"/>
      <c r="U11324" s="4"/>
      <c r="V11324" s="4"/>
      <c r="X11324" s="4"/>
      <c r="Y11324" s="4"/>
    </row>
    <row r="11325" spans="20:25" x14ac:dyDescent="0.25">
      <c r="T11325" s="10"/>
      <c r="U11325" s="4"/>
      <c r="V11325" s="4"/>
      <c r="X11325" s="4"/>
      <c r="Y11325" s="4"/>
    </row>
    <row r="11326" spans="20:25" x14ac:dyDescent="0.25">
      <c r="T11326" s="10"/>
      <c r="U11326" s="4"/>
      <c r="V11326" s="4"/>
      <c r="X11326" s="4"/>
      <c r="Y11326" s="4"/>
    </row>
    <row r="11327" spans="20:25" x14ac:dyDescent="0.25">
      <c r="T11327" s="10"/>
      <c r="U11327" s="4"/>
      <c r="V11327" s="4"/>
      <c r="X11327" s="4"/>
      <c r="Y11327" s="4"/>
    </row>
    <row r="11328" spans="20:25" x14ac:dyDescent="0.25">
      <c r="T11328" s="10"/>
      <c r="U11328" s="4"/>
      <c r="V11328" s="4"/>
      <c r="X11328" s="4"/>
      <c r="Y11328" s="4"/>
    </row>
    <row r="11329" spans="20:25" x14ac:dyDescent="0.25">
      <c r="T11329" s="10"/>
      <c r="U11329" s="4"/>
      <c r="V11329" s="4"/>
      <c r="X11329" s="4"/>
      <c r="Y11329" s="4"/>
    </row>
    <row r="11330" spans="20:25" x14ac:dyDescent="0.25">
      <c r="T11330" s="10"/>
      <c r="U11330" s="4"/>
      <c r="V11330" s="4"/>
      <c r="X11330" s="4"/>
      <c r="Y11330" s="4"/>
    </row>
    <row r="11331" spans="20:25" x14ac:dyDescent="0.25">
      <c r="T11331" s="10"/>
      <c r="U11331" s="4"/>
      <c r="V11331" s="4"/>
      <c r="X11331" s="4"/>
      <c r="Y11331" s="4"/>
    </row>
    <row r="11332" spans="20:25" x14ac:dyDescent="0.25">
      <c r="T11332" s="10"/>
      <c r="U11332" s="4"/>
      <c r="V11332" s="4"/>
      <c r="X11332" s="4"/>
      <c r="Y11332" s="4"/>
    </row>
    <row r="11333" spans="20:25" x14ac:dyDescent="0.25">
      <c r="T11333" s="10"/>
      <c r="U11333" s="4"/>
      <c r="V11333" s="4"/>
      <c r="X11333" s="4"/>
      <c r="Y11333" s="4"/>
    </row>
    <row r="11334" spans="20:25" x14ac:dyDescent="0.25">
      <c r="T11334" s="10"/>
      <c r="U11334" s="4"/>
      <c r="V11334" s="4"/>
      <c r="X11334" s="4"/>
      <c r="Y11334" s="4"/>
    </row>
    <row r="11335" spans="20:25" x14ac:dyDescent="0.25">
      <c r="T11335" s="10"/>
      <c r="U11335" s="4"/>
      <c r="V11335" s="4"/>
      <c r="X11335" s="4"/>
      <c r="Y11335" s="4"/>
    </row>
    <row r="11336" spans="20:25" x14ac:dyDescent="0.25">
      <c r="T11336" s="10"/>
      <c r="U11336" s="4"/>
      <c r="V11336" s="4"/>
      <c r="X11336" s="4"/>
      <c r="Y11336" s="4"/>
    </row>
    <row r="11337" spans="20:25" x14ac:dyDescent="0.25">
      <c r="T11337" s="10"/>
      <c r="U11337" s="4"/>
      <c r="V11337" s="4"/>
      <c r="X11337" s="4"/>
      <c r="Y11337" s="4"/>
    </row>
    <row r="11338" spans="20:25" x14ac:dyDescent="0.25">
      <c r="T11338" s="10"/>
      <c r="U11338" s="4"/>
      <c r="V11338" s="4"/>
      <c r="X11338" s="4"/>
      <c r="Y11338" s="4"/>
    </row>
    <row r="11339" spans="20:25" x14ac:dyDescent="0.25">
      <c r="T11339" s="10"/>
      <c r="U11339" s="4"/>
      <c r="V11339" s="4"/>
      <c r="X11339" s="4"/>
      <c r="Y11339" s="4"/>
    </row>
    <row r="11340" spans="20:25" x14ac:dyDescent="0.25">
      <c r="T11340" s="10"/>
      <c r="U11340" s="4"/>
      <c r="V11340" s="4"/>
      <c r="X11340" s="4"/>
      <c r="Y11340" s="4"/>
    </row>
    <row r="11341" spans="20:25" x14ac:dyDescent="0.25">
      <c r="T11341" s="10"/>
      <c r="U11341" s="4"/>
      <c r="V11341" s="4"/>
      <c r="X11341" s="4"/>
      <c r="Y11341" s="4"/>
    </row>
    <row r="11342" spans="20:25" x14ac:dyDescent="0.25">
      <c r="T11342" s="10"/>
      <c r="U11342" s="4"/>
      <c r="V11342" s="4"/>
      <c r="X11342" s="4"/>
      <c r="Y11342" s="4"/>
    </row>
    <row r="11343" spans="20:25" x14ac:dyDescent="0.25">
      <c r="T11343" s="10"/>
      <c r="U11343" s="4"/>
      <c r="V11343" s="4"/>
      <c r="X11343" s="4"/>
      <c r="Y11343" s="4"/>
    </row>
    <row r="11344" spans="20:25" x14ac:dyDescent="0.25">
      <c r="T11344" s="10"/>
      <c r="U11344" s="4"/>
      <c r="V11344" s="4"/>
      <c r="X11344" s="4"/>
      <c r="Y11344" s="4"/>
    </row>
    <row r="11345" spans="20:25" x14ac:dyDescent="0.25">
      <c r="T11345" s="10"/>
      <c r="U11345" s="4"/>
      <c r="V11345" s="4"/>
      <c r="X11345" s="4"/>
      <c r="Y11345" s="4"/>
    </row>
    <row r="11346" spans="20:25" x14ac:dyDescent="0.25">
      <c r="T11346" s="10"/>
      <c r="U11346" s="4"/>
      <c r="V11346" s="4"/>
      <c r="X11346" s="4"/>
      <c r="Y11346" s="4"/>
    </row>
    <row r="11347" spans="20:25" x14ac:dyDescent="0.25">
      <c r="T11347" s="10"/>
      <c r="U11347" s="4"/>
      <c r="V11347" s="4"/>
      <c r="X11347" s="4"/>
      <c r="Y11347" s="4"/>
    </row>
    <row r="11348" spans="20:25" x14ac:dyDescent="0.25">
      <c r="T11348" s="10"/>
      <c r="U11348" s="4"/>
      <c r="V11348" s="4"/>
      <c r="X11348" s="4"/>
      <c r="Y11348" s="4"/>
    </row>
    <row r="11349" spans="20:25" x14ac:dyDescent="0.25">
      <c r="T11349" s="10"/>
      <c r="U11349" s="4"/>
      <c r="V11349" s="4"/>
      <c r="X11349" s="4"/>
      <c r="Y11349" s="4"/>
    </row>
    <row r="11350" spans="20:25" x14ac:dyDescent="0.25">
      <c r="T11350" s="10"/>
      <c r="U11350" s="4"/>
      <c r="V11350" s="4"/>
      <c r="X11350" s="4"/>
      <c r="Y11350" s="4"/>
    </row>
    <row r="11351" spans="20:25" x14ac:dyDescent="0.25">
      <c r="T11351" s="10"/>
      <c r="U11351" s="4"/>
      <c r="V11351" s="4"/>
      <c r="X11351" s="4"/>
      <c r="Y11351" s="4"/>
    </row>
    <row r="11352" spans="20:25" x14ac:dyDescent="0.25">
      <c r="T11352" s="10"/>
      <c r="U11352" s="4"/>
      <c r="V11352" s="4"/>
      <c r="X11352" s="4"/>
      <c r="Y11352" s="4"/>
    </row>
    <row r="11353" spans="20:25" x14ac:dyDescent="0.25">
      <c r="T11353" s="10"/>
      <c r="U11353" s="4"/>
      <c r="V11353" s="4"/>
      <c r="X11353" s="4"/>
      <c r="Y11353" s="4"/>
    </row>
    <row r="11354" spans="20:25" x14ac:dyDescent="0.25">
      <c r="T11354" s="10"/>
      <c r="U11354" s="4"/>
      <c r="V11354" s="4"/>
      <c r="X11354" s="4"/>
      <c r="Y11354" s="4"/>
    </row>
    <row r="11355" spans="20:25" x14ac:dyDescent="0.25">
      <c r="T11355" s="10"/>
      <c r="U11355" s="4"/>
      <c r="V11355" s="4"/>
      <c r="X11355" s="4"/>
      <c r="Y11355" s="4"/>
    </row>
    <row r="11356" spans="20:25" x14ac:dyDescent="0.25">
      <c r="T11356" s="10"/>
      <c r="U11356" s="4"/>
      <c r="V11356" s="4"/>
      <c r="X11356" s="4"/>
      <c r="Y11356" s="4"/>
    </row>
    <row r="11357" spans="20:25" x14ac:dyDescent="0.25">
      <c r="T11357" s="10"/>
      <c r="U11357" s="4"/>
      <c r="V11357" s="4"/>
      <c r="X11357" s="4"/>
      <c r="Y11357" s="4"/>
    </row>
    <row r="11358" spans="20:25" x14ac:dyDescent="0.25">
      <c r="T11358" s="10"/>
      <c r="U11358" s="4"/>
      <c r="V11358" s="4"/>
      <c r="X11358" s="4"/>
      <c r="Y11358" s="4"/>
    </row>
    <row r="11359" spans="20:25" x14ac:dyDescent="0.25">
      <c r="T11359" s="10"/>
      <c r="U11359" s="4"/>
      <c r="V11359" s="4"/>
      <c r="X11359" s="4"/>
      <c r="Y11359" s="4"/>
    </row>
    <row r="11360" spans="20:25" x14ac:dyDescent="0.25">
      <c r="T11360" s="10"/>
      <c r="U11360" s="4"/>
      <c r="V11360" s="4"/>
      <c r="X11360" s="4"/>
      <c r="Y11360" s="4"/>
    </row>
    <row r="11361" spans="20:25" x14ac:dyDescent="0.25">
      <c r="T11361" s="10"/>
      <c r="U11361" s="4"/>
      <c r="V11361" s="4"/>
      <c r="X11361" s="4"/>
      <c r="Y11361" s="4"/>
    </row>
    <row r="11362" spans="20:25" x14ac:dyDescent="0.25">
      <c r="T11362" s="10"/>
      <c r="U11362" s="4"/>
      <c r="V11362" s="4"/>
      <c r="X11362" s="4"/>
      <c r="Y11362" s="4"/>
    </row>
    <row r="11363" spans="20:25" x14ac:dyDescent="0.25">
      <c r="T11363" s="10"/>
      <c r="U11363" s="4"/>
      <c r="V11363" s="4"/>
      <c r="X11363" s="4"/>
      <c r="Y11363" s="4"/>
    </row>
    <row r="11364" spans="20:25" x14ac:dyDescent="0.25">
      <c r="T11364" s="10"/>
      <c r="U11364" s="4"/>
      <c r="V11364" s="4"/>
      <c r="X11364" s="4"/>
      <c r="Y11364" s="4"/>
    </row>
    <row r="11365" spans="20:25" x14ac:dyDescent="0.25">
      <c r="T11365" s="10"/>
      <c r="U11365" s="4"/>
      <c r="V11365" s="4"/>
      <c r="X11365" s="4"/>
      <c r="Y11365" s="4"/>
    </row>
    <row r="11366" spans="20:25" x14ac:dyDescent="0.25">
      <c r="T11366" s="10"/>
      <c r="U11366" s="4"/>
      <c r="V11366" s="4"/>
      <c r="X11366" s="4"/>
      <c r="Y11366" s="4"/>
    </row>
    <row r="11367" spans="20:25" x14ac:dyDescent="0.25">
      <c r="T11367" s="10"/>
      <c r="U11367" s="4"/>
      <c r="V11367" s="4"/>
      <c r="X11367" s="4"/>
      <c r="Y11367" s="4"/>
    </row>
    <row r="11368" spans="20:25" x14ac:dyDescent="0.25">
      <c r="T11368" s="10"/>
      <c r="U11368" s="4"/>
      <c r="V11368" s="4"/>
      <c r="X11368" s="4"/>
      <c r="Y11368" s="4"/>
    </row>
    <row r="11369" spans="20:25" x14ac:dyDescent="0.25">
      <c r="T11369" s="10"/>
      <c r="U11369" s="4"/>
      <c r="V11369" s="4"/>
      <c r="X11369" s="4"/>
      <c r="Y11369" s="4"/>
    </row>
    <row r="11370" spans="20:25" x14ac:dyDescent="0.25">
      <c r="T11370" s="10"/>
      <c r="U11370" s="4"/>
      <c r="V11370" s="4"/>
      <c r="X11370" s="4"/>
      <c r="Y11370" s="4"/>
    </row>
    <row r="11371" spans="20:25" x14ac:dyDescent="0.25">
      <c r="T11371" s="10"/>
      <c r="U11371" s="4"/>
      <c r="V11371" s="4"/>
      <c r="X11371" s="4"/>
      <c r="Y11371" s="4"/>
    </row>
    <row r="11372" spans="20:25" x14ac:dyDescent="0.25">
      <c r="T11372" s="10"/>
      <c r="U11372" s="4"/>
      <c r="V11372" s="4"/>
      <c r="X11372" s="4"/>
      <c r="Y11372" s="4"/>
    </row>
    <row r="11373" spans="20:25" x14ac:dyDescent="0.25">
      <c r="T11373" s="10"/>
      <c r="U11373" s="4"/>
      <c r="V11373" s="4"/>
      <c r="X11373" s="4"/>
      <c r="Y11373" s="4"/>
    </row>
    <row r="11374" spans="20:25" x14ac:dyDescent="0.25">
      <c r="T11374" s="10"/>
      <c r="U11374" s="4"/>
      <c r="V11374" s="4"/>
      <c r="X11374" s="4"/>
      <c r="Y11374" s="4"/>
    </row>
    <row r="11375" spans="20:25" x14ac:dyDescent="0.25">
      <c r="T11375" s="10"/>
      <c r="U11375" s="4"/>
      <c r="V11375" s="4"/>
      <c r="X11375" s="4"/>
      <c r="Y11375" s="4"/>
    </row>
    <row r="11376" spans="20:25" x14ac:dyDescent="0.25">
      <c r="T11376" s="10"/>
      <c r="U11376" s="4"/>
      <c r="V11376" s="4"/>
      <c r="X11376" s="4"/>
      <c r="Y11376" s="4"/>
    </row>
    <row r="11377" spans="20:25" x14ac:dyDescent="0.25">
      <c r="T11377" s="10"/>
      <c r="U11377" s="4"/>
      <c r="V11377" s="4"/>
      <c r="X11377" s="4"/>
      <c r="Y11377" s="4"/>
    </row>
    <row r="11378" spans="20:25" x14ac:dyDescent="0.25">
      <c r="T11378" s="10"/>
      <c r="U11378" s="4"/>
      <c r="V11378" s="4"/>
      <c r="X11378" s="4"/>
      <c r="Y11378" s="4"/>
    </row>
    <row r="11379" spans="20:25" x14ac:dyDescent="0.25">
      <c r="T11379" s="10"/>
      <c r="U11379" s="4"/>
      <c r="V11379" s="4"/>
      <c r="X11379" s="4"/>
      <c r="Y11379" s="4"/>
    </row>
    <row r="11380" spans="20:25" x14ac:dyDescent="0.25">
      <c r="T11380" s="10"/>
      <c r="U11380" s="4"/>
      <c r="V11380" s="4"/>
      <c r="X11380" s="4"/>
      <c r="Y11380" s="4"/>
    </row>
    <row r="11381" spans="20:25" x14ac:dyDescent="0.25">
      <c r="T11381" s="10"/>
      <c r="U11381" s="4"/>
      <c r="V11381" s="4"/>
      <c r="X11381" s="4"/>
      <c r="Y11381" s="4"/>
    </row>
    <row r="11382" spans="20:25" x14ac:dyDescent="0.25">
      <c r="T11382" s="10"/>
      <c r="U11382" s="4"/>
      <c r="V11382" s="4"/>
      <c r="X11382" s="4"/>
      <c r="Y11382" s="4"/>
    </row>
    <row r="11383" spans="20:25" x14ac:dyDescent="0.25">
      <c r="T11383" s="10"/>
      <c r="U11383" s="4"/>
      <c r="V11383" s="4"/>
      <c r="X11383" s="4"/>
      <c r="Y11383" s="4"/>
    </row>
    <row r="11384" spans="20:25" x14ac:dyDescent="0.25">
      <c r="T11384" s="10"/>
      <c r="U11384" s="4"/>
      <c r="V11384" s="4"/>
      <c r="X11384" s="4"/>
      <c r="Y11384" s="4"/>
    </row>
    <row r="11385" spans="20:25" x14ac:dyDescent="0.25">
      <c r="T11385" s="10"/>
      <c r="U11385" s="4"/>
      <c r="V11385" s="4"/>
      <c r="X11385" s="4"/>
      <c r="Y11385" s="4"/>
    </row>
    <row r="11386" spans="20:25" x14ac:dyDescent="0.25">
      <c r="T11386" s="10"/>
      <c r="U11386" s="4"/>
      <c r="V11386" s="4"/>
      <c r="X11386" s="4"/>
      <c r="Y11386" s="4"/>
    </row>
    <row r="11387" spans="20:25" x14ac:dyDescent="0.25">
      <c r="T11387" s="10"/>
      <c r="U11387" s="4"/>
      <c r="V11387" s="4"/>
      <c r="X11387" s="4"/>
      <c r="Y11387" s="4"/>
    </row>
    <row r="11388" spans="20:25" x14ac:dyDescent="0.25">
      <c r="T11388" s="10"/>
      <c r="U11388" s="4"/>
      <c r="V11388" s="4"/>
      <c r="X11388" s="4"/>
      <c r="Y11388" s="4"/>
    </row>
    <row r="11389" spans="20:25" x14ac:dyDescent="0.25">
      <c r="T11389" s="10"/>
      <c r="U11389" s="4"/>
      <c r="V11389" s="4"/>
      <c r="X11389" s="4"/>
      <c r="Y11389" s="4"/>
    </row>
    <row r="11390" spans="20:25" x14ac:dyDescent="0.25">
      <c r="T11390" s="10"/>
      <c r="U11390" s="4"/>
      <c r="V11390" s="4"/>
      <c r="X11390" s="4"/>
      <c r="Y11390" s="4"/>
    </row>
    <row r="11391" spans="20:25" x14ac:dyDescent="0.25">
      <c r="T11391" s="10"/>
      <c r="U11391" s="4"/>
      <c r="V11391" s="4"/>
      <c r="X11391" s="4"/>
      <c r="Y11391" s="4"/>
    </row>
    <row r="11392" spans="20:25" x14ac:dyDescent="0.25">
      <c r="T11392" s="10"/>
      <c r="U11392" s="4"/>
      <c r="V11392" s="4"/>
      <c r="X11392" s="4"/>
      <c r="Y11392" s="4"/>
    </row>
    <row r="11393" spans="20:25" x14ac:dyDescent="0.25">
      <c r="T11393" s="10"/>
      <c r="U11393" s="4"/>
      <c r="V11393" s="4"/>
      <c r="X11393" s="4"/>
      <c r="Y11393" s="4"/>
    </row>
    <row r="11394" spans="20:25" x14ac:dyDescent="0.25">
      <c r="T11394" s="10"/>
      <c r="U11394" s="4"/>
      <c r="V11394" s="4"/>
      <c r="X11394" s="4"/>
      <c r="Y11394" s="4"/>
    </row>
    <row r="11395" spans="20:25" x14ac:dyDescent="0.25">
      <c r="T11395" s="10"/>
      <c r="U11395" s="4"/>
      <c r="V11395" s="4"/>
      <c r="X11395" s="4"/>
      <c r="Y11395" s="4"/>
    </row>
    <row r="11396" spans="20:25" x14ac:dyDescent="0.25">
      <c r="T11396" s="10"/>
      <c r="U11396" s="4"/>
      <c r="V11396" s="4"/>
      <c r="X11396" s="4"/>
      <c r="Y11396" s="4"/>
    </row>
    <row r="11397" spans="20:25" x14ac:dyDescent="0.25">
      <c r="T11397" s="10"/>
      <c r="U11397" s="4"/>
      <c r="V11397" s="4"/>
      <c r="X11397" s="4"/>
      <c r="Y11397" s="4"/>
    </row>
    <row r="11398" spans="20:25" x14ac:dyDescent="0.25">
      <c r="T11398" s="10"/>
      <c r="U11398" s="4"/>
      <c r="V11398" s="4"/>
      <c r="X11398" s="4"/>
      <c r="Y11398" s="4"/>
    </row>
    <row r="11399" spans="20:25" x14ac:dyDescent="0.25">
      <c r="T11399" s="10"/>
      <c r="U11399" s="4"/>
      <c r="V11399" s="4"/>
      <c r="X11399" s="4"/>
      <c r="Y11399" s="4"/>
    </row>
    <row r="11400" spans="20:25" x14ac:dyDescent="0.25">
      <c r="T11400" s="10"/>
      <c r="U11400" s="4"/>
      <c r="V11400" s="4"/>
      <c r="X11400" s="4"/>
      <c r="Y11400" s="4"/>
    </row>
    <row r="11401" spans="20:25" x14ac:dyDescent="0.25">
      <c r="T11401" s="10"/>
      <c r="U11401" s="4"/>
      <c r="V11401" s="4"/>
      <c r="X11401" s="4"/>
      <c r="Y11401" s="4"/>
    </row>
    <row r="11402" spans="20:25" x14ac:dyDescent="0.25">
      <c r="T11402" s="10"/>
      <c r="U11402" s="4"/>
      <c r="V11402" s="4"/>
      <c r="X11402" s="4"/>
      <c r="Y11402" s="4"/>
    </row>
    <row r="11403" spans="20:25" x14ac:dyDescent="0.25">
      <c r="T11403" s="10"/>
      <c r="U11403" s="4"/>
      <c r="V11403" s="4"/>
      <c r="X11403" s="4"/>
      <c r="Y11403" s="4"/>
    </row>
    <row r="11404" spans="20:25" x14ac:dyDescent="0.25">
      <c r="T11404" s="10"/>
      <c r="U11404" s="4"/>
      <c r="V11404" s="4"/>
      <c r="X11404" s="4"/>
      <c r="Y11404" s="4"/>
    </row>
    <row r="11405" spans="20:25" x14ac:dyDescent="0.25">
      <c r="T11405" s="10"/>
      <c r="U11405" s="4"/>
      <c r="V11405" s="4"/>
      <c r="X11405" s="4"/>
      <c r="Y11405" s="4"/>
    </row>
    <row r="11406" spans="20:25" x14ac:dyDescent="0.25">
      <c r="T11406" s="10"/>
      <c r="U11406" s="4"/>
      <c r="V11406" s="4"/>
      <c r="X11406" s="4"/>
      <c r="Y11406" s="4"/>
    </row>
    <row r="11407" spans="20:25" x14ac:dyDescent="0.25">
      <c r="T11407" s="10"/>
      <c r="U11407" s="4"/>
      <c r="V11407" s="4"/>
      <c r="X11407" s="4"/>
      <c r="Y11407" s="4"/>
    </row>
    <row r="11408" spans="20:25" x14ac:dyDescent="0.25">
      <c r="T11408" s="10"/>
      <c r="U11408" s="4"/>
      <c r="V11408" s="4"/>
      <c r="X11408" s="4"/>
      <c r="Y11408" s="4"/>
    </row>
    <row r="11409" spans="20:25" x14ac:dyDescent="0.25">
      <c r="T11409" s="10"/>
      <c r="U11409" s="4"/>
      <c r="V11409" s="4"/>
      <c r="X11409" s="4"/>
      <c r="Y11409" s="4"/>
    </row>
    <row r="11410" spans="20:25" x14ac:dyDescent="0.25">
      <c r="T11410" s="10"/>
      <c r="U11410" s="4"/>
      <c r="V11410" s="4"/>
      <c r="X11410" s="4"/>
      <c r="Y11410" s="4"/>
    </row>
    <row r="11411" spans="20:25" x14ac:dyDescent="0.25">
      <c r="T11411" s="10"/>
      <c r="U11411" s="4"/>
      <c r="V11411" s="4"/>
      <c r="X11411" s="4"/>
      <c r="Y11411" s="4"/>
    </row>
    <row r="11412" spans="20:25" x14ac:dyDescent="0.25">
      <c r="T11412" s="10"/>
      <c r="U11412" s="4"/>
      <c r="V11412" s="4"/>
      <c r="X11412" s="4"/>
      <c r="Y11412" s="4"/>
    </row>
    <row r="11413" spans="20:25" x14ac:dyDescent="0.25">
      <c r="T11413" s="10"/>
      <c r="U11413" s="4"/>
      <c r="V11413" s="4"/>
      <c r="X11413" s="4"/>
      <c r="Y11413" s="4"/>
    </row>
    <row r="11414" spans="20:25" x14ac:dyDescent="0.25">
      <c r="T11414" s="10"/>
      <c r="U11414" s="4"/>
      <c r="V11414" s="4"/>
      <c r="X11414" s="4"/>
      <c r="Y11414" s="4"/>
    </row>
    <row r="11415" spans="20:25" x14ac:dyDescent="0.25">
      <c r="T11415" s="10"/>
      <c r="U11415" s="4"/>
      <c r="V11415" s="4"/>
      <c r="X11415" s="4"/>
      <c r="Y11415" s="4"/>
    </row>
    <row r="11416" spans="20:25" x14ac:dyDescent="0.25">
      <c r="T11416" s="10"/>
      <c r="U11416" s="4"/>
      <c r="V11416" s="4"/>
      <c r="X11416" s="4"/>
      <c r="Y11416" s="4"/>
    </row>
    <row r="11417" spans="20:25" x14ac:dyDescent="0.25">
      <c r="T11417" s="10"/>
      <c r="U11417" s="4"/>
      <c r="V11417" s="4"/>
      <c r="X11417" s="4"/>
      <c r="Y11417" s="4"/>
    </row>
    <row r="11418" spans="20:25" x14ac:dyDescent="0.25">
      <c r="T11418" s="10"/>
      <c r="U11418" s="4"/>
      <c r="V11418" s="4"/>
      <c r="X11418" s="4"/>
      <c r="Y11418" s="4"/>
    </row>
    <row r="11419" spans="20:25" x14ac:dyDescent="0.25">
      <c r="T11419" s="10"/>
      <c r="U11419" s="4"/>
      <c r="V11419" s="4"/>
      <c r="X11419" s="4"/>
      <c r="Y11419" s="4"/>
    </row>
    <row r="11420" spans="20:25" x14ac:dyDescent="0.25">
      <c r="T11420" s="10"/>
      <c r="U11420" s="4"/>
      <c r="V11420" s="4"/>
      <c r="X11420" s="4"/>
      <c r="Y11420" s="4"/>
    </row>
    <row r="11421" spans="20:25" x14ac:dyDescent="0.25">
      <c r="T11421" s="10"/>
      <c r="U11421" s="4"/>
      <c r="V11421" s="4"/>
      <c r="X11421" s="4"/>
      <c r="Y11421" s="4"/>
    </row>
    <row r="11422" spans="20:25" x14ac:dyDescent="0.25">
      <c r="T11422" s="10"/>
      <c r="U11422" s="4"/>
      <c r="V11422" s="4"/>
      <c r="X11422" s="4"/>
      <c r="Y11422" s="4"/>
    </row>
    <row r="11423" spans="20:25" x14ac:dyDescent="0.25">
      <c r="T11423" s="10"/>
      <c r="U11423" s="4"/>
      <c r="V11423" s="4"/>
      <c r="X11423" s="4"/>
      <c r="Y11423" s="4"/>
    </row>
    <row r="11424" spans="20:25" x14ac:dyDescent="0.25">
      <c r="T11424" s="10"/>
      <c r="U11424" s="4"/>
      <c r="V11424" s="4"/>
      <c r="X11424" s="4"/>
      <c r="Y11424" s="4"/>
    </row>
    <row r="11425" spans="20:25" x14ac:dyDescent="0.25">
      <c r="T11425" s="10"/>
      <c r="U11425" s="4"/>
      <c r="V11425" s="4"/>
      <c r="X11425" s="4"/>
      <c r="Y11425" s="4"/>
    </row>
    <row r="11426" spans="20:25" x14ac:dyDescent="0.25">
      <c r="T11426" s="10"/>
      <c r="U11426" s="4"/>
      <c r="V11426" s="4"/>
      <c r="X11426" s="4"/>
      <c r="Y11426" s="4"/>
    </row>
    <row r="11427" spans="20:25" x14ac:dyDescent="0.25">
      <c r="T11427" s="10"/>
      <c r="U11427" s="4"/>
      <c r="V11427" s="4"/>
      <c r="X11427" s="4"/>
      <c r="Y11427" s="4"/>
    </row>
    <row r="11428" spans="20:25" x14ac:dyDescent="0.25">
      <c r="T11428" s="10"/>
      <c r="U11428" s="4"/>
      <c r="V11428" s="4"/>
      <c r="X11428" s="4"/>
      <c r="Y11428" s="4"/>
    </row>
    <row r="11429" spans="20:25" x14ac:dyDescent="0.25">
      <c r="T11429" s="10"/>
      <c r="U11429" s="4"/>
      <c r="V11429" s="4"/>
      <c r="X11429" s="4"/>
      <c r="Y11429" s="4"/>
    </row>
    <row r="11430" spans="20:25" x14ac:dyDescent="0.25">
      <c r="T11430" s="10"/>
      <c r="U11430" s="4"/>
      <c r="V11430" s="4"/>
      <c r="X11430" s="4"/>
      <c r="Y11430" s="4"/>
    </row>
    <row r="11431" spans="20:25" x14ac:dyDescent="0.25">
      <c r="T11431" s="10"/>
      <c r="U11431" s="4"/>
      <c r="V11431" s="4"/>
      <c r="X11431" s="4"/>
      <c r="Y11431" s="4"/>
    </row>
    <row r="11432" spans="20:25" x14ac:dyDescent="0.25">
      <c r="T11432" s="10"/>
      <c r="U11432" s="4"/>
      <c r="V11432" s="4"/>
      <c r="X11432" s="4"/>
      <c r="Y11432" s="4"/>
    </row>
    <row r="11433" spans="20:25" x14ac:dyDescent="0.25">
      <c r="T11433" s="10"/>
      <c r="U11433" s="4"/>
      <c r="V11433" s="4"/>
      <c r="X11433" s="4"/>
      <c r="Y11433" s="4"/>
    </row>
    <row r="11434" spans="20:25" x14ac:dyDescent="0.25">
      <c r="T11434" s="10"/>
      <c r="U11434" s="4"/>
      <c r="V11434" s="4"/>
      <c r="X11434" s="4"/>
      <c r="Y11434" s="4"/>
    </row>
    <row r="11435" spans="20:25" x14ac:dyDescent="0.25">
      <c r="T11435" s="10"/>
      <c r="U11435" s="4"/>
      <c r="V11435" s="4"/>
      <c r="X11435" s="4"/>
      <c r="Y11435" s="4"/>
    </row>
    <row r="11436" spans="20:25" x14ac:dyDescent="0.25">
      <c r="T11436" s="10"/>
      <c r="U11436" s="4"/>
      <c r="V11436" s="4"/>
      <c r="X11436" s="4"/>
      <c r="Y11436" s="4"/>
    </row>
    <row r="11437" spans="20:25" x14ac:dyDescent="0.25">
      <c r="T11437" s="10"/>
      <c r="U11437" s="4"/>
      <c r="V11437" s="4"/>
      <c r="X11437" s="4"/>
      <c r="Y11437" s="4"/>
    </row>
    <row r="11438" spans="20:25" x14ac:dyDescent="0.25">
      <c r="T11438" s="10"/>
      <c r="U11438" s="4"/>
      <c r="V11438" s="4"/>
      <c r="X11438" s="4"/>
      <c r="Y11438" s="4"/>
    </row>
    <row r="11439" spans="20:25" x14ac:dyDescent="0.25">
      <c r="T11439" s="10"/>
      <c r="U11439" s="4"/>
      <c r="V11439" s="4"/>
      <c r="X11439" s="4"/>
      <c r="Y11439" s="4"/>
    </row>
    <row r="11440" spans="20:25" x14ac:dyDescent="0.25">
      <c r="T11440" s="10"/>
      <c r="U11440" s="4"/>
      <c r="V11440" s="4"/>
      <c r="X11440" s="4"/>
      <c r="Y11440" s="4"/>
    </row>
    <row r="11441" spans="20:25" x14ac:dyDescent="0.25">
      <c r="T11441" s="10"/>
      <c r="U11441" s="4"/>
      <c r="V11441" s="4"/>
      <c r="X11441" s="4"/>
      <c r="Y11441" s="4"/>
    </row>
    <row r="11442" spans="20:25" x14ac:dyDescent="0.25">
      <c r="T11442" s="10"/>
      <c r="U11442" s="4"/>
      <c r="V11442" s="4"/>
      <c r="X11442" s="4"/>
      <c r="Y11442" s="4"/>
    </row>
    <row r="11443" spans="20:25" x14ac:dyDescent="0.25">
      <c r="T11443" s="10"/>
      <c r="U11443" s="4"/>
      <c r="V11443" s="4"/>
      <c r="X11443" s="4"/>
      <c r="Y11443" s="4"/>
    </row>
    <row r="11444" spans="20:25" x14ac:dyDescent="0.25">
      <c r="T11444" s="10"/>
      <c r="U11444" s="4"/>
      <c r="V11444" s="4"/>
      <c r="X11444" s="4"/>
      <c r="Y11444" s="4"/>
    </row>
    <row r="11445" spans="20:25" x14ac:dyDescent="0.25">
      <c r="T11445" s="10"/>
      <c r="U11445" s="4"/>
      <c r="V11445" s="4"/>
      <c r="X11445" s="4"/>
      <c r="Y11445" s="4"/>
    </row>
    <row r="11446" spans="20:25" x14ac:dyDescent="0.25">
      <c r="T11446" s="10"/>
      <c r="U11446" s="4"/>
      <c r="V11446" s="4"/>
      <c r="X11446" s="4"/>
      <c r="Y11446" s="4"/>
    </row>
    <row r="11447" spans="20:25" x14ac:dyDescent="0.25">
      <c r="T11447" s="10"/>
      <c r="U11447" s="4"/>
      <c r="V11447" s="4"/>
      <c r="X11447" s="4"/>
      <c r="Y11447" s="4"/>
    </row>
    <row r="11448" spans="20:25" x14ac:dyDescent="0.25">
      <c r="T11448" s="10"/>
      <c r="U11448" s="4"/>
      <c r="V11448" s="4"/>
      <c r="X11448" s="4"/>
      <c r="Y11448" s="4"/>
    </row>
    <row r="11449" spans="20:25" x14ac:dyDescent="0.25">
      <c r="T11449" s="10"/>
      <c r="U11449" s="4"/>
      <c r="V11449" s="4"/>
      <c r="X11449" s="4"/>
      <c r="Y11449" s="4"/>
    </row>
    <row r="11450" spans="20:25" x14ac:dyDescent="0.25">
      <c r="T11450" s="10"/>
      <c r="U11450" s="4"/>
      <c r="V11450" s="4"/>
      <c r="X11450" s="4"/>
      <c r="Y11450" s="4"/>
    </row>
    <row r="11451" spans="20:25" x14ac:dyDescent="0.25">
      <c r="T11451" s="10"/>
      <c r="U11451" s="4"/>
      <c r="V11451" s="4"/>
      <c r="X11451" s="4"/>
      <c r="Y11451" s="4"/>
    </row>
    <row r="11452" spans="20:25" x14ac:dyDescent="0.25">
      <c r="T11452" s="10"/>
      <c r="U11452" s="4"/>
      <c r="V11452" s="4"/>
      <c r="X11452" s="4"/>
      <c r="Y11452" s="4"/>
    </row>
    <row r="11453" spans="20:25" x14ac:dyDescent="0.25">
      <c r="T11453" s="10"/>
      <c r="U11453" s="4"/>
      <c r="V11453" s="4"/>
      <c r="X11453" s="4"/>
      <c r="Y11453" s="4"/>
    </row>
    <row r="11454" spans="20:25" x14ac:dyDescent="0.25">
      <c r="T11454" s="10"/>
      <c r="U11454" s="4"/>
      <c r="V11454" s="4"/>
      <c r="X11454" s="4"/>
      <c r="Y11454" s="4"/>
    </row>
    <row r="11455" spans="20:25" x14ac:dyDescent="0.25">
      <c r="T11455" s="10"/>
      <c r="U11455" s="4"/>
      <c r="V11455" s="4"/>
      <c r="X11455" s="4"/>
      <c r="Y11455" s="4"/>
    </row>
    <row r="11456" spans="20:25" x14ac:dyDescent="0.25">
      <c r="T11456" s="10"/>
      <c r="U11456" s="4"/>
      <c r="V11456" s="4"/>
      <c r="X11456" s="4"/>
      <c r="Y11456" s="4"/>
    </row>
    <row r="11457" spans="20:25" x14ac:dyDescent="0.25">
      <c r="T11457" s="10"/>
      <c r="U11457" s="4"/>
      <c r="V11457" s="4"/>
      <c r="X11457" s="4"/>
      <c r="Y11457" s="4"/>
    </row>
    <row r="11458" spans="20:25" x14ac:dyDescent="0.25">
      <c r="T11458" s="10"/>
      <c r="U11458" s="4"/>
      <c r="V11458" s="4"/>
      <c r="X11458" s="4"/>
      <c r="Y11458" s="4"/>
    </row>
    <row r="11459" spans="20:25" x14ac:dyDescent="0.25">
      <c r="T11459" s="10"/>
      <c r="U11459" s="4"/>
      <c r="V11459" s="4"/>
      <c r="X11459" s="4"/>
      <c r="Y11459" s="4"/>
    </row>
    <row r="11460" spans="20:25" x14ac:dyDescent="0.25">
      <c r="T11460" s="10"/>
      <c r="U11460" s="4"/>
      <c r="V11460" s="4"/>
      <c r="X11460" s="4"/>
      <c r="Y11460" s="4"/>
    </row>
    <row r="11461" spans="20:25" x14ac:dyDescent="0.25">
      <c r="T11461" s="10"/>
      <c r="U11461" s="4"/>
      <c r="V11461" s="4"/>
      <c r="X11461" s="4"/>
      <c r="Y11461" s="4"/>
    </row>
    <row r="11462" spans="20:25" x14ac:dyDescent="0.25">
      <c r="T11462" s="10"/>
      <c r="U11462" s="4"/>
      <c r="V11462" s="4"/>
      <c r="X11462" s="4"/>
      <c r="Y11462" s="4"/>
    </row>
    <row r="11463" spans="20:25" x14ac:dyDescent="0.25">
      <c r="T11463" s="10"/>
      <c r="U11463" s="4"/>
      <c r="V11463" s="4"/>
      <c r="X11463" s="4"/>
      <c r="Y11463" s="4"/>
    </row>
    <row r="11464" spans="20:25" x14ac:dyDescent="0.25">
      <c r="T11464" s="10"/>
      <c r="U11464" s="4"/>
      <c r="V11464" s="4"/>
      <c r="X11464" s="4"/>
      <c r="Y11464" s="4"/>
    </row>
    <row r="11465" spans="20:25" x14ac:dyDescent="0.25">
      <c r="T11465" s="10"/>
      <c r="U11465" s="4"/>
      <c r="V11465" s="4"/>
      <c r="X11465" s="4"/>
      <c r="Y11465" s="4"/>
    </row>
    <row r="11466" spans="20:25" x14ac:dyDescent="0.25">
      <c r="T11466" s="10"/>
      <c r="U11466" s="4"/>
      <c r="V11466" s="4"/>
      <c r="X11466" s="4"/>
      <c r="Y11466" s="4"/>
    </row>
    <row r="11467" spans="20:25" x14ac:dyDescent="0.25">
      <c r="T11467" s="10"/>
      <c r="U11467" s="4"/>
      <c r="V11467" s="4"/>
      <c r="X11467" s="4"/>
      <c r="Y11467" s="4"/>
    </row>
    <row r="11468" spans="20:25" x14ac:dyDescent="0.25">
      <c r="T11468" s="10"/>
      <c r="U11468" s="4"/>
      <c r="V11468" s="4"/>
      <c r="X11468" s="4"/>
      <c r="Y11468" s="4"/>
    </row>
    <row r="11469" spans="20:25" x14ac:dyDescent="0.25">
      <c r="T11469" s="10"/>
      <c r="U11469" s="4"/>
      <c r="V11469" s="4"/>
      <c r="X11469" s="4"/>
      <c r="Y11469" s="4"/>
    </row>
    <row r="11470" spans="20:25" x14ac:dyDescent="0.25">
      <c r="T11470" s="10"/>
      <c r="U11470" s="4"/>
      <c r="V11470" s="4"/>
      <c r="X11470" s="4"/>
      <c r="Y11470" s="4"/>
    </row>
    <row r="11471" spans="20:25" x14ac:dyDescent="0.25">
      <c r="T11471" s="10"/>
      <c r="U11471" s="4"/>
      <c r="V11471" s="4"/>
      <c r="X11471" s="4"/>
      <c r="Y11471" s="4"/>
    </row>
    <row r="11472" spans="20:25" x14ac:dyDescent="0.25">
      <c r="T11472" s="10"/>
      <c r="U11472" s="4"/>
      <c r="V11472" s="4"/>
      <c r="X11472" s="4"/>
      <c r="Y11472" s="4"/>
    </row>
    <row r="11473" spans="20:25" x14ac:dyDescent="0.25">
      <c r="T11473" s="10"/>
      <c r="U11473" s="4"/>
      <c r="V11473" s="4"/>
      <c r="X11473" s="4"/>
      <c r="Y11473" s="4"/>
    </row>
    <row r="11474" spans="20:25" x14ac:dyDescent="0.25">
      <c r="T11474" s="10"/>
      <c r="U11474" s="4"/>
      <c r="V11474" s="4"/>
      <c r="X11474" s="4"/>
      <c r="Y11474" s="4"/>
    </row>
    <row r="11475" spans="20:25" x14ac:dyDescent="0.25">
      <c r="T11475" s="10"/>
      <c r="U11475" s="4"/>
      <c r="V11475" s="4"/>
      <c r="X11475" s="4"/>
      <c r="Y11475" s="4"/>
    </row>
    <row r="11476" spans="20:25" x14ac:dyDescent="0.25">
      <c r="T11476" s="10"/>
      <c r="U11476" s="4"/>
      <c r="V11476" s="4"/>
      <c r="X11476" s="4"/>
      <c r="Y11476" s="4"/>
    </row>
    <row r="11477" spans="20:25" x14ac:dyDescent="0.25">
      <c r="T11477" s="10"/>
      <c r="U11477" s="4"/>
      <c r="V11477" s="4"/>
      <c r="X11477" s="4"/>
      <c r="Y11477" s="4"/>
    </row>
    <row r="11478" spans="20:25" x14ac:dyDescent="0.25">
      <c r="T11478" s="10"/>
      <c r="U11478" s="4"/>
      <c r="V11478" s="4"/>
      <c r="X11478" s="4"/>
      <c r="Y11478" s="4"/>
    </row>
    <row r="11479" spans="20:25" x14ac:dyDescent="0.25">
      <c r="T11479" s="10"/>
      <c r="U11479" s="4"/>
      <c r="V11479" s="4"/>
      <c r="X11479" s="4"/>
      <c r="Y11479" s="4"/>
    </row>
    <row r="11480" spans="20:25" x14ac:dyDescent="0.25">
      <c r="T11480" s="10"/>
      <c r="U11480" s="4"/>
      <c r="V11480" s="4"/>
      <c r="X11480" s="4"/>
      <c r="Y11480" s="4"/>
    </row>
    <row r="11481" spans="20:25" x14ac:dyDescent="0.25">
      <c r="T11481" s="10"/>
      <c r="U11481" s="4"/>
      <c r="V11481" s="4"/>
      <c r="X11481" s="4"/>
      <c r="Y11481" s="4"/>
    </row>
    <row r="11482" spans="20:25" x14ac:dyDescent="0.25">
      <c r="T11482" s="10"/>
      <c r="U11482" s="4"/>
      <c r="V11482" s="4"/>
      <c r="X11482" s="4"/>
      <c r="Y11482" s="4"/>
    </row>
    <row r="11483" spans="20:25" x14ac:dyDescent="0.25">
      <c r="T11483" s="10"/>
      <c r="U11483" s="4"/>
      <c r="V11483" s="4"/>
      <c r="X11483" s="4"/>
      <c r="Y11483" s="4"/>
    </row>
    <row r="11484" spans="20:25" x14ac:dyDescent="0.25">
      <c r="T11484" s="10"/>
      <c r="U11484" s="4"/>
      <c r="V11484" s="4"/>
      <c r="X11484" s="4"/>
      <c r="Y11484" s="4"/>
    </row>
    <row r="11485" spans="20:25" x14ac:dyDescent="0.25">
      <c r="T11485" s="10"/>
      <c r="U11485" s="4"/>
      <c r="V11485" s="4"/>
      <c r="X11485" s="4"/>
      <c r="Y11485" s="4"/>
    </row>
    <row r="11486" spans="20:25" x14ac:dyDescent="0.25">
      <c r="T11486" s="10"/>
      <c r="U11486" s="4"/>
      <c r="V11486" s="4"/>
      <c r="X11486" s="4"/>
      <c r="Y11486" s="4"/>
    </row>
    <row r="11487" spans="20:25" x14ac:dyDescent="0.25">
      <c r="T11487" s="10"/>
      <c r="U11487" s="4"/>
      <c r="V11487" s="4"/>
      <c r="X11487" s="4"/>
      <c r="Y11487" s="4"/>
    </row>
    <row r="11488" spans="20:25" x14ac:dyDescent="0.25">
      <c r="T11488" s="10"/>
      <c r="U11488" s="4"/>
      <c r="V11488" s="4"/>
      <c r="X11488" s="4"/>
      <c r="Y11488" s="4"/>
    </row>
    <row r="11489" spans="20:25" x14ac:dyDescent="0.25">
      <c r="T11489" s="10"/>
      <c r="U11489" s="4"/>
      <c r="V11489" s="4"/>
      <c r="X11489" s="4"/>
      <c r="Y11489" s="4"/>
    </row>
    <row r="11490" spans="20:25" x14ac:dyDescent="0.25">
      <c r="T11490" s="10"/>
      <c r="U11490" s="4"/>
      <c r="V11490" s="4"/>
      <c r="X11490" s="4"/>
      <c r="Y11490" s="4"/>
    </row>
    <row r="11491" spans="20:25" x14ac:dyDescent="0.25">
      <c r="T11491" s="10"/>
      <c r="U11491" s="4"/>
      <c r="V11491" s="4"/>
      <c r="X11491" s="4"/>
      <c r="Y11491" s="4"/>
    </row>
    <row r="11492" spans="20:25" x14ac:dyDescent="0.25">
      <c r="T11492" s="10"/>
      <c r="U11492" s="4"/>
      <c r="V11492" s="4"/>
      <c r="X11492" s="4"/>
      <c r="Y11492" s="4"/>
    </row>
    <row r="11493" spans="20:25" x14ac:dyDescent="0.25">
      <c r="T11493" s="10"/>
      <c r="U11493" s="4"/>
      <c r="V11493" s="4"/>
      <c r="X11493" s="4"/>
      <c r="Y11493" s="4"/>
    </row>
    <row r="11494" spans="20:25" x14ac:dyDescent="0.25">
      <c r="T11494" s="10"/>
      <c r="U11494" s="4"/>
      <c r="V11494" s="4"/>
      <c r="X11494" s="4"/>
      <c r="Y11494" s="4"/>
    </row>
    <row r="11495" spans="20:25" x14ac:dyDescent="0.25">
      <c r="T11495" s="10"/>
      <c r="U11495" s="4"/>
      <c r="V11495" s="4"/>
      <c r="X11495" s="4"/>
      <c r="Y11495" s="4"/>
    </row>
    <row r="11496" spans="20:25" x14ac:dyDescent="0.25">
      <c r="T11496" s="10"/>
      <c r="U11496" s="4"/>
      <c r="V11496" s="4"/>
      <c r="X11496" s="4"/>
      <c r="Y11496" s="4"/>
    </row>
    <row r="11497" spans="20:25" x14ac:dyDescent="0.25">
      <c r="T11497" s="10"/>
      <c r="U11497" s="4"/>
      <c r="V11497" s="4"/>
      <c r="X11497" s="4"/>
      <c r="Y11497" s="4"/>
    </row>
    <row r="11498" spans="20:25" x14ac:dyDescent="0.25">
      <c r="T11498" s="10"/>
      <c r="U11498" s="4"/>
      <c r="V11498" s="4"/>
      <c r="X11498" s="4"/>
      <c r="Y11498" s="4"/>
    </row>
    <row r="11499" spans="20:25" x14ac:dyDescent="0.25">
      <c r="T11499" s="10"/>
      <c r="U11499" s="4"/>
      <c r="V11499" s="4"/>
      <c r="X11499" s="4"/>
      <c r="Y11499" s="4"/>
    </row>
    <row r="11500" spans="20:25" x14ac:dyDescent="0.25">
      <c r="T11500" s="10"/>
      <c r="U11500" s="4"/>
      <c r="V11500" s="4"/>
      <c r="X11500" s="4"/>
      <c r="Y11500" s="4"/>
    </row>
    <row r="11501" spans="20:25" x14ac:dyDescent="0.25">
      <c r="T11501" s="10"/>
      <c r="U11501" s="4"/>
      <c r="V11501" s="4"/>
      <c r="X11501" s="4"/>
      <c r="Y11501" s="4"/>
    </row>
    <row r="11502" spans="20:25" x14ac:dyDescent="0.25">
      <c r="T11502" s="10"/>
      <c r="U11502" s="4"/>
      <c r="V11502" s="4"/>
      <c r="X11502" s="4"/>
      <c r="Y11502" s="4"/>
    </row>
    <row r="11503" spans="20:25" x14ac:dyDescent="0.25">
      <c r="T11503" s="10"/>
      <c r="U11503" s="4"/>
      <c r="V11503" s="4"/>
      <c r="X11503" s="4"/>
      <c r="Y11503" s="4"/>
    </row>
    <row r="11504" spans="20:25" x14ac:dyDescent="0.25">
      <c r="T11504" s="10"/>
      <c r="U11504" s="4"/>
      <c r="V11504" s="4"/>
      <c r="X11504" s="4"/>
      <c r="Y11504" s="4"/>
    </row>
    <row r="11505" spans="20:25" x14ac:dyDescent="0.25">
      <c r="T11505" s="10"/>
      <c r="U11505" s="4"/>
      <c r="V11505" s="4"/>
      <c r="X11505" s="4"/>
      <c r="Y11505" s="4"/>
    </row>
    <row r="11506" spans="20:25" x14ac:dyDescent="0.25">
      <c r="T11506" s="10"/>
      <c r="U11506" s="4"/>
      <c r="V11506" s="4"/>
      <c r="X11506" s="4"/>
      <c r="Y11506" s="4"/>
    </row>
    <row r="11507" spans="20:25" x14ac:dyDescent="0.25">
      <c r="T11507" s="10"/>
      <c r="U11507" s="4"/>
      <c r="V11507" s="4"/>
      <c r="X11507" s="4"/>
      <c r="Y11507" s="4"/>
    </row>
    <row r="11508" spans="20:25" x14ac:dyDescent="0.25">
      <c r="T11508" s="10"/>
      <c r="U11508" s="4"/>
      <c r="V11508" s="4"/>
      <c r="X11508" s="4"/>
      <c r="Y11508" s="4"/>
    </row>
    <row r="11509" spans="20:25" x14ac:dyDescent="0.25">
      <c r="T11509" s="10"/>
      <c r="U11509" s="4"/>
      <c r="V11509" s="4"/>
      <c r="X11509" s="4"/>
      <c r="Y11509" s="4"/>
    </row>
    <row r="11510" spans="20:25" x14ac:dyDescent="0.25">
      <c r="T11510" s="10"/>
      <c r="U11510" s="4"/>
      <c r="V11510" s="4"/>
      <c r="X11510" s="4"/>
      <c r="Y11510" s="4"/>
    </row>
    <row r="11511" spans="20:25" x14ac:dyDescent="0.25">
      <c r="T11511" s="10"/>
      <c r="U11511" s="4"/>
      <c r="V11511" s="4"/>
      <c r="X11511" s="4"/>
      <c r="Y11511" s="4"/>
    </row>
    <row r="11512" spans="20:25" x14ac:dyDescent="0.25">
      <c r="T11512" s="10"/>
      <c r="U11512" s="4"/>
      <c r="V11512" s="4"/>
      <c r="X11512" s="4"/>
      <c r="Y11512" s="4"/>
    </row>
    <row r="11513" spans="20:25" x14ac:dyDescent="0.25">
      <c r="T11513" s="10"/>
      <c r="U11513" s="4"/>
      <c r="V11513" s="4"/>
      <c r="X11513" s="4"/>
      <c r="Y11513" s="4"/>
    </row>
    <row r="11514" spans="20:25" x14ac:dyDescent="0.25">
      <c r="T11514" s="10"/>
      <c r="U11514" s="4"/>
      <c r="V11514" s="4"/>
      <c r="X11514" s="4"/>
      <c r="Y11514" s="4"/>
    </row>
    <row r="11515" spans="20:25" x14ac:dyDescent="0.25">
      <c r="T11515" s="10"/>
      <c r="U11515" s="4"/>
      <c r="V11515" s="4"/>
      <c r="X11515" s="4"/>
      <c r="Y11515" s="4"/>
    </row>
    <row r="11516" spans="20:25" x14ac:dyDescent="0.25">
      <c r="T11516" s="10"/>
      <c r="U11516" s="4"/>
      <c r="V11516" s="4"/>
      <c r="X11516" s="4"/>
      <c r="Y11516" s="4"/>
    </row>
    <row r="11517" spans="20:25" x14ac:dyDescent="0.25">
      <c r="T11517" s="10"/>
      <c r="U11517" s="4"/>
      <c r="V11517" s="4"/>
      <c r="X11517" s="4"/>
      <c r="Y11517" s="4"/>
    </row>
    <row r="11518" spans="20:25" x14ac:dyDescent="0.25">
      <c r="T11518" s="10"/>
      <c r="U11518" s="4"/>
      <c r="V11518" s="4"/>
      <c r="X11518" s="4"/>
      <c r="Y11518" s="4"/>
    </row>
    <row r="11519" spans="20:25" x14ac:dyDescent="0.25">
      <c r="T11519" s="10"/>
      <c r="U11519" s="4"/>
      <c r="V11519" s="4"/>
      <c r="X11519" s="4"/>
      <c r="Y11519" s="4"/>
    </row>
    <row r="11520" spans="20:25" x14ac:dyDescent="0.25">
      <c r="T11520" s="10"/>
      <c r="U11520" s="4"/>
      <c r="V11520" s="4"/>
      <c r="X11520" s="4"/>
      <c r="Y11520" s="4"/>
    </row>
    <row r="11521" spans="20:25" x14ac:dyDescent="0.25">
      <c r="T11521" s="10"/>
      <c r="U11521" s="4"/>
      <c r="V11521" s="4"/>
      <c r="X11521" s="4"/>
      <c r="Y11521" s="4"/>
    </row>
    <row r="11522" spans="20:25" x14ac:dyDescent="0.25">
      <c r="T11522" s="10"/>
      <c r="U11522" s="4"/>
      <c r="V11522" s="4"/>
      <c r="X11522" s="4"/>
      <c r="Y11522" s="4"/>
    </row>
    <row r="11523" spans="20:25" x14ac:dyDescent="0.25">
      <c r="T11523" s="10"/>
      <c r="U11523" s="4"/>
      <c r="V11523" s="4"/>
      <c r="X11523" s="4"/>
      <c r="Y11523" s="4"/>
    </row>
    <row r="11524" spans="20:25" x14ac:dyDescent="0.25">
      <c r="T11524" s="10"/>
      <c r="U11524" s="4"/>
      <c r="V11524" s="4"/>
      <c r="X11524" s="4"/>
      <c r="Y11524" s="4"/>
    </row>
    <row r="11525" spans="20:25" x14ac:dyDescent="0.25">
      <c r="T11525" s="10"/>
      <c r="U11525" s="4"/>
      <c r="V11525" s="4"/>
      <c r="X11525" s="4"/>
      <c r="Y11525" s="4"/>
    </row>
    <row r="11526" spans="20:25" x14ac:dyDescent="0.25">
      <c r="T11526" s="10"/>
      <c r="U11526" s="4"/>
      <c r="V11526" s="4"/>
      <c r="X11526" s="4"/>
      <c r="Y11526" s="4"/>
    </row>
    <row r="11527" spans="20:25" x14ac:dyDescent="0.25">
      <c r="T11527" s="10"/>
      <c r="U11527" s="4"/>
      <c r="V11527" s="4"/>
      <c r="X11527" s="4"/>
      <c r="Y11527" s="4"/>
    </row>
    <row r="11528" spans="20:25" x14ac:dyDescent="0.25">
      <c r="T11528" s="10"/>
      <c r="U11528" s="4"/>
      <c r="V11528" s="4"/>
      <c r="X11528" s="4"/>
      <c r="Y11528" s="4"/>
    </row>
    <row r="11529" spans="20:25" x14ac:dyDescent="0.25">
      <c r="T11529" s="10"/>
      <c r="U11529" s="4"/>
      <c r="V11529" s="4"/>
      <c r="X11529" s="4"/>
      <c r="Y11529" s="4"/>
    </row>
    <row r="11530" spans="20:25" x14ac:dyDescent="0.25">
      <c r="T11530" s="10"/>
      <c r="U11530" s="4"/>
      <c r="V11530" s="4"/>
      <c r="X11530" s="4"/>
      <c r="Y11530" s="4"/>
    </row>
    <row r="11531" spans="20:25" x14ac:dyDescent="0.25">
      <c r="T11531" s="10"/>
      <c r="U11531" s="4"/>
      <c r="V11531" s="4"/>
      <c r="X11531" s="4"/>
      <c r="Y11531" s="4"/>
    </row>
    <row r="11532" spans="20:25" x14ac:dyDescent="0.25">
      <c r="T11532" s="10"/>
      <c r="U11532" s="4"/>
      <c r="V11532" s="4"/>
      <c r="X11532" s="4"/>
      <c r="Y11532" s="4"/>
    </row>
    <row r="11533" spans="20:25" x14ac:dyDescent="0.25">
      <c r="T11533" s="10"/>
      <c r="U11533" s="4"/>
      <c r="V11533" s="4"/>
      <c r="X11533" s="4"/>
      <c r="Y11533" s="4"/>
    </row>
    <row r="11534" spans="20:25" x14ac:dyDescent="0.25">
      <c r="T11534" s="10"/>
      <c r="U11534" s="4"/>
      <c r="V11534" s="4"/>
      <c r="X11534" s="4"/>
      <c r="Y11534" s="4"/>
    </row>
    <row r="11535" spans="20:25" x14ac:dyDescent="0.25">
      <c r="T11535" s="10"/>
      <c r="U11535" s="4"/>
      <c r="V11535" s="4"/>
      <c r="X11535" s="4"/>
      <c r="Y11535" s="4"/>
    </row>
    <row r="11536" spans="20:25" x14ac:dyDescent="0.25">
      <c r="T11536" s="10"/>
      <c r="U11536" s="4"/>
      <c r="V11536" s="4"/>
      <c r="X11536" s="4"/>
      <c r="Y11536" s="4"/>
    </row>
    <row r="11537" spans="20:25" x14ac:dyDescent="0.25">
      <c r="T11537" s="10"/>
      <c r="U11537" s="4"/>
      <c r="V11537" s="4"/>
      <c r="X11537" s="4"/>
      <c r="Y11537" s="4"/>
    </row>
    <row r="11538" spans="20:25" x14ac:dyDescent="0.25">
      <c r="T11538" s="10"/>
      <c r="U11538" s="4"/>
      <c r="V11538" s="4"/>
      <c r="X11538" s="4"/>
      <c r="Y11538" s="4"/>
    </row>
    <row r="11539" spans="20:25" x14ac:dyDescent="0.25">
      <c r="T11539" s="10"/>
      <c r="U11539" s="4"/>
      <c r="V11539" s="4"/>
      <c r="X11539" s="4"/>
      <c r="Y11539" s="4"/>
    </row>
    <row r="11540" spans="20:25" x14ac:dyDescent="0.25">
      <c r="T11540" s="10"/>
      <c r="U11540" s="4"/>
      <c r="V11540" s="4"/>
      <c r="X11540" s="4"/>
      <c r="Y11540" s="4"/>
    </row>
    <row r="11541" spans="20:25" x14ac:dyDescent="0.25">
      <c r="T11541" s="10"/>
      <c r="U11541" s="4"/>
      <c r="V11541" s="4"/>
      <c r="X11541" s="4"/>
      <c r="Y11541" s="4"/>
    </row>
    <row r="11542" spans="20:25" x14ac:dyDescent="0.25">
      <c r="T11542" s="10"/>
      <c r="U11542" s="4"/>
      <c r="V11542" s="4"/>
      <c r="X11542" s="4"/>
      <c r="Y11542" s="4"/>
    </row>
    <row r="11543" spans="20:25" x14ac:dyDescent="0.25">
      <c r="T11543" s="10"/>
      <c r="U11543" s="4"/>
      <c r="V11543" s="4"/>
      <c r="X11543" s="4"/>
      <c r="Y11543" s="4"/>
    </row>
    <row r="11544" spans="20:25" x14ac:dyDescent="0.25">
      <c r="T11544" s="10"/>
      <c r="U11544" s="4"/>
      <c r="V11544" s="4"/>
      <c r="X11544" s="4"/>
      <c r="Y11544" s="4"/>
    </row>
    <row r="11545" spans="20:25" x14ac:dyDescent="0.25">
      <c r="T11545" s="10"/>
      <c r="U11545" s="4"/>
      <c r="V11545" s="4"/>
      <c r="X11545" s="4"/>
      <c r="Y11545" s="4"/>
    </row>
    <row r="11546" spans="20:25" x14ac:dyDescent="0.25">
      <c r="T11546" s="10"/>
      <c r="U11546" s="4"/>
      <c r="V11546" s="4"/>
      <c r="X11546" s="4"/>
      <c r="Y11546" s="4"/>
    </row>
    <row r="11547" spans="20:25" x14ac:dyDescent="0.25">
      <c r="T11547" s="10"/>
      <c r="U11547" s="4"/>
      <c r="V11547" s="4"/>
      <c r="X11547" s="4"/>
      <c r="Y11547" s="4"/>
    </row>
    <row r="11548" spans="20:25" x14ac:dyDescent="0.25">
      <c r="T11548" s="10"/>
      <c r="U11548" s="4"/>
      <c r="V11548" s="4"/>
      <c r="X11548" s="4"/>
      <c r="Y11548" s="4"/>
    </row>
    <row r="11549" spans="20:25" x14ac:dyDescent="0.25">
      <c r="T11549" s="10"/>
      <c r="U11549" s="4"/>
      <c r="V11549" s="4"/>
      <c r="X11549" s="4"/>
      <c r="Y11549" s="4"/>
    </row>
    <row r="11550" spans="20:25" x14ac:dyDescent="0.25">
      <c r="T11550" s="10"/>
      <c r="U11550" s="4"/>
      <c r="V11550" s="4"/>
      <c r="X11550" s="4"/>
      <c r="Y11550" s="4"/>
    </row>
    <row r="11551" spans="20:25" x14ac:dyDescent="0.25">
      <c r="T11551" s="10"/>
      <c r="U11551" s="4"/>
      <c r="V11551" s="4"/>
      <c r="X11551" s="4"/>
      <c r="Y11551" s="4"/>
    </row>
    <row r="11552" spans="20:25" x14ac:dyDescent="0.25">
      <c r="T11552" s="10"/>
      <c r="U11552" s="4"/>
      <c r="V11552" s="4"/>
      <c r="X11552" s="4"/>
      <c r="Y11552" s="4"/>
    </row>
    <row r="11553" spans="20:25" x14ac:dyDescent="0.25">
      <c r="T11553" s="10"/>
      <c r="U11553" s="4"/>
      <c r="V11553" s="4"/>
      <c r="X11553" s="4"/>
      <c r="Y11553" s="4"/>
    </row>
    <row r="11554" spans="20:25" x14ac:dyDescent="0.25">
      <c r="T11554" s="10"/>
      <c r="U11554" s="4"/>
      <c r="V11554" s="4"/>
      <c r="X11554" s="4"/>
      <c r="Y11554" s="4"/>
    </row>
    <row r="11555" spans="20:25" x14ac:dyDescent="0.25">
      <c r="T11555" s="10"/>
      <c r="U11555" s="4"/>
      <c r="V11555" s="4"/>
      <c r="X11555" s="4"/>
      <c r="Y11555" s="4"/>
    </row>
    <row r="11556" spans="20:25" x14ac:dyDescent="0.25">
      <c r="T11556" s="10"/>
      <c r="U11556" s="4"/>
      <c r="V11556" s="4"/>
      <c r="X11556" s="4"/>
      <c r="Y11556" s="4"/>
    </row>
    <row r="11557" spans="20:25" x14ac:dyDescent="0.25">
      <c r="T11557" s="10"/>
      <c r="U11557" s="4"/>
      <c r="V11557" s="4"/>
      <c r="X11557" s="4"/>
      <c r="Y11557" s="4"/>
    </row>
    <row r="11558" spans="20:25" x14ac:dyDescent="0.25">
      <c r="T11558" s="10"/>
      <c r="U11558" s="4"/>
      <c r="V11558" s="4"/>
      <c r="X11558" s="4"/>
      <c r="Y11558" s="4"/>
    </row>
    <row r="11559" spans="20:25" x14ac:dyDescent="0.25">
      <c r="T11559" s="10"/>
      <c r="U11559" s="4"/>
      <c r="V11559" s="4"/>
      <c r="X11559" s="4"/>
      <c r="Y11559" s="4"/>
    </row>
    <row r="11560" spans="20:25" x14ac:dyDescent="0.25">
      <c r="T11560" s="10"/>
      <c r="U11560" s="4"/>
      <c r="V11560" s="4"/>
      <c r="X11560" s="4"/>
      <c r="Y11560" s="4"/>
    </row>
    <row r="11561" spans="20:25" x14ac:dyDescent="0.25">
      <c r="T11561" s="10"/>
      <c r="U11561" s="4"/>
      <c r="V11561" s="4"/>
      <c r="X11561" s="4"/>
      <c r="Y11561" s="4"/>
    </row>
    <row r="11562" spans="20:25" x14ac:dyDescent="0.25">
      <c r="T11562" s="10"/>
      <c r="U11562" s="4"/>
      <c r="V11562" s="4"/>
      <c r="X11562" s="4"/>
      <c r="Y11562" s="4"/>
    </row>
    <row r="11563" spans="20:25" x14ac:dyDescent="0.25">
      <c r="T11563" s="10"/>
      <c r="U11563" s="4"/>
      <c r="V11563" s="4"/>
      <c r="X11563" s="4"/>
      <c r="Y11563" s="4"/>
    </row>
    <row r="11564" spans="20:25" x14ac:dyDescent="0.25">
      <c r="T11564" s="10"/>
      <c r="U11564" s="4"/>
      <c r="V11564" s="4"/>
      <c r="X11564" s="4"/>
      <c r="Y11564" s="4"/>
    </row>
    <row r="11565" spans="20:25" x14ac:dyDescent="0.25">
      <c r="T11565" s="10"/>
      <c r="U11565" s="4"/>
      <c r="V11565" s="4"/>
      <c r="X11565" s="4"/>
      <c r="Y11565" s="4"/>
    </row>
    <row r="11566" spans="20:25" x14ac:dyDescent="0.25">
      <c r="T11566" s="10"/>
      <c r="U11566" s="4"/>
      <c r="V11566" s="4"/>
      <c r="X11566" s="4"/>
      <c r="Y11566" s="4"/>
    </row>
    <row r="11567" spans="20:25" x14ac:dyDescent="0.25">
      <c r="T11567" s="10"/>
      <c r="U11567" s="4"/>
      <c r="V11567" s="4"/>
      <c r="X11567" s="4"/>
      <c r="Y11567" s="4"/>
    </row>
    <row r="11568" spans="20:25" x14ac:dyDescent="0.25">
      <c r="T11568" s="10"/>
      <c r="U11568" s="4"/>
      <c r="V11568" s="4"/>
      <c r="X11568" s="4"/>
      <c r="Y11568" s="4"/>
    </row>
    <row r="11569" spans="20:25" x14ac:dyDescent="0.25">
      <c r="T11569" s="10"/>
      <c r="U11569" s="4"/>
      <c r="V11569" s="4"/>
      <c r="X11569" s="4"/>
      <c r="Y11569" s="4"/>
    </row>
    <row r="11570" spans="20:25" x14ac:dyDescent="0.25">
      <c r="T11570" s="10"/>
      <c r="U11570" s="4"/>
      <c r="V11570" s="4"/>
      <c r="X11570" s="4"/>
      <c r="Y11570" s="4"/>
    </row>
    <row r="11571" spans="20:25" x14ac:dyDescent="0.25">
      <c r="T11571" s="10"/>
      <c r="U11571" s="4"/>
      <c r="V11571" s="4"/>
      <c r="X11571" s="4"/>
      <c r="Y11571" s="4"/>
    </row>
    <row r="11572" spans="20:25" x14ac:dyDescent="0.25">
      <c r="T11572" s="10"/>
      <c r="U11572" s="4"/>
      <c r="V11572" s="4"/>
      <c r="X11572" s="4"/>
      <c r="Y11572" s="4"/>
    </row>
    <row r="11573" spans="20:25" x14ac:dyDescent="0.25">
      <c r="T11573" s="10"/>
      <c r="U11573" s="4"/>
      <c r="V11573" s="4"/>
      <c r="X11573" s="4"/>
      <c r="Y11573" s="4"/>
    </row>
    <row r="11574" spans="20:25" x14ac:dyDescent="0.25">
      <c r="T11574" s="10"/>
      <c r="U11574" s="4"/>
      <c r="V11574" s="4"/>
      <c r="X11574" s="4"/>
      <c r="Y11574" s="4"/>
    </row>
    <row r="11575" spans="20:25" x14ac:dyDescent="0.25">
      <c r="T11575" s="10"/>
      <c r="U11575" s="4"/>
      <c r="V11575" s="4"/>
      <c r="X11575" s="4"/>
      <c r="Y11575" s="4"/>
    </row>
    <row r="11576" spans="20:25" x14ac:dyDescent="0.25">
      <c r="T11576" s="10"/>
      <c r="U11576" s="4"/>
      <c r="V11576" s="4"/>
      <c r="X11576" s="4"/>
      <c r="Y11576" s="4"/>
    </row>
    <row r="11577" spans="20:25" x14ac:dyDescent="0.25">
      <c r="T11577" s="10"/>
      <c r="U11577" s="4"/>
      <c r="V11577" s="4"/>
      <c r="X11577" s="4"/>
      <c r="Y11577" s="4"/>
    </row>
    <row r="11578" spans="20:25" x14ac:dyDescent="0.25">
      <c r="T11578" s="10"/>
      <c r="U11578" s="4"/>
      <c r="V11578" s="4"/>
      <c r="X11578" s="4"/>
      <c r="Y11578" s="4"/>
    </row>
    <row r="11579" spans="20:25" x14ac:dyDescent="0.25">
      <c r="T11579" s="10"/>
      <c r="U11579" s="4"/>
      <c r="V11579" s="4"/>
      <c r="X11579" s="4"/>
      <c r="Y11579" s="4"/>
    </row>
    <row r="11580" spans="20:25" x14ac:dyDescent="0.25">
      <c r="T11580" s="10"/>
      <c r="U11580" s="4"/>
      <c r="V11580" s="4"/>
      <c r="X11580" s="4"/>
      <c r="Y11580" s="4"/>
    </row>
    <row r="11581" spans="20:25" x14ac:dyDescent="0.25">
      <c r="T11581" s="10"/>
      <c r="U11581" s="4"/>
      <c r="V11581" s="4"/>
      <c r="X11581" s="4"/>
      <c r="Y11581" s="4"/>
    </row>
    <row r="11582" spans="20:25" x14ac:dyDescent="0.25">
      <c r="T11582" s="10"/>
      <c r="U11582" s="4"/>
      <c r="V11582" s="4"/>
      <c r="X11582" s="4"/>
      <c r="Y11582" s="4"/>
    </row>
    <row r="11583" spans="20:25" x14ac:dyDescent="0.25">
      <c r="T11583" s="10"/>
      <c r="U11583" s="4"/>
      <c r="V11583" s="4"/>
      <c r="X11583" s="4"/>
      <c r="Y11583" s="4"/>
    </row>
    <row r="11584" spans="20:25" x14ac:dyDescent="0.25">
      <c r="T11584" s="10"/>
      <c r="U11584" s="4"/>
      <c r="V11584" s="4"/>
      <c r="X11584" s="4"/>
      <c r="Y11584" s="4"/>
    </row>
    <row r="11585" spans="20:25" x14ac:dyDescent="0.25">
      <c r="T11585" s="10"/>
      <c r="U11585" s="4"/>
      <c r="V11585" s="4"/>
      <c r="X11585" s="4"/>
      <c r="Y11585" s="4"/>
    </row>
    <row r="11586" spans="20:25" x14ac:dyDescent="0.25">
      <c r="T11586" s="10"/>
      <c r="U11586" s="4"/>
      <c r="V11586" s="4"/>
      <c r="X11586" s="4"/>
      <c r="Y11586" s="4"/>
    </row>
    <row r="11587" spans="20:25" x14ac:dyDescent="0.25">
      <c r="T11587" s="10"/>
      <c r="U11587" s="4"/>
      <c r="V11587" s="4"/>
      <c r="X11587" s="4"/>
      <c r="Y11587" s="4"/>
    </row>
    <row r="11588" spans="20:25" x14ac:dyDescent="0.25">
      <c r="T11588" s="10"/>
      <c r="U11588" s="4"/>
      <c r="V11588" s="4"/>
      <c r="X11588" s="4"/>
      <c r="Y11588" s="4"/>
    </row>
    <row r="11589" spans="20:25" x14ac:dyDescent="0.25">
      <c r="T11589" s="10"/>
      <c r="U11589" s="4"/>
      <c r="V11589" s="4"/>
      <c r="X11589" s="4"/>
      <c r="Y11589" s="4"/>
    </row>
    <row r="11590" spans="20:25" x14ac:dyDescent="0.25">
      <c r="T11590" s="10"/>
      <c r="U11590" s="4"/>
      <c r="V11590" s="4"/>
      <c r="X11590" s="4"/>
      <c r="Y11590" s="4"/>
    </row>
    <row r="11591" spans="20:25" x14ac:dyDescent="0.25">
      <c r="T11591" s="10"/>
      <c r="U11591" s="4"/>
      <c r="V11591" s="4"/>
      <c r="X11591" s="4"/>
      <c r="Y11591" s="4"/>
    </row>
    <row r="11592" spans="20:25" x14ac:dyDescent="0.25">
      <c r="T11592" s="10"/>
      <c r="U11592" s="4"/>
      <c r="V11592" s="4"/>
      <c r="X11592" s="4"/>
      <c r="Y11592" s="4"/>
    </row>
    <row r="11593" spans="20:25" x14ac:dyDescent="0.25">
      <c r="T11593" s="10"/>
      <c r="U11593" s="4"/>
      <c r="V11593" s="4"/>
      <c r="X11593" s="4"/>
      <c r="Y11593" s="4"/>
    </row>
    <row r="11594" spans="20:25" x14ac:dyDescent="0.25">
      <c r="T11594" s="10"/>
      <c r="U11594" s="4"/>
      <c r="V11594" s="4"/>
      <c r="X11594" s="4"/>
      <c r="Y11594" s="4"/>
    </row>
    <row r="11595" spans="20:25" x14ac:dyDescent="0.25">
      <c r="T11595" s="10"/>
      <c r="U11595" s="4"/>
      <c r="V11595" s="4"/>
      <c r="X11595" s="4"/>
      <c r="Y11595" s="4"/>
    </row>
    <row r="11596" spans="20:25" x14ac:dyDescent="0.25">
      <c r="T11596" s="10"/>
      <c r="U11596" s="4"/>
      <c r="V11596" s="4"/>
      <c r="X11596" s="4"/>
      <c r="Y11596" s="4"/>
    </row>
    <row r="11597" spans="20:25" x14ac:dyDescent="0.25">
      <c r="T11597" s="10"/>
      <c r="U11597" s="4"/>
      <c r="V11597" s="4"/>
      <c r="X11597" s="4"/>
      <c r="Y11597" s="4"/>
    </row>
    <row r="11598" spans="20:25" x14ac:dyDescent="0.25">
      <c r="T11598" s="10"/>
      <c r="U11598" s="4"/>
      <c r="V11598" s="4"/>
      <c r="X11598" s="4"/>
      <c r="Y11598" s="4"/>
    </row>
    <row r="11599" spans="20:25" x14ac:dyDescent="0.25">
      <c r="T11599" s="10"/>
      <c r="U11599" s="4"/>
      <c r="V11599" s="4"/>
      <c r="X11599" s="4"/>
      <c r="Y11599" s="4"/>
    </row>
    <row r="11600" spans="20:25" x14ac:dyDescent="0.25">
      <c r="T11600" s="10"/>
      <c r="U11600" s="4"/>
      <c r="V11600" s="4"/>
      <c r="X11600" s="4"/>
      <c r="Y11600" s="4"/>
    </row>
    <row r="11601" spans="20:25" x14ac:dyDescent="0.25">
      <c r="T11601" s="10"/>
      <c r="U11601" s="4"/>
      <c r="V11601" s="4"/>
      <c r="X11601" s="4"/>
      <c r="Y11601" s="4"/>
    </row>
    <row r="11602" spans="20:25" x14ac:dyDescent="0.25">
      <c r="T11602" s="10"/>
      <c r="U11602" s="4"/>
      <c r="V11602" s="4"/>
      <c r="X11602" s="4"/>
      <c r="Y11602" s="4"/>
    </row>
    <row r="11603" spans="20:25" x14ac:dyDescent="0.25">
      <c r="T11603" s="10"/>
      <c r="U11603" s="4"/>
      <c r="V11603" s="4"/>
      <c r="X11603" s="4"/>
      <c r="Y11603" s="4"/>
    </row>
    <row r="11604" spans="20:25" x14ac:dyDescent="0.25">
      <c r="T11604" s="10"/>
      <c r="U11604" s="4"/>
      <c r="V11604" s="4"/>
      <c r="X11604" s="4"/>
      <c r="Y11604" s="4"/>
    </row>
    <row r="11605" spans="20:25" x14ac:dyDescent="0.25">
      <c r="T11605" s="10"/>
      <c r="U11605" s="4"/>
      <c r="V11605" s="4"/>
      <c r="X11605" s="4"/>
      <c r="Y11605" s="4"/>
    </row>
    <row r="11606" spans="20:25" x14ac:dyDescent="0.25">
      <c r="T11606" s="10"/>
      <c r="U11606" s="4"/>
      <c r="V11606" s="4"/>
      <c r="X11606" s="4"/>
      <c r="Y11606" s="4"/>
    </row>
    <row r="11607" spans="20:25" x14ac:dyDescent="0.25">
      <c r="T11607" s="10"/>
      <c r="U11607" s="4"/>
      <c r="V11607" s="4"/>
      <c r="X11607" s="4"/>
      <c r="Y11607" s="4"/>
    </row>
    <row r="11608" spans="20:25" x14ac:dyDescent="0.25">
      <c r="T11608" s="10"/>
      <c r="U11608" s="4"/>
      <c r="V11608" s="4"/>
      <c r="X11608" s="4"/>
      <c r="Y11608" s="4"/>
    </row>
    <row r="11609" spans="20:25" x14ac:dyDescent="0.25">
      <c r="T11609" s="10"/>
      <c r="U11609" s="4"/>
      <c r="V11609" s="4"/>
      <c r="X11609" s="4"/>
      <c r="Y11609" s="4"/>
    </row>
    <row r="11610" spans="20:25" x14ac:dyDescent="0.25">
      <c r="T11610" s="10"/>
      <c r="U11610" s="4"/>
      <c r="V11610" s="4"/>
      <c r="X11610" s="4"/>
      <c r="Y11610" s="4"/>
    </row>
    <row r="11611" spans="20:25" x14ac:dyDescent="0.25">
      <c r="T11611" s="10"/>
      <c r="U11611" s="4"/>
      <c r="V11611" s="4"/>
      <c r="X11611" s="4"/>
      <c r="Y11611" s="4"/>
    </row>
    <row r="11612" spans="20:25" x14ac:dyDescent="0.25">
      <c r="T11612" s="10"/>
      <c r="U11612" s="4"/>
      <c r="V11612" s="4"/>
      <c r="X11612" s="4"/>
      <c r="Y11612" s="4"/>
    </row>
    <row r="11613" spans="20:25" x14ac:dyDescent="0.25">
      <c r="T11613" s="10"/>
      <c r="U11613" s="4"/>
      <c r="V11613" s="4"/>
      <c r="X11613" s="4"/>
      <c r="Y11613" s="4"/>
    </row>
    <row r="11614" spans="20:25" x14ac:dyDescent="0.25">
      <c r="T11614" s="10"/>
      <c r="U11614" s="4"/>
      <c r="V11614" s="4"/>
      <c r="X11614" s="4"/>
      <c r="Y11614" s="4"/>
    </row>
    <row r="11615" spans="20:25" x14ac:dyDescent="0.25">
      <c r="T11615" s="10"/>
      <c r="U11615" s="4"/>
      <c r="V11615" s="4"/>
      <c r="X11615" s="4"/>
      <c r="Y11615" s="4"/>
    </row>
    <row r="11616" spans="20:25" x14ac:dyDescent="0.25">
      <c r="T11616" s="10"/>
      <c r="U11616" s="4"/>
      <c r="V11616" s="4"/>
      <c r="X11616" s="4"/>
      <c r="Y11616" s="4"/>
    </row>
    <row r="11617" spans="20:25" x14ac:dyDescent="0.25">
      <c r="T11617" s="10"/>
      <c r="U11617" s="4"/>
      <c r="V11617" s="4"/>
      <c r="X11617" s="4"/>
      <c r="Y11617" s="4"/>
    </row>
    <row r="11618" spans="20:25" x14ac:dyDescent="0.25">
      <c r="T11618" s="10"/>
      <c r="U11618" s="4"/>
      <c r="V11618" s="4"/>
      <c r="X11618" s="4"/>
      <c r="Y11618" s="4"/>
    </row>
    <row r="11619" spans="20:25" x14ac:dyDescent="0.25">
      <c r="T11619" s="10"/>
      <c r="U11619" s="4"/>
      <c r="V11619" s="4"/>
      <c r="X11619" s="4"/>
      <c r="Y11619" s="4"/>
    </row>
    <row r="11620" spans="20:25" x14ac:dyDescent="0.25">
      <c r="T11620" s="10"/>
      <c r="U11620" s="4"/>
      <c r="V11620" s="4"/>
      <c r="X11620" s="4"/>
      <c r="Y11620" s="4"/>
    </row>
    <row r="11621" spans="20:25" x14ac:dyDescent="0.25">
      <c r="T11621" s="10"/>
      <c r="U11621" s="4"/>
      <c r="V11621" s="4"/>
      <c r="X11621" s="4"/>
      <c r="Y11621" s="4"/>
    </row>
    <row r="11622" spans="20:25" x14ac:dyDescent="0.25">
      <c r="T11622" s="10"/>
      <c r="U11622" s="4"/>
      <c r="V11622" s="4"/>
      <c r="X11622" s="4"/>
      <c r="Y11622" s="4"/>
    </row>
    <row r="11623" spans="20:25" x14ac:dyDescent="0.25">
      <c r="T11623" s="10"/>
      <c r="U11623" s="4"/>
      <c r="V11623" s="4"/>
      <c r="X11623" s="4"/>
      <c r="Y11623" s="4"/>
    </row>
    <row r="11624" spans="20:25" x14ac:dyDescent="0.25">
      <c r="T11624" s="10"/>
      <c r="U11624" s="4"/>
      <c r="V11624" s="4"/>
      <c r="X11624" s="4"/>
      <c r="Y11624" s="4"/>
    </row>
    <row r="11625" spans="20:25" x14ac:dyDescent="0.25">
      <c r="T11625" s="10"/>
      <c r="U11625" s="4"/>
      <c r="V11625" s="4"/>
      <c r="X11625" s="4"/>
      <c r="Y11625" s="4"/>
    </row>
    <row r="11626" spans="20:25" x14ac:dyDescent="0.25">
      <c r="T11626" s="10"/>
      <c r="U11626" s="4"/>
      <c r="V11626" s="4"/>
      <c r="X11626" s="4"/>
      <c r="Y11626" s="4"/>
    </row>
    <row r="11627" spans="20:25" x14ac:dyDescent="0.25">
      <c r="T11627" s="10"/>
      <c r="U11627" s="4"/>
      <c r="V11627" s="4"/>
      <c r="X11627" s="4"/>
      <c r="Y11627" s="4"/>
    </row>
    <row r="11628" spans="20:25" x14ac:dyDescent="0.25">
      <c r="T11628" s="10"/>
      <c r="U11628" s="4"/>
      <c r="V11628" s="4"/>
      <c r="X11628" s="4"/>
      <c r="Y11628" s="4"/>
    </row>
    <row r="11629" spans="20:25" x14ac:dyDescent="0.25">
      <c r="T11629" s="10"/>
      <c r="U11629" s="4"/>
      <c r="V11629" s="4"/>
      <c r="X11629" s="4"/>
      <c r="Y11629" s="4"/>
    </row>
    <row r="11630" spans="20:25" x14ac:dyDescent="0.25">
      <c r="T11630" s="10"/>
      <c r="U11630" s="4"/>
      <c r="V11630" s="4"/>
      <c r="X11630" s="4"/>
      <c r="Y11630" s="4"/>
    </row>
    <row r="11631" spans="20:25" x14ac:dyDescent="0.25">
      <c r="T11631" s="10"/>
      <c r="U11631" s="4"/>
      <c r="V11631" s="4"/>
      <c r="X11631" s="4"/>
      <c r="Y11631" s="4"/>
    </row>
    <row r="11632" spans="20:25" x14ac:dyDescent="0.25">
      <c r="T11632" s="10"/>
      <c r="U11632" s="4"/>
      <c r="V11632" s="4"/>
      <c r="X11632" s="4"/>
      <c r="Y11632" s="4"/>
    </row>
    <row r="11633" spans="20:25" x14ac:dyDescent="0.25">
      <c r="T11633" s="10"/>
      <c r="U11633" s="4"/>
      <c r="V11633" s="4"/>
      <c r="X11633" s="4"/>
      <c r="Y11633" s="4"/>
    </row>
    <row r="11634" spans="20:25" x14ac:dyDescent="0.25">
      <c r="T11634" s="10"/>
      <c r="U11634" s="4"/>
      <c r="V11634" s="4"/>
      <c r="X11634" s="4"/>
      <c r="Y11634" s="4"/>
    </row>
    <row r="11635" spans="20:25" x14ac:dyDescent="0.25">
      <c r="T11635" s="10"/>
      <c r="U11635" s="4"/>
      <c r="V11635" s="4"/>
      <c r="X11635" s="4"/>
      <c r="Y11635" s="4"/>
    </row>
    <row r="11636" spans="20:25" x14ac:dyDescent="0.25">
      <c r="T11636" s="10"/>
      <c r="U11636" s="4"/>
      <c r="V11636" s="4"/>
      <c r="X11636" s="4"/>
      <c r="Y11636" s="4"/>
    </row>
    <row r="11637" spans="20:25" x14ac:dyDescent="0.25">
      <c r="T11637" s="10"/>
      <c r="U11637" s="4"/>
      <c r="V11637" s="4"/>
      <c r="X11637" s="4"/>
      <c r="Y11637" s="4"/>
    </row>
    <row r="11638" spans="20:25" x14ac:dyDescent="0.25">
      <c r="T11638" s="10"/>
      <c r="U11638" s="4"/>
      <c r="V11638" s="4"/>
      <c r="X11638" s="4"/>
      <c r="Y11638" s="4"/>
    </row>
    <row r="11639" spans="20:25" x14ac:dyDescent="0.25">
      <c r="T11639" s="10"/>
      <c r="U11639" s="4"/>
      <c r="V11639" s="4"/>
      <c r="X11639" s="4"/>
      <c r="Y11639" s="4"/>
    </row>
    <row r="11640" spans="20:25" x14ac:dyDescent="0.25">
      <c r="T11640" s="10"/>
      <c r="U11640" s="4"/>
      <c r="V11640" s="4"/>
      <c r="X11640" s="4"/>
      <c r="Y11640" s="4"/>
    </row>
    <row r="11641" spans="20:25" x14ac:dyDescent="0.25">
      <c r="T11641" s="10"/>
      <c r="U11641" s="4"/>
      <c r="V11641" s="4"/>
      <c r="X11641" s="4"/>
      <c r="Y11641" s="4"/>
    </row>
    <row r="11642" spans="20:25" x14ac:dyDescent="0.25">
      <c r="T11642" s="10"/>
      <c r="U11642" s="4"/>
      <c r="V11642" s="4"/>
      <c r="X11642" s="4"/>
      <c r="Y11642" s="4"/>
    </row>
    <row r="11643" spans="20:25" x14ac:dyDescent="0.25">
      <c r="T11643" s="10"/>
      <c r="U11643" s="4"/>
      <c r="V11643" s="4"/>
      <c r="X11643" s="4"/>
      <c r="Y11643" s="4"/>
    </row>
    <row r="11644" spans="20:25" x14ac:dyDescent="0.25">
      <c r="T11644" s="10"/>
      <c r="U11644" s="4"/>
      <c r="V11644" s="4"/>
      <c r="X11644" s="4"/>
      <c r="Y11644" s="4"/>
    </row>
    <row r="11645" spans="20:25" x14ac:dyDescent="0.25">
      <c r="T11645" s="10"/>
      <c r="U11645" s="4"/>
      <c r="V11645" s="4"/>
      <c r="X11645" s="4"/>
      <c r="Y11645" s="4"/>
    </row>
    <row r="11646" spans="20:25" x14ac:dyDescent="0.25">
      <c r="T11646" s="10"/>
      <c r="U11646" s="4"/>
      <c r="V11646" s="4"/>
      <c r="X11646" s="4"/>
      <c r="Y11646" s="4"/>
    </row>
    <row r="11647" spans="20:25" x14ac:dyDescent="0.25">
      <c r="T11647" s="10"/>
      <c r="U11647" s="4"/>
      <c r="V11647" s="4"/>
      <c r="X11647" s="4"/>
      <c r="Y11647" s="4"/>
    </row>
    <row r="11648" spans="20:25" x14ac:dyDescent="0.25">
      <c r="T11648" s="10"/>
      <c r="U11648" s="4"/>
      <c r="V11648" s="4"/>
      <c r="X11648" s="4"/>
      <c r="Y11648" s="4"/>
    </row>
    <row r="11649" spans="20:25" x14ac:dyDescent="0.25">
      <c r="T11649" s="10"/>
      <c r="U11649" s="4"/>
      <c r="V11649" s="4"/>
      <c r="X11649" s="4"/>
      <c r="Y11649" s="4"/>
    </row>
    <row r="11650" spans="20:25" x14ac:dyDescent="0.25">
      <c r="T11650" s="10"/>
      <c r="U11650" s="4"/>
      <c r="V11650" s="4"/>
      <c r="X11650" s="4"/>
      <c r="Y11650" s="4"/>
    </row>
    <row r="11651" spans="20:25" x14ac:dyDescent="0.25">
      <c r="T11651" s="10"/>
      <c r="U11651" s="4"/>
      <c r="V11651" s="4"/>
      <c r="X11651" s="4"/>
      <c r="Y11651" s="4"/>
    </row>
    <row r="11652" spans="20:25" x14ac:dyDescent="0.25">
      <c r="T11652" s="10"/>
      <c r="U11652" s="4"/>
      <c r="V11652" s="4"/>
      <c r="X11652" s="4"/>
      <c r="Y11652" s="4"/>
    </row>
    <row r="11653" spans="20:25" x14ac:dyDescent="0.25">
      <c r="T11653" s="10"/>
      <c r="U11653" s="4"/>
      <c r="V11653" s="4"/>
      <c r="X11653" s="4"/>
      <c r="Y11653" s="4"/>
    </row>
    <row r="11654" spans="20:25" x14ac:dyDescent="0.25">
      <c r="T11654" s="10"/>
      <c r="U11654" s="4"/>
      <c r="V11654" s="4"/>
      <c r="X11654" s="4"/>
      <c r="Y11654" s="4"/>
    </row>
    <row r="11655" spans="20:25" x14ac:dyDescent="0.25">
      <c r="T11655" s="10"/>
      <c r="U11655" s="4"/>
      <c r="V11655" s="4"/>
      <c r="X11655" s="4"/>
      <c r="Y11655" s="4"/>
    </row>
    <row r="11656" spans="20:25" x14ac:dyDescent="0.25">
      <c r="T11656" s="10"/>
      <c r="U11656" s="4"/>
      <c r="V11656" s="4"/>
      <c r="X11656" s="4"/>
      <c r="Y11656" s="4"/>
    </row>
    <row r="11657" spans="20:25" x14ac:dyDescent="0.25">
      <c r="T11657" s="10"/>
      <c r="U11657" s="4"/>
      <c r="V11657" s="4"/>
      <c r="X11657" s="4"/>
      <c r="Y11657" s="4"/>
    </row>
    <row r="11658" spans="20:25" x14ac:dyDescent="0.25">
      <c r="T11658" s="10"/>
      <c r="U11658" s="4"/>
      <c r="V11658" s="4"/>
      <c r="X11658" s="4"/>
      <c r="Y11658" s="4"/>
    </row>
    <row r="11659" spans="20:25" x14ac:dyDescent="0.25">
      <c r="T11659" s="10"/>
      <c r="U11659" s="4"/>
      <c r="V11659" s="4"/>
      <c r="X11659" s="4"/>
      <c r="Y11659" s="4"/>
    </row>
    <row r="11660" spans="20:25" x14ac:dyDescent="0.25">
      <c r="T11660" s="10"/>
      <c r="U11660" s="4"/>
      <c r="V11660" s="4"/>
      <c r="X11660" s="4"/>
      <c r="Y11660" s="4"/>
    </row>
    <row r="11661" spans="20:25" x14ac:dyDescent="0.25">
      <c r="T11661" s="10"/>
      <c r="U11661" s="4"/>
      <c r="V11661" s="4"/>
      <c r="X11661" s="4"/>
      <c r="Y11661" s="4"/>
    </row>
    <row r="11662" spans="20:25" x14ac:dyDescent="0.25">
      <c r="T11662" s="10"/>
      <c r="U11662" s="4"/>
      <c r="V11662" s="4"/>
      <c r="X11662" s="4"/>
      <c r="Y11662" s="4"/>
    </row>
    <row r="11663" spans="20:25" x14ac:dyDescent="0.25">
      <c r="T11663" s="10"/>
      <c r="U11663" s="4"/>
      <c r="V11663" s="4"/>
      <c r="X11663" s="4"/>
      <c r="Y11663" s="4"/>
    </row>
    <row r="11664" spans="20:25" x14ac:dyDescent="0.25">
      <c r="T11664" s="10"/>
      <c r="U11664" s="4"/>
      <c r="V11664" s="4"/>
      <c r="X11664" s="4"/>
      <c r="Y11664" s="4"/>
    </row>
    <row r="11665" spans="20:25" x14ac:dyDescent="0.25">
      <c r="T11665" s="10"/>
      <c r="U11665" s="4"/>
      <c r="V11665" s="4"/>
      <c r="X11665" s="4"/>
      <c r="Y11665" s="4"/>
    </row>
    <row r="11666" spans="20:25" x14ac:dyDescent="0.25">
      <c r="T11666" s="10"/>
      <c r="U11666" s="4"/>
      <c r="V11666" s="4"/>
      <c r="X11666" s="4"/>
      <c r="Y11666" s="4"/>
    </row>
    <row r="11667" spans="20:25" x14ac:dyDescent="0.25">
      <c r="T11667" s="10"/>
      <c r="U11667" s="4"/>
      <c r="V11667" s="4"/>
      <c r="X11667" s="4"/>
      <c r="Y11667" s="4"/>
    </row>
    <row r="11668" spans="20:25" x14ac:dyDescent="0.25">
      <c r="T11668" s="10"/>
      <c r="U11668" s="4"/>
      <c r="V11668" s="4"/>
      <c r="X11668" s="4"/>
      <c r="Y11668" s="4"/>
    </row>
    <row r="11669" spans="20:25" x14ac:dyDescent="0.25">
      <c r="T11669" s="10"/>
      <c r="U11669" s="4"/>
      <c r="V11669" s="4"/>
      <c r="X11669" s="4"/>
      <c r="Y11669" s="4"/>
    </row>
    <row r="11670" spans="20:25" x14ac:dyDescent="0.25">
      <c r="T11670" s="10"/>
      <c r="U11670" s="4"/>
      <c r="V11670" s="4"/>
      <c r="X11670" s="4"/>
      <c r="Y11670" s="4"/>
    </row>
    <row r="11671" spans="20:25" x14ac:dyDescent="0.25">
      <c r="T11671" s="10"/>
      <c r="U11671" s="4"/>
      <c r="V11671" s="4"/>
      <c r="X11671" s="4"/>
      <c r="Y11671" s="4"/>
    </row>
    <row r="11672" spans="20:25" x14ac:dyDescent="0.25">
      <c r="T11672" s="10"/>
      <c r="U11672" s="4"/>
      <c r="V11672" s="4"/>
      <c r="X11672" s="4"/>
      <c r="Y11672" s="4"/>
    </row>
    <row r="11673" spans="20:25" x14ac:dyDescent="0.25">
      <c r="T11673" s="10"/>
      <c r="U11673" s="4"/>
      <c r="V11673" s="4"/>
      <c r="X11673" s="4"/>
      <c r="Y11673" s="4"/>
    </row>
    <row r="11674" spans="20:25" x14ac:dyDescent="0.25">
      <c r="T11674" s="10"/>
      <c r="U11674" s="4"/>
      <c r="V11674" s="4"/>
      <c r="X11674" s="4"/>
      <c r="Y11674" s="4"/>
    </row>
    <row r="11675" spans="20:25" x14ac:dyDescent="0.25">
      <c r="T11675" s="10"/>
      <c r="U11675" s="4"/>
      <c r="V11675" s="4"/>
      <c r="X11675" s="4"/>
      <c r="Y11675" s="4"/>
    </row>
    <row r="11676" spans="20:25" x14ac:dyDescent="0.25">
      <c r="T11676" s="10"/>
      <c r="U11676" s="4"/>
      <c r="V11676" s="4"/>
      <c r="X11676" s="4"/>
      <c r="Y11676" s="4"/>
    </row>
    <row r="11677" spans="20:25" x14ac:dyDescent="0.25">
      <c r="T11677" s="10"/>
      <c r="U11677" s="4"/>
      <c r="V11677" s="4"/>
      <c r="X11677" s="4"/>
      <c r="Y11677" s="4"/>
    </row>
    <row r="11678" spans="20:25" x14ac:dyDescent="0.25">
      <c r="T11678" s="10"/>
      <c r="U11678" s="4"/>
      <c r="V11678" s="4"/>
      <c r="X11678" s="4"/>
      <c r="Y11678" s="4"/>
    </row>
    <row r="11679" spans="20:25" x14ac:dyDescent="0.25">
      <c r="T11679" s="10"/>
      <c r="U11679" s="4"/>
      <c r="V11679" s="4"/>
      <c r="X11679" s="4"/>
      <c r="Y11679" s="4"/>
    </row>
    <row r="11680" spans="20:25" x14ac:dyDescent="0.25">
      <c r="T11680" s="10"/>
      <c r="U11680" s="4"/>
      <c r="V11680" s="4"/>
      <c r="X11680" s="4"/>
      <c r="Y11680" s="4"/>
    </row>
    <row r="11681" spans="20:25" x14ac:dyDescent="0.25">
      <c r="T11681" s="10"/>
      <c r="U11681" s="4"/>
      <c r="V11681" s="4"/>
      <c r="X11681" s="4"/>
      <c r="Y11681" s="4"/>
    </row>
    <row r="11682" spans="20:25" x14ac:dyDescent="0.25">
      <c r="T11682" s="10"/>
      <c r="U11682" s="4"/>
      <c r="V11682" s="4"/>
      <c r="X11682" s="4"/>
      <c r="Y11682" s="4"/>
    </row>
    <row r="11683" spans="20:25" x14ac:dyDescent="0.25">
      <c r="T11683" s="10"/>
      <c r="U11683" s="4"/>
      <c r="V11683" s="4"/>
      <c r="X11683" s="4"/>
      <c r="Y11683" s="4"/>
    </row>
    <row r="11684" spans="20:25" x14ac:dyDescent="0.25">
      <c r="T11684" s="10"/>
      <c r="U11684" s="4"/>
      <c r="V11684" s="4"/>
      <c r="X11684" s="4"/>
      <c r="Y11684" s="4"/>
    </row>
    <row r="11685" spans="20:25" x14ac:dyDescent="0.25">
      <c r="T11685" s="10"/>
      <c r="U11685" s="4"/>
      <c r="V11685" s="4"/>
      <c r="X11685" s="4"/>
      <c r="Y11685" s="4"/>
    </row>
    <row r="11686" spans="20:25" x14ac:dyDescent="0.25">
      <c r="T11686" s="10"/>
      <c r="U11686" s="4"/>
      <c r="V11686" s="4"/>
      <c r="X11686" s="4"/>
      <c r="Y11686" s="4"/>
    </row>
    <row r="11687" spans="20:25" x14ac:dyDescent="0.25">
      <c r="T11687" s="10"/>
      <c r="U11687" s="4"/>
      <c r="V11687" s="4"/>
      <c r="X11687" s="4"/>
      <c r="Y11687" s="4"/>
    </row>
    <row r="11688" spans="20:25" x14ac:dyDescent="0.25">
      <c r="T11688" s="10"/>
      <c r="U11688" s="4"/>
      <c r="V11688" s="4"/>
      <c r="X11688" s="4"/>
      <c r="Y11688" s="4"/>
    </row>
    <row r="11689" spans="20:25" x14ac:dyDescent="0.25">
      <c r="T11689" s="10"/>
      <c r="U11689" s="4"/>
      <c r="V11689" s="4"/>
      <c r="X11689" s="4"/>
      <c r="Y11689" s="4"/>
    </row>
    <row r="11690" spans="20:25" x14ac:dyDescent="0.25">
      <c r="T11690" s="10"/>
      <c r="U11690" s="4"/>
      <c r="V11690" s="4"/>
      <c r="X11690" s="4"/>
      <c r="Y11690" s="4"/>
    </row>
    <row r="11691" spans="20:25" x14ac:dyDescent="0.25">
      <c r="T11691" s="10"/>
      <c r="U11691" s="4"/>
      <c r="V11691" s="4"/>
      <c r="X11691" s="4"/>
      <c r="Y11691" s="4"/>
    </row>
    <row r="11692" spans="20:25" x14ac:dyDescent="0.25">
      <c r="T11692" s="10"/>
      <c r="U11692" s="4"/>
      <c r="V11692" s="4"/>
      <c r="X11692" s="4"/>
      <c r="Y11692" s="4"/>
    </row>
    <row r="11693" spans="20:25" x14ac:dyDescent="0.25">
      <c r="T11693" s="10"/>
      <c r="U11693" s="4"/>
      <c r="V11693" s="4"/>
      <c r="X11693" s="4"/>
      <c r="Y11693" s="4"/>
    </row>
    <row r="11694" spans="20:25" x14ac:dyDescent="0.25">
      <c r="T11694" s="10"/>
      <c r="U11694" s="4"/>
      <c r="V11694" s="4"/>
      <c r="X11694" s="4"/>
      <c r="Y11694" s="4"/>
    </row>
    <row r="11695" spans="20:25" x14ac:dyDescent="0.25">
      <c r="T11695" s="10"/>
      <c r="U11695" s="4"/>
      <c r="V11695" s="4"/>
      <c r="X11695" s="4"/>
      <c r="Y11695" s="4"/>
    </row>
    <row r="11696" spans="20:25" x14ac:dyDescent="0.25">
      <c r="T11696" s="10"/>
      <c r="U11696" s="4"/>
      <c r="V11696" s="4"/>
      <c r="X11696" s="4"/>
      <c r="Y11696" s="4"/>
    </row>
    <row r="11697" spans="20:25" x14ac:dyDescent="0.25">
      <c r="T11697" s="10"/>
      <c r="U11697" s="4"/>
      <c r="V11697" s="4"/>
      <c r="X11697" s="4"/>
      <c r="Y11697" s="4"/>
    </row>
    <row r="11698" spans="20:25" x14ac:dyDescent="0.25">
      <c r="T11698" s="10"/>
      <c r="U11698" s="4"/>
      <c r="V11698" s="4"/>
      <c r="X11698" s="4"/>
      <c r="Y11698" s="4"/>
    </row>
    <row r="11699" spans="20:25" x14ac:dyDescent="0.25">
      <c r="T11699" s="10"/>
      <c r="U11699" s="4"/>
      <c r="V11699" s="4"/>
      <c r="X11699" s="4"/>
      <c r="Y11699" s="4"/>
    </row>
    <row r="11700" spans="20:25" x14ac:dyDescent="0.25">
      <c r="T11700" s="10"/>
      <c r="U11700" s="4"/>
      <c r="V11700" s="4"/>
      <c r="X11700" s="4"/>
      <c r="Y11700" s="4"/>
    </row>
    <row r="11701" spans="20:25" x14ac:dyDescent="0.25">
      <c r="T11701" s="10"/>
      <c r="U11701" s="4"/>
      <c r="V11701" s="4"/>
      <c r="X11701" s="4"/>
      <c r="Y11701" s="4"/>
    </row>
    <row r="11702" spans="20:25" x14ac:dyDescent="0.25">
      <c r="T11702" s="10"/>
      <c r="U11702" s="4"/>
      <c r="V11702" s="4"/>
      <c r="X11702" s="4"/>
      <c r="Y11702" s="4"/>
    </row>
    <row r="11703" spans="20:25" x14ac:dyDescent="0.25">
      <c r="T11703" s="10"/>
      <c r="U11703" s="4"/>
      <c r="V11703" s="4"/>
      <c r="X11703" s="4"/>
      <c r="Y11703" s="4"/>
    </row>
    <row r="11704" spans="20:25" x14ac:dyDescent="0.25">
      <c r="T11704" s="10"/>
      <c r="U11704" s="4"/>
      <c r="V11704" s="4"/>
      <c r="X11704" s="4"/>
      <c r="Y11704" s="4"/>
    </row>
    <row r="11705" spans="20:25" x14ac:dyDescent="0.25">
      <c r="T11705" s="10"/>
      <c r="U11705" s="4"/>
      <c r="V11705" s="4"/>
      <c r="X11705" s="4"/>
      <c r="Y11705" s="4"/>
    </row>
    <row r="11706" spans="20:25" x14ac:dyDescent="0.25">
      <c r="T11706" s="10"/>
      <c r="U11706" s="4"/>
      <c r="V11706" s="4"/>
      <c r="X11706" s="4"/>
      <c r="Y11706" s="4"/>
    </row>
    <row r="11707" spans="20:25" x14ac:dyDescent="0.25">
      <c r="T11707" s="10"/>
      <c r="U11707" s="4"/>
      <c r="V11707" s="4"/>
      <c r="X11707" s="4"/>
      <c r="Y11707" s="4"/>
    </row>
    <row r="11708" spans="20:25" x14ac:dyDescent="0.25">
      <c r="T11708" s="10"/>
      <c r="U11708" s="4"/>
      <c r="V11708" s="4"/>
      <c r="X11708" s="4"/>
      <c r="Y11708" s="4"/>
    </row>
    <row r="11709" spans="20:25" x14ac:dyDescent="0.25">
      <c r="T11709" s="10"/>
      <c r="U11709" s="4"/>
      <c r="V11709" s="4"/>
      <c r="X11709" s="4"/>
      <c r="Y11709" s="4"/>
    </row>
    <row r="11710" spans="20:25" x14ac:dyDescent="0.25">
      <c r="T11710" s="10"/>
      <c r="U11710" s="4"/>
      <c r="V11710" s="4"/>
      <c r="X11710" s="4"/>
      <c r="Y11710" s="4"/>
    </row>
    <row r="11711" spans="20:25" x14ac:dyDescent="0.25">
      <c r="T11711" s="10"/>
      <c r="U11711" s="4"/>
      <c r="V11711" s="4"/>
      <c r="X11711" s="4"/>
      <c r="Y11711" s="4"/>
    </row>
    <row r="11712" spans="20:25" x14ac:dyDescent="0.25">
      <c r="T11712" s="10"/>
      <c r="U11712" s="4"/>
      <c r="V11712" s="4"/>
      <c r="X11712" s="4"/>
      <c r="Y11712" s="4"/>
    </row>
    <row r="11713" spans="20:25" x14ac:dyDescent="0.25">
      <c r="T11713" s="10"/>
      <c r="U11713" s="4"/>
      <c r="V11713" s="4"/>
      <c r="X11713" s="4"/>
      <c r="Y11713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0EE46-B644-4E1D-A3FD-AF80D2789548}">
  <sheetPr>
    <tabColor theme="9" tint="0.59999389629810485"/>
  </sheetPr>
  <dimension ref="A1:M40"/>
  <sheetViews>
    <sheetView workbookViewId="0">
      <selection activeCell="L1" sqref="L1:L1048576"/>
    </sheetView>
  </sheetViews>
  <sheetFormatPr baseColWidth="10" defaultColWidth="9.140625" defaultRowHeight="15" x14ac:dyDescent="0.25"/>
  <cols>
    <col min="1" max="1" width="8.5703125" bestFit="1" customWidth="1"/>
    <col min="2" max="2" width="14.85546875" bestFit="1" customWidth="1"/>
    <col min="3" max="3" width="12.7109375" bestFit="1" customWidth="1"/>
    <col min="4" max="4" width="15.28515625" bestFit="1" customWidth="1"/>
    <col min="5" max="5" width="7.28515625" bestFit="1" customWidth="1"/>
    <col min="6" max="6" width="59.140625" bestFit="1" customWidth="1"/>
    <col min="7" max="7" width="22.42578125" bestFit="1" customWidth="1"/>
    <col min="8" max="8" width="11.42578125" bestFit="1" customWidth="1"/>
    <col min="9" max="9" width="15.42578125" bestFit="1" customWidth="1"/>
    <col min="10" max="10" width="19.28515625" bestFit="1" customWidth="1"/>
    <col min="11" max="11" width="12.140625" bestFit="1" customWidth="1"/>
    <col min="12" max="12" width="10.140625" style="61" bestFit="1" customWidth="1"/>
  </cols>
  <sheetData>
    <row r="1" spans="1:13" x14ac:dyDescent="0.25">
      <c r="A1" s="38" t="s">
        <v>43</v>
      </c>
      <c r="B1" s="38" t="s">
        <v>1</v>
      </c>
      <c r="C1" s="38" t="s">
        <v>465</v>
      </c>
      <c r="D1" s="38" t="s">
        <v>46</v>
      </c>
      <c r="E1" s="38" t="s">
        <v>42</v>
      </c>
      <c r="F1" s="38" t="s">
        <v>466</v>
      </c>
      <c r="G1" s="38" t="s">
        <v>467</v>
      </c>
      <c r="H1" s="38" t="s">
        <v>468</v>
      </c>
      <c r="I1" s="38" t="s">
        <v>469</v>
      </c>
      <c r="J1" s="38" t="s">
        <v>470</v>
      </c>
      <c r="K1" s="38" t="s">
        <v>471</v>
      </c>
      <c r="L1" s="60" t="s">
        <v>472</v>
      </c>
      <c r="M1" s="38" t="s">
        <v>475</v>
      </c>
    </row>
    <row r="2" spans="1:13" x14ac:dyDescent="0.25">
      <c r="A2" t="s">
        <v>476</v>
      </c>
      <c r="B2" t="s">
        <v>119</v>
      </c>
      <c r="C2">
        <v>1</v>
      </c>
      <c r="D2" t="s">
        <v>84</v>
      </c>
      <c r="E2" t="s">
        <v>477</v>
      </c>
      <c r="F2" t="s">
        <v>478</v>
      </c>
      <c r="G2" s="39">
        <v>43152</v>
      </c>
      <c r="H2">
        <v>33</v>
      </c>
      <c r="I2">
        <v>4110600</v>
      </c>
      <c r="J2" t="s">
        <v>473</v>
      </c>
      <c r="K2">
        <v>2660</v>
      </c>
      <c r="L2" s="61">
        <v>2976186</v>
      </c>
      <c r="M2">
        <v>4996.7</v>
      </c>
    </row>
    <row r="3" spans="1:13" x14ac:dyDescent="0.25">
      <c r="A3" t="s">
        <v>476</v>
      </c>
      <c r="B3" t="s">
        <v>145</v>
      </c>
      <c r="C3">
        <v>1</v>
      </c>
      <c r="D3" t="s">
        <v>84</v>
      </c>
      <c r="E3" t="s">
        <v>477</v>
      </c>
      <c r="F3" t="s">
        <v>478</v>
      </c>
      <c r="G3" s="39">
        <v>43518</v>
      </c>
      <c r="H3">
        <v>33</v>
      </c>
      <c r="I3">
        <v>4110600</v>
      </c>
      <c r="J3" t="s">
        <v>473</v>
      </c>
      <c r="K3">
        <v>5253</v>
      </c>
      <c r="L3" s="61">
        <v>5548783</v>
      </c>
      <c r="M3">
        <v>8480.1</v>
      </c>
    </row>
    <row r="4" spans="1:13" x14ac:dyDescent="0.25">
      <c r="A4" t="s">
        <v>476</v>
      </c>
      <c r="B4" t="s">
        <v>145</v>
      </c>
      <c r="C4">
        <v>1</v>
      </c>
      <c r="D4" t="s">
        <v>84</v>
      </c>
      <c r="E4" t="s">
        <v>477</v>
      </c>
      <c r="F4" t="s">
        <v>478</v>
      </c>
      <c r="G4" s="39">
        <v>43789</v>
      </c>
      <c r="H4">
        <v>33</v>
      </c>
      <c r="I4">
        <v>4110600</v>
      </c>
      <c r="J4" t="s">
        <v>473</v>
      </c>
      <c r="K4">
        <v>8690</v>
      </c>
      <c r="L4" s="61">
        <v>5916</v>
      </c>
      <c r="M4">
        <v>7.56</v>
      </c>
    </row>
    <row r="5" spans="1:13" x14ac:dyDescent="0.25">
      <c r="A5" t="s">
        <v>476</v>
      </c>
      <c r="B5" t="s">
        <v>145</v>
      </c>
      <c r="C5">
        <v>1</v>
      </c>
      <c r="D5" t="s">
        <v>84</v>
      </c>
      <c r="E5" t="s">
        <v>477</v>
      </c>
      <c r="F5" t="s">
        <v>478</v>
      </c>
      <c r="G5" s="39">
        <v>43789</v>
      </c>
      <c r="H5">
        <v>33</v>
      </c>
      <c r="I5">
        <v>4110600</v>
      </c>
      <c r="J5" t="s">
        <v>473</v>
      </c>
      <c r="K5">
        <v>8796</v>
      </c>
      <c r="L5" s="61">
        <v>5916</v>
      </c>
      <c r="M5">
        <v>7.56</v>
      </c>
    </row>
    <row r="6" spans="1:13" x14ac:dyDescent="0.25">
      <c r="A6" t="s">
        <v>476</v>
      </c>
      <c r="B6" t="s">
        <v>117</v>
      </c>
      <c r="C6">
        <v>1</v>
      </c>
      <c r="D6" t="s">
        <v>84</v>
      </c>
      <c r="E6" t="s">
        <v>477</v>
      </c>
      <c r="F6" t="s">
        <v>478</v>
      </c>
      <c r="G6" s="39">
        <v>43188</v>
      </c>
      <c r="H6">
        <v>33</v>
      </c>
      <c r="I6">
        <v>4110600</v>
      </c>
      <c r="J6" t="s">
        <v>473</v>
      </c>
      <c r="K6">
        <v>2965</v>
      </c>
      <c r="L6" s="61">
        <v>2970366</v>
      </c>
      <c r="M6">
        <v>4907.59</v>
      </c>
    </row>
    <row r="7" spans="1:13" x14ac:dyDescent="0.25">
      <c r="A7" t="s">
        <v>476</v>
      </c>
      <c r="B7" t="s">
        <v>147</v>
      </c>
      <c r="C7">
        <v>1</v>
      </c>
      <c r="D7" t="s">
        <v>84</v>
      </c>
      <c r="E7" t="s">
        <v>477</v>
      </c>
      <c r="F7" t="s">
        <v>478</v>
      </c>
      <c r="G7" s="39">
        <v>43543</v>
      </c>
      <c r="H7">
        <v>33</v>
      </c>
      <c r="I7">
        <v>4110600</v>
      </c>
      <c r="J7" t="s">
        <v>473</v>
      </c>
      <c r="K7">
        <v>5420</v>
      </c>
      <c r="L7" s="61">
        <v>5511858</v>
      </c>
      <c r="M7">
        <v>8261.0499999999993</v>
      </c>
    </row>
    <row r="8" spans="1:13" x14ac:dyDescent="0.25">
      <c r="A8" t="s">
        <v>476</v>
      </c>
      <c r="B8" t="s">
        <v>147</v>
      </c>
      <c r="C8">
        <v>1</v>
      </c>
      <c r="D8" t="s">
        <v>84</v>
      </c>
      <c r="E8" t="s">
        <v>477</v>
      </c>
      <c r="F8" t="s">
        <v>478</v>
      </c>
      <c r="G8" s="39">
        <v>43581</v>
      </c>
      <c r="H8">
        <v>33</v>
      </c>
      <c r="I8">
        <v>4110600</v>
      </c>
      <c r="J8" t="s">
        <v>473</v>
      </c>
      <c r="K8">
        <v>6437</v>
      </c>
      <c r="L8" s="61">
        <v>940</v>
      </c>
      <c r="M8">
        <v>1.39</v>
      </c>
    </row>
    <row r="9" spans="1:13" x14ac:dyDescent="0.25">
      <c r="A9" t="s">
        <v>476</v>
      </c>
      <c r="B9" t="s">
        <v>118</v>
      </c>
      <c r="C9">
        <v>1</v>
      </c>
      <c r="D9" t="s">
        <v>84</v>
      </c>
      <c r="E9" t="s">
        <v>477</v>
      </c>
      <c r="F9" t="s">
        <v>478</v>
      </c>
      <c r="G9" s="39">
        <v>43208</v>
      </c>
      <c r="H9">
        <v>33</v>
      </c>
      <c r="I9">
        <v>4110600</v>
      </c>
      <c r="J9" t="s">
        <v>473</v>
      </c>
      <c r="K9">
        <v>3190</v>
      </c>
      <c r="L9" s="61">
        <v>2906148</v>
      </c>
      <c r="M9">
        <v>4877.5600000000004</v>
      </c>
    </row>
    <row r="10" spans="1:13" x14ac:dyDescent="0.25">
      <c r="A10" t="s">
        <v>476</v>
      </c>
      <c r="B10" t="s">
        <v>149</v>
      </c>
      <c r="C10">
        <v>1</v>
      </c>
      <c r="D10" t="s">
        <v>84</v>
      </c>
      <c r="E10" t="s">
        <v>477</v>
      </c>
      <c r="F10" t="s">
        <v>478</v>
      </c>
      <c r="G10" s="39">
        <v>43585</v>
      </c>
      <c r="H10">
        <v>33</v>
      </c>
      <c r="I10">
        <v>4110600</v>
      </c>
      <c r="J10" t="s">
        <v>473</v>
      </c>
      <c r="K10">
        <v>6455</v>
      </c>
      <c r="L10" s="61">
        <v>5412779</v>
      </c>
      <c r="M10">
        <v>7987.34</v>
      </c>
    </row>
    <row r="11" spans="1:13" x14ac:dyDescent="0.25">
      <c r="A11" t="s">
        <v>476</v>
      </c>
      <c r="B11" t="s">
        <v>149</v>
      </c>
      <c r="C11">
        <v>1</v>
      </c>
      <c r="D11" t="s">
        <v>84</v>
      </c>
      <c r="E11" t="s">
        <v>477</v>
      </c>
      <c r="F11" t="s">
        <v>478</v>
      </c>
      <c r="G11" s="39">
        <v>43789</v>
      </c>
      <c r="I11">
        <v>4110600</v>
      </c>
      <c r="J11" t="s">
        <v>473</v>
      </c>
      <c r="L11" s="61">
        <v>2396</v>
      </c>
      <c r="M11">
        <v>3.06</v>
      </c>
    </row>
    <row r="12" spans="1:13" x14ac:dyDescent="0.25">
      <c r="A12" t="s">
        <v>476</v>
      </c>
      <c r="B12" t="s">
        <v>149</v>
      </c>
      <c r="C12">
        <v>1</v>
      </c>
      <c r="D12" t="s">
        <v>84</v>
      </c>
      <c r="E12" t="s">
        <v>477</v>
      </c>
      <c r="F12" t="s">
        <v>478</v>
      </c>
      <c r="G12" s="39">
        <v>43789</v>
      </c>
      <c r="H12">
        <v>33</v>
      </c>
      <c r="I12">
        <v>4110600</v>
      </c>
      <c r="J12" t="s">
        <v>473</v>
      </c>
      <c r="K12">
        <v>8710</v>
      </c>
      <c r="L12" s="61">
        <v>2396</v>
      </c>
      <c r="M12">
        <v>3.06</v>
      </c>
    </row>
    <row r="13" spans="1:13" x14ac:dyDescent="0.25">
      <c r="A13" t="s">
        <v>476</v>
      </c>
      <c r="B13" t="s">
        <v>112</v>
      </c>
      <c r="C13">
        <v>1</v>
      </c>
      <c r="D13" t="s">
        <v>84</v>
      </c>
      <c r="E13" t="s">
        <v>477</v>
      </c>
      <c r="F13" t="s">
        <v>478</v>
      </c>
      <c r="G13" s="39">
        <v>43245</v>
      </c>
      <c r="H13">
        <v>33</v>
      </c>
      <c r="I13">
        <v>4110600</v>
      </c>
      <c r="J13" t="s">
        <v>473</v>
      </c>
      <c r="K13">
        <v>3375</v>
      </c>
      <c r="L13" s="61">
        <v>2017272</v>
      </c>
      <c r="M13">
        <v>3231.2</v>
      </c>
    </row>
    <row r="14" spans="1:13" x14ac:dyDescent="0.25">
      <c r="A14" t="s">
        <v>476</v>
      </c>
      <c r="B14" t="s">
        <v>150</v>
      </c>
      <c r="C14">
        <v>1</v>
      </c>
      <c r="D14" t="s">
        <v>84</v>
      </c>
      <c r="E14" t="s">
        <v>477</v>
      </c>
      <c r="F14" t="s">
        <v>478</v>
      </c>
      <c r="G14" s="39">
        <v>43601</v>
      </c>
      <c r="H14">
        <v>33</v>
      </c>
      <c r="I14">
        <v>4110600</v>
      </c>
      <c r="J14" t="s">
        <v>473</v>
      </c>
      <c r="K14">
        <v>6506</v>
      </c>
      <c r="L14" s="61">
        <v>3662698</v>
      </c>
      <c r="M14">
        <v>5288.18</v>
      </c>
    </row>
    <row r="15" spans="1:13" x14ac:dyDescent="0.25">
      <c r="A15" t="s">
        <v>476</v>
      </c>
      <c r="B15" t="s">
        <v>150</v>
      </c>
      <c r="C15">
        <v>1</v>
      </c>
      <c r="D15" t="s">
        <v>84</v>
      </c>
      <c r="E15" t="s">
        <v>477</v>
      </c>
      <c r="F15" t="s">
        <v>478</v>
      </c>
      <c r="G15" s="39">
        <v>43789</v>
      </c>
      <c r="I15">
        <v>4110600</v>
      </c>
      <c r="J15" t="s">
        <v>473</v>
      </c>
      <c r="L15" s="61">
        <v>4987</v>
      </c>
      <c r="M15">
        <v>6.37</v>
      </c>
    </row>
    <row r="16" spans="1:13" x14ac:dyDescent="0.25">
      <c r="A16" t="s">
        <v>476</v>
      </c>
      <c r="B16" t="s">
        <v>150</v>
      </c>
      <c r="C16">
        <v>1</v>
      </c>
      <c r="D16" t="s">
        <v>84</v>
      </c>
      <c r="E16" t="s">
        <v>477</v>
      </c>
      <c r="F16" t="s">
        <v>478</v>
      </c>
      <c r="G16" s="39">
        <v>43789</v>
      </c>
      <c r="H16">
        <v>33</v>
      </c>
      <c r="I16">
        <v>4110600</v>
      </c>
      <c r="J16" t="s">
        <v>473</v>
      </c>
      <c r="K16">
        <v>8735</v>
      </c>
      <c r="L16" s="61">
        <v>4987</v>
      </c>
      <c r="M16">
        <v>6.37</v>
      </c>
    </row>
    <row r="17" spans="1:13" x14ac:dyDescent="0.25">
      <c r="A17" t="s">
        <v>476</v>
      </c>
      <c r="B17" t="s">
        <v>120</v>
      </c>
      <c r="C17">
        <v>1</v>
      </c>
      <c r="D17" t="s">
        <v>84</v>
      </c>
      <c r="E17" t="s">
        <v>477</v>
      </c>
      <c r="F17" t="s">
        <v>478</v>
      </c>
      <c r="G17" s="39">
        <v>43266</v>
      </c>
      <c r="H17">
        <v>33</v>
      </c>
      <c r="I17">
        <v>4110600</v>
      </c>
      <c r="J17" t="s">
        <v>473</v>
      </c>
      <c r="K17">
        <v>3630</v>
      </c>
      <c r="L17" s="61">
        <v>1971676</v>
      </c>
      <c r="M17">
        <v>3109.95</v>
      </c>
    </row>
    <row r="18" spans="1:13" x14ac:dyDescent="0.25">
      <c r="A18" t="s">
        <v>476</v>
      </c>
      <c r="B18" t="s">
        <v>152</v>
      </c>
      <c r="C18">
        <v>1</v>
      </c>
      <c r="D18" t="s">
        <v>84</v>
      </c>
      <c r="E18" t="s">
        <v>477</v>
      </c>
      <c r="F18" t="s">
        <v>478</v>
      </c>
      <c r="G18" s="39">
        <v>43634</v>
      </c>
      <c r="H18">
        <v>33</v>
      </c>
      <c r="I18">
        <v>4110600</v>
      </c>
      <c r="J18" t="s">
        <v>473</v>
      </c>
      <c r="K18">
        <v>6776</v>
      </c>
      <c r="L18" s="61">
        <v>3863654</v>
      </c>
      <c r="M18">
        <v>5523.29</v>
      </c>
    </row>
    <row r="19" spans="1:13" x14ac:dyDescent="0.25">
      <c r="A19" t="s">
        <v>476</v>
      </c>
      <c r="B19" t="s">
        <v>126</v>
      </c>
      <c r="C19">
        <v>1</v>
      </c>
      <c r="D19" t="s">
        <v>84</v>
      </c>
      <c r="E19" t="s">
        <v>477</v>
      </c>
      <c r="F19" t="s">
        <v>478</v>
      </c>
      <c r="G19" s="39">
        <v>43294</v>
      </c>
      <c r="H19">
        <v>33</v>
      </c>
      <c r="I19">
        <v>4110600</v>
      </c>
      <c r="J19" t="s">
        <v>473</v>
      </c>
      <c r="K19">
        <v>3770</v>
      </c>
      <c r="L19" s="61">
        <v>1881616</v>
      </c>
      <c r="M19">
        <v>2903.5</v>
      </c>
    </row>
    <row r="20" spans="1:13" x14ac:dyDescent="0.25">
      <c r="A20" t="s">
        <v>476</v>
      </c>
      <c r="B20" t="s">
        <v>153</v>
      </c>
      <c r="C20">
        <v>1</v>
      </c>
      <c r="D20" t="s">
        <v>84</v>
      </c>
      <c r="E20" t="s">
        <v>477</v>
      </c>
      <c r="F20" t="s">
        <v>478</v>
      </c>
      <c r="G20" s="39">
        <v>43658</v>
      </c>
      <c r="H20">
        <v>33</v>
      </c>
      <c r="I20">
        <v>4110600</v>
      </c>
      <c r="J20" t="s">
        <v>473</v>
      </c>
      <c r="K20">
        <v>6977</v>
      </c>
      <c r="L20" s="61">
        <v>3578184</v>
      </c>
      <c r="M20">
        <v>5236.01</v>
      </c>
    </row>
    <row r="21" spans="1:13" x14ac:dyDescent="0.25">
      <c r="A21" t="s">
        <v>476</v>
      </c>
      <c r="B21" t="s">
        <v>153</v>
      </c>
      <c r="C21">
        <v>1</v>
      </c>
      <c r="D21" t="s">
        <v>84</v>
      </c>
      <c r="E21" t="s">
        <v>477</v>
      </c>
      <c r="F21" t="s">
        <v>478</v>
      </c>
      <c r="G21" s="39">
        <v>43789</v>
      </c>
      <c r="I21">
        <v>4110600</v>
      </c>
      <c r="J21" t="s">
        <v>473</v>
      </c>
      <c r="L21" s="61">
        <v>8039</v>
      </c>
      <c r="M21">
        <v>10.28</v>
      </c>
    </row>
    <row r="22" spans="1:13" x14ac:dyDescent="0.25">
      <c r="A22" t="s">
        <v>476</v>
      </c>
      <c r="B22" t="s">
        <v>153</v>
      </c>
      <c r="C22">
        <v>1</v>
      </c>
      <c r="D22" t="s">
        <v>84</v>
      </c>
      <c r="E22" t="s">
        <v>477</v>
      </c>
      <c r="F22" t="s">
        <v>478</v>
      </c>
      <c r="G22" s="39">
        <v>43789</v>
      </c>
      <c r="H22">
        <v>33</v>
      </c>
      <c r="I22">
        <v>4110600</v>
      </c>
      <c r="J22" t="s">
        <v>473</v>
      </c>
      <c r="K22">
        <v>8764</v>
      </c>
      <c r="L22" s="61">
        <v>8039</v>
      </c>
      <c r="M22">
        <v>10.28</v>
      </c>
    </row>
    <row r="23" spans="1:13" x14ac:dyDescent="0.25">
      <c r="A23" t="s">
        <v>476</v>
      </c>
      <c r="B23" t="s">
        <v>139</v>
      </c>
      <c r="C23">
        <v>1</v>
      </c>
      <c r="D23" t="s">
        <v>84</v>
      </c>
      <c r="E23" t="s">
        <v>477</v>
      </c>
      <c r="F23" t="s">
        <v>478</v>
      </c>
      <c r="G23" s="39">
        <v>43329</v>
      </c>
      <c r="H23">
        <v>33</v>
      </c>
      <c r="I23">
        <v>4110600</v>
      </c>
      <c r="J23" t="s">
        <v>473</v>
      </c>
      <c r="K23">
        <v>4135</v>
      </c>
      <c r="L23" s="61">
        <v>1844533</v>
      </c>
      <c r="M23">
        <v>2769.03</v>
      </c>
    </row>
    <row r="24" spans="1:13" x14ac:dyDescent="0.25">
      <c r="A24" t="s">
        <v>476</v>
      </c>
      <c r="B24" t="s">
        <v>146</v>
      </c>
      <c r="C24">
        <v>1</v>
      </c>
      <c r="D24" t="s">
        <v>84</v>
      </c>
      <c r="E24" t="s">
        <v>477</v>
      </c>
      <c r="F24" t="s">
        <v>478</v>
      </c>
      <c r="G24" s="39">
        <v>43691</v>
      </c>
      <c r="H24">
        <v>33</v>
      </c>
      <c r="I24">
        <v>4110600</v>
      </c>
      <c r="J24" t="s">
        <v>473</v>
      </c>
      <c r="K24">
        <v>7372</v>
      </c>
      <c r="L24" s="61">
        <v>3599792</v>
      </c>
      <c r="M24">
        <v>5081.79</v>
      </c>
    </row>
    <row r="25" spans="1:13" x14ac:dyDescent="0.25">
      <c r="A25" t="s">
        <v>476</v>
      </c>
      <c r="B25" t="s">
        <v>140</v>
      </c>
      <c r="C25">
        <v>1</v>
      </c>
      <c r="D25" t="s">
        <v>84</v>
      </c>
      <c r="E25" t="s">
        <v>477</v>
      </c>
      <c r="F25" t="s">
        <v>478</v>
      </c>
      <c r="G25" s="39">
        <v>43356</v>
      </c>
      <c r="H25">
        <v>33</v>
      </c>
      <c r="I25">
        <v>4110600</v>
      </c>
      <c r="J25" t="s">
        <v>473</v>
      </c>
      <c r="K25">
        <v>4315</v>
      </c>
      <c r="L25" s="61">
        <v>1697400</v>
      </c>
      <c r="M25">
        <v>2456.23</v>
      </c>
    </row>
    <row r="26" spans="1:13" x14ac:dyDescent="0.25">
      <c r="A26" t="s">
        <v>476</v>
      </c>
      <c r="B26" t="s">
        <v>151</v>
      </c>
      <c r="C26">
        <v>1</v>
      </c>
      <c r="D26" t="s">
        <v>84</v>
      </c>
      <c r="E26" t="s">
        <v>477</v>
      </c>
      <c r="F26" t="s">
        <v>478</v>
      </c>
      <c r="G26" s="39">
        <v>43720</v>
      </c>
      <c r="H26">
        <v>33</v>
      </c>
      <c r="I26">
        <v>4110600</v>
      </c>
      <c r="J26" t="s">
        <v>473</v>
      </c>
      <c r="K26">
        <v>7848</v>
      </c>
      <c r="L26" s="61">
        <v>3367044</v>
      </c>
      <c r="M26">
        <v>4713.17</v>
      </c>
    </row>
    <row r="27" spans="1:13" x14ac:dyDescent="0.25">
      <c r="A27" t="s">
        <v>476</v>
      </c>
      <c r="B27" t="s">
        <v>113</v>
      </c>
      <c r="C27">
        <v>1</v>
      </c>
      <c r="D27" t="s">
        <v>84</v>
      </c>
      <c r="E27" t="s">
        <v>477</v>
      </c>
      <c r="F27" t="s">
        <v>478</v>
      </c>
      <c r="G27" s="39">
        <v>43392</v>
      </c>
      <c r="H27">
        <v>33</v>
      </c>
      <c r="I27">
        <v>4110600</v>
      </c>
      <c r="J27" t="s">
        <v>473</v>
      </c>
      <c r="K27">
        <v>4513</v>
      </c>
      <c r="L27" s="61">
        <v>1472717</v>
      </c>
      <c r="M27">
        <v>2182.84</v>
      </c>
    </row>
    <row r="28" spans="1:13" x14ac:dyDescent="0.25">
      <c r="A28" t="s">
        <v>476</v>
      </c>
      <c r="B28" t="s">
        <v>154</v>
      </c>
      <c r="C28">
        <v>1</v>
      </c>
      <c r="D28" t="s">
        <v>84</v>
      </c>
      <c r="E28" t="s">
        <v>477</v>
      </c>
      <c r="F28" t="s">
        <v>478</v>
      </c>
      <c r="G28" s="39">
        <v>43754</v>
      </c>
      <c r="H28">
        <v>33</v>
      </c>
      <c r="I28">
        <v>4110600</v>
      </c>
      <c r="J28" t="s">
        <v>473</v>
      </c>
      <c r="K28">
        <v>8168</v>
      </c>
      <c r="L28" s="61">
        <v>3332938</v>
      </c>
      <c r="M28">
        <v>4658.32</v>
      </c>
    </row>
    <row r="29" spans="1:13" x14ac:dyDescent="0.25">
      <c r="A29" t="s">
        <v>476</v>
      </c>
      <c r="B29" t="s">
        <v>114</v>
      </c>
      <c r="C29">
        <v>1</v>
      </c>
      <c r="D29" t="s">
        <v>84</v>
      </c>
      <c r="E29" t="s">
        <v>477</v>
      </c>
      <c r="F29" t="s">
        <v>478</v>
      </c>
      <c r="G29" s="39">
        <v>43431</v>
      </c>
      <c r="H29">
        <v>33</v>
      </c>
      <c r="I29">
        <v>4110600</v>
      </c>
      <c r="J29" t="s">
        <v>473</v>
      </c>
      <c r="K29">
        <v>4847</v>
      </c>
      <c r="L29" s="61">
        <v>1648963</v>
      </c>
      <c r="M29">
        <v>2439.69</v>
      </c>
    </row>
    <row r="30" spans="1:13" x14ac:dyDescent="0.25">
      <c r="A30" t="s">
        <v>476</v>
      </c>
      <c r="B30" t="s">
        <v>156</v>
      </c>
      <c r="C30">
        <v>1</v>
      </c>
      <c r="D30" t="s">
        <v>84</v>
      </c>
      <c r="E30" t="s">
        <v>477</v>
      </c>
      <c r="F30" t="s">
        <v>478</v>
      </c>
      <c r="G30" s="39">
        <v>43783</v>
      </c>
      <c r="H30">
        <v>33</v>
      </c>
      <c r="I30">
        <v>4110600</v>
      </c>
      <c r="J30" t="s">
        <v>473</v>
      </c>
      <c r="K30">
        <v>8549</v>
      </c>
      <c r="L30" s="61">
        <v>4210239</v>
      </c>
      <c r="M30">
        <v>5299.16</v>
      </c>
    </row>
    <row r="31" spans="1:13" x14ac:dyDescent="0.25">
      <c r="A31" t="s">
        <v>476</v>
      </c>
      <c r="B31" t="s">
        <v>115</v>
      </c>
      <c r="C31">
        <v>1</v>
      </c>
      <c r="D31" t="s">
        <v>84</v>
      </c>
      <c r="E31" t="s">
        <v>477</v>
      </c>
      <c r="F31" t="s">
        <v>478</v>
      </c>
      <c r="G31" s="39">
        <v>43448</v>
      </c>
      <c r="H31">
        <v>33</v>
      </c>
      <c r="I31">
        <v>4110600</v>
      </c>
      <c r="J31" t="s">
        <v>473</v>
      </c>
      <c r="K31">
        <v>4953</v>
      </c>
      <c r="L31" s="61">
        <v>2192015</v>
      </c>
      <c r="M31">
        <v>3218.01</v>
      </c>
    </row>
    <row r="32" spans="1:13" x14ac:dyDescent="0.25">
      <c r="A32" t="s">
        <v>476</v>
      </c>
      <c r="B32" t="s">
        <v>155</v>
      </c>
      <c r="C32">
        <v>1</v>
      </c>
      <c r="D32" t="s">
        <v>84</v>
      </c>
      <c r="E32" t="s">
        <v>477</v>
      </c>
      <c r="F32" t="s">
        <v>478</v>
      </c>
      <c r="G32" s="39">
        <v>43816</v>
      </c>
      <c r="H32">
        <v>33</v>
      </c>
      <c r="I32">
        <v>4110600</v>
      </c>
      <c r="J32" t="s">
        <v>473</v>
      </c>
      <c r="K32">
        <v>9039</v>
      </c>
      <c r="L32" s="61">
        <v>5194344</v>
      </c>
      <c r="M32">
        <v>6809.31</v>
      </c>
    </row>
    <row r="33" spans="1:13" x14ac:dyDescent="0.25">
      <c r="A33" t="s">
        <v>476</v>
      </c>
      <c r="B33" t="s">
        <v>116</v>
      </c>
      <c r="C33">
        <v>1</v>
      </c>
      <c r="D33" t="s">
        <v>84</v>
      </c>
      <c r="E33" t="s">
        <v>477</v>
      </c>
      <c r="F33" t="s">
        <v>478</v>
      </c>
      <c r="G33" s="39">
        <v>43486</v>
      </c>
      <c r="H33">
        <v>33</v>
      </c>
      <c r="I33">
        <v>4110600</v>
      </c>
      <c r="J33" t="s">
        <v>473</v>
      </c>
      <c r="K33">
        <v>5148</v>
      </c>
      <c r="L33" s="61">
        <v>2970075</v>
      </c>
      <c r="M33">
        <v>4432.29</v>
      </c>
    </row>
    <row r="34" spans="1:13" x14ac:dyDescent="0.25">
      <c r="G34" s="39"/>
    </row>
    <row r="35" spans="1:13" x14ac:dyDescent="0.25">
      <c r="G35" s="39"/>
    </row>
    <row r="36" spans="1:13" x14ac:dyDescent="0.25">
      <c r="G36" s="39"/>
    </row>
    <row r="37" spans="1:13" x14ac:dyDescent="0.25">
      <c r="G37" s="39"/>
    </row>
    <row r="38" spans="1:13" x14ac:dyDescent="0.25">
      <c r="G38" s="39"/>
    </row>
    <row r="39" spans="1:13" x14ac:dyDescent="0.25">
      <c r="G39" s="39"/>
    </row>
    <row r="40" spans="1:13" x14ac:dyDescent="0.25">
      <c r="G40" s="3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25B3-75D0-463D-AA45-860E81A1E611}">
  <sheetPr>
    <tabColor theme="9" tint="0.59999389629810485"/>
  </sheetPr>
  <dimension ref="A1:M24"/>
  <sheetViews>
    <sheetView workbookViewId="0">
      <selection activeCell="L1" sqref="L1:L1048576"/>
    </sheetView>
  </sheetViews>
  <sheetFormatPr baseColWidth="10" defaultRowHeight="15" x14ac:dyDescent="0.25"/>
  <cols>
    <col min="1" max="1" width="8.5703125" bestFit="1" customWidth="1"/>
    <col min="2" max="2" width="14.85546875" bestFit="1" customWidth="1"/>
    <col min="3" max="3" width="12.7109375" bestFit="1" customWidth="1"/>
    <col min="4" max="4" width="15.28515625" bestFit="1" customWidth="1"/>
    <col min="5" max="5" width="7.28515625" bestFit="1" customWidth="1"/>
    <col min="6" max="6" width="59.140625" bestFit="1" customWidth="1"/>
    <col min="7" max="7" width="22.42578125" bestFit="1" customWidth="1"/>
    <col min="9" max="9" width="15.42578125" bestFit="1" customWidth="1"/>
    <col min="10" max="10" width="20.5703125" bestFit="1" customWidth="1"/>
    <col min="11" max="11" width="12.140625" bestFit="1" customWidth="1"/>
    <col min="12" max="12" width="10.140625" style="61" bestFit="1" customWidth="1"/>
  </cols>
  <sheetData>
    <row r="1" spans="1:13" x14ac:dyDescent="0.25">
      <c r="A1" s="38" t="s">
        <v>43</v>
      </c>
      <c r="B1" s="38" t="s">
        <v>1</v>
      </c>
      <c r="C1" s="38" t="s">
        <v>465</v>
      </c>
      <c r="D1" s="38" t="s">
        <v>46</v>
      </c>
      <c r="E1" s="38" t="s">
        <v>42</v>
      </c>
      <c r="F1" s="38" t="s">
        <v>466</v>
      </c>
      <c r="G1" s="38" t="s">
        <v>467</v>
      </c>
      <c r="H1" s="38" t="s">
        <v>468</v>
      </c>
      <c r="I1" s="38" t="s">
        <v>469</v>
      </c>
      <c r="J1" s="38" t="s">
        <v>470</v>
      </c>
      <c r="K1" s="38" t="s">
        <v>471</v>
      </c>
      <c r="L1" s="60" t="s">
        <v>472</v>
      </c>
      <c r="M1" s="38" t="s">
        <v>475</v>
      </c>
    </row>
    <row r="2" spans="1:13" x14ac:dyDescent="0.25">
      <c r="A2" t="s">
        <v>476</v>
      </c>
      <c r="B2" t="s">
        <v>119</v>
      </c>
      <c r="C2">
        <v>1</v>
      </c>
      <c r="D2" t="s">
        <v>84</v>
      </c>
      <c r="E2" t="s">
        <v>477</v>
      </c>
      <c r="F2" t="s">
        <v>478</v>
      </c>
      <c r="G2" s="39">
        <v>43152</v>
      </c>
      <c r="H2">
        <v>33</v>
      </c>
      <c r="I2">
        <v>4110700</v>
      </c>
      <c r="J2" t="s">
        <v>474</v>
      </c>
      <c r="K2">
        <v>2660</v>
      </c>
      <c r="L2" s="61">
        <v>241227</v>
      </c>
      <c r="M2">
        <v>404.99</v>
      </c>
    </row>
    <row r="3" spans="1:13" x14ac:dyDescent="0.25">
      <c r="A3" t="s">
        <v>476</v>
      </c>
      <c r="B3" t="s">
        <v>145</v>
      </c>
      <c r="C3">
        <v>1</v>
      </c>
      <c r="D3" t="s">
        <v>84</v>
      </c>
      <c r="E3" t="s">
        <v>477</v>
      </c>
      <c r="F3" t="s">
        <v>478</v>
      </c>
      <c r="G3" s="39">
        <v>43518</v>
      </c>
      <c r="H3">
        <v>33</v>
      </c>
      <c r="I3">
        <v>4110700</v>
      </c>
      <c r="J3" t="s">
        <v>474</v>
      </c>
      <c r="K3">
        <v>5253</v>
      </c>
      <c r="L3" s="61">
        <v>501158</v>
      </c>
      <c r="M3">
        <v>765.91</v>
      </c>
    </row>
    <row r="4" spans="1:13" x14ac:dyDescent="0.25">
      <c r="A4" t="s">
        <v>476</v>
      </c>
      <c r="B4" t="s">
        <v>117</v>
      </c>
      <c r="C4">
        <v>1</v>
      </c>
      <c r="D4" t="s">
        <v>84</v>
      </c>
      <c r="E4" t="s">
        <v>477</v>
      </c>
      <c r="F4" t="s">
        <v>478</v>
      </c>
      <c r="G4" s="39">
        <v>43188</v>
      </c>
      <c r="H4">
        <v>33</v>
      </c>
      <c r="I4">
        <v>4110700</v>
      </c>
      <c r="J4" t="s">
        <v>474</v>
      </c>
      <c r="K4">
        <v>2965</v>
      </c>
      <c r="L4" s="61">
        <v>241845</v>
      </c>
      <c r="M4">
        <v>399.57</v>
      </c>
    </row>
    <row r="5" spans="1:13" x14ac:dyDescent="0.25">
      <c r="A5" t="s">
        <v>476</v>
      </c>
      <c r="B5" t="s">
        <v>147</v>
      </c>
      <c r="C5">
        <v>1</v>
      </c>
      <c r="D5" t="s">
        <v>84</v>
      </c>
      <c r="E5" t="s">
        <v>477</v>
      </c>
      <c r="F5" t="s">
        <v>478</v>
      </c>
      <c r="G5" s="39">
        <v>43543</v>
      </c>
      <c r="H5">
        <v>33</v>
      </c>
      <c r="I5">
        <v>4110700</v>
      </c>
      <c r="J5" t="s">
        <v>474</v>
      </c>
      <c r="K5">
        <v>5420</v>
      </c>
      <c r="L5" s="61">
        <v>501163</v>
      </c>
      <c r="M5">
        <v>751.13</v>
      </c>
    </row>
    <row r="6" spans="1:13" x14ac:dyDescent="0.25">
      <c r="A6" t="s">
        <v>476</v>
      </c>
      <c r="B6" t="s">
        <v>118</v>
      </c>
      <c r="C6">
        <v>1</v>
      </c>
      <c r="D6" t="s">
        <v>84</v>
      </c>
      <c r="E6" t="s">
        <v>477</v>
      </c>
      <c r="F6" t="s">
        <v>478</v>
      </c>
      <c r="G6" s="39">
        <v>43208</v>
      </c>
      <c r="H6">
        <v>33</v>
      </c>
      <c r="I6">
        <v>4110700</v>
      </c>
      <c r="J6" t="s">
        <v>474</v>
      </c>
      <c r="K6">
        <v>3190</v>
      </c>
      <c r="L6" s="61">
        <v>241901</v>
      </c>
      <c r="M6">
        <v>406</v>
      </c>
    </row>
    <row r="7" spans="1:13" x14ac:dyDescent="0.25">
      <c r="A7" t="s">
        <v>476</v>
      </c>
      <c r="B7" t="s">
        <v>149</v>
      </c>
      <c r="C7">
        <v>1</v>
      </c>
      <c r="D7" t="s">
        <v>84</v>
      </c>
      <c r="E7" t="s">
        <v>477</v>
      </c>
      <c r="F7" t="s">
        <v>478</v>
      </c>
      <c r="G7" s="39">
        <v>43585</v>
      </c>
      <c r="H7">
        <v>33</v>
      </c>
      <c r="I7">
        <v>4110700</v>
      </c>
      <c r="J7" t="s">
        <v>474</v>
      </c>
      <c r="K7">
        <v>6455</v>
      </c>
      <c r="L7" s="61">
        <v>501181</v>
      </c>
      <c r="M7">
        <v>739.56</v>
      </c>
    </row>
    <row r="8" spans="1:13" x14ac:dyDescent="0.25">
      <c r="A8" t="s">
        <v>476</v>
      </c>
      <c r="B8" t="s">
        <v>112</v>
      </c>
      <c r="C8">
        <v>1</v>
      </c>
      <c r="D8" t="s">
        <v>84</v>
      </c>
      <c r="E8" t="s">
        <v>477</v>
      </c>
      <c r="F8" t="s">
        <v>478</v>
      </c>
      <c r="G8" s="39">
        <v>43245</v>
      </c>
      <c r="H8">
        <v>33</v>
      </c>
      <c r="I8">
        <v>4110700</v>
      </c>
      <c r="J8" t="s">
        <v>474</v>
      </c>
      <c r="K8">
        <v>3375</v>
      </c>
      <c r="L8" s="61">
        <v>247218</v>
      </c>
      <c r="M8">
        <v>395.99</v>
      </c>
    </row>
    <row r="9" spans="1:13" x14ac:dyDescent="0.25">
      <c r="A9" t="s">
        <v>476</v>
      </c>
      <c r="B9" t="s">
        <v>150</v>
      </c>
      <c r="C9">
        <v>1</v>
      </c>
      <c r="D9" t="s">
        <v>84</v>
      </c>
      <c r="E9" t="s">
        <v>477</v>
      </c>
      <c r="F9" t="s">
        <v>478</v>
      </c>
      <c r="G9" s="39">
        <v>43601</v>
      </c>
      <c r="H9">
        <v>33</v>
      </c>
      <c r="I9">
        <v>4110700</v>
      </c>
      <c r="J9" t="s">
        <v>474</v>
      </c>
      <c r="K9">
        <v>6506</v>
      </c>
      <c r="L9" s="61">
        <v>460407</v>
      </c>
      <c r="M9">
        <v>664.73</v>
      </c>
    </row>
    <row r="10" spans="1:13" x14ac:dyDescent="0.25">
      <c r="A10" t="s">
        <v>476</v>
      </c>
      <c r="B10" t="s">
        <v>120</v>
      </c>
      <c r="C10">
        <v>1</v>
      </c>
      <c r="D10" t="s">
        <v>84</v>
      </c>
      <c r="E10" t="s">
        <v>477</v>
      </c>
      <c r="F10" t="s">
        <v>478</v>
      </c>
      <c r="G10" s="39">
        <v>43266</v>
      </c>
      <c r="H10">
        <v>33</v>
      </c>
      <c r="I10">
        <v>4110700</v>
      </c>
      <c r="J10" t="s">
        <v>474</v>
      </c>
      <c r="K10">
        <v>3630</v>
      </c>
      <c r="L10" s="61">
        <v>241841</v>
      </c>
      <c r="M10">
        <v>381.46</v>
      </c>
    </row>
    <row r="11" spans="1:13" x14ac:dyDescent="0.25">
      <c r="A11" t="s">
        <v>476</v>
      </c>
      <c r="B11" t="s">
        <v>152</v>
      </c>
      <c r="C11">
        <v>1</v>
      </c>
      <c r="D11" t="s">
        <v>84</v>
      </c>
      <c r="E11" t="s">
        <v>477</v>
      </c>
      <c r="F11" t="s">
        <v>478</v>
      </c>
      <c r="G11" s="39">
        <v>43634</v>
      </c>
      <c r="H11">
        <v>33</v>
      </c>
      <c r="I11">
        <v>4110700</v>
      </c>
      <c r="J11" t="s">
        <v>474</v>
      </c>
      <c r="K11">
        <v>6776</v>
      </c>
      <c r="L11" s="61">
        <v>513609</v>
      </c>
      <c r="M11">
        <v>734.23</v>
      </c>
    </row>
    <row r="12" spans="1:13" x14ac:dyDescent="0.25">
      <c r="A12" t="s">
        <v>476</v>
      </c>
      <c r="B12" t="s">
        <v>126</v>
      </c>
      <c r="C12">
        <v>1</v>
      </c>
      <c r="D12" t="s">
        <v>84</v>
      </c>
      <c r="E12" t="s">
        <v>477</v>
      </c>
      <c r="F12" t="s">
        <v>478</v>
      </c>
      <c r="G12" s="39">
        <v>43294</v>
      </c>
      <c r="H12">
        <v>33</v>
      </c>
      <c r="I12">
        <v>4110700</v>
      </c>
      <c r="J12" t="s">
        <v>474</v>
      </c>
      <c r="K12">
        <v>3770</v>
      </c>
      <c r="L12" s="61">
        <v>248282</v>
      </c>
      <c r="M12">
        <v>383.12</v>
      </c>
    </row>
    <row r="13" spans="1:13" x14ac:dyDescent="0.25">
      <c r="A13" t="s">
        <v>476</v>
      </c>
      <c r="B13" t="s">
        <v>153</v>
      </c>
      <c r="C13">
        <v>1</v>
      </c>
      <c r="D13" t="s">
        <v>84</v>
      </c>
      <c r="E13" t="s">
        <v>477</v>
      </c>
      <c r="F13" t="s">
        <v>478</v>
      </c>
      <c r="G13" s="39">
        <v>43658</v>
      </c>
      <c r="H13">
        <v>33</v>
      </c>
      <c r="I13">
        <v>4110700</v>
      </c>
      <c r="J13" t="s">
        <v>474</v>
      </c>
      <c r="K13">
        <v>6977</v>
      </c>
      <c r="L13" s="61">
        <v>519014</v>
      </c>
      <c r="M13">
        <v>759.48</v>
      </c>
    </row>
    <row r="14" spans="1:13" x14ac:dyDescent="0.25">
      <c r="A14" t="s">
        <v>476</v>
      </c>
      <c r="B14" t="s">
        <v>139</v>
      </c>
      <c r="C14">
        <v>1</v>
      </c>
      <c r="D14" t="s">
        <v>84</v>
      </c>
      <c r="E14" t="s">
        <v>477</v>
      </c>
      <c r="F14" t="s">
        <v>478</v>
      </c>
      <c r="G14" s="39">
        <v>43329</v>
      </c>
      <c r="H14">
        <v>33</v>
      </c>
      <c r="I14">
        <v>4110700</v>
      </c>
      <c r="J14" t="s">
        <v>474</v>
      </c>
      <c r="K14">
        <v>4135</v>
      </c>
      <c r="L14" s="61">
        <v>254442</v>
      </c>
      <c r="M14">
        <v>381.97</v>
      </c>
    </row>
    <row r="15" spans="1:13" x14ac:dyDescent="0.25">
      <c r="A15" t="s">
        <v>476</v>
      </c>
      <c r="B15" t="s">
        <v>146</v>
      </c>
      <c r="C15">
        <v>1</v>
      </c>
      <c r="D15" t="s">
        <v>84</v>
      </c>
      <c r="E15" t="s">
        <v>477</v>
      </c>
      <c r="F15" t="s">
        <v>478</v>
      </c>
      <c r="G15" s="39">
        <v>43691</v>
      </c>
      <c r="H15">
        <v>33</v>
      </c>
      <c r="I15">
        <v>4110700</v>
      </c>
      <c r="J15" t="s">
        <v>474</v>
      </c>
      <c r="K15">
        <v>7372</v>
      </c>
      <c r="L15" s="61">
        <v>533638</v>
      </c>
      <c r="M15">
        <v>753.33</v>
      </c>
    </row>
    <row r="16" spans="1:13" x14ac:dyDescent="0.25">
      <c r="A16" t="s">
        <v>476</v>
      </c>
      <c r="B16" t="s">
        <v>140</v>
      </c>
      <c r="C16">
        <v>1</v>
      </c>
      <c r="D16" t="s">
        <v>84</v>
      </c>
      <c r="E16" t="s">
        <v>477</v>
      </c>
      <c r="F16" t="s">
        <v>478</v>
      </c>
      <c r="G16" s="39">
        <v>43356</v>
      </c>
      <c r="H16">
        <v>33</v>
      </c>
      <c r="I16">
        <v>4110700</v>
      </c>
      <c r="J16" t="s">
        <v>474</v>
      </c>
      <c r="K16">
        <v>4315</v>
      </c>
      <c r="L16" s="61">
        <v>255843</v>
      </c>
      <c r="M16">
        <v>370.22</v>
      </c>
    </row>
    <row r="17" spans="1:13" x14ac:dyDescent="0.25">
      <c r="A17" t="s">
        <v>476</v>
      </c>
      <c r="B17" t="s">
        <v>151</v>
      </c>
      <c r="C17">
        <v>1</v>
      </c>
      <c r="D17" t="s">
        <v>84</v>
      </c>
      <c r="E17" t="s">
        <v>477</v>
      </c>
      <c r="F17" t="s">
        <v>478</v>
      </c>
      <c r="G17" s="39">
        <v>43720</v>
      </c>
      <c r="H17">
        <v>33</v>
      </c>
      <c r="I17">
        <v>4110700</v>
      </c>
      <c r="J17" t="s">
        <v>474</v>
      </c>
      <c r="K17">
        <v>7848</v>
      </c>
      <c r="L17" s="61">
        <v>533935</v>
      </c>
      <c r="M17">
        <v>747.4</v>
      </c>
    </row>
    <row r="18" spans="1:13" x14ac:dyDescent="0.25">
      <c r="A18" t="s">
        <v>476</v>
      </c>
      <c r="B18" t="s">
        <v>113</v>
      </c>
      <c r="C18">
        <v>1</v>
      </c>
      <c r="D18" t="s">
        <v>84</v>
      </c>
      <c r="E18" t="s">
        <v>477</v>
      </c>
      <c r="F18" t="s">
        <v>478</v>
      </c>
      <c r="G18" s="39">
        <v>43392</v>
      </c>
      <c r="H18">
        <v>33</v>
      </c>
      <c r="I18">
        <v>4110700</v>
      </c>
      <c r="J18" t="s">
        <v>474</v>
      </c>
      <c r="K18">
        <v>4513</v>
      </c>
      <c r="L18" s="61">
        <v>237076</v>
      </c>
      <c r="M18">
        <v>351.39</v>
      </c>
    </row>
    <row r="19" spans="1:13" x14ac:dyDescent="0.25">
      <c r="A19" t="s">
        <v>476</v>
      </c>
      <c r="B19" t="s">
        <v>154</v>
      </c>
      <c r="C19">
        <v>1</v>
      </c>
      <c r="D19" t="s">
        <v>84</v>
      </c>
      <c r="E19" t="s">
        <v>477</v>
      </c>
      <c r="F19" t="s">
        <v>478</v>
      </c>
      <c r="G19" s="39">
        <v>43754</v>
      </c>
      <c r="H19">
        <v>33</v>
      </c>
      <c r="I19">
        <v>4110700</v>
      </c>
      <c r="J19" t="s">
        <v>474</v>
      </c>
      <c r="K19">
        <v>8168</v>
      </c>
      <c r="L19" s="61">
        <v>566640</v>
      </c>
      <c r="M19">
        <v>791.97</v>
      </c>
    </row>
    <row r="20" spans="1:13" x14ac:dyDescent="0.25">
      <c r="A20" t="s">
        <v>476</v>
      </c>
      <c r="B20" t="s">
        <v>114</v>
      </c>
      <c r="C20">
        <v>1</v>
      </c>
      <c r="D20" t="s">
        <v>84</v>
      </c>
      <c r="E20" t="s">
        <v>477</v>
      </c>
      <c r="F20" t="s">
        <v>478</v>
      </c>
      <c r="G20" s="39">
        <v>43431</v>
      </c>
      <c r="H20">
        <v>33</v>
      </c>
      <c r="I20">
        <v>4110700</v>
      </c>
      <c r="J20" t="s">
        <v>474</v>
      </c>
      <c r="K20">
        <v>4847</v>
      </c>
      <c r="L20" s="61">
        <v>239743</v>
      </c>
      <c r="M20">
        <v>354.71</v>
      </c>
    </row>
    <row r="21" spans="1:13" x14ac:dyDescent="0.25">
      <c r="A21" t="s">
        <v>476</v>
      </c>
      <c r="B21" t="s">
        <v>156</v>
      </c>
      <c r="C21">
        <v>1</v>
      </c>
      <c r="D21" t="s">
        <v>84</v>
      </c>
      <c r="E21" t="s">
        <v>477</v>
      </c>
      <c r="F21" t="s">
        <v>478</v>
      </c>
      <c r="G21" s="39">
        <v>43783</v>
      </c>
      <c r="H21">
        <v>33</v>
      </c>
      <c r="I21">
        <v>4110700</v>
      </c>
      <c r="J21" t="s">
        <v>474</v>
      </c>
      <c r="K21">
        <v>8549</v>
      </c>
      <c r="L21" s="61">
        <v>534330</v>
      </c>
      <c r="M21">
        <v>672.53</v>
      </c>
    </row>
    <row r="22" spans="1:13" x14ac:dyDescent="0.25">
      <c r="A22" t="s">
        <v>476</v>
      </c>
      <c r="B22" t="s">
        <v>115</v>
      </c>
      <c r="C22">
        <v>1</v>
      </c>
      <c r="D22" t="s">
        <v>84</v>
      </c>
      <c r="E22" t="s">
        <v>477</v>
      </c>
      <c r="F22" t="s">
        <v>478</v>
      </c>
      <c r="G22" s="39">
        <v>43448</v>
      </c>
      <c r="H22">
        <v>33</v>
      </c>
      <c r="I22">
        <v>4110700</v>
      </c>
      <c r="J22" t="s">
        <v>474</v>
      </c>
      <c r="K22">
        <v>4953</v>
      </c>
      <c r="L22" s="61">
        <v>239740</v>
      </c>
      <c r="M22">
        <v>351.95</v>
      </c>
    </row>
    <row r="23" spans="1:13" x14ac:dyDescent="0.25">
      <c r="A23" t="s">
        <v>476</v>
      </c>
      <c r="B23" t="s">
        <v>155</v>
      </c>
      <c r="C23">
        <v>1</v>
      </c>
      <c r="D23" t="s">
        <v>84</v>
      </c>
      <c r="E23" t="s">
        <v>477</v>
      </c>
      <c r="F23" t="s">
        <v>478</v>
      </c>
      <c r="G23" s="39">
        <v>43816</v>
      </c>
      <c r="H23">
        <v>33</v>
      </c>
      <c r="I23">
        <v>4110700</v>
      </c>
      <c r="J23" t="s">
        <v>474</v>
      </c>
      <c r="K23">
        <v>9039</v>
      </c>
      <c r="L23" s="61">
        <v>534421</v>
      </c>
      <c r="M23">
        <v>700.58</v>
      </c>
    </row>
    <row r="24" spans="1:13" x14ac:dyDescent="0.25">
      <c r="A24" t="s">
        <v>476</v>
      </c>
      <c r="B24" t="s">
        <v>116</v>
      </c>
      <c r="C24">
        <v>1</v>
      </c>
      <c r="D24" t="s">
        <v>84</v>
      </c>
      <c r="E24" t="s">
        <v>477</v>
      </c>
      <c r="F24" t="s">
        <v>478</v>
      </c>
      <c r="G24" s="39">
        <v>43486</v>
      </c>
      <c r="H24">
        <v>33</v>
      </c>
      <c r="I24">
        <v>4110700</v>
      </c>
      <c r="J24" t="s">
        <v>474</v>
      </c>
      <c r="K24">
        <v>5148</v>
      </c>
      <c r="L24" s="61">
        <v>239731</v>
      </c>
      <c r="M24">
        <v>357.75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BK343"/>
  <sheetViews>
    <sheetView topLeftCell="N1" workbookViewId="0">
      <selection activeCell="Z2" sqref="Z2"/>
    </sheetView>
  </sheetViews>
  <sheetFormatPr baseColWidth="10" defaultColWidth="9.140625" defaultRowHeight="15" x14ac:dyDescent="0.25"/>
  <cols>
    <col min="1" max="1" width="5.28515625" bestFit="1" customWidth="1"/>
    <col min="2" max="2" width="14.85546875" bestFit="1" customWidth="1"/>
    <col min="3" max="3" width="5.7109375" bestFit="1" customWidth="1"/>
    <col min="4" max="4" width="4.85546875" bestFit="1" customWidth="1"/>
    <col min="5" max="5" width="8.5703125" bestFit="1" customWidth="1"/>
    <col min="6" max="6" width="11.42578125" bestFit="1" customWidth="1"/>
    <col min="7" max="7" width="6.140625" bestFit="1" customWidth="1"/>
    <col min="8" max="8" width="12.5703125" bestFit="1" customWidth="1"/>
    <col min="9" max="9" width="16.7109375" bestFit="1" customWidth="1"/>
    <col min="10" max="10" width="11.7109375" bestFit="1" customWidth="1"/>
    <col min="11" max="11" width="13" bestFit="1" customWidth="1"/>
    <col min="12" max="12" width="13.85546875" bestFit="1" customWidth="1"/>
    <col min="13" max="13" width="10" bestFit="1" customWidth="1"/>
    <col min="14" max="14" width="15.85546875" bestFit="1" customWidth="1"/>
    <col min="15" max="15" width="12" bestFit="1" customWidth="1"/>
    <col min="16" max="16" width="7.28515625" bestFit="1" customWidth="1"/>
    <col min="17" max="17" width="11.28515625" bestFit="1" customWidth="1"/>
    <col min="18" max="18" width="9.85546875" bestFit="1" customWidth="1"/>
    <col min="19" max="19" width="18.5703125" bestFit="1" customWidth="1"/>
    <col min="20" max="20" width="14.7109375" bestFit="1" customWidth="1"/>
    <col min="21" max="21" width="16.5703125" bestFit="1" customWidth="1"/>
    <col min="22" max="22" width="32.7109375" bestFit="1" customWidth="1"/>
    <col min="23" max="23" width="16.42578125" bestFit="1" customWidth="1"/>
    <col min="24" max="24" width="13.140625" bestFit="1" customWidth="1"/>
    <col min="25" max="25" width="9" bestFit="1" customWidth="1"/>
    <col min="26" max="26" width="38" style="61" bestFit="1" customWidth="1"/>
    <col min="27" max="27" width="21.28515625" bestFit="1" customWidth="1"/>
    <col min="28" max="28" width="23.42578125" bestFit="1" customWidth="1"/>
    <col min="29" max="29" width="23.7109375" bestFit="1" customWidth="1"/>
    <col min="30" max="30" width="13" bestFit="1" customWidth="1"/>
    <col min="31" max="31" width="33.28515625" bestFit="1" customWidth="1"/>
    <col min="32" max="32" width="13" bestFit="1" customWidth="1"/>
    <col min="33" max="33" width="34" bestFit="1" customWidth="1"/>
    <col min="34" max="34" width="18.85546875" bestFit="1" customWidth="1"/>
    <col min="35" max="35" width="21.28515625" bestFit="1" customWidth="1"/>
    <col min="36" max="36" width="45" bestFit="1" customWidth="1"/>
    <col min="37" max="37" width="12" bestFit="1" customWidth="1"/>
    <col min="38" max="38" width="33.140625" style="63" bestFit="1" customWidth="1"/>
    <col min="39" max="39" width="29.5703125" bestFit="1" customWidth="1"/>
    <col min="40" max="40" width="38.140625" bestFit="1" customWidth="1"/>
    <col min="41" max="41" width="22.42578125" bestFit="1" customWidth="1"/>
    <col min="42" max="42" width="50" bestFit="1" customWidth="1"/>
    <col min="43" max="43" width="13.140625" bestFit="1" customWidth="1"/>
    <col min="44" max="44" width="38.140625" bestFit="1" customWidth="1"/>
    <col min="45" max="45" width="48.85546875" style="61" bestFit="1" customWidth="1"/>
    <col min="46" max="46" width="26.42578125" bestFit="1" customWidth="1"/>
    <col min="47" max="47" width="23.28515625" bestFit="1" customWidth="1"/>
    <col min="48" max="48" width="23.5703125" bestFit="1" customWidth="1"/>
    <col min="49" max="49" width="13" bestFit="1" customWidth="1"/>
    <col min="50" max="50" width="32.140625" bestFit="1" customWidth="1"/>
    <col min="51" max="51" width="12.85546875" bestFit="1" customWidth="1"/>
    <col min="52" max="52" width="33.85546875" bestFit="1" customWidth="1"/>
    <col min="53" max="53" width="24" bestFit="1" customWidth="1"/>
    <col min="54" max="54" width="21" bestFit="1" customWidth="1"/>
    <col min="55" max="55" width="44.85546875" bestFit="1" customWidth="1"/>
    <col min="56" max="56" width="12" bestFit="1" customWidth="1"/>
    <col min="57" max="57" width="33" style="63" bestFit="1" customWidth="1"/>
    <col min="58" max="58" width="29.42578125" bestFit="1" customWidth="1"/>
    <col min="59" max="59" width="22.28515625" bestFit="1" customWidth="1"/>
    <col min="60" max="60" width="49.85546875" bestFit="1" customWidth="1"/>
    <col min="61" max="61" width="13" bestFit="1" customWidth="1"/>
    <col min="62" max="62" width="38" style="63" bestFit="1" customWidth="1"/>
    <col min="63" max="63" width="48.7109375" style="61" bestFit="1" customWidth="1"/>
  </cols>
  <sheetData>
    <row r="1" spans="1:63" x14ac:dyDescent="0.25">
      <c r="A1" s="38" t="s">
        <v>31</v>
      </c>
      <c r="B1" s="38" t="s">
        <v>1</v>
      </c>
      <c r="C1" s="38" t="s">
        <v>2</v>
      </c>
      <c r="D1" s="38" t="s">
        <v>3</v>
      </c>
      <c r="E1" s="38" t="s">
        <v>43</v>
      </c>
      <c r="F1" s="38" t="s">
        <v>362</v>
      </c>
      <c r="G1" s="38" t="s">
        <v>363</v>
      </c>
      <c r="H1" s="38" t="s">
        <v>364</v>
      </c>
      <c r="I1" s="38" t="s">
        <v>365</v>
      </c>
      <c r="J1" s="38" t="s">
        <v>10</v>
      </c>
      <c r="K1" s="38" t="s">
        <v>366</v>
      </c>
      <c r="L1" s="38" t="s">
        <v>367</v>
      </c>
      <c r="M1" s="38" t="s">
        <v>368</v>
      </c>
      <c r="N1" s="38" t="s">
        <v>369</v>
      </c>
      <c r="O1" s="38" t="s">
        <v>370</v>
      </c>
      <c r="P1" s="38" t="s">
        <v>42</v>
      </c>
      <c r="Q1" s="38" t="s">
        <v>371</v>
      </c>
      <c r="R1" s="38" t="s">
        <v>372</v>
      </c>
      <c r="S1" s="38" t="s">
        <v>373</v>
      </c>
      <c r="T1" s="38" t="s">
        <v>374</v>
      </c>
      <c r="U1" s="38" t="s">
        <v>375</v>
      </c>
      <c r="V1" s="38" t="s">
        <v>376</v>
      </c>
      <c r="W1" s="38" t="s">
        <v>377</v>
      </c>
      <c r="X1" s="38" t="s">
        <v>378</v>
      </c>
      <c r="Y1" s="38" t="s">
        <v>379</v>
      </c>
      <c r="Z1" s="60" t="s">
        <v>380</v>
      </c>
      <c r="AA1" s="38" t="s">
        <v>386</v>
      </c>
      <c r="AB1" s="38" t="s">
        <v>387</v>
      </c>
      <c r="AC1" s="38" t="s">
        <v>388</v>
      </c>
      <c r="AD1" s="38" t="s">
        <v>389</v>
      </c>
      <c r="AE1" s="38" t="s">
        <v>390</v>
      </c>
      <c r="AF1" s="38" t="s">
        <v>391</v>
      </c>
      <c r="AG1" s="38" t="s">
        <v>392</v>
      </c>
      <c r="AH1" s="38" t="s">
        <v>393</v>
      </c>
      <c r="AI1" s="38" t="s">
        <v>394</v>
      </c>
      <c r="AJ1" s="38" t="s">
        <v>395</v>
      </c>
      <c r="AK1" s="38" t="s">
        <v>396</v>
      </c>
      <c r="AL1" s="62" t="s">
        <v>397</v>
      </c>
      <c r="AM1" s="38" t="s">
        <v>398</v>
      </c>
      <c r="AN1" s="38" t="s">
        <v>399</v>
      </c>
      <c r="AO1" s="38" t="s">
        <v>400</v>
      </c>
      <c r="AP1" s="38" t="s">
        <v>401</v>
      </c>
      <c r="AQ1" s="38" t="s">
        <v>402</v>
      </c>
      <c r="AR1" s="38" t="s">
        <v>403</v>
      </c>
      <c r="AS1" s="60" t="s">
        <v>456</v>
      </c>
      <c r="AT1" s="38" t="s">
        <v>405</v>
      </c>
      <c r="AU1" s="38" t="s">
        <v>406</v>
      </c>
      <c r="AV1" s="38" t="s">
        <v>407</v>
      </c>
      <c r="AW1" s="38" t="s">
        <v>408</v>
      </c>
      <c r="AX1" s="38" t="s">
        <v>409</v>
      </c>
      <c r="AY1" s="38" t="s">
        <v>410</v>
      </c>
      <c r="AZ1" s="38" t="s">
        <v>411</v>
      </c>
      <c r="BA1" s="38" t="s">
        <v>412</v>
      </c>
      <c r="BB1" s="38" t="s">
        <v>413</v>
      </c>
      <c r="BC1" s="38" t="s">
        <v>414</v>
      </c>
      <c r="BD1" s="38" t="s">
        <v>415</v>
      </c>
      <c r="BE1" s="62" t="s">
        <v>416</v>
      </c>
      <c r="BF1" s="38" t="s">
        <v>417</v>
      </c>
      <c r="BG1" s="38" t="s">
        <v>418</v>
      </c>
      <c r="BH1" s="38" t="s">
        <v>419</v>
      </c>
      <c r="BI1" s="38" t="s">
        <v>420</v>
      </c>
      <c r="BJ1" s="62" t="s">
        <v>421</v>
      </c>
      <c r="BK1" s="60" t="s">
        <v>457</v>
      </c>
    </row>
    <row r="2" spans="1:63" x14ac:dyDescent="0.25">
      <c r="A2">
        <v>9</v>
      </c>
      <c r="B2" t="s">
        <v>107</v>
      </c>
      <c r="C2">
        <v>2016</v>
      </c>
      <c r="D2">
        <v>1</v>
      </c>
      <c r="E2" t="s">
        <v>100</v>
      </c>
      <c r="F2" t="s">
        <v>426</v>
      </c>
      <c r="G2" t="s">
        <v>427</v>
      </c>
      <c r="H2" t="s">
        <v>84</v>
      </c>
      <c r="I2" t="s">
        <v>428</v>
      </c>
      <c r="J2" t="s">
        <v>381</v>
      </c>
      <c r="K2">
        <v>-1412.8210930099999</v>
      </c>
      <c r="L2" t="s">
        <v>381</v>
      </c>
      <c r="M2" t="s">
        <v>382</v>
      </c>
      <c r="N2">
        <v>1.486442100011E-2</v>
      </c>
      <c r="O2">
        <v>21.000767524336212</v>
      </c>
      <c r="P2" t="s">
        <v>440</v>
      </c>
      <c r="Q2">
        <v>2</v>
      </c>
      <c r="R2">
        <v>31.615939999999998</v>
      </c>
      <c r="S2">
        <v>0.104</v>
      </c>
      <c r="T2">
        <v>3.2880577999999998</v>
      </c>
      <c r="U2">
        <v>1.9E-2</v>
      </c>
      <c r="V2">
        <v>62.472999999999999</v>
      </c>
      <c r="W2">
        <v>2</v>
      </c>
      <c r="X2">
        <v>8.0034574939999992E-3</v>
      </c>
      <c r="Y2">
        <v>1</v>
      </c>
      <c r="Z2" s="61">
        <v>21.000768000000001</v>
      </c>
      <c r="AA2" t="s">
        <v>423</v>
      </c>
      <c r="AB2" t="s">
        <v>424</v>
      </c>
      <c r="AC2" t="s">
        <v>425</v>
      </c>
      <c r="AD2" t="s">
        <v>81</v>
      </c>
      <c r="AE2">
        <v>111.133</v>
      </c>
      <c r="AF2">
        <v>0.99656169611782708</v>
      </c>
      <c r="AG2">
        <v>110.7508909746625</v>
      </c>
      <c r="AH2">
        <v>628.50318181818193</v>
      </c>
      <c r="AI2">
        <v>1</v>
      </c>
      <c r="AJ2">
        <v>69.607287366773932</v>
      </c>
      <c r="AK2">
        <v>0.89239999999999997</v>
      </c>
      <c r="AL2" s="63">
        <v>62.118000000000002</v>
      </c>
      <c r="AM2">
        <v>8.9176000000000002</v>
      </c>
      <c r="AN2">
        <v>8.8869385813003348</v>
      </c>
      <c r="AO2">
        <v>1</v>
      </c>
      <c r="AP2">
        <v>5585.4691749700214</v>
      </c>
      <c r="AQ2">
        <v>0.98143450184501846</v>
      </c>
      <c r="AR2">
        <v>5481.7722000000003</v>
      </c>
      <c r="AS2" s="61">
        <v>115121.4262010496</v>
      </c>
      <c r="AT2" t="s">
        <v>423</v>
      </c>
      <c r="AU2" t="s">
        <v>424</v>
      </c>
      <c r="AV2" t="s">
        <v>425</v>
      </c>
      <c r="AW2" t="s">
        <v>81</v>
      </c>
      <c r="AX2">
        <v>111.133</v>
      </c>
      <c r="AY2">
        <v>0.99656169611782708</v>
      </c>
      <c r="AZ2">
        <v>110.7508909746625</v>
      </c>
      <c r="BA2">
        <v>691.73</v>
      </c>
      <c r="BB2">
        <v>1</v>
      </c>
      <c r="BC2">
        <v>76.609713813903269</v>
      </c>
      <c r="BD2">
        <v>0.89239999999999997</v>
      </c>
      <c r="BE2" s="63">
        <v>68.367000000000004</v>
      </c>
      <c r="BF2">
        <v>8.9176000000000002</v>
      </c>
      <c r="BG2">
        <v>1</v>
      </c>
      <c r="BH2">
        <v>6147.3620248428806</v>
      </c>
      <c r="BI2">
        <v>0.98143450184501846</v>
      </c>
      <c r="BJ2" s="63">
        <v>6033.2331999999997</v>
      </c>
      <c r="BK2" s="61">
        <v>126702.5307230976</v>
      </c>
    </row>
    <row r="3" spans="1:63" x14ac:dyDescent="0.25">
      <c r="A3">
        <v>9</v>
      </c>
      <c r="B3" t="s">
        <v>107</v>
      </c>
      <c r="C3">
        <v>2016</v>
      </c>
      <c r="D3">
        <v>1</v>
      </c>
      <c r="E3" t="s">
        <v>100</v>
      </c>
      <c r="F3" t="s">
        <v>426</v>
      </c>
      <c r="G3" t="s">
        <v>427</v>
      </c>
      <c r="H3" t="s">
        <v>84</v>
      </c>
      <c r="I3" t="s">
        <v>429</v>
      </c>
      <c r="J3" t="s">
        <v>87</v>
      </c>
      <c r="K3">
        <v>-317.12642641000002</v>
      </c>
      <c r="L3" t="s">
        <v>87</v>
      </c>
      <c r="M3" t="s">
        <v>382</v>
      </c>
      <c r="N3">
        <v>2.6818326001589999E-2</v>
      </c>
      <c r="O3">
        <v>8.5047998871826209</v>
      </c>
      <c r="P3" t="s">
        <v>440</v>
      </c>
      <c r="Q3">
        <v>2</v>
      </c>
      <c r="R3">
        <v>31.615939999999998</v>
      </c>
      <c r="S3">
        <v>0.104</v>
      </c>
      <c r="T3">
        <v>3.2880577999999998</v>
      </c>
      <c r="U3">
        <v>1.9E-2</v>
      </c>
      <c r="V3">
        <v>62.472999999999999</v>
      </c>
      <c r="W3">
        <v>2</v>
      </c>
      <c r="X3">
        <v>8.0034574939999992E-3</v>
      </c>
      <c r="Y3">
        <v>1</v>
      </c>
      <c r="Z3" s="61">
        <v>8.5047999999999995</v>
      </c>
      <c r="AA3" t="s">
        <v>423</v>
      </c>
      <c r="AB3" t="s">
        <v>424</v>
      </c>
      <c r="AC3" t="s">
        <v>425</v>
      </c>
      <c r="AD3" t="s">
        <v>81</v>
      </c>
      <c r="AE3">
        <v>111.133</v>
      </c>
      <c r="AF3">
        <v>0.99656169611782708</v>
      </c>
      <c r="AG3">
        <v>110.7508909746625</v>
      </c>
      <c r="AH3">
        <v>628.50318181818193</v>
      </c>
      <c r="AI3">
        <v>1</v>
      </c>
      <c r="AJ3">
        <v>69.607287366773932</v>
      </c>
      <c r="AK3">
        <v>0.89239999999999997</v>
      </c>
      <c r="AL3" s="63">
        <v>62.118000000000002</v>
      </c>
      <c r="AM3">
        <v>8.9176000000000002</v>
      </c>
      <c r="AN3">
        <v>8.8869385813003348</v>
      </c>
      <c r="AO3">
        <v>1</v>
      </c>
      <c r="AP3">
        <v>5585.4691749700214</v>
      </c>
      <c r="AQ3">
        <v>0.98143450184501846</v>
      </c>
      <c r="AR3">
        <v>5481.7722000000003</v>
      </c>
      <c r="AS3" s="61">
        <v>46621.376206560002</v>
      </c>
      <c r="AT3" t="s">
        <v>423</v>
      </c>
      <c r="AU3" t="s">
        <v>424</v>
      </c>
      <c r="AV3" t="s">
        <v>425</v>
      </c>
      <c r="AW3" t="s">
        <v>81</v>
      </c>
      <c r="AX3">
        <v>111.133</v>
      </c>
      <c r="AY3">
        <v>0.99656169611782708</v>
      </c>
      <c r="AZ3">
        <v>110.7508909746625</v>
      </c>
      <c r="BA3">
        <v>691.73</v>
      </c>
      <c r="BB3">
        <v>1</v>
      </c>
      <c r="BC3">
        <v>76.609713813903269</v>
      </c>
      <c r="BD3">
        <v>0.89239999999999997</v>
      </c>
      <c r="BE3" s="63">
        <v>68.367000000000004</v>
      </c>
      <c r="BF3">
        <v>8.9176000000000002</v>
      </c>
      <c r="BG3">
        <v>1</v>
      </c>
      <c r="BH3">
        <v>6147.3620248428806</v>
      </c>
      <c r="BI3">
        <v>0.98143450184501846</v>
      </c>
      <c r="BJ3" s="63">
        <v>6033.2331999999997</v>
      </c>
      <c r="BK3" s="61">
        <v>51311.441719359987</v>
      </c>
    </row>
    <row r="4" spans="1:63" x14ac:dyDescent="0.25">
      <c r="A4">
        <v>9</v>
      </c>
      <c r="B4" t="s">
        <v>107</v>
      </c>
      <c r="C4">
        <v>2016</v>
      </c>
      <c r="D4">
        <v>1</v>
      </c>
      <c r="E4" t="s">
        <v>100</v>
      </c>
      <c r="F4" t="s">
        <v>426</v>
      </c>
      <c r="G4" t="s">
        <v>427</v>
      </c>
      <c r="H4" t="s">
        <v>84</v>
      </c>
      <c r="I4" t="s">
        <v>430</v>
      </c>
      <c r="J4" t="s">
        <v>59</v>
      </c>
      <c r="K4">
        <v>-586.29806036000002</v>
      </c>
      <c r="L4" t="s">
        <v>59</v>
      </c>
      <c r="M4" t="s">
        <v>382</v>
      </c>
      <c r="N4">
        <v>2.6402538000450001E-2</v>
      </c>
      <c r="O4">
        <v>15.479756818245029</v>
      </c>
      <c r="P4" t="s">
        <v>440</v>
      </c>
      <c r="Q4">
        <v>2</v>
      </c>
      <c r="R4">
        <v>31.615939999999998</v>
      </c>
      <c r="S4">
        <v>0.104</v>
      </c>
      <c r="T4">
        <v>3.2880577999999998</v>
      </c>
      <c r="U4">
        <v>1.9E-2</v>
      </c>
      <c r="V4">
        <v>62.472999999999999</v>
      </c>
      <c r="W4">
        <v>2</v>
      </c>
      <c r="X4">
        <v>8.0034574939999992E-3</v>
      </c>
      <c r="Y4">
        <v>1</v>
      </c>
      <c r="Z4" s="61">
        <v>15.479756999999999</v>
      </c>
      <c r="AA4" t="s">
        <v>423</v>
      </c>
      <c r="AB4" t="s">
        <v>424</v>
      </c>
      <c r="AC4" t="s">
        <v>425</v>
      </c>
      <c r="AD4" t="s">
        <v>81</v>
      </c>
      <c r="AE4">
        <v>111.133</v>
      </c>
      <c r="AF4">
        <v>0.99656169611782708</v>
      </c>
      <c r="AG4">
        <v>110.7508909746625</v>
      </c>
      <c r="AH4">
        <v>628.50318181818193</v>
      </c>
      <c r="AI4">
        <v>1</v>
      </c>
      <c r="AJ4">
        <v>69.607287366773932</v>
      </c>
      <c r="AK4">
        <v>0.89239999999999997</v>
      </c>
      <c r="AL4" s="63">
        <v>62.118000000000002</v>
      </c>
      <c r="AM4">
        <v>8.9176000000000002</v>
      </c>
      <c r="AN4">
        <v>8.8869385813003348</v>
      </c>
      <c r="AO4">
        <v>1</v>
      </c>
      <c r="AP4">
        <v>5585.4691749700214</v>
      </c>
      <c r="AQ4">
        <v>0.98143450184501846</v>
      </c>
      <c r="AR4">
        <v>5481.7722000000003</v>
      </c>
      <c r="AS4" s="61">
        <v>84856.501585355407</v>
      </c>
      <c r="AT4" t="s">
        <v>423</v>
      </c>
      <c r="AU4" t="s">
        <v>424</v>
      </c>
      <c r="AV4" t="s">
        <v>425</v>
      </c>
      <c r="AW4" t="s">
        <v>81</v>
      </c>
      <c r="AX4">
        <v>111.133</v>
      </c>
      <c r="AY4">
        <v>0.99656169611782708</v>
      </c>
      <c r="AZ4">
        <v>110.7508909746625</v>
      </c>
      <c r="BA4">
        <v>691.73</v>
      </c>
      <c r="BB4">
        <v>1</v>
      </c>
      <c r="BC4">
        <v>76.609713813903269</v>
      </c>
      <c r="BD4">
        <v>0.89239999999999997</v>
      </c>
      <c r="BE4" s="63">
        <v>68.367000000000004</v>
      </c>
      <c r="BF4">
        <v>8.9176000000000002</v>
      </c>
      <c r="BG4">
        <v>1</v>
      </c>
      <c r="BH4">
        <v>6147.3620248428806</v>
      </c>
      <c r="BI4">
        <v>0.98143450184501846</v>
      </c>
      <c r="BJ4" s="63">
        <v>6033.2331999999997</v>
      </c>
      <c r="BK4" s="61">
        <v>93392.983860332388</v>
      </c>
    </row>
    <row r="5" spans="1:63" x14ac:dyDescent="0.25">
      <c r="A5">
        <v>11</v>
      </c>
      <c r="B5" t="s">
        <v>107</v>
      </c>
      <c r="C5">
        <v>2016</v>
      </c>
      <c r="D5">
        <v>1</v>
      </c>
      <c r="E5" t="s">
        <v>100</v>
      </c>
      <c r="F5" t="s">
        <v>426</v>
      </c>
      <c r="G5" t="s">
        <v>427</v>
      </c>
      <c r="H5" t="s">
        <v>84</v>
      </c>
      <c r="I5" t="s">
        <v>428</v>
      </c>
      <c r="J5" t="s">
        <v>381</v>
      </c>
      <c r="K5">
        <v>-1412.8210930099999</v>
      </c>
      <c r="L5" t="s">
        <v>381</v>
      </c>
      <c r="M5" t="s">
        <v>383</v>
      </c>
      <c r="N5">
        <v>1.0246055789998201</v>
      </c>
      <c r="O5">
        <v>1447.58437402667</v>
      </c>
      <c r="P5" t="s">
        <v>440</v>
      </c>
      <c r="Q5">
        <v>2</v>
      </c>
      <c r="R5">
        <v>31.615939999999998</v>
      </c>
      <c r="S5">
        <v>0.104</v>
      </c>
      <c r="T5">
        <v>3.2880577999999998</v>
      </c>
      <c r="U5">
        <v>0.98099999999999998</v>
      </c>
      <c r="V5">
        <v>3225.585</v>
      </c>
      <c r="W5">
        <v>2</v>
      </c>
      <c r="X5">
        <v>1.5501064100000001E-4</v>
      </c>
      <c r="Y5">
        <v>1</v>
      </c>
      <c r="Z5" s="61">
        <v>1447.584374</v>
      </c>
      <c r="AA5" t="s">
        <v>423</v>
      </c>
      <c r="AB5" t="s">
        <v>424</v>
      </c>
      <c r="AC5" t="s">
        <v>425</v>
      </c>
      <c r="AD5" t="s">
        <v>27</v>
      </c>
      <c r="AE5">
        <v>111.133</v>
      </c>
      <c r="AF5">
        <v>0.99656169611782708</v>
      </c>
      <c r="AG5">
        <v>110.7508909746625</v>
      </c>
      <c r="AH5">
        <v>628.50318181818193</v>
      </c>
      <c r="AI5">
        <v>1</v>
      </c>
      <c r="AJ5">
        <v>69.607287366773932</v>
      </c>
      <c r="AK5">
        <v>1.008</v>
      </c>
      <c r="AL5" s="63">
        <v>70.164000000000001</v>
      </c>
      <c r="AM5">
        <v>8.9176000000000002</v>
      </c>
      <c r="AN5">
        <v>8.8869385813003348</v>
      </c>
      <c r="AO5">
        <v>1</v>
      </c>
      <c r="AP5">
        <v>5585.4691749700214</v>
      </c>
      <c r="AQ5">
        <v>1.01312551271534</v>
      </c>
      <c r="AR5">
        <v>5658.7812999999996</v>
      </c>
      <c r="AS5" s="61">
        <v>8191563.3857634058</v>
      </c>
      <c r="AT5" t="s">
        <v>423</v>
      </c>
      <c r="AU5" t="s">
        <v>424</v>
      </c>
      <c r="AV5" t="s">
        <v>425</v>
      </c>
      <c r="AW5" t="s">
        <v>27</v>
      </c>
      <c r="AX5">
        <v>111.133</v>
      </c>
      <c r="AY5">
        <v>0.99656169611782708</v>
      </c>
      <c r="AZ5">
        <v>110.7508909746625</v>
      </c>
      <c r="BA5">
        <v>691.73</v>
      </c>
      <c r="BB5">
        <v>1</v>
      </c>
      <c r="BC5">
        <v>76.609713813903269</v>
      </c>
      <c r="BD5">
        <v>1.008</v>
      </c>
      <c r="BE5" s="63">
        <v>77.222999999999999</v>
      </c>
      <c r="BF5">
        <v>8.9176000000000002</v>
      </c>
      <c r="BG5">
        <v>1</v>
      </c>
      <c r="BH5">
        <v>6147.3620248428806</v>
      </c>
      <c r="BI5">
        <v>1.01312551271534</v>
      </c>
      <c r="BJ5" s="63">
        <v>6228.0492999999997</v>
      </c>
      <c r="BK5" s="61">
        <v>9015626.8471816387</v>
      </c>
    </row>
    <row r="6" spans="1:63" x14ac:dyDescent="0.25">
      <c r="A6">
        <v>11</v>
      </c>
      <c r="B6" t="s">
        <v>107</v>
      </c>
      <c r="C6">
        <v>2016</v>
      </c>
      <c r="D6">
        <v>1</v>
      </c>
      <c r="E6" t="s">
        <v>100</v>
      </c>
      <c r="F6" t="s">
        <v>426</v>
      </c>
      <c r="G6" t="s">
        <v>427</v>
      </c>
      <c r="H6" t="s">
        <v>84</v>
      </c>
      <c r="I6" t="s">
        <v>429</v>
      </c>
      <c r="J6" t="s">
        <v>87</v>
      </c>
      <c r="K6">
        <v>-317.12642641000002</v>
      </c>
      <c r="L6" t="s">
        <v>87</v>
      </c>
      <c r="M6" t="s">
        <v>383</v>
      </c>
      <c r="N6">
        <v>1.0126516739981899</v>
      </c>
      <c r="O6">
        <v>321.1386065731503</v>
      </c>
      <c r="P6" t="s">
        <v>440</v>
      </c>
      <c r="Q6">
        <v>2</v>
      </c>
      <c r="R6">
        <v>31.615939999999998</v>
      </c>
      <c r="S6">
        <v>0.104</v>
      </c>
      <c r="T6">
        <v>3.2880577999999998</v>
      </c>
      <c r="U6">
        <v>0.98099999999999998</v>
      </c>
      <c r="V6">
        <v>3225.585</v>
      </c>
      <c r="W6">
        <v>2</v>
      </c>
      <c r="X6">
        <v>1.5501064100000001E-4</v>
      </c>
      <c r="Y6">
        <v>1</v>
      </c>
      <c r="Z6" s="61">
        <v>321.13860699999998</v>
      </c>
      <c r="AA6" t="s">
        <v>423</v>
      </c>
      <c r="AB6" t="s">
        <v>424</v>
      </c>
      <c r="AC6" t="s">
        <v>425</v>
      </c>
      <c r="AD6" t="s">
        <v>27</v>
      </c>
      <c r="AE6">
        <v>111.133</v>
      </c>
      <c r="AF6">
        <v>0.99656169611782708</v>
      </c>
      <c r="AG6">
        <v>110.7508909746625</v>
      </c>
      <c r="AH6">
        <v>628.50318181818193</v>
      </c>
      <c r="AI6">
        <v>1</v>
      </c>
      <c r="AJ6">
        <v>69.607287366773932</v>
      </c>
      <c r="AK6">
        <v>1.008</v>
      </c>
      <c r="AL6" s="63">
        <v>70.164000000000001</v>
      </c>
      <c r="AM6">
        <v>8.9176000000000002</v>
      </c>
      <c r="AN6">
        <v>8.8869385813003348</v>
      </c>
      <c r="AO6">
        <v>1</v>
      </c>
      <c r="AP6">
        <v>5585.4691749700214</v>
      </c>
      <c r="AQ6">
        <v>1.01312551271534</v>
      </c>
      <c r="AR6">
        <v>5658.7812999999996</v>
      </c>
      <c r="AS6" s="61">
        <v>1817253.143999649</v>
      </c>
      <c r="AT6" t="s">
        <v>423</v>
      </c>
      <c r="AU6" t="s">
        <v>424</v>
      </c>
      <c r="AV6" t="s">
        <v>425</v>
      </c>
      <c r="AW6" t="s">
        <v>27</v>
      </c>
      <c r="AX6">
        <v>111.133</v>
      </c>
      <c r="AY6">
        <v>0.99656169611782708</v>
      </c>
      <c r="AZ6">
        <v>110.7508909746625</v>
      </c>
      <c r="BA6">
        <v>691.73</v>
      </c>
      <c r="BB6">
        <v>1</v>
      </c>
      <c r="BC6">
        <v>76.609713813903269</v>
      </c>
      <c r="BD6">
        <v>1.008</v>
      </c>
      <c r="BE6" s="63">
        <v>77.222999999999999</v>
      </c>
      <c r="BF6">
        <v>8.9176000000000002</v>
      </c>
      <c r="BG6">
        <v>1</v>
      </c>
      <c r="BH6">
        <v>6147.3620248428806</v>
      </c>
      <c r="BI6">
        <v>1.01312551271534</v>
      </c>
      <c r="BJ6" s="63">
        <v>6228.0492999999997</v>
      </c>
      <c r="BK6" s="61">
        <v>2000067.076529325</v>
      </c>
    </row>
    <row r="7" spans="1:63" x14ac:dyDescent="0.25">
      <c r="A7">
        <v>11</v>
      </c>
      <c r="B7" t="s">
        <v>107</v>
      </c>
      <c r="C7">
        <v>2016</v>
      </c>
      <c r="D7">
        <v>1</v>
      </c>
      <c r="E7" t="s">
        <v>100</v>
      </c>
      <c r="F7" t="s">
        <v>426</v>
      </c>
      <c r="G7" t="s">
        <v>427</v>
      </c>
      <c r="H7" t="s">
        <v>84</v>
      </c>
      <c r="I7" t="s">
        <v>430</v>
      </c>
      <c r="J7" t="s">
        <v>59</v>
      </c>
      <c r="K7">
        <v>-586.29806036000002</v>
      </c>
      <c r="L7" t="s">
        <v>59</v>
      </c>
      <c r="M7" t="s">
        <v>383</v>
      </c>
      <c r="N7">
        <v>1.0130674620009701</v>
      </c>
      <c r="O7">
        <v>593.95948798499671</v>
      </c>
      <c r="P7" t="s">
        <v>440</v>
      </c>
      <c r="Q7">
        <v>2</v>
      </c>
      <c r="R7">
        <v>31.615939999999998</v>
      </c>
      <c r="S7">
        <v>0.104</v>
      </c>
      <c r="T7">
        <v>3.2880577999999998</v>
      </c>
      <c r="U7">
        <v>0.98099999999999998</v>
      </c>
      <c r="V7">
        <v>3225.585</v>
      </c>
      <c r="W7">
        <v>2</v>
      </c>
      <c r="X7">
        <v>1.5501064100000001E-4</v>
      </c>
      <c r="Y7">
        <v>1</v>
      </c>
      <c r="Z7" s="61">
        <v>593.95948799999996</v>
      </c>
      <c r="AA7" t="s">
        <v>423</v>
      </c>
      <c r="AB7" t="s">
        <v>424</v>
      </c>
      <c r="AC7" t="s">
        <v>425</v>
      </c>
      <c r="AD7" t="s">
        <v>27</v>
      </c>
      <c r="AE7">
        <v>111.133</v>
      </c>
      <c r="AF7">
        <v>0.99656169611782708</v>
      </c>
      <c r="AG7">
        <v>110.7508909746625</v>
      </c>
      <c r="AH7">
        <v>628.50318181818193</v>
      </c>
      <c r="AI7">
        <v>1</v>
      </c>
      <c r="AJ7">
        <v>69.607287366773932</v>
      </c>
      <c r="AK7">
        <v>1.008</v>
      </c>
      <c r="AL7" s="63">
        <v>70.164000000000001</v>
      </c>
      <c r="AM7">
        <v>8.9176000000000002</v>
      </c>
      <c r="AN7">
        <v>8.8869385813003348</v>
      </c>
      <c r="AO7">
        <v>1</v>
      </c>
      <c r="AP7">
        <v>5585.4691749700214</v>
      </c>
      <c r="AQ7">
        <v>1.01312551271534</v>
      </c>
      <c r="AR7">
        <v>5658.7812999999996</v>
      </c>
      <c r="AS7" s="61">
        <v>3361086.8436519741</v>
      </c>
      <c r="AT7" t="s">
        <v>423</v>
      </c>
      <c r="AU7" t="s">
        <v>424</v>
      </c>
      <c r="AV7" t="s">
        <v>425</v>
      </c>
      <c r="AW7" t="s">
        <v>27</v>
      </c>
      <c r="AX7">
        <v>111.133</v>
      </c>
      <c r="AY7">
        <v>0.99656169611782708</v>
      </c>
      <c r="AZ7">
        <v>110.7508909746625</v>
      </c>
      <c r="BA7">
        <v>691.73</v>
      </c>
      <c r="BB7">
        <v>1</v>
      </c>
      <c r="BC7">
        <v>76.609713813903269</v>
      </c>
      <c r="BD7">
        <v>1.008</v>
      </c>
      <c r="BE7" s="63">
        <v>77.222999999999999</v>
      </c>
      <c r="BF7">
        <v>8.9176000000000002</v>
      </c>
      <c r="BG7">
        <v>1</v>
      </c>
      <c r="BH7">
        <v>6147.3620248428806</v>
      </c>
      <c r="BI7">
        <v>1.01312551271534</v>
      </c>
      <c r="BJ7" s="63">
        <v>6228.0492999999997</v>
      </c>
      <c r="BK7" s="61">
        <v>3699208.9734667582</v>
      </c>
    </row>
    <row r="8" spans="1:63" x14ac:dyDescent="0.25">
      <c r="A8">
        <v>21</v>
      </c>
      <c r="B8" t="s">
        <v>110</v>
      </c>
      <c r="C8">
        <v>2016</v>
      </c>
      <c r="D8">
        <v>2</v>
      </c>
      <c r="E8" t="s">
        <v>100</v>
      </c>
      <c r="F8" t="s">
        <v>426</v>
      </c>
      <c r="G8" t="s">
        <v>427</v>
      </c>
      <c r="H8" t="s">
        <v>84</v>
      </c>
      <c r="I8" t="s">
        <v>428</v>
      </c>
      <c r="J8" t="s">
        <v>381</v>
      </c>
      <c r="K8">
        <v>-1839.3538632699999</v>
      </c>
      <c r="L8" t="s">
        <v>381</v>
      </c>
      <c r="M8" t="s">
        <v>382</v>
      </c>
      <c r="N8">
        <v>1.4864421000050001E-2</v>
      </c>
      <c r="O8">
        <v>27.340930191713682</v>
      </c>
      <c r="P8" t="s">
        <v>440</v>
      </c>
      <c r="Q8">
        <v>2</v>
      </c>
      <c r="R8">
        <v>31.615939999999998</v>
      </c>
      <c r="S8">
        <v>0.106</v>
      </c>
      <c r="T8">
        <v>3.3512895999999999</v>
      </c>
      <c r="U8">
        <v>1.9E-2</v>
      </c>
      <c r="V8">
        <v>63.674999999999997</v>
      </c>
      <c r="W8">
        <v>2</v>
      </c>
      <c r="X8">
        <v>7.8523753440000003E-3</v>
      </c>
      <c r="Y8">
        <v>1</v>
      </c>
      <c r="Z8" s="61">
        <v>27.34093</v>
      </c>
      <c r="AA8" t="s">
        <v>423</v>
      </c>
      <c r="AB8" t="s">
        <v>424</v>
      </c>
      <c r="AC8" t="s">
        <v>425</v>
      </c>
      <c r="AD8" t="s">
        <v>81</v>
      </c>
      <c r="AE8">
        <v>111.133</v>
      </c>
      <c r="AF8">
        <v>0.99656169611782708</v>
      </c>
      <c r="AG8">
        <v>110.7508909746625</v>
      </c>
      <c r="AH8">
        <v>691.73</v>
      </c>
      <c r="AI8">
        <v>1</v>
      </c>
      <c r="AJ8">
        <v>76.609713813903269</v>
      </c>
      <c r="AK8">
        <v>0.89239999999999997</v>
      </c>
      <c r="AL8" s="63">
        <v>68.367000000000004</v>
      </c>
      <c r="AM8">
        <v>8.9176000000000002</v>
      </c>
      <c r="AN8">
        <v>8.8869385813003348</v>
      </c>
      <c r="AO8">
        <v>1</v>
      </c>
      <c r="AP8">
        <v>6147.3620248428806</v>
      </c>
      <c r="AQ8">
        <v>0.98143450184501846</v>
      </c>
      <c r="AR8">
        <v>6033.2331999999997</v>
      </c>
      <c r="AS8" s="61">
        <v>164954.20659487601</v>
      </c>
      <c r="AT8" t="s">
        <v>423</v>
      </c>
      <c r="AU8" t="s">
        <v>424</v>
      </c>
      <c r="AV8" t="s">
        <v>425</v>
      </c>
      <c r="AW8" t="s">
        <v>81</v>
      </c>
      <c r="AX8">
        <v>111.133</v>
      </c>
      <c r="AY8">
        <v>0.99656169611782708</v>
      </c>
      <c r="AZ8">
        <v>110.7508909746625</v>
      </c>
      <c r="BA8">
        <v>691.73</v>
      </c>
      <c r="BB8">
        <v>1</v>
      </c>
      <c r="BC8">
        <v>76.609713813903269</v>
      </c>
      <c r="BD8">
        <v>0.89239999999999997</v>
      </c>
      <c r="BE8" s="63">
        <v>68.367000000000004</v>
      </c>
      <c r="BF8">
        <v>8.9176000000000002</v>
      </c>
      <c r="BG8">
        <v>1</v>
      </c>
      <c r="BH8">
        <v>6147.3620248428806</v>
      </c>
      <c r="BI8">
        <v>0.98143450184501846</v>
      </c>
      <c r="BJ8" s="63">
        <v>6033.2331999999997</v>
      </c>
      <c r="BK8" s="61">
        <v>164954.20659487601</v>
      </c>
    </row>
    <row r="9" spans="1:63" x14ac:dyDescent="0.25">
      <c r="A9">
        <v>21</v>
      </c>
      <c r="B9" t="s">
        <v>110</v>
      </c>
      <c r="C9">
        <v>2016</v>
      </c>
      <c r="D9">
        <v>2</v>
      </c>
      <c r="E9" t="s">
        <v>100</v>
      </c>
      <c r="F9" t="s">
        <v>426</v>
      </c>
      <c r="G9" t="s">
        <v>427</v>
      </c>
      <c r="H9" t="s">
        <v>84</v>
      </c>
      <c r="I9" t="s">
        <v>429</v>
      </c>
      <c r="J9" t="s">
        <v>87</v>
      </c>
      <c r="K9">
        <v>-439.07082333</v>
      </c>
      <c r="L9" t="s">
        <v>87</v>
      </c>
      <c r="M9" t="s">
        <v>382</v>
      </c>
      <c r="N9">
        <v>2.6818325999820002E-2</v>
      </c>
      <c r="O9">
        <v>11.77514447707331</v>
      </c>
      <c r="P9" t="s">
        <v>440</v>
      </c>
      <c r="Q9">
        <v>2</v>
      </c>
      <c r="R9">
        <v>31.615939999999998</v>
      </c>
      <c r="S9">
        <v>0.106</v>
      </c>
      <c r="T9">
        <v>3.3512895999999999</v>
      </c>
      <c r="U9">
        <v>1.9E-2</v>
      </c>
      <c r="V9">
        <v>63.674999999999997</v>
      </c>
      <c r="W9">
        <v>2</v>
      </c>
      <c r="X9">
        <v>7.8523753440000003E-3</v>
      </c>
      <c r="Y9">
        <v>1</v>
      </c>
      <c r="Z9" s="61">
        <v>11.775143999999999</v>
      </c>
      <c r="AA9" t="s">
        <v>423</v>
      </c>
      <c r="AB9" t="s">
        <v>424</v>
      </c>
      <c r="AC9" t="s">
        <v>425</v>
      </c>
      <c r="AD9" t="s">
        <v>81</v>
      </c>
      <c r="AE9">
        <v>111.133</v>
      </c>
      <c r="AF9">
        <v>0.99656169611782708</v>
      </c>
      <c r="AG9">
        <v>110.7508909746625</v>
      </c>
      <c r="AH9">
        <v>691.73</v>
      </c>
      <c r="AI9">
        <v>1</v>
      </c>
      <c r="AJ9">
        <v>76.609713813903269</v>
      </c>
      <c r="AK9">
        <v>0.89239999999999997</v>
      </c>
      <c r="AL9" s="63">
        <v>68.367000000000004</v>
      </c>
      <c r="AM9">
        <v>8.9176000000000002</v>
      </c>
      <c r="AN9">
        <v>8.8869385813003348</v>
      </c>
      <c r="AO9">
        <v>1</v>
      </c>
      <c r="AP9">
        <v>6147.3620248428806</v>
      </c>
      <c r="AQ9">
        <v>0.98143450184501846</v>
      </c>
      <c r="AR9">
        <v>6033.2331999999997</v>
      </c>
      <c r="AS9" s="61">
        <v>71042.189715580796</v>
      </c>
      <c r="AT9" t="s">
        <v>423</v>
      </c>
      <c r="AU9" t="s">
        <v>424</v>
      </c>
      <c r="AV9" t="s">
        <v>425</v>
      </c>
      <c r="AW9" t="s">
        <v>81</v>
      </c>
      <c r="AX9">
        <v>111.133</v>
      </c>
      <c r="AY9">
        <v>0.99656169611782708</v>
      </c>
      <c r="AZ9">
        <v>110.7508909746625</v>
      </c>
      <c r="BA9">
        <v>691.73</v>
      </c>
      <c r="BB9">
        <v>1</v>
      </c>
      <c r="BC9">
        <v>76.609713813903269</v>
      </c>
      <c r="BD9">
        <v>0.89239999999999997</v>
      </c>
      <c r="BE9" s="63">
        <v>68.367000000000004</v>
      </c>
      <c r="BF9">
        <v>8.9176000000000002</v>
      </c>
      <c r="BG9">
        <v>1</v>
      </c>
      <c r="BH9">
        <v>6147.3620248428806</v>
      </c>
      <c r="BI9">
        <v>0.98143450184501846</v>
      </c>
      <c r="BJ9" s="63">
        <v>6033.2331999999997</v>
      </c>
      <c r="BK9" s="61">
        <v>71042.189715580796</v>
      </c>
    </row>
    <row r="10" spans="1:63" x14ac:dyDescent="0.25">
      <c r="A10">
        <v>21</v>
      </c>
      <c r="B10" t="s">
        <v>110</v>
      </c>
      <c r="C10">
        <v>2016</v>
      </c>
      <c r="D10">
        <v>2</v>
      </c>
      <c r="E10" t="s">
        <v>100</v>
      </c>
      <c r="F10" t="s">
        <v>426</v>
      </c>
      <c r="G10" t="s">
        <v>427</v>
      </c>
      <c r="H10" t="s">
        <v>84</v>
      </c>
      <c r="I10" t="s">
        <v>430</v>
      </c>
      <c r="J10" t="s">
        <v>59</v>
      </c>
      <c r="K10">
        <v>-685.92496111000003</v>
      </c>
      <c r="L10" t="s">
        <v>59</v>
      </c>
      <c r="M10" t="s">
        <v>382</v>
      </c>
      <c r="N10">
        <v>2.6402538000080002E-2</v>
      </c>
      <c r="O10">
        <v>18.110159850910168</v>
      </c>
      <c r="P10" t="s">
        <v>440</v>
      </c>
      <c r="Q10">
        <v>2</v>
      </c>
      <c r="R10">
        <v>31.615939999999998</v>
      </c>
      <c r="S10">
        <v>0.106</v>
      </c>
      <c r="T10">
        <v>3.3512895999999999</v>
      </c>
      <c r="U10">
        <v>1.9E-2</v>
      </c>
      <c r="V10">
        <v>63.674999999999997</v>
      </c>
      <c r="W10">
        <v>2</v>
      </c>
      <c r="X10">
        <v>7.8523753440000003E-3</v>
      </c>
      <c r="Y10">
        <v>1</v>
      </c>
      <c r="Z10" s="61">
        <v>18.11016</v>
      </c>
      <c r="AA10" t="s">
        <v>423</v>
      </c>
      <c r="AB10" t="s">
        <v>424</v>
      </c>
      <c r="AC10" t="s">
        <v>425</v>
      </c>
      <c r="AD10" t="s">
        <v>81</v>
      </c>
      <c r="AE10">
        <v>111.133</v>
      </c>
      <c r="AF10">
        <v>0.99656169611782708</v>
      </c>
      <c r="AG10">
        <v>110.7508909746625</v>
      </c>
      <c r="AH10">
        <v>691.73</v>
      </c>
      <c r="AI10">
        <v>1</v>
      </c>
      <c r="AJ10">
        <v>76.609713813903269</v>
      </c>
      <c r="AK10">
        <v>0.89239999999999997</v>
      </c>
      <c r="AL10" s="63">
        <v>68.367000000000004</v>
      </c>
      <c r="AM10">
        <v>8.9176000000000002</v>
      </c>
      <c r="AN10">
        <v>8.8869385813003348</v>
      </c>
      <c r="AO10">
        <v>1</v>
      </c>
      <c r="AP10">
        <v>6147.3620248428806</v>
      </c>
      <c r="AQ10">
        <v>0.98143450184501846</v>
      </c>
      <c r="AR10">
        <v>6033.2331999999997</v>
      </c>
      <c r="AS10" s="61">
        <v>109262.818569312</v>
      </c>
      <c r="AT10" t="s">
        <v>423</v>
      </c>
      <c r="AU10" t="s">
        <v>424</v>
      </c>
      <c r="AV10" t="s">
        <v>425</v>
      </c>
      <c r="AW10" t="s">
        <v>81</v>
      </c>
      <c r="AX10">
        <v>111.133</v>
      </c>
      <c r="AY10">
        <v>0.99656169611782708</v>
      </c>
      <c r="AZ10">
        <v>110.7508909746625</v>
      </c>
      <c r="BA10">
        <v>691.73</v>
      </c>
      <c r="BB10">
        <v>1</v>
      </c>
      <c r="BC10">
        <v>76.609713813903269</v>
      </c>
      <c r="BD10">
        <v>0.89239999999999997</v>
      </c>
      <c r="BE10" s="63">
        <v>68.367000000000004</v>
      </c>
      <c r="BF10">
        <v>8.9176000000000002</v>
      </c>
      <c r="BG10">
        <v>1</v>
      </c>
      <c r="BH10">
        <v>6147.3620248428806</v>
      </c>
      <c r="BI10">
        <v>0.98143450184501846</v>
      </c>
      <c r="BJ10" s="63">
        <v>6033.2331999999997</v>
      </c>
      <c r="BK10" s="61">
        <v>109262.818569312</v>
      </c>
    </row>
    <row r="11" spans="1:63" x14ac:dyDescent="0.25">
      <c r="A11">
        <v>23</v>
      </c>
      <c r="B11" t="s">
        <v>110</v>
      </c>
      <c r="C11">
        <v>2016</v>
      </c>
      <c r="D11">
        <v>2</v>
      </c>
      <c r="E11" t="s">
        <v>100</v>
      </c>
      <c r="F11" t="s">
        <v>426</v>
      </c>
      <c r="G11" t="s">
        <v>427</v>
      </c>
      <c r="H11" t="s">
        <v>84</v>
      </c>
      <c r="I11" t="s">
        <v>428</v>
      </c>
      <c r="J11" t="s">
        <v>381</v>
      </c>
      <c r="K11">
        <v>-1839.3538632699999</v>
      </c>
      <c r="L11" t="s">
        <v>381</v>
      </c>
      <c r="M11" t="s">
        <v>383</v>
      </c>
      <c r="N11">
        <v>1.0246055790000601</v>
      </c>
      <c r="O11">
        <v>1884.612230061756</v>
      </c>
      <c r="P11" t="s">
        <v>440</v>
      </c>
      <c r="Q11">
        <v>2</v>
      </c>
      <c r="R11">
        <v>31.615939999999998</v>
      </c>
      <c r="S11">
        <v>0.106</v>
      </c>
      <c r="T11">
        <v>3.3512895999999999</v>
      </c>
      <c r="U11">
        <v>0.98099999999999998</v>
      </c>
      <c r="V11">
        <v>3287.6149999999998</v>
      </c>
      <c r="W11">
        <v>2</v>
      </c>
      <c r="X11">
        <v>1.52085935E-4</v>
      </c>
      <c r="Y11">
        <v>1</v>
      </c>
      <c r="Z11" s="61">
        <v>1884.61223</v>
      </c>
      <c r="AA11" t="s">
        <v>423</v>
      </c>
      <c r="AB11" t="s">
        <v>424</v>
      </c>
      <c r="AC11" t="s">
        <v>425</v>
      </c>
      <c r="AD11" t="s">
        <v>27</v>
      </c>
      <c r="AE11">
        <v>111.133</v>
      </c>
      <c r="AF11">
        <v>0.99656169611782708</v>
      </c>
      <c r="AG11">
        <v>110.7508909746625</v>
      </c>
      <c r="AH11">
        <v>691.73</v>
      </c>
      <c r="AI11">
        <v>1</v>
      </c>
      <c r="AJ11">
        <v>76.609713813903269</v>
      </c>
      <c r="AK11">
        <v>1.008</v>
      </c>
      <c r="AL11" s="63">
        <v>77.222999999999999</v>
      </c>
      <c r="AM11">
        <v>8.9176000000000002</v>
      </c>
      <c r="AN11">
        <v>8.8869385813003348</v>
      </c>
      <c r="AO11">
        <v>1</v>
      </c>
      <c r="AP11">
        <v>6147.3620248428806</v>
      </c>
      <c r="AQ11">
        <v>1.01312551271534</v>
      </c>
      <c r="AR11">
        <v>6228.0492999999997</v>
      </c>
      <c r="AS11" s="61">
        <v>11737457.87982294</v>
      </c>
      <c r="AT11" t="s">
        <v>423</v>
      </c>
      <c r="AU11" t="s">
        <v>424</v>
      </c>
      <c r="AV11" t="s">
        <v>425</v>
      </c>
      <c r="AW11" t="s">
        <v>27</v>
      </c>
      <c r="AX11">
        <v>111.133</v>
      </c>
      <c r="AY11">
        <v>0.99656169611782708</v>
      </c>
      <c r="AZ11">
        <v>110.7508909746625</v>
      </c>
      <c r="BA11">
        <v>691.73</v>
      </c>
      <c r="BB11">
        <v>1</v>
      </c>
      <c r="BC11">
        <v>76.609713813903269</v>
      </c>
      <c r="BD11">
        <v>1.008</v>
      </c>
      <c r="BE11" s="63">
        <v>77.222999999999999</v>
      </c>
      <c r="BF11">
        <v>8.9176000000000002</v>
      </c>
      <c r="BG11">
        <v>1</v>
      </c>
      <c r="BH11">
        <v>6147.3620248428806</v>
      </c>
      <c r="BI11">
        <v>1.01312551271534</v>
      </c>
      <c r="BJ11" s="63">
        <v>6228.0492999999997</v>
      </c>
      <c r="BK11" s="61">
        <v>11737457.87982294</v>
      </c>
    </row>
    <row r="12" spans="1:63" x14ac:dyDescent="0.25">
      <c r="A12">
        <v>23</v>
      </c>
      <c r="B12" t="s">
        <v>110</v>
      </c>
      <c r="C12">
        <v>2016</v>
      </c>
      <c r="D12">
        <v>2</v>
      </c>
      <c r="E12" t="s">
        <v>100</v>
      </c>
      <c r="F12" t="s">
        <v>426</v>
      </c>
      <c r="G12" t="s">
        <v>427</v>
      </c>
      <c r="H12" t="s">
        <v>84</v>
      </c>
      <c r="I12" t="s">
        <v>429</v>
      </c>
      <c r="J12" t="s">
        <v>87</v>
      </c>
      <c r="K12">
        <v>-439.07082333</v>
      </c>
      <c r="L12" t="s">
        <v>87</v>
      </c>
      <c r="M12" t="s">
        <v>383</v>
      </c>
      <c r="N12">
        <v>1.01265167399967</v>
      </c>
      <c r="O12">
        <v>444.62580424953791</v>
      </c>
      <c r="P12" t="s">
        <v>440</v>
      </c>
      <c r="Q12">
        <v>2</v>
      </c>
      <c r="R12">
        <v>31.615939999999998</v>
      </c>
      <c r="S12">
        <v>0.106</v>
      </c>
      <c r="T12">
        <v>3.3512895999999999</v>
      </c>
      <c r="U12">
        <v>0.98099999999999998</v>
      </c>
      <c r="V12">
        <v>3287.6149999999998</v>
      </c>
      <c r="W12">
        <v>2</v>
      </c>
      <c r="X12">
        <v>1.52085935E-4</v>
      </c>
      <c r="Y12">
        <v>1</v>
      </c>
      <c r="Z12" s="61">
        <v>444.62580400000002</v>
      </c>
      <c r="AA12" t="s">
        <v>423</v>
      </c>
      <c r="AB12" t="s">
        <v>424</v>
      </c>
      <c r="AC12" t="s">
        <v>425</v>
      </c>
      <c r="AD12" t="s">
        <v>27</v>
      </c>
      <c r="AE12">
        <v>111.133</v>
      </c>
      <c r="AF12">
        <v>0.99656169611782708</v>
      </c>
      <c r="AG12">
        <v>110.7508909746625</v>
      </c>
      <c r="AH12">
        <v>691.73</v>
      </c>
      <c r="AI12">
        <v>1</v>
      </c>
      <c r="AJ12">
        <v>76.609713813903269</v>
      </c>
      <c r="AK12">
        <v>1.008</v>
      </c>
      <c r="AL12" s="63">
        <v>77.222999999999999</v>
      </c>
      <c r="AM12">
        <v>8.9176000000000002</v>
      </c>
      <c r="AN12">
        <v>8.8869385813003348</v>
      </c>
      <c r="AO12">
        <v>1</v>
      </c>
      <c r="AP12">
        <v>6147.3620248428806</v>
      </c>
      <c r="AQ12">
        <v>1.01312551271534</v>
      </c>
      <c r="AR12">
        <v>6228.0492999999997</v>
      </c>
      <c r="AS12" s="61">
        <v>2769151.427364137</v>
      </c>
      <c r="AT12" t="s">
        <v>423</v>
      </c>
      <c r="AU12" t="s">
        <v>424</v>
      </c>
      <c r="AV12" t="s">
        <v>425</v>
      </c>
      <c r="AW12" t="s">
        <v>27</v>
      </c>
      <c r="AX12">
        <v>111.133</v>
      </c>
      <c r="AY12">
        <v>0.99656169611782708</v>
      </c>
      <c r="AZ12">
        <v>110.7508909746625</v>
      </c>
      <c r="BA12">
        <v>691.73</v>
      </c>
      <c r="BB12">
        <v>1</v>
      </c>
      <c r="BC12">
        <v>76.609713813903269</v>
      </c>
      <c r="BD12">
        <v>1.008</v>
      </c>
      <c r="BE12" s="63">
        <v>77.222999999999999</v>
      </c>
      <c r="BF12">
        <v>8.9176000000000002</v>
      </c>
      <c r="BG12">
        <v>1</v>
      </c>
      <c r="BH12">
        <v>6147.3620248428806</v>
      </c>
      <c r="BI12">
        <v>1.01312551271534</v>
      </c>
      <c r="BJ12" s="63">
        <v>6228.0492999999997</v>
      </c>
      <c r="BK12" s="61">
        <v>2769151.427364137</v>
      </c>
    </row>
    <row r="13" spans="1:63" x14ac:dyDescent="0.25">
      <c r="A13">
        <v>23</v>
      </c>
      <c r="B13" t="s">
        <v>110</v>
      </c>
      <c r="C13">
        <v>2016</v>
      </c>
      <c r="D13">
        <v>2</v>
      </c>
      <c r="E13" t="s">
        <v>100</v>
      </c>
      <c r="F13" t="s">
        <v>426</v>
      </c>
      <c r="G13" t="s">
        <v>427</v>
      </c>
      <c r="H13" t="s">
        <v>84</v>
      </c>
      <c r="I13" t="s">
        <v>430</v>
      </c>
      <c r="J13" t="s">
        <v>59</v>
      </c>
      <c r="K13">
        <v>-685.92496111000003</v>
      </c>
      <c r="L13" t="s">
        <v>59</v>
      </c>
      <c r="M13" t="s">
        <v>383</v>
      </c>
      <c r="N13">
        <v>1.01306746200022</v>
      </c>
      <c r="O13">
        <v>694.88825947430723</v>
      </c>
      <c r="P13" t="s">
        <v>440</v>
      </c>
      <c r="Q13">
        <v>2</v>
      </c>
      <c r="R13">
        <v>31.615939999999998</v>
      </c>
      <c r="S13">
        <v>0.106</v>
      </c>
      <c r="T13">
        <v>3.3512895999999999</v>
      </c>
      <c r="U13">
        <v>0.98099999999999998</v>
      </c>
      <c r="V13">
        <v>3287.6149999999998</v>
      </c>
      <c r="W13">
        <v>2</v>
      </c>
      <c r="X13">
        <v>1.52085935E-4</v>
      </c>
      <c r="Y13">
        <v>1</v>
      </c>
      <c r="Z13" s="61">
        <v>694.88825899999995</v>
      </c>
      <c r="AA13" t="s">
        <v>423</v>
      </c>
      <c r="AB13" t="s">
        <v>424</v>
      </c>
      <c r="AC13" t="s">
        <v>425</v>
      </c>
      <c r="AD13" t="s">
        <v>27</v>
      </c>
      <c r="AE13">
        <v>111.133</v>
      </c>
      <c r="AF13">
        <v>0.99656169611782708</v>
      </c>
      <c r="AG13">
        <v>110.7508909746625</v>
      </c>
      <c r="AH13">
        <v>691.73</v>
      </c>
      <c r="AI13">
        <v>1</v>
      </c>
      <c r="AJ13">
        <v>76.609713813903269</v>
      </c>
      <c r="AK13">
        <v>1.008</v>
      </c>
      <c r="AL13" s="63">
        <v>77.222999999999999</v>
      </c>
      <c r="AM13">
        <v>8.9176000000000002</v>
      </c>
      <c r="AN13">
        <v>8.8869385813003348</v>
      </c>
      <c r="AO13">
        <v>1</v>
      </c>
      <c r="AP13">
        <v>6147.3620248428806</v>
      </c>
      <c r="AQ13">
        <v>1.01312551271534</v>
      </c>
      <c r="AR13">
        <v>6228.0492999999997</v>
      </c>
      <c r="AS13" s="61">
        <v>4327798.3350431677</v>
      </c>
      <c r="AT13" t="s">
        <v>423</v>
      </c>
      <c r="AU13" t="s">
        <v>424</v>
      </c>
      <c r="AV13" t="s">
        <v>425</v>
      </c>
      <c r="AW13" t="s">
        <v>27</v>
      </c>
      <c r="AX13">
        <v>111.133</v>
      </c>
      <c r="AY13">
        <v>0.99656169611782708</v>
      </c>
      <c r="AZ13">
        <v>110.7508909746625</v>
      </c>
      <c r="BA13">
        <v>691.73</v>
      </c>
      <c r="BB13">
        <v>1</v>
      </c>
      <c r="BC13">
        <v>76.609713813903269</v>
      </c>
      <c r="BD13">
        <v>1.008</v>
      </c>
      <c r="BE13" s="63">
        <v>77.222999999999999</v>
      </c>
      <c r="BF13">
        <v>8.9176000000000002</v>
      </c>
      <c r="BG13">
        <v>1</v>
      </c>
      <c r="BH13">
        <v>6147.3620248428806</v>
      </c>
      <c r="BI13">
        <v>1.01312551271534</v>
      </c>
      <c r="BJ13" s="63">
        <v>6228.0492999999997</v>
      </c>
      <c r="BK13" s="61">
        <v>4327798.3350431677</v>
      </c>
    </row>
    <row r="14" spans="1:63" x14ac:dyDescent="0.25">
      <c r="A14">
        <v>33</v>
      </c>
      <c r="B14" t="s">
        <v>105</v>
      </c>
      <c r="C14">
        <v>2016</v>
      </c>
      <c r="D14">
        <v>3</v>
      </c>
      <c r="E14" t="s">
        <v>100</v>
      </c>
      <c r="F14" t="s">
        <v>426</v>
      </c>
      <c r="G14" t="s">
        <v>427</v>
      </c>
      <c r="H14" t="s">
        <v>84</v>
      </c>
      <c r="I14" t="s">
        <v>428</v>
      </c>
      <c r="J14" t="s">
        <v>381</v>
      </c>
      <c r="K14">
        <v>-2174.8287796599998</v>
      </c>
      <c r="L14" t="s">
        <v>381</v>
      </c>
      <c r="M14" t="s">
        <v>382</v>
      </c>
      <c r="N14">
        <v>1.4864420999870001E-2</v>
      </c>
      <c r="O14">
        <v>32.32757058349975</v>
      </c>
      <c r="P14" t="s">
        <v>440</v>
      </c>
      <c r="Q14">
        <v>2</v>
      </c>
      <c r="R14">
        <v>31.615939999999998</v>
      </c>
      <c r="S14">
        <v>0.108</v>
      </c>
      <c r="T14">
        <v>3.4145215000000002</v>
      </c>
      <c r="U14">
        <v>1.9E-2</v>
      </c>
      <c r="V14">
        <v>64.876000000000005</v>
      </c>
      <c r="W14">
        <v>2</v>
      </c>
      <c r="X14">
        <v>7.7070102970000004E-3</v>
      </c>
      <c r="Y14">
        <v>1</v>
      </c>
      <c r="Z14" s="61">
        <v>32.327570999999999</v>
      </c>
      <c r="AA14" t="s">
        <v>423</v>
      </c>
      <c r="AB14" t="s">
        <v>424</v>
      </c>
      <c r="AC14" t="s">
        <v>425</v>
      </c>
      <c r="AD14" t="s">
        <v>81</v>
      </c>
      <c r="AE14">
        <v>111.133</v>
      </c>
      <c r="AF14">
        <v>0.99656169611782708</v>
      </c>
      <c r="AG14">
        <v>110.7508909746625</v>
      </c>
      <c r="AH14">
        <v>691.73</v>
      </c>
      <c r="AI14">
        <v>1</v>
      </c>
      <c r="AJ14">
        <v>76.609713813903269</v>
      </c>
      <c r="AK14">
        <v>0.89239999999999997</v>
      </c>
      <c r="AL14" s="63">
        <v>68.367000000000004</v>
      </c>
      <c r="AM14">
        <v>8.9176000000000002</v>
      </c>
      <c r="AN14">
        <v>8.8869385813003348</v>
      </c>
      <c r="AO14">
        <v>1</v>
      </c>
      <c r="AP14">
        <v>6147.3620248428806</v>
      </c>
      <c r="AQ14">
        <v>0.98143450184501846</v>
      </c>
      <c r="AR14">
        <v>6033.2331999999997</v>
      </c>
      <c r="AS14" s="61">
        <v>195039.77463255721</v>
      </c>
      <c r="AT14" t="s">
        <v>423</v>
      </c>
      <c r="AU14" t="s">
        <v>424</v>
      </c>
      <c r="AV14" t="s">
        <v>425</v>
      </c>
      <c r="AW14" t="s">
        <v>81</v>
      </c>
      <c r="AX14">
        <v>111.133</v>
      </c>
      <c r="AY14">
        <v>0.99656169611782708</v>
      </c>
      <c r="AZ14">
        <v>110.7508909746625</v>
      </c>
      <c r="BA14">
        <v>691.73</v>
      </c>
      <c r="BB14">
        <v>1</v>
      </c>
      <c r="BC14">
        <v>76.609713813903269</v>
      </c>
      <c r="BD14">
        <v>0.89239999999999997</v>
      </c>
      <c r="BE14" s="63">
        <v>68.367000000000004</v>
      </c>
      <c r="BF14">
        <v>8.9176000000000002</v>
      </c>
      <c r="BG14">
        <v>1</v>
      </c>
      <c r="BH14">
        <v>6147.3620248428806</v>
      </c>
      <c r="BI14">
        <v>0.98143450184501846</v>
      </c>
      <c r="BJ14" s="63">
        <v>6033.2331999999997</v>
      </c>
      <c r="BK14" s="61">
        <v>195039.77463255721</v>
      </c>
    </row>
    <row r="15" spans="1:63" x14ac:dyDescent="0.25">
      <c r="A15">
        <v>33</v>
      </c>
      <c r="B15" t="s">
        <v>105</v>
      </c>
      <c r="C15">
        <v>2016</v>
      </c>
      <c r="D15">
        <v>3</v>
      </c>
      <c r="E15" t="s">
        <v>100</v>
      </c>
      <c r="F15" t="s">
        <v>426</v>
      </c>
      <c r="G15" t="s">
        <v>427</v>
      </c>
      <c r="H15" t="s">
        <v>84</v>
      </c>
      <c r="I15" t="s">
        <v>429</v>
      </c>
      <c r="J15" t="s">
        <v>87</v>
      </c>
      <c r="K15">
        <v>-556.25511085000005</v>
      </c>
      <c r="L15" t="s">
        <v>87</v>
      </c>
      <c r="M15" t="s">
        <v>382</v>
      </c>
      <c r="N15">
        <v>2.6818326000239999E-2</v>
      </c>
      <c r="O15">
        <v>14.91783090207494</v>
      </c>
      <c r="P15" t="s">
        <v>440</v>
      </c>
      <c r="Q15">
        <v>2</v>
      </c>
      <c r="R15">
        <v>31.615939999999998</v>
      </c>
      <c r="S15">
        <v>0.108</v>
      </c>
      <c r="T15">
        <v>3.4145215000000002</v>
      </c>
      <c r="U15">
        <v>1.9E-2</v>
      </c>
      <c r="V15">
        <v>64.876000000000005</v>
      </c>
      <c r="W15">
        <v>2</v>
      </c>
      <c r="X15">
        <v>7.7070102970000004E-3</v>
      </c>
      <c r="Y15">
        <v>1</v>
      </c>
      <c r="Z15" s="61">
        <v>14.917831</v>
      </c>
      <c r="AA15" t="s">
        <v>423</v>
      </c>
      <c r="AB15" t="s">
        <v>424</v>
      </c>
      <c r="AC15" t="s">
        <v>425</v>
      </c>
      <c r="AD15" t="s">
        <v>81</v>
      </c>
      <c r="AE15">
        <v>111.133</v>
      </c>
      <c r="AF15">
        <v>0.99656169611782708</v>
      </c>
      <c r="AG15">
        <v>110.7508909746625</v>
      </c>
      <c r="AH15">
        <v>691.73</v>
      </c>
      <c r="AI15">
        <v>1</v>
      </c>
      <c r="AJ15">
        <v>76.609713813903269</v>
      </c>
      <c r="AK15">
        <v>0.89239999999999997</v>
      </c>
      <c r="AL15" s="63">
        <v>68.367000000000004</v>
      </c>
      <c r="AM15">
        <v>8.9176000000000002</v>
      </c>
      <c r="AN15">
        <v>8.8869385813003348</v>
      </c>
      <c r="AO15">
        <v>1</v>
      </c>
      <c r="AP15">
        <v>6147.3620248428806</v>
      </c>
      <c r="AQ15">
        <v>0.98143450184501846</v>
      </c>
      <c r="AR15">
        <v>6033.2331999999997</v>
      </c>
      <c r="AS15" s="61">
        <v>90002.753261189195</v>
      </c>
      <c r="AT15" t="s">
        <v>423</v>
      </c>
      <c r="AU15" t="s">
        <v>424</v>
      </c>
      <c r="AV15" t="s">
        <v>425</v>
      </c>
      <c r="AW15" t="s">
        <v>81</v>
      </c>
      <c r="AX15">
        <v>111.133</v>
      </c>
      <c r="AY15">
        <v>0.99656169611782708</v>
      </c>
      <c r="AZ15">
        <v>110.7508909746625</v>
      </c>
      <c r="BA15">
        <v>691.73</v>
      </c>
      <c r="BB15">
        <v>1</v>
      </c>
      <c r="BC15">
        <v>76.609713813903269</v>
      </c>
      <c r="BD15">
        <v>0.89239999999999997</v>
      </c>
      <c r="BE15" s="63">
        <v>68.367000000000004</v>
      </c>
      <c r="BF15">
        <v>8.9176000000000002</v>
      </c>
      <c r="BG15">
        <v>1</v>
      </c>
      <c r="BH15">
        <v>6147.3620248428806</v>
      </c>
      <c r="BI15">
        <v>0.98143450184501846</v>
      </c>
      <c r="BJ15" s="63">
        <v>6033.2331999999997</v>
      </c>
      <c r="BK15" s="61">
        <v>90002.753261189195</v>
      </c>
    </row>
    <row r="16" spans="1:63" x14ac:dyDescent="0.25">
      <c r="A16">
        <v>33</v>
      </c>
      <c r="B16" t="s">
        <v>105</v>
      </c>
      <c r="C16">
        <v>2016</v>
      </c>
      <c r="D16">
        <v>3</v>
      </c>
      <c r="E16" t="s">
        <v>100</v>
      </c>
      <c r="F16" t="s">
        <v>426</v>
      </c>
      <c r="G16" t="s">
        <v>427</v>
      </c>
      <c r="H16" t="s">
        <v>84</v>
      </c>
      <c r="I16" t="s">
        <v>430</v>
      </c>
      <c r="J16" t="s">
        <v>59</v>
      </c>
      <c r="K16">
        <v>-774.59440939000001</v>
      </c>
      <c r="L16" t="s">
        <v>59</v>
      </c>
      <c r="M16" t="s">
        <v>382</v>
      </c>
      <c r="N16">
        <v>2.6402538000020001E-2</v>
      </c>
      <c r="O16">
        <v>20.45125832852252</v>
      </c>
      <c r="P16" t="s">
        <v>440</v>
      </c>
      <c r="Q16">
        <v>2</v>
      </c>
      <c r="R16">
        <v>31.615939999999998</v>
      </c>
      <c r="S16">
        <v>0.108</v>
      </c>
      <c r="T16">
        <v>3.4145215000000002</v>
      </c>
      <c r="U16">
        <v>1.9E-2</v>
      </c>
      <c r="V16">
        <v>64.876000000000005</v>
      </c>
      <c r="W16">
        <v>2</v>
      </c>
      <c r="X16">
        <v>7.7070102970000004E-3</v>
      </c>
      <c r="Y16">
        <v>1</v>
      </c>
      <c r="Z16" s="61">
        <v>20.451257999999999</v>
      </c>
      <c r="AA16" t="s">
        <v>423</v>
      </c>
      <c r="AB16" t="s">
        <v>424</v>
      </c>
      <c r="AC16" t="s">
        <v>425</v>
      </c>
      <c r="AD16" t="s">
        <v>81</v>
      </c>
      <c r="AE16">
        <v>111.133</v>
      </c>
      <c r="AF16">
        <v>0.99656169611782708</v>
      </c>
      <c r="AG16">
        <v>110.7508909746625</v>
      </c>
      <c r="AH16">
        <v>691.73</v>
      </c>
      <c r="AI16">
        <v>1</v>
      </c>
      <c r="AJ16">
        <v>76.609713813903269</v>
      </c>
      <c r="AK16">
        <v>0.89239999999999997</v>
      </c>
      <c r="AL16" s="63">
        <v>68.367000000000004</v>
      </c>
      <c r="AM16">
        <v>8.9176000000000002</v>
      </c>
      <c r="AN16">
        <v>8.8869385813003348</v>
      </c>
      <c r="AO16">
        <v>1</v>
      </c>
      <c r="AP16">
        <v>6147.3620248428806</v>
      </c>
      <c r="AQ16">
        <v>0.98143450184501846</v>
      </c>
      <c r="AR16">
        <v>6033.2331999999997</v>
      </c>
      <c r="AS16" s="61">
        <v>123387.2087473656</v>
      </c>
      <c r="AT16" t="s">
        <v>423</v>
      </c>
      <c r="AU16" t="s">
        <v>424</v>
      </c>
      <c r="AV16" t="s">
        <v>425</v>
      </c>
      <c r="AW16" t="s">
        <v>81</v>
      </c>
      <c r="AX16">
        <v>111.133</v>
      </c>
      <c r="AY16">
        <v>0.99656169611782708</v>
      </c>
      <c r="AZ16">
        <v>110.7508909746625</v>
      </c>
      <c r="BA16">
        <v>691.73</v>
      </c>
      <c r="BB16">
        <v>1</v>
      </c>
      <c r="BC16">
        <v>76.609713813903269</v>
      </c>
      <c r="BD16">
        <v>0.89239999999999997</v>
      </c>
      <c r="BE16" s="63">
        <v>68.367000000000004</v>
      </c>
      <c r="BF16">
        <v>8.9176000000000002</v>
      </c>
      <c r="BG16">
        <v>1</v>
      </c>
      <c r="BH16">
        <v>6147.3620248428806</v>
      </c>
      <c r="BI16">
        <v>0.98143450184501846</v>
      </c>
      <c r="BJ16" s="63">
        <v>6033.2331999999997</v>
      </c>
      <c r="BK16" s="61">
        <v>123387.2087473656</v>
      </c>
    </row>
    <row r="17" spans="1:63" x14ac:dyDescent="0.25">
      <c r="A17">
        <v>35</v>
      </c>
      <c r="B17" t="s">
        <v>105</v>
      </c>
      <c r="C17">
        <v>2016</v>
      </c>
      <c r="D17">
        <v>3</v>
      </c>
      <c r="E17" t="s">
        <v>100</v>
      </c>
      <c r="F17" t="s">
        <v>426</v>
      </c>
      <c r="G17" t="s">
        <v>427</v>
      </c>
      <c r="H17" t="s">
        <v>84</v>
      </c>
      <c r="I17" t="s">
        <v>428</v>
      </c>
      <c r="J17" t="s">
        <v>381</v>
      </c>
      <c r="K17">
        <v>-2174.8287796599998</v>
      </c>
      <c r="L17" t="s">
        <v>381</v>
      </c>
      <c r="M17" t="s">
        <v>383</v>
      </c>
      <c r="N17">
        <v>1.02460557899995</v>
      </c>
      <c r="O17">
        <v>2228.341701009289</v>
      </c>
      <c r="P17" t="s">
        <v>440</v>
      </c>
      <c r="Q17">
        <v>2</v>
      </c>
      <c r="R17">
        <v>31.615939999999998</v>
      </c>
      <c r="S17">
        <v>0.108</v>
      </c>
      <c r="T17">
        <v>3.4145215000000002</v>
      </c>
      <c r="U17">
        <v>0.98099999999999998</v>
      </c>
      <c r="V17">
        <v>3349.6460000000002</v>
      </c>
      <c r="W17">
        <v>2</v>
      </c>
      <c r="X17">
        <v>1.4926950500000001E-4</v>
      </c>
      <c r="Y17">
        <v>1</v>
      </c>
      <c r="Z17" s="61">
        <v>2228.3417009999998</v>
      </c>
      <c r="AA17" t="s">
        <v>423</v>
      </c>
      <c r="AB17" t="s">
        <v>424</v>
      </c>
      <c r="AC17" t="s">
        <v>425</v>
      </c>
      <c r="AD17" t="s">
        <v>27</v>
      </c>
      <c r="AE17">
        <v>111.133</v>
      </c>
      <c r="AF17">
        <v>0.99656169611782708</v>
      </c>
      <c r="AG17">
        <v>110.7508909746625</v>
      </c>
      <c r="AH17">
        <v>691.73</v>
      </c>
      <c r="AI17">
        <v>1</v>
      </c>
      <c r="AJ17">
        <v>76.609713813903269</v>
      </c>
      <c r="AK17">
        <v>1.008</v>
      </c>
      <c r="AL17" s="63">
        <v>77.222999999999999</v>
      </c>
      <c r="AM17">
        <v>8.9176000000000002</v>
      </c>
      <c r="AN17">
        <v>8.8869385813003348</v>
      </c>
      <c r="AO17">
        <v>1</v>
      </c>
      <c r="AP17">
        <v>6147.3620248428806</v>
      </c>
      <c r="AQ17">
        <v>1.01312551271534</v>
      </c>
      <c r="AR17">
        <v>6228.0492999999997</v>
      </c>
      <c r="AS17" s="61">
        <v>13878221.97107386</v>
      </c>
      <c r="AT17" t="s">
        <v>423</v>
      </c>
      <c r="AU17" t="s">
        <v>424</v>
      </c>
      <c r="AV17" t="s">
        <v>425</v>
      </c>
      <c r="AW17" t="s">
        <v>27</v>
      </c>
      <c r="AX17">
        <v>111.133</v>
      </c>
      <c r="AY17">
        <v>0.99656169611782708</v>
      </c>
      <c r="AZ17">
        <v>110.7508909746625</v>
      </c>
      <c r="BA17">
        <v>691.73</v>
      </c>
      <c r="BB17">
        <v>1</v>
      </c>
      <c r="BC17">
        <v>76.609713813903269</v>
      </c>
      <c r="BD17">
        <v>1.008</v>
      </c>
      <c r="BE17" s="63">
        <v>77.222999999999999</v>
      </c>
      <c r="BF17">
        <v>8.9176000000000002</v>
      </c>
      <c r="BG17">
        <v>1</v>
      </c>
      <c r="BH17">
        <v>6147.3620248428806</v>
      </c>
      <c r="BI17">
        <v>1.01312551271534</v>
      </c>
      <c r="BJ17" s="63">
        <v>6228.0492999999997</v>
      </c>
      <c r="BK17" s="61">
        <v>13878221.97107386</v>
      </c>
    </row>
    <row r="18" spans="1:63" x14ac:dyDescent="0.25">
      <c r="A18">
        <v>35</v>
      </c>
      <c r="B18" t="s">
        <v>105</v>
      </c>
      <c r="C18">
        <v>2016</v>
      </c>
      <c r="D18">
        <v>3</v>
      </c>
      <c r="E18" t="s">
        <v>100</v>
      </c>
      <c r="F18" t="s">
        <v>426</v>
      </c>
      <c r="G18" t="s">
        <v>427</v>
      </c>
      <c r="H18" t="s">
        <v>84</v>
      </c>
      <c r="I18" t="s">
        <v>429</v>
      </c>
      <c r="J18" t="s">
        <v>87</v>
      </c>
      <c r="K18">
        <v>-556.25511085000005</v>
      </c>
      <c r="L18" t="s">
        <v>87</v>
      </c>
      <c r="M18" t="s">
        <v>383</v>
      </c>
      <c r="N18">
        <v>1.01265167400139</v>
      </c>
      <c r="O18">
        <v>563.29266917408131</v>
      </c>
      <c r="P18" t="s">
        <v>440</v>
      </c>
      <c r="Q18">
        <v>2</v>
      </c>
      <c r="R18">
        <v>31.615939999999998</v>
      </c>
      <c r="S18">
        <v>0.108</v>
      </c>
      <c r="T18">
        <v>3.4145215000000002</v>
      </c>
      <c r="U18">
        <v>0.98099999999999998</v>
      </c>
      <c r="V18">
        <v>3349.6460000000002</v>
      </c>
      <c r="W18">
        <v>2</v>
      </c>
      <c r="X18">
        <v>1.4926950500000001E-4</v>
      </c>
      <c r="Y18">
        <v>1</v>
      </c>
      <c r="Z18" s="61">
        <v>563.29266900000005</v>
      </c>
      <c r="AA18" t="s">
        <v>423</v>
      </c>
      <c r="AB18" t="s">
        <v>424</v>
      </c>
      <c r="AC18" t="s">
        <v>425</v>
      </c>
      <c r="AD18" t="s">
        <v>27</v>
      </c>
      <c r="AE18">
        <v>111.133</v>
      </c>
      <c r="AF18">
        <v>0.99656169611782708</v>
      </c>
      <c r="AG18">
        <v>110.7508909746625</v>
      </c>
      <c r="AH18">
        <v>691.73</v>
      </c>
      <c r="AI18">
        <v>1</v>
      </c>
      <c r="AJ18">
        <v>76.609713813903269</v>
      </c>
      <c r="AK18">
        <v>1.008</v>
      </c>
      <c r="AL18" s="63">
        <v>77.222999999999999</v>
      </c>
      <c r="AM18">
        <v>8.9176000000000002</v>
      </c>
      <c r="AN18">
        <v>8.8869385813003348</v>
      </c>
      <c r="AO18">
        <v>1</v>
      </c>
      <c r="AP18">
        <v>6147.3620248428806</v>
      </c>
      <c r="AQ18">
        <v>1.01312551271534</v>
      </c>
      <c r="AR18">
        <v>6228.0492999999997</v>
      </c>
      <c r="AS18" s="61">
        <v>3508214.5128605822</v>
      </c>
      <c r="AT18" t="s">
        <v>423</v>
      </c>
      <c r="AU18" t="s">
        <v>424</v>
      </c>
      <c r="AV18" t="s">
        <v>425</v>
      </c>
      <c r="AW18" t="s">
        <v>27</v>
      </c>
      <c r="AX18">
        <v>111.133</v>
      </c>
      <c r="AY18">
        <v>0.99656169611782708</v>
      </c>
      <c r="AZ18">
        <v>110.7508909746625</v>
      </c>
      <c r="BA18">
        <v>691.73</v>
      </c>
      <c r="BB18">
        <v>1</v>
      </c>
      <c r="BC18">
        <v>76.609713813903269</v>
      </c>
      <c r="BD18">
        <v>1.008</v>
      </c>
      <c r="BE18" s="63">
        <v>77.222999999999999</v>
      </c>
      <c r="BF18">
        <v>8.9176000000000002</v>
      </c>
      <c r="BG18">
        <v>1</v>
      </c>
      <c r="BH18">
        <v>6147.3620248428806</v>
      </c>
      <c r="BI18">
        <v>1.01312551271534</v>
      </c>
      <c r="BJ18" s="63">
        <v>6228.0492999999997</v>
      </c>
      <c r="BK18" s="61">
        <v>3508214.5128605822</v>
      </c>
    </row>
    <row r="19" spans="1:63" x14ac:dyDescent="0.25">
      <c r="A19">
        <v>35</v>
      </c>
      <c r="B19" t="s">
        <v>105</v>
      </c>
      <c r="C19">
        <v>2016</v>
      </c>
      <c r="D19">
        <v>3</v>
      </c>
      <c r="E19" t="s">
        <v>100</v>
      </c>
      <c r="F19" t="s">
        <v>426</v>
      </c>
      <c r="G19" t="s">
        <v>427</v>
      </c>
      <c r="H19" t="s">
        <v>84</v>
      </c>
      <c r="I19" t="s">
        <v>430</v>
      </c>
      <c r="J19" t="s">
        <v>59</v>
      </c>
      <c r="K19">
        <v>-774.59440939000001</v>
      </c>
      <c r="L19" t="s">
        <v>59</v>
      </c>
      <c r="M19" t="s">
        <v>383</v>
      </c>
      <c r="N19">
        <v>1.0130674620003</v>
      </c>
      <c r="O19">
        <v>784.7163924003487</v>
      </c>
      <c r="P19" t="s">
        <v>440</v>
      </c>
      <c r="Q19">
        <v>2</v>
      </c>
      <c r="R19">
        <v>31.615939999999998</v>
      </c>
      <c r="S19">
        <v>0.108</v>
      </c>
      <c r="T19">
        <v>3.4145215000000002</v>
      </c>
      <c r="U19">
        <v>0.98099999999999998</v>
      </c>
      <c r="V19">
        <v>3349.6460000000002</v>
      </c>
      <c r="W19">
        <v>2</v>
      </c>
      <c r="X19">
        <v>1.4926950500000001E-4</v>
      </c>
      <c r="Y19">
        <v>1</v>
      </c>
      <c r="Z19" s="61">
        <v>784.71639200000004</v>
      </c>
      <c r="AA19" t="s">
        <v>423</v>
      </c>
      <c r="AB19" t="s">
        <v>424</v>
      </c>
      <c r="AC19" t="s">
        <v>425</v>
      </c>
      <c r="AD19" t="s">
        <v>27</v>
      </c>
      <c r="AE19">
        <v>111.133</v>
      </c>
      <c r="AF19">
        <v>0.99656169611782708</v>
      </c>
      <c r="AG19">
        <v>110.7508909746625</v>
      </c>
      <c r="AH19">
        <v>691.73</v>
      </c>
      <c r="AI19">
        <v>1</v>
      </c>
      <c r="AJ19">
        <v>76.609713813903269</v>
      </c>
      <c r="AK19">
        <v>1.008</v>
      </c>
      <c r="AL19" s="63">
        <v>77.222999999999999</v>
      </c>
      <c r="AM19">
        <v>8.9176000000000002</v>
      </c>
      <c r="AN19">
        <v>8.8869385813003348</v>
      </c>
      <c r="AO19">
        <v>1</v>
      </c>
      <c r="AP19">
        <v>6147.3620248428806</v>
      </c>
      <c r="AQ19">
        <v>1.01312551271534</v>
      </c>
      <c r="AR19">
        <v>6228.0492999999997</v>
      </c>
      <c r="AS19" s="61">
        <v>4887252.3758941256</v>
      </c>
      <c r="AT19" t="s">
        <v>423</v>
      </c>
      <c r="AU19" t="s">
        <v>424</v>
      </c>
      <c r="AV19" t="s">
        <v>425</v>
      </c>
      <c r="AW19" t="s">
        <v>27</v>
      </c>
      <c r="AX19">
        <v>111.133</v>
      </c>
      <c r="AY19">
        <v>0.99656169611782708</v>
      </c>
      <c r="AZ19">
        <v>110.7508909746625</v>
      </c>
      <c r="BA19">
        <v>691.73</v>
      </c>
      <c r="BB19">
        <v>1</v>
      </c>
      <c r="BC19">
        <v>76.609713813903269</v>
      </c>
      <c r="BD19">
        <v>1.008</v>
      </c>
      <c r="BE19" s="63">
        <v>77.222999999999999</v>
      </c>
      <c r="BF19">
        <v>8.9176000000000002</v>
      </c>
      <c r="BG19">
        <v>1</v>
      </c>
      <c r="BH19">
        <v>6147.3620248428806</v>
      </c>
      <c r="BI19">
        <v>1.01312551271534</v>
      </c>
      <c r="BJ19" s="63">
        <v>6228.0492999999997</v>
      </c>
      <c r="BK19" s="61">
        <v>4887252.3758941256</v>
      </c>
    </row>
    <row r="20" spans="1:63" x14ac:dyDescent="0.25">
      <c r="A20">
        <v>45</v>
      </c>
      <c r="B20" t="s">
        <v>99</v>
      </c>
      <c r="C20">
        <v>2016</v>
      </c>
      <c r="D20">
        <v>4</v>
      </c>
      <c r="E20" t="s">
        <v>100</v>
      </c>
      <c r="F20" t="s">
        <v>426</v>
      </c>
      <c r="G20" t="s">
        <v>427</v>
      </c>
      <c r="H20" t="s">
        <v>84</v>
      </c>
      <c r="I20" t="s">
        <v>428</v>
      </c>
      <c r="J20" t="s">
        <v>381</v>
      </c>
      <c r="K20">
        <v>-555.82596736000005</v>
      </c>
      <c r="L20" t="s">
        <v>381</v>
      </c>
      <c r="M20" t="s">
        <v>382</v>
      </c>
      <c r="N20">
        <v>1.486442099999E-2</v>
      </c>
      <c r="O20">
        <v>8.2620311815657406</v>
      </c>
      <c r="P20" t="s">
        <v>440</v>
      </c>
      <c r="Q20">
        <v>2</v>
      </c>
      <c r="R20">
        <v>31.615939999999998</v>
      </c>
      <c r="S20">
        <v>3.2000000000000001E-2</v>
      </c>
      <c r="T20">
        <v>1.0117100999999999</v>
      </c>
      <c r="U20">
        <v>1.9E-2</v>
      </c>
      <c r="V20">
        <v>19.222000000000001</v>
      </c>
      <c r="W20">
        <v>2</v>
      </c>
      <c r="X20">
        <v>2.6011861409000001E-2</v>
      </c>
      <c r="Y20">
        <v>1</v>
      </c>
      <c r="Z20" s="61">
        <v>8.2620310000000003</v>
      </c>
      <c r="AA20" t="s">
        <v>423</v>
      </c>
      <c r="AB20" t="s">
        <v>424</v>
      </c>
      <c r="AC20" t="s">
        <v>425</v>
      </c>
      <c r="AD20" t="s">
        <v>81</v>
      </c>
      <c r="AE20">
        <v>111.133</v>
      </c>
      <c r="AF20">
        <v>0.99656169611782708</v>
      </c>
      <c r="AG20">
        <v>110.7508909746625</v>
      </c>
      <c r="AH20">
        <v>691.73</v>
      </c>
      <c r="AI20">
        <v>1</v>
      </c>
      <c r="AJ20">
        <v>76.609713813903269</v>
      </c>
      <c r="AK20">
        <v>0.89239999999999997</v>
      </c>
      <c r="AL20" s="63">
        <v>68.367000000000004</v>
      </c>
      <c r="AM20">
        <v>8.9176000000000002</v>
      </c>
      <c r="AN20">
        <v>8.8869385813003348</v>
      </c>
      <c r="AO20">
        <v>1</v>
      </c>
      <c r="AP20">
        <v>6147.3620248428806</v>
      </c>
      <c r="AQ20">
        <v>0.98143450184501846</v>
      </c>
      <c r="AR20">
        <v>6033.2331999999997</v>
      </c>
      <c r="AS20" s="61">
        <v>49846.7597286292</v>
      </c>
      <c r="AT20" t="s">
        <v>423</v>
      </c>
      <c r="AU20" t="s">
        <v>424</v>
      </c>
      <c r="AV20" t="s">
        <v>425</v>
      </c>
      <c r="AW20" t="s">
        <v>81</v>
      </c>
      <c r="AX20">
        <v>111.133</v>
      </c>
      <c r="AY20">
        <v>0.99656169611782708</v>
      </c>
      <c r="AZ20">
        <v>110.7508909746625</v>
      </c>
      <c r="BA20">
        <v>691.73</v>
      </c>
      <c r="BB20">
        <v>1</v>
      </c>
      <c r="BC20">
        <v>76.609713813903269</v>
      </c>
      <c r="BD20">
        <v>0.89239999999999997</v>
      </c>
      <c r="BE20" s="63">
        <v>68.367000000000004</v>
      </c>
      <c r="BF20">
        <v>8.9176000000000002</v>
      </c>
      <c r="BG20">
        <v>1</v>
      </c>
      <c r="BH20">
        <v>6147.3620248428806</v>
      </c>
      <c r="BI20">
        <v>0.98143450184501846</v>
      </c>
      <c r="BJ20" s="63">
        <v>6033.2331999999997</v>
      </c>
      <c r="BK20" s="61">
        <v>49846.7597286292</v>
      </c>
    </row>
    <row r="21" spans="1:63" x14ac:dyDescent="0.25">
      <c r="A21">
        <v>45</v>
      </c>
      <c r="B21" t="s">
        <v>99</v>
      </c>
      <c r="C21">
        <v>2016</v>
      </c>
      <c r="D21">
        <v>4</v>
      </c>
      <c r="E21" t="s">
        <v>100</v>
      </c>
      <c r="F21" t="s">
        <v>426</v>
      </c>
      <c r="G21" t="s">
        <v>427</v>
      </c>
      <c r="H21" t="s">
        <v>84</v>
      </c>
      <c r="I21" t="s">
        <v>429</v>
      </c>
      <c r="J21" t="s">
        <v>87</v>
      </c>
      <c r="K21">
        <v>-125.10825531</v>
      </c>
      <c r="L21" t="s">
        <v>87</v>
      </c>
      <c r="M21" t="s">
        <v>382</v>
      </c>
      <c r="N21">
        <v>2.6818325998610001E-2</v>
      </c>
      <c r="O21">
        <v>3.3551939760209111</v>
      </c>
      <c r="P21" t="s">
        <v>440</v>
      </c>
      <c r="Q21">
        <v>2</v>
      </c>
      <c r="R21">
        <v>31.615939999999998</v>
      </c>
      <c r="S21">
        <v>3.2000000000000001E-2</v>
      </c>
      <c r="T21">
        <v>1.0117100999999999</v>
      </c>
      <c r="U21">
        <v>1.9E-2</v>
      </c>
      <c r="V21">
        <v>19.222000000000001</v>
      </c>
      <c r="W21">
        <v>2</v>
      </c>
      <c r="X21">
        <v>2.6011861409000001E-2</v>
      </c>
      <c r="Y21">
        <v>1</v>
      </c>
      <c r="Z21" s="61">
        <v>3.355194</v>
      </c>
      <c r="AA21" t="s">
        <v>423</v>
      </c>
      <c r="AB21" t="s">
        <v>424</v>
      </c>
      <c r="AC21" t="s">
        <v>425</v>
      </c>
      <c r="AD21" t="s">
        <v>81</v>
      </c>
      <c r="AE21">
        <v>111.133</v>
      </c>
      <c r="AF21">
        <v>0.99656169611782708</v>
      </c>
      <c r="AG21">
        <v>110.7508909746625</v>
      </c>
      <c r="AH21">
        <v>691.73</v>
      </c>
      <c r="AI21">
        <v>1</v>
      </c>
      <c r="AJ21">
        <v>76.609713813903269</v>
      </c>
      <c r="AK21">
        <v>0.89239999999999997</v>
      </c>
      <c r="AL21" s="63">
        <v>68.367000000000004</v>
      </c>
      <c r="AM21">
        <v>8.9176000000000002</v>
      </c>
      <c r="AN21">
        <v>8.8869385813003348</v>
      </c>
      <c r="AO21">
        <v>1</v>
      </c>
      <c r="AP21">
        <v>6147.3620248428806</v>
      </c>
      <c r="AQ21">
        <v>0.98143450184501846</v>
      </c>
      <c r="AR21">
        <v>6033.2331999999997</v>
      </c>
      <c r="AS21" s="61">
        <v>20242.667833240801</v>
      </c>
      <c r="AT21" t="s">
        <v>423</v>
      </c>
      <c r="AU21" t="s">
        <v>424</v>
      </c>
      <c r="AV21" t="s">
        <v>425</v>
      </c>
      <c r="AW21" t="s">
        <v>81</v>
      </c>
      <c r="AX21">
        <v>111.133</v>
      </c>
      <c r="AY21">
        <v>0.99656169611782708</v>
      </c>
      <c r="AZ21">
        <v>110.7508909746625</v>
      </c>
      <c r="BA21">
        <v>691.73</v>
      </c>
      <c r="BB21">
        <v>1</v>
      </c>
      <c r="BC21">
        <v>76.609713813903269</v>
      </c>
      <c r="BD21">
        <v>0.89239999999999997</v>
      </c>
      <c r="BE21" s="63">
        <v>68.367000000000004</v>
      </c>
      <c r="BF21">
        <v>8.9176000000000002</v>
      </c>
      <c r="BG21">
        <v>1</v>
      </c>
      <c r="BH21">
        <v>6147.3620248428806</v>
      </c>
      <c r="BI21">
        <v>0.98143450184501846</v>
      </c>
      <c r="BJ21" s="63">
        <v>6033.2331999999997</v>
      </c>
      <c r="BK21" s="61">
        <v>20242.667833240801</v>
      </c>
    </row>
    <row r="22" spans="1:63" x14ac:dyDescent="0.25">
      <c r="A22">
        <v>45</v>
      </c>
      <c r="B22" t="s">
        <v>99</v>
      </c>
      <c r="C22">
        <v>2016</v>
      </c>
      <c r="D22">
        <v>4</v>
      </c>
      <c r="E22" t="s">
        <v>100</v>
      </c>
      <c r="F22" t="s">
        <v>426</v>
      </c>
      <c r="G22" t="s">
        <v>427</v>
      </c>
      <c r="H22" t="s">
        <v>84</v>
      </c>
      <c r="I22" t="s">
        <v>430</v>
      </c>
      <c r="J22" t="s">
        <v>59</v>
      </c>
      <c r="K22">
        <v>-331.59770463000001</v>
      </c>
      <c r="L22" t="s">
        <v>59</v>
      </c>
      <c r="M22" t="s">
        <v>382</v>
      </c>
      <c r="N22">
        <v>2.640253799954E-2</v>
      </c>
      <c r="O22">
        <v>8.7550209970538155</v>
      </c>
      <c r="P22" t="s">
        <v>440</v>
      </c>
      <c r="Q22">
        <v>2</v>
      </c>
      <c r="R22">
        <v>31.615939999999998</v>
      </c>
      <c r="S22">
        <v>3.2000000000000001E-2</v>
      </c>
      <c r="T22">
        <v>1.0117100999999999</v>
      </c>
      <c r="U22">
        <v>1.9E-2</v>
      </c>
      <c r="V22">
        <v>19.222000000000001</v>
      </c>
      <c r="W22">
        <v>2</v>
      </c>
      <c r="X22">
        <v>2.6011861409000001E-2</v>
      </c>
      <c r="Y22">
        <v>1</v>
      </c>
      <c r="Z22" s="61">
        <v>8.7550209999999993</v>
      </c>
      <c r="AA22" t="s">
        <v>423</v>
      </c>
      <c r="AB22" t="s">
        <v>424</v>
      </c>
      <c r="AC22" t="s">
        <v>425</v>
      </c>
      <c r="AD22" t="s">
        <v>81</v>
      </c>
      <c r="AE22">
        <v>111.133</v>
      </c>
      <c r="AF22">
        <v>0.99656169611782708</v>
      </c>
      <c r="AG22">
        <v>110.7508909746625</v>
      </c>
      <c r="AH22">
        <v>691.73</v>
      </c>
      <c r="AI22">
        <v>1</v>
      </c>
      <c r="AJ22">
        <v>76.609713813903269</v>
      </c>
      <c r="AK22">
        <v>0.89239999999999997</v>
      </c>
      <c r="AL22" s="63">
        <v>68.367000000000004</v>
      </c>
      <c r="AM22">
        <v>8.9176000000000002</v>
      </c>
      <c r="AN22">
        <v>8.8869385813003348</v>
      </c>
      <c r="AO22">
        <v>1</v>
      </c>
      <c r="AP22">
        <v>6147.3620248428806</v>
      </c>
      <c r="AQ22">
        <v>0.98143450184501846</v>
      </c>
      <c r="AR22">
        <v>6033.2331999999997</v>
      </c>
      <c r="AS22" s="61">
        <v>52821.083363897204</v>
      </c>
      <c r="AT22" t="s">
        <v>423</v>
      </c>
      <c r="AU22" t="s">
        <v>424</v>
      </c>
      <c r="AV22" t="s">
        <v>425</v>
      </c>
      <c r="AW22" t="s">
        <v>81</v>
      </c>
      <c r="AX22">
        <v>111.133</v>
      </c>
      <c r="AY22">
        <v>0.99656169611782708</v>
      </c>
      <c r="AZ22">
        <v>110.7508909746625</v>
      </c>
      <c r="BA22">
        <v>691.73</v>
      </c>
      <c r="BB22">
        <v>1</v>
      </c>
      <c r="BC22">
        <v>76.609713813903269</v>
      </c>
      <c r="BD22">
        <v>0.89239999999999997</v>
      </c>
      <c r="BE22" s="63">
        <v>68.367000000000004</v>
      </c>
      <c r="BF22">
        <v>8.9176000000000002</v>
      </c>
      <c r="BG22">
        <v>1</v>
      </c>
      <c r="BH22">
        <v>6147.3620248428806</v>
      </c>
      <c r="BI22">
        <v>0.98143450184501846</v>
      </c>
      <c r="BJ22" s="63">
        <v>6033.2331999999997</v>
      </c>
      <c r="BK22" s="61">
        <v>52821.083363897204</v>
      </c>
    </row>
    <row r="23" spans="1:63" x14ac:dyDescent="0.25">
      <c r="A23">
        <v>47</v>
      </c>
      <c r="B23" t="s">
        <v>99</v>
      </c>
      <c r="C23">
        <v>2016</v>
      </c>
      <c r="D23">
        <v>4</v>
      </c>
      <c r="E23" t="s">
        <v>100</v>
      </c>
      <c r="F23" t="s">
        <v>426</v>
      </c>
      <c r="G23" t="s">
        <v>427</v>
      </c>
      <c r="H23" t="s">
        <v>84</v>
      </c>
      <c r="I23" t="s">
        <v>428</v>
      </c>
      <c r="J23" t="s">
        <v>381</v>
      </c>
      <c r="K23">
        <v>-555.82596736000005</v>
      </c>
      <c r="L23" t="s">
        <v>381</v>
      </c>
      <c r="M23" t="s">
        <v>383</v>
      </c>
      <c r="N23">
        <v>1.0246055790000099</v>
      </c>
      <c r="O23">
        <v>569.50238711013344</v>
      </c>
      <c r="P23" t="s">
        <v>440</v>
      </c>
      <c r="Q23">
        <v>2</v>
      </c>
      <c r="R23">
        <v>31.615939999999998</v>
      </c>
      <c r="S23">
        <v>3.2000000000000001E-2</v>
      </c>
      <c r="T23">
        <v>1.0117100999999999</v>
      </c>
      <c r="U23">
        <v>0.98099999999999998</v>
      </c>
      <c r="V23">
        <v>992.48800000000006</v>
      </c>
      <c r="W23">
        <v>2</v>
      </c>
      <c r="X23">
        <v>5.0378442899999998E-4</v>
      </c>
      <c r="Y23">
        <v>1</v>
      </c>
      <c r="Z23" s="61">
        <v>569.502387</v>
      </c>
      <c r="AA23" t="s">
        <v>423</v>
      </c>
      <c r="AB23" t="s">
        <v>424</v>
      </c>
      <c r="AC23" t="s">
        <v>425</v>
      </c>
      <c r="AD23" t="s">
        <v>27</v>
      </c>
      <c r="AE23">
        <v>111.133</v>
      </c>
      <c r="AF23">
        <v>0.99656169611782708</v>
      </c>
      <c r="AG23">
        <v>110.7508909746625</v>
      </c>
      <c r="AH23">
        <v>691.73</v>
      </c>
      <c r="AI23">
        <v>1</v>
      </c>
      <c r="AJ23">
        <v>76.609713813903269</v>
      </c>
      <c r="AK23">
        <v>1.008</v>
      </c>
      <c r="AL23" s="63">
        <v>77.222999999999999</v>
      </c>
      <c r="AM23">
        <v>8.9176000000000002</v>
      </c>
      <c r="AN23">
        <v>8.8869385813003348</v>
      </c>
      <c r="AO23">
        <v>1</v>
      </c>
      <c r="AP23">
        <v>6147.3620248428806</v>
      </c>
      <c r="AQ23">
        <v>1.01312551271534</v>
      </c>
      <c r="AR23">
        <v>6228.0492999999997</v>
      </c>
      <c r="AS23" s="61">
        <v>3546888.9427036792</v>
      </c>
      <c r="AT23" t="s">
        <v>423</v>
      </c>
      <c r="AU23" t="s">
        <v>424</v>
      </c>
      <c r="AV23" t="s">
        <v>425</v>
      </c>
      <c r="AW23" t="s">
        <v>27</v>
      </c>
      <c r="AX23">
        <v>111.133</v>
      </c>
      <c r="AY23">
        <v>0.99656169611782708</v>
      </c>
      <c r="AZ23">
        <v>110.7508909746625</v>
      </c>
      <c r="BA23">
        <v>691.73</v>
      </c>
      <c r="BB23">
        <v>1</v>
      </c>
      <c r="BC23">
        <v>76.609713813903269</v>
      </c>
      <c r="BD23">
        <v>1.008</v>
      </c>
      <c r="BE23" s="63">
        <v>77.222999999999999</v>
      </c>
      <c r="BF23">
        <v>8.9176000000000002</v>
      </c>
      <c r="BG23">
        <v>1</v>
      </c>
      <c r="BH23">
        <v>6147.3620248428806</v>
      </c>
      <c r="BI23">
        <v>1.01312551271534</v>
      </c>
      <c r="BJ23" s="63">
        <v>6228.0492999999997</v>
      </c>
      <c r="BK23" s="61">
        <v>3546888.9427036792</v>
      </c>
    </row>
    <row r="24" spans="1:63" x14ac:dyDescent="0.25">
      <c r="A24">
        <v>47</v>
      </c>
      <c r="B24" t="s">
        <v>99</v>
      </c>
      <c r="C24">
        <v>2016</v>
      </c>
      <c r="D24">
        <v>4</v>
      </c>
      <c r="E24" t="s">
        <v>100</v>
      </c>
      <c r="F24" t="s">
        <v>426</v>
      </c>
      <c r="G24" t="s">
        <v>427</v>
      </c>
      <c r="H24" t="s">
        <v>84</v>
      </c>
      <c r="I24" t="s">
        <v>429</v>
      </c>
      <c r="J24" t="s">
        <v>87</v>
      </c>
      <c r="K24">
        <v>-125.10825531</v>
      </c>
      <c r="L24" t="s">
        <v>87</v>
      </c>
      <c r="M24" t="s">
        <v>383</v>
      </c>
      <c r="N24">
        <v>1.01265167400079</v>
      </c>
      <c r="O24">
        <v>126.6910841709897</v>
      </c>
      <c r="P24" t="s">
        <v>440</v>
      </c>
      <c r="Q24">
        <v>2</v>
      </c>
      <c r="R24">
        <v>31.615939999999998</v>
      </c>
      <c r="S24">
        <v>3.2000000000000001E-2</v>
      </c>
      <c r="T24">
        <v>1.0117100999999999</v>
      </c>
      <c r="U24">
        <v>0.98099999999999998</v>
      </c>
      <c r="V24">
        <v>992.48800000000006</v>
      </c>
      <c r="W24">
        <v>2</v>
      </c>
      <c r="X24">
        <v>5.0378442899999998E-4</v>
      </c>
      <c r="Y24">
        <v>1</v>
      </c>
      <c r="Z24" s="61">
        <v>126.691084</v>
      </c>
      <c r="AA24" t="s">
        <v>423</v>
      </c>
      <c r="AB24" t="s">
        <v>424</v>
      </c>
      <c r="AC24" t="s">
        <v>425</v>
      </c>
      <c r="AD24" t="s">
        <v>27</v>
      </c>
      <c r="AE24">
        <v>111.133</v>
      </c>
      <c r="AF24">
        <v>0.99656169611782708</v>
      </c>
      <c r="AG24">
        <v>110.7508909746625</v>
      </c>
      <c r="AH24">
        <v>691.73</v>
      </c>
      <c r="AI24">
        <v>1</v>
      </c>
      <c r="AJ24">
        <v>76.609713813903269</v>
      </c>
      <c r="AK24">
        <v>1.008</v>
      </c>
      <c r="AL24" s="63">
        <v>77.222999999999999</v>
      </c>
      <c r="AM24">
        <v>8.9176000000000002</v>
      </c>
      <c r="AN24">
        <v>8.8869385813003348</v>
      </c>
      <c r="AO24">
        <v>1</v>
      </c>
      <c r="AP24">
        <v>6147.3620248428806</v>
      </c>
      <c r="AQ24">
        <v>1.01312551271534</v>
      </c>
      <c r="AR24">
        <v>6228.0492999999997</v>
      </c>
      <c r="AS24" s="61">
        <v>789038.31702244119</v>
      </c>
      <c r="AT24" t="s">
        <v>423</v>
      </c>
      <c r="AU24" t="s">
        <v>424</v>
      </c>
      <c r="AV24" t="s">
        <v>425</v>
      </c>
      <c r="AW24" t="s">
        <v>27</v>
      </c>
      <c r="AX24">
        <v>111.133</v>
      </c>
      <c r="AY24">
        <v>0.99656169611782708</v>
      </c>
      <c r="AZ24">
        <v>110.7508909746625</v>
      </c>
      <c r="BA24">
        <v>691.73</v>
      </c>
      <c r="BB24">
        <v>1</v>
      </c>
      <c r="BC24">
        <v>76.609713813903269</v>
      </c>
      <c r="BD24">
        <v>1.008</v>
      </c>
      <c r="BE24" s="63">
        <v>77.222999999999999</v>
      </c>
      <c r="BF24">
        <v>8.9176000000000002</v>
      </c>
      <c r="BG24">
        <v>1</v>
      </c>
      <c r="BH24">
        <v>6147.3620248428806</v>
      </c>
      <c r="BI24">
        <v>1.01312551271534</v>
      </c>
      <c r="BJ24" s="63">
        <v>6228.0492999999997</v>
      </c>
      <c r="BK24" s="61">
        <v>789038.31702244119</v>
      </c>
    </row>
    <row r="25" spans="1:63" x14ac:dyDescent="0.25">
      <c r="A25">
        <v>47</v>
      </c>
      <c r="B25" t="s">
        <v>99</v>
      </c>
      <c r="C25">
        <v>2016</v>
      </c>
      <c r="D25">
        <v>4</v>
      </c>
      <c r="E25" t="s">
        <v>100</v>
      </c>
      <c r="F25" t="s">
        <v>426</v>
      </c>
      <c r="G25" t="s">
        <v>427</v>
      </c>
      <c r="H25" t="s">
        <v>84</v>
      </c>
      <c r="I25" t="s">
        <v>430</v>
      </c>
      <c r="J25" t="s">
        <v>59</v>
      </c>
      <c r="K25">
        <v>-331.59770463000001</v>
      </c>
      <c r="L25" t="s">
        <v>59</v>
      </c>
      <c r="M25" t="s">
        <v>383</v>
      </c>
      <c r="N25">
        <v>1.01306746199941</v>
      </c>
      <c r="O25">
        <v>335.93084503434409</v>
      </c>
      <c r="P25" t="s">
        <v>440</v>
      </c>
      <c r="Q25">
        <v>2</v>
      </c>
      <c r="R25">
        <v>31.615939999999998</v>
      </c>
      <c r="S25">
        <v>3.2000000000000001E-2</v>
      </c>
      <c r="T25">
        <v>1.0117100999999999</v>
      </c>
      <c r="U25">
        <v>0.98099999999999998</v>
      </c>
      <c r="V25">
        <v>992.48800000000006</v>
      </c>
      <c r="W25">
        <v>2</v>
      </c>
      <c r="X25">
        <v>5.0378442899999998E-4</v>
      </c>
      <c r="Y25">
        <v>1</v>
      </c>
      <c r="Z25" s="61">
        <v>335.93084499999998</v>
      </c>
      <c r="AA25" t="s">
        <v>423</v>
      </c>
      <c r="AB25" t="s">
        <v>424</v>
      </c>
      <c r="AC25" t="s">
        <v>425</v>
      </c>
      <c r="AD25" t="s">
        <v>27</v>
      </c>
      <c r="AE25">
        <v>111.133</v>
      </c>
      <c r="AF25">
        <v>0.99656169611782708</v>
      </c>
      <c r="AG25">
        <v>110.7508909746625</v>
      </c>
      <c r="AH25">
        <v>691.73</v>
      </c>
      <c r="AI25">
        <v>1</v>
      </c>
      <c r="AJ25">
        <v>76.609713813903269</v>
      </c>
      <c r="AK25">
        <v>1.008</v>
      </c>
      <c r="AL25" s="63">
        <v>77.222999999999999</v>
      </c>
      <c r="AM25">
        <v>8.9176000000000002</v>
      </c>
      <c r="AN25">
        <v>8.8869385813003348</v>
      </c>
      <c r="AO25">
        <v>1</v>
      </c>
      <c r="AP25">
        <v>6147.3620248428806</v>
      </c>
      <c r="AQ25">
        <v>1.01312551271534</v>
      </c>
      <c r="AR25">
        <v>6228.0492999999997</v>
      </c>
      <c r="AS25" s="61">
        <v>2092193.864050658</v>
      </c>
      <c r="AT25" t="s">
        <v>423</v>
      </c>
      <c r="AU25" t="s">
        <v>424</v>
      </c>
      <c r="AV25" t="s">
        <v>425</v>
      </c>
      <c r="AW25" t="s">
        <v>27</v>
      </c>
      <c r="AX25">
        <v>111.133</v>
      </c>
      <c r="AY25">
        <v>0.99656169611782708</v>
      </c>
      <c r="AZ25">
        <v>110.7508909746625</v>
      </c>
      <c r="BA25">
        <v>691.73</v>
      </c>
      <c r="BB25">
        <v>1</v>
      </c>
      <c r="BC25">
        <v>76.609713813903269</v>
      </c>
      <c r="BD25">
        <v>1.008</v>
      </c>
      <c r="BE25" s="63">
        <v>77.222999999999999</v>
      </c>
      <c r="BF25">
        <v>8.9176000000000002</v>
      </c>
      <c r="BG25">
        <v>1</v>
      </c>
      <c r="BH25">
        <v>6147.3620248428806</v>
      </c>
      <c r="BI25">
        <v>1.01312551271534</v>
      </c>
      <c r="BJ25" s="63">
        <v>6228.0492999999997</v>
      </c>
      <c r="BK25" s="61">
        <v>2092193.864050658</v>
      </c>
    </row>
    <row r="26" spans="1:63" x14ac:dyDescent="0.25">
      <c r="A26">
        <v>57</v>
      </c>
      <c r="B26" t="s">
        <v>134</v>
      </c>
      <c r="C26">
        <v>2016</v>
      </c>
      <c r="D26">
        <v>5</v>
      </c>
      <c r="E26" t="s">
        <v>100</v>
      </c>
      <c r="F26" t="s">
        <v>426</v>
      </c>
      <c r="G26" t="s">
        <v>427</v>
      </c>
      <c r="H26" t="s">
        <v>84</v>
      </c>
      <c r="I26" t="s">
        <v>428</v>
      </c>
      <c r="J26" t="s">
        <v>381</v>
      </c>
      <c r="K26">
        <v>-632.79027571999995</v>
      </c>
      <c r="L26" t="s">
        <v>381</v>
      </c>
      <c r="M26" t="s">
        <v>382</v>
      </c>
      <c r="N26">
        <v>1.4864420999970001E-2</v>
      </c>
      <c r="O26">
        <v>9.4060610629891741</v>
      </c>
      <c r="P26" t="s">
        <v>440</v>
      </c>
      <c r="Q26">
        <v>2</v>
      </c>
      <c r="R26">
        <v>31.615939999999998</v>
      </c>
      <c r="S26">
        <v>6.0999999999999999E-2</v>
      </c>
      <c r="T26">
        <v>1.9285722999999999</v>
      </c>
      <c r="U26">
        <v>1.9E-2</v>
      </c>
      <c r="V26">
        <v>36.643000000000001</v>
      </c>
      <c r="W26">
        <v>2</v>
      </c>
      <c r="X26">
        <v>1.3645170974E-2</v>
      </c>
      <c r="Y26">
        <v>1</v>
      </c>
      <c r="Z26" s="61">
        <v>9.4060609999999993</v>
      </c>
      <c r="AA26" t="s">
        <v>431</v>
      </c>
      <c r="AB26" t="s">
        <v>424</v>
      </c>
      <c r="AC26" t="s">
        <v>425</v>
      </c>
      <c r="AD26" t="s">
        <v>81</v>
      </c>
      <c r="AE26">
        <v>111.133</v>
      </c>
      <c r="AF26">
        <v>0.99656169611782708</v>
      </c>
      <c r="AG26">
        <v>110.7508909746625</v>
      </c>
      <c r="AH26">
        <v>691.73</v>
      </c>
      <c r="AI26">
        <v>1</v>
      </c>
      <c r="AJ26">
        <v>76.609713813903269</v>
      </c>
      <c r="AK26">
        <v>0.89239999999999997</v>
      </c>
      <c r="AL26" s="63">
        <v>68.367000000000004</v>
      </c>
      <c r="AM26">
        <v>8.9176000000000002</v>
      </c>
      <c r="AN26">
        <v>8.8869385813003348</v>
      </c>
      <c r="AO26">
        <v>1</v>
      </c>
      <c r="AP26">
        <v>6147.3620248428806</v>
      </c>
      <c r="AQ26">
        <v>0.98143450184501846</v>
      </c>
      <c r="AR26">
        <v>6033.2331999999997</v>
      </c>
      <c r="AS26" s="61">
        <v>56748.959506425192</v>
      </c>
      <c r="AT26" t="s">
        <v>423</v>
      </c>
      <c r="AU26" t="s">
        <v>424</v>
      </c>
      <c r="AV26" t="s">
        <v>425</v>
      </c>
      <c r="AW26" t="s">
        <v>81</v>
      </c>
      <c r="AX26">
        <v>111.133</v>
      </c>
      <c r="AY26">
        <v>0.99656169611782708</v>
      </c>
      <c r="AZ26">
        <v>110.7508909746625</v>
      </c>
      <c r="BA26">
        <v>691.73</v>
      </c>
      <c r="BB26">
        <v>1</v>
      </c>
      <c r="BC26">
        <v>76.609713813903269</v>
      </c>
      <c r="BD26">
        <v>0.89239999999999997</v>
      </c>
      <c r="BE26" s="63">
        <v>68.367000000000004</v>
      </c>
      <c r="BF26">
        <v>8.9176000000000002</v>
      </c>
      <c r="BG26">
        <v>1</v>
      </c>
      <c r="BH26">
        <v>6147.3620248428806</v>
      </c>
      <c r="BI26">
        <v>0.98143450184501846</v>
      </c>
      <c r="BJ26" s="63">
        <v>6033.2331999999997</v>
      </c>
      <c r="BK26" s="61">
        <v>56748.959506425192</v>
      </c>
    </row>
    <row r="27" spans="1:63" x14ac:dyDescent="0.25">
      <c r="A27">
        <v>57</v>
      </c>
      <c r="B27" t="s">
        <v>134</v>
      </c>
      <c r="C27">
        <v>2016</v>
      </c>
      <c r="D27">
        <v>5</v>
      </c>
      <c r="E27" t="s">
        <v>100</v>
      </c>
      <c r="F27" t="s">
        <v>426</v>
      </c>
      <c r="G27" t="s">
        <v>427</v>
      </c>
      <c r="H27" t="s">
        <v>84</v>
      </c>
      <c r="I27" t="s">
        <v>429</v>
      </c>
      <c r="J27" t="s">
        <v>87</v>
      </c>
      <c r="K27">
        <v>-130.27588750999999</v>
      </c>
      <c r="L27" t="s">
        <v>87</v>
      </c>
      <c r="M27" t="s">
        <v>382</v>
      </c>
      <c r="N27">
        <v>2.5328419000879999E-2</v>
      </c>
      <c r="O27">
        <v>3.299682264564789</v>
      </c>
      <c r="P27" t="s">
        <v>440</v>
      </c>
      <c r="Q27">
        <v>2</v>
      </c>
      <c r="R27">
        <v>31.615939999999998</v>
      </c>
      <c r="S27">
        <v>6.0999999999999999E-2</v>
      </c>
      <c r="T27">
        <v>1.9285722999999999</v>
      </c>
      <c r="U27">
        <v>1.9E-2</v>
      </c>
      <c r="V27">
        <v>36.643000000000001</v>
      </c>
      <c r="W27">
        <v>2</v>
      </c>
      <c r="X27">
        <v>1.3645170974E-2</v>
      </c>
      <c r="Y27">
        <v>1</v>
      </c>
      <c r="Z27" s="61">
        <v>3.2996819999999998</v>
      </c>
      <c r="AA27" t="s">
        <v>431</v>
      </c>
      <c r="AB27" t="s">
        <v>424</v>
      </c>
      <c r="AC27" t="s">
        <v>425</v>
      </c>
      <c r="AD27" t="s">
        <v>81</v>
      </c>
      <c r="AE27">
        <v>111.133</v>
      </c>
      <c r="AF27">
        <v>0.99656169611782708</v>
      </c>
      <c r="AG27">
        <v>110.7508909746625</v>
      </c>
      <c r="AH27">
        <v>691.73</v>
      </c>
      <c r="AI27">
        <v>1</v>
      </c>
      <c r="AJ27">
        <v>76.609713813903269</v>
      </c>
      <c r="AK27">
        <v>0.89239999999999997</v>
      </c>
      <c r="AL27" s="63">
        <v>68.367000000000004</v>
      </c>
      <c r="AM27">
        <v>8.9176000000000002</v>
      </c>
      <c r="AN27">
        <v>8.8869385813003348</v>
      </c>
      <c r="AO27">
        <v>1</v>
      </c>
      <c r="AP27">
        <v>6147.3620248428806</v>
      </c>
      <c r="AQ27">
        <v>0.98143450184501846</v>
      </c>
      <c r="AR27">
        <v>6033.2331999999997</v>
      </c>
      <c r="AS27" s="61">
        <v>19907.7509918424</v>
      </c>
      <c r="AT27" t="s">
        <v>423</v>
      </c>
      <c r="AU27" t="s">
        <v>424</v>
      </c>
      <c r="AV27" t="s">
        <v>425</v>
      </c>
      <c r="AW27" t="s">
        <v>81</v>
      </c>
      <c r="AX27">
        <v>111.133</v>
      </c>
      <c r="AY27">
        <v>0.99656169611782708</v>
      </c>
      <c r="AZ27">
        <v>110.7508909746625</v>
      </c>
      <c r="BA27">
        <v>691.73</v>
      </c>
      <c r="BB27">
        <v>1</v>
      </c>
      <c r="BC27">
        <v>76.609713813903269</v>
      </c>
      <c r="BD27">
        <v>0.89239999999999997</v>
      </c>
      <c r="BE27" s="63">
        <v>68.367000000000004</v>
      </c>
      <c r="BF27">
        <v>8.9176000000000002</v>
      </c>
      <c r="BG27">
        <v>1</v>
      </c>
      <c r="BH27">
        <v>6147.3620248428806</v>
      </c>
      <c r="BI27">
        <v>0.98143450184501846</v>
      </c>
      <c r="BJ27" s="63">
        <v>6033.2331999999997</v>
      </c>
      <c r="BK27" s="61">
        <v>19907.7509918424</v>
      </c>
    </row>
    <row r="28" spans="1:63" x14ac:dyDescent="0.25">
      <c r="A28">
        <v>57</v>
      </c>
      <c r="B28" t="s">
        <v>134</v>
      </c>
      <c r="C28">
        <v>2016</v>
      </c>
      <c r="D28">
        <v>5</v>
      </c>
      <c r="E28" t="s">
        <v>100</v>
      </c>
      <c r="F28" t="s">
        <v>426</v>
      </c>
      <c r="G28" t="s">
        <v>427</v>
      </c>
      <c r="H28" t="s">
        <v>84</v>
      </c>
      <c r="I28" t="s">
        <v>430</v>
      </c>
      <c r="J28" t="s">
        <v>59</v>
      </c>
      <c r="K28">
        <v>-359.10661037</v>
      </c>
      <c r="L28" t="s">
        <v>59</v>
      </c>
      <c r="M28" t="s">
        <v>382</v>
      </c>
      <c r="N28">
        <v>2.570773436818E-2</v>
      </c>
      <c r="O28">
        <v>9.2318173492494733</v>
      </c>
      <c r="P28" t="s">
        <v>440</v>
      </c>
      <c r="Q28">
        <v>2</v>
      </c>
      <c r="R28">
        <v>31.615939999999998</v>
      </c>
      <c r="S28">
        <v>6.0999999999999999E-2</v>
      </c>
      <c r="T28">
        <v>1.9285722999999999</v>
      </c>
      <c r="U28">
        <v>1.9E-2</v>
      </c>
      <c r="V28">
        <v>36.643000000000001</v>
      </c>
      <c r="W28">
        <v>2</v>
      </c>
      <c r="X28">
        <v>1.3645170974E-2</v>
      </c>
      <c r="Y28">
        <v>1</v>
      </c>
      <c r="Z28" s="61">
        <v>9.2318169999999995</v>
      </c>
      <c r="AA28" t="s">
        <v>431</v>
      </c>
      <c r="AB28" t="s">
        <v>424</v>
      </c>
      <c r="AC28" t="s">
        <v>425</v>
      </c>
      <c r="AD28" t="s">
        <v>81</v>
      </c>
      <c r="AE28">
        <v>111.133</v>
      </c>
      <c r="AF28">
        <v>0.99656169611782708</v>
      </c>
      <c r="AG28">
        <v>110.7508909746625</v>
      </c>
      <c r="AH28">
        <v>691.73</v>
      </c>
      <c r="AI28">
        <v>1</v>
      </c>
      <c r="AJ28">
        <v>76.609713813903269</v>
      </c>
      <c r="AK28">
        <v>0.89239999999999997</v>
      </c>
      <c r="AL28" s="63">
        <v>68.367000000000004</v>
      </c>
      <c r="AM28">
        <v>8.9176000000000002</v>
      </c>
      <c r="AN28">
        <v>8.8869385813003348</v>
      </c>
      <c r="AO28">
        <v>1</v>
      </c>
      <c r="AP28">
        <v>6147.3620248428806</v>
      </c>
      <c r="AQ28">
        <v>0.98143450184501846</v>
      </c>
      <c r="AR28">
        <v>6033.2331999999997</v>
      </c>
      <c r="AS28" s="61">
        <v>55697.704820724393</v>
      </c>
      <c r="AT28" t="s">
        <v>423</v>
      </c>
      <c r="AU28" t="s">
        <v>424</v>
      </c>
      <c r="AV28" t="s">
        <v>425</v>
      </c>
      <c r="AW28" t="s">
        <v>81</v>
      </c>
      <c r="AX28">
        <v>111.133</v>
      </c>
      <c r="AY28">
        <v>0.99656169611782708</v>
      </c>
      <c r="AZ28">
        <v>110.7508909746625</v>
      </c>
      <c r="BA28">
        <v>691.73</v>
      </c>
      <c r="BB28">
        <v>1</v>
      </c>
      <c r="BC28">
        <v>76.609713813903269</v>
      </c>
      <c r="BD28">
        <v>0.89239999999999997</v>
      </c>
      <c r="BE28" s="63">
        <v>68.367000000000004</v>
      </c>
      <c r="BF28">
        <v>8.9176000000000002</v>
      </c>
      <c r="BG28">
        <v>1</v>
      </c>
      <c r="BH28">
        <v>6147.3620248428806</v>
      </c>
      <c r="BI28">
        <v>0.98143450184501846</v>
      </c>
      <c r="BJ28" s="63">
        <v>6033.2331999999997</v>
      </c>
      <c r="BK28" s="61">
        <v>55697.704820724393</v>
      </c>
    </row>
    <row r="29" spans="1:63" x14ac:dyDescent="0.25">
      <c r="A29">
        <v>59</v>
      </c>
      <c r="B29" t="s">
        <v>134</v>
      </c>
      <c r="C29">
        <v>2016</v>
      </c>
      <c r="D29">
        <v>5</v>
      </c>
      <c r="E29" t="s">
        <v>100</v>
      </c>
      <c r="F29" t="s">
        <v>426</v>
      </c>
      <c r="G29" t="s">
        <v>427</v>
      </c>
      <c r="H29" t="s">
        <v>84</v>
      </c>
      <c r="I29" t="s">
        <v>428</v>
      </c>
      <c r="J29" t="s">
        <v>381</v>
      </c>
      <c r="K29">
        <v>-632.79027571999995</v>
      </c>
      <c r="L29" t="s">
        <v>381</v>
      </c>
      <c r="M29" t="s">
        <v>383</v>
      </c>
      <c r="N29">
        <v>1.0246055789999</v>
      </c>
      <c r="O29">
        <v>648.36044683959688</v>
      </c>
      <c r="P29" t="s">
        <v>440</v>
      </c>
      <c r="Q29">
        <v>2</v>
      </c>
      <c r="R29">
        <v>31.615939999999998</v>
      </c>
      <c r="S29">
        <v>6.0999999999999999E-2</v>
      </c>
      <c r="T29">
        <v>1.9285722999999999</v>
      </c>
      <c r="U29">
        <v>0.98099999999999998</v>
      </c>
      <c r="V29">
        <v>1891.9290000000001</v>
      </c>
      <c r="W29">
        <v>2</v>
      </c>
      <c r="X29">
        <v>2.6428053099999998E-4</v>
      </c>
      <c r="Y29">
        <v>1</v>
      </c>
      <c r="Z29" s="61">
        <v>648.36044700000002</v>
      </c>
      <c r="AA29" t="s">
        <v>431</v>
      </c>
      <c r="AB29" t="s">
        <v>424</v>
      </c>
      <c r="AC29" t="s">
        <v>425</v>
      </c>
      <c r="AD29" t="s">
        <v>27</v>
      </c>
      <c r="AE29">
        <v>111.133</v>
      </c>
      <c r="AF29">
        <v>0.99656169611782708</v>
      </c>
      <c r="AG29">
        <v>110.7508909746625</v>
      </c>
      <c r="AH29">
        <v>691.73</v>
      </c>
      <c r="AI29">
        <v>1</v>
      </c>
      <c r="AJ29">
        <v>76.609713813903269</v>
      </c>
      <c r="AK29">
        <v>1.008</v>
      </c>
      <c r="AL29" s="63">
        <v>77.222999999999999</v>
      </c>
      <c r="AM29">
        <v>8.9176000000000002</v>
      </c>
      <c r="AN29">
        <v>8.8869385813003348</v>
      </c>
      <c r="AO29">
        <v>1</v>
      </c>
      <c r="AP29">
        <v>6147.3620248428806</v>
      </c>
      <c r="AQ29">
        <v>1.01312551271534</v>
      </c>
      <c r="AR29">
        <v>6228.0492999999997</v>
      </c>
      <c r="AS29" s="61">
        <v>4038020.8280860372</v>
      </c>
      <c r="AT29" t="s">
        <v>423</v>
      </c>
      <c r="AU29" t="s">
        <v>424</v>
      </c>
      <c r="AV29" t="s">
        <v>425</v>
      </c>
      <c r="AW29" t="s">
        <v>27</v>
      </c>
      <c r="AX29">
        <v>111.133</v>
      </c>
      <c r="AY29">
        <v>0.99656169611782708</v>
      </c>
      <c r="AZ29">
        <v>110.7508909746625</v>
      </c>
      <c r="BA29">
        <v>691.73</v>
      </c>
      <c r="BB29">
        <v>1</v>
      </c>
      <c r="BC29">
        <v>76.609713813903269</v>
      </c>
      <c r="BD29">
        <v>1.008</v>
      </c>
      <c r="BE29" s="63">
        <v>77.222999999999999</v>
      </c>
      <c r="BF29">
        <v>8.9176000000000002</v>
      </c>
      <c r="BG29">
        <v>1</v>
      </c>
      <c r="BH29">
        <v>6147.3620248428806</v>
      </c>
      <c r="BI29">
        <v>1.01312551271534</v>
      </c>
      <c r="BJ29" s="63">
        <v>6228.0492999999997</v>
      </c>
      <c r="BK29" s="61">
        <v>4038020.8280860372</v>
      </c>
    </row>
    <row r="30" spans="1:63" x14ac:dyDescent="0.25">
      <c r="A30">
        <v>59</v>
      </c>
      <c r="B30" t="s">
        <v>134</v>
      </c>
      <c r="C30">
        <v>2016</v>
      </c>
      <c r="D30">
        <v>5</v>
      </c>
      <c r="E30" t="s">
        <v>100</v>
      </c>
      <c r="F30" t="s">
        <v>426</v>
      </c>
      <c r="G30" t="s">
        <v>427</v>
      </c>
      <c r="H30" t="s">
        <v>84</v>
      </c>
      <c r="I30" t="s">
        <v>429</v>
      </c>
      <c r="J30" t="s">
        <v>87</v>
      </c>
      <c r="K30">
        <v>-130.27588750999999</v>
      </c>
      <c r="L30" t="s">
        <v>87</v>
      </c>
      <c r="M30" t="s">
        <v>383</v>
      </c>
      <c r="N30">
        <v>0.95639324766877998</v>
      </c>
      <c r="O30">
        <v>124.5949791486216</v>
      </c>
      <c r="P30" t="s">
        <v>440</v>
      </c>
      <c r="Q30">
        <v>2</v>
      </c>
      <c r="R30">
        <v>31.615939999999998</v>
      </c>
      <c r="S30">
        <v>6.0999999999999999E-2</v>
      </c>
      <c r="T30">
        <v>1.9285722999999999</v>
      </c>
      <c r="U30">
        <v>0.98099999999999998</v>
      </c>
      <c r="V30">
        <v>1891.9290000000001</v>
      </c>
      <c r="W30">
        <v>2</v>
      </c>
      <c r="X30">
        <v>2.6428053099999998E-4</v>
      </c>
      <c r="Y30">
        <v>1</v>
      </c>
      <c r="Z30" s="61">
        <v>124.594979</v>
      </c>
      <c r="AA30" t="s">
        <v>431</v>
      </c>
      <c r="AB30" t="s">
        <v>424</v>
      </c>
      <c r="AC30" t="s">
        <v>425</v>
      </c>
      <c r="AD30" t="s">
        <v>27</v>
      </c>
      <c r="AE30">
        <v>111.133</v>
      </c>
      <c r="AF30">
        <v>0.99656169611782708</v>
      </c>
      <c r="AG30">
        <v>110.7508909746625</v>
      </c>
      <c r="AH30">
        <v>691.73</v>
      </c>
      <c r="AI30">
        <v>1</v>
      </c>
      <c r="AJ30">
        <v>76.609713813903269</v>
      </c>
      <c r="AK30">
        <v>1.008</v>
      </c>
      <c r="AL30" s="63">
        <v>77.222999999999999</v>
      </c>
      <c r="AM30">
        <v>8.9176000000000002</v>
      </c>
      <c r="AN30">
        <v>8.8869385813003348</v>
      </c>
      <c r="AO30">
        <v>1</v>
      </c>
      <c r="AP30">
        <v>6147.3620248428806</v>
      </c>
      <c r="AQ30">
        <v>1.01312551271534</v>
      </c>
      <c r="AR30">
        <v>6228.0492999999997</v>
      </c>
      <c r="AS30" s="61">
        <v>775983.67174446466</v>
      </c>
      <c r="AT30" t="s">
        <v>423</v>
      </c>
      <c r="AU30" t="s">
        <v>424</v>
      </c>
      <c r="AV30" t="s">
        <v>425</v>
      </c>
      <c r="AW30" t="s">
        <v>27</v>
      </c>
      <c r="AX30">
        <v>111.133</v>
      </c>
      <c r="AY30">
        <v>0.99656169611782708</v>
      </c>
      <c r="AZ30">
        <v>110.7508909746625</v>
      </c>
      <c r="BA30">
        <v>691.73</v>
      </c>
      <c r="BB30">
        <v>1</v>
      </c>
      <c r="BC30">
        <v>76.609713813903269</v>
      </c>
      <c r="BD30">
        <v>1.008</v>
      </c>
      <c r="BE30" s="63">
        <v>77.222999999999999</v>
      </c>
      <c r="BF30">
        <v>8.9176000000000002</v>
      </c>
      <c r="BG30">
        <v>1</v>
      </c>
      <c r="BH30">
        <v>6147.3620248428806</v>
      </c>
      <c r="BI30">
        <v>1.01312551271534</v>
      </c>
      <c r="BJ30" s="63">
        <v>6228.0492999999997</v>
      </c>
      <c r="BK30" s="61">
        <v>775983.67174446466</v>
      </c>
    </row>
    <row r="31" spans="1:63" x14ac:dyDescent="0.25">
      <c r="A31">
        <v>59</v>
      </c>
      <c r="B31" t="s">
        <v>134</v>
      </c>
      <c r="C31">
        <v>2016</v>
      </c>
      <c r="D31">
        <v>5</v>
      </c>
      <c r="E31" t="s">
        <v>100</v>
      </c>
      <c r="F31" t="s">
        <v>426</v>
      </c>
      <c r="G31" t="s">
        <v>427</v>
      </c>
      <c r="H31" t="s">
        <v>84</v>
      </c>
      <c r="I31" t="s">
        <v>430</v>
      </c>
      <c r="J31" t="s">
        <v>59</v>
      </c>
      <c r="K31">
        <v>-359.10661037</v>
      </c>
      <c r="L31" t="s">
        <v>59</v>
      </c>
      <c r="M31" t="s">
        <v>383</v>
      </c>
      <c r="N31">
        <v>0.98640779194743999</v>
      </c>
      <c r="O31">
        <v>354.22555860880141</v>
      </c>
      <c r="P31" t="s">
        <v>440</v>
      </c>
      <c r="Q31">
        <v>2</v>
      </c>
      <c r="R31">
        <v>31.615939999999998</v>
      </c>
      <c r="S31">
        <v>6.0999999999999999E-2</v>
      </c>
      <c r="T31">
        <v>1.9285722999999999</v>
      </c>
      <c r="U31">
        <v>0.98099999999999998</v>
      </c>
      <c r="V31">
        <v>1891.9290000000001</v>
      </c>
      <c r="W31">
        <v>2</v>
      </c>
      <c r="X31">
        <v>2.6428053099999998E-4</v>
      </c>
      <c r="Y31">
        <v>1</v>
      </c>
      <c r="Z31" s="61">
        <v>354.22555899999998</v>
      </c>
      <c r="AA31" t="s">
        <v>431</v>
      </c>
      <c r="AB31" t="s">
        <v>424</v>
      </c>
      <c r="AC31" t="s">
        <v>425</v>
      </c>
      <c r="AD31" t="s">
        <v>27</v>
      </c>
      <c r="AE31">
        <v>111.133</v>
      </c>
      <c r="AF31">
        <v>0.99656169611782708</v>
      </c>
      <c r="AG31">
        <v>110.7508909746625</v>
      </c>
      <c r="AH31">
        <v>691.73</v>
      </c>
      <c r="AI31">
        <v>1</v>
      </c>
      <c r="AJ31">
        <v>76.609713813903269</v>
      </c>
      <c r="AK31">
        <v>1.008</v>
      </c>
      <c r="AL31" s="63">
        <v>77.222999999999999</v>
      </c>
      <c r="AM31">
        <v>8.9176000000000002</v>
      </c>
      <c r="AN31">
        <v>8.8869385813003348</v>
      </c>
      <c r="AO31">
        <v>1</v>
      </c>
      <c r="AP31">
        <v>6147.3620248428806</v>
      </c>
      <c r="AQ31">
        <v>1.01312551271534</v>
      </c>
      <c r="AR31">
        <v>6228.0492999999997</v>
      </c>
      <c r="AS31" s="61">
        <v>2206134.244772058</v>
      </c>
      <c r="AT31" t="s">
        <v>423</v>
      </c>
      <c r="AU31" t="s">
        <v>424</v>
      </c>
      <c r="AV31" t="s">
        <v>425</v>
      </c>
      <c r="AW31" t="s">
        <v>27</v>
      </c>
      <c r="AX31">
        <v>111.133</v>
      </c>
      <c r="AY31">
        <v>0.99656169611782708</v>
      </c>
      <c r="AZ31">
        <v>110.7508909746625</v>
      </c>
      <c r="BA31">
        <v>691.73</v>
      </c>
      <c r="BB31">
        <v>1</v>
      </c>
      <c r="BC31">
        <v>76.609713813903269</v>
      </c>
      <c r="BD31">
        <v>1.008</v>
      </c>
      <c r="BE31" s="63">
        <v>77.222999999999999</v>
      </c>
      <c r="BF31">
        <v>8.9176000000000002</v>
      </c>
      <c r="BG31">
        <v>1</v>
      </c>
      <c r="BH31">
        <v>6147.3620248428806</v>
      </c>
      <c r="BI31">
        <v>1.01312551271534</v>
      </c>
      <c r="BJ31" s="63">
        <v>6228.0492999999997</v>
      </c>
      <c r="BK31" s="61">
        <v>2206134.244772058</v>
      </c>
    </row>
    <row r="32" spans="1:63" x14ac:dyDescent="0.25">
      <c r="A32">
        <v>69</v>
      </c>
      <c r="B32" t="s">
        <v>136</v>
      </c>
      <c r="C32">
        <v>2016</v>
      </c>
      <c r="D32">
        <v>6</v>
      </c>
      <c r="E32" t="s">
        <v>100</v>
      </c>
      <c r="F32" t="s">
        <v>426</v>
      </c>
      <c r="G32" t="s">
        <v>427</v>
      </c>
      <c r="H32" t="s">
        <v>84</v>
      </c>
      <c r="I32" t="s">
        <v>428</v>
      </c>
      <c r="J32" t="s">
        <v>381</v>
      </c>
      <c r="K32">
        <v>-662.87443488999997</v>
      </c>
      <c r="L32" t="s">
        <v>381</v>
      </c>
      <c r="M32" t="s">
        <v>382</v>
      </c>
      <c r="N32">
        <v>1.4864421000020001E-2</v>
      </c>
      <c r="O32">
        <v>9.8532446703553056</v>
      </c>
      <c r="P32" t="s">
        <v>440</v>
      </c>
      <c r="Q32">
        <v>2</v>
      </c>
      <c r="R32">
        <v>31.615939999999998</v>
      </c>
      <c r="S32">
        <v>6.8000000000000005E-2</v>
      </c>
      <c r="T32">
        <v>2.1498838999999998</v>
      </c>
      <c r="U32">
        <v>1.9E-2</v>
      </c>
      <c r="V32">
        <v>40.847999999999999</v>
      </c>
      <c r="W32">
        <v>2</v>
      </c>
      <c r="X32">
        <v>1.2240501371000001E-2</v>
      </c>
      <c r="Y32">
        <v>1</v>
      </c>
      <c r="Z32" s="61">
        <v>9.8532449999999994</v>
      </c>
      <c r="AA32" t="s">
        <v>432</v>
      </c>
      <c r="AB32" t="s">
        <v>424</v>
      </c>
      <c r="AC32" t="s">
        <v>425</v>
      </c>
      <c r="AD32" t="s">
        <v>81</v>
      </c>
      <c r="AE32">
        <v>111.133</v>
      </c>
      <c r="AF32">
        <v>0.99656169611782708</v>
      </c>
      <c r="AG32">
        <v>110.7508909746625</v>
      </c>
      <c r="AH32">
        <v>691.73</v>
      </c>
      <c r="AI32">
        <v>1</v>
      </c>
      <c r="AJ32">
        <v>76.609713813903269</v>
      </c>
      <c r="AK32">
        <v>0.89239999999999997</v>
      </c>
      <c r="AL32" s="63">
        <v>68.367000000000004</v>
      </c>
      <c r="AM32">
        <v>8.9176000000000002</v>
      </c>
      <c r="AN32">
        <v>8.8869385813003348</v>
      </c>
      <c r="AO32">
        <v>1</v>
      </c>
      <c r="AP32">
        <v>6147.3620248428806</v>
      </c>
      <c r="AQ32">
        <v>0.98143450184501846</v>
      </c>
      <c r="AR32">
        <v>6033.2331999999997</v>
      </c>
      <c r="AS32" s="61">
        <v>59446.924861733991</v>
      </c>
      <c r="AT32" t="s">
        <v>423</v>
      </c>
      <c r="AU32" t="s">
        <v>424</v>
      </c>
      <c r="AV32" t="s">
        <v>425</v>
      </c>
      <c r="AW32" t="s">
        <v>81</v>
      </c>
      <c r="AX32">
        <v>111.133</v>
      </c>
      <c r="AY32">
        <v>0.99656169611782708</v>
      </c>
      <c r="AZ32">
        <v>110.7508909746625</v>
      </c>
      <c r="BA32">
        <v>691.73</v>
      </c>
      <c r="BB32">
        <v>1</v>
      </c>
      <c r="BC32">
        <v>76.609713813903269</v>
      </c>
      <c r="BD32">
        <v>0.89239999999999997</v>
      </c>
      <c r="BE32" s="63">
        <v>68.367000000000004</v>
      </c>
      <c r="BF32">
        <v>8.9176000000000002</v>
      </c>
      <c r="BG32">
        <v>1</v>
      </c>
      <c r="BH32">
        <v>6147.3620248428806</v>
      </c>
      <c r="BI32">
        <v>0.98143450184501846</v>
      </c>
      <c r="BJ32" s="63">
        <v>6033.2331999999997</v>
      </c>
      <c r="BK32" s="61">
        <v>59446.924861733991</v>
      </c>
    </row>
    <row r="33" spans="1:63" x14ac:dyDescent="0.25">
      <c r="A33">
        <v>69</v>
      </c>
      <c r="B33" t="s">
        <v>136</v>
      </c>
      <c r="C33">
        <v>2016</v>
      </c>
      <c r="D33">
        <v>6</v>
      </c>
      <c r="E33" t="s">
        <v>100</v>
      </c>
      <c r="F33" t="s">
        <v>426</v>
      </c>
      <c r="G33" t="s">
        <v>427</v>
      </c>
      <c r="H33" t="s">
        <v>84</v>
      </c>
      <c r="I33" t="s">
        <v>429</v>
      </c>
      <c r="J33" t="s">
        <v>87</v>
      </c>
      <c r="K33">
        <v>-130.70846743000001</v>
      </c>
      <c r="L33" t="s">
        <v>87</v>
      </c>
      <c r="M33" t="s">
        <v>382</v>
      </c>
      <c r="N33">
        <v>2.6818326000940002E-2</v>
      </c>
      <c r="O33">
        <v>3.5053822906209882</v>
      </c>
      <c r="P33" t="s">
        <v>440</v>
      </c>
      <c r="Q33">
        <v>2</v>
      </c>
      <c r="R33">
        <v>31.615939999999998</v>
      </c>
      <c r="S33">
        <v>6.8000000000000005E-2</v>
      </c>
      <c r="T33">
        <v>2.1498838999999998</v>
      </c>
      <c r="U33">
        <v>1.9E-2</v>
      </c>
      <c r="V33">
        <v>40.847999999999999</v>
      </c>
      <c r="W33">
        <v>2</v>
      </c>
      <c r="X33">
        <v>1.2240501371000001E-2</v>
      </c>
      <c r="Y33">
        <v>1</v>
      </c>
      <c r="Z33" s="61">
        <v>3.505382</v>
      </c>
      <c r="AA33" t="s">
        <v>432</v>
      </c>
      <c r="AB33" t="s">
        <v>424</v>
      </c>
      <c r="AC33" t="s">
        <v>425</v>
      </c>
      <c r="AD33" t="s">
        <v>81</v>
      </c>
      <c r="AE33">
        <v>111.133</v>
      </c>
      <c r="AF33">
        <v>0.99656169611782708</v>
      </c>
      <c r="AG33">
        <v>110.7508909746625</v>
      </c>
      <c r="AH33">
        <v>691.73</v>
      </c>
      <c r="AI33">
        <v>1</v>
      </c>
      <c r="AJ33">
        <v>76.609713813903269</v>
      </c>
      <c r="AK33">
        <v>0.89239999999999997</v>
      </c>
      <c r="AL33" s="63">
        <v>68.367000000000004</v>
      </c>
      <c r="AM33">
        <v>8.9176000000000002</v>
      </c>
      <c r="AN33">
        <v>8.8869385813003348</v>
      </c>
      <c r="AO33">
        <v>1</v>
      </c>
      <c r="AP33">
        <v>6147.3620248428806</v>
      </c>
      <c r="AQ33">
        <v>0.98143450184501846</v>
      </c>
      <c r="AR33">
        <v>6033.2331999999997</v>
      </c>
      <c r="AS33" s="61">
        <v>21148.787061082399</v>
      </c>
      <c r="AT33" t="s">
        <v>423</v>
      </c>
      <c r="AU33" t="s">
        <v>424</v>
      </c>
      <c r="AV33" t="s">
        <v>425</v>
      </c>
      <c r="AW33" t="s">
        <v>81</v>
      </c>
      <c r="AX33">
        <v>111.133</v>
      </c>
      <c r="AY33">
        <v>0.99656169611782708</v>
      </c>
      <c r="AZ33">
        <v>110.7508909746625</v>
      </c>
      <c r="BA33">
        <v>691.73</v>
      </c>
      <c r="BB33">
        <v>1</v>
      </c>
      <c r="BC33">
        <v>76.609713813903269</v>
      </c>
      <c r="BD33">
        <v>0.89239999999999997</v>
      </c>
      <c r="BE33" s="63">
        <v>68.367000000000004</v>
      </c>
      <c r="BF33">
        <v>8.9176000000000002</v>
      </c>
      <c r="BG33">
        <v>1</v>
      </c>
      <c r="BH33">
        <v>6147.3620248428806</v>
      </c>
      <c r="BI33">
        <v>0.98143450184501846</v>
      </c>
      <c r="BJ33" s="63">
        <v>6033.2331999999997</v>
      </c>
      <c r="BK33" s="61">
        <v>21148.787061082399</v>
      </c>
    </row>
    <row r="34" spans="1:63" x14ac:dyDescent="0.25">
      <c r="A34">
        <v>69</v>
      </c>
      <c r="B34" t="s">
        <v>136</v>
      </c>
      <c r="C34">
        <v>2016</v>
      </c>
      <c r="D34">
        <v>6</v>
      </c>
      <c r="E34" t="s">
        <v>100</v>
      </c>
      <c r="F34" t="s">
        <v>426</v>
      </c>
      <c r="G34" t="s">
        <v>427</v>
      </c>
      <c r="H34" t="s">
        <v>84</v>
      </c>
      <c r="I34" t="s">
        <v>430</v>
      </c>
      <c r="J34" t="s">
        <v>59</v>
      </c>
      <c r="K34">
        <v>-366.19091207999998</v>
      </c>
      <c r="L34" t="s">
        <v>59</v>
      </c>
      <c r="M34" t="s">
        <v>382</v>
      </c>
      <c r="N34">
        <v>2.64025379997E-2</v>
      </c>
      <c r="O34">
        <v>9.6683694713370016</v>
      </c>
      <c r="P34" t="s">
        <v>440</v>
      </c>
      <c r="Q34">
        <v>2</v>
      </c>
      <c r="R34">
        <v>31.615939999999998</v>
      </c>
      <c r="S34">
        <v>6.8000000000000005E-2</v>
      </c>
      <c r="T34">
        <v>2.1498838999999998</v>
      </c>
      <c r="U34">
        <v>1.9E-2</v>
      </c>
      <c r="V34">
        <v>40.847999999999999</v>
      </c>
      <c r="W34">
        <v>2</v>
      </c>
      <c r="X34">
        <v>1.2240501371000001E-2</v>
      </c>
      <c r="Y34">
        <v>1</v>
      </c>
      <c r="Z34" s="61">
        <v>9.6683690000000002</v>
      </c>
      <c r="AA34" t="s">
        <v>432</v>
      </c>
      <c r="AB34" t="s">
        <v>424</v>
      </c>
      <c r="AC34" t="s">
        <v>425</v>
      </c>
      <c r="AD34" t="s">
        <v>81</v>
      </c>
      <c r="AE34">
        <v>111.133</v>
      </c>
      <c r="AF34">
        <v>0.99656169611782708</v>
      </c>
      <c r="AG34">
        <v>110.7508909746625</v>
      </c>
      <c r="AH34">
        <v>691.73</v>
      </c>
      <c r="AI34">
        <v>1</v>
      </c>
      <c r="AJ34">
        <v>76.609713813903269</v>
      </c>
      <c r="AK34">
        <v>0.89239999999999997</v>
      </c>
      <c r="AL34" s="63">
        <v>68.367000000000004</v>
      </c>
      <c r="AM34">
        <v>8.9176000000000002</v>
      </c>
      <c r="AN34">
        <v>8.8869385813003348</v>
      </c>
      <c r="AO34">
        <v>1</v>
      </c>
      <c r="AP34">
        <v>6147.3620248428806</v>
      </c>
      <c r="AQ34">
        <v>0.98143450184501846</v>
      </c>
      <c r="AR34">
        <v>6033.2331999999997</v>
      </c>
      <c r="AS34" s="61">
        <v>58331.524840650804</v>
      </c>
      <c r="AT34" t="s">
        <v>423</v>
      </c>
      <c r="AU34" t="s">
        <v>424</v>
      </c>
      <c r="AV34" t="s">
        <v>425</v>
      </c>
      <c r="AW34" t="s">
        <v>81</v>
      </c>
      <c r="AX34">
        <v>111.133</v>
      </c>
      <c r="AY34">
        <v>0.99656169611782708</v>
      </c>
      <c r="AZ34">
        <v>110.7508909746625</v>
      </c>
      <c r="BA34">
        <v>691.73</v>
      </c>
      <c r="BB34">
        <v>1</v>
      </c>
      <c r="BC34">
        <v>76.609713813903269</v>
      </c>
      <c r="BD34">
        <v>0.89239999999999997</v>
      </c>
      <c r="BE34" s="63">
        <v>68.367000000000004</v>
      </c>
      <c r="BF34">
        <v>8.9176000000000002</v>
      </c>
      <c r="BG34">
        <v>1</v>
      </c>
      <c r="BH34">
        <v>6147.3620248428806</v>
      </c>
      <c r="BI34">
        <v>0.98143450184501846</v>
      </c>
      <c r="BJ34" s="63">
        <v>6033.2331999999997</v>
      </c>
      <c r="BK34" s="61">
        <v>58331.524840650804</v>
      </c>
    </row>
    <row r="35" spans="1:63" x14ac:dyDescent="0.25">
      <c r="A35">
        <v>71</v>
      </c>
      <c r="B35" t="s">
        <v>136</v>
      </c>
      <c r="C35">
        <v>2016</v>
      </c>
      <c r="D35">
        <v>6</v>
      </c>
      <c r="E35" t="s">
        <v>100</v>
      </c>
      <c r="F35" t="s">
        <v>426</v>
      </c>
      <c r="G35" t="s">
        <v>427</v>
      </c>
      <c r="H35" t="s">
        <v>84</v>
      </c>
      <c r="I35" t="s">
        <v>428</v>
      </c>
      <c r="J35" t="s">
        <v>381</v>
      </c>
      <c r="K35">
        <v>-662.87443488999997</v>
      </c>
      <c r="L35" t="s">
        <v>381</v>
      </c>
      <c r="M35" t="s">
        <v>383</v>
      </c>
      <c r="N35">
        <v>1.0246055790001201</v>
      </c>
      <c r="O35">
        <v>679.1848441648458</v>
      </c>
      <c r="P35" t="s">
        <v>440</v>
      </c>
      <c r="Q35">
        <v>2</v>
      </c>
      <c r="R35">
        <v>31.615939999999998</v>
      </c>
      <c r="S35">
        <v>6.8000000000000005E-2</v>
      </c>
      <c r="T35">
        <v>2.1498838999999998</v>
      </c>
      <c r="U35">
        <v>0.98099999999999998</v>
      </c>
      <c r="V35">
        <v>2109.0360000000001</v>
      </c>
      <c r="W35">
        <v>2</v>
      </c>
      <c r="X35">
        <v>2.3707513799999999E-4</v>
      </c>
      <c r="Y35">
        <v>1</v>
      </c>
      <c r="Z35" s="61">
        <v>679.184844</v>
      </c>
      <c r="AA35" t="s">
        <v>432</v>
      </c>
      <c r="AB35" t="s">
        <v>424</v>
      </c>
      <c r="AC35" t="s">
        <v>425</v>
      </c>
      <c r="AD35" t="s">
        <v>27</v>
      </c>
      <c r="AE35">
        <v>111.133</v>
      </c>
      <c r="AF35">
        <v>0.99656169611782708</v>
      </c>
      <c r="AG35">
        <v>110.7508909746625</v>
      </c>
      <c r="AH35">
        <v>691.73</v>
      </c>
      <c r="AI35">
        <v>1</v>
      </c>
      <c r="AJ35">
        <v>76.609713813903269</v>
      </c>
      <c r="AK35">
        <v>1.008</v>
      </c>
      <c r="AL35" s="63">
        <v>77.222999999999999</v>
      </c>
      <c r="AM35">
        <v>8.9176000000000002</v>
      </c>
      <c r="AN35">
        <v>8.8869385813003348</v>
      </c>
      <c r="AO35">
        <v>1</v>
      </c>
      <c r="AP35">
        <v>6147.3620248428806</v>
      </c>
      <c r="AQ35">
        <v>1.01312551271534</v>
      </c>
      <c r="AR35">
        <v>6228.0492999999997</v>
      </c>
      <c r="AS35" s="61">
        <v>4229996.6922448091</v>
      </c>
      <c r="AT35" t="s">
        <v>423</v>
      </c>
      <c r="AU35" t="s">
        <v>424</v>
      </c>
      <c r="AV35" t="s">
        <v>425</v>
      </c>
      <c r="AW35" t="s">
        <v>27</v>
      </c>
      <c r="AX35">
        <v>111.133</v>
      </c>
      <c r="AY35">
        <v>0.99656169611782708</v>
      </c>
      <c r="AZ35">
        <v>110.7508909746625</v>
      </c>
      <c r="BA35">
        <v>691.73</v>
      </c>
      <c r="BB35">
        <v>1</v>
      </c>
      <c r="BC35">
        <v>76.609713813903269</v>
      </c>
      <c r="BD35">
        <v>1.008</v>
      </c>
      <c r="BE35" s="63">
        <v>77.222999999999999</v>
      </c>
      <c r="BF35">
        <v>8.9176000000000002</v>
      </c>
      <c r="BG35">
        <v>1</v>
      </c>
      <c r="BH35">
        <v>6147.3620248428806</v>
      </c>
      <c r="BI35">
        <v>1.01312551271534</v>
      </c>
      <c r="BJ35" s="63">
        <v>6228.0492999999997</v>
      </c>
      <c r="BK35" s="61">
        <v>4229996.6922448091</v>
      </c>
    </row>
    <row r="36" spans="1:63" x14ac:dyDescent="0.25">
      <c r="A36">
        <v>71</v>
      </c>
      <c r="B36" t="s">
        <v>136</v>
      </c>
      <c r="C36">
        <v>2016</v>
      </c>
      <c r="D36">
        <v>6</v>
      </c>
      <c r="E36" t="s">
        <v>100</v>
      </c>
      <c r="F36" t="s">
        <v>426</v>
      </c>
      <c r="G36" t="s">
        <v>427</v>
      </c>
      <c r="H36" t="s">
        <v>84</v>
      </c>
      <c r="I36" t="s">
        <v>429</v>
      </c>
      <c r="J36" t="s">
        <v>87</v>
      </c>
      <c r="K36">
        <v>-130.70846743000001</v>
      </c>
      <c r="L36" t="s">
        <v>87</v>
      </c>
      <c r="M36" t="s">
        <v>383</v>
      </c>
      <c r="N36">
        <v>1.01265167399811</v>
      </c>
      <c r="O36">
        <v>132.36214834871689</v>
      </c>
      <c r="P36" t="s">
        <v>440</v>
      </c>
      <c r="Q36">
        <v>2</v>
      </c>
      <c r="R36">
        <v>31.615939999999998</v>
      </c>
      <c r="S36">
        <v>6.8000000000000005E-2</v>
      </c>
      <c r="T36">
        <v>2.1498838999999998</v>
      </c>
      <c r="U36">
        <v>0.98099999999999998</v>
      </c>
      <c r="V36">
        <v>2109.0360000000001</v>
      </c>
      <c r="W36">
        <v>2</v>
      </c>
      <c r="X36">
        <v>2.3707513799999999E-4</v>
      </c>
      <c r="Y36">
        <v>1</v>
      </c>
      <c r="Z36" s="61">
        <v>132.36214799999999</v>
      </c>
      <c r="AA36" t="s">
        <v>432</v>
      </c>
      <c r="AB36" t="s">
        <v>424</v>
      </c>
      <c r="AC36" t="s">
        <v>425</v>
      </c>
      <c r="AD36" t="s">
        <v>27</v>
      </c>
      <c r="AE36">
        <v>111.133</v>
      </c>
      <c r="AF36">
        <v>0.99656169611782708</v>
      </c>
      <c r="AG36">
        <v>110.7508909746625</v>
      </c>
      <c r="AH36">
        <v>691.73</v>
      </c>
      <c r="AI36">
        <v>1</v>
      </c>
      <c r="AJ36">
        <v>76.609713813903269</v>
      </c>
      <c r="AK36">
        <v>1.008</v>
      </c>
      <c r="AL36" s="63">
        <v>77.222999999999999</v>
      </c>
      <c r="AM36">
        <v>8.9176000000000002</v>
      </c>
      <c r="AN36">
        <v>8.8869385813003348</v>
      </c>
      <c r="AO36">
        <v>1</v>
      </c>
      <c r="AP36">
        <v>6147.3620248428806</v>
      </c>
      <c r="AQ36">
        <v>1.01312551271534</v>
      </c>
      <c r="AR36">
        <v>6228.0492999999997</v>
      </c>
      <c r="AS36" s="61">
        <v>824357.98319789628</v>
      </c>
      <c r="AT36" t="s">
        <v>423</v>
      </c>
      <c r="AU36" t="s">
        <v>424</v>
      </c>
      <c r="AV36" t="s">
        <v>425</v>
      </c>
      <c r="AW36" t="s">
        <v>27</v>
      </c>
      <c r="AX36">
        <v>111.133</v>
      </c>
      <c r="AY36">
        <v>0.99656169611782708</v>
      </c>
      <c r="AZ36">
        <v>110.7508909746625</v>
      </c>
      <c r="BA36">
        <v>691.73</v>
      </c>
      <c r="BB36">
        <v>1</v>
      </c>
      <c r="BC36">
        <v>76.609713813903269</v>
      </c>
      <c r="BD36">
        <v>1.008</v>
      </c>
      <c r="BE36" s="63">
        <v>77.222999999999999</v>
      </c>
      <c r="BF36">
        <v>8.9176000000000002</v>
      </c>
      <c r="BG36">
        <v>1</v>
      </c>
      <c r="BH36">
        <v>6147.3620248428806</v>
      </c>
      <c r="BI36">
        <v>1.01312551271534</v>
      </c>
      <c r="BJ36" s="63">
        <v>6228.0492999999997</v>
      </c>
      <c r="BK36" s="61">
        <v>824357.98319789628</v>
      </c>
    </row>
    <row r="37" spans="1:63" x14ac:dyDescent="0.25">
      <c r="A37">
        <v>71</v>
      </c>
      <c r="B37" t="s">
        <v>136</v>
      </c>
      <c r="C37">
        <v>2016</v>
      </c>
      <c r="D37">
        <v>6</v>
      </c>
      <c r="E37" t="s">
        <v>100</v>
      </c>
      <c r="F37" t="s">
        <v>426</v>
      </c>
      <c r="G37" t="s">
        <v>427</v>
      </c>
      <c r="H37" t="s">
        <v>84</v>
      </c>
      <c r="I37" t="s">
        <v>430</v>
      </c>
      <c r="J37" t="s">
        <v>59</v>
      </c>
      <c r="K37">
        <v>-366.19091207999998</v>
      </c>
      <c r="L37" t="s">
        <v>59</v>
      </c>
      <c r="M37" t="s">
        <v>383</v>
      </c>
      <c r="N37">
        <v>1.0130674620006901</v>
      </c>
      <c r="O37">
        <v>370.97609790860338</v>
      </c>
      <c r="P37" t="s">
        <v>440</v>
      </c>
      <c r="Q37">
        <v>2</v>
      </c>
      <c r="R37">
        <v>31.615939999999998</v>
      </c>
      <c r="S37">
        <v>6.8000000000000005E-2</v>
      </c>
      <c r="T37">
        <v>2.1498838999999998</v>
      </c>
      <c r="U37">
        <v>0.98099999999999998</v>
      </c>
      <c r="V37">
        <v>2109.0360000000001</v>
      </c>
      <c r="W37">
        <v>2</v>
      </c>
      <c r="X37">
        <v>2.3707513799999999E-4</v>
      </c>
      <c r="Y37">
        <v>1</v>
      </c>
      <c r="Z37" s="61">
        <v>370.97609799999998</v>
      </c>
      <c r="AA37" t="s">
        <v>432</v>
      </c>
      <c r="AB37" t="s">
        <v>424</v>
      </c>
      <c r="AC37" t="s">
        <v>425</v>
      </c>
      <c r="AD37" t="s">
        <v>27</v>
      </c>
      <c r="AE37">
        <v>111.133</v>
      </c>
      <c r="AF37">
        <v>0.99656169611782708</v>
      </c>
      <c r="AG37">
        <v>110.7508909746625</v>
      </c>
      <c r="AH37">
        <v>691.73</v>
      </c>
      <c r="AI37">
        <v>1</v>
      </c>
      <c r="AJ37">
        <v>76.609713813903269</v>
      </c>
      <c r="AK37">
        <v>1.008</v>
      </c>
      <c r="AL37" s="63">
        <v>77.222999999999999</v>
      </c>
      <c r="AM37">
        <v>8.9176000000000002</v>
      </c>
      <c r="AN37">
        <v>8.8869385813003348</v>
      </c>
      <c r="AO37">
        <v>1</v>
      </c>
      <c r="AP37">
        <v>6147.3620248428806</v>
      </c>
      <c r="AQ37">
        <v>1.01312551271534</v>
      </c>
      <c r="AR37">
        <v>6228.0492999999997</v>
      </c>
      <c r="AS37" s="61">
        <v>2310457.4274656312</v>
      </c>
      <c r="AT37" t="s">
        <v>423</v>
      </c>
      <c r="AU37" t="s">
        <v>424</v>
      </c>
      <c r="AV37" t="s">
        <v>425</v>
      </c>
      <c r="AW37" t="s">
        <v>27</v>
      </c>
      <c r="AX37">
        <v>111.133</v>
      </c>
      <c r="AY37">
        <v>0.99656169611782708</v>
      </c>
      <c r="AZ37">
        <v>110.7508909746625</v>
      </c>
      <c r="BA37">
        <v>691.73</v>
      </c>
      <c r="BB37">
        <v>1</v>
      </c>
      <c r="BC37">
        <v>76.609713813903269</v>
      </c>
      <c r="BD37">
        <v>1.008</v>
      </c>
      <c r="BE37" s="63">
        <v>77.222999999999999</v>
      </c>
      <c r="BF37">
        <v>8.9176000000000002</v>
      </c>
      <c r="BG37">
        <v>1</v>
      </c>
      <c r="BH37">
        <v>6147.3620248428806</v>
      </c>
      <c r="BI37">
        <v>1.01312551271534</v>
      </c>
      <c r="BJ37" s="63">
        <v>6228.0492999999997</v>
      </c>
      <c r="BK37" s="61">
        <v>2310457.4274656312</v>
      </c>
    </row>
    <row r="38" spans="1:63" x14ac:dyDescent="0.25">
      <c r="A38">
        <v>81</v>
      </c>
      <c r="B38" t="s">
        <v>135</v>
      </c>
      <c r="C38">
        <v>2016</v>
      </c>
      <c r="D38">
        <v>7</v>
      </c>
      <c r="E38" t="s">
        <v>100</v>
      </c>
      <c r="F38" t="s">
        <v>426</v>
      </c>
      <c r="G38" t="s">
        <v>427</v>
      </c>
      <c r="H38" t="s">
        <v>84</v>
      </c>
      <c r="I38" t="s">
        <v>428</v>
      </c>
      <c r="J38" t="s">
        <v>381</v>
      </c>
      <c r="K38">
        <v>-823.01966202999995</v>
      </c>
      <c r="L38" t="s">
        <v>381</v>
      </c>
      <c r="M38" t="s">
        <v>382</v>
      </c>
      <c r="N38">
        <v>1.486442100001E-2</v>
      </c>
      <c r="O38">
        <v>12.23371074769986</v>
      </c>
      <c r="P38" t="s">
        <v>440</v>
      </c>
      <c r="Q38">
        <v>2</v>
      </c>
      <c r="R38">
        <v>31.615939999999998</v>
      </c>
      <c r="S38">
        <v>8.3000000000000004E-2</v>
      </c>
      <c r="T38">
        <v>2.624123</v>
      </c>
      <c r="U38">
        <v>1.9E-2</v>
      </c>
      <c r="V38">
        <v>49.857999999999997</v>
      </c>
      <c r="W38">
        <v>2</v>
      </c>
      <c r="X38">
        <v>1.0028480886E-2</v>
      </c>
      <c r="Y38">
        <v>1</v>
      </c>
      <c r="Z38" s="61">
        <v>12.233711</v>
      </c>
      <c r="AA38" t="s">
        <v>333</v>
      </c>
      <c r="AB38" t="s">
        <v>433</v>
      </c>
      <c r="AC38" t="s">
        <v>425</v>
      </c>
      <c r="AD38" t="s">
        <v>81</v>
      </c>
      <c r="AE38">
        <v>111.133</v>
      </c>
      <c r="AF38">
        <v>0.99656169611782708</v>
      </c>
      <c r="AG38">
        <v>110.7508909746625</v>
      </c>
      <c r="AH38">
        <v>682.07</v>
      </c>
      <c r="AI38">
        <v>1</v>
      </c>
      <c r="AJ38">
        <v>75.539860207088026</v>
      </c>
      <c r="AK38">
        <v>0.92979999999999996</v>
      </c>
      <c r="AL38" s="63">
        <v>70.236999999999995</v>
      </c>
      <c r="AM38">
        <v>8.9176000000000002</v>
      </c>
      <c r="AN38">
        <v>8.8869385813003348</v>
      </c>
      <c r="AO38">
        <v>1</v>
      </c>
      <c r="AP38">
        <v>6061.5141981475199</v>
      </c>
      <c r="AQ38">
        <v>1.0375922509225091</v>
      </c>
      <c r="AR38">
        <v>6289.3801999999996</v>
      </c>
      <c r="AS38" s="61">
        <v>76942.459735922195</v>
      </c>
      <c r="AT38" t="s">
        <v>336</v>
      </c>
      <c r="AU38" t="s">
        <v>433</v>
      </c>
      <c r="AV38" t="s">
        <v>425</v>
      </c>
      <c r="AW38" t="s">
        <v>81</v>
      </c>
      <c r="AX38">
        <v>111.133</v>
      </c>
      <c r="AY38">
        <v>0.99819678194932504</v>
      </c>
      <c r="AZ38">
        <v>110.9326029683743</v>
      </c>
      <c r="BA38">
        <v>682.07</v>
      </c>
      <c r="BB38">
        <v>1</v>
      </c>
      <c r="BC38">
        <v>75.663800506639092</v>
      </c>
      <c r="BD38">
        <v>0.92979999999999996</v>
      </c>
      <c r="BE38" s="63">
        <v>70.352000000000004</v>
      </c>
      <c r="BF38">
        <v>8.9176000000000002</v>
      </c>
      <c r="BG38">
        <v>1</v>
      </c>
      <c r="BH38">
        <v>6071.4594890626977</v>
      </c>
      <c r="BI38">
        <v>1.0375922509225091</v>
      </c>
      <c r="BJ38" s="63">
        <v>6299.6993000000002</v>
      </c>
      <c r="BK38" s="61">
        <v>77068.700623102297</v>
      </c>
    </row>
    <row r="39" spans="1:63" x14ac:dyDescent="0.25">
      <c r="A39">
        <v>81</v>
      </c>
      <c r="B39" t="s">
        <v>135</v>
      </c>
      <c r="C39">
        <v>2016</v>
      </c>
      <c r="D39">
        <v>7</v>
      </c>
      <c r="E39" t="s">
        <v>100</v>
      </c>
      <c r="F39" t="s">
        <v>426</v>
      </c>
      <c r="G39" t="s">
        <v>427</v>
      </c>
      <c r="H39" t="s">
        <v>84</v>
      </c>
      <c r="I39" t="s">
        <v>429</v>
      </c>
      <c r="J39" t="s">
        <v>87</v>
      </c>
      <c r="K39">
        <v>-163.18676518999999</v>
      </c>
      <c r="L39" t="s">
        <v>87</v>
      </c>
      <c r="M39" t="s">
        <v>382</v>
      </c>
      <c r="N39">
        <v>2.6818325999649999E-2</v>
      </c>
      <c r="O39">
        <v>4.3763958676937564</v>
      </c>
      <c r="P39" t="s">
        <v>440</v>
      </c>
      <c r="Q39">
        <v>2</v>
      </c>
      <c r="R39">
        <v>31.615939999999998</v>
      </c>
      <c r="S39">
        <v>8.3000000000000004E-2</v>
      </c>
      <c r="T39">
        <v>2.624123</v>
      </c>
      <c r="U39">
        <v>1.9E-2</v>
      </c>
      <c r="V39">
        <v>49.857999999999997</v>
      </c>
      <c r="W39">
        <v>2</v>
      </c>
      <c r="X39">
        <v>1.0028480886E-2</v>
      </c>
      <c r="Y39">
        <v>1</v>
      </c>
      <c r="Z39" s="61">
        <v>4.3763959999999997</v>
      </c>
      <c r="AA39" t="s">
        <v>333</v>
      </c>
      <c r="AB39" t="s">
        <v>433</v>
      </c>
      <c r="AC39" t="s">
        <v>425</v>
      </c>
      <c r="AD39" t="s">
        <v>81</v>
      </c>
      <c r="AE39">
        <v>111.133</v>
      </c>
      <c r="AF39">
        <v>0.99656169611782708</v>
      </c>
      <c r="AG39">
        <v>110.7508909746625</v>
      </c>
      <c r="AH39">
        <v>682.07</v>
      </c>
      <c r="AI39">
        <v>1</v>
      </c>
      <c r="AJ39">
        <v>75.539860207088026</v>
      </c>
      <c r="AK39">
        <v>0.92979999999999996</v>
      </c>
      <c r="AL39" s="63">
        <v>70.236999999999995</v>
      </c>
      <c r="AM39">
        <v>8.9176000000000002</v>
      </c>
      <c r="AN39">
        <v>8.8869385813003348</v>
      </c>
      <c r="AO39">
        <v>1</v>
      </c>
      <c r="AP39">
        <v>6061.5141981475199</v>
      </c>
      <c r="AQ39">
        <v>1.0375922509225091</v>
      </c>
      <c r="AR39">
        <v>6289.3801999999996</v>
      </c>
      <c r="AS39" s="61">
        <v>27524.8183497592</v>
      </c>
      <c r="AT39" t="s">
        <v>336</v>
      </c>
      <c r="AU39" t="s">
        <v>433</v>
      </c>
      <c r="AV39" t="s">
        <v>425</v>
      </c>
      <c r="AW39" t="s">
        <v>81</v>
      </c>
      <c r="AX39">
        <v>111.133</v>
      </c>
      <c r="AY39">
        <v>0.99819678194932504</v>
      </c>
      <c r="AZ39">
        <v>110.9326029683743</v>
      </c>
      <c r="BA39">
        <v>682.07</v>
      </c>
      <c r="BB39">
        <v>1</v>
      </c>
      <c r="BC39">
        <v>75.663800506639092</v>
      </c>
      <c r="BD39">
        <v>0.92979999999999996</v>
      </c>
      <c r="BE39" s="63">
        <v>70.352000000000004</v>
      </c>
      <c r="BF39">
        <v>8.9176000000000002</v>
      </c>
      <c r="BG39">
        <v>1</v>
      </c>
      <c r="BH39">
        <v>6071.4594890626977</v>
      </c>
      <c r="BI39">
        <v>1.0375922509225091</v>
      </c>
      <c r="BJ39" s="63">
        <v>6299.6993000000002</v>
      </c>
      <c r="BK39" s="61">
        <v>27569.9788177228</v>
      </c>
    </row>
    <row r="40" spans="1:63" x14ac:dyDescent="0.25">
      <c r="A40">
        <v>81</v>
      </c>
      <c r="B40" t="s">
        <v>135</v>
      </c>
      <c r="C40">
        <v>2016</v>
      </c>
      <c r="D40">
        <v>7</v>
      </c>
      <c r="E40" t="s">
        <v>100</v>
      </c>
      <c r="F40" t="s">
        <v>426</v>
      </c>
      <c r="G40" t="s">
        <v>427</v>
      </c>
      <c r="H40" t="s">
        <v>84</v>
      </c>
      <c r="I40" t="s">
        <v>430</v>
      </c>
      <c r="J40" t="s">
        <v>59</v>
      </c>
      <c r="K40">
        <v>-469.26005545999999</v>
      </c>
      <c r="L40" t="s">
        <v>59</v>
      </c>
      <c r="M40" t="s">
        <v>382</v>
      </c>
      <c r="N40">
        <v>2.6402537999860001E-2</v>
      </c>
      <c r="O40">
        <v>12.38965644609906</v>
      </c>
      <c r="P40" t="s">
        <v>440</v>
      </c>
      <c r="Q40">
        <v>2</v>
      </c>
      <c r="R40">
        <v>31.615939999999998</v>
      </c>
      <c r="S40">
        <v>8.3000000000000004E-2</v>
      </c>
      <c r="T40">
        <v>2.624123</v>
      </c>
      <c r="U40">
        <v>1.9E-2</v>
      </c>
      <c r="V40">
        <v>49.857999999999997</v>
      </c>
      <c r="W40">
        <v>2</v>
      </c>
      <c r="X40">
        <v>1.0028480886E-2</v>
      </c>
      <c r="Y40">
        <v>1</v>
      </c>
      <c r="Z40" s="61">
        <v>12.389656</v>
      </c>
      <c r="AA40" t="s">
        <v>333</v>
      </c>
      <c r="AB40" t="s">
        <v>433</v>
      </c>
      <c r="AC40" t="s">
        <v>425</v>
      </c>
      <c r="AD40" t="s">
        <v>81</v>
      </c>
      <c r="AE40">
        <v>111.133</v>
      </c>
      <c r="AF40">
        <v>0.99656169611782708</v>
      </c>
      <c r="AG40">
        <v>110.7508909746625</v>
      </c>
      <c r="AH40">
        <v>682.07</v>
      </c>
      <c r="AI40">
        <v>1</v>
      </c>
      <c r="AJ40">
        <v>75.539860207088026</v>
      </c>
      <c r="AK40">
        <v>0.92979999999999996</v>
      </c>
      <c r="AL40" s="63">
        <v>70.236999999999995</v>
      </c>
      <c r="AM40">
        <v>8.9176000000000002</v>
      </c>
      <c r="AN40">
        <v>8.8869385813003348</v>
      </c>
      <c r="AO40">
        <v>1</v>
      </c>
      <c r="AP40">
        <v>6061.5141981475199</v>
      </c>
      <c r="AQ40">
        <v>1.0375922509225091</v>
      </c>
      <c r="AR40">
        <v>6289.3801999999996</v>
      </c>
      <c r="AS40" s="61">
        <v>77923.257131211198</v>
      </c>
      <c r="AT40" t="s">
        <v>336</v>
      </c>
      <c r="AU40" t="s">
        <v>433</v>
      </c>
      <c r="AV40" t="s">
        <v>425</v>
      </c>
      <c r="AW40" t="s">
        <v>81</v>
      </c>
      <c r="AX40">
        <v>111.133</v>
      </c>
      <c r="AY40">
        <v>0.99819678194932504</v>
      </c>
      <c r="AZ40">
        <v>110.9326029683743</v>
      </c>
      <c r="BA40">
        <v>682.07</v>
      </c>
      <c r="BB40">
        <v>1</v>
      </c>
      <c r="BC40">
        <v>75.663800506639092</v>
      </c>
      <c r="BD40">
        <v>0.92979999999999996</v>
      </c>
      <c r="BE40" s="63">
        <v>70.352000000000004</v>
      </c>
      <c r="BF40">
        <v>8.9176000000000002</v>
      </c>
      <c r="BG40">
        <v>1</v>
      </c>
      <c r="BH40">
        <v>6071.4594890626977</v>
      </c>
      <c r="BI40">
        <v>1.0375922509225091</v>
      </c>
      <c r="BJ40" s="63">
        <v>6299.6993000000002</v>
      </c>
      <c r="BK40" s="61">
        <v>78051.107230440801</v>
      </c>
    </row>
    <row r="41" spans="1:63" x14ac:dyDescent="0.25">
      <c r="A41">
        <v>83</v>
      </c>
      <c r="B41" t="s">
        <v>135</v>
      </c>
      <c r="C41">
        <v>2016</v>
      </c>
      <c r="D41">
        <v>7</v>
      </c>
      <c r="E41" t="s">
        <v>100</v>
      </c>
      <c r="F41" t="s">
        <v>426</v>
      </c>
      <c r="G41" t="s">
        <v>427</v>
      </c>
      <c r="H41" t="s">
        <v>84</v>
      </c>
      <c r="I41" t="s">
        <v>428</v>
      </c>
      <c r="J41" t="s">
        <v>381</v>
      </c>
      <c r="K41">
        <v>-823.01966202999995</v>
      </c>
      <c r="L41" t="s">
        <v>381</v>
      </c>
      <c r="M41" t="s">
        <v>383</v>
      </c>
      <c r="N41">
        <v>1.02460557900018</v>
      </c>
      <c r="O41">
        <v>843.2705373427807</v>
      </c>
      <c r="P41" t="s">
        <v>440</v>
      </c>
      <c r="Q41">
        <v>2</v>
      </c>
      <c r="R41">
        <v>31.615939999999998</v>
      </c>
      <c r="S41">
        <v>8.3000000000000004E-2</v>
      </c>
      <c r="T41">
        <v>2.624123</v>
      </c>
      <c r="U41">
        <v>0.98099999999999998</v>
      </c>
      <c r="V41">
        <v>2574.2649999999999</v>
      </c>
      <c r="W41">
        <v>2</v>
      </c>
      <c r="X41">
        <v>1.9423019800000001E-4</v>
      </c>
      <c r="Y41">
        <v>1</v>
      </c>
      <c r="Z41" s="61">
        <v>843.27053699999999</v>
      </c>
      <c r="AA41" t="s">
        <v>333</v>
      </c>
      <c r="AB41" t="s">
        <v>433</v>
      </c>
      <c r="AC41" t="s">
        <v>425</v>
      </c>
      <c r="AD41" t="s">
        <v>27</v>
      </c>
      <c r="AE41">
        <v>111.133</v>
      </c>
      <c r="AF41">
        <v>0.99656169611782708</v>
      </c>
      <c r="AG41">
        <v>110.7508909746625</v>
      </c>
      <c r="AH41">
        <v>682.07</v>
      </c>
      <c r="AI41">
        <v>1</v>
      </c>
      <c r="AJ41">
        <v>75.539860207088026</v>
      </c>
      <c r="AK41">
        <v>0.99739999999999995</v>
      </c>
      <c r="AL41" s="63">
        <v>75.343000000000004</v>
      </c>
      <c r="AM41">
        <v>8.9176000000000002</v>
      </c>
      <c r="AN41">
        <v>8.8869385813003348</v>
      </c>
      <c r="AO41">
        <v>1</v>
      </c>
      <c r="AP41">
        <v>6061.5141981475199</v>
      </c>
      <c r="AQ41">
        <v>1.0108695652173909</v>
      </c>
      <c r="AR41">
        <v>6127.4002</v>
      </c>
      <c r="AS41" s="61">
        <v>5167056.0570679074</v>
      </c>
      <c r="AT41" t="s">
        <v>336</v>
      </c>
      <c r="AU41" t="s">
        <v>433</v>
      </c>
      <c r="AV41" t="s">
        <v>425</v>
      </c>
      <c r="AW41" t="s">
        <v>27</v>
      </c>
      <c r="AX41">
        <v>111.133</v>
      </c>
      <c r="AY41">
        <v>0.99819678194932504</v>
      </c>
      <c r="AZ41">
        <v>110.9326029683743</v>
      </c>
      <c r="BA41">
        <v>682.07</v>
      </c>
      <c r="BB41">
        <v>1</v>
      </c>
      <c r="BC41">
        <v>75.663800506639092</v>
      </c>
      <c r="BD41">
        <v>0.99739999999999995</v>
      </c>
      <c r="BE41" s="63">
        <v>75.466999999999999</v>
      </c>
      <c r="BF41">
        <v>8.9176000000000002</v>
      </c>
      <c r="BG41">
        <v>1</v>
      </c>
      <c r="BH41">
        <v>6071.4594890626977</v>
      </c>
      <c r="BI41">
        <v>1.0108695652173909</v>
      </c>
      <c r="BJ41" s="63">
        <v>6137.4535999999998</v>
      </c>
      <c r="BK41" s="61">
        <v>5175533.7930845832</v>
      </c>
    </row>
    <row r="42" spans="1:63" x14ac:dyDescent="0.25">
      <c r="A42">
        <v>83</v>
      </c>
      <c r="B42" t="s">
        <v>135</v>
      </c>
      <c r="C42">
        <v>2016</v>
      </c>
      <c r="D42">
        <v>7</v>
      </c>
      <c r="E42" t="s">
        <v>100</v>
      </c>
      <c r="F42" t="s">
        <v>426</v>
      </c>
      <c r="G42" t="s">
        <v>427</v>
      </c>
      <c r="H42" t="s">
        <v>84</v>
      </c>
      <c r="I42" t="s">
        <v>429</v>
      </c>
      <c r="J42" t="s">
        <v>87</v>
      </c>
      <c r="K42">
        <v>-163.18676518999999</v>
      </c>
      <c r="L42" t="s">
        <v>87</v>
      </c>
      <c r="M42" t="s">
        <v>383</v>
      </c>
      <c r="N42">
        <v>1.0126516739982601</v>
      </c>
      <c r="O42">
        <v>165.25135094401449</v>
      </c>
      <c r="P42" t="s">
        <v>440</v>
      </c>
      <c r="Q42">
        <v>2</v>
      </c>
      <c r="R42">
        <v>31.615939999999998</v>
      </c>
      <c r="S42">
        <v>8.3000000000000004E-2</v>
      </c>
      <c r="T42">
        <v>2.624123</v>
      </c>
      <c r="U42">
        <v>0.98099999999999998</v>
      </c>
      <c r="V42">
        <v>2574.2649999999999</v>
      </c>
      <c r="W42">
        <v>2</v>
      </c>
      <c r="X42">
        <v>1.9423019800000001E-4</v>
      </c>
      <c r="Y42">
        <v>1</v>
      </c>
      <c r="Z42" s="61">
        <v>165.251351</v>
      </c>
      <c r="AA42" t="s">
        <v>333</v>
      </c>
      <c r="AB42" t="s">
        <v>433</v>
      </c>
      <c r="AC42" t="s">
        <v>425</v>
      </c>
      <c r="AD42" t="s">
        <v>27</v>
      </c>
      <c r="AE42">
        <v>111.133</v>
      </c>
      <c r="AF42">
        <v>0.99656169611782708</v>
      </c>
      <c r="AG42">
        <v>110.7508909746625</v>
      </c>
      <c r="AH42">
        <v>682.07</v>
      </c>
      <c r="AI42">
        <v>1</v>
      </c>
      <c r="AJ42">
        <v>75.539860207088026</v>
      </c>
      <c r="AK42">
        <v>0.99739999999999995</v>
      </c>
      <c r="AL42" s="63">
        <v>75.343000000000004</v>
      </c>
      <c r="AM42">
        <v>8.9176000000000002</v>
      </c>
      <c r="AN42">
        <v>8.8869385813003348</v>
      </c>
      <c r="AO42">
        <v>1</v>
      </c>
      <c r="AP42">
        <v>6061.5141981475199</v>
      </c>
      <c r="AQ42">
        <v>1.0108695652173909</v>
      </c>
      <c r="AR42">
        <v>6127.4002</v>
      </c>
      <c r="AS42" s="61">
        <v>1012561.16116767</v>
      </c>
      <c r="AT42" t="s">
        <v>336</v>
      </c>
      <c r="AU42" t="s">
        <v>433</v>
      </c>
      <c r="AV42" t="s">
        <v>425</v>
      </c>
      <c r="AW42" t="s">
        <v>27</v>
      </c>
      <c r="AX42">
        <v>111.133</v>
      </c>
      <c r="AY42">
        <v>0.99819678194932504</v>
      </c>
      <c r="AZ42">
        <v>110.9326029683743</v>
      </c>
      <c r="BA42">
        <v>682.07</v>
      </c>
      <c r="BB42">
        <v>1</v>
      </c>
      <c r="BC42">
        <v>75.663800506639092</v>
      </c>
      <c r="BD42">
        <v>0.99739999999999995</v>
      </c>
      <c r="BE42" s="63">
        <v>75.466999999999999</v>
      </c>
      <c r="BF42">
        <v>8.9176000000000002</v>
      </c>
      <c r="BG42">
        <v>1</v>
      </c>
      <c r="BH42">
        <v>6071.4594890626977</v>
      </c>
      <c r="BI42">
        <v>1.0108695652173909</v>
      </c>
      <c r="BJ42" s="63">
        <v>6137.4535999999998</v>
      </c>
      <c r="BK42" s="61">
        <v>1014222.499099814</v>
      </c>
    </row>
    <row r="43" spans="1:63" x14ac:dyDescent="0.25">
      <c r="A43">
        <v>83</v>
      </c>
      <c r="B43" t="s">
        <v>135</v>
      </c>
      <c r="C43">
        <v>2016</v>
      </c>
      <c r="D43">
        <v>7</v>
      </c>
      <c r="E43" t="s">
        <v>100</v>
      </c>
      <c r="F43" t="s">
        <v>426</v>
      </c>
      <c r="G43" t="s">
        <v>427</v>
      </c>
      <c r="H43" t="s">
        <v>84</v>
      </c>
      <c r="I43" t="s">
        <v>430</v>
      </c>
      <c r="J43" t="s">
        <v>59</v>
      </c>
      <c r="K43">
        <v>-469.26005545999999</v>
      </c>
      <c r="L43" t="s">
        <v>59</v>
      </c>
      <c r="M43" t="s">
        <v>383</v>
      </c>
      <c r="N43">
        <v>1.0130674619995801</v>
      </c>
      <c r="O43">
        <v>475.39209340264432</v>
      </c>
      <c r="P43" t="s">
        <v>440</v>
      </c>
      <c r="Q43">
        <v>2</v>
      </c>
      <c r="R43">
        <v>31.615939999999998</v>
      </c>
      <c r="S43">
        <v>8.3000000000000004E-2</v>
      </c>
      <c r="T43">
        <v>2.624123</v>
      </c>
      <c r="U43">
        <v>0.98099999999999998</v>
      </c>
      <c r="V43">
        <v>2574.2649999999999</v>
      </c>
      <c r="W43">
        <v>2</v>
      </c>
      <c r="X43">
        <v>1.9423019800000001E-4</v>
      </c>
      <c r="Y43">
        <v>1</v>
      </c>
      <c r="Z43" s="61">
        <v>475.39209299999999</v>
      </c>
      <c r="AA43" t="s">
        <v>333</v>
      </c>
      <c r="AB43" t="s">
        <v>433</v>
      </c>
      <c r="AC43" t="s">
        <v>425</v>
      </c>
      <c r="AD43" t="s">
        <v>27</v>
      </c>
      <c r="AE43">
        <v>111.133</v>
      </c>
      <c r="AF43">
        <v>0.99656169611782708</v>
      </c>
      <c r="AG43">
        <v>110.7508909746625</v>
      </c>
      <c r="AH43">
        <v>682.07</v>
      </c>
      <c r="AI43">
        <v>1</v>
      </c>
      <c r="AJ43">
        <v>75.539860207088026</v>
      </c>
      <c r="AK43">
        <v>0.99739999999999995</v>
      </c>
      <c r="AL43" s="63">
        <v>75.343000000000004</v>
      </c>
      <c r="AM43">
        <v>8.9176000000000002</v>
      </c>
      <c r="AN43">
        <v>8.8869385813003348</v>
      </c>
      <c r="AO43">
        <v>1</v>
      </c>
      <c r="AP43">
        <v>6061.5141981475199</v>
      </c>
      <c r="AQ43">
        <v>1.0108695652173909</v>
      </c>
      <c r="AR43">
        <v>6127.4002</v>
      </c>
      <c r="AS43" s="61">
        <v>2912917.6057266179</v>
      </c>
      <c r="AT43" t="s">
        <v>336</v>
      </c>
      <c r="AU43" t="s">
        <v>433</v>
      </c>
      <c r="AV43" t="s">
        <v>425</v>
      </c>
      <c r="AW43" t="s">
        <v>27</v>
      </c>
      <c r="AX43">
        <v>111.133</v>
      </c>
      <c r="AY43">
        <v>0.99819678194932504</v>
      </c>
      <c r="AZ43">
        <v>110.9326029683743</v>
      </c>
      <c r="BA43">
        <v>682.07</v>
      </c>
      <c r="BB43">
        <v>1</v>
      </c>
      <c r="BC43">
        <v>75.663800506639092</v>
      </c>
      <c r="BD43">
        <v>0.99739999999999995</v>
      </c>
      <c r="BE43" s="63">
        <v>75.466999999999999</v>
      </c>
      <c r="BF43">
        <v>8.9176000000000002</v>
      </c>
      <c r="BG43">
        <v>1</v>
      </c>
      <c r="BH43">
        <v>6071.4594890626977</v>
      </c>
      <c r="BI43">
        <v>1.0108695652173909</v>
      </c>
      <c r="BJ43" s="63">
        <v>6137.4535999999998</v>
      </c>
      <c r="BK43" s="61">
        <v>2917696.912594385</v>
      </c>
    </row>
    <row r="44" spans="1:63" x14ac:dyDescent="0.25">
      <c r="A44">
        <v>93</v>
      </c>
      <c r="B44" t="s">
        <v>129</v>
      </c>
      <c r="C44">
        <v>2016</v>
      </c>
      <c r="D44">
        <v>8</v>
      </c>
      <c r="E44" t="s">
        <v>100</v>
      </c>
      <c r="F44" t="s">
        <v>426</v>
      </c>
      <c r="G44" t="s">
        <v>427</v>
      </c>
      <c r="H44" t="s">
        <v>84</v>
      </c>
      <c r="I44" t="s">
        <v>428</v>
      </c>
      <c r="J44" t="s">
        <v>381</v>
      </c>
      <c r="K44">
        <v>-579.29173188000004</v>
      </c>
      <c r="L44" t="s">
        <v>381</v>
      </c>
      <c r="M44" t="s">
        <v>382</v>
      </c>
      <c r="N44">
        <v>1.4864420999949999E-2</v>
      </c>
      <c r="O44">
        <v>8.6108361844544774</v>
      </c>
      <c r="P44" t="s">
        <v>440</v>
      </c>
      <c r="Q44">
        <v>2</v>
      </c>
      <c r="R44">
        <v>31.615939999999998</v>
      </c>
      <c r="S44">
        <v>5.2999999999999999E-2</v>
      </c>
      <c r="T44">
        <v>1.6756447999999999</v>
      </c>
      <c r="U44">
        <v>1.9E-2</v>
      </c>
      <c r="V44">
        <v>31.837</v>
      </c>
      <c r="W44">
        <v>2</v>
      </c>
      <c r="X44">
        <v>1.5704997330000001E-2</v>
      </c>
      <c r="Y44">
        <v>1</v>
      </c>
      <c r="Z44" s="61">
        <v>8.6108360000000008</v>
      </c>
      <c r="AA44" t="s">
        <v>336</v>
      </c>
      <c r="AB44" t="s">
        <v>433</v>
      </c>
      <c r="AC44" t="s">
        <v>425</v>
      </c>
      <c r="AD44" t="s">
        <v>81</v>
      </c>
      <c r="AE44">
        <v>111.133</v>
      </c>
      <c r="AF44">
        <v>0.99819678194932504</v>
      </c>
      <c r="AG44">
        <v>110.9326029683743</v>
      </c>
      <c r="AH44">
        <v>682.07</v>
      </c>
      <c r="AI44">
        <v>1</v>
      </c>
      <c r="AJ44">
        <v>75.663800506639092</v>
      </c>
      <c r="AK44">
        <v>0.92979999999999996</v>
      </c>
      <c r="AL44" s="63">
        <v>70.352000000000004</v>
      </c>
      <c r="AM44">
        <v>8.9176000000000002</v>
      </c>
      <c r="AN44">
        <v>8.9015196227113016</v>
      </c>
      <c r="AO44">
        <v>1</v>
      </c>
      <c r="AP44">
        <v>6071.4594890626977</v>
      </c>
      <c r="AQ44">
        <v>1.0375922509225091</v>
      </c>
      <c r="AR44">
        <v>6299.6993000000002</v>
      </c>
      <c r="AS44" s="61">
        <v>54245.677521614809</v>
      </c>
      <c r="AT44" t="s">
        <v>336</v>
      </c>
      <c r="AU44" t="s">
        <v>433</v>
      </c>
      <c r="AV44" t="s">
        <v>425</v>
      </c>
      <c r="AW44" t="s">
        <v>81</v>
      </c>
      <c r="AX44">
        <v>111.133</v>
      </c>
      <c r="AY44">
        <v>0.99819678194932504</v>
      </c>
      <c r="AZ44">
        <v>110.9326029683743</v>
      </c>
      <c r="BA44">
        <v>682.07</v>
      </c>
      <c r="BB44">
        <v>1</v>
      </c>
      <c r="BC44">
        <v>75.663800506639092</v>
      </c>
      <c r="BD44">
        <v>0.92979999999999996</v>
      </c>
      <c r="BE44" s="63">
        <v>70.352000000000004</v>
      </c>
      <c r="BF44">
        <v>8.9176000000000002</v>
      </c>
      <c r="BG44">
        <v>1</v>
      </c>
      <c r="BH44">
        <v>6071.4594890626977</v>
      </c>
      <c r="BI44">
        <v>1.0375922509225091</v>
      </c>
      <c r="BJ44" s="63">
        <v>6299.6993000000002</v>
      </c>
      <c r="BK44" s="61">
        <v>54245.677521614809</v>
      </c>
    </row>
    <row r="45" spans="1:63" x14ac:dyDescent="0.25">
      <c r="A45">
        <v>93</v>
      </c>
      <c r="B45" t="s">
        <v>129</v>
      </c>
      <c r="C45">
        <v>2016</v>
      </c>
      <c r="D45">
        <v>8</v>
      </c>
      <c r="E45" t="s">
        <v>100</v>
      </c>
      <c r="F45" t="s">
        <v>426</v>
      </c>
      <c r="G45" t="s">
        <v>427</v>
      </c>
      <c r="H45" t="s">
        <v>84</v>
      </c>
      <c r="I45" t="s">
        <v>429</v>
      </c>
      <c r="J45" t="s">
        <v>87</v>
      </c>
      <c r="K45">
        <v>-120.03407854</v>
      </c>
      <c r="L45" t="s">
        <v>87</v>
      </c>
      <c r="M45" t="s">
        <v>382</v>
      </c>
      <c r="N45">
        <v>2.681832599898E-2</v>
      </c>
      <c r="O45">
        <v>3.219113049272889</v>
      </c>
      <c r="P45" t="s">
        <v>440</v>
      </c>
      <c r="Q45">
        <v>2</v>
      </c>
      <c r="R45">
        <v>31.615939999999998</v>
      </c>
      <c r="S45">
        <v>5.2999999999999999E-2</v>
      </c>
      <c r="T45">
        <v>1.6756447999999999</v>
      </c>
      <c r="U45">
        <v>1.9E-2</v>
      </c>
      <c r="V45">
        <v>31.837</v>
      </c>
      <c r="W45">
        <v>2</v>
      </c>
      <c r="X45">
        <v>1.5704997330000001E-2</v>
      </c>
      <c r="Y45">
        <v>1</v>
      </c>
      <c r="Z45" s="61">
        <v>3.2191130000000001</v>
      </c>
      <c r="AA45" t="s">
        <v>336</v>
      </c>
      <c r="AB45" t="s">
        <v>433</v>
      </c>
      <c r="AC45" t="s">
        <v>425</v>
      </c>
      <c r="AD45" t="s">
        <v>81</v>
      </c>
      <c r="AE45">
        <v>111.133</v>
      </c>
      <c r="AF45">
        <v>0.99819678194932504</v>
      </c>
      <c r="AG45">
        <v>110.9326029683743</v>
      </c>
      <c r="AH45">
        <v>682.07</v>
      </c>
      <c r="AI45">
        <v>1</v>
      </c>
      <c r="AJ45">
        <v>75.663800506639092</v>
      </c>
      <c r="AK45">
        <v>0.92979999999999996</v>
      </c>
      <c r="AL45" s="63">
        <v>70.352000000000004</v>
      </c>
      <c r="AM45">
        <v>8.9176000000000002</v>
      </c>
      <c r="AN45">
        <v>8.9015196227113016</v>
      </c>
      <c r="AO45">
        <v>1</v>
      </c>
      <c r="AP45">
        <v>6071.4594890626977</v>
      </c>
      <c r="AQ45">
        <v>1.0375922509225091</v>
      </c>
      <c r="AR45">
        <v>6299.6993000000002</v>
      </c>
      <c r="AS45" s="61">
        <v>20279.443912720901</v>
      </c>
      <c r="AT45" t="s">
        <v>336</v>
      </c>
      <c r="AU45" t="s">
        <v>433</v>
      </c>
      <c r="AV45" t="s">
        <v>425</v>
      </c>
      <c r="AW45" t="s">
        <v>81</v>
      </c>
      <c r="AX45">
        <v>111.133</v>
      </c>
      <c r="AY45">
        <v>0.99819678194932504</v>
      </c>
      <c r="AZ45">
        <v>110.9326029683743</v>
      </c>
      <c r="BA45">
        <v>682.07</v>
      </c>
      <c r="BB45">
        <v>1</v>
      </c>
      <c r="BC45">
        <v>75.663800506639092</v>
      </c>
      <c r="BD45">
        <v>0.92979999999999996</v>
      </c>
      <c r="BE45" s="63">
        <v>70.352000000000004</v>
      </c>
      <c r="BF45">
        <v>8.9176000000000002</v>
      </c>
      <c r="BG45">
        <v>1</v>
      </c>
      <c r="BH45">
        <v>6071.4594890626977</v>
      </c>
      <c r="BI45">
        <v>1.0375922509225091</v>
      </c>
      <c r="BJ45" s="63">
        <v>6299.6993000000002</v>
      </c>
      <c r="BK45" s="61">
        <v>20279.443912720901</v>
      </c>
    </row>
    <row r="46" spans="1:63" x14ac:dyDescent="0.25">
      <c r="A46">
        <v>93</v>
      </c>
      <c r="B46" t="s">
        <v>129</v>
      </c>
      <c r="C46">
        <v>2016</v>
      </c>
      <c r="D46">
        <v>8</v>
      </c>
      <c r="E46" t="s">
        <v>100</v>
      </c>
      <c r="F46" t="s">
        <v>426</v>
      </c>
      <c r="G46" t="s">
        <v>427</v>
      </c>
      <c r="H46" t="s">
        <v>84</v>
      </c>
      <c r="I46" t="s">
        <v>430</v>
      </c>
      <c r="J46" t="s">
        <v>59</v>
      </c>
      <c r="K46">
        <v>-360.68594243000001</v>
      </c>
      <c r="L46" t="s">
        <v>59</v>
      </c>
      <c r="M46" t="s">
        <v>382</v>
      </c>
      <c r="N46">
        <v>2.6402537998989999E-2</v>
      </c>
      <c r="O46">
        <v>9.5230243007095954</v>
      </c>
      <c r="P46" t="s">
        <v>440</v>
      </c>
      <c r="Q46">
        <v>2</v>
      </c>
      <c r="R46">
        <v>31.615939999999998</v>
      </c>
      <c r="S46">
        <v>5.2999999999999999E-2</v>
      </c>
      <c r="T46">
        <v>1.6756447999999999</v>
      </c>
      <c r="U46">
        <v>1.9E-2</v>
      </c>
      <c r="V46">
        <v>31.837</v>
      </c>
      <c r="W46">
        <v>2</v>
      </c>
      <c r="X46">
        <v>1.5704997330000001E-2</v>
      </c>
      <c r="Y46">
        <v>1</v>
      </c>
      <c r="Z46" s="61">
        <v>9.5230239999999995</v>
      </c>
      <c r="AA46" t="s">
        <v>336</v>
      </c>
      <c r="AB46" t="s">
        <v>433</v>
      </c>
      <c r="AC46" t="s">
        <v>425</v>
      </c>
      <c r="AD46" t="s">
        <v>81</v>
      </c>
      <c r="AE46">
        <v>111.133</v>
      </c>
      <c r="AF46">
        <v>0.99819678194932504</v>
      </c>
      <c r="AG46">
        <v>110.9326029683743</v>
      </c>
      <c r="AH46">
        <v>682.07</v>
      </c>
      <c r="AI46">
        <v>1</v>
      </c>
      <c r="AJ46">
        <v>75.663800506639092</v>
      </c>
      <c r="AK46">
        <v>0.92979999999999996</v>
      </c>
      <c r="AL46" s="63">
        <v>70.352000000000004</v>
      </c>
      <c r="AM46">
        <v>8.9176000000000002</v>
      </c>
      <c r="AN46">
        <v>8.9015196227113016</v>
      </c>
      <c r="AO46">
        <v>1</v>
      </c>
      <c r="AP46">
        <v>6071.4594890626977</v>
      </c>
      <c r="AQ46">
        <v>1.0375922509225091</v>
      </c>
      <c r="AR46">
        <v>6299.6993000000002</v>
      </c>
      <c r="AS46" s="61">
        <v>59992.187626683197</v>
      </c>
      <c r="AT46" t="s">
        <v>336</v>
      </c>
      <c r="AU46" t="s">
        <v>433</v>
      </c>
      <c r="AV46" t="s">
        <v>425</v>
      </c>
      <c r="AW46" t="s">
        <v>81</v>
      </c>
      <c r="AX46">
        <v>111.133</v>
      </c>
      <c r="AY46">
        <v>0.99819678194932504</v>
      </c>
      <c r="AZ46">
        <v>110.9326029683743</v>
      </c>
      <c r="BA46">
        <v>682.07</v>
      </c>
      <c r="BB46">
        <v>1</v>
      </c>
      <c r="BC46">
        <v>75.663800506639092</v>
      </c>
      <c r="BD46">
        <v>0.92979999999999996</v>
      </c>
      <c r="BE46" s="63">
        <v>70.352000000000004</v>
      </c>
      <c r="BF46">
        <v>8.9176000000000002</v>
      </c>
      <c r="BG46">
        <v>1</v>
      </c>
      <c r="BH46">
        <v>6071.4594890626977</v>
      </c>
      <c r="BI46">
        <v>1.0375922509225091</v>
      </c>
      <c r="BJ46" s="63">
        <v>6299.6993000000002</v>
      </c>
      <c r="BK46" s="61">
        <v>59992.187626683197</v>
      </c>
    </row>
    <row r="47" spans="1:63" x14ac:dyDescent="0.25">
      <c r="A47">
        <v>95</v>
      </c>
      <c r="B47" t="s">
        <v>129</v>
      </c>
      <c r="C47">
        <v>2016</v>
      </c>
      <c r="D47">
        <v>8</v>
      </c>
      <c r="E47" t="s">
        <v>100</v>
      </c>
      <c r="F47" t="s">
        <v>426</v>
      </c>
      <c r="G47" t="s">
        <v>427</v>
      </c>
      <c r="H47" t="s">
        <v>84</v>
      </c>
      <c r="I47" t="s">
        <v>428</v>
      </c>
      <c r="J47" t="s">
        <v>381</v>
      </c>
      <c r="K47">
        <v>-579.29173188000004</v>
      </c>
      <c r="L47" t="s">
        <v>381</v>
      </c>
      <c r="M47" t="s">
        <v>383</v>
      </c>
      <c r="N47">
        <v>1.0246055790001001</v>
      </c>
      <c r="O47">
        <v>593.54554035287811</v>
      </c>
      <c r="P47" t="s">
        <v>440</v>
      </c>
      <c r="Q47">
        <v>2</v>
      </c>
      <c r="R47">
        <v>31.615939999999998</v>
      </c>
      <c r="S47">
        <v>5.2999999999999999E-2</v>
      </c>
      <c r="T47">
        <v>1.6756447999999999</v>
      </c>
      <c r="U47">
        <v>0.98099999999999998</v>
      </c>
      <c r="V47">
        <v>1643.808</v>
      </c>
      <c r="W47">
        <v>2</v>
      </c>
      <c r="X47">
        <v>3.0417177699999998E-4</v>
      </c>
      <c r="Y47">
        <v>1</v>
      </c>
      <c r="Z47" s="61">
        <v>593.54553999999996</v>
      </c>
      <c r="AA47" t="s">
        <v>336</v>
      </c>
      <c r="AB47" t="s">
        <v>433</v>
      </c>
      <c r="AC47" t="s">
        <v>425</v>
      </c>
      <c r="AD47" t="s">
        <v>27</v>
      </c>
      <c r="AE47">
        <v>111.133</v>
      </c>
      <c r="AF47">
        <v>0.99819678194932504</v>
      </c>
      <c r="AG47">
        <v>110.9326029683743</v>
      </c>
      <c r="AH47">
        <v>682.07</v>
      </c>
      <c r="AI47">
        <v>1</v>
      </c>
      <c r="AJ47">
        <v>75.663800506639092</v>
      </c>
      <c r="AK47">
        <v>0.99739999999999995</v>
      </c>
      <c r="AL47" s="63">
        <v>75.466999999999999</v>
      </c>
      <c r="AM47">
        <v>8.9176000000000002</v>
      </c>
      <c r="AN47">
        <v>8.9015196227113016</v>
      </c>
      <c r="AO47">
        <v>1</v>
      </c>
      <c r="AP47">
        <v>6071.4594890626977</v>
      </c>
      <c r="AQ47">
        <v>1.0108695652173909</v>
      </c>
      <c r="AR47">
        <v>6137.4535999999998</v>
      </c>
      <c r="AS47" s="61">
        <v>3642858.211236943</v>
      </c>
      <c r="AT47" t="s">
        <v>336</v>
      </c>
      <c r="AU47" t="s">
        <v>433</v>
      </c>
      <c r="AV47" t="s">
        <v>425</v>
      </c>
      <c r="AW47" t="s">
        <v>27</v>
      </c>
      <c r="AX47">
        <v>111.133</v>
      </c>
      <c r="AY47">
        <v>0.99819678194932504</v>
      </c>
      <c r="AZ47">
        <v>110.9326029683743</v>
      </c>
      <c r="BA47">
        <v>682.07</v>
      </c>
      <c r="BB47">
        <v>1</v>
      </c>
      <c r="BC47">
        <v>75.663800506639092</v>
      </c>
      <c r="BD47">
        <v>0.99739999999999995</v>
      </c>
      <c r="BE47" s="63">
        <v>75.466999999999999</v>
      </c>
      <c r="BF47">
        <v>8.9176000000000002</v>
      </c>
      <c r="BG47">
        <v>1</v>
      </c>
      <c r="BH47">
        <v>6071.4594890626977</v>
      </c>
      <c r="BI47">
        <v>1.0108695652173909</v>
      </c>
      <c r="BJ47" s="63">
        <v>6137.4535999999998</v>
      </c>
      <c r="BK47" s="61">
        <v>3642858.211236943</v>
      </c>
    </row>
    <row r="48" spans="1:63" x14ac:dyDescent="0.25">
      <c r="A48">
        <v>95</v>
      </c>
      <c r="B48" t="s">
        <v>129</v>
      </c>
      <c r="C48">
        <v>2016</v>
      </c>
      <c r="D48">
        <v>8</v>
      </c>
      <c r="E48" t="s">
        <v>100</v>
      </c>
      <c r="F48" t="s">
        <v>426</v>
      </c>
      <c r="G48" t="s">
        <v>427</v>
      </c>
      <c r="H48" t="s">
        <v>84</v>
      </c>
      <c r="I48" t="s">
        <v>429</v>
      </c>
      <c r="J48" t="s">
        <v>87</v>
      </c>
      <c r="K48">
        <v>-120.03407854</v>
      </c>
      <c r="L48" t="s">
        <v>87</v>
      </c>
      <c r="M48" t="s">
        <v>383</v>
      </c>
      <c r="N48">
        <v>1.0126516740004301</v>
      </c>
      <c r="O48">
        <v>121.5527105706301</v>
      </c>
      <c r="P48" t="s">
        <v>440</v>
      </c>
      <c r="Q48">
        <v>2</v>
      </c>
      <c r="R48">
        <v>31.615939999999998</v>
      </c>
      <c r="S48">
        <v>5.2999999999999999E-2</v>
      </c>
      <c r="T48">
        <v>1.6756447999999999</v>
      </c>
      <c r="U48">
        <v>0.98099999999999998</v>
      </c>
      <c r="V48">
        <v>1643.808</v>
      </c>
      <c r="W48">
        <v>2</v>
      </c>
      <c r="X48">
        <v>3.0417177699999998E-4</v>
      </c>
      <c r="Y48">
        <v>1</v>
      </c>
      <c r="Z48" s="61">
        <v>121.552711</v>
      </c>
      <c r="AA48" t="s">
        <v>336</v>
      </c>
      <c r="AB48" t="s">
        <v>433</v>
      </c>
      <c r="AC48" t="s">
        <v>425</v>
      </c>
      <c r="AD48" t="s">
        <v>27</v>
      </c>
      <c r="AE48">
        <v>111.133</v>
      </c>
      <c r="AF48">
        <v>0.99819678194932504</v>
      </c>
      <c r="AG48">
        <v>110.9326029683743</v>
      </c>
      <c r="AH48">
        <v>682.07</v>
      </c>
      <c r="AI48">
        <v>1</v>
      </c>
      <c r="AJ48">
        <v>75.663800506639092</v>
      </c>
      <c r="AK48">
        <v>0.99739999999999995</v>
      </c>
      <c r="AL48" s="63">
        <v>75.466999999999999</v>
      </c>
      <c r="AM48">
        <v>8.9176000000000002</v>
      </c>
      <c r="AN48">
        <v>8.9015196227113016</v>
      </c>
      <c r="AO48">
        <v>1</v>
      </c>
      <c r="AP48">
        <v>6071.4594890626977</v>
      </c>
      <c r="AQ48">
        <v>1.0108695652173909</v>
      </c>
      <c r="AR48">
        <v>6137.4535999999998</v>
      </c>
      <c r="AS48" s="61">
        <v>746024.12371670955</v>
      </c>
      <c r="AT48" t="s">
        <v>336</v>
      </c>
      <c r="AU48" t="s">
        <v>433</v>
      </c>
      <c r="AV48" t="s">
        <v>425</v>
      </c>
      <c r="AW48" t="s">
        <v>27</v>
      </c>
      <c r="AX48">
        <v>111.133</v>
      </c>
      <c r="AY48">
        <v>0.99819678194932504</v>
      </c>
      <c r="AZ48">
        <v>110.9326029683743</v>
      </c>
      <c r="BA48">
        <v>682.07</v>
      </c>
      <c r="BB48">
        <v>1</v>
      </c>
      <c r="BC48">
        <v>75.663800506639092</v>
      </c>
      <c r="BD48">
        <v>0.99739999999999995</v>
      </c>
      <c r="BE48" s="63">
        <v>75.466999999999999</v>
      </c>
      <c r="BF48">
        <v>8.9176000000000002</v>
      </c>
      <c r="BG48">
        <v>1</v>
      </c>
      <c r="BH48">
        <v>6071.4594890626977</v>
      </c>
      <c r="BI48">
        <v>1.0108695652173909</v>
      </c>
      <c r="BJ48" s="63">
        <v>6137.4535999999998</v>
      </c>
      <c r="BK48" s="61">
        <v>746024.12371670955</v>
      </c>
    </row>
    <row r="49" spans="1:63" x14ac:dyDescent="0.25">
      <c r="A49">
        <v>95</v>
      </c>
      <c r="B49" t="s">
        <v>129</v>
      </c>
      <c r="C49">
        <v>2016</v>
      </c>
      <c r="D49">
        <v>8</v>
      </c>
      <c r="E49" t="s">
        <v>100</v>
      </c>
      <c r="F49" t="s">
        <v>426</v>
      </c>
      <c r="G49" t="s">
        <v>427</v>
      </c>
      <c r="H49" t="s">
        <v>84</v>
      </c>
      <c r="I49" t="s">
        <v>430</v>
      </c>
      <c r="J49" t="s">
        <v>59</v>
      </c>
      <c r="K49">
        <v>-360.68594243000001</v>
      </c>
      <c r="L49" t="s">
        <v>59</v>
      </c>
      <c r="M49" t="s">
        <v>383</v>
      </c>
      <c r="N49">
        <v>1.0130674620004101</v>
      </c>
      <c r="O49">
        <v>365.3991922767861</v>
      </c>
      <c r="P49" t="s">
        <v>440</v>
      </c>
      <c r="Q49">
        <v>2</v>
      </c>
      <c r="R49">
        <v>31.615939999999998</v>
      </c>
      <c r="S49">
        <v>5.2999999999999999E-2</v>
      </c>
      <c r="T49">
        <v>1.6756447999999999</v>
      </c>
      <c r="U49">
        <v>0.98099999999999998</v>
      </c>
      <c r="V49">
        <v>1643.808</v>
      </c>
      <c r="W49">
        <v>2</v>
      </c>
      <c r="X49">
        <v>3.0417177699999998E-4</v>
      </c>
      <c r="Y49">
        <v>1</v>
      </c>
      <c r="Z49" s="61">
        <v>365.39919200000003</v>
      </c>
      <c r="AA49" t="s">
        <v>336</v>
      </c>
      <c r="AB49" t="s">
        <v>433</v>
      </c>
      <c r="AC49" t="s">
        <v>425</v>
      </c>
      <c r="AD49" t="s">
        <v>27</v>
      </c>
      <c r="AE49">
        <v>111.133</v>
      </c>
      <c r="AF49">
        <v>0.99819678194932504</v>
      </c>
      <c r="AG49">
        <v>110.9326029683743</v>
      </c>
      <c r="AH49">
        <v>682.07</v>
      </c>
      <c r="AI49">
        <v>1</v>
      </c>
      <c r="AJ49">
        <v>75.663800506639092</v>
      </c>
      <c r="AK49">
        <v>0.99739999999999995</v>
      </c>
      <c r="AL49" s="63">
        <v>75.466999999999999</v>
      </c>
      <c r="AM49">
        <v>8.9176000000000002</v>
      </c>
      <c r="AN49">
        <v>8.9015196227113016</v>
      </c>
      <c r="AO49">
        <v>1</v>
      </c>
      <c r="AP49">
        <v>6071.4594890626977</v>
      </c>
      <c r="AQ49">
        <v>1.0108695652173909</v>
      </c>
      <c r="AR49">
        <v>6137.4535999999998</v>
      </c>
      <c r="AS49" s="61">
        <v>2242620.5863774908</v>
      </c>
      <c r="AT49" t="s">
        <v>336</v>
      </c>
      <c r="AU49" t="s">
        <v>433</v>
      </c>
      <c r="AV49" t="s">
        <v>425</v>
      </c>
      <c r="AW49" t="s">
        <v>27</v>
      </c>
      <c r="AX49">
        <v>111.133</v>
      </c>
      <c r="AY49">
        <v>0.99819678194932504</v>
      </c>
      <c r="AZ49">
        <v>110.9326029683743</v>
      </c>
      <c r="BA49">
        <v>682.07</v>
      </c>
      <c r="BB49">
        <v>1</v>
      </c>
      <c r="BC49">
        <v>75.663800506639092</v>
      </c>
      <c r="BD49">
        <v>0.99739999999999995</v>
      </c>
      <c r="BE49" s="63">
        <v>75.466999999999999</v>
      </c>
      <c r="BF49">
        <v>8.9176000000000002</v>
      </c>
      <c r="BG49">
        <v>1</v>
      </c>
      <c r="BH49">
        <v>6071.4594890626977</v>
      </c>
      <c r="BI49">
        <v>1.0108695652173909</v>
      </c>
      <c r="BJ49" s="63">
        <v>6137.4535999999998</v>
      </c>
      <c r="BK49" s="61">
        <v>2242620.5863774908</v>
      </c>
    </row>
    <row r="50" spans="1:63" x14ac:dyDescent="0.25">
      <c r="A50">
        <v>105</v>
      </c>
      <c r="B50" t="s">
        <v>131</v>
      </c>
      <c r="C50">
        <v>2016</v>
      </c>
      <c r="D50">
        <v>9</v>
      </c>
      <c r="E50" t="s">
        <v>100</v>
      </c>
      <c r="F50" t="s">
        <v>426</v>
      </c>
      <c r="G50" t="s">
        <v>427</v>
      </c>
      <c r="H50" t="s">
        <v>84</v>
      </c>
      <c r="I50" t="s">
        <v>428</v>
      </c>
      <c r="J50" t="s">
        <v>381</v>
      </c>
      <c r="K50">
        <v>-502.50672071000002</v>
      </c>
      <c r="L50" t="s">
        <v>381</v>
      </c>
      <c r="M50" t="s">
        <v>382</v>
      </c>
      <c r="N50">
        <v>1.486442100037E-2</v>
      </c>
      <c r="O50">
        <v>7.4694714521487864</v>
      </c>
      <c r="P50" t="s">
        <v>440</v>
      </c>
      <c r="Q50">
        <v>2</v>
      </c>
      <c r="R50">
        <v>31.615939999999998</v>
      </c>
      <c r="S50">
        <v>4.1000000000000002E-2</v>
      </c>
      <c r="T50">
        <v>1.2962534999999999</v>
      </c>
      <c r="U50">
        <v>1.9E-2</v>
      </c>
      <c r="V50">
        <v>24.629000000000001</v>
      </c>
      <c r="W50">
        <v>2</v>
      </c>
      <c r="X50">
        <v>2.0301270860000002E-2</v>
      </c>
      <c r="Y50">
        <v>1</v>
      </c>
      <c r="Z50" s="61">
        <v>7.4694710000000004</v>
      </c>
      <c r="AA50" t="s">
        <v>336</v>
      </c>
      <c r="AB50" t="s">
        <v>433</v>
      </c>
      <c r="AC50" t="s">
        <v>425</v>
      </c>
      <c r="AD50" t="s">
        <v>81</v>
      </c>
      <c r="AE50">
        <v>111.133</v>
      </c>
      <c r="AF50">
        <v>0.99819678194932504</v>
      </c>
      <c r="AG50">
        <v>110.9326029683743</v>
      </c>
      <c r="AH50">
        <v>682.07</v>
      </c>
      <c r="AI50">
        <v>1</v>
      </c>
      <c r="AJ50">
        <v>75.663800506639092</v>
      </c>
      <c r="AK50">
        <v>0.92979999999999996</v>
      </c>
      <c r="AL50" s="63">
        <v>70.352000000000004</v>
      </c>
      <c r="AM50">
        <v>8.9176000000000002</v>
      </c>
      <c r="AN50">
        <v>8.9015196227113016</v>
      </c>
      <c r="AO50">
        <v>1</v>
      </c>
      <c r="AP50">
        <v>6071.4594890626977</v>
      </c>
      <c r="AQ50">
        <v>1.0375922509225091</v>
      </c>
      <c r="AR50">
        <v>6299.6993000000002</v>
      </c>
      <c r="AS50" s="61">
        <v>47055.421230070308</v>
      </c>
      <c r="AT50" t="s">
        <v>336</v>
      </c>
      <c r="AU50" t="s">
        <v>433</v>
      </c>
      <c r="AV50" t="s">
        <v>425</v>
      </c>
      <c r="AW50" t="s">
        <v>81</v>
      </c>
      <c r="AX50">
        <v>111.133</v>
      </c>
      <c r="AY50">
        <v>0.99819678194932504</v>
      </c>
      <c r="AZ50">
        <v>110.9326029683743</v>
      </c>
      <c r="BA50">
        <v>682.07</v>
      </c>
      <c r="BB50">
        <v>1</v>
      </c>
      <c r="BC50">
        <v>75.663800506639092</v>
      </c>
      <c r="BD50">
        <v>0.92979999999999996</v>
      </c>
      <c r="BE50" s="63">
        <v>70.352000000000004</v>
      </c>
      <c r="BF50">
        <v>8.9176000000000002</v>
      </c>
      <c r="BG50">
        <v>1</v>
      </c>
      <c r="BH50">
        <v>6071.4594890626977</v>
      </c>
      <c r="BI50">
        <v>1.0375922509225091</v>
      </c>
      <c r="BJ50" s="63">
        <v>6299.6993000000002</v>
      </c>
      <c r="BK50" s="61">
        <v>47055.421230070308</v>
      </c>
    </row>
    <row r="51" spans="1:63" x14ac:dyDescent="0.25">
      <c r="A51">
        <v>105</v>
      </c>
      <c r="B51" t="s">
        <v>131</v>
      </c>
      <c r="C51">
        <v>2016</v>
      </c>
      <c r="D51">
        <v>9</v>
      </c>
      <c r="E51" t="s">
        <v>100</v>
      </c>
      <c r="F51" t="s">
        <v>426</v>
      </c>
      <c r="G51" t="s">
        <v>427</v>
      </c>
      <c r="H51" t="s">
        <v>84</v>
      </c>
      <c r="I51" t="s">
        <v>429</v>
      </c>
      <c r="J51" t="s">
        <v>87</v>
      </c>
      <c r="K51">
        <v>-111.3556145</v>
      </c>
      <c r="L51" t="s">
        <v>87</v>
      </c>
      <c r="M51" t="s">
        <v>382</v>
      </c>
      <c r="N51">
        <v>2.6818325999649999E-2</v>
      </c>
      <c r="O51">
        <v>2.9863711715523529</v>
      </c>
      <c r="P51" t="s">
        <v>440</v>
      </c>
      <c r="Q51">
        <v>2</v>
      </c>
      <c r="R51">
        <v>31.615939999999998</v>
      </c>
      <c r="S51">
        <v>4.1000000000000002E-2</v>
      </c>
      <c r="T51">
        <v>1.2962534999999999</v>
      </c>
      <c r="U51">
        <v>1.9E-2</v>
      </c>
      <c r="V51">
        <v>24.629000000000001</v>
      </c>
      <c r="W51">
        <v>2</v>
      </c>
      <c r="X51">
        <v>2.0301270860000002E-2</v>
      </c>
      <c r="Y51">
        <v>1</v>
      </c>
      <c r="Z51" s="61">
        <v>2.9863710000000001</v>
      </c>
      <c r="AA51" t="s">
        <v>336</v>
      </c>
      <c r="AB51" t="s">
        <v>433</v>
      </c>
      <c r="AC51" t="s">
        <v>425</v>
      </c>
      <c r="AD51" t="s">
        <v>81</v>
      </c>
      <c r="AE51">
        <v>111.133</v>
      </c>
      <c r="AF51">
        <v>0.99819678194932504</v>
      </c>
      <c r="AG51">
        <v>110.9326029683743</v>
      </c>
      <c r="AH51">
        <v>682.07</v>
      </c>
      <c r="AI51">
        <v>1</v>
      </c>
      <c r="AJ51">
        <v>75.663800506639092</v>
      </c>
      <c r="AK51">
        <v>0.92979999999999996</v>
      </c>
      <c r="AL51" s="63">
        <v>70.352000000000004</v>
      </c>
      <c r="AM51">
        <v>8.9176000000000002</v>
      </c>
      <c r="AN51">
        <v>8.9015196227113016</v>
      </c>
      <c r="AO51">
        <v>1</v>
      </c>
      <c r="AP51">
        <v>6071.4594890626977</v>
      </c>
      <c r="AQ51">
        <v>1.0375922509225091</v>
      </c>
      <c r="AR51">
        <v>6299.6993000000002</v>
      </c>
      <c r="AS51" s="61">
        <v>18813.2392982403</v>
      </c>
      <c r="AT51" t="s">
        <v>336</v>
      </c>
      <c r="AU51" t="s">
        <v>433</v>
      </c>
      <c r="AV51" t="s">
        <v>425</v>
      </c>
      <c r="AW51" t="s">
        <v>81</v>
      </c>
      <c r="AX51">
        <v>111.133</v>
      </c>
      <c r="AY51">
        <v>0.99819678194932504</v>
      </c>
      <c r="AZ51">
        <v>110.9326029683743</v>
      </c>
      <c r="BA51">
        <v>682.07</v>
      </c>
      <c r="BB51">
        <v>1</v>
      </c>
      <c r="BC51">
        <v>75.663800506639092</v>
      </c>
      <c r="BD51">
        <v>0.92979999999999996</v>
      </c>
      <c r="BE51" s="63">
        <v>70.352000000000004</v>
      </c>
      <c r="BF51">
        <v>8.9176000000000002</v>
      </c>
      <c r="BG51">
        <v>1</v>
      </c>
      <c r="BH51">
        <v>6071.4594890626977</v>
      </c>
      <c r="BI51">
        <v>1.0375922509225091</v>
      </c>
      <c r="BJ51" s="63">
        <v>6299.6993000000002</v>
      </c>
      <c r="BK51" s="61">
        <v>18813.2392982403</v>
      </c>
    </row>
    <row r="52" spans="1:63" x14ac:dyDescent="0.25">
      <c r="A52">
        <v>105</v>
      </c>
      <c r="B52" t="s">
        <v>131</v>
      </c>
      <c r="C52">
        <v>2016</v>
      </c>
      <c r="D52">
        <v>9</v>
      </c>
      <c r="E52" t="s">
        <v>100</v>
      </c>
      <c r="F52" t="s">
        <v>426</v>
      </c>
      <c r="G52" t="s">
        <v>427</v>
      </c>
      <c r="H52" t="s">
        <v>84</v>
      </c>
      <c r="I52" t="s">
        <v>430</v>
      </c>
      <c r="J52" t="s">
        <v>59</v>
      </c>
      <c r="K52">
        <v>-325.78327897000003</v>
      </c>
      <c r="L52" t="s">
        <v>59</v>
      </c>
      <c r="M52" t="s">
        <v>382</v>
      </c>
      <c r="N52">
        <v>2.6402538000039999E-2</v>
      </c>
      <c r="O52">
        <v>8.6015054027830562</v>
      </c>
      <c r="P52" t="s">
        <v>440</v>
      </c>
      <c r="Q52">
        <v>2</v>
      </c>
      <c r="R52">
        <v>31.615939999999998</v>
      </c>
      <c r="S52">
        <v>4.1000000000000002E-2</v>
      </c>
      <c r="T52">
        <v>1.2962534999999999</v>
      </c>
      <c r="U52">
        <v>1.9E-2</v>
      </c>
      <c r="V52">
        <v>24.629000000000001</v>
      </c>
      <c r="W52">
        <v>2</v>
      </c>
      <c r="X52">
        <v>2.0301270860000002E-2</v>
      </c>
      <c r="Y52">
        <v>1</v>
      </c>
      <c r="Z52" s="61">
        <v>8.6015049999999995</v>
      </c>
      <c r="AA52" t="s">
        <v>336</v>
      </c>
      <c r="AB52" t="s">
        <v>433</v>
      </c>
      <c r="AC52" t="s">
        <v>425</v>
      </c>
      <c r="AD52" t="s">
        <v>81</v>
      </c>
      <c r="AE52">
        <v>111.133</v>
      </c>
      <c r="AF52">
        <v>0.99819678194932504</v>
      </c>
      <c r="AG52">
        <v>110.9326029683743</v>
      </c>
      <c r="AH52">
        <v>682.07</v>
      </c>
      <c r="AI52">
        <v>1</v>
      </c>
      <c r="AJ52">
        <v>75.663800506639092</v>
      </c>
      <c r="AK52">
        <v>0.92979999999999996</v>
      </c>
      <c r="AL52" s="63">
        <v>70.352000000000004</v>
      </c>
      <c r="AM52">
        <v>8.9176000000000002</v>
      </c>
      <c r="AN52">
        <v>8.9015196227113016</v>
      </c>
      <c r="AO52">
        <v>1</v>
      </c>
      <c r="AP52">
        <v>6071.4594890626977</v>
      </c>
      <c r="AQ52">
        <v>1.0375922509225091</v>
      </c>
      <c r="AR52">
        <v>6299.6993000000002</v>
      </c>
      <c r="AS52" s="61">
        <v>54186.895027446502</v>
      </c>
      <c r="AT52" t="s">
        <v>336</v>
      </c>
      <c r="AU52" t="s">
        <v>433</v>
      </c>
      <c r="AV52" t="s">
        <v>425</v>
      </c>
      <c r="AW52" t="s">
        <v>81</v>
      </c>
      <c r="AX52">
        <v>111.133</v>
      </c>
      <c r="AY52">
        <v>0.99819678194932504</v>
      </c>
      <c r="AZ52">
        <v>110.9326029683743</v>
      </c>
      <c r="BA52">
        <v>682.07</v>
      </c>
      <c r="BB52">
        <v>1</v>
      </c>
      <c r="BC52">
        <v>75.663800506639092</v>
      </c>
      <c r="BD52">
        <v>0.92979999999999996</v>
      </c>
      <c r="BE52" s="63">
        <v>70.352000000000004</v>
      </c>
      <c r="BF52">
        <v>8.9176000000000002</v>
      </c>
      <c r="BG52">
        <v>1</v>
      </c>
      <c r="BH52">
        <v>6071.4594890626977</v>
      </c>
      <c r="BI52">
        <v>1.0375922509225091</v>
      </c>
      <c r="BJ52" s="63">
        <v>6299.6993000000002</v>
      </c>
      <c r="BK52" s="61">
        <v>54186.895027446502</v>
      </c>
    </row>
    <row r="53" spans="1:63" x14ac:dyDescent="0.25">
      <c r="A53">
        <v>107</v>
      </c>
      <c r="B53" t="s">
        <v>131</v>
      </c>
      <c r="C53">
        <v>2016</v>
      </c>
      <c r="D53">
        <v>9</v>
      </c>
      <c r="E53" t="s">
        <v>100</v>
      </c>
      <c r="F53" t="s">
        <v>426</v>
      </c>
      <c r="G53" t="s">
        <v>427</v>
      </c>
      <c r="H53" t="s">
        <v>84</v>
      </c>
      <c r="I53" t="s">
        <v>428</v>
      </c>
      <c r="J53" t="s">
        <v>381</v>
      </c>
      <c r="K53">
        <v>-502.50672071000002</v>
      </c>
      <c r="L53" t="s">
        <v>381</v>
      </c>
      <c r="M53" t="s">
        <v>383</v>
      </c>
      <c r="N53">
        <v>1.0246055790003701</v>
      </c>
      <c r="O53">
        <v>514.87118952464675</v>
      </c>
      <c r="P53" t="s">
        <v>440</v>
      </c>
      <c r="Q53">
        <v>2</v>
      </c>
      <c r="R53">
        <v>31.615939999999998</v>
      </c>
      <c r="S53">
        <v>4.1000000000000002E-2</v>
      </c>
      <c r="T53">
        <v>1.2962534999999999</v>
      </c>
      <c r="U53">
        <v>0.98099999999999998</v>
      </c>
      <c r="V53">
        <v>1271.625</v>
      </c>
      <c r="W53">
        <v>2</v>
      </c>
      <c r="X53">
        <v>3.9319768000000002E-4</v>
      </c>
      <c r="Y53">
        <v>1</v>
      </c>
      <c r="Z53" s="61">
        <v>514.87118999999996</v>
      </c>
      <c r="AA53" t="s">
        <v>336</v>
      </c>
      <c r="AB53" t="s">
        <v>433</v>
      </c>
      <c r="AC53" t="s">
        <v>425</v>
      </c>
      <c r="AD53" t="s">
        <v>27</v>
      </c>
      <c r="AE53">
        <v>111.133</v>
      </c>
      <c r="AF53">
        <v>0.99819678194932504</v>
      </c>
      <c r="AG53">
        <v>110.9326029683743</v>
      </c>
      <c r="AH53">
        <v>682.07</v>
      </c>
      <c r="AI53">
        <v>1</v>
      </c>
      <c r="AJ53">
        <v>75.663800506639092</v>
      </c>
      <c r="AK53">
        <v>0.99739999999999995</v>
      </c>
      <c r="AL53" s="63">
        <v>75.466999999999999</v>
      </c>
      <c r="AM53">
        <v>8.9176000000000002</v>
      </c>
      <c r="AN53">
        <v>8.9015196227113016</v>
      </c>
      <c r="AO53">
        <v>1</v>
      </c>
      <c r="AP53">
        <v>6071.4594890626977</v>
      </c>
      <c r="AQ53">
        <v>1.0108695652173909</v>
      </c>
      <c r="AR53">
        <v>6137.4535999999998</v>
      </c>
      <c r="AS53" s="61">
        <v>3159998.038601784</v>
      </c>
      <c r="AT53" t="s">
        <v>336</v>
      </c>
      <c r="AU53" t="s">
        <v>433</v>
      </c>
      <c r="AV53" t="s">
        <v>425</v>
      </c>
      <c r="AW53" t="s">
        <v>27</v>
      </c>
      <c r="AX53">
        <v>111.133</v>
      </c>
      <c r="AY53">
        <v>0.99819678194932504</v>
      </c>
      <c r="AZ53">
        <v>110.9326029683743</v>
      </c>
      <c r="BA53">
        <v>682.07</v>
      </c>
      <c r="BB53">
        <v>1</v>
      </c>
      <c r="BC53">
        <v>75.663800506639092</v>
      </c>
      <c r="BD53">
        <v>0.99739999999999995</v>
      </c>
      <c r="BE53" s="63">
        <v>75.466999999999999</v>
      </c>
      <c r="BF53">
        <v>8.9176000000000002</v>
      </c>
      <c r="BG53">
        <v>1</v>
      </c>
      <c r="BH53">
        <v>6071.4594890626977</v>
      </c>
      <c r="BI53">
        <v>1.0108695652173909</v>
      </c>
      <c r="BJ53" s="63">
        <v>6137.4535999999998</v>
      </c>
      <c r="BK53" s="61">
        <v>3159998.038601784</v>
      </c>
    </row>
    <row r="54" spans="1:63" x14ac:dyDescent="0.25">
      <c r="A54">
        <v>107</v>
      </c>
      <c r="B54" t="s">
        <v>131</v>
      </c>
      <c r="C54">
        <v>2016</v>
      </c>
      <c r="D54">
        <v>9</v>
      </c>
      <c r="E54" t="s">
        <v>100</v>
      </c>
      <c r="F54" t="s">
        <v>426</v>
      </c>
      <c r="G54" t="s">
        <v>427</v>
      </c>
      <c r="H54" t="s">
        <v>84</v>
      </c>
      <c r="I54" t="s">
        <v>429</v>
      </c>
      <c r="J54" t="s">
        <v>87</v>
      </c>
      <c r="K54">
        <v>-111.3556145</v>
      </c>
      <c r="L54" t="s">
        <v>87</v>
      </c>
      <c r="M54" t="s">
        <v>383</v>
      </c>
      <c r="N54">
        <v>1.01265167400084</v>
      </c>
      <c r="O54">
        <v>112.7644494328172</v>
      </c>
      <c r="P54" t="s">
        <v>440</v>
      </c>
      <c r="Q54">
        <v>2</v>
      </c>
      <c r="R54">
        <v>31.615939999999998</v>
      </c>
      <c r="S54">
        <v>4.1000000000000002E-2</v>
      </c>
      <c r="T54">
        <v>1.2962534999999999</v>
      </c>
      <c r="U54">
        <v>0.98099999999999998</v>
      </c>
      <c r="V54">
        <v>1271.625</v>
      </c>
      <c r="W54">
        <v>2</v>
      </c>
      <c r="X54">
        <v>3.9319768000000002E-4</v>
      </c>
      <c r="Y54">
        <v>1</v>
      </c>
      <c r="Z54" s="61">
        <v>112.764449</v>
      </c>
      <c r="AA54" t="s">
        <v>336</v>
      </c>
      <c r="AB54" t="s">
        <v>433</v>
      </c>
      <c r="AC54" t="s">
        <v>425</v>
      </c>
      <c r="AD54" t="s">
        <v>27</v>
      </c>
      <c r="AE54">
        <v>111.133</v>
      </c>
      <c r="AF54">
        <v>0.99819678194932504</v>
      </c>
      <c r="AG54">
        <v>110.9326029683743</v>
      </c>
      <c r="AH54">
        <v>682.07</v>
      </c>
      <c r="AI54">
        <v>1</v>
      </c>
      <c r="AJ54">
        <v>75.663800506639092</v>
      </c>
      <c r="AK54">
        <v>0.99739999999999995</v>
      </c>
      <c r="AL54" s="63">
        <v>75.466999999999999</v>
      </c>
      <c r="AM54">
        <v>8.9176000000000002</v>
      </c>
      <c r="AN54">
        <v>8.9015196227113016</v>
      </c>
      <c r="AO54">
        <v>1</v>
      </c>
      <c r="AP54">
        <v>6071.4594890626977</v>
      </c>
      <c r="AQ54">
        <v>1.0108695652173909</v>
      </c>
      <c r="AR54">
        <v>6137.4535999999998</v>
      </c>
      <c r="AS54" s="61">
        <v>692086.5734670664</v>
      </c>
      <c r="AT54" t="s">
        <v>336</v>
      </c>
      <c r="AU54" t="s">
        <v>433</v>
      </c>
      <c r="AV54" t="s">
        <v>425</v>
      </c>
      <c r="AW54" t="s">
        <v>27</v>
      </c>
      <c r="AX54">
        <v>111.133</v>
      </c>
      <c r="AY54">
        <v>0.99819678194932504</v>
      </c>
      <c r="AZ54">
        <v>110.9326029683743</v>
      </c>
      <c r="BA54">
        <v>682.07</v>
      </c>
      <c r="BB54">
        <v>1</v>
      </c>
      <c r="BC54">
        <v>75.663800506639092</v>
      </c>
      <c r="BD54">
        <v>0.99739999999999995</v>
      </c>
      <c r="BE54" s="63">
        <v>75.466999999999999</v>
      </c>
      <c r="BF54">
        <v>8.9176000000000002</v>
      </c>
      <c r="BG54">
        <v>1</v>
      </c>
      <c r="BH54">
        <v>6071.4594890626977</v>
      </c>
      <c r="BI54">
        <v>1.0108695652173909</v>
      </c>
      <c r="BJ54" s="63">
        <v>6137.4535999999998</v>
      </c>
      <c r="BK54" s="61">
        <v>692086.5734670664</v>
      </c>
    </row>
    <row r="55" spans="1:63" x14ac:dyDescent="0.25">
      <c r="A55">
        <v>107</v>
      </c>
      <c r="B55" t="s">
        <v>131</v>
      </c>
      <c r="C55">
        <v>2016</v>
      </c>
      <c r="D55">
        <v>9</v>
      </c>
      <c r="E55" t="s">
        <v>100</v>
      </c>
      <c r="F55" t="s">
        <v>426</v>
      </c>
      <c r="G55" t="s">
        <v>427</v>
      </c>
      <c r="H55" t="s">
        <v>84</v>
      </c>
      <c r="I55" t="s">
        <v>430</v>
      </c>
      <c r="J55" t="s">
        <v>59</v>
      </c>
      <c r="K55">
        <v>-325.78327897000003</v>
      </c>
      <c r="L55" t="s">
        <v>59</v>
      </c>
      <c r="M55" t="s">
        <v>383</v>
      </c>
      <c r="N55">
        <v>1.0130674620001701</v>
      </c>
      <c r="O55">
        <v>330.04043958823121</v>
      </c>
      <c r="P55" t="s">
        <v>440</v>
      </c>
      <c r="Q55">
        <v>2</v>
      </c>
      <c r="R55">
        <v>31.615939999999998</v>
      </c>
      <c r="S55">
        <v>4.1000000000000002E-2</v>
      </c>
      <c r="T55">
        <v>1.2962534999999999</v>
      </c>
      <c r="U55">
        <v>0.98099999999999998</v>
      </c>
      <c r="V55">
        <v>1271.625</v>
      </c>
      <c r="W55">
        <v>2</v>
      </c>
      <c r="X55">
        <v>3.9319768000000002E-4</v>
      </c>
      <c r="Y55">
        <v>1</v>
      </c>
      <c r="Z55" s="61">
        <v>330.04043999999999</v>
      </c>
      <c r="AA55" t="s">
        <v>336</v>
      </c>
      <c r="AB55" t="s">
        <v>433</v>
      </c>
      <c r="AC55" t="s">
        <v>425</v>
      </c>
      <c r="AD55" t="s">
        <v>27</v>
      </c>
      <c r="AE55">
        <v>111.133</v>
      </c>
      <c r="AF55">
        <v>0.99819678194932504</v>
      </c>
      <c r="AG55">
        <v>110.9326029683743</v>
      </c>
      <c r="AH55">
        <v>682.07</v>
      </c>
      <c r="AI55">
        <v>1</v>
      </c>
      <c r="AJ55">
        <v>75.663800506639092</v>
      </c>
      <c r="AK55">
        <v>0.99739999999999995</v>
      </c>
      <c r="AL55" s="63">
        <v>75.466999999999999</v>
      </c>
      <c r="AM55">
        <v>8.9176000000000002</v>
      </c>
      <c r="AN55">
        <v>8.9015196227113016</v>
      </c>
      <c r="AO55">
        <v>1</v>
      </c>
      <c r="AP55">
        <v>6071.4594890626977</v>
      </c>
      <c r="AQ55">
        <v>1.0108695652173909</v>
      </c>
      <c r="AR55">
        <v>6137.4535999999998</v>
      </c>
      <c r="AS55" s="61">
        <v>2025607.886623584</v>
      </c>
      <c r="AT55" t="s">
        <v>336</v>
      </c>
      <c r="AU55" t="s">
        <v>433</v>
      </c>
      <c r="AV55" t="s">
        <v>425</v>
      </c>
      <c r="AW55" t="s">
        <v>27</v>
      </c>
      <c r="AX55">
        <v>111.133</v>
      </c>
      <c r="AY55">
        <v>0.99819678194932504</v>
      </c>
      <c r="AZ55">
        <v>110.9326029683743</v>
      </c>
      <c r="BA55">
        <v>682.07</v>
      </c>
      <c r="BB55">
        <v>1</v>
      </c>
      <c r="BC55">
        <v>75.663800506639092</v>
      </c>
      <c r="BD55">
        <v>0.99739999999999995</v>
      </c>
      <c r="BE55" s="63">
        <v>75.466999999999999</v>
      </c>
      <c r="BF55">
        <v>8.9176000000000002</v>
      </c>
      <c r="BG55">
        <v>1</v>
      </c>
      <c r="BH55">
        <v>6071.4594890626977</v>
      </c>
      <c r="BI55">
        <v>1.0108695652173909</v>
      </c>
      <c r="BJ55" s="63">
        <v>6137.4535999999998</v>
      </c>
      <c r="BK55" s="61">
        <v>2025607.886623584</v>
      </c>
    </row>
    <row r="56" spans="1:63" x14ac:dyDescent="0.25">
      <c r="A56">
        <v>117</v>
      </c>
      <c r="B56" t="s">
        <v>133</v>
      </c>
      <c r="C56">
        <v>2016</v>
      </c>
      <c r="D56">
        <v>10</v>
      </c>
      <c r="E56" t="s">
        <v>100</v>
      </c>
      <c r="F56" t="s">
        <v>426</v>
      </c>
      <c r="G56" t="s">
        <v>427</v>
      </c>
      <c r="H56" t="s">
        <v>84</v>
      </c>
      <c r="I56" t="s">
        <v>428</v>
      </c>
      <c r="J56" t="s">
        <v>381</v>
      </c>
      <c r="K56">
        <v>-815.73483167999996</v>
      </c>
      <c r="L56" t="s">
        <v>381</v>
      </c>
      <c r="M56" t="s">
        <v>382</v>
      </c>
      <c r="N56">
        <v>1.486442099986E-2</v>
      </c>
      <c r="O56">
        <v>12.125425962341451</v>
      </c>
      <c r="P56" t="s">
        <v>440</v>
      </c>
      <c r="Q56">
        <v>2</v>
      </c>
      <c r="R56">
        <v>31.615939999999998</v>
      </c>
      <c r="S56">
        <v>6.3E-2</v>
      </c>
      <c r="T56">
        <v>1.9918042</v>
      </c>
      <c r="U56">
        <v>1.9E-2</v>
      </c>
      <c r="V56">
        <v>37.844000000000001</v>
      </c>
      <c r="W56">
        <v>2</v>
      </c>
      <c r="X56">
        <v>1.3212134024E-2</v>
      </c>
      <c r="Y56">
        <v>1</v>
      </c>
      <c r="Z56" s="61">
        <v>12.125425999999999</v>
      </c>
      <c r="AA56" t="s">
        <v>336</v>
      </c>
      <c r="AB56" t="s">
        <v>433</v>
      </c>
      <c r="AC56" t="s">
        <v>425</v>
      </c>
      <c r="AD56" t="s">
        <v>81</v>
      </c>
      <c r="AE56">
        <v>111.133</v>
      </c>
      <c r="AF56">
        <v>0.99819678194932504</v>
      </c>
      <c r="AG56">
        <v>110.9326029683743</v>
      </c>
      <c r="AH56">
        <v>682.07</v>
      </c>
      <c r="AI56">
        <v>1</v>
      </c>
      <c r="AJ56">
        <v>75.663800506639092</v>
      </c>
      <c r="AK56">
        <v>0.92979999999999996</v>
      </c>
      <c r="AL56" s="63">
        <v>70.352000000000004</v>
      </c>
      <c r="AM56">
        <v>8.9176000000000002</v>
      </c>
      <c r="AN56">
        <v>8.9015196227113016</v>
      </c>
      <c r="AO56">
        <v>1</v>
      </c>
      <c r="AP56">
        <v>6071.4594890626977</v>
      </c>
      <c r="AQ56">
        <v>1.0375922509225091</v>
      </c>
      <c r="AR56">
        <v>6299.6993000000002</v>
      </c>
      <c r="AS56" s="61">
        <v>76386.537684401803</v>
      </c>
      <c r="AT56" t="s">
        <v>336</v>
      </c>
      <c r="AU56" t="s">
        <v>433</v>
      </c>
      <c r="AV56" t="s">
        <v>425</v>
      </c>
      <c r="AW56" t="s">
        <v>81</v>
      </c>
      <c r="AX56">
        <v>111.133</v>
      </c>
      <c r="AY56">
        <v>0.99819678194932504</v>
      </c>
      <c r="AZ56">
        <v>110.9326029683743</v>
      </c>
      <c r="BA56">
        <v>682.07</v>
      </c>
      <c r="BB56">
        <v>1</v>
      </c>
      <c r="BC56">
        <v>75.663800506639092</v>
      </c>
      <c r="BD56">
        <v>0.92979999999999996</v>
      </c>
      <c r="BE56" s="63">
        <v>70.352000000000004</v>
      </c>
      <c r="BF56">
        <v>8.9176000000000002</v>
      </c>
      <c r="BG56">
        <v>1</v>
      </c>
      <c r="BH56">
        <v>6071.4594890626977</v>
      </c>
      <c r="BI56">
        <v>1.0375922509225091</v>
      </c>
      <c r="BJ56" s="63">
        <v>6299.6993000000002</v>
      </c>
      <c r="BK56" s="61">
        <v>76386.537684401803</v>
      </c>
    </row>
    <row r="57" spans="1:63" x14ac:dyDescent="0.25">
      <c r="A57">
        <v>117</v>
      </c>
      <c r="B57" t="s">
        <v>133</v>
      </c>
      <c r="C57">
        <v>2016</v>
      </c>
      <c r="D57">
        <v>10</v>
      </c>
      <c r="E57" t="s">
        <v>100</v>
      </c>
      <c r="F57" t="s">
        <v>426</v>
      </c>
      <c r="G57" t="s">
        <v>427</v>
      </c>
      <c r="H57" t="s">
        <v>84</v>
      </c>
      <c r="I57" t="s">
        <v>429</v>
      </c>
      <c r="J57" t="s">
        <v>87</v>
      </c>
      <c r="K57">
        <v>-244.32922497000001</v>
      </c>
      <c r="L57" t="s">
        <v>87</v>
      </c>
      <c r="M57" t="s">
        <v>382</v>
      </c>
      <c r="N57">
        <v>2.6818325999790001E-2</v>
      </c>
      <c r="O57">
        <v>6.5525008065214916</v>
      </c>
      <c r="P57" t="s">
        <v>440</v>
      </c>
      <c r="Q57">
        <v>2</v>
      </c>
      <c r="R57">
        <v>31.615939999999998</v>
      </c>
      <c r="S57">
        <v>6.3E-2</v>
      </c>
      <c r="T57">
        <v>1.9918042</v>
      </c>
      <c r="U57">
        <v>1.9E-2</v>
      </c>
      <c r="V57">
        <v>37.844000000000001</v>
      </c>
      <c r="W57">
        <v>2</v>
      </c>
      <c r="X57">
        <v>1.3212134024E-2</v>
      </c>
      <c r="Y57">
        <v>1</v>
      </c>
      <c r="Z57" s="61">
        <v>6.5525010000000004</v>
      </c>
      <c r="AA57" t="s">
        <v>336</v>
      </c>
      <c r="AB57" t="s">
        <v>433</v>
      </c>
      <c r="AC57" t="s">
        <v>425</v>
      </c>
      <c r="AD57" t="s">
        <v>81</v>
      </c>
      <c r="AE57">
        <v>111.133</v>
      </c>
      <c r="AF57">
        <v>0.99819678194932504</v>
      </c>
      <c r="AG57">
        <v>110.9326029683743</v>
      </c>
      <c r="AH57">
        <v>682.07</v>
      </c>
      <c r="AI57">
        <v>1</v>
      </c>
      <c r="AJ57">
        <v>75.663800506639092</v>
      </c>
      <c r="AK57">
        <v>0.92979999999999996</v>
      </c>
      <c r="AL57" s="63">
        <v>70.352000000000004</v>
      </c>
      <c r="AM57">
        <v>8.9176000000000002</v>
      </c>
      <c r="AN57">
        <v>8.9015196227113016</v>
      </c>
      <c r="AO57">
        <v>1</v>
      </c>
      <c r="AP57">
        <v>6071.4594890626977</v>
      </c>
      <c r="AQ57">
        <v>1.0375922509225091</v>
      </c>
      <c r="AR57">
        <v>6299.6993000000002</v>
      </c>
      <c r="AS57" s="61">
        <v>41278.785962949303</v>
      </c>
      <c r="AT57" t="s">
        <v>336</v>
      </c>
      <c r="AU57" t="s">
        <v>433</v>
      </c>
      <c r="AV57" t="s">
        <v>425</v>
      </c>
      <c r="AW57" t="s">
        <v>81</v>
      </c>
      <c r="AX57">
        <v>111.133</v>
      </c>
      <c r="AY57">
        <v>0.99819678194932504</v>
      </c>
      <c r="AZ57">
        <v>110.9326029683743</v>
      </c>
      <c r="BA57">
        <v>682.07</v>
      </c>
      <c r="BB57">
        <v>1</v>
      </c>
      <c r="BC57">
        <v>75.663800506639092</v>
      </c>
      <c r="BD57">
        <v>0.92979999999999996</v>
      </c>
      <c r="BE57" s="63">
        <v>70.352000000000004</v>
      </c>
      <c r="BF57">
        <v>8.9176000000000002</v>
      </c>
      <c r="BG57">
        <v>1</v>
      </c>
      <c r="BH57">
        <v>6071.4594890626977</v>
      </c>
      <c r="BI57">
        <v>1.0375922509225091</v>
      </c>
      <c r="BJ57" s="63">
        <v>6299.6993000000002</v>
      </c>
      <c r="BK57" s="61">
        <v>41278.785962949303</v>
      </c>
    </row>
    <row r="58" spans="1:63" x14ac:dyDescent="0.25">
      <c r="A58">
        <v>117</v>
      </c>
      <c r="B58" t="s">
        <v>133</v>
      </c>
      <c r="C58">
        <v>2016</v>
      </c>
      <c r="D58">
        <v>10</v>
      </c>
      <c r="E58" t="s">
        <v>100</v>
      </c>
      <c r="F58" t="s">
        <v>426</v>
      </c>
      <c r="G58" t="s">
        <v>427</v>
      </c>
      <c r="H58" t="s">
        <v>84</v>
      </c>
      <c r="I58" t="s">
        <v>430</v>
      </c>
      <c r="J58" t="s">
        <v>59</v>
      </c>
      <c r="K58">
        <v>-393.42108459999997</v>
      </c>
      <c r="L58" t="s">
        <v>59</v>
      </c>
      <c r="M58" t="s">
        <v>382</v>
      </c>
      <c r="N58">
        <v>2.6402538E-2</v>
      </c>
      <c r="O58">
        <v>10.38731513615271</v>
      </c>
      <c r="P58" t="s">
        <v>440</v>
      </c>
      <c r="Q58">
        <v>2</v>
      </c>
      <c r="R58">
        <v>31.615939999999998</v>
      </c>
      <c r="S58">
        <v>6.3E-2</v>
      </c>
      <c r="T58">
        <v>1.9918042</v>
      </c>
      <c r="U58">
        <v>1.9E-2</v>
      </c>
      <c r="V58">
        <v>37.844000000000001</v>
      </c>
      <c r="W58">
        <v>2</v>
      </c>
      <c r="X58">
        <v>1.3212134024E-2</v>
      </c>
      <c r="Y58">
        <v>1</v>
      </c>
      <c r="Z58" s="61">
        <v>10.387314999999999</v>
      </c>
      <c r="AA58" t="s">
        <v>336</v>
      </c>
      <c r="AB58" t="s">
        <v>433</v>
      </c>
      <c r="AC58" t="s">
        <v>425</v>
      </c>
      <c r="AD58" t="s">
        <v>81</v>
      </c>
      <c r="AE58">
        <v>111.133</v>
      </c>
      <c r="AF58">
        <v>0.99819678194932504</v>
      </c>
      <c r="AG58">
        <v>110.9326029683743</v>
      </c>
      <c r="AH58">
        <v>682.07</v>
      </c>
      <c r="AI58">
        <v>1</v>
      </c>
      <c r="AJ58">
        <v>75.663800506639092</v>
      </c>
      <c r="AK58">
        <v>0.92979999999999996</v>
      </c>
      <c r="AL58" s="63">
        <v>70.352000000000004</v>
      </c>
      <c r="AM58">
        <v>8.9176000000000002</v>
      </c>
      <c r="AN58">
        <v>8.9015196227113016</v>
      </c>
      <c r="AO58">
        <v>1</v>
      </c>
      <c r="AP58">
        <v>6071.4594890626977</v>
      </c>
      <c r="AQ58">
        <v>1.0375922509225091</v>
      </c>
      <c r="AR58">
        <v>6299.6993000000002</v>
      </c>
      <c r="AS58" s="61">
        <v>65436.961034379499</v>
      </c>
      <c r="AT58" t="s">
        <v>336</v>
      </c>
      <c r="AU58" t="s">
        <v>433</v>
      </c>
      <c r="AV58" t="s">
        <v>425</v>
      </c>
      <c r="AW58" t="s">
        <v>81</v>
      </c>
      <c r="AX58">
        <v>111.133</v>
      </c>
      <c r="AY58">
        <v>0.99819678194932504</v>
      </c>
      <c r="AZ58">
        <v>110.9326029683743</v>
      </c>
      <c r="BA58">
        <v>682.07</v>
      </c>
      <c r="BB58">
        <v>1</v>
      </c>
      <c r="BC58">
        <v>75.663800506639092</v>
      </c>
      <c r="BD58">
        <v>0.92979999999999996</v>
      </c>
      <c r="BE58" s="63">
        <v>70.352000000000004</v>
      </c>
      <c r="BF58">
        <v>8.9176000000000002</v>
      </c>
      <c r="BG58">
        <v>1</v>
      </c>
      <c r="BH58">
        <v>6071.4594890626977</v>
      </c>
      <c r="BI58">
        <v>1.0375922509225091</v>
      </c>
      <c r="BJ58" s="63">
        <v>6299.6993000000002</v>
      </c>
      <c r="BK58" s="61">
        <v>65436.961034379499</v>
      </c>
    </row>
    <row r="59" spans="1:63" x14ac:dyDescent="0.25">
      <c r="A59">
        <v>119</v>
      </c>
      <c r="B59" t="s">
        <v>133</v>
      </c>
      <c r="C59">
        <v>2016</v>
      </c>
      <c r="D59">
        <v>10</v>
      </c>
      <c r="E59" t="s">
        <v>100</v>
      </c>
      <c r="F59" t="s">
        <v>426</v>
      </c>
      <c r="G59" t="s">
        <v>427</v>
      </c>
      <c r="H59" t="s">
        <v>84</v>
      </c>
      <c r="I59" t="s">
        <v>428</v>
      </c>
      <c r="J59" t="s">
        <v>381</v>
      </c>
      <c r="K59">
        <v>-815.73483167999996</v>
      </c>
      <c r="L59" t="s">
        <v>381</v>
      </c>
      <c r="M59" t="s">
        <v>383</v>
      </c>
      <c r="N59">
        <v>1.0246055790003199</v>
      </c>
      <c r="O59">
        <v>835.80645952421503</v>
      </c>
      <c r="P59" t="s">
        <v>440</v>
      </c>
      <c r="Q59">
        <v>2</v>
      </c>
      <c r="R59">
        <v>31.615939999999998</v>
      </c>
      <c r="S59">
        <v>6.3E-2</v>
      </c>
      <c r="T59">
        <v>1.9918042</v>
      </c>
      <c r="U59">
        <v>0.98099999999999998</v>
      </c>
      <c r="V59">
        <v>1953.96</v>
      </c>
      <c r="W59">
        <v>2</v>
      </c>
      <c r="X59">
        <v>2.5589060200000003E-4</v>
      </c>
      <c r="Y59">
        <v>1</v>
      </c>
      <c r="Z59" s="61">
        <v>835.80646000000002</v>
      </c>
      <c r="AA59" t="s">
        <v>336</v>
      </c>
      <c r="AB59" t="s">
        <v>433</v>
      </c>
      <c r="AC59" t="s">
        <v>425</v>
      </c>
      <c r="AD59" t="s">
        <v>27</v>
      </c>
      <c r="AE59">
        <v>111.133</v>
      </c>
      <c r="AF59">
        <v>0.99819678194932504</v>
      </c>
      <c r="AG59">
        <v>110.9326029683743</v>
      </c>
      <c r="AH59">
        <v>682.07</v>
      </c>
      <c r="AI59">
        <v>1</v>
      </c>
      <c r="AJ59">
        <v>75.663800506639092</v>
      </c>
      <c r="AK59">
        <v>0.99739999999999995</v>
      </c>
      <c r="AL59" s="63">
        <v>75.466999999999999</v>
      </c>
      <c r="AM59">
        <v>8.9176000000000002</v>
      </c>
      <c r="AN59">
        <v>8.9015196227113016</v>
      </c>
      <c r="AO59">
        <v>1</v>
      </c>
      <c r="AP59">
        <v>6071.4594890626977</v>
      </c>
      <c r="AQ59">
        <v>1.0108695652173909</v>
      </c>
      <c r="AR59">
        <v>6137.4535999999998</v>
      </c>
      <c r="AS59" s="61">
        <v>5129723.3668302558</v>
      </c>
      <c r="AT59" t="s">
        <v>336</v>
      </c>
      <c r="AU59" t="s">
        <v>433</v>
      </c>
      <c r="AV59" t="s">
        <v>425</v>
      </c>
      <c r="AW59" t="s">
        <v>27</v>
      </c>
      <c r="AX59">
        <v>111.133</v>
      </c>
      <c r="AY59">
        <v>0.99819678194932504</v>
      </c>
      <c r="AZ59">
        <v>110.9326029683743</v>
      </c>
      <c r="BA59">
        <v>682.07</v>
      </c>
      <c r="BB59">
        <v>1</v>
      </c>
      <c r="BC59">
        <v>75.663800506639092</v>
      </c>
      <c r="BD59">
        <v>0.99739999999999995</v>
      </c>
      <c r="BE59" s="63">
        <v>75.466999999999999</v>
      </c>
      <c r="BF59">
        <v>8.9176000000000002</v>
      </c>
      <c r="BG59">
        <v>1</v>
      </c>
      <c r="BH59">
        <v>6071.4594890626977</v>
      </c>
      <c r="BI59">
        <v>1.0108695652173909</v>
      </c>
      <c r="BJ59" s="63">
        <v>6137.4535999999998</v>
      </c>
      <c r="BK59" s="61">
        <v>5129723.3668302558</v>
      </c>
    </row>
    <row r="60" spans="1:63" x14ac:dyDescent="0.25">
      <c r="A60">
        <v>119</v>
      </c>
      <c r="B60" t="s">
        <v>133</v>
      </c>
      <c r="C60">
        <v>2016</v>
      </c>
      <c r="D60">
        <v>10</v>
      </c>
      <c r="E60" t="s">
        <v>100</v>
      </c>
      <c r="F60" t="s">
        <v>426</v>
      </c>
      <c r="G60" t="s">
        <v>427</v>
      </c>
      <c r="H60" t="s">
        <v>84</v>
      </c>
      <c r="I60" t="s">
        <v>429</v>
      </c>
      <c r="J60" t="s">
        <v>87</v>
      </c>
      <c r="K60">
        <v>-244.32922497000001</v>
      </c>
      <c r="L60" t="s">
        <v>87</v>
      </c>
      <c r="M60" t="s">
        <v>383</v>
      </c>
      <c r="N60">
        <v>1.0126516739992699</v>
      </c>
      <c r="O60">
        <v>247.42039867281471</v>
      </c>
      <c r="P60" t="s">
        <v>440</v>
      </c>
      <c r="Q60">
        <v>2</v>
      </c>
      <c r="R60">
        <v>31.615939999999998</v>
      </c>
      <c r="S60">
        <v>6.3E-2</v>
      </c>
      <c r="T60">
        <v>1.9918042</v>
      </c>
      <c r="U60">
        <v>0.98099999999999998</v>
      </c>
      <c r="V60">
        <v>1953.96</v>
      </c>
      <c r="W60">
        <v>2</v>
      </c>
      <c r="X60">
        <v>2.5589060200000003E-4</v>
      </c>
      <c r="Y60">
        <v>1</v>
      </c>
      <c r="Z60" s="61">
        <v>247.420399</v>
      </c>
      <c r="AA60" t="s">
        <v>336</v>
      </c>
      <c r="AB60" t="s">
        <v>433</v>
      </c>
      <c r="AC60" t="s">
        <v>425</v>
      </c>
      <c r="AD60" t="s">
        <v>27</v>
      </c>
      <c r="AE60">
        <v>111.133</v>
      </c>
      <c r="AF60">
        <v>0.99819678194932504</v>
      </c>
      <c r="AG60">
        <v>110.9326029683743</v>
      </c>
      <c r="AH60">
        <v>682.07</v>
      </c>
      <c r="AI60">
        <v>1</v>
      </c>
      <c r="AJ60">
        <v>75.663800506639092</v>
      </c>
      <c r="AK60">
        <v>0.99739999999999995</v>
      </c>
      <c r="AL60" s="63">
        <v>75.466999999999999</v>
      </c>
      <c r="AM60">
        <v>8.9176000000000002</v>
      </c>
      <c r="AN60">
        <v>8.9015196227113016</v>
      </c>
      <c r="AO60">
        <v>1</v>
      </c>
      <c r="AP60">
        <v>6071.4594890626977</v>
      </c>
      <c r="AQ60">
        <v>1.0108695652173909</v>
      </c>
      <c r="AR60">
        <v>6137.4535999999998</v>
      </c>
      <c r="AS60" s="61">
        <v>1518531.2185559859</v>
      </c>
      <c r="AT60" t="s">
        <v>336</v>
      </c>
      <c r="AU60" t="s">
        <v>433</v>
      </c>
      <c r="AV60" t="s">
        <v>425</v>
      </c>
      <c r="AW60" t="s">
        <v>27</v>
      </c>
      <c r="AX60">
        <v>111.133</v>
      </c>
      <c r="AY60">
        <v>0.99819678194932504</v>
      </c>
      <c r="AZ60">
        <v>110.9326029683743</v>
      </c>
      <c r="BA60">
        <v>682.07</v>
      </c>
      <c r="BB60">
        <v>1</v>
      </c>
      <c r="BC60">
        <v>75.663800506639092</v>
      </c>
      <c r="BD60">
        <v>0.99739999999999995</v>
      </c>
      <c r="BE60" s="63">
        <v>75.466999999999999</v>
      </c>
      <c r="BF60">
        <v>8.9176000000000002</v>
      </c>
      <c r="BG60">
        <v>1</v>
      </c>
      <c r="BH60">
        <v>6071.4594890626977</v>
      </c>
      <c r="BI60">
        <v>1.0108695652173909</v>
      </c>
      <c r="BJ60" s="63">
        <v>6137.4535999999998</v>
      </c>
      <c r="BK60" s="61">
        <v>1518531.2185559859</v>
      </c>
    </row>
    <row r="61" spans="1:63" x14ac:dyDescent="0.25">
      <c r="A61">
        <v>119</v>
      </c>
      <c r="B61" t="s">
        <v>133</v>
      </c>
      <c r="C61">
        <v>2016</v>
      </c>
      <c r="D61">
        <v>10</v>
      </c>
      <c r="E61" t="s">
        <v>100</v>
      </c>
      <c r="F61" t="s">
        <v>426</v>
      </c>
      <c r="G61" t="s">
        <v>427</v>
      </c>
      <c r="H61" t="s">
        <v>84</v>
      </c>
      <c r="I61" t="s">
        <v>430</v>
      </c>
      <c r="J61" t="s">
        <v>59</v>
      </c>
      <c r="K61">
        <v>-393.42108459999997</v>
      </c>
      <c r="L61" t="s">
        <v>59</v>
      </c>
      <c r="M61" t="s">
        <v>383</v>
      </c>
      <c r="N61">
        <v>1.0130674619995901</v>
      </c>
      <c r="O61">
        <v>398.56209967284798</v>
      </c>
      <c r="P61" t="s">
        <v>440</v>
      </c>
      <c r="Q61">
        <v>2</v>
      </c>
      <c r="R61">
        <v>31.615939999999998</v>
      </c>
      <c r="S61">
        <v>6.3E-2</v>
      </c>
      <c r="T61">
        <v>1.9918042</v>
      </c>
      <c r="U61">
        <v>0.98099999999999998</v>
      </c>
      <c r="V61">
        <v>1953.96</v>
      </c>
      <c r="W61">
        <v>2</v>
      </c>
      <c r="X61">
        <v>2.5589060200000003E-4</v>
      </c>
      <c r="Y61">
        <v>1</v>
      </c>
      <c r="Z61" s="61">
        <v>398.56209999999999</v>
      </c>
      <c r="AA61" t="s">
        <v>336</v>
      </c>
      <c r="AB61" t="s">
        <v>433</v>
      </c>
      <c r="AC61" t="s">
        <v>425</v>
      </c>
      <c r="AD61" t="s">
        <v>27</v>
      </c>
      <c r="AE61">
        <v>111.133</v>
      </c>
      <c r="AF61">
        <v>0.99819678194932504</v>
      </c>
      <c r="AG61">
        <v>110.9326029683743</v>
      </c>
      <c r="AH61">
        <v>682.07</v>
      </c>
      <c r="AI61">
        <v>1</v>
      </c>
      <c r="AJ61">
        <v>75.663800506639092</v>
      </c>
      <c r="AK61">
        <v>0.99739999999999995</v>
      </c>
      <c r="AL61" s="63">
        <v>75.466999999999999</v>
      </c>
      <c r="AM61">
        <v>8.9176000000000002</v>
      </c>
      <c r="AN61">
        <v>8.9015196227113016</v>
      </c>
      <c r="AO61">
        <v>1</v>
      </c>
      <c r="AP61">
        <v>6071.4594890626977</v>
      </c>
      <c r="AQ61">
        <v>1.0108695652173909</v>
      </c>
      <c r="AR61">
        <v>6137.4535999999998</v>
      </c>
      <c r="AS61" s="61">
        <v>2446156.39546856</v>
      </c>
      <c r="AT61" t="s">
        <v>336</v>
      </c>
      <c r="AU61" t="s">
        <v>433</v>
      </c>
      <c r="AV61" t="s">
        <v>425</v>
      </c>
      <c r="AW61" t="s">
        <v>27</v>
      </c>
      <c r="AX61">
        <v>111.133</v>
      </c>
      <c r="AY61">
        <v>0.99819678194932504</v>
      </c>
      <c r="AZ61">
        <v>110.9326029683743</v>
      </c>
      <c r="BA61">
        <v>682.07</v>
      </c>
      <c r="BB61">
        <v>1</v>
      </c>
      <c r="BC61">
        <v>75.663800506639092</v>
      </c>
      <c r="BD61">
        <v>0.99739999999999995</v>
      </c>
      <c r="BE61" s="63">
        <v>75.466999999999999</v>
      </c>
      <c r="BF61">
        <v>8.9176000000000002</v>
      </c>
      <c r="BG61">
        <v>1</v>
      </c>
      <c r="BH61">
        <v>6071.4594890626977</v>
      </c>
      <c r="BI61">
        <v>1.0108695652173909</v>
      </c>
      <c r="BJ61" s="63">
        <v>6137.4535999999998</v>
      </c>
      <c r="BK61" s="61">
        <v>2446156.39546856</v>
      </c>
    </row>
    <row r="62" spans="1:63" x14ac:dyDescent="0.25">
      <c r="A62">
        <v>129</v>
      </c>
      <c r="B62" t="s">
        <v>130</v>
      </c>
      <c r="C62">
        <v>2016</v>
      </c>
      <c r="D62">
        <v>11</v>
      </c>
      <c r="E62" t="s">
        <v>100</v>
      </c>
      <c r="F62" t="s">
        <v>426</v>
      </c>
      <c r="G62" t="s">
        <v>427</v>
      </c>
      <c r="H62" t="s">
        <v>84</v>
      </c>
      <c r="I62" t="s">
        <v>428</v>
      </c>
      <c r="J62" t="s">
        <v>381</v>
      </c>
      <c r="K62">
        <v>-2252.18045975</v>
      </c>
      <c r="L62" t="s">
        <v>381</v>
      </c>
      <c r="M62" t="s">
        <v>382</v>
      </c>
      <c r="N62">
        <v>1.486442099502E-2</v>
      </c>
      <c r="O62">
        <v>33.4773585104817</v>
      </c>
      <c r="P62" t="s">
        <v>440</v>
      </c>
      <c r="Q62">
        <v>2</v>
      </c>
      <c r="R62">
        <v>31.615939999999998</v>
      </c>
      <c r="S62">
        <v>0.111</v>
      </c>
      <c r="T62">
        <v>3.5093692999999999</v>
      </c>
      <c r="U62">
        <v>1.9E-2</v>
      </c>
      <c r="V62">
        <v>66.677999999999997</v>
      </c>
      <c r="W62">
        <v>2</v>
      </c>
      <c r="X62">
        <v>7.4987252169999999E-3</v>
      </c>
      <c r="Y62">
        <v>1</v>
      </c>
      <c r="Z62" s="61">
        <v>33.477359</v>
      </c>
      <c r="AA62" t="s">
        <v>336</v>
      </c>
      <c r="AB62" t="s">
        <v>433</v>
      </c>
      <c r="AC62" t="s">
        <v>425</v>
      </c>
      <c r="AD62" t="s">
        <v>81</v>
      </c>
      <c r="AE62">
        <v>111.133</v>
      </c>
      <c r="AF62">
        <v>0.99819678194932504</v>
      </c>
      <c r="AG62">
        <v>110.9326029683743</v>
      </c>
      <c r="AH62">
        <v>682.07</v>
      </c>
      <c r="AI62">
        <v>1</v>
      </c>
      <c r="AJ62">
        <v>75.663800506639092</v>
      </c>
      <c r="AK62">
        <v>0.92979999999999996</v>
      </c>
      <c r="AL62" s="63">
        <v>70.352000000000004</v>
      </c>
      <c r="AM62">
        <v>8.9176000000000002</v>
      </c>
      <c r="AN62">
        <v>8.9015196227113016</v>
      </c>
      <c r="AO62">
        <v>1</v>
      </c>
      <c r="AP62">
        <v>6071.4594890626977</v>
      </c>
      <c r="AQ62">
        <v>1.0375922509225091</v>
      </c>
      <c r="AR62">
        <v>6299.6993000000002</v>
      </c>
      <c r="AS62" s="61">
        <v>210897.29505814871</v>
      </c>
      <c r="AT62" t="s">
        <v>336</v>
      </c>
      <c r="AU62" t="s">
        <v>433</v>
      </c>
      <c r="AV62" t="s">
        <v>425</v>
      </c>
      <c r="AW62" t="s">
        <v>81</v>
      </c>
      <c r="AX62">
        <v>111.133</v>
      </c>
      <c r="AY62">
        <v>0.99819678194932504</v>
      </c>
      <c r="AZ62">
        <v>110.9326029683743</v>
      </c>
      <c r="BA62">
        <v>682.07</v>
      </c>
      <c r="BB62">
        <v>1</v>
      </c>
      <c r="BC62">
        <v>75.663800506639092</v>
      </c>
      <c r="BD62">
        <v>0.92979999999999996</v>
      </c>
      <c r="BE62" s="63">
        <v>70.352000000000004</v>
      </c>
      <c r="BF62">
        <v>8.9176000000000002</v>
      </c>
      <c r="BG62">
        <v>1</v>
      </c>
      <c r="BH62">
        <v>6071.4594890626977</v>
      </c>
      <c r="BI62">
        <v>1.0375922509225091</v>
      </c>
      <c r="BJ62" s="63">
        <v>6299.6993000000002</v>
      </c>
      <c r="BK62" s="61">
        <v>210897.29505814871</v>
      </c>
    </row>
    <row r="63" spans="1:63" x14ac:dyDescent="0.25">
      <c r="A63">
        <v>129</v>
      </c>
      <c r="B63" t="s">
        <v>130</v>
      </c>
      <c r="C63">
        <v>2016</v>
      </c>
      <c r="D63">
        <v>11</v>
      </c>
      <c r="E63" t="s">
        <v>100</v>
      </c>
      <c r="F63" t="s">
        <v>426</v>
      </c>
      <c r="G63" t="s">
        <v>427</v>
      </c>
      <c r="H63" t="s">
        <v>84</v>
      </c>
      <c r="I63" t="s">
        <v>429</v>
      </c>
      <c r="J63" t="s">
        <v>87</v>
      </c>
      <c r="K63">
        <v>-625.05634615999998</v>
      </c>
      <c r="L63" t="s">
        <v>87</v>
      </c>
      <c r="M63" t="s">
        <v>382</v>
      </c>
      <c r="N63">
        <v>2.68183260348E-2</v>
      </c>
      <c r="O63">
        <v>16.762964881439689</v>
      </c>
      <c r="P63" t="s">
        <v>440</v>
      </c>
      <c r="Q63">
        <v>2</v>
      </c>
      <c r="R63">
        <v>31.615939999999998</v>
      </c>
      <c r="S63">
        <v>0.111</v>
      </c>
      <c r="T63">
        <v>3.5093692999999999</v>
      </c>
      <c r="U63">
        <v>1.9E-2</v>
      </c>
      <c r="V63">
        <v>66.677999999999997</v>
      </c>
      <c r="W63">
        <v>2</v>
      </c>
      <c r="X63">
        <v>7.4987252169999999E-3</v>
      </c>
      <c r="Y63">
        <v>1</v>
      </c>
      <c r="Z63" s="61">
        <v>16.762965000000001</v>
      </c>
      <c r="AA63" t="s">
        <v>336</v>
      </c>
      <c r="AB63" t="s">
        <v>433</v>
      </c>
      <c r="AC63" t="s">
        <v>425</v>
      </c>
      <c r="AD63" t="s">
        <v>81</v>
      </c>
      <c r="AE63">
        <v>111.133</v>
      </c>
      <c r="AF63">
        <v>0.99819678194932504</v>
      </c>
      <c r="AG63">
        <v>110.9326029683743</v>
      </c>
      <c r="AH63">
        <v>682.07</v>
      </c>
      <c r="AI63">
        <v>1</v>
      </c>
      <c r="AJ63">
        <v>75.663800506639092</v>
      </c>
      <c r="AK63">
        <v>0.92979999999999996</v>
      </c>
      <c r="AL63" s="63">
        <v>70.352000000000004</v>
      </c>
      <c r="AM63">
        <v>8.9176000000000002</v>
      </c>
      <c r="AN63">
        <v>8.9015196227113016</v>
      </c>
      <c r="AO63">
        <v>1</v>
      </c>
      <c r="AP63">
        <v>6071.4594890626977</v>
      </c>
      <c r="AQ63">
        <v>1.0375922509225091</v>
      </c>
      <c r="AR63">
        <v>6299.6993000000002</v>
      </c>
      <c r="AS63" s="61">
        <v>105601.63887642451</v>
      </c>
      <c r="AT63" t="s">
        <v>336</v>
      </c>
      <c r="AU63" t="s">
        <v>433</v>
      </c>
      <c r="AV63" t="s">
        <v>425</v>
      </c>
      <c r="AW63" t="s">
        <v>81</v>
      </c>
      <c r="AX63">
        <v>111.133</v>
      </c>
      <c r="AY63">
        <v>0.99819678194932504</v>
      </c>
      <c r="AZ63">
        <v>110.9326029683743</v>
      </c>
      <c r="BA63">
        <v>682.07</v>
      </c>
      <c r="BB63">
        <v>1</v>
      </c>
      <c r="BC63">
        <v>75.663800506639092</v>
      </c>
      <c r="BD63">
        <v>0.92979999999999996</v>
      </c>
      <c r="BE63" s="63">
        <v>70.352000000000004</v>
      </c>
      <c r="BF63">
        <v>8.9176000000000002</v>
      </c>
      <c r="BG63">
        <v>1</v>
      </c>
      <c r="BH63">
        <v>6071.4594890626977</v>
      </c>
      <c r="BI63">
        <v>1.0375922509225091</v>
      </c>
      <c r="BJ63" s="63">
        <v>6299.6993000000002</v>
      </c>
      <c r="BK63" s="61">
        <v>105601.63887642451</v>
      </c>
    </row>
    <row r="64" spans="1:63" x14ac:dyDescent="0.25">
      <c r="A64">
        <v>129</v>
      </c>
      <c r="B64" t="s">
        <v>130</v>
      </c>
      <c r="C64">
        <v>2016</v>
      </c>
      <c r="D64">
        <v>11</v>
      </c>
      <c r="E64" t="s">
        <v>100</v>
      </c>
      <c r="F64" t="s">
        <v>426</v>
      </c>
      <c r="G64" t="s">
        <v>427</v>
      </c>
      <c r="H64" t="s">
        <v>84</v>
      </c>
      <c r="I64" t="s">
        <v>430</v>
      </c>
      <c r="J64" t="s">
        <v>59</v>
      </c>
      <c r="K64">
        <v>-873.82877030999998</v>
      </c>
      <c r="L64" t="s">
        <v>59</v>
      </c>
      <c r="M64" t="s">
        <v>382</v>
      </c>
      <c r="N64">
        <v>2.6402538002839999E-2</v>
      </c>
      <c r="O64">
        <v>23.071297316084721</v>
      </c>
      <c r="P64" t="s">
        <v>440</v>
      </c>
      <c r="Q64">
        <v>2</v>
      </c>
      <c r="R64">
        <v>31.615939999999998</v>
      </c>
      <c r="S64">
        <v>0.111</v>
      </c>
      <c r="T64">
        <v>3.5093692999999999</v>
      </c>
      <c r="U64">
        <v>1.9E-2</v>
      </c>
      <c r="V64">
        <v>66.677999999999997</v>
      </c>
      <c r="W64">
        <v>2</v>
      </c>
      <c r="X64">
        <v>7.4987252169999999E-3</v>
      </c>
      <c r="Y64">
        <v>1</v>
      </c>
      <c r="Z64" s="61">
        <v>23.071297000000001</v>
      </c>
      <c r="AA64" t="s">
        <v>336</v>
      </c>
      <c r="AB64" t="s">
        <v>433</v>
      </c>
      <c r="AC64" t="s">
        <v>425</v>
      </c>
      <c r="AD64" t="s">
        <v>81</v>
      </c>
      <c r="AE64">
        <v>111.133</v>
      </c>
      <c r="AF64">
        <v>0.99819678194932504</v>
      </c>
      <c r="AG64">
        <v>110.9326029683743</v>
      </c>
      <c r="AH64">
        <v>682.07</v>
      </c>
      <c r="AI64">
        <v>1</v>
      </c>
      <c r="AJ64">
        <v>75.663800506639092</v>
      </c>
      <c r="AK64">
        <v>0.92979999999999996</v>
      </c>
      <c r="AL64" s="63">
        <v>70.352000000000004</v>
      </c>
      <c r="AM64">
        <v>8.9176000000000002</v>
      </c>
      <c r="AN64">
        <v>8.9015196227113016</v>
      </c>
      <c r="AO64">
        <v>1</v>
      </c>
      <c r="AP64">
        <v>6071.4594890626977</v>
      </c>
      <c r="AQ64">
        <v>1.0375922509225091</v>
      </c>
      <c r="AR64">
        <v>6299.6993000000002</v>
      </c>
      <c r="AS64" s="61">
        <v>145342.23356099211</v>
      </c>
      <c r="AT64" t="s">
        <v>336</v>
      </c>
      <c r="AU64" t="s">
        <v>433</v>
      </c>
      <c r="AV64" t="s">
        <v>425</v>
      </c>
      <c r="AW64" t="s">
        <v>81</v>
      </c>
      <c r="AX64">
        <v>111.133</v>
      </c>
      <c r="AY64">
        <v>0.99819678194932504</v>
      </c>
      <c r="AZ64">
        <v>110.9326029683743</v>
      </c>
      <c r="BA64">
        <v>682.07</v>
      </c>
      <c r="BB64">
        <v>1</v>
      </c>
      <c r="BC64">
        <v>75.663800506639092</v>
      </c>
      <c r="BD64">
        <v>0.92979999999999996</v>
      </c>
      <c r="BE64" s="63">
        <v>70.352000000000004</v>
      </c>
      <c r="BF64">
        <v>8.9176000000000002</v>
      </c>
      <c r="BG64">
        <v>1</v>
      </c>
      <c r="BH64">
        <v>6071.4594890626977</v>
      </c>
      <c r="BI64">
        <v>1.0375922509225091</v>
      </c>
      <c r="BJ64" s="63">
        <v>6299.6993000000002</v>
      </c>
      <c r="BK64" s="61">
        <v>145342.23356099211</v>
      </c>
    </row>
    <row r="65" spans="1:63" x14ac:dyDescent="0.25">
      <c r="A65">
        <v>131</v>
      </c>
      <c r="B65" t="s">
        <v>130</v>
      </c>
      <c r="C65">
        <v>2016</v>
      </c>
      <c r="D65">
        <v>11</v>
      </c>
      <c r="E65" t="s">
        <v>100</v>
      </c>
      <c r="F65" t="s">
        <v>426</v>
      </c>
      <c r="G65" t="s">
        <v>427</v>
      </c>
      <c r="H65" t="s">
        <v>84</v>
      </c>
      <c r="I65" t="s">
        <v>428</v>
      </c>
      <c r="J65" t="s">
        <v>381</v>
      </c>
      <c r="K65">
        <v>-2252.18045975</v>
      </c>
      <c r="L65" t="s">
        <v>381</v>
      </c>
      <c r="M65" t="s">
        <v>383</v>
      </c>
      <c r="N65">
        <v>1.0246055790040201</v>
      </c>
      <c r="O65">
        <v>2307.5966639836888</v>
      </c>
      <c r="P65" t="s">
        <v>440</v>
      </c>
      <c r="Q65">
        <v>2</v>
      </c>
      <c r="R65">
        <v>31.615939999999998</v>
      </c>
      <c r="S65">
        <v>0.111</v>
      </c>
      <c r="T65">
        <v>3.5093692999999999</v>
      </c>
      <c r="U65">
        <v>0.98099999999999998</v>
      </c>
      <c r="V65">
        <v>3442.6909999999998</v>
      </c>
      <c r="W65">
        <v>2</v>
      </c>
      <c r="X65">
        <v>1.4523522399999999E-4</v>
      </c>
      <c r="Y65">
        <v>1</v>
      </c>
      <c r="Z65" s="61">
        <v>2307.5966640000001</v>
      </c>
      <c r="AA65" t="s">
        <v>336</v>
      </c>
      <c r="AB65" t="s">
        <v>433</v>
      </c>
      <c r="AC65" t="s">
        <v>425</v>
      </c>
      <c r="AD65" t="s">
        <v>27</v>
      </c>
      <c r="AE65">
        <v>111.133</v>
      </c>
      <c r="AF65">
        <v>0.99819678194932504</v>
      </c>
      <c r="AG65">
        <v>110.9326029683743</v>
      </c>
      <c r="AH65">
        <v>682.07</v>
      </c>
      <c r="AI65">
        <v>1</v>
      </c>
      <c r="AJ65">
        <v>75.663800506639092</v>
      </c>
      <c r="AK65">
        <v>0.99739999999999995</v>
      </c>
      <c r="AL65" s="63">
        <v>75.466999999999999</v>
      </c>
      <c r="AM65">
        <v>8.9176000000000002</v>
      </c>
      <c r="AN65">
        <v>8.9015196227113016</v>
      </c>
      <c r="AO65">
        <v>1</v>
      </c>
      <c r="AP65">
        <v>6071.4594890626977</v>
      </c>
      <c r="AQ65">
        <v>1.0108695652173909</v>
      </c>
      <c r="AR65">
        <v>6137.4535999999998</v>
      </c>
      <c r="AS65" s="61">
        <v>14162767.452814789</v>
      </c>
      <c r="AT65" t="s">
        <v>336</v>
      </c>
      <c r="AU65" t="s">
        <v>433</v>
      </c>
      <c r="AV65" t="s">
        <v>425</v>
      </c>
      <c r="AW65" t="s">
        <v>27</v>
      </c>
      <c r="AX65">
        <v>111.133</v>
      </c>
      <c r="AY65">
        <v>0.99819678194932504</v>
      </c>
      <c r="AZ65">
        <v>110.9326029683743</v>
      </c>
      <c r="BA65">
        <v>682.07</v>
      </c>
      <c r="BB65">
        <v>1</v>
      </c>
      <c r="BC65">
        <v>75.663800506639092</v>
      </c>
      <c r="BD65">
        <v>0.99739999999999995</v>
      </c>
      <c r="BE65" s="63">
        <v>75.466999999999999</v>
      </c>
      <c r="BF65">
        <v>8.9176000000000002</v>
      </c>
      <c r="BG65">
        <v>1</v>
      </c>
      <c r="BH65">
        <v>6071.4594890626977</v>
      </c>
      <c r="BI65">
        <v>1.0108695652173909</v>
      </c>
      <c r="BJ65" s="63">
        <v>6137.4535999999998</v>
      </c>
      <c r="BK65" s="61">
        <v>14162767.452814789</v>
      </c>
    </row>
    <row r="66" spans="1:63" x14ac:dyDescent="0.25">
      <c r="A66">
        <v>131</v>
      </c>
      <c r="B66" t="s">
        <v>130</v>
      </c>
      <c r="C66">
        <v>2016</v>
      </c>
      <c r="D66">
        <v>11</v>
      </c>
      <c r="E66" t="s">
        <v>100</v>
      </c>
      <c r="F66" t="s">
        <v>426</v>
      </c>
      <c r="G66" t="s">
        <v>427</v>
      </c>
      <c r="H66" t="s">
        <v>84</v>
      </c>
      <c r="I66" t="s">
        <v>429</v>
      </c>
      <c r="J66" t="s">
        <v>87</v>
      </c>
      <c r="K66">
        <v>-625.05634615999998</v>
      </c>
      <c r="L66" t="s">
        <v>87</v>
      </c>
      <c r="M66" t="s">
        <v>383</v>
      </c>
      <c r="N66">
        <v>1.0126516740336</v>
      </c>
      <c r="O66">
        <v>632.96435530424935</v>
      </c>
      <c r="P66" t="s">
        <v>440</v>
      </c>
      <c r="Q66">
        <v>2</v>
      </c>
      <c r="R66">
        <v>31.615939999999998</v>
      </c>
      <c r="S66">
        <v>0.111</v>
      </c>
      <c r="T66">
        <v>3.5093692999999999</v>
      </c>
      <c r="U66">
        <v>0.98099999999999998</v>
      </c>
      <c r="V66">
        <v>3442.6909999999998</v>
      </c>
      <c r="W66">
        <v>2</v>
      </c>
      <c r="X66">
        <v>1.4523522399999999E-4</v>
      </c>
      <c r="Y66">
        <v>1</v>
      </c>
      <c r="Z66" s="61">
        <v>632.96435499999995</v>
      </c>
      <c r="AA66" t="s">
        <v>336</v>
      </c>
      <c r="AB66" t="s">
        <v>433</v>
      </c>
      <c r="AC66" t="s">
        <v>425</v>
      </c>
      <c r="AD66" t="s">
        <v>27</v>
      </c>
      <c r="AE66">
        <v>111.133</v>
      </c>
      <c r="AF66">
        <v>0.99819678194932504</v>
      </c>
      <c r="AG66">
        <v>110.9326029683743</v>
      </c>
      <c r="AH66">
        <v>682.07</v>
      </c>
      <c r="AI66">
        <v>1</v>
      </c>
      <c r="AJ66">
        <v>75.663800506639092</v>
      </c>
      <c r="AK66">
        <v>0.99739999999999995</v>
      </c>
      <c r="AL66" s="63">
        <v>75.466999999999999</v>
      </c>
      <c r="AM66">
        <v>8.9176000000000002</v>
      </c>
      <c r="AN66">
        <v>8.9015196227113016</v>
      </c>
      <c r="AO66">
        <v>1</v>
      </c>
      <c r="AP66">
        <v>6071.4594890626977</v>
      </c>
      <c r="AQ66">
        <v>1.0108695652173909</v>
      </c>
      <c r="AR66">
        <v>6137.4535999999998</v>
      </c>
      <c r="AS66" s="61">
        <v>3884789.3592664278</v>
      </c>
      <c r="AT66" t="s">
        <v>336</v>
      </c>
      <c r="AU66" t="s">
        <v>433</v>
      </c>
      <c r="AV66" t="s">
        <v>425</v>
      </c>
      <c r="AW66" t="s">
        <v>27</v>
      </c>
      <c r="AX66">
        <v>111.133</v>
      </c>
      <c r="AY66">
        <v>0.99819678194932504</v>
      </c>
      <c r="AZ66">
        <v>110.9326029683743</v>
      </c>
      <c r="BA66">
        <v>682.07</v>
      </c>
      <c r="BB66">
        <v>1</v>
      </c>
      <c r="BC66">
        <v>75.663800506639092</v>
      </c>
      <c r="BD66">
        <v>0.99739999999999995</v>
      </c>
      <c r="BE66" s="63">
        <v>75.466999999999999</v>
      </c>
      <c r="BF66">
        <v>8.9176000000000002</v>
      </c>
      <c r="BG66">
        <v>1</v>
      </c>
      <c r="BH66">
        <v>6071.4594890626977</v>
      </c>
      <c r="BI66">
        <v>1.0108695652173909</v>
      </c>
      <c r="BJ66" s="63">
        <v>6137.4535999999998</v>
      </c>
      <c r="BK66" s="61">
        <v>3884789.3592664278</v>
      </c>
    </row>
    <row r="67" spans="1:63" x14ac:dyDescent="0.25">
      <c r="A67">
        <v>131</v>
      </c>
      <c r="B67" t="s">
        <v>130</v>
      </c>
      <c r="C67">
        <v>2016</v>
      </c>
      <c r="D67">
        <v>11</v>
      </c>
      <c r="E67" t="s">
        <v>100</v>
      </c>
      <c r="F67" t="s">
        <v>426</v>
      </c>
      <c r="G67" t="s">
        <v>427</v>
      </c>
      <c r="H67" t="s">
        <v>84</v>
      </c>
      <c r="I67" t="s">
        <v>430</v>
      </c>
      <c r="J67" t="s">
        <v>59</v>
      </c>
      <c r="K67">
        <v>-873.82877030999998</v>
      </c>
      <c r="L67" t="s">
        <v>59</v>
      </c>
      <c r="M67" t="s">
        <v>383</v>
      </c>
      <c r="N67">
        <v>1.01306746198132</v>
      </c>
      <c r="O67">
        <v>885.24749454420953</v>
      </c>
      <c r="P67" t="s">
        <v>440</v>
      </c>
      <c r="Q67">
        <v>2</v>
      </c>
      <c r="R67">
        <v>31.615939999999998</v>
      </c>
      <c r="S67">
        <v>0.111</v>
      </c>
      <c r="T67">
        <v>3.5093692999999999</v>
      </c>
      <c r="U67">
        <v>0.98099999999999998</v>
      </c>
      <c r="V67">
        <v>3442.6909999999998</v>
      </c>
      <c r="W67">
        <v>2</v>
      </c>
      <c r="X67">
        <v>1.4523522399999999E-4</v>
      </c>
      <c r="Y67">
        <v>1</v>
      </c>
      <c r="Z67" s="61">
        <v>885.24749499999996</v>
      </c>
      <c r="AA67" t="s">
        <v>336</v>
      </c>
      <c r="AB67" t="s">
        <v>433</v>
      </c>
      <c r="AC67" t="s">
        <v>425</v>
      </c>
      <c r="AD67" t="s">
        <v>27</v>
      </c>
      <c r="AE67">
        <v>111.133</v>
      </c>
      <c r="AF67">
        <v>0.99819678194932504</v>
      </c>
      <c r="AG67">
        <v>110.9326029683743</v>
      </c>
      <c r="AH67">
        <v>682.07</v>
      </c>
      <c r="AI67">
        <v>1</v>
      </c>
      <c r="AJ67">
        <v>75.663800506639092</v>
      </c>
      <c r="AK67">
        <v>0.99739999999999995</v>
      </c>
      <c r="AL67" s="63">
        <v>75.466999999999999</v>
      </c>
      <c r="AM67">
        <v>8.9176000000000002</v>
      </c>
      <c r="AN67">
        <v>8.9015196227113016</v>
      </c>
      <c r="AO67">
        <v>1</v>
      </c>
      <c r="AP67">
        <v>6071.4594890626977</v>
      </c>
      <c r="AQ67">
        <v>1.0108695652173909</v>
      </c>
      <c r="AR67">
        <v>6137.4535999999998</v>
      </c>
      <c r="AS67" s="61">
        <v>5433165.425078732</v>
      </c>
      <c r="AT67" t="s">
        <v>336</v>
      </c>
      <c r="AU67" t="s">
        <v>433</v>
      </c>
      <c r="AV67" t="s">
        <v>425</v>
      </c>
      <c r="AW67" t="s">
        <v>27</v>
      </c>
      <c r="AX67">
        <v>111.133</v>
      </c>
      <c r="AY67">
        <v>0.99819678194932504</v>
      </c>
      <c r="AZ67">
        <v>110.9326029683743</v>
      </c>
      <c r="BA67">
        <v>682.07</v>
      </c>
      <c r="BB67">
        <v>1</v>
      </c>
      <c r="BC67">
        <v>75.663800506639092</v>
      </c>
      <c r="BD67">
        <v>0.99739999999999995</v>
      </c>
      <c r="BE67" s="63">
        <v>75.466999999999999</v>
      </c>
      <c r="BF67">
        <v>8.9176000000000002</v>
      </c>
      <c r="BG67">
        <v>1</v>
      </c>
      <c r="BH67">
        <v>6071.4594890626977</v>
      </c>
      <c r="BI67">
        <v>1.0108695652173909</v>
      </c>
      <c r="BJ67" s="63">
        <v>6137.4535999999998</v>
      </c>
      <c r="BK67" s="61">
        <v>5433165.425078732</v>
      </c>
    </row>
    <row r="68" spans="1:63" x14ac:dyDescent="0.25">
      <c r="A68">
        <v>141</v>
      </c>
      <c r="B68" t="s">
        <v>132</v>
      </c>
      <c r="C68">
        <v>2016</v>
      </c>
      <c r="D68">
        <v>12</v>
      </c>
      <c r="E68" t="s">
        <v>100</v>
      </c>
      <c r="F68" t="s">
        <v>426</v>
      </c>
      <c r="G68" t="s">
        <v>427</v>
      </c>
      <c r="H68" t="s">
        <v>84</v>
      </c>
      <c r="I68" t="s">
        <v>428</v>
      </c>
      <c r="J68" t="s">
        <v>381</v>
      </c>
      <c r="K68">
        <v>-2160.3600798299999</v>
      </c>
      <c r="L68" t="s">
        <v>381</v>
      </c>
      <c r="M68" t="s">
        <v>382</v>
      </c>
      <c r="N68">
        <v>1.486442223598E-2</v>
      </c>
      <c r="O68">
        <v>32.112504408348578</v>
      </c>
      <c r="P68" t="s">
        <v>440</v>
      </c>
      <c r="Q68">
        <v>2</v>
      </c>
      <c r="R68">
        <v>31.615939999999998</v>
      </c>
      <c r="S68">
        <v>0.17</v>
      </c>
      <c r="T68">
        <v>5.3747097999999998</v>
      </c>
      <c r="U68">
        <v>1.9E-2</v>
      </c>
      <c r="V68">
        <v>102.119</v>
      </c>
      <c r="W68">
        <v>2</v>
      </c>
      <c r="X68">
        <v>4.8962484940000004E-3</v>
      </c>
      <c r="Y68">
        <v>1</v>
      </c>
      <c r="Z68" s="61">
        <v>32.112504000000001</v>
      </c>
      <c r="AA68" t="s">
        <v>336</v>
      </c>
      <c r="AB68" t="s">
        <v>433</v>
      </c>
      <c r="AC68" t="s">
        <v>425</v>
      </c>
      <c r="AD68" t="s">
        <v>81</v>
      </c>
      <c r="AE68">
        <v>111.133</v>
      </c>
      <c r="AF68">
        <v>0.99819678194932504</v>
      </c>
      <c r="AG68">
        <v>110.9326029683743</v>
      </c>
      <c r="AH68">
        <v>682.07</v>
      </c>
      <c r="AI68">
        <v>1</v>
      </c>
      <c r="AJ68">
        <v>75.663800506639092</v>
      </c>
      <c r="AK68">
        <v>0.92979999999999996</v>
      </c>
      <c r="AL68" s="63">
        <v>70.352000000000004</v>
      </c>
      <c r="AM68">
        <v>8.9176000000000002</v>
      </c>
      <c r="AN68">
        <v>8.9015196227113016</v>
      </c>
      <c r="AO68">
        <v>1</v>
      </c>
      <c r="AP68">
        <v>6071.4594890626977</v>
      </c>
      <c r="AQ68">
        <v>1.0375922509225091</v>
      </c>
      <c r="AR68">
        <v>6299.6993000000002</v>
      </c>
      <c r="AS68" s="61">
        <v>202299.11897004719</v>
      </c>
      <c r="AT68" t="s">
        <v>336</v>
      </c>
      <c r="AU68" t="s">
        <v>433</v>
      </c>
      <c r="AV68" t="s">
        <v>425</v>
      </c>
      <c r="AW68" t="s">
        <v>81</v>
      </c>
      <c r="AX68">
        <v>111.133</v>
      </c>
      <c r="AY68">
        <v>0.99819678194932504</v>
      </c>
      <c r="AZ68">
        <v>110.9326029683743</v>
      </c>
      <c r="BA68">
        <v>682.07</v>
      </c>
      <c r="BB68">
        <v>1</v>
      </c>
      <c r="BC68">
        <v>75.663800506639092</v>
      </c>
      <c r="BD68">
        <v>0.92979999999999996</v>
      </c>
      <c r="BE68" s="63">
        <v>70.352000000000004</v>
      </c>
      <c r="BF68">
        <v>8.9176000000000002</v>
      </c>
      <c r="BG68">
        <v>1</v>
      </c>
      <c r="BH68">
        <v>6071.4594890626977</v>
      </c>
      <c r="BI68">
        <v>1.0375922509225091</v>
      </c>
      <c r="BJ68" s="63">
        <v>6299.6993000000002</v>
      </c>
      <c r="BK68" s="61">
        <v>202299.11897004719</v>
      </c>
    </row>
    <row r="69" spans="1:63" x14ac:dyDescent="0.25">
      <c r="A69">
        <v>141</v>
      </c>
      <c r="B69" t="s">
        <v>132</v>
      </c>
      <c r="C69">
        <v>2016</v>
      </c>
      <c r="D69">
        <v>12</v>
      </c>
      <c r="E69" t="s">
        <v>100</v>
      </c>
      <c r="F69" t="s">
        <v>426</v>
      </c>
      <c r="G69" t="s">
        <v>427</v>
      </c>
      <c r="H69" t="s">
        <v>84</v>
      </c>
      <c r="I69" t="s">
        <v>429</v>
      </c>
      <c r="J69" t="s">
        <v>87</v>
      </c>
      <c r="K69">
        <v>-544.59085073999995</v>
      </c>
      <c r="L69" t="s">
        <v>87</v>
      </c>
      <c r="M69" t="s">
        <v>382</v>
      </c>
      <c r="N69">
        <v>2.6818289120749999E-2</v>
      </c>
      <c r="O69">
        <v>14.60499488766053</v>
      </c>
      <c r="P69" t="s">
        <v>440</v>
      </c>
      <c r="Q69">
        <v>2</v>
      </c>
      <c r="R69">
        <v>31.615939999999998</v>
      </c>
      <c r="S69">
        <v>0.17</v>
      </c>
      <c r="T69">
        <v>5.3747097999999998</v>
      </c>
      <c r="U69">
        <v>1.9E-2</v>
      </c>
      <c r="V69">
        <v>102.119</v>
      </c>
      <c r="W69">
        <v>2</v>
      </c>
      <c r="X69">
        <v>4.8962484940000004E-3</v>
      </c>
      <c r="Y69">
        <v>1</v>
      </c>
      <c r="Z69" s="61">
        <v>14.604995000000001</v>
      </c>
      <c r="AA69" t="s">
        <v>336</v>
      </c>
      <c r="AB69" t="s">
        <v>433</v>
      </c>
      <c r="AC69" t="s">
        <v>425</v>
      </c>
      <c r="AD69" t="s">
        <v>81</v>
      </c>
      <c r="AE69">
        <v>111.133</v>
      </c>
      <c r="AF69">
        <v>0.99819678194932504</v>
      </c>
      <c r="AG69">
        <v>110.9326029683743</v>
      </c>
      <c r="AH69">
        <v>682.07</v>
      </c>
      <c r="AI69">
        <v>1</v>
      </c>
      <c r="AJ69">
        <v>75.663800506639092</v>
      </c>
      <c r="AK69">
        <v>0.92979999999999996</v>
      </c>
      <c r="AL69" s="63">
        <v>70.352000000000004</v>
      </c>
      <c r="AM69">
        <v>8.9176000000000002</v>
      </c>
      <c r="AN69">
        <v>8.9015196227113016</v>
      </c>
      <c r="AO69">
        <v>1</v>
      </c>
      <c r="AP69">
        <v>6071.4594890626977</v>
      </c>
      <c r="AQ69">
        <v>1.0375922509225091</v>
      </c>
      <c r="AR69">
        <v>6299.6993000000002</v>
      </c>
      <c r="AS69" s="61">
        <v>92007.076778003509</v>
      </c>
      <c r="AT69" t="s">
        <v>336</v>
      </c>
      <c r="AU69" t="s">
        <v>433</v>
      </c>
      <c r="AV69" t="s">
        <v>425</v>
      </c>
      <c r="AW69" t="s">
        <v>81</v>
      </c>
      <c r="AX69">
        <v>111.133</v>
      </c>
      <c r="AY69">
        <v>0.99819678194932504</v>
      </c>
      <c r="AZ69">
        <v>110.9326029683743</v>
      </c>
      <c r="BA69">
        <v>682.07</v>
      </c>
      <c r="BB69">
        <v>1</v>
      </c>
      <c r="BC69">
        <v>75.663800506639092</v>
      </c>
      <c r="BD69">
        <v>0.92979999999999996</v>
      </c>
      <c r="BE69" s="63">
        <v>70.352000000000004</v>
      </c>
      <c r="BF69">
        <v>8.9176000000000002</v>
      </c>
      <c r="BG69">
        <v>1</v>
      </c>
      <c r="BH69">
        <v>6071.4594890626977</v>
      </c>
      <c r="BI69">
        <v>1.0375922509225091</v>
      </c>
      <c r="BJ69" s="63">
        <v>6299.6993000000002</v>
      </c>
      <c r="BK69" s="61">
        <v>92007.076778003509</v>
      </c>
    </row>
    <row r="70" spans="1:63" x14ac:dyDescent="0.25">
      <c r="A70">
        <v>141</v>
      </c>
      <c r="B70" t="s">
        <v>132</v>
      </c>
      <c r="C70">
        <v>2016</v>
      </c>
      <c r="D70">
        <v>12</v>
      </c>
      <c r="E70" t="s">
        <v>100</v>
      </c>
      <c r="F70" t="s">
        <v>426</v>
      </c>
      <c r="G70" t="s">
        <v>427</v>
      </c>
      <c r="H70" t="s">
        <v>84</v>
      </c>
      <c r="I70" t="s">
        <v>430</v>
      </c>
      <c r="J70" t="s">
        <v>59</v>
      </c>
      <c r="K70">
        <v>-740.56397855</v>
      </c>
      <c r="L70" t="s">
        <v>59</v>
      </c>
      <c r="M70" t="s">
        <v>382</v>
      </c>
      <c r="N70">
        <v>2.6402550870099999E-2</v>
      </c>
      <c r="O70">
        <v>19.552778116230019</v>
      </c>
      <c r="P70" t="s">
        <v>440</v>
      </c>
      <c r="Q70">
        <v>2</v>
      </c>
      <c r="R70">
        <v>31.615939999999998</v>
      </c>
      <c r="S70">
        <v>0.17</v>
      </c>
      <c r="T70">
        <v>5.3747097999999998</v>
      </c>
      <c r="U70">
        <v>1.9E-2</v>
      </c>
      <c r="V70">
        <v>102.119</v>
      </c>
      <c r="W70">
        <v>2</v>
      </c>
      <c r="X70">
        <v>4.8962484940000004E-3</v>
      </c>
      <c r="Y70">
        <v>1</v>
      </c>
      <c r="Z70" s="61">
        <v>19.552778</v>
      </c>
      <c r="AA70" t="s">
        <v>336</v>
      </c>
      <c r="AB70" t="s">
        <v>433</v>
      </c>
      <c r="AC70" t="s">
        <v>425</v>
      </c>
      <c r="AD70" t="s">
        <v>81</v>
      </c>
      <c r="AE70">
        <v>111.133</v>
      </c>
      <c r="AF70">
        <v>0.99819678194932504</v>
      </c>
      <c r="AG70">
        <v>110.9326029683743</v>
      </c>
      <c r="AH70">
        <v>682.07</v>
      </c>
      <c r="AI70">
        <v>1</v>
      </c>
      <c r="AJ70">
        <v>75.663800506639092</v>
      </c>
      <c r="AK70">
        <v>0.92979999999999996</v>
      </c>
      <c r="AL70" s="63">
        <v>70.352000000000004</v>
      </c>
      <c r="AM70">
        <v>8.9176000000000002</v>
      </c>
      <c r="AN70">
        <v>8.9015196227113016</v>
      </c>
      <c r="AO70">
        <v>1</v>
      </c>
      <c r="AP70">
        <v>6071.4594890626977</v>
      </c>
      <c r="AQ70">
        <v>1.0375922509225091</v>
      </c>
      <c r="AR70">
        <v>6299.6993000000002</v>
      </c>
      <c r="AS70" s="61">
        <v>123176.6218796554</v>
      </c>
      <c r="AT70" t="s">
        <v>336</v>
      </c>
      <c r="AU70" t="s">
        <v>433</v>
      </c>
      <c r="AV70" t="s">
        <v>425</v>
      </c>
      <c r="AW70" t="s">
        <v>81</v>
      </c>
      <c r="AX70">
        <v>111.133</v>
      </c>
      <c r="AY70">
        <v>0.99819678194932504</v>
      </c>
      <c r="AZ70">
        <v>110.9326029683743</v>
      </c>
      <c r="BA70">
        <v>682.07</v>
      </c>
      <c r="BB70">
        <v>1</v>
      </c>
      <c r="BC70">
        <v>75.663800506639092</v>
      </c>
      <c r="BD70">
        <v>0.92979999999999996</v>
      </c>
      <c r="BE70" s="63">
        <v>70.352000000000004</v>
      </c>
      <c r="BF70">
        <v>8.9176000000000002</v>
      </c>
      <c r="BG70">
        <v>1</v>
      </c>
      <c r="BH70">
        <v>6071.4594890626977</v>
      </c>
      <c r="BI70">
        <v>1.0375922509225091</v>
      </c>
      <c r="BJ70" s="63">
        <v>6299.6993000000002</v>
      </c>
      <c r="BK70" s="61">
        <v>123176.6218796554</v>
      </c>
    </row>
    <row r="71" spans="1:63" x14ac:dyDescent="0.25">
      <c r="A71">
        <v>143</v>
      </c>
      <c r="B71" t="s">
        <v>132</v>
      </c>
      <c r="C71">
        <v>2016</v>
      </c>
      <c r="D71">
        <v>12</v>
      </c>
      <c r="E71" t="s">
        <v>100</v>
      </c>
      <c r="F71" t="s">
        <v>426</v>
      </c>
      <c r="G71" t="s">
        <v>427</v>
      </c>
      <c r="H71" t="s">
        <v>84</v>
      </c>
      <c r="I71" t="s">
        <v>428</v>
      </c>
      <c r="J71" t="s">
        <v>381</v>
      </c>
      <c r="K71">
        <v>-2160.3600798299999</v>
      </c>
      <c r="L71" t="s">
        <v>381</v>
      </c>
      <c r="M71" t="s">
        <v>383</v>
      </c>
      <c r="N71">
        <v>1.0246055755629599</v>
      </c>
      <c r="O71">
        <v>2213.51698301746</v>
      </c>
      <c r="P71" t="s">
        <v>440</v>
      </c>
      <c r="Q71">
        <v>2</v>
      </c>
      <c r="R71">
        <v>31.615939999999998</v>
      </c>
      <c r="S71">
        <v>0.17</v>
      </c>
      <c r="T71">
        <v>5.3747097999999998</v>
      </c>
      <c r="U71">
        <v>0.98099999999999998</v>
      </c>
      <c r="V71">
        <v>5272.59</v>
      </c>
      <c r="W71">
        <v>2</v>
      </c>
      <c r="X71">
        <v>9.4830054999999995E-5</v>
      </c>
      <c r="Y71">
        <v>1</v>
      </c>
      <c r="Z71" s="61">
        <v>2213.516983</v>
      </c>
      <c r="AA71" t="s">
        <v>336</v>
      </c>
      <c r="AB71" t="s">
        <v>433</v>
      </c>
      <c r="AC71" t="s">
        <v>425</v>
      </c>
      <c r="AD71" t="s">
        <v>27</v>
      </c>
      <c r="AE71">
        <v>111.133</v>
      </c>
      <c r="AF71">
        <v>0.99819678194932504</v>
      </c>
      <c r="AG71">
        <v>110.9326029683743</v>
      </c>
      <c r="AH71">
        <v>682.07</v>
      </c>
      <c r="AI71">
        <v>1</v>
      </c>
      <c r="AJ71">
        <v>75.663800506639092</v>
      </c>
      <c r="AK71">
        <v>0.99739999999999995</v>
      </c>
      <c r="AL71" s="63">
        <v>75.466999999999999</v>
      </c>
      <c r="AM71">
        <v>8.9176000000000002</v>
      </c>
      <c r="AN71">
        <v>8.9015196227113016</v>
      </c>
      <c r="AO71">
        <v>1</v>
      </c>
      <c r="AP71">
        <v>6071.4594890626977</v>
      </c>
      <c r="AQ71">
        <v>1.0108695652173909</v>
      </c>
      <c r="AR71">
        <v>6137.4535999999998</v>
      </c>
      <c r="AS71" s="61">
        <v>13585357.77597449</v>
      </c>
      <c r="AT71" t="s">
        <v>336</v>
      </c>
      <c r="AU71" t="s">
        <v>433</v>
      </c>
      <c r="AV71" t="s">
        <v>425</v>
      </c>
      <c r="AW71" t="s">
        <v>27</v>
      </c>
      <c r="AX71">
        <v>111.133</v>
      </c>
      <c r="AY71">
        <v>0.99819678194932504</v>
      </c>
      <c r="AZ71">
        <v>110.9326029683743</v>
      </c>
      <c r="BA71">
        <v>682.07</v>
      </c>
      <c r="BB71">
        <v>1</v>
      </c>
      <c r="BC71">
        <v>75.663800506639092</v>
      </c>
      <c r="BD71">
        <v>0.99739999999999995</v>
      </c>
      <c r="BE71" s="63">
        <v>75.466999999999999</v>
      </c>
      <c r="BF71">
        <v>8.9176000000000002</v>
      </c>
      <c r="BG71">
        <v>1</v>
      </c>
      <c r="BH71">
        <v>6071.4594890626977</v>
      </c>
      <c r="BI71">
        <v>1.0108695652173909</v>
      </c>
      <c r="BJ71" s="63">
        <v>6137.4535999999998</v>
      </c>
      <c r="BK71" s="61">
        <v>13585357.77597449</v>
      </c>
    </row>
    <row r="72" spans="1:63" x14ac:dyDescent="0.25">
      <c r="A72">
        <v>143</v>
      </c>
      <c r="B72" t="s">
        <v>132</v>
      </c>
      <c r="C72">
        <v>2016</v>
      </c>
      <c r="D72">
        <v>12</v>
      </c>
      <c r="E72" t="s">
        <v>100</v>
      </c>
      <c r="F72" t="s">
        <v>426</v>
      </c>
      <c r="G72" t="s">
        <v>427</v>
      </c>
      <c r="H72" t="s">
        <v>84</v>
      </c>
      <c r="I72" t="s">
        <v>429</v>
      </c>
      <c r="J72" t="s">
        <v>87</v>
      </c>
      <c r="K72">
        <v>-544.59085073999995</v>
      </c>
      <c r="L72" t="s">
        <v>87</v>
      </c>
      <c r="M72" t="s">
        <v>383</v>
      </c>
      <c r="N72">
        <v>1.01265168052705</v>
      </c>
      <c r="O72">
        <v>551.4808402015168</v>
      </c>
      <c r="P72" t="s">
        <v>440</v>
      </c>
      <c r="Q72">
        <v>2</v>
      </c>
      <c r="R72">
        <v>31.615939999999998</v>
      </c>
      <c r="S72">
        <v>0.17</v>
      </c>
      <c r="T72">
        <v>5.3747097999999998</v>
      </c>
      <c r="U72">
        <v>0.98099999999999998</v>
      </c>
      <c r="V72">
        <v>5272.59</v>
      </c>
      <c r="W72">
        <v>2</v>
      </c>
      <c r="X72">
        <v>9.4830054999999995E-5</v>
      </c>
      <c r="Y72">
        <v>1</v>
      </c>
      <c r="Z72" s="61">
        <v>551.48083999999994</v>
      </c>
      <c r="AA72" t="s">
        <v>336</v>
      </c>
      <c r="AB72" t="s">
        <v>433</v>
      </c>
      <c r="AC72" t="s">
        <v>425</v>
      </c>
      <c r="AD72" t="s">
        <v>27</v>
      </c>
      <c r="AE72">
        <v>111.133</v>
      </c>
      <c r="AF72">
        <v>0.99819678194932504</v>
      </c>
      <c r="AG72">
        <v>110.9326029683743</v>
      </c>
      <c r="AH72">
        <v>682.07</v>
      </c>
      <c r="AI72">
        <v>1</v>
      </c>
      <c r="AJ72">
        <v>75.663800506639092</v>
      </c>
      <c r="AK72">
        <v>0.99739999999999995</v>
      </c>
      <c r="AL72" s="63">
        <v>75.466999999999999</v>
      </c>
      <c r="AM72">
        <v>8.9176000000000002</v>
      </c>
      <c r="AN72">
        <v>8.9015196227113016</v>
      </c>
      <c r="AO72">
        <v>1</v>
      </c>
      <c r="AP72">
        <v>6071.4594890626977</v>
      </c>
      <c r="AQ72">
        <v>1.0108695652173909</v>
      </c>
      <c r="AR72">
        <v>6137.4535999999998</v>
      </c>
      <c r="AS72" s="61">
        <v>3384688.066789024</v>
      </c>
      <c r="AT72" t="s">
        <v>336</v>
      </c>
      <c r="AU72" t="s">
        <v>433</v>
      </c>
      <c r="AV72" t="s">
        <v>425</v>
      </c>
      <c r="AW72" t="s">
        <v>27</v>
      </c>
      <c r="AX72">
        <v>111.133</v>
      </c>
      <c r="AY72">
        <v>0.99819678194932504</v>
      </c>
      <c r="AZ72">
        <v>110.9326029683743</v>
      </c>
      <c r="BA72">
        <v>682.07</v>
      </c>
      <c r="BB72">
        <v>1</v>
      </c>
      <c r="BC72">
        <v>75.663800506639092</v>
      </c>
      <c r="BD72">
        <v>0.99739999999999995</v>
      </c>
      <c r="BE72" s="63">
        <v>75.466999999999999</v>
      </c>
      <c r="BF72">
        <v>8.9176000000000002</v>
      </c>
      <c r="BG72">
        <v>1</v>
      </c>
      <c r="BH72">
        <v>6071.4594890626977</v>
      </c>
      <c r="BI72">
        <v>1.0108695652173909</v>
      </c>
      <c r="BJ72" s="63">
        <v>6137.4535999999998</v>
      </c>
      <c r="BK72" s="61">
        <v>3384688.066789024</v>
      </c>
    </row>
    <row r="73" spans="1:63" x14ac:dyDescent="0.25">
      <c r="A73">
        <v>143</v>
      </c>
      <c r="B73" t="s">
        <v>132</v>
      </c>
      <c r="C73">
        <v>2016</v>
      </c>
      <c r="D73">
        <v>12</v>
      </c>
      <c r="E73" t="s">
        <v>100</v>
      </c>
      <c r="F73" t="s">
        <v>426</v>
      </c>
      <c r="G73" t="s">
        <v>427</v>
      </c>
      <c r="H73" t="s">
        <v>84</v>
      </c>
      <c r="I73" t="s">
        <v>430</v>
      </c>
      <c r="J73" t="s">
        <v>59</v>
      </c>
      <c r="K73">
        <v>-740.56397855</v>
      </c>
      <c r="L73" t="s">
        <v>59</v>
      </c>
      <c r="M73" t="s">
        <v>383</v>
      </c>
      <c r="N73">
        <v>1.0130674505202899</v>
      </c>
      <c r="O73">
        <v>750.24126169681131</v>
      </c>
      <c r="P73" t="s">
        <v>440</v>
      </c>
      <c r="Q73">
        <v>2</v>
      </c>
      <c r="R73">
        <v>31.615939999999998</v>
      </c>
      <c r="S73">
        <v>0.17</v>
      </c>
      <c r="T73">
        <v>5.3747097999999998</v>
      </c>
      <c r="U73">
        <v>0.98099999999999998</v>
      </c>
      <c r="V73">
        <v>5272.59</v>
      </c>
      <c r="W73">
        <v>2</v>
      </c>
      <c r="X73">
        <v>9.4830054999999995E-5</v>
      </c>
      <c r="Y73">
        <v>1</v>
      </c>
      <c r="Z73" s="61">
        <v>750.24126200000001</v>
      </c>
      <c r="AA73" t="s">
        <v>336</v>
      </c>
      <c r="AB73" t="s">
        <v>433</v>
      </c>
      <c r="AC73" t="s">
        <v>425</v>
      </c>
      <c r="AD73" t="s">
        <v>27</v>
      </c>
      <c r="AE73">
        <v>111.133</v>
      </c>
      <c r="AF73">
        <v>0.99819678194932504</v>
      </c>
      <c r="AG73">
        <v>110.9326029683743</v>
      </c>
      <c r="AH73">
        <v>682.07</v>
      </c>
      <c r="AI73">
        <v>1</v>
      </c>
      <c r="AJ73">
        <v>75.663800506639092</v>
      </c>
      <c r="AK73">
        <v>0.99739999999999995</v>
      </c>
      <c r="AL73" s="63">
        <v>75.466999999999999</v>
      </c>
      <c r="AM73">
        <v>8.9176000000000002</v>
      </c>
      <c r="AN73">
        <v>8.9015196227113016</v>
      </c>
      <c r="AO73">
        <v>1</v>
      </c>
      <c r="AP73">
        <v>6071.4594890626977</v>
      </c>
      <c r="AQ73">
        <v>1.0108695652173909</v>
      </c>
      <c r="AR73">
        <v>6137.4535999999998</v>
      </c>
      <c r="AS73" s="61">
        <v>4604570.9343304429</v>
      </c>
      <c r="AT73" t="s">
        <v>336</v>
      </c>
      <c r="AU73" t="s">
        <v>433</v>
      </c>
      <c r="AV73" t="s">
        <v>425</v>
      </c>
      <c r="AW73" t="s">
        <v>27</v>
      </c>
      <c r="AX73">
        <v>111.133</v>
      </c>
      <c r="AY73">
        <v>0.99819678194932504</v>
      </c>
      <c r="AZ73">
        <v>110.9326029683743</v>
      </c>
      <c r="BA73">
        <v>682.07</v>
      </c>
      <c r="BB73">
        <v>1</v>
      </c>
      <c r="BC73">
        <v>75.663800506639092</v>
      </c>
      <c r="BD73">
        <v>0.99739999999999995</v>
      </c>
      <c r="BE73" s="63">
        <v>75.466999999999999</v>
      </c>
      <c r="BF73">
        <v>8.9176000000000002</v>
      </c>
      <c r="BG73">
        <v>1</v>
      </c>
      <c r="BH73">
        <v>6071.4594890626977</v>
      </c>
      <c r="BI73">
        <v>1.0108695652173909</v>
      </c>
      <c r="BJ73" s="63">
        <v>6137.4535999999998</v>
      </c>
      <c r="BK73" s="61">
        <v>4604570.9343304429</v>
      </c>
    </row>
    <row r="74" spans="1:63" x14ac:dyDescent="0.25">
      <c r="A74">
        <v>153</v>
      </c>
      <c r="B74" t="s">
        <v>122</v>
      </c>
      <c r="C74">
        <v>2017</v>
      </c>
      <c r="D74">
        <v>1</v>
      </c>
      <c r="E74" t="s">
        <v>100</v>
      </c>
      <c r="F74" t="s">
        <v>426</v>
      </c>
      <c r="G74" t="s">
        <v>427</v>
      </c>
      <c r="H74" t="s">
        <v>84</v>
      </c>
      <c r="I74" t="s">
        <v>428</v>
      </c>
      <c r="J74" t="s">
        <v>381</v>
      </c>
      <c r="K74">
        <v>-1712.0870854499999</v>
      </c>
      <c r="L74" t="s">
        <v>381</v>
      </c>
      <c r="M74" t="s">
        <v>382</v>
      </c>
      <c r="N74">
        <v>1.486442099991E-2</v>
      </c>
      <c r="O74">
        <v>25.44918322663769</v>
      </c>
      <c r="P74" t="s">
        <v>440</v>
      </c>
      <c r="Q74">
        <v>2</v>
      </c>
      <c r="R74">
        <v>29.947030000000002</v>
      </c>
      <c r="S74">
        <v>0.1</v>
      </c>
      <c r="T74">
        <v>2.9947029999999999</v>
      </c>
      <c r="U74">
        <v>1.9E-2</v>
      </c>
      <c r="V74">
        <v>56.899000000000001</v>
      </c>
      <c r="W74">
        <v>2</v>
      </c>
      <c r="X74">
        <v>8.7875006590000006E-3</v>
      </c>
      <c r="Y74">
        <v>1</v>
      </c>
      <c r="Z74" s="61">
        <v>25.449183000000001</v>
      </c>
      <c r="AA74" t="s">
        <v>336</v>
      </c>
      <c r="AB74" t="s">
        <v>433</v>
      </c>
      <c r="AC74" t="s">
        <v>425</v>
      </c>
      <c r="AD74" t="s">
        <v>81</v>
      </c>
      <c r="AE74">
        <v>111.133</v>
      </c>
      <c r="AF74">
        <v>0.99819678194932504</v>
      </c>
      <c r="AG74">
        <v>110.9326029683743</v>
      </c>
      <c r="AH74">
        <v>682.07</v>
      </c>
      <c r="AI74">
        <v>1</v>
      </c>
      <c r="AJ74">
        <v>75.663800506639092</v>
      </c>
      <c r="AK74">
        <v>0.92979999999999996</v>
      </c>
      <c r="AL74" s="63">
        <v>70.352000000000004</v>
      </c>
      <c r="AM74">
        <v>8.9176000000000002</v>
      </c>
      <c r="AN74">
        <v>8.9015196227113016</v>
      </c>
      <c r="AO74">
        <v>1</v>
      </c>
      <c r="AP74">
        <v>6071.4594890626977</v>
      </c>
      <c r="AQ74">
        <v>1.0375922509225091</v>
      </c>
      <c r="AR74">
        <v>6299.6993000000002</v>
      </c>
      <c r="AS74" s="61">
        <v>160322.20033067191</v>
      </c>
      <c r="AT74" t="s">
        <v>339</v>
      </c>
      <c r="AU74" t="s">
        <v>433</v>
      </c>
      <c r="AV74" t="s">
        <v>425</v>
      </c>
      <c r="AW74" t="s">
        <v>81</v>
      </c>
      <c r="AX74">
        <v>111.133</v>
      </c>
      <c r="AY74">
        <v>1.0062587218588701</v>
      </c>
      <c r="AZ74">
        <v>111.82855053634179</v>
      </c>
      <c r="BA74">
        <v>663.92</v>
      </c>
      <c r="BB74">
        <v>1</v>
      </c>
      <c r="BC74">
        <v>74.245211272088028</v>
      </c>
      <c r="BD74">
        <v>0.92979999999999996</v>
      </c>
      <c r="BE74" s="63">
        <v>69.033000000000001</v>
      </c>
      <c r="BF74">
        <v>8.9176000000000002</v>
      </c>
      <c r="BG74">
        <v>1</v>
      </c>
      <c r="BH74">
        <v>5957.6282116020648</v>
      </c>
      <c r="BI74">
        <v>1.0375922509225091</v>
      </c>
      <c r="BJ74" s="63">
        <v>6181.5888999999997</v>
      </c>
      <c r="BK74" s="61">
        <v>157316.38714686871</v>
      </c>
    </row>
    <row r="75" spans="1:63" x14ac:dyDescent="0.25">
      <c r="A75">
        <v>153</v>
      </c>
      <c r="B75" t="s">
        <v>122</v>
      </c>
      <c r="C75">
        <v>2017</v>
      </c>
      <c r="D75">
        <v>1</v>
      </c>
      <c r="E75" t="s">
        <v>100</v>
      </c>
      <c r="F75" t="s">
        <v>426</v>
      </c>
      <c r="G75" t="s">
        <v>427</v>
      </c>
      <c r="H75" t="s">
        <v>84</v>
      </c>
      <c r="I75" t="s">
        <v>429</v>
      </c>
      <c r="J75" t="s">
        <v>87</v>
      </c>
      <c r="K75">
        <v>-449.51020827000002</v>
      </c>
      <c r="L75" t="s">
        <v>87</v>
      </c>
      <c r="M75" t="s">
        <v>382</v>
      </c>
      <c r="N75">
        <v>2.6818326000169999E-2</v>
      </c>
      <c r="O75">
        <v>12.05511130578917</v>
      </c>
      <c r="P75" t="s">
        <v>440</v>
      </c>
      <c r="Q75">
        <v>2</v>
      </c>
      <c r="R75">
        <v>29.947030000000002</v>
      </c>
      <c r="S75">
        <v>0.1</v>
      </c>
      <c r="T75">
        <v>2.9947029999999999</v>
      </c>
      <c r="U75">
        <v>1.9E-2</v>
      </c>
      <c r="V75">
        <v>56.899000000000001</v>
      </c>
      <c r="W75">
        <v>2</v>
      </c>
      <c r="X75">
        <v>8.7875006590000006E-3</v>
      </c>
      <c r="Y75">
        <v>1</v>
      </c>
      <c r="Z75" s="61">
        <v>12.055111</v>
      </c>
      <c r="AA75" t="s">
        <v>336</v>
      </c>
      <c r="AB75" t="s">
        <v>433</v>
      </c>
      <c r="AC75" t="s">
        <v>425</v>
      </c>
      <c r="AD75" t="s">
        <v>81</v>
      </c>
      <c r="AE75">
        <v>111.133</v>
      </c>
      <c r="AF75">
        <v>0.99819678194932504</v>
      </c>
      <c r="AG75">
        <v>110.9326029683743</v>
      </c>
      <c r="AH75">
        <v>682.07</v>
      </c>
      <c r="AI75">
        <v>1</v>
      </c>
      <c r="AJ75">
        <v>75.663800506639092</v>
      </c>
      <c r="AK75">
        <v>0.92979999999999996</v>
      </c>
      <c r="AL75" s="63">
        <v>70.352000000000004</v>
      </c>
      <c r="AM75">
        <v>8.9176000000000002</v>
      </c>
      <c r="AN75">
        <v>8.9015196227113016</v>
      </c>
      <c r="AO75">
        <v>1</v>
      </c>
      <c r="AP75">
        <v>6071.4594890626977</v>
      </c>
      <c r="AQ75">
        <v>1.0375922509225091</v>
      </c>
      <c r="AR75">
        <v>6299.6993000000002</v>
      </c>
      <c r="AS75" s="61">
        <v>75943.574328122297</v>
      </c>
      <c r="AT75" t="s">
        <v>339</v>
      </c>
      <c r="AU75" t="s">
        <v>433</v>
      </c>
      <c r="AV75" t="s">
        <v>425</v>
      </c>
      <c r="AW75" t="s">
        <v>81</v>
      </c>
      <c r="AX75">
        <v>111.133</v>
      </c>
      <c r="AY75">
        <v>1.0062587218588701</v>
      </c>
      <c r="AZ75">
        <v>111.82855053634179</v>
      </c>
      <c r="BA75">
        <v>663.92</v>
      </c>
      <c r="BB75">
        <v>1</v>
      </c>
      <c r="BC75">
        <v>74.245211272088028</v>
      </c>
      <c r="BD75">
        <v>0.92979999999999996</v>
      </c>
      <c r="BE75" s="63">
        <v>69.033000000000001</v>
      </c>
      <c r="BF75">
        <v>8.9176000000000002</v>
      </c>
      <c r="BG75">
        <v>1</v>
      </c>
      <c r="BH75">
        <v>5957.6282116020648</v>
      </c>
      <c r="BI75">
        <v>1.0375922509225091</v>
      </c>
      <c r="BJ75" s="63">
        <v>6181.5888999999997</v>
      </c>
      <c r="BK75" s="61">
        <v>74519.740345867904</v>
      </c>
    </row>
    <row r="76" spans="1:63" x14ac:dyDescent="0.25">
      <c r="A76">
        <v>153</v>
      </c>
      <c r="B76" t="s">
        <v>122</v>
      </c>
      <c r="C76">
        <v>2017</v>
      </c>
      <c r="D76">
        <v>1</v>
      </c>
      <c r="E76" t="s">
        <v>100</v>
      </c>
      <c r="F76" t="s">
        <v>426</v>
      </c>
      <c r="G76" t="s">
        <v>427</v>
      </c>
      <c r="H76" t="s">
        <v>84</v>
      </c>
      <c r="I76" t="s">
        <v>430</v>
      </c>
      <c r="J76" t="s">
        <v>59</v>
      </c>
      <c r="K76">
        <v>-656.53419492</v>
      </c>
      <c r="L76" t="s">
        <v>59</v>
      </c>
      <c r="M76" t="s">
        <v>382</v>
      </c>
      <c r="N76">
        <v>2.640253800029E-2</v>
      </c>
      <c r="O76">
        <v>17.334169029865102</v>
      </c>
      <c r="P76" t="s">
        <v>440</v>
      </c>
      <c r="Q76">
        <v>2</v>
      </c>
      <c r="R76">
        <v>29.947030000000002</v>
      </c>
      <c r="S76">
        <v>0.1</v>
      </c>
      <c r="T76">
        <v>2.9947029999999999</v>
      </c>
      <c r="U76">
        <v>1.9E-2</v>
      </c>
      <c r="V76">
        <v>56.899000000000001</v>
      </c>
      <c r="W76">
        <v>2</v>
      </c>
      <c r="X76">
        <v>8.7875006590000006E-3</v>
      </c>
      <c r="Y76">
        <v>1</v>
      </c>
      <c r="Z76" s="61">
        <v>17.334168999999999</v>
      </c>
      <c r="AA76" t="s">
        <v>336</v>
      </c>
      <c r="AB76" t="s">
        <v>433</v>
      </c>
      <c r="AC76" t="s">
        <v>425</v>
      </c>
      <c r="AD76" t="s">
        <v>81</v>
      </c>
      <c r="AE76">
        <v>111.133</v>
      </c>
      <c r="AF76">
        <v>0.99819678194932504</v>
      </c>
      <c r="AG76">
        <v>110.9326029683743</v>
      </c>
      <c r="AH76">
        <v>682.07</v>
      </c>
      <c r="AI76">
        <v>1</v>
      </c>
      <c r="AJ76">
        <v>75.663800506639092</v>
      </c>
      <c r="AK76">
        <v>0.92979999999999996</v>
      </c>
      <c r="AL76" s="63">
        <v>70.352000000000004</v>
      </c>
      <c r="AM76">
        <v>8.9176000000000002</v>
      </c>
      <c r="AN76">
        <v>8.9015196227113016</v>
      </c>
      <c r="AO76">
        <v>1</v>
      </c>
      <c r="AP76">
        <v>6071.4594890626977</v>
      </c>
      <c r="AQ76">
        <v>1.0375922509225091</v>
      </c>
      <c r="AR76">
        <v>6299.6993000000002</v>
      </c>
      <c r="AS76" s="61">
        <v>109200.0523153817</v>
      </c>
      <c r="AT76" t="s">
        <v>339</v>
      </c>
      <c r="AU76" t="s">
        <v>433</v>
      </c>
      <c r="AV76" t="s">
        <v>425</v>
      </c>
      <c r="AW76" t="s">
        <v>81</v>
      </c>
      <c r="AX76">
        <v>111.133</v>
      </c>
      <c r="AY76">
        <v>1.0062587218588701</v>
      </c>
      <c r="AZ76">
        <v>111.82855053634179</v>
      </c>
      <c r="BA76">
        <v>663.92</v>
      </c>
      <c r="BB76">
        <v>1</v>
      </c>
      <c r="BC76">
        <v>74.245211272088028</v>
      </c>
      <c r="BD76">
        <v>0.92979999999999996</v>
      </c>
      <c r="BE76" s="63">
        <v>69.033000000000001</v>
      </c>
      <c r="BF76">
        <v>8.9176000000000002</v>
      </c>
      <c r="BG76">
        <v>1</v>
      </c>
      <c r="BH76">
        <v>5957.6282116020648</v>
      </c>
      <c r="BI76">
        <v>1.0375922509225091</v>
      </c>
      <c r="BJ76" s="63">
        <v>6181.5888999999997</v>
      </c>
      <c r="BK76" s="61">
        <v>107152.70668112409</v>
      </c>
    </row>
    <row r="77" spans="1:63" x14ac:dyDescent="0.25">
      <c r="A77">
        <v>155</v>
      </c>
      <c r="B77" t="s">
        <v>122</v>
      </c>
      <c r="C77">
        <v>2017</v>
      </c>
      <c r="D77">
        <v>1</v>
      </c>
      <c r="E77" t="s">
        <v>100</v>
      </c>
      <c r="F77" t="s">
        <v>426</v>
      </c>
      <c r="G77" t="s">
        <v>427</v>
      </c>
      <c r="H77" t="s">
        <v>84</v>
      </c>
      <c r="I77" t="s">
        <v>428</v>
      </c>
      <c r="J77" t="s">
        <v>381</v>
      </c>
      <c r="K77">
        <v>-1712.0870854499999</v>
      </c>
      <c r="L77" t="s">
        <v>381</v>
      </c>
      <c r="M77" t="s">
        <v>383</v>
      </c>
      <c r="N77">
        <v>1.0246055790000299</v>
      </c>
      <c r="O77">
        <v>1754.2139794859711</v>
      </c>
      <c r="P77" t="s">
        <v>440</v>
      </c>
      <c r="Q77">
        <v>2</v>
      </c>
      <c r="R77">
        <v>29.947030000000002</v>
      </c>
      <c r="S77">
        <v>0.1</v>
      </c>
      <c r="T77">
        <v>2.9947029999999999</v>
      </c>
      <c r="U77">
        <v>0.98099999999999998</v>
      </c>
      <c r="V77">
        <v>2937.8040000000001</v>
      </c>
      <c r="W77">
        <v>2</v>
      </c>
      <c r="X77">
        <v>1.70195153E-4</v>
      </c>
      <c r="Y77">
        <v>1</v>
      </c>
      <c r="Z77" s="61">
        <v>1754.2139790000001</v>
      </c>
      <c r="AA77" t="s">
        <v>336</v>
      </c>
      <c r="AB77" t="s">
        <v>433</v>
      </c>
      <c r="AC77" t="s">
        <v>425</v>
      </c>
      <c r="AD77" t="s">
        <v>27</v>
      </c>
      <c r="AE77">
        <v>111.133</v>
      </c>
      <c r="AF77">
        <v>0.99819678194932504</v>
      </c>
      <c r="AG77">
        <v>110.9326029683743</v>
      </c>
      <c r="AH77">
        <v>682.07</v>
      </c>
      <c r="AI77">
        <v>1</v>
      </c>
      <c r="AJ77">
        <v>75.663800506639092</v>
      </c>
      <c r="AK77">
        <v>0.99739999999999995</v>
      </c>
      <c r="AL77" s="63">
        <v>75.466999999999999</v>
      </c>
      <c r="AM77">
        <v>8.9176000000000002</v>
      </c>
      <c r="AN77">
        <v>8.9015196227113016</v>
      </c>
      <c r="AO77">
        <v>1</v>
      </c>
      <c r="AP77">
        <v>6071.4594890626977</v>
      </c>
      <c r="AQ77">
        <v>1.0108695652173909</v>
      </c>
      <c r="AR77">
        <v>6137.4535999999998</v>
      </c>
      <c r="AS77" s="61">
        <v>10766406.900583871</v>
      </c>
      <c r="AT77" t="s">
        <v>339</v>
      </c>
      <c r="AU77" t="s">
        <v>433</v>
      </c>
      <c r="AV77" t="s">
        <v>425</v>
      </c>
      <c r="AW77" t="s">
        <v>27</v>
      </c>
      <c r="AX77">
        <v>111.133</v>
      </c>
      <c r="AY77">
        <v>1.0062587218588701</v>
      </c>
      <c r="AZ77">
        <v>111.82855053634179</v>
      </c>
      <c r="BA77">
        <v>663.92</v>
      </c>
      <c r="BB77">
        <v>1</v>
      </c>
      <c r="BC77">
        <v>74.245211272088028</v>
      </c>
      <c r="BD77">
        <v>0.99739999999999995</v>
      </c>
      <c r="BE77" s="63">
        <v>74.052000000000007</v>
      </c>
      <c r="BF77">
        <v>8.9176000000000002</v>
      </c>
      <c r="BG77">
        <v>1</v>
      </c>
      <c r="BH77">
        <v>5957.6282116020648</v>
      </c>
      <c r="BI77">
        <v>1.0108695652173909</v>
      </c>
      <c r="BJ77" s="63">
        <v>6022.3850000000002</v>
      </c>
      <c r="BK77" s="61">
        <v>10564551.953919919</v>
      </c>
    </row>
    <row r="78" spans="1:63" x14ac:dyDescent="0.25">
      <c r="A78">
        <v>155</v>
      </c>
      <c r="B78" t="s">
        <v>122</v>
      </c>
      <c r="C78">
        <v>2017</v>
      </c>
      <c r="D78">
        <v>1</v>
      </c>
      <c r="E78" t="s">
        <v>100</v>
      </c>
      <c r="F78" t="s">
        <v>426</v>
      </c>
      <c r="G78" t="s">
        <v>427</v>
      </c>
      <c r="H78" t="s">
        <v>84</v>
      </c>
      <c r="I78" t="s">
        <v>429</v>
      </c>
      <c r="J78" t="s">
        <v>87</v>
      </c>
      <c r="K78">
        <v>-449.51020827000002</v>
      </c>
      <c r="L78" t="s">
        <v>87</v>
      </c>
      <c r="M78" t="s">
        <v>383</v>
      </c>
      <c r="N78">
        <v>1.0126516740011799</v>
      </c>
      <c r="O78">
        <v>455.19726488523457</v>
      </c>
      <c r="P78" t="s">
        <v>440</v>
      </c>
      <c r="Q78">
        <v>2</v>
      </c>
      <c r="R78">
        <v>29.947030000000002</v>
      </c>
      <c r="S78">
        <v>0.1</v>
      </c>
      <c r="T78">
        <v>2.9947029999999999</v>
      </c>
      <c r="U78">
        <v>0.98099999999999998</v>
      </c>
      <c r="V78">
        <v>2937.8040000000001</v>
      </c>
      <c r="W78">
        <v>2</v>
      </c>
      <c r="X78">
        <v>1.70195153E-4</v>
      </c>
      <c r="Y78">
        <v>1</v>
      </c>
      <c r="Z78" s="61">
        <v>455.19726500000002</v>
      </c>
      <c r="AA78" t="s">
        <v>336</v>
      </c>
      <c r="AB78" t="s">
        <v>433</v>
      </c>
      <c r="AC78" t="s">
        <v>425</v>
      </c>
      <c r="AD78" t="s">
        <v>27</v>
      </c>
      <c r="AE78">
        <v>111.133</v>
      </c>
      <c r="AF78">
        <v>0.99819678194932504</v>
      </c>
      <c r="AG78">
        <v>110.9326029683743</v>
      </c>
      <c r="AH78">
        <v>682.07</v>
      </c>
      <c r="AI78">
        <v>1</v>
      </c>
      <c r="AJ78">
        <v>75.663800506639092</v>
      </c>
      <c r="AK78">
        <v>0.99739999999999995</v>
      </c>
      <c r="AL78" s="63">
        <v>75.466999999999999</v>
      </c>
      <c r="AM78">
        <v>8.9176000000000002</v>
      </c>
      <c r="AN78">
        <v>8.9015196227113016</v>
      </c>
      <c r="AO78">
        <v>1</v>
      </c>
      <c r="AP78">
        <v>6071.4594890626977</v>
      </c>
      <c r="AQ78">
        <v>1.0108695652173909</v>
      </c>
      <c r="AR78">
        <v>6137.4535999999998</v>
      </c>
      <c r="AS78" s="61">
        <v>2793752.0927844038</v>
      </c>
      <c r="AT78" t="s">
        <v>339</v>
      </c>
      <c r="AU78" t="s">
        <v>433</v>
      </c>
      <c r="AV78" t="s">
        <v>425</v>
      </c>
      <c r="AW78" t="s">
        <v>27</v>
      </c>
      <c r="AX78">
        <v>111.133</v>
      </c>
      <c r="AY78">
        <v>1.0062587218588701</v>
      </c>
      <c r="AZ78">
        <v>111.82855053634179</v>
      </c>
      <c r="BA78">
        <v>663.92</v>
      </c>
      <c r="BB78">
        <v>1</v>
      </c>
      <c r="BC78">
        <v>74.245211272088028</v>
      </c>
      <c r="BD78">
        <v>0.99739999999999995</v>
      </c>
      <c r="BE78" s="63">
        <v>74.052000000000007</v>
      </c>
      <c r="BF78">
        <v>8.9176000000000002</v>
      </c>
      <c r="BG78">
        <v>1</v>
      </c>
      <c r="BH78">
        <v>5957.6282116020648</v>
      </c>
      <c r="BI78">
        <v>1.0108695652173909</v>
      </c>
      <c r="BJ78" s="63">
        <v>6022.3850000000002</v>
      </c>
      <c r="BK78" s="61">
        <v>2741373.1807770249</v>
      </c>
    </row>
    <row r="79" spans="1:63" x14ac:dyDescent="0.25">
      <c r="A79">
        <v>155</v>
      </c>
      <c r="B79" t="s">
        <v>122</v>
      </c>
      <c r="C79">
        <v>2017</v>
      </c>
      <c r="D79">
        <v>1</v>
      </c>
      <c r="E79" t="s">
        <v>100</v>
      </c>
      <c r="F79" t="s">
        <v>426</v>
      </c>
      <c r="G79" t="s">
        <v>427</v>
      </c>
      <c r="H79" t="s">
        <v>84</v>
      </c>
      <c r="I79" t="s">
        <v>430</v>
      </c>
      <c r="J79" t="s">
        <v>59</v>
      </c>
      <c r="K79">
        <v>-656.53419492</v>
      </c>
      <c r="L79" t="s">
        <v>59</v>
      </c>
      <c r="M79" t="s">
        <v>383</v>
      </c>
      <c r="N79">
        <v>1.0130674619998301</v>
      </c>
      <c r="O79">
        <v>665.11343056370606</v>
      </c>
      <c r="P79" t="s">
        <v>440</v>
      </c>
      <c r="Q79">
        <v>2</v>
      </c>
      <c r="R79">
        <v>29.947030000000002</v>
      </c>
      <c r="S79">
        <v>0.1</v>
      </c>
      <c r="T79">
        <v>2.9947029999999999</v>
      </c>
      <c r="U79">
        <v>0.98099999999999998</v>
      </c>
      <c r="V79">
        <v>2937.8040000000001</v>
      </c>
      <c r="W79">
        <v>2</v>
      </c>
      <c r="X79">
        <v>1.70195153E-4</v>
      </c>
      <c r="Y79">
        <v>1</v>
      </c>
      <c r="Z79" s="61">
        <v>665.11343099999999</v>
      </c>
      <c r="AA79" t="s">
        <v>336</v>
      </c>
      <c r="AB79" t="s">
        <v>433</v>
      </c>
      <c r="AC79" t="s">
        <v>425</v>
      </c>
      <c r="AD79" t="s">
        <v>27</v>
      </c>
      <c r="AE79">
        <v>111.133</v>
      </c>
      <c r="AF79">
        <v>0.99819678194932504</v>
      </c>
      <c r="AG79">
        <v>110.9326029683743</v>
      </c>
      <c r="AH79">
        <v>682.07</v>
      </c>
      <c r="AI79">
        <v>1</v>
      </c>
      <c r="AJ79">
        <v>75.663800506639092</v>
      </c>
      <c r="AK79">
        <v>0.99739999999999995</v>
      </c>
      <c r="AL79" s="63">
        <v>75.466999999999999</v>
      </c>
      <c r="AM79">
        <v>8.9176000000000002</v>
      </c>
      <c r="AN79">
        <v>8.9015196227113016</v>
      </c>
      <c r="AO79">
        <v>1</v>
      </c>
      <c r="AP79">
        <v>6071.4594890626977</v>
      </c>
      <c r="AQ79">
        <v>1.0108695652173909</v>
      </c>
      <c r="AR79">
        <v>6137.4535999999998</v>
      </c>
      <c r="AS79" s="61">
        <v>4082102.8214993021</v>
      </c>
      <c r="AT79" t="s">
        <v>339</v>
      </c>
      <c r="AU79" t="s">
        <v>433</v>
      </c>
      <c r="AV79" t="s">
        <v>425</v>
      </c>
      <c r="AW79" t="s">
        <v>27</v>
      </c>
      <c r="AX79">
        <v>111.133</v>
      </c>
      <c r="AY79">
        <v>1.0062587218588701</v>
      </c>
      <c r="AZ79">
        <v>111.82855053634179</v>
      </c>
      <c r="BA79">
        <v>663.92</v>
      </c>
      <c r="BB79">
        <v>1</v>
      </c>
      <c r="BC79">
        <v>74.245211272088028</v>
      </c>
      <c r="BD79">
        <v>0.99739999999999995</v>
      </c>
      <c r="BE79" s="63">
        <v>74.052000000000007</v>
      </c>
      <c r="BF79">
        <v>8.9176000000000002</v>
      </c>
      <c r="BG79">
        <v>1</v>
      </c>
      <c r="BH79">
        <v>5957.6282116020648</v>
      </c>
      <c r="BI79">
        <v>1.0108695652173909</v>
      </c>
      <c r="BJ79" s="63">
        <v>6022.3850000000002</v>
      </c>
      <c r="BK79" s="61">
        <v>4005569.1501529352</v>
      </c>
    </row>
    <row r="80" spans="1:63" x14ac:dyDescent="0.25">
      <c r="A80">
        <v>173</v>
      </c>
      <c r="B80" t="s">
        <v>124</v>
      </c>
      <c r="C80">
        <v>2017</v>
      </c>
      <c r="D80">
        <v>2</v>
      </c>
      <c r="E80" t="s">
        <v>100</v>
      </c>
      <c r="F80" t="s">
        <v>426</v>
      </c>
      <c r="G80" t="s">
        <v>427</v>
      </c>
      <c r="H80" t="s">
        <v>84</v>
      </c>
      <c r="I80" t="s">
        <v>428</v>
      </c>
      <c r="J80" t="s">
        <v>381</v>
      </c>
      <c r="K80">
        <v>-1917.15321713</v>
      </c>
      <c r="L80" t="s">
        <v>381</v>
      </c>
      <c r="M80" t="s">
        <v>382</v>
      </c>
      <c r="N80">
        <v>1.486442099988E-2</v>
      </c>
      <c r="O80">
        <v>28.49737254069467</v>
      </c>
      <c r="P80" t="s">
        <v>440</v>
      </c>
      <c r="Q80">
        <v>2</v>
      </c>
      <c r="R80">
        <v>29.947030000000002</v>
      </c>
      <c r="S80">
        <v>0.11</v>
      </c>
      <c r="T80">
        <v>3.2941733000000002</v>
      </c>
      <c r="U80">
        <v>1.9E-2</v>
      </c>
      <c r="V80">
        <v>62.588999999999999</v>
      </c>
      <c r="W80">
        <v>2</v>
      </c>
      <c r="X80">
        <v>7.9886241990000002E-3</v>
      </c>
      <c r="Y80">
        <v>1</v>
      </c>
      <c r="Z80" s="61">
        <v>28.497373</v>
      </c>
      <c r="AA80" t="s">
        <v>336</v>
      </c>
      <c r="AB80" t="s">
        <v>433</v>
      </c>
      <c r="AC80" t="s">
        <v>425</v>
      </c>
      <c r="AD80" t="s">
        <v>81</v>
      </c>
      <c r="AE80">
        <v>111.133</v>
      </c>
      <c r="AF80">
        <v>0.99819678194932504</v>
      </c>
      <c r="AG80">
        <v>110.9326029683743</v>
      </c>
      <c r="AH80">
        <v>682.07</v>
      </c>
      <c r="AI80">
        <v>1</v>
      </c>
      <c r="AJ80">
        <v>75.663800506639092</v>
      </c>
      <c r="AK80">
        <v>0.92979999999999996</v>
      </c>
      <c r="AL80" s="63">
        <v>70.352000000000004</v>
      </c>
      <c r="AM80">
        <v>8.9176000000000002</v>
      </c>
      <c r="AN80">
        <v>8.9015196227113016</v>
      </c>
      <c r="AO80">
        <v>1</v>
      </c>
      <c r="AP80">
        <v>6071.4594890626977</v>
      </c>
      <c r="AQ80">
        <v>1.0375922509225091</v>
      </c>
      <c r="AR80">
        <v>6299.6993000000002</v>
      </c>
      <c r="AS80" s="61">
        <v>179524.8807399389</v>
      </c>
      <c r="AT80" t="s">
        <v>339</v>
      </c>
      <c r="AU80" t="s">
        <v>433</v>
      </c>
      <c r="AV80" t="s">
        <v>425</v>
      </c>
      <c r="AW80" t="s">
        <v>81</v>
      </c>
      <c r="AX80">
        <v>111.133</v>
      </c>
      <c r="AY80">
        <v>1.0062587218588701</v>
      </c>
      <c r="AZ80">
        <v>111.82855053634179</v>
      </c>
      <c r="BA80">
        <v>663.92</v>
      </c>
      <c r="BB80">
        <v>1</v>
      </c>
      <c r="BC80">
        <v>74.245211272088028</v>
      </c>
      <c r="BD80">
        <v>0.92979999999999996</v>
      </c>
      <c r="BE80" s="63">
        <v>69.033000000000001</v>
      </c>
      <c r="BF80">
        <v>8.9176000000000002</v>
      </c>
      <c r="BG80">
        <v>1</v>
      </c>
      <c r="BH80">
        <v>5957.6282116020648</v>
      </c>
      <c r="BI80">
        <v>1.0375922509225091</v>
      </c>
      <c r="BJ80" s="63">
        <v>6181.5888999999997</v>
      </c>
      <c r="BK80" s="61">
        <v>176159.04461595969</v>
      </c>
    </row>
    <row r="81" spans="1:63" x14ac:dyDescent="0.25">
      <c r="A81">
        <v>173</v>
      </c>
      <c r="B81" t="s">
        <v>124</v>
      </c>
      <c r="C81">
        <v>2017</v>
      </c>
      <c r="D81">
        <v>2</v>
      </c>
      <c r="E81" t="s">
        <v>100</v>
      </c>
      <c r="F81" t="s">
        <v>426</v>
      </c>
      <c r="G81" t="s">
        <v>427</v>
      </c>
      <c r="H81" t="s">
        <v>84</v>
      </c>
      <c r="I81" t="s">
        <v>429</v>
      </c>
      <c r="J81" t="s">
        <v>87</v>
      </c>
      <c r="K81">
        <v>-527.19524751999995</v>
      </c>
      <c r="L81" t="s">
        <v>87</v>
      </c>
      <c r="M81" t="s">
        <v>382</v>
      </c>
      <c r="N81">
        <v>2.6818325999760001E-2</v>
      </c>
      <c r="O81">
        <v>14.138494013515521</v>
      </c>
      <c r="P81" t="s">
        <v>440</v>
      </c>
      <c r="Q81">
        <v>2</v>
      </c>
      <c r="R81">
        <v>29.947030000000002</v>
      </c>
      <c r="S81">
        <v>0.11</v>
      </c>
      <c r="T81">
        <v>3.2941733000000002</v>
      </c>
      <c r="U81">
        <v>1.9E-2</v>
      </c>
      <c r="V81">
        <v>62.588999999999999</v>
      </c>
      <c r="W81">
        <v>2</v>
      </c>
      <c r="X81">
        <v>7.9886241990000002E-3</v>
      </c>
      <c r="Y81">
        <v>1</v>
      </c>
      <c r="Z81" s="61">
        <v>14.138494</v>
      </c>
      <c r="AA81" t="s">
        <v>336</v>
      </c>
      <c r="AB81" t="s">
        <v>433</v>
      </c>
      <c r="AC81" t="s">
        <v>425</v>
      </c>
      <c r="AD81" t="s">
        <v>81</v>
      </c>
      <c r="AE81">
        <v>111.133</v>
      </c>
      <c r="AF81">
        <v>0.99819678194932504</v>
      </c>
      <c r="AG81">
        <v>110.9326029683743</v>
      </c>
      <c r="AH81">
        <v>682.07</v>
      </c>
      <c r="AI81">
        <v>1</v>
      </c>
      <c r="AJ81">
        <v>75.663800506639092</v>
      </c>
      <c r="AK81">
        <v>0.92979999999999996</v>
      </c>
      <c r="AL81" s="63">
        <v>70.352000000000004</v>
      </c>
      <c r="AM81">
        <v>8.9176000000000002</v>
      </c>
      <c r="AN81">
        <v>8.9015196227113016</v>
      </c>
      <c r="AO81">
        <v>1</v>
      </c>
      <c r="AP81">
        <v>6071.4594890626977</v>
      </c>
      <c r="AQ81">
        <v>1.0375922509225091</v>
      </c>
      <c r="AR81">
        <v>6299.6993000000002</v>
      </c>
      <c r="AS81" s="61">
        <v>89068.2607548542</v>
      </c>
      <c r="AT81" t="s">
        <v>339</v>
      </c>
      <c r="AU81" t="s">
        <v>433</v>
      </c>
      <c r="AV81" t="s">
        <v>425</v>
      </c>
      <c r="AW81" t="s">
        <v>81</v>
      </c>
      <c r="AX81">
        <v>111.133</v>
      </c>
      <c r="AY81">
        <v>1.0062587218588701</v>
      </c>
      <c r="AZ81">
        <v>111.82855053634179</v>
      </c>
      <c r="BA81">
        <v>663.92</v>
      </c>
      <c r="BB81">
        <v>1</v>
      </c>
      <c r="BC81">
        <v>74.245211272088028</v>
      </c>
      <c r="BD81">
        <v>0.92979999999999996</v>
      </c>
      <c r="BE81" s="63">
        <v>69.033000000000001</v>
      </c>
      <c r="BF81">
        <v>8.9176000000000002</v>
      </c>
      <c r="BG81">
        <v>1</v>
      </c>
      <c r="BH81">
        <v>5957.6282116020648</v>
      </c>
      <c r="BI81">
        <v>1.0375922509225091</v>
      </c>
      <c r="BJ81" s="63">
        <v>6181.5888999999997</v>
      </c>
      <c r="BK81" s="61">
        <v>87398.357573116591</v>
      </c>
    </row>
    <row r="82" spans="1:63" x14ac:dyDescent="0.25">
      <c r="A82">
        <v>173</v>
      </c>
      <c r="B82" t="s">
        <v>124</v>
      </c>
      <c r="C82">
        <v>2017</v>
      </c>
      <c r="D82">
        <v>2</v>
      </c>
      <c r="E82" t="s">
        <v>100</v>
      </c>
      <c r="F82" t="s">
        <v>426</v>
      </c>
      <c r="G82" t="s">
        <v>427</v>
      </c>
      <c r="H82" t="s">
        <v>84</v>
      </c>
      <c r="I82" t="s">
        <v>430</v>
      </c>
      <c r="J82" t="s">
        <v>59</v>
      </c>
      <c r="K82">
        <v>-658.58793264999997</v>
      </c>
      <c r="L82" t="s">
        <v>59</v>
      </c>
      <c r="M82" t="s">
        <v>382</v>
      </c>
      <c r="N82">
        <v>2.6402538000080002E-2</v>
      </c>
      <c r="O82">
        <v>17.388392918185751</v>
      </c>
      <c r="P82" t="s">
        <v>440</v>
      </c>
      <c r="Q82">
        <v>2</v>
      </c>
      <c r="R82">
        <v>29.947030000000002</v>
      </c>
      <c r="S82">
        <v>0.11</v>
      </c>
      <c r="T82">
        <v>3.2941733000000002</v>
      </c>
      <c r="U82">
        <v>1.9E-2</v>
      </c>
      <c r="V82">
        <v>62.588999999999999</v>
      </c>
      <c r="W82">
        <v>2</v>
      </c>
      <c r="X82">
        <v>7.9886241990000002E-3</v>
      </c>
      <c r="Y82">
        <v>1</v>
      </c>
      <c r="Z82" s="61">
        <v>17.388393000000001</v>
      </c>
      <c r="AA82" t="s">
        <v>336</v>
      </c>
      <c r="AB82" t="s">
        <v>433</v>
      </c>
      <c r="AC82" t="s">
        <v>425</v>
      </c>
      <c r="AD82" t="s">
        <v>81</v>
      </c>
      <c r="AE82">
        <v>111.133</v>
      </c>
      <c r="AF82">
        <v>0.99819678194932504</v>
      </c>
      <c r="AG82">
        <v>110.9326029683743</v>
      </c>
      <c r="AH82">
        <v>682.07</v>
      </c>
      <c r="AI82">
        <v>1</v>
      </c>
      <c r="AJ82">
        <v>75.663800506639092</v>
      </c>
      <c r="AK82">
        <v>0.92979999999999996</v>
      </c>
      <c r="AL82" s="63">
        <v>70.352000000000004</v>
      </c>
      <c r="AM82">
        <v>8.9176000000000002</v>
      </c>
      <c r="AN82">
        <v>8.9015196227113016</v>
      </c>
      <c r="AO82">
        <v>1</v>
      </c>
      <c r="AP82">
        <v>6071.4594890626977</v>
      </c>
      <c r="AQ82">
        <v>1.0375922509225091</v>
      </c>
      <c r="AR82">
        <v>6299.6993000000002</v>
      </c>
      <c r="AS82" s="61">
        <v>109541.6472102249</v>
      </c>
      <c r="AT82" t="s">
        <v>339</v>
      </c>
      <c r="AU82" t="s">
        <v>433</v>
      </c>
      <c r="AV82" t="s">
        <v>425</v>
      </c>
      <c r="AW82" t="s">
        <v>81</v>
      </c>
      <c r="AX82">
        <v>111.133</v>
      </c>
      <c r="AY82">
        <v>1.0062587218588701</v>
      </c>
      <c r="AZ82">
        <v>111.82855053634179</v>
      </c>
      <c r="BA82">
        <v>663.92</v>
      </c>
      <c r="BB82">
        <v>1</v>
      </c>
      <c r="BC82">
        <v>74.245211272088028</v>
      </c>
      <c r="BD82">
        <v>0.92979999999999996</v>
      </c>
      <c r="BE82" s="63">
        <v>69.033000000000001</v>
      </c>
      <c r="BF82">
        <v>8.9176000000000002</v>
      </c>
      <c r="BG82">
        <v>1</v>
      </c>
      <c r="BH82">
        <v>5957.6282116020648</v>
      </c>
      <c r="BI82">
        <v>1.0375922509225091</v>
      </c>
      <c r="BJ82" s="63">
        <v>6181.5888999999997</v>
      </c>
      <c r="BK82" s="61">
        <v>107487.89715763769</v>
      </c>
    </row>
    <row r="83" spans="1:63" x14ac:dyDescent="0.25">
      <c r="A83">
        <v>175</v>
      </c>
      <c r="B83" t="s">
        <v>124</v>
      </c>
      <c r="C83">
        <v>2017</v>
      </c>
      <c r="D83">
        <v>2</v>
      </c>
      <c r="E83" t="s">
        <v>100</v>
      </c>
      <c r="F83" t="s">
        <v>426</v>
      </c>
      <c r="G83" t="s">
        <v>427</v>
      </c>
      <c r="H83" t="s">
        <v>84</v>
      </c>
      <c r="I83" t="s">
        <v>428</v>
      </c>
      <c r="J83" t="s">
        <v>381</v>
      </c>
      <c r="K83">
        <v>-1917.15321713</v>
      </c>
      <c r="L83" t="s">
        <v>381</v>
      </c>
      <c r="M83" t="s">
        <v>383</v>
      </c>
      <c r="N83">
        <v>1.0246055789999</v>
      </c>
      <c r="O83">
        <v>1964.325882069005</v>
      </c>
      <c r="P83" t="s">
        <v>440</v>
      </c>
      <c r="Q83">
        <v>2</v>
      </c>
      <c r="R83">
        <v>29.947030000000002</v>
      </c>
      <c r="S83">
        <v>0.11</v>
      </c>
      <c r="T83">
        <v>3.2941733000000002</v>
      </c>
      <c r="U83">
        <v>0.98099999999999998</v>
      </c>
      <c r="V83">
        <v>3231.5839999999998</v>
      </c>
      <c r="W83">
        <v>2</v>
      </c>
      <c r="X83">
        <v>1.54722885E-4</v>
      </c>
      <c r="Y83">
        <v>1</v>
      </c>
      <c r="Z83" s="61">
        <v>1964.3258820000001</v>
      </c>
      <c r="AA83" t="s">
        <v>336</v>
      </c>
      <c r="AB83" t="s">
        <v>433</v>
      </c>
      <c r="AC83" t="s">
        <v>425</v>
      </c>
      <c r="AD83" t="s">
        <v>27</v>
      </c>
      <c r="AE83">
        <v>111.133</v>
      </c>
      <c r="AF83">
        <v>0.99819678194932504</v>
      </c>
      <c r="AG83">
        <v>110.9326029683743</v>
      </c>
      <c r="AH83">
        <v>682.07</v>
      </c>
      <c r="AI83">
        <v>1</v>
      </c>
      <c r="AJ83">
        <v>75.663800506639092</v>
      </c>
      <c r="AK83">
        <v>0.99739999999999995</v>
      </c>
      <c r="AL83" s="63">
        <v>75.466999999999999</v>
      </c>
      <c r="AM83">
        <v>8.9176000000000002</v>
      </c>
      <c r="AN83">
        <v>8.9015196227113016</v>
      </c>
      <c r="AO83">
        <v>1</v>
      </c>
      <c r="AP83">
        <v>6071.4594890626977</v>
      </c>
      <c r="AQ83">
        <v>1.0108695652173909</v>
      </c>
      <c r="AR83">
        <v>6137.4535999999998</v>
      </c>
      <c r="AS83" s="61">
        <v>12055958.956054069</v>
      </c>
      <c r="AT83" t="s">
        <v>339</v>
      </c>
      <c r="AU83" t="s">
        <v>433</v>
      </c>
      <c r="AV83" t="s">
        <v>425</v>
      </c>
      <c r="AW83" t="s">
        <v>27</v>
      </c>
      <c r="AX83">
        <v>111.133</v>
      </c>
      <c r="AY83">
        <v>1.0062587218588701</v>
      </c>
      <c r="AZ83">
        <v>111.82855053634179</v>
      </c>
      <c r="BA83">
        <v>663.92</v>
      </c>
      <c r="BB83">
        <v>1</v>
      </c>
      <c r="BC83">
        <v>74.245211272088028</v>
      </c>
      <c r="BD83">
        <v>0.99739999999999995</v>
      </c>
      <c r="BE83" s="63">
        <v>74.052000000000007</v>
      </c>
      <c r="BF83">
        <v>8.9176000000000002</v>
      </c>
      <c r="BG83">
        <v>1</v>
      </c>
      <c r="BH83">
        <v>5957.6282116020648</v>
      </c>
      <c r="BI83">
        <v>1.0108695652173909</v>
      </c>
      <c r="BJ83" s="63">
        <v>6022.3850000000002</v>
      </c>
      <c r="BK83" s="61">
        <v>11829926.72686857</v>
      </c>
    </row>
    <row r="84" spans="1:63" x14ac:dyDescent="0.25">
      <c r="A84">
        <v>175</v>
      </c>
      <c r="B84" t="s">
        <v>124</v>
      </c>
      <c r="C84">
        <v>2017</v>
      </c>
      <c r="D84">
        <v>2</v>
      </c>
      <c r="E84" t="s">
        <v>100</v>
      </c>
      <c r="F84" t="s">
        <v>426</v>
      </c>
      <c r="G84" t="s">
        <v>427</v>
      </c>
      <c r="H84" t="s">
        <v>84</v>
      </c>
      <c r="I84" t="s">
        <v>429</v>
      </c>
      <c r="J84" t="s">
        <v>87</v>
      </c>
      <c r="K84">
        <v>-527.19524751999995</v>
      </c>
      <c r="L84" t="s">
        <v>87</v>
      </c>
      <c r="M84" t="s">
        <v>383</v>
      </c>
      <c r="N84">
        <v>1.0126516739998299</v>
      </c>
      <c r="O84">
        <v>533.86514992588275</v>
      </c>
      <c r="P84" t="s">
        <v>440</v>
      </c>
      <c r="Q84">
        <v>2</v>
      </c>
      <c r="R84">
        <v>29.947030000000002</v>
      </c>
      <c r="S84">
        <v>0.11</v>
      </c>
      <c r="T84">
        <v>3.2941733000000002</v>
      </c>
      <c r="U84">
        <v>0.98099999999999998</v>
      </c>
      <c r="V84">
        <v>3231.5839999999998</v>
      </c>
      <c r="W84">
        <v>2</v>
      </c>
      <c r="X84">
        <v>1.54722885E-4</v>
      </c>
      <c r="Y84">
        <v>1</v>
      </c>
      <c r="Z84" s="61">
        <v>533.86514999999997</v>
      </c>
      <c r="AA84" t="s">
        <v>336</v>
      </c>
      <c r="AB84" t="s">
        <v>433</v>
      </c>
      <c r="AC84" t="s">
        <v>425</v>
      </c>
      <c r="AD84" t="s">
        <v>27</v>
      </c>
      <c r="AE84">
        <v>111.133</v>
      </c>
      <c r="AF84">
        <v>0.99819678194932504</v>
      </c>
      <c r="AG84">
        <v>110.9326029683743</v>
      </c>
      <c r="AH84">
        <v>682.07</v>
      </c>
      <c r="AI84">
        <v>1</v>
      </c>
      <c r="AJ84">
        <v>75.663800506639092</v>
      </c>
      <c r="AK84">
        <v>0.99739999999999995</v>
      </c>
      <c r="AL84" s="63">
        <v>75.466999999999999</v>
      </c>
      <c r="AM84">
        <v>8.9176000000000002</v>
      </c>
      <c r="AN84">
        <v>8.9015196227113016</v>
      </c>
      <c r="AO84">
        <v>1</v>
      </c>
      <c r="AP84">
        <v>6071.4594890626977</v>
      </c>
      <c r="AQ84">
        <v>1.0108695652173909</v>
      </c>
      <c r="AR84">
        <v>6137.4535999999998</v>
      </c>
      <c r="AS84" s="61">
        <v>3276572.5867820401</v>
      </c>
      <c r="AT84" t="s">
        <v>339</v>
      </c>
      <c r="AU84" t="s">
        <v>433</v>
      </c>
      <c r="AV84" t="s">
        <v>425</v>
      </c>
      <c r="AW84" t="s">
        <v>27</v>
      </c>
      <c r="AX84">
        <v>111.133</v>
      </c>
      <c r="AY84">
        <v>1.0062587218588701</v>
      </c>
      <c r="AZ84">
        <v>111.82855053634179</v>
      </c>
      <c r="BA84">
        <v>663.92</v>
      </c>
      <c r="BB84">
        <v>1</v>
      </c>
      <c r="BC84">
        <v>74.245211272088028</v>
      </c>
      <c r="BD84">
        <v>0.99739999999999995</v>
      </c>
      <c r="BE84" s="63">
        <v>74.052000000000007</v>
      </c>
      <c r="BF84">
        <v>8.9176000000000002</v>
      </c>
      <c r="BG84">
        <v>1</v>
      </c>
      <c r="BH84">
        <v>5957.6282116020648</v>
      </c>
      <c r="BI84">
        <v>1.0108695652173909</v>
      </c>
      <c r="BJ84" s="63">
        <v>6022.3850000000002</v>
      </c>
      <c r="BK84" s="61">
        <v>3215141.4713827502</v>
      </c>
    </row>
    <row r="85" spans="1:63" x14ac:dyDescent="0.25">
      <c r="A85">
        <v>175</v>
      </c>
      <c r="B85" t="s">
        <v>124</v>
      </c>
      <c r="C85">
        <v>2017</v>
      </c>
      <c r="D85">
        <v>2</v>
      </c>
      <c r="E85" t="s">
        <v>100</v>
      </c>
      <c r="F85" t="s">
        <v>426</v>
      </c>
      <c r="G85" t="s">
        <v>427</v>
      </c>
      <c r="H85" t="s">
        <v>84</v>
      </c>
      <c r="I85" t="s">
        <v>430</v>
      </c>
      <c r="J85" t="s">
        <v>59</v>
      </c>
      <c r="K85">
        <v>-658.58793264999997</v>
      </c>
      <c r="L85" t="s">
        <v>59</v>
      </c>
      <c r="M85" t="s">
        <v>383</v>
      </c>
      <c r="N85">
        <v>1.0130674620001301</v>
      </c>
      <c r="O85">
        <v>667.19400543364804</v>
      </c>
      <c r="P85" t="s">
        <v>440</v>
      </c>
      <c r="Q85">
        <v>2</v>
      </c>
      <c r="R85">
        <v>29.947030000000002</v>
      </c>
      <c r="S85">
        <v>0.11</v>
      </c>
      <c r="T85">
        <v>3.2941733000000002</v>
      </c>
      <c r="U85">
        <v>0.98099999999999998</v>
      </c>
      <c r="V85">
        <v>3231.5839999999998</v>
      </c>
      <c r="W85">
        <v>2</v>
      </c>
      <c r="X85">
        <v>1.54722885E-4</v>
      </c>
      <c r="Y85">
        <v>1</v>
      </c>
      <c r="Z85" s="61">
        <v>667.19400499999995</v>
      </c>
      <c r="AA85" t="s">
        <v>336</v>
      </c>
      <c r="AB85" t="s">
        <v>433</v>
      </c>
      <c r="AC85" t="s">
        <v>425</v>
      </c>
      <c r="AD85" t="s">
        <v>27</v>
      </c>
      <c r="AE85">
        <v>111.133</v>
      </c>
      <c r="AF85">
        <v>0.99819678194932504</v>
      </c>
      <c r="AG85">
        <v>110.9326029683743</v>
      </c>
      <c r="AH85">
        <v>682.07</v>
      </c>
      <c r="AI85">
        <v>1</v>
      </c>
      <c r="AJ85">
        <v>75.663800506639092</v>
      </c>
      <c r="AK85">
        <v>0.99739999999999995</v>
      </c>
      <c r="AL85" s="63">
        <v>75.466999999999999</v>
      </c>
      <c r="AM85">
        <v>8.9176000000000002</v>
      </c>
      <c r="AN85">
        <v>8.9015196227113016</v>
      </c>
      <c r="AO85">
        <v>1</v>
      </c>
      <c r="AP85">
        <v>6071.4594890626977</v>
      </c>
      <c r="AQ85">
        <v>1.0108695652173909</v>
      </c>
      <c r="AR85">
        <v>6137.4535999999998</v>
      </c>
      <c r="AS85" s="61">
        <v>4094872.2478856682</v>
      </c>
      <c r="AT85" t="s">
        <v>339</v>
      </c>
      <c r="AU85" t="s">
        <v>433</v>
      </c>
      <c r="AV85" t="s">
        <v>425</v>
      </c>
      <c r="AW85" t="s">
        <v>27</v>
      </c>
      <c r="AX85">
        <v>111.133</v>
      </c>
      <c r="AY85">
        <v>1.0062587218588701</v>
      </c>
      <c r="AZ85">
        <v>111.82855053634179</v>
      </c>
      <c r="BA85">
        <v>663.92</v>
      </c>
      <c r="BB85">
        <v>1</v>
      </c>
      <c r="BC85">
        <v>74.245211272088028</v>
      </c>
      <c r="BD85">
        <v>0.99739999999999995</v>
      </c>
      <c r="BE85" s="63">
        <v>74.052000000000007</v>
      </c>
      <c r="BF85">
        <v>8.9176000000000002</v>
      </c>
      <c r="BG85">
        <v>1</v>
      </c>
      <c r="BH85">
        <v>5957.6282116020648</v>
      </c>
      <c r="BI85">
        <v>1.0108695652173909</v>
      </c>
      <c r="BJ85" s="63">
        <v>6022.3850000000002</v>
      </c>
      <c r="BK85" s="61">
        <v>4018099.167801925</v>
      </c>
    </row>
    <row r="86" spans="1:63" x14ac:dyDescent="0.25">
      <c r="A86">
        <v>193</v>
      </c>
      <c r="B86" t="s">
        <v>125</v>
      </c>
      <c r="C86">
        <v>2017</v>
      </c>
      <c r="D86">
        <v>3</v>
      </c>
      <c r="E86" t="s">
        <v>100</v>
      </c>
      <c r="F86" t="s">
        <v>426</v>
      </c>
      <c r="G86" t="s">
        <v>427</v>
      </c>
      <c r="H86" t="s">
        <v>84</v>
      </c>
      <c r="I86" t="s">
        <v>428</v>
      </c>
      <c r="J86" t="s">
        <v>381</v>
      </c>
      <c r="K86">
        <v>-2033.8479460599999</v>
      </c>
      <c r="L86" t="s">
        <v>381</v>
      </c>
      <c r="M86" t="s">
        <v>382</v>
      </c>
      <c r="N86">
        <v>1.4548156723420001E-2</v>
      </c>
      <c r="O86">
        <v>29.588738670886741</v>
      </c>
      <c r="P86" t="s">
        <v>440</v>
      </c>
      <c r="Q86">
        <v>2</v>
      </c>
      <c r="R86">
        <v>29.947030000000002</v>
      </c>
      <c r="S86">
        <v>0.115</v>
      </c>
      <c r="T86">
        <v>3.4439085</v>
      </c>
      <c r="U86">
        <v>1.9E-2</v>
      </c>
      <c r="V86">
        <v>65.433999999999997</v>
      </c>
      <c r="W86">
        <v>2</v>
      </c>
      <c r="X86">
        <v>7.6412874040000002E-3</v>
      </c>
      <c r="Y86">
        <v>1</v>
      </c>
      <c r="Z86" s="61">
        <v>29.588739</v>
      </c>
      <c r="AA86" t="s">
        <v>336</v>
      </c>
      <c r="AB86" t="s">
        <v>433</v>
      </c>
      <c r="AC86" t="s">
        <v>425</v>
      </c>
      <c r="AD86" t="s">
        <v>81</v>
      </c>
      <c r="AE86">
        <v>111.133</v>
      </c>
      <c r="AF86">
        <v>0.99819678194932504</v>
      </c>
      <c r="AG86">
        <v>110.9326029683743</v>
      </c>
      <c r="AH86">
        <v>682.07</v>
      </c>
      <c r="AI86">
        <v>1</v>
      </c>
      <c r="AJ86">
        <v>75.663800506639092</v>
      </c>
      <c r="AK86">
        <v>0.92979999999999996</v>
      </c>
      <c r="AL86" s="63">
        <v>70.352000000000004</v>
      </c>
      <c r="AM86">
        <v>8.9176000000000002</v>
      </c>
      <c r="AN86">
        <v>8.9015196227113016</v>
      </c>
      <c r="AO86">
        <v>1</v>
      </c>
      <c r="AP86">
        <v>6071.4594890626977</v>
      </c>
      <c r="AQ86">
        <v>1.0375922509225091</v>
      </c>
      <c r="AR86">
        <v>6299.6993000000002</v>
      </c>
      <c r="AS86" s="61">
        <v>186400.1583661827</v>
      </c>
      <c r="AT86" t="s">
        <v>339</v>
      </c>
      <c r="AU86" t="s">
        <v>433</v>
      </c>
      <c r="AV86" t="s">
        <v>425</v>
      </c>
      <c r="AW86" t="s">
        <v>81</v>
      </c>
      <c r="AX86">
        <v>111.133</v>
      </c>
      <c r="AY86">
        <v>1.0062587218588701</v>
      </c>
      <c r="AZ86">
        <v>111.82855053634179</v>
      </c>
      <c r="BA86">
        <v>663.92</v>
      </c>
      <c r="BB86">
        <v>1</v>
      </c>
      <c r="BC86">
        <v>74.245211272088028</v>
      </c>
      <c r="BD86">
        <v>0.92979999999999996</v>
      </c>
      <c r="BE86" s="63">
        <v>69.033000000000001</v>
      </c>
      <c r="BF86">
        <v>8.9176000000000002</v>
      </c>
      <c r="BG86">
        <v>1</v>
      </c>
      <c r="BH86">
        <v>5957.6282116020648</v>
      </c>
      <c r="BI86">
        <v>1.0375922509225091</v>
      </c>
      <c r="BJ86" s="63">
        <v>6181.5888999999997</v>
      </c>
      <c r="BK86" s="61">
        <v>182905.42056739709</v>
      </c>
    </row>
    <row r="87" spans="1:63" x14ac:dyDescent="0.25">
      <c r="A87">
        <v>193</v>
      </c>
      <c r="B87" t="s">
        <v>125</v>
      </c>
      <c r="C87">
        <v>2017</v>
      </c>
      <c r="D87">
        <v>3</v>
      </c>
      <c r="E87" t="s">
        <v>100</v>
      </c>
      <c r="F87" t="s">
        <v>426</v>
      </c>
      <c r="G87" t="s">
        <v>427</v>
      </c>
      <c r="H87" t="s">
        <v>84</v>
      </c>
      <c r="I87" t="s">
        <v>429</v>
      </c>
      <c r="J87" t="s">
        <v>87</v>
      </c>
      <c r="K87">
        <v>-512.70944611000004</v>
      </c>
      <c r="L87" t="s">
        <v>87</v>
      </c>
      <c r="M87" t="s">
        <v>382</v>
      </c>
      <c r="N87">
        <v>2.5599311181759999E-2</v>
      </c>
      <c r="O87">
        <v>13.1250086567977</v>
      </c>
      <c r="P87" t="s">
        <v>440</v>
      </c>
      <c r="Q87">
        <v>2</v>
      </c>
      <c r="R87">
        <v>29.947030000000002</v>
      </c>
      <c r="S87">
        <v>0.115</v>
      </c>
      <c r="T87">
        <v>3.4439085</v>
      </c>
      <c r="U87">
        <v>1.9E-2</v>
      </c>
      <c r="V87">
        <v>65.433999999999997</v>
      </c>
      <c r="W87">
        <v>2</v>
      </c>
      <c r="X87">
        <v>7.6412874040000002E-3</v>
      </c>
      <c r="Y87">
        <v>1</v>
      </c>
      <c r="Z87" s="61">
        <v>13.125009</v>
      </c>
      <c r="AA87" t="s">
        <v>336</v>
      </c>
      <c r="AB87" t="s">
        <v>433</v>
      </c>
      <c r="AC87" t="s">
        <v>425</v>
      </c>
      <c r="AD87" t="s">
        <v>81</v>
      </c>
      <c r="AE87">
        <v>111.133</v>
      </c>
      <c r="AF87">
        <v>0.99819678194932504</v>
      </c>
      <c r="AG87">
        <v>110.9326029683743</v>
      </c>
      <c r="AH87">
        <v>682.07</v>
      </c>
      <c r="AI87">
        <v>1</v>
      </c>
      <c r="AJ87">
        <v>75.663800506639092</v>
      </c>
      <c r="AK87">
        <v>0.92979999999999996</v>
      </c>
      <c r="AL87" s="63">
        <v>70.352000000000004</v>
      </c>
      <c r="AM87">
        <v>8.9176000000000002</v>
      </c>
      <c r="AN87">
        <v>8.9015196227113016</v>
      </c>
      <c r="AO87">
        <v>1</v>
      </c>
      <c r="AP87">
        <v>6071.4594890626977</v>
      </c>
      <c r="AQ87">
        <v>1.0375922509225091</v>
      </c>
      <c r="AR87">
        <v>6299.6993000000002</v>
      </c>
      <c r="AS87" s="61">
        <v>82683.610009793701</v>
      </c>
      <c r="AT87" t="s">
        <v>339</v>
      </c>
      <c r="AU87" t="s">
        <v>433</v>
      </c>
      <c r="AV87" t="s">
        <v>425</v>
      </c>
      <c r="AW87" t="s">
        <v>81</v>
      </c>
      <c r="AX87">
        <v>111.133</v>
      </c>
      <c r="AY87">
        <v>1.0062587218588701</v>
      </c>
      <c r="AZ87">
        <v>111.82855053634179</v>
      </c>
      <c r="BA87">
        <v>663.92</v>
      </c>
      <c r="BB87">
        <v>1</v>
      </c>
      <c r="BC87">
        <v>74.245211272088028</v>
      </c>
      <c r="BD87">
        <v>0.92979999999999996</v>
      </c>
      <c r="BE87" s="63">
        <v>69.033000000000001</v>
      </c>
      <c r="BF87">
        <v>8.9176000000000002</v>
      </c>
      <c r="BG87">
        <v>1</v>
      </c>
      <c r="BH87">
        <v>5957.6282116020648</v>
      </c>
      <c r="BI87">
        <v>1.0375922509225091</v>
      </c>
      <c r="BJ87" s="63">
        <v>6181.5888999999997</v>
      </c>
      <c r="BK87" s="61">
        <v>81133.409946800093</v>
      </c>
    </row>
    <row r="88" spans="1:63" x14ac:dyDescent="0.25">
      <c r="A88">
        <v>193</v>
      </c>
      <c r="B88" t="s">
        <v>125</v>
      </c>
      <c r="C88">
        <v>2017</v>
      </c>
      <c r="D88">
        <v>3</v>
      </c>
      <c r="E88" t="s">
        <v>100</v>
      </c>
      <c r="F88" t="s">
        <v>426</v>
      </c>
      <c r="G88" t="s">
        <v>427</v>
      </c>
      <c r="H88" t="s">
        <v>84</v>
      </c>
      <c r="I88" t="s">
        <v>430</v>
      </c>
      <c r="J88" t="s">
        <v>59</v>
      </c>
      <c r="K88">
        <v>-652.02333047000002</v>
      </c>
      <c r="L88" t="s">
        <v>59</v>
      </c>
      <c r="M88" t="s">
        <v>382</v>
      </c>
      <c r="N88">
        <v>2.58407818723E-2</v>
      </c>
      <c r="O88">
        <v>16.848792658325848</v>
      </c>
      <c r="P88" t="s">
        <v>440</v>
      </c>
      <c r="Q88">
        <v>2</v>
      </c>
      <c r="R88">
        <v>29.947030000000002</v>
      </c>
      <c r="S88">
        <v>0.115</v>
      </c>
      <c r="T88">
        <v>3.4439085</v>
      </c>
      <c r="U88">
        <v>1.9E-2</v>
      </c>
      <c r="V88">
        <v>65.433999999999997</v>
      </c>
      <c r="W88">
        <v>2</v>
      </c>
      <c r="X88">
        <v>7.6412874040000002E-3</v>
      </c>
      <c r="Y88">
        <v>1</v>
      </c>
      <c r="Z88" s="61">
        <v>16.848793000000001</v>
      </c>
      <c r="AA88" t="s">
        <v>336</v>
      </c>
      <c r="AB88" t="s">
        <v>433</v>
      </c>
      <c r="AC88" t="s">
        <v>425</v>
      </c>
      <c r="AD88" t="s">
        <v>81</v>
      </c>
      <c r="AE88">
        <v>111.133</v>
      </c>
      <c r="AF88">
        <v>0.99819678194932504</v>
      </c>
      <c r="AG88">
        <v>110.9326029683743</v>
      </c>
      <c r="AH88">
        <v>682.07</v>
      </c>
      <c r="AI88">
        <v>1</v>
      </c>
      <c r="AJ88">
        <v>75.663800506639092</v>
      </c>
      <c r="AK88">
        <v>0.92979999999999996</v>
      </c>
      <c r="AL88" s="63">
        <v>70.352000000000004</v>
      </c>
      <c r="AM88">
        <v>8.9176000000000002</v>
      </c>
      <c r="AN88">
        <v>8.9015196227113016</v>
      </c>
      <c r="AO88">
        <v>1</v>
      </c>
      <c r="AP88">
        <v>6071.4594890626977</v>
      </c>
      <c r="AQ88">
        <v>1.0375922509225091</v>
      </c>
      <c r="AR88">
        <v>6299.6993000000002</v>
      </c>
      <c r="AS88" s="61">
        <v>106142.3294679449</v>
      </c>
      <c r="AT88" t="s">
        <v>339</v>
      </c>
      <c r="AU88" t="s">
        <v>433</v>
      </c>
      <c r="AV88" t="s">
        <v>425</v>
      </c>
      <c r="AW88" t="s">
        <v>81</v>
      </c>
      <c r="AX88">
        <v>111.133</v>
      </c>
      <c r="AY88">
        <v>1.0062587218588701</v>
      </c>
      <c r="AZ88">
        <v>111.82855053634179</v>
      </c>
      <c r="BA88">
        <v>663.92</v>
      </c>
      <c r="BB88">
        <v>1</v>
      </c>
      <c r="BC88">
        <v>74.245211272088028</v>
      </c>
      <c r="BD88">
        <v>0.92979999999999996</v>
      </c>
      <c r="BE88" s="63">
        <v>69.033000000000001</v>
      </c>
      <c r="BF88">
        <v>8.9176000000000002</v>
      </c>
      <c r="BG88">
        <v>1</v>
      </c>
      <c r="BH88">
        <v>5957.6282116020648</v>
      </c>
      <c r="BI88">
        <v>1.0375922509225091</v>
      </c>
      <c r="BJ88" s="63">
        <v>6181.5888999999997</v>
      </c>
      <c r="BK88" s="61">
        <v>104152.3117871977</v>
      </c>
    </row>
    <row r="89" spans="1:63" x14ac:dyDescent="0.25">
      <c r="A89">
        <v>195</v>
      </c>
      <c r="B89" t="s">
        <v>125</v>
      </c>
      <c r="C89">
        <v>2017</v>
      </c>
      <c r="D89">
        <v>3</v>
      </c>
      <c r="E89" t="s">
        <v>100</v>
      </c>
      <c r="F89" t="s">
        <v>426</v>
      </c>
      <c r="G89" t="s">
        <v>427</v>
      </c>
      <c r="H89" t="s">
        <v>84</v>
      </c>
      <c r="I89" t="s">
        <v>428</v>
      </c>
      <c r="J89" t="s">
        <v>381</v>
      </c>
      <c r="K89">
        <v>-2033.8479460599999</v>
      </c>
      <c r="L89" t="s">
        <v>381</v>
      </c>
      <c r="M89" t="s">
        <v>383</v>
      </c>
      <c r="N89">
        <v>1.0028054602980501</v>
      </c>
      <c r="O89">
        <v>2039.553825724942</v>
      </c>
      <c r="P89" t="s">
        <v>440</v>
      </c>
      <c r="Q89">
        <v>2</v>
      </c>
      <c r="R89">
        <v>29.947030000000002</v>
      </c>
      <c r="S89">
        <v>0.115</v>
      </c>
      <c r="T89">
        <v>3.4439085</v>
      </c>
      <c r="U89">
        <v>0.98099999999999998</v>
      </c>
      <c r="V89">
        <v>3378.4740000000002</v>
      </c>
      <c r="W89">
        <v>2</v>
      </c>
      <c r="X89">
        <v>1.4799581100000001E-4</v>
      </c>
      <c r="Y89">
        <v>1</v>
      </c>
      <c r="Z89" s="61">
        <v>2039.5538260000001</v>
      </c>
      <c r="AA89" t="s">
        <v>336</v>
      </c>
      <c r="AB89" t="s">
        <v>433</v>
      </c>
      <c r="AC89" t="s">
        <v>425</v>
      </c>
      <c r="AD89" t="s">
        <v>27</v>
      </c>
      <c r="AE89">
        <v>111.133</v>
      </c>
      <c r="AF89">
        <v>0.99819678194932504</v>
      </c>
      <c r="AG89">
        <v>110.9326029683743</v>
      </c>
      <c r="AH89">
        <v>682.07</v>
      </c>
      <c r="AI89">
        <v>1</v>
      </c>
      <c r="AJ89">
        <v>75.663800506639092</v>
      </c>
      <c r="AK89">
        <v>0.99739999999999995</v>
      </c>
      <c r="AL89" s="63">
        <v>75.466999999999999</v>
      </c>
      <c r="AM89">
        <v>8.9176000000000002</v>
      </c>
      <c r="AN89">
        <v>8.9015196227113016</v>
      </c>
      <c r="AO89">
        <v>1</v>
      </c>
      <c r="AP89">
        <v>6071.4594890626977</v>
      </c>
      <c r="AQ89">
        <v>1.0108695652173909</v>
      </c>
      <c r="AR89">
        <v>6137.4535999999998</v>
      </c>
      <c r="AS89" s="61">
        <v>12517666.971777471</v>
      </c>
      <c r="AT89" t="s">
        <v>339</v>
      </c>
      <c r="AU89" t="s">
        <v>433</v>
      </c>
      <c r="AV89" t="s">
        <v>425</v>
      </c>
      <c r="AW89" t="s">
        <v>27</v>
      </c>
      <c r="AX89">
        <v>111.133</v>
      </c>
      <c r="AY89">
        <v>1.0062587218588701</v>
      </c>
      <c r="AZ89">
        <v>111.82855053634179</v>
      </c>
      <c r="BA89">
        <v>663.92</v>
      </c>
      <c r="BB89">
        <v>1</v>
      </c>
      <c r="BC89">
        <v>74.245211272088028</v>
      </c>
      <c r="BD89">
        <v>0.99739999999999995</v>
      </c>
      <c r="BE89" s="63">
        <v>74.052000000000007</v>
      </c>
      <c r="BF89">
        <v>8.9176000000000002</v>
      </c>
      <c r="BG89">
        <v>1</v>
      </c>
      <c r="BH89">
        <v>5957.6282116020648</v>
      </c>
      <c r="BI89">
        <v>1.0108695652173909</v>
      </c>
      <c r="BJ89" s="63">
        <v>6022.3850000000002</v>
      </c>
      <c r="BK89" s="61">
        <v>12282978.36839501</v>
      </c>
    </row>
    <row r="90" spans="1:63" x14ac:dyDescent="0.25">
      <c r="A90">
        <v>195</v>
      </c>
      <c r="B90" t="s">
        <v>125</v>
      </c>
      <c r="C90">
        <v>2017</v>
      </c>
      <c r="D90">
        <v>3</v>
      </c>
      <c r="E90" t="s">
        <v>100</v>
      </c>
      <c r="F90" t="s">
        <v>426</v>
      </c>
      <c r="G90" t="s">
        <v>427</v>
      </c>
      <c r="H90" t="s">
        <v>84</v>
      </c>
      <c r="I90" t="s">
        <v>429</v>
      </c>
      <c r="J90" t="s">
        <v>87</v>
      </c>
      <c r="K90">
        <v>-512.70944611000004</v>
      </c>
      <c r="L90" t="s">
        <v>87</v>
      </c>
      <c r="M90" t="s">
        <v>383</v>
      </c>
      <c r="N90">
        <v>0.96662205245462995</v>
      </c>
      <c r="O90">
        <v>495.5962571117247</v>
      </c>
      <c r="P90" t="s">
        <v>440</v>
      </c>
      <c r="Q90">
        <v>2</v>
      </c>
      <c r="R90">
        <v>29.947030000000002</v>
      </c>
      <c r="S90">
        <v>0.115</v>
      </c>
      <c r="T90">
        <v>3.4439085</v>
      </c>
      <c r="U90">
        <v>0.98099999999999998</v>
      </c>
      <c r="V90">
        <v>3378.4740000000002</v>
      </c>
      <c r="W90">
        <v>2</v>
      </c>
      <c r="X90">
        <v>1.4799581100000001E-4</v>
      </c>
      <c r="Y90">
        <v>1</v>
      </c>
      <c r="Z90" s="61">
        <v>495.59625699999998</v>
      </c>
      <c r="AA90" t="s">
        <v>336</v>
      </c>
      <c r="AB90" t="s">
        <v>433</v>
      </c>
      <c r="AC90" t="s">
        <v>425</v>
      </c>
      <c r="AD90" t="s">
        <v>27</v>
      </c>
      <c r="AE90">
        <v>111.133</v>
      </c>
      <c r="AF90">
        <v>0.99819678194932504</v>
      </c>
      <c r="AG90">
        <v>110.9326029683743</v>
      </c>
      <c r="AH90">
        <v>682.07</v>
      </c>
      <c r="AI90">
        <v>1</v>
      </c>
      <c r="AJ90">
        <v>75.663800506639092</v>
      </c>
      <c r="AK90">
        <v>0.99739999999999995</v>
      </c>
      <c r="AL90" s="63">
        <v>75.466999999999999</v>
      </c>
      <c r="AM90">
        <v>8.9176000000000002</v>
      </c>
      <c r="AN90">
        <v>8.9015196227113016</v>
      </c>
      <c r="AO90">
        <v>1</v>
      </c>
      <c r="AP90">
        <v>6071.4594890626977</v>
      </c>
      <c r="AQ90">
        <v>1.0108695652173909</v>
      </c>
      <c r="AR90">
        <v>6137.4535999999998</v>
      </c>
      <c r="AS90" s="61">
        <v>3041699.0316711748</v>
      </c>
      <c r="AT90" t="s">
        <v>339</v>
      </c>
      <c r="AU90" t="s">
        <v>433</v>
      </c>
      <c r="AV90" t="s">
        <v>425</v>
      </c>
      <c r="AW90" t="s">
        <v>27</v>
      </c>
      <c r="AX90">
        <v>111.133</v>
      </c>
      <c r="AY90">
        <v>1.0062587218588701</v>
      </c>
      <c r="AZ90">
        <v>111.82855053634179</v>
      </c>
      <c r="BA90">
        <v>663.92</v>
      </c>
      <c r="BB90">
        <v>1</v>
      </c>
      <c r="BC90">
        <v>74.245211272088028</v>
      </c>
      <c r="BD90">
        <v>0.99739999999999995</v>
      </c>
      <c r="BE90" s="63">
        <v>74.052000000000007</v>
      </c>
      <c r="BF90">
        <v>8.9176000000000002</v>
      </c>
      <c r="BG90">
        <v>1</v>
      </c>
      <c r="BH90">
        <v>5957.6282116020648</v>
      </c>
      <c r="BI90">
        <v>1.0108695652173909</v>
      </c>
      <c r="BJ90" s="63">
        <v>6022.3850000000002</v>
      </c>
      <c r="BK90" s="61">
        <v>2984671.4642129452</v>
      </c>
    </row>
    <row r="91" spans="1:63" x14ac:dyDescent="0.25">
      <c r="A91">
        <v>195</v>
      </c>
      <c r="B91" t="s">
        <v>125</v>
      </c>
      <c r="C91">
        <v>2017</v>
      </c>
      <c r="D91">
        <v>3</v>
      </c>
      <c r="E91" t="s">
        <v>100</v>
      </c>
      <c r="F91" t="s">
        <v>426</v>
      </c>
      <c r="G91" t="s">
        <v>427</v>
      </c>
      <c r="H91" t="s">
        <v>84</v>
      </c>
      <c r="I91" t="s">
        <v>430</v>
      </c>
      <c r="J91" t="s">
        <v>59</v>
      </c>
      <c r="K91">
        <v>-652.02333047000002</v>
      </c>
      <c r="L91" t="s">
        <v>59</v>
      </c>
      <c r="M91" t="s">
        <v>383</v>
      </c>
      <c r="N91">
        <v>0.99151283514869004</v>
      </c>
      <c r="O91">
        <v>646.48950097740101</v>
      </c>
      <c r="P91" t="s">
        <v>440</v>
      </c>
      <c r="Q91">
        <v>2</v>
      </c>
      <c r="R91">
        <v>29.947030000000002</v>
      </c>
      <c r="S91">
        <v>0.115</v>
      </c>
      <c r="T91">
        <v>3.4439085</v>
      </c>
      <c r="U91">
        <v>0.98099999999999998</v>
      </c>
      <c r="V91">
        <v>3378.4740000000002</v>
      </c>
      <c r="W91">
        <v>2</v>
      </c>
      <c r="X91">
        <v>1.4799581100000001E-4</v>
      </c>
      <c r="Y91">
        <v>1</v>
      </c>
      <c r="Z91" s="61">
        <v>646.48950100000002</v>
      </c>
      <c r="AA91" t="s">
        <v>336</v>
      </c>
      <c r="AB91" t="s">
        <v>433</v>
      </c>
      <c r="AC91" t="s">
        <v>425</v>
      </c>
      <c r="AD91" t="s">
        <v>27</v>
      </c>
      <c r="AE91">
        <v>111.133</v>
      </c>
      <c r="AF91">
        <v>0.99819678194932504</v>
      </c>
      <c r="AG91">
        <v>110.9326029683743</v>
      </c>
      <c r="AH91">
        <v>682.07</v>
      </c>
      <c r="AI91">
        <v>1</v>
      </c>
      <c r="AJ91">
        <v>75.663800506639092</v>
      </c>
      <c r="AK91">
        <v>0.99739999999999995</v>
      </c>
      <c r="AL91" s="63">
        <v>75.466999999999999</v>
      </c>
      <c r="AM91">
        <v>8.9176000000000002</v>
      </c>
      <c r="AN91">
        <v>8.9015196227113016</v>
      </c>
      <c r="AO91">
        <v>1</v>
      </c>
      <c r="AP91">
        <v>6071.4594890626977</v>
      </c>
      <c r="AQ91">
        <v>1.0108695652173909</v>
      </c>
      <c r="AR91">
        <v>6137.4535999999998</v>
      </c>
      <c r="AS91" s="61">
        <v>3967799.315274653</v>
      </c>
      <c r="AT91" t="s">
        <v>339</v>
      </c>
      <c r="AU91" t="s">
        <v>433</v>
      </c>
      <c r="AV91" t="s">
        <v>425</v>
      </c>
      <c r="AW91" t="s">
        <v>27</v>
      </c>
      <c r="AX91">
        <v>111.133</v>
      </c>
      <c r="AY91">
        <v>1.0062587218588701</v>
      </c>
      <c r="AZ91">
        <v>111.82855053634179</v>
      </c>
      <c r="BA91">
        <v>663.92</v>
      </c>
      <c r="BB91">
        <v>1</v>
      </c>
      <c r="BC91">
        <v>74.245211272088028</v>
      </c>
      <c r="BD91">
        <v>0.99739999999999995</v>
      </c>
      <c r="BE91" s="63">
        <v>74.052000000000007</v>
      </c>
      <c r="BF91">
        <v>8.9176000000000002</v>
      </c>
      <c r="BG91">
        <v>1</v>
      </c>
      <c r="BH91">
        <v>5957.6282116020648</v>
      </c>
      <c r="BI91">
        <v>1.0108695652173909</v>
      </c>
      <c r="BJ91" s="63">
        <v>6022.3850000000002</v>
      </c>
      <c r="BK91" s="61">
        <v>3893408.6734798849</v>
      </c>
    </row>
    <row r="92" spans="1:63" x14ac:dyDescent="0.25">
      <c r="A92">
        <v>213</v>
      </c>
      <c r="B92" t="s">
        <v>141</v>
      </c>
      <c r="C92">
        <v>2017</v>
      </c>
      <c r="D92">
        <v>4</v>
      </c>
      <c r="E92" t="s">
        <v>100</v>
      </c>
      <c r="F92" t="s">
        <v>426</v>
      </c>
      <c r="G92" t="s">
        <v>427</v>
      </c>
      <c r="H92" t="s">
        <v>84</v>
      </c>
      <c r="I92" t="s">
        <v>428</v>
      </c>
      <c r="J92" t="s">
        <v>381</v>
      </c>
      <c r="K92">
        <v>-627.60684700000002</v>
      </c>
      <c r="L92" t="s">
        <v>381</v>
      </c>
      <c r="M92" t="s">
        <v>382</v>
      </c>
      <c r="N92">
        <v>1.4548156723370001E-2</v>
      </c>
      <c r="O92">
        <v>9.1305227708160963</v>
      </c>
      <c r="P92" t="s">
        <v>440</v>
      </c>
      <c r="Q92">
        <v>2</v>
      </c>
      <c r="R92">
        <v>29.947030000000002</v>
      </c>
      <c r="S92">
        <v>4.5999999999999999E-2</v>
      </c>
      <c r="T92">
        <v>1.3775634000000001</v>
      </c>
      <c r="U92">
        <v>1.9E-2</v>
      </c>
      <c r="V92">
        <v>26.173999999999999</v>
      </c>
      <c r="W92">
        <v>2</v>
      </c>
      <c r="X92">
        <v>1.9102926568E-2</v>
      </c>
      <c r="Y92">
        <v>1</v>
      </c>
      <c r="Z92" s="61">
        <v>9.1305230000000002</v>
      </c>
      <c r="AA92" t="s">
        <v>336</v>
      </c>
      <c r="AB92" t="s">
        <v>433</v>
      </c>
      <c r="AC92" t="s">
        <v>425</v>
      </c>
      <c r="AD92" t="s">
        <v>81</v>
      </c>
      <c r="AE92">
        <v>111.133</v>
      </c>
      <c r="AF92">
        <v>0.99819678194932504</v>
      </c>
      <c r="AG92">
        <v>110.9326029683743</v>
      </c>
      <c r="AH92">
        <v>682.07</v>
      </c>
      <c r="AI92">
        <v>1</v>
      </c>
      <c r="AJ92">
        <v>75.663800506639092</v>
      </c>
      <c r="AK92">
        <v>0.92979999999999996</v>
      </c>
      <c r="AL92" s="63">
        <v>70.352000000000004</v>
      </c>
      <c r="AM92">
        <v>8.9176000000000002</v>
      </c>
      <c r="AN92">
        <v>8.9015196227113016</v>
      </c>
      <c r="AO92">
        <v>1</v>
      </c>
      <c r="AP92">
        <v>6071.4594890626977</v>
      </c>
      <c r="AQ92">
        <v>1.0375922509225091</v>
      </c>
      <c r="AR92">
        <v>6299.6993000000002</v>
      </c>
      <c r="AS92" s="61">
        <v>57519.549351733913</v>
      </c>
      <c r="AT92" t="s">
        <v>339</v>
      </c>
      <c r="AU92" t="s">
        <v>433</v>
      </c>
      <c r="AV92" t="s">
        <v>425</v>
      </c>
      <c r="AW92" t="s">
        <v>81</v>
      </c>
      <c r="AX92">
        <v>111.133</v>
      </c>
      <c r="AY92">
        <v>1.0062587218588701</v>
      </c>
      <c r="AZ92">
        <v>111.82855053634179</v>
      </c>
      <c r="BA92">
        <v>655.74</v>
      </c>
      <c r="BB92">
        <v>1</v>
      </c>
      <c r="BC92">
        <v>73.330453728700761</v>
      </c>
      <c r="BD92">
        <v>0.92979999999999996</v>
      </c>
      <c r="BE92" s="63">
        <v>68.183000000000007</v>
      </c>
      <c r="BF92">
        <v>8.9176000000000002</v>
      </c>
      <c r="BG92">
        <v>1</v>
      </c>
      <c r="BH92">
        <v>5884.2256950776273</v>
      </c>
      <c r="BI92">
        <v>1.0375922509225091</v>
      </c>
      <c r="BJ92" s="63">
        <v>6105.4269999999997</v>
      </c>
      <c r="BK92" s="61">
        <v>55745.741648321004</v>
      </c>
    </row>
    <row r="93" spans="1:63" x14ac:dyDescent="0.25">
      <c r="A93">
        <v>213</v>
      </c>
      <c r="B93" t="s">
        <v>141</v>
      </c>
      <c r="C93">
        <v>2017</v>
      </c>
      <c r="D93">
        <v>4</v>
      </c>
      <c r="E93" t="s">
        <v>100</v>
      </c>
      <c r="F93" t="s">
        <v>426</v>
      </c>
      <c r="G93" t="s">
        <v>427</v>
      </c>
      <c r="H93" t="s">
        <v>84</v>
      </c>
      <c r="I93" t="s">
        <v>429</v>
      </c>
      <c r="J93" t="s">
        <v>87</v>
      </c>
      <c r="K93">
        <v>-144.39652699999999</v>
      </c>
      <c r="L93" t="s">
        <v>87</v>
      </c>
      <c r="M93" t="s">
        <v>382</v>
      </c>
      <c r="N93">
        <v>2.559931118139E-2</v>
      </c>
      <c r="O93">
        <v>3.6964516281849829</v>
      </c>
      <c r="P93" t="s">
        <v>440</v>
      </c>
      <c r="Q93">
        <v>2</v>
      </c>
      <c r="R93">
        <v>29.947030000000002</v>
      </c>
      <c r="S93">
        <v>4.5999999999999999E-2</v>
      </c>
      <c r="T93">
        <v>1.3775634000000001</v>
      </c>
      <c r="U93">
        <v>1.9E-2</v>
      </c>
      <c r="V93">
        <v>26.173999999999999</v>
      </c>
      <c r="W93">
        <v>2</v>
      </c>
      <c r="X93">
        <v>1.9102926568E-2</v>
      </c>
      <c r="Y93">
        <v>1</v>
      </c>
      <c r="Z93" s="61">
        <v>3.6964519999999998</v>
      </c>
      <c r="AA93" t="s">
        <v>336</v>
      </c>
      <c r="AB93" t="s">
        <v>433</v>
      </c>
      <c r="AC93" t="s">
        <v>425</v>
      </c>
      <c r="AD93" t="s">
        <v>81</v>
      </c>
      <c r="AE93">
        <v>111.133</v>
      </c>
      <c r="AF93">
        <v>0.99819678194932504</v>
      </c>
      <c r="AG93">
        <v>110.9326029683743</v>
      </c>
      <c r="AH93">
        <v>682.07</v>
      </c>
      <c r="AI93">
        <v>1</v>
      </c>
      <c r="AJ93">
        <v>75.663800506639092</v>
      </c>
      <c r="AK93">
        <v>0.92979999999999996</v>
      </c>
      <c r="AL93" s="63">
        <v>70.352000000000004</v>
      </c>
      <c r="AM93">
        <v>8.9176000000000002</v>
      </c>
      <c r="AN93">
        <v>8.9015196227113016</v>
      </c>
      <c r="AO93">
        <v>1</v>
      </c>
      <c r="AP93">
        <v>6071.4594890626977</v>
      </c>
      <c r="AQ93">
        <v>1.0375922509225091</v>
      </c>
      <c r="AR93">
        <v>6299.6993000000002</v>
      </c>
      <c r="AS93" s="61">
        <v>23286.5360768836</v>
      </c>
      <c r="AT93" t="s">
        <v>339</v>
      </c>
      <c r="AU93" t="s">
        <v>433</v>
      </c>
      <c r="AV93" t="s">
        <v>425</v>
      </c>
      <c r="AW93" t="s">
        <v>81</v>
      </c>
      <c r="AX93">
        <v>111.133</v>
      </c>
      <c r="AY93">
        <v>1.0062587218588701</v>
      </c>
      <c r="AZ93">
        <v>111.82855053634179</v>
      </c>
      <c r="BA93">
        <v>655.74</v>
      </c>
      <c r="BB93">
        <v>1</v>
      </c>
      <c r="BC93">
        <v>73.330453728700761</v>
      </c>
      <c r="BD93">
        <v>0.92979999999999996</v>
      </c>
      <c r="BE93" s="63">
        <v>68.183000000000007</v>
      </c>
      <c r="BF93">
        <v>8.9176000000000002</v>
      </c>
      <c r="BG93">
        <v>1</v>
      </c>
      <c r="BH93">
        <v>5884.2256950776273</v>
      </c>
      <c r="BI93">
        <v>1.0375922509225091</v>
      </c>
      <c r="BJ93" s="63">
        <v>6105.4269999999997</v>
      </c>
      <c r="BK93" s="61">
        <v>22568.417845004002</v>
      </c>
    </row>
    <row r="94" spans="1:63" x14ac:dyDescent="0.25">
      <c r="A94">
        <v>213</v>
      </c>
      <c r="B94" t="s">
        <v>141</v>
      </c>
      <c r="C94">
        <v>2017</v>
      </c>
      <c r="D94">
        <v>4</v>
      </c>
      <c r="E94" t="s">
        <v>100</v>
      </c>
      <c r="F94" t="s">
        <v>426</v>
      </c>
      <c r="G94" t="s">
        <v>427</v>
      </c>
      <c r="H94" t="s">
        <v>84</v>
      </c>
      <c r="I94" t="s">
        <v>430</v>
      </c>
      <c r="J94" t="s">
        <v>59</v>
      </c>
      <c r="K94">
        <v>-307.28832304999997</v>
      </c>
      <c r="L94" t="s">
        <v>59</v>
      </c>
      <c r="M94" t="s">
        <v>382</v>
      </c>
      <c r="N94">
        <v>2.5840781872550001E-2</v>
      </c>
      <c r="O94">
        <v>7.9405705279167291</v>
      </c>
      <c r="P94" t="s">
        <v>440</v>
      </c>
      <c r="Q94">
        <v>2</v>
      </c>
      <c r="R94">
        <v>29.947030000000002</v>
      </c>
      <c r="S94">
        <v>4.5999999999999999E-2</v>
      </c>
      <c r="T94">
        <v>1.3775634000000001</v>
      </c>
      <c r="U94">
        <v>1.9E-2</v>
      </c>
      <c r="V94">
        <v>26.173999999999999</v>
      </c>
      <c r="W94">
        <v>2</v>
      </c>
      <c r="X94">
        <v>1.9102926568E-2</v>
      </c>
      <c r="Y94">
        <v>1</v>
      </c>
      <c r="Z94" s="61">
        <v>7.9405710000000003</v>
      </c>
      <c r="AA94" t="s">
        <v>336</v>
      </c>
      <c r="AB94" t="s">
        <v>433</v>
      </c>
      <c r="AC94" t="s">
        <v>425</v>
      </c>
      <c r="AD94" t="s">
        <v>81</v>
      </c>
      <c r="AE94">
        <v>111.133</v>
      </c>
      <c r="AF94">
        <v>0.99819678194932504</v>
      </c>
      <c r="AG94">
        <v>110.9326029683743</v>
      </c>
      <c r="AH94">
        <v>682.07</v>
      </c>
      <c r="AI94">
        <v>1</v>
      </c>
      <c r="AJ94">
        <v>75.663800506639092</v>
      </c>
      <c r="AK94">
        <v>0.92979999999999996</v>
      </c>
      <c r="AL94" s="63">
        <v>70.352000000000004</v>
      </c>
      <c r="AM94">
        <v>8.9176000000000002</v>
      </c>
      <c r="AN94">
        <v>8.9015196227113016</v>
      </c>
      <c r="AO94">
        <v>1</v>
      </c>
      <c r="AP94">
        <v>6071.4594890626977</v>
      </c>
      <c r="AQ94">
        <v>1.0375922509225091</v>
      </c>
      <c r="AR94">
        <v>6299.6993000000002</v>
      </c>
      <c r="AS94" s="61">
        <v>50023.209570300307</v>
      </c>
      <c r="AT94" t="s">
        <v>339</v>
      </c>
      <c r="AU94" t="s">
        <v>433</v>
      </c>
      <c r="AV94" t="s">
        <v>425</v>
      </c>
      <c r="AW94" t="s">
        <v>81</v>
      </c>
      <c r="AX94">
        <v>111.133</v>
      </c>
      <c r="AY94">
        <v>1.0062587218588701</v>
      </c>
      <c r="AZ94">
        <v>111.82855053634179</v>
      </c>
      <c r="BA94">
        <v>655.74</v>
      </c>
      <c r="BB94">
        <v>1</v>
      </c>
      <c r="BC94">
        <v>73.330453728700761</v>
      </c>
      <c r="BD94">
        <v>0.92979999999999996</v>
      </c>
      <c r="BE94" s="63">
        <v>68.183000000000007</v>
      </c>
      <c r="BF94">
        <v>8.9176000000000002</v>
      </c>
      <c r="BG94">
        <v>1</v>
      </c>
      <c r="BH94">
        <v>5884.2256950776273</v>
      </c>
      <c r="BI94">
        <v>1.0375922509225091</v>
      </c>
      <c r="BJ94" s="63">
        <v>6105.4269999999997</v>
      </c>
      <c r="BK94" s="61">
        <v>48480.576578817003</v>
      </c>
    </row>
    <row r="95" spans="1:63" x14ac:dyDescent="0.25">
      <c r="A95">
        <v>215</v>
      </c>
      <c r="B95" t="s">
        <v>141</v>
      </c>
      <c r="C95">
        <v>2017</v>
      </c>
      <c r="D95">
        <v>4</v>
      </c>
      <c r="E95" t="s">
        <v>100</v>
      </c>
      <c r="F95" t="s">
        <v>426</v>
      </c>
      <c r="G95" t="s">
        <v>427</v>
      </c>
      <c r="H95" t="s">
        <v>84</v>
      </c>
      <c r="I95" t="s">
        <v>428</v>
      </c>
      <c r="J95" t="s">
        <v>381</v>
      </c>
      <c r="K95">
        <v>-627.60684700000002</v>
      </c>
      <c r="L95" t="s">
        <v>381</v>
      </c>
      <c r="M95" t="s">
        <v>383</v>
      </c>
      <c r="N95">
        <v>1.0028054602980501</v>
      </c>
      <c r="O95">
        <v>629.3675730920429</v>
      </c>
      <c r="P95" t="s">
        <v>440</v>
      </c>
      <c r="Q95">
        <v>2</v>
      </c>
      <c r="R95">
        <v>29.947030000000002</v>
      </c>
      <c r="S95">
        <v>4.5999999999999999E-2</v>
      </c>
      <c r="T95">
        <v>1.3775634000000001</v>
      </c>
      <c r="U95">
        <v>0.98099999999999998</v>
      </c>
      <c r="V95">
        <v>1351.39</v>
      </c>
      <c r="W95">
        <v>2</v>
      </c>
      <c r="X95">
        <v>3.6998941799999999E-4</v>
      </c>
      <c r="Y95">
        <v>1</v>
      </c>
      <c r="Z95" s="61">
        <v>629.36757299999999</v>
      </c>
      <c r="AA95" t="s">
        <v>336</v>
      </c>
      <c r="AB95" t="s">
        <v>433</v>
      </c>
      <c r="AC95" t="s">
        <v>425</v>
      </c>
      <c r="AD95" t="s">
        <v>27</v>
      </c>
      <c r="AE95">
        <v>111.133</v>
      </c>
      <c r="AF95">
        <v>0.99819678194932504</v>
      </c>
      <c r="AG95">
        <v>110.9326029683743</v>
      </c>
      <c r="AH95">
        <v>682.07</v>
      </c>
      <c r="AI95">
        <v>1</v>
      </c>
      <c r="AJ95">
        <v>75.663800506639092</v>
      </c>
      <c r="AK95">
        <v>0.99739999999999995</v>
      </c>
      <c r="AL95" s="63">
        <v>75.466999999999999</v>
      </c>
      <c r="AM95">
        <v>8.9176000000000002</v>
      </c>
      <c r="AN95">
        <v>8.9015196227113016</v>
      </c>
      <c r="AO95">
        <v>1</v>
      </c>
      <c r="AP95">
        <v>6071.4594890626977</v>
      </c>
      <c r="AQ95">
        <v>1.0108695652173909</v>
      </c>
      <c r="AR95">
        <v>6137.4535999999998</v>
      </c>
      <c r="AS95" s="61">
        <v>3862714.276632112</v>
      </c>
      <c r="AT95" t="s">
        <v>339</v>
      </c>
      <c r="AU95" t="s">
        <v>433</v>
      </c>
      <c r="AV95" t="s">
        <v>425</v>
      </c>
      <c r="AW95" t="s">
        <v>27</v>
      </c>
      <c r="AX95">
        <v>111.133</v>
      </c>
      <c r="AY95">
        <v>1.0062587218588701</v>
      </c>
      <c r="AZ95">
        <v>111.82855053634179</v>
      </c>
      <c r="BA95">
        <v>655.74</v>
      </c>
      <c r="BB95">
        <v>1</v>
      </c>
      <c r="BC95">
        <v>73.330453728700761</v>
      </c>
      <c r="BD95">
        <v>0.99739999999999995</v>
      </c>
      <c r="BE95" s="63">
        <v>73.14</v>
      </c>
      <c r="BF95">
        <v>8.9176000000000002</v>
      </c>
      <c r="BG95">
        <v>1</v>
      </c>
      <c r="BH95">
        <v>5884.2256950776273</v>
      </c>
      <c r="BI95">
        <v>1.0108695652173909</v>
      </c>
      <c r="BJ95" s="63">
        <v>5948.1846999999998</v>
      </c>
      <c r="BK95" s="61">
        <v>3743594.5683947331</v>
      </c>
    </row>
    <row r="96" spans="1:63" x14ac:dyDescent="0.25">
      <c r="A96">
        <v>215</v>
      </c>
      <c r="B96" t="s">
        <v>141</v>
      </c>
      <c r="C96">
        <v>2017</v>
      </c>
      <c r="D96">
        <v>4</v>
      </c>
      <c r="E96" t="s">
        <v>100</v>
      </c>
      <c r="F96" t="s">
        <v>426</v>
      </c>
      <c r="G96" t="s">
        <v>427</v>
      </c>
      <c r="H96" t="s">
        <v>84</v>
      </c>
      <c r="I96" t="s">
        <v>429</v>
      </c>
      <c r="J96" t="s">
        <v>87</v>
      </c>
      <c r="K96">
        <v>-144.39652699999999</v>
      </c>
      <c r="L96" t="s">
        <v>87</v>
      </c>
      <c r="M96" t="s">
        <v>383</v>
      </c>
      <c r="N96">
        <v>0.96662205245447996</v>
      </c>
      <c r="O96">
        <v>139.5768672960387</v>
      </c>
      <c r="P96" t="s">
        <v>440</v>
      </c>
      <c r="Q96">
        <v>2</v>
      </c>
      <c r="R96">
        <v>29.947030000000002</v>
      </c>
      <c r="S96">
        <v>4.5999999999999999E-2</v>
      </c>
      <c r="T96">
        <v>1.3775634000000001</v>
      </c>
      <c r="U96">
        <v>0.98099999999999998</v>
      </c>
      <c r="V96">
        <v>1351.39</v>
      </c>
      <c r="W96">
        <v>2</v>
      </c>
      <c r="X96">
        <v>3.6998941799999999E-4</v>
      </c>
      <c r="Y96">
        <v>1</v>
      </c>
      <c r="Z96" s="61">
        <v>139.57686699999999</v>
      </c>
      <c r="AA96" t="s">
        <v>336</v>
      </c>
      <c r="AB96" t="s">
        <v>433</v>
      </c>
      <c r="AC96" t="s">
        <v>425</v>
      </c>
      <c r="AD96" t="s">
        <v>27</v>
      </c>
      <c r="AE96">
        <v>111.133</v>
      </c>
      <c r="AF96">
        <v>0.99819678194932504</v>
      </c>
      <c r="AG96">
        <v>110.9326029683743</v>
      </c>
      <c r="AH96">
        <v>682.07</v>
      </c>
      <c r="AI96">
        <v>1</v>
      </c>
      <c r="AJ96">
        <v>75.663800506639092</v>
      </c>
      <c r="AK96">
        <v>0.99739999999999995</v>
      </c>
      <c r="AL96" s="63">
        <v>75.466999999999999</v>
      </c>
      <c r="AM96">
        <v>8.9176000000000002</v>
      </c>
      <c r="AN96">
        <v>8.9015196227113016</v>
      </c>
      <c r="AO96">
        <v>1</v>
      </c>
      <c r="AP96">
        <v>6071.4594890626977</v>
      </c>
      <c r="AQ96">
        <v>1.0108695652173909</v>
      </c>
      <c r="AR96">
        <v>6137.4535999999998</v>
      </c>
      <c r="AS96" s="61">
        <v>856646.54484587116</v>
      </c>
      <c r="AT96" t="s">
        <v>339</v>
      </c>
      <c r="AU96" t="s">
        <v>433</v>
      </c>
      <c r="AV96" t="s">
        <v>425</v>
      </c>
      <c r="AW96" t="s">
        <v>27</v>
      </c>
      <c r="AX96">
        <v>111.133</v>
      </c>
      <c r="AY96">
        <v>1.0062587218588701</v>
      </c>
      <c r="AZ96">
        <v>111.82855053634179</v>
      </c>
      <c r="BA96">
        <v>655.74</v>
      </c>
      <c r="BB96">
        <v>1</v>
      </c>
      <c r="BC96">
        <v>73.330453728700761</v>
      </c>
      <c r="BD96">
        <v>0.99739999999999995</v>
      </c>
      <c r="BE96" s="63">
        <v>73.14</v>
      </c>
      <c r="BF96">
        <v>8.9176000000000002</v>
      </c>
      <c r="BG96">
        <v>1</v>
      </c>
      <c r="BH96">
        <v>5884.2256950776273</v>
      </c>
      <c r="BI96">
        <v>1.0108695652173909</v>
      </c>
      <c r="BJ96" s="63">
        <v>5948.1846999999998</v>
      </c>
      <c r="BK96" s="61">
        <v>830228.98476333485</v>
      </c>
    </row>
    <row r="97" spans="1:63" x14ac:dyDescent="0.25">
      <c r="A97">
        <v>215</v>
      </c>
      <c r="B97" t="s">
        <v>141</v>
      </c>
      <c r="C97">
        <v>2017</v>
      </c>
      <c r="D97">
        <v>4</v>
      </c>
      <c r="E97" t="s">
        <v>100</v>
      </c>
      <c r="F97" t="s">
        <v>426</v>
      </c>
      <c r="G97" t="s">
        <v>427</v>
      </c>
      <c r="H97" t="s">
        <v>84</v>
      </c>
      <c r="I97" t="s">
        <v>430</v>
      </c>
      <c r="J97" t="s">
        <v>59</v>
      </c>
      <c r="K97">
        <v>-307.28832304999997</v>
      </c>
      <c r="L97" t="s">
        <v>59</v>
      </c>
      <c r="M97" t="s">
        <v>383</v>
      </c>
      <c r="N97">
        <v>0.99151283514844002</v>
      </c>
      <c r="O97">
        <v>304.68031639531517</v>
      </c>
      <c r="P97" t="s">
        <v>440</v>
      </c>
      <c r="Q97">
        <v>2</v>
      </c>
      <c r="R97">
        <v>29.947030000000002</v>
      </c>
      <c r="S97">
        <v>4.5999999999999999E-2</v>
      </c>
      <c r="T97">
        <v>1.3775634000000001</v>
      </c>
      <c r="U97">
        <v>0.98099999999999998</v>
      </c>
      <c r="V97">
        <v>1351.39</v>
      </c>
      <c r="W97">
        <v>2</v>
      </c>
      <c r="X97">
        <v>3.6998941799999999E-4</v>
      </c>
      <c r="Y97">
        <v>1</v>
      </c>
      <c r="Z97" s="61">
        <v>304.680316</v>
      </c>
      <c r="AA97" t="s">
        <v>336</v>
      </c>
      <c r="AB97" t="s">
        <v>433</v>
      </c>
      <c r="AC97" t="s">
        <v>425</v>
      </c>
      <c r="AD97" t="s">
        <v>27</v>
      </c>
      <c r="AE97">
        <v>111.133</v>
      </c>
      <c r="AF97">
        <v>0.99819678194932504</v>
      </c>
      <c r="AG97">
        <v>110.9326029683743</v>
      </c>
      <c r="AH97">
        <v>682.07</v>
      </c>
      <c r="AI97">
        <v>1</v>
      </c>
      <c r="AJ97">
        <v>75.663800506639092</v>
      </c>
      <c r="AK97">
        <v>0.99739999999999995</v>
      </c>
      <c r="AL97" s="63">
        <v>75.466999999999999</v>
      </c>
      <c r="AM97">
        <v>8.9176000000000002</v>
      </c>
      <c r="AN97">
        <v>8.9015196227113016</v>
      </c>
      <c r="AO97">
        <v>1</v>
      </c>
      <c r="AP97">
        <v>6071.4594890626977</v>
      </c>
      <c r="AQ97">
        <v>1.0108695652173909</v>
      </c>
      <c r="AR97">
        <v>6137.4535999999998</v>
      </c>
      <c r="AS97" s="61">
        <v>1869961.302283338</v>
      </c>
      <c r="AT97" t="s">
        <v>339</v>
      </c>
      <c r="AU97" t="s">
        <v>433</v>
      </c>
      <c r="AV97" t="s">
        <v>425</v>
      </c>
      <c r="AW97" t="s">
        <v>27</v>
      </c>
      <c r="AX97">
        <v>111.133</v>
      </c>
      <c r="AY97">
        <v>1.0062587218588701</v>
      </c>
      <c r="AZ97">
        <v>111.82855053634179</v>
      </c>
      <c r="BA97">
        <v>655.74</v>
      </c>
      <c r="BB97">
        <v>1</v>
      </c>
      <c r="BC97">
        <v>73.330453728700761</v>
      </c>
      <c r="BD97">
        <v>0.99739999999999995</v>
      </c>
      <c r="BE97" s="63">
        <v>73.14</v>
      </c>
      <c r="BF97">
        <v>8.9176000000000002</v>
      </c>
      <c r="BG97">
        <v>1</v>
      </c>
      <c r="BH97">
        <v>5884.2256950776273</v>
      </c>
      <c r="BI97">
        <v>1.0108695652173909</v>
      </c>
      <c r="BJ97" s="63">
        <v>5948.1846999999998</v>
      </c>
      <c r="BK97" s="61">
        <v>1812294.794022365</v>
      </c>
    </row>
    <row r="98" spans="1:63" x14ac:dyDescent="0.25">
      <c r="A98">
        <v>233</v>
      </c>
      <c r="B98" t="s">
        <v>144</v>
      </c>
      <c r="C98">
        <v>2017</v>
      </c>
      <c r="D98">
        <v>5</v>
      </c>
      <c r="E98" t="s">
        <v>100</v>
      </c>
      <c r="F98" t="s">
        <v>426</v>
      </c>
      <c r="G98" t="s">
        <v>427</v>
      </c>
      <c r="H98" t="s">
        <v>84</v>
      </c>
      <c r="I98" t="s">
        <v>428</v>
      </c>
      <c r="J98" t="s">
        <v>381</v>
      </c>
      <c r="K98">
        <v>-592.70822071999999</v>
      </c>
      <c r="L98" t="s">
        <v>381</v>
      </c>
      <c r="M98" t="s">
        <v>382</v>
      </c>
      <c r="N98">
        <v>1.486442100004E-2</v>
      </c>
      <c r="O98">
        <v>8.8102645229667118</v>
      </c>
      <c r="P98" t="s">
        <v>440</v>
      </c>
      <c r="Q98">
        <v>2</v>
      </c>
      <c r="R98">
        <v>29.947030000000002</v>
      </c>
      <c r="S98">
        <v>6.7000000000000004E-2</v>
      </c>
      <c r="T98">
        <v>2.0064510000000002</v>
      </c>
      <c r="U98">
        <v>1.9E-2</v>
      </c>
      <c r="V98">
        <v>38.122999999999998</v>
      </c>
      <c r="W98">
        <v>2</v>
      </c>
      <c r="X98">
        <v>1.3115442122E-2</v>
      </c>
      <c r="Y98">
        <v>1</v>
      </c>
      <c r="Z98" s="61">
        <v>8.8102649999999993</v>
      </c>
      <c r="AA98" t="s">
        <v>336</v>
      </c>
      <c r="AB98" t="s">
        <v>433</v>
      </c>
      <c r="AC98" t="s">
        <v>425</v>
      </c>
      <c r="AD98" t="s">
        <v>81</v>
      </c>
      <c r="AE98">
        <v>111.133</v>
      </c>
      <c r="AF98">
        <v>0.99819678194932504</v>
      </c>
      <c r="AG98">
        <v>110.9326029683743</v>
      </c>
      <c r="AH98">
        <v>682.07</v>
      </c>
      <c r="AI98">
        <v>1</v>
      </c>
      <c r="AJ98">
        <v>75.663800506639092</v>
      </c>
      <c r="AK98">
        <v>0.92979999999999996</v>
      </c>
      <c r="AL98" s="63">
        <v>70.352000000000004</v>
      </c>
      <c r="AM98">
        <v>8.9176000000000002</v>
      </c>
      <c r="AN98">
        <v>8.9015196227113016</v>
      </c>
      <c r="AO98">
        <v>1</v>
      </c>
      <c r="AP98">
        <v>6071.4594890626977</v>
      </c>
      <c r="AQ98">
        <v>1.0375922509225091</v>
      </c>
      <c r="AR98">
        <v>6299.6993000000002</v>
      </c>
      <c r="AS98" s="61">
        <v>55502.020253314498</v>
      </c>
      <c r="AT98" t="s">
        <v>339</v>
      </c>
      <c r="AU98" t="s">
        <v>433</v>
      </c>
      <c r="AV98" t="s">
        <v>425</v>
      </c>
      <c r="AW98" t="s">
        <v>81</v>
      </c>
      <c r="AX98">
        <v>111.133</v>
      </c>
      <c r="AY98">
        <v>1.0062587218588701</v>
      </c>
      <c r="AZ98">
        <v>111.82855053634179</v>
      </c>
      <c r="BA98">
        <v>671.54</v>
      </c>
      <c r="BB98">
        <v>1</v>
      </c>
      <c r="BC98">
        <v>75.09734482717495</v>
      </c>
      <c r="BD98">
        <v>0.92979999999999996</v>
      </c>
      <c r="BE98" s="63">
        <v>69.825999999999993</v>
      </c>
      <c r="BF98">
        <v>8.9176000000000002</v>
      </c>
      <c r="BG98">
        <v>1</v>
      </c>
      <c r="BH98">
        <v>6026.0056169707959</v>
      </c>
      <c r="BI98">
        <v>1.0375922509225091</v>
      </c>
      <c r="BJ98" s="63">
        <v>6252.5366999999997</v>
      </c>
      <c r="BK98" s="61">
        <v>55086.505249225491</v>
      </c>
    </row>
    <row r="99" spans="1:63" x14ac:dyDescent="0.25">
      <c r="A99">
        <v>233</v>
      </c>
      <c r="B99" t="s">
        <v>144</v>
      </c>
      <c r="C99">
        <v>2017</v>
      </c>
      <c r="D99">
        <v>5</v>
      </c>
      <c r="E99" t="s">
        <v>100</v>
      </c>
      <c r="F99" t="s">
        <v>426</v>
      </c>
      <c r="G99" t="s">
        <v>427</v>
      </c>
      <c r="H99" t="s">
        <v>84</v>
      </c>
      <c r="I99" t="s">
        <v>429</v>
      </c>
      <c r="J99" t="s">
        <v>87</v>
      </c>
      <c r="K99">
        <v>-137.77261236999999</v>
      </c>
      <c r="L99" t="s">
        <v>87</v>
      </c>
      <c r="M99" t="s">
        <v>382</v>
      </c>
      <c r="N99">
        <v>2.6818326000539999E-2</v>
      </c>
      <c r="O99">
        <v>3.6948308324846901</v>
      </c>
      <c r="P99" t="s">
        <v>440</v>
      </c>
      <c r="Q99">
        <v>2</v>
      </c>
      <c r="R99">
        <v>29.947030000000002</v>
      </c>
      <c r="S99">
        <v>6.7000000000000004E-2</v>
      </c>
      <c r="T99">
        <v>2.0064510000000002</v>
      </c>
      <c r="U99">
        <v>1.9E-2</v>
      </c>
      <c r="V99">
        <v>38.122999999999998</v>
      </c>
      <c r="W99">
        <v>2</v>
      </c>
      <c r="X99">
        <v>1.3115442122E-2</v>
      </c>
      <c r="Y99">
        <v>1</v>
      </c>
      <c r="Z99" s="61">
        <v>3.6948310000000002</v>
      </c>
      <c r="AA99" t="s">
        <v>336</v>
      </c>
      <c r="AB99" t="s">
        <v>433</v>
      </c>
      <c r="AC99" t="s">
        <v>425</v>
      </c>
      <c r="AD99" t="s">
        <v>81</v>
      </c>
      <c r="AE99">
        <v>111.133</v>
      </c>
      <c r="AF99">
        <v>0.99819678194932504</v>
      </c>
      <c r="AG99">
        <v>110.9326029683743</v>
      </c>
      <c r="AH99">
        <v>682.07</v>
      </c>
      <c r="AI99">
        <v>1</v>
      </c>
      <c r="AJ99">
        <v>75.663800506639092</v>
      </c>
      <c r="AK99">
        <v>0.92979999999999996</v>
      </c>
      <c r="AL99" s="63">
        <v>70.352000000000004</v>
      </c>
      <c r="AM99">
        <v>8.9176000000000002</v>
      </c>
      <c r="AN99">
        <v>8.9015196227113016</v>
      </c>
      <c r="AO99">
        <v>1</v>
      </c>
      <c r="AP99">
        <v>6071.4594890626977</v>
      </c>
      <c r="AQ99">
        <v>1.0375922509225091</v>
      </c>
      <c r="AR99">
        <v>6299.6993000000002</v>
      </c>
      <c r="AS99" s="61">
        <v>23276.3242643183</v>
      </c>
      <c r="AT99" t="s">
        <v>339</v>
      </c>
      <c r="AU99" t="s">
        <v>433</v>
      </c>
      <c r="AV99" t="s">
        <v>425</v>
      </c>
      <c r="AW99" t="s">
        <v>81</v>
      </c>
      <c r="AX99">
        <v>111.133</v>
      </c>
      <c r="AY99">
        <v>1.0062587218588701</v>
      </c>
      <c r="AZ99">
        <v>111.82855053634179</v>
      </c>
      <c r="BA99">
        <v>671.54</v>
      </c>
      <c r="BB99">
        <v>1</v>
      </c>
      <c r="BC99">
        <v>75.09734482717495</v>
      </c>
      <c r="BD99">
        <v>0.92979999999999996</v>
      </c>
      <c r="BE99" s="63">
        <v>69.825999999999993</v>
      </c>
      <c r="BF99">
        <v>8.9176000000000002</v>
      </c>
      <c r="BG99">
        <v>1</v>
      </c>
      <c r="BH99">
        <v>6026.0056169707959</v>
      </c>
      <c r="BI99">
        <v>1.0375922509225091</v>
      </c>
      <c r="BJ99" s="63">
        <v>6252.5366999999997</v>
      </c>
      <c r="BK99" s="61">
        <v>23102.066427797701</v>
      </c>
    </row>
    <row r="100" spans="1:63" x14ac:dyDescent="0.25">
      <c r="A100">
        <v>233</v>
      </c>
      <c r="B100" t="s">
        <v>144</v>
      </c>
      <c r="C100">
        <v>2017</v>
      </c>
      <c r="D100">
        <v>5</v>
      </c>
      <c r="E100" t="s">
        <v>100</v>
      </c>
      <c r="F100" t="s">
        <v>426</v>
      </c>
      <c r="G100" t="s">
        <v>427</v>
      </c>
      <c r="H100" t="s">
        <v>84</v>
      </c>
      <c r="I100" t="s">
        <v>430</v>
      </c>
      <c r="J100" t="s">
        <v>59</v>
      </c>
      <c r="K100">
        <v>-329.48112725999999</v>
      </c>
      <c r="L100" t="s">
        <v>59</v>
      </c>
      <c r="M100" t="s">
        <v>382</v>
      </c>
      <c r="N100">
        <v>2.6402537999979998E-2</v>
      </c>
      <c r="O100">
        <v>8.6991379827583959</v>
      </c>
      <c r="P100" t="s">
        <v>440</v>
      </c>
      <c r="Q100">
        <v>2</v>
      </c>
      <c r="R100">
        <v>29.947030000000002</v>
      </c>
      <c r="S100">
        <v>6.7000000000000004E-2</v>
      </c>
      <c r="T100">
        <v>2.0064510000000002</v>
      </c>
      <c r="U100">
        <v>1.9E-2</v>
      </c>
      <c r="V100">
        <v>38.122999999999998</v>
      </c>
      <c r="W100">
        <v>2</v>
      </c>
      <c r="X100">
        <v>1.3115442122E-2</v>
      </c>
      <c r="Y100">
        <v>1</v>
      </c>
      <c r="Z100" s="61">
        <v>8.6991379999999996</v>
      </c>
      <c r="AA100" t="s">
        <v>336</v>
      </c>
      <c r="AB100" t="s">
        <v>433</v>
      </c>
      <c r="AC100" t="s">
        <v>425</v>
      </c>
      <c r="AD100" t="s">
        <v>81</v>
      </c>
      <c r="AE100">
        <v>111.133</v>
      </c>
      <c r="AF100">
        <v>0.99819678194932504</v>
      </c>
      <c r="AG100">
        <v>110.9326029683743</v>
      </c>
      <c r="AH100">
        <v>682.07</v>
      </c>
      <c r="AI100">
        <v>1</v>
      </c>
      <c r="AJ100">
        <v>75.663800506639092</v>
      </c>
      <c r="AK100">
        <v>0.92979999999999996</v>
      </c>
      <c r="AL100" s="63">
        <v>70.352000000000004</v>
      </c>
      <c r="AM100">
        <v>8.9176000000000002</v>
      </c>
      <c r="AN100">
        <v>8.9015196227113016</v>
      </c>
      <c r="AO100">
        <v>1</v>
      </c>
      <c r="AP100">
        <v>6071.4594890626977</v>
      </c>
      <c r="AQ100">
        <v>1.0375922509225091</v>
      </c>
      <c r="AR100">
        <v>6299.6993000000002</v>
      </c>
      <c r="AS100" s="61">
        <v>54801.953569203397</v>
      </c>
      <c r="AT100" t="s">
        <v>339</v>
      </c>
      <c r="AU100" t="s">
        <v>433</v>
      </c>
      <c r="AV100" t="s">
        <v>425</v>
      </c>
      <c r="AW100" t="s">
        <v>81</v>
      </c>
      <c r="AX100">
        <v>111.133</v>
      </c>
      <c r="AY100">
        <v>1.0062587218588701</v>
      </c>
      <c r="AZ100">
        <v>111.82855053634179</v>
      </c>
      <c r="BA100">
        <v>671.54</v>
      </c>
      <c r="BB100">
        <v>1</v>
      </c>
      <c r="BC100">
        <v>75.09734482717495</v>
      </c>
      <c r="BD100">
        <v>0.92979999999999996</v>
      </c>
      <c r="BE100" s="63">
        <v>69.825999999999993</v>
      </c>
      <c r="BF100">
        <v>8.9176000000000002</v>
      </c>
      <c r="BG100">
        <v>1</v>
      </c>
      <c r="BH100">
        <v>6026.0056169707959</v>
      </c>
      <c r="BI100">
        <v>1.0375922509225091</v>
      </c>
      <c r="BJ100" s="63">
        <v>6252.5366999999997</v>
      </c>
      <c r="BK100" s="61">
        <v>54391.679603364602</v>
      </c>
    </row>
    <row r="101" spans="1:63" x14ac:dyDescent="0.25">
      <c r="A101">
        <v>235</v>
      </c>
      <c r="B101" t="s">
        <v>144</v>
      </c>
      <c r="C101">
        <v>2017</v>
      </c>
      <c r="D101">
        <v>5</v>
      </c>
      <c r="E101" t="s">
        <v>100</v>
      </c>
      <c r="F101" t="s">
        <v>426</v>
      </c>
      <c r="G101" t="s">
        <v>427</v>
      </c>
      <c r="H101" t="s">
        <v>84</v>
      </c>
      <c r="I101" t="s">
        <v>428</v>
      </c>
      <c r="J101" t="s">
        <v>381</v>
      </c>
      <c r="K101">
        <v>-592.70822071999999</v>
      </c>
      <c r="L101" t="s">
        <v>381</v>
      </c>
      <c r="M101" t="s">
        <v>383</v>
      </c>
      <c r="N101">
        <v>1.0246055790000901</v>
      </c>
      <c r="O101">
        <v>607.2921496689288</v>
      </c>
      <c r="P101" t="s">
        <v>440</v>
      </c>
      <c r="Q101">
        <v>2</v>
      </c>
      <c r="R101">
        <v>29.947030000000002</v>
      </c>
      <c r="S101">
        <v>6.7000000000000004E-2</v>
      </c>
      <c r="T101">
        <v>2.0064510000000002</v>
      </c>
      <c r="U101">
        <v>0.98099999999999998</v>
      </c>
      <c r="V101">
        <v>1968.328</v>
      </c>
      <c r="W101">
        <v>2</v>
      </c>
      <c r="X101">
        <v>2.5402270400000002E-4</v>
      </c>
      <c r="Y101">
        <v>1</v>
      </c>
      <c r="Z101" s="61">
        <v>607.29214999999999</v>
      </c>
      <c r="AA101" t="s">
        <v>336</v>
      </c>
      <c r="AB101" t="s">
        <v>433</v>
      </c>
      <c r="AC101" t="s">
        <v>425</v>
      </c>
      <c r="AD101" t="s">
        <v>27</v>
      </c>
      <c r="AE101">
        <v>111.133</v>
      </c>
      <c r="AF101">
        <v>0.99819678194932504</v>
      </c>
      <c r="AG101">
        <v>110.9326029683743</v>
      </c>
      <c r="AH101">
        <v>682.07</v>
      </c>
      <c r="AI101">
        <v>1</v>
      </c>
      <c r="AJ101">
        <v>75.663800506639092</v>
      </c>
      <c r="AK101">
        <v>0.99739999999999995</v>
      </c>
      <c r="AL101" s="63">
        <v>75.466999999999999</v>
      </c>
      <c r="AM101">
        <v>8.9176000000000002</v>
      </c>
      <c r="AN101">
        <v>8.9015196227113016</v>
      </c>
      <c r="AO101">
        <v>1</v>
      </c>
      <c r="AP101">
        <v>6071.4594890626977</v>
      </c>
      <c r="AQ101">
        <v>1.0108695652173909</v>
      </c>
      <c r="AR101">
        <v>6137.4535999999998</v>
      </c>
      <c r="AS101" s="61">
        <v>3727227.3922692402</v>
      </c>
      <c r="AT101" t="s">
        <v>339</v>
      </c>
      <c r="AU101" t="s">
        <v>433</v>
      </c>
      <c r="AV101" t="s">
        <v>425</v>
      </c>
      <c r="AW101" t="s">
        <v>27</v>
      </c>
      <c r="AX101">
        <v>111.133</v>
      </c>
      <c r="AY101">
        <v>1.0062587218588701</v>
      </c>
      <c r="AZ101">
        <v>111.82855053634179</v>
      </c>
      <c r="BA101">
        <v>671.54</v>
      </c>
      <c r="BB101">
        <v>1</v>
      </c>
      <c r="BC101">
        <v>75.09734482717495</v>
      </c>
      <c r="BD101">
        <v>0.99739999999999995</v>
      </c>
      <c r="BE101" s="63">
        <v>74.902000000000001</v>
      </c>
      <c r="BF101">
        <v>8.9176000000000002</v>
      </c>
      <c r="BG101">
        <v>1</v>
      </c>
      <c r="BH101">
        <v>6026.0056169707959</v>
      </c>
      <c r="BI101">
        <v>1.0108695652173909</v>
      </c>
      <c r="BJ101" s="63">
        <v>6091.5056999999997</v>
      </c>
      <c r="BK101" s="61">
        <v>3699323.5932902549</v>
      </c>
    </row>
    <row r="102" spans="1:63" x14ac:dyDescent="0.25">
      <c r="A102">
        <v>235</v>
      </c>
      <c r="B102" t="s">
        <v>144</v>
      </c>
      <c r="C102">
        <v>2017</v>
      </c>
      <c r="D102">
        <v>5</v>
      </c>
      <c r="E102" t="s">
        <v>100</v>
      </c>
      <c r="F102" t="s">
        <v>426</v>
      </c>
      <c r="G102" t="s">
        <v>427</v>
      </c>
      <c r="H102" t="s">
        <v>84</v>
      </c>
      <c r="I102" t="s">
        <v>429</v>
      </c>
      <c r="J102" t="s">
        <v>87</v>
      </c>
      <c r="K102">
        <v>-137.77261236999999</v>
      </c>
      <c r="L102" t="s">
        <v>87</v>
      </c>
      <c r="M102" t="s">
        <v>383</v>
      </c>
      <c r="N102">
        <v>1.01265167400027</v>
      </c>
      <c r="O102">
        <v>139.51566654787081</v>
      </c>
      <c r="P102" t="s">
        <v>440</v>
      </c>
      <c r="Q102">
        <v>2</v>
      </c>
      <c r="R102">
        <v>29.947030000000002</v>
      </c>
      <c r="S102">
        <v>6.7000000000000004E-2</v>
      </c>
      <c r="T102">
        <v>2.0064510000000002</v>
      </c>
      <c r="U102">
        <v>0.98099999999999998</v>
      </c>
      <c r="V102">
        <v>1968.328</v>
      </c>
      <c r="W102">
        <v>2</v>
      </c>
      <c r="X102">
        <v>2.5402270400000002E-4</v>
      </c>
      <c r="Y102">
        <v>1</v>
      </c>
      <c r="Z102" s="61">
        <v>139.51566700000001</v>
      </c>
      <c r="AA102" t="s">
        <v>336</v>
      </c>
      <c r="AB102" t="s">
        <v>433</v>
      </c>
      <c r="AC102" t="s">
        <v>425</v>
      </c>
      <c r="AD102" t="s">
        <v>27</v>
      </c>
      <c r="AE102">
        <v>111.133</v>
      </c>
      <c r="AF102">
        <v>0.99819678194932504</v>
      </c>
      <c r="AG102">
        <v>110.9326029683743</v>
      </c>
      <c r="AH102">
        <v>682.07</v>
      </c>
      <c r="AI102">
        <v>1</v>
      </c>
      <c r="AJ102">
        <v>75.663800506639092</v>
      </c>
      <c r="AK102">
        <v>0.99739999999999995</v>
      </c>
      <c r="AL102" s="63">
        <v>75.466999999999999</v>
      </c>
      <c r="AM102">
        <v>8.9176000000000002</v>
      </c>
      <c r="AN102">
        <v>8.9015196227113016</v>
      </c>
      <c r="AO102">
        <v>1</v>
      </c>
      <c r="AP102">
        <v>6071.4594890626977</v>
      </c>
      <c r="AQ102">
        <v>1.0108695652173909</v>
      </c>
      <c r="AR102">
        <v>6137.4535999999998</v>
      </c>
      <c r="AS102" s="61">
        <v>856270.93268555123</v>
      </c>
      <c r="AT102" t="s">
        <v>339</v>
      </c>
      <c r="AU102" t="s">
        <v>433</v>
      </c>
      <c r="AV102" t="s">
        <v>425</v>
      </c>
      <c r="AW102" t="s">
        <v>27</v>
      </c>
      <c r="AX102">
        <v>111.133</v>
      </c>
      <c r="AY102">
        <v>1.0062587218588701</v>
      </c>
      <c r="AZ102">
        <v>111.82855053634179</v>
      </c>
      <c r="BA102">
        <v>671.54</v>
      </c>
      <c r="BB102">
        <v>1</v>
      </c>
      <c r="BC102">
        <v>75.09734482717495</v>
      </c>
      <c r="BD102">
        <v>0.99739999999999995</v>
      </c>
      <c r="BE102" s="63">
        <v>74.902000000000001</v>
      </c>
      <c r="BF102">
        <v>8.9176000000000002</v>
      </c>
      <c r="BG102">
        <v>1</v>
      </c>
      <c r="BH102">
        <v>6026.0056169707959</v>
      </c>
      <c r="BI102">
        <v>1.0108695652173909</v>
      </c>
      <c r="BJ102" s="63">
        <v>6091.5056999999997</v>
      </c>
      <c r="BK102" s="61">
        <v>849860.48076980188</v>
      </c>
    </row>
    <row r="103" spans="1:63" x14ac:dyDescent="0.25">
      <c r="A103">
        <v>235</v>
      </c>
      <c r="B103" t="s">
        <v>144</v>
      </c>
      <c r="C103">
        <v>2017</v>
      </c>
      <c r="D103">
        <v>5</v>
      </c>
      <c r="E103" t="s">
        <v>100</v>
      </c>
      <c r="F103" t="s">
        <v>426</v>
      </c>
      <c r="G103" t="s">
        <v>427</v>
      </c>
      <c r="H103" t="s">
        <v>84</v>
      </c>
      <c r="I103" t="s">
        <v>430</v>
      </c>
      <c r="J103" t="s">
        <v>59</v>
      </c>
      <c r="K103">
        <v>-329.48112725999999</v>
      </c>
      <c r="L103" t="s">
        <v>59</v>
      </c>
      <c r="M103" t="s">
        <v>383</v>
      </c>
      <c r="N103">
        <v>1.0130674620003099</v>
      </c>
      <c r="O103">
        <v>333.78660937028928</v>
      </c>
      <c r="P103" t="s">
        <v>440</v>
      </c>
      <c r="Q103">
        <v>2</v>
      </c>
      <c r="R103">
        <v>29.947030000000002</v>
      </c>
      <c r="S103">
        <v>6.7000000000000004E-2</v>
      </c>
      <c r="T103">
        <v>2.0064510000000002</v>
      </c>
      <c r="U103">
        <v>0.98099999999999998</v>
      </c>
      <c r="V103">
        <v>1968.328</v>
      </c>
      <c r="W103">
        <v>2</v>
      </c>
      <c r="X103">
        <v>2.5402270400000002E-4</v>
      </c>
      <c r="Y103">
        <v>1</v>
      </c>
      <c r="Z103" s="61">
        <v>333.786609</v>
      </c>
      <c r="AA103" t="s">
        <v>336</v>
      </c>
      <c r="AB103" t="s">
        <v>433</v>
      </c>
      <c r="AC103" t="s">
        <v>425</v>
      </c>
      <c r="AD103" t="s">
        <v>27</v>
      </c>
      <c r="AE103">
        <v>111.133</v>
      </c>
      <c r="AF103">
        <v>0.99819678194932504</v>
      </c>
      <c r="AG103">
        <v>110.9326029683743</v>
      </c>
      <c r="AH103">
        <v>682.07</v>
      </c>
      <c r="AI103">
        <v>1</v>
      </c>
      <c r="AJ103">
        <v>75.663800506639092</v>
      </c>
      <c r="AK103">
        <v>0.99739999999999995</v>
      </c>
      <c r="AL103" s="63">
        <v>75.466999999999999</v>
      </c>
      <c r="AM103">
        <v>8.9176000000000002</v>
      </c>
      <c r="AN103">
        <v>8.9015196227113016</v>
      </c>
      <c r="AO103">
        <v>1</v>
      </c>
      <c r="AP103">
        <v>6071.4594890626977</v>
      </c>
      <c r="AQ103">
        <v>1.0108695652173909</v>
      </c>
      <c r="AR103">
        <v>6137.4535999999998</v>
      </c>
      <c r="AS103" s="61">
        <v>2048599.8250388419</v>
      </c>
      <c r="AT103" t="s">
        <v>339</v>
      </c>
      <c r="AU103" t="s">
        <v>433</v>
      </c>
      <c r="AV103" t="s">
        <v>425</v>
      </c>
      <c r="AW103" t="s">
        <v>27</v>
      </c>
      <c r="AX103">
        <v>111.133</v>
      </c>
      <c r="AY103">
        <v>1.0062587218588701</v>
      </c>
      <c r="AZ103">
        <v>111.82855053634179</v>
      </c>
      <c r="BA103">
        <v>671.54</v>
      </c>
      <c r="BB103">
        <v>1</v>
      </c>
      <c r="BC103">
        <v>75.09734482717495</v>
      </c>
      <c r="BD103">
        <v>0.99739999999999995</v>
      </c>
      <c r="BE103" s="63">
        <v>74.902000000000001</v>
      </c>
      <c r="BF103">
        <v>8.9176000000000002</v>
      </c>
      <c r="BG103">
        <v>1</v>
      </c>
      <c r="BH103">
        <v>6026.0056169707959</v>
      </c>
      <c r="BI103">
        <v>1.0108695652173909</v>
      </c>
      <c r="BJ103" s="63">
        <v>6091.5056999999997</v>
      </c>
      <c r="BK103" s="61">
        <v>2033263.0313071711</v>
      </c>
    </row>
    <row r="104" spans="1:63" x14ac:dyDescent="0.25">
      <c r="A104">
        <v>253</v>
      </c>
      <c r="B104" t="s">
        <v>143</v>
      </c>
      <c r="C104">
        <v>2017</v>
      </c>
      <c r="D104">
        <v>6</v>
      </c>
      <c r="E104" t="s">
        <v>100</v>
      </c>
      <c r="F104" t="s">
        <v>426</v>
      </c>
      <c r="G104" t="s">
        <v>427</v>
      </c>
      <c r="H104" t="s">
        <v>84</v>
      </c>
      <c r="I104" t="s">
        <v>428</v>
      </c>
      <c r="J104" t="s">
        <v>381</v>
      </c>
      <c r="K104">
        <v>-602.12437604000002</v>
      </c>
      <c r="L104" t="s">
        <v>381</v>
      </c>
      <c r="M104" t="s">
        <v>382</v>
      </c>
      <c r="N104">
        <v>1.4864421000100001E-2</v>
      </c>
      <c r="O104">
        <v>8.9502302198810852</v>
      </c>
      <c r="P104" t="s">
        <v>440</v>
      </c>
      <c r="Q104">
        <v>2</v>
      </c>
      <c r="R104">
        <v>29.947030000000002</v>
      </c>
      <c r="S104">
        <v>6.9000000000000006E-2</v>
      </c>
      <c r="T104">
        <v>2.0663450999999999</v>
      </c>
      <c r="U104">
        <v>1.9E-2</v>
      </c>
      <c r="V104">
        <v>39.261000000000003</v>
      </c>
      <c r="W104">
        <v>2</v>
      </c>
      <c r="X104">
        <v>1.2735284378999999E-2</v>
      </c>
      <c r="Y104">
        <v>1</v>
      </c>
      <c r="Z104" s="61">
        <v>8.9502299999999995</v>
      </c>
      <c r="AA104" t="s">
        <v>336</v>
      </c>
      <c r="AB104" t="s">
        <v>433</v>
      </c>
      <c r="AC104" t="s">
        <v>425</v>
      </c>
      <c r="AD104" t="s">
        <v>81</v>
      </c>
      <c r="AE104">
        <v>111.133</v>
      </c>
      <c r="AF104">
        <v>0.99819678194932504</v>
      </c>
      <c r="AG104">
        <v>110.9326029683743</v>
      </c>
      <c r="AH104">
        <v>682.07</v>
      </c>
      <c r="AI104">
        <v>1</v>
      </c>
      <c r="AJ104">
        <v>75.663800506639092</v>
      </c>
      <c r="AK104">
        <v>0.92979999999999996</v>
      </c>
      <c r="AL104" s="63">
        <v>70.352000000000004</v>
      </c>
      <c r="AM104">
        <v>8.9176000000000002</v>
      </c>
      <c r="AN104">
        <v>8.9015196227113016</v>
      </c>
      <c r="AO104">
        <v>1</v>
      </c>
      <c r="AP104">
        <v>6071.4594890626977</v>
      </c>
      <c r="AQ104">
        <v>1.0375922509225091</v>
      </c>
      <c r="AR104">
        <v>6299.6993000000002</v>
      </c>
      <c r="AS104" s="61">
        <v>56383.757665839003</v>
      </c>
      <c r="AT104" t="s">
        <v>339</v>
      </c>
      <c r="AU104" t="s">
        <v>433</v>
      </c>
      <c r="AV104" t="s">
        <v>425</v>
      </c>
      <c r="AW104" t="s">
        <v>81</v>
      </c>
      <c r="AX104">
        <v>111.133</v>
      </c>
      <c r="AY104">
        <v>1.0062587218588701</v>
      </c>
      <c r="AZ104">
        <v>111.82855053634179</v>
      </c>
      <c r="BA104">
        <v>665.15</v>
      </c>
      <c r="BB104">
        <v>1</v>
      </c>
      <c r="BC104">
        <v>74.382760389247736</v>
      </c>
      <c r="BD104">
        <v>0.92979999999999996</v>
      </c>
      <c r="BE104" s="63">
        <v>69.161000000000001</v>
      </c>
      <c r="BF104">
        <v>8.9176000000000002</v>
      </c>
      <c r="BG104">
        <v>1</v>
      </c>
      <c r="BH104">
        <v>5968.6655093190648</v>
      </c>
      <c r="BI104">
        <v>1.0375922509225091</v>
      </c>
      <c r="BJ104" s="63">
        <v>6193.0411000000004</v>
      </c>
      <c r="BK104" s="61">
        <v>55429.142244453004</v>
      </c>
    </row>
    <row r="105" spans="1:63" x14ac:dyDescent="0.25">
      <c r="A105">
        <v>253</v>
      </c>
      <c r="B105" t="s">
        <v>143</v>
      </c>
      <c r="C105">
        <v>2017</v>
      </c>
      <c r="D105">
        <v>6</v>
      </c>
      <c r="E105" t="s">
        <v>100</v>
      </c>
      <c r="F105" t="s">
        <v>426</v>
      </c>
      <c r="G105" t="s">
        <v>427</v>
      </c>
      <c r="H105" t="s">
        <v>84</v>
      </c>
      <c r="I105" t="s">
        <v>429</v>
      </c>
      <c r="J105" t="s">
        <v>87</v>
      </c>
      <c r="K105">
        <v>-124.91985214</v>
      </c>
      <c r="L105" t="s">
        <v>87</v>
      </c>
      <c r="M105" t="s">
        <v>382</v>
      </c>
      <c r="N105">
        <v>2.6818326000169999E-2</v>
      </c>
      <c r="O105">
        <v>3.350141318583554</v>
      </c>
      <c r="P105" t="s">
        <v>440</v>
      </c>
      <c r="Q105">
        <v>2</v>
      </c>
      <c r="R105">
        <v>29.947030000000002</v>
      </c>
      <c r="S105">
        <v>6.9000000000000006E-2</v>
      </c>
      <c r="T105">
        <v>2.0663450999999999</v>
      </c>
      <c r="U105">
        <v>1.9E-2</v>
      </c>
      <c r="V105">
        <v>39.261000000000003</v>
      </c>
      <c r="W105">
        <v>2</v>
      </c>
      <c r="X105">
        <v>1.2735284378999999E-2</v>
      </c>
      <c r="Y105">
        <v>1</v>
      </c>
      <c r="Z105" s="61">
        <v>3.3501409999999998</v>
      </c>
      <c r="AA105" t="s">
        <v>336</v>
      </c>
      <c r="AB105" t="s">
        <v>433</v>
      </c>
      <c r="AC105" t="s">
        <v>425</v>
      </c>
      <c r="AD105" t="s">
        <v>81</v>
      </c>
      <c r="AE105">
        <v>111.133</v>
      </c>
      <c r="AF105">
        <v>0.99819678194932504</v>
      </c>
      <c r="AG105">
        <v>110.9326029683743</v>
      </c>
      <c r="AH105">
        <v>682.07</v>
      </c>
      <c r="AI105">
        <v>1</v>
      </c>
      <c r="AJ105">
        <v>75.663800506639092</v>
      </c>
      <c r="AK105">
        <v>0.92979999999999996</v>
      </c>
      <c r="AL105" s="63">
        <v>70.352000000000004</v>
      </c>
      <c r="AM105">
        <v>8.9176000000000002</v>
      </c>
      <c r="AN105">
        <v>8.9015196227113016</v>
      </c>
      <c r="AO105">
        <v>1</v>
      </c>
      <c r="AP105">
        <v>6071.4594890626977</v>
      </c>
      <c r="AQ105">
        <v>1.0375922509225091</v>
      </c>
      <c r="AR105">
        <v>6299.6993000000002</v>
      </c>
      <c r="AS105" s="61">
        <v>21104.8809126013</v>
      </c>
      <c r="AT105" t="s">
        <v>339</v>
      </c>
      <c r="AU105" t="s">
        <v>433</v>
      </c>
      <c r="AV105" t="s">
        <v>425</v>
      </c>
      <c r="AW105" t="s">
        <v>81</v>
      </c>
      <c r="AX105">
        <v>111.133</v>
      </c>
      <c r="AY105">
        <v>1.0062587218588701</v>
      </c>
      <c r="AZ105">
        <v>111.82855053634179</v>
      </c>
      <c r="BA105">
        <v>665.15</v>
      </c>
      <c r="BB105">
        <v>1</v>
      </c>
      <c r="BC105">
        <v>74.382760389247736</v>
      </c>
      <c r="BD105">
        <v>0.92979999999999996</v>
      </c>
      <c r="BE105" s="63">
        <v>69.161000000000001</v>
      </c>
      <c r="BF105">
        <v>8.9176000000000002</v>
      </c>
      <c r="BG105">
        <v>1</v>
      </c>
      <c r="BH105">
        <v>5968.6655093190648</v>
      </c>
      <c r="BI105">
        <v>1.0375922509225091</v>
      </c>
      <c r="BJ105" s="63">
        <v>6193.0411000000004</v>
      </c>
      <c r="BK105" s="61">
        <v>20747.5609037951</v>
      </c>
    </row>
    <row r="106" spans="1:63" x14ac:dyDescent="0.25">
      <c r="A106">
        <v>253</v>
      </c>
      <c r="B106" t="s">
        <v>143</v>
      </c>
      <c r="C106">
        <v>2017</v>
      </c>
      <c r="D106">
        <v>6</v>
      </c>
      <c r="E106" t="s">
        <v>100</v>
      </c>
      <c r="F106" t="s">
        <v>426</v>
      </c>
      <c r="G106" t="s">
        <v>427</v>
      </c>
      <c r="H106" t="s">
        <v>84</v>
      </c>
      <c r="I106" t="s">
        <v>430</v>
      </c>
      <c r="J106" t="s">
        <v>59</v>
      </c>
      <c r="K106">
        <v>-338.84159514999999</v>
      </c>
      <c r="L106" t="s">
        <v>59</v>
      </c>
      <c r="M106" t="s">
        <v>382</v>
      </c>
      <c r="N106">
        <v>2.6402537999939999E-2</v>
      </c>
      <c r="O106">
        <v>8.9462780919081606</v>
      </c>
      <c r="P106" t="s">
        <v>440</v>
      </c>
      <c r="Q106">
        <v>2</v>
      </c>
      <c r="R106">
        <v>29.947030000000002</v>
      </c>
      <c r="S106">
        <v>6.9000000000000006E-2</v>
      </c>
      <c r="T106">
        <v>2.0663450999999999</v>
      </c>
      <c r="U106">
        <v>1.9E-2</v>
      </c>
      <c r="V106">
        <v>39.261000000000003</v>
      </c>
      <c r="W106">
        <v>2</v>
      </c>
      <c r="X106">
        <v>1.2735284378999999E-2</v>
      </c>
      <c r="Y106">
        <v>1</v>
      </c>
      <c r="Z106" s="61">
        <v>8.9462779999999995</v>
      </c>
      <c r="AA106" t="s">
        <v>336</v>
      </c>
      <c r="AB106" t="s">
        <v>433</v>
      </c>
      <c r="AC106" t="s">
        <v>425</v>
      </c>
      <c r="AD106" t="s">
        <v>81</v>
      </c>
      <c r="AE106">
        <v>111.133</v>
      </c>
      <c r="AF106">
        <v>0.99819678194932504</v>
      </c>
      <c r="AG106">
        <v>110.9326029683743</v>
      </c>
      <c r="AH106">
        <v>682.07</v>
      </c>
      <c r="AI106">
        <v>1</v>
      </c>
      <c r="AJ106">
        <v>75.663800506639092</v>
      </c>
      <c r="AK106">
        <v>0.92979999999999996</v>
      </c>
      <c r="AL106" s="63">
        <v>70.352000000000004</v>
      </c>
      <c r="AM106">
        <v>8.9176000000000002</v>
      </c>
      <c r="AN106">
        <v>8.9015196227113016</v>
      </c>
      <c r="AO106">
        <v>1</v>
      </c>
      <c r="AP106">
        <v>6071.4594890626977</v>
      </c>
      <c r="AQ106">
        <v>1.0375922509225091</v>
      </c>
      <c r="AR106">
        <v>6299.6993000000002</v>
      </c>
      <c r="AS106" s="61">
        <v>56358.861254205403</v>
      </c>
      <c r="AT106" t="s">
        <v>339</v>
      </c>
      <c r="AU106" t="s">
        <v>433</v>
      </c>
      <c r="AV106" t="s">
        <v>425</v>
      </c>
      <c r="AW106" t="s">
        <v>81</v>
      </c>
      <c r="AX106">
        <v>111.133</v>
      </c>
      <c r="AY106">
        <v>1.0062587218588701</v>
      </c>
      <c r="AZ106">
        <v>111.82855053634179</v>
      </c>
      <c r="BA106">
        <v>665.15</v>
      </c>
      <c r="BB106">
        <v>1</v>
      </c>
      <c r="BC106">
        <v>74.382760389247736</v>
      </c>
      <c r="BD106">
        <v>0.92979999999999996</v>
      </c>
      <c r="BE106" s="63">
        <v>69.161000000000001</v>
      </c>
      <c r="BF106">
        <v>8.9176000000000002</v>
      </c>
      <c r="BG106">
        <v>1</v>
      </c>
      <c r="BH106">
        <v>5968.6655093190648</v>
      </c>
      <c r="BI106">
        <v>1.0375922509225091</v>
      </c>
      <c r="BJ106" s="63">
        <v>6193.0411000000004</v>
      </c>
      <c r="BK106" s="61">
        <v>55404.667346025803</v>
      </c>
    </row>
    <row r="107" spans="1:63" x14ac:dyDescent="0.25">
      <c r="A107">
        <v>255</v>
      </c>
      <c r="B107" t="s">
        <v>143</v>
      </c>
      <c r="C107">
        <v>2017</v>
      </c>
      <c r="D107">
        <v>6</v>
      </c>
      <c r="E107" t="s">
        <v>100</v>
      </c>
      <c r="F107" t="s">
        <v>426</v>
      </c>
      <c r="G107" t="s">
        <v>427</v>
      </c>
      <c r="H107" t="s">
        <v>84</v>
      </c>
      <c r="I107" t="s">
        <v>428</v>
      </c>
      <c r="J107" t="s">
        <v>381</v>
      </c>
      <c r="K107">
        <v>-602.12437604000002</v>
      </c>
      <c r="L107" t="s">
        <v>381</v>
      </c>
      <c r="M107" t="s">
        <v>383</v>
      </c>
      <c r="N107">
        <v>1.02460557899988</v>
      </c>
      <c r="O107">
        <v>616.93999494240563</v>
      </c>
      <c r="P107" t="s">
        <v>440</v>
      </c>
      <c r="Q107">
        <v>2</v>
      </c>
      <c r="R107">
        <v>29.947030000000002</v>
      </c>
      <c r="S107">
        <v>6.9000000000000006E-2</v>
      </c>
      <c r="T107">
        <v>2.0663450999999999</v>
      </c>
      <c r="U107">
        <v>0.98099999999999998</v>
      </c>
      <c r="V107">
        <v>2027.085</v>
      </c>
      <c r="W107">
        <v>2</v>
      </c>
      <c r="X107">
        <v>2.4665961199999998E-4</v>
      </c>
      <c r="Y107">
        <v>1</v>
      </c>
      <c r="Z107" s="61">
        <v>616.93999499999995</v>
      </c>
      <c r="AA107" t="s">
        <v>336</v>
      </c>
      <c r="AB107" t="s">
        <v>433</v>
      </c>
      <c r="AC107" t="s">
        <v>425</v>
      </c>
      <c r="AD107" t="s">
        <v>27</v>
      </c>
      <c r="AE107">
        <v>111.133</v>
      </c>
      <c r="AF107">
        <v>0.99819678194932504</v>
      </c>
      <c r="AG107">
        <v>110.9326029683743</v>
      </c>
      <c r="AH107">
        <v>682.07</v>
      </c>
      <c r="AI107">
        <v>1</v>
      </c>
      <c r="AJ107">
        <v>75.663800506639092</v>
      </c>
      <c r="AK107">
        <v>0.99739999999999995</v>
      </c>
      <c r="AL107" s="63">
        <v>75.466999999999999</v>
      </c>
      <c r="AM107">
        <v>8.9176000000000002</v>
      </c>
      <c r="AN107">
        <v>8.9015196227113016</v>
      </c>
      <c r="AO107">
        <v>1</v>
      </c>
      <c r="AP107">
        <v>6071.4594890626977</v>
      </c>
      <c r="AQ107">
        <v>1.0108695652173909</v>
      </c>
      <c r="AR107">
        <v>6137.4535999999998</v>
      </c>
      <c r="AS107" s="61">
        <v>3786440.5932967318</v>
      </c>
      <c r="AT107" t="s">
        <v>339</v>
      </c>
      <c r="AU107" t="s">
        <v>433</v>
      </c>
      <c r="AV107" t="s">
        <v>425</v>
      </c>
      <c r="AW107" t="s">
        <v>27</v>
      </c>
      <c r="AX107">
        <v>111.133</v>
      </c>
      <c r="AY107">
        <v>1.0062587218588701</v>
      </c>
      <c r="AZ107">
        <v>111.82855053634179</v>
      </c>
      <c r="BA107">
        <v>665.15</v>
      </c>
      <c r="BB107">
        <v>1</v>
      </c>
      <c r="BC107">
        <v>74.382760389247736</v>
      </c>
      <c r="BD107">
        <v>0.99739999999999995</v>
      </c>
      <c r="BE107" s="63">
        <v>74.188999999999993</v>
      </c>
      <c r="BF107">
        <v>8.9176000000000002</v>
      </c>
      <c r="BG107">
        <v>1</v>
      </c>
      <c r="BH107">
        <v>5968.6655093190648</v>
      </c>
      <c r="BI107">
        <v>1.0108695652173909</v>
      </c>
      <c r="BJ107" s="63">
        <v>6033.5423000000001</v>
      </c>
      <c r="BK107" s="61">
        <v>3722333.5563942879</v>
      </c>
    </row>
    <row r="108" spans="1:63" x14ac:dyDescent="0.25">
      <c r="A108">
        <v>255</v>
      </c>
      <c r="B108" t="s">
        <v>143</v>
      </c>
      <c r="C108">
        <v>2017</v>
      </c>
      <c r="D108">
        <v>6</v>
      </c>
      <c r="E108" t="s">
        <v>100</v>
      </c>
      <c r="F108" t="s">
        <v>426</v>
      </c>
      <c r="G108" t="s">
        <v>427</v>
      </c>
      <c r="H108" t="s">
        <v>84</v>
      </c>
      <c r="I108" t="s">
        <v>429</v>
      </c>
      <c r="J108" t="s">
        <v>87</v>
      </c>
      <c r="K108">
        <v>-124.91985214</v>
      </c>
      <c r="L108" t="s">
        <v>87</v>
      </c>
      <c r="M108" t="s">
        <v>383</v>
      </c>
      <c r="N108">
        <v>1.0126516739960501</v>
      </c>
      <c r="O108">
        <v>126.50029738491</v>
      </c>
      <c r="P108" t="s">
        <v>440</v>
      </c>
      <c r="Q108">
        <v>2</v>
      </c>
      <c r="R108">
        <v>29.947030000000002</v>
      </c>
      <c r="S108">
        <v>6.9000000000000006E-2</v>
      </c>
      <c r="T108">
        <v>2.0663450999999999</v>
      </c>
      <c r="U108">
        <v>0.98099999999999998</v>
      </c>
      <c r="V108">
        <v>2027.085</v>
      </c>
      <c r="W108">
        <v>2</v>
      </c>
      <c r="X108">
        <v>2.4665961199999998E-4</v>
      </c>
      <c r="Y108">
        <v>1</v>
      </c>
      <c r="Z108" s="61">
        <v>126.500297</v>
      </c>
      <c r="AA108" t="s">
        <v>336</v>
      </c>
      <c r="AB108" t="s">
        <v>433</v>
      </c>
      <c r="AC108" t="s">
        <v>425</v>
      </c>
      <c r="AD108" t="s">
        <v>27</v>
      </c>
      <c r="AE108">
        <v>111.133</v>
      </c>
      <c r="AF108">
        <v>0.99819678194932504</v>
      </c>
      <c r="AG108">
        <v>110.9326029683743</v>
      </c>
      <c r="AH108">
        <v>682.07</v>
      </c>
      <c r="AI108">
        <v>1</v>
      </c>
      <c r="AJ108">
        <v>75.663800506639092</v>
      </c>
      <c r="AK108">
        <v>0.99739999999999995</v>
      </c>
      <c r="AL108" s="63">
        <v>75.466999999999999</v>
      </c>
      <c r="AM108">
        <v>8.9176000000000002</v>
      </c>
      <c r="AN108">
        <v>8.9015196227113016</v>
      </c>
      <c r="AO108">
        <v>1</v>
      </c>
      <c r="AP108">
        <v>6071.4594890626977</v>
      </c>
      <c r="AQ108">
        <v>1.0108695652173909</v>
      </c>
      <c r="AR108">
        <v>6137.4535999999998</v>
      </c>
      <c r="AS108" s="61">
        <v>776389.70322371915</v>
      </c>
      <c r="AT108" t="s">
        <v>339</v>
      </c>
      <c r="AU108" t="s">
        <v>433</v>
      </c>
      <c r="AV108" t="s">
        <v>425</v>
      </c>
      <c r="AW108" t="s">
        <v>27</v>
      </c>
      <c r="AX108">
        <v>111.133</v>
      </c>
      <c r="AY108">
        <v>1.0062587218588701</v>
      </c>
      <c r="AZ108">
        <v>111.82855053634179</v>
      </c>
      <c r="BA108">
        <v>665.15</v>
      </c>
      <c r="BB108">
        <v>1</v>
      </c>
      <c r="BC108">
        <v>74.382760389247736</v>
      </c>
      <c r="BD108">
        <v>0.99739999999999995</v>
      </c>
      <c r="BE108" s="63">
        <v>74.188999999999993</v>
      </c>
      <c r="BF108">
        <v>8.9176000000000002</v>
      </c>
      <c r="BG108">
        <v>1</v>
      </c>
      <c r="BH108">
        <v>5968.6655093190648</v>
      </c>
      <c r="BI108">
        <v>1.0108695652173909</v>
      </c>
      <c r="BJ108" s="63">
        <v>6033.5423000000001</v>
      </c>
      <c r="BK108" s="61">
        <v>763244.89291206317</v>
      </c>
    </row>
    <row r="109" spans="1:63" x14ac:dyDescent="0.25">
      <c r="A109">
        <v>255</v>
      </c>
      <c r="B109" t="s">
        <v>143</v>
      </c>
      <c r="C109">
        <v>2017</v>
      </c>
      <c r="D109">
        <v>6</v>
      </c>
      <c r="E109" t="s">
        <v>100</v>
      </c>
      <c r="F109" t="s">
        <v>426</v>
      </c>
      <c r="G109" t="s">
        <v>427</v>
      </c>
      <c r="H109" t="s">
        <v>84</v>
      </c>
      <c r="I109" t="s">
        <v>430</v>
      </c>
      <c r="J109" t="s">
        <v>59</v>
      </c>
      <c r="K109">
        <v>-338.84159514999999</v>
      </c>
      <c r="L109" t="s">
        <v>59</v>
      </c>
      <c r="M109" t="s">
        <v>383</v>
      </c>
      <c r="N109">
        <v>1.0130674620006199</v>
      </c>
      <c r="O109">
        <v>343.26939481885199</v>
      </c>
      <c r="P109" t="s">
        <v>440</v>
      </c>
      <c r="Q109">
        <v>2</v>
      </c>
      <c r="R109">
        <v>29.947030000000002</v>
      </c>
      <c r="S109">
        <v>6.9000000000000006E-2</v>
      </c>
      <c r="T109">
        <v>2.0663450999999999</v>
      </c>
      <c r="U109">
        <v>0.98099999999999998</v>
      </c>
      <c r="V109">
        <v>2027.085</v>
      </c>
      <c r="W109">
        <v>2</v>
      </c>
      <c r="X109">
        <v>2.4665961199999998E-4</v>
      </c>
      <c r="Y109">
        <v>1</v>
      </c>
      <c r="Z109" s="61">
        <v>343.26939499999997</v>
      </c>
      <c r="AA109" t="s">
        <v>336</v>
      </c>
      <c r="AB109" t="s">
        <v>433</v>
      </c>
      <c r="AC109" t="s">
        <v>425</v>
      </c>
      <c r="AD109" t="s">
        <v>27</v>
      </c>
      <c r="AE109">
        <v>111.133</v>
      </c>
      <c r="AF109">
        <v>0.99819678194932504</v>
      </c>
      <c r="AG109">
        <v>110.9326029683743</v>
      </c>
      <c r="AH109">
        <v>682.07</v>
      </c>
      <c r="AI109">
        <v>1</v>
      </c>
      <c r="AJ109">
        <v>75.663800506639092</v>
      </c>
      <c r="AK109">
        <v>0.99739999999999995</v>
      </c>
      <c r="AL109" s="63">
        <v>75.466999999999999</v>
      </c>
      <c r="AM109">
        <v>8.9176000000000002</v>
      </c>
      <c r="AN109">
        <v>8.9015196227113016</v>
      </c>
      <c r="AO109">
        <v>1</v>
      </c>
      <c r="AP109">
        <v>6071.4594890626977</v>
      </c>
      <c r="AQ109">
        <v>1.0108695652173909</v>
      </c>
      <c r="AR109">
        <v>6137.4535999999998</v>
      </c>
      <c r="AS109" s="61">
        <v>2106799.9841125719</v>
      </c>
      <c r="AT109" t="s">
        <v>339</v>
      </c>
      <c r="AU109" t="s">
        <v>433</v>
      </c>
      <c r="AV109" t="s">
        <v>425</v>
      </c>
      <c r="AW109" t="s">
        <v>27</v>
      </c>
      <c r="AX109">
        <v>111.133</v>
      </c>
      <c r="AY109">
        <v>1.0062587218588701</v>
      </c>
      <c r="AZ109">
        <v>111.82855053634179</v>
      </c>
      <c r="BA109">
        <v>665.15</v>
      </c>
      <c r="BB109">
        <v>1</v>
      </c>
      <c r="BC109">
        <v>74.382760389247736</v>
      </c>
      <c r="BD109">
        <v>0.99739999999999995</v>
      </c>
      <c r="BE109" s="63">
        <v>74.188999999999993</v>
      </c>
      <c r="BF109">
        <v>8.9176000000000002</v>
      </c>
      <c r="BG109">
        <v>1</v>
      </c>
      <c r="BH109">
        <v>5968.6655093190648</v>
      </c>
      <c r="BI109">
        <v>1.0108695652173909</v>
      </c>
      <c r="BJ109" s="63">
        <v>6033.5423000000001</v>
      </c>
      <c r="BK109" s="61">
        <v>2071130.415027908</v>
      </c>
    </row>
    <row r="110" spans="1:63" x14ac:dyDescent="0.25">
      <c r="A110">
        <v>273</v>
      </c>
      <c r="B110" t="s">
        <v>142</v>
      </c>
      <c r="C110">
        <v>2017</v>
      </c>
      <c r="D110">
        <v>7</v>
      </c>
      <c r="E110" t="s">
        <v>100</v>
      </c>
      <c r="F110" t="s">
        <v>426</v>
      </c>
      <c r="G110" t="s">
        <v>427</v>
      </c>
      <c r="H110" t="s">
        <v>84</v>
      </c>
      <c r="I110" t="s">
        <v>428</v>
      </c>
      <c r="J110" t="s">
        <v>381</v>
      </c>
      <c r="K110">
        <v>-619.39203424000004</v>
      </c>
      <c r="L110" t="s">
        <v>381</v>
      </c>
      <c r="M110" t="s">
        <v>382</v>
      </c>
      <c r="N110">
        <v>1.486442099989E-2</v>
      </c>
      <c r="O110">
        <v>9.2069039609216414</v>
      </c>
      <c r="P110" t="s">
        <v>440</v>
      </c>
      <c r="Q110">
        <v>2</v>
      </c>
      <c r="R110">
        <v>29.947030000000002</v>
      </c>
      <c r="S110">
        <v>7.9000000000000001E-2</v>
      </c>
      <c r="T110">
        <v>2.3658153999999998</v>
      </c>
      <c r="U110">
        <v>1.9E-2</v>
      </c>
      <c r="V110">
        <v>44.95</v>
      </c>
      <c r="W110">
        <v>2</v>
      </c>
      <c r="X110">
        <v>1.1123470523000001E-2</v>
      </c>
      <c r="Y110">
        <v>1</v>
      </c>
      <c r="Z110" s="61">
        <v>9.2069039999999998</v>
      </c>
      <c r="AA110" t="s">
        <v>336</v>
      </c>
      <c r="AB110" t="s">
        <v>433</v>
      </c>
      <c r="AC110" t="s">
        <v>425</v>
      </c>
      <c r="AD110" t="s">
        <v>81</v>
      </c>
      <c r="AE110">
        <v>111.133</v>
      </c>
      <c r="AF110">
        <v>0.99819678194932504</v>
      </c>
      <c r="AG110">
        <v>110.9326029683743</v>
      </c>
      <c r="AH110">
        <v>682.07</v>
      </c>
      <c r="AI110">
        <v>1</v>
      </c>
      <c r="AJ110">
        <v>75.663800506639092</v>
      </c>
      <c r="AK110">
        <v>0.92979999999999996</v>
      </c>
      <c r="AL110" s="63">
        <v>70.352000000000004</v>
      </c>
      <c r="AM110">
        <v>8.9176000000000002</v>
      </c>
      <c r="AN110">
        <v>8.9015196227113016</v>
      </c>
      <c r="AO110">
        <v>1</v>
      </c>
      <c r="AP110">
        <v>6071.4594890626977</v>
      </c>
      <c r="AQ110">
        <v>1.0375922509225091</v>
      </c>
      <c r="AR110">
        <v>6299.6993000000002</v>
      </c>
      <c r="AS110" s="61">
        <v>58000.726683967201</v>
      </c>
      <c r="AT110" t="s">
        <v>342</v>
      </c>
      <c r="AU110" t="s">
        <v>434</v>
      </c>
      <c r="AV110" t="s">
        <v>425</v>
      </c>
      <c r="AW110" t="s">
        <v>81</v>
      </c>
      <c r="AX110">
        <v>111.133</v>
      </c>
      <c r="AY110">
        <v>1.0155396203574489</v>
      </c>
      <c r="AZ110">
        <v>112.8599646291844</v>
      </c>
      <c r="BA110">
        <v>658.17</v>
      </c>
      <c r="BB110">
        <v>1</v>
      </c>
      <c r="BC110">
        <v>74.281042919990284</v>
      </c>
      <c r="BD110">
        <v>0.95185525912296853</v>
      </c>
      <c r="BE110" s="63">
        <v>70.704999999999998</v>
      </c>
      <c r="BF110">
        <v>8.9176000000000002</v>
      </c>
      <c r="BG110">
        <v>1</v>
      </c>
      <c r="BH110">
        <v>5960.503435912874</v>
      </c>
      <c r="BI110">
        <v>1.081469419077697</v>
      </c>
      <c r="BJ110" s="63">
        <v>6446.1022000000003</v>
      </c>
      <c r="BK110" s="61">
        <v>59348.6441295888</v>
      </c>
    </row>
    <row r="111" spans="1:63" x14ac:dyDescent="0.25">
      <c r="A111">
        <v>273</v>
      </c>
      <c r="B111" t="s">
        <v>142</v>
      </c>
      <c r="C111">
        <v>2017</v>
      </c>
      <c r="D111">
        <v>7</v>
      </c>
      <c r="E111" t="s">
        <v>100</v>
      </c>
      <c r="F111" t="s">
        <v>426</v>
      </c>
      <c r="G111" t="s">
        <v>427</v>
      </c>
      <c r="H111" t="s">
        <v>84</v>
      </c>
      <c r="I111" t="s">
        <v>429</v>
      </c>
      <c r="J111" t="s">
        <v>87</v>
      </c>
      <c r="K111">
        <v>-111.25636713</v>
      </c>
      <c r="L111" t="s">
        <v>87</v>
      </c>
      <c r="M111" t="s">
        <v>382</v>
      </c>
      <c r="N111">
        <v>2.6818326000350001E-2</v>
      </c>
      <c r="O111">
        <v>2.9837095233069642</v>
      </c>
      <c r="P111" t="s">
        <v>440</v>
      </c>
      <c r="Q111">
        <v>2</v>
      </c>
      <c r="R111">
        <v>29.947030000000002</v>
      </c>
      <c r="S111">
        <v>7.9000000000000001E-2</v>
      </c>
      <c r="T111">
        <v>2.3658153999999998</v>
      </c>
      <c r="U111">
        <v>1.9E-2</v>
      </c>
      <c r="V111">
        <v>44.95</v>
      </c>
      <c r="W111">
        <v>2</v>
      </c>
      <c r="X111">
        <v>1.1123470523000001E-2</v>
      </c>
      <c r="Y111">
        <v>1</v>
      </c>
      <c r="Z111" s="61">
        <v>2.9837099999999999</v>
      </c>
      <c r="AA111" t="s">
        <v>336</v>
      </c>
      <c r="AB111" t="s">
        <v>433</v>
      </c>
      <c r="AC111" t="s">
        <v>425</v>
      </c>
      <c r="AD111" t="s">
        <v>81</v>
      </c>
      <c r="AE111">
        <v>111.133</v>
      </c>
      <c r="AF111">
        <v>0.99819678194932504</v>
      </c>
      <c r="AG111">
        <v>110.9326029683743</v>
      </c>
      <c r="AH111">
        <v>682.07</v>
      </c>
      <c r="AI111">
        <v>1</v>
      </c>
      <c r="AJ111">
        <v>75.663800506639092</v>
      </c>
      <c r="AK111">
        <v>0.92979999999999996</v>
      </c>
      <c r="AL111" s="63">
        <v>70.352000000000004</v>
      </c>
      <c r="AM111">
        <v>8.9176000000000002</v>
      </c>
      <c r="AN111">
        <v>8.9015196227113016</v>
      </c>
      <c r="AO111">
        <v>1</v>
      </c>
      <c r="AP111">
        <v>6071.4594890626977</v>
      </c>
      <c r="AQ111">
        <v>1.0375922509225091</v>
      </c>
      <c r="AR111">
        <v>6299.6993000000002</v>
      </c>
      <c r="AS111" s="61">
        <v>18796.475798403</v>
      </c>
      <c r="AT111" t="s">
        <v>342</v>
      </c>
      <c r="AU111" t="s">
        <v>434</v>
      </c>
      <c r="AV111" t="s">
        <v>425</v>
      </c>
      <c r="AW111" t="s">
        <v>81</v>
      </c>
      <c r="AX111">
        <v>111.133</v>
      </c>
      <c r="AY111">
        <v>1.0155396203574489</v>
      </c>
      <c r="AZ111">
        <v>112.8599646291844</v>
      </c>
      <c r="BA111">
        <v>658.17</v>
      </c>
      <c r="BB111">
        <v>1</v>
      </c>
      <c r="BC111">
        <v>74.281042919990284</v>
      </c>
      <c r="BD111">
        <v>0.95185525912296853</v>
      </c>
      <c r="BE111" s="63">
        <v>70.704999999999998</v>
      </c>
      <c r="BF111">
        <v>8.9176000000000002</v>
      </c>
      <c r="BG111">
        <v>1</v>
      </c>
      <c r="BH111">
        <v>5960.503435912874</v>
      </c>
      <c r="BI111">
        <v>1.081469419077697</v>
      </c>
      <c r="BJ111" s="63">
        <v>6446.1022000000003</v>
      </c>
      <c r="BK111" s="61">
        <v>19233.299595162</v>
      </c>
    </row>
    <row r="112" spans="1:63" x14ac:dyDescent="0.25">
      <c r="A112">
        <v>273</v>
      </c>
      <c r="B112" t="s">
        <v>142</v>
      </c>
      <c r="C112">
        <v>2017</v>
      </c>
      <c r="D112">
        <v>7</v>
      </c>
      <c r="E112" t="s">
        <v>100</v>
      </c>
      <c r="F112" t="s">
        <v>426</v>
      </c>
      <c r="G112" t="s">
        <v>427</v>
      </c>
      <c r="H112" t="s">
        <v>84</v>
      </c>
      <c r="I112" t="s">
        <v>430</v>
      </c>
      <c r="J112" t="s">
        <v>59</v>
      </c>
      <c r="K112">
        <v>-352.98990703999999</v>
      </c>
      <c r="L112" t="s">
        <v>59</v>
      </c>
      <c r="M112" t="s">
        <v>382</v>
      </c>
      <c r="N112">
        <v>2.6402538000410002E-2</v>
      </c>
      <c r="O112">
        <v>9.3198294343847934</v>
      </c>
      <c r="P112" t="s">
        <v>440</v>
      </c>
      <c r="Q112">
        <v>2</v>
      </c>
      <c r="R112">
        <v>29.947030000000002</v>
      </c>
      <c r="S112">
        <v>7.9000000000000001E-2</v>
      </c>
      <c r="T112">
        <v>2.3658153999999998</v>
      </c>
      <c r="U112">
        <v>1.9E-2</v>
      </c>
      <c r="V112">
        <v>44.95</v>
      </c>
      <c r="W112">
        <v>2</v>
      </c>
      <c r="X112">
        <v>1.1123470523000001E-2</v>
      </c>
      <c r="Y112">
        <v>1</v>
      </c>
      <c r="Z112" s="61">
        <v>9.3198290000000004</v>
      </c>
      <c r="AA112" t="s">
        <v>336</v>
      </c>
      <c r="AB112" t="s">
        <v>433</v>
      </c>
      <c r="AC112" t="s">
        <v>425</v>
      </c>
      <c r="AD112" t="s">
        <v>81</v>
      </c>
      <c r="AE112">
        <v>111.133</v>
      </c>
      <c r="AF112">
        <v>0.99819678194932504</v>
      </c>
      <c r="AG112">
        <v>110.9326029683743</v>
      </c>
      <c r="AH112">
        <v>682.07</v>
      </c>
      <c r="AI112">
        <v>1</v>
      </c>
      <c r="AJ112">
        <v>75.663800506639092</v>
      </c>
      <c r="AK112">
        <v>0.92979999999999996</v>
      </c>
      <c r="AL112" s="63">
        <v>70.352000000000004</v>
      </c>
      <c r="AM112">
        <v>8.9176000000000002</v>
      </c>
      <c r="AN112">
        <v>8.9015196227113016</v>
      </c>
      <c r="AO112">
        <v>1</v>
      </c>
      <c r="AP112">
        <v>6071.4594890626977</v>
      </c>
      <c r="AQ112">
        <v>1.0375922509225091</v>
      </c>
      <c r="AR112">
        <v>6299.6993000000002</v>
      </c>
      <c r="AS112" s="61">
        <v>58712.120227419713</v>
      </c>
      <c r="AT112" t="s">
        <v>342</v>
      </c>
      <c r="AU112" t="s">
        <v>434</v>
      </c>
      <c r="AV112" t="s">
        <v>425</v>
      </c>
      <c r="AW112" t="s">
        <v>81</v>
      </c>
      <c r="AX112">
        <v>111.133</v>
      </c>
      <c r="AY112">
        <v>1.0155396203574489</v>
      </c>
      <c r="AZ112">
        <v>112.8599646291844</v>
      </c>
      <c r="BA112">
        <v>658.17</v>
      </c>
      <c r="BB112">
        <v>1</v>
      </c>
      <c r="BC112">
        <v>74.281042919990284</v>
      </c>
      <c r="BD112">
        <v>0.95185525912296853</v>
      </c>
      <c r="BE112" s="63">
        <v>70.704999999999998</v>
      </c>
      <c r="BF112">
        <v>8.9176000000000002</v>
      </c>
      <c r="BG112">
        <v>1</v>
      </c>
      <c r="BH112">
        <v>5960.503435912874</v>
      </c>
      <c r="BI112">
        <v>1.081469419077697</v>
      </c>
      <c r="BJ112" s="63">
        <v>6446.1022000000003</v>
      </c>
      <c r="BK112" s="61">
        <v>60076.570220523798</v>
      </c>
    </row>
    <row r="113" spans="1:63" x14ac:dyDescent="0.25">
      <c r="A113">
        <v>275</v>
      </c>
      <c r="B113" t="s">
        <v>142</v>
      </c>
      <c r="C113">
        <v>2017</v>
      </c>
      <c r="D113">
        <v>7</v>
      </c>
      <c r="E113" t="s">
        <v>100</v>
      </c>
      <c r="F113" t="s">
        <v>426</v>
      </c>
      <c r="G113" t="s">
        <v>427</v>
      </c>
      <c r="H113" t="s">
        <v>84</v>
      </c>
      <c r="I113" t="s">
        <v>428</v>
      </c>
      <c r="J113" t="s">
        <v>381</v>
      </c>
      <c r="K113">
        <v>-619.39203424000004</v>
      </c>
      <c r="L113" t="s">
        <v>381</v>
      </c>
      <c r="M113" t="s">
        <v>383</v>
      </c>
      <c r="N113">
        <v>1.0246055790000701</v>
      </c>
      <c r="O113">
        <v>634.63253387050634</v>
      </c>
      <c r="P113" t="s">
        <v>440</v>
      </c>
      <c r="Q113">
        <v>2</v>
      </c>
      <c r="R113">
        <v>29.947030000000002</v>
      </c>
      <c r="S113">
        <v>7.9000000000000001E-2</v>
      </c>
      <c r="T113">
        <v>2.3658153999999998</v>
      </c>
      <c r="U113">
        <v>0.98099999999999998</v>
      </c>
      <c r="V113">
        <v>2320.8649999999998</v>
      </c>
      <c r="W113">
        <v>2</v>
      </c>
      <c r="X113">
        <v>2.15436917E-4</v>
      </c>
      <c r="Y113">
        <v>1</v>
      </c>
      <c r="Z113" s="61">
        <v>634.63253399999996</v>
      </c>
      <c r="AA113" t="s">
        <v>336</v>
      </c>
      <c r="AB113" t="s">
        <v>433</v>
      </c>
      <c r="AC113" t="s">
        <v>425</v>
      </c>
      <c r="AD113" t="s">
        <v>27</v>
      </c>
      <c r="AE113">
        <v>111.133</v>
      </c>
      <c r="AF113">
        <v>0.99819678194932504</v>
      </c>
      <c r="AG113">
        <v>110.9326029683743</v>
      </c>
      <c r="AH113">
        <v>682.07</v>
      </c>
      <c r="AI113">
        <v>1</v>
      </c>
      <c r="AJ113">
        <v>75.663800506639092</v>
      </c>
      <c r="AK113">
        <v>0.99739999999999995</v>
      </c>
      <c r="AL113" s="63">
        <v>75.466999999999999</v>
      </c>
      <c r="AM113">
        <v>8.9176000000000002</v>
      </c>
      <c r="AN113">
        <v>8.9015196227113016</v>
      </c>
      <c r="AO113">
        <v>1</v>
      </c>
      <c r="AP113">
        <v>6071.4594890626977</v>
      </c>
      <c r="AQ113">
        <v>1.0108695652173909</v>
      </c>
      <c r="AR113">
        <v>6137.4535999999998</v>
      </c>
      <c r="AS113" s="61">
        <v>3895027.730475422</v>
      </c>
      <c r="AT113" t="s">
        <v>342</v>
      </c>
      <c r="AU113" t="s">
        <v>434</v>
      </c>
      <c r="AV113" t="s">
        <v>425</v>
      </c>
      <c r="AW113" t="s">
        <v>27</v>
      </c>
      <c r="AX113">
        <v>111.133</v>
      </c>
      <c r="AY113">
        <v>1.0155396203574489</v>
      </c>
      <c r="AZ113">
        <v>112.8599646291844</v>
      </c>
      <c r="BA113">
        <v>658.17</v>
      </c>
      <c r="BB113">
        <v>1</v>
      </c>
      <c r="BC113">
        <v>74.281042919990284</v>
      </c>
      <c r="BD113">
        <v>1.0016354901359501</v>
      </c>
      <c r="BE113" s="63">
        <v>74.403000000000006</v>
      </c>
      <c r="BF113">
        <v>8.9176000000000002</v>
      </c>
      <c r="BG113">
        <v>1</v>
      </c>
      <c r="BH113">
        <v>5960.503435912874</v>
      </c>
      <c r="BI113">
        <v>1.016194415745886</v>
      </c>
      <c r="BJ113" s="63">
        <v>6057.0303000000004</v>
      </c>
      <c r="BK113" s="61">
        <v>3843988.48780378</v>
      </c>
    </row>
    <row r="114" spans="1:63" x14ac:dyDescent="0.25">
      <c r="A114">
        <v>275</v>
      </c>
      <c r="B114" t="s">
        <v>142</v>
      </c>
      <c r="C114">
        <v>2017</v>
      </c>
      <c r="D114">
        <v>7</v>
      </c>
      <c r="E114" t="s">
        <v>100</v>
      </c>
      <c r="F114" t="s">
        <v>426</v>
      </c>
      <c r="G114" t="s">
        <v>427</v>
      </c>
      <c r="H114" t="s">
        <v>84</v>
      </c>
      <c r="I114" t="s">
        <v>429</v>
      </c>
      <c r="J114" t="s">
        <v>87</v>
      </c>
      <c r="K114">
        <v>-111.25636713</v>
      </c>
      <c r="L114" t="s">
        <v>87</v>
      </c>
      <c r="M114" t="s">
        <v>383</v>
      </c>
      <c r="N114">
        <v>1.01265167399557</v>
      </c>
      <c r="O114">
        <v>112.6639464168602</v>
      </c>
      <c r="P114" t="s">
        <v>440</v>
      </c>
      <c r="Q114">
        <v>2</v>
      </c>
      <c r="R114">
        <v>29.947030000000002</v>
      </c>
      <c r="S114">
        <v>7.9000000000000001E-2</v>
      </c>
      <c r="T114">
        <v>2.3658153999999998</v>
      </c>
      <c r="U114">
        <v>0.98099999999999998</v>
      </c>
      <c r="V114">
        <v>2320.8649999999998</v>
      </c>
      <c r="W114">
        <v>2</v>
      </c>
      <c r="X114">
        <v>2.15436917E-4</v>
      </c>
      <c r="Y114">
        <v>1</v>
      </c>
      <c r="Z114" s="61">
        <v>112.663946</v>
      </c>
      <c r="AA114" t="s">
        <v>336</v>
      </c>
      <c r="AB114" t="s">
        <v>433</v>
      </c>
      <c r="AC114" t="s">
        <v>425</v>
      </c>
      <c r="AD114" t="s">
        <v>27</v>
      </c>
      <c r="AE114">
        <v>111.133</v>
      </c>
      <c r="AF114">
        <v>0.99819678194932504</v>
      </c>
      <c r="AG114">
        <v>110.9326029683743</v>
      </c>
      <c r="AH114">
        <v>682.07</v>
      </c>
      <c r="AI114">
        <v>1</v>
      </c>
      <c r="AJ114">
        <v>75.663800506639092</v>
      </c>
      <c r="AK114">
        <v>0.99739999999999995</v>
      </c>
      <c r="AL114" s="63">
        <v>75.466999999999999</v>
      </c>
      <c r="AM114">
        <v>8.9176000000000002</v>
      </c>
      <c r="AN114">
        <v>8.9015196227113016</v>
      </c>
      <c r="AO114">
        <v>1</v>
      </c>
      <c r="AP114">
        <v>6071.4594890626977</v>
      </c>
      <c r="AQ114">
        <v>1.0108695652173909</v>
      </c>
      <c r="AR114">
        <v>6137.4535999999998</v>
      </c>
      <c r="AS114" s="61">
        <v>691469.7409679055</v>
      </c>
      <c r="AT114" t="s">
        <v>342</v>
      </c>
      <c r="AU114" t="s">
        <v>434</v>
      </c>
      <c r="AV114" t="s">
        <v>425</v>
      </c>
      <c r="AW114" t="s">
        <v>27</v>
      </c>
      <c r="AX114">
        <v>111.133</v>
      </c>
      <c r="AY114">
        <v>1.0155396203574489</v>
      </c>
      <c r="AZ114">
        <v>112.8599646291844</v>
      </c>
      <c r="BA114">
        <v>658.17</v>
      </c>
      <c r="BB114">
        <v>1</v>
      </c>
      <c r="BC114">
        <v>74.281042919990284</v>
      </c>
      <c r="BD114">
        <v>1.0016354901359501</v>
      </c>
      <c r="BE114" s="63">
        <v>74.403000000000006</v>
      </c>
      <c r="BF114">
        <v>8.9176000000000002</v>
      </c>
      <c r="BG114">
        <v>1</v>
      </c>
      <c r="BH114">
        <v>5960.503435912874</v>
      </c>
      <c r="BI114">
        <v>1.016194415745886</v>
      </c>
      <c r="BJ114" s="63">
        <v>6057.0303000000004</v>
      </c>
      <c r="BK114" s="61">
        <v>682408.93463956378</v>
      </c>
    </row>
    <row r="115" spans="1:63" x14ac:dyDescent="0.25">
      <c r="A115">
        <v>275</v>
      </c>
      <c r="B115" t="s">
        <v>142</v>
      </c>
      <c r="C115">
        <v>2017</v>
      </c>
      <c r="D115">
        <v>7</v>
      </c>
      <c r="E115" t="s">
        <v>100</v>
      </c>
      <c r="F115" t="s">
        <v>426</v>
      </c>
      <c r="G115" t="s">
        <v>427</v>
      </c>
      <c r="H115" t="s">
        <v>84</v>
      </c>
      <c r="I115" t="s">
        <v>430</v>
      </c>
      <c r="J115" t="s">
        <v>59</v>
      </c>
      <c r="K115">
        <v>-352.98990703999999</v>
      </c>
      <c r="L115" t="s">
        <v>59</v>
      </c>
      <c r="M115" t="s">
        <v>383</v>
      </c>
      <c r="N115">
        <v>1.01306746199974</v>
      </c>
      <c r="O115">
        <v>357.60258923653703</v>
      </c>
      <c r="P115" t="s">
        <v>440</v>
      </c>
      <c r="Q115">
        <v>2</v>
      </c>
      <c r="R115">
        <v>29.947030000000002</v>
      </c>
      <c r="S115">
        <v>7.9000000000000001E-2</v>
      </c>
      <c r="T115">
        <v>2.3658153999999998</v>
      </c>
      <c r="U115">
        <v>0.98099999999999998</v>
      </c>
      <c r="V115">
        <v>2320.8649999999998</v>
      </c>
      <c r="W115">
        <v>2</v>
      </c>
      <c r="X115">
        <v>2.15436917E-4</v>
      </c>
      <c r="Y115">
        <v>1</v>
      </c>
      <c r="Z115" s="61">
        <v>357.60258900000002</v>
      </c>
      <c r="AA115" t="s">
        <v>336</v>
      </c>
      <c r="AB115" t="s">
        <v>433</v>
      </c>
      <c r="AC115" t="s">
        <v>425</v>
      </c>
      <c r="AD115" t="s">
        <v>27</v>
      </c>
      <c r="AE115">
        <v>111.133</v>
      </c>
      <c r="AF115">
        <v>0.99819678194932504</v>
      </c>
      <c r="AG115">
        <v>110.9326029683743</v>
      </c>
      <c r="AH115">
        <v>682.07</v>
      </c>
      <c r="AI115">
        <v>1</v>
      </c>
      <c r="AJ115">
        <v>75.663800506639092</v>
      </c>
      <c r="AK115">
        <v>0.99739999999999995</v>
      </c>
      <c r="AL115" s="63">
        <v>75.466999999999999</v>
      </c>
      <c r="AM115">
        <v>8.9176000000000002</v>
      </c>
      <c r="AN115">
        <v>8.9015196227113016</v>
      </c>
      <c r="AO115">
        <v>1</v>
      </c>
      <c r="AP115">
        <v>6071.4594890626977</v>
      </c>
      <c r="AQ115">
        <v>1.0108695652173909</v>
      </c>
      <c r="AR115">
        <v>6137.4535999999998</v>
      </c>
      <c r="AS115" s="61">
        <v>2194769.297227371</v>
      </c>
      <c r="AT115" t="s">
        <v>342</v>
      </c>
      <c r="AU115" t="s">
        <v>434</v>
      </c>
      <c r="AV115" t="s">
        <v>425</v>
      </c>
      <c r="AW115" t="s">
        <v>27</v>
      </c>
      <c r="AX115">
        <v>111.133</v>
      </c>
      <c r="AY115">
        <v>1.0155396203574489</v>
      </c>
      <c r="AZ115">
        <v>112.8599646291844</v>
      </c>
      <c r="BA115">
        <v>658.17</v>
      </c>
      <c r="BB115">
        <v>1</v>
      </c>
      <c r="BC115">
        <v>74.281042919990284</v>
      </c>
      <c r="BD115">
        <v>1.0016354901359501</v>
      </c>
      <c r="BE115" s="63">
        <v>74.403000000000006</v>
      </c>
      <c r="BF115">
        <v>8.9176000000000002</v>
      </c>
      <c r="BG115">
        <v>1</v>
      </c>
      <c r="BH115">
        <v>5960.503435912874</v>
      </c>
      <c r="BI115">
        <v>1.016194415745886</v>
      </c>
      <c r="BJ115" s="63">
        <v>6057.0303000000004</v>
      </c>
      <c r="BK115" s="61">
        <v>2166009.7169314469</v>
      </c>
    </row>
    <row r="116" spans="1:63" x14ac:dyDescent="0.25">
      <c r="A116">
        <v>293</v>
      </c>
      <c r="B116" t="s">
        <v>137</v>
      </c>
      <c r="C116">
        <v>2017</v>
      </c>
      <c r="D116">
        <v>8</v>
      </c>
      <c r="E116" t="s">
        <v>100</v>
      </c>
      <c r="F116" t="s">
        <v>426</v>
      </c>
      <c r="G116" t="s">
        <v>427</v>
      </c>
      <c r="H116" t="s">
        <v>84</v>
      </c>
      <c r="I116" t="s">
        <v>428</v>
      </c>
      <c r="J116" t="s">
        <v>381</v>
      </c>
      <c r="K116">
        <v>-572.27883523000003</v>
      </c>
      <c r="L116" t="s">
        <v>381</v>
      </c>
      <c r="M116" t="s">
        <v>382</v>
      </c>
      <c r="N116">
        <v>1.454815672329E-2</v>
      </c>
      <c r="O116">
        <v>8.3256021843478951</v>
      </c>
      <c r="P116" t="s">
        <v>440</v>
      </c>
      <c r="Q116">
        <v>2</v>
      </c>
      <c r="R116">
        <v>29.947030000000002</v>
      </c>
      <c r="S116">
        <v>5.3999999999999999E-2</v>
      </c>
      <c r="T116">
        <v>1.6171396</v>
      </c>
      <c r="U116">
        <v>1.9E-2</v>
      </c>
      <c r="V116">
        <v>30.725999999999999</v>
      </c>
      <c r="W116">
        <v>2</v>
      </c>
      <c r="X116">
        <v>1.6272863373000001E-2</v>
      </c>
      <c r="Y116">
        <v>1</v>
      </c>
      <c r="Z116" s="61">
        <v>8.3256019999999999</v>
      </c>
      <c r="AA116" t="s">
        <v>336</v>
      </c>
      <c r="AB116" t="s">
        <v>433</v>
      </c>
      <c r="AC116" t="s">
        <v>425</v>
      </c>
      <c r="AD116" t="s">
        <v>81</v>
      </c>
      <c r="AE116">
        <v>111.133</v>
      </c>
      <c r="AF116">
        <v>0.99819678194932504</v>
      </c>
      <c r="AG116">
        <v>110.9326029683743</v>
      </c>
      <c r="AH116">
        <v>682.07</v>
      </c>
      <c r="AI116">
        <v>1</v>
      </c>
      <c r="AJ116">
        <v>75.663800506639092</v>
      </c>
      <c r="AK116">
        <v>0.92979999999999996</v>
      </c>
      <c r="AL116" s="63">
        <v>70.352000000000004</v>
      </c>
      <c r="AM116">
        <v>8.9176000000000002</v>
      </c>
      <c r="AN116">
        <v>8.9015196227113016</v>
      </c>
      <c r="AO116">
        <v>1</v>
      </c>
      <c r="AP116">
        <v>6071.4594890626977</v>
      </c>
      <c r="AQ116">
        <v>1.0375922509225091</v>
      </c>
      <c r="AR116">
        <v>6299.6993000000002</v>
      </c>
      <c r="AS116" s="61">
        <v>52448.789091478597</v>
      </c>
      <c r="AT116" t="s">
        <v>342</v>
      </c>
      <c r="AU116" t="s">
        <v>434</v>
      </c>
      <c r="AV116" t="s">
        <v>425</v>
      </c>
      <c r="AW116" t="s">
        <v>81</v>
      </c>
      <c r="AX116">
        <v>111.133</v>
      </c>
      <c r="AY116">
        <v>1.0155396203574489</v>
      </c>
      <c r="AZ116">
        <v>112.8599646291844</v>
      </c>
      <c r="BA116">
        <v>644.24</v>
      </c>
      <c r="BB116">
        <v>1</v>
      </c>
      <c r="BC116">
        <v>72.708903612705754</v>
      </c>
      <c r="BD116">
        <v>0.95185525912296853</v>
      </c>
      <c r="BE116" s="63">
        <v>69.207999999999998</v>
      </c>
      <c r="BF116">
        <v>8.9176000000000002</v>
      </c>
      <c r="BG116">
        <v>1</v>
      </c>
      <c r="BH116">
        <v>5834.3509025821759</v>
      </c>
      <c r="BI116">
        <v>1.081469419077697</v>
      </c>
      <c r="BJ116" s="63">
        <v>6309.6720999999998</v>
      </c>
      <c r="BK116" s="61">
        <v>52531.818655104187</v>
      </c>
    </row>
    <row r="117" spans="1:63" x14ac:dyDescent="0.25">
      <c r="A117">
        <v>293</v>
      </c>
      <c r="B117" t="s">
        <v>137</v>
      </c>
      <c r="C117">
        <v>2017</v>
      </c>
      <c r="D117">
        <v>8</v>
      </c>
      <c r="E117" t="s">
        <v>100</v>
      </c>
      <c r="F117" t="s">
        <v>426</v>
      </c>
      <c r="G117" t="s">
        <v>427</v>
      </c>
      <c r="H117" t="s">
        <v>84</v>
      </c>
      <c r="I117" t="s">
        <v>429</v>
      </c>
      <c r="J117" t="s">
        <v>87</v>
      </c>
      <c r="K117">
        <v>-112.55728247</v>
      </c>
      <c r="L117" t="s">
        <v>87</v>
      </c>
      <c r="M117" t="s">
        <v>382</v>
      </c>
      <c r="N117">
        <v>2.5599311180049999E-2</v>
      </c>
      <c r="O117">
        <v>2.8813888995303172</v>
      </c>
      <c r="P117" t="s">
        <v>440</v>
      </c>
      <c r="Q117">
        <v>2</v>
      </c>
      <c r="R117">
        <v>29.947030000000002</v>
      </c>
      <c r="S117">
        <v>5.3999999999999999E-2</v>
      </c>
      <c r="T117">
        <v>1.6171396</v>
      </c>
      <c r="U117">
        <v>1.9E-2</v>
      </c>
      <c r="V117">
        <v>30.725999999999999</v>
      </c>
      <c r="W117">
        <v>2</v>
      </c>
      <c r="X117">
        <v>1.6272863373000001E-2</v>
      </c>
      <c r="Y117">
        <v>1</v>
      </c>
      <c r="Z117" s="61">
        <v>2.881389</v>
      </c>
      <c r="AA117" t="s">
        <v>336</v>
      </c>
      <c r="AB117" t="s">
        <v>433</v>
      </c>
      <c r="AC117" t="s">
        <v>425</v>
      </c>
      <c r="AD117" t="s">
        <v>81</v>
      </c>
      <c r="AE117">
        <v>111.133</v>
      </c>
      <c r="AF117">
        <v>0.99819678194932504</v>
      </c>
      <c r="AG117">
        <v>110.9326029683743</v>
      </c>
      <c r="AH117">
        <v>682.07</v>
      </c>
      <c r="AI117">
        <v>1</v>
      </c>
      <c r="AJ117">
        <v>75.663800506639092</v>
      </c>
      <c r="AK117">
        <v>0.92979999999999996</v>
      </c>
      <c r="AL117" s="63">
        <v>70.352000000000004</v>
      </c>
      <c r="AM117">
        <v>8.9176000000000002</v>
      </c>
      <c r="AN117">
        <v>8.9015196227113016</v>
      </c>
      <c r="AO117">
        <v>1</v>
      </c>
      <c r="AP117">
        <v>6071.4594890626977</v>
      </c>
      <c r="AQ117">
        <v>1.0375922509225091</v>
      </c>
      <c r="AR117">
        <v>6299.6993000000002</v>
      </c>
      <c r="AS117" s="61">
        <v>18151.884266327699</v>
      </c>
      <c r="AT117" t="s">
        <v>342</v>
      </c>
      <c r="AU117" t="s">
        <v>434</v>
      </c>
      <c r="AV117" t="s">
        <v>425</v>
      </c>
      <c r="AW117" t="s">
        <v>81</v>
      </c>
      <c r="AX117">
        <v>111.133</v>
      </c>
      <c r="AY117">
        <v>1.0155396203574489</v>
      </c>
      <c r="AZ117">
        <v>112.8599646291844</v>
      </c>
      <c r="BA117">
        <v>644.24</v>
      </c>
      <c r="BB117">
        <v>1</v>
      </c>
      <c r="BC117">
        <v>72.708903612705754</v>
      </c>
      <c r="BD117">
        <v>0.95185525912296853</v>
      </c>
      <c r="BE117" s="63">
        <v>69.207999999999998</v>
      </c>
      <c r="BF117">
        <v>8.9176000000000002</v>
      </c>
      <c r="BG117">
        <v>1</v>
      </c>
      <c r="BH117">
        <v>5834.3509025821759</v>
      </c>
      <c r="BI117">
        <v>1.081469419077697</v>
      </c>
      <c r="BJ117" s="63">
        <v>6309.6720999999998</v>
      </c>
      <c r="BK117" s="61">
        <v>18180.619782546899</v>
      </c>
    </row>
    <row r="118" spans="1:63" x14ac:dyDescent="0.25">
      <c r="A118">
        <v>293</v>
      </c>
      <c r="B118" t="s">
        <v>137</v>
      </c>
      <c r="C118">
        <v>2017</v>
      </c>
      <c r="D118">
        <v>8</v>
      </c>
      <c r="E118" t="s">
        <v>100</v>
      </c>
      <c r="F118" t="s">
        <v>426</v>
      </c>
      <c r="G118" t="s">
        <v>427</v>
      </c>
      <c r="H118" t="s">
        <v>84</v>
      </c>
      <c r="I118" t="s">
        <v>430</v>
      </c>
      <c r="J118" t="s">
        <v>59</v>
      </c>
      <c r="K118">
        <v>-348.52462724999998</v>
      </c>
      <c r="L118" t="s">
        <v>59</v>
      </c>
      <c r="M118" t="s">
        <v>382</v>
      </c>
      <c r="N118">
        <v>2.5840781871819998E-2</v>
      </c>
      <c r="O118">
        <v>9.0061488697246226</v>
      </c>
      <c r="P118" t="s">
        <v>440</v>
      </c>
      <c r="Q118">
        <v>2</v>
      </c>
      <c r="R118">
        <v>29.947030000000002</v>
      </c>
      <c r="S118">
        <v>5.3999999999999999E-2</v>
      </c>
      <c r="T118">
        <v>1.6171396</v>
      </c>
      <c r="U118">
        <v>1.9E-2</v>
      </c>
      <c r="V118">
        <v>30.725999999999999</v>
      </c>
      <c r="W118">
        <v>2</v>
      </c>
      <c r="X118">
        <v>1.6272863373000001E-2</v>
      </c>
      <c r="Y118">
        <v>1</v>
      </c>
      <c r="Z118" s="61">
        <v>9.0061490000000006</v>
      </c>
      <c r="AA118" t="s">
        <v>336</v>
      </c>
      <c r="AB118" t="s">
        <v>433</v>
      </c>
      <c r="AC118" t="s">
        <v>425</v>
      </c>
      <c r="AD118" t="s">
        <v>81</v>
      </c>
      <c r="AE118">
        <v>111.133</v>
      </c>
      <c r="AF118">
        <v>0.99819678194932504</v>
      </c>
      <c r="AG118">
        <v>110.9326029683743</v>
      </c>
      <c r="AH118">
        <v>682.07</v>
      </c>
      <c r="AI118">
        <v>1</v>
      </c>
      <c r="AJ118">
        <v>75.663800506639092</v>
      </c>
      <c r="AK118">
        <v>0.92979999999999996</v>
      </c>
      <c r="AL118" s="63">
        <v>70.352000000000004</v>
      </c>
      <c r="AM118">
        <v>8.9176000000000002</v>
      </c>
      <c r="AN118">
        <v>8.9015196227113016</v>
      </c>
      <c r="AO118">
        <v>1</v>
      </c>
      <c r="AP118">
        <v>6071.4594890626977</v>
      </c>
      <c r="AQ118">
        <v>1.0375922509225091</v>
      </c>
      <c r="AR118">
        <v>6299.6993000000002</v>
      </c>
      <c r="AS118" s="61">
        <v>56736.030550995703</v>
      </c>
      <c r="AT118" t="s">
        <v>342</v>
      </c>
      <c r="AU118" t="s">
        <v>434</v>
      </c>
      <c r="AV118" t="s">
        <v>425</v>
      </c>
      <c r="AW118" t="s">
        <v>81</v>
      </c>
      <c r="AX118">
        <v>111.133</v>
      </c>
      <c r="AY118">
        <v>1.0155396203574489</v>
      </c>
      <c r="AZ118">
        <v>112.8599646291844</v>
      </c>
      <c r="BA118">
        <v>644.24</v>
      </c>
      <c r="BB118">
        <v>1</v>
      </c>
      <c r="BC118">
        <v>72.708903612705754</v>
      </c>
      <c r="BD118">
        <v>0.95185525912296853</v>
      </c>
      <c r="BE118" s="63">
        <v>69.207999999999998</v>
      </c>
      <c r="BF118">
        <v>8.9176000000000002</v>
      </c>
      <c r="BG118">
        <v>1</v>
      </c>
      <c r="BH118">
        <v>5834.3509025821759</v>
      </c>
      <c r="BI118">
        <v>1.081469419077697</v>
      </c>
      <c r="BJ118" s="63">
        <v>6309.6720999999998</v>
      </c>
      <c r="BK118" s="61">
        <v>56825.847073742902</v>
      </c>
    </row>
    <row r="119" spans="1:63" x14ac:dyDescent="0.25">
      <c r="A119">
        <v>295</v>
      </c>
      <c r="B119" t="s">
        <v>137</v>
      </c>
      <c r="C119">
        <v>2017</v>
      </c>
      <c r="D119">
        <v>8</v>
      </c>
      <c r="E119" t="s">
        <v>100</v>
      </c>
      <c r="F119" t="s">
        <v>426</v>
      </c>
      <c r="G119" t="s">
        <v>427</v>
      </c>
      <c r="H119" t="s">
        <v>84</v>
      </c>
      <c r="I119" t="s">
        <v>428</v>
      </c>
      <c r="J119" t="s">
        <v>381</v>
      </c>
      <c r="K119">
        <v>-572.27883523000003</v>
      </c>
      <c r="L119" t="s">
        <v>381</v>
      </c>
      <c r="M119" t="s">
        <v>383</v>
      </c>
      <c r="N119">
        <v>1.0028054602977901</v>
      </c>
      <c r="O119">
        <v>573.88434078150328</v>
      </c>
      <c r="P119" t="s">
        <v>440</v>
      </c>
      <c r="Q119">
        <v>2</v>
      </c>
      <c r="R119">
        <v>29.947030000000002</v>
      </c>
      <c r="S119">
        <v>5.3999999999999999E-2</v>
      </c>
      <c r="T119">
        <v>1.6171396</v>
      </c>
      <c r="U119">
        <v>0.98099999999999998</v>
      </c>
      <c r="V119">
        <v>1586.414</v>
      </c>
      <c r="W119">
        <v>2</v>
      </c>
      <c r="X119">
        <v>3.1517623999999998E-4</v>
      </c>
      <c r="Y119">
        <v>1</v>
      </c>
      <c r="Z119" s="61">
        <v>573.88434099999995</v>
      </c>
      <c r="AA119" t="s">
        <v>336</v>
      </c>
      <c r="AB119" t="s">
        <v>433</v>
      </c>
      <c r="AC119" t="s">
        <v>425</v>
      </c>
      <c r="AD119" t="s">
        <v>27</v>
      </c>
      <c r="AE119">
        <v>111.133</v>
      </c>
      <c r="AF119">
        <v>0.99819678194932504</v>
      </c>
      <c r="AG119">
        <v>110.9326029683743</v>
      </c>
      <c r="AH119">
        <v>682.07</v>
      </c>
      <c r="AI119">
        <v>1</v>
      </c>
      <c r="AJ119">
        <v>75.663800506639092</v>
      </c>
      <c r="AK119">
        <v>0.99739999999999995</v>
      </c>
      <c r="AL119" s="63">
        <v>75.466999999999999</v>
      </c>
      <c r="AM119">
        <v>8.9176000000000002</v>
      </c>
      <c r="AN119">
        <v>8.9015196227113016</v>
      </c>
      <c r="AO119">
        <v>1</v>
      </c>
      <c r="AP119">
        <v>6071.4594890626977</v>
      </c>
      <c r="AQ119">
        <v>1.0108695652173909</v>
      </c>
      <c r="AR119">
        <v>6137.4535999999998</v>
      </c>
      <c r="AS119" s="61">
        <v>3522188.5146540771</v>
      </c>
      <c r="AT119" t="s">
        <v>342</v>
      </c>
      <c r="AU119" t="s">
        <v>434</v>
      </c>
      <c r="AV119" t="s">
        <v>425</v>
      </c>
      <c r="AW119" t="s">
        <v>27</v>
      </c>
      <c r="AX119">
        <v>111.133</v>
      </c>
      <c r="AY119">
        <v>1.0155396203574489</v>
      </c>
      <c r="AZ119">
        <v>112.8599646291844</v>
      </c>
      <c r="BA119">
        <v>644.24</v>
      </c>
      <c r="BB119">
        <v>1</v>
      </c>
      <c r="BC119">
        <v>72.708903612705754</v>
      </c>
      <c r="BD119">
        <v>1.0016354901359501</v>
      </c>
      <c r="BE119" s="63">
        <v>72.828000000000003</v>
      </c>
      <c r="BF119">
        <v>8.9176000000000002</v>
      </c>
      <c r="BG119">
        <v>1</v>
      </c>
      <c r="BH119">
        <v>5834.3509025821759</v>
      </c>
      <c r="BI119">
        <v>1.016194415745886</v>
      </c>
      <c r="BJ119" s="63">
        <v>5928.8347999999996</v>
      </c>
      <c r="BK119" s="61">
        <v>3402465.4520958662</v>
      </c>
    </row>
    <row r="120" spans="1:63" x14ac:dyDescent="0.25">
      <c r="A120">
        <v>295</v>
      </c>
      <c r="B120" t="s">
        <v>137</v>
      </c>
      <c r="C120">
        <v>2017</v>
      </c>
      <c r="D120">
        <v>8</v>
      </c>
      <c r="E120" t="s">
        <v>100</v>
      </c>
      <c r="F120" t="s">
        <v>426</v>
      </c>
      <c r="G120" t="s">
        <v>427</v>
      </c>
      <c r="H120" t="s">
        <v>84</v>
      </c>
      <c r="I120" t="s">
        <v>429</v>
      </c>
      <c r="J120" t="s">
        <v>87</v>
      </c>
      <c r="K120">
        <v>-112.55728247</v>
      </c>
      <c r="L120" t="s">
        <v>87</v>
      </c>
      <c r="M120" t="s">
        <v>383</v>
      </c>
      <c r="N120">
        <v>0.96662205245035004</v>
      </c>
      <c r="O120">
        <v>108.80035139938521</v>
      </c>
      <c r="P120" t="s">
        <v>440</v>
      </c>
      <c r="Q120">
        <v>2</v>
      </c>
      <c r="R120">
        <v>29.947030000000002</v>
      </c>
      <c r="S120">
        <v>5.3999999999999999E-2</v>
      </c>
      <c r="T120">
        <v>1.6171396</v>
      </c>
      <c r="U120">
        <v>0.98099999999999998</v>
      </c>
      <c r="V120">
        <v>1586.414</v>
      </c>
      <c r="W120">
        <v>2</v>
      </c>
      <c r="X120">
        <v>3.1517623999999998E-4</v>
      </c>
      <c r="Y120">
        <v>1</v>
      </c>
      <c r="Z120" s="61">
        <v>108.80035100000001</v>
      </c>
      <c r="AA120" t="s">
        <v>336</v>
      </c>
      <c r="AB120" t="s">
        <v>433</v>
      </c>
      <c r="AC120" t="s">
        <v>425</v>
      </c>
      <c r="AD120" t="s">
        <v>27</v>
      </c>
      <c r="AE120">
        <v>111.133</v>
      </c>
      <c r="AF120">
        <v>0.99819678194932504</v>
      </c>
      <c r="AG120">
        <v>110.9326029683743</v>
      </c>
      <c r="AH120">
        <v>682.07</v>
      </c>
      <c r="AI120">
        <v>1</v>
      </c>
      <c r="AJ120">
        <v>75.663800506639092</v>
      </c>
      <c r="AK120">
        <v>0.99739999999999995</v>
      </c>
      <c r="AL120" s="63">
        <v>75.466999999999999</v>
      </c>
      <c r="AM120">
        <v>8.9176000000000002</v>
      </c>
      <c r="AN120">
        <v>8.9015196227113016</v>
      </c>
      <c r="AO120">
        <v>1</v>
      </c>
      <c r="AP120">
        <v>6071.4594890626977</v>
      </c>
      <c r="AQ120">
        <v>1.0108695652173909</v>
      </c>
      <c r="AR120">
        <v>6137.4535999999998</v>
      </c>
      <c r="AS120" s="61">
        <v>667757.10592621367</v>
      </c>
      <c r="AT120" t="s">
        <v>342</v>
      </c>
      <c r="AU120" t="s">
        <v>434</v>
      </c>
      <c r="AV120" t="s">
        <v>425</v>
      </c>
      <c r="AW120" t="s">
        <v>27</v>
      </c>
      <c r="AX120">
        <v>111.133</v>
      </c>
      <c r="AY120">
        <v>1.0155396203574489</v>
      </c>
      <c r="AZ120">
        <v>112.8599646291844</v>
      </c>
      <c r="BA120">
        <v>644.24</v>
      </c>
      <c r="BB120">
        <v>1</v>
      </c>
      <c r="BC120">
        <v>72.708903612705754</v>
      </c>
      <c r="BD120">
        <v>1.0016354901359501</v>
      </c>
      <c r="BE120" s="63">
        <v>72.828000000000003</v>
      </c>
      <c r="BF120">
        <v>8.9176000000000002</v>
      </c>
      <c r="BG120">
        <v>1</v>
      </c>
      <c r="BH120">
        <v>5834.3509025821759</v>
      </c>
      <c r="BI120">
        <v>1.016194415745886</v>
      </c>
      <c r="BJ120" s="63">
        <v>5928.8347999999996</v>
      </c>
      <c r="BK120" s="61">
        <v>645059.30726101482</v>
      </c>
    </row>
    <row r="121" spans="1:63" x14ac:dyDescent="0.25">
      <c r="A121">
        <v>295</v>
      </c>
      <c r="B121" t="s">
        <v>137</v>
      </c>
      <c r="C121">
        <v>2017</v>
      </c>
      <c r="D121">
        <v>8</v>
      </c>
      <c r="E121" t="s">
        <v>100</v>
      </c>
      <c r="F121" t="s">
        <v>426</v>
      </c>
      <c r="G121" t="s">
        <v>427</v>
      </c>
      <c r="H121" t="s">
        <v>84</v>
      </c>
      <c r="I121" t="s">
        <v>430</v>
      </c>
      <c r="J121" t="s">
        <v>59</v>
      </c>
      <c r="K121">
        <v>-348.52462724999998</v>
      </c>
      <c r="L121" t="s">
        <v>59</v>
      </c>
      <c r="M121" t="s">
        <v>383</v>
      </c>
      <c r="N121">
        <v>0.99151283514854005</v>
      </c>
      <c r="O121">
        <v>345.56664128373558</v>
      </c>
      <c r="P121" t="s">
        <v>440</v>
      </c>
      <c r="Q121">
        <v>2</v>
      </c>
      <c r="R121">
        <v>29.947030000000002</v>
      </c>
      <c r="S121">
        <v>5.3999999999999999E-2</v>
      </c>
      <c r="T121">
        <v>1.6171396</v>
      </c>
      <c r="U121">
        <v>0.98099999999999998</v>
      </c>
      <c r="V121">
        <v>1586.414</v>
      </c>
      <c r="W121">
        <v>2</v>
      </c>
      <c r="X121">
        <v>3.1517623999999998E-4</v>
      </c>
      <c r="Y121">
        <v>1</v>
      </c>
      <c r="Z121" s="61">
        <v>345.566641</v>
      </c>
      <c r="AA121" t="s">
        <v>336</v>
      </c>
      <c r="AB121" t="s">
        <v>433</v>
      </c>
      <c r="AC121" t="s">
        <v>425</v>
      </c>
      <c r="AD121" t="s">
        <v>27</v>
      </c>
      <c r="AE121">
        <v>111.133</v>
      </c>
      <c r="AF121">
        <v>0.99819678194932504</v>
      </c>
      <c r="AG121">
        <v>110.9326029683743</v>
      </c>
      <c r="AH121">
        <v>682.07</v>
      </c>
      <c r="AI121">
        <v>1</v>
      </c>
      <c r="AJ121">
        <v>75.663800506639092</v>
      </c>
      <c r="AK121">
        <v>0.99739999999999995</v>
      </c>
      <c r="AL121" s="63">
        <v>75.466999999999999</v>
      </c>
      <c r="AM121">
        <v>8.9176000000000002</v>
      </c>
      <c r="AN121">
        <v>8.9015196227113016</v>
      </c>
      <c r="AO121">
        <v>1</v>
      </c>
      <c r="AP121">
        <v>6071.4594890626977</v>
      </c>
      <c r="AQ121">
        <v>1.0108695652173909</v>
      </c>
      <c r="AR121">
        <v>6137.4535999999998</v>
      </c>
      <c r="AS121" s="61">
        <v>2120899.2248453582</v>
      </c>
      <c r="AT121" t="s">
        <v>342</v>
      </c>
      <c r="AU121" t="s">
        <v>434</v>
      </c>
      <c r="AV121" t="s">
        <v>425</v>
      </c>
      <c r="AW121" t="s">
        <v>27</v>
      </c>
      <c r="AX121">
        <v>111.133</v>
      </c>
      <c r="AY121">
        <v>1.0155396203574489</v>
      </c>
      <c r="AZ121">
        <v>112.8599646291844</v>
      </c>
      <c r="BA121">
        <v>644.24</v>
      </c>
      <c r="BB121">
        <v>1</v>
      </c>
      <c r="BC121">
        <v>72.708903612705754</v>
      </c>
      <c r="BD121">
        <v>1.0016354901359501</v>
      </c>
      <c r="BE121" s="63">
        <v>72.828000000000003</v>
      </c>
      <c r="BF121">
        <v>8.9176000000000002</v>
      </c>
      <c r="BG121">
        <v>1</v>
      </c>
      <c r="BH121">
        <v>5834.3509025821759</v>
      </c>
      <c r="BI121">
        <v>1.016194415745886</v>
      </c>
      <c r="BJ121" s="63">
        <v>5928.8347999999996</v>
      </c>
      <c r="BK121" s="61">
        <v>2048807.5268799069</v>
      </c>
    </row>
    <row r="122" spans="1:63" x14ac:dyDescent="0.25">
      <c r="A122">
        <v>313</v>
      </c>
      <c r="B122" t="s">
        <v>121</v>
      </c>
      <c r="C122">
        <v>2017</v>
      </c>
      <c r="D122">
        <v>9</v>
      </c>
      <c r="E122" t="s">
        <v>100</v>
      </c>
      <c r="F122" t="s">
        <v>426</v>
      </c>
      <c r="G122" t="s">
        <v>427</v>
      </c>
      <c r="H122" t="s">
        <v>84</v>
      </c>
      <c r="I122" t="s">
        <v>428</v>
      </c>
      <c r="J122" t="s">
        <v>381</v>
      </c>
      <c r="K122">
        <v>-484.02635694000003</v>
      </c>
      <c r="L122" t="s">
        <v>381</v>
      </c>
      <c r="M122" t="s">
        <v>382</v>
      </c>
      <c r="N122">
        <v>1.4864421000020001E-2</v>
      </c>
      <c r="O122">
        <v>7.1947715446621121</v>
      </c>
      <c r="P122" t="s">
        <v>440</v>
      </c>
      <c r="Q122">
        <v>2</v>
      </c>
      <c r="R122">
        <v>29.947030000000002</v>
      </c>
      <c r="S122">
        <v>4.2000000000000003E-2</v>
      </c>
      <c r="T122">
        <v>1.2577753</v>
      </c>
      <c r="U122">
        <v>1.9E-2</v>
      </c>
      <c r="V122">
        <v>23.898</v>
      </c>
      <c r="W122">
        <v>2</v>
      </c>
      <c r="X122">
        <v>2.0922252908E-2</v>
      </c>
      <c r="Y122">
        <v>1</v>
      </c>
      <c r="Z122" s="61">
        <v>7.1947720000000004</v>
      </c>
      <c r="AA122" t="s">
        <v>336</v>
      </c>
      <c r="AB122" t="s">
        <v>433</v>
      </c>
      <c r="AC122" t="s">
        <v>425</v>
      </c>
      <c r="AD122" t="s">
        <v>81</v>
      </c>
      <c r="AE122">
        <v>111.133</v>
      </c>
      <c r="AF122">
        <v>0.99819678194932504</v>
      </c>
      <c r="AG122">
        <v>110.9326029683743</v>
      </c>
      <c r="AH122">
        <v>682.07</v>
      </c>
      <c r="AI122">
        <v>1</v>
      </c>
      <c r="AJ122">
        <v>75.663800506639092</v>
      </c>
      <c r="AK122">
        <v>0.92979999999999996</v>
      </c>
      <c r="AL122" s="63">
        <v>70.352000000000004</v>
      </c>
      <c r="AM122">
        <v>8.9176000000000002</v>
      </c>
      <c r="AN122">
        <v>8.9015196227113016</v>
      </c>
      <c r="AO122">
        <v>1</v>
      </c>
      <c r="AP122">
        <v>6071.4594890626977</v>
      </c>
      <c r="AQ122">
        <v>1.0375922509225091</v>
      </c>
      <c r="AR122">
        <v>6299.6993000000002</v>
      </c>
      <c r="AS122" s="61">
        <v>45324.900132059607</v>
      </c>
      <c r="AT122" t="s">
        <v>342</v>
      </c>
      <c r="AU122" t="s">
        <v>434</v>
      </c>
      <c r="AV122" t="s">
        <v>425</v>
      </c>
      <c r="AW122" t="s">
        <v>81</v>
      </c>
      <c r="AX122">
        <v>111.133</v>
      </c>
      <c r="AY122">
        <v>1.0155396203574489</v>
      </c>
      <c r="AZ122">
        <v>112.8599646291844</v>
      </c>
      <c r="BA122">
        <v>625.54</v>
      </c>
      <c r="BB122">
        <v>1</v>
      </c>
      <c r="BC122">
        <v>70.598422274140006</v>
      </c>
      <c r="BD122">
        <v>0.95185525912296853</v>
      </c>
      <c r="BE122" s="63">
        <v>67.198999999999998</v>
      </c>
      <c r="BF122">
        <v>8.9176000000000002</v>
      </c>
      <c r="BG122">
        <v>1</v>
      </c>
      <c r="BH122">
        <v>5665.0004091662331</v>
      </c>
      <c r="BI122">
        <v>1.081469419077697</v>
      </c>
      <c r="BJ122" s="63">
        <v>6126.5246999999999</v>
      </c>
      <c r="BK122" s="61">
        <v>44078.948368868398</v>
      </c>
    </row>
    <row r="123" spans="1:63" x14ac:dyDescent="0.25">
      <c r="A123">
        <v>313</v>
      </c>
      <c r="B123" t="s">
        <v>121</v>
      </c>
      <c r="C123">
        <v>2017</v>
      </c>
      <c r="D123">
        <v>9</v>
      </c>
      <c r="E123" t="s">
        <v>100</v>
      </c>
      <c r="F123" t="s">
        <v>426</v>
      </c>
      <c r="G123" t="s">
        <v>427</v>
      </c>
      <c r="H123" t="s">
        <v>84</v>
      </c>
      <c r="I123" t="s">
        <v>429</v>
      </c>
      <c r="J123" t="s">
        <v>87</v>
      </c>
      <c r="K123">
        <v>-98.679780840000006</v>
      </c>
      <c r="L123" t="s">
        <v>87</v>
      </c>
      <c r="M123" t="s">
        <v>382</v>
      </c>
      <c r="N123">
        <v>2.6818325998410001E-2</v>
      </c>
      <c r="O123">
        <v>2.646426532018773</v>
      </c>
      <c r="P123" t="s">
        <v>440</v>
      </c>
      <c r="Q123">
        <v>2</v>
      </c>
      <c r="R123">
        <v>29.947030000000002</v>
      </c>
      <c r="S123">
        <v>4.2000000000000003E-2</v>
      </c>
      <c r="T123">
        <v>1.2577753</v>
      </c>
      <c r="U123">
        <v>1.9E-2</v>
      </c>
      <c r="V123">
        <v>23.898</v>
      </c>
      <c r="W123">
        <v>2</v>
      </c>
      <c r="X123">
        <v>2.0922252908E-2</v>
      </c>
      <c r="Y123">
        <v>1</v>
      </c>
      <c r="Z123" s="61">
        <v>2.6464270000000001</v>
      </c>
      <c r="AA123" t="s">
        <v>336</v>
      </c>
      <c r="AB123" t="s">
        <v>433</v>
      </c>
      <c r="AC123" t="s">
        <v>425</v>
      </c>
      <c r="AD123" t="s">
        <v>81</v>
      </c>
      <c r="AE123">
        <v>111.133</v>
      </c>
      <c r="AF123">
        <v>0.99819678194932504</v>
      </c>
      <c r="AG123">
        <v>110.9326029683743</v>
      </c>
      <c r="AH123">
        <v>682.07</v>
      </c>
      <c r="AI123">
        <v>1</v>
      </c>
      <c r="AJ123">
        <v>75.663800506639092</v>
      </c>
      <c r="AK123">
        <v>0.92979999999999996</v>
      </c>
      <c r="AL123" s="63">
        <v>70.352000000000004</v>
      </c>
      <c r="AM123">
        <v>8.9176000000000002</v>
      </c>
      <c r="AN123">
        <v>8.9015196227113016</v>
      </c>
      <c r="AO123">
        <v>1</v>
      </c>
      <c r="AP123">
        <v>6071.4594890626977</v>
      </c>
      <c r="AQ123">
        <v>1.0375922509225091</v>
      </c>
      <c r="AR123">
        <v>6299.6993000000002</v>
      </c>
      <c r="AS123" s="61">
        <v>16671.6943194011</v>
      </c>
      <c r="AT123" t="s">
        <v>342</v>
      </c>
      <c r="AU123" t="s">
        <v>434</v>
      </c>
      <c r="AV123" t="s">
        <v>425</v>
      </c>
      <c r="AW123" t="s">
        <v>81</v>
      </c>
      <c r="AX123">
        <v>111.133</v>
      </c>
      <c r="AY123">
        <v>1.0155396203574489</v>
      </c>
      <c r="AZ123">
        <v>112.8599646291844</v>
      </c>
      <c r="BA123">
        <v>625.54</v>
      </c>
      <c r="BB123">
        <v>1</v>
      </c>
      <c r="BC123">
        <v>70.598422274140006</v>
      </c>
      <c r="BD123">
        <v>0.95185525912296853</v>
      </c>
      <c r="BE123" s="63">
        <v>67.198999999999998</v>
      </c>
      <c r="BF123">
        <v>8.9176000000000002</v>
      </c>
      <c r="BG123">
        <v>1</v>
      </c>
      <c r="BH123">
        <v>5665.0004091662331</v>
      </c>
      <c r="BI123">
        <v>1.081469419077697</v>
      </c>
      <c r="BJ123" s="63">
        <v>6126.5246999999999</v>
      </c>
      <c r="BK123" s="61">
        <v>16213.4003822469</v>
      </c>
    </row>
    <row r="124" spans="1:63" x14ac:dyDescent="0.25">
      <c r="A124">
        <v>313</v>
      </c>
      <c r="B124" t="s">
        <v>121</v>
      </c>
      <c r="C124">
        <v>2017</v>
      </c>
      <c r="D124">
        <v>9</v>
      </c>
      <c r="E124" t="s">
        <v>100</v>
      </c>
      <c r="F124" t="s">
        <v>426</v>
      </c>
      <c r="G124" t="s">
        <v>427</v>
      </c>
      <c r="H124" t="s">
        <v>84</v>
      </c>
      <c r="I124" t="s">
        <v>430</v>
      </c>
      <c r="J124" t="s">
        <v>59</v>
      </c>
      <c r="K124">
        <v>-328.17007977999998</v>
      </c>
      <c r="L124" t="s">
        <v>59</v>
      </c>
      <c r="M124" t="s">
        <v>382</v>
      </c>
      <c r="N124">
        <v>2.640253800026E-2</v>
      </c>
      <c r="O124">
        <v>8.6645230019398056</v>
      </c>
      <c r="P124" t="s">
        <v>440</v>
      </c>
      <c r="Q124">
        <v>2</v>
      </c>
      <c r="R124">
        <v>29.947030000000002</v>
      </c>
      <c r="S124">
        <v>4.2000000000000003E-2</v>
      </c>
      <c r="T124">
        <v>1.2577753</v>
      </c>
      <c r="U124">
        <v>1.9E-2</v>
      </c>
      <c r="V124">
        <v>23.898</v>
      </c>
      <c r="W124">
        <v>2</v>
      </c>
      <c r="X124">
        <v>2.0922252908E-2</v>
      </c>
      <c r="Y124">
        <v>1</v>
      </c>
      <c r="Z124" s="61">
        <v>8.6645230000000009</v>
      </c>
      <c r="AA124" t="s">
        <v>336</v>
      </c>
      <c r="AB124" t="s">
        <v>433</v>
      </c>
      <c r="AC124" t="s">
        <v>425</v>
      </c>
      <c r="AD124" t="s">
        <v>81</v>
      </c>
      <c r="AE124">
        <v>111.133</v>
      </c>
      <c r="AF124">
        <v>0.99819678194932504</v>
      </c>
      <c r="AG124">
        <v>110.9326029683743</v>
      </c>
      <c r="AH124">
        <v>682.07</v>
      </c>
      <c r="AI124">
        <v>1</v>
      </c>
      <c r="AJ124">
        <v>75.663800506639092</v>
      </c>
      <c r="AK124">
        <v>0.92979999999999996</v>
      </c>
      <c r="AL124" s="63">
        <v>70.352000000000004</v>
      </c>
      <c r="AM124">
        <v>8.9176000000000002</v>
      </c>
      <c r="AN124">
        <v>8.9015196227113016</v>
      </c>
      <c r="AO124">
        <v>1</v>
      </c>
      <c r="AP124">
        <v>6071.4594890626977</v>
      </c>
      <c r="AQ124">
        <v>1.0375922509225091</v>
      </c>
      <c r="AR124">
        <v>6299.6993000000002</v>
      </c>
      <c r="AS124" s="61">
        <v>54583.88947793391</v>
      </c>
      <c r="AT124" t="s">
        <v>342</v>
      </c>
      <c r="AU124" t="s">
        <v>434</v>
      </c>
      <c r="AV124" t="s">
        <v>425</v>
      </c>
      <c r="AW124" t="s">
        <v>81</v>
      </c>
      <c r="AX124">
        <v>111.133</v>
      </c>
      <c r="AY124">
        <v>1.0155396203574489</v>
      </c>
      <c r="AZ124">
        <v>112.8599646291844</v>
      </c>
      <c r="BA124">
        <v>625.54</v>
      </c>
      <c r="BB124">
        <v>1</v>
      </c>
      <c r="BC124">
        <v>70.598422274140006</v>
      </c>
      <c r="BD124">
        <v>0.95185525912296853</v>
      </c>
      <c r="BE124" s="63">
        <v>67.198999999999998</v>
      </c>
      <c r="BF124">
        <v>8.9176000000000002</v>
      </c>
      <c r="BG124">
        <v>1</v>
      </c>
      <c r="BH124">
        <v>5665.0004091662331</v>
      </c>
      <c r="BI124">
        <v>1.081469419077697</v>
      </c>
      <c r="BJ124" s="63">
        <v>6126.5246999999999</v>
      </c>
      <c r="BK124" s="61">
        <v>53083.414173218101</v>
      </c>
    </row>
    <row r="125" spans="1:63" x14ac:dyDescent="0.25">
      <c r="A125">
        <v>315</v>
      </c>
      <c r="B125" t="s">
        <v>121</v>
      </c>
      <c r="C125">
        <v>2017</v>
      </c>
      <c r="D125">
        <v>9</v>
      </c>
      <c r="E125" t="s">
        <v>100</v>
      </c>
      <c r="F125" t="s">
        <v>426</v>
      </c>
      <c r="G125" t="s">
        <v>427</v>
      </c>
      <c r="H125" t="s">
        <v>84</v>
      </c>
      <c r="I125" t="s">
        <v>428</v>
      </c>
      <c r="J125" t="s">
        <v>381</v>
      </c>
      <c r="K125">
        <v>-484.02635694000003</v>
      </c>
      <c r="L125" t="s">
        <v>381</v>
      </c>
      <c r="M125" t="s">
        <v>383</v>
      </c>
      <c r="N125">
        <v>1.0246055789999799</v>
      </c>
      <c r="O125">
        <v>495.93610570375972</v>
      </c>
      <c r="P125" t="s">
        <v>440</v>
      </c>
      <c r="Q125">
        <v>2</v>
      </c>
      <c r="R125">
        <v>29.947030000000002</v>
      </c>
      <c r="S125">
        <v>4.2000000000000003E-2</v>
      </c>
      <c r="T125">
        <v>1.2577753</v>
      </c>
      <c r="U125">
        <v>0.98099999999999998</v>
      </c>
      <c r="V125">
        <v>1233.8779999999999</v>
      </c>
      <c r="W125">
        <v>2</v>
      </c>
      <c r="X125">
        <v>4.0522644900000001E-4</v>
      </c>
      <c r="Y125">
        <v>1</v>
      </c>
      <c r="Z125" s="61">
        <v>495.936106</v>
      </c>
      <c r="AA125" t="s">
        <v>336</v>
      </c>
      <c r="AB125" t="s">
        <v>433</v>
      </c>
      <c r="AC125" t="s">
        <v>425</v>
      </c>
      <c r="AD125" t="s">
        <v>27</v>
      </c>
      <c r="AE125">
        <v>111.133</v>
      </c>
      <c r="AF125">
        <v>0.99819678194932504</v>
      </c>
      <c r="AG125">
        <v>110.9326029683743</v>
      </c>
      <c r="AH125">
        <v>682.07</v>
      </c>
      <c r="AI125">
        <v>1</v>
      </c>
      <c r="AJ125">
        <v>75.663800506639092</v>
      </c>
      <c r="AK125">
        <v>0.99739999999999995</v>
      </c>
      <c r="AL125" s="63">
        <v>75.466999999999999</v>
      </c>
      <c r="AM125">
        <v>8.9176000000000002</v>
      </c>
      <c r="AN125">
        <v>8.9015196227113016</v>
      </c>
      <c r="AO125">
        <v>1</v>
      </c>
      <c r="AP125">
        <v>6071.4594890626977</v>
      </c>
      <c r="AQ125">
        <v>1.0108695652173909</v>
      </c>
      <c r="AR125">
        <v>6137.4535999999998</v>
      </c>
      <c r="AS125" s="61">
        <v>3043784.8391396808</v>
      </c>
      <c r="AT125" t="s">
        <v>342</v>
      </c>
      <c r="AU125" t="s">
        <v>434</v>
      </c>
      <c r="AV125" t="s">
        <v>425</v>
      </c>
      <c r="AW125" t="s">
        <v>27</v>
      </c>
      <c r="AX125">
        <v>111.133</v>
      </c>
      <c r="AY125">
        <v>1.0155396203574489</v>
      </c>
      <c r="AZ125">
        <v>112.8599646291844</v>
      </c>
      <c r="BA125">
        <v>625.54</v>
      </c>
      <c r="BB125">
        <v>1</v>
      </c>
      <c r="BC125">
        <v>70.598422274140006</v>
      </c>
      <c r="BD125">
        <v>1.0016354901359501</v>
      </c>
      <c r="BE125" s="63">
        <v>70.713999999999999</v>
      </c>
      <c r="BF125">
        <v>8.9176000000000002</v>
      </c>
      <c r="BG125">
        <v>1</v>
      </c>
      <c r="BH125">
        <v>5665.0004091662331</v>
      </c>
      <c r="BI125">
        <v>1.016194415745886</v>
      </c>
      <c r="BJ125" s="63">
        <v>5756.7417999999998</v>
      </c>
      <c r="BK125" s="61">
        <v>2854976.11153943</v>
      </c>
    </row>
    <row r="126" spans="1:63" x14ac:dyDescent="0.25">
      <c r="A126">
        <v>315</v>
      </c>
      <c r="B126" t="s">
        <v>121</v>
      </c>
      <c r="C126">
        <v>2017</v>
      </c>
      <c r="D126">
        <v>9</v>
      </c>
      <c r="E126" t="s">
        <v>100</v>
      </c>
      <c r="F126" t="s">
        <v>426</v>
      </c>
      <c r="G126" t="s">
        <v>427</v>
      </c>
      <c r="H126" t="s">
        <v>84</v>
      </c>
      <c r="I126" t="s">
        <v>429</v>
      </c>
      <c r="J126" t="s">
        <v>87</v>
      </c>
      <c r="K126">
        <v>-98.679780840000006</v>
      </c>
      <c r="L126" t="s">
        <v>87</v>
      </c>
      <c r="M126" t="s">
        <v>383</v>
      </c>
      <c r="N126">
        <v>1.0126516740003699</v>
      </c>
      <c r="O126">
        <v>99.928245257615643</v>
      </c>
      <c r="P126" t="s">
        <v>440</v>
      </c>
      <c r="Q126">
        <v>2</v>
      </c>
      <c r="R126">
        <v>29.947030000000002</v>
      </c>
      <c r="S126">
        <v>4.2000000000000003E-2</v>
      </c>
      <c r="T126">
        <v>1.2577753</v>
      </c>
      <c r="U126">
        <v>0.98099999999999998</v>
      </c>
      <c r="V126">
        <v>1233.8779999999999</v>
      </c>
      <c r="W126">
        <v>2</v>
      </c>
      <c r="X126">
        <v>4.0522644900000001E-4</v>
      </c>
      <c r="Y126">
        <v>1</v>
      </c>
      <c r="Z126" s="61">
        <v>99.928245000000004</v>
      </c>
      <c r="AA126" t="s">
        <v>336</v>
      </c>
      <c r="AB126" t="s">
        <v>433</v>
      </c>
      <c r="AC126" t="s">
        <v>425</v>
      </c>
      <c r="AD126" t="s">
        <v>27</v>
      </c>
      <c r="AE126">
        <v>111.133</v>
      </c>
      <c r="AF126">
        <v>0.99819678194932504</v>
      </c>
      <c r="AG126">
        <v>110.9326029683743</v>
      </c>
      <c r="AH126">
        <v>682.07</v>
      </c>
      <c r="AI126">
        <v>1</v>
      </c>
      <c r="AJ126">
        <v>75.663800506639092</v>
      </c>
      <c r="AK126">
        <v>0.99739999999999995</v>
      </c>
      <c r="AL126" s="63">
        <v>75.466999999999999</v>
      </c>
      <c r="AM126">
        <v>8.9176000000000002</v>
      </c>
      <c r="AN126">
        <v>8.9015196227113016</v>
      </c>
      <c r="AO126">
        <v>1</v>
      </c>
      <c r="AP126">
        <v>6071.4594890626977</v>
      </c>
      <c r="AQ126">
        <v>1.0108695652173909</v>
      </c>
      <c r="AR126">
        <v>6137.4535999999998</v>
      </c>
      <c r="AS126" s="61">
        <v>613304.96701693197</v>
      </c>
      <c r="AT126" t="s">
        <v>342</v>
      </c>
      <c r="AU126" t="s">
        <v>434</v>
      </c>
      <c r="AV126" t="s">
        <v>425</v>
      </c>
      <c r="AW126" t="s">
        <v>27</v>
      </c>
      <c r="AX126">
        <v>111.133</v>
      </c>
      <c r="AY126">
        <v>1.0155396203574489</v>
      </c>
      <c r="AZ126">
        <v>112.8599646291844</v>
      </c>
      <c r="BA126">
        <v>625.54</v>
      </c>
      <c r="BB126">
        <v>1</v>
      </c>
      <c r="BC126">
        <v>70.598422274140006</v>
      </c>
      <c r="BD126">
        <v>1.0016354901359501</v>
      </c>
      <c r="BE126" s="63">
        <v>70.713999999999999</v>
      </c>
      <c r="BF126">
        <v>8.9176000000000002</v>
      </c>
      <c r="BG126">
        <v>1</v>
      </c>
      <c r="BH126">
        <v>5665.0004091662331</v>
      </c>
      <c r="BI126">
        <v>1.016194415745886</v>
      </c>
      <c r="BJ126" s="63">
        <v>5756.7417999999998</v>
      </c>
      <c r="BK126" s="61">
        <v>575261.10499214102</v>
      </c>
    </row>
    <row r="127" spans="1:63" x14ac:dyDescent="0.25">
      <c r="A127">
        <v>315</v>
      </c>
      <c r="B127" t="s">
        <v>121</v>
      </c>
      <c r="C127">
        <v>2017</v>
      </c>
      <c r="D127">
        <v>9</v>
      </c>
      <c r="E127" t="s">
        <v>100</v>
      </c>
      <c r="F127" t="s">
        <v>426</v>
      </c>
      <c r="G127" t="s">
        <v>427</v>
      </c>
      <c r="H127" t="s">
        <v>84</v>
      </c>
      <c r="I127" t="s">
        <v>430</v>
      </c>
      <c r="J127" t="s">
        <v>59</v>
      </c>
      <c r="K127">
        <v>-328.17007977999998</v>
      </c>
      <c r="L127" t="s">
        <v>59</v>
      </c>
      <c r="M127" t="s">
        <v>383</v>
      </c>
      <c r="N127">
        <v>1.01306746199965</v>
      </c>
      <c r="O127">
        <v>332.45842982694728</v>
      </c>
      <c r="P127" t="s">
        <v>440</v>
      </c>
      <c r="Q127">
        <v>2</v>
      </c>
      <c r="R127">
        <v>29.947030000000002</v>
      </c>
      <c r="S127">
        <v>4.2000000000000003E-2</v>
      </c>
      <c r="T127">
        <v>1.2577753</v>
      </c>
      <c r="U127">
        <v>0.98099999999999998</v>
      </c>
      <c r="V127">
        <v>1233.8779999999999</v>
      </c>
      <c r="W127">
        <v>2</v>
      </c>
      <c r="X127">
        <v>4.0522644900000001E-4</v>
      </c>
      <c r="Y127">
        <v>1</v>
      </c>
      <c r="Z127" s="61">
        <v>332.45843000000002</v>
      </c>
      <c r="AA127" t="s">
        <v>336</v>
      </c>
      <c r="AB127" t="s">
        <v>433</v>
      </c>
      <c r="AC127" t="s">
        <v>425</v>
      </c>
      <c r="AD127" t="s">
        <v>27</v>
      </c>
      <c r="AE127">
        <v>111.133</v>
      </c>
      <c r="AF127">
        <v>0.99819678194932504</v>
      </c>
      <c r="AG127">
        <v>110.9326029683743</v>
      </c>
      <c r="AH127">
        <v>682.07</v>
      </c>
      <c r="AI127">
        <v>1</v>
      </c>
      <c r="AJ127">
        <v>75.663800506639092</v>
      </c>
      <c r="AK127">
        <v>0.99739999999999995</v>
      </c>
      <c r="AL127" s="63">
        <v>75.466999999999999</v>
      </c>
      <c r="AM127">
        <v>8.9176000000000002</v>
      </c>
      <c r="AN127">
        <v>8.9015196227113016</v>
      </c>
      <c r="AO127">
        <v>1</v>
      </c>
      <c r="AP127">
        <v>6071.4594890626977</v>
      </c>
      <c r="AQ127">
        <v>1.0108695652173909</v>
      </c>
      <c r="AR127">
        <v>6137.4535999999998</v>
      </c>
      <c r="AS127" s="61">
        <v>2040448.188053848</v>
      </c>
      <c r="AT127" t="s">
        <v>342</v>
      </c>
      <c r="AU127" t="s">
        <v>434</v>
      </c>
      <c r="AV127" t="s">
        <v>425</v>
      </c>
      <c r="AW127" t="s">
        <v>27</v>
      </c>
      <c r="AX127">
        <v>111.133</v>
      </c>
      <c r="AY127">
        <v>1.0155396203574489</v>
      </c>
      <c r="AZ127">
        <v>112.8599646291844</v>
      </c>
      <c r="BA127">
        <v>625.54</v>
      </c>
      <c r="BB127">
        <v>1</v>
      </c>
      <c r="BC127">
        <v>70.598422274140006</v>
      </c>
      <c r="BD127">
        <v>1.0016354901359501</v>
      </c>
      <c r="BE127" s="63">
        <v>70.713999999999999</v>
      </c>
      <c r="BF127">
        <v>8.9176000000000002</v>
      </c>
      <c r="BG127">
        <v>1</v>
      </c>
      <c r="BH127">
        <v>5665.0004091662331</v>
      </c>
      <c r="BI127">
        <v>1.016194415745886</v>
      </c>
      <c r="BJ127" s="63">
        <v>5756.7417999999998</v>
      </c>
      <c r="BK127" s="61">
        <v>1913877.3407433741</v>
      </c>
    </row>
    <row r="128" spans="1:63" x14ac:dyDescent="0.25">
      <c r="A128">
        <v>333</v>
      </c>
      <c r="B128" t="s">
        <v>127</v>
      </c>
      <c r="C128">
        <v>2017</v>
      </c>
      <c r="D128">
        <v>10</v>
      </c>
      <c r="E128" t="s">
        <v>100</v>
      </c>
      <c r="F128" t="s">
        <v>426</v>
      </c>
      <c r="G128" t="s">
        <v>427</v>
      </c>
      <c r="H128" t="s">
        <v>84</v>
      </c>
      <c r="I128" t="s">
        <v>428</v>
      </c>
      <c r="J128" t="s">
        <v>381</v>
      </c>
      <c r="K128">
        <v>-615.00732959000004</v>
      </c>
      <c r="L128" t="s">
        <v>381</v>
      </c>
      <c r="M128" t="s">
        <v>382</v>
      </c>
      <c r="N128">
        <v>1.4864421000050001E-2</v>
      </c>
      <c r="O128">
        <v>9.1417278651422667</v>
      </c>
      <c r="P128" t="s">
        <v>440</v>
      </c>
      <c r="Q128">
        <v>2</v>
      </c>
      <c r="R128">
        <v>29.947030000000002</v>
      </c>
      <c r="S128">
        <v>6.0999999999999999E-2</v>
      </c>
      <c r="T128">
        <v>1.8267688</v>
      </c>
      <c r="U128">
        <v>1.9E-2</v>
      </c>
      <c r="V128">
        <v>34.709000000000003</v>
      </c>
      <c r="W128">
        <v>2</v>
      </c>
      <c r="X128">
        <v>1.4405485609000001E-2</v>
      </c>
      <c r="Y128">
        <v>1</v>
      </c>
      <c r="Z128" s="61">
        <v>9.1417280000000005</v>
      </c>
      <c r="AA128" t="s">
        <v>342</v>
      </c>
      <c r="AB128" t="s">
        <v>434</v>
      </c>
      <c r="AC128" t="s">
        <v>425</v>
      </c>
      <c r="AD128" t="s">
        <v>81</v>
      </c>
      <c r="AE128">
        <v>111.133</v>
      </c>
      <c r="AF128">
        <v>1.0155396203574489</v>
      </c>
      <c r="AG128">
        <v>112.8599646291844</v>
      </c>
      <c r="AH128">
        <v>661.2</v>
      </c>
      <c r="AI128">
        <v>1</v>
      </c>
      <c r="AJ128">
        <v>74.623008612816719</v>
      </c>
      <c r="AK128">
        <v>0.95185525912296853</v>
      </c>
      <c r="AL128" s="63">
        <v>71.03</v>
      </c>
      <c r="AM128">
        <v>8.9176000000000002</v>
      </c>
      <c r="AN128">
        <v>9.0561761184995895</v>
      </c>
      <c r="AO128">
        <v>1</v>
      </c>
      <c r="AP128">
        <v>5987.9436495519294</v>
      </c>
      <c r="AQ128">
        <v>1.081469419077697</v>
      </c>
      <c r="AR128">
        <v>6475.7779</v>
      </c>
      <c r="AS128" s="61">
        <v>59199.800150211202</v>
      </c>
      <c r="AT128" t="s">
        <v>342</v>
      </c>
      <c r="AU128" t="s">
        <v>434</v>
      </c>
      <c r="AV128" t="s">
        <v>425</v>
      </c>
      <c r="AW128" t="s">
        <v>81</v>
      </c>
      <c r="AX128">
        <v>111.133</v>
      </c>
      <c r="AY128">
        <v>1.0155396203574489</v>
      </c>
      <c r="AZ128">
        <v>112.8599646291844</v>
      </c>
      <c r="BA128">
        <v>629.54999999999995</v>
      </c>
      <c r="BB128">
        <v>1</v>
      </c>
      <c r="BC128">
        <v>71.050990732303021</v>
      </c>
      <c r="BD128">
        <v>0.95185525912296853</v>
      </c>
      <c r="BE128" s="63">
        <v>67.63</v>
      </c>
      <c r="BF128">
        <v>8.9176000000000002</v>
      </c>
      <c r="BG128">
        <v>1</v>
      </c>
      <c r="BH128">
        <v>5701.3156754014162</v>
      </c>
      <c r="BI128">
        <v>1.081469419077697</v>
      </c>
      <c r="BJ128" s="63">
        <v>6165.7986000000001</v>
      </c>
      <c r="BK128" s="61">
        <v>56366.053703980797</v>
      </c>
    </row>
    <row r="129" spans="1:63" x14ac:dyDescent="0.25">
      <c r="A129">
        <v>333</v>
      </c>
      <c r="B129" t="s">
        <v>127</v>
      </c>
      <c r="C129">
        <v>2017</v>
      </c>
      <c r="D129">
        <v>10</v>
      </c>
      <c r="E129" t="s">
        <v>100</v>
      </c>
      <c r="F129" t="s">
        <v>426</v>
      </c>
      <c r="G129" t="s">
        <v>427</v>
      </c>
      <c r="H129" t="s">
        <v>84</v>
      </c>
      <c r="I129" t="s">
        <v>429</v>
      </c>
      <c r="J129" t="s">
        <v>87</v>
      </c>
      <c r="K129">
        <v>-134.35987306999999</v>
      </c>
      <c r="L129" t="s">
        <v>87</v>
      </c>
      <c r="M129" t="s">
        <v>382</v>
      </c>
      <c r="N129">
        <v>2.6818326001860002E-2</v>
      </c>
      <c r="O129">
        <v>3.6033068775597901</v>
      </c>
      <c r="P129" t="s">
        <v>440</v>
      </c>
      <c r="Q129">
        <v>2</v>
      </c>
      <c r="R129">
        <v>29.947030000000002</v>
      </c>
      <c r="S129">
        <v>6.0999999999999999E-2</v>
      </c>
      <c r="T129">
        <v>1.8267688</v>
      </c>
      <c r="U129">
        <v>1.9E-2</v>
      </c>
      <c r="V129">
        <v>34.709000000000003</v>
      </c>
      <c r="W129">
        <v>2</v>
      </c>
      <c r="X129">
        <v>1.4405485609000001E-2</v>
      </c>
      <c r="Y129">
        <v>1</v>
      </c>
      <c r="Z129" s="61">
        <v>3.603307</v>
      </c>
      <c r="AA129" t="s">
        <v>342</v>
      </c>
      <c r="AB129" t="s">
        <v>434</v>
      </c>
      <c r="AC129" t="s">
        <v>425</v>
      </c>
      <c r="AD129" t="s">
        <v>81</v>
      </c>
      <c r="AE129">
        <v>111.133</v>
      </c>
      <c r="AF129">
        <v>1.0155396203574489</v>
      </c>
      <c r="AG129">
        <v>112.8599646291844</v>
      </c>
      <c r="AH129">
        <v>661.2</v>
      </c>
      <c r="AI129">
        <v>1</v>
      </c>
      <c r="AJ129">
        <v>74.623008612816719</v>
      </c>
      <c r="AK129">
        <v>0.95185525912296853</v>
      </c>
      <c r="AL129" s="63">
        <v>71.03</v>
      </c>
      <c r="AM129">
        <v>8.9176000000000002</v>
      </c>
      <c r="AN129">
        <v>9.0561761184995895</v>
      </c>
      <c r="AO129">
        <v>1</v>
      </c>
      <c r="AP129">
        <v>5987.9436495519294</v>
      </c>
      <c r="AQ129">
        <v>1.081469419077697</v>
      </c>
      <c r="AR129">
        <v>6475.7779</v>
      </c>
      <c r="AS129" s="61">
        <v>23334.215837515301</v>
      </c>
      <c r="AT129" t="s">
        <v>342</v>
      </c>
      <c r="AU129" t="s">
        <v>434</v>
      </c>
      <c r="AV129" t="s">
        <v>425</v>
      </c>
      <c r="AW129" t="s">
        <v>81</v>
      </c>
      <c r="AX129">
        <v>111.133</v>
      </c>
      <c r="AY129">
        <v>1.0155396203574489</v>
      </c>
      <c r="AZ129">
        <v>112.8599646291844</v>
      </c>
      <c r="BA129">
        <v>629.54999999999995</v>
      </c>
      <c r="BB129">
        <v>1</v>
      </c>
      <c r="BC129">
        <v>71.050990732303021</v>
      </c>
      <c r="BD129">
        <v>0.95185525912296853</v>
      </c>
      <c r="BE129" s="63">
        <v>67.63</v>
      </c>
      <c r="BF129">
        <v>8.9176000000000002</v>
      </c>
      <c r="BG129">
        <v>1</v>
      </c>
      <c r="BH129">
        <v>5701.3156754014162</v>
      </c>
      <c r="BI129">
        <v>1.081469419077697</v>
      </c>
      <c r="BJ129" s="63">
        <v>6165.7986000000001</v>
      </c>
      <c r="BK129" s="61">
        <v>22217.2652559702</v>
      </c>
    </row>
    <row r="130" spans="1:63" x14ac:dyDescent="0.25">
      <c r="A130">
        <v>333</v>
      </c>
      <c r="B130" t="s">
        <v>127</v>
      </c>
      <c r="C130">
        <v>2017</v>
      </c>
      <c r="D130">
        <v>10</v>
      </c>
      <c r="E130" t="s">
        <v>100</v>
      </c>
      <c r="F130" t="s">
        <v>426</v>
      </c>
      <c r="G130" t="s">
        <v>427</v>
      </c>
      <c r="H130" t="s">
        <v>84</v>
      </c>
      <c r="I130" t="s">
        <v>430</v>
      </c>
      <c r="J130" t="s">
        <v>59</v>
      </c>
      <c r="K130">
        <v>-407.24413398000002</v>
      </c>
      <c r="L130" t="s">
        <v>59</v>
      </c>
      <c r="M130" t="s">
        <v>382</v>
      </c>
      <c r="N130">
        <v>2.6402537999850002E-2</v>
      </c>
      <c r="O130">
        <v>10.752278722622959</v>
      </c>
      <c r="P130" t="s">
        <v>440</v>
      </c>
      <c r="Q130">
        <v>2</v>
      </c>
      <c r="R130">
        <v>29.947030000000002</v>
      </c>
      <c r="S130">
        <v>6.0999999999999999E-2</v>
      </c>
      <c r="T130">
        <v>1.8267688</v>
      </c>
      <c r="U130">
        <v>1.9E-2</v>
      </c>
      <c r="V130">
        <v>34.709000000000003</v>
      </c>
      <c r="W130">
        <v>2</v>
      </c>
      <c r="X130">
        <v>1.4405485609000001E-2</v>
      </c>
      <c r="Y130">
        <v>1</v>
      </c>
      <c r="Z130" s="61">
        <v>10.752279</v>
      </c>
      <c r="AA130" t="s">
        <v>342</v>
      </c>
      <c r="AB130" t="s">
        <v>434</v>
      </c>
      <c r="AC130" t="s">
        <v>425</v>
      </c>
      <c r="AD130" t="s">
        <v>81</v>
      </c>
      <c r="AE130">
        <v>111.133</v>
      </c>
      <c r="AF130">
        <v>1.0155396203574489</v>
      </c>
      <c r="AG130">
        <v>112.8599646291844</v>
      </c>
      <c r="AH130">
        <v>661.2</v>
      </c>
      <c r="AI130">
        <v>1</v>
      </c>
      <c r="AJ130">
        <v>74.623008612816719</v>
      </c>
      <c r="AK130">
        <v>0.95185525912296853</v>
      </c>
      <c r="AL130" s="63">
        <v>71.03</v>
      </c>
      <c r="AM130">
        <v>8.9176000000000002</v>
      </c>
      <c r="AN130">
        <v>9.0561761184995895</v>
      </c>
      <c r="AO130">
        <v>1</v>
      </c>
      <c r="AP130">
        <v>5987.9436495519294</v>
      </c>
      <c r="AQ130">
        <v>1.081469419077697</v>
      </c>
      <c r="AR130">
        <v>6475.7779</v>
      </c>
      <c r="AS130" s="61">
        <v>69629.370722834094</v>
      </c>
      <c r="AT130" t="s">
        <v>342</v>
      </c>
      <c r="AU130" t="s">
        <v>434</v>
      </c>
      <c r="AV130" t="s">
        <v>425</v>
      </c>
      <c r="AW130" t="s">
        <v>81</v>
      </c>
      <c r="AX130">
        <v>111.133</v>
      </c>
      <c r="AY130">
        <v>1.0155396203574489</v>
      </c>
      <c r="AZ130">
        <v>112.8599646291844</v>
      </c>
      <c r="BA130">
        <v>629.54999999999995</v>
      </c>
      <c r="BB130">
        <v>1</v>
      </c>
      <c r="BC130">
        <v>71.050990732303021</v>
      </c>
      <c r="BD130">
        <v>0.95185525912296853</v>
      </c>
      <c r="BE130" s="63">
        <v>67.63</v>
      </c>
      <c r="BF130">
        <v>8.9176000000000002</v>
      </c>
      <c r="BG130">
        <v>1</v>
      </c>
      <c r="BH130">
        <v>5701.3156754014162</v>
      </c>
      <c r="BI130">
        <v>1.081469419077697</v>
      </c>
      <c r="BJ130" s="63">
        <v>6165.7986000000001</v>
      </c>
      <c r="BK130" s="61">
        <v>66296.386805009402</v>
      </c>
    </row>
    <row r="131" spans="1:63" x14ac:dyDescent="0.25">
      <c r="A131">
        <v>335</v>
      </c>
      <c r="B131" t="s">
        <v>127</v>
      </c>
      <c r="C131">
        <v>2017</v>
      </c>
      <c r="D131">
        <v>10</v>
      </c>
      <c r="E131" t="s">
        <v>100</v>
      </c>
      <c r="F131" t="s">
        <v>426</v>
      </c>
      <c r="G131" t="s">
        <v>427</v>
      </c>
      <c r="H131" t="s">
        <v>84</v>
      </c>
      <c r="I131" t="s">
        <v>428</v>
      </c>
      <c r="J131" t="s">
        <v>381</v>
      </c>
      <c r="K131">
        <v>-615.00732959000004</v>
      </c>
      <c r="L131" t="s">
        <v>381</v>
      </c>
      <c r="M131" t="s">
        <v>383</v>
      </c>
      <c r="N131">
        <v>1.0246055790000199</v>
      </c>
      <c r="O131">
        <v>630.13994102381798</v>
      </c>
      <c r="P131" t="s">
        <v>440</v>
      </c>
      <c r="Q131">
        <v>2</v>
      </c>
      <c r="R131">
        <v>29.947030000000002</v>
      </c>
      <c r="S131">
        <v>6.0999999999999999E-2</v>
      </c>
      <c r="T131">
        <v>1.8267688</v>
      </c>
      <c r="U131">
        <v>0.98099999999999998</v>
      </c>
      <c r="V131">
        <v>1792.06</v>
      </c>
      <c r="W131">
        <v>2</v>
      </c>
      <c r="X131">
        <v>2.7900851500000003E-4</v>
      </c>
      <c r="Y131">
        <v>1</v>
      </c>
      <c r="Z131" s="61">
        <v>630.13994100000002</v>
      </c>
      <c r="AA131" t="s">
        <v>342</v>
      </c>
      <c r="AB131" t="s">
        <v>434</v>
      </c>
      <c r="AC131" t="s">
        <v>425</v>
      </c>
      <c r="AD131" t="s">
        <v>27</v>
      </c>
      <c r="AE131">
        <v>111.133</v>
      </c>
      <c r="AF131">
        <v>1.0155396203574489</v>
      </c>
      <c r="AG131">
        <v>112.8599646291844</v>
      </c>
      <c r="AH131">
        <v>661.2</v>
      </c>
      <c r="AI131">
        <v>1</v>
      </c>
      <c r="AJ131">
        <v>74.623008612816719</v>
      </c>
      <c r="AK131">
        <v>1.0016354901359501</v>
      </c>
      <c r="AL131" s="63">
        <v>74.745000000000005</v>
      </c>
      <c r="AM131">
        <v>8.9176000000000002</v>
      </c>
      <c r="AN131">
        <v>9.0561761184995895</v>
      </c>
      <c r="AO131">
        <v>1</v>
      </c>
      <c r="AP131">
        <v>5987.9436495519294</v>
      </c>
      <c r="AQ131">
        <v>1.016194415745886</v>
      </c>
      <c r="AR131">
        <v>6084.9148999999998</v>
      </c>
      <c r="AS131" s="61">
        <v>3834347.9160760208</v>
      </c>
      <c r="AT131" t="s">
        <v>342</v>
      </c>
      <c r="AU131" t="s">
        <v>434</v>
      </c>
      <c r="AV131" t="s">
        <v>425</v>
      </c>
      <c r="AW131" t="s">
        <v>27</v>
      </c>
      <c r="AX131">
        <v>111.133</v>
      </c>
      <c r="AY131">
        <v>1.0155396203574489</v>
      </c>
      <c r="AZ131">
        <v>112.8599646291844</v>
      </c>
      <c r="BA131">
        <v>629.54999999999995</v>
      </c>
      <c r="BB131">
        <v>1</v>
      </c>
      <c r="BC131">
        <v>71.050990732303021</v>
      </c>
      <c r="BD131">
        <v>1.0016354901359501</v>
      </c>
      <c r="BE131" s="63">
        <v>71.167000000000002</v>
      </c>
      <c r="BF131">
        <v>8.9176000000000002</v>
      </c>
      <c r="BG131">
        <v>1</v>
      </c>
      <c r="BH131">
        <v>5701.3156754014162</v>
      </c>
      <c r="BI131">
        <v>1.016194415745886</v>
      </c>
      <c r="BJ131" s="63">
        <v>5793.6451999999999</v>
      </c>
      <c r="BK131" s="61">
        <v>3650807.2445029332</v>
      </c>
    </row>
    <row r="132" spans="1:63" x14ac:dyDescent="0.25">
      <c r="A132">
        <v>335</v>
      </c>
      <c r="B132" t="s">
        <v>127</v>
      </c>
      <c r="C132">
        <v>2017</v>
      </c>
      <c r="D132">
        <v>10</v>
      </c>
      <c r="E132" t="s">
        <v>100</v>
      </c>
      <c r="F132" t="s">
        <v>426</v>
      </c>
      <c r="G132" t="s">
        <v>427</v>
      </c>
      <c r="H132" t="s">
        <v>84</v>
      </c>
      <c r="I132" t="s">
        <v>429</v>
      </c>
      <c r="J132" t="s">
        <v>87</v>
      </c>
      <c r="K132">
        <v>-134.35987306999999</v>
      </c>
      <c r="L132" t="s">
        <v>87</v>
      </c>
      <c r="M132" t="s">
        <v>383</v>
      </c>
      <c r="N132">
        <v>1.01265167399922</v>
      </c>
      <c r="O132">
        <v>136.05975038265819</v>
      </c>
      <c r="P132" t="s">
        <v>440</v>
      </c>
      <c r="Q132">
        <v>2</v>
      </c>
      <c r="R132">
        <v>29.947030000000002</v>
      </c>
      <c r="S132">
        <v>6.0999999999999999E-2</v>
      </c>
      <c r="T132">
        <v>1.8267688</v>
      </c>
      <c r="U132">
        <v>0.98099999999999998</v>
      </c>
      <c r="V132">
        <v>1792.06</v>
      </c>
      <c r="W132">
        <v>2</v>
      </c>
      <c r="X132">
        <v>2.7900851500000003E-4</v>
      </c>
      <c r="Y132">
        <v>1</v>
      </c>
      <c r="Z132" s="61">
        <v>136.05975000000001</v>
      </c>
      <c r="AA132" t="s">
        <v>342</v>
      </c>
      <c r="AB132" t="s">
        <v>434</v>
      </c>
      <c r="AC132" t="s">
        <v>425</v>
      </c>
      <c r="AD132" t="s">
        <v>27</v>
      </c>
      <c r="AE132">
        <v>111.133</v>
      </c>
      <c r="AF132">
        <v>1.0155396203574489</v>
      </c>
      <c r="AG132">
        <v>112.8599646291844</v>
      </c>
      <c r="AH132">
        <v>661.2</v>
      </c>
      <c r="AI132">
        <v>1</v>
      </c>
      <c r="AJ132">
        <v>74.623008612816719</v>
      </c>
      <c r="AK132">
        <v>1.0016354901359501</v>
      </c>
      <c r="AL132" s="63">
        <v>74.745000000000005</v>
      </c>
      <c r="AM132">
        <v>8.9176000000000002</v>
      </c>
      <c r="AN132">
        <v>9.0561761184995895</v>
      </c>
      <c r="AO132">
        <v>1</v>
      </c>
      <c r="AP132">
        <v>5987.9436495519294</v>
      </c>
      <c r="AQ132">
        <v>1.016194415745886</v>
      </c>
      <c r="AR132">
        <v>6084.9148999999998</v>
      </c>
      <c r="AS132" s="61">
        <v>827912.000065275</v>
      </c>
      <c r="AT132" t="s">
        <v>342</v>
      </c>
      <c r="AU132" t="s">
        <v>434</v>
      </c>
      <c r="AV132" t="s">
        <v>425</v>
      </c>
      <c r="AW132" t="s">
        <v>27</v>
      </c>
      <c r="AX132">
        <v>111.133</v>
      </c>
      <c r="AY132">
        <v>1.0155396203574489</v>
      </c>
      <c r="AZ132">
        <v>112.8599646291844</v>
      </c>
      <c r="BA132">
        <v>629.54999999999995</v>
      </c>
      <c r="BB132">
        <v>1</v>
      </c>
      <c r="BC132">
        <v>71.050990732303021</v>
      </c>
      <c r="BD132">
        <v>1.0016354901359501</v>
      </c>
      <c r="BE132" s="63">
        <v>71.167000000000002</v>
      </c>
      <c r="BF132">
        <v>8.9176000000000002</v>
      </c>
      <c r="BG132">
        <v>1</v>
      </c>
      <c r="BH132">
        <v>5701.3156754014162</v>
      </c>
      <c r="BI132">
        <v>1.016194415745886</v>
      </c>
      <c r="BJ132" s="63">
        <v>5793.6451999999999</v>
      </c>
      <c r="BK132" s="61">
        <v>788281.91750069999</v>
      </c>
    </row>
    <row r="133" spans="1:63" x14ac:dyDescent="0.25">
      <c r="A133">
        <v>335</v>
      </c>
      <c r="B133" t="s">
        <v>127</v>
      </c>
      <c r="C133">
        <v>2017</v>
      </c>
      <c r="D133">
        <v>10</v>
      </c>
      <c r="E133" t="s">
        <v>100</v>
      </c>
      <c r="F133" t="s">
        <v>426</v>
      </c>
      <c r="G133" t="s">
        <v>427</v>
      </c>
      <c r="H133" t="s">
        <v>84</v>
      </c>
      <c r="I133" t="s">
        <v>430</v>
      </c>
      <c r="J133" t="s">
        <v>59</v>
      </c>
      <c r="K133">
        <v>-407.24413398000002</v>
      </c>
      <c r="L133" t="s">
        <v>59</v>
      </c>
      <c r="M133" t="s">
        <v>383</v>
      </c>
      <c r="N133">
        <v>1.01306746199968</v>
      </c>
      <c r="O133">
        <v>412.56578122537621</v>
      </c>
      <c r="P133" t="s">
        <v>440</v>
      </c>
      <c r="Q133">
        <v>2</v>
      </c>
      <c r="R133">
        <v>29.947030000000002</v>
      </c>
      <c r="S133">
        <v>6.0999999999999999E-2</v>
      </c>
      <c r="T133">
        <v>1.8267688</v>
      </c>
      <c r="U133">
        <v>0.98099999999999998</v>
      </c>
      <c r="V133">
        <v>1792.06</v>
      </c>
      <c r="W133">
        <v>2</v>
      </c>
      <c r="X133">
        <v>2.7900851500000003E-4</v>
      </c>
      <c r="Y133">
        <v>1</v>
      </c>
      <c r="Z133" s="61">
        <v>412.56578100000002</v>
      </c>
      <c r="AA133" t="s">
        <v>342</v>
      </c>
      <c r="AB133" t="s">
        <v>434</v>
      </c>
      <c r="AC133" t="s">
        <v>425</v>
      </c>
      <c r="AD133" t="s">
        <v>27</v>
      </c>
      <c r="AE133">
        <v>111.133</v>
      </c>
      <c r="AF133">
        <v>1.0155396203574489</v>
      </c>
      <c r="AG133">
        <v>112.8599646291844</v>
      </c>
      <c r="AH133">
        <v>661.2</v>
      </c>
      <c r="AI133">
        <v>1</v>
      </c>
      <c r="AJ133">
        <v>74.623008612816719</v>
      </c>
      <c r="AK133">
        <v>1.0016354901359501</v>
      </c>
      <c r="AL133" s="63">
        <v>74.745000000000005</v>
      </c>
      <c r="AM133">
        <v>8.9176000000000002</v>
      </c>
      <c r="AN133">
        <v>9.0561761184995895</v>
      </c>
      <c r="AO133">
        <v>1</v>
      </c>
      <c r="AP133">
        <v>5987.9436495519294</v>
      </c>
      <c r="AQ133">
        <v>1.016194415745886</v>
      </c>
      <c r="AR133">
        <v>6084.9148999999998</v>
      </c>
      <c r="AS133" s="61">
        <v>2510427.6680370369</v>
      </c>
      <c r="AT133" t="s">
        <v>342</v>
      </c>
      <c r="AU133" t="s">
        <v>434</v>
      </c>
      <c r="AV133" t="s">
        <v>425</v>
      </c>
      <c r="AW133" t="s">
        <v>27</v>
      </c>
      <c r="AX133">
        <v>111.133</v>
      </c>
      <c r="AY133">
        <v>1.0155396203574489</v>
      </c>
      <c r="AZ133">
        <v>112.8599646291844</v>
      </c>
      <c r="BA133">
        <v>629.54999999999995</v>
      </c>
      <c r="BB133">
        <v>1</v>
      </c>
      <c r="BC133">
        <v>71.050990732303021</v>
      </c>
      <c r="BD133">
        <v>1.0016354901359501</v>
      </c>
      <c r="BE133" s="63">
        <v>71.167000000000002</v>
      </c>
      <c r="BF133">
        <v>8.9176000000000002</v>
      </c>
      <c r="BG133">
        <v>1</v>
      </c>
      <c r="BH133">
        <v>5701.3156754014162</v>
      </c>
      <c r="BI133">
        <v>1.016194415745886</v>
      </c>
      <c r="BJ133" s="63">
        <v>5793.6451999999999</v>
      </c>
      <c r="BK133" s="61">
        <v>2390259.7567749009</v>
      </c>
    </row>
    <row r="134" spans="1:63" x14ac:dyDescent="0.25">
      <c r="A134">
        <v>353</v>
      </c>
      <c r="B134" t="s">
        <v>128</v>
      </c>
      <c r="C134">
        <v>2017</v>
      </c>
      <c r="D134">
        <v>11</v>
      </c>
      <c r="E134" t="s">
        <v>100</v>
      </c>
      <c r="F134" t="s">
        <v>426</v>
      </c>
      <c r="G134" t="s">
        <v>427</v>
      </c>
      <c r="H134" t="s">
        <v>84</v>
      </c>
      <c r="I134" t="s">
        <v>428</v>
      </c>
      <c r="J134" t="s">
        <v>381</v>
      </c>
      <c r="K134">
        <v>-327.39630697000001</v>
      </c>
      <c r="L134" t="s">
        <v>381</v>
      </c>
      <c r="M134" t="s">
        <v>382</v>
      </c>
      <c r="N134">
        <v>1.486442100009E-2</v>
      </c>
      <c r="O134">
        <v>4.8665565406767799</v>
      </c>
      <c r="P134" t="s">
        <v>440</v>
      </c>
      <c r="Q134">
        <v>2</v>
      </c>
      <c r="R134">
        <v>29.947030000000002</v>
      </c>
      <c r="S134">
        <v>0.10199999999999999</v>
      </c>
      <c r="T134">
        <v>3.0545971000000001</v>
      </c>
      <c r="U134">
        <v>1.9E-2</v>
      </c>
      <c r="V134">
        <v>58.036999999999999</v>
      </c>
      <c r="W134">
        <v>2</v>
      </c>
      <c r="X134">
        <v>8.6151937560000006E-3</v>
      </c>
      <c r="Y134">
        <v>1</v>
      </c>
      <c r="Z134" s="61">
        <v>4.8665570000000002</v>
      </c>
      <c r="AA134" t="s">
        <v>342</v>
      </c>
      <c r="AB134" t="s">
        <v>434</v>
      </c>
      <c r="AC134" t="s">
        <v>425</v>
      </c>
      <c r="AD134" t="s">
        <v>81</v>
      </c>
      <c r="AE134">
        <v>111.133</v>
      </c>
      <c r="AF134">
        <v>1.0155396203574489</v>
      </c>
      <c r="AG134">
        <v>112.8599646291844</v>
      </c>
      <c r="AH134">
        <v>661.2</v>
      </c>
      <c r="AI134">
        <v>1</v>
      </c>
      <c r="AJ134">
        <v>74.623008612816719</v>
      </c>
      <c r="AK134">
        <v>0.95185525912296853</v>
      </c>
      <c r="AL134" s="63">
        <v>71.03</v>
      </c>
      <c r="AM134">
        <v>8.9176000000000002</v>
      </c>
      <c r="AN134">
        <v>9.0561761184995895</v>
      </c>
      <c r="AO134">
        <v>1</v>
      </c>
      <c r="AP134">
        <v>5987.9436495519294</v>
      </c>
      <c r="AQ134">
        <v>1.081469419077697</v>
      </c>
      <c r="AR134">
        <v>6475.7779</v>
      </c>
      <c r="AS134" s="61">
        <v>31514.742269690301</v>
      </c>
      <c r="AT134" t="s">
        <v>342</v>
      </c>
      <c r="AU134" t="s">
        <v>434</v>
      </c>
      <c r="AV134" t="s">
        <v>425</v>
      </c>
      <c r="AW134" t="s">
        <v>81</v>
      </c>
      <c r="AX134">
        <v>111.133</v>
      </c>
      <c r="AY134">
        <v>1.0155396203574489</v>
      </c>
      <c r="AZ134">
        <v>112.8599646291844</v>
      </c>
      <c r="BA134">
        <v>633.77</v>
      </c>
      <c r="BB134">
        <v>1</v>
      </c>
      <c r="BC134">
        <v>71.52725978303819</v>
      </c>
      <c r="BD134">
        <v>0.95185525912296853</v>
      </c>
      <c r="BE134" s="63">
        <v>68.084000000000003</v>
      </c>
      <c r="BF134">
        <v>8.9176000000000002</v>
      </c>
      <c r="BG134">
        <v>1</v>
      </c>
      <c r="BH134">
        <v>5739.5327386214849</v>
      </c>
      <c r="BI134">
        <v>1.081469419077697</v>
      </c>
      <c r="BJ134" s="63">
        <v>6207.1291000000001</v>
      </c>
      <c r="BK134" s="61">
        <v>30207.347571508701</v>
      </c>
    </row>
    <row r="135" spans="1:63" x14ac:dyDescent="0.25">
      <c r="A135">
        <v>353</v>
      </c>
      <c r="B135" t="s">
        <v>128</v>
      </c>
      <c r="C135">
        <v>2017</v>
      </c>
      <c r="D135">
        <v>11</v>
      </c>
      <c r="E135" t="s">
        <v>100</v>
      </c>
      <c r="F135" t="s">
        <v>426</v>
      </c>
      <c r="G135" t="s">
        <v>427</v>
      </c>
      <c r="H135" t="s">
        <v>84</v>
      </c>
      <c r="I135" t="s">
        <v>429</v>
      </c>
      <c r="J135" t="s">
        <v>87</v>
      </c>
      <c r="K135">
        <v>-87.702766729999993</v>
      </c>
      <c r="L135" t="s">
        <v>87</v>
      </c>
      <c r="M135" t="s">
        <v>382</v>
      </c>
      <c r="N135">
        <v>2.68183260003E-2</v>
      </c>
      <c r="O135">
        <v>2.3520413892934049</v>
      </c>
      <c r="P135" t="s">
        <v>440</v>
      </c>
      <c r="Q135">
        <v>2</v>
      </c>
      <c r="R135">
        <v>29.947030000000002</v>
      </c>
      <c r="S135">
        <v>0.10199999999999999</v>
      </c>
      <c r="T135">
        <v>3.0545971000000001</v>
      </c>
      <c r="U135">
        <v>1.9E-2</v>
      </c>
      <c r="V135">
        <v>58.036999999999999</v>
      </c>
      <c r="W135">
        <v>2</v>
      </c>
      <c r="X135">
        <v>8.6151937560000006E-3</v>
      </c>
      <c r="Y135">
        <v>1</v>
      </c>
      <c r="Z135" s="61">
        <v>2.3520409999999998</v>
      </c>
      <c r="AA135" t="s">
        <v>342</v>
      </c>
      <c r="AB135" t="s">
        <v>434</v>
      </c>
      <c r="AC135" t="s">
        <v>425</v>
      </c>
      <c r="AD135" t="s">
        <v>81</v>
      </c>
      <c r="AE135">
        <v>111.133</v>
      </c>
      <c r="AF135">
        <v>1.0155396203574489</v>
      </c>
      <c r="AG135">
        <v>112.8599646291844</v>
      </c>
      <c r="AH135">
        <v>661.2</v>
      </c>
      <c r="AI135">
        <v>1</v>
      </c>
      <c r="AJ135">
        <v>74.623008612816719</v>
      </c>
      <c r="AK135">
        <v>0.95185525912296853</v>
      </c>
      <c r="AL135" s="63">
        <v>71.03</v>
      </c>
      <c r="AM135">
        <v>8.9176000000000002</v>
      </c>
      <c r="AN135">
        <v>9.0561761184995895</v>
      </c>
      <c r="AO135">
        <v>1</v>
      </c>
      <c r="AP135">
        <v>5987.9436495519294</v>
      </c>
      <c r="AQ135">
        <v>1.081469419077697</v>
      </c>
      <c r="AR135">
        <v>6475.7779</v>
      </c>
      <c r="AS135" s="61">
        <v>15231.2951276939</v>
      </c>
      <c r="AT135" t="s">
        <v>342</v>
      </c>
      <c r="AU135" t="s">
        <v>434</v>
      </c>
      <c r="AV135" t="s">
        <v>425</v>
      </c>
      <c r="AW135" t="s">
        <v>81</v>
      </c>
      <c r="AX135">
        <v>111.133</v>
      </c>
      <c r="AY135">
        <v>1.0155396203574489</v>
      </c>
      <c r="AZ135">
        <v>112.8599646291844</v>
      </c>
      <c r="BA135">
        <v>633.77</v>
      </c>
      <c r="BB135">
        <v>1</v>
      </c>
      <c r="BC135">
        <v>71.52725978303819</v>
      </c>
      <c r="BD135">
        <v>0.95185525912296853</v>
      </c>
      <c r="BE135" s="63">
        <v>68.084000000000003</v>
      </c>
      <c r="BF135">
        <v>8.9176000000000002</v>
      </c>
      <c r="BG135">
        <v>1</v>
      </c>
      <c r="BH135">
        <v>5739.5327386214849</v>
      </c>
      <c r="BI135">
        <v>1.081469419077697</v>
      </c>
      <c r="BJ135" s="63">
        <v>6207.1291000000001</v>
      </c>
      <c r="BK135" s="61">
        <v>14599.4221354931</v>
      </c>
    </row>
    <row r="136" spans="1:63" x14ac:dyDescent="0.25">
      <c r="A136">
        <v>353</v>
      </c>
      <c r="B136" t="s">
        <v>128</v>
      </c>
      <c r="C136">
        <v>2017</v>
      </c>
      <c r="D136">
        <v>11</v>
      </c>
      <c r="E136" t="s">
        <v>100</v>
      </c>
      <c r="F136" t="s">
        <v>426</v>
      </c>
      <c r="G136" t="s">
        <v>427</v>
      </c>
      <c r="H136" t="s">
        <v>84</v>
      </c>
      <c r="I136" t="s">
        <v>430</v>
      </c>
      <c r="J136" t="s">
        <v>59</v>
      </c>
      <c r="K136">
        <v>-166.10609883000001</v>
      </c>
      <c r="L136" t="s">
        <v>59</v>
      </c>
      <c r="M136" t="s">
        <v>382</v>
      </c>
      <c r="N136">
        <v>2.6402538000090001E-2</v>
      </c>
      <c r="O136">
        <v>4.3856225864057814</v>
      </c>
      <c r="P136" t="s">
        <v>440</v>
      </c>
      <c r="Q136">
        <v>2</v>
      </c>
      <c r="R136">
        <v>29.947030000000002</v>
      </c>
      <c r="S136">
        <v>0.10199999999999999</v>
      </c>
      <c r="T136">
        <v>3.0545971000000001</v>
      </c>
      <c r="U136">
        <v>1.9E-2</v>
      </c>
      <c r="V136">
        <v>58.036999999999999</v>
      </c>
      <c r="W136">
        <v>2</v>
      </c>
      <c r="X136">
        <v>8.6151937560000006E-3</v>
      </c>
      <c r="Y136">
        <v>1</v>
      </c>
      <c r="Z136" s="61">
        <v>4.3856229999999998</v>
      </c>
      <c r="AA136" t="s">
        <v>342</v>
      </c>
      <c r="AB136" t="s">
        <v>434</v>
      </c>
      <c r="AC136" t="s">
        <v>425</v>
      </c>
      <c r="AD136" t="s">
        <v>81</v>
      </c>
      <c r="AE136">
        <v>111.133</v>
      </c>
      <c r="AF136">
        <v>1.0155396203574489</v>
      </c>
      <c r="AG136">
        <v>112.8599646291844</v>
      </c>
      <c r="AH136">
        <v>661.2</v>
      </c>
      <c r="AI136">
        <v>1</v>
      </c>
      <c r="AJ136">
        <v>74.623008612816719</v>
      </c>
      <c r="AK136">
        <v>0.95185525912296853</v>
      </c>
      <c r="AL136" s="63">
        <v>71.03</v>
      </c>
      <c r="AM136">
        <v>8.9176000000000002</v>
      </c>
      <c r="AN136">
        <v>9.0561761184995895</v>
      </c>
      <c r="AO136">
        <v>1</v>
      </c>
      <c r="AP136">
        <v>5987.9436495519294</v>
      </c>
      <c r="AQ136">
        <v>1.081469419077697</v>
      </c>
      <c r="AR136">
        <v>6475.7779</v>
      </c>
      <c r="AS136" s="61">
        <v>28400.3205011317</v>
      </c>
      <c r="AT136" t="s">
        <v>342</v>
      </c>
      <c r="AU136" t="s">
        <v>434</v>
      </c>
      <c r="AV136" t="s">
        <v>425</v>
      </c>
      <c r="AW136" t="s">
        <v>81</v>
      </c>
      <c r="AX136">
        <v>111.133</v>
      </c>
      <c r="AY136">
        <v>1.0155396203574489</v>
      </c>
      <c r="AZ136">
        <v>112.8599646291844</v>
      </c>
      <c r="BA136">
        <v>633.77</v>
      </c>
      <c r="BB136">
        <v>1</v>
      </c>
      <c r="BC136">
        <v>71.52725978303819</v>
      </c>
      <c r="BD136">
        <v>0.95185525912296853</v>
      </c>
      <c r="BE136" s="63">
        <v>68.084000000000003</v>
      </c>
      <c r="BF136">
        <v>8.9176000000000002</v>
      </c>
      <c r="BG136">
        <v>1</v>
      </c>
      <c r="BH136">
        <v>5739.5327386214849</v>
      </c>
      <c r="BI136">
        <v>1.081469419077697</v>
      </c>
      <c r="BJ136" s="63">
        <v>6207.1291000000001</v>
      </c>
      <c r="BK136" s="61">
        <v>27222.128144929298</v>
      </c>
    </row>
    <row r="137" spans="1:63" x14ac:dyDescent="0.25">
      <c r="A137">
        <v>355</v>
      </c>
      <c r="B137" t="s">
        <v>128</v>
      </c>
      <c r="C137">
        <v>2017</v>
      </c>
      <c r="D137">
        <v>11</v>
      </c>
      <c r="E137" t="s">
        <v>100</v>
      </c>
      <c r="F137" t="s">
        <v>426</v>
      </c>
      <c r="G137" t="s">
        <v>427</v>
      </c>
      <c r="H137" t="s">
        <v>84</v>
      </c>
      <c r="I137" t="s">
        <v>428</v>
      </c>
      <c r="J137" t="s">
        <v>381</v>
      </c>
      <c r="K137">
        <v>-327.39630697000001</v>
      </c>
      <c r="L137" t="s">
        <v>381</v>
      </c>
      <c r="M137" t="s">
        <v>383</v>
      </c>
      <c r="N137">
        <v>1.0246055789998201</v>
      </c>
      <c r="O137">
        <v>335.45208266539959</v>
      </c>
      <c r="P137" t="s">
        <v>440</v>
      </c>
      <c r="Q137">
        <v>2</v>
      </c>
      <c r="R137">
        <v>29.947030000000002</v>
      </c>
      <c r="S137">
        <v>0.10199999999999999</v>
      </c>
      <c r="T137">
        <v>3.0545971000000001</v>
      </c>
      <c r="U137">
        <v>0.98099999999999998</v>
      </c>
      <c r="V137">
        <v>2996.56</v>
      </c>
      <c r="W137">
        <v>2</v>
      </c>
      <c r="X137">
        <v>1.6685799699999999E-4</v>
      </c>
      <c r="Y137">
        <v>1</v>
      </c>
      <c r="Z137" s="61">
        <v>335.45208300000002</v>
      </c>
      <c r="AA137" t="s">
        <v>342</v>
      </c>
      <c r="AB137" t="s">
        <v>434</v>
      </c>
      <c r="AC137" t="s">
        <v>425</v>
      </c>
      <c r="AD137" t="s">
        <v>27</v>
      </c>
      <c r="AE137">
        <v>111.133</v>
      </c>
      <c r="AF137">
        <v>1.0155396203574489</v>
      </c>
      <c r="AG137">
        <v>112.8599646291844</v>
      </c>
      <c r="AH137">
        <v>661.2</v>
      </c>
      <c r="AI137">
        <v>1</v>
      </c>
      <c r="AJ137">
        <v>74.623008612816719</v>
      </c>
      <c r="AK137">
        <v>1.0016354901359501</v>
      </c>
      <c r="AL137" s="63">
        <v>74.745000000000005</v>
      </c>
      <c r="AM137">
        <v>8.9176000000000002</v>
      </c>
      <c r="AN137">
        <v>9.0561761184995895</v>
      </c>
      <c r="AO137">
        <v>1</v>
      </c>
      <c r="AP137">
        <v>5987.9436495519294</v>
      </c>
      <c r="AQ137">
        <v>1.016194415745886</v>
      </c>
      <c r="AR137">
        <v>6084.9148999999998</v>
      </c>
      <c r="AS137" s="61">
        <v>2041197.3780827371</v>
      </c>
      <c r="AT137" t="s">
        <v>342</v>
      </c>
      <c r="AU137" t="s">
        <v>434</v>
      </c>
      <c r="AV137" t="s">
        <v>425</v>
      </c>
      <c r="AW137" t="s">
        <v>27</v>
      </c>
      <c r="AX137">
        <v>111.133</v>
      </c>
      <c r="AY137">
        <v>1.0155396203574489</v>
      </c>
      <c r="AZ137">
        <v>112.8599646291844</v>
      </c>
      <c r="BA137">
        <v>633.77</v>
      </c>
      <c r="BB137">
        <v>1</v>
      </c>
      <c r="BC137">
        <v>71.52725978303819</v>
      </c>
      <c r="BD137">
        <v>1.0016354901359501</v>
      </c>
      <c r="BE137" s="63">
        <v>71.644000000000005</v>
      </c>
      <c r="BF137">
        <v>8.9176000000000002</v>
      </c>
      <c r="BG137">
        <v>1</v>
      </c>
      <c r="BH137">
        <v>5739.5327386214849</v>
      </c>
      <c r="BI137">
        <v>1.016194415745886</v>
      </c>
      <c r="BJ137" s="63">
        <v>5832.4811</v>
      </c>
      <c r="BK137" s="61">
        <v>1956517.9340531309</v>
      </c>
    </row>
    <row r="138" spans="1:63" x14ac:dyDescent="0.25">
      <c r="A138">
        <v>355</v>
      </c>
      <c r="B138" t="s">
        <v>128</v>
      </c>
      <c r="C138">
        <v>2017</v>
      </c>
      <c r="D138">
        <v>11</v>
      </c>
      <c r="E138" t="s">
        <v>100</v>
      </c>
      <c r="F138" t="s">
        <v>426</v>
      </c>
      <c r="G138" t="s">
        <v>427</v>
      </c>
      <c r="H138" t="s">
        <v>84</v>
      </c>
      <c r="I138" t="s">
        <v>429</v>
      </c>
      <c r="J138" t="s">
        <v>87</v>
      </c>
      <c r="K138">
        <v>-87.702766729999993</v>
      </c>
      <c r="L138" t="s">
        <v>87</v>
      </c>
      <c r="M138" t="s">
        <v>383</v>
      </c>
      <c r="N138">
        <v>1.0126516739996401</v>
      </c>
      <c r="O138">
        <v>88.812353543534442</v>
      </c>
      <c r="P138" t="s">
        <v>440</v>
      </c>
      <c r="Q138">
        <v>2</v>
      </c>
      <c r="R138">
        <v>29.947030000000002</v>
      </c>
      <c r="S138">
        <v>0.10199999999999999</v>
      </c>
      <c r="T138">
        <v>3.0545971000000001</v>
      </c>
      <c r="U138">
        <v>0.98099999999999998</v>
      </c>
      <c r="V138">
        <v>2996.56</v>
      </c>
      <c r="W138">
        <v>2</v>
      </c>
      <c r="X138">
        <v>1.6685799699999999E-4</v>
      </c>
      <c r="Y138">
        <v>1</v>
      </c>
      <c r="Z138" s="61">
        <v>88.812353999999999</v>
      </c>
      <c r="AA138" t="s">
        <v>342</v>
      </c>
      <c r="AB138" t="s">
        <v>434</v>
      </c>
      <c r="AC138" t="s">
        <v>425</v>
      </c>
      <c r="AD138" t="s">
        <v>27</v>
      </c>
      <c r="AE138">
        <v>111.133</v>
      </c>
      <c r="AF138">
        <v>1.0155396203574489</v>
      </c>
      <c r="AG138">
        <v>112.8599646291844</v>
      </c>
      <c r="AH138">
        <v>661.2</v>
      </c>
      <c r="AI138">
        <v>1</v>
      </c>
      <c r="AJ138">
        <v>74.623008612816719</v>
      </c>
      <c r="AK138">
        <v>1.0016354901359501</v>
      </c>
      <c r="AL138" s="63">
        <v>74.745000000000005</v>
      </c>
      <c r="AM138">
        <v>8.9176000000000002</v>
      </c>
      <c r="AN138">
        <v>9.0561761184995895</v>
      </c>
      <c r="AO138">
        <v>1</v>
      </c>
      <c r="AP138">
        <v>5987.9436495519294</v>
      </c>
      <c r="AQ138">
        <v>1.016194415745886</v>
      </c>
      <c r="AR138">
        <v>6084.9148999999998</v>
      </c>
      <c r="AS138" s="61">
        <v>540415.61615867459</v>
      </c>
      <c r="AT138" t="s">
        <v>342</v>
      </c>
      <c r="AU138" t="s">
        <v>434</v>
      </c>
      <c r="AV138" t="s">
        <v>425</v>
      </c>
      <c r="AW138" t="s">
        <v>27</v>
      </c>
      <c r="AX138">
        <v>111.133</v>
      </c>
      <c r="AY138">
        <v>1.0155396203574489</v>
      </c>
      <c r="AZ138">
        <v>112.8599646291844</v>
      </c>
      <c r="BA138">
        <v>633.77</v>
      </c>
      <c r="BB138">
        <v>1</v>
      </c>
      <c r="BC138">
        <v>71.52725978303819</v>
      </c>
      <c r="BD138">
        <v>1.0016354901359501</v>
      </c>
      <c r="BE138" s="63">
        <v>71.644000000000005</v>
      </c>
      <c r="BF138">
        <v>8.9176000000000002</v>
      </c>
      <c r="BG138">
        <v>1</v>
      </c>
      <c r="BH138">
        <v>5739.5327386214849</v>
      </c>
      <c r="BI138">
        <v>1.016194415745886</v>
      </c>
      <c r="BJ138" s="63">
        <v>5832.4811</v>
      </c>
      <c r="BK138" s="61">
        <v>517996.37615150941</v>
      </c>
    </row>
    <row r="139" spans="1:63" x14ac:dyDescent="0.25">
      <c r="A139">
        <v>355</v>
      </c>
      <c r="B139" t="s">
        <v>128</v>
      </c>
      <c r="C139">
        <v>2017</v>
      </c>
      <c r="D139">
        <v>11</v>
      </c>
      <c r="E139" t="s">
        <v>100</v>
      </c>
      <c r="F139" t="s">
        <v>426</v>
      </c>
      <c r="G139" t="s">
        <v>427</v>
      </c>
      <c r="H139" t="s">
        <v>84</v>
      </c>
      <c r="I139" t="s">
        <v>430</v>
      </c>
      <c r="J139" t="s">
        <v>59</v>
      </c>
      <c r="K139">
        <v>-166.10609883000001</v>
      </c>
      <c r="L139" t="s">
        <v>59</v>
      </c>
      <c r="M139" t="s">
        <v>383</v>
      </c>
      <c r="N139">
        <v>1.01306746199909</v>
      </c>
      <c r="O139">
        <v>168.27668396427811</v>
      </c>
      <c r="P139" t="s">
        <v>440</v>
      </c>
      <c r="Q139">
        <v>2</v>
      </c>
      <c r="R139">
        <v>29.947030000000002</v>
      </c>
      <c r="S139">
        <v>0.10199999999999999</v>
      </c>
      <c r="T139">
        <v>3.0545971000000001</v>
      </c>
      <c r="U139">
        <v>0.98099999999999998</v>
      </c>
      <c r="V139">
        <v>2996.56</v>
      </c>
      <c r="W139">
        <v>2</v>
      </c>
      <c r="X139">
        <v>1.6685799699999999E-4</v>
      </c>
      <c r="Y139">
        <v>1</v>
      </c>
      <c r="Z139" s="61">
        <v>168.27668399999999</v>
      </c>
      <c r="AA139" t="s">
        <v>342</v>
      </c>
      <c r="AB139" t="s">
        <v>434</v>
      </c>
      <c r="AC139" t="s">
        <v>425</v>
      </c>
      <c r="AD139" t="s">
        <v>27</v>
      </c>
      <c r="AE139">
        <v>111.133</v>
      </c>
      <c r="AF139">
        <v>1.0155396203574489</v>
      </c>
      <c r="AG139">
        <v>112.8599646291844</v>
      </c>
      <c r="AH139">
        <v>661.2</v>
      </c>
      <c r="AI139">
        <v>1</v>
      </c>
      <c r="AJ139">
        <v>74.623008612816719</v>
      </c>
      <c r="AK139">
        <v>1.0016354901359501</v>
      </c>
      <c r="AL139" s="63">
        <v>74.745000000000005</v>
      </c>
      <c r="AM139">
        <v>8.9176000000000002</v>
      </c>
      <c r="AN139">
        <v>9.0561761184995895</v>
      </c>
      <c r="AO139">
        <v>1</v>
      </c>
      <c r="AP139">
        <v>5987.9436495519294</v>
      </c>
      <c r="AQ139">
        <v>1.016194415745886</v>
      </c>
      <c r="AR139">
        <v>6084.9148999999998</v>
      </c>
      <c r="AS139" s="61">
        <v>1023949.301794191</v>
      </c>
      <c r="AT139" t="s">
        <v>342</v>
      </c>
      <c r="AU139" t="s">
        <v>434</v>
      </c>
      <c r="AV139" t="s">
        <v>425</v>
      </c>
      <c r="AW139" t="s">
        <v>27</v>
      </c>
      <c r="AX139">
        <v>111.133</v>
      </c>
      <c r="AY139">
        <v>1.0155396203574489</v>
      </c>
      <c r="AZ139">
        <v>112.8599646291844</v>
      </c>
      <c r="BA139">
        <v>633.77</v>
      </c>
      <c r="BB139">
        <v>1</v>
      </c>
      <c r="BC139">
        <v>71.52725978303819</v>
      </c>
      <c r="BD139">
        <v>1.0016354901359501</v>
      </c>
      <c r="BE139" s="63">
        <v>71.644000000000005</v>
      </c>
      <c r="BF139">
        <v>8.9176000000000002</v>
      </c>
      <c r="BG139">
        <v>1</v>
      </c>
      <c r="BH139">
        <v>5739.5327386214849</v>
      </c>
      <c r="BI139">
        <v>1.016194415745886</v>
      </c>
      <c r="BJ139" s="63">
        <v>5832.4811</v>
      </c>
      <c r="BK139" s="61">
        <v>981470.57900067233</v>
      </c>
    </row>
    <row r="140" spans="1:63" x14ac:dyDescent="0.25">
      <c r="A140">
        <v>373</v>
      </c>
      <c r="B140" t="s">
        <v>138</v>
      </c>
      <c r="C140">
        <v>2017</v>
      </c>
      <c r="D140">
        <v>12</v>
      </c>
      <c r="E140" t="s">
        <v>100</v>
      </c>
      <c r="F140" t="s">
        <v>426</v>
      </c>
      <c r="G140" t="s">
        <v>427</v>
      </c>
      <c r="H140" t="s">
        <v>84</v>
      </c>
      <c r="I140" t="s">
        <v>428</v>
      </c>
      <c r="J140" t="s">
        <v>381</v>
      </c>
      <c r="K140">
        <v>-1200.9802060699999</v>
      </c>
      <c r="L140" t="s">
        <v>381</v>
      </c>
      <c r="M140" t="s">
        <v>382</v>
      </c>
      <c r="N140">
        <v>1.486442099989E-2</v>
      </c>
      <c r="O140">
        <v>17.85187539555913</v>
      </c>
      <c r="P140" t="s">
        <v>440</v>
      </c>
      <c r="Q140">
        <v>2</v>
      </c>
      <c r="R140">
        <v>29.947030000000002</v>
      </c>
      <c r="S140">
        <v>0.156</v>
      </c>
      <c r="T140">
        <v>4.6717367000000003</v>
      </c>
      <c r="U140">
        <v>1.9E-2</v>
      </c>
      <c r="V140">
        <v>88.763000000000005</v>
      </c>
      <c r="W140">
        <v>2</v>
      </c>
      <c r="X140">
        <v>5.6329777050000002E-3</v>
      </c>
      <c r="Y140">
        <v>1</v>
      </c>
      <c r="Z140" s="61">
        <v>17.851875</v>
      </c>
      <c r="AA140" t="s">
        <v>342</v>
      </c>
      <c r="AB140" t="s">
        <v>434</v>
      </c>
      <c r="AC140" t="s">
        <v>425</v>
      </c>
      <c r="AD140" t="s">
        <v>81</v>
      </c>
      <c r="AE140">
        <v>111.133</v>
      </c>
      <c r="AF140">
        <v>1.0155396203574489</v>
      </c>
      <c r="AG140">
        <v>112.8599646291844</v>
      </c>
      <c r="AH140">
        <v>661.2</v>
      </c>
      <c r="AI140">
        <v>1</v>
      </c>
      <c r="AJ140">
        <v>74.623008612816719</v>
      </c>
      <c r="AK140">
        <v>0.95185525912296853</v>
      </c>
      <c r="AL140" s="63">
        <v>71.03</v>
      </c>
      <c r="AM140">
        <v>8.9176000000000002</v>
      </c>
      <c r="AN140">
        <v>9.0561761184995895</v>
      </c>
      <c r="AO140">
        <v>1</v>
      </c>
      <c r="AP140">
        <v>5987.9436495519294</v>
      </c>
      <c r="AQ140">
        <v>1.081469419077697</v>
      </c>
      <c r="AR140">
        <v>6475.7779</v>
      </c>
      <c r="AS140" s="61">
        <v>115604.7775985625</v>
      </c>
      <c r="AT140" t="s">
        <v>342</v>
      </c>
      <c r="AU140" t="s">
        <v>434</v>
      </c>
      <c r="AV140" t="s">
        <v>425</v>
      </c>
      <c r="AW140" t="s">
        <v>81</v>
      </c>
      <c r="AX140">
        <v>111.133</v>
      </c>
      <c r="AY140">
        <v>1.0155396203574489</v>
      </c>
      <c r="AZ140">
        <v>112.8599646291844</v>
      </c>
      <c r="BA140">
        <v>638.13</v>
      </c>
      <c r="BB140">
        <v>1</v>
      </c>
      <c r="BC140">
        <v>72.019329228821434</v>
      </c>
      <c r="BD140">
        <v>0.95185525912296853</v>
      </c>
      <c r="BE140" s="63">
        <v>68.552000000000007</v>
      </c>
      <c r="BF140">
        <v>8.9176000000000002</v>
      </c>
      <c r="BG140">
        <v>1</v>
      </c>
      <c r="BH140">
        <v>5779.0176664981427</v>
      </c>
      <c r="BI140">
        <v>1.081469419077697</v>
      </c>
      <c r="BJ140" s="63">
        <v>6249.8308999999999</v>
      </c>
      <c r="BK140" s="61">
        <v>111571.1999979375</v>
      </c>
    </row>
    <row r="141" spans="1:63" x14ac:dyDescent="0.25">
      <c r="A141">
        <v>373</v>
      </c>
      <c r="B141" t="s">
        <v>138</v>
      </c>
      <c r="C141">
        <v>2017</v>
      </c>
      <c r="D141">
        <v>12</v>
      </c>
      <c r="E141" t="s">
        <v>100</v>
      </c>
      <c r="F141" t="s">
        <v>426</v>
      </c>
      <c r="G141" t="s">
        <v>427</v>
      </c>
      <c r="H141" t="s">
        <v>84</v>
      </c>
      <c r="I141" t="s">
        <v>429</v>
      </c>
      <c r="J141" t="s">
        <v>87</v>
      </c>
      <c r="K141">
        <v>-313.90816480000001</v>
      </c>
      <c r="L141" t="s">
        <v>87</v>
      </c>
      <c r="M141" t="s">
        <v>382</v>
      </c>
      <c r="N141">
        <v>2.6818325999200001E-2</v>
      </c>
      <c r="O141">
        <v>8.4184914974169978</v>
      </c>
      <c r="P141" t="s">
        <v>440</v>
      </c>
      <c r="Q141">
        <v>2</v>
      </c>
      <c r="R141">
        <v>29.947030000000002</v>
      </c>
      <c r="S141">
        <v>0.156</v>
      </c>
      <c r="T141">
        <v>4.6717367000000003</v>
      </c>
      <c r="U141">
        <v>1.9E-2</v>
      </c>
      <c r="V141">
        <v>88.763000000000005</v>
      </c>
      <c r="W141">
        <v>2</v>
      </c>
      <c r="X141">
        <v>5.6329777050000002E-3</v>
      </c>
      <c r="Y141">
        <v>1</v>
      </c>
      <c r="Z141" s="61">
        <v>8.4184909999999995</v>
      </c>
      <c r="AA141" t="s">
        <v>342</v>
      </c>
      <c r="AB141" t="s">
        <v>434</v>
      </c>
      <c r="AC141" t="s">
        <v>425</v>
      </c>
      <c r="AD141" t="s">
        <v>81</v>
      </c>
      <c r="AE141">
        <v>111.133</v>
      </c>
      <c r="AF141">
        <v>1.0155396203574489</v>
      </c>
      <c r="AG141">
        <v>112.8599646291844</v>
      </c>
      <c r="AH141">
        <v>661.2</v>
      </c>
      <c r="AI141">
        <v>1</v>
      </c>
      <c r="AJ141">
        <v>74.623008612816719</v>
      </c>
      <c r="AK141">
        <v>0.95185525912296853</v>
      </c>
      <c r="AL141" s="63">
        <v>71.03</v>
      </c>
      <c r="AM141">
        <v>8.9176000000000002</v>
      </c>
      <c r="AN141">
        <v>9.0561761184995895</v>
      </c>
      <c r="AO141">
        <v>1</v>
      </c>
      <c r="AP141">
        <v>5987.9436495519294</v>
      </c>
      <c r="AQ141">
        <v>1.081469419077697</v>
      </c>
      <c r="AR141">
        <v>6475.7779</v>
      </c>
      <c r="AS141" s="61">
        <v>54516.277969148898</v>
      </c>
      <c r="AT141" t="s">
        <v>342</v>
      </c>
      <c r="AU141" t="s">
        <v>434</v>
      </c>
      <c r="AV141" t="s">
        <v>425</v>
      </c>
      <c r="AW141" t="s">
        <v>81</v>
      </c>
      <c r="AX141">
        <v>111.133</v>
      </c>
      <c r="AY141">
        <v>1.0155396203574489</v>
      </c>
      <c r="AZ141">
        <v>112.8599646291844</v>
      </c>
      <c r="BA141">
        <v>638.13</v>
      </c>
      <c r="BB141">
        <v>1</v>
      </c>
      <c r="BC141">
        <v>72.019329228821434</v>
      </c>
      <c r="BD141">
        <v>0.95185525912296853</v>
      </c>
      <c r="BE141" s="63">
        <v>68.552000000000007</v>
      </c>
      <c r="BF141">
        <v>8.9176000000000002</v>
      </c>
      <c r="BG141">
        <v>1</v>
      </c>
      <c r="BH141">
        <v>5779.0176664981427</v>
      </c>
      <c r="BI141">
        <v>1.081469419077697</v>
      </c>
      <c r="BJ141" s="63">
        <v>6249.8308999999999</v>
      </c>
      <c r="BK141" s="61">
        <v>52614.145183171902</v>
      </c>
    </row>
    <row r="142" spans="1:63" x14ac:dyDescent="0.25">
      <c r="A142">
        <v>373</v>
      </c>
      <c r="B142" t="s">
        <v>138</v>
      </c>
      <c r="C142">
        <v>2017</v>
      </c>
      <c r="D142">
        <v>12</v>
      </c>
      <c r="E142" t="s">
        <v>100</v>
      </c>
      <c r="F142" t="s">
        <v>426</v>
      </c>
      <c r="G142" t="s">
        <v>427</v>
      </c>
      <c r="H142" t="s">
        <v>84</v>
      </c>
      <c r="I142" t="s">
        <v>430</v>
      </c>
      <c r="J142" t="s">
        <v>59</v>
      </c>
      <c r="K142">
        <v>-532.17418777</v>
      </c>
      <c r="L142" t="s">
        <v>59</v>
      </c>
      <c r="M142" t="s">
        <v>382</v>
      </c>
      <c r="N142">
        <v>2.6402538000199999E-2</v>
      </c>
      <c r="O142">
        <v>14.050749215322989</v>
      </c>
      <c r="P142" t="s">
        <v>440</v>
      </c>
      <c r="Q142">
        <v>2</v>
      </c>
      <c r="R142">
        <v>29.947030000000002</v>
      </c>
      <c r="S142">
        <v>0.156</v>
      </c>
      <c r="T142">
        <v>4.6717367000000003</v>
      </c>
      <c r="U142">
        <v>1.9E-2</v>
      </c>
      <c r="V142">
        <v>88.763000000000005</v>
      </c>
      <c r="W142">
        <v>2</v>
      </c>
      <c r="X142">
        <v>5.6329777050000002E-3</v>
      </c>
      <c r="Y142">
        <v>1</v>
      </c>
      <c r="Z142" s="61">
        <v>14.050749</v>
      </c>
      <c r="AA142" t="s">
        <v>342</v>
      </c>
      <c r="AB142" t="s">
        <v>434</v>
      </c>
      <c r="AC142" t="s">
        <v>425</v>
      </c>
      <c r="AD142" t="s">
        <v>81</v>
      </c>
      <c r="AE142">
        <v>111.133</v>
      </c>
      <c r="AF142">
        <v>1.0155396203574489</v>
      </c>
      <c r="AG142">
        <v>112.8599646291844</v>
      </c>
      <c r="AH142">
        <v>661.2</v>
      </c>
      <c r="AI142">
        <v>1</v>
      </c>
      <c r="AJ142">
        <v>74.623008612816719</v>
      </c>
      <c r="AK142">
        <v>0.95185525912296853</v>
      </c>
      <c r="AL142" s="63">
        <v>71.03</v>
      </c>
      <c r="AM142">
        <v>8.9176000000000002</v>
      </c>
      <c r="AN142">
        <v>9.0561761184995895</v>
      </c>
      <c r="AO142">
        <v>1</v>
      </c>
      <c r="AP142">
        <v>5987.9436495519294</v>
      </c>
      <c r="AQ142">
        <v>1.081469419077697</v>
      </c>
      <c r="AR142">
        <v>6475.7779</v>
      </c>
      <c r="AS142" s="61">
        <v>90989.529852647102</v>
      </c>
      <c r="AT142" t="s">
        <v>342</v>
      </c>
      <c r="AU142" t="s">
        <v>434</v>
      </c>
      <c r="AV142" t="s">
        <v>425</v>
      </c>
      <c r="AW142" t="s">
        <v>81</v>
      </c>
      <c r="AX142">
        <v>111.133</v>
      </c>
      <c r="AY142">
        <v>1.0155396203574489</v>
      </c>
      <c r="AZ142">
        <v>112.8599646291844</v>
      </c>
      <c r="BA142">
        <v>638.13</v>
      </c>
      <c r="BB142">
        <v>1</v>
      </c>
      <c r="BC142">
        <v>72.019329228821434</v>
      </c>
      <c r="BD142">
        <v>0.95185525912296853</v>
      </c>
      <c r="BE142" s="63">
        <v>68.552000000000007</v>
      </c>
      <c r="BF142">
        <v>8.9176000000000002</v>
      </c>
      <c r="BG142">
        <v>1</v>
      </c>
      <c r="BH142">
        <v>5779.0176664981427</v>
      </c>
      <c r="BI142">
        <v>1.081469419077697</v>
      </c>
      <c r="BJ142" s="63">
        <v>6249.8308999999999</v>
      </c>
      <c r="BK142" s="61">
        <v>87814.805268344091</v>
      </c>
    </row>
    <row r="143" spans="1:63" x14ac:dyDescent="0.25">
      <c r="A143">
        <v>375</v>
      </c>
      <c r="B143" t="s">
        <v>138</v>
      </c>
      <c r="C143">
        <v>2017</v>
      </c>
      <c r="D143">
        <v>12</v>
      </c>
      <c r="E143" t="s">
        <v>100</v>
      </c>
      <c r="F143" t="s">
        <v>426</v>
      </c>
      <c r="G143" t="s">
        <v>427</v>
      </c>
      <c r="H143" t="s">
        <v>84</v>
      </c>
      <c r="I143" t="s">
        <v>428</v>
      </c>
      <c r="J143" t="s">
        <v>381</v>
      </c>
      <c r="K143">
        <v>-1200.9802060699999</v>
      </c>
      <c r="L143" t="s">
        <v>381</v>
      </c>
      <c r="M143" t="s">
        <v>383</v>
      </c>
      <c r="N143">
        <v>1.0246055790003299</v>
      </c>
      <c r="O143">
        <v>1230.5310194082881</v>
      </c>
      <c r="P143" t="s">
        <v>440</v>
      </c>
      <c r="Q143">
        <v>2</v>
      </c>
      <c r="R143">
        <v>29.947030000000002</v>
      </c>
      <c r="S143">
        <v>0.156</v>
      </c>
      <c r="T143">
        <v>4.6717367000000003</v>
      </c>
      <c r="U143">
        <v>0.98099999999999998</v>
      </c>
      <c r="V143">
        <v>4582.9740000000002</v>
      </c>
      <c r="W143">
        <v>2</v>
      </c>
      <c r="X143">
        <v>1.09099462E-4</v>
      </c>
      <c r="Y143">
        <v>1</v>
      </c>
      <c r="Z143" s="61">
        <v>1230.531019</v>
      </c>
      <c r="AA143" t="s">
        <v>342</v>
      </c>
      <c r="AB143" t="s">
        <v>434</v>
      </c>
      <c r="AC143" t="s">
        <v>425</v>
      </c>
      <c r="AD143" t="s">
        <v>27</v>
      </c>
      <c r="AE143">
        <v>111.133</v>
      </c>
      <c r="AF143">
        <v>1.0155396203574489</v>
      </c>
      <c r="AG143">
        <v>112.8599646291844</v>
      </c>
      <c r="AH143">
        <v>661.2</v>
      </c>
      <c r="AI143">
        <v>1</v>
      </c>
      <c r="AJ143">
        <v>74.623008612816719</v>
      </c>
      <c r="AK143">
        <v>1.0016354901359501</v>
      </c>
      <c r="AL143" s="63">
        <v>74.745000000000005</v>
      </c>
      <c r="AM143">
        <v>8.9176000000000002</v>
      </c>
      <c r="AN143">
        <v>9.0561761184995895</v>
      </c>
      <c r="AO143">
        <v>1</v>
      </c>
      <c r="AP143">
        <v>5987.9436495519294</v>
      </c>
      <c r="AQ143">
        <v>1.016194415745886</v>
      </c>
      <c r="AR143">
        <v>6084.9148999999998</v>
      </c>
      <c r="AS143" s="61">
        <v>7487676.5324252835</v>
      </c>
      <c r="AT143" t="s">
        <v>342</v>
      </c>
      <c r="AU143" t="s">
        <v>434</v>
      </c>
      <c r="AV143" t="s">
        <v>425</v>
      </c>
      <c r="AW143" t="s">
        <v>27</v>
      </c>
      <c r="AX143">
        <v>111.133</v>
      </c>
      <c r="AY143">
        <v>1.0155396203574489</v>
      </c>
      <c r="AZ143">
        <v>112.8599646291844</v>
      </c>
      <c r="BA143">
        <v>638.13</v>
      </c>
      <c r="BB143">
        <v>1</v>
      </c>
      <c r="BC143">
        <v>72.019329228821434</v>
      </c>
      <c r="BD143">
        <v>1.0016354901359501</v>
      </c>
      <c r="BE143" s="63">
        <v>72.137</v>
      </c>
      <c r="BF143">
        <v>8.9176000000000002</v>
      </c>
      <c r="BG143">
        <v>1</v>
      </c>
      <c r="BH143">
        <v>5779.0176664981427</v>
      </c>
      <c r="BI143">
        <v>1.016194415745886</v>
      </c>
      <c r="BJ143" s="63">
        <v>5872.6054999999997</v>
      </c>
      <c r="BK143" s="61">
        <v>7226423.230100004</v>
      </c>
    </row>
    <row r="144" spans="1:63" x14ac:dyDescent="0.25">
      <c r="A144">
        <v>375</v>
      </c>
      <c r="B144" t="s">
        <v>138</v>
      </c>
      <c r="C144">
        <v>2017</v>
      </c>
      <c r="D144">
        <v>12</v>
      </c>
      <c r="E144" t="s">
        <v>100</v>
      </c>
      <c r="F144" t="s">
        <v>426</v>
      </c>
      <c r="G144" t="s">
        <v>427</v>
      </c>
      <c r="H144" t="s">
        <v>84</v>
      </c>
      <c r="I144" t="s">
        <v>429</v>
      </c>
      <c r="J144" t="s">
        <v>87</v>
      </c>
      <c r="K144">
        <v>-313.90816480000001</v>
      </c>
      <c r="L144" t="s">
        <v>87</v>
      </c>
      <c r="M144" t="s">
        <v>383</v>
      </c>
      <c r="N144">
        <v>1.0126516739998901</v>
      </c>
      <c r="O144">
        <v>317.87962856695327</v>
      </c>
      <c r="P144" t="s">
        <v>440</v>
      </c>
      <c r="Q144">
        <v>2</v>
      </c>
      <c r="R144">
        <v>29.947030000000002</v>
      </c>
      <c r="S144">
        <v>0.156</v>
      </c>
      <c r="T144">
        <v>4.6717367000000003</v>
      </c>
      <c r="U144">
        <v>0.98099999999999998</v>
      </c>
      <c r="V144">
        <v>4582.9740000000002</v>
      </c>
      <c r="W144">
        <v>2</v>
      </c>
      <c r="X144">
        <v>1.09099462E-4</v>
      </c>
      <c r="Y144">
        <v>1</v>
      </c>
      <c r="Z144" s="61">
        <v>317.87962900000002</v>
      </c>
      <c r="AA144" t="s">
        <v>342</v>
      </c>
      <c r="AB144" t="s">
        <v>434</v>
      </c>
      <c r="AC144" t="s">
        <v>425</v>
      </c>
      <c r="AD144" t="s">
        <v>27</v>
      </c>
      <c r="AE144">
        <v>111.133</v>
      </c>
      <c r="AF144">
        <v>1.0155396203574489</v>
      </c>
      <c r="AG144">
        <v>112.8599646291844</v>
      </c>
      <c r="AH144">
        <v>661.2</v>
      </c>
      <c r="AI144">
        <v>1</v>
      </c>
      <c r="AJ144">
        <v>74.623008612816719</v>
      </c>
      <c r="AK144">
        <v>1.0016354901359501</v>
      </c>
      <c r="AL144" s="63">
        <v>74.745000000000005</v>
      </c>
      <c r="AM144">
        <v>8.9176000000000002</v>
      </c>
      <c r="AN144">
        <v>9.0561761184995895</v>
      </c>
      <c r="AO144">
        <v>1</v>
      </c>
      <c r="AP144">
        <v>5987.9436495519294</v>
      </c>
      <c r="AQ144">
        <v>1.016194415745886</v>
      </c>
      <c r="AR144">
        <v>6084.9148999999998</v>
      </c>
      <c r="AS144" s="61">
        <v>1934270.490908572</v>
      </c>
      <c r="AT144" t="s">
        <v>342</v>
      </c>
      <c r="AU144" t="s">
        <v>434</v>
      </c>
      <c r="AV144" t="s">
        <v>425</v>
      </c>
      <c r="AW144" t="s">
        <v>27</v>
      </c>
      <c r="AX144">
        <v>111.133</v>
      </c>
      <c r="AY144">
        <v>1.0155396203574489</v>
      </c>
      <c r="AZ144">
        <v>112.8599646291844</v>
      </c>
      <c r="BA144">
        <v>638.13</v>
      </c>
      <c r="BB144">
        <v>1</v>
      </c>
      <c r="BC144">
        <v>72.019329228821434</v>
      </c>
      <c r="BD144">
        <v>1.0016354901359501</v>
      </c>
      <c r="BE144" s="63">
        <v>72.137</v>
      </c>
      <c r="BF144">
        <v>8.9176000000000002</v>
      </c>
      <c r="BG144">
        <v>1</v>
      </c>
      <c r="BH144">
        <v>5779.0176664981427</v>
      </c>
      <c r="BI144">
        <v>1.016194415745886</v>
      </c>
      <c r="BJ144" s="63">
        <v>5872.6054999999997</v>
      </c>
      <c r="BK144" s="61">
        <v>1866781.65760336</v>
      </c>
    </row>
    <row r="145" spans="1:63" x14ac:dyDescent="0.25">
      <c r="A145">
        <v>375</v>
      </c>
      <c r="B145" t="s">
        <v>138</v>
      </c>
      <c r="C145">
        <v>2017</v>
      </c>
      <c r="D145">
        <v>12</v>
      </c>
      <c r="E145" t="s">
        <v>100</v>
      </c>
      <c r="F145" t="s">
        <v>426</v>
      </c>
      <c r="G145" t="s">
        <v>427</v>
      </c>
      <c r="H145" t="s">
        <v>84</v>
      </c>
      <c r="I145" t="s">
        <v>430</v>
      </c>
      <c r="J145" t="s">
        <v>59</v>
      </c>
      <c r="K145">
        <v>-532.17418777</v>
      </c>
      <c r="L145" t="s">
        <v>59</v>
      </c>
      <c r="M145" t="s">
        <v>383</v>
      </c>
      <c r="N145">
        <v>1.01306746199944</v>
      </c>
      <c r="O145">
        <v>539.1283537457673</v>
      </c>
      <c r="P145" t="s">
        <v>440</v>
      </c>
      <c r="Q145">
        <v>2</v>
      </c>
      <c r="R145">
        <v>29.947030000000002</v>
      </c>
      <c r="S145">
        <v>0.156</v>
      </c>
      <c r="T145">
        <v>4.6717367000000003</v>
      </c>
      <c r="U145">
        <v>0.98099999999999998</v>
      </c>
      <c r="V145">
        <v>4582.9740000000002</v>
      </c>
      <c r="W145">
        <v>2</v>
      </c>
      <c r="X145">
        <v>1.09099462E-4</v>
      </c>
      <c r="Y145">
        <v>1</v>
      </c>
      <c r="Z145" s="61">
        <v>539.12835399999994</v>
      </c>
      <c r="AA145" t="s">
        <v>342</v>
      </c>
      <c r="AB145" t="s">
        <v>434</v>
      </c>
      <c r="AC145" t="s">
        <v>425</v>
      </c>
      <c r="AD145" t="s">
        <v>27</v>
      </c>
      <c r="AE145">
        <v>111.133</v>
      </c>
      <c r="AF145">
        <v>1.0155396203574489</v>
      </c>
      <c r="AG145">
        <v>112.8599646291844</v>
      </c>
      <c r="AH145">
        <v>661.2</v>
      </c>
      <c r="AI145">
        <v>1</v>
      </c>
      <c r="AJ145">
        <v>74.623008612816719</v>
      </c>
      <c r="AK145">
        <v>1.0016354901359501</v>
      </c>
      <c r="AL145" s="63">
        <v>74.745000000000005</v>
      </c>
      <c r="AM145">
        <v>8.9176000000000002</v>
      </c>
      <c r="AN145">
        <v>9.0561761184995895</v>
      </c>
      <c r="AO145">
        <v>1</v>
      </c>
      <c r="AP145">
        <v>5987.9436495519294</v>
      </c>
      <c r="AQ145">
        <v>1.016194415745886</v>
      </c>
      <c r="AR145">
        <v>6084.9148999999998</v>
      </c>
      <c r="AS145" s="61">
        <v>3280550.1542670741</v>
      </c>
      <c r="AT145" t="s">
        <v>342</v>
      </c>
      <c r="AU145" t="s">
        <v>434</v>
      </c>
      <c r="AV145" t="s">
        <v>425</v>
      </c>
      <c r="AW145" t="s">
        <v>27</v>
      </c>
      <c r="AX145">
        <v>111.133</v>
      </c>
      <c r="AY145">
        <v>1.0155396203574489</v>
      </c>
      <c r="AZ145">
        <v>112.8599646291844</v>
      </c>
      <c r="BA145">
        <v>638.13</v>
      </c>
      <c r="BB145">
        <v>1</v>
      </c>
      <c r="BC145">
        <v>72.019329228821434</v>
      </c>
      <c r="BD145">
        <v>1.0016354901359501</v>
      </c>
      <c r="BE145" s="63">
        <v>72.137</v>
      </c>
      <c r="BF145">
        <v>8.9176000000000002</v>
      </c>
      <c r="BG145">
        <v>1</v>
      </c>
      <c r="BH145">
        <v>5779.0176664981427</v>
      </c>
      <c r="BI145">
        <v>1.016194415745886</v>
      </c>
      <c r="BJ145" s="63">
        <v>5872.6054999999997</v>
      </c>
      <c r="BK145" s="61">
        <v>3166088.1369063458</v>
      </c>
    </row>
    <row r="146" spans="1:63" x14ac:dyDescent="0.25">
      <c r="A146">
        <v>393</v>
      </c>
      <c r="B146" t="s">
        <v>119</v>
      </c>
      <c r="C146">
        <v>2018</v>
      </c>
      <c r="D146">
        <v>1</v>
      </c>
      <c r="E146" t="s">
        <v>100</v>
      </c>
      <c r="F146" t="s">
        <v>426</v>
      </c>
      <c r="G146" t="s">
        <v>427</v>
      </c>
      <c r="H146" t="s">
        <v>84</v>
      </c>
      <c r="I146" t="s">
        <v>428</v>
      </c>
      <c r="J146" t="s">
        <v>381</v>
      </c>
      <c r="K146">
        <v>-2282.21465661</v>
      </c>
      <c r="L146" t="s">
        <v>381</v>
      </c>
      <c r="M146" t="s">
        <v>382</v>
      </c>
      <c r="N146">
        <v>1.4501348692960001E-2</v>
      </c>
      <c r="O146">
        <v>33.095190527685581</v>
      </c>
      <c r="P146" t="s">
        <v>440</v>
      </c>
      <c r="Q146">
        <v>2</v>
      </c>
      <c r="R146">
        <v>30.199670000000001</v>
      </c>
      <c r="S146">
        <v>9.6000000000000002E-2</v>
      </c>
      <c r="T146">
        <v>2.8991682999999999</v>
      </c>
      <c r="U146">
        <v>1.9E-2</v>
      </c>
      <c r="V146">
        <v>55.084000000000003</v>
      </c>
      <c r="W146">
        <v>2</v>
      </c>
      <c r="X146">
        <v>2.6697137E-3</v>
      </c>
      <c r="Y146">
        <v>0.29411700000000002</v>
      </c>
      <c r="Z146" s="61">
        <v>9.7338579999999997</v>
      </c>
      <c r="AA146" t="s">
        <v>342</v>
      </c>
      <c r="AB146" t="s">
        <v>434</v>
      </c>
      <c r="AC146" t="s">
        <v>425</v>
      </c>
      <c r="AD146" t="s">
        <v>81</v>
      </c>
      <c r="AE146">
        <v>111.133</v>
      </c>
      <c r="AF146">
        <v>1.0155396203574489</v>
      </c>
      <c r="AG146">
        <v>112.8599646291844</v>
      </c>
      <c r="AH146">
        <v>661.2</v>
      </c>
      <c r="AI146">
        <v>1</v>
      </c>
      <c r="AJ146">
        <v>74.623008612816719</v>
      </c>
      <c r="AK146">
        <v>0.95185525912296853</v>
      </c>
      <c r="AL146" s="63">
        <v>71.03</v>
      </c>
      <c r="AM146">
        <v>8.9176000000000002</v>
      </c>
      <c r="AN146">
        <v>9.0561761184995895</v>
      </c>
      <c r="AO146">
        <v>1</v>
      </c>
      <c r="AP146">
        <v>5987.9436495519294</v>
      </c>
      <c r="AQ146">
        <v>1.081469419077697</v>
      </c>
      <c r="AR146">
        <v>6475.7779</v>
      </c>
      <c r="AS146" s="61">
        <v>63034.302518138204</v>
      </c>
      <c r="AT146" t="s">
        <v>343</v>
      </c>
      <c r="AU146" t="s">
        <v>435</v>
      </c>
      <c r="AV146" t="s">
        <v>425</v>
      </c>
      <c r="AW146" t="s">
        <v>81</v>
      </c>
      <c r="AX146">
        <v>111.133</v>
      </c>
      <c r="AY146">
        <v>1.027287859172453</v>
      </c>
      <c r="AZ146">
        <v>114.1655816534122</v>
      </c>
      <c r="BA146">
        <v>605.53</v>
      </c>
      <c r="BB146">
        <v>1</v>
      </c>
      <c r="BC146">
        <v>69.130684658590724</v>
      </c>
      <c r="BD146">
        <v>0.92730000000000001</v>
      </c>
      <c r="BE146" s="63">
        <v>64.105000000000004</v>
      </c>
      <c r="BF146">
        <v>8.9176000000000002</v>
      </c>
      <c r="BG146">
        <v>1</v>
      </c>
      <c r="BH146">
        <v>5547.2253382114104</v>
      </c>
      <c r="BI146">
        <v>1.094557195571956</v>
      </c>
      <c r="BJ146" s="63">
        <v>6071.7554</v>
      </c>
      <c r="BK146" s="61">
        <v>59101.604874333199</v>
      </c>
    </row>
    <row r="147" spans="1:63" x14ac:dyDescent="0.25">
      <c r="A147">
        <v>393</v>
      </c>
      <c r="B147" t="s">
        <v>119</v>
      </c>
      <c r="C147">
        <v>2018</v>
      </c>
      <c r="D147">
        <v>1</v>
      </c>
      <c r="E147" t="s">
        <v>100</v>
      </c>
      <c r="F147" t="s">
        <v>426</v>
      </c>
      <c r="G147" t="s">
        <v>427</v>
      </c>
      <c r="H147" t="s">
        <v>84</v>
      </c>
      <c r="I147" t="s">
        <v>429</v>
      </c>
      <c r="J147" t="s">
        <v>87</v>
      </c>
      <c r="K147">
        <v>-664.95678799999996</v>
      </c>
      <c r="L147" t="s">
        <v>87</v>
      </c>
      <c r="M147" t="s">
        <v>382</v>
      </c>
      <c r="N147">
        <v>2.544990394672E-2</v>
      </c>
      <c r="O147">
        <v>16.92308638331945</v>
      </c>
      <c r="P147" t="s">
        <v>440</v>
      </c>
      <c r="Q147">
        <v>2</v>
      </c>
      <c r="R147">
        <v>30.199670000000001</v>
      </c>
      <c r="S147">
        <v>9.6000000000000002E-2</v>
      </c>
      <c r="T147">
        <v>2.8991682999999999</v>
      </c>
      <c r="U147">
        <v>1.9E-2</v>
      </c>
      <c r="V147">
        <v>55.084000000000003</v>
      </c>
      <c r="W147">
        <v>2</v>
      </c>
      <c r="X147">
        <v>2.6697137E-3</v>
      </c>
      <c r="Y147">
        <v>0.29411700000000002</v>
      </c>
      <c r="Z147" s="61">
        <v>4.9773670000000001</v>
      </c>
      <c r="AA147" t="s">
        <v>342</v>
      </c>
      <c r="AB147" t="s">
        <v>434</v>
      </c>
      <c r="AC147" t="s">
        <v>425</v>
      </c>
      <c r="AD147" t="s">
        <v>81</v>
      </c>
      <c r="AE147">
        <v>111.133</v>
      </c>
      <c r="AF147">
        <v>1.0155396203574489</v>
      </c>
      <c r="AG147">
        <v>112.8599646291844</v>
      </c>
      <c r="AH147">
        <v>661.2</v>
      </c>
      <c r="AI147">
        <v>1</v>
      </c>
      <c r="AJ147">
        <v>74.623008612816719</v>
      </c>
      <c r="AK147">
        <v>0.95185525912296853</v>
      </c>
      <c r="AL147" s="63">
        <v>71.03</v>
      </c>
      <c r="AM147">
        <v>8.9176000000000002</v>
      </c>
      <c r="AN147">
        <v>9.0561761184995895</v>
      </c>
      <c r="AO147">
        <v>1</v>
      </c>
      <c r="AP147">
        <v>5987.9436495519294</v>
      </c>
      <c r="AQ147">
        <v>1.081469419077697</v>
      </c>
      <c r="AR147">
        <v>6475.7779</v>
      </c>
      <c r="AS147" s="61">
        <v>32232.323218789301</v>
      </c>
      <c r="AT147" t="s">
        <v>343</v>
      </c>
      <c r="AU147" t="s">
        <v>435</v>
      </c>
      <c r="AV147" t="s">
        <v>425</v>
      </c>
      <c r="AW147" t="s">
        <v>81</v>
      </c>
      <c r="AX147">
        <v>111.133</v>
      </c>
      <c r="AY147">
        <v>1.027287859172453</v>
      </c>
      <c r="AZ147">
        <v>114.1655816534122</v>
      </c>
      <c r="BA147">
        <v>605.53</v>
      </c>
      <c r="BB147">
        <v>1</v>
      </c>
      <c r="BC147">
        <v>69.130684658590724</v>
      </c>
      <c r="BD147">
        <v>0.92730000000000001</v>
      </c>
      <c r="BE147" s="63">
        <v>64.105000000000004</v>
      </c>
      <c r="BF147">
        <v>8.9176000000000002</v>
      </c>
      <c r="BG147">
        <v>1</v>
      </c>
      <c r="BH147">
        <v>5547.2253382114104</v>
      </c>
      <c r="BI147">
        <v>1.094557195571956</v>
      </c>
      <c r="BJ147" s="63">
        <v>6071.7554</v>
      </c>
      <c r="BK147" s="61">
        <v>30221.3549600318</v>
      </c>
    </row>
    <row r="148" spans="1:63" x14ac:dyDescent="0.25">
      <c r="A148">
        <v>393</v>
      </c>
      <c r="B148" t="s">
        <v>119</v>
      </c>
      <c r="C148">
        <v>2018</v>
      </c>
      <c r="D148">
        <v>1</v>
      </c>
      <c r="E148" t="s">
        <v>100</v>
      </c>
      <c r="F148" t="s">
        <v>426</v>
      </c>
      <c r="G148" t="s">
        <v>427</v>
      </c>
      <c r="H148" t="s">
        <v>84</v>
      </c>
      <c r="I148" t="s">
        <v>430</v>
      </c>
      <c r="J148" t="s">
        <v>59</v>
      </c>
      <c r="K148">
        <v>-827.93369911000002</v>
      </c>
      <c r="L148" t="s">
        <v>59</v>
      </c>
      <c r="M148" t="s">
        <v>382</v>
      </c>
      <c r="N148">
        <v>2.575764033551E-2</v>
      </c>
      <c r="O148">
        <v>21.32561844332373</v>
      </c>
      <c r="P148" t="s">
        <v>440</v>
      </c>
      <c r="Q148">
        <v>2</v>
      </c>
      <c r="R148">
        <v>30.199670000000001</v>
      </c>
      <c r="S148">
        <v>9.6000000000000002E-2</v>
      </c>
      <c r="T148">
        <v>2.8991682999999999</v>
      </c>
      <c r="U148">
        <v>1.9E-2</v>
      </c>
      <c r="V148">
        <v>55.084000000000003</v>
      </c>
      <c r="W148">
        <v>2</v>
      </c>
      <c r="X148">
        <v>2.6697137E-3</v>
      </c>
      <c r="Y148">
        <v>0.29411700000000002</v>
      </c>
      <c r="Z148" s="61">
        <v>6.272227</v>
      </c>
      <c r="AA148" t="s">
        <v>342</v>
      </c>
      <c r="AB148" t="s">
        <v>434</v>
      </c>
      <c r="AC148" t="s">
        <v>425</v>
      </c>
      <c r="AD148" t="s">
        <v>81</v>
      </c>
      <c r="AE148">
        <v>111.133</v>
      </c>
      <c r="AF148">
        <v>1.0155396203574489</v>
      </c>
      <c r="AG148">
        <v>112.8599646291844</v>
      </c>
      <c r="AH148">
        <v>661.2</v>
      </c>
      <c r="AI148">
        <v>1</v>
      </c>
      <c r="AJ148">
        <v>74.623008612816719</v>
      </c>
      <c r="AK148">
        <v>0.95185525912296853</v>
      </c>
      <c r="AL148" s="63">
        <v>71.03</v>
      </c>
      <c r="AM148">
        <v>8.9176000000000002</v>
      </c>
      <c r="AN148">
        <v>9.0561761184995895</v>
      </c>
      <c r="AO148">
        <v>1</v>
      </c>
      <c r="AP148">
        <v>5987.9436495519294</v>
      </c>
      <c r="AQ148">
        <v>1.081469419077697</v>
      </c>
      <c r="AR148">
        <v>6475.7779</v>
      </c>
      <c r="AS148" s="61">
        <v>40617.5489903833</v>
      </c>
      <c r="AT148" t="s">
        <v>343</v>
      </c>
      <c r="AU148" t="s">
        <v>435</v>
      </c>
      <c r="AV148" t="s">
        <v>425</v>
      </c>
      <c r="AW148" t="s">
        <v>81</v>
      </c>
      <c r="AX148">
        <v>111.133</v>
      </c>
      <c r="AY148">
        <v>1.027287859172453</v>
      </c>
      <c r="AZ148">
        <v>114.1655816534122</v>
      </c>
      <c r="BA148">
        <v>605.53</v>
      </c>
      <c r="BB148">
        <v>1</v>
      </c>
      <c r="BC148">
        <v>69.130684658590724</v>
      </c>
      <c r="BD148">
        <v>0.92730000000000001</v>
      </c>
      <c r="BE148" s="63">
        <v>64.105000000000004</v>
      </c>
      <c r="BF148">
        <v>8.9176000000000002</v>
      </c>
      <c r="BG148">
        <v>1</v>
      </c>
      <c r="BH148">
        <v>5547.2253382114104</v>
      </c>
      <c r="BI148">
        <v>1.094557195571956</v>
      </c>
      <c r="BJ148" s="63">
        <v>6071.7554</v>
      </c>
      <c r="BK148" s="61">
        <v>38083.428157275797</v>
      </c>
    </row>
    <row r="149" spans="1:63" x14ac:dyDescent="0.25">
      <c r="A149">
        <v>395</v>
      </c>
      <c r="B149" t="s">
        <v>119</v>
      </c>
      <c r="C149">
        <v>2018</v>
      </c>
      <c r="D149">
        <v>1</v>
      </c>
      <c r="E149" t="s">
        <v>100</v>
      </c>
      <c r="F149" t="s">
        <v>426</v>
      </c>
      <c r="G149" t="s">
        <v>427</v>
      </c>
      <c r="H149" t="s">
        <v>84</v>
      </c>
      <c r="I149" t="s">
        <v>428</v>
      </c>
      <c r="J149" t="s">
        <v>381</v>
      </c>
      <c r="K149">
        <v>-2282.21465661</v>
      </c>
      <c r="L149" t="s">
        <v>381</v>
      </c>
      <c r="M149" t="s">
        <v>383</v>
      </c>
      <c r="N149">
        <v>0.99957897948762997</v>
      </c>
      <c r="O149">
        <v>2281.2537974259362</v>
      </c>
      <c r="P149" t="s">
        <v>440</v>
      </c>
      <c r="Q149">
        <v>2</v>
      </c>
      <c r="R149">
        <v>30.199670000000001</v>
      </c>
      <c r="S149">
        <v>9.6000000000000002E-2</v>
      </c>
      <c r="T149">
        <v>2.8991682999999999</v>
      </c>
      <c r="U149">
        <v>0.98099999999999998</v>
      </c>
      <c r="V149">
        <v>2844.0839999999998</v>
      </c>
      <c r="W149">
        <v>2</v>
      </c>
      <c r="X149">
        <v>5.1706918E-5</v>
      </c>
      <c r="Y149">
        <v>0.29411799999999999</v>
      </c>
      <c r="Z149" s="61">
        <v>670.95780400000001</v>
      </c>
      <c r="AA149" t="s">
        <v>342</v>
      </c>
      <c r="AB149" t="s">
        <v>434</v>
      </c>
      <c r="AC149" t="s">
        <v>425</v>
      </c>
      <c r="AD149" t="s">
        <v>27</v>
      </c>
      <c r="AE149">
        <v>111.133</v>
      </c>
      <c r="AF149">
        <v>1.0155396203574489</v>
      </c>
      <c r="AG149">
        <v>112.8599646291844</v>
      </c>
      <c r="AH149">
        <v>661.2</v>
      </c>
      <c r="AI149">
        <v>1</v>
      </c>
      <c r="AJ149">
        <v>74.623008612816719</v>
      </c>
      <c r="AK149">
        <v>1.0016354901359501</v>
      </c>
      <c r="AL149" s="63">
        <v>74.745000000000005</v>
      </c>
      <c r="AM149">
        <v>8.9176000000000002</v>
      </c>
      <c r="AN149">
        <v>9.0561761184995895</v>
      </c>
      <c r="AO149">
        <v>1</v>
      </c>
      <c r="AP149">
        <v>5987.9436495519294</v>
      </c>
      <c r="AQ149">
        <v>1.016194415745886</v>
      </c>
      <c r="AR149">
        <v>6084.9148999999998</v>
      </c>
      <c r="AS149" s="61">
        <v>4082721.1388308802</v>
      </c>
      <c r="AT149" t="s">
        <v>343</v>
      </c>
      <c r="AU149" t="s">
        <v>435</v>
      </c>
      <c r="AV149" t="s">
        <v>425</v>
      </c>
      <c r="AW149" t="s">
        <v>27</v>
      </c>
      <c r="AX149">
        <v>111.133</v>
      </c>
      <c r="AY149">
        <v>1.027287859172453</v>
      </c>
      <c r="AZ149">
        <v>114.1655816534122</v>
      </c>
      <c r="BA149">
        <v>605.53</v>
      </c>
      <c r="BB149">
        <v>1</v>
      </c>
      <c r="BC149">
        <v>69.130684658590724</v>
      </c>
      <c r="BD149">
        <v>0.95599999999999996</v>
      </c>
      <c r="BE149" s="63">
        <v>66.088999999999999</v>
      </c>
      <c r="BF149">
        <v>8.9176000000000002</v>
      </c>
      <c r="BG149">
        <v>1</v>
      </c>
      <c r="BH149">
        <v>5547.2253382114104</v>
      </c>
      <c r="BI149">
        <v>1.0027686628383921</v>
      </c>
      <c r="BJ149" s="63">
        <v>5562.5837000000001</v>
      </c>
      <c r="BK149" s="61">
        <v>3732258.9439181951</v>
      </c>
    </row>
    <row r="150" spans="1:63" x14ac:dyDescent="0.25">
      <c r="A150">
        <v>395</v>
      </c>
      <c r="B150" t="s">
        <v>119</v>
      </c>
      <c r="C150">
        <v>2018</v>
      </c>
      <c r="D150">
        <v>1</v>
      </c>
      <c r="E150" t="s">
        <v>100</v>
      </c>
      <c r="F150" t="s">
        <v>426</v>
      </c>
      <c r="G150" t="s">
        <v>427</v>
      </c>
      <c r="H150" t="s">
        <v>84</v>
      </c>
      <c r="I150" t="s">
        <v>429</v>
      </c>
      <c r="J150" t="s">
        <v>87</v>
      </c>
      <c r="K150">
        <v>-664.95678799999996</v>
      </c>
      <c r="L150" t="s">
        <v>87</v>
      </c>
      <c r="M150" t="s">
        <v>383</v>
      </c>
      <c r="N150">
        <v>0.96098048160807004</v>
      </c>
      <c r="O150">
        <v>639.01049438079531</v>
      </c>
      <c r="P150" t="s">
        <v>440</v>
      </c>
      <c r="Q150">
        <v>2</v>
      </c>
      <c r="R150">
        <v>30.199670000000001</v>
      </c>
      <c r="S150">
        <v>9.6000000000000002E-2</v>
      </c>
      <c r="T150">
        <v>2.8991682999999999</v>
      </c>
      <c r="U150">
        <v>0.98099999999999998</v>
      </c>
      <c r="V150">
        <v>2844.0839999999998</v>
      </c>
      <c r="W150">
        <v>2</v>
      </c>
      <c r="X150">
        <v>5.1706918E-5</v>
      </c>
      <c r="Y150">
        <v>0.29411799999999999</v>
      </c>
      <c r="Z150" s="61">
        <v>187.944489</v>
      </c>
      <c r="AA150" t="s">
        <v>342</v>
      </c>
      <c r="AB150" t="s">
        <v>434</v>
      </c>
      <c r="AC150" t="s">
        <v>425</v>
      </c>
      <c r="AD150" t="s">
        <v>27</v>
      </c>
      <c r="AE150">
        <v>111.133</v>
      </c>
      <c r="AF150">
        <v>1.0155396203574489</v>
      </c>
      <c r="AG150">
        <v>112.8599646291844</v>
      </c>
      <c r="AH150">
        <v>661.2</v>
      </c>
      <c r="AI150">
        <v>1</v>
      </c>
      <c r="AJ150">
        <v>74.623008612816719</v>
      </c>
      <c r="AK150">
        <v>1.0016354901359501</v>
      </c>
      <c r="AL150" s="63">
        <v>74.745000000000005</v>
      </c>
      <c r="AM150">
        <v>8.9176000000000002</v>
      </c>
      <c r="AN150">
        <v>9.0561761184995895</v>
      </c>
      <c r="AO150">
        <v>1</v>
      </c>
      <c r="AP150">
        <v>5987.9436495519294</v>
      </c>
      <c r="AQ150">
        <v>1.016194415745886</v>
      </c>
      <c r="AR150">
        <v>6084.9148999999998</v>
      </c>
      <c r="AS150" s="61">
        <v>1143626.2214889859</v>
      </c>
      <c r="AT150" t="s">
        <v>343</v>
      </c>
      <c r="AU150" t="s">
        <v>435</v>
      </c>
      <c r="AV150" t="s">
        <v>425</v>
      </c>
      <c r="AW150" t="s">
        <v>27</v>
      </c>
      <c r="AX150">
        <v>111.133</v>
      </c>
      <c r="AY150">
        <v>1.027287859172453</v>
      </c>
      <c r="AZ150">
        <v>114.1655816534122</v>
      </c>
      <c r="BA150">
        <v>605.53</v>
      </c>
      <c r="BB150">
        <v>1</v>
      </c>
      <c r="BC150">
        <v>69.130684658590724</v>
      </c>
      <c r="BD150">
        <v>0.95599999999999996</v>
      </c>
      <c r="BE150" s="63">
        <v>66.088999999999999</v>
      </c>
      <c r="BF150">
        <v>8.9176000000000002</v>
      </c>
      <c r="BG150">
        <v>1</v>
      </c>
      <c r="BH150">
        <v>5547.2253382114104</v>
      </c>
      <c r="BI150">
        <v>1.0027686628383921</v>
      </c>
      <c r="BJ150" s="63">
        <v>5562.5837000000001</v>
      </c>
      <c r="BK150" s="61">
        <v>1045456.951016229</v>
      </c>
    </row>
    <row r="151" spans="1:63" x14ac:dyDescent="0.25">
      <c r="A151">
        <v>395</v>
      </c>
      <c r="B151" t="s">
        <v>119</v>
      </c>
      <c r="C151">
        <v>2018</v>
      </c>
      <c r="D151">
        <v>1</v>
      </c>
      <c r="E151" t="s">
        <v>100</v>
      </c>
      <c r="F151" t="s">
        <v>426</v>
      </c>
      <c r="G151" t="s">
        <v>427</v>
      </c>
      <c r="H151" t="s">
        <v>84</v>
      </c>
      <c r="I151" t="s">
        <v>430</v>
      </c>
      <c r="J151" t="s">
        <v>59</v>
      </c>
      <c r="K151">
        <v>-827.93369911000002</v>
      </c>
      <c r="L151" t="s">
        <v>59</v>
      </c>
      <c r="M151" t="s">
        <v>383</v>
      </c>
      <c r="N151">
        <v>0.98832268784499</v>
      </c>
      <c r="O151">
        <v>818.26565886184039</v>
      </c>
      <c r="P151" t="s">
        <v>440</v>
      </c>
      <c r="Q151">
        <v>2</v>
      </c>
      <c r="R151">
        <v>30.199670000000001</v>
      </c>
      <c r="S151">
        <v>9.6000000000000002E-2</v>
      </c>
      <c r="T151">
        <v>2.8991682999999999</v>
      </c>
      <c r="U151">
        <v>0.98099999999999998</v>
      </c>
      <c r="V151">
        <v>2844.0839999999998</v>
      </c>
      <c r="W151">
        <v>2</v>
      </c>
      <c r="X151">
        <v>5.1706918E-5</v>
      </c>
      <c r="Y151">
        <v>0.29411799999999999</v>
      </c>
      <c r="Z151" s="61">
        <v>240.66665900000001</v>
      </c>
      <c r="AA151" t="s">
        <v>342</v>
      </c>
      <c r="AB151" t="s">
        <v>434</v>
      </c>
      <c r="AC151" t="s">
        <v>425</v>
      </c>
      <c r="AD151" t="s">
        <v>27</v>
      </c>
      <c r="AE151">
        <v>111.133</v>
      </c>
      <c r="AF151">
        <v>1.0155396203574489</v>
      </c>
      <c r="AG151">
        <v>112.8599646291844</v>
      </c>
      <c r="AH151">
        <v>661.2</v>
      </c>
      <c r="AI151">
        <v>1</v>
      </c>
      <c r="AJ151">
        <v>74.623008612816719</v>
      </c>
      <c r="AK151">
        <v>1.0016354901359501</v>
      </c>
      <c r="AL151" s="63">
        <v>74.745000000000005</v>
      </c>
      <c r="AM151">
        <v>8.9176000000000002</v>
      </c>
      <c r="AN151">
        <v>9.0561761184995895</v>
      </c>
      <c r="AO151">
        <v>1</v>
      </c>
      <c r="AP151">
        <v>5987.9436495519294</v>
      </c>
      <c r="AQ151">
        <v>1.016194415745886</v>
      </c>
      <c r="AR151">
        <v>6084.9148999999998</v>
      </c>
      <c r="AS151" s="61">
        <v>1464436.139282319</v>
      </c>
      <c r="AT151" t="s">
        <v>343</v>
      </c>
      <c r="AU151" t="s">
        <v>435</v>
      </c>
      <c r="AV151" t="s">
        <v>425</v>
      </c>
      <c r="AW151" t="s">
        <v>27</v>
      </c>
      <c r="AX151">
        <v>111.133</v>
      </c>
      <c r="AY151">
        <v>1.027287859172453</v>
      </c>
      <c r="AZ151">
        <v>114.1655816534122</v>
      </c>
      <c r="BA151">
        <v>605.53</v>
      </c>
      <c r="BB151">
        <v>1</v>
      </c>
      <c r="BC151">
        <v>69.130684658590724</v>
      </c>
      <c r="BD151">
        <v>0.95599999999999996</v>
      </c>
      <c r="BE151" s="63">
        <v>66.088999999999999</v>
      </c>
      <c r="BF151">
        <v>8.9176000000000002</v>
      </c>
      <c r="BG151">
        <v>1</v>
      </c>
      <c r="BH151">
        <v>5547.2253382114104</v>
      </c>
      <c r="BI151">
        <v>1.0027686628383921</v>
      </c>
      <c r="BJ151" s="63">
        <v>5562.5837000000001</v>
      </c>
      <c r="BK151" s="61">
        <v>1338728.4344868581</v>
      </c>
    </row>
    <row r="152" spans="1:63" x14ac:dyDescent="0.25">
      <c r="A152">
        <v>413</v>
      </c>
      <c r="B152" t="s">
        <v>117</v>
      </c>
      <c r="C152">
        <v>2018</v>
      </c>
      <c r="D152">
        <v>2</v>
      </c>
      <c r="E152" t="s">
        <v>100</v>
      </c>
      <c r="F152" t="s">
        <v>426</v>
      </c>
      <c r="G152" t="s">
        <v>427</v>
      </c>
      <c r="H152" t="s">
        <v>84</v>
      </c>
      <c r="I152" t="s">
        <v>428</v>
      </c>
      <c r="J152" t="s">
        <v>381</v>
      </c>
      <c r="K152">
        <v>-2369.4829982599999</v>
      </c>
      <c r="L152" t="s">
        <v>381</v>
      </c>
      <c r="M152" t="s">
        <v>382</v>
      </c>
      <c r="N152">
        <v>1.4811418028679999E-2</v>
      </c>
      <c r="O152">
        <v>35.095403199078909</v>
      </c>
      <c r="P152" t="s">
        <v>440</v>
      </c>
      <c r="Q152">
        <v>2</v>
      </c>
      <c r="R152">
        <v>30.199670000000001</v>
      </c>
      <c r="S152">
        <v>0.111</v>
      </c>
      <c r="T152">
        <v>3.3521633999999998</v>
      </c>
      <c r="U152">
        <v>1.9E-2</v>
      </c>
      <c r="V152">
        <v>63.691000000000003</v>
      </c>
      <c r="W152">
        <v>2</v>
      </c>
      <c r="X152">
        <v>2.308940912E-3</v>
      </c>
      <c r="Y152">
        <v>0.29411799999999999</v>
      </c>
      <c r="Z152" s="61">
        <v>10.322190000000001</v>
      </c>
      <c r="AA152" t="s">
        <v>342</v>
      </c>
      <c r="AB152" t="s">
        <v>434</v>
      </c>
      <c r="AC152" t="s">
        <v>425</v>
      </c>
      <c r="AD152" t="s">
        <v>81</v>
      </c>
      <c r="AE152">
        <v>111.133</v>
      </c>
      <c r="AF152">
        <v>1.0155396203574489</v>
      </c>
      <c r="AG152">
        <v>112.8599646291844</v>
      </c>
      <c r="AH152">
        <v>661.2</v>
      </c>
      <c r="AI152">
        <v>1</v>
      </c>
      <c r="AJ152">
        <v>74.623008612816719</v>
      </c>
      <c r="AK152">
        <v>0.95185525912296853</v>
      </c>
      <c r="AL152" s="63">
        <v>71.03</v>
      </c>
      <c r="AM152">
        <v>8.9176000000000002</v>
      </c>
      <c r="AN152">
        <v>9.0561761184995895</v>
      </c>
      <c r="AO152">
        <v>1</v>
      </c>
      <c r="AP152">
        <v>5987.9436495519294</v>
      </c>
      <c r="AQ152">
        <v>1.081469419077697</v>
      </c>
      <c r="AR152">
        <v>6475.7779</v>
      </c>
      <c r="AS152" s="61">
        <v>66844.209881601011</v>
      </c>
      <c r="AT152" t="s">
        <v>343</v>
      </c>
      <c r="AU152" t="s">
        <v>435</v>
      </c>
      <c r="AV152" t="s">
        <v>425</v>
      </c>
      <c r="AW152" t="s">
        <v>81</v>
      </c>
      <c r="AX152">
        <v>111.133</v>
      </c>
      <c r="AY152">
        <v>1.027287859172453</v>
      </c>
      <c r="AZ152">
        <v>114.1655816534122</v>
      </c>
      <c r="BA152">
        <v>596.84</v>
      </c>
      <c r="BB152">
        <v>1</v>
      </c>
      <c r="BC152">
        <v>68.138585754022571</v>
      </c>
      <c r="BD152">
        <v>0.92730000000000001</v>
      </c>
      <c r="BE152" s="63">
        <v>63.185000000000002</v>
      </c>
      <c r="BF152">
        <v>8.9176000000000002</v>
      </c>
      <c r="BG152">
        <v>1</v>
      </c>
      <c r="BH152">
        <v>5467.6167503808201</v>
      </c>
      <c r="BI152">
        <v>1.094557195571956</v>
      </c>
      <c r="BJ152" s="63">
        <v>5984.6193000000003</v>
      </c>
      <c r="BK152" s="61">
        <v>61774.377492267013</v>
      </c>
    </row>
    <row r="153" spans="1:63" x14ac:dyDescent="0.25">
      <c r="A153">
        <v>413</v>
      </c>
      <c r="B153" t="s">
        <v>117</v>
      </c>
      <c r="C153">
        <v>2018</v>
      </c>
      <c r="D153">
        <v>2</v>
      </c>
      <c r="E153" t="s">
        <v>100</v>
      </c>
      <c r="F153" t="s">
        <v>426</v>
      </c>
      <c r="G153" t="s">
        <v>427</v>
      </c>
      <c r="H153" t="s">
        <v>84</v>
      </c>
      <c r="I153" t="s">
        <v>429</v>
      </c>
      <c r="J153" t="s">
        <v>87</v>
      </c>
      <c r="K153">
        <v>-647.01975331000006</v>
      </c>
      <c r="L153" t="s">
        <v>87</v>
      </c>
      <c r="M153" t="s">
        <v>382</v>
      </c>
      <c r="N153">
        <v>2.6722698260090001E-2</v>
      </c>
      <c r="O153">
        <v>17.290113636021001</v>
      </c>
      <c r="P153" t="s">
        <v>440</v>
      </c>
      <c r="Q153">
        <v>2</v>
      </c>
      <c r="R153">
        <v>30.199670000000001</v>
      </c>
      <c r="S153">
        <v>0.111</v>
      </c>
      <c r="T153">
        <v>3.3521633999999998</v>
      </c>
      <c r="U153">
        <v>1.9E-2</v>
      </c>
      <c r="V153">
        <v>63.691000000000003</v>
      </c>
      <c r="W153">
        <v>2</v>
      </c>
      <c r="X153">
        <v>2.308940912E-3</v>
      </c>
      <c r="Y153">
        <v>0.29411799999999999</v>
      </c>
      <c r="Z153" s="61">
        <v>5.0853339999999996</v>
      </c>
      <c r="AA153" t="s">
        <v>342</v>
      </c>
      <c r="AB153" t="s">
        <v>434</v>
      </c>
      <c r="AC153" t="s">
        <v>425</v>
      </c>
      <c r="AD153" t="s">
        <v>81</v>
      </c>
      <c r="AE153">
        <v>111.133</v>
      </c>
      <c r="AF153">
        <v>1.0155396203574489</v>
      </c>
      <c r="AG153">
        <v>112.8599646291844</v>
      </c>
      <c r="AH153">
        <v>661.2</v>
      </c>
      <c r="AI153">
        <v>1</v>
      </c>
      <c r="AJ153">
        <v>74.623008612816719</v>
      </c>
      <c r="AK153">
        <v>0.95185525912296853</v>
      </c>
      <c r="AL153" s="63">
        <v>71.03</v>
      </c>
      <c r="AM153">
        <v>8.9176000000000002</v>
      </c>
      <c r="AN153">
        <v>9.0561761184995895</v>
      </c>
      <c r="AO153">
        <v>1</v>
      </c>
      <c r="AP153">
        <v>5987.9436495519294</v>
      </c>
      <c r="AQ153">
        <v>1.081469419077697</v>
      </c>
      <c r="AR153">
        <v>6475.7779</v>
      </c>
      <c r="AS153" s="61">
        <v>32931.4935313186</v>
      </c>
      <c r="AT153" t="s">
        <v>343</v>
      </c>
      <c r="AU153" t="s">
        <v>435</v>
      </c>
      <c r="AV153" t="s">
        <v>425</v>
      </c>
      <c r="AW153" t="s">
        <v>81</v>
      </c>
      <c r="AX153">
        <v>111.133</v>
      </c>
      <c r="AY153">
        <v>1.027287859172453</v>
      </c>
      <c r="AZ153">
        <v>114.1655816534122</v>
      </c>
      <c r="BA153">
        <v>596.84</v>
      </c>
      <c r="BB153">
        <v>1</v>
      </c>
      <c r="BC153">
        <v>68.138585754022571</v>
      </c>
      <c r="BD153">
        <v>0.92730000000000001</v>
      </c>
      <c r="BE153" s="63">
        <v>63.185000000000002</v>
      </c>
      <c r="BF153">
        <v>8.9176000000000002</v>
      </c>
      <c r="BG153">
        <v>1</v>
      </c>
      <c r="BH153">
        <v>5467.6167503808201</v>
      </c>
      <c r="BI153">
        <v>1.094557195571956</v>
      </c>
      <c r="BJ153" s="63">
        <v>5984.6193000000003</v>
      </c>
      <c r="BK153" s="61">
        <v>30433.788003346199</v>
      </c>
    </row>
    <row r="154" spans="1:63" x14ac:dyDescent="0.25">
      <c r="A154">
        <v>413</v>
      </c>
      <c r="B154" t="s">
        <v>117</v>
      </c>
      <c r="C154">
        <v>2018</v>
      </c>
      <c r="D154">
        <v>2</v>
      </c>
      <c r="E154" t="s">
        <v>100</v>
      </c>
      <c r="F154" t="s">
        <v>426</v>
      </c>
      <c r="G154" t="s">
        <v>427</v>
      </c>
      <c r="H154" t="s">
        <v>84</v>
      </c>
      <c r="I154" t="s">
        <v>430</v>
      </c>
      <c r="J154" t="s">
        <v>59</v>
      </c>
      <c r="K154">
        <v>-825.06151541999998</v>
      </c>
      <c r="L154" t="s">
        <v>59</v>
      </c>
      <c r="M154" t="s">
        <v>382</v>
      </c>
      <c r="N154">
        <v>2.630839286232E-2</v>
      </c>
      <c r="O154">
        <v>21.706042483250449</v>
      </c>
      <c r="P154" t="s">
        <v>440</v>
      </c>
      <c r="Q154">
        <v>2</v>
      </c>
      <c r="R154">
        <v>30.199670000000001</v>
      </c>
      <c r="S154">
        <v>0.111</v>
      </c>
      <c r="T154">
        <v>3.3521633999999998</v>
      </c>
      <c r="U154">
        <v>1.9E-2</v>
      </c>
      <c r="V154">
        <v>63.691000000000003</v>
      </c>
      <c r="W154">
        <v>2</v>
      </c>
      <c r="X154">
        <v>2.308940912E-3</v>
      </c>
      <c r="Y154">
        <v>0.29411799999999999</v>
      </c>
      <c r="Z154" s="61">
        <v>6.3841380000000001</v>
      </c>
      <c r="AA154" t="s">
        <v>342</v>
      </c>
      <c r="AB154" t="s">
        <v>434</v>
      </c>
      <c r="AC154" t="s">
        <v>425</v>
      </c>
      <c r="AD154" t="s">
        <v>81</v>
      </c>
      <c r="AE154">
        <v>111.133</v>
      </c>
      <c r="AF154">
        <v>1.0155396203574489</v>
      </c>
      <c r="AG154">
        <v>112.8599646291844</v>
      </c>
      <c r="AH154">
        <v>661.2</v>
      </c>
      <c r="AI154">
        <v>1</v>
      </c>
      <c r="AJ154">
        <v>74.623008612816719</v>
      </c>
      <c r="AK154">
        <v>0.95185525912296853</v>
      </c>
      <c r="AL154" s="63">
        <v>71.03</v>
      </c>
      <c r="AM154">
        <v>8.9176000000000002</v>
      </c>
      <c r="AN154">
        <v>9.0561761184995895</v>
      </c>
      <c r="AO154">
        <v>1</v>
      </c>
      <c r="AP154">
        <v>5987.9436495519294</v>
      </c>
      <c r="AQ154">
        <v>1.081469419077697</v>
      </c>
      <c r="AR154">
        <v>6475.7779</v>
      </c>
      <c r="AS154" s="61">
        <v>41342.259770950201</v>
      </c>
      <c r="AT154" t="s">
        <v>343</v>
      </c>
      <c r="AU154" t="s">
        <v>435</v>
      </c>
      <c r="AV154" t="s">
        <v>425</v>
      </c>
      <c r="AW154" t="s">
        <v>81</v>
      </c>
      <c r="AX154">
        <v>111.133</v>
      </c>
      <c r="AY154">
        <v>1.027287859172453</v>
      </c>
      <c r="AZ154">
        <v>114.1655816534122</v>
      </c>
      <c r="BA154">
        <v>596.84</v>
      </c>
      <c r="BB154">
        <v>1</v>
      </c>
      <c r="BC154">
        <v>68.138585754022571</v>
      </c>
      <c r="BD154">
        <v>0.92730000000000001</v>
      </c>
      <c r="BE154" s="63">
        <v>63.185000000000002</v>
      </c>
      <c r="BF154">
        <v>8.9176000000000002</v>
      </c>
      <c r="BG154">
        <v>1</v>
      </c>
      <c r="BH154">
        <v>5467.6167503808201</v>
      </c>
      <c r="BI154">
        <v>1.094557195571956</v>
      </c>
      <c r="BJ154" s="63">
        <v>5984.6193000000003</v>
      </c>
      <c r="BK154" s="61">
        <v>38206.6354886634</v>
      </c>
    </row>
    <row r="155" spans="1:63" x14ac:dyDescent="0.25">
      <c r="A155">
        <v>415</v>
      </c>
      <c r="B155" t="s">
        <v>117</v>
      </c>
      <c r="C155">
        <v>2018</v>
      </c>
      <c r="D155">
        <v>2</v>
      </c>
      <c r="E155" t="s">
        <v>100</v>
      </c>
      <c r="F155" t="s">
        <v>426</v>
      </c>
      <c r="G155" t="s">
        <v>427</v>
      </c>
      <c r="H155" t="s">
        <v>84</v>
      </c>
      <c r="I155" t="s">
        <v>428</v>
      </c>
      <c r="J155" t="s">
        <v>381</v>
      </c>
      <c r="K155">
        <v>-2369.4829982599999</v>
      </c>
      <c r="L155" t="s">
        <v>381</v>
      </c>
      <c r="M155" t="s">
        <v>383</v>
      </c>
      <c r="N155">
        <v>1.0209520804776899</v>
      </c>
      <c r="O155">
        <v>2419.128596730061</v>
      </c>
      <c r="P155" t="s">
        <v>440</v>
      </c>
      <c r="Q155">
        <v>2</v>
      </c>
      <c r="R155">
        <v>30.199670000000001</v>
      </c>
      <c r="S155">
        <v>0.111</v>
      </c>
      <c r="T155">
        <v>3.3521633999999998</v>
      </c>
      <c r="U155">
        <v>0.98099999999999998</v>
      </c>
      <c r="V155">
        <v>3288.4720000000002</v>
      </c>
      <c r="W155">
        <v>2</v>
      </c>
      <c r="X155">
        <v>4.4719497000000003E-5</v>
      </c>
      <c r="Y155">
        <v>0.29411799999999999</v>
      </c>
      <c r="Z155" s="61">
        <v>711.50926500000003</v>
      </c>
      <c r="AA155" t="s">
        <v>342</v>
      </c>
      <c r="AB155" t="s">
        <v>434</v>
      </c>
      <c r="AC155" t="s">
        <v>425</v>
      </c>
      <c r="AD155" t="s">
        <v>27</v>
      </c>
      <c r="AE155">
        <v>111.133</v>
      </c>
      <c r="AF155">
        <v>1.0155396203574489</v>
      </c>
      <c r="AG155">
        <v>112.8599646291844</v>
      </c>
      <c r="AH155">
        <v>661.2</v>
      </c>
      <c r="AI155">
        <v>1</v>
      </c>
      <c r="AJ155">
        <v>74.623008612816719</v>
      </c>
      <c r="AK155">
        <v>1.0016354901359501</v>
      </c>
      <c r="AL155" s="63">
        <v>74.745000000000005</v>
      </c>
      <c r="AM155">
        <v>8.9176000000000002</v>
      </c>
      <c r="AN155">
        <v>9.0561761184995895</v>
      </c>
      <c r="AO155">
        <v>1</v>
      </c>
      <c r="AP155">
        <v>5987.9436495519294</v>
      </c>
      <c r="AQ155">
        <v>1.016194415745886</v>
      </c>
      <c r="AR155">
        <v>6084.9148999999998</v>
      </c>
      <c r="AS155" s="61">
        <v>4329473.3280865476</v>
      </c>
      <c r="AT155" t="s">
        <v>343</v>
      </c>
      <c r="AU155" t="s">
        <v>435</v>
      </c>
      <c r="AV155" t="s">
        <v>425</v>
      </c>
      <c r="AW155" t="s">
        <v>27</v>
      </c>
      <c r="AX155">
        <v>111.133</v>
      </c>
      <c r="AY155">
        <v>1.027287859172453</v>
      </c>
      <c r="AZ155">
        <v>114.1655816534122</v>
      </c>
      <c r="BA155">
        <v>596.84</v>
      </c>
      <c r="BB155">
        <v>1</v>
      </c>
      <c r="BC155">
        <v>68.138585754022571</v>
      </c>
      <c r="BD155">
        <v>0.95599999999999996</v>
      </c>
      <c r="BE155" s="63">
        <v>65.14</v>
      </c>
      <c r="BF155">
        <v>8.9176000000000002</v>
      </c>
      <c r="BG155">
        <v>1</v>
      </c>
      <c r="BH155">
        <v>5467.6167503808201</v>
      </c>
      <c r="BI155">
        <v>1.0027686628383921</v>
      </c>
      <c r="BJ155" s="63">
        <v>5482.7547000000004</v>
      </c>
      <c r="BK155" s="61">
        <v>3901030.7667722958</v>
      </c>
    </row>
    <row r="156" spans="1:63" x14ac:dyDescent="0.25">
      <c r="A156">
        <v>415</v>
      </c>
      <c r="B156" t="s">
        <v>117</v>
      </c>
      <c r="C156">
        <v>2018</v>
      </c>
      <c r="D156">
        <v>2</v>
      </c>
      <c r="E156" t="s">
        <v>100</v>
      </c>
      <c r="F156" t="s">
        <v>426</v>
      </c>
      <c r="G156" t="s">
        <v>427</v>
      </c>
      <c r="H156" t="s">
        <v>84</v>
      </c>
      <c r="I156" t="s">
        <v>429</v>
      </c>
      <c r="J156" t="s">
        <v>87</v>
      </c>
      <c r="K156">
        <v>-647.01975331000006</v>
      </c>
      <c r="L156" t="s">
        <v>87</v>
      </c>
      <c r="M156" t="s">
        <v>383</v>
      </c>
      <c r="N156">
        <v>1.0090408002436699</v>
      </c>
      <c r="O156">
        <v>652.8693296533844</v>
      </c>
      <c r="P156" t="s">
        <v>440</v>
      </c>
      <c r="Q156">
        <v>2</v>
      </c>
      <c r="R156">
        <v>30.199670000000001</v>
      </c>
      <c r="S156">
        <v>0.111</v>
      </c>
      <c r="T156">
        <v>3.3521633999999998</v>
      </c>
      <c r="U156">
        <v>0.98099999999999998</v>
      </c>
      <c r="V156">
        <v>3288.4720000000002</v>
      </c>
      <c r="W156">
        <v>2</v>
      </c>
      <c r="X156">
        <v>4.4719497000000003E-5</v>
      </c>
      <c r="Y156">
        <v>0.29411799999999999</v>
      </c>
      <c r="Z156" s="61">
        <v>192.02062100000001</v>
      </c>
      <c r="AA156" t="s">
        <v>342</v>
      </c>
      <c r="AB156" t="s">
        <v>434</v>
      </c>
      <c r="AC156" t="s">
        <v>425</v>
      </c>
      <c r="AD156" t="s">
        <v>27</v>
      </c>
      <c r="AE156">
        <v>111.133</v>
      </c>
      <c r="AF156">
        <v>1.0155396203574489</v>
      </c>
      <c r="AG156">
        <v>112.8599646291844</v>
      </c>
      <c r="AH156">
        <v>661.2</v>
      </c>
      <c r="AI156">
        <v>1</v>
      </c>
      <c r="AJ156">
        <v>74.623008612816719</v>
      </c>
      <c r="AK156">
        <v>1.0016354901359501</v>
      </c>
      <c r="AL156" s="63">
        <v>74.745000000000005</v>
      </c>
      <c r="AM156">
        <v>8.9176000000000002</v>
      </c>
      <c r="AN156">
        <v>9.0561761184995895</v>
      </c>
      <c r="AO156">
        <v>1</v>
      </c>
      <c r="AP156">
        <v>5987.9436495519294</v>
      </c>
      <c r="AQ156">
        <v>1.016194415745886</v>
      </c>
      <c r="AR156">
        <v>6084.9148999999998</v>
      </c>
      <c r="AS156" s="61">
        <v>1168429.1378301531</v>
      </c>
      <c r="AT156" t="s">
        <v>343</v>
      </c>
      <c r="AU156" t="s">
        <v>435</v>
      </c>
      <c r="AV156" t="s">
        <v>425</v>
      </c>
      <c r="AW156" t="s">
        <v>27</v>
      </c>
      <c r="AX156">
        <v>111.133</v>
      </c>
      <c r="AY156">
        <v>1.027287859172453</v>
      </c>
      <c r="AZ156">
        <v>114.1655816534122</v>
      </c>
      <c r="BA156">
        <v>596.84</v>
      </c>
      <c r="BB156">
        <v>1</v>
      </c>
      <c r="BC156">
        <v>68.138585754022571</v>
      </c>
      <c r="BD156">
        <v>0.95599999999999996</v>
      </c>
      <c r="BE156" s="63">
        <v>65.14</v>
      </c>
      <c r="BF156">
        <v>8.9176000000000002</v>
      </c>
      <c r="BG156">
        <v>1</v>
      </c>
      <c r="BH156">
        <v>5467.6167503808201</v>
      </c>
      <c r="BI156">
        <v>1.0027686628383921</v>
      </c>
      <c r="BJ156" s="63">
        <v>5482.7547000000004</v>
      </c>
      <c r="BK156" s="61">
        <v>1052801.962284669</v>
      </c>
    </row>
    <row r="157" spans="1:63" x14ac:dyDescent="0.25">
      <c r="A157">
        <v>415</v>
      </c>
      <c r="B157" t="s">
        <v>117</v>
      </c>
      <c r="C157">
        <v>2018</v>
      </c>
      <c r="D157">
        <v>2</v>
      </c>
      <c r="E157" t="s">
        <v>100</v>
      </c>
      <c r="F157" t="s">
        <v>426</v>
      </c>
      <c r="G157" t="s">
        <v>427</v>
      </c>
      <c r="H157" t="s">
        <v>84</v>
      </c>
      <c r="I157" t="s">
        <v>430</v>
      </c>
      <c r="J157" t="s">
        <v>59</v>
      </c>
      <c r="K157">
        <v>-825.06151541999998</v>
      </c>
      <c r="L157" t="s">
        <v>59</v>
      </c>
      <c r="M157" t="s">
        <v>383</v>
      </c>
      <c r="N157">
        <v>1.00945510564455</v>
      </c>
      <c r="O157">
        <v>832.86255921154861</v>
      </c>
      <c r="P157" t="s">
        <v>440</v>
      </c>
      <c r="Q157">
        <v>2</v>
      </c>
      <c r="R157">
        <v>30.199670000000001</v>
      </c>
      <c r="S157">
        <v>0.111</v>
      </c>
      <c r="T157">
        <v>3.3521633999999998</v>
      </c>
      <c r="U157">
        <v>0.98099999999999998</v>
      </c>
      <c r="V157">
        <v>3288.4720000000002</v>
      </c>
      <c r="W157">
        <v>2</v>
      </c>
      <c r="X157">
        <v>4.4719497000000003E-5</v>
      </c>
      <c r="Y157">
        <v>0.29411799999999999</v>
      </c>
      <c r="Z157" s="61">
        <v>244.95987</v>
      </c>
      <c r="AA157" t="s">
        <v>342</v>
      </c>
      <c r="AB157" t="s">
        <v>434</v>
      </c>
      <c r="AC157" t="s">
        <v>425</v>
      </c>
      <c r="AD157" t="s">
        <v>27</v>
      </c>
      <c r="AE157">
        <v>111.133</v>
      </c>
      <c r="AF157">
        <v>1.0155396203574489</v>
      </c>
      <c r="AG157">
        <v>112.8599646291844</v>
      </c>
      <c r="AH157">
        <v>661.2</v>
      </c>
      <c r="AI157">
        <v>1</v>
      </c>
      <c r="AJ157">
        <v>74.623008612816719</v>
      </c>
      <c r="AK157">
        <v>1.0016354901359501</v>
      </c>
      <c r="AL157" s="63">
        <v>74.745000000000005</v>
      </c>
      <c r="AM157">
        <v>8.9176000000000002</v>
      </c>
      <c r="AN157">
        <v>9.0561761184995895</v>
      </c>
      <c r="AO157">
        <v>1</v>
      </c>
      <c r="AP157">
        <v>5987.9436495519294</v>
      </c>
      <c r="AQ157">
        <v>1.016194415745886</v>
      </c>
      <c r="AR157">
        <v>6084.9148999999998</v>
      </c>
      <c r="AS157" s="61">
        <v>1490559.962865063</v>
      </c>
      <c r="AT157" t="s">
        <v>343</v>
      </c>
      <c r="AU157" t="s">
        <v>435</v>
      </c>
      <c r="AV157" t="s">
        <v>425</v>
      </c>
      <c r="AW157" t="s">
        <v>27</v>
      </c>
      <c r="AX157">
        <v>111.133</v>
      </c>
      <c r="AY157">
        <v>1.027287859172453</v>
      </c>
      <c r="AZ157">
        <v>114.1655816534122</v>
      </c>
      <c r="BA157">
        <v>596.84</v>
      </c>
      <c r="BB157">
        <v>1</v>
      </c>
      <c r="BC157">
        <v>68.138585754022571</v>
      </c>
      <c r="BD157">
        <v>0.95599999999999996</v>
      </c>
      <c r="BE157" s="63">
        <v>65.14</v>
      </c>
      <c r="BF157">
        <v>8.9176000000000002</v>
      </c>
      <c r="BG157">
        <v>1</v>
      </c>
      <c r="BH157">
        <v>5467.6167503808201</v>
      </c>
      <c r="BI157">
        <v>1.0027686628383921</v>
      </c>
      <c r="BJ157" s="63">
        <v>5482.7547000000004</v>
      </c>
      <c r="BK157" s="61">
        <v>1343054.878553889</v>
      </c>
    </row>
    <row r="158" spans="1:63" x14ac:dyDescent="0.25">
      <c r="A158">
        <v>433</v>
      </c>
      <c r="B158" t="s">
        <v>118</v>
      </c>
      <c r="C158">
        <v>2018</v>
      </c>
      <c r="D158">
        <v>3</v>
      </c>
      <c r="E158" t="s">
        <v>100</v>
      </c>
      <c r="F158" t="s">
        <v>426</v>
      </c>
      <c r="G158" t="s">
        <v>427</v>
      </c>
      <c r="H158" t="s">
        <v>84</v>
      </c>
      <c r="I158" t="s">
        <v>428</v>
      </c>
      <c r="J158" t="s">
        <v>381</v>
      </c>
      <c r="K158">
        <v>-2357.61556062</v>
      </c>
      <c r="L158" t="s">
        <v>381</v>
      </c>
      <c r="M158" t="s">
        <v>382</v>
      </c>
      <c r="N158">
        <v>1.44619024869E-2</v>
      </c>
      <c r="O158">
        <v>34.095606339284522</v>
      </c>
      <c r="P158" t="s">
        <v>440</v>
      </c>
      <c r="Q158">
        <v>2</v>
      </c>
      <c r="R158">
        <v>30.199670000000001</v>
      </c>
      <c r="S158">
        <v>0.11899999999999999</v>
      </c>
      <c r="T158">
        <v>3.5937606999999998</v>
      </c>
      <c r="U158">
        <v>1.9E-2</v>
      </c>
      <c r="V158">
        <v>68.281000000000006</v>
      </c>
      <c r="W158">
        <v>2</v>
      </c>
      <c r="X158">
        <v>2.153719581E-3</v>
      </c>
      <c r="Y158">
        <v>0.29411599999999999</v>
      </c>
      <c r="Z158" s="61">
        <v>10.028063</v>
      </c>
      <c r="AA158" t="s">
        <v>343</v>
      </c>
      <c r="AB158" t="s">
        <v>435</v>
      </c>
      <c r="AC158" t="s">
        <v>425</v>
      </c>
      <c r="AD158" t="s">
        <v>81</v>
      </c>
      <c r="AE158">
        <v>111.133</v>
      </c>
      <c r="AF158">
        <v>1.027287859172453</v>
      </c>
      <c r="AG158">
        <v>114.1655816534122</v>
      </c>
      <c r="AH158">
        <v>625.54</v>
      </c>
      <c r="AI158">
        <v>1</v>
      </c>
      <c r="AJ158">
        <v>71.4151379474755</v>
      </c>
      <c r="AK158">
        <v>0.92730000000000001</v>
      </c>
      <c r="AL158" s="63">
        <v>66.222999999999999</v>
      </c>
      <c r="AM158">
        <v>8.9176000000000002</v>
      </c>
      <c r="AN158">
        <v>9.1609422129562699</v>
      </c>
      <c r="AO158">
        <v>1</v>
      </c>
      <c r="AP158">
        <v>5730.5357918926647</v>
      </c>
      <c r="AQ158">
        <v>1.094557195571956</v>
      </c>
      <c r="AR158">
        <v>6272.3991999999998</v>
      </c>
      <c r="AS158" s="61">
        <v>62900.014338749592</v>
      </c>
      <c r="AT158" t="s">
        <v>343</v>
      </c>
      <c r="AU158" t="s">
        <v>435</v>
      </c>
      <c r="AV158" t="s">
        <v>425</v>
      </c>
      <c r="AW158" t="s">
        <v>81</v>
      </c>
      <c r="AX158">
        <v>111.133</v>
      </c>
      <c r="AY158">
        <v>1.027287859172453</v>
      </c>
      <c r="AZ158">
        <v>114.1655816534122</v>
      </c>
      <c r="BA158">
        <v>603.45000000000005</v>
      </c>
      <c r="BB158">
        <v>1</v>
      </c>
      <c r="BC158">
        <v>68.893220248751618</v>
      </c>
      <c r="BD158">
        <v>0.92730000000000001</v>
      </c>
      <c r="BE158" s="63">
        <v>63.884999999999998</v>
      </c>
      <c r="BF158">
        <v>8.9176000000000002</v>
      </c>
      <c r="BG158">
        <v>1</v>
      </c>
      <c r="BH158">
        <v>5528.1705784084616</v>
      </c>
      <c r="BI158">
        <v>1.094557195571956</v>
      </c>
      <c r="BJ158" s="63">
        <v>6050.8989000000001</v>
      </c>
      <c r="BK158" s="61">
        <v>60678.795375830698</v>
      </c>
    </row>
    <row r="159" spans="1:63" x14ac:dyDescent="0.25">
      <c r="A159">
        <v>433</v>
      </c>
      <c r="B159" t="s">
        <v>118</v>
      </c>
      <c r="C159">
        <v>2018</v>
      </c>
      <c r="D159">
        <v>3</v>
      </c>
      <c r="E159" t="s">
        <v>100</v>
      </c>
      <c r="F159" t="s">
        <v>426</v>
      </c>
      <c r="G159" t="s">
        <v>427</v>
      </c>
      <c r="H159" t="s">
        <v>84</v>
      </c>
      <c r="I159" t="s">
        <v>429</v>
      </c>
      <c r="J159" t="s">
        <v>87</v>
      </c>
      <c r="K159">
        <v>-524.42159632000005</v>
      </c>
      <c r="L159" t="s">
        <v>87</v>
      </c>
      <c r="M159" t="s">
        <v>382</v>
      </c>
      <c r="N159">
        <v>2.5380675754250001E-2</v>
      </c>
      <c r="O159">
        <v>13.3101744947241</v>
      </c>
      <c r="P159" t="s">
        <v>440</v>
      </c>
      <c r="Q159">
        <v>2</v>
      </c>
      <c r="R159">
        <v>30.199670000000001</v>
      </c>
      <c r="S159">
        <v>0.11899999999999999</v>
      </c>
      <c r="T159">
        <v>3.5937606999999998</v>
      </c>
      <c r="U159">
        <v>1.9E-2</v>
      </c>
      <c r="V159">
        <v>68.281000000000006</v>
      </c>
      <c r="W159">
        <v>2</v>
      </c>
      <c r="X159">
        <v>2.153719581E-3</v>
      </c>
      <c r="Y159">
        <v>0.29411599999999999</v>
      </c>
      <c r="Z159" s="61">
        <v>3.9147349999999999</v>
      </c>
      <c r="AA159" t="s">
        <v>343</v>
      </c>
      <c r="AB159" t="s">
        <v>435</v>
      </c>
      <c r="AC159" t="s">
        <v>425</v>
      </c>
      <c r="AD159" t="s">
        <v>81</v>
      </c>
      <c r="AE159">
        <v>111.133</v>
      </c>
      <c r="AF159">
        <v>1.027287859172453</v>
      </c>
      <c r="AG159">
        <v>114.1655816534122</v>
      </c>
      <c r="AH159">
        <v>625.54</v>
      </c>
      <c r="AI159">
        <v>1</v>
      </c>
      <c r="AJ159">
        <v>71.4151379474755</v>
      </c>
      <c r="AK159">
        <v>0.92730000000000001</v>
      </c>
      <c r="AL159" s="63">
        <v>66.222999999999999</v>
      </c>
      <c r="AM159">
        <v>8.9176000000000002</v>
      </c>
      <c r="AN159">
        <v>9.1609422129562699</v>
      </c>
      <c r="AO159">
        <v>1</v>
      </c>
      <c r="AP159">
        <v>5730.5357918926647</v>
      </c>
      <c r="AQ159">
        <v>1.094557195571956</v>
      </c>
      <c r="AR159">
        <v>6272.3991999999998</v>
      </c>
      <c r="AS159" s="61">
        <v>24554.780682212</v>
      </c>
      <c r="AT159" t="s">
        <v>343</v>
      </c>
      <c r="AU159" t="s">
        <v>435</v>
      </c>
      <c r="AV159" t="s">
        <v>425</v>
      </c>
      <c r="AW159" t="s">
        <v>81</v>
      </c>
      <c r="AX159">
        <v>111.133</v>
      </c>
      <c r="AY159">
        <v>1.027287859172453</v>
      </c>
      <c r="AZ159">
        <v>114.1655816534122</v>
      </c>
      <c r="BA159">
        <v>603.45000000000005</v>
      </c>
      <c r="BB159">
        <v>1</v>
      </c>
      <c r="BC159">
        <v>68.893220248751618</v>
      </c>
      <c r="BD159">
        <v>0.92730000000000001</v>
      </c>
      <c r="BE159" s="63">
        <v>63.884999999999998</v>
      </c>
      <c r="BF159">
        <v>8.9176000000000002</v>
      </c>
      <c r="BG159">
        <v>1</v>
      </c>
      <c r="BH159">
        <v>5528.1705784084616</v>
      </c>
      <c r="BI159">
        <v>1.094557195571956</v>
      </c>
      <c r="BJ159" s="63">
        <v>6050.8989000000001</v>
      </c>
      <c r="BK159" s="61">
        <v>23687.6657052915</v>
      </c>
    </row>
    <row r="160" spans="1:63" x14ac:dyDescent="0.25">
      <c r="A160">
        <v>433</v>
      </c>
      <c r="B160" t="s">
        <v>118</v>
      </c>
      <c r="C160">
        <v>2018</v>
      </c>
      <c r="D160">
        <v>3</v>
      </c>
      <c r="E160" t="s">
        <v>100</v>
      </c>
      <c r="F160" t="s">
        <v>426</v>
      </c>
      <c r="G160" t="s">
        <v>427</v>
      </c>
      <c r="H160" t="s">
        <v>84</v>
      </c>
      <c r="I160" t="s">
        <v>430</v>
      </c>
      <c r="J160" t="s">
        <v>59</v>
      </c>
      <c r="K160">
        <v>-854.69399437000004</v>
      </c>
      <c r="L160" t="s">
        <v>59</v>
      </c>
      <c r="M160" t="s">
        <v>382</v>
      </c>
      <c r="N160">
        <v>2.568757504672E-2</v>
      </c>
      <c r="O160">
        <v>21.955016122360259</v>
      </c>
      <c r="P160" t="s">
        <v>440</v>
      </c>
      <c r="Q160">
        <v>2</v>
      </c>
      <c r="R160">
        <v>30.199670000000001</v>
      </c>
      <c r="S160">
        <v>0.11899999999999999</v>
      </c>
      <c r="T160">
        <v>3.5937606999999998</v>
      </c>
      <c r="U160">
        <v>1.9E-2</v>
      </c>
      <c r="V160">
        <v>68.281000000000006</v>
      </c>
      <c r="W160">
        <v>2</v>
      </c>
      <c r="X160">
        <v>2.153719581E-3</v>
      </c>
      <c r="Y160">
        <v>0.29411599999999999</v>
      </c>
      <c r="Z160" s="61">
        <v>6.4573219999999996</v>
      </c>
      <c r="AA160" t="s">
        <v>343</v>
      </c>
      <c r="AB160" t="s">
        <v>435</v>
      </c>
      <c r="AC160" t="s">
        <v>425</v>
      </c>
      <c r="AD160" t="s">
        <v>81</v>
      </c>
      <c r="AE160">
        <v>111.133</v>
      </c>
      <c r="AF160">
        <v>1.027287859172453</v>
      </c>
      <c r="AG160">
        <v>114.1655816534122</v>
      </c>
      <c r="AH160">
        <v>625.54</v>
      </c>
      <c r="AI160">
        <v>1</v>
      </c>
      <c r="AJ160">
        <v>71.4151379474755</v>
      </c>
      <c r="AK160">
        <v>0.92730000000000001</v>
      </c>
      <c r="AL160" s="63">
        <v>66.222999999999999</v>
      </c>
      <c r="AM160">
        <v>8.9176000000000002</v>
      </c>
      <c r="AN160">
        <v>9.1609422129562699</v>
      </c>
      <c r="AO160">
        <v>1</v>
      </c>
      <c r="AP160">
        <v>5730.5357918926647</v>
      </c>
      <c r="AQ160">
        <v>1.094557195571956</v>
      </c>
      <c r="AR160">
        <v>6272.3991999999998</v>
      </c>
      <c r="AS160" s="61">
        <v>40502.901346942403</v>
      </c>
      <c r="AT160" t="s">
        <v>343</v>
      </c>
      <c r="AU160" t="s">
        <v>435</v>
      </c>
      <c r="AV160" t="s">
        <v>425</v>
      </c>
      <c r="AW160" t="s">
        <v>81</v>
      </c>
      <c r="AX160">
        <v>111.133</v>
      </c>
      <c r="AY160">
        <v>1.027287859172453</v>
      </c>
      <c r="AZ160">
        <v>114.1655816534122</v>
      </c>
      <c r="BA160">
        <v>603.45000000000005</v>
      </c>
      <c r="BB160">
        <v>1</v>
      </c>
      <c r="BC160">
        <v>68.893220248751618</v>
      </c>
      <c r="BD160">
        <v>0.92730000000000001</v>
      </c>
      <c r="BE160" s="63">
        <v>63.884999999999998</v>
      </c>
      <c r="BF160">
        <v>8.9176000000000002</v>
      </c>
      <c r="BG160">
        <v>1</v>
      </c>
      <c r="BH160">
        <v>5528.1705784084616</v>
      </c>
      <c r="BI160">
        <v>1.094557195571956</v>
      </c>
      <c r="BJ160" s="63">
        <v>6050.8989000000001</v>
      </c>
      <c r="BK160" s="61">
        <v>39072.602586745801</v>
      </c>
    </row>
    <row r="161" spans="1:63" x14ac:dyDescent="0.25">
      <c r="A161">
        <v>435</v>
      </c>
      <c r="B161" t="s">
        <v>118</v>
      </c>
      <c r="C161">
        <v>2018</v>
      </c>
      <c r="D161">
        <v>3</v>
      </c>
      <c r="E161" t="s">
        <v>100</v>
      </c>
      <c r="F161" t="s">
        <v>426</v>
      </c>
      <c r="G161" t="s">
        <v>427</v>
      </c>
      <c r="H161" t="s">
        <v>84</v>
      </c>
      <c r="I161" t="s">
        <v>428</v>
      </c>
      <c r="J161" t="s">
        <v>381</v>
      </c>
      <c r="K161">
        <v>-2357.61556062</v>
      </c>
      <c r="L161" t="s">
        <v>381</v>
      </c>
      <c r="M161" t="s">
        <v>383</v>
      </c>
      <c r="N161">
        <v>0.99685994974422998</v>
      </c>
      <c r="O161">
        <v>2350.2125292758678</v>
      </c>
      <c r="P161" t="s">
        <v>440</v>
      </c>
      <c r="Q161">
        <v>2</v>
      </c>
      <c r="R161">
        <v>30.199670000000001</v>
      </c>
      <c r="S161">
        <v>0.11899999999999999</v>
      </c>
      <c r="T161">
        <v>3.5937606999999998</v>
      </c>
      <c r="U161">
        <v>0.98099999999999998</v>
      </c>
      <c r="V161">
        <v>3525.4789999999998</v>
      </c>
      <c r="W161">
        <v>2</v>
      </c>
      <c r="X161">
        <v>4.1713143999999999E-5</v>
      </c>
      <c r="Y161">
        <v>0.29411799999999999</v>
      </c>
      <c r="Z161" s="61">
        <v>691.23980900000004</v>
      </c>
      <c r="AA161" t="s">
        <v>343</v>
      </c>
      <c r="AB161" t="s">
        <v>435</v>
      </c>
      <c r="AC161" t="s">
        <v>425</v>
      </c>
      <c r="AD161" t="s">
        <v>27</v>
      </c>
      <c r="AE161">
        <v>111.133</v>
      </c>
      <c r="AF161">
        <v>1.027287859172453</v>
      </c>
      <c r="AG161">
        <v>114.1655816534122</v>
      </c>
      <c r="AH161">
        <v>625.54</v>
      </c>
      <c r="AI161">
        <v>1</v>
      </c>
      <c r="AJ161">
        <v>71.4151379474755</v>
      </c>
      <c r="AK161">
        <v>0.95599999999999996</v>
      </c>
      <c r="AL161" s="63">
        <v>68.272999999999996</v>
      </c>
      <c r="AM161">
        <v>8.9176000000000002</v>
      </c>
      <c r="AN161">
        <v>9.1609422129562699</v>
      </c>
      <c r="AO161">
        <v>1</v>
      </c>
      <c r="AP161">
        <v>5730.5357918926647</v>
      </c>
      <c r="AQ161">
        <v>1.0027686628383921</v>
      </c>
      <c r="AR161">
        <v>5746.4017000000003</v>
      </c>
      <c r="AS161" s="61">
        <v>3972141.6135452762</v>
      </c>
      <c r="AT161" t="s">
        <v>343</v>
      </c>
      <c r="AU161" t="s">
        <v>435</v>
      </c>
      <c r="AV161" t="s">
        <v>425</v>
      </c>
      <c r="AW161" t="s">
        <v>27</v>
      </c>
      <c r="AX161">
        <v>111.133</v>
      </c>
      <c r="AY161">
        <v>1.027287859172453</v>
      </c>
      <c r="AZ161">
        <v>114.1655816534122</v>
      </c>
      <c r="BA161">
        <v>603.45000000000005</v>
      </c>
      <c r="BB161">
        <v>1</v>
      </c>
      <c r="BC161">
        <v>68.893220248751618</v>
      </c>
      <c r="BD161">
        <v>0.95599999999999996</v>
      </c>
      <c r="BE161" s="63">
        <v>65.861999999999995</v>
      </c>
      <c r="BF161">
        <v>8.9176000000000002</v>
      </c>
      <c r="BG161">
        <v>1</v>
      </c>
      <c r="BH161">
        <v>5528.1705784084616</v>
      </c>
      <c r="BI161">
        <v>1.0027686628383921</v>
      </c>
      <c r="BJ161" s="63">
        <v>5543.4762000000001</v>
      </c>
      <c r="BK161" s="61">
        <v>3831871.4296840462</v>
      </c>
    </row>
    <row r="162" spans="1:63" x14ac:dyDescent="0.25">
      <c r="A162">
        <v>435</v>
      </c>
      <c r="B162" t="s">
        <v>118</v>
      </c>
      <c r="C162">
        <v>2018</v>
      </c>
      <c r="D162">
        <v>3</v>
      </c>
      <c r="E162" t="s">
        <v>100</v>
      </c>
      <c r="F162" t="s">
        <v>426</v>
      </c>
      <c r="G162" t="s">
        <v>427</v>
      </c>
      <c r="H162" t="s">
        <v>84</v>
      </c>
      <c r="I162" t="s">
        <v>429</v>
      </c>
      <c r="J162" t="s">
        <v>87</v>
      </c>
      <c r="K162">
        <v>-524.42159632000005</v>
      </c>
      <c r="L162" t="s">
        <v>87</v>
      </c>
      <c r="M162" t="s">
        <v>383</v>
      </c>
      <c r="N162">
        <v>0.95836644653295</v>
      </c>
      <c r="O162">
        <v>502.58806175033561</v>
      </c>
      <c r="P162" t="s">
        <v>440</v>
      </c>
      <c r="Q162">
        <v>2</v>
      </c>
      <c r="R162">
        <v>30.199670000000001</v>
      </c>
      <c r="S162">
        <v>0.11899999999999999</v>
      </c>
      <c r="T162">
        <v>3.5937606999999998</v>
      </c>
      <c r="U162">
        <v>0.98099999999999998</v>
      </c>
      <c r="V162">
        <v>3525.4789999999998</v>
      </c>
      <c r="W162">
        <v>2</v>
      </c>
      <c r="X162">
        <v>4.1713143999999999E-5</v>
      </c>
      <c r="Y162">
        <v>0.29411799999999999</v>
      </c>
      <c r="Z162" s="61">
        <v>147.82019600000001</v>
      </c>
      <c r="AA162" t="s">
        <v>343</v>
      </c>
      <c r="AB162" t="s">
        <v>435</v>
      </c>
      <c r="AC162" t="s">
        <v>425</v>
      </c>
      <c r="AD162" t="s">
        <v>27</v>
      </c>
      <c r="AE162">
        <v>111.133</v>
      </c>
      <c r="AF162">
        <v>1.027287859172453</v>
      </c>
      <c r="AG162">
        <v>114.1655816534122</v>
      </c>
      <c r="AH162">
        <v>625.54</v>
      </c>
      <c r="AI162">
        <v>1</v>
      </c>
      <c r="AJ162">
        <v>71.4151379474755</v>
      </c>
      <c r="AK162">
        <v>0.95599999999999996</v>
      </c>
      <c r="AL162" s="63">
        <v>68.272999999999996</v>
      </c>
      <c r="AM162">
        <v>8.9176000000000002</v>
      </c>
      <c r="AN162">
        <v>9.1609422129562699</v>
      </c>
      <c r="AO162">
        <v>1</v>
      </c>
      <c r="AP162">
        <v>5730.5357918926647</v>
      </c>
      <c r="AQ162">
        <v>1.0027686628383921</v>
      </c>
      <c r="AR162">
        <v>5746.4017000000003</v>
      </c>
      <c r="AS162" s="61">
        <v>849434.22558873333</v>
      </c>
      <c r="AT162" t="s">
        <v>343</v>
      </c>
      <c r="AU162" t="s">
        <v>435</v>
      </c>
      <c r="AV162" t="s">
        <v>425</v>
      </c>
      <c r="AW162" t="s">
        <v>27</v>
      </c>
      <c r="AX162">
        <v>111.133</v>
      </c>
      <c r="AY162">
        <v>1.027287859172453</v>
      </c>
      <c r="AZ162">
        <v>114.1655816534122</v>
      </c>
      <c r="BA162">
        <v>603.45000000000005</v>
      </c>
      <c r="BB162">
        <v>1</v>
      </c>
      <c r="BC162">
        <v>68.893220248751618</v>
      </c>
      <c r="BD162">
        <v>0.95599999999999996</v>
      </c>
      <c r="BE162" s="63">
        <v>65.861999999999995</v>
      </c>
      <c r="BF162">
        <v>8.9176000000000002</v>
      </c>
      <c r="BG162">
        <v>1</v>
      </c>
      <c r="BH162">
        <v>5528.1705784084616</v>
      </c>
      <c r="BI162">
        <v>1.0027686628383921</v>
      </c>
      <c r="BJ162" s="63">
        <v>5543.4762000000001</v>
      </c>
      <c r="BK162" s="61">
        <v>819437.73840533523</v>
      </c>
    </row>
    <row r="163" spans="1:63" x14ac:dyDescent="0.25">
      <c r="A163">
        <v>435</v>
      </c>
      <c r="B163" t="s">
        <v>118</v>
      </c>
      <c r="C163">
        <v>2018</v>
      </c>
      <c r="D163">
        <v>3</v>
      </c>
      <c r="E163" t="s">
        <v>100</v>
      </c>
      <c r="F163" t="s">
        <v>426</v>
      </c>
      <c r="G163" t="s">
        <v>427</v>
      </c>
      <c r="H163" t="s">
        <v>84</v>
      </c>
      <c r="I163" t="s">
        <v>430</v>
      </c>
      <c r="J163" t="s">
        <v>59</v>
      </c>
      <c r="K163">
        <v>-854.69399437000004</v>
      </c>
      <c r="L163" t="s">
        <v>59</v>
      </c>
      <c r="M163" t="s">
        <v>383</v>
      </c>
      <c r="N163">
        <v>0.98563427718439001</v>
      </c>
      <c r="O163">
        <v>842.41569735471398</v>
      </c>
      <c r="P163" t="s">
        <v>440</v>
      </c>
      <c r="Q163">
        <v>2</v>
      </c>
      <c r="R163">
        <v>30.199670000000001</v>
      </c>
      <c r="S163">
        <v>0.11899999999999999</v>
      </c>
      <c r="T163">
        <v>3.5937606999999998</v>
      </c>
      <c r="U163">
        <v>0.98099999999999998</v>
      </c>
      <c r="V163">
        <v>3525.4789999999998</v>
      </c>
      <c r="W163">
        <v>2</v>
      </c>
      <c r="X163">
        <v>4.1713143999999999E-5</v>
      </c>
      <c r="Y163">
        <v>0.29411799999999999</v>
      </c>
      <c r="Z163" s="61">
        <v>247.76962</v>
      </c>
      <c r="AA163" t="s">
        <v>343</v>
      </c>
      <c r="AB163" t="s">
        <v>435</v>
      </c>
      <c r="AC163" t="s">
        <v>425</v>
      </c>
      <c r="AD163" t="s">
        <v>27</v>
      </c>
      <c r="AE163">
        <v>111.133</v>
      </c>
      <c r="AF163">
        <v>1.027287859172453</v>
      </c>
      <c r="AG163">
        <v>114.1655816534122</v>
      </c>
      <c r="AH163">
        <v>625.54</v>
      </c>
      <c r="AI163">
        <v>1</v>
      </c>
      <c r="AJ163">
        <v>71.4151379474755</v>
      </c>
      <c r="AK163">
        <v>0.95599999999999996</v>
      </c>
      <c r="AL163" s="63">
        <v>68.272999999999996</v>
      </c>
      <c r="AM163">
        <v>8.9176000000000002</v>
      </c>
      <c r="AN163">
        <v>9.1609422129562699</v>
      </c>
      <c r="AO163">
        <v>1</v>
      </c>
      <c r="AP163">
        <v>5730.5357918926647</v>
      </c>
      <c r="AQ163">
        <v>1.0027686628383921</v>
      </c>
      <c r="AR163">
        <v>5746.4017000000003</v>
      </c>
      <c r="AS163" s="61">
        <v>1423783.765576354</v>
      </c>
      <c r="AT163" t="s">
        <v>343</v>
      </c>
      <c r="AU163" t="s">
        <v>435</v>
      </c>
      <c r="AV163" t="s">
        <v>425</v>
      </c>
      <c r="AW163" t="s">
        <v>27</v>
      </c>
      <c r="AX163">
        <v>111.133</v>
      </c>
      <c r="AY163">
        <v>1.027287859172453</v>
      </c>
      <c r="AZ163">
        <v>114.1655816534122</v>
      </c>
      <c r="BA163">
        <v>603.45000000000005</v>
      </c>
      <c r="BB163">
        <v>1</v>
      </c>
      <c r="BC163">
        <v>68.893220248751618</v>
      </c>
      <c r="BD163">
        <v>0.95599999999999996</v>
      </c>
      <c r="BE163" s="63">
        <v>65.861999999999995</v>
      </c>
      <c r="BF163">
        <v>8.9176000000000002</v>
      </c>
      <c r="BG163">
        <v>1</v>
      </c>
      <c r="BH163">
        <v>5528.1705784084616</v>
      </c>
      <c r="BI163">
        <v>1.0027686628383921</v>
      </c>
      <c r="BJ163" s="63">
        <v>5543.4762000000001</v>
      </c>
      <c r="BK163" s="61">
        <v>1373504.9915530439</v>
      </c>
    </row>
    <row r="164" spans="1:63" x14ac:dyDescent="0.25">
      <c r="A164">
        <v>453</v>
      </c>
      <c r="B164" t="s">
        <v>112</v>
      </c>
      <c r="C164">
        <v>2018</v>
      </c>
      <c r="D164">
        <v>4</v>
      </c>
      <c r="E164" t="s">
        <v>100</v>
      </c>
      <c r="F164" t="s">
        <v>426</v>
      </c>
      <c r="G164" t="s">
        <v>427</v>
      </c>
      <c r="H164" t="s">
        <v>84</v>
      </c>
      <c r="I164" t="s">
        <v>428</v>
      </c>
      <c r="J164" t="s">
        <v>381</v>
      </c>
      <c r="K164">
        <v>-1081.6028042600001</v>
      </c>
      <c r="L164" t="s">
        <v>381</v>
      </c>
      <c r="M164" t="s">
        <v>382</v>
      </c>
      <c r="N164">
        <v>1.450118603202E-2</v>
      </c>
      <c r="O164">
        <v>15.684523477328771</v>
      </c>
      <c r="P164" t="s">
        <v>440</v>
      </c>
      <c r="Q164">
        <v>2</v>
      </c>
      <c r="R164">
        <v>30.199670000000001</v>
      </c>
      <c r="S164">
        <v>5.6000000000000001E-2</v>
      </c>
      <c r="T164">
        <v>1.6911814999999999</v>
      </c>
      <c r="U164">
        <v>1.9E-2</v>
      </c>
      <c r="V164">
        <v>32.131999999999998</v>
      </c>
      <c r="W164">
        <v>2</v>
      </c>
      <c r="X164">
        <v>4.5766590389999997E-3</v>
      </c>
      <c r="Y164">
        <v>0.29411399999999999</v>
      </c>
      <c r="Z164" s="61">
        <v>4.6130380000000004</v>
      </c>
      <c r="AA164" t="s">
        <v>343</v>
      </c>
      <c r="AB164" t="s">
        <v>435</v>
      </c>
      <c r="AC164" t="s">
        <v>425</v>
      </c>
      <c r="AD164" t="s">
        <v>81</v>
      </c>
      <c r="AE164">
        <v>111.133</v>
      </c>
      <c r="AF164">
        <v>1.027287859172453</v>
      </c>
      <c r="AG164">
        <v>114.1655816534122</v>
      </c>
      <c r="AH164">
        <v>625.54</v>
      </c>
      <c r="AI164">
        <v>1</v>
      </c>
      <c r="AJ164">
        <v>71.4151379474755</v>
      </c>
      <c r="AK164">
        <v>0.92730000000000001</v>
      </c>
      <c r="AL164" s="63">
        <v>66.222999999999999</v>
      </c>
      <c r="AM164">
        <v>8.9176000000000002</v>
      </c>
      <c r="AN164">
        <v>9.1609422129562699</v>
      </c>
      <c r="AO164">
        <v>1</v>
      </c>
      <c r="AP164">
        <v>5730.5357918926647</v>
      </c>
      <c r="AQ164">
        <v>1.094557195571956</v>
      </c>
      <c r="AR164">
        <v>6272.3991999999998</v>
      </c>
      <c r="AS164" s="61">
        <v>28934.815860769599</v>
      </c>
      <c r="AT164" t="s">
        <v>343</v>
      </c>
      <c r="AU164" t="s">
        <v>435</v>
      </c>
      <c r="AV164" t="s">
        <v>425</v>
      </c>
      <c r="AW164" t="s">
        <v>81</v>
      </c>
      <c r="AX164">
        <v>111.133</v>
      </c>
      <c r="AY164">
        <v>1.027287859172453</v>
      </c>
      <c r="AZ164">
        <v>114.1655816534122</v>
      </c>
      <c r="BA164">
        <v>600.54999999999995</v>
      </c>
      <c r="BB164">
        <v>1</v>
      </c>
      <c r="BC164">
        <v>68.562140061956711</v>
      </c>
      <c r="BD164">
        <v>0.92730000000000001</v>
      </c>
      <c r="BE164" s="63">
        <v>63.578000000000003</v>
      </c>
      <c r="BF164">
        <v>8.9176000000000002</v>
      </c>
      <c r="BG164">
        <v>1</v>
      </c>
      <c r="BH164">
        <v>5501.6038459908877</v>
      </c>
      <c r="BI164">
        <v>1.094557195571956</v>
      </c>
      <c r="BJ164" s="63">
        <v>6021.8200999999999</v>
      </c>
      <c r="BK164" s="61">
        <v>27778.884950463798</v>
      </c>
    </row>
    <row r="165" spans="1:63" x14ac:dyDescent="0.25">
      <c r="A165">
        <v>453</v>
      </c>
      <c r="B165" t="s">
        <v>112</v>
      </c>
      <c r="C165">
        <v>2018</v>
      </c>
      <c r="D165">
        <v>4</v>
      </c>
      <c r="E165" t="s">
        <v>100</v>
      </c>
      <c r="F165" t="s">
        <v>426</v>
      </c>
      <c r="G165" t="s">
        <v>427</v>
      </c>
      <c r="H165" t="s">
        <v>84</v>
      </c>
      <c r="I165" t="s">
        <v>429</v>
      </c>
      <c r="J165" t="s">
        <v>87</v>
      </c>
      <c r="K165">
        <v>-221.88139197000001</v>
      </c>
      <c r="L165" t="s">
        <v>87</v>
      </c>
      <c r="M165" t="s">
        <v>382</v>
      </c>
      <c r="N165">
        <v>2.544961847748E-2</v>
      </c>
      <c r="O165">
        <v>5.6467967728886954</v>
      </c>
      <c r="P165" t="s">
        <v>440</v>
      </c>
      <c r="Q165">
        <v>2</v>
      </c>
      <c r="R165">
        <v>30.199670000000001</v>
      </c>
      <c r="S165">
        <v>5.6000000000000001E-2</v>
      </c>
      <c r="T165">
        <v>1.6911814999999999</v>
      </c>
      <c r="U165">
        <v>1.9E-2</v>
      </c>
      <c r="V165">
        <v>32.131999999999998</v>
      </c>
      <c r="W165">
        <v>2</v>
      </c>
      <c r="X165">
        <v>4.5766590389999997E-3</v>
      </c>
      <c r="Y165">
        <v>0.29411399999999999</v>
      </c>
      <c r="Z165" s="61">
        <v>1.6608019999999999</v>
      </c>
      <c r="AA165" t="s">
        <v>343</v>
      </c>
      <c r="AB165" t="s">
        <v>435</v>
      </c>
      <c r="AC165" t="s">
        <v>425</v>
      </c>
      <c r="AD165" t="s">
        <v>81</v>
      </c>
      <c r="AE165">
        <v>111.133</v>
      </c>
      <c r="AF165">
        <v>1.027287859172453</v>
      </c>
      <c r="AG165">
        <v>114.1655816534122</v>
      </c>
      <c r="AH165">
        <v>625.54</v>
      </c>
      <c r="AI165">
        <v>1</v>
      </c>
      <c r="AJ165">
        <v>71.4151379474755</v>
      </c>
      <c r="AK165">
        <v>0.92730000000000001</v>
      </c>
      <c r="AL165" s="63">
        <v>66.222999999999999</v>
      </c>
      <c r="AM165">
        <v>8.9176000000000002</v>
      </c>
      <c r="AN165">
        <v>9.1609422129562699</v>
      </c>
      <c r="AO165">
        <v>1</v>
      </c>
      <c r="AP165">
        <v>5730.5357918926647</v>
      </c>
      <c r="AQ165">
        <v>1.094557195571956</v>
      </c>
      <c r="AR165">
        <v>6272.3991999999998</v>
      </c>
      <c r="AS165" s="61">
        <v>10417.2131361584</v>
      </c>
      <c r="AT165" t="s">
        <v>343</v>
      </c>
      <c r="AU165" t="s">
        <v>435</v>
      </c>
      <c r="AV165" t="s">
        <v>425</v>
      </c>
      <c r="AW165" t="s">
        <v>81</v>
      </c>
      <c r="AX165">
        <v>111.133</v>
      </c>
      <c r="AY165">
        <v>1.027287859172453</v>
      </c>
      <c r="AZ165">
        <v>114.1655816534122</v>
      </c>
      <c r="BA165">
        <v>600.54999999999995</v>
      </c>
      <c r="BB165">
        <v>1</v>
      </c>
      <c r="BC165">
        <v>68.562140061956711</v>
      </c>
      <c r="BD165">
        <v>0.92730000000000001</v>
      </c>
      <c r="BE165" s="63">
        <v>63.578000000000003</v>
      </c>
      <c r="BF165">
        <v>8.9176000000000002</v>
      </c>
      <c r="BG165">
        <v>1</v>
      </c>
      <c r="BH165">
        <v>5501.6038459908877</v>
      </c>
      <c r="BI165">
        <v>1.094557195571956</v>
      </c>
      <c r="BJ165" s="63">
        <v>6021.8200999999999</v>
      </c>
      <c r="BK165" s="61">
        <v>10001.050865720201</v>
      </c>
    </row>
    <row r="166" spans="1:63" x14ac:dyDescent="0.25">
      <c r="A166">
        <v>453</v>
      </c>
      <c r="B166" t="s">
        <v>112</v>
      </c>
      <c r="C166">
        <v>2018</v>
      </c>
      <c r="D166">
        <v>4</v>
      </c>
      <c r="E166" t="s">
        <v>100</v>
      </c>
      <c r="F166" t="s">
        <v>426</v>
      </c>
      <c r="G166" t="s">
        <v>427</v>
      </c>
      <c r="H166" t="s">
        <v>84</v>
      </c>
      <c r="I166" t="s">
        <v>430</v>
      </c>
      <c r="J166" t="s">
        <v>59</v>
      </c>
      <c r="K166">
        <v>-580.83814855000003</v>
      </c>
      <c r="L166" t="s">
        <v>59</v>
      </c>
      <c r="M166" t="s">
        <v>382</v>
      </c>
      <c r="N166">
        <v>2.5757351413620001E-2</v>
      </c>
      <c r="O166">
        <v>14.96085230663877</v>
      </c>
      <c r="P166" t="s">
        <v>440</v>
      </c>
      <c r="Q166">
        <v>2</v>
      </c>
      <c r="R166">
        <v>30.199670000000001</v>
      </c>
      <c r="S166">
        <v>5.6000000000000001E-2</v>
      </c>
      <c r="T166">
        <v>1.6911814999999999</v>
      </c>
      <c r="U166">
        <v>1.9E-2</v>
      </c>
      <c r="V166">
        <v>32.131999999999998</v>
      </c>
      <c r="W166">
        <v>2</v>
      </c>
      <c r="X166">
        <v>4.5766590389999997E-3</v>
      </c>
      <c r="Y166">
        <v>0.29411399999999999</v>
      </c>
      <c r="Z166" s="61">
        <v>4.4001960000000002</v>
      </c>
      <c r="AA166" t="s">
        <v>343</v>
      </c>
      <c r="AB166" t="s">
        <v>435</v>
      </c>
      <c r="AC166" t="s">
        <v>425</v>
      </c>
      <c r="AD166" t="s">
        <v>81</v>
      </c>
      <c r="AE166">
        <v>111.133</v>
      </c>
      <c r="AF166">
        <v>1.027287859172453</v>
      </c>
      <c r="AG166">
        <v>114.1655816534122</v>
      </c>
      <c r="AH166">
        <v>625.54</v>
      </c>
      <c r="AI166">
        <v>1</v>
      </c>
      <c r="AJ166">
        <v>71.4151379474755</v>
      </c>
      <c r="AK166">
        <v>0.92730000000000001</v>
      </c>
      <c r="AL166" s="63">
        <v>66.222999999999999</v>
      </c>
      <c r="AM166">
        <v>8.9176000000000002</v>
      </c>
      <c r="AN166">
        <v>9.1609422129562699</v>
      </c>
      <c r="AO166">
        <v>1</v>
      </c>
      <c r="AP166">
        <v>5730.5357918926647</v>
      </c>
      <c r="AQ166">
        <v>1.094557195571956</v>
      </c>
      <c r="AR166">
        <v>6272.3991999999998</v>
      </c>
      <c r="AS166" s="61">
        <v>27599.785870243199</v>
      </c>
      <c r="AT166" t="s">
        <v>343</v>
      </c>
      <c r="AU166" t="s">
        <v>435</v>
      </c>
      <c r="AV166" t="s">
        <v>425</v>
      </c>
      <c r="AW166" t="s">
        <v>81</v>
      </c>
      <c r="AX166">
        <v>111.133</v>
      </c>
      <c r="AY166">
        <v>1.027287859172453</v>
      </c>
      <c r="AZ166">
        <v>114.1655816534122</v>
      </c>
      <c r="BA166">
        <v>600.54999999999995</v>
      </c>
      <c r="BB166">
        <v>1</v>
      </c>
      <c r="BC166">
        <v>68.562140061956711</v>
      </c>
      <c r="BD166">
        <v>0.92730000000000001</v>
      </c>
      <c r="BE166" s="63">
        <v>63.578000000000003</v>
      </c>
      <c r="BF166">
        <v>8.9176000000000002</v>
      </c>
      <c r="BG166">
        <v>1</v>
      </c>
      <c r="BH166">
        <v>5501.6038459908877</v>
      </c>
      <c r="BI166">
        <v>1.094557195571956</v>
      </c>
      <c r="BJ166" s="63">
        <v>6021.8200999999999</v>
      </c>
      <c r="BK166" s="61">
        <v>26497.188716739602</v>
      </c>
    </row>
    <row r="167" spans="1:63" x14ac:dyDescent="0.25">
      <c r="A167">
        <v>455</v>
      </c>
      <c r="B167" t="s">
        <v>112</v>
      </c>
      <c r="C167">
        <v>2018</v>
      </c>
      <c r="D167">
        <v>4</v>
      </c>
      <c r="E167" t="s">
        <v>100</v>
      </c>
      <c r="F167" t="s">
        <v>426</v>
      </c>
      <c r="G167" t="s">
        <v>427</v>
      </c>
      <c r="H167" t="s">
        <v>84</v>
      </c>
      <c r="I167" t="s">
        <v>428</v>
      </c>
      <c r="J167" t="s">
        <v>381</v>
      </c>
      <c r="K167">
        <v>-1081.6028042600001</v>
      </c>
      <c r="L167" t="s">
        <v>381</v>
      </c>
      <c r="M167" t="s">
        <v>383</v>
      </c>
      <c r="N167">
        <v>0.99956776726171004</v>
      </c>
      <c r="O167">
        <v>1081.1353001181731</v>
      </c>
      <c r="P167" t="s">
        <v>440</v>
      </c>
      <c r="Q167">
        <v>2</v>
      </c>
      <c r="R167">
        <v>30.199670000000001</v>
      </c>
      <c r="S167">
        <v>5.6000000000000001E-2</v>
      </c>
      <c r="T167">
        <v>1.6911814999999999</v>
      </c>
      <c r="U167">
        <v>0.98099999999999998</v>
      </c>
      <c r="V167">
        <v>1659.049</v>
      </c>
      <c r="W167">
        <v>2</v>
      </c>
      <c r="X167">
        <v>8.8640428000000003E-5</v>
      </c>
      <c r="Y167">
        <v>0.29411799999999999</v>
      </c>
      <c r="Z167" s="61">
        <v>317.98135200000002</v>
      </c>
      <c r="AA167" t="s">
        <v>343</v>
      </c>
      <c r="AB167" t="s">
        <v>435</v>
      </c>
      <c r="AC167" t="s">
        <v>425</v>
      </c>
      <c r="AD167" t="s">
        <v>27</v>
      </c>
      <c r="AE167">
        <v>111.133</v>
      </c>
      <c r="AF167">
        <v>1.027287859172453</v>
      </c>
      <c r="AG167">
        <v>114.1655816534122</v>
      </c>
      <c r="AH167">
        <v>625.54</v>
      </c>
      <c r="AI167">
        <v>1</v>
      </c>
      <c r="AJ167">
        <v>71.4151379474755</v>
      </c>
      <c r="AK167">
        <v>0.95599999999999996</v>
      </c>
      <c r="AL167" s="63">
        <v>68.272999999999996</v>
      </c>
      <c r="AM167">
        <v>8.9176000000000002</v>
      </c>
      <c r="AN167">
        <v>9.1609422129562699</v>
      </c>
      <c r="AO167">
        <v>1</v>
      </c>
      <c r="AP167">
        <v>5730.5357918926647</v>
      </c>
      <c r="AQ167">
        <v>1.0027686628383921</v>
      </c>
      <c r="AR167">
        <v>5746.4017000000003</v>
      </c>
      <c r="AS167" s="61">
        <v>1827248.5817010989</v>
      </c>
      <c r="AT167" t="s">
        <v>343</v>
      </c>
      <c r="AU167" t="s">
        <v>435</v>
      </c>
      <c r="AV167" t="s">
        <v>425</v>
      </c>
      <c r="AW167" t="s">
        <v>27</v>
      </c>
      <c r="AX167">
        <v>111.133</v>
      </c>
      <c r="AY167">
        <v>1.027287859172453</v>
      </c>
      <c r="AZ167">
        <v>114.1655816534122</v>
      </c>
      <c r="BA167">
        <v>600.54999999999995</v>
      </c>
      <c r="BB167">
        <v>1</v>
      </c>
      <c r="BC167">
        <v>68.562140061956711</v>
      </c>
      <c r="BD167">
        <v>0.95599999999999996</v>
      </c>
      <c r="BE167" s="63">
        <v>65.545000000000002</v>
      </c>
      <c r="BF167">
        <v>8.9176000000000002</v>
      </c>
      <c r="BG167">
        <v>1</v>
      </c>
      <c r="BH167">
        <v>5501.6038459908877</v>
      </c>
      <c r="BI167">
        <v>1.0027686628383921</v>
      </c>
      <c r="BJ167" s="63">
        <v>5516.8359</v>
      </c>
      <c r="BK167" s="61">
        <v>1754250.938244137</v>
      </c>
    </row>
    <row r="168" spans="1:63" x14ac:dyDescent="0.25">
      <c r="A168">
        <v>455</v>
      </c>
      <c r="B168" t="s">
        <v>112</v>
      </c>
      <c r="C168">
        <v>2018</v>
      </c>
      <c r="D168">
        <v>4</v>
      </c>
      <c r="E168" t="s">
        <v>100</v>
      </c>
      <c r="F168" t="s">
        <v>426</v>
      </c>
      <c r="G168" t="s">
        <v>427</v>
      </c>
      <c r="H168" t="s">
        <v>84</v>
      </c>
      <c r="I168" t="s">
        <v>429</v>
      </c>
      <c r="J168" t="s">
        <v>87</v>
      </c>
      <c r="K168">
        <v>-221.88139197000001</v>
      </c>
      <c r="L168" t="s">
        <v>87</v>
      </c>
      <c r="M168" t="s">
        <v>383</v>
      </c>
      <c r="N168">
        <v>0.96096970233852996</v>
      </c>
      <c r="O168">
        <v>213.2212951958696</v>
      </c>
      <c r="P168" t="s">
        <v>440</v>
      </c>
      <c r="Q168">
        <v>2</v>
      </c>
      <c r="R168">
        <v>30.199670000000001</v>
      </c>
      <c r="S168">
        <v>5.6000000000000001E-2</v>
      </c>
      <c r="T168">
        <v>1.6911814999999999</v>
      </c>
      <c r="U168">
        <v>0.98099999999999998</v>
      </c>
      <c r="V168">
        <v>1659.049</v>
      </c>
      <c r="W168">
        <v>2</v>
      </c>
      <c r="X168">
        <v>8.8640428000000003E-5</v>
      </c>
      <c r="Y168">
        <v>0.29411799999999999</v>
      </c>
      <c r="Z168" s="61">
        <v>62.712221</v>
      </c>
      <c r="AA168" t="s">
        <v>343</v>
      </c>
      <c r="AB168" t="s">
        <v>435</v>
      </c>
      <c r="AC168" t="s">
        <v>425</v>
      </c>
      <c r="AD168" t="s">
        <v>27</v>
      </c>
      <c r="AE168">
        <v>111.133</v>
      </c>
      <c r="AF168">
        <v>1.027287859172453</v>
      </c>
      <c r="AG168">
        <v>114.1655816534122</v>
      </c>
      <c r="AH168">
        <v>625.54</v>
      </c>
      <c r="AI168">
        <v>1</v>
      </c>
      <c r="AJ168">
        <v>71.4151379474755</v>
      </c>
      <c r="AK168">
        <v>0.95599999999999996</v>
      </c>
      <c r="AL168" s="63">
        <v>68.272999999999996</v>
      </c>
      <c r="AM168">
        <v>8.9176000000000002</v>
      </c>
      <c r="AN168">
        <v>9.1609422129562699</v>
      </c>
      <c r="AO168">
        <v>1</v>
      </c>
      <c r="AP168">
        <v>5730.5357918926647</v>
      </c>
      <c r="AQ168">
        <v>1.0027686628383921</v>
      </c>
      <c r="AR168">
        <v>5746.4017000000003</v>
      </c>
      <c r="AS168" s="61">
        <v>360369.61336517573</v>
      </c>
      <c r="AT168" t="s">
        <v>343</v>
      </c>
      <c r="AU168" t="s">
        <v>435</v>
      </c>
      <c r="AV168" t="s">
        <v>425</v>
      </c>
      <c r="AW168" t="s">
        <v>27</v>
      </c>
      <c r="AX168">
        <v>111.133</v>
      </c>
      <c r="AY168">
        <v>1.027287859172453</v>
      </c>
      <c r="AZ168">
        <v>114.1655816534122</v>
      </c>
      <c r="BA168">
        <v>600.54999999999995</v>
      </c>
      <c r="BB168">
        <v>1</v>
      </c>
      <c r="BC168">
        <v>68.562140061956711</v>
      </c>
      <c r="BD168">
        <v>0.95599999999999996</v>
      </c>
      <c r="BE168" s="63">
        <v>65.545000000000002</v>
      </c>
      <c r="BF168">
        <v>8.9176000000000002</v>
      </c>
      <c r="BG168">
        <v>1</v>
      </c>
      <c r="BH168">
        <v>5501.6038459908877</v>
      </c>
      <c r="BI168">
        <v>1.0027686628383921</v>
      </c>
      <c r="BJ168" s="63">
        <v>5516.8359</v>
      </c>
      <c r="BK168" s="61">
        <v>345973.03218153393</v>
      </c>
    </row>
    <row r="169" spans="1:63" x14ac:dyDescent="0.25">
      <c r="A169">
        <v>455</v>
      </c>
      <c r="B169" t="s">
        <v>112</v>
      </c>
      <c r="C169">
        <v>2018</v>
      </c>
      <c r="D169">
        <v>4</v>
      </c>
      <c r="E169" t="s">
        <v>100</v>
      </c>
      <c r="F169" t="s">
        <v>426</v>
      </c>
      <c r="G169" t="s">
        <v>427</v>
      </c>
      <c r="H169" t="s">
        <v>84</v>
      </c>
      <c r="I169" t="s">
        <v>430</v>
      </c>
      <c r="J169" t="s">
        <v>59</v>
      </c>
      <c r="K169">
        <v>-580.83814855000003</v>
      </c>
      <c r="L169" t="s">
        <v>59</v>
      </c>
      <c r="M169" t="s">
        <v>383</v>
      </c>
      <c r="N169">
        <v>0.98831160188014</v>
      </c>
      <c r="O169">
        <v>574.0490810265452</v>
      </c>
      <c r="P169" t="s">
        <v>440</v>
      </c>
      <c r="Q169">
        <v>2</v>
      </c>
      <c r="R169">
        <v>30.199670000000001</v>
      </c>
      <c r="S169">
        <v>5.6000000000000001E-2</v>
      </c>
      <c r="T169">
        <v>1.6911814999999999</v>
      </c>
      <c r="U169">
        <v>0.98099999999999998</v>
      </c>
      <c r="V169">
        <v>1659.049</v>
      </c>
      <c r="W169">
        <v>2</v>
      </c>
      <c r="X169">
        <v>8.8640428000000003E-5</v>
      </c>
      <c r="Y169">
        <v>0.29411799999999999</v>
      </c>
      <c r="Z169" s="61">
        <v>168.838168</v>
      </c>
      <c r="AA169" t="s">
        <v>343</v>
      </c>
      <c r="AB169" t="s">
        <v>435</v>
      </c>
      <c r="AC169" t="s">
        <v>425</v>
      </c>
      <c r="AD169" t="s">
        <v>27</v>
      </c>
      <c r="AE169">
        <v>111.133</v>
      </c>
      <c r="AF169">
        <v>1.027287859172453</v>
      </c>
      <c r="AG169">
        <v>114.1655816534122</v>
      </c>
      <c r="AH169">
        <v>625.54</v>
      </c>
      <c r="AI169">
        <v>1</v>
      </c>
      <c r="AJ169">
        <v>71.4151379474755</v>
      </c>
      <c r="AK169">
        <v>0.95599999999999996</v>
      </c>
      <c r="AL169" s="63">
        <v>68.272999999999996</v>
      </c>
      <c r="AM169">
        <v>8.9176000000000002</v>
      </c>
      <c r="AN169">
        <v>9.1609422129562699</v>
      </c>
      <c r="AO169">
        <v>1</v>
      </c>
      <c r="AP169">
        <v>5730.5357918926647</v>
      </c>
      <c r="AQ169">
        <v>1.0027686628383921</v>
      </c>
      <c r="AR169">
        <v>5746.4017000000003</v>
      </c>
      <c r="AS169" s="61">
        <v>970211.93562008569</v>
      </c>
      <c r="AT169" t="s">
        <v>343</v>
      </c>
      <c r="AU169" t="s">
        <v>435</v>
      </c>
      <c r="AV169" t="s">
        <v>425</v>
      </c>
      <c r="AW169" t="s">
        <v>27</v>
      </c>
      <c r="AX169">
        <v>111.133</v>
      </c>
      <c r="AY169">
        <v>1.027287859172453</v>
      </c>
      <c r="AZ169">
        <v>114.1655816534122</v>
      </c>
      <c r="BA169">
        <v>600.54999999999995</v>
      </c>
      <c r="BB169">
        <v>1</v>
      </c>
      <c r="BC169">
        <v>68.562140061956711</v>
      </c>
      <c r="BD169">
        <v>0.95599999999999996</v>
      </c>
      <c r="BE169" s="63">
        <v>65.545000000000002</v>
      </c>
      <c r="BF169">
        <v>8.9176000000000002</v>
      </c>
      <c r="BG169">
        <v>1</v>
      </c>
      <c r="BH169">
        <v>5501.6038459908877</v>
      </c>
      <c r="BI169">
        <v>1.0027686628383921</v>
      </c>
      <c r="BJ169" s="63">
        <v>5516.8359</v>
      </c>
      <c r="BK169" s="61">
        <v>931452.46651263116</v>
      </c>
    </row>
    <row r="170" spans="1:63" x14ac:dyDescent="0.25">
      <c r="A170">
        <v>473</v>
      </c>
      <c r="B170" t="s">
        <v>120</v>
      </c>
      <c r="C170">
        <v>2018</v>
      </c>
      <c r="D170">
        <v>5</v>
      </c>
      <c r="E170" t="s">
        <v>100</v>
      </c>
      <c r="F170" t="s">
        <v>426</v>
      </c>
      <c r="G170" t="s">
        <v>427</v>
      </c>
      <c r="H170" t="s">
        <v>84</v>
      </c>
      <c r="I170" t="s">
        <v>428</v>
      </c>
      <c r="J170" t="s">
        <v>381</v>
      </c>
      <c r="K170">
        <v>-1215.3878616500001</v>
      </c>
      <c r="L170" t="s">
        <v>381</v>
      </c>
      <c r="M170" t="s">
        <v>382</v>
      </c>
      <c r="N170">
        <v>1.4503539007510001E-2</v>
      </c>
      <c r="O170">
        <v>17.627425260694942</v>
      </c>
      <c r="P170" t="s">
        <v>440</v>
      </c>
      <c r="Q170">
        <v>2</v>
      </c>
      <c r="R170">
        <v>30.199670000000001</v>
      </c>
      <c r="S170">
        <v>7.0999999999999994E-2</v>
      </c>
      <c r="T170">
        <v>2.1441766000000002</v>
      </c>
      <c r="U170">
        <v>1.9E-2</v>
      </c>
      <c r="V170">
        <v>40.738999999999997</v>
      </c>
      <c r="W170">
        <v>2</v>
      </c>
      <c r="X170">
        <v>3.6097564499999999E-3</v>
      </c>
      <c r="Y170">
        <v>0.29411599999999999</v>
      </c>
      <c r="Z170" s="61">
        <v>5.1845080000000001</v>
      </c>
      <c r="AA170" t="s">
        <v>343</v>
      </c>
      <c r="AB170" t="s">
        <v>435</v>
      </c>
      <c r="AC170" t="s">
        <v>425</v>
      </c>
      <c r="AD170" t="s">
        <v>81</v>
      </c>
      <c r="AE170">
        <v>111.133</v>
      </c>
      <c r="AF170">
        <v>1.027287859172453</v>
      </c>
      <c r="AG170">
        <v>114.1655816534122</v>
      </c>
      <c r="AH170">
        <v>625.54</v>
      </c>
      <c r="AI170">
        <v>1</v>
      </c>
      <c r="AJ170">
        <v>71.4151379474755</v>
      </c>
      <c r="AK170">
        <v>0.92730000000000001</v>
      </c>
      <c r="AL170" s="63">
        <v>66.222999999999999</v>
      </c>
      <c r="AM170">
        <v>8.9176000000000002</v>
      </c>
      <c r="AN170">
        <v>9.1609422129562699</v>
      </c>
      <c r="AO170">
        <v>1</v>
      </c>
      <c r="AP170">
        <v>5730.5357918926647</v>
      </c>
      <c r="AQ170">
        <v>1.094557195571956</v>
      </c>
      <c r="AR170">
        <v>6272.3991999999998</v>
      </c>
      <c r="AS170" s="61">
        <v>32519.303831593599</v>
      </c>
      <c r="AT170" t="s">
        <v>343</v>
      </c>
      <c r="AU170" t="s">
        <v>435</v>
      </c>
      <c r="AV170" t="s">
        <v>425</v>
      </c>
      <c r="AW170" t="s">
        <v>81</v>
      </c>
      <c r="AX170">
        <v>111.133</v>
      </c>
      <c r="AY170">
        <v>1.027287859172453</v>
      </c>
      <c r="AZ170">
        <v>114.1655816534122</v>
      </c>
      <c r="BA170">
        <v>626.12</v>
      </c>
      <c r="BB170">
        <v>1</v>
      </c>
      <c r="BC170">
        <v>71.481353984834485</v>
      </c>
      <c r="BD170">
        <v>0.92730000000000001</v>
      </c>
      <c r="BE170" s="63">
        <v>66.284999999999997</v>
      </c>
      <c r="BF170">
        <v>8.9176000000000002</v>
      </c>
      <c r="BG170">
        <v>1</v>
      </c>
      <c r="BH170">
        <v>5735.8491383761793</v>
      </c>
      <c r="BI170">
        <v>1.094557195571956</v>
      </c>
      <c r="BJ170" s="63">
        <v>6278.2148999999999</v>
      </c>
      <c r="BK170" s="61">
        <v>32549.455374769201</v>
      </c>
    </row>
    <row r="171" spans="1:63" x14ac:dyDescent="0.25">
      <c r="A171">
        <v>473</v>
      </c>
      <c r="B171" t="s">
        <v>120</v>
      </c>
      <c r="C171">
        <v>2018</v>
      </c>
      <c r="D171">
        <v>5</v>
      </c>
      <c r="E171" t="s">
        <v>100</v>
      </c>
      <c r="F171" t="s">
        <v>426</v>
      </c>
      <c r="G171" t="s">
        <v>427</v>
      </c>
      <c r="H171" t="s">
        <v>84</v>
      </c>
      <c r="I171" t="s">
        <v>429</v>
      </c>
      <c r="J171" t="s">
        <v>87</v>
      </c>
      <c r="K171">
        <v>-237.13501686000001</v>
      </c>
      <c r="L171" t="s">
        <v>87</v>
      </c>
      <c r="M171" t="s">
        <v>382</v>
      </c>
      <c r="N171">
        <v>2.5453747954229999E-2</v>
      </c>
      <c r="O171">
        <v>6.0359749502765219</v>
      </c>
      <c r="P171" t="s">
        <v>440</v>
      </c>
      <c r="Q171">
        <v>2</v>
      </c>
      <c r="R171">
        <v>30.199670000000001</v>
      </c>
      <c r="S171">
        <v>7.0999999999999994E-2</v>
      </c>
      <c r="T171">
        <v>2.1441766000000002</v>
      </c>
      <c r="U171">
        <v>1.9E-2</v>
      </c>
      <c r="V171">
        <v>40.738999999999997</v>
      </c>
      <c r="W171">
        <v>2</v>
      </c>
      <c r="X171">
        <v>3.6097564499999999E-3</v>
      </c>
      <c r="Y171">
        <v>0.29411599999999999</v>
      </c>
      <c r="Z171" s="61">
        <v>1.775277</v>
      </c>
      <c r="AA171" t="s">
        <v>343</v>
      </c>
      <c r="AB171" t="s">
        <v>435</v>
      </c>
      <c r="AC171" t="s">
        <v>425</v>
      </c>
      <c r="AD171" t="s">
        <v>81</v>
      </c>
      <c r="AE171">
        <v>111.133</v>
      </c>
      <c r="AF171">
        <v>1.027287859172453</v>
      </c>
      <c r="AG171">
        <v>114.1655816534122</v>
      </c>
      <c r="AH171">
        <v>625.54</v>
      </c>
      <c r="AI171">
        <v>1</v>
      </c>
      <c r="AJ171">
        <v>71.4151379474755</v>
      </c>
      <c r="AK171">
        <v>0.92730000000000001</v>
      </c>
      <c r="AL171" s="63">
        <v>66.222999999999999</v>
      </c>
      <c r="AM171">
        <v>8.9176000000000002</v>
      </c>
      <c r="AN171">
        <v>9.1609422129562699</v>
      </c>
      <c r="AO171">
        <v>1</v>
      </c>
      <c r="AP171">
        <v>5730.5357918926647</v>
      </c>
      <c r="AQ171">
        <v>1.094557195571956</v>
      </c>
      <c r="AR171">
        <v>6272.3991999999998</v>
      </c>
      <c r="AS171" s="61">
        <v>11135.2460345784</v>
      </c>
      <c r="AT171" t="s">
        <v>343</v>
      </c>
      <c r="AU171" t="s">
        <v>435</v>
      </c>
      <c r="AV171" t="s">
        <v>425</v>
      </c>
      <c r="AW171" t="s">
        <v>81</v>
      </c>
      <c r="AX171">
        <v>111.133</v>
      </c>
      <c r="AY171">
        <v>1.027287859172453</v>
      </c>
      <c r="AZ171">
        <v>114.1655816534122</v>
      </c>
      <c r="BA171">
        <v>626.12</v>
      </c>
      <c r="BB171">
        <v>1</v>
      </c>
      <c r="BC171">
        <v>71.481353984834485</v>
      </c>
      <c r="BD171">
        <v>0.92730000000000001</v>
      </c>
      <c r="BE171" s="63">
        <v>66.284999999999997</v>
      </c>
      <c r="BF171">
        <v>8.9176000000000002</v>
      </c>
      <c r="BG171">
        <v>1</v>
      </c>
      <c r="BH171">
        <v>5735.8491383761793</v>
      </c>
      <c r="BI171">
        <v>1.094557195571956</v>
      </c>
      <c r="BJ171" s="63">
        <v>6278.2148999999999</v>
      </c>
      <c r="BK171" s="61">
        <v>11145.5705130273</v>
      </c>
    </row>
    <row r="172" spans="1:63" x14ac:dyDescent="0.25">
      <c r="A172">
        <v>473</v>
      </c>
      <c r="B172" t="s">
        <v>120</v>
      </c>
      <c r="C172">
        <v>2018</v>
      </c>
      <c r="D172">
        <v>5</v>
      </c>
      <c r="E172" t="s">
        <v>100</v>
      </c>
      <c r="F172" t="s">
        <v>426</v>
      </c>
      <c r="G172" t="s">
        <v>427</v>
      </c>
      <c r="H172" t="s">
        <v>84</v>
      </c>
      <c r="I172" t="s">
        <v>430</v>
      </c>
      <c r="J172" t="s">
        <v>59</v>
      </c>
      <c r="K172">
        <v>-639.96228321000001</v>
      </c>
      <c r="L172" t="s">
        <v>59</v>
      </c>
      <c r="M172" t="s">
        <v>382</v>
      </c>
      <c r="N172">
        <v>2.576153082457E-2</v>
      </c>
      <c r="O172">
        <v>16.486408085476612</v>
      </c>
      <c r="P172" t="s">
        <v>440</v>
      </c>
      <c r="Q172">
        <v>2</v>
      </c>
      <c r="R172">
        <v>30.199670000000001</v>
      </c>
      <c r="S172">
        <v>7.0999999999999994E-2</v>
      </c>
      <c r="T172">
        <v>2.1441766000000002</v>
      </c>
      <c r="U172">
        <v>1.9E-2</v>
      </c>
      <c r="V172">
        <v>40.738999999999997</v>
      </c>
      <c r="W172">
        <v>2</v>
      </c>
      <c r="X172">
        <v>3.6097564499999999E-3</v>
      </c>
      <c r="Y172">
        <v>0.29411599999999999</v>
      </c>
      <c r="Z172" s="61">
        <v>4.848916</v>
      </c>
      <c r="AA172" t="s">
        <v>343</v>
      </c>
      <c r="AB172" t="s">
        <v>435</v>
      </c>
      <c r="AC172" t="s">
        <v>425</v>
      </c>
      <c r="AD172" t="s">
        <v>81</v>
      </c>
      <c r="AE172">
        <v>111.133</v>
      </c>
      <c r="AF172">
        <v>1.027287859172453</v>
      </c>
      <c r="AG172">
        <v>114.1655816534122</v>
      </c>
      <c r="AH172">
        <v>625.54</v>
      </c>
      <c r="AI172">
        <v>1</v>
      </c>
      <c r="AJ172">
        <v>71.4151379474755</v>
      </c>
      <c r="AK172">
        <v>0.92730000000000001</v>
      </c>
      <c r="AL172" s="63">
        <v>66.222999999999999</v>
      </c>
      <c r="AM172">
        <v>8.9176000000000002</v>
      </c>
      <c r="AN172">
        <v>9.1609422129562699</v>
      </c>
      <c r="AO172">
        <v>1</v>
      </c>
      <c r="AP172">
        <v>5730.5357918926647</v>
      </c>
      <c r="AQ172">
        <v>1.094557195571956</v>
      </c>
      <c r="AR172">
        <v>6272.3991999999998</v>
      </c>
      <c r="AS172" s="61">
        <v>30414.336839267198</v>
      </c>
      <c r="AT172" t="s">
        <v>343</v>
      </c>
      <c r="AU172" t="s">
        <v>435</v>
      </c>
      <c r="AV172" t="s">
        <v>425</v>
      </c>
      <c r="AW172" t="s">
        <v>81</v>
      </c>
      <c r="AX172">
        <v>111.133</v>
      </c>
      <c r="AY172">
        <v>1.027287859172453</v>
      </c>
      <c r="AZ172">
        <v>114.1655816534122</v>
      </c>
      <c r="BA172">
        <v>626.12</v>
      </c>
      <c r="BB172">
        <v>1</v>
      </c>
      <c r="BC172">
        <v>71.481353984834485</v>
      </c>
      <c r="BD172">
        <v>0.92730000000000001</v>
      </c>
      <c r="BE172" s="63">
        <v>66.284999999999997</v>
      </c>
      <c r="BF172">
        <v>8.9176000000000002</v>
      </c>
      <c r="BG172">
        <v>1</v>
      </c>
      <c r="BH172">
        <v>5735.8491383761793</v>
      </c>
      <c r="BI172">
        <v>1.094557195571956</v>
      </c>
      <c r="BJ172" s="63">
        <v>6278.2148999999999</v>
      </c>
      <c r="BK172" s="61">
        <v>30442.536680048401</v>
      </c>
    </row>
    <row r="173" spans="1:63" x14ac:dyDescent="0.25">
      <c r="A173">
        <v>475</v>
      </c>
      <c r="B173" t="s">
        <v>120</v>
      </c>
      <c r="C173">
        <v>2018</v>
      </c>
      <c r="D173">
        <v>5</v>
      </c>
      <c r="E173" t="s">
        <v>100</v>
      </c>
      <c r="F173" t="s">
        <v>426</v>
      </c>
      <c r="G173" t="s">
        <v>427</v>
      </c>
      <c r="H173" t="s">
        <v>84</v>
      </c>
      <c r="I173" t="s">
        <v>428</v>
      </c>
      <c r="J173" t="s">
        <v>381</v>
      </c>
      <c r="K173">
        <v>-1215.3878616500001</v>
      </c>
      <c r="L173" t="s">
        <v>381</v>
      </c>
      <c r="M173" t="s">
        <v>383</v>
      </c>
      <c r="N173">
        <v>0.99972995802816</v>
      </c>
      <c r="O173">
        <v>1215.05965591529</v>
      </c>
      <c r="P173" t="s">
        <v>440</v>
      </c>
      <c r="Q173">
        <v>2</v>
      </c>
      <c r="R173">
        <v>30.199670000000001</v>
      </c>
      <c r="S173">
        <v>7.0999999999999994E-2</v>
      </c>
      <c r="T173">
        <v>2.1441766000000002</v>
      </c>
      <c r="U173">
        <v>0.98099999999999998</v>
      </c>
      <c r="V173">
        <v>2103.4369999999999</v>
      </c>
      <c r="W173">
        <v>2</v>
      </c>
      <c r="X173">
        <v>6.9913578999999997E-5</v>
      </c>
      <c r="Y173">
        <v>0.29411799999999999</v>
      </c>
      <c r="Z173" s="61">
        <v>357.37091600000002</v>
      </c>
      <c r="AA173" t="s">
        <v>343</v>
      </c>
      <c r="AB173" t="s">
        <v>435</v>
      </c>
      <c r="AC173" t="s">
        <v>425</v>
      </c>
      <c r="AD173" t="s">
        <v>27</v>
      </c>
      <c r="AE173">
        <v>111.133</v>
      </c>
      <c r="AF173">
        <v>1.027287859172453</v>
      </c>
      <c r="AG173">
        <v>114.1655816534122</v>
      </c>
      <c r="AH173">
        <v>625.54</v>
      </c>
      <c r="AI173">
        <v>1</v>
      </c>
      <c r="AJ173">
        <v>71.4151379474755</v>
      </c>
      <c r="AK173">
        <v>0.95599999999999996</v>
      </c>
      <c r="AL173" s="63">
        <v>68.272999999999996</v>
      </c>
      <c r="AM173">
        <v>8.9176000000000002</v>
      </c>
      <c r="AN173">
        <v>9.1609422129562699</v>
      </c>
      <c r="AO173">
        <v>1</v>
      </c>
      <c r="AP173">
        <v>5730.5357918926647</v>
      </c>
      <c r="AQ173">
        <v>1.0027686628383921</v>
      </c>
      <c r="AR173">
        <v>5746.4017000000003</v>
      </c>
      <c r="AS173" s="61">
        <v>2053596.839232957</v>
      </c>
      <c r="AT173" t="s">
        <v>343</v>
      </c>
      <c r="AU173" t="s">
        <v>435</v>
      </c>
      <c r="AV173" t="s">
        <v>425</v>
      </c>
      <c r="AW173" t="s">
        <v>27</v>
      </c>
      <c r="AX173">
        <v>111.133</v>
      </c>
      <c r="AY173">
        <v>1.027287859172453</v>
      </c>
      <c r="AZ173">
        <v>114.1655816534122</v>
      </c>
      <c r="BA173">
        <v>626.12</v>
      </c>
      <c r="BB173">
        <v>1</v>
      </c>
      <c r="BC173">
        <v>71.481353984834485</v>
      </c>
      <c r="BD173">
        <v>0.95599999999999996</v>
      </c>
      <c r="BE173" s="63">
        <v>68.335999999999999</v>
      </c>
      <c r="BF173">
        <v>8.9176000000000002</v>
      </c>
      <c r="BG173">
        <v>1</v>
      </c>
      <c r="BH173">
        <v>5735.8491383761793</v>
      </c>
      <c r="BI173">
        <v>1.0027686628383921</v>
      </c>
      <c r="BJ173" s="63">
        <v>5751.7298000000001</v>
      </c>
      <c r="BK173" s="61">
        <v>2055500.947210497</v>
      </c>
    </row>
    <row r="174" spans="1:63" x14ac:dyDescent="0.25">
      <c r="A174">
        <v>475</v>
      </c>
      <c r="B174" t="s">
        <v>120</v>
      </c>
      <c r="C174">
        <v>2018</v>
      </c>
      <c r="D174">
        <v>5</v>
      </c>
      <c r="E174" t="s">
        <v>100</v>
      </c>
      <c r="F174" t="s">
        <v>426</v>
      </c>
      <c r="G174" t="s">
        <v>427</v>
      </c>
      <c r="H174" t="s">
        <v>84</v>
      </c>
      <c r="I174" t="s">
        <v>429</v>
      </c>
      <c r="J174" t="s">
        <v>87</v>
      </c>
      <c r="K174">
        <v>-237.13501686000001</v>
      </c>
      <c r="L174" t="s">
        <v>87</v>
      </c>
      <c r="M174" t="s">
        <v>383</v>
      </c>
      <c r="N174">
        <v>0.96112563014763996</v>
      </c>
      <c r="O174">
        <v>227.9165425096387</v>
      </c>
      <c r="P174" t="s">
        <v>440</v>
      </c>
      <c r="Q174">
        <v>2</v>
      </c>
      <c r="R174">
        <v>30.199670000000001</v>
      </c>
      <c r="S174">
        <v>7.0999999999999994E-2</v>
      </c>
      <c r="T174">
        <v>2.1441766000000002</v>
      </c>
      <c r="U174">
        <v>0.98099999999999998</v>
      </c>
      <c r="V174">
        <v>2103.4369999999999</v>
      </c>
      <c r="W174">
        <v>2</v>
      </c>
      <c r="X174">
        <v>6.9913578999999997E-5</v>
      </c>
      <c r="Y174">
        <v>0.29411799999999999</v>
      </c>
      <c r="Z174" s="61">
        <v>67.034357999999997</v>
      </c>
      <c r="AA174" t="s">
        <v>343</v>
      </c>
      <c r="AB174" t="s">
        <v>435</v>
      </c>
      <c r="AC174" t="s">
        <v>425</v>
      </c>
      <c r="AD174" t="s">
        <v>27</v>
      </c>
      <c r="AE174">
        <v>111.133</v>
      </c>
      <c r="AF174">
        <v>1.027287859172453</v>
      </c>
      <c r="AG174">
        <v>114.1655816534122</v>
      </c>
      <c r="AH174">
        <v>625.54</v>
      </c>
      <c r="AI174">
        <v>1</v>
      </c>
      <c r="AJ174">
        <v>71.4151379474755</v>
      </c>
      <c r="AK174">
        <v>0.95599999999999996</v>
      </c>
      <c r="AL174" s="63">
        <v>68.272999999999996</v>
      </c>
      <c r="AM174">
        <v>8.9176000000000002</v>
      </c>
      <c r="AN174">
        <v>9.1609422129562699</v>
      </c>
      <c r="AO174">
        <v>1</v>
      </c>
      <c r="AP174">
        <v>5730.5357918926647</v>
      </c>
      <c r="AQ174">
        <v>1.0027686628383921</v>
      </c>
      <c r="AR174">
        <v>5746.4017000000003</v>
      </c>
      <c r="AS174" s="61">
        <v>385206.34876960859</v>
      </c>
      <c r="AT174" t="s">
        <v>343</v>
      </c>
      <c r="AU174" t="s">
        <v>435</v>
      </c>
      <c r="AV174" t="s">
        <v>425</v>
      </c>
      <c r="AW174" t="s">
        <v>27</v>
      </c>
      <c r="AX174">
        <v>111.133</v>
      </c>
      <c r="AY174">
        <v>1.027287859172453</v>
      </c>
      <c r="AZ174">
        <v>114.1655816534122</v>
      </c>
      <c r="BA174">
        <v>626.12</v>
      </c>
      <c r="BB174">
        <v>1</v>
      </c>
      <c r="BC174">
        <v>71.481353984834485</v>
      </c>
      <c r="BD174">
        <v>0.95599999999999996</v>
      </c>
      <c r="BE174" s="63">
        <v>68.335999999999999</v>
      </c>
      <c r="BF174">
        <v>8.9176000000000002</v>
      </c>
      <c r="BG174">
        <v>1</v>
      </c>
      <c r="BH174">
        <v>5735.8491383761793</v>
      </c>
      <c r="BI174">
        <v>1.0027686628383921</v>
      </c>
      <c r="BJ174" s="63">
        <v>5751.7298000000001</v>
      </c>
      <c r="BK174" s="61">
        <v>385563.5145324684</v>
      </c>
    </row>
    <row r="175" spans="1:63" x14ac:dyDescent="0.25">
      <c r="A175">
        <v>475</v>
      </c>
      <c r="B175" t="s">
        <v>120</v>
      </c>
      <c r="C175">
        <v>2018</v>
      </c>
      <c r="D175">
        <v>5</v>
      </c>
      <c r="E175" t="s">
        <v>100</v>
      </c>
      <c r="F175" t="s">
        <v>426</v>
      </c>
      <c r="G175" t="s">
        <v>427</v>
      </c>
      <c r="H175" t="s">
        <v>84</v>
      </c>
      <c r="I175" t="s">
        <v>430</v>
      </c>
      <c r="J175" t="s">
        <v>59</v>
      </c>
      <c r="K175">
        <v>-639.96228321000001</v>
      </c>
      <c r="L175" t="s">
        <v>59</v>
      </c>
      <c r="M175" t="s">
        <v>383</v>
      </c>
      <c r="N175">
        <v>0.98847196621108002</v>
      </c>
      <c r="O175">
        <v>632.58477638552063</v>
      </c>
      <c r="P175" t="s">
        <v>440</v>
      </c>
      <c r="Q175">
        <v>2</v>
      </c>
      <c r="R175">
        <v>30.199670000000001</v>
      </c>
      <c r="S175">
        <v>7.0999999999999994E-2</v>
      </c>
      <c r="T175">
        <v>2.1441766000000002</v>
      </c>
      <c r="U175">
        <v>0.98099999999999998</v>
      </c>
      <c r="V175">
        <v>2103.4369999999999</v>
      </c>
      <c r="W175">
        <v>2</v>
      </c>
      <c r="X175">
        <v>6.9913578999999997E-5</v>
      </c>
      <c r="Y175">
        <v>0.29411799999999999</v>
      </c>
      <c r="Z175" s="61">
        <v>186.05456899999999</v>
      </c>
      <c r="AA175" t="s">
        <v>343</v>
      </c>
      <c r="AB175" t="s">
        <v>435</v>
      </c>
      <c r="AC175" t="s">
        <v>425</v>
      </c>
      <c r="AD175" t="s">
        <v>27</v>
      </c>
      <c r="AE175">
        <v>111.133</v>
      </c>
      <c r="AF175">
        <v>1.027287859172453</v>
      </c>
      <c r="AG175">
        <v>114.1655816534122</v>
      </c>
      <c r="AH175">
        <v>625.54</v>
      </c>
      <c r="AI175">
        <v>1</v>
      </c>
      <c r="AJ175">
        <v>71.4151379474755</v>
      </c>
      <c r="AK175">
        <v>0.95599999999999996</v>
      </c>
      <c r="AL175" s="63">
        <v>68.272999999999996</v>
      </c>
      <c r="AM175">
        <v>8.9176000000000002</v>
      </c>
      <c r="AN175">
        <v>9.1609422129562699</v>
      </c>
      <c r="AO175">
        <v>1</v>
      </c>
      <c r="AP175">
        <v>5730.5357918926647</v>
      </c>
      <c r="AQ175">
        <v>1.0027686628383921</v>
      </c>
      <c r="AR175">
        <v>5746.4017000000003</v>
      </c>
      <c r="AS175" s="61">
        <v>1069144.291594367</v>
      </c>
      <c r="AT175" t="s">
        <v>343</v>
      </c>
      <c r="AU175" t="s">
        <v>435</v>
      </c>
      <c r="AV175" t="s">
        <v>425</v>
      </c>
      <c r="AW175" t="s">
        <v>27</v>
      </c>
      <c r="AX175">
        <v>111.133</v>
      </c>
      <c r="AY175">
        <v>1.027287859172453</v>
      </c>
      <c r="AZ175">
        <v>114.1655816534122</v>
      </c>
      <c r="BA175">
        <v>626.12</v>
      </c>
      <c r="BB175">
        <v>1</v>
      </c>
      <c r="BC175">
        <v>71.481353984834485</v>
      </c>
      <c r="BD175">
        <v>0.95599999999999996</v>
      </c>
      <c r="BE175" s="63">
        <v>68.335999999999999</v>
      </c>
      <c r="BF175">
        <v>8.9176000000000002</v>
      </c>
      <c r="BG175">
        <v>1</v>
      </c>
      <c r="BH175">
        <v>5735.8491383761793</v>
      </c>
      <c r="BI175">
        <v>1.0027686628383921</v>
      </c>
      <c r="BJ175" s="63">
        <v>5751.7298000000001</v>
      </c>
      <c r="BK175" s="61">
        <v>1070135.6089434561</v>
      </c>
    </row>
    <row r="176" spans="1:63" x14ac:dyDescent="0.25">
      <c r="A176">
        <v>493</v>
      </c>
      <c r="B176" t="s">
        <v>126</v>
      </c>
      <c r="C176">
        <v>2018</v>
      </c>
      <c r="D176">
        <v>6</v>
      </c>
      <c r="E176" t="s">
        <v>100</v>
      </c>
      <c r="F176" t="s">
        <v>426</v>
      </c>
      <c r="G176" t="s">
        <v>427</v>
      </c>
      <c r="H176" t="s">
        <v>84</v>
      </c>
      <c r="I176" t="s">
        <v>428</v>
      </c>
      <c r="J176" t="s">
        <v>381</v>
      </c>
      <c r="K176">
        <v>-1316.6304871</v>
      </c>
      <c r="L176" t="s">
        <v>381</v>
      </c>
      <c r="M176" t="s">
        <v>382</v>
      </c>
      <c r="N176">
        <v>1.440545710176E-2</v>
      </c>
      <c r="O176">
        <v>18.96666400078843</v>
      </c>
      <c r="P176" t="s">
        <v>440</v>
      </c>
      <c r="Q176">
        <v>2</v>
      </c>
      <c r="R176">
        <v>30.199670000000001</v>
      </c>
      <c r="S176">
        <v>6.9000000000000006E-2</v>
      </c>
      <c r="T176">
        <v>2.0837772000000001</v>
      </c>
      <c r="U176">
        <v>1.9E-2</v>
      </c>
      <c r="V176">
        <v>39.591999999999999</v>
      </c>
      <c r="W176">
        <v>2</v>
      </c>
      <c r="X176">
        <v>3.7143791039999999E-3</v>
      </c>
      <c r="Y176">
        <v>0.29411900000000002</v>
      </c>
      <c r="Z176" s="61">
        <v>5.5784560000000001</v>
      </c>
      <c r="AA176" t="s">
        <v>343</v>
      </c>
      <c r="AB176" t="s">
        <v>435</v>
      </c>
      <c r="AC176" t="s">
        <v>425</v>
      </c>
      <c r="AD176" t="s">
        <v>81</v>
      </c>
      <c r="AE176">
        <v>111.133</v>
      </c>
      <c r="AF176">
        <v>1.027287859172453</v>
      </c>
      <c r="AG176">
        <v>114.1655816534122</v>
      </c>
      <c r="AH176">
        <v>625.54</v>
      </c>
      <c r="AI176">
        <v>1</v>
      </c>
      <c r="AJ176">
        <v>71.4151379474755</v>
      </c>
      <c r="AK176">
        <v>0.92730000000000001</v>
      </c>
      <c r="AL176" s="63">
        <v>66.222999999999999</v>
      </c>
      <c r="AM176">
        <v>8.9176000000000002</v>
      </c>
      <c r="AN176">
        <v>9.1609422129562699</v>
      </c>
      <c r="AO176">
        <v>1</v>
      </c>
      <c r="AP176">
        <v>5730.5357918926647</v>
      </c>
      <c r="AQ176">
        <v>1.094557195571956</v>
      </c>
      <c r="AR176">
        <v>6272.3991999999998</v>
      </c>
      <c r="AS176" s="61">
        <v>34990.302951635203</v>
      </c>
      <c r="AT176" t="s">
        <v>343</v>
      </c>
      <c r="AU176" t="s">
        <v>435</v>
      </c>
      <c r="AV176" t="s">
        <v>425</v>
      </c>
      <c r="AW176" t="s">
        <v>81</v>
      </c>
      <c r="AX176">
        <v>111.133</v>
      </c>
      <c r="AY176">
        <v>1.027287859172453</v>
      </c>
      <c r="AZ176">
        <v>114.1655816534122</v>
      </c>
      <c r="BA176">
        <v>636.15</v>
      </c>
      <c r="BB176">
        <v>1</v>
      </c>
      <c r="BC176">
        <v>72.6264347688182</v>
      </c>
      <c r="BD176">
        <v>0.92730000000000001</v>
      </c>
      <c r="BE176" s="63">
        <v>67.346000000000004</v>
      </c>
      <c r="BF176">
        <v>8.9176000000000002</v>
      </c>
      <c r="BG176">
        <v>1</v>
      </c>
      <c r="BH176">
        <v>5827.7333887721306</v>
      </c>
      <c r="BI176">
        <v>1.094557195571956</v>
      </c>
      <c r="BJ176" s="63">
        <v>6378.7875000000004</v>
      </c>
      <c r="BK176" s="61">
        <v>35583.785402100002</v>
      </c>
    </row>
    <row r="177" spans="1:63" x14ac:dyDescent="0.25">
      <c r="A177">
        <v>493</v>
      </c>
      <c r="B177" t="s">
        <v>126</v>
      </c>
      <c r="C177">
        <v>2018</v>
      </c>
      <c r="D177">
        <v>6</v>
      </c>
      <c r="E177" t="s">
        <v>100</v>
      </c>
      <c r="F177" t="s">
        <v>426</v>
      </c>
      <c r="G177" t="s">
        <v>427</v>
      </c>
      <c r="H177" t="s">
        <v>84</v>
      </c>
      <c r="I177" t="s">
        <v>429</v>
      </c>
      <c r="J177" t="s">
        <v>87</v>
      </c>
      <c r="K177">
        <v>-245.4951222</v>
      </c>
      <c r="L177" t="s">
        <v>87</v>
      </c>
      <c r="M177" t="s">
        <v>382</v>
      </c>
      <c r="N177">
        <v>2.5322459834020001E-2</v>
      </c>
      <c r="O177">
        <v>6.2165403713573317</v>
      </c>
      <c r="P177" t="s">
        <v>440</v>
      </c>
      <c r="Q177">
        <v>2</v>
      </c>
      <c r="R177">
        <v>30.199670000000001</v>
      </c>
      <c r="S177">
        <v>6.9000000000000006E-2</v>
      </c>
      <c r="T177">
        <v>2.0837772000000001</v>
      </c>
      <c r="U177">
        <v>1.9E-2</v>
      </c>
      <c r="V177">
        <v>39.591999999999999</v>
      </c>
      <c r="W177">
        <v>2</v>
      </c>
      <c r="X177">
        <v>3.7143791039999999E-3</v>
      </c>
      <c r="Y177">
        <v>0.29411900000000002</v>
      </c>
      <c r="Z177" s="61">
        <v>1.828403</v>
      </c>
      <c r="AA177" t="s">
        <v>343</v>
      </c>
      <c r="AB177" t="s">
        <v>435</v>
      </c>
      <c r="AC177" t="s">
        <v>425</v>
      </c>
      <c r="AD177" t="s">
        <v>81</v>
      </c>
      <c r="AE177">
        <v>111.133</v>
      </c>
      <c r="AF177">
        <v>1.027287859172453</v>
      </c>
      <c r="AG177">
        <v>114.1655816534122</v>
      </c>
      <c r="AH177">
        <v>625.54</v>
      </c>
      <c r="AI177">
        <v>1</v>
      </c>
      <c r="AJ177">
        <v>71.4151379474755</v>
      </c>
      <c r="AK177">
        <v>0.92730000000000001</v>
      </c>
      <c r="AL177" s="63">
        <v>66.222999999999999</v>
      </c>
      <c r="AM177">
        <v>8.9176000000000002</v>
      </c>
      <c r="AN177">
        <v>9.1609422129562699</v>
      </c>
      <c r="AO177">
        <v>1</v>
      </c>
      <c r="AP177">
        <v>5730.5357918926647</v>
      </c>
      <c r="AQ177">
        <v>1.094557195571956</v>
      </c>
      <c r="AR177">
        <v>6272.3991999999998</v>
      </c>
      <c r="AS177" s="61">
        <v>11468.4735144776</v>
      </c>
      <c r="AT177" t="s">
        <v>343</v>
      </c>
      <c r="AU177" t="s">
        <v>435</v>
      </c>
      <c r="AV177" t="s">
        <v>425</v>
      </c>
      <c r="AW177" t="s">
        <v>81</v>
      </c>
      <c r="AX177">
        <v>111.133</v>
      </c>
      <c r="AY177">
        <v>1.027287859172453</v>
      </c>
      <c r="AZ177">
        <v>114.1655816534122</v>
      </c>
      <c r="BA177">
        <v>636.15</v>
      </c>
      <c r="BB177">
        <v>1</v>
      </c>
      <c r="BC177">
        <v>72.6264347688182</v>
      </c>
      <c r="BD177">
        <v>0.92730000000000001</v>
      </c>
      <c r="BE177" s="63">
        <v>67.346000000000004</v>
      </c>
      <c r="BF177">
        <v>8.9176000000000002</v>
      </c>
      <c r="BG177">
        <v>1</v>
      </c>
      <c r="BH177">
        <v>5827.7333887721306</v>
      </c>
      <c r="BI177">
        <v>1.094557195571956</v>
      </c>
      <c r="BJ177" s="63">
        <v>6378.7875000000004</v>
      </c>
      <c r="BK177" s="61">
        <v>11662.9942013625</v>
      </c>
    </row>
    <row r="178" spans="1:63" x14ac:dyDescent="0.25">
      <c r="A178">
        <v>493</v>
      </c>
      <c r="B178" t="s">
        <v>126</v>
      </c>
      <c r="C178">
        <v>2018</v>
      </c>
      <c r="D178">
        <v>6</v>
      </c>
      <c r="E178" t="s">
        <v>100</v>
      </c>
      <c r="F178" t="s">
        <v>426</v>
      </c>
      <c r="G178" t="s">
        <v>427</v>
      </c>
      <c r="H178" t="s">
        <v>84</v>
      </c>
      <c r="I178" t="s">
        <v>430</v>
      </c>
      <c r="J178" t="s">
        <v>59</v>
      </c>
      <c r="K178">
        <v>-694.75780531999999</v>
      </c>
      <c r="L178" t="s">
        <v>59</v>
      </c>
      <c r="M178" t="s">
        <v>382</v>
      </c>
      <c r="N178">
        <v>2.5587315411149999E-2</v>
      </c>
      <c r="O178">
        <v>17.77698709908119</v>
      </c>
      <c r="P178" t="s">
        <v>440</v>
      </c>
      <c r="Q178">
        <v>2</v>
      </c>
      <c r="R178">
        <v>30.199670000000001</v>
      </c>
      <c r="S178">
        <v>6.9000000000000006E-2</v>
      </c>
      <c r="T178">
        <v>2.0837772000000001</v>
      </c>
      <c r="U178">
        <v>1.9E-2</v>
      </c>
      <c r="V178">
        <v>39.591999999999999</v>
      </c>
      <c r="W178">
        <v>2</v>
      </c>
      <c r="X178">
        <v>3.7143791039999999E-3</v>
      </c>
      <c r="Y178">
        <v>0.29411900000000002</v>
      </c>
      <c r="Z178" s="61">
        <v>5.2285500000000003</v>
      </c>
      <c r="AA178" t="s">
        <v>343</v>
      </c>
      <c r="AB178" t="s">
        <v>435</v>
      </c>
      <c r="AC178" t="s">
        <v>425</v>
      </c>
      <c r="AD178" t="s">
        <v>81</v>
      </c>
      <c r="AE178">
        <v>111.133</v>
      </c>
      <c r="AF178">
        <v>1.027287859172453</v>
      </c>
      <c r="AG178">
        <v>114.1655816534122</v>
      </c>
      <c r="AH178">
        <v>625.54</v>
      </c>
      <c r="AI178">
        <v>1</v>
      </c>
      <c r="AJ178">
        <v>71.4151379474755</v>
      </c>
      <c r="AK178">
        <v>0.92730000000000001</v>
      </c>
      <c r="AL178" s="63">
        <v>66.222999999999999</v>
      </c>
      <c r="AM178">
        <v>8.9176000000000002</v>
      </c>
      <c r="AN178">
        <v>9.1609422129562699</v>
      </c>
      <c r="AO178">
        <v>1</v>
      </c>
      <c r="AP178">
        <v>5730.5357918926647</v>
      </c>
      <c r="AQ178">
        <v>1.094557195571956</v>
      </c>
      <c r="AR178">
        <v>6272.3991999999998</v>
      </c>
      <c r="AS178" s="61">
        <v>32795.552837160001</v>
      </c>
      <c r="AT178" t="s">
        <v>343</v>
      </c>
      <c r="AU178" t="s">
        <v>435</v>
      </c>
      <c r="AV178" t="s">
        <v>425</v>
      </c>
      <c r="AW178" t="s">
        <v>81</v>
      </c>
      <c r="AX178">
        <v>111.133</v>
      </c>
      <c r="AY178">
        <v>1.027287859172453</v>
      </c>
      <c r="AZ178">
        <v>114.1655816534122</v>
      </c>
      <c r="BA178">
        <v>636.15</v>
      </c>
      <c r="BB178">
        <v>1</v>
      </c>
      <c r="BC178">
        <v>72.6264347688182</v>
      </c>
      <c r="BD178">
        <v>0.92730000000000001</v>
      </c>
      <c r="BE178" s="63">
        <v>67.346000000000004</v>
      </c>
      <c r="BF178">
        <v>8.9176000000000002</v>
      </c>
      <c r="BG178">
        <v>1</v>
      </c>
      <c r="BH178">
        <v>5827.7333887721306</v>
      </c>
      <c r="BI178">
        <v>1.094557195571956</v>
      </c>
      <c r="BJ178" s="63">
        <v>6378.7875000000004</v>
      </c>
      <c r="BK178" s="61">
        <v>33351.809383125001</v>
      </c>
    </row>
    <row r="179" spans="1:63" x14ac:dyDescent="0.25">
      <c r="A179">
        <v>495</v>
      </c>
      <c r="B179" t="s">
        <v>126</v>
      </c>
      <c r="C179">
        <v>2018</v>
      </c>
      <c r="D179">
        <v>6</v>
      </c>
      <c r="E179" t="s">
        <v>100</v>
      </c>
      <c r="F179" t="s">
        <v>426</v>
      </c>
      <c r="G179" t="s">
        <v>427</v>
      </c>
      <c r="H179" t="s">
        <v>84</v>
      </c>
      <c r="I179" t="s">
        <v>428</v>
      </c>
      <c r="J179" t="s">
        <v>381</v>
      </c>
      <c r="K179">
        <v>-1316.6304871</v>
      </c>
      <c r="L179" t="s">
        <v>381</v>
      </c>
      <c r="M179" t="s">
        <v>383</v>
      </c>
      <c r="N179">
        <v>0.99296916539947</v>
      </c>
      <c r="O179">
        <v>1307.3734759151851</v>
      </c>
      <c r="P179" t="s">
        <v>440</v>
      </c>
      <c r="Q179">
        <v>2</v>
      </c>
      <c r="R179">
        <v>30.199670000000001</v>
      </c>
      <c r="S179">
        <v>6.9000000000000006E-2</v>
      </c>
      <c r="T179">
        <v>2.0837772000000001</v>
      </c>
      <c r="U179">
        <v>0.98099999999999998</v>
      </c>
      <c r="V179">
        <v>2044.1849999999999</v>
      </c>
      <c r="W179">
        <v>2</v>
      </c>
      <c r="X179">
        <v>7.1940065000000004E-5</v>
      </c>
      <c r="Y179">
        <v>0.29411799999999999</v>
      </c>
      <c r="Z179" s="61">
        <v>384.52207199999998</v>
      </c>
      <c r="AA179" t="s">
        <v>343</v>
      </c>
      <c r="AB179" t="s">
        <v>435</v>
      </c>
      <c r="AC179" t="s">
        <v>425</v>
      </c>
      <c r="AD179" t="s">
        <v>27</v>
      </c>
      <c r="AE179">
        <v>111.133</v>
      </c>
      <c r="AF179">
        <v>1.027287859172453</v>
      </c>
      <c r="AG179">
        <v>114.1655816534122</v>
      </c>
      <c r="AH179">
        <v>625.54</v>
      </c>
      <c r="AI179">
        <v>1</v>
      </c>
      <c r="AJ179">
        <v>71.4151379474755</v>
      </c>
      <c r="AK179">
        <v>0.95599999999999996</v>
      </c>
      <c r="AL179" s="63">
        <v>68.272999999999996</v>
      </c>
      <c r="AM179">
        <v>8.9176000000000002</v>
      </c>
      <c r="AN179">
        <v>9.1609422129562699</v>
      </c>
      <c r="AO179">
        <v>1</v>
      </c>
      <c r="AP179">
        <v>5730.5357918926647</v>
      </c>
      <c r="AQ179">
        <v>1.0027686628383921</v>
      </c>
      <c r="AR179">
        <v>5746.4017000000003</v>
      </c>
      <c r="AS179" s="61">
        <v>2209618.2882283218</v>
      </c>
      <c r="AT179" t="s">
        <v>343</v>
      </c>
      <c r="AU179" t="s">
        <v>435</v>
      </c>
      <c r="AV179" t="s">
        <v>425</v>
      </c>
      <c r="AW179" t="s">
        <v>27</v>
      </c>
      <c r="AX179">
        <v>111.133</v>
      </c>
      <c r="AY179">
        <v>1.027287859172453</v>
      </c>
      <c r="AZ179">
        <v>114.1655816534122</v>
      </c>
      <c r="BA179">
        <v>636.15</v>
      </c>
      <c r="BB179">
        <v>1</v>
      </c>
      <c r="BC179">
        <v>72.6264347688182</v>
      </c>
      <c r="BD179">
        <v>0.95599999999999996</v>
      </c>
      <c r="BE179" s="63">
        <v>69.430999999999997</v>
      </c>
      <c r="BF179">
        <v>8.9176000000000002</v>
      </c>
      <c r="BG179">
        <v>1</v>
      </c>
      <c r="BH179">
        <v>5827.7333887721306</v>
      </c>
      <c r="BI179">
        <v>1.0027686628383921</v>
      </c>
      <c r="BJ179" s="63">
        <v>5843.8684000000003</v>
      </c>
      <c r="BK179" s="61">
        <v>2247096.385663325</v>
      </c>
    </row>
    <row r="180" spans="1:63" x14ac:dyDescent="0.25">
      <c r="A180">
        <v>495</v>
      </c>
      <c r="B180" t="s">
        <v>126</v>
      </c>
      <c r="C180">
        <v>2018</v>
      </c>
      <c r="D180">
        <v>6</v>
      </c>
      <c r="E180" t="s">
        <v>100</v>
      </c>
      <c r="F180" t="s">
        <v>426</v>
      </c>
      <c r="G180" t="s">
        <v>427</v>
      </c>
      <c r="H180" t="s">
        <v>84</v>
      </c>
      <c r="I180" t="s">
        <v>429</v>
      </c>
      <c r="J180" t="s">
        <v>87</v>
      </c>
      <c r="K180">
        <v>-245.4951222</v>
      </c>
      <c r="L180" t="s">
        <v>87</v>
      </c>
      <c r="M180" t="s">
        <v>383</v>
      </c>
      <c r="N180">
        <v>0.95616823139648</v>
      </c>
      <c r="O180">
        <v>234.73463681043671</v>
      </c>
      <c r="P180" t="s">
        <v>440</v>
      </c>
      <c r="Q180">
        <v>2</v>
      </c>
      <c r="R180">
        <v>30.199670000000001</v>
      </c>
      <c r="S180">
        <v>6.9000000000000006E-2</v>
      </c>
      <c r="T180">
        <v>2.0837772000000001</v>
      </c>
      <c r="U180">
        <v>0.98099999999999998</v>
      </c>
      <c r="V180">
        <v>2044.1849999999999</v>
      </c>
      <c r="W180">
        <v>2</v>
      </c>
      <c r="X180">
        <v>7.1940065000000004E-5</v>
      </c>
      <c r="Y180">
        <v>0.29411799999999999</v>
      </c>
      <c r="Z180" s="61">
        <v>69.039681999999999</v>
      </c>
      <c r="AA180" t="s">
        <v>343</v>
      </c>
      <c r="AB180" t="s">
        <v>435</v>
      </c>
      <c r="AC180" t="s">
        <v>425</v>
      </c>
      <c r="AD180" t="s">
        <v>27</v>
      </c>
      <c r="AE180">
        <v>111.133</v>
      </c>
      <c r="AF180">
        <v>1.027287859172453</v>
      </c>
      <c r="AG180">
        <v>114.1655816534122</v>
      </c>
      <c r="AH180">
        <v>625.54</v>
      </c>
      <c r="AI180">
        <v>1</v>
      </c>
      <c r="AJ180">
        <v>71.4151379474755</v>
      </c>
      <c r="AK180">
        <v>0.95599999999999996</v>
      </c>
      <c r="AL180" s="63">
        <v>68.272999999999996</v>
      </c>
      <c r="AM180">
        <v>8.9176000000000002</v>
      </c>
      <c r="AN180">
        <v>9.1609422129562699</v>
      </c>
      <c r="AO180">
        <v>1</v>
      </c>
      <c r="AP180">
        <v>5730.5357918926647</v>
      </c>
      <c r="AQ180">
        <v>1.0027686628383921</v>
      </c>
      <c r="AR180">
        <v>5746.4017000000003</v>
      </c>
      <c r="AS180" s="61">
        <v>396729.74601225939</v>
      </c>
      <c r="AT180" t="s">
        <v>343</v>
      </c>
      <c r="AU180" t="s">
        <v>435</v>
      </c>
      <c r="AV180" t="s">
        <v>425</v>
      </c>
      <c r="AW180" t="s">
        <v>27</v>
      </c>
      <c r="AX180">
        <v>111.133</v>
      </c>
      <c r="AY180">
        <v>1.027287859172453</v>
      </c>
      <c r="AZ180">
        <v>114.1655816534122</v>
      </c>
      <c r="BA180">
        <v>636.15</v>
      </c>
      <c r="BB180">
        <v>1</v>
      </c>
      <c r="BC180">
        <v>72.6264347688182</v>
      </c>
      <c r="BD180">
        <v>0.95599999999999996</v>
      </c>
      <c r="BE180" s="63">
        <v>69.430999999999997</v>
      </c>
      <c r="BF180">
        <v>8.9176000000000002</v>
      </c>
      <c r="BG180">
        <v>1</v>
      </c>
      <c r="BH180">
        <v>5827.7333887721306</v>
      </c>
      <c r="BI180">
        <v>1.0027686628383921</v>
      </c>
      <c r="BJ180" s="63">
        <v>5843.8684000000003</v>
      </c>
      <c r="BK180" s="61">
        <v>403458.81598584878</v>
      </c>
    </row>
    <row r="181" spans="1:63" x14ac:dyDescent="0.25">
      <c r="A181">
        <v>495</v>
      </c>
      <c r="B181" t="s">
        <v>126</v>
      </c>
      <c r="C181">
        <v>2018</v>
      </c>
      <c r="D181">
        <v>6</v>
      </c>
      <c r="E181" t="s">
        <v>100</v>
      </c>
      <c r="F181" t="s">
        <v>426</v>
      </c>
      <c r="G181" t="s">
        <v>427</v>
      </c>
      <c r="H181" t="s">
        <v>84</v>
      </c>
      <c r="I181" t="s">
        <v>430</v>
      </c>
      <c r="J181" t="s">
        <v>59</v>
      </c>
      <c r="K181">
        <v>-694.75780531999999</v>
      </c>
      <c r="L181" t="s">
        <v>59</v>
      </c>
      <c r="M181" t="s">
        <v>383</v>
      </c>
      <c r="N181">
        <v>0.98178730708994999</v>
      </c>
      <c r="O181">
        <v>682.10439476484657</v>
      </c>
      <c r="P181" t="s">
        <v>440</v>
      </c>
      <c r="Q181">
        <v>2</v>
      </c>
      <c r="R181">
        <v>30.199670000000001</v>
      </c>
      <c r="S181">
        <v>6.9000000000000006E-2</v>
      </c>
      <c r="T181">
        <v>2.0837772000000001</v>
      </c>
      <c r="U181">
        <v>0.98099999999999998</v>
      </c>
      <c r="V181">
        <v>2044.1849999999999</v>
      </c>
      <c r="W181">
        <v>2</v>
      </c>
      <c r="X181">
        <v>7.1940065000000004E-5</v>
      </c>
      <c r="Y181">
        <v>0.29411799999999999</v>
      </c>
      <c r="Z181" s="61">
        <v>200.61918</v>
      </c>
      <c r="AA181" t="s">
        <v>343</v>
      </c>
      <c r="AB181" t="s">
        <v>435</v>
      </c>
      <c r="AC181" t="s">
        <v>425</v>
      </c>
      <c r="AD181" t="s">
        <v>27</v>
      </c>
      <c r="AE181">
        <v>111.133</v>
      </c>
      <c r="AF181">
        <v>1.027287859172453</v>
      </c>
      <c r="AG181">
        <v>114.1655816534122</v>
      </c>
      <c r="AH181">
        <v>625.54</v>
      </c>
      <c r="AI181">
        <v>1</v>
      </c>
      <c r="AJ181">
        <v>71.4151379474755</v>
      </c>
      <c r="AK181">
        <v>0.95599999999999996</v>
      </c>
      <c r="AL181" s="63">
        <v>68.272999999999996</v>
      </c>
      <c r="AM181">
        <v>8.9176000000000002</v>
      </c>
      <c r="AN181">
        <v>9.1609422129562699</v>
      </c>
      <c r="AO181">
        <v>1</v>
      </c>
      <c r="AP181">
        <v>5730.5357918926647</v>
      </c>
      <c r="AQ181">
        <v>1.0027686628383921</v>
      </c>
      <c r="AR181">
        <v>5746.4017000000003</v>
      </c>
      <c r="AS181" s="61">
        <v>1152838.397004606</v>
      </c>
      <c r="AT181" t="s">
        <v>343</v>
      </c>
      <c r="AU181" t="s">
        <v>435</v>
      </c>
      <c r="AV181" t="s">
        <v>425</v>
      </c>
      <c r="AW181" t="s">
        <v>27</v>
      </c>
      <c r="AX181">
        <v>111.133</v>
      </c>
      <c r="AY181">
        <v>1.027287859172453</v>
      </c>
      <c r="AZ181">
        <v>114.1655816534122</v>
      </c>
      <c r="BA181">
        <v>636.15</v>
      </c>
      <c r="BB181">
        <v>1</v>
      </c>
      <c r="BC181">
        <v>72.6264347688182</v>
      </c>
      <c r="BD181">
        <v>0.95599999999999996</v>
      </c>
      <c r="BE181" s="63">
        <v>69.430999999999997</v>
      </c>
      <c r="BF181">
        <v>8.9176000000000002</v>
      </c>
      <c r="BG181">
        <v>1</v>
      </c>
      <c r="BH181">
        <v>5827.7333887721306</v>
      </c>
      <c r="BI181">
        <v>1.0027686628383921</v>
      </c>
      <c r="BJ181" s="63">
        <v>5843.8684000000003</v>
      </c>
      <c r="BK181" s="61">
        <v>1172392.0864359119</v>
      </c>
    </row>
    <row r="182" spans="1:63" x14ac:dyDescent="0.25">
      <c r="A182">
        <v>513</v>
      </c>
      <c r="B182" t="s">
        <v>139</v>
      </c>
      <c r="C182">
        <v>2018</v>
      </c>
      <c r="D182">
        <v>7</v>
      </c>
      <c r="E182" t="s">
        <v>100</v>
      </c>
      <c r="F182" t="s">
        <v>426</v>
      </c>
      <c r="G182" t="s">
        <v>427</v>
      </c>
      <c r="H182" t="s">
        <v>84</v>
      </c>
      <c r="I182" t="s">
        <v>428</v>
      </c>
      <c r="J182" t="s">
        <v>381</v>
      </c>
      <c r="K182">
        <v>-1342.4478473199999</v>
      </c>
      <c r="L182" t="s">
        <v>381</v>
      </c>
      <c r="M182" t="s">
        <v>384</v>
      </c>
      <c r="N182">
        <v>0.20175712613847999</v>
      </c>
      <c r="O182">
        <v>270.84841966607218</v>
      </c>
      <c r="P182" t="s">
        <v>440</v>
      </c>
      <c r="Q182">
        <v>2</v>
      </c>
      <c r="R182">
        <v>30.199670000000001</v>
      </c>
      <c r="S182">
        <v>7.6999999999999999E-2</v>
      </c>
      <c r="T182">
        <v>2.3253746</v>
      </c>
      <c r="U182">
        <v>1.9E-2</v>
      </c>
      <c r="V182">
        <v>44.182000000000002</v>
      </c>
      <c r="W182">
        <v>2</v>
      </c>
      <c r="X182">
        <v>3.3284737620000002E-3</v>
      </c>
      <c r="Y182">
        <v>0.29411700000000002</v>
      </c>
      <c r="Z182" s="61">
        <v>79.661124999999998</v>
      </c>
      <c r="AA182" t="s">
        <v>343</v>
      </c>
      <c r="AB182" t="s">
        <v>435</v>
      </c>
      <c r="AC182" t="s">
        <v>425</v>
      </c>
      <c r="AD182" t="s">
        <v>81</v>
      </c>
      <c r="AE182">
        <v>111.133</v>
      </c>
      <c r="AF182">
        <v>1.027287859172453</v>
      </c>
      <c r="AG182">
        <v>114.1655816534122</v>
      </c>
      <c r="AH182">
        <v>625.54</v>
      </c>
      <c r="AI182">
        <v>1</v>
      </c>
      <c r="AJ182">
        <v>71.4151379474755</v>
      </c>
      <c r="AK182">
        <v>0.92730000000000001</v>
      </c>
      <c r="AL182" s="63">
        <v>66.222999999999999</v>
      </c>
      <c r="AM182">
        <v>8.9176000000000002</v>
      </c>
      <c r="AN182">
        <v>9.1609422129562699</v>
      </c>
      <c r="AO182">
        <v>1</v>
      </c>
      <c r="AP182">
        <v>5730.5357918926647</v>
      </c>
      <c r="AQ182">
        <v>1.094557195571956</v>
      </c>
      <c r="AR182">
        <v>6272.3991999999998</v>
      </c>
      <c r="AS182" s="61">
        <v>499666.37672110001</v>
      </c>
      <c r="AT182" t="s">
        <v>346</v>
      </c>
      <c r="AU182" t="s">
        <v>436</v>
      </c>
      <c r="AV182" t="s">
        <v>425</v>
      </c>
      <c r="AW182" t="s">
        <v>81</v>
      </c>
      <c r="AX182">
        <v>111.133</v>
      </c>
      <c r="AY182">
        <v>1.0368587857491129</v>
      </c>
      <c r="AZ182">
        <v>115.2292274366562</v>
      </c>
      <c r="BA182">
        <v>652.41</v>
      </c>
      <c r="BB182">
        <v>1</v>
      </c>
      <c r="BC182">
        <v>75.17670027194886</v>
      </c>
      <c r="BD182">
        <v>0.90990000000000004</v>
      </c>
      <c r="BE182" s="63">
        <v>68.403000000000006</v>
      </c>
      <c r="BF182">
        <v>8.9176000000000002</v>
      </c>
      <c r="BG182">
        <v>1</v>
      </c>
      <c r="BH182">
        <v>6032.3733035653786</v>
      </c>
      <c r="BI182">
        <v>1.053620848708487</v>
      </c>
      <c r="BJ182" s="63">
        <v>6355.8343000000004</v>
      </c>
      <c r="BK182" s="61">
        <v>506312.91065158747</v>
      </c>
    </row>
    <row r="183" spans="1:63" x14ac:dyDescent="0.25">
      <c r="A183">
        <v>513</v>
      </c>
      <c r="B183" t="s">
        <v>139</v>
      </c>
      <c r="C183">
        <v>2018</v>
      </c>
      <c r="D183">
        <v>7</v>
      </c>
      <c r="E183" t="s">
        <v>100</v>
      </c>
      <c r="F183" t="s">
        <v>426</v>
      </c>
      <c r="G183" t="s">
        <v>427</v>
      </c>
      <c r="H183" t="s">
        <v>84</v>
      </c>
      <c r="I183" t="s">
        <v>429</v>
      </c>
      <c r="J183" t="s">
        <v>87</v>
      </c>
      <c r="K183">
        <v>-252.99031909000001</v>
      </c>
      <c r="L183" t="s">
        <v>87</v>
      </c>
      <c r="M183" t="s">
        <v>384</v>
      </c>
      <c r="N183">
        <v>0.19825300619041</v>
      </c>
      <c r="O183">
        <v>50.156091296663568</v>
      </c>
      <c r="P183" t="s">
        <v>440</v>
      </c>
      <c r="Q183">
        <v>2</v>
      </c>
      <c r="R183">
        <v>30.199670000000001</v>
      </c>
      <c r="S183">
        <v>7.6999999999999999E-2</v>
      </c>
      <c r="T183">
        <v>2.3253746</v>
      </c>
      <c r="U183">
        <v>1.9E-2</v>
      </c>
      <c r="V183">
        <v>44.182000000000002</v>
      </c>
      <c r="W183">
        <v>2</v>
      </c>
      <c r="X183">
        <v>3.3284737620000002E-3</v>
      </c>
      <c r="Y183">
        <v>0.29411700000000002</v>
      </c>
      <c r="Z183" s="61">
        <v>14.751759</v>
      </c>
      <c r="AA183" t="s">
        <v>343</v>
      </c>
      <c r="AB183" t="s">
        <v>435</v>
      </c>
      <c r="AC183" t="s">
        <v>425</v>
      </c>
      <c r="AD183" t="s">
        <v>81</v>
      </c>
      <c r="AE183">
        <v>111.133</v>
      </c>
      <c r="AF183">
        <v>1.027287859172453</v>
      </c>
      <c r="AG183">
        <v>114.1655816534122</v>
      </c>
      <c r="AH183">
        <v>625.54</v>
      </c>
      <c r="AI183">
        <v>1</v>
      </c>
      <c r="AJ183">
        <v>71.4151379474755</v>
      </c>
      <c r="AK183">
        <v>0.92730000000000001</v>
      </c>
      <c r="AL183" s="63">
        <v>66.222999999999999</v>
      </c>
      <c r="AM183">
        <v>8.9176000000000002</v>
      </c>
      <c r="AN183">
        <v>9.1609422129562699</v>
      </c>
      <c r="AO183">
        <v>1</v>
      </c>
      <c r="AP183">
        <v>5730.5357918926647</v>
      </c>
      <c r="AQ183">
        <v>1.094557195571956</v>
      </c>
      <c r="AR183">
        <v>6272.3991999999998</v>
      </c>
      <c r="AS183" s="61">
        <v>92528.921350192802</v>
      </c>
      <c r="AT183" t="s">
        <v>346</v>
      </c>
      <c r="AU183" t="s">
        <v>436</v>
      </c>
      <c r="AV183" t="s">
        <v>425</v>
      </c>
      <c r="AW183" t="s">
        <v>81</v>
      </c>
      <c r="AX183">
        <v>111.133</v>
      </c>
      <c r="AY183">
        <v>1.0368587857491129</v>
      </c>
      <c r="AZ183">
        <v>115.2292274366562</v>
      </c>
      <c r="BA183">
        <v>652.41</v>
      </c>
      <c r="BB183">
        <v>1</v>
      </c>
      <c r="BC183">
        <v>75.17670027194886</v>
      </c>
      <c r="BD183">
        <v>0.90990000000000004</v>
      </c>
      <c r="BE183" s="63">
        <v>68.403000000000006</v>
      </c>
      <c r="BF183">
        <v>8.9176000000000002</v>
      </c>
      <c r="BG183">
        <v>1</v>
      </c>
      <c r="BH183">
        <v>6032.3733035653786</v>
      </c>
      <c r="BI183">
        <v>1.053620848708487</v>
      </c>
      <c r="BJ183" s="63">
        <v>6355.8343000000004</v>
      </c>
      <c r="BK183" s="61">
        <v>93759.735837533706</v>
      </c>
    </row>
    <row r="184" spans="1:63" x14ac:dyDescent="0.25">
      <c r="A184">
        <v>513</v>
      </c>
      <c r="B184" t="s">
        <v>139</v>
      </c>
      <c r="C184">
        <v>2018</v>
      </c>
      <c r="D184">
        <v>7</v>
      </c>
      <c r="E184" t="s">
        <v>100</v>
      </c>
      <c r="F184" t="s">
        <v>426</v>
      </c>
      <c r="G184" t="s">
        <v>427</v>
      </c>
      <c r="H184" t="s">
        <v>84</v>
      </c>
      <c r="I184" t="s">
        <v>430</v>
      </c>
      <c r="J184" t="s">
        <v>59</v>
      </c>
      <c r="K184">
        <v>-735.08000726</v>
      </c>
      <c r="L184" t="s">
        <v>59</v>
      </c>
      <c r="M184" t="s">
        <v>384</v>
      </c>
      <c r="N184">
        <v>0.19448562178723</v>
      </c>
      <c r="O184">
        <v>142.9624922753226</v>
      </c>
      <c r="P184" t="s">
        <v>440</v>
      </c>
      <c r="Q184">
        <v>2</v>
      </c>
      <c r="R184">
        <v>30.199670000000001</v>
      </c>
      <c r="S184">
        <v>7.6999999999999999E-2</v>
      </c>
      <c r="T184">
        <v>2.3253746</v>
      </c>
      <c r="U184">
        <v>1.9E-2</v>
      </c>
      <c r="V184">
        <v>44.182000000000002</v>
      </c>
      <c r="W184">
        <v>2</v>
      </c>
      <c r="X184">
        <v>3.3284737620000002E-3</v>
      </c>
      <c r="Y184">
        <v>0.29411700000000002</v>
      </c>
      <c r="Z184" s="61">
        <v>42.047699000000001</v>
      </c>
      <c r="AA184" t="s">
        <v>343</v>
      </c>
      <c r="AB184" t="s">
        <v>435</v>
      </c>
      <c r="AC184" t="s">
        <v>425</v>
      </c>
      <c r="AD184" t="s">
        <v>81</v>
      </c>
      <c r="AE184">
        <v>111.133</v>
      </c>
      <c r="AF184">
        <v>1.027287859172453</v>
      </c>
      <c r="AG184">
        <v>114.1655816534122</v>
      </c>
      <c r="AH184">
        <v>625.54</v>
      </c>
      <c r="AI184">
        <v>1</v>
      </c>
      <c r="AJ184">
        <v>71.4151379474755</v>
      </c>
      <c r="AK184">
        <v>0.92730000000000001</v>
      </c>
      <c r="AL184" s="63">
        <v>66.222999999999999</v>
      </c>
      <c r="AM184">
        <v>8.9176000000000002</v>
      </c>
      <c r="AN184">
        <v>9.1609422129562699</v>
      </c>
      <c r="AO184">
        <v>1</v>
      </c>
      <c r="AP184">
        <v>5730.5357918926647</v>
      </c>
      <c r="AQ184">
        <v>1.094557195571956</v>
      </c>
      <c r="AR184">
        <v>6272.3991999999998</v>
      </c>
      <c r="AS184" s="61">
        <v>263739.95356944081</v>
      </c>
      <c r="AT184" t="s">
        <v>346</v>
      </c>
      <c r="AU184" t="s">
        <v>436</v>
      </c>
      <c r="AV184" t="s">
        <v>425</v>
      </c>
      <c r="AW184" t="s">
        <v>81</v>
      </c>
      <c r="AX184">
        <v>111.133</v>
      </c>
      <c r="AY184">
        <v>1.0368587857491129</v>
      </c>
      <c r="AZ184">
        <v>115.2292274366562</v>
      </c>
      <c r="BA184">
        <v>652.41</v>
      </c>
      <c r="BB184">
        <v>1</v>
      </c>
      <c r="BC184">
        <v>75.17670027194886</v>
      </c>
      <c r="BD184">
        <v>0.90990000000000004</v>
      </c>
      <c r="BE184" s="63">
        <v>68.403000000000006</v>
      </c>
      <c r="BF184">
        <v>8.9176000000000002</v>
      </c>
      <c r="BG184">
        <v>1</v>
      </c>
      <c r="BH184">
        <v>6032.3733035653786</v>
      </c>
      <c r="BI184">
        <v>1.053620848708487</v>
      </c>
      <c r="BJ184" s="63">
        <v>6355.8343000000004</v>
      </c>
      <c r="BK184" s="61">
        <v>267248.2075402757</v>
      </c>
    </row>
    <row r="185" spans="1:63" x14ac:dyDescent="0.25">
      <c r="A185">
        <v>515</v>
      </c>
      <c r="B185" t="s">
        <v>139</v>
      </c>
      <c r="C185">
        <v>2018</v>
      </c>
      <c r="D185">
        <v>7</v>
      </c>
      <c r="E185" t="s">
        <v>100</v>
      </c>
      <c r="F185" t="s">
        <v>426</v>
      </c>
      <c r="G185" t="s">
        <v>427</v>
      </c>
      <c r="H185" t="s">
        <v>84</v>
      </c>
      <c r="I185" t="s">
        <v>428</v>
      </c>
      <c r="J185" t="s">
        <v>381</v>
      </c>
      <c r="K185">
        <v>-1342.4478473199999</v>
      </c>
      <c r="L185" t="s">
        <v>381</v>
      </c>
      <c r="M185" t="s">
        <v>385</v>
      </c>
      <c r="N185">
        <v>0.45395728808484997</v>
      </c>
      <c r="O185">
        <v>609.41398416473191</v>
      </c>
      <c r="P185" t="s">
        <v>440</v>
      </c>
      <c r="Q185">
        <v>2</v>
      </c>
      <c r="R185">
        <v>30.199670000000001</v>
      </c>
      <c r="S185">
        <v>7.6999999999999999E-2</v>
      </c>
      <c r="T185">
        <v>2.3253746</v>
      </c>
      <c r="U185">
        <v>0.98099999999999998</v>
      </c>
      <c r="V185">
        <v>2281.192</v>
      </c>
      <c r="W185">
        <v>2</v>
      </c>
      <c r="X185">
        <v>6.4465770999999996E-5</v>
      </c>
      <c r="Y185">
        <v>0.29411799999999999</v>
      </c>
      <c r="Z185" s="61">
        <v>179.239622</v>
      </c>
      <c r="AA185" t="s">
        <v>343</v>
      </c>
      <c r="AB185" t="s">
        <v>435</v>
      </c>
      <c r="AC185" t="s">
        <v>425</v>
      </c>
      <c r="AD185" t="s">
        <v>27</v>
      </c>
      <c r="AE185">
        <v>111.133</v>
      </c>
      <c r="AF185">
        <v>1.027287859172453</v>
      </c>
      <c r="AG185">
        <v>114.1655816534122</v>
      </c>
      <c r="AH185">
        <v>625.54</v>
      </c>
      <c r="AI185">
        <v>1</v>
      </c>
      <c r="AJ185">
        <v>71.4151379474755</v>
      </c>
      <c r="AK185">
        <v>0.95599999999999996</v>
      </c>
      <c r="AL185" s="63">
        <v>68.272999999999996</v>
      </c>
      <c r="AM185">
        <v>8.9176000000000002</v>
      </c>
      <c r="AN185">
        <v>9.1609422129562699</v>
      </c>
      <c r="AO185">
        <v>1</v>
      </c>
      <c r="AP185">
        <v>5730.5357918926647</v>
      </c>
      <c r="AQ185">
        <v>1.0027686628383921</v>
      </c>
      <c r="AR185">
        <v>5746.4017000000003</v>
      </c>
      <c r="AS185" s="61">
        <v>1029982.868568157</v>
      </c>
      <c r="AT185" t="s">
        <v>346</v>
      </c>
      <c r="AU185" t="s">
        <v>436</v>
      </c>
      <c r="AV185" t="s">
        <v>425</v>
      </c>
      <c r="AW185" t="s">
        <v>27</v>
      </c>
      <c r="AX185">
        <v>111.133</v>
      </c>
      <c r="AY185">
        <v>1.0368587857491129</v>
      </c>
      <c r="AZ185">
        <v>115.2292274366562</v>
      </c>
      <c r="BA185">
        <v>652.41</v>
      </c>
      <c r="BB185">
        <v>1</v>
      </c>
      <c r="BC185">
        <v>75.17670027194886</v>
      </c>
      <c r="BD185">
        <v>0.93979999999999997</v>
      </c>
      <c r="BE185" s="63">
        <v>70.650999999999996</v>
      </c>
      <c r="BF185">
        <v>8.9176000000000002</v>
      </c>
      <c r="BG185">
        <v>1</v>
      </c>
      <c r="BH185">
        <v>6032.3733035653786</v>
      </c>
      <c r="BI185">
        <v>0.95477850697292876</v>
      </c>
      <c r="BJ185" s="63">
        <v>5759.5803999999998</v>
      </c>
      <c r="BK185" s="61">
        <v>1032345.013774609</v>
      </c>
    </row>
    <row r="186" spans="1:63" x14ac:dyDescent="0.25">
      <c r="A186">
        <v>515</v>
      </c>
      <c r="B186" t="s">
        <v>139</v>
      </c>
      <c r="C186">
        <v>2018</v>
      </c>
      <c r="D186">
        <v>7</v>
      </c>
      <c r="E186" t="s">
        <v>100</v>
      </c>
      <c r="F186" t="s">
        <v>426</v>
      </c>
      <c r="G186" t="s">
        <v>427</v>
      </c>
      <c r="H186" t="s">
        <v>84</v>
      </c>
      <c r="I186" t="s">
        <v>429</v>
      </c>
      <c r="J186" t="s">
        <v>87</v>
      </c>
      <c r="K186">
        <v>-252.99031909000001</v>
      </c>
      <c r="L186" t="s">
        <v>87</v>
      </c>
      <c r="M186" t="s">
        <v>385</v>
      </c>
      <c r="N186">
        <v>0.39630375236307003</v>
      </c>
      <c r="O186">
        <v>100.26101276689739</v>
      </c>
      <c r="P186" t="s">
        <v>440</v>
      </c>
      <c r="Q186">
        <v>2</v>
      </c>
      <c r="R186">
        <v>30.199670000000001</v>
      </c>
      <c r="S186">
        <v>7.6999999999999999E-2</v>
      </c>
      <c r="T186">
        <v>2.3253746</v>
      </c>
      <c r="U186">
        <v>0.98099999999999998</v>
      </c>
      <c r="V186">
        <v>2281.192</v>
      </c>
      <c r="W186">
        <v>2</v>
      </c>
      <c r="X186">
        <v>6.4465770999999996E-5</v>
      </c>
      <c r="Y186">
        <v>0.29411799999999999</v>
      </c>
      <c r="Z186" s="61">
        <v>29.488568999999998</v>
      </c>
      <c r="AA186" t="s">
        <v>343</v>
      </c>
      <c r="AB186" t="s">
        <v>435</v>
      </c>
      <c r="AC186" t="s">
        <v>425</v>
      </c>
      <c r="AD186" t="s">
        <v>27</v>
      </c>
      <c r="AE186">
        <v>111.133</v>
      </c>
      <c r="AF186">
        <v>1.027287859172453</v>
      </c>
      <c r="AG186">
        <v>114.1655816534122</v>
      </c>
      <c r="AH186">
        <v>625.54</v>
      </c>
      <c r="AI186">
        <v>1</v>
      </c>
      <c r="AJ186">
        <v>71.4151379474755</v>
      </c>
      <c r="AK186">
        <v>0.95599999999999996</v>
      </c>
      <c r="AL186" s="63">
        <v>68.272999999999996</v>
      </c>
      <c r="AM186">
        <v>8.9176000000000002</v>
      </c>
      <c r="AN186">
        <v>9.1609422129562699</v>
      </c>
      <c r="AO186">
        <v>1</v>
      </c>
      <c r="AP186">
        <v>5730.5357918926647</v>
      </c>
      <c r="AQ186">
        <v>1.0027686628383921</v>
      </c>
      <c r="AR186">
        <v>5746.4017000000003</v>
      </c>
      <c r="AS186" s="61">
        <v>169453.1630321673</v>
      </c>
      <c r="AT186" t="s">
        <v>346</v>
      </c>
      <c r="AU186" t="s">
        <v>436</v>
      </c>
      <c r="AV186" t="s">
        <v>425</v>
      </c>
      <c r="AW186" t="s">
        <v>27</v>
      </c>
      <c r="AX186">
        <v>111.133</v>
      </c>
      <c r="AY186">
        <v>1.0368587857491129</v>
      </c>
      <c r="AZ186">
        <v>115.2292274366562</v>
      </c>
      <c r="BA186">
        <v>652.41</v>
      </c>
      <c r="BB186">
        <v>1</v>
      </c>
      <c r="BC186">
        <v>75.17670027194886</v>
      </c>
      <c r="BD186">
        <v>0.93979999999999997</v>
      </c>
      <c r="BE186" s="63">
        <v>70.650999999999996</v>
      </c>
      <c r="BF186">
        <v>8.9176000000000002</v>
      </c>
      <c r="BG186">
        <v>1</v>
      </c>
      <c r="BH186">
        <v>6032.3733035653786</v>
      </c>
      <c r="BI186">
        <v>0.95477850697292876</v>
      </c>
      <c r="BJ186" s="63">
        <v>5759.5803999999998</v>
      </c>
      <c r="BK186" s="61">
        <v>169841.78403644761</v>
      </c>
    </row>
    <row r="187" spans="1:63" x14ac:dyDescent="0.25">
      <c r="A187">
        <v>515</v>
      </c>
      <c r="B187" t="s">
        <v>139</v>
      </c>
      <c r="C187">
        <v>2018</v>
      </c>
      <c r="D187">
        <v>7</v>
      </c>
      <c r="E187" t="s">
        <v>100</v>
      </c>
      <c r="F187" t="s">
        <v>426</v>
      </c>
      <c r="G187" t="s">
        <v>427</v>
      </c>
      <c r="H187" t="s">
        <v>84</v>
      </c>
      <c r="I187" t="s">
        <v>430</v>
      </c>
      <c r="J187" t="s">
        <v>59</v>
      </c>
      <c r="K187">
        <v>-735.08000726</v>
      </c>
      <c r="L187" t="s">
        <v>59</v>
      </c>
      <c r="M187" t="s">
        <v>385</v>
      </c>
      <c r="N187">
        <v>0.43959706019025002</v>
      </c>
      <c r="O187">
        <v>323.13901019612359</v>
      </c>
      <c r="P187" t="s">
        <v>440</v>
      </c>
      <c r="Q187">
        <v>2</v>
      </c>
      <c r="R187">
        <v>30.199670000000001</v>
      </c>
      <c r="S187">
        <v>7.6999999999999999E-2</v>
      </c>
      <c r="T187">
        <v>2.3253746</v>
      </c>
      <c r="U187">
        <v>0.98099999999999998</v>
      </c>
      <c r="V187">
        <v>2281.192</v>
      </c>
      <c r="W187">
        <v>2</v>
      </c>
      <c r="X187">
        <v>6.4465770999999996E-5</v>
      </c>
      <c r="Y187">
        <v>0.29411799999999999</v>
      </c>
      <c r="Z187" s="61">
        <v>95.040998999999999</v>
      </c>
      <c r="AA187" t="s">
        <v>343</v>
      </c>
      <c r="AB187" t="s">
        <v>435</v>
      </c>
      <c r="AC187" t="s">
        <v>425</v>
      </c>
      <c r="AD187" t="s">
        <v>27</v>
      </c>
      <c r="AE187">
        <v>111.133</v>
      </c>
      <c r="AF187">
        <v>1.027287859172453</v>
      </c>
      <c r="AG187">
        <v>114.1655816534122</v>
      </c>
      <c r="AH187">
        <v>625.54</v>
      </c>
      <c r="AI187">
        <v>1</v>
      </c>
      <c r="AJ187">
        <v>71.4151379474755</v>
      </c>
      <c r="AK187">
        <v>0.95599999999999996</v>
      </c>
      <c r="AL187" s="63">
        <v>68.272999999999996</v>
      </c>
      <c r="AM187">
        <v>8.9176000000000002</v>
      </c>
      <c r="AN187">
        <v>9.1609422129562699</v>
      </c>
      <c r="AO187">
        <v>1</v>
      </c>
      <c r="AP187">
        <v>5730.5357918926647</v>
      </c>
      <c r="AQ187">
        <v>1.0027686628383921</v>
      </c>
      <c r="AR187">
        <v>5746.4017000000003</v>
      </c>
      <c r="AS187" s="61">
        <v>546143.75822329836</v>
      </c>
      <c r="AT187" t="s">
        <v>346</v>
      </c>
      <c r="AU187" t="s">
        <v>436</v>
      </c>
      <c r="AV187" t="s">
        <v>425</v>
      </c>
      <c r="AW187" t="s">
        <v>27</v>
      </c>
      <c r="AX187">
        <v>111.133</v>
      </c>
      <c r="AY187">
        <v>1.0368587857491129</v>
      </c>
      <c r="AZ187">
        <v>115.2292274366562</v>
      </c>
      <c r="BA187">
        <v>652.41</v>
      </c>
      <c r="BB187">
        <v>1</v>
      </c>
      <c r="BC187">
        <v>75.17670027194886</v>
      </c>
      <c r="BD187">
        <v>0.93979999999999997</v>
      </c>
      <c r="BE187" s="63">
        <v>70.650999999999996</v>
      </c>
      <c r="BF187">
        <v>8.9176000000000002</v>
      </c>
      <c r="BG187">
        <v>1</v>
      </c>
      <c r="BH187">
        <v>6032.3733035653786</v>
      </c>
      <c r="BI187">
        <v>0.95477850697292876</v>
      </c>
      <c r="BJ187" s="63">
        <v>5759.5803999999998</v>
      </c>
      <c r="BK187" s="61">
        <v>547396.27503681963</v>
      </c>
    </row>
    <row r="188" spans="1:63" x14ac:dyDescent="0.25">
      <c r="A188">
        <v>533</v>
      </c>
      <c r="B188" t="s">
        <v>140</v>
      </c>
      <c r="C188">
        <v>2018</v>
      </c>
      <c r="D188">
        <v>8</v>
      </c>
      <c r="E188" t="s">
        <v>100</v>
      </c>
      <c r="F188" t="s">
        <v>426</v>
      </c>
      <c r="G188" t="s">
        <v>427</v>
      </c>
      <c r="H188" t="s">
        <v>84</v>
      </c>
      <c r="I188" t="s">
        <v>428</v>
      </c>
      <c r="J188" t="s">
        <v>381</v>
      </c>
      <c r="K188">
        <v>-1224.73443279</v>
      </c>
      <c r="L188" t="s">
        <v>381</v>
      </c>
      <c r="M188" t="s">
        <v>384</v>
      </c>
      <c r="N188">
        <v>0.20160579082968999</v>
      </c>
      <c r="O188">
        <v>246.91355387897971</v>
      </c>
      <c r="P188" t="s">
        <v>440</v>
      </c>
      <c r="Q188">
        <v>2</v>
      </c>
      <c r="R188">
        <v>30.199670000000001</v>
      </c>
      <c r="S188">
        <v>5.3999999999999999E-2</v>
      </c>
      <c r="T188">
        <v>1.6307822000000001</v>
      </c>
      <c r="U188">
        <v>1.9E-2</v>
      </c>
      <c r="V188">
        <v>30.984999999999999</v>
      </c>
      <c r="W188">
        <v>2</v>
      </c>
      <c r="X188">
        <v>4.7461520570000002E-3</v>
      </c>
      <c r="Y188">
        <v>0.29411900000000002</v>
      </c>
      <c r="Z188" s="61">
        <v>72.621967999999995</v>
      </c>
      <c r="AA188" t="s">
        <v>343</v>
      </c>
      <c r="AB188" t="s">
        <v>435</v>
      </c>
      <c r="AC188" t="s">
        <v>425</v>
      </c>
      <c r="AD188" t="s">
        <v>81</v>
      </c>
      <c r="AE188">
        <v>111.133</v>
      </c>
      <c r="AF188">
        <v>1.027287859172453</v>
      </c>
      <c r="AG188">
        <v>114.1655816534122</v>
      </c>
      <c r="AH188">
        <v>625.54</v>
      </c>
      <c r="AI188">
        <v>1</v>
      </c>
      <c r="AJ188">
        <v>71.4151379474755</v>
      </c>
      <c r="AK188">
        <v>0.92730000000000001</v>
      </c>
      <c r="AL188" s="63">
        <v>66.222999999999999</v>
      </c>
      <c r="AM188">
        <v>8.9176000000000002</v>
      </c>
      <c r="AN188">
        <v>9.1609422129562699</v>
      </c>
      <c r="AO188">
        <v>1</v>
      </c>
      <c r="AP188">
        <v>5730.5357918926647</v>
      </c>
      <c r="AQ188">
        <v>1.094557195571956</v>
      </c>
      <c r="AR188">
        <v>6272.3991999999998</v>
      </c>
      <c r="AS188" s="61">
        <v>455513.97398562549</v>
      </c>
      <c r="AT188" t="s">
        <v>346</v>
      </c>
      <c r="AU188" t="s">
        <v>436</v>
      </c>
      <c r="AV188" t="s">
        <v>425</v>
      </c>
      <c r="AW188" t="s">
        <v>81</v>
      </c>
      <c r="AX188">
        <v>111.133</v>
      </c>
      <c r="AY188">
        <v>1.0368587857491129</v>
      </c>
      <c r="AZ188">
        <v>115.2292274366562</v>
      </c>
      <c r="BA188">
        <v>656.25</v>
      </c>
      <c r="BB188">
        <v>1</v>
      </c>
      <c r="BC188">
        <v>75.619180505305636</v>
      </c>
      <c r="BD188">
        <v>0.90990000000000004</v>
      </c>
      <c r="BE188" s="63">
        <v>68.805999999999997</v>
      </c>
      <c r="BF188">
        <v>8.9176000000000002</v>
      </c>
      <c r="BG188">
        <v>1</v>
      </c>
      <c r="BH188">
        <v>6067.879064491317</v>
      </c>
      <c r="BI188">
        <v>1.053620848708487</v>
      </c>
      <c r="BJ188" s="63">
        <v>6393.2439000000004</v>
      </c>
      <c r="BK188" s="61">
        <v>464289.95392199518</v>
      </c>
    </row>
    <row r="189" spans="1:63" x14ac:dyDescent="0.25">
      <c r="A189">
        <v>533</v>
      </c>
      <c r="B189" t="s">
        <v>140</v>
      </c>
      <c r="C189">
        <v>2018</v>
      </c>
      <c r="D189">
        <v>8</v>
      </c>
      <c r="E189" t="s">
        <v>100</v>
      </c>
      <c r="F189" t="s">
        <v>426</v>
      </c>
      <c r="G189" t="s">
        <v>427</v>
      </c>
      <c r="H189" t="s">
        <v>84</v>
      </c>
      <c r="I189" t="s">
        <v>429</v>
      </c>
      <c r="J189" t="s">
        <v>87</v>
      </c>
      <c r="K189">
        <v>-241.96369261000001</v>
      </c>
      <c r="L189" t="s">
        <v>87</v>
      </c>
      <c r="M189" t="s">
        <v>384</v>
      </c>
      <c r="N189">
        <v>0.19810429927807999</v>
      </c>
      <c r="O189">
        <v>47.934047775240799</v>
      </c>
      <c r="P189" t="s">
        <v>440</v>
      </c>
      <c r="Q189">
        <v>2</v>
      </c>
      <c r="R189">
        <v>30.199670000000001</v>
      </c>
      <c r="S189">
        <v>5.3999999999999999E-2</v>
      </c>
      <c r="T189">
        <v>1.6307822000000001</v>
      </c>
      <c r="U189">
        <v>1.9E-2</v>
      </c>
      <c r="V189">
        <v>30.984999999999999</v>
      </c>
      <c r="W189">
        <v>2</v>
      </c>
      <c r="X189">
        <v>4.7461520570000002E-3</v>
      </c>
      <c r="Y189">
        <v>0.29411900000000002</v>
      </c>
      <c r="Z189" s="61">
        <v>14.098314</v>
      </c>
      <c r="AA189" t="s">
        <v>343</v>
      </c>
      <c r="AB189" t="s">
        <v>435</v>
      </c>
      <c r="AC189" t="s">
        <v>425</v>
      </c>
      <c r="AD189" t="s">
        <v>81</v>
      </c>
      <c r="AE189">
        <v>111.133</v>
      </c>
      <c r="AF189">
        <v>1.027287859172453</v>
      </c>
      <c r="AG189">
        <v>114.1655816534122</v>
      </c>
      <c r="AH189">
        <v>625.54</v>
      </c>
      <c r="AI189">
        <v>1</v>
      </c>
      <c r="AJ189">
        <v>71.4151379474755</v>
      </c>
      <c r="AK189">
        <v>0.92730000000000001</v>
      </c>
      <c r="AL189" s="63">
        <v>66.222999999999999</v>
      </c>
      <c r="AM189">
        <v>8.9176000000000002</v>
      </c>
      <c r="AN189">
        <v>9.1609422129562699</v>
      </c>
      <c r="AO189">
        <v>1</v>
      </c>
      <c r="AP189">
        <v>5730.5357918926647</v>
      </c>
      <c r="AQ189">
        <v>1.094557195571956</v>
      </c>
      <c r="AR189">
        <v>6272.3991999999998</v>
      </c>
      <c r="AS189" s="61">
        <v>88430.253454948805</v>
      </c>
      <c r="AT189" t="s">
        <v>346</v>
      </c>
      <c r="AU189" t="s">
        <v>436</v>
      </c>
      <c r="AV189" t="s">
        <v>425</v>
      </c>
      <c r="AW189" t="s">
        <v>81</v>
      </c>
      <c r="AX189">
        <v>111.133</v>
      </c>
      <c r="AY189">
        <v>1.0368587857491129</v>
      </c>
      <c r="AZ189">
        <v>115.2292274366562</v>
      </c>
      <c r="BA189">
        <v>656.25</v>
      </c>
      <c r="BB189">
        <v>1</v>
      </c>
      <c r="BC189">
        <v>75.619180505305636</v>
      </c>
      <c r="BD189">
        <v>0.90990000000000004</v>
      </c>
      <c r="BE189" s="63">
        <v>68.805999999999997</v>
      </c>
      <c r="BF189">
        <v>8.9176000000000002</v>
      </c>
      <c r="BG189">
        <v>1</v>
      </c>
      <c r="BH189">
        <v>6067.879064491317</v>
      </c>
      <c r="BI189">
        <v>1.053620848708487</v>
      </c>
      <c r="BJ189" s="63">
        <v>6393.2439000000004</v>
      </c>
      <c r="BK189" s="61">
        <v>90133.95998078461</v>
      </c>
    </row>
    <row r="190" spans="1:63" x14ac:dyDescent="0.25">
      <c r="A190">
        <v>533</v>
      </c>
      <c r="B190" t="s">
        <v>140</v>
      </c>
      <c r="C190">
        <v>2018</v>
      </c>
      <c r="D190">
        <v>8</v>
      </c>
      <c r="E190" t="s">
        <v>100</v>
      </c>
      <c r="F190" t="s">
        <v>426</v>
      </c>
      <c r="G190" t="s">
        <v>427</v>
      </c>
      <c r="H190" t="s">
        <v>84</v>
      </c>
      <c r="I190" t="s">
        <v>430</v>
      </c>
      <c r="J190" t="s">
        <v>59</v>
      </c>
      <c r="K190">
        <v>-666.51787973</v>
      </c>
      <c r="L190" t="s">
        <v>59</v>
      </c>
      <c r="M190" t="s">
        <v>384</v>
      </c>
      <c r="N190">
        <v>0.19433974073592999</v>
      </c>
      <c r="O190">
        <v>129.53091194259</v>
      </c>
      <c r="P190" t="s">
        <v>440</v>
      </c>
      <c r="Q190">
        <v>2</v>
      </c>
      <c r="R190">
        <v>30.199670000000001</v>
      </c>
      <c r="S190">
        <v>5.3999999999999999E-2</v>
      </c>
      <c r="T190">
        <v>1.6307822000000001</v>
      </c>
      <c r="U190">
        <v>1.9E-2</v>
      </c>
      <c r="V190">
        <v>30.984999999999999</v>
      </c>
      <c r="W190">
        <v>2</v>
      </c>
      <c r="X190">
        <v>4.7461520570000002E-3</v>
      </c>
      <c r="Y190">
        <v>0.29411900000000002</v>
      </c>
      <c r="Z190" s="61">
        <v>38.097501999999999</v>
      </c>
      <c r="AA190" t="s">
        <v>343</v>
      </c>
      <c r="AB190" t="s">
        <v>435</v>
      </c>
      <c r="AC190" t="s">
        <v>425</v>
      </c>
      <c r="AD190" t="s">
        <v>81</v>
      </c>
      <c r="AE190">
        <v>111.133</v>
      </c>
      <c r="AF190">
        <v>1.027287859172453</v>
      </c>
      <c r="AG190">
        <v>114.1655816534122</v>
      </c>
      <c r="AH190">
        <v>625.54</v>
      </c>
      <c r="AI190">
        <v>1</v>
      </c>
      <c r="AJ190">
        <v>71.4151379474755</v>
      </c>
      <c r="AK190">
        <v>0.92730000000000001</v>
      </c>
      <c r="AL190" s="63">
        <v>66.222999999999999</v>
      </c>
      <c r="AM190">
        <v>8.9176000000000002</v>
      </c>
      <c r="AN190">
        <v>9.1609422129562699</v>
      </c>
      <c r="AO190">
        <v>1</v>
      </c>
      <c r="AP190">
        <v>5730.5357918926647</v>
      </c>
      <c r="AQ190">
        <v>1.094557195571956</v>
      </c>
      <c r="AR190">
        <v>6272.3991999999998</v>
      </c>
      <c r="AS190" s="61">
        <v>238962.74106679839</v>
      </c>
      <c r="AT190" t="s">
        <v>346</v>
      </c>
      <c r="AU190" t="s">
        <v>436</v>
      </c>
      <c r="AV190" t="s">
        <v>425</v>
      </c>
      <c r="AW190" t="s">
        <v>81</v>
      </c>
      <c r="AX190">
        <v>111.133</v>
      </c>
      <c r="AY190">
        <v>1.0368587857491129</v>
      </c>
      <c r="AZ190">
        <v>115.2292274366562</v>
      </c>
      <c r="BA190">
        <v>656.25</v>
      </c>
      <c r="BB190">
        <v>1</v>
      </c>
      <c r="BC190">
        <v>75.619180505305636</v>
      </c>
      <c r="BD190">
        <v>0.90990000000000004</v>
      </c>
      <c r="BE190" s="63">
        <v>68.805999999999997</v>
      </c>
      <c r="BF190">
        <v>8.9176000000000002</v>
      </c>
      <c r="BG190">
        <v>1</v>
      </c>
      <c r="BH190">
        <v>6067.879064491317</v>
      </c>
      <c r="BI190">
        <v>1.053620848708487</v>
      </c>
      <c r="BJ190" s="63">
        <v>6393.2439000000004</v>
      </c>
      <c r="BK190" s="61">
        <v>243566.6222667378</v>
      </c>
    </row>
    <row r="191" spans="1:63" x14ac:dyDescent="0.25">
      <c r="A191">
        <v>535</v>
      </c>
      <c r="B191" t="s">
        <v>140</v>
      </c>
      <c r="C191">
        <v>2018</v>
      </c>
      <c r="D191">
        <v>8</v>
      </c>
      <c r="E191" t="s">
        <v>100</v>
      </c>
      <c r="F191" t="s">
        <v>426</v>
      </c>
      <c r="G191" t="s">
        <v>427</v>
      </c>
      <c r="H191" t="s">
        <v>84</v>
      </c>
      <c r="I191" t="s">
        <v>428</v>
      </c>
      <c r="J191" t="s">
        <v>381</v>
      </c>
      <c r="K191">
        <v>-1224.73443279</v>
      </c>
      <c r="L191" t="s">
        <v>381</v>
      </c>
      <c r="M191" t="s">
        <v>385</v>
      </c>
      <c r="N191">
        <v>0.45361678082336998</v>
      </c>
      <c r="O191">
        <v>555.56009076573582</v>
      </c>
      <c r="P191" t="s">
        <v>440</v>
      </c>
      <c r="Q191">
        <v>2</v>
      </c>
      <c r="R191">
        <v>30.199670000000001</v>
      </c>
      <c r="S191">
        <v>5.3999999999999999E-2</v>
      </c>
      <c r="T191">
        <v>1.6307822000000001</v>
      </c>
      <c r="U191">
        <v>0.98099999999999998</v>
      </c>
      <c r="V191">
        <v>1599.797</v>
      </c>
      <c r="W191">
        <v>2</v>
      </c>
      <c r="X191">
        <v>9.1923415999999999E-5</v>
      </c>
      <c r="Y191">
        <v>0.29411799999999999</v>
      </c>
      <c r="Z191" s="61">
        <v>163.40022300000001</v>
      </c>
      <c r="AA191" t="s">
        <v>343</v>
      </c>
      <c r="AB191" t="s">
        <v>435</v>
      </c>
      <c r="AC191" t="s">
        <v>425</v>
      </c>
      <c r="AD191" t="s">
        <v>27</v>
      </c>
      <c r="AE191">
        <v>111.133</v>
      </c>
      <c r="AF191">
        <v>1.027287859172453</v>
      </c>
      <c r="AG191">
        <v>114.1655816534122</v>
      </c>
      <c r="AH191">
        <v>625.54</v>
      </c>
      <c r="AI191">
        <v>1</v>
      </c>
      <c r="AJ191">
        <v>71.4151379474755</v>
      </c>
      <c r="AK191">
        <v>0.95599999999999996</v>
      </c>
      <c r="AL191" s="63">
        <v>68.272999999999996</v>
      </c>
      <c r="AM191">
        <v>8.9176000000000002</v>
      </c>
      <c r="AN191">
        <v>9.1609422129562699</v>
      </c>
      <c r="AO191">
        <v>1</v>
      </c>
      <c r="AP191">
        <v>5730.5357918926647</v>
      </c>
      <c r="AQ191">
        <v>1.0027686628383921</v>
      </c>
      <c r="AR191">
        <v>5746.4017000000003</v>
      </c>
      <c r="AS191" s="61">
        <v>938963.31922757917</v>
      </c>
      <c r="AT191" t="s">
        <v>346</v>
      </c>
      <c r="AU191" t="s">
        <v>436</v>
      </c>
      <c r="AV191" t="s">
        <v>425</v>
      </c>
      <c r="AW191" t="s">
        <v>27</v>
      </c>
      <c r="AX191">
        <v>111.133</v>
      </c>
      <c r="AY191">
        <v>1.0368587857491129</v>
      </c>
      <c r="AZ191">
        <v>115.2292274366562</v>
      </c>
      <c r="BA191">
        <v>656.25</v>
      </c>
      <c r="BB191">
        <v>1</v>
      </c>
      <c r="BC191">
        <v>75.619180505305636</v>
      </c>
      <c r="BD191">
        <v>0.93979999999999997</v>
      </c>
      <c r="BE191" s="63">
        <v>71.066999999999993</v>
      </c>
      <c r="BF191">
        <v>8.9176000000000002</v>
      </c>
      <c r="BG191">
        <v>1</v>
      </c>
      <c r="BH191">
        <v>6067.879064491317</v>
      </c>
      <c r="BI191">
        <v>0.95477850697292876</v>
      </c>
      <c r="BJ191" s="63">
        <v>5793.4804999999997</v>
      </c>
      <c r="BK191" s="61">
        <v>946656.00564615149</v>
      </c>
    </row>
    <row r="192" spans="1:63" x14ac:dyDescent="0.25">
      <c r="A192">
        <v>535</v>
      </c>
      <c r="B192" t="s">
        <v>140</v>
      </c>
      <c r="C192">
        <v>2018</v>
      </c>
      <c r="D192">
        <v>8</v>
      </c>
      <c r="E192" t="s">
        <v>100</v>
      </c>
      <c r="F192" t="s">
        <v>426</v>
      </c>
      <c r="G192" t="s">
        <v>427</v>
      </c>
      <c r="H192" t="s">
        <v>84</v>
      </c>
      <c r="I192" t="s">
        <v>429</v>
      </c>
      <c r="J192" t="s">
        <v>87</v>
      </c>
      <c r="K192">
        <v>-241.96369261000001</v>
      </c>
      <c r="L192" t="s">
        <v>87</v>
      </c>
      <c r="M192" t="s">
        <v>385</v>
      </c>
      <c r="N192">
        <v>0.39600649024447998</v>
      </c>
      <c r="O192">
        <v>95.819192677080324</v>
      </c>
      <c r="P192" t="s">
        <v>440</v>
      </c>
      <c r="Q192">
        <v>2</v>
      </c>
      <c r="R192">
        <v>30.199670000000001</v>
      </c>
      <c r="S192">
        <v>5.3999999999999999E-2</v>
      </c>
      <c r="T192">
        <v>1.6307822000000001</v>
      </c>
      <c r="U192">
        <v>0.98099999999999998</v>
      </c>
      <c r="V192">
        <v>1599.797</v>
      </c>
      <c r="W192">
        <v>2</v>
      </c>
      <c r="X192">
        <v>9.1923415999999999E-5</v>
      </c>
      <c r="Y192">
        <v>0.29411799999999999</v>
      </c>
      <c r="Z192" s="61">
        <v>28.182148999999999</v>
      </c>
      <c r="AA192" t="s">
        <v>343</v>
      </c>
      <c r="AB192" t="s">
        <v>435</v>
      </c>
      <c r="AC192" t="s">
        <v>425</v>
      </c>
      <c r="AD192" t="s">
        <v>27</v>
      </c>
      <c r="AE192">
        <v>111.133</v>
      </c>
      <c r="AF192">
        <v>1.027287859172453</v>
      </c>
      <c r="AG192">
        <v>114.1655816534122</v>
      </c>
      <c r="AH192">
        <v>625.54</v>
      </c>
      <c r="AI192">
        <v>1</v>
      </c>
      <c r="AJ192">
        <v>71.4151379474755</v>
      </c>
      <c r="AK192">
        <v>0.95599999999999996</v>
      </c>
      <c r="AL192" s="63">
        <v>68.272999999999996</v>
      </c>
      <c r="AM192">
        <v>8.9176000000000002</v>
      </c>
      <c r="AN192">
        <v>9.1609422129562699</v>
      </c>
      <c r="AO192">
        <v>1</v>
      </c>
      <c r="AP192">
        <v>5730.5357918926647</v>
      </c>
      <c r="AQ192">
        <v>1.0027686628383921</v>
      </c>
      <c r="AR192">
        <v>5746.4017000000003</v>
      </c>
      <c r="AS192" s="61">
        <v>161945.94892325331</v>
      </c>
      <c r="AT192" t="s">
        <v>346</v>
      </c>
      <c r="AU192" t="s">
        <v>436</v>
      </c>
      <c r="AV192" t="s">
        <v>425</v>
      </c>
      <c r="AW192" t="s">
        <v>27</v>
      </c>
      <c r="AX192">
        <v>111.133</v>
      </c>
      <c r="AY192">
        <v>1.0368587857491129</v>
      </c>
      <c r="AZ192">
        <v>115.2292274366562</v>
      </c>
      <c r="BA192">
        <v>656.25</v>
      </c>
      <c r="BB192">
        <v>1</v>
      </c>
      <c r="BC192">
        <v>75.619180505305636</v>
      </c>
      <c r="BD192">
        <v>0.93979999999999997</v>
      </c>
      <c r="BE192" s="63">
        <v>71.066999999999993</v>
      </c>
      <c r="BF192">
        <v>8.9176000000000002</v>
      </c>
      <c r="BG192">
        <v>1</v>
      </c>
      <c r="BH192">
        <v>6067.879064491317</v>
      </c>
      <c r="BI192">
        <v>0.95477850697292876</v>
      </c>
      <c r="BJ192" s="63">
        <v>5793.4804999999997</v>
      </c>
      <c r="BK192" s="61">
        <v>163272.7306795945</v>
      </c>
    </row>
    <row r="193" spans="1:63" x14ac:dyDescent="0.25">
      <c r="A193">
        <v>535</v>
      </c>
      <c r="B193" t="s">
        <v>140</v>
      </c>
      <c r="C193">
        <v>2018</v>
      </c>
      <c r="D193">
        <v>8</v>
      </c>
      <c r="E193" t="s">
        <v>100</v>
      </c>
      <c r="F193" t="s">
        <v>426</v>
      </c>
      <c r="G193" t="s">
        <v>427</v>
      </c>
      <c r="H193" t="s">
        <v>84</v>
      </c>
      <c r="I193" t="s">
        <v>430</v>
      </c>
      <c r="J193" t="s">
        <v>59</v>
      </c>
      <c r="K193">
        <v>-666.51787973</v>
      </c>
      <c r="L193" t="s">
        <v>59</v>
      </c>
      <c r="M193" t="s">
        <v>385</v>
      </c>
      <c r="N193">
        <v>0.43926732434283</v>
      </c>
      <c r="O193">
        <v>292.77952565565317</v>
      </c>
      <c r="P193" t="s">
        <v>440</v>
      </c>
      <c r="Q193">
        <v>2</v>
      </c>
      <c r="R193">
        <v>30.199670000000001</v>
      </c>
      <c r="S193">
        <v>5.3999999999999999E-2</v>
      </c>
      <c r="T193">
        <v>1.6307822000000001</v>
      </c>
      <c r="U193">
        <v>0.98099999999999998</v>
      </c>
      <c r="V193">
        <v>1599.797</v>
      </c>
      <c r="W193">
        <v>2</v>
      </c>
      <c r="X193">
        <v>9.1923415999999999E-5</v>
      </c>
      <c r="Y193">
        <v>0.29411799999999999</v>
      </c>
      <c r="Z193" s="61">
        <v>86.111728999999997</v>
      </c>
      <c r="AA193" t="s">
        <v>343</v>
      </c>
      <c r="AB193" t="s">
        <v>435</v>
      </c>
      <c r="AC193" t="s">
        <v>425</v>
      </c>
      <c r="AD193" t="s">
        <v>27</v>
      </c>
      <c r="AE193">
        <v>111.133</v>
      </c>
      <c r="AF193">
        <v>1.027287859172453</v>
      </c>
      <c r="AG193">
        <v>114.1655816534122</v>
      </c>
      <c r="AH193">
        <v>625.54</v>
      </c>
      <c r="AI193">
        <v>1</v>
      </c>
      <c r="AJ193">
        <v>71.4151379474755</v>
      </c>
      <c r="AK193">
        <v>0.95599999999999996</v>
      </c>
      <c r="AL193" s="63">
        <v>68.272999999999996</v>
      </c>
      <c r="AM193">
        <v>8.9176000000000002</v>
      </c>
      <c r="AN193">
        <v>9.1609422129562699</v>
      </c>
      <c r="AO193">
        <v>1</v>
      </c>
      <c r="AP193">
        <v>5730.5357918926647</v>
      </c>
      <c r="AQ193">
        <v>1.0027686628383921</v>
      </c>
      <c r="AR193">
        <v>5746.4017000000003</v>
      </c>
      <c r="AS193" s="61">
        <v>494832.5859155393</v>
      </c>
      <c r="AT193" t="s">
        <v>346</v>
      </c>
      <c r="AU193" t="s">
        <v>436</v>
      </c>
      <c r="AV193" t="s">
        <v>425</v>
      </c>
      <c r="AW193" t="s">
        <v>27</v>
      </c>
      <c r="AX193">
        <v>111.133</v>
      </c>
      <c r="AY193">
        <v>1.0368587857491129</v>
      </c>
      <c r="AZ193">
        <v>115.2292274366562</v>
      </c>
      <c r="BA193">
        <v>656.25</v>
      </c>
      <c r="BB193">
        <v>1</v>
      </c>
      <c r="BC193">
        <v>75.619180505305636</v>
      </c>
      <c r="BD193">
        <v>0.93979999999999997</v>
      </c>
      <c r="BE193" s="63">
        <v>71.066999999999993</v>
      </c>
      <c r="BF193">
        <v>8.9176000000000002</v>
      </c>
      <c r="BG193">
        <v>1</v>
      </c>
      <c r="BH193">
        <v>6067.879064491317</v>
      </c>
      <c r="BI193">
        <v>0.95477850697292876</v>
      </c>
      <c r="BJ193" s="63">
        <v>5793.4804999999997</v>
      </c>
      <c r="BK193" s="61">
        <v>498886.62278278451</v>
      </c>
    </row>
    <row r="194" spans="1:63" x14ac:dyDescent="0.25">
      <c r="A194">
        <v>553</v>
      </c>
      <c r="B194" t="s">
        <v>113</v>
      </c>
      <c r="C194">
        <v>2018</v>
      </c>
      <c r="D194">
        <v>9</v>
      </c>
      <c r="E194" t="s">
        <v>100</v>
      </c>
      <c r="F194" t="s">
        <v>426</v>
      </c>
      <c r="G194" t="s">
        <v>427</v>
      </c>
      <c r="H194" t="s">
        <v>84</v>
      </c>
      <c r="I194" t="s">
        <v>428</v>
      </c>
      <c r="J194" t="s">
        <v>381</v>
      </c>
      <c r="K194">
        <v>-1059.88664868</v>
      </c>
      <c r="L194" t="s">
        <v>381</v>
      </c>
      <c r="M194" t="s">
        <v>384</v>
      </c>
      <c r="N194">
        <v>0.21705732236049999</v>
      </c>
      <c r="O194">
        <v>230.05615796812481</v>
      </c>
      <c r="P194" t="s">
        <v>440</v>
      </c>
      <c r="Q194">
        <v>2</v>
      </c>
      <c r="R194">
        <v>30.199670000000001</v>
      </c>
      <c r="S194">
        <v>4.3999999999999997E-2</v>
      </c>
      <c r="T194">
        <v>1.3287855</v>
      </c>
      <c r="U194">
        <v>1.9E-2</v>
      </c>
      <c r="V194">
        <v>25.247</v>
      </c>
      <c r="W194">
        <v>2</v>
      </c>
      <c r="X194">
        <v>5.8248242360000001E-3</v>
      </c>
      <c r="Y194">
        <v>0.29411900000000002</v>
      </c>
      <c r="Z194" s="61">
        <v>67.663887000000003</v>
      </c>
      <c r="AA194" t="s">
        <v>346</v>
      </c>
      <c r="AB194" t="s">
        <v>436</v>
      </c>
      <c r="AC194" t="s">
        <v>425</v>
      </c>
      <c r="AD194" t="s">
        <v>81</v>
      </c>
      <c r="AE194">
        <v>111.133</v>
      </c>
      <c r="AF194">
        <v>1.0368587857491129</v>
      </c>
      <c r="AG194">
        <v>115.2292274366562</v>
      </c>
      <c r="AH194">
        <v>603.45000000000005</v>
      </c>
      <c r="AI194">
        <v>1</v>
      </c>
      <c r="AJ194">
        <v>69.535077296650186</v>
      </c>
      <c r="AK194">
        <v>0.90990000000000004</v>
      </c>
      <c r="AL194" s="63">
        <v>63.27</v>
      </c>
      <c r="AM194">
        <v>8.9176000000000002</v>
      </c>
      <c r="AN194">
        <v>9.2462919077962926</v>
      </c>
      <c r="AO194">
        <v>1</v>
      </c>
      <c r="AP194">
        <v>5579.6748517596734</v>
      </c>
      <c r="AQ194">
        <v>1.053620848708487</v>
      </c>
      <c r="AR194">
        <v>5878.8617999999997</v>
      </c>
      <c r="AS194" s="61">
        <v>397786.64052381658</v>
      </c>
      <c r="AT194" t="s">
        <v>346</v>
      </c>
      <c r="AU194" t="s">
        <v>436</v>
      </c>
      <c r="AV194" t="s">
        <v>425</v>
      </c>
      <c r="AW194" t="s">
        <v>81</v>
      </c>
      <c r="AX194">
        <v>111.133</v>
      </c>
      <c r="AY194">
        <v>1.0368587857491129</v>
      </c>
      <c r="AZ194">
        <v>115.2292274366562</v>
      </c>
      <c r="BA194">
        <v>603.45000000000005</v>
      </c>
      <c r="BB194">
        <v>1</v>
      </c>
      <c r="BC194">
        <v>69.535077296650186</v>
      </c>
      <c r="BD194">
        <v>0.90990000000000004</v>
      </c>
      <c r="BE194" s="63">
        <v>63.27</v>
      </c>
      <c r="BF194">
        <v>8.9176000000000002</v>
      </c>
      <c r="BG194">
        <v>1</v>
      </c>
      <c r="BH194">
        <v>5579.6748517596734</v>
      </c>
      <c r="BI194">
        <v>1.053620848708487</v>
      </c>
      <c r="BJ194" s="63">
        <v>5878.8617999999997</v>
      </c>
      <c r="BK194" s="61">
        <v>397786.64052381658</v>
      </c>
    </row>
    <row r="195" spans="1:63" x14ac:dyDescent="0.25">
      <c r="A195">
        <v>553</v>
      </c>
      <c r="B195" t="s">
        <v>113</v>
      </c>
      <c r="C195">
        <v>2018</v>
      </c>
      <c r="D195">
        <v>9</v>
      </c>
      <c r="E195" t="s">
        <v>100</v>
      </c>
      <c r="F195" t="s">
        <v>426</v>
      </c>
      <c r="G195" t="s">
        <v>427</v>
      </c>
      <c r="H195" t="s">
        <v>84</v>
      </c>
      <c r="I195" t="s">
        <v>429</v>
      </c>
      <c r="J195" t="s">
        <v>87</v>
      </c>
      <c r="K195">
        <v>-212.30899108</v>
      </c>
      <c r="L195" t="s">
        <v>87</v>
      </c>
      <c r="M195" t="s">
        <v>384</v>
      </c>
      <c r="N195">
        <v>0.19876726231865</v>
      </c>
      <c r="O195">
        <v>42.200076922606279</v>
      </c>
      <c r="P195" t="s">
        <v>440</v>
      </c>
      <c r="Q195">
        <v>2</v>
      </c>
      <c r="R195">
        <v>30.199670000000001</v>
      </c>
      <c r="S195">
        <v>4.3999999999999997E-2</v>
      </c>
      <c r="T195">
        <v>1.3287855</v>
      </c>
      <c r="U195">
        <v>1.9E-2</v>
      </c>
      <c r="V195">
        <v>25.247</v>
      </c>
      <c r="W195">
        <v>2</v>
      </c>
      <c r="X195">
        <v>5.8248242360000001E-3</v>
      </c>
      <c r="Y195">
        <v>0.29411900000000002</v>
      </c>
      <c r="Z195" s="61">
        <v>12.411844</v>
      </c>
      <c r="AA195" t="s">
        <v>346</v>
      </c>
      <c r="AB195" t="s">
        <v>436</v>
      </c>
      <c r="AC195" t="s">
        <v>425</v>
      </c>
      <c r="AD195" t="s">
        <v>81</v>
      </c>
      <c r="AE195">
        <v>111.133</v>
      </c>
      <c r="AF195">
        <v>1.0368587857491129</v>
      </c>
      <c r="AG195">
        <v>115.2292274366562</v>
      </c>
      <c r="AH195">
        <v>603.45000000000005</v>
      </c>
      <c r="AI195">
        <v>1</v>
      </c>
      <c r="AJ195">
        <v>69.535077296650186</v>
      </c>
      <c r="AK195">
        <v>0.90990000000000004</v>
      </c>
      <c r="AL195" s="63">
        <v>63.27</v>
      </c>
      <c r="AM195">
        <v>8.9176000000000002</v>
      </c>
      <c r="AN195">
        <v>9.2462919077962926</v>
      </c>
      <c r="AO195">
        <v>1</v>
      </c>
      <c r="AP195">
        <v>5579.6748517596734</v>
      </c>
      <c r="AQ195">
        <v>1.053620848708487</v>
      </c>
      <c r="AR195">
        <v>5878.8617999999997</v>
      </c>
      <c r="AS195" s="61">
        <v>72967.515559159205</v>
      </c>
      <c r="AT195" t="s">
        <v>346</v>
      </c>
      <c r="AU195" t="s">
        <v>436</v>
      </c>
      <c r="AV195" t="s">
        <v>425</v>
      </c>
      <c r="AW195" t="s">
        <v>81</v>
      </c>
      <c r="AX195">
        <v>111.133</v>
      </c>
      <c r="AY195">
        <v>1.0368587857491129</v>
      </c>
      <c r="AZ195">
        <v>115.2292274366562</v>
      </c>
      <c r="BA195">
        <v>603.45000000000005</v>
      </c>
      <c r="BB195">
        <v>1</v>
      </c>
      <c r="BC195">
        <v>69.535077296650186</v>
      </c>
      <c r="BD195">
        <v>0.90990000000000004</v>
      </c>
      <c r="BE195" s="63">
        <v>63.27</v>
      </c>
      <c r="BF195">
        <v>8.9176000000000002</v>
      </c>
      <c r="BG195">
        <v>1</v>
      </c>
      <c r="BH195">
        <v>5579.6748517596734</v>
      </c>
      <c r="BI195">
        <v>1.053620848708487</v>
      </c>
      <c r="BJ195" s="63">
        <v>5878.8617999999997</v>
      </c>
      <c r="BK195" s="61">
        <v>72967.515559159205</v>
      </c>
    </row>
    <row r="196" spans="1:63" x14ac:dyDescent="0.25">
      <c r="A196">
        <v>553</v>
      </c>
      <c r="B196" t="s">
        <v>113</v>
      </c>
      <c r="C196">
        <v>2018</v>
      </c>
      <c r="D196">
        <v>9</v>
      </c>
      <c r="E196" t="s">
        <v>100</v>
      </c>
      <c r="F196" t="s">
        <v>426</v>
      </c>
      <c r="G196" t="s">
        <v>427</v>
      </c>
      <c r="H196" t="s">
        <v>84</v>
      </c>
      <c r="I196" t="s">
        <v>430</v>
      </c>
      <c r="J196" t="s">
        <v>59</v>
      </c>
      <c r="K196">
        <v>-617.46088514999997</v>
      </c>
      <c r="L196" t="s">
        <v>59</v>
      </c>
      <c r="M196" t="s">
        <v>384</v>
      </c>
      <c r="N196">
        <v>0.19498283783636999</v>
      </c>
      <c r="O196">
        <v>120.3942756395039</v>
      </c>
      <c r="P196" t="s">
        <v>440</v>
      </c>
      <c r="Q196">
        <v>2</v>
      </c>
      <c r="R196">
        <v>30.199670000000001</v>
      </c>
      <c r="S196">
        <v>4.3999999999999997E-2</v>
      </c>
      <c r="T196">
        <v>1.3287855</v>
      </c>
      <c r="U196">
        <v>1.9E-2</v>
      </c>
      <c r="V196">
        <v>25.247</v>
      </c>
      <c r="W196">
        <v>2</v>
      </c>
      <c r="X196">
        <v>5.8248242360000001E-3</v>
      </c>
      <c r="Y196">
        <v>0.29411900000000002</v>
      </c>
      <c r="Z196" s="61">
        <v>35.410243999999999</v>
      </c>
      <c r="AA196" t="s">
        <v>346</v>
      </c>
      <c r="AB196" t="s">
        <v>436</v>
      </c>
      <c r="AC196" t="s">
        <v>425</v>
      </c>
      <c r="AD196" t="s">
        <v>81</v>
      </c>
      <c r="AE196">
        <v>111.133</v>
      </c>
      <c r="AF196">
        <v>1.0368587857491129</v>
      </c>
      <c r="AG196">
        <v>115.2292274366562</v>
      </c>
      <c r="AH196">
        <v>603.45000000000005</v>
      </c>
      <c r="AI196">
        <v>1</v>
      </c>
      <c r="AJ196">
        <v>69.535077296650186</v>
      </c>
      <c r="AK196">
        <v>0.90990000000000004</v>
      </c>
      <c r="AL196" s="63">
        <v>63.27</v>
      </c>
      <c r="AM196">
        <v>8.9176000000000002</v>
      </c>
      <c r="AN196">
        <v>9.2462919077962926</v>
      </c>
      <c r="AO196">
        <v>1</v>
      </c>
      <c r="AP196">
        <v>5579.6748517596734</v>
      </c>
      <c r="AQ196">
        <v>1.053620848708487</v>
      </c>
      <c r="AR196">
        <v>5878.8617999999997</v>
      </c>
      <c r="AS196" s="61">
        <v>208171.93078027919</v>
      </c>
      <c r="AT196" t="s">
        <v>346</v>
      </c>
      <c r="AU196" t="s">
        <v>436</v>
      </c>
      <c r="AV196" t="s">
        <v>425</v>
      </c>
      <c r="AW196" t="s">
        <v>81</v>
      </c>
      <c r="AX196">
        <v>111.133</v>
      </c>
      <c r="AY196">
        <v>1.0368587857491129</v>
      </c>
      <c r="AZ196">
        <v>115.2292274366562</v>
      </c>
      <c r="BA196">
        <v>603.45000000000005</v>
      </c>
      <c r="BB196">
        <v>1</v>
      </c>
      <c r="BC196">
        <v>69.535077296650186</v>
      </c>
      <c r="BD196">
        <v>0.90990000000000004</v>
      </c>
      <c r="BE196" s="63">
        <v>63.27</v>
      </c>
      <c r="BF196">
        <v>8.9176000000000002</v>
      </c>
      <c r="BG196">
        <v>1</v>
      </c>
      <c r="BH196">
        <v>5579.6748517596734</v>
      </c>
      <c r="BI196">
        <v>1.053620848708487</v>
      </c>
      <c r="BJ196" s="63">
        <v>5878.8617999999997</v>
      </c>
      <c r="BK196" s="61">
        <v>208171.93078027919</v>
      </c>
    </row>
    <row r="197" spans="1:63" x14ac:dyDescent="0.25">
      <c r="A197">
        <v>555</v>
      </c>
      <c r="B197" t="s">
        <v>113</v>
      </c>
      <c r="C197">
        <v>2018</v>
      </c>
      <c r="D197">
        <v>9</v>
      </c>
      <c r="E197" t="s">
        <v>100</v>
      </c>
      <c r="F197" t="s">
        <v>426</v>
      </c>
      <c r="G197" t="s">
        <v>427</v>
      </c>
      <c r="H197" t="s">
        <v>84</v>
      </c>
      <c r="I197" t="s">
        <v>428</v>
      </c>
      <c r="J197" t="s">
        <v>381</v>
      </c>
      <c r="K197">
        <v>-1059.88664868</v>
      </c>
      <c r="L197" t="s">
        <v>381</v>
      </c>
      <c r="M197" t="s">
        <v>385</v>
      </c>
      <c r="N197">
        <v>0.4372753786229</v>
      </c>
      <c r="O197">
        <v>463.46233559890362</v>
      </c>
      <c r="P197" t="s">
        <v>440</v>
      </c>
      <c r="Q197">
        <v>2</v>
      </c>
      <c r="R197">
        <v>30.199670000000001</v>
      </c>
      <c r="S197">
        <v>4.3999999999999997E-2</v>
      </c>
      <c r="T197">
        <v>1.3287855</v>
      </c>
      <c r="U197">
        <v>0.98099999999999998</v>
      </c>
      <c r="V197">
        <v>1303.539</v>
      </c>
      <c r="W197">
        <v>2</v>
      </c>
      <c r="X197">
        <v>1.12815083E-4</v>
      </c>
      <c r="Y197">
        <v>0.29411799999999999</v>
      </c>
      <c r="Z197" s="61">
        <v>136.31261499999999</v>
      </c>
      <c r="AA197" t="s">
        <v>346</v>
      </c>
      <c r="AB197" t="s">
        <v>436</v>
      </c>
      <c r="AC197" t="s">
        <v>425</v>
      </c>
      <c r="AD197" t="s">
        <v>27</v>
      </c>
      <c r="AE197">
        <v>111.133</v>
      </c>
      <c r="AF197">
        <v>1.0368587857491129</v>
      </c>
      <c r="AG197">
        <v>115.2292274366562</v>
      </c>
      <c r="AH197">
        <v>603.45000000000005</v>
      </c>
      <c r="AI197">
        <v>1</v>
      </c>
      <c r="AJ197">
        <v>69.535077296650186</v>
      </c>
      <c r="AK197">
        <v>0.93979999999999997</v>
      </c>
      <c r="AL197" s="63">
        <v>65.349000000000004</v>
      </c>
      <c r="AM197">
        <v>8.9176000000000002</v>
      </c>
      <c r="AN197">
        <v>9.2462919077962926</v>
      </c>
      <c r="AO197">
        <v>1</v>
      </c>
      <c r="AP197">
        <v>5579.6748517596734</v>
      </c>
      <c r="AQ197">
        <v>0.95477850697292876</v>
      </c>
      <c r="AR197">
        <v>5327.3536000000004</v>
      </c>
      <c r="AS197" s="61">
        <v>726185.50024566404</v>
      </c>
      <c r="AT197" t="s">
        <v>346</v>
      </c>
      <c r="AU197" t="s">
        <v>436</v>
      </c>
      <c r="AV197" t="s">
        <v>425</v>
      </c>
      <c r="AW197" t="s">
        <v>27</v>
      </c>
      <c r="AX197">
        <v>111.133</v>
      </c>
      <c r="AY197">
        <v>1.0368587857491129</v>
      </c>
      <c r="AZ197">
        <v>115.2292274366562</v>
      </c>
      <c r="BA197">
        <v>603.45000000000005</v>
      </c>
      <c r="BB197">
        <v>1</v>
      </c>
      <c r="BC197">
        <v>69.535077296650186</v>
      </c>
      <c r="BD197">
        <v>0.93979999999999997</v>
      </c>
      <c r="BE197" s="63">
        <v>65.349000000000004</v>
      </c>
      <c r="BF197">
        <v>8.9176000000000002</v>
      </c>
      <c r="BG197">
        <v>1</v>
      </c>
      <c r="BH197">
        <v>5579.6748517596734</v>
      </c>
      <c r="BI197">
        <v>0.95477850697292876</v>
      </c>
      <c r="BJ197" s="63">
        <v>5327.3536000000004</v>
      </c>
      <c r="BK197" s="61">
        <v>726185.50024566404</v>
      </c>
    </row>
    <row r="198" spans="1:63" x14ac:dyDescent="0.25">
      <c r="A198">
        <v>555</v>
      </c>
      <c r="B198" t="s">
        <v>113</v>
      </c>
      <c r="C198">
        <v>2018</v>
      </c>
      <c r="D198">
        <v>9</v>
      </c>
      <c r="E198" t="s">
        <v>100</v>
      </c>
      <c r="F198" t="s">
        <v>426</v>
      </c>
      <c r="G198" t="s">
        <v>427</v>
      </c>
      <c r="H198" t="s">
        <v>84</v>
      </c>
      <c r="I198" t="s">
        <v>429</v>
      </c>
      <c r="J198" t="s">
        <v>87</v>
      </c>
      <c r="K198">
        <v>-212.30899108</v>
      </c>
      <c r="L198" t="s">
        <v>87</v>
      </c>
      <c r="M198" t="s">
        <v>385</v>
      </c>
      <c r="N198">
        <v>0.39732724921072998</v>
      </c>
      <c r="O198">
        <v>84.356147408521807</v>
      </c>
      <c r="P198" t="s">
        <v>440</v>
      </c>
      <c r="Q198">
        <v>2</v>
      </c>
      <c r="R198">
        <v>30.199670000000001</v>
      </c>
      <c r="S198">
        <v>4.3999999999999997E-2</v>
      </c>
      <c r="T198">
        <v>1.3287855</v>
      </c>
      <c r="U198">
        <v>0.98099999999999998</v>
      </c>
      <c r="V198">
        <v>1303.539</v>
      </c>
      <c r="W198">
        <v>2</v>
      </c>
      <c r="X198">
        <v>1.12815083E-4</v>
      </c>
      <c r="Y198">
        <v>0.29411799999999999</v>
      </c>
      <c r="Z198" s="61">
        <v>24.810661</v>
      </c>
      <c r="AA198" t="s">
        <v>346</v>
      </c>
      <c r="AB198" t="s">
        <v>436</v>
      </c>
      <c r="AC198" t="s">
        <v>425</v>
      </c>
      <c r="AD198" t="s">
        <v>27</v>
      </c>
      <c r="AE198">
        <v>111.133</v>
      </c>
      <c r="AF198">
        <v>1.0368587857491129</v>
      </c>
      <c r="AG198">
        <v>115.2292274366562</v>
      </c>
      <c r="AH198">
        <v>603.45000000000005</v>
      </c>
      <c r="AI198">
        <v>1</v>
      </c>
      <c r="AJ198">
        <v>69.535077296650186</v>
      </c>
      <c r="AK198">
        <v>0.93979999999999997</v>
      </c>
      <c r="AL198" s="63">
        <v>65.349000000000004</v>
      </c>
      <c r="AM198">
        <v>8.9176000000000002</v>
      </c>
      <c r="AN198">
        <v>9.2462919077962926</v>
      </c>
      <c r="AO198">
        <v>1</v>
      </c>
      <c r="AP198">
        <v>5579.6748517596734</v>
      </c>
      <c r="AQ198">
        <v>0.95477850697292876</v>
      </c>
      <c r="AR198">
        <v>5327.3536000000004</v>
      </c>
      <c r="AS198" s="61">
        <v>132175.1641967296</v>
      </c>
      <c r="AT198" t="s">
        <v>346</v>
      </c>
      <c r="AU198" t="s">
        <v>436</v>
      </c>
      <c r="AV198" t="s">
        <v>425</v>
      </c>
      <c r="AW198" t="s">
        <v>27</v>
      </c>
      <c r="AX198">
        <v>111.133</v>
      </c>
      <c r="AY198">
        <v>1.0368587857491129</v>
      </c>
      <c r="AZ198">
        <v>115.2292274366562</v>
      </c>
      <c r="BA198">
        <v>603.45000000000005</v>
      </c>
      <c r="BB198">
        <v>1</v>
      </c>
      <c r="BC198">
        <v>69.535077296650186</v>
      </c>
      <c r="BD198">
        <v>0.93979999999999997</v>
      </c>
      <c r="BE198" s="63">
        <v>65.349000000000004</v>
      </c>
      <c r="BF198">
        <v>8.9176000000000002</v>
      </c>
      <c r="BG198">
        <v>1</v>
      </c>
      <c r="BH198">
        <v>5579.6748517596734</v>
      </c>
      <c r="BI198">
        <v>0.95477850697292876</v>
      </c>
      <c r="BJ198" s="63">
        <v>5327.3536000000004</v>
      </c>
      <c r="BK198" s="61">
        <v>132175.1641967296</v>
      </c>
    </row>
    <row r="199" spans="1:63" x14ac:dyDescent="0.25">
      <c r="A199">
        <v>555</v>
      </c>
      <c r="B199" t="s">
        <v>113</v>
      </c>
      <c r="C199">
        <v>2018</v>
      </c>
      <c r="D199">
        <v>9</v>
      </c>
      <c r="E199" t="s">
        <v>100</v>
      </c>
      <c r="F199" t="s">
        <v>426</v>
      </c>
      <c r="G199" t="s">
        <v>427</v>
      </c>
      <c r="H199" t="s">
        <v>84</v>
      </c>
      <c r="I199" t="s">
        <v>430</v>
      </c>
      <c r="J199" t="s">
        <v>59</v>
      </c>
      <c r="K199">
        <v>-617.46088514999997</v>
      </c>
      <c r="L199" t="s">
        <v>59</v>
      </c>
      <c r="M199" t="s">
        <v>385</v>
      </c>
      <c r="N199">
        <v>0.44072989868802998</v>
      </c>
      <c r="O199">
        <v>272.13347335598081</v>
      </c>
      <c r="P199" t="s">
        <v>440</v>
      </c>
      <c r="Q199">
        <v>2</v>
      </c>
      <c r="R199">
        <v>30.199670000000001</v>
      </c>
      <c r="S199">
        <v>4.3999999999999997E-2</v>
      </c>
      <c r="T199">
        <v>1.3287855</v>
      </c>
      <c r="U199">
        <v>0.98099999999999998</v>
      </c>
      <c r="V199">
        <v>1303.539</v>
      </c>
      <c r="W199">
        <v>2</v>
      </c>
      <c r="X199">
        <v>1.12815083E-4</v>
      </c>
      <c r="Y199">
        <v>0.29411799999999999</v>
      </c>
      <c r="Z199" s="61">
        <v>80.039353000000006</v>
      </c>
      <c r="AA199" t="s">
        <v>346</v>
      </c>
      <c r="AB199" t="s">
        <v>436</v>
      </c>
      <c r="AC199" t="s">
        <v>425</v>
      </c>
      <c r="AD199" t="s">
        <v>27</v>
      </c>
      <c r="AE199">
        <v>111.133</v>
      </c>
      <c r="AF199">
        <v>1.0368587857491129</v>
      </c>
      <c r="AG199">
        <v>115.2292274366562</v>
      </c>
      <c r="AH199">
        <v>603.45000000000005</v>
      </c>
      <c r="AI199">
        <v>1</v>
      </c>
      <c r="AJ199">
        <v>69.535077296650186</v>
      </c>
      <c r="AK199">
        <v>0.93979999999999997</v>
      </c>
      <c r="AL199" s="63">
        <v>65.349000000000004</v>
      </c>
      <c r="AM199">
        <v>8.9176000000000002</v>
      </c>
      <c r="AN199">
        <v>9.2462919077962926</v>
      </c>
      <c r="AO199">
        <v>1</v>
      </c>
      <c r="AP199">
        <v>5579.6748517596734</v>
      </c>
      <c r="AQ199">
        <v>0.95477850697292876</v>
      </c>
      <c r="AR199">
        <v>5327.3536000000004</v>
      </c>
      <c r="AS199" s="61">
        <v>426397.93534622091</v>
      </c>
      <c r="AT199" t="s">
        <v>346</v>
      </c>
      <c r="AU199" t="s">
        <v>436</v>
      </c>
      <c r="AV199" t="s">
        <v>425</v>
      </c>
      <c r="AW199" t="s">
        <v>27</v>
      </c>
      <c r="AX199">
        <v>111.133</v>
      </c>
      <c r="AY199">
        <v>1.0368587857491129</v>
      </c>
      <c r="AZ199">
        <v>115.2292274366562</v>
      </c>
      <c r="BA199">
        <v>603.45000000000005</v>
      </c>
      <c r="BB199">
        <v>1</v>
      </c>
      <c r="BC199">
        <v>69.535077296650186</v>
      </c>
      <c r="BD199">
        <v>0.93979999999999997</v>
      </c>
      <c r="BE199" s="63">
        <v>65.349000000000004</v>
      </c>
      <c r="BF199">
        <v>8.9176000000000002</v>
      </c>
      <c r="BG199">
        <v>1</v>
      </c>
      <c r="BH199">
        <v>5579.6748517596734</v>
      </c>
      <c r="BI199">
        <v>0.95477850697292876</v>
      </c>
      <c r="BJ199" s="63">
        <v>5327.3536000000004</v>
      </c>
      <c r="BK199" s="61">
        <v>426397.93534622091</v>
      </c>
    </row>
    <row r="200" spans="1:63" x14ac:dyDescent="0.25">
      <c r="A200">
        <v>573</v>
      </c>
      <c r="B200" t="s">
        <v>114</v>
      </c>
      <c r="C200">
        <v>2018</v>
      </c>
      <c r="D200">
        <v>10</v>
      </c>
      <c r="E200" t="s">
        <v>100</v>
      </c>
      <c r="F200" t="s">
        <v>426</v>
      </c>
      <c r="G200" t="s">
        <v>427</v>
      </c>
      <c r="H200" t="s">
        <v>84</v>
      </c>
      <c r="I200" t="s">
        <v>428</v>
      </c>
      <c r="J200" t="s">
        <v>381</v>
      </c>
      <c r="K200">
        <v>-1179.5901044699999</v>
      </c>
      <c r="L200" t="s">
        <v>381</v>
      </c>
      <c r="M200" t="s">
        <v>384</v>
      </c>
      <c r="N200">
        <v>0.20227799740353999</v>
      </c>
      <c r="O200">
        <v>238.60512408922409</v>
      </c>
      <c r="P200" t="s">
        <v>440</v>
      </c>
      <c r="Q200">
        <v>2</v>
      </c>
      <c r="R200">
        <v>30.199670000000001</v>
      </c>
      <c r="S200">
        <v>0.06</v>
      </c>
      <c r="T200">
        <v>1.8119802</v>
      </c>
      <c r="U200">
        <v>1.9E-2</v>
      </c>
      <c r="V200">
        <v>34.427999999999997</v>
      </c>
      <c r="W200">
        <v>2</v>
      </c>
      <c r="X200">
        <v>4.2715145509999997E-3</v>
      </c>
      <c r="Y200">
        <v>0.29411900000000002</v>
      </c>
      <c r="Z200" s="61">
        <v>70.178299999999993</v>
      </c>
      <c r="AA200" t="s">
        <v>346</v>
      </c>
      <c r="AB200" t="s">
        <v>436</v>
      </c>
      <c r="AC200" t="s">
        <v>425</v>
      </c>
      <c r="AD200" t="s">
        <v>81</v>
      </c>
      <c r="AE200">
        <v>111.133</v>
      </c>
      <c r="AF200">
        <v>1.0368587857491129</v>
      </c>
      <c r="AG200">
        <v>115.2292274366562</v>
      </c>
      <c r="AH200">
        <v>603.45000000000005</v>
      </c>
      <c r="AI200">
        <v>1</v>
      </c>
      <c r="AJ200">
        <v>69.535077296650186</v>
      </c>
      <c r="AK200">
        <v>0.90990000000000004</v>
      </c>
      <c r="AL200" s="63">
        <v>63.27</v>
      </c>
      <c r="AM200">
        <v>8.9176000000000002</v>
      </c>
      <c r="AN200">
        <v>9.2462919077962926</v>
      </c>
      <c r="AO200">
        <v>1</v>
      </c>
      <c r="AP200">
        <v>5579.6748517596734</v>
      </c>
      <c r="AQ200">
        <v>1.053620848708487</v>
      </c>
      <c r="AR200">
        <v>5878.8617999999997</v>
      </c>
      <c r="AS200" s="61">
        <v>412568.52705893992</v>
      </c>
      <c r="AT200" t="s">
        <v>346</v>
      </c>
      <c r="AU200" t="s">
        <v>436</v>
      </c>
      <c r="AV200" t="s">
        <v>425</v>
      </c>
      <c r="AW200" t="s">
        <v>81</v>
      </c>
      <c r="AX200">
        <v>111.133</v>
      </c>
      <c r="AY200">
        <v>1.0368587857491129</v>
      </c>
      <c r="AZ200">
        <v>115.2292274366562</v>
      </c>
      <c r="BA200">
        <v>603.45000000000005</v>
      </c>
      <c r="BB200">
        <v>1</v>
      </c>
      <c r="BC200">
        <v>69.535077296650186</v>
      </c>
      <c r="BD200">
        <v>0.90990000000000004</v>
      </c>
      <c r="BE200" s="63">
        <v>63.27</v>
      </c>
      <c r="BF200">
        <v>8.9176000000000002</v>
      </c>
      <c r="BG200">
        <v>1</v>
      </c>
      <c r="BH200">
        <v>5579.6748517596734</v>
      </c>
      <c r="BI200">
        <v>1.053620848708487</v>
      </c>
      <c r="BJ200" s="63">
        <v>5878.8617999999997</v>
      </c>
      <c r="BK200" s="61">
        <v>412568.52705893992</v>
      </c>
    </row>
    <row r="201" spans="1:63" x14ac:dyDescent="0.25">
      <c r="A201">
        <v>573</v>
      </c>
      <c r="B201" t="s">
        <v>114</v>
      </c>
      <c r="C201">
        <v>2018</v>
      </c>
      <c r="D201">
        <v>10</v>
      </c>
      <c r="E201" t="s">
        <v>100</v>
      </c>
      <c r="F201" t="s">
        <v>426</v>
      </c>
      <c r="G201" t="s">
        <v>427</v>
      </c>
      <c r="H201" t="s">
        <v>84</v>
      </c>
      <c r="I201" t="s">
        <v>429</v>
      </c>
      <c r="J201" t="s">
        <v>87</v>
      </c>
      <c r="K201">
        <v>-279.14384976999997</v>
      </c>
      <c r="L201" t="s">
        <v>87</v>
      </c>
      <c r="M201" t="s">
        <v>384</v>
      </c>
      <c r="N201">
        <v>0.19876483095875999</v>
      </c>
      <c r="O201">
        <v>55.483980112711542</v>
      </c>
      <c r="P201" t="s">
        <v>440</v>
      </c>
      <c r="Q201">
        <v>2</v>
      </c>
      <c r="R201">
        <v>30.199670000000001</v>
      </c>
      <c r="S201">
        <v>0.06</v>
      </c>
      <c r="T201">
        <v>1.8119802</v>
      </c>
      <c r="U201">
        <v>1.9E-2</v>
      </c>
      <c r="V201">
        <v>34.427999999999997</v>
      </c>
      <c r="W201">
        <v>2</v>
      </c>
      <c r="X201">
        <v>4.2715145509999997E-3</v>
      </c>
      <c r="Y201">
        <v>0.29411900000000002</v>
      </c>
      <c r="Z201" s="61">
        <v>16.318892999999999</v>
      </c>
      <c r="AA201" t="s">
        <v>346</v>
      </c>
      <c r="AB201" t="s">
        <v>436</v>
      </c>
      <c r="AC201" t="s">
        <v>425</v>
      </c>
      <c r="AD201" t="s">
        <v>81</v>
      </c>
      <c r="AE201">
        <v>111.133</v>
      </c>
      <c r="AF201">
        <v>1.0368587857491129</v>
      </c>
      <c r="AG201">
        <v>115.2292274366562</v>
      </c>
      <c r="AH201">
        <v>603.45000000000005</v>
      </c>
      <c r="AI201">
        <v>1</v>
      </c>
      <c r="AJ201">
        <v>69.535077296650186</v>
      </c>
      <c r="AK201">
        <v>0.90990000000000004</v>
      </c>
      <c r="AL201" s="63">
        <v>63.27</v>
      </c>
      <c r="AM201">
        <v>8.9176000000000002</v>
      </c>
      <c r="AN201">
        <v>9.2462919077962926</v>
      </c>
      <c r="AO201">
        <v>1</v>
      </c>
      <c r="AP201">
        <v>5579.6748517596734</v>
      </c>
      <c r="AQ201">
        <v>1.053620848708487</v>
      </c>
      <c r="AR201">
        <v>5878.8617999999997</v>
      </c>
      <c r="AS201" s="61">
        <v>95936.516675987383</v>
      </c>
      <c r="AT201" t="s">
        <v>346</v>
      </c>
      <c r="AU201" t="s">
        <v>436</v>
      </c>
      <c r="AV201" t="s">
        <v>425</v>
      </c>
      <c r="AW201" t="s">
        <v>81</v>
      </c>
      <c r="AX201">
        <v>111.133</v>
      </c>
      <c r="AY201">
        <v>1.0368587857491129</v>
      </c>
      <c r="AZ201">
        <v>115.2292274366562</v>
      </c>
      <c r="BA201">
        <v>603.45000000000005</v>
      </c>
      <c r="BB201">
        <v>1</v>
      </c>
      <c r="BC201">
        <v>69.535077296650186</v>
      </c>
      <c r="BD201">
        <v>0.90990000000000004</v>
      </c>
      <c r="BE201" s="63">
        <v>63.27</v>
      </c>
      <c r="BF201">
        <v>8.9176000000000002</v>
      </c>
      <c r="BG201">
        <v>1</v>
      </c>
      <c r="BH201">
        <v>5579.6748517596734</v>
      </c>
      <c r="BI201">
        <v>1.053620848708487</v>
      </c>
      <c r="BJ201" s="63">
        <v>5878.8617999999997</v>
      </c>
      <c r="BK201" s="61">
        <v>95936.516675987383</v>
      </c>
    </row>
    <row r="202" spans="1:63" x14ac:dyDescent="0.25">
      <c r="A202">
        <v>573</v>
      </c>
      <c r="B202" t="s">
        <v>114</v>
      </c>
      <c r="C202">
        <v>2018</v>
      </c>
      <c r="D202">
        <v>10</v>
      </c>
      <c r="E202" t="s">
        <v>100</v>
      </c>
      <c r="F202" t="s">
        <v>426</v>
      </c>
      <c r="G202" t="s">
        <v>427</v>
      </c>
      <c r="H202" t="s">
        <v>84</v>
      </c>
      <c r="I202" t="s">
        <v>430</v>
      </c>
      <c r="J202" t="s">
        <v>59</v>
      </c>
      <c r="K202">
        <v>-683.54412523999997</v>
      </c>
      <c r="L202" t="s">
        <v>59</v>
      </c>
      <c r="M202" t="s">
        <v>384</v>
      </c>
      <c r="N202">
        <v>0.19498772039307</v>
      </c>
      <c r="O202">
        <v>133.28271076862271</v>
      </c>
      <c r="P202" t="s">
        <v>440</v>
      </c>
      <c r="Q202">
        <v>2</v>
      </c>
      <c r="R202">
        <v>30.199670000000001</v>
      </c>
      <c r="S202">
        <v>0.06</v>
      </c>
      <c r="T202">
        <v>1.8119802</v>
      </c>
      <c r="U202">
        <v>1.9E-2</v>
      </c>
      <c r="V202">
        <v>34.427999999999997</v>
      </c>
      <c r="W202">
        <v>2</v>
      </c>
      <c r="X202">
        <v>4.2715145509999997E-3</v>
      </c>
      <c r="Y202">
        <v>0.29411900000000002</v>
      </c>
      <c r="Z202" s="61">
        <v>39.200977999999999</v>
      </c>
      <c r="AA202" t="s">
        <v>346</v>
      </c>
      <c r="AB202" t="s">
        <v>436</v>
      </c>
      <c r="AC202" t="s">
        <v>425</v>
      </c>
      <c r="AD202" t="s">
        <v>81</v>
      </c>
      <c r="AE202">
        <v>111.133</v>
      </c>
      <c r="AF202">
        <v>1.0368587857491129</v>
      </c>
      <c r="AG202">
        <v>115.2292274366562</v>
      </c>
      <c r="AH202">
        <v>603.45000000000005</v>
      </c>
      <c r="AI202">
        <v>1</v>
      </c>
      <c r="AJ202">
        <v>69.535077296650186</v>
      </c>
      <c r="AK202">
        <v>0.90990000000000004</v>
      </c>
      <c r="AL202" s="63">
        <v>63.27</v>
      </c>
      <c r="AM202">
        <v>8.9176000000000002</v>
      </c>
      <c r="AN202">
        <v>9.2462919077962926</v>
      </c>
      <c r="AO202">
        <v>1</v>
      </c>
      <c r="AP202">
        <v>5579.6748517596734</v>
      </c>
      <c r="AQ202">
        <v>1.053620848708487</v>
      </c>
      <c r="AR202">
        <v>5878.8617999999997</v>
      </c>
      <c r="AS202" s="61">
        <v>230457.1320868404</v>
      </c>
      <c r="AT202" t="s">
        <v>346</v>
      </c>
      <c r="AU202" t="s">
        <v>436</v>
      </c>
      <c r="AV202" t="s">
        <v>425</v>
      </c>
      <c r="AW202" t="s">
        <v>81</v>
      </c>
      <c r="AX202">
        <v>111.133</v>
      </c>
      <c r="AY202">
        <v>1.0368587857491129</v>
      </c>
      <c r="AZ202">
        <v>115.2292274366562</v>
      </c>
      <c r="BA202">
        <v>603.45000000000005</v>
      </c>
      <c r="BB202">
        <v>1</v>
      </c>
      <c r="BC202">
        <v>69.535077296650186</v>
      </c>
      <c r="BD202">
        <v>0.90990000000000004</v>
      </c>
      <c r="BE202" s="63">
        <v>63.27</v>
      </c>
      <c r="BF202">
        <v>8.9176000000000002</v>
      </c>
      <c r="BG202">
        <v>1</v>
      </c>
      <c r="BH202">
        <v>5579.6748517596734</v>
      </c>
      <c r="BI202">
        <v>1.053620848708487</v>
      </c>
      <c r="BJ202" s="63">
        <v>5878.8617999999997</v>
      </c>
      <c r="BK202" s="61">
        <v>230457.1320868404</v>
      </c>
    </row>
    <row r="203" spans="1:63" x14ac:dyDescent="0.25">
      <c r="A203">
        <v>575</v>
      </c>
      <c r="B203" t="s">
        <v>114</v>
      </c>
      <c r="C203">
        <v>2018</v>
      </c>
      <c r="D203">
        <v>10</v>
      </c>
      <c r="E203" t="s">
        <v>100</v>
      </c>
      <c r="F203" t="s">
        <v>426</v>
      </c>
      <c r="G203" t="s">
        <v>427</v>
      </c>
      <c r="H203" t="s">
        <v>84</v>
      </c>
      <c r="I203" t="s">
        <v>428</v>
      </c>
      <c r="J203" t="s">
        <v>381</v>
      </c>
      <c r="K203">
        <v>-1179.5901044699999</v>
      </c>
      <c r="L203" t="s">
        <v>381</v>
      </c>
      <c r="M203" t="s">
        <v>385</v>
      </c>
      <c r="N203">
        <v>0.45512925812325999</v>
      </c>
      <c r="O203">
        <v>536.86596913696985</v>
      </c>
      <c r="P203" t="s">
        <v>440</v>
      </c>
      <c r="Q203">
        <v>2</v>
      </c>
      <c r="R203">
        <v>30.199670000000001</v>
      </c>
      <c r="S203">
        <v>0.06</v>
      </c>
      <c r="T203">
        <v>1.8119802</v>
      </c>
      <c r="U203">
        <v>0.98099999999999998</v>
      </c>
      <c r="V203">
        <v>1777.5530000000001</v>
      </c>
      <c r="W203">
        <v>2</v>
      </c>
      <c r="X203">
        <v>8.2731058000000003E-5</v>
      </c>
      <c r="Y203">
        <v>0.29411799999999999</v>
      </c>
      <c r="Z203" s="61">
        <v>157.90194500000001</v>
      </c>
      <c r="AA203" t="s">
        <v>346</v>
      </c>
      <c r="AB203" t="s">
        <v>436</v>
      </c>
      <c r="AC203" t="s">
        <v>425</v>
      </c>
      <c r="AD203" t="s">
        <v>27</v>
      </c>
      <c r="AE203">
        <v>111.133</v>
      </c>
      <c r="AF203">
        <v>1.0368587857491129</v>
      </c>
      <c r="AG203">
        <v>115.2292274366562</v>
      </c>
      <c r="AH203">
        <v>603.45000000000005</v>
      </c>
      <c r="AI203">
        <v>1</v>
      </c>
      <c r="AJ203">
        <v>69.535077296650186</v>
      </c>
      <c r="AK203">
        <v>0.93979999999999997</v>
      </c>
      <c r="AL203" s="63">
        <v>65.349000000000004</v>
      </c>
      <c r="AM203">
        <v>8.9176000000000002</v>
      </c>
      <c r="AN203">
        <v>9.2462919077962926</v>
      </c>
      <c r="AO203">
        <v>1</v>
      </c>
      <c r="AP203">
        <v>5579.6748517596734</v>
      </c>
      <c r="AQ203">
        <v>0.95477850697292876</v>
      </c>
      <c r="AR203">
        <v>5327.3536000000004</v>
      </c>
      <c r="AS203" s="61">
        <v>841199.49514275207</v>
      </c>
      <c r="AT203" t="s">
        <v>346</v>
      </c>
      <c r="AU203" t="s">
        <v>436</v>
      </c>
      <c r="AV203" t="s">
        <v>425</v>
      </c>
      <c r="AW203" t="s">
        <v>27</v>
      </c>
      <c r="AX203">
        <v>111.133</v>
      </c>
      <c r="AY203">
        <v>1.0368587857491129</v>
      </c>
      <c r="AZ203">
        <v>115.2292274366562</v>
      </c>
      <c r="BA203">
        <v>603.45000000000005</v>
      </c>
      <c r="BB203">
        <v>1</v>
      </c>
      <c r="BC203">
        <v>69.535077296650186</v>
      </c>
      <c r="BD203">
        <v>0.93979999999999997</v>
      </c>
      <c r="BE203" s="63">
        <v>65.349000000000004</v>
      </c>
      <c r="BF203">
        <v>8.9176000000000002</v>
      </c>
      <c r="BG203">
        <v>1</v>
      </c>
      <c r="BH203">
        <v>5579.6748517596734</v>
      </c>
      <c r="BI203">
        <v>0.95477850697292876</v>
      </c>
      <c r="BJ203" s="63">
        <v>5327.3536000000004</v>
      </c>
      <c r="BK203" s="61">
        <v>841199.49514275207</v>
      </c>
    </row>
    <row r="204" spans="1:63" x14ac:dyDescent="0.25">
      <c r="A204">
        <v>575</v>
      </c>
      <c r="B204" t="s">
        <v>114</v>
      </c>
      <c r="C204">
        <v>2018</v>
      </c>
      <c r="D204">
        <v>10</v>
      </c>
      <c r="E204" t="s">
        <v>100</v>
      </c>
      <c r="F204" t="s">
        <v>426</v>
      </c>
      <c r="G204" t="s">
        <v>427</v>
      </c>
      <c r="H204" t="s">
        <v>84</v>
      </c>
      <c r="I204" t="s">
        <v>429</v>
      </c>
      <c r="J204" t="s">
        <v>87</v>
      </c>
      <c r="K204">
        <v>-279.14384976999997</v>
      </c>
      <c r="L204" t="s">
        <v>87</v>
      </c>
      <c r="M204" t="s">
        <v>385</v>
      </c>
      <c r="N204">
        <v>0.39732687972820002</v>
      </c>
      <c r="O204">
        <v>110.9113548244315</v>
      </c>
      <c r="P204" t="s">
        <v>440</v>
      </c>
      <c r="Q204">
        <v>2</v>
      </c>
      <c r="R204">
        <v>30.199670000000001</v>
      </c>
      <c r="S204">
        <v>0.06</v>
      </c>
      <c r="T204">
        <v>1.8119802</v>
      </c>
      <c r="U204">
        <v>0.98099999999999998</v>
      </c>
      <c r="V204">
        <v>1777.5530000000001</v>
      </c>
      <c r="W204">
        <v>2</v>
      </c>
      <c r="X204">
        <v>8.2731058000000003E-5</v>
      </c>
      <c r="Y204">
        <v>0.29411799999999999</v>
      </c>
      <c r="Z204" s="61">
        <v>32.621026000000001</v>
      </c>
      <c r="AA204" t="s">
        <v>346</v>
      </c>
      <c r="AB204" t="s">
        <v>436</v>
      </c>
      <c r="AC204" t="s">
        <v>425</v>
      </c>
      <c r="AD204" t="s">
        <v>27</v>
      </c>
      <c r="AE204">
        <v>111.133</v>
      </c>
      <c r="AF204">
        <v>1.0368587857491129</v>
      </c>
      <c r="AG204">
        <v>115.2292274366562</v>
      </c>
      <c r="AH204">
        <v>603.45000000000005</v>
      </c>
      <c r="AI204">
        <v>1</v>
      </c>
      <c r="AJ204">
        <v>69.535077296650186</v>
      </c>
      <c r="AK204">
        <v>0.93979999999999997</v>
      </c>
      <c r="AL204" s="63">
        <v>65.349000000000004</v>
      </c>
      <c r="AM204">
        <v>8.9176000000000002</v>
      </c>
      <c r="AN204">
        <v>9.2462919077962926</v>
      </c>
      <c r="AO204">
        <v>1</v>
      </c>
      <c r="AP204">
        <v>5579.6748517596734</v>
      </c>
      <c r="AQ204">
        <v>0.95477850697292876</v>
      </c>
      <c r="AR204">
        <v>5327.3536000000004</v>
      </c>
      <c r="AS204" s="61">
        <v>173783.74029679361</v>
      </c>
      <c r="AT204" t="s">
        <v>346</v>
      </c>
      <c r="AU204" t="s">
        <v>436</v>
      </c>
      <c r="AV204" t="s">
        <v>425</v>
      </c>
      <c r="AW204" t="s">
        <v>27</v>
      </c>
      <c r="AX204">
        <v>111.133</v>
      </c>
      <c r="AY204">
        <v>1.0368587857491129</v>
      </c>
      <c r="AZ204">
        <v>115.2292274366562</v>
      </c>
      <c r="BA204">
        <v>603.45000000000005</v>
      </c>
      <c r="BB204">
        <v>1</v>
      </c>
      <c r="BC204">
        <v>69.535077296650186</v>
      </c>
      <c r="BD204">
        <v>0.93979999999999997</v>
      </c>
      <c r="BE204" s="63">
        <v>65.349000000000004</v>
      </c>
      <c r="BF204">
        <v>8.9176000000000002</v>
      </c>
      <c r="BG204">
        <v>1</v>
      </c>
      <c r="BH204">
        <v>5579.6748517596734</v>
      </c>
      <c r="BI204">
        <v>0.95477850697292876</v>
      </c>
      <c r="BJ204" s="63">
        <v>5327.3536000000004</v>
      </c>
      <c r="BK204" s="61">
        <v>173783.74029679361</v>
      </c>
    </row>
    <row r="205" spans="1:63" x14ac:dyDescent="0.25">
      <c r="A205">
        <v>575</v>
      </c>
      <c r="B205" t="s">
        <v>114</v>
      </c>
      <c r="C205">
        <v>2018</v>
      </c>
      <c r="D205">
        <v>10</v>
      </c>
      <c r="E205" t="s">
        <v>100</v>
      </c>
      <c r="F205" t="s">
        <v>426</v>
      </c>
      <c r="G205" t="s">
        <v>427</v>
      </c>
      <c r="H205" t="s">
        <v>84</v>
      </c>
      <c r="I205" t="s">
        <v>430</v>
      </c>
      <c r="J205" t="s">
        <v>59</v>
      </c>
      <c r="K205">
        <v>-683.54412523999997</v>
      </c>
      <c r="L205" t="s">
        <v>59</v>
      </c>
      <c r="M205" t="s">
        <v>385</v>
      </c>
      <c r="N205">
        <v>0.44073195679167998</v>
      </c>
      <c r="O205">
        <v>301.25973987048229</v>
      </c>
      <c r="P205" t="s">
        <v>440</v>
      </c>
      <c r="Q205">
        <v>2</v>
      </c>
      <c r="R205">
        <v>30.199670000000001</v>
      </c>
      <c r="S205">
        <v>0.06</v>
      </c>
      <c r="T205">
        <v>1.8119802</v>
      </c>
      <c r="U205">
        <v>0.98099999999999998</v>
      </c>
      <c r="V205">
        <v>1777.5530000000001</v>
      </c>
      <c r="W205">
        <v>2</v>
      </c>
      <c r="X205">
        <v>8.2731058000000003E-5</v>
      </c>
      <c r="Y205">
        <v>0.29411799999999999</v>
      </c>
      <c r="Z205" s="61">
        <v>88.605912000000004</v>
      </c>
      <c r="AA205" t="s">
        <v>346</v>
      </c>
      <c r="AB205" t="s">
        <v>436</v>
      </c>
      <c r="AC205" t="s">
        <v>425</v>
      </c>
      <c r="AD205" t="s">
        <v>27</v>
      </c>
      <c r="AE205">
        <v>111.133</v>
      </c>
      <c r="AF205">
        <v>1.0368587857491129</v>
      </c>
      <c r="AG205">
        <v>115.2292274366562</v>
      </c>
      <c r="AH205">
        <v>603.45000000000005</v>
      </c>
      <c r="AI205">
        <v>1</v>
      </c>
      <c r="AJ205">
        <v>69.535077296650186</v>
      </c>
      <c r="AK205">
        <v>0.93979999999999997</v>
      </c>
      <c r="AL205" s="63">
        <v>65.349000000000004</v>
      </c>
      <c r="AM205">
        <v>8.9176000000000002</v>
      </c>
      <c r="AN205">
        <v>9.2462919077962926</v>
      </c>
      <c r="AO205">
        <v>1</v>
      </c>
      <c r="AP205">
        <v>5579.6748517596734</v>
      </c>
      <c r="AQ205">
        <v>0.95477850697292876</v>
      </c>
      <c r="AR205">
        <v>5327.3536000000004</v>
      </c>
      <c r="AS205" s="61">
        <v>472035.02427448332</v>
      </c>
      <c r="AT205" t="s">
        <v>346</v>
      </c>
      <c r="AU205" t="s">
        <v>436</v>
      </c>
      <c r="AV205" t="s">
        <v>425</v>
      </c>
      <c r="AW205" t="s">
        <v>27</v>
      </c>
      <c r="AX205">
        <v>111.133</v>
      </c>
      <c r="AY205">
        <v>1.0368587857491129</v>
      </c>
      <c r="AZ205">
        <v>115.2292274366562</v>
      </c>
      <c r="BA205">
        <v>603.45000000000005</v>
      </c>
      <c r="BB205">
        <v>1</v>
      </c>
      <c r="BC205">
        <v>69.535077296650186</v>
      </c>
      <c r="BD205">
        <v>0.93979999999999997</v>
      </c>
      <c r="BE205" s="63">
        <v>65.349000000000004</v>
      </c>
      <c r="BF205">
        <v>8.9176000000000002</v>
      </c>
      <c r="BG205">
        <v>1</v>
      </c>
      <c r="BH205">
        <v>5579.6748517596734</v>
      </c>
      <c r="BI205">
        <v>0.95477850697292876</v>
      </c>
      <c r="BJ205" s="63">
        <v>5327.3536000000004</v>
      </c>
      <c r="BK205" s="61">
        <v>472035.02427448332</v>
      </c>
    </row>
    <row r="206" spans="1:63" x14ac:dyDescent="0.25">
      <c r="A206">
        <v>593</v>
      </c>
      <c r="B206" t="s">
        <v>115</v>
      </c>
      <c r="C206">
        <v>2018</v>
      </c>
      <c r="D206">
        <v>11</v>
      </c>
      <c r="E206" t="s">
        <v>100</v>
      </c>
      <c r="F206" t="s">
        <v>426</v>
      </c>
      <c r="G206" t="s">
        <v>427</v>
      </c>
      <c r="H206" t="s">
        <v>84</v>
      </c>
      <c r="I206" t="s">
        <v>428</v>
      </c>
      <c r="J206" t="s">
        <v>381</v>
      </c>
      <c r="K206">
        <v>-1653.94735896</v>
      </c>
      <c r="L206" t="s">
        <v>381</v>
      </c>
      <c r="M206" t="s">
        <v>384</v>
      </c>
      <c r="N206">
        <v>0.20227799740387001</v>
      </c>
      <c r="O206">
        <v>334.55715958184851</v>
      </c>
      <c r="P206" t="s">
        <v>440</v>
      </c>
      <c r="Q206">
        <v>2</v>
      </c>
      <c r="R206">
        <v>30.199670000000001</v>
      </c>
      <c r="S206">
        <v>9.6000000000000002E-2</v>
      </c>
      <c r="T206">
        <v>2.8991682999999999</v>
      </c>
      <c r="U206">
        <v>1.9E-2</v>
      </c>
      <c r="V206">
        <v>55.084000000000003</v>
      </c>
      <c r="W206">
        <v>2</v>
      </c>
      <c r="X206">
        <v>2.6697137E-3</v>
      </c>
      <c r="Y206">
        <v>0.29411700000000002</v>
      </c>
      <c r="Z206" s="61">
        <v>98.398948000000004</v>
      </c>
      <c r="AA206" t="s">
        <v>346</v>
      </c>
      <c r="AB206" t="s">
        <v>436</v>
      </c>
      <c r="AC206" t="s">
        <v>425</v>
      </c>
      <c r="AD206" t="s">
        <v>81</v>
      </c>
      <c r="AE206">
        <v>111.133</v>
      </c>
      <c r="AF206">
        <v>1.0368587857491129</v>
      </c>
      <c r="AG206">
        <v>115.2292274366562</v>
      </c>
      <c r="AH206">
        <v>603.45000000000005</v>
      </c>
      <c r="AI206">
        <v>1</v>
      </c>
      <c r="AJ206">
        <v>69.535077296650186</v>
      </c>
      <c r="AK206">
        <v>0.90990000000000004</v>
      </c>
      <c r="AL206" s="63">
        <v>63.27</v>
      </c>
      <c r="AM206">
        <v>8.9176000000000002</v>
      </c>
      <c r="AN206">
        <v>9.2462919077962926</v>
      </c>
      <c r="AO206">
        <v>1</v>
      </c>
      <c r="AP206">
        <v>5579.6748517596734</v>
      </c>
      <c r="AQ206">
        <v>1.053620848708487</v>
      </c>
      <c r="AR206">
        <v>5878.8617999999997</v>
      </c>
      <c r="AS206" s="61">
        <v>578473.81655738642</v>
      </c>
      <c r="AT206" t="s">
        <v>346</v>
      </c>
      <c r="AU206" t="s">
        <v>436</v>
      </c>
      <c r="AV206" t="s">
        <v>425</v>
      </c>
      <c r="AW206" t="s">
        <v>81</v>
      </c>
      <c r="AX206">
        <v>111.133</v>
      </c>
      <c r="AY206">
        <v>1.0368587857491129</v>
      </c>
      <c r="AZ206">
        <v>115.2292274366562</v>
      </c>
      <c r="BA206">
        <v>603.45000000000005</v>
      </c>
      <c r="BB206">
        <v>1</v>
      </c>
      <c r="BC206">
        <v>69.535077296650186</v>
      </c>
      <c r="BD206">
        <v>0.90990000000000004</v>
      </c>
      <c r="BE206" s="63">
        <v>63.27</v>
      </c>
      <c r="BF206">
        <v>8.9176000000000002</v>
      </c>
      <c r="BG206">
        <v>1</v>
      </c>
      <c r="BH206">
        <v>5579.6748517596734</v>
      </c>
      <c r="BI206">
        <v>1.053620848708487</v>
      </c>
      <c r="BJ206" s="63">
        <v>5878.8617999999997</v>
      </c>
      <c r="BK206" s="61">
        <v>578473.81655738642</v>
      </c>
    </row>
    <row r="207" spans="1:63" x14ac:dyDescent="0.25">
      <c r="A207">
        <v>593</v>
      </c>
      <c r="B207" t="s">
        <v>115</v>
      </c>
      <c r="C207">
        <v>2018</v>
      </c>
      <c r="D207">
        <v>11</v>
      </c>
      <c r="E207" t="s">
        <v>100</v>
      </c>
      <c r="F207" t="s">
        <v>426</v>
      </c>
      <c r="G207" t="s">
        <v>427</v>
      </c>
      <c r="H207" t="s">
        <v>84</v>
      </c>
      <c r="I207" t="s">
        <v>429</v>
      </c>
      <c r="J207" t="s">
        <v>87</v>
      </c>
      <c r="K207">
        <v>-432.19667453</v>
      </c>
      <c r="L207" t="s">
        <v>87</v>
      </c>
      <c r="M207" t="s">
        <v>384</v>
      </c>
      <c r="N207">
        <v>0.19876483095849001</v>
      </c>
      <c r="O207">
        <v>85.90549895377697</v>
      </c>
      <c r="P207" t="s">
        <v>440</v>
      </c>
      <c r="Q207">
        <v>2</v>
      </c>
      <c r="R207">
        <v>30.199670000000001</v>
      </c>
      <c r="S207">
        <v>9.6000000000000002E-2</v>
      </c>
      <c r="T207">
        <v>2.8991682999999999</v>
      </c>
      <c r="U207">
        <v>1.9E-2</v>
      </c>
      <c r="V207">
        <v>55.084000000000003</v>
      </c>
      <c r="W207">
        <v>2</v>
      </c>
      <c r="X207">
        <v>2.6697137E-3</v>
      </c>
      <c r="Y207">
        <v>0.29411700000000002</v>
      </c>
      <c r="Z207" s="61">
        <v>25.266268</v>
      </c>
      <c r="AA207" t="s">
        <v>346</v>
      </c>
      <c r="AB207" t="s">
        <v>436</v>
      </c>
      <c r="AC207" t="s">
        <v>425</v>
      </c>
      <c r="AD207" t="s">
        <v>81</v>
      </c>
      <c r="AE207">
        <v>111.133</v>
      </c>
      <c r="AF207">
        <v>1.0368587857491129</v>
      </c>
      <c r="AG207">
        <v>115.2292274366562</v>
      </c>
      <c r="AH207">
        <v>603.45000000000005</v>
      </c>
      <c r="AI207">
        <v>1</v>
      </c>
      <c r="AJ207">
        <v>69.535077296650186</v>
      </c>
      <c r="AK207">
        <v>0.90990000000000004</v>
      </c>
      <c r="AL207" s="63">
        <v>63.27</v>
      </c>
      <c r="AM207">
        <v>8.9176000000000002</v>
      </c>
      <c r="AN207">
        <v>9.2462919077962926</v>
      </c>
      <c r="AO207">
        <v>1</v>
      </c>
      <c r="AP207">
        <v>5579.6748517596734</v>
      </c>
      <c r="AQ207">
        <v>1.053620848708487</v>
      </c>
      <c r="AR207">
        <v>5878.8617999999997</v>
      </c>
      <c r="AS207" s="61">
        <v>148536.89777376241</v>
      </c>
      <c r="AT207" t="s">
        <v>346</v>
      </c>
      <c r="AU207" t="s">
        <v>436</v>
      </c>
      <c r="AV207" t="s">
        <v>425</v>
      </c>
      <c r="AW207" t="s">
        <v>81</v>
      </c>
      <c r="AX207">
        <v>111.133</v>
      </c>
      <c r="AY207">
        <v>1.0368587857491129</v>
      </c>
      <c r="AZ207">
        <v>115.2292274366562</v>
      </c>
      <c r="BA207">
        <v>603.45000000000005</v>
      </c>
      <c r="BB207">
        <v>1</v>
      </c>
      <c r="BC207">
        <v>69.535077296650186</v>
      </c>
      <c r="BD207">
        <v>0.90990000000000004</v>
      </c>
      <c r="BE207" s="63">
        <v>63.27</v>
      </c>
      <c r="BF207">
        <v>8.9176000000000002</v>
      </c>
      <c r="BG207">
        <v>1</v>
      </c>
      <c r="BH207">
        <v>5579.6748517596734</v>
      </c>
      <c r="BI207">
        <v>1.053620848708487</v>
      </c>
      <c r="BJ207" s="63">
        <v>5878.8617999999997</v>
      </c>
      <c r="BK207" s="61">
        <v>148536.89777376241</v>
      </c>
    </row>
    <row r="208" spans="1:63" x14ac:dyDescent="0.25">
      <c r="A208">
        <v>593</v>
      </c>
      <c r="B208" t="s">
        <v>115</v>
      </c>
      <c r="C208">
        <v>2018</v>
      </c>
      <c r="D208">
        <v>11</v>
      </c>
      <c r="E208" t="s">
        <v>100</v>
      </c>
      <c r="F208" t="s">
        <v>426</v>
      </c>
      <c r="G208" t="s">
        <v>427</v>
      </c>
      <c r="H208" t="s">
        <v>84</v>
      </c>
      <c r="I208" t="s">
        <v>430</v>
      </c>
      <c r="J208" t="s">
        <v>59</v>
      </c>
      <c r="K208">
        <v>-787.52142816000003</v>
      </c>
      <c r="L208" t="s">
        <v>59</v>
      </c>
      <c r="M208" t="s">
        <v>384</v>
      </c>
      <c r="N208">
        <v>0.19498772039385001</v>
      </c>
      <c r="O208">
        <v>153.55700803822751</v>
      </c>
      <c r="P208" t="s">
        <v>440</v>
      </c>
      <c r="Q208">
        <v>2</v>
      </c>
      <c r="R208">
        <v>30.199670000000001</v>
      </c>
      <c r="S208">
        <v>9.6000000000000002E-2</v>
      </c>
      <c r="T208">
        <v>2.8991682999999999</v>
      </c>
      <c r="U208">
        <v>1.9E-2</v>
      </c>
      <c r="V208">
        <v>55.084000000000003</v>
      </c>
      <c r="W208">
        <v>2</v>
      </c>
      <c r="X208">
        <v>2.6697137E-3</v>
      </c>
      <c r="Y208">
        <v>0.29411700000000002</v>
      </c>
      <c r="Z208" s="61">
        <v>45.163727000000002</v>
      </c>
      <c r="AA208" t="s">
        <v>346</v>
      </c>
      <c r="AB208" t="s">
        <v>436</v>
      </c>
      <c r="AC208" t="s">
        <v>425</v>
      </c>
      <c r="AD208" t="s">
        <v>81</v>
      </c>
      <c r="AE208">
        <v>111.133</v>
      </c>
      <c r="AF208">
        <v>1.0368587857491129</v>
      </c>
      <c r="AG208">
        <v>115.2292274366562</v>
      </c>
      <c r="AH208">
        <v>603.45000000000005</v>
      </c>
      <c r="AI208">
        <v>1</v>
      </c>
      <c r="AJ208">
        <v>69.535077296650186</v>
      </c>
      <c r="AK208">
        <v>0.90990000000000004</v>
      </c>
      <c r="AL208" s="63">
        <v>63.27</v>
      </c>
      <c r="AM208">
        <v>8.9176000000000002</v>
      </c>
      <c r="AN208">
        <v>9.2462919077962926</v>
      </c>
      <c r="AO208">
        <v>1</v>
      </c>
      <c r="AP208">
        <v>5579.6748517596734</v>
      </c>
      <c r="AQ208">
        <v>1.053620848708487</v>
      </c>
      <c r="AR208">
        <v>5878.8617999999997</v>
      </c>
      <c r="AS208" s="61">
        <v>265511.30940592859</v>
      </c>
      <c r="AT208" t="s">
        <v>346</v>
      </c>
      <c r="AU208" t="s">
        <v>436</v>
      </c>
      <c r="AV208" t="s">
        <v>425</v>
      </c>
      <c r="AW208" t="s">
        <v>81</v>
      </c>
      <c r="AX208">
        <v>111.133</v>
      </c>
      <c r="AY208">
        <v>1.0368587857491129</v>
      </c>
      <c r="AZ208">
        <v>115.2292274366562</v>
      </c>
      <c r="BA208">
        <v>603.45000000000005</v>
      </c>
      <c r="BB208">
        <v>1</v>
      </c>
      <c r="BC208">
        <v>69.535077296650186</v>
      </c>
      <c r="BD208">
        <v>0.90990000000000004</v>
      </c>
      <c r="BE208" s="63">
        <v>63.27</v>
      </c>
      <c r="BF208">
        <v>8.9176000000000002</v>
      </c>
      <c r="BG208">
        <v>1</v>
      </c>
      <c r="BH208">
        <v>5579.6748517596734</v>
      </c>
      <c r="BI208">
        <v>1.053620848708487</v>
      </c>
      <c r="BJ208" s="63">
        <v>5878.8617999999997</v>
      </c>
      <c r="BK208" s="61">
        <v>265511.30940592859</v>
      </c>
    </row>
    <row r="209" spans="1:63" x14ac:dyDescent="0.25">
      <c r="A209">
        <v>595</v>
      </c>
      <c r="B209" t="s">
        <v>115</v>
      </c>
      <c r="C209">
        <v>2018</v>
      </c>
      <c r="D209">
        <v>11</v>
      </c>
      <c r="E209" t="s">
        <v>100</v>
      </c>
      <c r="F209" t="s">
        <v>426</v>
      </c>
      <c r="G209" t="s">
        <v>427</v>
      </c>
      <c r="H209" t="s">
        <v>84</v>
      </c>
      <c r="I209" t="s">
        <v>428</v>
      </c>
      <c r="J209" t="s">
        <v>381</v>
      </c>
      <c r="K209">
        <v>-1653.94735896</v>
      </c>
      <c r="L209" t="s">
        <v>381</v>
      </c>
      <c r="M209" t="s">
        <v>385</v>
      </c>
      <c r="N209">
        <v>0.45512925812367999</v>
      </c>
      <c r="O209">
        <v>752.75983445908469</v>
      </c>
      <c r="P209" t="s">
        <v>440</v>
      </c>
      <c r="Q209">
        <v>2</v>
      </c>
      <c r="R209">
        <v>30.199670000000001</v>
      </c>
      <c r="S209">
        <v>9.6000000000000002E-2</v>
      </c>
      <c r="T209">
        <v>2.8991682999999999</v>
      </c>
      <c r="U209">
        <v>0.98099999999999998</v>
      </c>
      <c r="V209">
        <v>2844.0839999999998</v>
      </c>
      <c r="W209">
        <v>2</v>
      </c>
      <c r="X209">
        <v>5.1706918E-5</v>
      </c>
      <c r="Y209">
        <v>0.29411799999999999</v>
      </c>
      <c r="Z209" s="61">
        <v>221.400217</v>
      </c>
      <c r="AA209" t="s">
        <v>346</v>
      </c>
      <c r="AB209" t="s">
        <v>436</v>
      </c>
      <c r="AC209" t="s">
        <v>425</v>
      </c>
      <c r="AD209" t="s">
        <v>27</v>
      </c>
      <c r="AE209">
        <v>111.133</v>
      </c>
      <c r="AF209">
        <v>1.0368587857491129</v>
      </c>
      <c r="AG209">
        <v>115.2292274366562</v>
      </c>
      <c r="AH209">
        <v>603.45000000000005</v>
      </c>
      <c r="AI209">
        <v>1</v>
      </c>
      <c r="AJ209">
        <v>69.535077296650186</v>
      </c>
      <c r="AK209">
        <v>0.93979999999999997</v>
      </c>
      <c r="AL209" s="63">
        <v>65.349000000000004</v>
      </c>
      <c r="AM209">
        <v>8.9176000000000002</v>
      </c>
      <c r="AN209">
        <v>9.2462919077962926</v>
      </c>
      <c r="AO209">
        <v>1</v>
      </c>
      <c r="AP209">
        <v>5579.6748517596734</v>
      </c>
      <c r="AQ209">
        <v>0.95477850697292876</v>
      </c>
      <c r="AR209">
        <v>5327.3536000000004</v>
      </c>
      <c r="AS209" s="61">
        <v>1179477.243075731</v>
      </c>
      <c r="AT209" t="s">
        <v>346</v>
      </c>
      <c r="AU209" t="s">
        <v>436</v>
      </c>
      <c r="AV209" t="s">
        <v>425</v>
      </c>
      <c r="AW209" t="s">
        <v>27</v>
      </c>
      <c r="AX209">
        <v>111.133</v>
      </c>
      <c r="AY209">
        <v>1.0368587857491129</v>
      </c>
      <c r="AZ209">
        <v>115.2292274366562</v>
      </c>
      <c r="BA209">
        <v>603.45000000000005</v>
      </c>
      <c r="BB209">
        <v>1</v>
      </c>
      <c r="BC209">
        <v>69.535077296650186</v>
      </c>
      <c r="BD209">
        <v>0.93979999999999997</v>
      </c>
      <c r="BE209" s="63">
        <v>65.349000000000004</v>
      </c>
      <c r="BF209">
        <v>8.9176000000000002</v>
      </c>
      <c r="BG209">
        <v>1</v>
      </c>
      <c r="BH209">
        <v>5579.6748517596734</v>
      </c>
      <c r="BI209">
        <v>0.95477850697292876</v>
      </c>
      <c r="BJ209" s="63">
        <v>5327.3536000000004</v>
      </c>
      <c r="BK209" s="61">
        <v>1179477.243075731</v>
      </c>
    </row>
    <row r="210" spans="1:63" x14ac:dyDescent="0.25">
      <c r="A210">
        <v>595</v>
      </c>
      <c r="B210" t="s">
        <v>115</v>
      </c>
      <c r="C210">
        <v>2018</v>
      </c>
      <c r="D210">
        <v>11</v>
      </c>
      <c r="E210" t="s">
        <v>100</v>
      </c>
      <c r="F210" t="s">
        <v>426</v>
      </c>
      <c r="G210" t="s">
        <v>427</v>
      </c>
      <c r="H210" t="s">
        <v>84</v>
      </c>
      <c r="I210" t="s">
        <v>429</v>
      </c>
      <c r="J210" t="s">
        <v>87</v>
      </c>
      <c r="K210">
        <v>-432.19667453</v>
      </c>
      <c r="L210" t="s">
        <v>87</v>
      </c>
      <c r="M210" t="s">
        <v>385</v>
      </c>
      <c r="N210">
        <v>0.39732687972676001</v>
      </c>
      <c r="O210">
        <v>171.7233561192869</v>
      </c>
      <c r="P210" t="s">
        <v>440</v>
      </c>
      <c r="Q210">
        <v>2</v>
      </c>
      <c r="R210">
        <v>30.199670000000001</v>
      </c>
      <c r="S210">
        <v>9.6000000000000002E-2</v>
      </c>
      <c r="T210">
        <v>2.8991682999999999</v>
      </c>
      <c r="U210">
        <v>0.98099999999999998</v>
      </c>
      <c r="V210">
        <v>2844.0839999999998</v>
      </c>
      <c r="W210">
        <v>2</v>
      </c>
      <c r="X210">
        <v>5.1706918E-5</v>
      </c>
      <c r="Y210">
        <v>0.29411799999999999</v>
      </c>
      <c r="Z210" s="61">
        <v>50.506929999999997</v>
      </c>
      <c r="AA210" t="s">
        <v>346</v>
      </c>
      <c r="AB210" t="s">
        <v>436</v>
      </c>
      <c r="AC210" t="s">
        <v>425</v>
      </c>
      <c r="AD210" t="s">
        <v>27</v>
      </c>
      <c r="AE210">
        <v>111.133</v>
      </c>
      <c r="AF210">
        <v>1.0368587857491129</v>
      </c>
      <c r="AG210">
        <v>115.2292274366562</v>
      </c>
      <c r="AH210">
        <v>603.45000000000005</v>
      </c>
      <c r="AI210">
        <v>1</v>
      </c>
      <c r="AJ210">
        <v>69.535077296650186</v>
      </c>
      <c r="AK210">
        <v>0.93979999999999997</v>
      </c>
      <c r="AL210" s="63">
        <v>65.349000000000004</v>
      </c>
      <c r="AM210">
        <v>8.9176000000000002</v>
      </c>
      <c r="AN210">
        <v>9.2462919077962926</v>
      </c>
      <c r="AO210">
        <v>1</v>
      </c>
      <c r="AP210">
        <v>5579.6748517596734</v>
      </c>
      <c r="AQ210">
        <v>0.95477850697292876</v>
      </c>
      <c r="AR210">
        <v>5327.3536000000004</v>
      </c>
      <c r="AS210" s="61">
        <v>269068.27536044799</v>
      </c>
      <c r="AT210" t="s">
        <v>346</v>
      </c>
      <c r="AU210" t="s">
        <v>436</v>
      </c>
      <c r="AV210" t="s">
        <v>425</v>
      </c>
      <c r="AW210" t="s">
        <v>27</v>
      </c>
      <c r="AX210">
        <v>111.133</v>
      </c>
      <c r="AY210">
        <v>1.0368587857491129</v>
      </c>
      <c r="AZ210">
        <v>115.2292274366562</v>
      </c>
      <c r="BA210">
        <v>603.45000000000005</v>
      </c>
      <c r="BB210">
        <v>1</v>
      </c>
      <c r="BC210">
        <v>69.535077296650186</v>
      </c>
      <c r="BD210">
        <v>0.93979999999999997</v>
      </c>
      <c r="BE210" s="63">
        <v>65.349000000000004</v>
      </c>
      <c r="BF210">
        <v>8.9176000000000002</v>
      </c>
      <c r="BG210">
        <v>1</v>
      </c>
      <c r="BH210">
        <v>5579.6748517596734</v>
      </c>
      <c r="BI210">
        <v>0.95477850697292876</v>
      </c>
      <c r="BJ210" s="63">
        <v>5327.3536000000004</v>
      </c>
      <c r="BK210" s="61">
        <v>269068.27536044799</v>
      </c>
    </row>
    <row r="211" spans="1:63" x14ac:dyDescent="0.25">
      <c r="A211">
        <v>595</v>
      </c>
      <c r="B211" t="s">
        <v>115</v>
      </c>
      <c r="C211">
        <v>2018</v>
      </c>
      <c r="D211">
        <v>11</v>
      </c>
      <c r="E211" t="s">
        <v>100</v>
      </c>
      <c r="F211" t="s">
        <v>426</v>
      </c>
      <c r="G211" t="s">
        <v>427</v>
      </c>
      <c r="H211" t="s">
        <v>84</v>
      </c>
      <c r="I211" t="s">
        <v>430</v>
      </c>
      <c r="J211" t="s">
        <v>59</v>
      </c>
      <c r="K211">
        <v>-787.52142816000003</v>
      </c>
      <c r="L211" t="s">
        <v>59</v>
      </c>
      <c r="M211" t="s">
        <v>385</v>
      </c>
      <c r="N211">
        <v>0.44073195679215998</v>
      </c>
      <c r="O211">
        <v>347.0858600487133</v>
      </c>
      <c r="P211" t="s">
        <v>440</v>
      </c>
      <c r="Q211">
        <v>2</v>
      </c>
      <c r="R211">
        <v>30.199670000000001</v>
      </c>
      <c r="S211">
        <v>9.6000000000000002E-2</v>
      </c>
      <c r="T211">
        <v>2.8991682999999999</v>
      </c>
      <c r="U211">
        <v>0.98099999999999998</v>
      </c>
      <c r="V211">
        <v>2844.0839999999998</v>
      </c>
      <c r="W211">
        <v>2</v>
      </c>
      <c r="X211">
        <v>5.1706918E-5</v>
      </c>
      <c r="Y211">
        <v>0.29411799999999999</v>
      </c>
      <c r="Z211" s="61">
        <v>102.084199</v>
      </c>
      <c r="AA211" t="s">
        <v>346</v>
      </c>
      <c r="AB211" t="s">
        <v>436</v>
      </c>
      <c r="AC211" t="s">
        <v>425</v>
      </c>
      <c r="AD211" t="s">
        <v>27</v>
      </c>
      <c r="AE211">
        <v>111.133</v>
      </c>
      <c r="AF211">
        <v>1.0368587857491129</v>
      </c>
      <c r="AG211">
        <v>115.2292274366562</v>
      </c>
      <c r="AH211">
        <v>603.45000000000005</v>
      </c>
      <c r="AI211">
        <v>1</v>
      </c>
      <c r="AJ211">
        <v>69.535077296650186</v>
      </c>
      <c r="AK211">
        <v>0.93979999999999997</v>
      </c>
      <c r="AL211" s="63">
        <v>65.349000000000004</v>
      </c>
      <c r="AM211">
        <v>8.9176000000000002</v>
      </c>
      <c r="AN211">
        <v>9.2462919077962926</v>
      </c>
      <c r="AO211">
        <v>1</v>
      </c>
      <c r="AP211">
        <v>5579.6748517596734</v>
      </c>
      <c r="AQ211">
        <v>0.95477850697292876</v>
      </c>
      <c r="AR211">
        <v>5327.3536000000004</v>
      </c>
      <c r="AS211" s="61">
        <v>543838.62504576647</v>
      </c>
      <c r="AT211" t="s">
        <v>346</v>
      </c>
      <c r="AU211" t="s">
        <v>436</v>
      </c>
      <c r="AV211" t="s">
        <v>425</v>
      </c>
      <c r="AW211" t="s">
        <v>27</v>
      </c>
      <c r="AX211">
        <v>111.133</v>
      </c>
      <c r="AY211">
        <v>1.0368587857491129</v>
      </c>
      <c r="AZ211">
        <v>115.2292274366562</v>
      </c>
      <c r="BA211">
        <v>603.45000000000005</v>
      </c>
      <c r="BB211">
        <v>1</v>
      </c>
      <c r="BC211">
        <v>69.535077296650186</v>
      </c>
      <c r="BD211">
        <v>0.93979999999999997</v>
      </c>
      <c r="BE211" s="63">
        <v>65.349000000000004</v>
      </c>
      <c r="BF211">
        <v>8.9176000000000002</v>
      </c>
      <c r="BG211">
        <v>1</v>
      </c>
      <c r="BH211">
        <v>5579.6748517596734</v>
      </c>
      <c r="BI211">
        <v>0.95477850697292876</v>
      </c>
      <c r="BJ211" s="63">
        <v>5327.3536000000004</v>
      </c>
      <c r="BK211" s="61">
        <v>543838.62504576647</v>
      </c>
    </row>
    <row r="212" spans="1:63" x14ac:dyDescent="0.25">
      <c r="A212">
        <v>613</v>
      </c>
      <c r="B212" t="s">
        <v>116</v>
      </c>
      <c r="C212">
        <v>2018</v>
      </c>
      <c r="D212">
        <v>12</v>
      </c>
      <c r="E212" t="s">
        <v>100</v>
      </c>
      <c r="F212" t="s">
        <v>426</v>
      </c>
      <c r="G212" t="s">
        <v>427</v>
      </c>
      <c r="H212" t="s">
        <v>84</v>
      </c>
      <c r="I212" t="s">
        <v>428</v>
      </c>
      <c r="J212" t="s">
        <v>381</v>
      </c>
      <c r="K212">
        <v>-2422.0479950899999</v>
      </c>
      <c r="L212" t="s">
        <v>381</v>
      </c>
      <c r="M212" t="s">
        <v>384</v>
      </c>
      <c r="N212">
        <v>0.20227799740369001</v>
      </c>
      <c r="O212">
        <v>489.92701806242758</v>
      </c>
      <c r="P212" t="s">
        <v>440</v>
      </c>
      <c r="Q212">
        <v>2</v>
      </c>
      <c r="R212">
        <v>30.199670000000001</v>
      </c>
      <c r="S212">
        <v>0.14599999999999999</v>
      </c>
      <c r="T212">
        <v>4.4091518000000001</v>
      </c>
      <c r="U212">
        <v>1.9E-2</v>
      </c>
      <c r="V212">
        <v>83.774000000000001</v>
      </c>
      <c r="W212">
        <v>2</v>
      </c>
      <c r="X212">
        <v>1.7554238210000001E-3</v>
      </c>
      <c r="Y212">
        <v>0.29411799999999999</v>
      </c>
      <c r="Z212" s="61">
        <v>144.09635499999999</v>
      </c>
      <c r="AA212" t="s">
        <v>346</v>
      </c>
      <c r="AB212" t="s">
        <v>436</v>
      </c>
      <c r="AC212" t="s">
        <v>425</v>
      </c>
      <c r="AD212" t="s">
        <v>81</v>
      </c>
      <c r="AE212">
        <v>111.133</v>
      </c>
      <c r="AF212">
        <v>1.0368587857491129</v>
      </c>
      <c r="AG212">
        <v>115.2292274366562</v>
      </c>
      <c r="AH212">
        <v>603.45000000000005</v>
      </c>
      <c r="AI212">
        <v>1</v>
      </c>
      <c r="AJ212">
        <v>69.535077296650186</v>
      </c>
      <c r="AK212">
        <v>0.90990000000000004</v>
      </c>
      <c r="AL212" s="63">
        <v>63.27</v>
      </c>
      <c r="AM212">
        <v>8.9176000000000002</v>
      </c>
      <c r="AN212">
        <v>9.2462919077962926</v>
      </c>
      <c r="AO212">
        <v>1</v>
      </c>
      <c r="AP212">
        <v>5579.6748517596734</v>
      </c>
      <c r="AQ212">
        <v>1.053620848708487</v>
      </c>
      <c r="AR212">
        <v>5878.8617999999997</v>
      </c>
      <c r="AS212" s="61">
        <v>847122.55692873884</v>
      </c>
      <c r="AT212" t="s">
        <v>346</v>
      </c>
      <c r="AU212" t="s">
        <v>436</v>
      </c>
      <c r="AV212" t="s">
        <v>425</v>
      </c>
      <c r="AW212" t="s">
        <v>81</v>
      </c>
      <c r="AX212">
        <v>111.133</v>
      </c>
      <c r="AY212">
        <v>1.0368587857491129</v>
      </c>
      <c r="AZ212">
        <v>115.2292274366562</v>
      </c>
      <c r="BA212">
        <v>603.45000000000005</v>
      </c>
      <c r="BB212">
        <v>1</v>
      </c>
      <c r="BC212">
        <v>69.535077296650186</v>
      </c>
      <c r="BD212">
        <v>0.90990000000000004</v>
      </c>
      <c r="BE212" s="63">
        <v>63.27</v>
      </c>
      <c r="BF212">
        <v>8.9176000000000002</v>
      </c>
      <c r="BG212">
        <v>1</v>
      </c>
      <c r="BH212">
        <v>5579.6748517596734</v>
      </c>
      <c r="BI212">
        <v>1.053620848708487</v>
      </c>
      <c r="BJ212" s="63">
        <v>5878.8617999999997</v>
      </c>
      <c r="BK212" s="61">
        <v>847122.55692873884</v>
      </c>
    </row>
    <row r="213" spans="1:63" x14ac:dyDescent="0.25">
      <c r="A213">
        <v>613</v>
      </c>
      <c r="B213" t="s">
        <v>116</v>
      </c>
      <c r="C213">
        <v>2018</v>
      </c>
      <c r="D213">
        <v>12</v>
      </c>
      <c r="E213" t="s">
        <v>100</v>
      </c>
      <c r="F213" t="s">
        <v>426</v>
      </c>
      <c r="G213" t="s">
        <v>427</v>
      </c>
      <c r="H213" t="s">
        <v>84</v>
      </c>
      <c r="I213" t="s">
        <v>429</v>
      </c>
      <c r="J213" t="s">
        <v>87</v>
      </c>
      <c r="K213">
        <v>-617.27765622000004</v>
      </c>
      <c r="L213" t="s">
        <v>87</v>
      </c>
      <c r="M213" t="s">
        <v>384</v>
      </c>
      <c r="N213">
        <v>0.19876483095788999</v>
      </c>
      <c r="O213">
        <v>122.6930889926508</v>
      </c>
      <c r="P213" t="s">
        <v>440</v>
      </c>
      <c r="Q213">
        <v>2</v>
      </c>
      <c r="R213">
        <v>30.199670000000001</v>
      </c>
      <c r="S213">
        <v>0.14599999999999999</v>
      </c>
      <c r="T213">
        <v>4.4091518000000001</v>
      </c>
      <c r="U213">
        <v>1.9E-2</v>
      </c>
      <c r="V213">
        <v>83.774000000000001</v>
      </c>
      <c r="W213">
        <v>2</v>
      </c>
      <c r="X213">
        <v>1.7554238210000001E-3</v>
      </c>
      <c r="Y213">
        <v>0.29411799999999999</v>
      </c>
      <c r="Z213" s="61">
        <v>36.086246000000003</v>
      </c>
      <c r="AA213" t="s">
        <v>346</v>
      </c>
      <c r="AB213" t="s">
        <v>436</v>
      </c>
      <c r="AC213" t="s">
        <v>425</v>
      </c>
      <c r="AD213" t="s">
        <v>81</v>
      </c>
      <c r="AE213">
        <v>111.133</v>
      </c>
      <c r="AF213">
        <v>1.0368587857491129</v>
      </c>
      <c r="AG213">
        <v>115.2292274366562</v>
      </c>
      <c r="AH213">
        <v>603.45000000000005</v>
      </c>
      <c r="AI213">
        <v>1</v>
      </c>
      <c r="AJ213">
        <v>69.535077296650186</v>
      </c>
      <c r="AK213">
        <v>0.90990000000000004</v>
      </c>
      <c r="AL213" s="63">
        <v>63.27</v>
      </c>
      <c r="AM213">
        <v>8.9176000000000002</v>
      </c>
      <c r="AN213">
        <v>9.2462919077962926</v>
      </c>
      <c r="AO213">
        <v>1</v>
      </c>
      <c r="AP213">
        <v>5579.6748517596734</v>
      </c>
      <c r="AQ213">
        <v>1.053620848708487</v>
      </c>
      <c r="AR213">
        <v>5878.8617999999997</v>
      </c>
      <c r="AS213" s="61">
        <v>212146.05311480281</v>
      </c>
      <c r="AT213" t="s">
        <v>346</v>
      </c>
      <c r="AU213" t="s">
        <v>436</v>
      </c>
      <c r="AV213" t="s">
        <v>425</v>
      </c>
      <c r="AW213" t="s">
        <v>81</v>
      </c>
      <c r="AX213">
        <v>111.133</v>
      </c>
      <c r="AY213">
        <v>1.0368587857491129</v>
      </c>
      <c r="AZ213">
        <v>115.2292274366562</v>
      </c>
      <c r="BA213">
        <v>603.45000000000005</v>
      </c>
      <c r="BB213">
        <v>1</v>
      </c>
      <c r="BC213">
        <v>69.535077296650186</v>
      </c>
      <c r="BD213">
        <v>0.90990000000000004</v>
      </c>
      <c r="BE213" s="63">
        <v>63.27</v>
      </c>
      <c r="BF213">
        <v>8.9176000000000002</v>
      </c>
      <c r="BG213">
        <v>1</v>
      </c>
      <c r="BH213">
        <v>5579.6748517596734</v>
      </c>
      <c r="BI213">
        <v>1.053620848708487</v>
      </c>
      <c r="BJ213" s="63">
        <v>5878.8617999999997</v>
      </c>
      <c r="BK213" s="61">
        <v>212146.05311480281</v>
      </c>
    </row>
    <row r="214" spans="1:63" x14ac:dyDescent="0.25">
      <c r="A214">
        <v>613</v>
      </c>
      <c r="B214" t="s">
        <v>116</v>
      </c>
      <c r="C214">
        <v>2018</v>
      </c>
      <c r="D214">
        <v>12</v>
      </c>
      <c r="E214" t="s">
        <v>100</v>
      </c>
      <c r="F214" t="s">
        <v>426</v>
      </c>
      <c r="G214" t="s">
        <v>427</v>
      </c>
      <c r="H214" t="s">
        <v>84</v>
      </c>
      <c r="I214" t="s">
        <v>430</v>
      </c>
      <c r="J214" t="s">
        <v>59</v>
      </c>
      <c r="K214">
        <v>-903.05459274999998</v>
      </c>
      <c r="L214" t="s">
        <v>59</v>
      </c>
      <c r="M214" t="s">
        <v>384</v>
      </c>
      <c r="N214">
        <v>0.19498772039372</v>
      </c>
      <c r="O214">
        <v>176.08455643140169</v>
      </c>
      <c r="P214" t="s">
        <v>440</v>
      </c>
      <c r="Q214">
        <v>2</v>
      </c>
      <c r="R214">
        <v>30.199670000000001</v>
      </c>
      <c r="S214">
        <v>0.14599999999999999</v>
      </c>
      <c r="T214">
        <v>4.4091518000000001</v>
      </c>
      <c r="U214">
        <v>1.9E-2</v>
      </c>
      <c r="V214">
        <v>83.774000000000001</v>
      </c>
      <c r="W214">
        <v>2</v>
      </c>
      <c r="X214">
        <v>1.7554238210000001E-3</v>
      </c>
      <c r="Y214">
        <v>0.29411799999999999</v>
      </c>
      <c r="Z214" s="61">
        <v>51.789637999999997</v>
      </c>
      <c r="AA214" t="s">
        <v>346</v>
      </c>
      <c r="AB214" t="s">
        <v>436</v>
      </c>
      <c r="AC214" t="s">
        <v>425</v>
      </c>
      <c r="AD214" t="s">
        <v>81</v>
      </c>
      <c r="AE214">
        <v>111.133</v>
      </c>
      <c r="AF214">
        <v>1.0368587857491129</v>
      </c>
      <c r="AG214">
        <v>115.2292274366562</v>
      </c>
      <c r="AH214">
        <v>603.45000000000005</v>
      </c>
      <c r="AI214">
        <v>1</v>
      </c>
      <c r="AJ214">
        <v>69.535077296650186</v>
      </c>
      <c r="AK214">
        <v>0.90990000000000004</v>
      </c>
      <c r="AL214" s="63">
        <v>63.27</v>
      </c>
      <c r="AM214">
        <v>8.9176000000000002</v>
      </c>
      <c r="AN214">
        <v>9.2462919077962926</v>
      </c>
      <c r="AO214">
        <v>1</v>
      </c>
      <c r="AP214">
        <v>5579.6748517596734</v>
      </c>
      <c r="AQ214">
        <v>1.053620848708487</v>
      </c>
      <c r="AR214">
        <v>5878.8617999999997</v>
      </c>
      <c r="AS214" s="61">
        <v>304464.12447402842</v>
      </c>
      <c r="AT214" t="s">
        <v>346</v>
      </c>
      <c r="AU214" t="s">
        <v>436</v>
      </c>
      <c r="AV214" t="s">
        <v>425</v>
      </c>
      <c r="AW214" t="s">
        <v>81</v>
      </c>
      <c r="AX214">
        <v>111.133</v>
      </c>
      <c r="AY214">
        <v>1.0368587857491129</v>
      </c>
      <c r="AZ214">
        <v>115.2292274366562</v>
      </c>
      <c r="BA214">
        <v>603.45000000000005</v>
      </c>
      <c r="BB214">
        <v>1</v>
      </c>
      <c r="BC214">
        <v>69.535077296650186</v>
      </c>
      <c r="BD214">
        <v>0.90990000000000004</v>
      </c>
      <c r="BE214" s="63">
        <v>63.27</v>
      </c>
      <c r="BF214">
        <v>8.9176000000000002</v>
      </c>
      <c r="BG214">
        <v>1</v>
      </c>
      <c r="BH214">
        <v>5579.6748517596734</v>
      </c>
      <c r="BI214">
        <v>1.053620848708487</v>
      </c>
      <c r="BJ214" s="63">
        <v>5878.8617999999997</v>
      </c>
      <c r="BK214" s="61">
        <v>304464.12447402842</v>
      </c>
    </row>
    <row r="215" spans="1:63" x14ac:dyDescent="0.25">
      <c r="A215">
        <v>615</v>
      </c>
      <c r="B215" t="s">
        <v>116</v>
      </c>
      <c r="C215">
        <v>2018</v>
      </c>
      <c r="D215">
        <v>12</v>
      </c>
      <c r="E215" t="s">
        <v>100</v>
      </c>
      <c r="F215" t="s">
        <v>426</v>
      </c>
      <c r="G215" t="s">
        <v>427</v>
      </c>
      <c r="H215" t="s">
        <v>84</v>
      </c>
      <c r="I215" t="s">
        <v>428</v>
      </c>
      <c r="J215" t="s">
        <v>381</v>
      </c>
      <c r="K215">
        <v>-2422.0479950899999</v>
      </c>
      <c r="L215" t="s">
        <v>381</v>
      </c>
      <c r="M215" t="s">
        <v>385</v>
      </c>
      <c r="N215">
        <v>0.45512925812366001</v>
      </c>
      <c r="O215">
        <v>1102.3449071452101</v>
      </c>
      <c r="P215" t="s">
        <v>440</v>
      </c>
      <c r="Q215">
        <v>2</v>
      </c>
      <c r="R215">
        <v>30.199670000000001</v>
      </c>
      <c r="S215">
        <v>0.14599999999999999</v>
      </c>
      <c r="T215">
        <v>4.4091518000000001</v>
      </c>
      <c r="U215">
        <v>0.98099999999999998</v>
      </c>
      <c r="V215">
        <v>4325.3779999999997</v>
      </c>
      <c r="W215">
        <v>2</v>
      </c>
      <c r="X215">
        <v>3.3999067999999997E-5</v>
      </c>
      <c r="Y215">
        <v>0.29411799999999999</v>
      </c>
      <c r="Z215" s="61">
        <v>324.21947899999998</v>
      </c>
      <c r="AA215" t="s">
        <v>346</v>
      </c>
      <c r="AB215" t="s">
        <v>436</v>
      </c>
      <c r="AC215" t="s">
        <v>425</v>
      </c>
      <c r="AD215" t="s">
        <v>27</v>
      </c>
      <c r="AE215">
        <v>111.133</v>
      </c>
      <c r="AF215">
        <v>1.0368587857491129</v>
      </c>
      <c r="AG215">
        <v>115.2292274366562</v>
      </c>
      <c r="AH215">
        <v>603.45000000000005</v>
      </c>
      <c r="AI215">
        <v>1</v>
      </c>
      <c r="AJ215">
        <v>69.535077296650186</v>
      </c>
      <c r="AK215">
        <v>0.93979999999999997</v>
      </c>
      <c r="AL215" s="63">
        <v>65.349000000000004</v>
      </c>
      <c r="AM215">
        <v>8.9176000000000002</v>
      </c>
      <c r="AN215">
        <v>9.2462919077962926</v>
      </c>
      <c r="AO215">
        <v>1</v>
      </c>
      <c r="AP215">
        <v>5579.6748517596734</v>
      </c>
      <c r="AQ215">
        <v>0.95477850697292876</v>
      </c>
      <c r="AR215">
        <v>5327.3536000000004</v>
      </c>
      <c r="AS215" s="61">
        <v>1727231.8086407741</v>
      </c>
      <c r="AT215" t="s">
        <v>346</v>
      </c>
      <c r="AU215" t="s">
        <v>436</v>
      </c>
      <c r="AV215" t="s">
        <v>425</v>
      </c>
      <c r="AW215" t="s">
        <v>27</v>
      </c>
      <c r="AX215">
        <v>111.133</v>
      </c>
      <c r="AY215">
        <v>1.0368587857491129</v>
      </c>
      <c r="AZ215">
        <v>115.2292274366562</v>
      </c>
      <c r="BA215">
        <v>603.45000000000005</v>
      </c>
      <c r="BB215">
        <v>1</v>
      </c>
      <c r="BC215">
        <v>69.535077296650186</v>
      </c>
      <c r="BD215">
        <v>0.93979999999999997</v>
      </c>
      <c r="BE215" s="63">
        <v>65.349000000000004</v>
      </c>
      <c r="BF215">
        <v>8.9176000000000002</v>
      </c>
      <c r="BG215">
        <v>1</v>
      </c>
      <c r="BH215">
        <v>5579.6748517596734</v>
      </c>
      <c r="BI215">
        <v>0.95477850697292876</v>
      </c>
      <c r="BJ215" s="63">
        <v>5327.3536000000004</v>
      </c>
      <c r="BK215" s="61">
        <v>1727231.8086407741</v>
      </c>
    </row>
    <row r="216" spans="1:63" x14ac:dyDescent="0.25">
      <c r="A216">
        <v>615</v>
      </c>
      <c r="B216" t="s">
        <v>116</v>
      </c>
      <c r="C216">
        <v>2018</v>
      </c>
      <c r="D216">
        <v>12</v>
      </c>
      <c r="E216" t="s">
        <v>100</v>
      </c>
      <c r="F216" t="s">
        <v>426</v>
      </c>
      <c r="G216" t="s">
        <v>427</v>
      </c>
      <c r="H216" t="s">
        <v>84</v>
      </c>
      <c r="I216" t="s">
        <v>429</v>
      </c>
      <c r="J216" t="s">
        <v>87</v>
      </c>
      <c r="K216">
        <v>-617.27765622000004</v>
      </c>
      <c r="L216" t="s">
        <v>87</v>
      </c>
      <c r="M216" t="s">
        <v>385</v>
      </c>
      <c r="N216">
        <v>0.39732687972642</v>
      </c>
      <c r="O216">
        <v>245.26100507073039</v>
      </c>
      <c r="P216" t="s">
        <v>440</v>
      </c>
      <c r="Q216">
        <v>2</v>
      </c>
      <c r="R216">
        <v>30.199670000000001</v>
      </c>
      <c r="S216">
        <v>0.14599999999999999</v>
      </c>
      <c r="T216">
        <v>4.4091518000000001</v>
      </c>
      <c r="U216">
        <v>0.98099999999999998</v>
      </c>
      <c r="V216">
        <v>4325.3779999999997</v>
      </c>
      <c r="W216">
        <v>2</v>
      </c>
      <c r="X216">
        <v>3.3999067999999997E-5</v>
      </c>
      <c r="Y216">
        <v>0.29411799999999999</v>
      </c>
      <c r="Z216" s="61">
        <v>72.135676000000004</v>
      </c>
      <c r="AA216" t="s">
        <v>346</v>
      </c>
      <c r="AB216" t="s">
        <v>436</v>
      </c>
      <c r="AC216" t="s">
        <v>425</v>
      </c>
      <c r="AD216" t="s">
        <v>27</v>
      </c>
      <c r="AE216">
        <v>111.133</v>
      </c>
      <c r="AF216">
        <v>1.0368587857491129</v>
      </c>
      <c r="AG216">
        <v>115.2292274366562</v>
      </c>
      <c r="AH216">
        <v>603.45000000000005</v>
      </c>
      <c r="AI216">
        <v>1</v>
      </c>
      <c r="AJ216">
        <v>69.535077296650186</v>
      </c>
      <c r="AK216">
        <v>0.93979999999999997</v>
      </c>
      <c r="AL216" s="63">
        <v>65.349000000000004</v>
      </c>
      <c r="AM216">
        <v>8.9176000000000002</v>
      </c>
      <c r="AN216">
        <v>9.2462919077962926</v>
      </c>
      <c r="AO216">
        <v>1</v>
      </c>
      <c r="AP216">
        <v>5579.6748517596734</v>
      </c>
      <c r="AQ216">
        <v>0.95477850697292876</v>
      </c>
      <c r="AR216">
        <v>5327.3536000000004</v>
      </c>
      <c r="AS216" s="61">
        <v>384292.25322703371</v>
      </c>
      <c r="AT216" t="s">
        <v>346</v>
      </c>
      <c r="AU216" t="s">
        <v>436</v>
      </c>
      <c r="AV216" t="s">
        <v>425</v>
      </c>
      <c r="AW216" t="s">
        <v>27</v>
      </c>
      <c r="AX216">
        <v>111.133</v>
      </c>
      <c r="AY216">
        <v>1.0368587857491129</v>
      </c>
      <c r="AZ216">
        <v>115.2292274366562</v>
      </c>
      <c r="BA216">
        <v>603.45000000000005</v>
      </c>
      <c r="BB216">
        <v>1</v>
      </c>
      <c r="BC216">
        <v>69.535077296650186</v>
      </c>
      <c r="BD216">
        <v>0.93979999999999997</v>
      </c>
      <c r="BE216" s="63">
        <v>65.349000000000004</v>
      </c>
      <c r="BF216">
        <v>8.9176000000000002</v>
      </c>
      <c r="BG216">
        <v>1</v>
      </c>
      <c r="BH216">
        <v>5579.6748517596734</v>
      </c>
      <c r="BI216">
        <v>0.95477850697292876</v>
      </c>
      <c r="BJ216" s="63">
        <v>5327.3536000000004</v>
      </c>
      <c r="BK216" s="61">
        <v>384292.25322703371</v>
      </c>
    </row>
    <row r="217" spans="1:63" x14ac:dyDescent="0.25">
      <c r="A217">
        <v>615</v>
      </c>
      <c r="B217" t="s">
        <v>116</v>
      </c>
      <c r="C217">
        <v>2018</v>
      </c>
      <c r="D217">
        <v>12</v>
      </c>
      <c r="E217" t="s">
        <v>100</v>
      </c>
      <c r="F217" t="s">
        <v>426</v>
      </c>
      <c r="G217" t="s">
        <v>427</v>
      </c>
      <c r="H217" t="s">
        <v>84</v>
      </c>
      <c r="I217" t="s">
        <v>430</v>
      </c>
      <c r="J217" t="s">
        <v>59</v>
      </c>
      <c r="K217">
        <v>-903.05459274999998</v>
      </c>
      <c r="L217" t="s">
        <v>59</v>
      </c>
      <c r="M217" t="s">
        <v>385</v>
      </c>
      <c r="N217">
        <v>0.44073195679228</v>
      </c>
      <c r="O217">
        <v>398.005017752963</v>
      </c>
      <c r="P217" t="s">
        <v>440</v>
      </c>
      <c r="Q217">
        <v>2</v>
      </c>
      <c r="R217">
        <v>30.199670000000001</v>
      </c>
      <c r="S217">
        <v>0.14599999999999999</v>
      </c>
      <c r="T217">
        <v>4.4091518000000001</v>
      </c>
      <c r="U217">
        <v>0.98099999999999998</v>
      </c>
      <c r="V217">
        <v>4325.3779999999997</v>
      </c>
      <c r="W217">
        <v>2</v>
      </c>
      <c r="X217">
        <v>3.3999067999999997E-5</v>
      </c>
      <c r="Y217">
        <v>0.29411799999999999</v>
      </c>
      <c r="Z217" s="61">
        <v>117.06044</v>
      </c>
      <c r="AA217" t="s">
        <v>346</v>
      </c>
      <c r="AB217" t="s">
        <v>436</v>
      </c>
      <c r="AC217" t="s">
        <v>425</v>
      </c>
      <c r="AD217" t="s">
        <v>27</v>
      </c>
      <c r="AE217">
        <v>111.133</v>
      </c>
      <c r="AF217">
        <v>1.0368587857491129</v>
      </c>
      <c r="AG217">
        <v>115.2292274366562</v>
      </c>
      <c r="AH217">
        <v>603.45000000000005</v>
      </c>
      <c r="AI217">
        <v>1</v>
      </c>
      <c r="AJ217">
        <v>69.535077296650186</v>
      </c>
      <c r="AK217">
        <v>0.93979999999999997</v>
      </c>
      <c r="AL217" s="63">
        <v>65.349000000000004</v>
      </c>
      <c r="AM217">
        <v>8.9176000000000002</v>
      </c>
      <c r="AN217">
        <v>9.2462919077962926</v>
      </c>
      <c r="AO217">
        <v>1</v>
      </c>
      <c r="AP217">
        <v>5579.6748517596734</v>
      </c>
      <c r="AQ217">
        <v>0.95477850697292876</v>
      </c>
      <c r="AR217">
        <v>5327.3536000000004</v>
      </c>
      <c r="AS217" s="61">
        <v>623622.35645158403</v>
      </c>
      <c r="AT217" t="s">
        <v>346</v>
      </c>
      <c r="AU217" t="s">
        <v>436</v>
      </c>
      <c r="AV217" t="s">
        <v>425</v>
      </c>
      <c r="AW217" t="s">
        <v>27</v>
      </c>
      <c r="AX217">
        <v>111.133</v>
      </c>
      <c r="AY217">
        <v>1.0368587857491129</v>
      </c>
      <c r="AZ217">
        <v>115.2292274366562</v>
      </c>
      <c r="BA217">
        <v>603.45000000000005</v>
      </c>
      <c r="BB217">
        <v>1</v>
      </c>
      <c r="BC217">
        <v>69.535077296650186</v>
      </c>
      <c r="BD217">
        <v>0.93979999999999997</v>
      </c>
      <c r="BE217" s="63">
        <v>65.349000000000004</v>
      </c>
      <c r="BF217">
        <v>8.9176000000000002</v>
      </c>
      <c r="BG217">
        <v>1</v>
      </c>
      <c r="BH217">
        <v>5579.6748517596734</v>
      </c>
      <c r="BI217">
        <v>0.95477850697292876</v>
      </c>
      <c r="BJ217" s="63">
        <v>5327.3536000000004</v>
      </c>
      <c r="BK217" s="61">
        <v>623622.35645158403</v>
      </c>
    </row>
    <row r="218" spans="1:63" x14ac:dyDescent="0.25">
      <c r="A218">
        <v>633</v>
      </c>
      <c r="B218" t="s">
        <v>145</v>
      </c>
      <c r="C218">
        <v>2019</v>
      </c>
      <c r="D218">
        <v>1</v>
      </c>
      <c r="E218" t="s">
        <v>100</v>
      </c>
      <c r="F218" t="s">
        <v>426</v>
      </c>
      <c r="G218" t="s">
        <v>427</v>
      </c>
      <c r="H218" t="s">
        <v>84</v>
      </c>
      <c r="I218" t="s">
        <v>428</v>
      </c>
      <c r="J218" t="s">
        <v>381</v>
      </c>
      <c r="K218">
        <v>-3184.4997786700001</v>
      </c>
      <c r="L218" t="s">
        <v>381</v>
      </c>
      <c r="M218" t="s">
        <v>384</v>
      </c>
      <c r="N218">
        <v>0.11701058843211</v>
      </c>
      <c r="O218">
        <v>372.6201929641008</v>
      </c>
      <c r="P218" t="s">
        <v>440</v>
      </c>
      <c r="Q218">
        <v>2</v>
      </c>
      <c r="R218">
        <v>28.410399999999999</v>
      </c>
      <c r="S218">
        <v>9.5000000000000001E-2</v>
      </c>
      <c r="T218">
        <v>2.6989879999999999</v>
      </c>
      <c r="U218">
        <v>1.9E-2</v>
      </c>
      <c r="V218">
        <v>51.280999999999999</v>
      </c>
      <c r="W218">
        <v>2</v>
      </c>
      <c r="X218">
        <v>1.3928915169999999E-3</v>
      </c>
      <c r="Y218">
        <v>0.14285800000000001</v>
      </c>
      <c r="Z218" s="61">
        <v>53.231776000000004</v>
      </c>
      <c r="AA218" t="s">
        <v>346</v>
      </c>
      <c r="AB218" t="s">
        <v>436</v>
      </c>
      <c r="AC218" t="s">
        <v>425</v>
      </c>
      <c r="AD218" t="s">
        <v>81</v>
      </c>
      <c r="AE218">
        <v>111.133</v>
      </c>
      <c r="AF218">
        <v>1.0368587857491129</v>
      </c>
      <c r="AG218">
        <v>115.2292274366562</v>
      </c>
      <c r="AH218">
        <v>603.45000000000005</v>
      </c>
      <c r="AI218">
        <v>1</v>
      </c>
      <c r="AJ218">
        <v>69.535077296650186</v>
      </c>
      <c r="AK218">
        <v>0.90990000000000004</v>
      </c>
      <c r="AL218" s="63">
        <v>63.27</v>
      </c>
      <c r="AM218">
        <v>8.9176000000000002</v>
      </c>
      <c r="AN218">
        <v>9.2462919077962926</v>
      </c>
      <c r="AO218">
        <v>1</v>
      </c>
      <c r="AP218">
        <v>5579.6748517596734</v>
      </c>
      <c r="AQ218">
        <v>1.053620848708487</v>
      </c>
      <c r="AR218">
        <v>5878.8617999999997</v>
      </c>
      <c r="AS218" s="61">
        <v>312942.25447255682</v>
      </c>
      <c r="AT218" t="s">
        <v>347</v>
      </c>
      <c r="AU218" t="s">
        <v>437</v>
      </c>
      <c r="AV218" t="s">
        <v>425</v>
      </c>
      <c r="AW218" t="s">
        <v>81</v>
      </c>
      <c r="AX218">
        <v>111.133</v>
      </c>
      <c r="AY218">
        <v>1.0541007448257309</v>
      </c>
      <c r="AZ218">
        <v>117.145378074718</v>
      </c>
      <c r="BA218">
        <v>640.82000000000005</v>
      </c>
      <c r="BB218">
        <v>1</v>
      </c>
      <c r="BC218">
        <v>75.069101177840764</v>
      </c>
      <c r="BD218">
        <v>0.93830000000000002</v>
      </c>
      <c r="BE218" s="63">
        <v>70.436999999999998</v>
      </c>
      <c r="BF218">
        <v>8.9176000000000002</v>
      </c>
      <c r="BG218">
        <v>1</v>
      </c>
      <c r="BH218">
        <v>6023.7392733347688</v>
      </c>
      <c r="BI218">
        <v>1.098016605166052</v>
      </c>
      <c r="BJ218" s="63">
        <v>6614.1656999999996</v>
      </c>
      <c r="BK218" s="61">
        <v>352083.78696928319</v>
      </c>
    </row>
    <row r="219" spans="1:63" x14ac:dyDescent="0.25">
      <c r="A219">
        <v>633</v>
      </c>
      <c r="B219" t="s">
        <v>145</v>
      </c>
      <c r="C219">
        <v>2019</v>
      </c>
      <c r="D219">
        <v>1</v>
      </c>
      <c r="E219" t="s">
        <v>100</v>
      </c>
      <c r="F219" t="s">
        <v>426</v>
      </c>
      <c r="G219" t="s">
        <v>427</v>
      </c>
      <c r="H219" t="s">
        <v>84</v>
      </c>
      <c r="I219" t="s">
        <v>429</v>
      </c>
      <c r="J219" t="s">
        <v>87</v>
      </c>
      <c r="K219">
        <v>-673.39146946999995</v>
      </c>
      <c r="L219" t="s">
        <v>87</v>
      </c>
      <c r="M219" t="s">
        <v>384</v>
      </c>
      <c r="N219">
        <v>9.7514538341640006E-2</v>
      </c>
      <c r="O219">
        <v>65.665458268565615</v>
      </c>
      <c r="P219" t="s">
        <v>440</v>
      </c>
      <c r="Q219">
        <v>2</v>
      </c>
      <c r="R219">
        <v>28.410399999999999</v>
      </c>
      <c r="S219">
        <v>9.5000000000000001E-2</v>
      </c>
      <c r="T219">
        <v>2.6989879999999999</v>
      </c>
      <c r="U219">
        <v>1.9E-2</v>
      </c>
      <c r="V219">
        <v>51.280999999999999</v>
      </c>
      <c r="W219">
        <v>2</v>
      </c>
      <c r="X219">
        <v>1.3928915169999999E-3</v>
      </c>
      <c r="Y219">
        <v>0.14285800000000001</v>
      </c>
      <c r="Z219" s="61">
        <v>9.3808360000000004</v>
      </c>
      <c r="AA219" t="s">
        <v>346</v>
      </c>
      <c r="AB219" t="s">
        <v>436</v>
      </c>
      <c r="AC219" t="s">
        <v>425</v>
      </c>
      <c r="AD219" t="s">
        <v>81</v>
      </c>
      <c r="AE219">
        <v>111.133</v>
      </c>
      <c r="AF219">
        <v>1.0368587857491129</v>
      </c>
      <c r="AG219">
        <v>115.2292274366562</v>
      </c>
      <c r="AH219">
        <v>603.45000000000005</v>
      </c>
      <c r="AI219">
        <v>1</v>
      </c>
      <c r="AJ219">
        <v>69.535077296650186</v>
      </c>
      <c r="AK219">
        <v>0.90990000000000004</v>
      </c>
      <c r="AL219" s="63">
        <v>63.27</v>
      </c>
      <c r="AM219">
        <v>8.9176000000000002</v>
      </c>
      <c r="AN219">
        <v>9.2462919077962926</v>
      </c>
      <c r="AO219">
        <v>1</v>
      </c>
      <c r="AP219">
        <v>5579.6748517596734</v>
      </c>
      <c r="AQ219">
        <v>1.053620848708487</v>
      </c>
      <c r="AR219">
        <v>5878.8617999999997</v>
      </c>
      <c r="AS219" s="61">
        <v>55148.638412464803</v>
      </c>
      <c r="AT219" t="s">
        <v>347</v>
      </c>
      <c r="AU219" t="s">
        <v>437</v>
      </c>
      <c r="AV219" t="s">
        <v>425</v>
      </c>
      <c r="AW219" t="s">
        <v>81</v>
      </c>
      <c r="AX219">
        <v>111.133</v>
      </c>
      <c r="AY219">
        <v>1.0541007448257309</v>
      </c>
      <c r="AZ219">
        <v>117.145378074718</v>
      </c>
      <c r="BA219">
        <v>640.82000000000005</v>
      </c>
      <c r="BB219">
        <v>1</v>
      </c>
      <c r="BC219">
        <v>75.069101177840764</v>
      </c>
      <c r="BD219">
        <v>0.93830000000000002</v>
      </c>
      <c r="BE219" s="63">
        <v>70.436999999999998</v>
      </c>
      <c r="BF219">
        <v>8.9176000000000002</v>
      </c>
      <c r="BG219">
        <v>1</v>
      </c>
      <c r="BH219">
        <v>6023.7392733347688</v>
      </c>
      <c r="BI219">
        <v>1.098016605166052</v>
      </c>
      <c r="BJ219" s="63">
        <v>6614.1656999999996</v>
      </c>
      <c r="BK219" s="61">
        <v>62046.403708525198</v>
      </c>
    </row>
    <row r="220" spans="1:63" x14ac:dyDescent="0.25">
      <c r="A220">
        <v>633</v>
      </c>
      <c r="B220" t="s">
        <v>145</v>
      </c>
      <c r="C220">
        <v>2019</v>
      </c>
      <c r="D220">
        <v>1</v>
      </c>
      <c r="E220" t="s">
        <v>100</v>
      </c>
      <c r="F220" t="s">
        <v>426</v>
      </c>
      <c r="G220" t="s">
        <v>427</v>
      </c>
      <c r="H220" t="s">
        <v>84</v>
      </c>
      <c r="I220" t="s">
        <v>430</v>
      </c>
      <c r="J220" t="s">
        <v>59</v>
      </c>
      <c r="K220">
        <v>-1529.73313545</v>
      </c>
      <c r="L220" t="s">
        <v>59</v>
      </c>
      <c r="M220" t="s">
        <v>384</v>
      </c>
      <c r="N220">
        <v>9.9723560465670005E-2</v>
      </c>
      <c r="O220">
        <v>152.550434829387</v>
      </c>
      <c r="P220" t="s">
        <v>440</v>
      </c>
      <c r="Q220">
        <v>2</v>
      </c>
      <c r="R220">
        <v>28.410399999999999</v>
      </c>
      <c r="S220">
        <v>9.5000000000000001E-2</v>
      </c>
      <c r="T220">
        <v>2.6989879999999999</v>
      </c>
      <c r="U220">
        <v>1.9E-2</v>
      </c>
      <c r="V220">
        <v>51.280999999999999</v>
      </c>
      <c r="W220">
        <v>2</v>
      </c>
      <c r="X220">
        <v>1.3928915169999999E-3</v>
      </c>
      <c r="Y220">
        <v>0.14285800000000001</v>
      </c>
      <c r="Z220" s="61">
        <v>21.793050000000001</v>
      </c>
      <c r="AA220" t="s">
        <v>346</v>
      </c>
      <c r="AB220" t="s">
        <v>436</v>
      </c>
      <c r="AC220" t="s">
        <v>425</v>
      </c>
      <c r="AD220" t="s">
        <v>81</v>
      </c>
      <c r="AE220">
        <v>111.133</v>
      </c>
      <c r="AF220">
        <v>1.0368587857491129</v>
      </c>
      <c r="AG220">
        <v>115.2292274366562</v>
      </c>
      <c r="AH220">
        <v>603.45000000000005</v>
      </c>
      <c r="AI220">
        <v>1</v>
      </c>
      <c r="AJ220">
        <v>69.535077296650186</v>
      </c>
      <c r="AK220">
        <v>0.90990000000000004</v>
      </c>
      <c r="AL220" s="63">
        <v>63.27</v>
      </c>
      <c r="AM220">
        <v>8.9176000000000002</v>
      </c>
      <c r="AN220">
        <v>9.2462919077962926</v>
      </c>
      <c r="AO220">
        <v>1</v>
      </c>
      <c r="AP220">
        <v>5579.6748517596734</v>
      </c>
      <c r="AQ220">
        <v>1.053620848708487</v>
      </c>
      <c r="AR220">
        <v>5878.8617999999997</v>
      </c>
      <c r="AS220" s="61">
        <v>128118.32915049</v>
      </c>
      <c r="AT220" t="s">
        <v>347</v>
      </c>
      <c r="AU220" t="s">
        <v>437</v>
      </c>
      <c r="AV220" t="s">
        <v>425</v>
      </c>
      <c r="AW220" t="s">
        <v>81</v>
      </c>
      <c r="AX220">
        <v>111.133</v>
      </c>
      <c r="AY220">
        <v>1.0541007448257309</v>
      </c>
      <c r="AZ220">
        <v>117.145378074718</v>
      </c>
      <c r="BA220">
        <v>640.82000000000005</v>
      </c>
      <c r="BB220">
        <v>1</v>
      </c>
      <c r="BC220">
        <v>75.069101177840764</v>
      </c>
      <c r="BD220">
        <v>0.93830000000000002</v>
      </c>
      <c r="BE220" s="63">
        <v>70.436999999999998</v>
      </c>
      <c r="BF220">
        <v>8.9176000000000002</v>
      </c>
      <c r="BG220">
        <v>1</v>
      </c>
      <c r="BH220">
        <v>6023.7392733347688</v>
      </c>
      <c r="BI220">
        <v>1.098016605166052</v>
      </c>
      <c r="BJ220" s="63">
        <v>6614.1656999999996</v>
      </c>
      <c r="BK220" s="61">
        <v>144142.84380838499</v>
      </c>
    </row>
    <row r="221" spans="1:63" x14ac:dyDescent="0.25">
      <c r="A221">
        <v>635</v>
      </c>
      <c r="B221" t="s">
        <v>145</v>
      </c>
      <c r="C221">
        <v>2019</v>
      </c>
      <c r="D221">
        <v>1</v>
      </c>
      <c r="E221" t="s">
        <v>100</v>
      </c>
      <c r="F221" t="s">
        <v>426</v>
      </c>
      <c r="G221" t="s">
        <v>427</v>
      </c>
      <c r="H221" t="s">
        <v>84</v>
      </c>
      <c r="I221" t="s">
        <v>428</v>
      </c>
      <c r="J221" t="s">
        <v>381</v>
      </c>
      <c r="K221">
        <v>-3184.4997786700001</v>
      </c>
      <c r="L221" t="s">
        <v>381</v>
      </c>
      <c r="M221" t="s">
        <v>385</v>
      </c>
      <c r="N221">
        <v>0.54567226407086</v>
      </c>
      <c r="O221">
        <v>1737.693204160011</v>
      </c>
      <c r="P221" t="s">
        <v>440</v>
      </c>
      <c r="Q221">
        <v>2</v>
      </c>
      <c r="R221">
        <v>28.410399999999999</v>
      </c>
      <c r="S221">
        <v>9.5000000000000001E-2</v>
      </c>
      <c r="T221">
        <v>2.6989879999999999</v>
      </c>
      <c r="U221">
        <v>0.98099999999999998</v>
      </c>
      <c r="V221">
        <v>2647.7069999999999</v>
      </c>
      <c r="W221">
        <v>2</v>
      </c>
      <c r="X221">
        <v>2.6977521000000001E-5</v>
      </c>
      <c r="Y221">
        <v>0.14285700000000001</v>
      </c>
      <c r="Z221" s="61">
        <v>248.24163799999999</v>
      </c>
      <c r="AA221" t="s">
        <v>346</v>
      </c>
      <c r="AB221" t="s">
        <v>436</v>
      </c>
      <c r="AC221" t="s">
        <v>425</v>
      </c>
      <c r="AD221" t="s">
        <v>27</v>
      </c>
      <c r="AE221">
        <v>111.133</v>
      </c>
      <c r="AF221">
        <v>1.0368587857491129</v>
      </c>
      <c r="AG221">
        <v>115.2292274366562</v>
      </c>
      <c r="AH221">
        <v>603.45000000000005</v>
      </c>
      <c r="AI221">
        <v>1</v>
      </c>
      <c r="AJ221">
        <v>69.535077296650186</v>
      </c>
      <c r="AK221">
        <v>0.93979999999999997</v>
      </c>
      <c r="AL221" s="63">
        <v>65.349000000000004</v>
      </c>
      <c r="AM221">
        <v>8.9176000000000002</v>
      </c>
      <c r="AN221">
        <v>9.2462919077962926</v>
      </c>
      <c r="AO221">
        <v>1</v>
      </c>
      <c r="AP221">
        <v>5579.6748517596734</v>
      </c>
      <c r="AQ221">
        <v>0.95477850697292876</v>
      </c>
      <c r="AR221">
        <v>5327.3536000000004</v>
      </c>
      <c r="AS221" s="61">
        <v>1322470.9838691971</v>
      </c>
      <c r="AT221" t="s">
        <v>347</v>
      </c>
      <c r="AU221" t="s">
        <v>437</v>
      </c>
      <c r="AV221" t="s">
        <v>425</v>
      </c>
      <c r="AW221" t="s">
        <v>27</v>
      </c>
      <c r="AX221">
        <v>111.133</v>
      </c>
      <c r="AY221">
        <v>1.0541007448257309</v>
      </c>
      <c r="AZ221">
        <v>117.145378074718</v>
      </c>
      <c r="BA221">
        <v>640.82000000000005</v>
      </c>
      <c r="BB221">
        <v>1</v>
      </c>
      <c r="BC221">
        <v>75.069101177840764</v>
      </c>
      <c r="BD221">
        <v>0.95889999999999997</v>
      </c>
      <c r="BE221" s="63">
        <v>71.983999999999995</v>
      </c>
      <c r="BF221">
        <v>8.9176000000000002</v>
      </c>
      <c r="BG221">
        <v>1</v>
      </c>
      <c r="BH221">
        <v>6023.7392733347688</v>
      </c>
      <c r="BI221">
        <v>0.99097621000820357</v>
      </c>
      <c r="BJ221" s="63">
        <v>5969.3823000000002</v>
      </c>
      <c r="BK221" s="61">
        <v>1481849.240000207</v>
      </c>
    </row>
    <row r="222" spans="1:63" x14ac:dyDescent="0.25">
      <c r="A222">
        <v>635</v>
      </c>
      <c r="B222" t="s">
        <v>145</v>
      </c>
      <c r="C222">
        <v>2019</v>
      </c>
      <c r="D222">
        <v>1</v>
      </c>
      <c r="E222" t="s">
        <v>100</v>
      </c>
      <c r="F222" t="s">
        <v>426</v>
      </c>
      <c r="G222" t="s">
        <v>427</v>
      </c>
      <c r="H222" t="s">
        <v>84</v>
      </c>
      <c r="I222" t="s">
        <v>429</v>
      </c>
      <c r="J222" t="s">
        <v>87</v>
      </c>
      <c r="K222">
        <v>-673.39146946999995</v>
      </c>
      <c r="L222" t="s">
        <v>87</v>
      </c>
      <c r="M222" t="s">
        <v>385</v>
      </c>
      <c r="N222">
        <v>0.46576586246401003</v>
      </c>
      <c r="O222">
        <v>313.6427585536016</v>
      </c>
      <c r="P222" t="s">
        <v>440</v>
      </c>
      <c r="Q222">
        <v>2</v>
      </c>
      <c r="R222">
        <v>28.410399999999999</v>
      </c>
      <c r="S222">
        <v>9.5000000000000001E-2</v>
      </c>
      <c r="T222">
        <v>2.6989879999999999</v>
      </c>
      <c r="U222">
        <v>0.98099999999999998</v>
      </c>
      <c r="V222">
        <v>2647.7069999999999</v>
      </c>
      <c r="W222">
        <v>2</v>
      </c>
      <c r="X222">
        <v>2.6977521000000001E-5</v>
      </c>
      <c r="Y222">
        <v>0.14285700000000001</v>
      </c>
      <c r="Z222" s="61">
        <v>44.806063999999999</v>
      </c>
      <c r="AA222" t="s">
        <v>346</v>
      </c>
      <c r="AB222" t="s">
        <v>436</v>
      </c>
      <c r="AC222" t="s">
        <v>425</v>
      </c>
      <c r="AD222" t="s">
        <v>27</v>
      </c>
      <c r="AE222">
        <v>111.133</v>
      </c>
      <c r="AF222">
        <v>1.0368587857491129</v>
      </c>
      <c r="AG222">
        <v>115.2292274366562</v>
      </c>
      <c r="AH222">
        <v>603.45000000000005</v>
      </c>
      <c r="AI222">
        <v>1</v>
      </c>
      <c r="AJ222">
        <v>69.535077296650186</v>
      </c>
      <c r="AK222">
        <v>0.93979999999999997</v>
      </c>
      <c r="AL222" s="63">
        <v>65.349000000000004</v>
      </c>
      <c r="AM222">
        <v>8.9176000000000002</v>
      </c>
      <c r="AN222">
        <v>9.2462919077962926</v>
      </c>
      <c r="AO222">
        <v>1</v>
      </c>
      <c r="AP222">
        <v>5579.6748517596734</v>
      </c>
      <c r="AQ222">
        <v>0.95477850697292876</v>
      </c>
      <c r="AR222">
        <v>5327.3536000000004</v>
      </c>
      <c r="AS222" s="61">
        <v>238697.7463522304</v>
      </c>
      <c r="AT222" t="s">
        <v>347</v>
      </c>
      <c r="AU222" t="s">
        <v>437</v>
      </c>
      <c r="AV222" t="s">
        <v>425</v>
      </c>
      <c r="AW222" t="s">
        <v>27</v>
      </c>
      <c r="AX222">
        <v>111.133</v>
      </c>
      <c r="AY222">
        <v>1.0541007448257309</v>
      </c>
      <c r="AZ222">
        <v>117.145378074718</v>
      </c>
      <c r="BA222">
        <v>640.82000000000005</v>
      </c>
      <c r="BB222">
        <v>1</v>
      </c>
      <c r="BC222">
        <v>75.069101177840764</v>
      </c>
      <c r="BD222">
        <v>0.95889999999999997</v>
      </c>
      <c r="BE222" s="63">
        <v>71.983999999999995</v>
      </c>
      <c r="BF222">
        <v>8.9176000000000002</v>
      </c>
      <c r="BG222">
        <v>1</v>
      </c>
      <c r="BH222">
        <v>6023.7392733347688</v>
      </c>
      <c r="BI222">
        <v>0.99097621000820357</v>
      </c>
      <c r="BJ222" s="63">
        <v>5969.3823000000002</v>
      </c>
      <c r="BK222" s="61">
        <v>267464.52537426719</v>
      </c>
    </row>
    <row r="223" spans="1:63" x14ac:dyDescent="0.25">
      <c r="A223">
        <v>635</v>
      </c>
      <c r="B223" t="s">
        <v>145</v>
      </c>
      <c r="C223">
        <v>2019</v>
      </c>
      <c r="D223">
        <v>1</v>
      </c>
      <c r="E223" t="s">
        <v>100</v>
      </c>
      <c r="F223" t="s">
        <v>426</v>
      </c>
      <c r="G223" t="s">
        <v>427</v>
      </c>
      <c r="H223" t="s">
        <v>84</v>
      </c>
      <c r="I223" t="s">
        <v>430</v>
      </c>
      <c r="J223" t="s">
        <v>59</v>
      </c>
      <c r="K223">
        <v>-1529.73313545</v>
      </c>
      <c r="L223" t="s">
        <v>59</v>
      </c>
      <c r="M223" t="s">
        <v>385</v>
      </c>
      <c r="N223">
        <v>0.54314598235962996</v>
      </c>
      <c r="O223">
        <v>830.86840660206724</v>
      </c>
      <c r="P223" t="s">
        <v>440</v>
      </c>
      <c r="Q223">
        <v>2</v>
      </c>
      <c r="R223">
        <v>28.410399999999999</v>
      </c>
      <c r="S223">
        <v>9.5000000000000001E-2</v>
      </c>
      <c r="T223">
        <v>2.6989879999999999</v>
      </c>
      <c r="U223">
        <v>0.98099999999999998</v>
      </c>
      <c r="V223">
        <v>2647.7069999999999</v>
      </c>
      <c r="W223">
        <v>2</v>
      </c>
      <c r="X223">
        <v>2.6977521000000001E-5</v>
      </c>
      <c r="Y223">
        <v>0.14285700000000001</v>
      </c>
      <c r="Z223" s="61">
        <v>118.695368</v>
      </c>
      <c r="AA223" t="s">
        <v>346</v>
      </c>
      <c r="AB223" t="s">
        <v>436</v>
      </c>
      <c r="AC223" t="s">
        <v>425</v>
      </c>
      <c r="AD223" t="s">
        <v>27</v>
      </c>
      <c r="AE223">
        <v>111.133</v>
      </c>
      <c r="AF223">
        <v>1.0368587857491129</v>
      </c>
      <c r="AG223">
        <v>115.2292274366562</v>
      </c>
      <c r="AH223">
        <v>603.45000000000005</v>
      </c>
      <c r="AI223">
        <v>1</v>
      </c>
      <c r="AJ223">
        <v>69.535077296650186</v>
      </c>
      <c r="AK223">
        <v>0.93979999999999997</v>
      </c>
      <c r="AL223" s="63">
        <v>65.349000000000004</v>
      </c>
      <c r="AM223">
        <v>8.9176000000000002</v>
      </c>
      <c r="AN223">
        <v>9.2462919077962926</v>
      </c>
      <c r="AO223">
        <v>1</v>
      </c>
      <c r="AP223">
        <v>5579.6748517596734</v>
      </c>
      <c r="AQ223">
        <v>0.95477850697292876</v>
      </c>
      <c r="AR223">
        <v>5327.3536000000004</v>
      </c>
      <c r="AS223" s="61">
        <v>632332.19601812481</v>
      </c>
      <c r="AT223" t="s">
        <v>347</v>
      </c>
      <c r="AU223" t="s">
        <v>437</v>
      </c>
      <c r="AV223" t="s">
        <v>425</v>
      </c>
      <c r="AW223" t="s">
        <v>27</v>
      </c>
      <c r="AX223">
        <v>111.133</v>
      </c>
      <c r="AY223">
        <v>1.0541007448257309</v>
      </c>
      <c r="AZ223">
        <v>117.145378074718</v>
      </c>
      <c r="BA223">
        <v>640.82000000000005</v>
      </c>
      <c r="BB223">
        <v>1</v>
      </c>
      <c r="BC223">
        <v>75.069101177840764</v>
      </c>
      <c r="BD223">
        <v>0.95889999999999997</v>
      </c>
      <c r="BE223" s="63">
        <v>71.983999999999995</v>
      </c>
      <c r="BF223">
        <v>8.9176000000000002</v>
      </c>
      <c r="BG223">
        <v>1</v>
      </c>
      <c r="BH223">
        <v>6023.7392733347688</v>
      </c>
      <c r="BI223">
        <v>0.99097621000820357</v>
      </c>
      <c r="BJ223" s="63">
        <v>5969.3823000000002</v>
      </c>
      <c r="BK223" s="61">
        <v>708538.02883118647</v>
      </c>
    </row>
    <row r="224" spans="1:63" x14ac:dyDescent="0.25">
      <c r="A224">
        <v>653</v>
      </c>
      <c r="B224" t="s">
        <v>147</v>
      </c>
      <c r="C224">
        <v>2019</v>
      </c>
      <c r="D224">
        <v>2</v>
      </c>
      <c r="E224" t="s">
        <v>100</v>
      </c>
      <c r="F224" t="s">
        <v>426</v>
      </c>
      <c r="G224" t="s">
        <v>427</v>
      </c>
      <c r="H224" t="s">
        <v>84</v>
      </c>
      <c r="I224" t="s">
        <v>428</v>
      </c>
      <c r="J224" t="s">
        <v>381</v>
      </c>
      <c r="K224">
        <v>-3108.9983658199999</v>
      </c>
      <c r="L224" t="s">
        <v>381</v>
      </c>
      <c r="M224" t="s">
        <v>384</v>
      </c>
      <c r="N224">
        <v>0.11701058843214</v>
      </c>
      <c r="O224">
        <v>363.78572821915992</v>
      </c>
      <c r="P224" t="s">
        <v>440</v>
      </c>
      <c r="Q224">
        <v>2</v>
      </c>
      <c r="R224">
        <v>28.410399999999999</v>
      </c>
      <c r="S224">
        <v>0.112</v>
      </c>
      <c r="T224">
        <v>3.1819647999999998</v>
      </c>
      <c r="U224">
        <v>1.9E-2</v>
      </c>
      <c r="V224">
        <v>60.457000000000001</v>
      </c>
      <c r="W224">
        <v>2</v>
      </c>
      <c r="X224">
        <v>1.181471688E-3</v>
      </c>
      <c r="Y224">
        <v>0.14285600000000001</v>
      </c>
      <c r="Z224" s="61">
        <v>51.968974000000003</v>
      </c>
      <c r="AA224" t="s">
        <v>346</v>
      </c>
      <c r="AB224" t="s">
        <v>436</v>
      </c>
      <c r="AC224" t="s">
        <v>425</v>
      </c>
      <c r="AD224" t="s">
        <v>81</v>
      </c>
      <c r="AE224">
        <v>111.133</v>
      </c>
      <c r="AF224">
        <v>1.0368587857491129</v>
      </c>
      <c r="AG224">
        <v>115.2292274366562</v>
      </c>
      <c r="AH224">
        <v>603.45000000000005</v>
      </c>
      <c r="AI224">
        <v>1</v>
      </c>
      <c r="AJ224">
        <v>69.535077296650186</v>
      </c>
      <c r="AK224">
        <v>0.90990000000000004</v>
      </c>
      <c r="AL224" s="63">
        <v>63.27</v>
      </c>
      <c r="AM224">
        <v>8.9176000000000002</v>
      </c>
      <c r="AN224">
        <v>9.2462919077962926</v>
      </c>
      <c r="AO224">
        <v>1</v>
      </c>
      <c r="AP224">
        <v>5579.6748517596734</v>
      </c>
      <c r="AQ224">
        <v>1.053620848708487</v>
      </c>
      <c r="AR224">
        <v>5878.8617999999997</v>
      </c>
      <c r="AS224" s="61">
        <v>305518.41603379318</v>
      </c>
      <c r="AT224" t="s">
        <v>347</v>
      </c>
      <c r="AU224" t="s">
        <v>437</v>
      </c>
      <c r="AV224" t="s">
        <v>425</v>
      </c>
      <c r="AW224" t="s">
        <v>81</v>
      </c>
      <c r="AX224">
        <v>111.133</v>
      </c>
      <c r="AY224">
        <v>1.0541007448257309</v>
      </c>
      <c r="AZ224">
        <v>117.145378074718</v>
      </c>
      <c r="BA224">
        <v>640.82000000000005</v>
      </c>
      <c r="BB224">
        <v>1</v>
      </c>
      <c r="BC224">
        <v>75.069101177840764</v>
      </c>
      <c r="BD224">
        <v>0.93830000000000002</v>
      </c>
      <c r="BE224" s="63">
        <v>70.436999999999998</v>
      </c>
      <c r="BF224">
        <v>8.9176000000000002</v>
      </c>
      <c r="BG224">
        <v>1</v>
      </c>
      <c r="BH224">
        <v>6023.7392733347688</v>
      </c>
      <c r="BI224">
        <v>1.098016605166052</v>
      </c>
      <c r="BJ224" s="63">
        <v>6614.1656999999996</v>
      </c>
      <c r="BK224" s="61">
        <v>343731.4052949918</v>
      </c>
    </row>
    <row r="225" spans="1:63" x14ac:dyDescent="0.25">
      <c r="A225">
        <v>653</v>
      </c>
      <c r="B225" t="s">
        <v>147</v>
      </c>
      <c r="C225">
        <v>2019</v>
      </c>
      <c r="D225">
        <v>2</v>
      </c>
      <c r="E225" t="s">
        <v>100</v>
      </c>
      <c r="F225" t="s">
        <v>426</v>
      </c>
      <c r="G225" t="s">
        <v>427</v>
      </c>
      <c r="H225" t="s">
        <v>84</v>
      </c>
      <c r="I225" t="s">
        <v>429</v>
      </c>
      <c r="J225" t="s">
        <v>87</v>
      </c>
      <c r="K225">
        <v>-658.81431411999995</v>
      </c>
      <c r="L225" t="s">
        <v>87</v>
      </c>
      <c r="M225" t="s">
        <v>384</v>
      </c>
      <c r="N225">
        <v>9.7514538339289997E-2</v>
      </c>
      <c r="O225">
        <v>64.243973692727792</v>
      </c>
      <c r="P225" t="s">
        <v>440</v>
      </c>
      <c r="Q225">
        <v>2</v>
      </c>
      <c r="R225">
        <v>28.410399999999999</v>
      </c>
      <c r="S225">
        <v>0.112</v>
      </c>
      <c r="T225">
        <v>3.1819647999999998</v>
      </c>
      <c r="U225">
        <v>1.9E-2</v>
      </c>
      <c r="V225">
        <v>60.457000000000001</v>
      </c>
      <c r="W225">
        <v>2</v>
      </c>
      <c r="X225">
        <v>1.181471688E-3</v>
      </c>
      <c r="Y225">
        <v>0.14285600000000001</v>
      </c>
      <c r="Z225" s="61">
        <v>9.1776370000000007</v>
      </c>
      <c r="AA225" t="s">
        <v>346</v>
      </c>
      <c r="AB225" t="s">
        <v>436</v>
      </c>
      <c r="AC225" t="s">
        <v>425</v>
      </c>
      <c r="AD225" t="s">
        <v>81</v>
      </c>
      <c r="AE225">
        <v>111.133</v>
      </c>
      <c r="AF225">
        <v>1.0368587857491129</v>
      </c>
      <c r="AG225">
        <v>115.2292274366562</v>
      </c>
      <c r="AH225">
        <v>603.45000000000005</v>
      </c>
      <c r="AI225">
        <v>1</v>
      </c>
      <c r="AJ225">
        <v>69.535077296650186</v>
      </c>
      <c r="AK225">
        <v>0.90990000000000004</v>
      </c>
      <c r="AL225" s="63">
        <v>63.27</v>
      </c>
      <c r="AM225">
        <v>8.9176000000000002</v>
      </c>
      <c r="AN225">
        <v>9.2462919077962926</v>
      </c>
      <c r="AO225">
        <v>1</v>
      </c>
      <c r="AP225">
        <v>5579.6748517596734</v>
      </c>
      <c r="AQ225">
        <v>1.053620848708487</v>
      </c>
      <c r="AR225">
        <v>5878.8617999999997</v>
      </c>
      <c r="AS225" s="61">
        <v>53954.059573566599</v>
      </c>
      <c r="AT225" t="s">
        <v>347</v>
      </c>
      <c r="AU225" t="s">
        <v>437</v>
      </c>
      <c r="AV225" t="s">
        <v>425</v>
      </c>
      <c r="AW225" t="s">
        <v>81</v>
      </c>
      <c r="AX225">
        <v>111.133</v>
      </c>
      <c r="AY225">
        <v>1.0541007448257309</v>
      </c>
      <c r="AZ225">
        <v>117.145378074718</v>
      </c>
      <c r="BA225">
        <v>640.82000000000005</v>
      </c>
      <c r="BB225">
        <v>1</v>
      </c>
      <c r="BC225">
        <v>75.069101177840764</v>
      </c>
      <c r="BD225">
        <v>0.93830000000000002</v>
      </c>
      <c r="BE225" s="63">
        <v>70.436999999999998</v>
      </c>
      <c r="BF225">
        <v>8.9176000000000002</v>
      </c>
      <c r="BG225">
        <v>1</v>
      </c>
      <c r="BH225">
        <v>6023.7392733347688</v>
      </c>
      <c r="BI225">
        <v>1.098016605166052</v>
      </c>
      <c r="BJ225" s="63">
        <v>6614.1656999999996</v>
      </c>
      <c r="BK225" s="61">
        <v>60702.411852450903</v>
      </c>
    </row>
    <row r="226" spans="1:63" x14ac:dyDescent="0.25">
      <c r="A226">
        <v>653</v>
      </c>
      <c r="B226" t="s">
        <v>147</v>
      </c>
      <c r="C226">
        <v>2019</v>
      </c>
      <c r="D226">
        <v>2</v>
      </c>
      <c r="E226" t="s">
        <v>100</v>
      </c>
      <c r="F226" t="s">
        <v>426</v>
      </c>
      <c r="G226" t="s">
        <v>427</v>
      </c>
      <c r="H226" t="s">
        <v>84</v>
      </c>
      <c r="I226" t="s">
        <v>430</v>
      </c>
      <c r="J226" t="s">
        <v>59</v>
      </c>
      <c r="K226">
        <v>-1640.95558532</v>
      </c>
      <c r="L226" t="s">
        <v>59</v>
      </c>
      <c r="M226" t="s">
        <v>384</v>
      </c>
      <c r="N226">
        <v>9.9723560465240002E-2</v>
      </c>
      <c r="O226">
        <v>163.64193353343231</v>
      </c>
      <c r="P226" t="s">
        <v>440</v>
      </c>
      <c r="Q226">
        <v>2</v>
      </c>
      <c r="R226">
        <v>28.410399999999999</v>
      </c>
      <c r="S226">
        <v>0.112</v>
      </c>
      <c r="T226">
        <v>3.1819647999999998</v>
      </c>
      <c r="U226">
        <v>1.9E-2</v>
      </c>
      <c r="V226">
        <v>60.457000000000001</v>
      </c>
      <c r="W226">
        <v>2</v>
      </c>
      <c r="X226">
        <v>1.181471688E-3</v>
      </c>
      <c r="Y226">
        <v>0.14285600000000001</v>
      </c>
      <c r="Z226" s="61">
        <v>23.377231999999999</v>
      </c>
      <c r="AA226" t="s">
        <v>346</v>
      </c>
      <c r="AB226" t="s">
        <v>436</v>
      </c>
      <c r="AC226" t="s">
        <v>425</v>
      </c>
      <c r="AD226" t="s">
        <v>81</v>
      </c>
      <c r="AE226">
        <v>111.133</v>
      </c>
      <c r="AF226">
        <v>1.0368587857491129</v>
      </c>
      <c r="AG226">
        <v>115.2292274366562</v>
      </c>
      <c r="AH226">
        <v>603.45000000000005</v>
      </c>
      <c r="AI226">
        <v>1</v>
      </c>
      <c r="AJ226">
        <v>69.535077296650186</v>
      </c>
      <c r="AK226">
        <v>0.90990000000000004</v>
      </c>
      <c r="AL226" s="63">
        <v>63.27</v>
      </c>
      <c r="AM226">
        <v>8.9176000000000002</v>
      </c>
      <c r="AN226">
        <v>9.2462919077962926</v>
      </c>
      <c r="AO226">
        <v>1</v>
      </c>
      <c r="AP226">
        <v>5579.6748517596734</v>
      </c>
      <c r="AQ226">
        <v>1.053620848708487</v>
      </c>
      <c r="AR226">
        <v>5878.8617999999997</v>
      </c>
      <c r="AS226" s="61">
        <v>137431.5161945376</v>
      </c>
      <c r="AT226" t="s">
        <v>347</v>
      </c>
      <c r="AU226" t="s">
        <v>437</v>
      </c>
      <c r="AV226" t="s">
        <v>425</v>
      </c>
      <c r="AW226" t="s">
        <v>81</v>
      </c>
      <c r="AX226">
        <v>111.133</v>
      </c>
      <c r="AY226">
        <v>1.0541007448257309</v>
      </c>
      <c r="AZ226">
        <v>117.145378074718</v>
      </c>
      <c r="BA226">
        <v>640.82000000000005</v>
      </c>
      <c r="BB226">
        <v>1</v>
      </c>
      <c r="BC226">
        <v>75.069101177840764</v>
      </c>
      <c r="BD226">
        <v>0.93830000000000002</v>
      </c>
      <c r="BE226" s="63">
        <v>70.436999999999998</v>
      </c>
      <c r="BF226">
        <v>8.9176000000000002</v>
      </c>
      <c r="BG226">
        <v>1</v>
      </c>
      <c r="BH226">
        <v>6023.7392733347688</v>
      </c>
      <c r="BI226">
        <v>1.098016605166052</v>
      </c>
      <c r="BJ226" s="63">
        <v>6614.1656999999996</v>
      </c>
      <c r="BK226" s="61">
        <v>154620.88605534239</v>
      </c>
    </row>
    <row r="227" spans="1:63" x14ac:dyDescent="0.25">
      <c r="A227">
        <v>655</v>
      </c>
      <c r="B227" t="s">
        <v>147</v>
      </c>
      <c r="C227">
        <v>2019</v>
      </c>
      <c r="D227">
        <v>2</v>
      </c>
      <c r="E227" t="s">
        <v>100</v>
      </c>
      <c r="F227" t="s">
        <v>426</v>
      </c>
      <c r="G227" t="s">
        <v>427</v>
      </c>
      <c r="H227" t="s">
        <v>84</v>
      </c>
      <c r="I227" t="s">
        <v>428</v>
      </c>
      <c r="J227" t="s">
        <v>381</v>
      </c>
      <c r="K227">
        <v>-3108.9983658199999</v>
      </c>
      <c r="L227" t="s">
        <v>381</v>
      </c>
      <c r="M227" t="s">
        <v>385</v>
      </c>
      <c r="N227">
        <v>0.54567226407071001</v>
      </c>
      <c r="O227">
        <v>1696.494177269137</v>
      </c>
      <c r="P227" t="s">
        <v>440</v>
      </c>
      <c r="Q227">
        <v>2</v>
      </c>
      <c r="R227">
        <v>28.410399999999999</v>
      </c>
      <c r="S227">
        <v>0.112</v>
      </c>
      <c r="T227">
        <v>3.1819647999999998</v>
      </c>
      <c r="U227">
        <v>0.98099999999999998</v>
      </c>
      <c r="V227">
        <v>3121.5070000000001</v>
      </c>
      <c r="W227">
        <v>2</v>
      </c>
      <c r="X227">
        <v>2.2882718999999999E-5</v>
      </c>
      <c r="Y227">
        <v>0.14285700000000001</v>
      </c>
      <c r="Z227" s="61">
        <v>242.35606899999999</v>
      </c>
      <c r="AA227" t="s">
        <v>346</v>
      </c>
      <c r="AB227" t="s">
        <v>436</v>
      </c>
      <c r="AC227" t="s">
        <v>425</v>
      </c>
      <c r="AD227" t="s">
        <v>27</v>
      </c>
      <c r="AE227">
        <v>111.133</v>
      </c>
      <c r="AF227">
        <v>1.0368587857491129</v>
      </c>
      <c r="AG227">
        <v>115.2292274366562</v>
      </c>
      <c r="AH227">
        <v>603.45000000000005</v>
      </c>
      <c r="AI227">
        <v>1</v>
      </c>
      <c r="AJ227">
        <v>69.535077296650186</v>
      </c>
      <c r="AK227">
        <v>0.93979999999999997</v>
      </c>
      <c r="AL227" s="63">
        <v>65.349000000000004</v>
      </c>
      <c r="AM227">
        <v>8.9176000000000002</v>
      </c>
      <c r="AN227">
        <v>9.2462919077962926</v>
      </c>
      <c r="AO227">
        <v>1</v>
      </c>
      <c r="AP227">
        <v>5579.6748517596734</v>
      </c>
      <c r="AQ227">
        <v>0.95477850697292876</v>
      </c>
      <c r="AR227">
        <v>5327.3536000000004</v>
      </c>
      <c r="AS227" s="61">
        <v>1291116.4766689979</v>
      </c>
      <c r="AT227" t="s">
        <v>347</v>
      </c>
      <c r="AU227" t="s">
        <v>437</v>
      </c>
      <c r="AV227" t="s">
        <v>425</v>
      </c>
      <c r="AW227" t="s">
        <v>27</v>
      </c>
      <c r="AX227">
        <v>111.133</v>
      </c>
      <c r="AY227">
        <v>1.0541007448257309</v>
      </c>
      <c r="AZ227">
        <v>117.145378074718</v>
      </c>
      <c r="BA227">
        <v>640.82000000000005</v>
      </c>
      <c r="BB227">
        <v>1</v>
      </c>
      <c r="BC227">
        <v>75.069101177840764</v>
      </c>
      <c r="BD227">
        <v>0.95889999999999997</v>
      </c>
      <c r="BE227" s="63">
        <v>71.983999999999995</v>
      </c>
      <c r="BF227">
        <v>8.9176000000000002</v>
      </c>
      <c r="BG227">
        <v>1</v>
      </c>
      <c r="BH227">
        <v>6023.7392733347688</v>
      </c>
      <c r="BI227">
        <v>0.99097621000820357</v>
      </c>
      <c r="BJ227" s="63">
        <v>5969.3823000000002</v>
      </c>
      <c r="BK227" s="61">
        <v>1446716.028586179</v>
      </c>
    </row>
    <row r="228" spans="1:63" x14ac:dyDescent="0.25">
      <c r="A228">
        <v>655</v>
      </c>
      <c r="B228" t="s">
        <v>147</v>
      </c>
      <c r="C228">
        <v>2019</v>
      </c>
      <c r="D228">
        <v>2</v>
      </c>
      <c r="E228" t="s">
        <v>100</v>
      </c>
      <c r="F228" t="s">
        <v>426</v>
      </c>
      <c r="G228" t="s">
        <v>427</v>
      </c>
      <c r="H228" t="s">
        <v>84</v>
      </c>
      <c r="I228" t="s">
        <v>429</v>
      </c>
      <c r="J228" t="s">
        <v>87</v>
      </c>
      <c r="K228">
        <v>-658.81431411999995</v>
      </c>
      <c r="L228" t="s">
        <v>87</v>
      </c>
      <c r="M228" t="s">
        <v>385</v>
      </c>
      <c r="N228">
        <v>0.46576586246495999</v>
      </c>
      <c r="O228">
        <v>306.85321722036292</v>
      </c>
      <c r="P228" t="s">
        <v>440</v>
      </c>
      <c r="Q228">
        <v>2</v>
      </c>
      <c r="R228">
        <v>28.410399999999999</v>
      </c>
      <c r="S228">
        <v>0.112</v>
      </c>
      <c r="T228">
        <v>3.1819647999999998</v>
      </c>
      <c r="U228">
        <v>0.98099999999999998</v>
      </c>
      <c r="V228">
        <v>3121.5070000000001</v>
      </c>
      <c r="W228">
        <v>2</v>
      </c>
      <c r="X228">
        <v>2.2882718999999999E-5</v>
      </c>
      <c r="Y228">
        <v>0.14285700000000001</v>
      </c>
      <c r="Z228" s="61">
        <v>43.836129999999997</v>
      </c>
      <c r="AA228" t="s">
        <v>346</v>
      </c>
      <c r="AB228" t="s">
        <v>436</v>
      </c>
      <c r="AC228" t="s">
        <v>425</v>
      </c>
      <c r="AD228" t="s">
        <v>27</v>
      </c>
      <c r="AE228">
        <v>111.133</v>
      </c>
      <c r="AF228">
        <v>1.0368587857491129</v>
      </c>
      <c r="AG228">
        <v>115.2292274366562</v>
      </c>
      <c r="AH228">
        <v>603.45000000000005</v>
      </c>
      <c r="AI228">
        <v>1</v>
      </c>
      <c r="AJ228">
        <v>69.535077296650186</v>
      </c>
      <c r="AK228">
        <v>0.93979999999999997</v>
      </c>
      <c r="AL228" s="63">
        <v>65.349000000000004</v>
      </c>
      <c r="AM228">
        <v>8.9176000000000002</v>
      </c>
      <c r="AN228">
        <v>9.2462919077962926</v>
      </c>
      <c r="AO228">
        <v>1</v>
      </c>
      <c r="AP228">
        <v>5579.6748517596734</v>
      </c>
      <c r="AQ228">
        <v>0.95477850697292876</v>
      </c>
      <c r="AR228">
        <v>5327.3536000000004</v>
      </c>
      <c r="AS228" s="61">
        <v>233530.56496556799</v>
      </c>
      <c r="AT228" t="s">
        <v>347</v>
      </c>
      <c r="AU228" t="s">
        <v>437</v>
      </c>
      <c r="AV228" t="s">
        <v>425</v>
      </c>
      <c r="AW228" t="s">
        <v>27</v>
      </c>
      <c r="AX228">
        <v>111.133</v>
      </c>
      <c r="AY228">
        <v>1.0541007448257309</v>
      </c>
      <c r="AZ228">
        <v>117.145378074718</v>
      </c>
      <c r="BA228">
        <v>640.82000000000005</v>
      </c>
      <c r="BB228">
        <v>1</v>
      </c>
      <c r="BC228">
        <v>75.069101177840764</v>
      </c>
      <c r="BD228">
        <v>0.95889999999999997</v>
      </c>
      <c r="BE228" s="63">
        <v>71.983999999999995</v>
      </c>
      <c r="BF228">
        <v>8.9176000000000002</v>
      </c>
      <c r="BG228">
        <v>1</v>
      </c>
      <c r="BH228">
        <v>6023.7392733347688</v>
      </c>
      <c r="BI228">
        <v>0.99097621000820357</v>
      </c>
      <c r="BJ228" s="63">
        <v>5969.3823000000002</v>
      </c>
      <c r="BK228" s="61">
        <v>261674.61852249899</v>
      </c>
    </row>
    <row r="229" spans="1:63" x14ac:dyDescent="0.25">
      <c r="A229">
        <v>655</v>
      </c>
      <c r="B229" t="s">
        <v>147</v>
      </c>
      <c r="C229">
        <v>2019</v>
      </c>
      <c r="D229">
        <v>2</v>
      </c>
      <c r="E229" t="s">
        <v>100</v>
      </c>
      <c r="F229" t="s">
        <v>426</v>
      </c>
      <c r="G229" t="s">
        <v>427</v>
      </c>
      <c r="H229" t="s">
        <v>84</v>
      </c>
      <c r="I229" t="s">
        <v>430</v>
      </c>
      <c r="J229" t="s">
        <v>59</v>
      </c>
      <c r="K229">
        <v>-1640.95558532</v>
      </c>
      <c r="L229" t="s">
        <v>59</v>
      </c>
      <c r="M229" t="s">
        <v>385</v>
      </c>
      <c r="N229">
        <v>0.54314598235976996</v>
      </c>
      <c r="O229">
        <v>891.27843339738286</v>
      </c>
      <c r="P229" t="s">
        <v>440</v>
      </c>
      <c r="Q229">
        <v>2</v>
      </c>
      <c r="R229">
        <v>28.410399999999999</v>
      </c>
      <c r="S229">
        <v>0.112</v>
      </c>
      <c r="T229">
        <v>3.1819647999999998</v>
      </c>
      <c r="U229">
        <v>0.98099999999999998</v>
      </c>
      <c r="V229">
        <v>3121.5070000000001</v>
      </c>
      <c r="W229">
        <v>2</v>
      </c>
      <c r="X229">
        <v>2.2882718999999999E-5</v>
      </c>
      <c r="Y229">
        <v>0.14285700000000001</v>
      </c>
      <c r="Z229" s="61">
        <v>127.325363</v>
      </c>
      <c r="AA229" t="s">
        <v>346</v>
      </c>
      <c r="AB229" t="s">
        <v>436</v>
      </c>
      <c r="AC229" t="s">
        <v>425</v>
      </c>
      <c r="AD229" t="s">
        <v>27</v>
      </c>
      <c r="AE229">
        <v>111.133</v>
      </c>
      <c r="AF229">
        <v>1.0368587857491129</v>
      </c>
      <c r="AG229">
        <v>115.2292274366562</v>
      </c>
      <c r="AH229">
        <v>603.45000000000005</v>
      </c>
      <c r="AI229">
        <v>1</v>
      </c>
      <c r="AJ229">
        <v>69.535077296650186</v>
      </c>
      <c r="AK229">
        <v>0.93979999999999997</v>
      </c>
      <c r="AL229" s="63">
        <v>65.349000000000004</v>
      </c>
      <c r="AM229">
        <v>8.9176000000000002</v>
      </c>
      <c r="AN229">
        <v>9.2462919077962926</v>
      </c>
      <c r="AO229">
        <v>1</v>
      </c>
      <c r="AP229">
        <v>5579.6748517596734</v>
      </c>
      <c r="AQ229">
        <v>0.95477850697292876</v>
      </c>
      <c r="AR229">
        <v>5327.3536000000004</v>
      </c>
      <c r="AS229" s="61">
        <v>678307.2309493568</v>
      </c>
      <c r="AT229" t="s">
        <v>347</v>
      </c>
      <c r="AU229" t="s">
        <v>437</v>
      </c>
      <c r="AV229" t="s">
        <v>425</v>
      </c>
      <c r="AW229" t="s">
        <v>27</v>
      </c>
      <c r="AX229">
        <v>111.133</v>
      </c>
      <c r="AY229">
        <v>1.0541007448257309</v>
      </c>
      <c r="AZ229">
        <v>117.145378074718</v>
      </c>
      <c r="BA229">
        <v>640.82000000000005</v>
      </c>
      <c r="BB229">
        <v>1</v>
      </c>
      <c r="BC229">
        <v>75.069101177840764</v>
      </c>
      <c r="BD229">
        <v>0.95889999999999997</v>
      </c>
      <c r="BE229" s="63">
        <v>71.983999999999995</v>
      </c>
      <c r="BF229">
        <v>8.9176000000000002</v>
      </c>
      <c r="BG229">
        <v>1</v>
      </c>
      <c r="BH229">
        <v>6023.7392733347688</v>
      </c>
      <c r="BI229">
        <v>0.99097621000820357</v>
      </c>
      <c r="BJ229" s="63">
        <v>5969.3823000000002</v>
      </c>
      <c r="BK229" s="61">
        <v>760053.76823327492</v>
      </c>
    </row>
    <row r="230" spans="1:63" x14ac:dyDescent="0.25">
      <c r="A230">
        <v>673</v>
      </c>
      <c r="B230" t="s">
        <v>149</v>
      </c>
      <c r="C230">
        <v>2019</v>
      </c>
      <c r="D230">
        <v>3</v>
      </c>
      <c r="E230" t="s">
        <v>100</v>
      </c>
      <c r="F230" t="s">
        <v>426</v>
      </c>
      <c r="G230" t="s">
        <v>427</v>
      </c>
      <c r="H230" t="s">
        <v>84</v>
      </c>
      <c r="I230" t="s">
        <v>428</v>
      </c>
      <c r="J230" t="s">
        <v>381</v>
      </c>
      <c r="K230">
        <v>-3065.9050455800002</v>
      </c>
      <c r="L230" t="s">
        <v>381</v>
      </c>
      <c r="M230" t="s">
        <v>384</v>
      </c>
      <c r="N230">
        <v>0.11701058843201</v>
      </c>
      <c r="O230">
        <v>358.74335345998418</v>
      </c>
      <c r="P230" t="s">
        <v>440</v>
      </c>
      <c r="Q230">
        <v>2</v>
      </c>
      <c r="R230">
        <v>28.410399999999999</v>
      </c>
      <c r="S230">
        <v>0.122</v>
      </c>
      <c r="T230">
        <v>3.4660687999999999</v>
      </c>
      <c r="U230">
        <v>1.9E-2</v>
      </c>
      <c r="V230">
        <v>65.855000000000004</v>
      </c>
      <c r="W230">
        <v>2</v>
      </c>
      <c r="X230">
        <v>1.0846292850000001E-3</v>
      </c>
      <c r="Y230">
        <v>0.14285700000000001</v>
      </c>
      <c r="Z230" s="61">
        <v>51.248998999999998</v>
      </c>
      <c r="AA230" t="s">
        <v>346</v>
      </c>
      <c r="AB230" t="s">
        <v>436</v>
      </c>
      <c r="AC230" t="s">
        <v>425</v>
      </c>
      <c r="AD230" t="s">
        <v>81</v>
      </c>
      <c r="AE230">
        <v>111.133</v>
      </c>
      <c r="AF230">
        <v>1.0368587857491129</v>
      </c>
      <c r="AG230">
        <v>115.2292274366562</v>
      </c>
      <c r="AH230">
        <v>603.45000000000005</v>
      </c>
      <c r="AI230">
        <v>1</v>
      </c>
      <c r="AJ230">
        <v>69.535077296650186</v>
      </c>
      <c r="AK230">
        <v>0.90990000000000004</v>
      </c>
      <c r="AL230" s="63">
        <v>63.27</v>
      </c>
      <c r="AM230">
        <v>8.9176000000000002</v>
      </c>
      <c r="AN230">
        <v>9.2462919077962926</v>
      </c>
      <c r="AO230">
        <v>1</v>
      </c>
      <c r="AP230">
        <v>5579.6748517596734</v>
      </c>
      <c r="AQ230">
        <v>1.053620848708487</v>
      </c>
      <c r="AR230">
        <v>5878.8617999999997</v>
      </c>
      <c r="AS230" s="61">
        <v>301285.78250933823</v>
      </c>
      <c r="AT230" t="s">
        <v>347</v>
      </c>
      <c r="AU230" t="s">
        <v>437</v>
      </c>
      <c r="AV230" t="s">
        <v>425</v>
      </c>
      <c r="AW230" t="s">
        <v>81</v>
      </c>
      <c r="AX230">
        <v>111.133</v>
      </c>
      <c r="AY230">
        <v>1.0541007448257309</v>
      </c>
      <c r="AZ230">
        <v>117.145378074718</v>
      </c>
      <c r="BA230">
        <v>640.82000000000005</v>
      </c>
      <c r="BB230">
        <v>1</v>
      </c>
      <c r="BC230">
        <v>75.069101177840764</v>
      </c>
      <c r="BD230">
        <v>0.93830000000000002</v>
      </c>
      <c r="BE230" s="63">
        <v>70.436999999999998</v>
      </c>
      <c r="BF230">
        <v>8.9176000000000002</v>
      </c>
      <c r="BG230">
        <v>1</v>
      </c>
      <c r="BH230">
        <v>6023.7392733347688</v>
      </c>
      <c r="BI230">
        <v>1.098016605166052</v>
      </c>
      <c r="BJ230" s="63">
        <v>6614.1656999999996</v>
      </c>
      <c r="BK230" s="61">
        <v>338969.37134513428</v>
      </c>
    </row>
    <row r="231" spans="1:63" x14ac:dyDescent="0.25">
      <c r="A231">
        <v>673</v>
      </c>
      <c r="B231" t="s">
        <v>149</v>
      </c>
      <c r="C231">
        <v>2019</v>
      </c>
      <c r="D231">
        <v>3</v>
      </c>
      <c r="E231" t="s">
        <v>100</v>
      </c>
      <c r="F231" t="s">
        <v>426</v>
      </c>
      <c r="G231" t="s">
        <v>427</v>
      </c>
      <c r="H231" t="s">
        <v>84</v>
      </c>
      <c r="I231" t="s">
        <v>429</v>
      </c>
      <c r="J231" t="s">
        <v>87</v>
      </c>
      <c r="K231">
        <v>-737.64564960999996</v>
      </c>
      <c r="L231" t="s">
        <v>87</v>
      </c>
      <c r="M231" t="s">
        <v>384</v>
      </c>
      <c r="N231">
        <v>9.7514538340209997E-2</v>
      </c>
      <c r="O231">
        <v>71.93117498038346</v>
      </c>
      <c r="P231" t="s">
        <v>440</v>
      </c>
      <c r="Q231">
        <v>2</v>
      </c>
      <c r="R231">
        <v>28.410399999999999</v>
      </c>
      <c r="S231">
        <v>0.122</v>
      </c>
      <c r="T231">
        <v>3.4660687999999999</v>
      </c>
      <c r="U231">
        <v>1.9E-2</v>
      </c>
      <c r="V231">
        <v>65.855000000000004</v>
      </c>
      <c r="W231">
        <v>2</v>
      </c>
      <c r="X231">
        <v>1.0846292850000001E-3</v>
      </c>
      <c r="Y231">
        <v>0.14285700000000001</v>
      </c>
      <c r="Z231" s="61">
        <v>10.275872</v>
      </c>
      <c r="AA231" t="s">
        <v>346</v>
      </c>
      <c r="AB231" t="s">
        <v>436</v>
      </c>
      <c r="AC231" t="s">
        <v>425</v>
      </c>
      <c r="AD231" t="s">
        <v>81</v>
      </c>
      <c r="AE231">
        <v>111.133</v>
      </c>
      <c r="AF231">
        <v>1.0368587857491129</v>
      </c>
      <c r="AG231">
        <v>115.2292274366562</v>
      </c>
      <c r="AH231">
        <v>603.45000000000005</v>
      </c>
      <c r="AI231">
        <v>1</v>
      </c>
      <c r="AJ231">
        <v>69.535077296650186</v>
      </c>
      <c r="AK231">
        <v>0.90990000000000004</v>
      </c>
      <c r="AL231" s="63">
        <v>63.27</v>
      </c>
      <c r="AM231">
        <v>8.9176000000000002</v>
      </c>
      <c r="AN231">
        <v>9.2462919077962926</v>
      </c>
      <c r="AO231">
        <v>1</v>
      </c>
      <c r="AP231">
        <v>5579.6748517596734</v>
      </c>
      <c r="AQ231">
        <v>1.053620848708487</v>
      </c>
      <c r="AR231">
        <v>5878.8617999999997</v>
      </c>
      <c r="AS231" s="61">
        <v>60410.431362489588</v>
      </c>
      <c r="AT231" t="s">
        <v>347</v>
      </c>
      <c r="AU231" t="s">
        <v>437</v>
      </c>
      <c r="AV231" t="s">
        <v>425</v>
      </c>
      <c r="AW231" t="s">
        <v>81</v>
      </c>
      <c r="AX231">
        <v>111.133</v>
      </c>
      <c r="AY231">
        <v>1.0541007448257309</v>
      </c>
      <c r="AZ231">
        <v>117.145378074718</v>
      </c>
      <c r="BA231">
        <v>640.82000000000005</v>
      </c>
      <c r="BB231">
        <v>1</v>
      </c>
      <c r="BC231">
        <v>75.069101177840764</v>
      </c>
      <c r="BD231">
        <v>0.93830000000000002</v>
      </c>
      <c r="BE231" s="63">
        <v>70.436999999999998</v>
      </c>
      <c r="BF231">
        <v>8.9176000000000002</v>
      </c>
      <c r="BG231">
        <v>1</v>
      </c>
      <c r="BH231">
        <v>6023.7392733347688</v>
      </c>
      <c r="BI231">
        <v>1.098016605166052</v>
      </c>
      <c r="BJ231" s="63">
        <v>6614.1656999999996</v>
      </c>
      <c r="BK231" s="61">
        <v>67966.3201199904</v>
      </c>
    </row>
    <row r="232" spans="1:63" x14ac:dyDescent="0.25">
      <c r="A232">
        <v>673</v>
      </c>
      <c r="B232" t="s">
        <v>149</v>
      </c>
      <c r="C232">
        <v>2019</v>
      </c>
      <c r="D232">
        <v>3</v>
      </c>
      <c r="E232" t="s">
        <v>100</v>
      </c>
      <c r="F232" t="s">
        <v>426</v>
      </c>
      <c r="G232" t="s">
        <v>427</v>
      </c>
      <c r="H232" t="s">
        <v>84</v>
      </c>
      <c r="I232" t="s">
        <v>430</v>
      </c>
      <c r="J232" t="s">
        <v>59</v>
      </c>
      <c r="K232">
        <v>-1450.40735169</v>
      </c>
      <c r="L232" t="s">
        <v>59</v>
      </c>
      <c r="M232" t="s">
        <v>384</v>
      </c>
      <c r="N232">
        <v>9.9723560464910002E-2</v>
      </c>
      <c r="O232">
        <v>144.63978523500771</v>
      </c>
      <c r="P232" t="s">
        <v>440</v>
      </c>
      <c r="Q232">
        <v>2</v>
      </c>
      <c r="R232">
        <v>28.410399999999999</v>
      </c>
      <c r="S232">
        <v>0.122</v>
      </c>
      <c r="T232">
        <v>3.4660687999999999</v>
      </c>
      <c r="U232">
        <v>1.9E-2</v>
      </c>
      <c r="V232">
        <v>65.855000000000004</v>
      </c>
      <c r="W232">
        <v>2</v>
      </c>
      <c r="X232">
        <v>1.0846292850000001E-3</v>
      </c>
      <c r="Y232">
        <v>0.14285700000000001</v>
      </c>
      <c r="Z232" s="61">
        <v>20.662806</v>
      </c>
      <c r="AA232" t="s">
        <v>346</v>
      </c>
      <c r="AB232" t="s">
        <v>436</v>
      </c>
      <c r="AC232" t="s">
        <v>425</v>
      </c>
      <c r="AD232" t="s">
        <v>81</v>
      </c>
      <c r="AE232">
        <v>111.133</v>
      </c>
      <c r="AF232">
        <v>1.0368587857491129</v>
      </c>
      <c r="AG232">
        <v>115.2292274366562</v>
      </c>
      <c r="AH232">
        <v>603.45000000000005</v>
      </c>
      <c r="AI232">
        <v>1</v>
      </c>
      <c r="AJ232">
        <v>69.535077296650186</v>
      </c>
      <c r="AK232">
        <v>0.90990000000000004</v>
      </c>
      <c r="AL232" s="63">
        <v>63.27</v>
      </c>
      <c r="AM232">
        <v>8.9176000000000002</v>
      </c>
      <c r="AN232">
        <v>9.2462919077962926</v>
      </c>
      <c r="AO232">
        <v>1</v>
      </c>
      <c r="AP232">
        <v>5579.6748517596734</v>
      </c>
      <c r="AQ232">
        <v>1.053620848708487</v>
      </c>
      <c r="AR232">
        <v>5878.8617999999997</v>
      </c>
      <c r="AS232" s="61">
        <v>121473.7808742108</v>
      </c>
      <c r="AT232" t="s">
        <v>347</v>
      </c>
      <c r="AU232" t="s">
        <v>437</v>
      </c>
      <c r="AV232" t="s">
        <v>425</v>
      </c>
      <c r="AW232" t="s">
        <v>81</v>
      </c>
      <c r="AX232">
        <v>111.133</v>
      </c>
      <c r="AY232">
        <v>1.0541007448257309</v>
      </c>
      <c r="AZ232">
        <v>117.145378074718</v>
      </c>
      <c r="BA232">
        <v>640.82000000000005</v>
      </c>
      <c r="BB232">
        <v>1</v>
      </c>
      <c r="BC232">
        <v>75.069101177840764</v>
      </c>
      <c r="BD232">
        <v>0.93830000000000002</v>
      </c>
      <c r="BE232" s="63">
        <v>70.436999999999998</v>
      </c>
      <c r="BF232">
        <v>8.9176000000000002</v>
      </c>
      <c r="BG232">
        <v>1</v>
      </c>
      <c r="BH232">
        <v>6023.7392733347688</v>
      </c>
      <c r="BI232">
        <v>1.098016605166052</v>
      </c>
      <c r="BJ232" s="63">
        <v>6614.1656999999996</v>
      </c>
      <c r="BK232" s="61">
        <v>136667.2227109542</v>
      </c>
    </row>
    <row r="233" spans="1:63" x14ac:dyDescent="0.25">
      <c r="A233">
        <v>675</v>
      </c>
      <c r="B233" t="s">
        <v>149</v>
      </c>
      <c r="C233">
        <v>2019</v>
      </c>
      <c r="D233">
        <v>3</v>
      </c>
      <c r="E233" t="s">
        <v>100</v>
      </c>
      <c r="F233" t="s">
        <v>426</v>
      </c>
      <c r="G233" t="s">
        <v>427</v>
      </c>
      <c r="H233" t="s">
        <v>84</v>
      </c>
      <c r="I233" t="s">
        <v>428</v>
      </c>
      <c r="J233" t="s">
        <v>381</v>
      </c>
      <c r="K233">
        <v>-3065.9050455800002</v>
      </c>
      <c r="L233" t="s">
        <v>381</v>
      </c>
      <c r="M233" t="s">
        <v>385</v>
      </c>
      <c r="N233">
        <v>0.54567226407084002</v>
      </c>
      <c r="O233">
        <v>1672.9793476478501</v>
      </c>
      <c r="P233" t="s">
        <v>440</v>
      </c>
      <c r="Q233">
        <v>2</v>
      </c>
      <c r="R233">
        <v>28.410399999999999</v>
      </c>
      <c r="S233">
        <v>0.122</v>
      </c>
      <c r="T233">
        <v>3.4660687999999999</v>
      </c>
      <c r="U233">
        <v>0.98099999999999998</v>
      </c>
      <c r="V233">
        <v>3400.2130000000002</v>
      </c>
      <c r="W233">
        <v>2</v>
      </c>
      <c r="X233">
        <v>2.1007085999999999E-5</v>
      </c>
      <c r="Y233">
        <v>0.14285700000000001</v>
      </c>
      <c r="Z233" s="61">
        <v>238.99681100000001</v>
      </c>
      <c r="AA233" t="s">
        <v>346</v>
      </c>
      <c r="AB233" t="s">
        <v>436</v>
      </c>
      <c r="AC233" t="s">
        <v>425</v>
      </c>
      <c r="AD233" t="s">
        <v>27</v>
      </c>
      <c r="AE233">
        <v>111.133</v>
      </c>
      <c r="AF233">
        <v>1.0368587857491129</v>
      </c>
      <c r="AG233">
        <v>115.2292274366562</v>
      </c>
      <c r="AH233">
        <v>603.45000000000005</v>
      </c>
      <c r="AI233">
        <v>1</v>
      </c>
      <c r="AJ233">
        <v>69.535077296650186</v>
      </c>
      <c r="AK233">
        <v>0.93979999999999997</v>
      </c>
      <c r="AL233" s="63">
        <v>65.349000000000004</v>
      </c>
      <c r="AM233">
        <v>8.9176000000000002</v>
      </c>
      <c r="AN233">
        <v>9.2462919077962926</v>
      </c>
      <c r="AO233">
        <v>1</v>
      </c>
      <c r="AP233">
        <v>5579.6748517596734</v>
      </c>
      <c r="AQ233">
        <v>0.95477850697292876</v>
      </c>
      <c r="AR233">
        <v>5327.3536000000004</v>
      </c>
      <c r="AS233" s="61">
        <v>1273220.52146937</v>
      </c>
      <c r="AT233" t="s">
        <v>347</v>
      </c>
      <c r="AU233" t="s">
        <v>437</v>
      </c>
      <c r="AV233" t="s">
        <v>425</v>
      </c>
      <c r="AW233" t="s">
        <v>27</v>
      </c>
      <c r="AX233">
        <v>111.133</v>
      </c>
      <c r="AY233">
        <v>1.0541007448257309</v>
      </c>
      <c r="AZ233">
        <v>117.145378074718</v>
      </c>
      <c r="BA233">
        <v>640.82000000000005</v>
      </c>
      <c r="BB233">
        <v>1</v>
      </c>
      <c r="BC233">
        <v>75.069101177840764</v>
      </c>
      <c r="BD233">
        <v>0.95889999999999997</v>
      </c>
      <c r="BE233" s="63">
        <v>71.983999999999995</v>
      </c>
      <c r="BF233">
        <v>8.9176000000000002</v>
      </c>
      <c r="BG233">
        <v>1</v>
      </c>
      <c r="BH233">
        <v>6023.7392733347688</v>
      </c>
      <c r="BI233">
        <v>0.99097621000820357</v>
      </c>
      <c r="BJ233" s="63">
        <v>5969.3823000000002</v>
      </c>
      <c r="BK233" s="61">
        <v>1426663.3333398451</v>
      </c>
    </row>
    <row r="234" spans="1:63" x14ac:dyDescent="0.25">
      <c r="A234">
        <v>675</v>
      </c>
      <c r="B234" t="s">
        <v>149</v>
      </c>
      <c r="C234">
        <v>2019</v>
      </c>
      <c r="D234">
        <v>3</v>
      </c>
      <c r="E234" t="s">
        <v>100</v>
      </c>
      <c r="F234" t="s">
        <v>426</v>
      </c>
      <c r="G234" t="s">
        <v>427</v>
      </c>
      <c r="H234" t="s">
        <v>84</v>
      </c>
      <c r="I234" t="s">
        <v>429</v>
      </c>
      <c r="J234" t="s">
        <v>87</v>
      </c>
      <c r="K234">
        <v>-737.64564960999996</v>
      </c>
      <c r="L234" t="s">
        <v>87</v>
      </c>
      <c r="M234" t="s">
        <v>385</v>
      </c>
      <c r="N234">
        <v>0.46576586246513002</v>
      </c>
      <c r="O234">
        <v>343.57016218425269</v>
      </c>
      <c r="P234" t="s">
        <v>440</v>
      </c>
      <c r="Q234">
        <v>2</v>
      </c>
      <c r="R234">
        <v>28.410399999999999</v>
      </c>
      <c r="S234">
        <v>0.122</v>
      </c>
      <c r="T234">
        <v>3.4660687999999999</v>
      </c>
      <c r="U234">
        <v>0.98099999999999998</v>
      </c>
      <c r="V234">
        <v>3400.2130000000002</v>
      </c>
      <c r="W234">
        <v>2</v>
      </c>
      <c r="X234">
        <v>2.1007085999999999E-5</v>
      </c>
      <c r="Y234">
        <v>0.14285700000000001</v>
      </c>
      <c r="Z234" s="61">
        <v>49.081403000000002</v>
      </c>
      <c r="AA234" t="s">
        <v>346</v>
      </c>
      <c r="AB234" t="s">
        <v>436</v>
      </c>
      <c r="AC234" t="s">
        <v>425</v>
      </c>
      <c r="AD234" t="s">
        <v>27</v>
      </c>
      <c r="AE234">
        <v>111.133</v>
      </c>
      <c r="AF234">
        <v>1.0368587857491129</v>
      </c>
      <c r="AG234">
        <v>115.2292274366562</v>
      </c>
      <c r="AH234">
        <v>603.45000000000005</v>
      </c>
      <c r="AI234">
        <v>1</v>
      </c>
      <c r="AJ234">
        <v>69.535077296650186</v>
      </c>
      <c r="AK234">
        <v>0.93979999999999997</v>
      </c>
      <c r="AL234" s="63">
        <v>65.349000000000004</v>
      </c>
      <c r="AM234">
        <v>8.9176000000000002</v>
      </c>
      <c r="AN234">
        <v>9.2462919077962926</v>
      </c>
      <c r="AO234">
        <v>1</v>
      </c>
      <c r="AP234">
        <v>5579.6748517596734</v>
      </c>
      <c r="AQ234">
        <v>0.95477850697292876</v>
      </c>
      <c r="AR234">
        <v>5327.3536000000004</v>
      </c>
      <c r="AS234" s="61">
        <v>261473.98896510081</v>
      </c>
      <c r="AT234" t="s">
        <v>347</v>
      </c>
      <c r="AU234" t="s">
        <v>437</v>
      </c>
      <c r="AV234" t="s">
        <v>425</v>
      </c>
      <c r="AW234" t="s">
        <v>27</v>
      </c>
      <c r="AX234">
        <v>111.133</v>
      </c>
      <c r="AY234">
        <v>1.0541007448257309</v>
      </c>
      <c r="AZ234">
        <v>117.145378074718</v>
      </c>
      <c r="BA234">
        <v>640.82000000000005</v>
      </c>
      <c r="BB234">
        <v>1</v>
      </c>
      <c r="BC234">
        <v>75.069101177840764</v>
      </c>
      <c r="BD234">
        <v>0.95889999999999997</v>
      </c>
      <c r="BE234" s="63">
        <v>71.983999999999995</v>
      </c>
      <c r="BF234">
        <v>8.9176000000000002</v>
      </c>
      <c r="BG234">
        <v>1</v>
      </c>
      <c r="BH234">
        <v>6023.7392733347688</v>
      </c>
      <c r="BI234">
        <v>0.99097621000820357</v>
      </c>
      <c r="BJ234" s="63">
        <v>5969.3823000000002</v>
      </c>
      <c r="BK234" s="61">
        <v>292985.65832736692</v>
      </c>
    </row>
    <row r="235" spans="1:63" x14ac:dyDescent="0.25">
      <c r="A235">
        <v>675</v>
      </c>
      <c r="B235" t="s">
        <v>149</v>
      </c>
      <c r="C235">
        <v>2019</v>
      </c>
      <c r="D235">
        <v>3</v>
      </c>
      <c r="E235" t="s">
        <v>100</v>
      </c>
      <c r="F235" t="s">
        <v>426</v>
      </c>
      <c r="G235" t="s">
        <v>427</v>
      </c>
      <c r="H235" t="s">
        <v>84</v>
      </c>
      <c r="I235" t="s">
        <v>430</v>
      </c>
      <c r="J235" t="s">
        <v>59</v>
      </c>
      <c r="K235">
        <v>-1450.40735169</v>
      </c>
      <c r="L235" t="s">
        <v>59</v>
      </c>
      <c r="M235" t="s">
        <v>385</v>
      </c>
      <c r="N235">
        <v>0.54314598235857003</v>
      </c>
      <c r="O235">
        <v>787.78292585375686</v>
      </c>
      <c r="P235" t="s">
        <v>440</v>
      </c>
      <c r="Q235">
        <v>2</v>
      </c>
      <c r="R235">
        <v>28.410399999999999</v>
      </c>
      <c r="S235">
        <v>0.122</v>
      </c>
      <c r="T235">
        <v>3.4660687999999999</v>
      </c>
      <c r="U235">
        <v>0.98099999999999998</v>
      </c>
      <c r="V235">
        <v>3400.2130000000002</v>
      </c>
      <c r="W235">
        <v>2</v>
      </c>
      <c r="X235">
        <v>2.1007085999999999E-5</v>
      </c>
      <c r="Y235">
        <v>0.14285700000000001</v>
      </c>
      <c r="Z235" s="61">
        <v>112.540305</v>
      </c>
      <c r="AA235" t="s">
        <v>346</v>
      </c>
      <c r="AB235" t="s">
        <v>436</v>
      </c>
      <c r="AC235" t="s">
        <v>425</v>
      </c>
      <c r="AD235" t="s">
        <v>27</v>
      </c>
      <c r="AE235">
        <v>111.133</v>
      </c>
      <c r="AF235">
        <v>1.0368587857491129</v>
      </c>
      <c r="AG235">
        <v>115.2292274366562</v>
      </c>
      <c r="AH235">
        <v>603.45000000000005</v>
      </c>
      <c r="AI235">
        <v>1</v>
      </c>
      <c r="AJ235">
        <v>69.535077296650186</v>
      </c>
      <c r="AK235">
        <v>0.93979999999999997</v>
      </c>
      <c r="AL235" s="63">
        <v>65.349000000000004</v>
      </c>
      <c r="AM235">
        <v>8.9176000000000002</v>
      </c>
      <c r="AN235">
        <v>9.2462919077962926</v>
      </c>
      <c r="AO235">
        <v>1</v>
      </c>
      <c r="AP235">
        <v>5579.6748517596734</v>
      </c>
      <c r="AQ235">
        <v>0.95477850697292876</v>
      </c>
      <c r="AR235">
        <v>5327.3536000000004</v>
      </c>
      <c r="AS235" s="61">
        <v>599541.99898684805</v>
      </c>
      <c r="AT235" t="s">
        <v>347</v>
      </c>
      <c r="AU235" t="s">
        <v>437</v>
      </c>
      <c r="AV235" t="s">
        <v>425</v>
      </c>
      <c r="AW235" t="s">
        <v>27</v>
      </c>
      <c r="AX235">
        <v>111.133</v>
      </c>
      <c r="AY235">
        <v>1.0541007448257309</v>
      </c>
      <c r="AZ235">
        <v>117.145378074718</v>
      </c>
      <c r="BA235">
        <v>640.82000000000005</v>
      </c>
      <c r="BB235">
        <v>1</v>
      </c>
      <c r="BC235">
        <v>75.069101177840764</v>
      </c>
      <c r="BD235">
        <v>0.95889999999999997</v>
      </c>
      <c r="BE235" s="63">
        <v>71.983999999999995</v>
      </c>
      <c r="BF235">
        <v>8.9176000000000002</v>
      </c>
      <c r="BG235">
        <v>1</v>
      </c>
      <c r="BH235">
        <v>6023.7392733347688</v>
      </c>
      <c r="BI235">
        <v>0.99097621000820357</v>
      </c>
      <c r="BJ235" s="63">
        <v>5969.3823000000002</v>
      </c>
      <c r="BK235" s="61">
        <v>671796.10470360157</v>
      </c>
    </row>
    <row r="236" spans="1:63" x14ac:dyDescent="0.25">
      <c r="A236">
        <v>699</v>
      </c>
      <c r="B236" t="s">
        <v>150</v>
      </c>
      <c r="C236">
        <v>2019</v>
      </c>
      <c r="D236">
        <v>4</v>
      </c>
      <c r="E236" t="s">
        <v>100</v>
      </c>
      <c r="F236" t="s">
        <v>426</v>
      </c>
      <c r="G236" t="s">
        <v>427</v>
      </c>
      <c r="H236" t="s">
        <v>84</v>
      </c>
      <c r="I236" t="s">
        <v>428</v>
      </c>
      <c r="J236" t="s">
        <v>381</v>
      </c>
      <c r="K236">
        <v>-1557.0867358999999</v>
      </c>
      <c r="L236" t="s">
        <v>381</v>
      </c>
      <c r="M236" t="s">
        <v>384</v>
      </c>
      <c r="N236">
        <v>0.11701058843195999</v>
      </c>
      <c r="O236">
        <v>182.1956352072589</v>
      </c>
      <c r="P236" t="s">
        <v>440</v>
      </c>
      <c r="Q236">
        <v>2</v>
      </c>
      <c r="R236">
        <v>28.410399999999999</v>
      </c>
      <c r="S236">
        <v>6.0999999999999999E-2</v>
      </c>
      <c r="T236">
        <v>1.7330344</v>
      </c>
      <c r="U236">
        <v>1.9E-2</v>
      </c>
      <c r="V236">
        <v>32.927999999999997</v>
      </c>
      <c r="W236">
        <v>2</v>
      </c>
      <c r="X236">
        <v>2.1692538629999999E-3</v>
      </c>
      <c r="Y236">
        <v>0.14285800000000001</v>
      </c>
      <c r="Z236" s="61">
        <v>26.028103999999999</v>
      </c>
      <c r="AA236" t="s">
        <v>347</v>
      </c>
      <c r="AB236" t="s">
        <v>437</v>
      </c>
      <c r="AC236" t="s">
        <v>425</v>
      </c>
      <c r="AD236" t="s">
        <v>81</v>
      </c>
      <c r="AE236">
        <v>111.133</v>
      </c>
      <c r="AF236">
        <v>1.0541007448257309</v>
      </c>
      <c r="AG236">
        <v>117.145378074718</v>
      </c>
      <c r="AH236">
        <v>640.82000000000005</v>
      </c>
      <c r="AI236">
        <v>1</v>
      </c>
      <c r="AJ236">
        <v>75.069101177840764</v>
      </c>
      <c r="AK236">
        <v>0.93830000000000002</v>
      </c>
      <c r="AL236" s="63">
        <v>70.436999999999998</v>
      </c>
      <c r="AM236">
        <v>8.9176000000000002</v>
      </c>
      <c r="AN236">
        <v>9.4000488020579382</v>
      </c>
      <c r="AO236">
        <v>1</v>
      </c>
      <c r="AP236">
        <v>6023.7392733347688</v>
      </c>
      <c r="AQ236">
        <v>1.098016605166052</v>
      </c>
      <c r="AR236">
        <v>6614.1656999999996</v>
      </c>
      <c r="AS236" s="61">
        <v>172154.1927128328</v>
      </c>
      <c r="AT236" t="s">
        <v>347</v>
      </c>
      <c r="AU236" t="s">
        <v>437</v>
      </c>
      <c r="AV236" t="s">
        <v>425</v>
      </c>
      <c r="AW236" t="s">
        <v>81</v>
      </c>
      <c r="AX236">
        <v>111.133</v>
      </c>
      <c r="AY236">
        <v>1.0541007448257309</v>
      </c>
      <c r="AZ236">
        <v>117.145378074718</v>
      </c>
      <c r="BA236">
        <v>640.82000000000005</v>
      </c>
      <c r="BB236">
        <v>1</v>
      </c>
      <c r="BC236">
        <v>75.069101177840764</v>
      </c>
      <c r="BD236">
        <v>0.93830000000000002</v>
      </c>
      <c r="BE236" s="63">
        <v>70.436999999999998</v>
      </c>
      <c r="BF236">
        <v>8.9176000000000002</v>
      </c>
      <c r="BG236">
        <v>1</v>
      </c>
      <c r="BH236">
        <v>6023.7392733347688</v>
      </c>
      <c r="BI236">
        <v>1.098016605166052</v>
      </c>
      <c r="BJ236" s="63">
        <v>6614.1656999999996</v>
      </c>
      <c r="BK236" s="61">
        <v>172154.1927128328</v>
      </c>
    </row>
    <row r="237" spans="1:63" x14ac:dyDescent="0.25">
      <c r="A237">
        <v>699</v>
      </c>
      <c r="B237" t="s">
        <v>150</v>
      </c>
      <c r="C237">
        <v>2019</v>
      </c>
      <c r="D237">
        <v>4</v>
      </c>
      <c r="E237" t="s">
        <v>100</v>
      </c>
      <c r="F237" t="s">
        <v>426</v>
      </c>
      <c r="G237" t="s">
        <v>427</v>
      </c>
      <c r="H237" t="s">
        <v>84</v>
      </c>
      <c r="I237" t="s">
        <v>429</v>
      </c>
      <c r="J237" t="s">
        <v>87</v>
      </c>
      <c r="K237">
        <v>-302.73858855999998</v>
      </c>
      <c r="L237" t="s">
        <v>87</v>
      </c>
      <c r="M237" t="s">
        <v>384</v>
      </c>
      <c r="N237">
        <v>9.7514538339660006E-2</v>
      </c>
      <c r="O237">
        <v>29.521413701028671</v>
      </c>
      <c r="P237" t="s">
        <v>440</v>
      </c>
      <c r="Q237">
        <v>2</v>
      </c>
      <c r="R237">
        <v>28.410399999999999</v>
      </c>
      <c r="S237">
        <v>6.0999999999999999E-2</v>
      </c>
      <c r="T237">
        <v>1.7330344</v>
      </c>
      <c r="U237">
        <v>1.9E-2</v>
      </c>
      <c r="V237">
        <v>32.927999999999997</v>
      </c>
      <c r="W237">
        <v>2</v>
      </c>
      <c r="X237">
        <v>2.1692538629999999E-3</v>
      </c>
      <c r="Y237">
        <v>0.14285800000000001</v>
      </c>
      <c r="Z237" s="61">
        <v>4.2173699999999998</v>
      </c>
      <c r="AA237" t="s">
        <v>347</v>
      </c>
      <c r="AB237" t="s">
        <v>437</v>
      </c>
      <c r="AC237" t="s">
        <v>425</v>
      </c>
      <c r="AD237" t="s">
        <v>81</v>
      </c>
      <c r="AE237">
        <v>111.133</v>
      </c>
      <c r="AF237">
        <v>1.0541007448257309</v>
      </c>
      <c r="AG237">
        <v>117.145378074718</v>
      </c>
      <c r="AH237">
        <v>640.82000000000005</v>
      </c>
      <c r="AI237">
        <v>1</v>
      </c>
      <c r="AJ237">
        <v>75.069101177840764</v>
      </c>
      <c r="AK237">
        <v>0.93830000000000002</v>
      </c>
      <c r="AL237" s="63">
        <v>70.436999999999998</v>
      </c>
      <c r="AM237">
        <v>8.9176000000000002</v>
      </c>
      <c r="AN237">
        <v>9.4000488020579382</v>
      </c>
      <c r="AO237">
        <v>1</v>
      </c>
      <c r="AP237">
        <v>6023.7392733347688</v>
      </c>
      <c r="AQ237">
        <v>1.098016605166052</v>
      </c>
      <c r="AR237">
        <v>6614.1656999999996</v>
      </c>
      <c r="AS237" s="61">
        <v>27894.383998208999</v>
      </c>
      <c r="AT237" t="s">
        <v>347</v>
      </c>
      <c r="AU237" t="s">
        <v>437</v>
      </c>
      <c r="AV237" t="s">
        <v>425</v>
      </c>
      <c r="AW237" t="s">
        <v>81</v>
      </c>
      <c r="AX237">
        <v>111.133</v>
      </c>
      <c r="AY237">
        <v>1.0541007448257309</v>
      </c>
      <c r="AZ237">
        <v>117.145378074718</v>
      </c>
      <c r="BA237">
        <v>640.82000000000005</v>
      </c>
      <c r="BB237">
        <v>1</v>
      </c>
      <c r="BC237">
        <v>75.069101177840764</v>
      </c>
      <c r="BD237">
        <v>0.93830000000000002</v>
      </c>
      <c r="BE237" s="63">
        <v>70.436999999999998</v>
      </c>
      <c r="BF237">
        <v>8.9176000000000002</v>
      </c>
      <c r="BG237">
        <v>1</v>
      </c>
      <c r="BH237">
        <v>6023.7392733347688</v>
      </c>
      <c r="BI237">
        <v>1.098016605166052</v>
      </c>
      <c r="BJ237" s="63">
        <v>6614.1656999999996</v>
      </c>
      <c r="BK237" s="61">
        <v>27894.383998208999</v>
      </c>
    </row>
    <row r="238" spans="1:63" x14ac:dyDescent="0.25">
      <c r="A238">
        <v>699</v>
      </c>
      <c r="B238" t="s">
        <v>150</v>
      </c>
      <c r="C238">
        <v>2019</v>
      </c>
      <c r="D238">
        <v>4</v>
      </c>
      <c r="E238" t="s">
        <v>100</v>
      </c>
      <c r="F238" t="s">
        <v>426</v>
      </c>
      <c r="G238" t="s">
        <v>427</v>
      </c>
      <c r="H238" t="s">
        <v>84</v>
      </c>
      <c r="I238" t="s">
        <v>430</v>
      </c>
      <c r="J238" t="s">
        <v>59</v>
      </c>
      <c r="K238">
        <v>-893.85083488999999</v>
      </c>
      <c r="L238" t="s">
        <v>59</v>
      </c>
      <c r="M238" t="s">
        <v>384</v>
      </c>
      <c r="N238">
        <v>9.9723560464569996E-2</v>
      </c>
      <c r="O238">
        <v>89.137987779459294</v>
      </c>
      <c r="P238" t="s">
        <v>440</v>
      </c>
      <c r="Q238">
        <v>2</v>
      </c>
      <c r="R238">
        <v>28.410399999999999</v>
      </c>
      <c r="S238">
        <v>6.0999999999999999E-2</v>
      </c>
      <c r="T238">
        <v>1.7330344</v>
      </c>
      <c r="U238">
        <v>1.9E-2</v>
      </c>
      <c r="V238">
        <v>32.927999999999997</v>
      </c>
      <c r="W238">
        <v>2</v>
      </c>
      <c r="X238">
        <v>2.1692538629999999E-3</v>
      </c>
      <c r="Y238">
        <v>0.14285800000000001</v>
      </c>
      <c r="Z238" s="61">
        <v>12.734075000000001</v>
      </c>
      <c r="AA238" t="s">
        <v>347</v>
      </c>
      <c r="AB238" t="s">
        <v>437</v>
      </c>
      <c r="AC238" t="s">
        <v>425</v>
      </c>
      <c r="AD238" t="s">
        <v>81</v>
      </c>
      <c r="AE238">
        <v>111.133</v>
      </c>
      <c r="AF238">
        <v>1.0541007448257309</v>
      </c>
      <c r="AG238">
        <v>117.145378074718</v>
      </c>
      <c r="AH238">
        <v>640.82000000000005</v>
      </c>
      <c r="AI238">
        <v>1</v>
      </c>
      <c r="AJ238">
        <v>75.069101177840764</v>
      </c>
      <c r="AK238">
        <v>0.93830000000000002</v>
      </c>
      <c r="AL238" s="63">
        <v>70.436999999999998</v>
      </c>
      <c r="AM238">
        <v>8.9176000000000002</v>
      </c>
      <c r="AN238">
        <v>9.4000488020579382</v>
      </c>
      <c r="AO238">
        <v>1</v>
      </c>
      <c r="AP238">
        <v>6023.7392733347688</v>
      </c>
      <c r="AQ238">
        <v>1.098016605166052</v>
      </c>
      <c r="AR238">
        <v>6614.1656999999996</v>
      </c>
      <c r="AS238" s="61">
        <v>84225.282086227497</v>
      </c>
      <c r="AT238" t="s">
        <v>347</v>
      </c>
      <c r="AU238" t="s">
        <v>437</v>
      </c>
      <c r="AV238" t="s">
        <v>425</v>
      </c>
      <c r="AW238" t="s">
        <v>81</v>
      </c>
      <c r="AX238">
        <v>111.133</v>
      </c>
      <c r="AY238">
        <v>1.0541007448257309</v>
      </c>
      <c r="AZ238">
        <v>117.145378074718</v>
      </c>
      <c r="BA238">
        <v>640.82000000000005</v>
      </c>
      <c r="BB238">
        <v>1</v>
      </c>
      <c r="BC238">
        <v>75.069101177840764</v>
      </c>
      <c r="BD238">
        <v>0.93830000000000002</v>
      </c>
      <c r="BE238" s="63">
        <v>70.436999999999998</v>
      </c>
      <c r="BF238">
        <v>8.9176000000000002</v>
      </c>
      <c r="BG238">
        <v>1</v>
      </c>
      <c r="BH238">
        <v>6023.7392733347688</v>
      </c>
      <c r="BI238">
        <v>1.098016605166052</v>
      </c>
      <c r="BJ238" s="63">
        <v>6614.1656999999996</v>
      </c>
      <c r="BK238" s="61">
        <v>84225.282086227497</v>
      </c>
    </row>
    <row r="239" spans="1:63" x14ac:dyDescent="0.25">
      <c r="A239">
        <v>701</v>
      </c>
      <c r="B239" t="s">
        <v>150</v>
      </c>
      <c r="C239">
        <v>2019</v>
      </c>
      <c r="D239">
        <v>4</v>
      </c>
      <c r="E239" t="s">
        <v>100</v>
      </c>
      <c r="F239" t="s">
        <v>426</v>
      </c>
      <c r="G239" t="s">
        <v>427</v>
      </c>
      <c r="H239" t="s">
        <v>84</v>
      </c>
      <c r="I239" t="s">
        <v>428</v>
      </c>
      <c r="J239" t="s">
        <v>381</v>
      </c>
      <c r="K239">
        <v>-1557.0867358999999</v>
      </c>
      <c r="L239" t="s">
        <v>381</v>
      </c>
      <c r="M239" t="s">
        <v>385</v>
      </c>
      <c r="N239">
        <v>0.54567226407094005</v>
      </c>
      <c r="O239">
        <v>849.65904453338283</v>
      </c>
      <c r="P239" t="s">
        <v>440</v>
      </c>
      <c r="Q239">
        <v>2</v>
      </c>
      <c r="R239">
        <v>28.410399999999999</v>
      </c>
      <c r="S239">
        <v>6.0999999999999999E-2</v>
      </c>
      <c r="T239">
        <v>1.7330344</v>
      </c>
      <c r="U239">
        <v>0.98099999999999998</v>
      </c>
      <c r="V239">
        <v>1700.107</v>
      </c>
      <c r="W239">
        <v>2</v>
      </c>
      <c r="X239">
        <v>4.2014171000000002E-5</v>
      </c>
      <c r="Y239">
        <v>0.14285700000000001</v>
      </c>
      <c r="Z239" s="61">
        <v>121.37974199999999</v>
      </c>
      <c r="AA239" t="s">
        <v>347</v>
      </c>
      <c r="AB239" t="s">
        <v>437</v>
      </c>
      <c r="AC239" t="s">
        <v>425</v>
      </c>
      <c r="AD239" t="s">
        <v>27</v>
      </c>
      <c r="AE239">
        <v>111.133</v>
      </c>
      <c r="AF239">
        <v>1.0541007448257309</v>
      </c>
      <c r="AG239">
        <v>117.145378074718</v>
      </c>
      <c r="AH239">
        <v>640.82000000000005</v>
      </c>
      <c r="AI239">
        <v>1</v>
      </c>
      <c r="AJ239">
        <v>75.069101177840764</v>
      </c>
      <c r="AK239">
        <v>0.95889999999999997</v>
      </c>
      <c r="AL239" s="63">
        <v>71.983999999999995</v>
      </c>
      <c r="AM239">
        <v>8.9176000000000002</v>
      </c>
      <c r="AN239">
        <v>9.4000488020579382</v>
      </c>
      <c r="AO239">
        <v>1</v>
      </c>
      <c r="AP239">
        <v>6023.7392733347688</v>
      </c>
      <c r="AQ239">
        <v>0.99097621000820357</v>
      </c>
      <c r="AR239">
        <v>5969.3823000000002</v>
      </c>
      <c r="AS239" s="61">
        <v>724562.08347336657</v>
      </c>
      <c r="AT239" t="s">
        <v>347</v>
      </c>
      <c r="AU239" t="s">
        <v>437</v>
      </c>
      <c r="AV239" t="s">
        <v>425</v>
      </c>
      <c r="AW239" t="s">
        <v>27</v>
      </c>
      <c r="AX239">
        <v>111.133</v>
      </c>
      <c r="AY239">
        <v>1.0541007448257309</v>
      </c>
      <c r="AZ239">
        <v>117.145378074718</v>
      </c>
      <c r="BA239">
        <v>640.82000000000005</v>
      </c>
      <c r="BB239">
        <v>1</v>
      </c>
      <c r="BC239">
        <v>75.069101177840764</v>
      </c>
      <c r="BD239">
        <v>0.95889999999999997</v>
      </c>
      <c r="BE239" s="63">
        <v>71.983999999999995</v>
      </c>
      <c r="BF239">
        <v>8.9176000000000002</v>
      </c>
      <c r="BG239">
        <v>1</v>
      </c>
      <c r="BH239">
        <v>6023.7392733347688</v>
      </c>
      <c r="BI239">
        <v>0.99097621000820357</v>
      </c>
      <c r="BJ239" s="63">
        <v>5969.3823000000002</v>
      </c>
      <c r="BK239" s="61">
        <v>724562.08347336657</v>
      </c>
    </row>
    <row r="240" spans="1:63" x14ac:dyDescent="0.25">
      <c r="A240">
        <v>701</v>
      </c>
      <c r="B240" t="s">
        <v>150</v>
      </c>
      <c r="C240">
        <v>2019</v>
      </c>
      <c r="D240">
        <v>4</v>
      </c>
      <c r="E240" t="s">
        <v>100</v>
      </c>
      <c r="F240" t="s">
        <v>426</v>
      </c>
      <c r="G240" t="s">
        <v>427</v>
      </c>
      <c r="H240" t="s">
        <v>84</v>
      </c>
      <c r="I240" t="s">
        <v>429</v>
      </c>
      <c r="J240" t="s">
        <v>87</v>
      </c>
      <c r="K240">
        <v>-302.73858855999998</v>
      </c>
      <c r="L240" t="s">
        <v>87</v>
      </c>
      <c r="M240" t="s">
        <v>385</v>
      </c>
      <c r="N240">
        <v>0.46576586246383</v>
      </c>
      <c r="O240">
        <v>141.00529980173101</v>
      </c>
      <c r="P240" t="s">
        <v>440</v>
      </c>
      <c r="Q240">
        <v>2</v>
      </c>
      <c r="R240">
        <v>28.410399999999999</v>
      </c>
      <c r="S240">
        <v>6.0999999999999999E-2</v>
      </c>
      <c r="T240">
        <v>1.7330344</v>
      </c>
      <c r="U240">
        <v>0.98099999999999998</v>
      </c>
      <c r="V240">
        <v>1700.107</v>
      </c>
      <c r="W240">
        <v>2</v>
      </c>
      <c r="X240">
        <v>4.2014171000000002E-5</v>
      </c>
      <c r="Y240">
        <v>0.14285700000000001</v>
      </c>
      <c r="Z240" s="61">
        <v>20.143594</v>
      </c>
      <c r="AA240" t="s">
        <v>347</v>
      </c>
      <c r="AB240" t="s">
        <v>437</v>
      </c>
      <c r="AC240" t="s">
        <v>425</v>
      </c>
      <c r="AD240" t="s">
        <v>27</v>
      </c>
      <c r="AE240">
        <v>111.133</v>
      </c>
      <c r="AF240">
        <v>1.0541007448257309</v>
      </c>
      <c r="AG240">
        <v>117.145378074718</v>
      </c>
      <c r="AH240">
        <v>640.82000000000005</v>
      </c>
      <c r="AI240">
        <v>1</v>
      </c>
      <c r="AJ240">
        <v>75.069101177840764</v>
      </c>
      <c r="AK240">
        <v>0.95889999999999997</v>
      </c>
      <c r="AL240" s="63">
        <v>71.983999999999995</v>
      </c>
      <c r="AM240">
        <v>8.9176000000000002</v>
      </c>
      <c r="AN240">
        <v>9.4000488020579382</v>
      </c>
      <c r="AO240">
        <v>1</v>
      </c>
      <c r="AP240">
        <v>6023.7392733347688</v>
      </c>
      <c r="AQ240">
        <v>0.99097621000820357</v>
      </c>
      <c r="AR240">
        <v>5969.3823000000002</v>
      </c>
      <c r="AS240" s="61">
        <v>120244.8134819862</v>
      </c>
      <c r="AT240" t="s">
        <v>347</v>
      </c>
      <c r="AU240" t="s">
        <v>437</v>
      </c>
      <c r="AV240" t="s">
        <v>425</v>
      </c>
      <c r="AW240" t="s">
        <v>27</v>
      </c>
      <c r="AX240">
        <v>111.133</v>
      </c>
      <c r="AY240">
        <v>1.0541007448257309</v>
      </c>
      <c r="AZ240">
        <v>117.145378074718</v>
      </c>
      <c r="BA240">
        <v>640.82000000000005</v>
      </c>
      <c r="BB240">
        <v>1</v>
      </c>
      <c r="BC240">
        <v>75.069101177840764</v>
      </c>
      <c r="BD240">
        <v>0.95889999999999997</v>
      </c>
      <c r="BE240" s="63">
        <v>71.983999999999995</v>
      </c>
      <c r="BF240">
        <v>8.9176000000000002</v>
      </c>
      <c r="BG240">
        <v>1</v>
      </c>
      <c r="BH240">
        <v>6023.7392733347688</v>
      </c>
      <c r="BI240">
        <v>0.99097621000820357</v>
      </c>
      <c r="BJ240" s="63">
        <v>5969.3823000000002</v>
      </c>
      <c r="BK240" s="61">
        <v>120244.8134819862</v>
      </c>
    </row>
    <row r="241" spans="1:63" x14ac:dyDescent="0.25">
      <c r="A241">
        <v>701</v>
      </c>
      <c r="B241" t="s">
        <v>150</v>
      </c>
      <c r="C241">
        <v>2019</v>
      </c>
      <c r="D241">
        <v>4</v>
      </c>
      <c r="E241" t="s">
        <v>100</v>
      </c>
      <c r="F241" t="s">
        <v>426</v>
      </c>
      <c r="G241" t="s">
        <v>427</v>
      </c>
      <c r="H241" t="s">
        <v>84</v>
      </c>
      <c r="I241" t="s">
        <v>430</v>
      </c>
      <c r="J241" t="s">
        <v>59</v>
      </c>
      <c r="K241">
        <v>-893.85083488999999</v>
      </c>
      <c r="L241" t="s">
        <v>59</v>
      </c>
      <c r="M241" t="s">
        <v>385</v>
      </c>
      <c r="N241">
        <v>0.54314598235971001</v>
      </c>
      <c r="O241">
        <v>485.49148979937598</v>
      </c>
      <c r="P241" t="s">
        <v>440</v>
      </c>
      <c r="Q241">
        <v>2</v>
      </c>
      <c r="R241">
        <v>28.410399999999999</v>
      </c>
      <c r="S241">
        <v>6.0999999999999999E-2</v>
      </c>
      <c r="T241">
        <v>1.7330344</v>
      </c>
      <c r="U241">
        <v>0.98099999999999998</v>
      </c>
      <c r="V241">
        <v>1700.107</v>
      </c>
      <c r="W241">
        <v>2</v>
      </c>
      <c r="X241">
        <v>4.2014171000000002E-5</v>
      </c>
      <c r="Y241">
        <v>0.14285700000000001</v>
      </c>
      <c r="Z241" s="61">
        <v>69.355857999999998</v>
      </c>
      <c r="AA241" t="s">
        <v>347</v>
      </c>
      <c r="AB241" t="s">
        <v>437</v>
      </c>
      <c r="AC241" t="s">
        <v>425</v>
      </c>
      <c r="AD241" t="s">
        <v>27</v>
      </c>
      <c r="AE241">
        <v>111.133</v>
      </c>
      <c r="AF241">
        <v>1.0541007448257309</v>
      </c>
      <c r="AG241">
        <v>117.145378074718</v>
      </c>
      <c r="AH241">
        <v>640.82000000000005</v>
      </c>
      <c r="AI241">
        <v>1</v>
      </c>
      <c r="AJ241">
        <v>75.069101177840764</v>
      </c>
      <c r="AK241">
        <v>0.95889999999999997</v>
      </c>
      <c r="AL241" s="63">
        <v>71.983999999999995</v>
      </c>
      <c r="AM241">
        <v>8.9176000000000002</v>
      </c>
      <c r="AN241">
        <v>9.4000488020579382</v>
      </c>
      <c r="AO241">
        <v>1</v>
      </c>
      <c r="AP241">
        <v>6023.7392733347688</v>
      </c>
      <c r="AQ241">
        <v>0.99097621000820357</v>
      </c>
      <c r="AR241">
        <v>5969.3823000000002</v>
      </c>
      <c r="AS241" s="61">
        <v>414011.63114651339</v>
      </c>
      <c r="AT241" t="s">
        <v>347</v>
      </c>
      <c r="AU241" t="s">
        <v>437</v>
      </c>
      <c r="AV241" t="s">
        <v>425</v>
      </c>
      <c r="AW241" t="s">
        <v>27</v>
      </c>
      <c r="AX241">
        <v>111.133</v>
      </c>
      <c r="AY241">
        <v>1.0541007448257309</v>
      </c>
      <c r="AZ241">
        <v>117.145378074718</v>
      </c>
      <c r="BA241">
        <v>640.82000000000005</v>
      </c>
      <c r="BB241">
        <v>1</v>
      </c>
      <c r="BC241">
        <v>75.069101177840764</v>
      </c>
      <c r="BD241">
        <v>0.95889999999999997</v>
      </c>
      <c r="BE241" s="63">
        <v>71.983999999999995</v>
      </c>
      <c r="BF241">
        <v>8.9176000000000002</v>
      </c>
      <c r="BG241">
        <v>1</v>
      </c>
      <c r="BH241">
        <v>6023.7392733347688</v>
      </c>
      <c r="BI241">
        <v>0.99097621000820357</v>
      </c>
      <c r="BJ241" s="63">
        <v>5969.3823000000002</v>
      </c>
      <c r="BK241" s="61">
        <v>414011.63114651339</v>
      </c>
    </row>
    <row r="242" spans="1:63" x14ac:dyDescent="0.25">
      <c r="A242">
        <v>719</v>
      </c>
      <c r="B242" t="s">
        <v>152</v>
      </c>
      <c r="C242">
        <v>2019</v>
      </c>
      <c r="D242">
        <v>5</v>
      </c>
      <c r="E242" t="s">
        <v>100</v>
      </c>
      <c r="F242" t="s">
        <v>426</v>
      </c>
      <c r="G242" t="s">
        <v>427</v>
      </c>
      <c r="H242" t="s">
        <v>84</v>
      </c>
      <c r="I242" t="s">
        <v>428</v>
      </c>
      <c r="J242" t="s">
        <v>381</v>
      </c>
      <c r="K242">
        <v>-1771.75606309</v>
      </c>
      <c r="L242" t="s">
        <v>381</v>
      </c>
      <c r="M242" t="s">
        <v>384</v>
      </c>
      <c r="N242">
        <v>0.11701058843202</v>
      </c>
      <c r="O242">
        <v>207.31421950015999</v>
      </c>
      <c r="P242" t="s">
        <v>440</v>
      </c>
      <c r="Q242">
        <v>2</v>
      </c>
      <c r="R242">
        <v>28.410399999999999</v>
      </c>
      <c r="S242">
        <v>7.2999999999999995E-2</v>
      </c>
      <c r="T242">
        <v>2.0739592</v>
      </c>
      <c r="U242">
        <v>1.9E-2</v>
      </c>
      <c r="V242">
        <v>39.405000000000001</v>
      </c>
      <c r="W242">
        <v>2</v>
      </c>
      <c r="X242">
        <v>1.8126680120000001E-3</v>
      </c>
      <c r="Y242">
        <v>0.14285600000000001</v>
      </c>
      <c r="Z242" s="61">
        <v>29.61608</v>
      </c>
      <c r="AA242" t="s">
        <v>347</v>
      </c>
      <c r="AB242" t="s">
        <v>437</v>
      </c>
      <c r="AC242" t="s">
        <v>425</v>
      </c>
      <c r="AD242" t="s">
        <v>81</v>
      </c>
      <c r="AE242">
        <v>111.133</v>
      </c>
      <c r="AF242">
        <v>1.0541007448257309</v>
      </c>
      <c r="AG242">
        <v>117.145378074718</v>
      </c>
      <c r="AH242">
        <v>640.82000000000005</v>
      </c>
      <c r="AI242">
        <v>1</v>
      </c>
      <c r="AJ242">
        <v>75.069101177840764</v>
      </c>
      <c r="AK242">
        <v>0.93830000000000002</v>
      </c>
      <c r="AL242" s="63">
        <v>70.436999999999998</v>
      </c>
      <c r="AM242">
        <v>8.9176000000000002</v>
      </c>
      <c r="AN242">
        <v>9.4000488020579382</v>
      </c>
      <c r="AO242">
        <v>1</v>
      </c>
      <c r="AP242">
        <v>6023.7392733347688</v>
      </c>
      <c r="AQ242">
        <v>1.098016605166052</v>
      </c>
      <c r="AR242">
        <v>6614.1656999999996</v>
      </c>
      <c r="AS242" s="61">
        <v>195885.660504456</v>
      </c>
      <c r="AT242" t="s">
        <v>347</v>
      </c>
      <c r="AU242" t="s">
        <v>437</v>
      </c>
      <c r="AV242" t="s">
        <v>425</v>
      </c>
      <c r="AW242" t="s">
        <v>81</v>
      </c>
      <c r="AX242">
        <v>111.133</v>
      </c>
      <c r="AY242">
        <v>1.0541007448257309</v>
      </c>
      <c r="AZ242">
        <v>117.145378074718</v>
      </c>
      <c r="BA242">
        <v>640.82000000000005</v>
      </c>
      <c r="BB242">
        <v>1</v>
      </c>
      <c r="BC242">
        <v>75.069101177840764</v>
      </c>
      <c r="BD242">
        <v>0.93830000000000002</v>
      </c>
      <c r="BE242" s="63">
        <v>70.436999999999998</v>
      </c>
      <c r="BF242">
        <v>8.9176000000000002</v>
      </c>
      <c r="BG242">
        <v>1</v>
      </c>
      <c r="BH242">
        <v>6023.7392733347688</v>
      </c>
      <c r="BI242">
        <v>1.098016605166052</v>
      </c>
      <c r="BJ242" s="63">
        <v>6614.1656999999996</v>
      </c>
      <c r="BK242" s="61">
        <v>195885.660504456</v>
      </c>
    </row>
    <row r="243" spans="1:63" x14ac:dyDescent="0.25">
      <c r="A243">
        <v>719</v>
      </c>
      <c r="B243" t="s">
        <v>152</v>
      </c>
      <c r="C243">
        <v>2019</v>
      </c>
      <c r="D243">
        <v>5</v>
      </c>
      <c r="E243" t="s">
        <v>100</v>
      </c>
      <c r="F243" t="s">
        <v>426</v>
      </c>
      <c r="G243" t="s">
        <v>427</v>
      </c>
      <c r="H243" t="s">
        <v>84</v>
      </c>
      <c r="I243" t="s">
        <v>429</v>
      </c>
      <c r="J243" t="s">
        <v>87</v>
      </c>
      <c r="K243">
        <v>-324.73980827999998</v>
      </c>
      <c r="L243" t="s">
        <v>87</v>
      </c>
      <c r="M243" t="s">
        <v>384</v>
      </c>
      <c r="N243">
        <v>9.7514538339260007E-2</v>
      </c>
      <c r="O243">
        <v>31.666852484804</v>
      </c>
      <c r="P243" t="s">
        <v>440</v>
      </c>
      <c r="Q243">
        <v>2</v>
      </c>
      <c r="R243">
        <v>28.410399999999999</v>
      </c>
      <c r="S243">
        <v>7.2999999999999995E-2</v>
      </c>
      <c r="T243">
        <v>2.0739592</v>
      </c>
      <c r="U243">
        <v>1.9E-2</v>
      </c>
      <c r="V243">
        <v>39.405000000000001</v>
      </c>
      <c r="W243">
        <v>2</v>
      </c>
      <c r="X243">
        <v>1.8126680120000001E-3</v>
      </c>
      <c r="Y243">
        <v>0.14285600000000001</v>
      </c>
      <c r="Z243" s="61">
        <v>4.5237999999999996</v>
      </c>
      <c r="AA243" t="s">
        <v>347</v>
      </c>
      <c r="AB243" t="s">
        <v>437</v>
      </c>
      <c r="AC243" t="s">
        <v>425</v>
      </c>
      <c r="AD243" t="s">
        <v>81</v>
      </c>
      <c r="AE243">
        <v>111.133</v>
      </c>
      <c r="AF243">
        <v>1.0541007448257309</v>
      </c>
      <c r="AG243">
        <v>117.145378074718</v>
      </c>
      <c r="AH243">
        <v>640.82000000000005</v>
      </c>
      <c r="AI243">
        <v>1</v>
      </c>
      <c r="AJ243">
        <v>75.069101177840764</v>
      </c>
      <c r="AK243">
        <v>0.93830000000000002</v>
      </c>
      <c r="AL243" s="63">
        <v>70.436999999999998</v>
      </c>
      <c r="AM243">
        <v>8.9176000000000002</v>
      </c>
      <c r="AN243">
        <v>9.4000488020579382</v>
      </c>
      <c r="AO243">
        <v>1</v>
      </c>
      <c r="AP243">
        <v>6023.7392733347688</v>
      </c>
      <c r="AQ243">
        <v>1.098016605166052</v>
      </c>
      <c r="AR243">
        <v>6614.1656999999996</v>
      </c>
      <c r="AS243" s="61">
        <v>29921.162793659991</v>
      </c>
      <c r="AT243" t="s">
        <v>347</v>
      </c>
      <c r="AU243" t="s">
        <v>437</v>
      </c>
      <c r="AV243" t="s">
        <v>425</v>
      </c>
      <c r="AW243" t="s">
        <v>81</v>
      </c>
      <c r="AX243">
        <v>111.133</v>
      </c>
      <c r="AY243">
        <v>1.0541007448257309</v>
      </c>
      <c r="AZ243">
        <v>117.145378074718</v>
      </c>
      <c r="BA243">
        <v>640.82000000000005</v>
      </c>
      <c r="BB243">
        <v>1</v>
      </c>
      <c r="BC243">
        <v>75.069101177840764</v>
      </c>
      <c r="BD243">
        <v>0.93830000000000002</v>
      </c>
      <c r="BE243" s="63">
        <v>70.436999999999998</v>
      </c>
      <c r="BF243">
        <v>8.9176000000000002</v>
      </c>
      <c r="BG243">
        <v>1</v>
      </c>
      <c r="BH243">
        <v>6023.7392733347688</v>
      </c>
      <c r="BI243">
        <v>1.098016605166052</v>
      </c>
      <c r="BJ243" s="63">
        <v>6614.1656999999996</v>
      </c>
      <c r="BK243" s="61">
        <v>29921.162793659991</v>
      </c>
    </row>
    <row r="244" spans="1:63" x14ac:dyDescent="0.25">
      <c r="A244">
        <v>719</v>
      </c>
      <c r="B244" t="s">
        <v>152</v>
      </c>
      <c r="C244">
        <v>2019</v>
      </c>
      <c r="D244">
        <v>5</v>
      </c>
      <c r="E244" t="s">
        <v>100</v>
      </c>
      <c r="F244" t="s">
        <v>426</v>
      </c>
      <c r="G244" t="s">
        <v>427</v>
      </c>
      <c r="H244" t="s">
        <v>84</v>
      </c>
      <c r="I244" t="s">
        <v>430</v>
      </c>
      <c r="J244" t="s">
        <v>59</v>
      </c>
      <c r="K244">
        <v>-940.48549705000005</v>
      </c>
      <c r="L244" t="s">
        <v>59</v>
      </c>
      <c r="M244" t="s">
        <v>384</v>
      </c>
      <c r="N244">
        <v>9.9723560465200006E-2</v>
      </c>
      <c r="O244">
        <v>93.788562331709358</v>
      </c>
      <c r="P244" t="s">
        <v>440</v>
      </c>
      <c r="Q244">
        <v>2</v>
      </c>
      <c r="R244">
        <v>28.410399999999999</v>
      </c>
      <c r="S244">
        <v>7.2999999999999995E-2</v>
      </c>
      <c r="T244">
        <v>2.0739592</v>
      </c>
      <c r="U244">
        <v>1.9E-2</v>
      </c>
      <c r="V244">
        <v>39.405000000000001</v>
      </c>
      <c r="W244">
        <v>2</v>
      </c>
      <c r="X244">
        <v>1.8126680120000001E-3</v>
      </c>
      <c r="Y244">
        <v>0.14285600000000001</v>
      </c>
      <c r="Z244" s="61">
        <v>13.398258999999999</v>
      </c>
      <c r="AA244" t="s">
        <v>347</v>
      </c>
      <c r="AB244" t="s">
        <v>437</v>
      </c>
      <c r="AC244" t="s">
        <v>425</v>
      </c>
      <c r="AD244" t="s">
        <v>81</v>
      </c>
      <c r="AE244">
        <v>111.133</v>
      </c>
      <c r="AF244">
        <v>1.0541007448257309</v>
      </c>
      <c r="AG244">
        <v>117.145378074718</v>
      </c>
      <c r="AH244">
        <v>640.82000000000005</v>
      </c>
      <c r="AI244">
        <v>1</v>
      </c>
      <c r="AJ244">
        <v>75.069101177840764</v>
      </c>
      <c r="AK244">
        <v>0.93830000000000002</v>
      </c>
      <c r="AL244" s="63">
        <v>70.436999999999998</v>
      </c>
      <c r="AM244">
        <v>8.9176000000000002</v>
      </c>
      <c r="AN244">
        <v>9.4000488020579382</v>
      </c>
      <c r="AO244">
        <v>1</v>
      </c>
      <c r="AP244">
        <v>6023.7392733347688</v>
      </c>
      <c r="AQ244">
        <v>1.098016605166052</v>
      </c>
      <c r="AR244">
        <v>6614.1656999999996</v>
      </c>
      <c r="AS244" s="61">
        <v>88618.305117516284</v>
      </c>
      <c r="AT244" t="s">
        <v>347</v>
      </c>
      <c r="AU244" t="s">
        <v>437</v>
      </c>
      <c r="AV244" t="s">
        <v>425</v>
      </c>
      <c r="AW244" t="s">
        <v>81</v>
      </c>
      <c r="AX244">
        <v>111.133</v>
      </c>
      <c r="AY244">
        <v>1.0541007448257309</v>
      </c>
      <c r="AZ244">
        <v>117.145378074718</v>
      </c>
      <c r="BA244">
        <v>640.82000000000005</v>
      </c>
      <c r="BB244">
        <v>1</v>
      </c>
      <c r="BC244">
        <v>75.069101177840764</v>
      </c>
      <c r="BD244">
        <v>0.93830000000000002</v>
      </c>
      <c r="BE244" s="63">
        <v>70.436999999999998</v>
      </c>
      <c r="BF244">
        <v>8.9176000000000002</v>
      </c>
      <c r="BG244">
        <v>1</v>
      </c>
      <c r="BH244">
        <v>6023.7392733347688</v>
      </c>
      <c r="BI244">
        <v>1.098016605166052</v>
      </c>
      <c r="BJ244" s="63">
        <v>6614.1656999999996</v>
      </c>
      <c r="BK244" s="61">
        <v>88618.305117516284</v>
      </c>
    </row>
    <row r="245" spans="1:63" x14ac:dyDescent="0.25">
      <c r="A245">
        <v>721</v>
      </c>
      <c r="B245" t="s">
        <v>152</v>
      </c>
      <c r="C245">
        <v>2019</v>
      </c>
      <c r="D245">
        <v>5</v>
      </c>
      <c r="E245" t="s">
        <v>100</v>
      </c>
      <c r="F245" t="s">
        <v>426</v>
      </c>
      <c r="G245" t="s">
        <v>427</v>
      </c>
      <c r="H245" t="s">
        <v>84</v>
      </c>
      <c r="I245" t="s">
        <v>428</v>
      </c>
      <c r="J245" t="s">
        <v>381</v>
      </c>
      <c r="K245">
        <v>-1771.75606309</v>
      </c>
      <c r="L245" t="s">
        <v>381</v>
      </c>
      <c r="M245" t="s">
        <v>385</v>
      </c>
      <c r="N245">
        <v>0.54567226407076996</v>
      </c>
      <c r="O245">
        <v>966.79814232743433</v>
      </c>
      <c r="P245" t="s">
        <v>440</v>
      </c>
      <c r="Q245">
        <v>2</v>
      </c>
      <c r="R245">
        <v>28.410399999999999</v>
      </c>
      <c r="S245">
        <v>7.2999999999999995E-2</v>
      </c>
      <c r="T245">
        <v>2.0739592</v>
      </c>
      <c r="U245">
        <v>0.98099999999999998</v>
      </c>
      <c r="V245">
        <v>2034.5540000000001</v>
      </c>
      <c r="W245">
        <v>2</v>
      </c>
      <c r="X245">
        <v>3.5107731999999997E-5</v>
      </c>
      <c r="Y245">
        <v>0.14285700000000001</v>
      </c>
      <c r="Z245" s="61">
        <v>138.11388199999999</v>
      </c>
      <c r="AA245" t="s">
        <v>347</v>
      </c>
      <c r="AB245" t="s">
        <v>437</v>
      </c>
      <c r="AC245" t="s">
        <v>425</v>
      </c>
      <c r="AD245" t="s">
        <v>27</v>
      </c>
      <c r="AE245">
        <v>111.133</v>
      </c>
      <c r="AF245">
        <v>1.0541007448257309</v>
      </c>
      <c r="AG245">
        <v>117.145378074718</v>
      </c>
      <c r="AH245">
        <v>640.82000000000005</v>
      </c>
      <c r="AI245">
        <v>1</v>
      </c>
      <c r="AJ245">
        <v>75.069101177840764</v>
      </c>
      <c r="AK245">
        <v>0.95889999999999997</v>
      </c>
      <c r="AL245" s="63">
        <v>71.983999999999995</v>
      </c>
      <c r="AM245">
        <v>8.9176000000000002</v>
      </c>
      <c r="AN245">
        <v>9.4000488020579382</v>
      </c>
      <c r="AO245">
        <v>1</v>
      </c>
      <c r="AP245">
        <v>6023.7392733347688</v>
      </c>
      <c r="AQ245">
        <v>0.99097621000820357</v>
      </c>
      <c r="AR245">
        <v>5969.3823000000002</v>
      </c>
      <c r="AS245" s="61">
        <v>824454.56259508862</v>
      </c>
      <c r="AT245" t="s">
        <v>347</v>
      </c>
      <c r="AU245" t="s">
        <v>437</v>
      </c>
      <c r="AV245" t="s">
        <v>425</v>
      </c>
      <c r="AW245" t="s">
        <v>27</v>
      </c>
      <c r="AX245">
        <v>111.133</v>
      </c>
      <c r="AY245">
        <v>1.0541007448257309</v>
      </c>
      <c r="AZ245">
        <v>117.145378074718</v>
      </c>
      <c r="BA245">
        <v>640.82000000000005</v>
      </c>
      <c r="BB245">
        <v>1</v>
      </c>
      <c r="BC245">
        <v>75.069101177840764</v>
      </c>
      <c r="BD245">
        <v>0.95889999999999997</v>
      </c>
      <c r="BE245" s="63">
        <v>71.983999999999995</v>
      </c>
      <c r="BF245">
        <v>8.9176000000000002</v>
      </c>
      <c r="BG245">
        <v>1</v>
      </c>
      <c r="BH245">
        <v>6023.7392733347688</v>
      </c>
      <c r="BI245">
        <v>0.99097621000820357</v>
      </c>
      <c r="BJ245" s="63">
        <v>5969.3823000000002</v>
      </c>
      <c r="BK245" s="61">
        <v>824454.56259508862</v>
      </c>
    </row>
    <row r="246" spans="1:63" x14ac:dyDescent="0.25">
      <c r="A246">
        <v>721</v>
      </c>
      <c r="B246" t="s">
        <v>152</v>
      </c>
      <c r="C246">
        <v>2019</v>
      </c>
      <c r="D246">
        <v>5</v>
      </c>
      <c r="E246" t="s">
        <v>100</v>
      </c>
      <c r="F246" t="s">
        <v>426</v>
      </c>
      <c r="G246" t="s">
        <v>427</v>
      </c>
      <c r="H246" t="s">
        <v>84</v>
      </c>
      <c r="I246" t="s">
        <v>429</v>
      </c>
      <c r="J246" t="s">
        <v>87</v>
      </c>
      <c r="K246">
        <v>-324.73980827999998</v>
      </c>
      <c r="L246" t="s">
        <v>87</v>
      </c>
      <c r="M246" t="s">
        <v>385</v>
      </c>
      <c r="N246">
        <v>0.46576586246548002</v>
      </c>
      <c r="O246">
        <v>151.2527168804088</v>
      </c>
      <c r="P246" t="s">
        <v>440</v>
      </c>
      <c r="Q246">
        <v>2</v>
      </c>
      <c r="R246">
        <v>28.410399999999999</v>
      </c>
      <c r="S246">
        <v>7.2999999999999995E-2</v>
      </c>
      <c r="T246">
        <v>2.0739592</v>
      </c>
      <c r="U246">
        <v>0.98099999999999998</v>
      </c>
      <c r="V246">
        <v>2034.5540000000001</v>
      </c>
      <c r="W246">
        <v>2</v>
      </c>
      <c r="X246">
        <v>3.5107731999999997E-5</v>
      </c>
      <c r="Y246">
        <v>0.14285700000000001</v>
      </c>
      <c r="Z246" s="61">
        <v>21.607509</v>
      </c>
      <c r="AA246" t="s">
        <v>347</v>
      </c>
      <c r="AB246" t="s">
        <v>437</v>
      </c>
      <c r="AC246" t="s">
        <v>425</v>
      </c>
      <c r="AD246" t="s">
        <v>27</v>
      </c>
      <c r="AE246">
        <v>111.133</v>
      </c>
      <c r="AF246">
        <v>1.0541007448257309</v>
      </c>
      <c r="AG246">
        <v>117.145378074718</v>
      </c>
      <c r="AH246">
        <v>640.82000000000005</v>
      </c>
      <c r="AI246">
        <v>1</v>
      </c>
      <c r="AJ246">
        <v>75.069101177840764</v>
      </c>
      <c r="AK246">
        <v>0.95889999999999997</v>
      </c>
      <c r="AL246" s="63">
        <v>71.983999999999995</v>
      </c>
      <c r="AM246">
        <v>8.9176000000000002</v>
      </c>
      <c r="AN246">
        <v>9.4000488020579382</v>
      </c>
      <c r="AO246">
        <v>1</v>
      </c>
      <c r="AP246">
        <v>6023.7392733347688</v>
      </c>
      <c r="AQ246">
        <v>0.99097621000820357</v>
      </c>
      <c r="AR246">
        <v>5969.3823000000002</v>
      </c>
      <c r="AS246" s="61">
        <v>128983.4817716907</v>
      </c>
      <c r="AT246" t="s">
        <v>347</v>
      </c>
      <c r="AU246" t="s">
        <v>437</v>
      </c>
      <c r="AV246" t="s">
        <v>425</v>
      </c>
      <c r="AW246" t="s">
        <v>27</v>
      </c>
      <c r="AX246">
        <v>111.133</v>
      </c>
      <c r="AY246">
        <v>1.0541007448257309</v>
      </c>
      <c r="AZ246">
        <v>117.145378074718</v>
      </c>
      <c r="BA246">
        <v>640.82000000000005</v>
      </c>
      <c r="BB246">
        <v>1</v>
      </c>
      <c r="BC246">
        <v>75.069101177840764</v>
      </c>
      <c r="BD246">
        <v>0.95889999999999997</v>
      </c>
      <c r="BE246" s="63">
        <v>71.983999999999995</v>
      </c>
      <c r="BF246">
        <v>8.9176000000000002</v>
      </c>
      <c r="BG246">
        <v>1</v>
      </c>
      <c r="BH246">
        <v>6023.7392733347688</v>
      </c>
      <c r="BI246">
        <v>0.99097621000820357</v>
      </c>
      <c r="BJ246" s="63">
        <v>5969.3823000000002</v>
      </c>
      <c r="BK246" s="61">
        <v>128983.4817716907</v>
      </c>
    </row>
    <row r="247" spans="1:63" x14ac:dyDescent="0.25">
      <c r="A247">
        <v>721</v>
      </c>
      <c r="B247" t="s">
        <v>152</v>
      </c>
      <c r="C247">
        <v>2019</v>
      </c>
      <c r="D247">
        <v>5</v>
      </c>
      <c r="E247" t="s">
        <v>100</v>
      </c>
      <c r="F247" t="s">
        <v>426</v>
      </c>
      <c r="G247" t="s">
        <v>427</v>
      </c>
      <c r="H247" t="s">
        <v>84</v>
      </c>
      <c r="I247" t="s">
        <v>430</v>
      </c>
      <c r="J247" t="s">
        <v>59</v>
      </c>
      <c r="K247">
        <v>-940.48549705000005</v>
      </c>
      <c r="L247" t="s">
        <v>59</v>
      </c>
      <c r="M247" t="s">
        <v>385</v>
      </c>
      <c r="N247">
        <v>0.54314598236022005</v>
      </c>
      <c r="O247">
        <v>510.82091919076203</v>
      </c>
      <c r="P247" t="s">
        <v>440</v>
      </c>
      <c r="Q247">
        <v>2</v>
      </c>
      <c r="R247">
        <v>28.410399999999999</v>
      </c>
      <c r="S247">
        <v>7.2999999999999995E-2</v>
      </c>
      <c r="T247">
        <v>2.0739592</v>
      </c>
      <c r="U247">
        <v>0.98099999999999998</v>
      </c>
      <c r="V247">
        <v>2034.5540000000001</v>
      </c>
      <c r="W247">
        <v>2</v>
      </c>
      <c r="X247">
        <v>3.5107731999999997E-5</v>
      </c>
      <c r="Y247">
        <v>0.14285700000000001</v>
      </c>
      <c r="Z247" s="61">
        <v>72.974344000000002</v>
      </c>
      <c r="AA247" t="s">
        <v>347</v>
      </c>
      <c r="AB247" t="s">
        <v>437</v>
      </c>
      <c r="AC247" t="s">
        <v>425</v>
      </c>
      <c r="AD247" t="s">
        <v>27</v>
      </c>
      <c r="AE247">
        <v>111.133</v>
      </c>
      <c r="AF247">
        <v>1.0541007448257309</v>
      </c>
      <c r="AG247">
        <v>117.145378074718</v>
      </c>
      <c r="AH247">
        <v>640.82000000000005</v>
      </c>
      <c r="AI247">
        <v>1</v>
      </c>
      <c r="AJ247">
        <v>75.069101177840764</v>
      </c>
      <c r="AK247">
        <v>0.95889999999999997</v>
      </c>
      <c r="AL247" s="63">
        <v>71.983999999999995</v>
      </c>
      <c r="AM247">
        <v>8.9176000000000002</v>
      </c>
      <c r="AN247">
        <v>9.4000488020579382</v>
      </c>
      <c r="AO247">
        <v>1</v>
      </c>
      <c r="AP247">
        <v>6023.7392733347688</v>
      </c>
      <c r="AQ247">
        <v>0.99097621000820357</v>
      </c>
      <c r="AR247">
        <v>5969.3823000000002</v>
      </c>
      <c r="AS247" s="61">
        <v>435611.75742771121</v>
      </c>
      <c r="AT247" t="s">
        <v>347</v>
      </c>
      <c r="AU247" t="s">
        <v>437</v>
      </c>
      <c r="AV247" t="s">
        <v>425</v>
      </c>
      <c r="AW247" t="s">
        <v>27</v>
      </c>
      <c r="AX247">
        <v>111.133</v>
      </c>
      <c r="AY247">
        <v>1.0541007448257309</v>
      </c>
      <c r="AZ247">
        <v>117.145378074718</v>
      </c>
      <c r="BA247">
        <v>640.82000000000005</v>
      </c>
      <c r="BB247">
        <v>1</v>
      </c>
      <c r="BC247">
        <v>75.069101177840764</v>
      </c>
      <c r="BD247">
        <v>0.95889999999999997</v>
      </c>
      <c r="BE247" s="63">
        <v>71.983999999999995</v>
      </c>
      <c r="BF247">
        <v>8.9176000000000002</v>
      </c>
      <c r="BG247">
        <v>1</v>
      </c>
      <c r="BH247">
        <v>6023.7392733347688</v>
      </c>
      <c r="BI247">
        <v>0.99097621000820357</v>
      </c>
      <c r="BJ247" s="63">
        <v>5969.3823000000002</v>
      </c>
      <c r="BK247" s="61">
        <v>435611.75742771121</v>
      </c>
    </row>
    <row r="248" spans="1:63" x14ac:dyDescent="0.25">
      <c r="A248">
        <v>745</v>
      </c>
      <c r="B248" t="s">
        <v>153</v>
      </c>
      <c r="C248">
        <v>2019</v>
      </c>
      <c r="D248">
        <v>6</v>
      </c>
      <c r="E248" t="s">
        <v>100</v>
      </c>
      <c r="F248" t="s">
        <v>426</v>
      </c>
      <c r="G248" t="s">
        <v>427</v>
      </c>
      <c r="H248" t="s">
        <v>84</v>
      </c>
      <c r="I248" t="s">
        <v>428</v>
      </c>
      <c r="J248" t="s">
        <v>381</v>
      </c>
      <c r="K248">
        <v>-1769.62136893</v>
      </c>
      <c r="L248" t="s">
        <v>381</v>
      </c>
      <c r="M248" t="s">
        <v>384</v>
      </c>
      <c r="N248">
        <v>0.11701058843182</v>
      </c>
      <c r="O248">
        <v>207.06443768002211</v>
      </c>
      <c r="P248" t="s">
        <v>440</v>
      </c>
      <c r="Q248">
        <v>2</v>
      </c>
      <c r="R248">
        <v>28.410399999999999</v>
      </c>
      <c r="S248">
        <v>7.0000000000000007E-2</v>
      </c>
      <c r="T248">
        <v>1.9887280000000001</v>
      </c>
      <c r="U248">
        <v>1.9E-2</v>
      </c>
      <c r="V248">
        <v>37.786000000000001</v>
      </c>
      <c r="W248">
        <v>2</v>
      </c>
      <c r="X248">
        <v>1.890352021E-3</v>
      </c>
      <c r="Y248">
        <v>0.14285800000000001</v>
      </c>
      <c r="Z248" s="61">
        <v>29.580811000000001</v>
      </c>
      <c r="AA248" t="s">
        <v>347</v>
      </c>
      <c r="AB248" t="s">
        <v>437</v>
      </c>
      <c r="AC248" t="s">
        <v>425</v>
      </c>
      <c r="AD248" t="s">
        <v>81</v>
      </c>
      <c r="AE248">
        <v>111.133</v>
      </c>
      <c r="AF248">
        <v>1.0541007448257309</v>
      </c>
      <c r="AG248">
        <v>117.145378074718</v>
      </c>
      <c r="AH248">
        <v>640.82000000000005</v>
      </c>
      <c r="AI248">
        <v>1</v>
      </c>
      <c r="AJ248">
        <v>75.069101177840764</v>
      </c>
      <c r="AK248">
        <v>0.93830000000000002</v>
      </c>
      <c r="AL248" s="63">
        <v>70.436999999999998</v>
      </c>
      <c r="AM248">
        <v>8.9176000000000002</v>
      </c>
      <c r="AN248">
        <v>9.4000488020579382</v>
      </c>
      <c r="AO248">
        <v>1</v>
      </c>
      <c r="AP248">
        <v>6023.7392733347688</v>
      </c>
      <c r="AQ248">
        <v>1.098016605166052</v>
      </c>
      <c r="AR248">
        <v>6614.1656999999996</v>
      </c>
      <c r="AS248" s="61">
        <v>195652.3854943827</v>
      </c>
      <c r="AT248" t="s">
        <v>347</v>
      </c>
      <c r="AU248" t="s">
        <v>437</v>
      </c>
      <c r="AV248" t="s">
        <v>425</v>
      </c>
      <c r="AW248" t="s">
        <v>81</v>
      </c>
      <c r="AX248">
        <v>111.133</v>
      </c>
      <c r="AY248">
        <v>1.0541007448257309</v>
      </c>
      <c r="AZ248">
        <v>117.145378074718</v>
      </c>
      <c r="BA248">
        <v>640.82000000000005</v>
      </c>
      <c r="BB248">
        <v>1</v>
      </c>
      <c r="BC248">
        <v>75.069101177840764</v>
      </c>
      <c r="BD248">
        <v>0.93830000000000002</v>
      </c>
      <c r="BE248" s="63">
        <v>70.436999999999998</v>
      </c>
      <c r="BF248">
        <v>8.9176000000000002</v>
      </c>
      <c r="BG248">
        <v>1</v>
      </c>
      <c r="BH248">
        <v>6023.7392733347688</v>
      </c>
      <c r="BI248">
        <v>1.098016605166052</v>
      </c>
      <c r="BJ248" s="63">
        <v>6614.1656999999996</v>
      </c>
      <c r="BK248" s="61">
        <v>195652.3854943827</v>
      </c>
    </row>
    <row r="249" spans="1:63" x14ac:dyDescent="0.25">
      <c r="A249">
        <v>745</v>
      </c>
      <c r="B249" t="s">
        <v>153</v>
      </c>
      <c r="C249">
        <v>2019</v>
      </c>
      <c r="D249">
        <v>6</v>
      </c>
      <c r="E249" t="s">
        <v>100</v>
      </c>
      <c r="F249" t="s">
        <v>426</v>
      </c>
      <c r="G249" t="s">
        <v>427</v>
      </c>
      <c r="H249" t="s">
        <v>84</v>
      </c>
      <c r="I249" t="s">
        <v>429</v>
      </c>
      <c r="J249" t="s">
        <v>87</v>
      </c>
      <c r="K249">
        <v>-317.62866365000002</v>
      </c>
      <c r="L249" t="s">
        <v>87</v>
      </c>
      <c r="M249" t="s">
        <v>384</v>
      </c>
      <c r="N249">
        <v>9.7514538343120002E-2</v>
      </c>
      <c r="O249">
        <v>30.973412500371889</v>
      </c>
      <c r="P249" t="s">
        <v>440</v>
      </c>
      <c r="Q249">
        <v>2</v>
      </c>
      <c r="R249">
        <v>28.410399999999999</v>
      </c>
      <c r="S249">
        <v>7.0000000000000007E-2</v>
      </c>
      <c r="T249">
        <v>1.9887280000000001</v>
      </c>
      <c r="U249">
        <v>1.9E-2</v>
      </c>
      <c r="V249">
        <v>37.786000000000001</v>
      </c>
      <c r="W249">
        <v>2</v>
      </c>
      <c r="X249">
        <v>1.890352021E-3</v>
      </c>
      <c r="Y249">
        <v>0.14285800000000001</v>
      </c>
      <c r="Z249" s="61">
        <v>4.4248000000000003</v>
      </c>
      <c r="AA249" t="s">
        <v>347</v>
      </c>
      <c r="AB249" t="s">
        <v>437</v>
      </c>
      <c r="AC249" t="s">
        <v>425</v>
      </c>
      <c r="AD249" t="s">
        <v>81</v>
      </c>
      <c r="AE249">
        <v>111.133</v>
      </c>
      <c r="AF249">
        <v>1.0541007448257309</v>
      </c>
      <c r="AG249">
        <v>117.145378074718</v>
      </c>
      <c r="AH249">
        <v>640.82000000000005</v>
      </c>
      <c r="AI249">
        <v>1</v>
      </c>
      <c r="AJ249">
        <v>75.069101177840764</v>
      </c>
      <c r="AK249">
        <v>0.93830000000000002</v>
      </c>
      <c r="AL249" s="63">
        <v>70.436999999999998</v>
      </c>
      <c r="AM249">
        <v>8.9176000000000002</v>
      </c>
      <c r="AN249">
        <v>9.4000488020579382</v>
      </c>
      <c r="AO249">
        <v>1</v>
      </c>
      <c r="AP249">
        <v>6023.7392733347688</v>
      </c>
      <c r="AQ249">
        <v>1.098016605166052</v>
      </c>
      <c r="AR249">
        <v>6614.1656999999996</v>
      </c>
      <c r="AS249" s="61">
        <v>29266.360389360001</v>
      </c>
      <c r="AT249" t="s">
        <v>347</v>
      </c>
      <c r="AU249" t="s">
        <v>437</v>
      </c>
      <c r="AV249" t="s">
        <v>425</v>
      </c>
      <c r="AW249" t="s">
        <v>81</v>
      </c>
      <c r="AX249">
        <v>111.133</v>
      </c>
      <c r="AY249">
        <v>1.0541007448257309</v>
      </c>
      <c r="AZ249">
        <v>117.145378074718</v>
      </c>
      <c r="BA249">
        <v>640.82000000000005</v>
      </c>
      <c r="BB249">
        <v>1</v>
      </c>
      <c r="BC249">
        <v>75.069101177840764</v>
      </c>
      <c r="BD249">
        <v>0.93830000000000002</v>
      </c>
      <c r="BE249" s="63">
        <v>70.436999999999998</v>
      </c>
      <c r="BF249">
        <v>8.9176000000000002</v>
      </c>
      <c r="BG249">
        <v>1</v>
      </c>
      <c r="BH249">
        <v>6023.7392733347688</v>
      </c>
      <c r="BI249">
        <v>1.098016605166052</v>
      </c>
      <c r="BJ249" s="63">
        <v>6614.1656999999996</v>
      </c>
      <c r="BK249" s="61">
        <v>29266.360389360001</v>
      </c>
    </row>
    <row r="250" spans="1:63" x14ac:dyDescent="0.25">
      <c r="A250">
        <v>745</v>
      </c>
      <c r="B250" t="s">
        <v>153</v>
      </c>
      <c r="C250">
        <v>2019</v>
      </c>
      <c r="D250">
        <v>6</v>
      </c>
      <c r="E250" t="s">
        <v>100</v>
      </c>
      <c r="F250" t="s">
        <v>426</v>
      </c>
      <c r="G250" t="s">
        <v>427</v>
      </c>
      <c r="H250" t="s">
        <v>84</v>
      </c>
      <c r="I250" t="s">
        <v>430</v>
      </c>
      <c r="J250" t="s">
        <v>59</v>
      </c>
      <c r="K250">
        <v>-892.01417231000005</v>
      </c>
      <c r="L250" t="s">
        <v>59</v>
      </c>
      <c r="M250" t="s">
        <v>384</v>
      </c>
      <c r="N250">
        <v>9.972356046519E-2</v>
      </c>
      <c r="O250">
        <v>88.954829248162696</v>
      </c>
      <c r="P250" t="s">
        <v>440</v>
      </c>
      <c r="Q250">
        <v>2</v>
      </c>
      <c r="R250">
        <v>28.410399999999999</v>
      </c>
      <c r="S250">
        <v>7.0000000000000007E-2</v>
      </c>
      <c r="T250">
        <v>1.9887280000000001</v>
      </c>
      <c r="U250">
        <v>1.9E-2</v>
      </c>
      <c r="V250">
        <v>37.786000000000001</v>
      </c>
      <c r="W250">
        <v>2</v>
      </c>
      <c r="X250">
        <v>1.890352021E-3</v>
      </c>
      <c r="Y250">
        <v>0.14285800000000001</v>
      </c>
      <c r="Z250" s="61">
        <v>12.707909000000001</v>
      </c>
      <c r="AA250" t="s">
        <v>347</v>
      </c>
      <c r="AB250" t="s">
        <v>437</v>
      </c>
      <c r="AC250" t="s">
        <v>425</v>
      </c>
      <c r="AD250" t="s">
        <v>81</v>
      </c>
      <c r="AE250">
        <v>111.133</v>
      </c>
      <c r="AF250">
        <v>1.0541007448257309</v>
      </c>
      <c r="AG250">
        <v>117.145378074718</v>
      </c>
      <c r="AH250">
        <v>640.82000000000005</v>
      </c>
      <c r="AI250">
        <v>1</v>
      </c>
      <c r="AJ250">
        <v>75.069101177840764</v>
      </c>
      <c r="AK250">
        <v>0.93830000000000002</v>
      </c>
      <c r="AL250" s="63">
        <v>70.436999999999998</v>
      </c>
      <c r="AM250">
        <v>8.9176000000000002</v>
      </c>
      <c r="AN250">
        <v>9.4000488020579382</v>
      </c>
      <c r="AO250">
        <v>1</v>
      </c>
      <c r="AP250">
        <v>6023.7392733347688</v>
      </c>
      <c r="AQ250">
        <v>1.098016605166052</v>
      </c>
      <c r="AR250">
        <v>6614.1656999999996</v>
      </c>
      <c r="AS250" s="61">
        <v>84052.215826521293</v>
      </c>
      <c r="AT250" t="s">
        <v>347</v>
      </c>
      <c r="AU250" t="s">
        <v>437</v>
      </c>
      <c r="AV250" t="s">
        <v>425</v>
      </c>
      <c r="AW250" t="s">
        <v>81</v>
      </c>
      <c r="AX250">
        <v>111.133</v>
      </c>
      <c r="AY250">
        <v>1.0541007448257309</v>
      </c>
      <c r="AZ250">
        <v>117.145378074718</v>
      </c>
      <c r="BA250">
        <v>640.82000000000005</v>
      </c>
      <c r="BB250">
        <v>1</v>
      </c>
      <c r="BC250">
        <v>75.069101177840764</v>
      </c>
      <c r="BD250">
        <v>0.93830000000000002</v>
      </c>
      <c r="BE250" s="63">
        <v>70.436999999999998</v>
      </c>
      <c r="BF250">
        <v>8.9176000000000002</v>
      </c>
      <c r="BG250">
        <v>1</v>
      </c>
      <c r="BH250">
        <v>6023.7392733347688</v>
      </c>
      <c r="BI250">
        <v>1.098016605166052</v>
      </c>
      <c r="BJ250" s="63">
        <v>6614.1656999999996</v>
      </c>
      <c r="BK250" s="61">
        <v>84052.215826521293</v>
      </c>
    </row>
    <row r="251" spans="1:63" x14ac:dyDescent="0.25">
      <c r="A251">
        <v>747</v>
      </c>
      <c r="B251" t="s">
        <v>153</v>
      </c>
      <c r="C251">
        <v>2019</v>
      </c>
      <c r="D251">
        <v>6</v>
      </c>
      <c r="E251" t="s">
        <v>100</v>
      </c>
      <c r="F251" t="s">
        <v>426</v>
      </c>
      <c r="G251" t="s">
        <v>427</v>
      </c>
      <c r="H251" t="s">
        <v>84</v>
      </c>
      <c r="I251" t="s">
        <v>428</v>
      </c>
      <c r="J251" t="s">
        <v>381</v>
      </c>
      <c r="K251">
        <v>-1769.62136893</v>
      </c>
      <c r="L251" t="s">
        <v>381</v>
      </c>
      <c r="M251" t="s">
        <v>385</v>
      </c>
      <c r="N251">
        <v>0.54567226407052005</v>
      </c>
      <c r="O251">
        <v>965.63329893160608</v>
      </c>
      <c r="P251" t="s">
        <v>440</v>
      </c>
      <c r="Q251">
        <v>2</v>
      </c>
      <c r="R251">
        <v>28.410399999999999</v>
      </c>
      <c r="S251">
        <v>7.0000000000000007E-2</v>
      </c>
      <c r="T251">
        <v>1.9887280000000001</v>
      </c>
      <c r="U251">
        <v>0.98099999999999998</v>
      </c>
      <c r="V251">
        <v>1950.942</v>
      </c>
      <c r="W251">
        <v>2</v>
      </c>
      <c r="X251">
        <v>3.6612349999999999E-5</v>
      </c>
      <c r="Y251">
        <v>0.14285700000000001</v>
      </c>
      <c r="Z251" s="61">
        <v>137.94747599999999</v>
      </c>
      <c r="AA251" t="s">
        <v>347</v>
      </c>
      <c r="AB251" t="s">
        <v>437</v>
      </c>
      <c r="AC251" t="s">
        <v>425</v>
      </c>
      <c r="AD251" t="s">
        <v>27</v>
      </c>
      <c r="AE251">
        <v>111.133</v>
      </c>
      <c r="AF251">
        <v>1.0541007448257309</v>
      </c>
      <c r="AG251">
        <v>117.145378074718</v>
      </c>
      <c r="AH251">
        <v>640.82000000000005</v>
      </c>
      <c r="AI251">
        <v>1</v>
      </c>
      <c r="AJ251">
        <v>75.069101177840764</v>
      </c>
      <c r="AK251">
        <v>0.95889999999999997</v>
      </c>
      <c r="AL251" s="63">
        <v>71.983999999999995</v>
      </c>
      <c r="AM251">
        <v>8.9176000000000002</v>
      </c>
      <c r="AN251">
        <v>9.4000488020579382</v>
      </c>
      <c r="AO251">
        <v>1</v>
      </c>
      <c r="AP251">
        <v>6023.7392733347688</v>
      </c>
      <c r="AQ251">
        <v>0.99097621000820357</v>
      </c>
      <c r="AR251">
        <v>5969.3823000000002</v>
      </c>
      <c r="AS251" s="61">
        <v>823461.22156407475</v>
      </c>
      <c r="AT251" t="s">
        <v>347</v>
      </c>
      <c r="AU251" t="s">
        <v>437</v>
      </c>
      <c r="AV251" t="s">
        <v>425</v>
      </c>
      <c r="AW251" t="s">
        <v>27</v>
      </c>
      <c r="AX251">
        <v>111.133</v>
      </c>
      <c r="AY251">
        <v>1.0541007448257309</v>
      </c>
      <c r="AZ251">
        <v>117.145378074718</v>
      </c>
      <c r="BA251">
        <v>640.82000000000005</v>
      </c>
      <c r="BB251">
        <v>1</v>
      </c>
      <c r="BC251">
        <v>75.069101177840764</v>
      </c>
      <c r="BD251">
        <v>0.95889999999999997</v>
      </c>
      <c r="BE251" s="63">
        <v>71.983999999999995</v>
      </c>
      <c r="BF251">
        <v>8.9176000000000002</v>
      </c>
      <c r="BG251">
        <v>1</v>
      </c>
      <c r="BH251">
        <v>6023.7392733347688</v>
      </c>
      <c r="BI251">
        <v>0.99097621000820357</v>
      </c>
      <c r="BJ251" s="63">
        <v>5969.3823000000002</v>
      </c>
      <c r="BK251" s="61">
        <v>823461.22156407475</v>
      </c>
    </row>
    <row r="252" spans="1:63" x14ac:dyDescent="0.25">
      <c r="A252">
        <v>747</v>
      </c>
      <c r="B252" t="s">
        <v>153</v>
      </c>
      <c r="C252">
        <v>2019</v>
      </c>
      <c r="D252">
        <v>6</v>
      </c>
      <c r="E252" t="s">
        <v>100</v>
      </c>
      <c r="F252" t="s">
        <v>426</v>
      </c>
      <c r="G252" t="s">
        <v>427</v>
      </c>
      <c r="H252" t="s">
        <v>84</v>
      </c>
      <c r="I252" t="s">
        <v>429</v>
      </c>
      <c r="J252" t="s">
        <v>87</v>
      </c>
      <c r="K252">
        <v>-317.62866365000002</v>
      </c>
      <c r="L252" t="s">
        <v>87</v>
      </c>
      <c r="M252" t="s">
        <v>385</v>
      </c>
      <c r="N252">
        <v>0.46576586246503998</v>
      </c>
      <c r="O252">
        <v>147.94058846856029</v>
      </c>
      <c r="P252" t="s">
        <v>440</v>
      </c>
      <c r="Q252">
        <v>2</v>
      </c>
      <c r="R252">
        <v>28.410399999999999</v>
      </c>
      <c r="S252">
        <v>7.0000000000000007E-2</v>
      </c>
      <c r="T252">
        <v>1.9887280000000001</v>
      </c>
      <c r="U252">
        <v>0.98099999999999998</v>
      </c>
      <c r="V252">
        <v>1950.942</v>
      </c>
      <c r="W252">
        <v>2</v>
      </c>
      <c r="X252">
        <v>3.6612349999999999E-5</v>
      </c>
      <c r="Y252">
        <v>0.14285700000000001</v>
      </c>
      <c r="Z252" s="61">
        <v>21.134349</v>
      </c>
      <c r="AA252" t="s">
        <v>347</v>
      </c>
      <c r="AB252" t="s">
        <v>437</v>
      </c>
      <c r="AC252" t="s">
        <v>425</v>
      </c>
      <c r="AD252" t="s">
        <v>27</v>
      </c>
      <c r="AE252">
        <v>111.133</v>
      </c>
      <c r="AF252">
        <v>1.0541007448257309</v>
      </c>
      <c r="AG252">
        <v>117.145378074718</v>
      </c>
      <c r="AH252">
        <v>640.82000000000005</v>
      </c>
      <c r="AI252">
        <v>1</v>
      </c>
      <c r="AJ252">
        <v>75.069101177840764</v>
      </c>
      <c r="AK252">
        <v>0.95889999999999997</v>
      </c>
      <c r="AL252" s="63">
        <v>71.983999999999995</v>
      </c>
      <c r="AM252">
        <v>8.9176000000000002</v>
      </c>
      <c r="AN252">
        <v>9.4000488020579382</v>
      </c>
      <c r="AO252">
        <v>1</v>
      </c>
      <c r="AP252">
        <v>6023.7392733347688</v>
      </c>
      <c r="AQ252">
        <v>0.99097621000820357</v>
      </c>
      <c r="AR252">
        <v>5969.3823000000002</v>
      </c>
      <c r="AS252" s="61">
        <v>126159.0088426227</v>
      </c>
      <c r="AT252" t="s">
        <v>347</v>
      </c>
      <c r="AU252" t="s">
        <v>437</v>
      </c>
      <c r="AV252" t="s">
        <v>425</v>
      </c>
      <c r="AW252" t="s">
        <v>27</v>
      </c>
      <c r="AX252">
        <v>111.133</v>
      </c>
      <c r="AY252">
        <v>1.0541007448257309</v>
      </c>
      <c r="AZ252">
        <v>117.145378074718</v>
      </c>
      <c r="BA252">
        <v>640.82000000000005</v>
      </c>
      <c r="BB252">
        <v>1</v>
      </c>
      <c r="BC252">
        <v>75.069101177840764</v>
      </c>
      <c r="BD252">
        <v>0.95889999999999997</v>
      </c>
      <c r="BE252" s="63">
        <v>71.983999999999995</v>
      </c>
      <c r="BF252">
        <v>8.9176000000000002</v>
      </c>
      <c r="BG252">
        <v>1</v>
      </c>
      <c r="BH252">
        <v>6023.7392733347688</v>
      </c>
      <c r="BI252">
        <v>0.99097621000820357</v>
      </c>
      <c r="BJ252" s="63">
        <v>5969.3823000000002</v>
      </c>
      <c r="BK252" s="61">
        <v>126159.0088426227</v>
      </c>
    </row>
    <row r="253" spans="1:63" x14ac:dyDescent="0.25">
      <c r="A253">
        <v>747</v>
      </c>
      <c r="B253" t="s">
        <v>153</v>
      </c>
      <c r="C253">
        <v>2019</v>
      </c>
      <c r="D253">
        <v>6</v>
      </c>
      <c r="E253" t="s">
        <v>100</v>
      </c>
      <c r="F253" t="s">
        <v>426</v>
      </c>
      <c r="G253" t="s">
        <v>427</v>
      </c>
      <c r="H253" t="s">
        <v>84</v>
      </c>
      <c r="I253" t="s">
        <v>430</v>
      </c>
      <c r="J253" t="s">
        <v>59</v>
      </c>
      <c r="K253">
        <v>-892.01417231000005</v>
      </c>
      <c r="L253" t="s">
        <v>59</v>
      </c>
      <c r="M253" t="s">
        <v>385</v>
      </c>
      <c r="N253">
        <v>0.54314598235913003</v>
      </c>
      <c r="O253">
        <v>484.49391389758131</v>
      </c>
      <c r="P253" t="s">
        <v>440</v>
      </c>
      <c r="Q253">
        <v>2</v>
      </c>
      <c r="R253">
        <v>28.410399999999999</v>
      </c>
      <c r="S253">
        <v>7.0000000000000007E-2</v>
      </c>
      <c r="T253">
        <v>1.9887280000000001</v>
      </c>
      <c r="U253">
        <v>0.98099999999999998</v>
      </c>
      <c r="V253">
        <v>1950.942</v>
      </c>
      <c r="W253">
        <v>2</v>
      </c>
      <c r="X253">
        <v>3.6612349999999999E-5</v>
      </c>
      <c r="Y253">
        <v>0.14285700000000001</v>
      </c>
      <c r="Z253" s="61">
        <v>69.213346999999999</v>
      </c>
      <c r="AA253" t="s">
        <v>347</v>
      </c>
      <c r="AB253" t="s">
        <v>437</v>
      </c>
      <c r="AC253" t="s">
        <v>425</v>
      </c>
      <c r="AD253" t="s">
        <v>27</v>
      </c>
      <c r="AE253">
        <v>111.133</v>
      </c>
      <c r="AF253">
        <v>1.0541007448257309</v>
      </c>
      <c r="AG253">
        <v>117.145378074718</v>
      </c>
      <c r="AH253">
        <v>640.82000000000005</v>
      </c>
      <c r="AI253">
        <v>1</v>
      </c>
      <c r="AJ253">
        <v>75.069101177840764</v>
      </c>
      <c r="AK253">
        <v>0.95889999999999997</v>
      </c>
      <c r="AL253" s="63">
        <v>71.983999999999995</v>
      </c>
      <c r="AM253">
        <v>8.9176000000000002</v>
      </c>
      <c r="AN253">
        <v>9.4000488020579382</v>
      </c>
      <c r="AO253">
        <v>1</v>
      </c>
      <c r="AP253">
        <v>6023.7392733347688</v>
      </c>
      <c r="AQ253">
        <v>0.99097621000820357</v>
      </c>
      <c r="AR253">
        <v>5969.3823000000002</v>
      </c>
      <c r="AS253" s="61">
        <v>413160.92850555811</v>
      </c>
      <c r="AT253" t="s">
        <v>347</v>
      </c>
      <c r="AU253" t="s">
        <v>437</v>
      </c>
      <c r="AV253" t="s">
        <v>425</v>
      </c>
      <c r="AW253" t="s">
        <v>27</v>
      </c>
      <c r="AX253">
        <v>111.133</v>
      </c>
      <c r="AY253">
        <v>1.0541007448257309</v>
      </c>
      <c r="AZ253">
        <v>117.145378074718</v>
      </c>
      <c r="BA253">
        <v>640.82000000000005</v>
      </c>
      <c r="BB253">
        <v>1</v>
      </c>
      <c r="BC253">
        <v>75.069101177840764</v>
      </c>
      <c r="BD253">
        <v>0.95889999999999997</v>
      </c>
      <c r="BE253" s="63">
        <v>71.983999999999995</v>
      </c>
      <c r="BF253">
        <v>8.9176000000000002</v>
      </c>
      <c r="BG253">
        <v>1</v>
      </c>
      <c r="BH253">
        <v>6023.7392733347688</v>
      </c>
      <c r="BI253">
        <v>0.99097621000820357</v>
      </c>
      <c r="BJ253" s="63">
        <v>5969.3823000000002</v>
      </c>
      <c r="BK253" s="61">
        <v>413160.92850555811</v>
      </c>
    </row>
    <row r="254" spans="1:63" x14ac:dyDescent="0.25">
      <c r="A254">
        <v>765</v>
      </c>
      <c r="B254" t="s">
        <v>146</v>
      </c>
      <c r="C254">
        <v>2019</v>
      </c>
      <c r="D254">
        <v>7</v>
      </c>
      <c r="E254" t="s">
        <v>100</v>
      </c>
      <c r="F254" t="s">
        <v>426</v>
      </c>
      <c r="G254" t="s">
        <v>427</v>
      </c>
      <c r="H254" t="s">
        <v>84</v>
      </c>
      <c r="I254" t="s">
        <v>428</v>
      </c>
      <c r="J254" t="s">
        <v>381</v>
      </c>
      <c r="K254">
        <v>-1893.91390331</v>
      </c>
      <c r="L254" t="s">
        <v>381</v>
      </c>
      <c r="M254" t="s">
        <v>384</v>
      </c>
      <c r="N254">
        <v>0.11701058843226</v>
      </c>
      <c r="O254">
        <v>221.60798026634151</v>
      </c>
      <c r="P254" t="s">
        <v>440</v>
      </c>
      <c r="Q254">
        <v>2</v>
      </c>
      <c r="R254">
        <v>28.410399999999999</v>
      </c>
      <c r="S254">
        <v>7.4999999999999997E-2</v>
      </c>
      <c r="T254">
        <v>2.1307800000000001</v>
      </c>
      <c r="U254">
        <v>1.9E-2</v>
      </c>
      <c r="V254">
        <v>40.484999999999999</v>
      </c>
      <c r="W254">
        <v>2</v>
      </c>
      <c r="X254">
        <v>1.7643281089999999E-3</v>
      </c>
      <c r="Y254">
        <v>0.14285800000000001</v>
      </c>
      <c r="Z254" s="61">
        <v>31.658473000000001</v>
      </c>
      <c r="AA254" t="s">
        <v>347</v>
      </c>
      <c r="AB254" t="s">
        <v>437</v>
      </c>
      <c r="AC254" t="s">
        <v>425</v>
      </c>
      <c r="AD254" t="s">
        <v>81</v>
      </c>
      <c r="AE254">
        <v>111.133</v>
      </c>
      <c r="AF254">
        <v>1.0541007448257309</v>
      </c>
      <c r="AG254">
        <v>117.145378074718</v>
      </c>
      <c r="AH254">
        <v>640.82000000000005</v>
      </c>
      <c r="AI254">
        <v>1</v>
      </c>
      <c r="AJ254">
        <v>75.069101177840764</v>
      </c>
      <c r="AK254">
        <v>0.93830000000000002</v>
      </c>
      <c r="AL254" s="63">
        <v>70.436999999999998</v>
      </c>
      <c r="AM254">
        <v>8.9176000000000002</v>
      </c>
      <c r="AN254">
        <v>9.4000488020579382</v>
      </c>
      <c r="AO254">
        <v>1</v>
      </c>
      <c r="AP254">
        <v>6023.7392733347688</v>
      </c>
      <c r="AQ254">
        <v>1.098016605166052</v>
      </c>
      <c r="AR254">
        <v>6614.1656999999996</v>
      </c>
      <c r="AS254" s="61">
        <v>209394.38623097609</v>
      </c>
      <c r="AT254" t="s">
        <v>347</v>
      </c>
      <c r="AU254" t="s">
        <v>437</v>
      </c>
      <c r="AV254" t="s">
        <v>425</v>
      </c>
      <c r="AW254" t="s">
        <v>81</v>
      </c>
      <c r="AX254">
        <v>111.133</v>
      </c>
      <c r="AY254">
        <v>1.0541007448257309</v>
      </c>
      <c r="AZ254">
        <v>117.145378074718</v>
      </c>
      <c r="BA254">
        <v>640.82000000000005</v>
      </c>
      <c r="BB254">
        <v>1</v>
      </c>
      <c r="BC254">
        <v>75.069101177840764</v>
      </c>
      <c r="BD254">
        <v>0.93830000000000002</v>
      </c>
      <c r="BE254" s="63">
        <v>70.436999999999998</v>
      </c>
      <c r="BF254">
        <v>8.9176000000000002</v>
      </c>
      <c r="BG254">
        <v>1</v>
      </c>
      <c r="BH254">
        <v>6023.7392733347688</v>
      </c>
      <c r="BI254">
        <v>1.098016605166052</v>
      </c>
      <c r="BJ254" s="63">
        <v>6614.1656999999996</v>
      </c>
      <c r="BK254" s="61">
        <v>209394.38623097609</v>
      </c>
    </row>
    <row r="255" spans="1:63" x14ac:dyDescent="0.25">
      <c r="A255">
        <v>765</v>
      </c>
      <c r="B255" t="s">
        <v>146</v>
      </c>
      <c r="C255">
        <v>2019</v>
      </c>
      <c r="D255">
        <v>7</v>
      </c>
      <c r="E255" t="s">
        <v>100</v>
      </c>
      <c r="F255" t="s">
        <v>426</v>
      </c>
      <c r="G255" t="s">
        <v>427</v>
      </c>
      <c r="H255" t="s">
        <v>84</v>
      </c>
      <c r="I255" t="s">
        <v>429</v>
      </c>
      <c r="J255" t="s">
        <v>87</v>
      </c>
      <c r="K255">
        <v>-340.87577729999998</v>
      </c>
      <c r="L255" t="s">
        <v>87</v>
      </c>
      <c r="M255" t="s">
        <v>384</v>
      </c>
      <c r="N255">
        <v>9.7514538343159998E-2</v>
      </c>
      <c r="O255">
        <v>33.240344055775317</v>
      </c>
      <c r="P255" t="s">
        <v>440</v>
      </c>
      <c r="Q255">
        <v>2</v>
      </c>
      <c r="R255">
        <v>28.410399999999999</v>
      </c>
      <c r="S255">
        <v>7.4999999999999997E-2</v>
      </c>
      <c r="T255">
        <v>2.1307800000000001</v>
      </c>
      <c r="U255">
        <v>1.9E-2</v>
      </c>
      <c r="V255">
        <v>40.484999999999999</v>
      </c>
      <c r="W255">
        <v>2</v>
      </c>
      <c r="X255">
        <v>1.7643281089999999E-3</v>
      </c>
      <c r="Y255">
        <v>0.14285800000000001</v>
      </c>
      <c r="Z255" s="61">
        <v>4.7486490000000003</v>
      </c>
      <c r="AA255" t="s">
        <v>347</v>
      </c>
      <c r="AB255" t="s">
        <v>437</v>
      </c>
      <c r="AC255" t="s">
        <v>425</v>
      </c>
      <c r="AD255" t="s">
        <v>81</v>
      </c>
      <c r="AE255">
        <v>111.133</v>
      </c>
      <c r="AF255">
        <v>1.0541007448257309</v>
      </c>
      <c r="AG255">
        <v>117.145378074718</v>
      </c>
      <c r="AH255">
        <v>640.82000000000005</v>
      </c>
      <c r="AI255">
        <v>1</v>
      </c>
      <c r="AJ255">
        <v>75.069101177840764</v>
      </c>
      <c r="AK255">
        <v>0.93830000000000002</v>
      </c>
      <c r="AL255" s="63">
        <v>70.436999999999998</v>
      </c>
      <c r="AM255">
        <v>8.9176000000000002</v>
      </c>
      <c r="AN255">
        <v>9.4000488020579382</v>
      </c>
      <c r="AO255">
        <v>1</v>
      </c>
      <c r="AP255">
        <v>6023.7392733347688</v>
      </c>
      <c r="AQ255">
        <v>1.098016605166052</v>
      </c>
      <c r="AR255">
        <v>6614.1656999999996</v>
      </c>
      <c r="AS255" s="61">
        <v>31408.351337139298</v>
      </c>
      <c r="AT255" t="s">
        <v>347</v>
      </c>
      <c r="AU255" t="s">
        <v>437</v>
      </c>
      <c r="AV255" t="s">
        <v>425</v>
      </c>
      <c r="AW255" t="s">
        <v>81</v>
      </c>
      <c r="AX255">
        <v>111.133</v>
      </c>
      <c r="AY255">
        <v>1.0541007448257309</v>
      </c>
      <c r="AZ255">
        <v>117.145378074718</v>
      </c>
      <c r="BA255">
        <v>640.82000000000005</v>
      </c>
      <c r="BB255">
        <v>1</v>
      </c>
      <c r="BC255">
        <v>75.069101177840764</v>
      </c>
      <c r="BD255">
        <v>0.93830000000000002</v>
      </c>
      <c r="BE255" s="63">
        <v>70.436999999999998</v>
      </c>
      <c r="BF255">
        <v>8.9176000000000002</v>
      </c>
      <c r="BG255">
        <v>1</v>
      </c>
      <c r="BH255">
        <v>6023.7392733347688</v>
      </c>
      <c r="BI255">
        <v>1.098016605166052</v>
      </c>
      <c r="BJ255" s="63">
        <v>6614.1656999999996</v>
      </c>
      <c r="BK255" s="61">
        <v>31408.351337139298</v>
      </c>
    </row>
    <row r="256" spans="1:63" x14ac:dyDescent="0.25">
      <c r="A256">
        <v>765</v>
      </c>
      <c r="B256" t="s">
        <v>146</v>
      </c>
      <c r="C256">
        <v>2019</v>
      </c>
      <c r="D256">
        <v>7</v>
      </c>
      <c r="E256" t="s">
        <v>100</v>
      </c>
      <c r="F256" t="s">
        <v>426</v>
      </c>
      <c r="G256" t="s">
        <v>427</v>
      </c>
      <c r="H256" t="s">
        <v>84</v>
      </c>
      <c r="I256" t="s">
        <v>430</v>
      </c>
      <c r="J256" t="s">
        <v>59</v>
      </c>
      <c r="K256">
        <v>-992.24269938999998</v>
      </c>
      <c r="L256" t="s">
        <v>59</v>
      </c>
      <c r="M256" t="s">
        <v>384</v>
      </c>
      <c r="N256">
        <v>9.9723560465100003E-2</v>
      </c>
      <c r="O256">
        <v>98.949974828672708</v>
      </c>
      <c r="P256" t="s">
        <v>440</v>
      </c>
      <c r="Q256">
        <v>2</v>
      </c>
      <c r="R256">
        <v>28.410399999999999</v>
      </c>
      <c r="S256">
        <v>7.4999999999999997E-2</v>
      </c>
      <c r="T256">
        <v>2.1307800000000001</v>
      </c>
      <c r="U256">
        <v>1.9E-2</v>
      </c>
      <c r="V256">
        <v>40.484999999999999</v>
      </c>
      <c r="W256">
        <v>2</v>
      </c>
      <c r="X256">
        <v>1.7643281089999999E-3</v>
      </c>
      <c r="Y256">
        <v>0.14285800000000001</v>
      </c>
      <c r="Z256" s="61">
        <v>14.135795999999999</v>
      </c>
      <c r="AA256" t="s">
        <v>347</v>
      </c>
      <c r="AB256" t="s">
        <v>437</v>
      </c>
      <c r="AC256" t="s">
        <v>425</v>
      </c>
      <c r="AD256" t="s">
        <v>81</v>
      </c>
      <c r="AE256">
        <v>111.133</v>
      </c>
      <c r="AF256">
        <v>1.0541007448257309</v>
      </c>
      <c r="AG256">
        <v>117.145378074718</v>
      </c>
      <c r="AH256">
        <v>640.82000000000005</v>
      </c>
      <c r="AI256">
        <v>1</v>
      </c>
      <c r="AJ256">
        <v>75.069101177840764</v>
      </c>
      <c r="AK256">
        <v>0.93830000000000002</v>
      </c>
      <c r="AL256" s="63">
        <v>70.436999999999998</v>
      </c>
      <c r="AM256">
        <v>8.9176000000000002</v>
      </c>
      <c r="AN256">
        <v>9.4000488020579382</v>
      </c>
      <c r="AO256">
        <v>1</v>
      </c>
      <c r="AP256">
        <v>6023.7392733347688</v>
      </c>
      <c r="AQ256">
        <v>1.098016605166052</v>
      </c>
      <c r="AR256">
        <v>6614.1656999999996</v>
      </c>
      <c r="AS256" s="61">
        <v>93496.497045397191</v>
      </c>
      <c r="AT256" t="s">
        <v>347</v>
      </c>
      <c r="AU256" t="s">
        <v>437</v>
      </c>
      <c r="AV256" t="s">
        <v>425</v>
      </c>
      <c r="AW256" t="s">
        <v>81</v>
      </c>
      <c r="AX256">
        <v>111.133</v>
      </c>
      <c r="AY256">
        <v>1.0541007448257309</v>
      </c>
      <c r="AZ256">
        <v>117.145378074718</v>
      </c>
      <c r="BA256">
        <v>640.82000000000005</v>
      </c>
      <c r="BB256">
        <v>1</v>
      </c>
      <c r="BC256">
        <v>75.069101177840764</v>
      </c>
      <c r="BD256">
        <v>0.93830000000000002</v>
      </c>
      <c r="BE256" s="63">
        <v>70.436999999999998</v>
      </c>
      <c r="BF256">
        <v>8.9176000000000002</v>
      </c>
      <c r="BG256">
        <v>1</v>
      </c>
      <c r="BH256">
        <v>6023.7392733347688</v>
      </c>
      <c r="BI256">
        <v>1.098016605166052</v>
      </c>
      <c r="BJ256" s="63">
        <v>6614.1656999999996</v>
      </c>
      <c r="BK256" s="61">
        <v>93496.497045397191</v>
      </c>
    </row>
    <row r="257" spans="1:63" x14ac:dyDescent="0.25">
      <c r="A257">
        <v>767</v>
      </c>
      <c r="B257" t="s">
        <v>146</v>
      </c>
      <c r="C257">
        <v>2019</v>
      </c>
      <c r="D257">
        <v>7</v>
      </c>
      <c r="E257" t="s">
        <v>100</v>
      </c>
      <c r="F257" t="s">
        <v>426</v>
      </c>
      <c r="G257" t="s">
        <v>427</v>
      </c>
      <c r="H257" t="s">
        <v>84</v>
      </c>
      <c r="I257" t="s">
        <v>428</v>
      </c>
      <c r="J257" t="s">
        <v>381</v>
      </c>
      <c r="K257">
        <v>-1893.91390331</v>
      </c>
      <c r="L257" t="s">
        <v>381</v>
      </c>
      <c r="M257" t="s">
        <v>385</v>
      </c>
      <c r="N257">
        <v>0.54567226407081004</v>
      </c>
      <c r="O257">
        <v>1033.4562875743529</v>
      </c>
      <c r="P257" t="s">
        <v>440</v>
      </c>
      <c r="Q257">
        <v>2</v>
      </c>
      <c r="R257">
        <v>28.410399999999999</v>
      </c>
      <c r="S257">
        <v>7.4999999999999997E-2</v>
      </c>
      <c r="T257">
        <v>2.1307800000000001</v>
      </c>
      <c r="U257">
        <v>0.98099999999999998</v>
      </c>
      <c r="V257">
        <v>2090.2950000000001</v>
      </c>
      <c r="W257">
        <v>2</v>
      </c>
      <c r="X257">
        <v>3.4171526999999997E-5</v>
      </c>
      <c r="Y257">
        <v>0.14285700000000001</v>
      </c>
      <c r="Z257" s="61">
        <v>147.63646499999999</v>
      </c>
      <c r="AA257" t="s">
        <v>347</v>
      </c>
      <c r="AB257" t="s">
        <v>437</v>
      </c>
      <c r="AC257" t="s">
        <v>425</v>
      </c>
      <c r="AD257" t="s">
        <v>27</v>
      </c>
      <c r="AE257">
        <v>111.133</v>
      </c>
      <c r="AF257">
        <v>1.0541007448257309</v>
      </c>
      <c r="AG257">
        <v>117.145378074718</v>
      </c>
      <c r="AH257">
        <v>640.82000000000005</v>
      </c>
      <c r="AI257">
        <v>1</v>
      </c>
      <c r="AJ257">
        <v>75.069101177840764</v>
      </c>
      <c r="AK257">
        <v>0.95889999999999997</v>
      </c>
      <c r="AL257" s="63">
        <v>71.983999999999995</v>
      </c>
      <c r="AM257">
        <v>8.9176000000000002</v>
      </c>
      <c r="AN257">
        <v>9.4000488020579382</v>
      </c>
      <c r="AO257">
        <v>1</v>
      </c>
      <c r="AP257">
        <v>6023.7392733347688</v>
      </c>
      <c r="AQ257">
        <v>0.99097621000820357</v>
      </c>
      <c r="AR257">
        <v>5969.3823000000002</v>
      </c>
      <c r="AS257" s="61">
        <v>881298.50100556947</v>
      </c>
      <c r="AT257" t="s">
        <v>347</v>
      </c>
      <c r="AU257" t="s">
        <v>437</v>
      </c>
      <c r="AV257" t="s">
        <v>425</v>
      </c>
      <c r="AW257" t="s">
        <v>27</v>
      </c>
      <c r="AX257">
        <v>111.133</v>
      </c>
      <c r="AY257">
        <v>1.0541007448257309</v>
      </c>
      <c r="AZ257">
        <v>117.145378074718</v>
      </c>
      <c r="BA257">
        <v>640.82000000000005</v>
      </c>
      <c r="BB257">
        <v>1</v>
      </c>
      <c r="BC257">
        <v>75.069101177840764</v>
      </c>
      <c r="BD257">
        <v>0.95889999999999997</v>
      </c>
      <c r="BE257" s="63">
        <v>71.983999999999995</v>
      </c>
      <c r="BF257">
        <v>8.9176000000000002</v>
      </c>
      <c r="BG257">
        <v>1</v>
      </c>
      <c r="BH257">
        <v>6023.7392733347688</v>
      </c>
      <c r="BI257">
        <v>0.99097621000820357</v>
      </c>
      <c r="BJ257" s="63">
        <v>5969.3823000000002</v>
      </c>
      <c r="BK257" s="61">
        <v>881298.50100556947</v>
      </c>
    </row>
    <row r="258" spans="1:63" x14ac:dyDescent="0.25">
      <c r="A258">
        <v>767</v>
      </c>
      <c r="B258" t="s">
        <v>146</v>
      </c>
      <c r="C258">
        <v>2019</v>
      </c>
      <c r="D258">
        <v>7</v>
      </c>
      <c r="E258" t="s">
        <v>100</v>
      </c>
      <c r="F258" t="s">
        <v>426</v>
      </c>
      <c r="G258" t="s">
        <v>427</v>
      </c>
      <c r="H258" t="s">
        <v>84</v>
      </c>
      <c r="I258" t="s">
        <v>429</v>
      </c>
      <c r="J258" t="s">
        <v>87</v>
      </c>
      <c r="K258">
        <v>-340.87577729999998</v>
      </c>
      <c r="L258" t="s">
        <v>87</v>
      </c>
      <c r="M258" t="s">
        <v>385</v>
      </c>
      <c r="N258">
        <v>0.46576586245766999</v>
      </c>
      <c r="O258">
        <v>158.76830040506309</v>
      </c>
      <c r="P258" t="s">
        <v>440</v>
      </c>
      <c r="Q258">
        <v>2</v>
      </c>
      <c r="R258">
        <v>28.410399999999999</v>
      </c>
      <c r="S258">
        <v>7.4999999999999997E-2</v>
      </c>
      <c r="T258">
        <v>2.1307800000000001</v>
      </c>
      <c r="U258">
        <v>0.98099999999999998</v>
      </c>
      <c r="V258">
        <v>2090.2950000000001</v>
      </c>
      <c r="W258">
        <v>2</v>
      </c>
      <c r="X258">
        <v>3.4171526999999997E-5</v>
      </c>
      <c r="Y258">
        <v>0.14285700000000001</v>
      </c>
      <c r="Z258" s="61">
        <v>22.681163000000002</v>
      </c>
      <c r="AA258" t="s">
        <v>347</v>
      </c>
      <c r="AB258" t="s">
        <v>437</v>
      </c>
      <c r="AC258" t="s">
        <v>425</v>
      </c>
      <c r="AD258" t="s">
        <v>27</v>
      </c>
      <c r="AE258">
        <v>111.133</v>
      </c>
      <c r="AF258">
        <v>1.0541007448257309</v>
      </c>
      <c r="AG258">
        <v>117.145378074718</v>
      </c>
      <c r="AH258">
        <v>640.82000000000005</v>
      </c>
      <c r="AI258">
        <v>1</v>
      </c>
      <c r="AJ258">
        <v>75.069101177840764</v>
      </c>
      <c r="AK258">
        <v>0.95889999999999997</v>
      </c>
      <c r="AL258" s="63">
        <v>71.983999999999995</v>
      </c>
      <c r="AM258">
        <v>8.9176000000000002</v>
      </c>
      <c r="AN258">
        <v>9.4000488020579382</v>
      </c>
      <c r="AO258">
        <v>1</v>
      </c>
      <c r="AP258">
        <v>6023.7392733347688</v>
      </c>
      <c r="AQ258">
        <v>0.99097621000820357</v>
      </c>
      <c r="AR258">
        <v>5969.3823000000002</v>
      </c>
      <c r="AS258" s="61">
        <v>135392.53295561491</v>
      </c>
      <c r="AT258" t="s">
        <v>347</v>
      </c>
      <c r="AU258" t="s">
        <v>437</v>
      </c>
      <c r="AV258" t="s">
        <v>425</v>
      </c>
      <c r="AW258" t="s">
        <v>27</v>
      </c>
      <c r="AX258">
        <v>111.133</v>
      </c>
      <c r="AY258">
        <v>1.0541007448257309</v>
      </c>
      <c r="AZ258">
        <v>117.145378074718</v>
      </c>
      <c r="BA258">
        <v>640.82000000000005</v>
      </c>
      <c r="BB258">
        <v>1</v>
      </c>
      <c r="BC258">
        <v>75.069101177840764</v>
      </c>
      <c r="BD258">
        <v>0.95889999999999997</v>
      </c>
      <c r="BE258" s="63">
        <v>71.983999999999995</v>
      </c>
      <c r="BF258">
        <v>8.9176000000000002</v>
      </c>
      <c r="BG258">
        <v>1</v>
      </c>
      <c r="BH258">
        <v>6023.7392733347688</v>
      </c>
      <c r="BI258">
        <v>0.99097621000820357</v>
      </c>
      <c r="BJ258" s="63">
        <v>5969.3823000000002</v>
      </c>
      <c r="BK258" s="61">
        <v>135392.53295561491</v>
      </c>
    </row>
    <row r="259" spans="1:63" x14ac:dyDescent="0.25">
      <c r="A259">
        <v>767</v>
      </c>
      <c r="B259" t="s">
        <v>146</v>
      </c>
      <c r="C259">
        <v>2019</v>
      </c>
      <c r="D259">
        <v>7</v>
      </c>
      <c r="E259" t="s">
        <v>100</v>
      </c>
      <c r="F259" t="s">
        <v>426</v>
      </c>
      <c r="G259" t="s">
        <v>427</v>
      </c>
      <c r="H259" t="s">
        <v>84</v>
      </c>
      <c r="I259" t="s">
        <v>430</v>
      </c>
      <c r="J259" t="s">
        <v>59</v>
      </c>
      <c r="K259">
        <v>-992.24269938999998</v>
      </c>
      <c r="L259" t="s">
        <v>59</v>
      </c>
      <c r="M259" t="s">
        <v>385</v>
      </c>
      <c r="N259">
        <v>0.54314598235948996</v>
      </c>
      <c r="O259">
        <v>538.93263569921373</v>
      </c>
      <c r="P259" t="s">
        <v>440</v>
      </c>
      <c r="Q259">
        <v>2</v>
      </c>
      <c r="R259">
        <v>28.410399999999999</v>
      </c>
      <c r="S259">
        <v>7.4999999999999997E-2</v>
      </c>
      <c r="T259">
        <v>2.1307800000000001</v>
      </c>
      <c r="U259">
        <v>0.98099999999999998</v>
      </c>
      <c r="V259">
        <v>2090.2950000000001</v>
      </c>
      <c r="W259">
        <v>2</v>
      </c>
      <c r="X259">
        <v>3.4171526999999997E-5</v>
      </c>
      <c r="Y259">
        <v>0.14285700000000001</v>
      </c>
      <c r="Z259" s="61">
        <v>76.990300000000005</v>
      </c>
      <c r="AA259" t="s">
        <v>347</v>
      </c>
      <c r="AB259" t="s">
        <v>437</v>
      </c>
      <c r="AC259" t="s">
        <v>425</v>
      </c>
      <c r="AD259" t="s">
        <v>27</v>
      </c>
      <c r="AE259">
        <v>111.133</v>
      </c>
      <c r="AF259">
        <v>1.0541007448257309</v>
      </c>
      <c r="AG259">
        <v>117.145378074718</v>
      </c>
      <c r="AH259">
        <v>640.82000000000005</v>
      </c>
      <c r="AI259">
        <v>1</v>
      </c>
      <c r="AJ259">
        <v>75.069101177840764</v>
      </c>
      <c r="AK259">
        <v>0.95889999999999997</v>
      </c>
      <c r="AL259" s="63">
        <v>71.983999999999995</v>
      </c>
      <c r="AM259">
        <v>8.9176000000000002</v>
      </c>
      <c r="AN259">
        <v>9.4000488020579382</v>
      </c>
      <c r="AO259">
        <v>1</v>
      </c>
      <c r="AP259">
        <v>6023.7392733347688</v>
      </c>
      <c r="AQ259">
        <v>0.99097621000820357</v>
      </c>
      <c r="AR259">
        <v>5969.3823000000002</v>
      </c>
      <c r="AS259" s="61">
        <v>459584.53409168997</v>
      </c>
      <c r="AT259" t="s">
        <v>347</v>
      </c>
      <c r="AU259" t="s">
        <v>437</v>
      </c>
      <c r="AV259" t="s">
        <v>425</v>
      </c>
      <c r="AW259" t="s">
        <v>27</v>
      </c>
      <c r="AX259">
        <v>111.133</v>
      </c>
      <c r="AY259">
        <v>1.0541007448257309</v>
      </c>
      <c r="AZ259">
        <v>117.145378074718</v>
      </c>
      <c r="BA259">
        <v>640.82000000000005</v>
      </c>
      <c r="BB259">
        <v>1</v>
      </c>
      <c r="BC259">
        <v>75.069101177840764</v>
      </c>
      <c r="BD259">
        <v>0.95889999999999997</v>
      </c>
      <c r="BE259" s="63">
        <v>71.983999999999995</v>
      </c>
      <c r="BF259">
        <v>8.9176000000000002</v>
      </c>
      <c r="BG259">
        <v>1</v>
      </c>
      <c r="BH259">
        <v>6023.7392733347688</v>
      </c>
      <c r="BI259">
        <v>0.99097621000820357</v>
      </c>
      <c r="BJ259" s="63">
        <v>5969.3823000000002</v>
      </c>
      <c r="BK259" s="61">
        <v>459584.53409168997</v>
      </c>
    </row>
    <row r="260" spans="1:63" x14ac:dyDescent="0.25">
      <c r="A260">
        <v>785</v>
      </c>
      <c r="B260" t="s">
        <v>151</v>
      </c>
      <c r="C260">
        <v>2019</v>
      </c>
      <c r="D260">
        <v>8</v>
      </c>
      <c r="E260" t="s">
        <v>100</v>
      </c>
      <c r="F260" t="s">
        <v>426</v>
      </c>
      <c r="G260" t="s">
        <v>427</v>
      </c>
      <c r="H260" t="s">
        <v>84</v>
      </c>
      <c r="I260" t="s">
        <v>428</v>
      </c>
      <c r="J260" t="s">
        <v>381</v>
      </c>
      <c r="K260">
        <v>-1771.0203117200001</v>
      </c>
      <c r="L260" t="s">
        <v>381</v>
      </c>
      <c r="M260" t="s">
        <v>384</v>
      </c>
      <c r="N260">
        <v>0.11701058843235</v>
      </c>
      <c r="O260">
        <v>207.22812880000109</v>
      </c>
      <c r="P260" t="s">
        <v>440</v>
      </c>
      <c r="Q260">
        <v>2</v>
      </c>
      <c r="R260">
        <v>28.410399999999999</v>
      </c>
      <c r="S260">
        <v>5.5E-2</v>
      </c>
      <c r="T260">
        <v>1.5625720000000001</v>
      </c>
      <c r="U260">
        <v>1.9E-2</v>
      </c>
      <c r="V260">
        <v>29.689</v>
      </c>
      <c r="W260">
        <v>2</v>
      </c>
      <c r="X260">
        <v>2.4059050530000001E-3</v>
      </c>
      <c r="Y260">
        <v>0.14285800000000001</v>
      </c>
      <c r="Z260" s="61">
        <v>29.604196000000002</v>
      </c>
      <c r="AA260" t="s">
        <v>347</v>
      </c>
      <c r="AB260" t="s">
        <v>437</v>
      </c>
      <c r="AC260" t="s">
        <v>425</v>
      </c>
      <c r="AD260" t="s">
        <v>81</v>
      </c>
      <c r="AE260">
        <v>111.133</v>
      </c>
      <c r="AF260">
        <v>1.0541007448257309</v>
      </c>
      <c r="AG260">
        <v>117.145378074718</v>
      </c>
      <c r="AH260">
        <v>640.82000000000005</v>
      </c>
      <c r="AI260">
        <v>1</v>
      </c>
      <c r="AJ260">
        <v>75.069101177840764</v>
      </c>
      <c r="AK260">
        <v>0.93830000000000002</v>
      </c>
      <c r="AL260" s="63">
        <v>70.436999999999998</v>
      </c>
      <c r="AM260">
        <v>8.9176000000000002</v>
      </c>
      <c r="AN260">
        <v>9.4000488020579382</v>
      </c>
      <c r="AO260">
        <v>1</v>
      </c>
      <c r="AP260">
        <v>6023.7392733347688</v>
      </c>
      <c r="AQ260">
        <v>1.098016605166052</v>
      </c>
      <c r="AR260">
        <v>6614.1656999999996</v>
      </c>
      <c r="AS260" s="61">
        <v>195807.0577592772</v>
      </c>
      <c r="AT260" t="s">
        <v>347</v>
      </c>
      <c r="AU260" t="s">
        <v>437</v>
      </c>
      <c r="AV260" t="s">
        <v>425</v>
      </c>
      <c r="AW260" t="s">
        <v>81</v>
      </c>
      <c r="AX260">
        <v>111.133</v>
      </c>
      <c r="AY260">
        <v>1.0541007448257309</v>
      </c>
      <c r="AZ260">
        <v>117.145378074718</v>
      </c>
      <c r="BA260">
        <v>640.82000000000005</v>
      </c>
      <c r="BB260">
        <v>1</v>
      </c>
      <c r="BC260">
        <v>75.069101177840764</v>
      </c>
      <c r="BD260">
        <v>0.93830000000000002</v>
      </c>
      <c r="BE260" s="63">
        <v>70.436999999999998</v>
      </c>
      <c r="BF260">
        <v>8.9176000000000002</v>
      </c>
      <c r="BG260">
        <v>1</v>
      </c>
      <c r="BH260">
        <v>6023.7392733347688</v>
      </c>
      <c r="BI260">
        <v>1.098016605166052</v>
      </c>
      <c r="BJ260" s="63">
        <v>6614.1656999999996</v>
      </c>
      <c r="BK260" s="61">
        <v>195807.0577592772</v>
      </c>
    </row>
    <row r="261" spans="1:63" x14ac:dyDescent="0.25">
      <c r="A261">
        <v>785</v>
      </c>
      <c r="B261" t="s">
        <v>151</v>
      </c>
      <c r="C261">
        <v>2019</v>
      </c>
      <c r="D261">
        <v>8</v>
      </c>
      <c r="E261" t="s">
        <v>100</v>
      </c>
      <c r="F261" t="s">
        <v>426</v>
      </c>
      <c r="G261" t="s">
        <v>427</v>
      </c>
      <c r="H261" t="s">
        <v>84</v>
      </c>
      <c r="I261" t="s">
        <v>429</v>
      </c>
      <c r="J261" t="s">
        <v>87</v>
      </c>
      <c r="K261">
        <v>-393.21146356999998</v>
      </c>
      <c r="L261" t="s">
        <v>87</v>
      </c>
      <c r="M261" t="s">
        <v>384</v>
      </c>
      <c r="N261">
        <v>9.7514538340860005E-2</v>
      </c>
      <c r="O261">
        <v>38.343834340362427</v>
      </c>
      <c r="P261" t="s">
        <v>440</v>
      </c>
      <c r="Q261">
        <v>2</v>
      </c>
      <c r="R261">
        <v>28.410399999999999</v>
      </c>
      <c r="S261">
        <v>5.5E-2</v>
      </c>
      <c r="T261">
        <v>1.5625720000000001</v>
      </c>
      <c r="U261">
        <v>1.9E-2</v>
      </c>
      <c r="V261">
        <v>29.689</v>
      </c>
      <c r="W261">
        <v>2</v>
      </c>
      <c r="X261">
        <v>2.4059050530000001E-3</v>
      </c>
      <c r="Y261">
        <v>0.14285800000000001</v>
      </c>
      <c r="Z261" s="61">
        <v>5.4777230000000001</v>
      </c>
      <c r="AA261" t="s">
        <v>347</v>
      </c>
      <c r="AB261" t="s">
        <v>437</v>
      </c>
      <c r="AC261" t="s">
        <v>425</v>
      </c>
      <c r="AD261" t="s">
        <v>81</v>
      </c>
      <c r="AE261">
        <v>111.133</v>
      </c>
      <c r="AF261">
        <v>1.0541007448257309</v>
      </c>
      <c r="AG261">
        <v>117.145378074718</v>
      </c>
      <c r="AH261">
        <v>640.82000000000005</v>
      </c>
      <c r="AI261">
        <v>1</v>
      </c>
      <c r="AJ261">
        <v>75.069101177840764</v>
      </c>
      <c r="AK261">
        <v>0.93830000000000002</v>
      </c>
      <c r="AL261" s="63">
        <v>70.436999999999998</v>
      </c>
      <c r="AM261">
        <v>8.9176000000000002</v>
      </c>
      <c r="AN261">
        <v>9.4000488020579382</v>
      </c>
      <c r="AO261">
        <v>1</v>
      </c>
      <c r="AP261">
        <v>6023.7392733347688</v>
      </c>
      <c r="AQ261">
        <v>1.098016605166052</v>
      </c>
      <c r="AR261">
        <v>6614.1656999999996</v>
      </c>
      <c r="AS261" s="61">
        <v>36230.567580701099</v>
      </c>
      <c r="AT261" t="s">
        <v>347</v>
      </c>
      <c r="AU261" t="s">
        <v>437</v>
      </c>
      <c r="AV261" t="s">
        <v>425</v>
      </c>
      <c r="AW261" t="s">
        <v>81</v>
      </c>
      <c r="AX261">
        <v>111.133</v>
      </c>
      <c r="AY261">
        <v>1.0541007448257309</v>
      </c>
      <c r="AZ261">
        <v>117.145378074718</v>
      </c>
      <c r="BA261">
        <v>640.82000000000005</v>
      </c>
      <c r="BB261">
        <v>1</v>
      </c>
      <c r="BC261">
        <v>75.069101177840764</v>
      </c>
      <c r="BD261">
        <v>0.93830000000000002</v>
      </c>
      <c r="BE261" s="63">
        <v>70.436999999999998</v>
      </c>
      <c r="BF261">
        <v>8.9176000000000002</v>
      </c>
      <c r="BG261">
        <v>1</v>
      </c>
      <c r="BH261">
        <v>6023.7392733347688</v>
      </c>
      <c r="BI261">
        <v>1.098016605166052</v>
      </c>
      <c r="BJ261" s="63">
        <v>6614.1656999999996</v>
      </c>
      <c r="BK261" s="61">
        <v>36230.567580701099</v>
      </c>
    </row>
    <row r="262" spans="1:63" x14ac:dyDescent="0.25">
      <c r="A262">
        <v>785</v>
      </c>
      <c r="B262" t="s">
        <v>151</v>
      </c>
      <c r="C262">
        <v>2019</v>
      </c>
      <c r="D262">
        <v>8</v>
      </c>
      <c r="E262" t="s">
        <v>100</v>
      </c>
      <c r="F262" t="s">
        <v>426</v>
      </c>
      <c r="G262" t="s">
        <v>427</v>
      </c>
      <c r="H262" t="s">
        <v>84</v>
      </c>
      <c r="I262" t="s">
        <v>430</v>
      </c>
      <c r="J262" t="s">
        <v>59</v>
      </c>
      <c r="K262">
        <v>-854.24152365999998</v>
      </c>
      <c r="L262" t="s">
        <v>59</v>
      </c>
      <c r="M262" t="s">
        <v>384</v>
      </c>
      <c r="N262">
        <v>9.972356046618E-2</v>
      </c>
      <c r="O262">
        <v>85.188006237429747</v>
      </c>
      <c r="P262" t="s">
        <v>440</v>
      </c>
      <c r="Q262">
        <v>2</v>
      </c>
      <c r="R262">
        <v>28.410399999999999</v>
      </c>
      <c r="S262">
        <v>5.5E-2</v>
      </c>
      <c r="T262">
        <v>1.5625720000000001</v>
      </c>
      <c r="U262">
        <v>1.9E-2</v>
      </c>
      <c r="V262">
        <v>29.689</v>
      </c>
      <c r="W262">
        <v>2</v>
      </c>
      <c r="X262">
        <v>2.4059050530000001E-3</v>
      </c>
      <c r="Y262">
        <v>0.14285800000000001</v>
      </c>
      <c r="Z262" s="61">
        <v>12.169788</v>
      </c>
      <c r="AA262" t="s">
        <v>347</v>
      </c>
      <c r="AB262" t="s">
        <v>437</v>
      </c>
      <c r="AC262" t="s">
        <v>425</v>
      </c>
      <c r="AD262" t="s">
        <v>81</v>
      </c>
      <c r="AE262">
        <v>111.133</v>
      </c>
      <c r="AF262">
        <v>1.0541007448257309</v>
      </c>
      <c r="AG262">
        <v>117.145378074718</v>
      </c>
      <c r="AH262">
        <v>640.82000000000005</v>
      </c>
      <c r="AI262">
        <v>1</v>
      </c>
      <c r="AJ262">
        <v>75.069101177840764</v>
      </c>
      <c r="AK262">
        <v>0.93830000000000002</v>
      </c>
      <c r="AL262" s="63">
        <v>70.436999999999998</v>
      </c>
      <c r="AM262">
        <v>8.9176000000000002</v>
      </c>
      <c r="AN262">
        <v>9.4000488020579382</v>
      </c>
      <c r="AO262">
        <v>1</v>
      </c>
      <c r="AP262">
        <v>6023.7392733347688</v>
      </c>
      <c r="AQ262">
        <v>1.098016605166052</v>
      </c>
      <c r="AR262">
        <v>6614.1656999999996</v>
      </c>
      <c r="AS262" s="61">
        <v>80492.994365871593</v>
      </c>
      <c r="AT262" t="s">
        <v>347</v>
      </c>
      <c r="AU262" t="s">
        <v>437</v>
      </c>
      <c r="AV262" t="s">
        <v>425</v>
      </c>
      <c r="AW262" t="s">
        <v>81</v>
      </c>
      <c r="AX262">
        <v>111.133</v>
      </c>
      <c r="AY262">
        <v>1.0541007448257309</v>
      </c>
      <c r="AZ262">
        <v>117.145378074718</v>
      </c>
      <c r="BA262">
        <v>640.82000000000005</v>
      </c>
      <c r="BB262">
        <v>1</v>
      </c>
      <c r="BC262">
        <v>75.069101177840764</v>
      </c>
      <c r="BD262">
        <v>0.93830000000000002</v>
      </c>
      <c r="BE262" s="63">
        <v>70.436999999999998</v>
      </c>
      <c r="BF262">
        <v>8.9176000000000002</v>
      </c>
      <c r="BG262">
        <v>1</v>
      </c>
      <c r="BH262">
        <v>6023.7392733347688</v>
      </c>
      <c r="BI262">
        <v>1.098016605166052</v>
      </c>
      <c r="BJ262" s="63">
        <v>6614.1656999999996</v>
      </c>
      <c r="BK262" s="61">
        <v>80492.994365871593</v>
      </c>
    </row>
    <row r="263" spans="1:63" x14ac:dyDescent="0.25">
      <c r="A263">
        <v>787</v>
      </c>
      <c r="B263" t="s">
        <v>151</v>
      </c>
      <c r="C263">
        <v>2019</v>
      </c>
      <c r="D263">
        <v>8</v>
      </c>
      <c r="E263" t="s">
        <v>100</v>
      </c>
      <c r="F263" t="s">
        <v>426</v>
      </c>
      <c r="G263" t="s">
        <v>427</v>
      </c>
      <c r="H263" t="s">
        <v>84</v>
      </c>
      <c r="I263" t="s">
        <v>428</v>
      </c>
      <c r="J263" t="s">
        <v>381</v>
      </c>
      <c r="K263">
        <v>-1771.0203117200001</v>
      </c>
      <c r="L263" t="s">
        <v>381</v>
      </c>
      <c r="M263" t="s">
        <v>385</v>
      </c>
      <c r="N263">
        <v>0.54567226407087999</v>
      </c>
      <c r="O263">
        <v>966.3966632117681</v>
      </c>
      <c r="P263" t="s">
        <v>440</v>
      </c>
      <c r="Q263">
        <v>2</v>
      </c>
      <c r="R263">
        <v>28.410399999999999</v>
      </c>
      <c r="S263">
        <v>5.5E-2</v>
      </c>
      <c r="T263">
        <v>1.5625720000000001</v>
      </c>
      <c r="U263">
        <v>0.98099999999999998</v>
      </c>
      <c r="V263">
        <v>1532.883</v>
      </c>
      <c r="W263">
        <v>2</v>
      </c>
      <c r="X263">
        <v>4.6597536000000001E-5</v>
      </c>
      <c r="Y263">
        <v>0.14285700000000001</v>
      </c>
      <c r="Z263" s="61">
        <v>138.05652799999999</v>
      </c>
      <c r="AA263" t="s">
        <v>347</v>
      </c>
      <c r="AB263" t="s">
        <v>437</v>
      </c>
      <c r="AC263" t="s">
        <v>425</v>
      </c>
      <c r="AD263" t="s">
        <v>27</v>
      </c>
      <c r="AE263">
        <v>111.133</v>
      </c>
      <c r="AF263">
        <v>1.0541007448257309</v>
      </c>
      <c r="AG263">
        <v>117.145378074718</v>
      </c>
      <c r="AH263">
        <v>640.82000000000005</v>
      </c>
      <c r="AI263">
        <v>1</v>
      </c>
      <c r="AJ263">
        <v>75.069101177840764</v>
      </c>
      <c r="AK263">
        <v>0.95889999999999997</v>
      </c>
      <c r="AL263" s="63">
        <v>71.983999999999995</v>
      </c>
      <c r="AM263">
        <v>8.9176000000000002</v>
      </c>
      <c r="AN263">
        <v>9.4000488020579382</v>
      </c>
      <c r="AO263">
        <v>1</v>
      </c>
      <c r="AP263">
        <v>6023.7392733347688</v>
      </c>
      <c r="AQ263">
        <v>0.99097621000820357</v>
      </c>
      <c r="AR263">
        <v>5969.3823000000002</v>
      </c>
      <c r="AS263" s="61">
        <v>824112.19464265439</v>
      </c>
      <c r="AT263" t="s">
        <v>347</v>
      </c>
      <c r="AU263" t="s">
        <v>437</v>
      </c>
      <c r="AV263" t="s">
        <v>425</v>
      </c>
      <c r="AW263" t="s">
        <v>27</v>
      </c>
      <c r="AX263">
        <v>111.133</v>
      </c>
      <c r="AY263">
        <v>1.0541007448257309</v>
      </c>
      <c r="AZ263">
        <v>117.145378074718</v>
      </c>
      <c r="BA263">
        <v>640.82000000000005</v>
      </c>
      <c r="BB263">
        <v>1</v>
      </c>
      <c r="BC263">
        <v>75.069101177840764</v>
      </c>
      <c r="BD263">
        <v>0.95889999999999997</v>
      </c>
      <c r="BE263" s="63">
        <v>71.983999999999995</v>
      </c>
      <c r="BF263">
        <v>8.9176000000000002</v>
      </c>
      <c r="BG263">
        <v>1</v>
      </c>
      <c r="BH263">
        <v>6023.7392733347688</v>
      </c>
      <c r="BI263">
        <v>0.99097621000820357</v>
      </c>
      <c r="BJ263" s="63">
        <v>5969.3823000000002</v>
      </c>
      <c r="BK263" s="61">
        <v>824112.19464265439</v>
      </c>
    </row>
    <row r="264" spans="1:63" x14ac:dyDescent="0.25">
      <c r="A264">
        <v>787</v>
      </c>
      <c r="B264" t="s">
        <v>151</v>
      </c>
      <c r="C264">
        <v>2019</v>
      </c>
      <c r="D264">
        <v>8</v>
      </c>
      <c r="E264" t="s">
        <v>100</v>
      </c>
      <c r="F264" t="s">
        <v>426</v>
      </c>
      <c r="G264" t="s">
        <v>427</v>
      </c>
      <c r="H264" t="s">
        <v>84</v>
      </c>
      <c r="I264" t="s">
        <v>429</v>
      </c>
      <c r="J264" t="s">
        <v>87</v>
      </c>
      <c r="K264">
        <v>-393.21146356999998</v>
      </c>
      <c r="L264" t="s">
        <v>87</v>
      </c>
      <c r="M264" t="s">
        <v>385</v>
      </c>
      <c r="N264">
        <v>0.46576586246523</v>
      </c>
      <c r="O264">
        <v>183.14447646089641</v>
      </c>
      <c r="P264" t="s">
        <v>440</v>
      </c>
      <c r="Q264">
        <v>2</v>
      </c>
      <c r="R264">
        <v>28.410399999999999</v>
      </c>
      <c r="S264">
        <v>5.5E-2</v>
      </c>
      <c r="T264">
        <v>1.5625720000000001</v>
      </c>
      <c r="U264">
        <v>0.98099999999999998</v>
      </c>
      <c r="V264">
        <v>1532.883</v>
      </c>
      <c r="W264">
        <v>2</v>
      </c>
      <c r="X264">
        <v>4.6597536000000001E-5</v>
      </c>
      <c r="Y264">
        <v>0.14285700000000001</v>
      </c>
      <c r="Z264" s="61">
        <v>26.16347</v>
      </c>
      <c r="AA264" t="s">
        <v>347</v>
      </c>
      <c r="AB264" t="s">
        <v>437</v>
      </c>
      <c r="AC264" t="s">
        <v>425</v>
      </c>
      <c r="AD264" t="s">
        <v>27</v>
      </c>
      <c r="AE264">
        <v>111.133</v>
      </c>
      <c r="AF264">
        <v>1.0541007448257309</v>
      </c>
      <c r="AG264">
        <v>117.145378074718</v>
      </c>
      <c r="AH264">
        <v>640.82000000000005</v>
      </c>
      <c r="AI264">
        <v>1</v>
      </c>
      <c r="AJ264">
        <v>75.069101177840764</v>
      </c>
      <c r="AK264">
        <v>0.95889999999999997</v>
      </c>
      <c r="AL264" s="63">
        <v>71.983999999999995</v>
      </c>
      <c r="AM264">
        <v>8.9176000000000002</v>
      </c>
      <c r="AN264">
        <v>9.4000488020579382</v>
      </c>
      <c r="AO264">
        <v>1</v>
      </c>
      <c r="AP264">
        <v>6023.7392733347688</v>
      </c>
      <c r="AQ264">
        <v>0.99097621000820357</v>
      </c>
      <c r="AR264">
        <v>5969.3823000000002</v>
      </c>
      <c r="AS264" s="61">
        <v>156179.754724581</v>
      </c>
      <c r="AT264" t="s">
        <v>347</v>
      </c>
      <c r="AU264" t="s">
        <v>437</v>
      </c>
      <c r="AV264" t="s">
        <v>425</v>
      </c>
      <c r="AW264" t="s">
        <v>27</v>
      </c>
      <c r="AX264">
        <v>111.133</v>
      </c>
      <c r="AY264">
        <v>1.0541007448257309</v>
      </c>
      <c r="AZ264">
        <v>117.145378074718</v>
      </c>
      <c r="BA264">
        <v>640.82000000000005</v>
      </c>
      <c r="BB264">
        <v>1</v>
      </c>
      <c r="BC264">
        <v>75.069101177840764</v>
      </c>
      <c r="BD264">
        <v>0.95889999999999997</v>
      </c>
      <c r="BE264" s="63">
        <v>71.983999999999995</v>
      </c>
      <c r="BF264">
        <v>8.9176000000000002</v>
      </c>
      <c r="BG264">
        <v>1</v>
      </c>
      <c r="BH264">
        <v>6023.7392733347688</v>
      </c>
      <c r="BI264">
        <v>0.99097621000820357</v>
      </c>
      <c r="BJ264" s="63">
        <v>5969.3823000000002</v>
      </c>
      <c r="BK264" s="61">
        <v>156179.754724581</v>
      </c>
    </row>
    <row r="265" spans="1:63" x14ac:dyDescent="0.25">
      <c r="A265">
        <v>787</v>
      </c>
      <c r="B265" t="s">
        <v>151</v>
      </c>
      <c r="C265">
        <v>2019</v>
      </c>
      <c r="D265">
        <v>8</v>
      </c>
      <c r="E265" t="s">
        <v>100</v>
      </c>
      <c r="F265" t="s">
        <v>426</v>
      </c>
      <c r="G265" t="s">
        <v>427</v>
      </c>
      <c r="H265" t="s">
        <v>84</v>
      </c>
      <c r="I265" t="s">
        <v>430</v>
      </c>
      <c r="J265" t="s">
        <v>59</v>
      </c>
      <c r="K265">
        <v>-854.24152365999998</v>
      </c>
      <c r="L265" t="s">
        <v>59</v>
      </c>
      <c r="M265" t="s">
        <v>385</v>
      </c>
      <c r="N265">
        <v>0.54314598235959</v>
      </c>
      <c r="O265">
        <v>463.97785154066372</v>
      </c>
      <c r="P265" t="s">
        <v>440</v>
      </c>
      <c r="Q265">
        <v>2</v>
      </c>
      <c r="R265">
        <v>28.410399999999999</v>
      </c>
      <c r="S265">
        <v>5.5E-2</v>
      </c>
      <c r="T265">
        <v>1.5625720000000001</v>
      </c>
      <c r="U265">
        <v>0.98099999999999998</v>
      </c>
      <c r="V265">
        <v>1532.883</v>
      </c>
      <c r="W265">
        <v>2</v>
      </c>
      <c r="X265">
        <v>4.6597536000000001E-5</v>
      </c>
      <c r="Y265">
        <v>0.14285700000000001</v>
      </c>
      <c r="Z265" s="61">
        <v>66.282483999999997</v>
      </c>
      <c r="AA265" t="s">
        <v>347</v>
      </c>
      <c r="AB265" t="s">
        <v>437</v>
      </c>
      <c r="AC265" t="s">
        <v>425</v>
      </c>
      <c r="AD265" t="s">
        <v>27</v>
      </c>
      <c r="AE265">
        <v>111.133</v>
      </c>
      <c r="AF265">
        <v>1.0541007448257309</v>
      </c>
      <c r="AG265">
        <v>117.145378074718</v>
      </c>
      <c r="AH265">
        <v>640.82000000000005</v>
      </c>
      <c r="AI265">
        <v>1</v>
      </c>
      <c r="AJ265">
        <v>75.069101177840764</v>
      </c>
      <c r="AK265">
        <v>0.95889999999999997</v>
      </c>
      <c r="AL265" s="63">
        <v>71.983999999999995</v>
      </c>
      <c r="AM265">
        <v>8.9176000000000002</v>
      </c>
      <c r="AN265">
        <v>9.4000488020579382</v>
      </c>
      <c r="AO265">
        <v>1</v>
      </c>
      <c r="AP265">
        <v>6023.7392733347688</v>
      </c>
      <c r="AQ265">
        <v>0.99097621000820357</v>
      </c>
      <c r="AR265">
        <v>5969.3823000000002</v>
      </c>
      <c r="AS265" s="61">
        <v>395665.48678963323</v>
      </c>
      <c r="AT265" t="s">
        <v>347</v>
      </c>
      <c r="AU265" t="s">
        <v>437</v>
      </c>
      <c r="AV265" t="s">
        <v>425</v>
      </c>
      <c r="AW265" t="s">
        <v>27</v>
      </c>
      <c r="AX265">
        <v>111.133</v>
      </c>
      <c r="AY265">
        <v>1.0541007448257309</v>
      </c>
      <c r="AZ265">
        <v>117.145378074718</v>
      </c>
      <c r="BA265">
        <v>640.82000000000005</v>
      </c>
      <c r="BB265">
        <v>1</v>
      </c>
      <c r="BC265">
        <v>75.069101177840764</v>
      </c>
      <c r="BD265">
        <v>0.95889999999999997</v>
      </c>
      <c r="BE265" s="63">
        <v>71.983999999999995</v>
      </c>
      <c r="BF265">
        <v>8.9176000000000002</v>
      </c>
      <c r="BG265">
        <v>1</v>
      </c>
      <c r="BH265">
        <v>6023.7392733347688</v>
      </c>
      <c r="BI265">
        <v>0.99097621000820357</v>
      </c>
      <c r="BJ265" s="63">
        <v>5969.3823000000002</v>
      </c>
      <c r="BK265" s="61">
        <v>395665.48678963323</v>
      </c>
    </row>
    <row r="266" spans="1:63" x14ac:dyDescent="0.25">
      <c r="A266">
        <v>805</v>
      </c>
      <c r="B266" t="s">
        <v>154</v>
      </c>
      <c r="C266">
        <v>2019</v>
      </c>
      <c r="D266">
        <v>9</v>
      </c>
      <c r="E266" t="s">
        <v>100</v>
      </c>
      <c r="F266" t="s">
        <v>426</v>
      </c>
      <c r="G266" t="s">
        <v>427</v>
      </c>
      <c r="H266" t="s">
        <v>84</v>
      </c>
      <c r="I266" t="s">
        <v>428</v>
      </c>
      <c r="J266" t="s">
        <v>381</v>
      </c>
      <c r="K266">
        <v>-1531.2176465699999</v>
      </c>
      <c r="L266" t="s">
        <v>381</v>
      </c>
      <c r="M266" t="s">
        <v>384</v>
      </c>
      <c r="N266">
        <v>0.11701058843221999</v>
      </c>
      <c r="O266">
        <v>179.16867784295479</v>
      </c>
      <c r="P266" t="s">
        <v>440</v>
      </c>
      <c r="Q266">
        <v>2</v>
      </c>
      <c r="R266">
        <v>28.410399999999999</v>
      </c>
      <c r="S266">
        <v>4.3999999999999997E-2</v>
      </c>
      <c r="T266">
        <v>1.2500576000000001</v>
      </c>
      <c r="U266">
        <v>1.9E-2</v>
      </c>
      <c r="V266">
        <v>23.751000000000001</v>
      </c>
      <c r="W266">
        <v>2</v>
      </c>
      <c r="X266">
        <v>3.0073831260000001E-3</v>
      </c>
      <c r="Y266">
        <v>0.14285700000000001</v>
      </c>
      <c r="Z266" s="61">
        <v>25.595500000000001</v>
      </c>
      <c r="AA266" t="s">
        <v>347</v>
      </c>
      <c r="AB266" t="s">
        <v>437</v>
      </c>
      <c r="AC266" t="s">
        <v>425</v>
      </c>
      <c r="AD266" t="s">
        <v>81</v>
      </c>
      <c r="AE266">
        <v>111.133</v>
      </c>
      <c r="AF266">
        <v>1.0541007448257309</v>
      </c>
      <c r="AG266">
        <v>117.145378074718</v>
      </c>
      <c r="AH266">
        <v>640.82000000000005</v>
      </c>
      <c r="AI266">
        <v>1</v>
      </c>
      <c r="AJ266">
        <v>75.069101177840764</v>
      </c>
      <c r="AK266">
        <v>0.93830000000000002</v>
      </c>
      <c r="AL266" s="63">
        <v>70.436999999999998</v>
      </c>
      <c r="AM266">
        <v>8.9176000000000002</v>
      </c>
      <c r="AN266">
        <v>9.4000488020579382</v>
      </c>
      <c r="AO266">
        <v>1</v>
      </c>
      <c r="AP266">
        <v>6023.7392733347688</v>
      </c>
      <c r="AQ266">
        <v>1.098016605166052</v>
      </c>
      <c r="AR266">
        <v>6614.1656999999996</v>
      </c>
      <c r="AS266" s="61">
        <v>169292.87817434999</v>
      </c>
      <c r="AT266" t="s">
        <v>347</v>
      </c>
      <c r="AU266" t="s">
        <v>437</v>
      </c>
      <c r="AV266" t="s">
        <v>425</v>
      </c>
      <c r="AW266" t="s">
        <v>81</v>
      </c>
      <c r="AX266">
        <v>111.133</v>
      </c>
      <c r="AY266">
        <v>1.0541007448257309</v>
      </c>
      <c r="AZ266">
        <v>117.145378074718</v>
      </c>
      <c r="BA266">
        <v>640.82000000000005</v>
      </c>
      <c r="BB266">
        <v>1</v>
      </c>
      <c r="BC266">
        <v>75.069101177840764</v>
      </c>
      <c r="BD266">
        <v>0.93830000000000002</v>
      </c>
      <c r="BE266" s="63">
        <v>70.436999999999998</v>
      </c>
      <c r="BF266">
        <v>8.9176000000000002</v>
      </c>
      <c r="BG266">
        <v>1</v>
      </c>
      <c r="BH266">
        <v>6023.7392733347688</v>
      </c>
      <c r="BI266">
        <v>1.098016605166052</v>
      </c>
      <c r="BJ266" s="63">
        <v>6614.1656999999996</v>
      </c>
      <c r="BK266" s="61">
        <v>169292.87817434999</v>
      </c>
    </row>
    <row r="267" spans="1:63" x14ac:dyDescent="0.25">
      <c r="A267">
        <v>805</v>
      </c>
      <c r="B267" t="s">
        <v>154</v>
      </c>
      <c r="C267">
        <v>2019</v>
      </c>
      <c r="D267">
        <v>9</v>
      </c>
      <c r="E267" t="s">
        <v>100</v>
      </c>
      <c r="F267" t="s">
        <v>426</v>
      </c>
      <c r="G267" t="s">
        <v>427</v>
      </c>
      <c r="H267" t="s">
        <v>84</v>
      </c>
      <c r="I267" t="s">
        <v>429</v>
      </c>
      <c r="J267" t="s">
        <v>87</v>
      </c>
      <c r="K267">
        <v>-303.51142240000001</v>
      </c>
      <c r="L267" t="s">
        <v>87</v>
      </c>
      <c r="M267" t="s">
        <v>384</v>
      </c>
      <c r="N267">
        <v>9.7514538341179999E-2</v>
      </c>
      <c r="O267">
        <v>29.596776236610879</v>
      </c>
      <c r="P267" t="s">
        <v>440</v>
      </c>
      <c r="Q267">
        <v>2</v>
      </c>
      <c r="R267">
        <v>28.410399999999999</v>
      </c>
      <c r="S267">
        <v>4.3999999999999997E-2</v>
      </c>
      <c r="T267">
        <v>1.2500576000000001</v>
      </c>
      <c r="U267">
        <v>1.9E-2</v>
      </c>
      <c r="V267">
        <v>23.751000000000001</v>
      </c>
      <c r="W267">
        <v>2</v>
      </c>
      <c r="X267">
        <v>3.0073831260000001E-3</v>
      </c>
      <c r="Y267">
        <v>0.14285700000000001</v>
      </c>
      <c r="Z267" s="61">
        <v>4.2281069999999996</v>
      </c>
      <c r="AA267" t="s">
        <v>347</v>
      </c>
      <c r="AB267" t="s">
        <v>437</v>
      </c>
      <c r="AC267" t="s">
        <v>425</v>
      </c>
      <c r="AD267" t="s">
        <v>81</v>
      </c>
      <c r="AE267">
        <v>111.133</v>
      </c>
      <c r="AF267">
        <v>1.0541007448257309</v>
      </c>
      <c r="AG267">
        <v>117.145378074718</v>
      </c>
      <c r="AH267">
        <v>640.82000000000005</v>
      </c>
      <c r="AI267">
        <v>1</v>
      </c>
      <c r="AJ267">
        <v>75.069101177840764</v>
      </c>
      <c r="AK267">
        <v>0.93830000000000002</v>
      </c>
      <c r="AL267" s="63">
        <v>70.436999999999998</v>
      </c>
      <c r="AM267">
        <v>8.9176000000000002</v>
      </c>
      <c r="AN267">
        <v>9.4000488020579382</v>
      </c>
      <c r="AO267">
        <v>1</v>
      </c>
      <c r="AP267">
        <v>6023.7392733347688</v>
      </c>
      <c r="AQ267">
        <v>1.098016605166052</v>
      </c>
      <c r="AR267">
        <v>6614.1656999999996</v>
      </c>
      <c r="AS267" s="61">
        <v>27965.400295329899</v>
      </c>
      <c r="AT267" t="s">
        <v>347</v>
      </c>
      <c r="AU267" t="s">
        <v>437</v>
      </c>
      <c r="AV267" t="s">
        <v>425</v>
      </c>
      <c r="AW267" t="s">
        <v>81</v>
      </c>
      <c r="AX267">
        <v>111.133</v>
      </c>
      <c r="AY267">
        <v>1.0541007448257309</v>
      </c>
      <c r="AZ267">
        <v>117.145378074718</v>
      </c>
      <c r="BA267">
        <v>640.82000000000005</v>
      </c>
      <c r="BB267">
        <v>1</v>
      </c>
      <c r="BC267">
        <v>75.069101177840764</v>
      </c>
      <c r="BD267">
        <v>0.93830000000000002</v>
      </c>
      <c r="BE267" s="63">
        <v>70.436999999999998</v>
      </c>
      <c r="BF267">
        <v>8.9176000000000002</v>
      </c>
      <c r="BG267">
        <v>1</v>
      </c>
      <c r="BH267">
        <v>6023.7392733347688</v>
      </c>
      <c r="BI267">
        <v>1.098016605166052</v>
      </c>
      <c r="BJ267" s="63">
        <v>6614.1656999999996</v>
      </c>
      <c r="BK267" s="61">
        <v>27965.400295329899</v>
      </c>
    </row>
    <row r="268" spans="1:63" x14ac:dyDescent="0.25">
      <c r="A268">
        <v>805</v>
      </c>
      <c r="B268" t="s">
        <v>154</v>
      </c>
      <c r="C268">
        <v>2019</v>
      </c>
      <c r="D268">
        <v>9</v>
      </c>
      <c r="E268" t="s">
        <v>100</v>
      </c>
      <c r="F268" t="s">
        <v>426</v>
      </c>
      <c r="G268" t="s">
        <v>427</v>
      </c>
      <c r="H268" t="s">
        <v>84</v>
      </c>
      <c r="I268" t="s">
        <v>430</v>
      </c>
      <c r="J268" t="s">
        <v>59</v>
      </c>
      <c r="K268">
        <v>-752.70116994</v>
      </c>
      <c r="L268" t="s">
        <v>59</v>
      </c>
      <c r="M268" t="s">
        <v>384</v>
      </c>
      <c r="N268">
        <v>9.9723560465249994E-2</v>
      </c>
      <c r="O268">
        <v>75.062040632776004</v>
      </c>
      <c r="P268" t="s">
        <v>440</v>
      </c>
      <c r="Q268">
        <v>2</v>
      </c>
      <c r="R268">
        <v>28.410399999999999</v>
      </c>
      <c r="S268">
        <v>4.3999999999999997E-2</v>
      </c>
      <c r="T268">
        <v>1.2500576000000001</v>
      </c>
      <c r="U268">
        <v>1.9E-2</v>
      </c>
      <c r="V268">
        <v>23.751000000000001</v>
      </c>
      <c r="W268">
        <v>2</v>
      </c>
      <c r="X268">
        <v>3.0073831260000001E-3</v>
      </c>
      <c r="Y268">
        <v>0.14285700000000001</v>
      </c>
      <c r="Z268" s="61">
        <v>10.723138000000001</v>
      </c>
      <c r="AA268" t="s">
        <v>347</v>
      </c>
      <c r="AB268" t="s">
        <v>437</v>
      </c>
      <c r="AC268" t="s">
        <v>425</v>
      </c>
      <c r="AD268" t="s">
        <v>81</v>
      </c>
      <c r="AE268">
        <v>111.133</v>
      </c>
      <c r="AF268">
        <v>1.0541007448257309</v>
      </c>
      <c r="AG268">
        <v>117.145378074718</v>
      </c>
      <c r="AH268">
        <v>640.82000000000005</v>
      </c>
      <c r="AI268">
        <v>1</v>
      </c>
      <c r="AJ268">
        <v>75.069101177840764</v>
      </c>
      <c r="AK268">
        <v>0.93830000000000002</v>
      </c>
      <c r="AL268" s="63">
        <v>70.436999999999998</v>
      </c>
      <c r="AM268">
        <v>8.9176000000000002</v>
      </c>
      <c r="AN268">
        <v>9.4000488020579382</v>
      </c>
      <c r="AO268">
        <v>1</v>
      </c>
      <c r="AP268">
        <v>6023.7392733347688</v>
      </c>
      <c r="AQ268">
        <v>1.098016605166052</v>
      </c>
      <c r="AR268">
        <v>6614.1656999999996</v>
      </c>
      <c r="AS268" s="61">
        <v>70924.611555966592</v>
      </c>
      <c r="AT268" t="s">
        <v>347</v>
      </c>
      <c r="AU268" t="s">
        <v>437</v>
      </c>
      <c r="AV268" t="s">
        <v>425</v>
      </c>
      <c r="AW268" t="s">
        <v>81</v>
      </c>
      <c r="AX268">
        <v>111.133</v>
      </c>
      <c r="AY268">
        <v>1.0541007448257309</v>
      </c>
      <c r="AZ268">
        <v>117.145378074718</v>
      </c>
      <c r="BA268">
        <v>640.82000000000005</v>
      </c>
      <c r="BB268">
        <v>1</v>
      </c>
      <c r="BC268">
        <v>75.069101177840764</v>
      </c>
      <c r="BD268">
        <v>0.93830000000000002</v>
      </c>
      <c r="BE268" s="63">
        <v>70.436999999999998</v>
      </c>
      <c r="BF268">
        <v>8.9176000000000002</v>
      </c>
      <c r="BG268">
        <v>1</v>
      </c>
      <c r="BH268">
        <v>6023.7392733347688</v>
      </c>
      <c r="BI268">
        <v>1.098016605166052</v>
      </c>
      <c r="BJ268" s="63">
        <v>6614.1656999999996</v>
      </c>
      <c r="BK268" s="61">
        <v>70924.611555966592</v>
      </c>
    </row>
    <row r="269" spans="1:63" x14ac:dyDescent="0.25">
      <c r="A269">
        <v>807</v>
      </c>
      <c r="B269" t="s">
        <v>154</v>
      </c>
      <c r="C269">
        <v>2019</v>
      </c>
      <c r="D269">
        <v>9</v>
      </c>
      <c r="E269" t="s">
        <v>100</v>
      </c>
      <c r="F269" t="s">
        <v>426</v>
      </c>
      <c r="G269" t="s">
        <v>427</v>
      </c>
      <c r="H269" t="s">
        <v>84</v>
      </c>
      <c r="I269" t="s">
        <v>428</v>
      </c>
      <c r="J269" t="s">
        <v>381</v>
      </c>
      <c r="K269">
        <v>-1531.2176465699999</v>
      </c>
      <c r="L269" t="s">
        <v>381</v>
      </c>
      <c r="M269" t="s">
        <v>385</v>
      </c>
      <c r="N269">
        <v>0.54567226407058</v>
      </c>
      <c r="O269">
        <v>835.54299998867714</v>
      </c>
      <c r="P269" t="s">
        <v>440</v>
      </c>
      <c r="Q269">
        <v>2</v>
      </c>
      <c r="R269">
        <v>28.410399999999999</v>
      </c>
      <c r="S269">
        <v>4.3999999999999997E-2</v>
      </c>
      <c r="T269">
        <v>1.2500576000000001</v>
      </c>
      <c r="U269">
        <v>0.98099999999999998</v>
      </c>
      <c r="V269">
        <v>1226.307</v>
      </c>
      <c r="W269">
        <v>2</v>
      </c>
      <c r="X269">
        <v>5.8246915999999997E-5</v>
      </c>
      <c r="Y269">
        <v>0.14285700000000001</v>
      </c>
      <c r="Z269" s="61">
        <v>119.36316600000001</v>
      </c>
      <c r="AA269" t="s">
        <v>347</v>
      </c>
      <c r="AB269" t="s">
        <v>437</v>
      </c>
      <c r="AC269" t="s">
        <v>425</v>
      </c>
      <c r="AD269" t="s">
        <v>27</v>
      </c>
      <c r="AE269">
        <v>111.133</v>
      </c>
      <c r="AF269">
        <v>1.0541007448257309</v>
      </c>
      <c r="AG269">
        <v>117.145378074718</v>
      </c>
      <c r="AH269">
        <v>640.82000000000005</v>
      </c>
      <c r="AI269">
        <v>1</v>
      </c>
      <c r="AJ269">
        <v>75.069101177840764</v>
      </c>
      <c r="AK269">
        <v>0.95889999999999997</v>
      </c>
      <c r="AL269" s="63">
        <v>71.983999999999995</v>
      </c>
      <c r="AM269">
        <v>8.9176000000000002</v>
      </c>
      <c r="AN269">
        <v>9.4000488020579382</v>
      </c>
      <c r="AO269">
        <v>1</v>
      </c>
      <c r="AP269">
        <v>6023.7392733347688</v>
      </c>
      <c r="AQ269">
        <v>0.99097621000820357</v>
      </c>
      <c r="AR269">
        <v>5969.3823000000002</v>
      </c>
      <c r="AS269" s="61">
        <v>712524.37039236189</v>
      </c>
      <c r="AT269" t="s">
        <v>347</v>
      </c>
      <c r="AU269" t="s">
        <v>437</v>
      </c>
      <c r="AV269" t="s">
        <v>425</v>
      </c>
      <c r="AW269" t="s">
        <v>27</v>
      </c>
      <c r="AX269">
        <v>111.133</v>
      </c>
      <c r="AY269">
        <v>1.0541007448257309</v>
      </c>
      <c r="AZ269">
        <v>117.145378074718</v>
      </c>
      <c r="BA269">
        <v>640.82000000000005</v>
      </c>
      <c r="BB269">
        <v>1</v>
      </c>
      <c r="BC269">
        <v>75.069101177840764</v>
      </c>
      <c r="BD269">
        <v>0.95889999999999997</v>
      </c>
      <c r="BE269" s="63">
        <v>71.983999999999995</v>
      </c>
      <c r="BF269">
        <v>8.9176000000000002</v>
      </c>
      <c r="BG269">
        <v>1</v>
      </c>
      <c r="BH269">
        <v>6023.7392733347688</v>
      </c>
      <c r="BI269">
        <v>0.99097621000820357</v>
      </c>
      <c r="BJ269" s="63">
        <v>5969.3823000000002</v>
      </c>
      <c r="BK269" s="61">
        <v>712524.37039236189</v>
      </c>
    </row>
    <row r="270" spans="1:63" x14ac:dyDescent="0.25">
      <c r="A270">
        <v>807</v>
      </c>
      <c r="B270" t="s">
        <v>154</v>
      </c>
      <c r="C270">
        <v>2019</v>
      </c>
      <c r="D270">
        <v>9</v>
      </c>
      <c r="E270" t="s">
        <v>100</v>
      </c>
      <c r="F270" t="s">
        <v>426</v>
      </c>
      <c r="G270" t="s">
        <v>427</v>
      </c>
      <c r="H270" t="s">
        <v>84</v>
      </c>
      <c r="I270" t="s">
        <v>429</v>
      </c>
      <c r="J270" t="s">
        <v>87</v>
      </c>
      <c r="K270">
        <v>-303.51142240000001</v>
      </c>
      <c r="L270" t="s">
        <v>87</v>
      </c>
      <c r="M270" t="s">
        <v>385</v>
      </c>
      <c r="N270">
        <v>0.46576586246061003</v>
      </c>
      <c r="O270">
        <v>141.36525942078251</v>
      </c>
      <c r="P270" t="s">
        <v>440</v>
      </c>
      <c r="Q270">
        <v>2</v>
      </c>
      <c r="R270">
        <v>28.410399999999999</v>
      </c>
      <c r="S270">
        <v>4.3999999999999997E-2</v>
      </c>
      <c r="T270">
        <v>1.2500576000000001</v>
      </c>
      <c r="U270">
        <v>0.98099999999999998</v>
      </c>
      <c r="V270">
        <v>1226.307</v>
      </c>
      <c r="W270">
        <v>2</v>
      </c>
      <c r="X270">
        <v>5.8246915999999997E-5</v>
      </c>
      <c r="Y270">
        <v>0.14285700000000001</v>
      </c>
      <c r="Z270" s="61">
        <v>20.195017</v>
      </c>
      <c r="AA270" t="s">
        <v>347</v>
      </c>
      <c r="AB270" t="s">
        <v>437</v>
      </c>
      <c r="AC270" t="s">
        <v>425</v>
      </c>
      <c r="AD270" t="s">
        <v>27</v>
      </c>
      <c r="AE270">
        <v>111.133</v>
      </c>
      <c r="AF270">
        <v>1.0541007448257309</v>
      </c>
      <c r="AG270">
        <v>117.145378074718</v>
      </c>
      <c r="AH270">
        <v>640.82000000000005</v>
      </c>
      <c r="AI270">
        <v>1</v>
      </c>
      <c r="AJ270">
        <v>75.069101177840764</v>
      </c>
      <c r="AK270">
        <v>0.95889999999999997</v>
      </c>
      <c r="AL270" s="63">
        <v>71.983999999999995</v>
      </c>
      <c r="AM270">
        <v>8.9176000000000002</v>
      </c>
      <c r="AN270">
        <v>9.4000488020579382</v>
      </c>
      <c r="AO270">
        <v>1</v>
      </c>
      <c r="AP270">
        <v>6023.7392733347688</v>
      </c>
      <c r="AQ270">
        <v>0.99097621000820357</v>
      </c>
      <c r="AR270">
        <v>5969.3823000000002</v>
      </c>
      <c r="AS270" s="61">
        <v>120551.77702799909</v>
      </c>
      <c r="AT270" t="s">
        <v>347</v>
      </c>
      <c r="AU270" t="s">
        <v>437</v>
      </c>
      <c r="AV270" t="s">
        <v>425</v>
      </c>
      <c r="AW270" t="s">
        <v>27</v>
      </c>
      <c r="AX270">
        <v>111.133</v>
      </c>
      <c r="AY270">
        <v>1.0541007448257309</v>
      </c>
      <c r="AZ270">
        <v>117.145378074718</v>
      </c>
      <c r="BA270">
        <v>640.82000000000005</v>
      </c>
      <c r="BB270">
        <v>1</v>
      </c>
      <c r="BC270">
        <v>75.069101177840764</v>
      </c>
      <c r="BD270">
        <v>0.95889999999999997</v>
      </c>
      <c r="BE270" s="63">
        <v>71.983999999999995</v>
      </c>
      <c r="BF270">
        <v>8.9176000000000002</v>
      </c>
      <c r="BG270">
        <v>1</v>
      </c>
      <c r="BH270">
        <v>6023.7392733347688</v>
      </c>
      <c r="BI270">
        <v>0.99097621000820357</v>
      </c>
      <c r="BJ270" s="63">
        <v>5969.3823000000002</v>
      </c>
      <c r="BK270" s="61">
        <v>120551.77702799909</v>
      </c>
    </row>
    <row r="271" spans="1:63" x14ac:dyDescent="0.25">
      <c r="A271">
        <v>807</v>
      </c>
      <c r="B271" t="s">
        <v>154</v>
      </c>
      <c r="C271">
        <v>2019</v>
      </c>
      <c r="D271">
        <v>9</v>
      </c>
      <c r="E271" t="s">
        <v>100</v>
      </c>
      <c r="F271" t="s">
        <v>426</v>
      </c>
      <c r="G271" t="s">
        <v>427</v>
      </c>
      <c r="H271" t="s">
        <v>84</v>
      </c>
      <c r="I271" t="s">
        <v>430</v>
      </c>
      <c r="J271" t="s">
        <v>59</v>
      </c>
      <c r="K271">
        <v>-752.70116994</v>
      </c>
      <c r="L271" t="s">
        <v>59</v>
      </c>
      <c r="M271" t="s">
        <v>385</v>
      </c>
      <c r="N271">
        <v>0.54314598235988998</v>
      </c>
      <c r="O271">
        <v>408.82661637049978</v>
      </c>
      <c r="P271" t="s">
        <v>440</v>
      </c>
      <c r="Q271">
        <v>2</v>
      </c>
      <c r="R271">
        <v>28.410399999999999</v>
      </c>
      <c r="S271">
        <v>4.3999999999999997E-2</v>
      </c>
      <c r="T271">
        <v>1.2500576000000001</v>
      </c>
      <c r="U271">
        <v>0.98099999999999998</v>
      </c>
      <c r="V271">
        <v>1226.307</v>
      </c>
      <c r="W271">
        <v>2</v>
      </c>
      <c r="X271">
        <v>5.8246915999999997E-5</v>
      </c>
      <c r="Y271">
        <v>0.14285700000000001</v>
      </c>
      <c r="Z271" s="61">
        <v>58.403744000000003</v>
      </c>
      <c r="AA271" t="s">
        <v>347</v>
      </c>
      <c r="AB271" t="s">
        <v>437</v>
      </c>
      <c r="AC271" t="s">
        <v>425</v>
      </c>
      <c r="AD271" t="s">
        <v>27</v>
      </c>
      <c r="AE271">
        <v>111.133</v>
      </c>
      <c r="AF271">
        <v>1.0541007448257309</v>
      </c>
      <c r="AG271">
        <v>117.145378074718</v>
      </c>
      <c r="AH271">
        <v>640.82000000000005</v>
      </c>
      <c r="AI271">
        <v>1</v>
      </c>
      <c r="AJ271">
        <v>75.069101177840764</v>
      </c>
      <c r="AK271">
        <v>0.95889999999999997</v>
      </c>
      <c r="AL271" s="63">
        <v>71.983999999999995</v>
      </c>
      <c r="AM271">
        <v>8.9176000000000002</v>
      </c>
      <c r="AN271">
        <v>9.4000488020579382</v>
      </c>
      <c r="AO271">
        <v>1</v>
      </c>
      <c r="AP271">
        <v>6023.7392733347688</v>
      </c>
      <c r="AQ271">
        <v>0.99097621000820357</v>
      </c>
      <c r="AR271">
        <v>5969.3823000000002</v>
      </c>
      <c r="AS271" s="61">
        <v>348634.27568733122</v>
      </c>
      <c r="AT271" t="s">
        <v>347</v>
      </c>
      <c r="AU271" t="s">
        <v>437</v>
      </c>
      <c r="AV271" t="s">
        <v>425</v>
      </c>
      <c r="AW271" t="s">
        <v>27</v>
      </c>
      <c r="AX271">
        <v>111.133</v>
      </c>
      <c r="AY271">
        <v>1.0541007448257309</v>
      </c>
      <c r="AZ271">
        <v>117.145378074718</v>
      </c>
      <c r="BA271">
        <v>640.82000000000005</v>
      </c>
      <c r="BB271">
        <v>1</v>
      </c>
      <c r="BC271">
        <v>75.069101177840764</v>
      </c>
      <c r="BD271">
        <v>0.95889999999999997</v>
      </c>
      <c r="BE271" s="63">
        <v>71.983999999999995</v>
      </c>
      <c r="BF271">
        <v>8.9176000000000002</v>
      </c>
      <c r="BG271">
        <v>1</v>
      </c>
      <c r="BH271">
        <v>6023.7392733347688</v>
      </c>
      <c r="BI271">
        <v>0.99097621000820357</v>
      </c>
      <c r="BJ271" s="63">
        <v>5969.3823000000002</v>
      </c>
      <c r="BK271" s="61">
        <v>348634.27568733122</v>
      </c>
    </row>
    <row r="272" spans="1:63" x14ac:dyDescent="0.25">
      <c r="A272">
        <v>825</v>
      </c>
      <c r="B272" t="s">
        <v>156</v>
      </c>
      <c r="C272">
        <v>2019</v>
      </c>
      <c r="D272">
        <v>10</v>
      </c>
      <c r="E272" t="s">
        <v>100</v>
      </c>
      <c r="F272" t="s">
        <v>426</v>
      </c>
      <c r="G272" t="s">
        <v>427</v>
      </c>
      <c r="H272" t="s">
        <v>84</v>
      </c>
      <c r="I272" t="s">
        <v>428</v>
      </c>
      <c r="J272" t="s">
        <v>381</v>
      </c>
      <c r="K272">
        <v>-2130.6014798900001</v>
      </c>
      <c r="L272" t="s">
        <v>381</v>
      </c>
      <c r="M272" t="s">
        <v>384</v>
      </c>
      <c r="N272">
        <v>0.11701058843211</v>
      </c>
      <c r="O272">
        <v>249.30293287625329</v>
      </c>
      <c r="P272" t="s">
        <v>440</v>
      </c>
      <c r="Q272">
        <v>2</v>
      </c>
      <c r="R272">
        <v>28.410399999999999</v>
      </c>
      <c r="S272">
        <v>5.8999999999999997E-2</v>
      </c>
      <c r="T272">
        <v>1.6762136000000001</v>
      </c>
      <c r="U272">
        <v>1.9E-2</v>
      </c>
      <c r="V272">
        <v>31.847999999999999</v>
      </c>
      <c r="W272">
        <v>2</v>
      </c>
      <c r="X272">
        <v>2.2427911090000001E-3</v>
      </c>
      <c r="Y272">
        <v>0.14285700000000001</v>
      </c>
      <c r="Z272" s="61">
        <v>35.614668999999999</v>
      </c>
      <c r="AA272" t="s">
        <v>347</v>
      </c>
      <c r="AB272" t="s">
        <v>437</v>
      </c>
      <c r="AC272" t="s">
        <v>425</v>
      </c>
      <c r="AD272" t="s">
        <v>81</v>
      </c>
      <c r="AE272">
        <v>111.133</v>
      </c>
      <c r="AF272">
        <v>1.0541007448257309</v>
      </c>
      <c r="AG272">
        <v>117.145378074718</v>
      </c>
      <c r="AH272">
        <v>640.82000000000005</v>
      </c>
      <c r="AI272">
        <v>1</v>
      </c>
      <c r="AJ272">
        <v>75.069101177840764</v>
      </c>
      <c r="AK272">
        <v>0.93830000000000002</v>
      </c>
      <c r="AL272" s="63">
        <v>70.436999999999998</v>
      </c>
      <c r="AM272">
        <v>8.9176000000000002</v>
      </c>
      <c r="AN272">
        <v>9.4000488020579382</v>
      </c>
      <c r="AO272">
        <v>1</v>
      </c>
      <c r="AP272">
        <v>6023.7392733347688</v>
      </c>
      <c r="AQ272">
        <v>1.098016605166052</v>
      </c>
      <c r="AR272">
        <v>6614.1656999999996</v>
      </c>
      <c r="AS272" s="61">
        <v>235561.32211665329</v>
      </c>
      <c r="AT272" t="s">
        <v>347</v>
      </c>
      <c r="AU272" t="s">
        <v>437</v>
      </c>
      <c r="AV272" t="s">
        <v>425</v>
      </c>
      <c r="AW272" t="s">
        <v>81</v>
      </c>
      <c r="AX272">
        <v>111.133</v>
      </c>
      <c r="AY272">
        <v>1.0541007448257309</v>
      </c>
      <c r="AZ272">
        <v>117.145378074718</v>
      </c>
      <c r="BA272">
        <v>640.82000000000005</v>
      </c>
      <c r="BB272">
        <v>1</v>
      </c>
      <c r="BC272">
        <v>75.069101177840764</v>
      </c>
      <c r="BD272">
        <v>0.93830000000000002</v>
      </c>
      <c r="BE272" s="63">
        <v>70.436999999999998</v>
      </c>
      <c r="BF272">
        <v>8.9176000000000002</v>
      </c>
      <c r="BG272">
        <v>1</v>
      </c>
      <c r="BH272">
        <v>6023.7392733347688</v>
      </c>
      <c r="BI272">
        <v>1.098016605166052</v>
      </c>
      <c r="BJ272" s="63">
        <v>6614.1656999999996</v>
      </c>
      <c r="BK272" s="61">
        <v>235561.32211665329</v>
      </c>
    </row>
    <row r="273" spans="1:63" x14ac:dyDescent="0.25">
      <c r="A273">
        <v>825</v>
      </c>
      <c r="B273" t="s">
        <v>156</v>
      </c>
      <c r="C273">
        <v>2019</v>
      </c>
      <c r="D273">
        <v>10</v>
      </c>
      <c r="E273" t="s">
        <v>100</v>
      </c>
      <c r="F273" t="s">
        <v>426</v>
      </c>
      <c r="G273" t="s">
        <v>427</v>
      </c>
      <c r="H273" t="s">
        <v>84</v>
      </c>
      <c r="I273" t="s">
        <v>429</v>
      </c>
      <c r="J273" t="s">
        <v>87</v>
      </c>
      <c r="K273">
        <v>-444.60727349000001</v>
      </c>
      <c r="L273" t="s">
        <v>87</v>
      </c>
      <c r="M273" t="s">
        <v>384</v>
      </c>
      <c r="N273">
        <v>9.7514538340500001E-2</v>
      </c>
      <c r="O273">
        <v>43.355673017205767</v>
      </c>
      <c r="P273" t="s">
        <v>440</v>
      </c>
      <c r="Q273">
        <v>2</v>
      </c>
      <c r="R273">
        <v>28.410399999999999</v>
      </c>
      <c r="S273">
        <v>5.8999999999999997E-2</v>
      </c>
      <c r="T273">
        <v>1.6762136000000001</v>
      </c>
      <c r="U273">
        <v>1.9E-2</v>
      </c>
      <c r="V273">
        <v>31.847999999999999</v>
      </c>
      <c r="W273">
        <v>2</v>
      </c>
      <c r="X273">
        <v>2.2427911090000001E-3</v>
      </c>
      <c r="Y273">
        <v>0.14285700000000001</v>
      </c>
      <c r="Z273" s="61">
        <v>6.1936609999999996</v>
      </c>
      <c r="AA273" t="s">
        <v>347</v>
      </c>
      <c r="AB273" t="s">
        <v>437</v>
      </c>
      <c r="AC273" t="s">
        <v>425</v>
      </c>
      <c r="AD273" t="s">
        <v>81</v>
      </c>
      <c r="AE273">
        <v>111.133</v>
      </c>
      <c r="AF273">
        <v>1.0541007448257309</v>
      </c>
      <c r="AG273">
        <v>117.145378074718</v>
      </c>
      <c r="AH273">
        <v>640.82000000000005</v>
      </c>
      <c r="AI273">
        <v>1</v>
      </c>
      <c r="AJ273">
        <v>75.069101177840764</v>
      </c>
      <c r="AK273">
        <v>0.93830000000000002</v>
      </c>
      <c r="AL273" s="63">
        <v>70.436999999999998</v>
      </c>
      <c r="AM273">
        <v>8.9176000000000002</v>
      </c>
      <c r="AN273">
        <v>9.4000488020579382</v>
      </c>
      <c r="AO273">
        <v>1</v>
      </c>
      <c r="AP273">
        <v>6023.7392733347688</v>
      </c>
      <c r="AQ273">
        <v>1.098016605166052</v>
      </c>
      <c r="AR273">
        <v>6614.1656999999996</v>
      </c>
      <c r="AS273" s="61">
        <v>40965.900143627703</v>
      </c>
      <c r="AT273" t="s">
        <v>347</v>
      </c>
      <c r="AU273" t="s">
        <v>437</v>
      </c>
      <c r="AV273" t="s">
        <v>425</v>
      </c>
      <c r="AW273" t="s">
        <v>81</v>
      </c>
      <c r="AX273">
        <v>111.133</v>
      </c>
      <c r="AY273">
        <v>1.0541007448257309</v>
      </c>
      <c r="AZ273">
        <v>117.145378074718</v>
      </c>
      <c r="BA273">
        <v>640.82000000000005</v>
      </c>
      <c r="BB273">
        <v>1</v>
      </c>
      <c r="BC273">
        <v>75.069101177840764</v>
      </c>
      <c r="BD273">
        <v>0.93830000000000002</v>
      </c>
      <c r="BE273" s="63">
        <v>70.436999999999998</v>
      </c>
      <c r="BF273">
        <v>8.9176000000000002</v>
      </c>
      <c r="BG273">
        <v>1</v>
      </c>
      <c r="BH273">
        <v>6023.7392733347688</v>
      </c>
      <c r="BI273">
        <v>1.098016605166052</v>
      </c>
      <c r="BJ273" s="63">
        <v>6614.1656999999996</v>
      </c>
      <c r="BK273" s="61">
        <v>40965.900143627703</v>
      </c>
    </row>
    <row r="274" spans="1:63" x14ac:dyDescent="0.25">
      <c r="A274">
        <v>825</v>
      </c>
      <c r="B274" t="s">
        <v>156</v>
      </c>
      <c r="C274">
        <v>2019</v>
      </c>
      <c r="D274">
        <v>10</v>
      </c>
      <c r="E274" t="s">
        <v>100</v>
      </c>
      <c r="F274" t="s">
        <v>426</v>
      </c>
      <c r="G274" t="s">
        <v>427</v>
      </c>
      <c r="H274" t="s">
        <v>84</v>
      </c>
      <c r="I274" t="s">
        <v>430</v>
      </c>
      <c r="J274" t="s">
        <v>59</v>
      </c>
      <c r="K274">
        <v>-833.25848082000005</v>
      </c>
      <c r="L274" t="s">
        <v>59</v>
      </c>
      <c r="M274" t="s">
        <v>384</v>
      </c>
      <c r="N274">
        <v>9.9723560464940006E-2</v>
      </c>
      <c r="O274">
        <v>83.09550249497731</v>
      </c>
      <c r="P274" t="s">
        <v>440</v>
      </c>
      <c r="Q274">
        <v>2</v>
      </c>
      <c r="R274">
        <v>28.410399999999999</v>
      </c>
      <c r="S274">
        <v>5.8999999999999997E-2</v>
      </c>
      <c r="T274">
        <v>1.6762136000000001</v>
      </c>
      <c r="U274">
        <v>1.9E-2</v>
      </c>
      <c r="V274">
        <v>31.847999999999999</v>
      </c>
      <c r="W274">
        <v>2</v>
      </c>
      <c r="X274">
        <v>2.2427911090000001E-3</v>
      </c>
      <c r="Y274">
        <v>0.14285700000000001</v>
      </c>
      <c r="Z274" s="61">
        <v>11.870774000000001</v>
      </c>
      <c r="AA274" t="s">
        <v>347</v>
      </c>
      <c r="AB274" t="s">
        <v>437</v>
      </c>
      <c r="AC274" t="s">
        <v>425</v>
      </c>
      <c r="AD274" t="s">
        <v>81</v>
      </c>
      <c r="AE274">
        <v>111.133</v>
      </c>
      <c r="AF274">
        <v>1.0541007448257309</v>
      </c>
      <c r="AG274">
        <v>117.145378074718</v>
      </c>
      <c r="AH274">
        <v>640.82000000000005</v>
      </c>
      <c r="AI274">
        <v>1</v>
      </c>
      <c r="AJ274">
        <v>75.069101177840764</v>
      </c>
      <c r="AK274">
        <v>0.93830000000000002</v>
      </c>
      <c r="AL274" s="63">
        <v>70.436999999999998</v>
      </c>
      <c r="AM274">
        <v>8.9176000000000002</v>
      </c>
      <c r="AN274">
        <v>9.4000488020579382</v>
      </c>
      <c r="AO274">
        <v>1</v>
      </c>
      <c r="AP274">
        <v>6023.7392733347688</v>
      </c>
      <c r="AQ274">
        <v>1.098016605166052</v>
      </c>
      <c r="AR274">
        <v>6614.1656999999996</v>
      </c>
      <c r="AS274" s="61">
        <v>78515.266223251805</v>
      </c>
      <c r="AT274" t="s">
        <v>347</v>
      </c>
      <c r="AU274" t="s">
        <v>437</v>
      </c>
      <c r="AV274" t="s">
        <v>425</v>
      </c>
      <c r="AW274" t="s">
        <v>81</v>
      </c>
      <c r="AX274">
        <v>111.133</v>
      </c>
      <c r="AY274">
        <v>1.0541007448257309</v>
      </c>
      <c r="AZ274">
        <v>117.145378074718</v>
      </c>
      <c r="BA274">
        <v>640.82000000000005</v>
      </c>
      <c r="BB274">
        <v>1</v>
      </c>
      <c r="BC274">
        <v>75.069101177840764</v>
      </c>
      <c r="BD274">
        <v>0.93830000000000002</v>
      </c>
      <c r="BE274" s="63">
        <v>70.436999999999998</v>
      </c>
      <c r="BF274">
        <v>8.9176000000000002</v>
      </c>
      <c r="BG274">
        <v>1</v>
      </c>
      <c r="BH274">
        <v>6023.7392733347688</v>
      </c>
      <c r="BI274">
        <v>1.098016605166052</v>
      </c>
      <c r="BJ274" s="63">
        <v>6614.1656999999996</v>
      </c>
      <c r="BK274" s="61">
        <v>78515.266223251805</v>
      </c>
    </row>
    <row r="275" spans="1:63" x14ac:dyDescent="0.25">
      <c r="A275">
        <v>827</v>
      </c>
      <c r="B275" t="s">
        <v>156</v>
      </c>
      <c r="C275">
        <v>2019</v>
      </c>
      <c r="D275">
        <v>10</v>
      </c>
      <c r="E275" t="s">
        <v>100</v>
      </c>
      <c r="F275" t="s">
        <v>426</v>
      </c>
      <c r="G275" t="s">
        <v>427</v>
      </c>
      <c r="H275" t="s">
        <v>84</v>
      </c>
      <c r="I275" t="s">
        <v>428</v>
      </c>
      <c r="J275" t="s">
        <v>381</v>
      </c>
      <c r="K275">
        <v>-2130.6014798900001</v>
      </c>
      <c r="L275" t="s">
        <v>381</v>
      </c>
      <c r="M275" t="s">
        <v>385</v>
      </c>
      <c r="N275">
        <v>0.54567226407055003</v>
      </c>
      <c r="O275">
        <v>1162.6101333636409</v>
      </c>
      <c r="P275" t="s">
        <v>440</v>
      </c>
      <c r="Q275">
        <v>2</v>
      </c>
      <c r="R275">
        <v>28.410399999999999</v>
      </c>
      <c r="S275">
        <v>5.8999999999999997E-2</v>
      </c>
      <c r="T275">
        <v>1.6762136000000001</v>
      </c>
      <c r="U275">
        <v>0.98099999999999998</v>
      </c>
      <c r="V275">
        <v>1644.366</v>
      </c>
      <c r="W275">
        <v>2</v>
      </c>
      <c r="X275">
        <v>4.3438379000000003E-5</v>
      </c>
      <c r="Y275">
        <v>0.14285700000000001</v>
      </c>
      <c r="Z275" s="61">
        <v>166.086996</v>
      </c>
      <c r="AA275" t="s">
        <v>347</v>
      </c>
      <c r="AB275" t="s">
        <v>437</v>
      </c>
      <c r="AC275" t="s">
        <v>425</v>
      </c>
      <c r="AD275" t="s">
        <v>27</v>
      </c>
      <c r="AE275">
        <v>111.133</v>
      </c>
      <c r="AF275">
        <v>1.0541007448257309</v>
      </c>
      <c r="AG275">
        <v>117.145378074718</v>
      </c>
      <c r="AH275">
        <v>640.82000000000005</v>
      </c>
      <c r="AI275">
        <v>1</v>
      </c>
      <c r="AJ275">
        <v>75.069101177840764</v>
      </c>
      <c r="AK275">
        <v>0.95889999999999997</v>
      </c>
      <c r="AL275" s="63">
        <v>71.983999999999995</v>
      </c>
      <c r="AM275">
        <v>8.9176000000000002</v>
      </c>
      <c r="AN275">
        <v>9.4000488020579382</v>
      </c>
      <c r="AO275">
        <v>1</v>
      </c>
      <c r="AP275">
        <v>6023.7392733347688</v>
      </c>
      <c r="AQ275">
        <v>0.99097621000820357</v>
      </c>
      <c r="AR275">
        <v>5969.3823000000002</v>
      </c>
      <c r="AS275" s="61">
        <v>991436.77418257087</v>
      </c>
      <c r="AT275" t="s">
        <v>347</v>
      </c>
      <c r="AU275" t="s">
        <v>437</v>
      </c>
      <c r="AV275" t="s">
        <v>425</v>
      </c>
      <c r="AW275" t="s">
        <v>27</v>
      </c>
      <c r="AX275">
        <v>111.133</v>
      </c>
      <c r="AY275">
        <v>1.0541007448257309</v>
      </c>
      <c r="AZ275">
        <v>117.145378074718</v>
      </c>
      <c r="BA275">
        <v>640.82000000000005</v>
      </c>
      <c r="BB275">
        <v>1</v>
      </c>
      <c r="BC275">
        <v>75.069101177840764</v>
      </c>
      <c r="BD275">
        <v>0.95889999999999997</v>
      </c>
      <c r="BE275" s="63">
        <v>71.983999999999995</v>
      </c>
      <c r="BF275">
        <v>8.9176000000000002</v>
      </c>
      <c r="BG275">
        <v>1</v>
      </c>
      <c r="BH275">
        <v>6023.7392733347688</v>
      </c>
      <c r="BI275">
        <v>0.99097621000820357</v>
      </c>
      <c r="BJ275" s="63">
        <v>5969.3823000000002</v>
      </c>
      <c r="BK275" s="61">
        <v>991436.77418257087</v>
      </c>
    </row>
    <row r="276" spans="1:63" x14ac:dyDescent="0.25">
      <c r="A276">
        <v>827</v>
      </c>
      <c r="B276" t="s">
        <v>156</v>
      </c>
      <c r="C276">
        <v>2019</v>
      </c>
      <c r="D276">
        <v>10</v>
      </c>
      <c r="E276" t="s">
        <v>100</v>
      </c>
      <c r="F276" t="s">
        <v>426</v>
      </c>
      <c r="G276" t="s">
        <v>427</v>
      </c>
      <c r="H276" t="s">
        <v>84</v>
      </c>
      <c r="I276" t="s">
        <v>429</v>
      </c>
      <c r="J276" t="s">
        <v>87</v>
      </c>
      <c r="K276">
        <v>-444.60727349000001</v>
      </c>
      <c r="L276" t="s">
        <v>87</v>
      </c>
      <c r="M276" t="s">
        <v>385</v>
      </c>
      <c r="N276">
        <v>0.46576586246396001</v>
      </c>
      <c r="O276">
        <v>207.08289019481961</v>
      </c>
      <c r="P276" t="s">
        <v>440</v>
      </c>
      <c r="Q276">
        <v>2</v>
      </c>
      <c r="R276">
        <v>28.410399999999999</v>
      </c>
      <c r="S276">
        <v>5.8999999999999997E-2</v>
      </c>
      <c r="T276">
        <v>1.6762136000000001</v>
      </c>
      <c r="U276">
        <v>0.98099999999999998</v>
      </c>
      <c r="V276">
        <v>1644.366</v>
      </c>
      <c r="W276">
        <v>2</v>
      </c>
      <c r="X276">
        <v>4.3438379000000003E-5</v>
      </c>
      <c r="Y276">
        <v>0.14285700000000001</v>
      </c>
      <c r="Z276" s="61">
        <v>29.58324</v>
      </c>
      <c r="AA276" t="s">
        <v>347</v>
      </c>
      <c r="AB276" t="s">
        <v>437</v>
      </c>
      <c r="AC276" t="s">
        <v>425</v>
      </c>
      <c r="AD276" t="s">
        <v>27</v>
      </c>
      <c r="AE276">
        <v>111.133</v>
      </c>
      <c r="AF276">
        <v>1.0541007448257309</v>
      </c>
      <c r="AG276">
        <v>117.145378074718</v>
      </c>
      <c r="AH276">
        <v>640.82000000000005</v>
      </c>
      <c r="AI276">
        <v>1</v>
      </c>
      <c r="AJ276">
        <v>75.069101177840764</v>
      </c>
      <c r="AK276">
        <v>0.95889999999999997</v>
      </c>
      <c r="AL276" s="63">
        <v>71.983999999999995</v>
      </c>
      <c r="AM276">
        <v>8.9176000000000002</v>
      </c>
      <c r="AN276">
        <v>9.4000488020579382</v>
      </c>
      <c r="AO276">
        <v>1</v>
      </c>
      <c r="AP276">
        <v>6023.7392733347688</v>
      </c>
      <c r="AQ276">
        <v>0.99097621000820357</v>
      </c>
      <c r="AR276">
        <v>5969.3823000000002</v>
      </c>
      <c r="AS276" s="61">
        <v>176593.669232652</v>
      </c>
      <c r="AT276" t="s">
        <v>347</v>
      </c>
      <c r="AU276" t="s">
        <v>437</v>
      </c>
      <c r="AV276" t="s">
        <v>425</v>
      </c>
      <c r="AW276" t="s">
        <v>27</v>
      </c>
      <c r="AX276">
        <v>111.133</v>
      </c>
      <c r="AY276">
        <v>1.0541007448257309</v>
      </c>
      <c r="AZ276">
        <v>117.145378074718</v>
      </c>
      <c r="BA276">
        <v>640.82000000000005</v>
      </c>
      <c r="BB276">
        <v>1</v>
      </c>
      <c r="BC276">
        <v>75.069101177840764</v>
      </c>
      <c r="BD276">
        <v>0.95889999999999997</v>
      </c>
      <c r="BE276" s="63">
        <v>71.983999999999995</v>
      </c>
      <c r="BF276">
        <v>8.9176000000000002</v>
      </c>
      <c r="BG276">
        <v>1</v>
      </c>
      <c r="BH276">
        <v>6023.7392733347688</v>
      </c>
      <c r="BI276">
        <v>0.99097621000820357</v>
      </c>
      <c r="BJ276" s="63">
        <v>5969.3823000000002</v>
      </c>
      <c r="BK276" s="61">
        <v>176593.669232652</v>
      </c>
    </row>
    <row r="277" spans="1:63" x14ac:dyDescent="0.25">
      <c r="A277">
        <v>827</v>
      </c>
      <c r="B277" t="s">
        <v>156</v>
      </c>
      <c r="C277">
        <v>2019</v>
      </c>
      <c r="D277">
        <v>10</v>
      </c>
      <c r="E277" t="s">
        <v>100</v>
      </c>
      <c r="F277" t="s">
        <v>426</v>
      </c>
      <c r="G277" t="s">
        <v>427</v>
      </c>
      <c r="H277" t="s">
        <v>84</v>
      </c>
      <c r="I277" t="s">
        <v>430</v>
      </c>
      <c r="J277" t="s">
        <v>59</v>
      </c>
      <c r="K277">
        <v>-833.25848082000005</v>
      </c>
      <c r="L277" t="s">
        <v>59</v>
      </c>
      <c r="M277" t="s">
        <v>385</v>
      </c>
      <c r="N277">
        <v>0.54314598235954004</v>
      </c>
      <c r="O277">
        <v>452.58099612439679</v>
      </c>
      <c r="P277" t="s">
        <v>440</v>
      </c>
      <c r="Q277">
        <v>2</v>
      </c>
      <c r="R277">
        <v>28.410399999999999</v>
      </c>
      <c r="S277">
        <v>5.8999999999999997E-2</v>
      </c>
      <c r="T277">
        <v>1.6762136000000001</v>
      </c>
      <c r="U277">
        <v>0.98099999999999998</v>
      </c>
      <c r="V277">
        <v>1644.366</v>
      </c>
      <c r="W277">
        <v>2</v>
      </c>
      <c r="X277">
        <v>4.3438379000000003E-5</v>
      </c>
      <c r="Y277">
        <v>0.14285700000000001</v>
      </c>
      <c r="Z277" s="61">
        <v>64.654363000000004</v>
      </c>
      <c r="AA277" t="s">
        <v>347</v>
      </c>
      <c r="AB277" t="s">
        <v>437</v>
      </c>
      <c r="AC277" t="s">
        <v>425</v>
      </c>
      <c r="AD277" t="s">
        <v>27</v>
      </c>
      <c r="AE277">
        <v>111.133</v>
      </c>
      <c r="AF277">
        <v>1.0541007448257309</v>
      </c>
      <c r="AG277">
        <v>117.145378074718</v>
      </c>
      <c r="AH277">
        <v>640.82000000000005</v>
      </c>
      <c r="AI277">
        <v>1</v>
      </c>
      <c r="AJ277">
        <v>75.069101177840764</v>
      </c>
      <c r="AK277">
        <v>0.95889999999999997</v>
      </c>
      <c r="AL277" s="63">
        <v>71.983999999999995</v>
      </c>
      <c r="AM277">
        <v>8.9176000000000002</v>
      </c>
      <c r="AN277">
        <v>9.4000488020579382</v>
      </c>
      <c r="AO277">
        <v>1</v>
      </c>
      <c r="AP277">
        <v>6023.7392733347688</v>
      </c>
      <c r="AQ277">
        <v>0.99097621000820357</v>
      </c>
      <c r="AR277">
        <v>5969.3823000000002</v>
      </c>
      <c r="AS277" s="61">
        <v>385946.61010997492</v>
      </c>
      <c r="AT277" t="s">
        <v>347</v>
      </c>
      <c r="AU277" t="s">
        <v>437</v>
      </c>
      <c r="AV277" t="s">
        <v>425</v>
      </c>
      <c r="AW277" t="s">
        <v>27</v>
      </c>
      <c r="AX277">
        <v>111.133</v>
      </c>
      <c r="AY277">
        <v>1.0541007448257309</v>
      </c>
      <c r="AZ277">
        <v>117.145378074718</v>
      </c>
      <c r="BA277">
        <v>640.82000000000005</v>
      </c>
      <c r="BB277">
        <v>1</v>
      </c>
      <c r="BC277">
        <v>75.069101177840764</v>
      </c>
      <c r="BD277">
        <v>0.95889999999999997</v>
      </c>
      <c r="BE277" s="63">
        <v>71.983999999999995</v>
      </c>
      <c r="BF277">
        <v>8.9176000000000002</v>
      </c>
      <c r="BG277">
        <v>1</v>
      </c>
      <c r="BH277">
        <v>6023.7392733347688</v>
      </c>
      <c r="BI277">
        <v>0.99097621000820357</v>
      </c>
      <c r="BJ277" s="63">
        <v>5969.3823000000002</v>
      </c>
      <c r="BK277" s="61">
        <v>385946.61010997492</v>
      </c>
    </row>
    <row r="278" spans="1:63" x14ac:dyDescent="0.25">
      <c r="A278">
        <v>851</v>
      </c>
      <c r="B278" t="s">
        <v>155</v>
      </c>
      <c r="C278">
        <v>2019</v>
      </c>
      <c r="D278">
        <v>11</v>
      </c>
      <c r="E278" t="s">
        <v>100</v>
      </c>
      <c r="F278" t="s">
        <v>426</v>
      </c>
      <c r="G278" t="s">
        <v>427</v>
      </c>
      <c r="H278" t="s">
        <v>84</v>
      </c>
      <c r="I278" t="s">
        <v>428</v>
      </c>
      <c r="J278" t="s">
        <v>381</v>
      </c>
      <c r="K278">
        <v>-2680.4962290200001</v>
      </c>
      <c r="L278" t="s">
        <v>381</v>
      </c>
      <c r="M278" t="s">
        <v>384</v>
      </c>
      <c r="N278">
        <v>0.11701058843206</v>
      </c>
      <c r="O278">
        <v>313.64644104754808</v>
      </c>
      <c r="P278" t="s">
        <v>440</v>
      </c>
      <c r="Q278">
        <v>2</v>
      </c>
      <c r="R278">
        <v>28.410399999999999</v>
      </c>
      <c r="S278">
        <v>9.2999999999999999E-2</v>
      </c>
      <c r="T278">
        <v>2.6421671999999998</v>
      </c>
      <c r="U278">
        <v>1.9E-2</v>
      </c>
      <c r="V278">
        <v>50.201000000000001</v>
      </c>
      <c r="W278">
        <v>2</v>
      </c>
      <c r="X278">
        <v>1.422847516E-3</v>
      </c>
      <c r="Y278">
        <v>0.14285700000000001</v>
      </c>
      <c r="Z278" s="61">
        <v>44.80659</v>
      </c>
      <c r="AA278" t="s">
        <v>347</v>
      </c>
      <c r="AB278" t="s">
        <v>437</v>
      </c>
      <c r="AC278" t="s">
        <v>425</v>
      </c>
      <c r="AD278" t="s">
        <v>81</v>
      </c>
      <c r="AE278">
        <v>111.133</v>
      </c>
      <c r="AF278">
        <v>1.0541007448257309</v>
      </c>
      <c r="AG278">
        <v>117.145378074718</v>
      </c>
      <c r="AH278">
        <v>640.82000000000005</v>
      </c>
      <c r="AI278">
        <v>1</v>
      </c>
      <c r="AJ278">
        <v>75.069101177840764</v>
      </c>
      <c r="AK278">
        <v>0.93830000000000002</v>
      </c>
      <c r="AL278" s="63">
        <v>70.436999999999998</v>
      </c>
      <c r="AM278">
        <v>8.9176000000000002</v>
      </c>
      <c r="AN278">
        <v>9.4000488020579382</v>
      </c>
      <c r="AO278">
        <v>1</v>
      </c>
      <c r="AP278">
        <v>6023.7392733347688</v>
      </c>
      <c r="AQ278">
        <v>1.098016605166052</v>
      </c>
      <c r="AR278">
        <v>6614.1656999999996</v>
      </c>
      <c r="AS278" s="61">
        <v>296358.21071196301</v>
      </c>
      <c r="AT278" t="s">
        <v>347</v>
      </c>
      <c r="AU278" t="s">
        <v>437</v>
      </c>
      <c r="AV278" t="s">
        <v>425</v>
      </c>
      <c r="AW278" t="s">
        <v>81</v>
      </c>
      <c r="AX278">
        <v>111.133</v>
      </c>
      <c r="AY278">
        <v>1.0541007448257309</v>
      </c>
      <c r="AZ278">
        <v>117.145378074718</v>
      </c>
      <c r="BA278">
        <v>640.82000000000005</v>
      </c>
      <c r="BB278">
        <v>1</v>
      </c>
      <c r="BC278">
        <v>75.069101177840764</v>
      </c>
      <c r="BD278">
        <v>0.93830000000000002</v>
      </c>
      <c r="BE278" s="63">
        <v>70.436999999999998</v>
      </c>
      <c r="BF278">
        <v>8.9176000000000002</v>
      </c>
      <c r="BG278">
        <v>1</v>
      </c>
      <c r="BH278">
        <v>6023.7392733347688</v>
      </c>
      <c r="BI278">
        <v>1.098016605166052</v>
      </c>
      <c r="BJ278" s="63">
        <v>6614.1656999999996</v>
      </c>
      <c r="BK278" s="61">
        <v>296358.21071196301</v>
      </c>
    </row>
    <row r="279" spans="1:63" x14ac:dyDescent="0.25">
      <c r="A279">
        <v>851</v>
      </c>
      <c r="B279" t="s">
        <v>155</v>
      </c>
      <c r="C279">
        <v>2019</v>
      </c>
      <c r="D279">
        <v>11</v>
      </c>
      <c r="E279" t="s">
        <v>100</v>
      </c>
      <c r="F279" t="s">
        <v>426</v>
      </c>
      <c r="G279" t="s">
        <v>427</v>
      </c>
      <c r="H279" t="s">
        <v>84</v>
      </c>
      <c r="I279" t="s">
        <v>429</v>
      </c>
      <c r="J279" t="s">
        <v>87</v>
      </c>
      <c r="K279">
        <v>-962.14798568000003</v>
      </c>
      <c r="L279" t="s">
        <v>87</v>
      </c>
      <c r="M279" t="s">
        <v>384</v>
      </c>
      <c r="N279">
        <v>9.7514538340349996E-2</v>
      </c>
      <c r="O279">
        <v>93.823416638682886</v>
      </c>
      <c r="P279" t="s">
        <v>440</v>
      </c>
      <c r="Q279">
        <v>2</v>
      </c>
      <c r="R279">
        <v>28.410399999999999</v>
      </c>
      <c r="S279">
        <v>9.2999999999999999E-2</v>
      </c>
      <c r="T279">
        <v>2.6421671999999998</v>
      </c>
      <c r="U279">
        <v>1.9E-2</v>
      </c>
      <c r="V279">
        <v>50.201000000000001</v>
      </c>
      <c r="W279">
        <v>2</v>
      </c>
      <c r="X279">
        <v>1.422847516E-3</v>
      </c>
      <c r="Y279">
        <v>0.14285700000000001</v>
      </c>
      <c r="Z279" s="61">
        <v>13.403332000000001</v>
      </c>
      <c r="AA279" t="s">
        <v>347</v>
      </c>
      <c r="AB279" t="s">
        <v>437</v>
      </c>
      <c r="AC279" t="s">
        <v>425</v>
      </c>
      <c r="AD279" t="s">
        <v>81</v>
      </c>
      <c r="AE279">
        <v>111.133</v>
      </c>
      <c r="AF279">
        <v>1.0541007448257309</v>
      </c>
      <c r="AG279">
        <v>117.145378074718</v>
      </c>
      <c r="AH279">
        <v>640.82000000000005</v>
      </c>
      <c r="AI279">
        <v>1</v>
      </c>
      <c r="AJ279">
        <v>75.069101177840764</v>
      </c>
      <c r="AK279">
        <v>0.93830000000000002</v>
      </c>
      <c r="AL279" s="63">
        <v>70.436999999999998</v>
      </c>
      <c r="AM279">
        <v>8.9176000000000002</v>
      </c>
      <c r="AN279">
        <v>9.4000488020579382</v>
      </c>
      <c r="AO279">
        <v>1</v>
      </c>
      <c r="AP279">
        <v>6023.7392733347688</v>
      </c>
      <c r="AQ279">
        <v>1.098016605166052</v>
      </c>
      <c r="AR279">
        <v>6614.1656999999996</v>
      </c>
      <c r="AS279" s="61">
        <v>88651.858780112394</v>
      </c>
      <c r="AT279" t="s">
        <v>347</v>
      </c>
      <c r="AU279" t="s">
        <v>437</v>
      </c>
      <c r="AV279" t="s">
        <v>425</v>
      </c>
      <c r="AW279" t="s">
        <v>81</v>
      </c>
      <c r="AX279">
        <v>111.133</v>
      </c>
      <c r="AY279">
        <v>1.0541007448257309</v>
      </c>
      <c r="AZ279">
        <v>117.145378074718</v>
      </c>
      <c r="BA279">
        <v>640.82000000000005</v>
      </c>
      <c r="BB279">
        <v>1</v>
      </c>
      <c r="BC279">
        <v>75.069101177840764</v>
      </c>
      <c r="BD279">
        <v>0.93830000000000002</v>
      </c>
      <c r="BE279" s="63">
        <v>70.436999999999998</v>
      </c>
      <c r="BF279">
        <v>8.9176000000000002</v>
      </c>
      <c r="BG279">
        <v>1</v>
      </c>
      <c r="BH279">
        <v>6023.7392733347688</v>
      </c>
      <c r="BI279">
        <v>1.098016605166052</v>
      </c>
      <c r="BJ279" s="63">
        <v>6614.1656999999996</v>
      </c>
      <c r="BK279" s="61">
        <v>88651.858780112394</v>
      </c>
    </row>
    <row r="280" spans="1:63" x14ac:dyDescent="0.25">
      <c r="A280">
        <v>851</v>
      </c>
      <c r="B280" t="s">
        <v>155</v>
      </c>
      <c r="C280">
        <v>2019</v>
      </c>
      <c r="D280">
        <v>11</v>
      </c>
      <c r="E280" t="s">
        <v>100</v>
      </c>
      <c r="F280" t="s">
        <v>426</v>
      </c>
      <c r="G280" t="s">
        <v>427</v>
      </c>
      <c r="H280" t="s">
        <v>84</v>
      </c>
      <c r="I280" t="s">
        <v>430</v>
      </c>
      <c r="J280" t="s">
        <v>59</v>
      </c>
      <c r="K280">
        <v>-766.34341703999996</v>
      </c>
      <c r="L280" t="s">
        <v>59</v>
      </c>
      <c r="M280" t="s">
        <v>384</v>
      </c>
      <c r="N280">
        <v>9.972356046519E-2</v>
      </c>
      <c r="O280">
        <v>76.422494086288751</v>
      </c>
      <c r="P280" t="s">
        <v>440</v>
      </c>
      <c r="Q280">
        <v>2</v>
      </c>
      <c r="R280">
        <v>28.410399999999999</v>
      </c>
      <c r="S280">
        <v>9.2999999999999999E-2</v>
      </c>
      <c r="T280">
        <v>2.6421671999999998</v>
      </c>
      <c r="U280">
        <v>1.9E-2</v>
      </c>
      <c r="V280">
        <v>50.201000000000001</v>
      </c>
      <c r="W280">
        <v>2</v>
      </c>
      <c r="X280">
        <v>1.422847516E-3</v>
      </c>
      <c r="Y280">
        <v>0.14285700000000001</v>
      </c>
      <c r="Z280" s="61">
        <v>10.917488000000001</v>
      </c>
      <c r="AA280" t="s">
        <v>347</v>
      </c>
      <c r="AB280" t="s">
        <v>437</v>
      </c>
      <c r="AC280" t="s">
        <v>425</v>
      </c>
      <c r="AD280" t="s">
        <v>81</v>
      </c>
      <c r="AE280">
        <v>111.133</v>
      </c>
      <c r="AF280">
        <v>1.0541007448257309</v>
      </c>
      <c r="AG280">
        <v>117.145378074718</v>
      </c>
      <c r="AH280">
        <v>640.82000000000005</v>
      </c>
      <c r="AI280">
        <v>1</v>
      </c>
      <c r="AJ280">
        <v>75.069101177840764</v>
      </c>
      <c r="AK280">
        <v>0.93830000000000002</v>
      </c>
      <c r="AL280" s="63">
        <v>70.436999999999998</v>
      </c>
      <c r="AM280">
        <v>8.9176000000000002</v>
      </c>
      <c r="AN280">
        <v>9.4000488020579382</v>
      </c>
      <c r="AO280">
        <v>1</v>
      </c>
      <c r="AP280">
        <v>6023.7392733347688</v>
      </c>
      <c r="AQ280">
        <v>1.098016605166052</v>
      </c>
      <c r="AR280">
        <v>6614.1656999999996</v>
      </c>
      <c r="AS280" s="61">
        <v>72210.074659761594</v>
      </c>
      <c r="AT280" t="s">
        <v>347</v>
      </c>
      <c r="AU280" t="s">
        <v>437</v>
      </c>
      <c r="AV280" t="s">
        <v>425</v>
      </c>
      <c r="AW280" t="s">
        <v>81</v>
      </c>
      <c r="AX280">
        <v>111.133</v>
      </c>
      <c r="AY280">
        <v>1.0541007448257309</v>
      </c>
      <c r="AZ280">
        <v>117.145378074718</v>
      </c>
      <c r="BA280">
        <v>640.82000000000005</v>
      </c>
      <c r="BB280">
        <v>1</v>
      </c>
      <c r="BC280">
        <v>75.069101177840764</v>
      </c>
      <c r="BD280">
        <v>0.93830000000000002</v>
      </c>
      <c r="BE280" s="63">
        <v>70.436999999999998</v>
      </c>
      <c r="BF280">
        <v>8.9176000000000002</v>
      </c>
      <c r="BG280">
        <v>1</v>
      </c>
      <c r="BH280">
        <v>6023.7392733347688</v>
      </c>
      <c r="BI280">
        <v>1.098016605166052</v>
      </c>
      <c r="BJ280" s="63">
        <v>6614.1656999999996</v>
      </c>
      <c r="BK280" s="61">
        <v>72210.074659761594</v>
      </c>
    </row>
    <row r="281" spans="1:63" x14ac:dyDescent="0.25">
      <c r="A281">
        <v>853</v>
      </c>
      <c r="B281" t="s">
        <v>155</v>
      </c>
      <c r="C281">
        <v>2019</v>
      </c>
      <c r="D281">
        <v>11</v>
      </c>
      <c r="E281" t="s">
        <v>100</v>
      </c>
      <c r="F281" t="s">
        <v>426</v>
      </c>
      <c r="G281" t="s">
        <v>427</v>
      </c>
      <c r="H281" t="s">
        <v>84</v>
      </c>
      <c r="I281" t="s">
        <v>428</v>
      </c>
      <c r="J281" t="s">
        <v>381</v>
      </c>
      <c r="K281">
        <v>-2680.4962290200001</v>
      </c>
      <c r="L281" t="s">
        <v>381</v>
      </c>
      <c r="M281" t="s">
        <v>385</v>
      </c>
      <c r="N281">
        <v>0.54567226407074998</v>
      </c>
      <c r="O281">
        <v>1462.672446122451</v>
      </c>
      <c r="P281" t="s">
        <v>440</v>
      </c>
      <c r="Q281">
        <v>2</v>
      </c>
      <c r="R281">
        <v>28.410399999999999</v>
      </c>
      <c r="S281">
        <v>9.2999999999999999E-2</v>
      </c>
      <c r="T281">
        <v>2.6421671999999998</v>
      </c>
      <c r="U281">
        <v>0.98099999999999998</v>
      </c>
      <c r="V281">
        <v>2591.9659999999999</v>
      </c>
      <c r="W281">
        <v>2</v>
      </c>
      <c r="X281">
        <v>2.7557682E-5</v>
      </c>
      <c r="Y281">
        <v>0.14285700000000001</v>
      </c>
      <c r="Z281" s="61">
        <v>208.95299800000001</v>
      </c>
      <c r="AA281" t="s">
        <v>347</v>
      </c>
      <c r="AB281" t="s">
        <v>437</v>
      </c>
      <c r="AC281" t="s">
        <v>425</v>
      </c>
      <c r="AD281" t="s">
        <v>27</v>
      </c>
      <c r="AE281">
        <v>111.133</v>
      </c>
      <c r="AF281">
        <v>1.0541007448257309</v>
      </c>
      <c r="AG281">
        <v>117.145378074718</v>
      </c>
      <c r="AH281">
        <v>640.82000000000005</v>
      </c>
      <c r="AI281">
        <v>1</v>
      </c>
      <c r="AJ281">
        <v>75.069101177840764</v>
      </c>
      <c r="AK281">
        <v>0.95889999999999997</v>
      </c>
      <c r="AL281" s="63">
        <v>71.983999999999995</v>
      </c>
      <c r="AM281">
        <v>8.9176000000000002</v>
      </c>
      <c r="AN281">
        <v>9.4000488020579382</v>
      </c>
      <c r="AO281">
        <v>1</v>
      </c>
      <c r="AP281">
        <v>6023.7392733347688</v>
      </c>
      <c r="AQ281">
        <v>0.99097621000820357</v>
      </c>
      <c r="AR281">
        <v>5969.3823000000002</v>
      </c>
      <c r="AS281" s="61">
        <v>1247320.327793136</v>
      </c>
      <c r="AT281" t="s">
        <v>347</v>
      </c>
      <c r="AU281" t="s">
        <v>437</v>
      </c>
      <c r="AV281" t="s">
        <v>425</v>
      </c>
      <c r="AW281" t="s">
        <v>27</v>
      </c>
      <c r="AX281">
        <v>111.133</v>
      </c>
      <c r="AY281">
        <v>1.0541007448257309</v>
      </c>
      <c r="AZ281">
        <v>117.145378074718</v>
      </c>
      <c r="BA281">
        <v>640.82000000000005</v>
      </c>
      <c r="BB281">
        <v>1</v>
      </c>
      <c r="BC281">
        <v>75.069101177840764</v>
      </c>
      <c r="BD281">
        <v>0.95889999999999997</v>
      </c>
      <c r="BE281" s="63">
        <v>71.983999999999995</v>
      </c>
      <c r="BF281">
        <v>8.9176000000000002</v>
      </c>
      <c r="BG281">
        <v>1</v>
      </c>
      <c r="BH281">
        <v>6023.7392733347688</v>
      </c>
      <c r="BI281">
        <v>0.99097621000820357</v>
      </c>
      <c r="BJ281" s="63">
        <v>5969.3823000000002</v>
      </c>
      <c r="BK281" s="61">
        <v>1247320.327793136</v>
      </c>
    </row>
    <row r="282" spans="1:63" x14ac:dyDescent="0.25">
      <c r="A282">
        <v>853</v>
      </c>
      <c r="B282" t="s">
        <v>155</v>
      </c>
      <c r="C282">
        <v>2019</v>
      </c>
      <c r="D282">
        <v>11</v>
      </c>
      <c r="E282" t="s">
        <v>100</v>
      </c>
      <c r="F282" t="s">
        <v>426</v>
      </c>
      <c r="G282" t="s">
        <v>427</v>
      </c>
      <c r="H282" t="s">
        <v>84</v>
      </c>
      <c r="I282" t="s">
        <v>429</v>
      </c>
      <c r="J282" t="s">
        <v>87</v>
      </c>
      <c r="K282">
        <v>-962.14798568000003</v>
      </c>
      <c r="L282" t="s">
        <v>87</v>
      </c>
      <c r="M282" t="s">
        <v>385</v>
      </c>
      <c r="N282">
        <v>0.46576586246427998</v>
      </c>
      <c r="O282">
        <v>448.13568636851488</v>
      </c>
      <c r="P282" t="s">
        <v>440</v>
      </c>
      <c r="Q282">
        <v>2</v>
      </c>
      <c r="R282">
        <v>28.410399999999999</v>
      </c>
      <c r="S282">
        <v>9.2999999999999999E-2</v>
      </c>
      <c r="T282">
        <v>2.6421671999999998</v>
      </c>
      <c r="U282">
        <v>0.98099999999999998</v>
      </c>
      <c r="V282">
        <v>2591.9659999999999</v>
      </c>
      <c r="W282">
        <v>2</v>
      </c>
      <c r="X282">
        <v>2.7557682E-5</v>
      </c>
      <c r="Y282">
        <v>0.14285700000000001</v>
      </c>
      <c r="Z282" s="61">
        <v>64.019319999999993</v>
      </c>
      <c r="AA282" t="s">
        <v>347</v>
      </c>
      <c r="AB282" t="s">
        <v>437</v>
      </c>
      <c r="AC282" t="s">
        <v>425</v>
      </c>
      <c r="AD282" t="s">
        <v>27</v>
      </c>
      <c r="AE282">
        <v>111.133</v>
      </c>
      <c r="AF282">
        <v>1.0541007448257309</v>
      </c>
      <c r="AG282">
        <v>117.145378074718</v>
      </c>
      <c r="AH282">
        <v>640.82000000000005</v>
      </c>
      <c r="AI282">
        <v>1</v>
      </c>
      <c r="AJ282">
        <v>75.069101177840764</v>
      </c>
      <c r="AK282">
        <v>0.95889999999999997</v>
      </c>
      <c r="AL282" s="63">
        <v>71.983999999999995</v>
      </c>
      <c r="AM282">
        <v>8.9176000000000002</v>
      </c>
      <c r="AN282">
        <v>9.4000488020579382</v>
      </c>
      <c r="AO282">
        <v>1</v>
      </c>
      <c r="AP282">
        <v>6023.7392733347688</v>
      </c>
      <c r="AQ282">
        <v>0.99097621000820357</v>
      </c>
      <c r="AR282">
        <v>5969.3823000000002</v>
      </c>
      <c r="AS282" s="61">
        <v>382155.79566603602</v>
      </c>
      <c r="AT282" t="s">
        <v>347</v>
      </c>
      <c r="AU282" t="s">
        <v>437</v>
      </c>
      <c r="AV282" t="s">
        <v>425</v>
      </c>
      <c r="AW282" t="s">
        <v>27</v>
      </c>
      <c r="AX282">
        <v>111.133</v>
      </c>
      <c r="AY282">
        <v>1.0541007448257309</v>
      </c>
      <c r="AZ282">
        <v>117.145378074718</v>
      </c>
      <c r="BA282">
        <v>640.82000000000005</v>
      </c>
      <c r="BB282">
        <v>1</v>
      </c>
      <c r="BC282">
        <v>75.069101177840764</v>
      </c>
      <c r="BD282">
        <v>0.95889999999999997</v>
      </c>
      <c r="BE282" s="63">
        <v>71.983999999999995</v>
      </c>
      <c r="BF282">
        <v>8.9176000000000002</v>
      </c>
      <c r="BG282">
        <v>1</v>
      </c>
      <c r="BH282">
        <v>6023.7392733347688</v>
      </c>
      <c r="BI282">
        <v>0.99097621000820357</v>
      </c>
      <c r="BJ282" s="63">
        <v>5969.3823000000002</v>
      </c>
      <c r="BK282" s="61">
        <v>382155.79566603602</v>
      </c>
    </row>
    <row r="283" spans="1:63" x14ac:dyDescent="0.25">
      <c r="A283">
        <v>853</v>
      </c>
      <c r="B283" t="s">
        <v>155</v>
      </c>
      <c r="C283">
        <v>2019</v>
      </c>
      <c r="D283">
        <v>11</v>
      </c>
      <c r="E283" t="s">
        <v>100</v>
      </c>
      <c r="F283" t="s">
        <v>426</v>
      </c>
      <c r="G283" t="s">
        <v>427</v>
      </c>
      <c r="H283" t="s">
        <v>84</v>
      </c>
      <c r="I283" t="s">
        <v>430</v>
      </c>
      <c r="J283" t="s">
        <v>59</v>
      </c>
      <c r="K283">
        <v>-766.34341703999996</v>
      </c>
      <c r="L283" t="s">
        <v>59</v>
      </c>
      <c r="M283" t="s">
        <v>385</v>
      </c>
      <c r="N283">
        <v>0.54314598235875</v>
      </c>
      <c r="O283">
        <v>416.23634807235197</v>
      </c>
      <c r="P283" t="s">
        <v>440</v>
      </c>
      <c r="Q283">
        <v>2</v>
      </c>
      <c r="R283">
        <v>28.410399999999999</v>
      </c>
      <c r="S283">
        <v>9.2999999999999999E-2</v>
      </c>
      <c r="T283">
        <v>2.6421671999999998</v>
      </c>
      <c r="U283">
        <v>0.98099999999999998</v>
      </c>
      <c r="V283">
        <v>2591.9659999999999</v>
      </c>
      <c r="W283">
        <v>2</v>
      </c>
      <c r="X283">
        <v>2.7557682E-5</v>
      </c>
      <c r="Y283">
        <v>0.14285700000000001</v>
      </c>
      <c r="Z283" s="61">
        <v>59.462276000000003</v>
      </c>
      <c r="AA283" t="s">
        <v>347</v>
      </c>
      <c r="AB283" t="s">
        <v>437</v>
      </c>
      <c r="AC283" t="s">
        <v>425</v>
      </c>
      <c r="AD283" t="s">
        <v>27</v>
      </c>
      <c r="AE283">
        <v>111.133</v>
      </c>
      <c r="AF283">
        <v>1.0541007448257309</v>
      </c>
      <c r="AG283">
        <v>117.145378074718</v>
      </c>
      <c r="AH283">
        <v>640.82000000000005</v>
      </c>
      <c r="AI283">
        <v>1</v>
      </c>
      <c r="AJ283">
        <v>75.069101177840764</v>
      </c>
      <c r="AK283">
        <v>0.95889999999999997</v>
      </c>
      <c r="AL283" s="63">
        <v>71.983999999999995</v>
      </c>
      <c r="AM283">
        <v>8.9176000000000002</v>
      </c>
      <c r="AN283">
        <v>9.4000488020579382</v>
      </c>
      <c r="AO283">
        <v>1</v>
      </c>
      <c r="AP283">
        <v>6023.7392733347688</v>
      </c>
      <c r="AQ283">
        <v>0.99097621000820357</v>
      </c>
      <c r="AR283">
        <v>5969.3823000000002</v>
      </c>
      <c r="AS283" s="61">
        <v>354953.05787211482</v>
      </c>
      <c r="AT283" t="s">
        <v>347</v>
      </c>
      <c r="AU283" t="s">
        <v>437</v>
      </c>
      <c r="AV283" t="s">
        <v>425</v>
      </c>
      <c r="AW283" t="s">
        <v>27</v>
      </c>
      <c r="AX283">
        <v>111.133</v>
      </c>
      <c r="AY283">
        <v>1.0541007448257309</v>
      </c>
      <c r="AZ283">
        <v>117.145378074718</v>
      </c>
      <c r="BA283">
        <v>640.82000000000005</v>
      </c>
      <c r="BB283">
        <v>1</v>
      </c>
      <c r="BC283">
        <v>75.069101177840764</v>
      </c>
      <c r="BD283">
        <v>0.95889999999999997</v>
      </c>
      <c r="BE283" s="63">
        <v>71.983999999999995</v>
      </c>
      <c r="BF283">
        <v>8.9176000000000002</v>
      </c>
      <c r="BG283">
        <v>1</v>
      </c>
      <c r="BH283">
        <v>6023.7392733347688</v>
      </c>
      <c r="BI283">
        <v>0.99097621000820357</v>
      </c>
      <c r="BJ283" s="63">
        <v>5969.3823000000002</v>
      </c>
      <c r="BK283" s="61">
        <v>354953.05787211482</v>
      </c>
    </row>
    <row r="284" spans="1:63" x14ac:dyDescent="0.25">
      <c r="A284">
        <v>871</v>
      </c>
      <c r="B284" t="s">
        <v>148</v>
      </c>
      <c r="C284">
        <v>2019</v>
      </c>
      <c r="D284">
        <v>12</v>
      </c>
      <c r="E284" t="s">
        <v>100</v>
      </c>
      <c r="F284" t="s">
        <v>426</v>
      </c>
      <c r="G284" t="s">
        <v>427</v>
      </c>
      <c r="H284" t="s">
        <v>84</v>
      </c>
      <c r="I284" t="s">
        <v>428</v>
      </c>
      <c r="J284" t="s">
        <v>381</v>
      </c>
      <c r="K284">
        <v>-3149.0804299900001</v>
      </c>
      <c r="L284" t="s">
        <v>381</v>
      </c>
      <c r="M284" t="s">
        <v>384</v>
      </c>
      <c r="N284">
        <v>0.11701058843195</v>
      </c>
      <c r="O284">
        <v>368.47575413266799</v>
      </c>
      <c r="P284" t="s">
        <v>440</v>
      </c>
      <c r="Q284">
        <v>2</v>
      </c>
      <c r="R284">
        <v>28.410399999999999</v>
      </c>
      <c r="S284">
        <v>0.14099999999999999</v>
      </c>
      <c r="T284">
        <v>4.0058664000000004</v>
      </c>
      <c r="U284">
        <v>1.9E-2</v>
      </c>
      <c r="V284">
        <v>76.111000000000004</v>
      </c>
      <c r="W284">
        <v>2</v>
      </c>
      <c r="X284">
        <v>9.38474547E-4</v>
      </c>
      <c r="Y284">
        <v>0.14285600000000001</v>
      </c>
      <c r="Z284" s="61">
        <v>52.638972000000003</v>
      </c>
      <c r="AA284" t="s">
        <v>347</v>
      </c>
      <c r="AB284" t="s">
        <v>437</v>
      </c>
      <c r="AC284" t="s">
        <v>425</v>
      </c>
      <c r="AD284" t="s">
        <v>81</v>
      </c>
      <c r="AE284">
        <v>111.133</v>
      </c>
      <c r="AF284">
        <v>1.0541007448257309</v>
      </c>
      <c r="AG284">
        <v>117.145378074718</v>
      </c>
      <c r="AH284">
        <v>640.82000000000005</v>
      </c>
      <c r="AI284">
        <v>1</v>
      </c>
      <c r="AJ284">
        <v>75.069101177840764</v>
      </c>
      <c r="AK284">
        <v>0.93830000000000002</v>
      </c>
      <c r="AL284" s="63">
        <v>70.436999999999998</v>
      </c>
      <c r="AM284">
        <v>8.9176000000000002</v>
      </c>
      <c r="AN284">
        <v>9.4000488020579382</v>
      </c>
      <c r="AO284">
        <v>1</v>
      </c>
      <c r="AP284">
        <v>6023.7392733347688</v>
      </c>
      <c r="AQ284">
        <v>1.098016605166052</v>
      </c>
      <c r="AR284">
        <v>6614.1656999999996</v>
      </c>
      <c r="AS284" s="61">
        <v>348162.8830856604</v>
      </c>
      <c r="AT284" t="s">
        <v>347</v>
      </c>
      <c r="AU284" t="s">
        <v>437</v>
      </c>
      <c r="AV284" t="s">
        <v>425</v>
      </c>
      <c r="AW284" t="s">
        <v>81</v>
      </c>
      <c r="AX284">
        <v>111.133</v>
      </c>
      <c r="AY284">
        <v>1.0541007448257309</v>
      </c>
      <c r="AZ284">
        <v>117.145378074718</v>
      </c>
      <c r="BA284">
        <v>640.82000000000005</v>
      </c>
      <c r="BB284">
        <v>1</v>
      </c>
      <c r="BC284">
        <v>75.069101177840764</v>
      </c>
      <c r="BD284">
        <v>0.93830000000000002</v>
      </c>
      <c r="BE284" s="63">
        <v>70.436999999999998</v>
      </c>
      <c r="BF284">
        <v>8.9176000000000002</v>
      </c>
      <c r="BG284">
        <v>1</v>
      </c>
      <c r="BH284">
        <v>6023.7392733347688</v>
      </c>
      <c r="BI284">
        <v>1.098016605166052</v>
      </c>
      <c r="BJ284" s="63">
        <v>6614.1656999999996</v>
      </c>
      <c r="BK284" s="61">
        <v>348162.8830856604</v>
      </c>
    </row>
    <row r="285" spans="1:63" x14ac:dyDescent="0.25">
      <c r="A285">
        <v>871</v>
      </c>
      <c r="B285" t="s">
        <v>148</v>
      </c>
      <c r="C285">
        <v>2019</v>
      </c>
      <c r="D285">
        <v>12</v>
      </c>
      <c r="E285" t="s">
        <v>100</v>
      </c>
      <c r="F285" t="s">
        <v>426</v>
      </c>
      <c r="G285" t="s">
        <v>427</v>
      </c>
      <c r="H285" t="s">
        <v>84</v>
      </c>
      <c r="I285" t="s">
        <v>429</v>
      </c>
      <c r="J285" t="s">
        <v>87</v>
      </c>
      <c r="K285">
        <v>-1628.2339241899999</v>
      </c>
      <c r="L285" t="s">
        <v>87</v>
      </c>
      <c r="M285" t="s">
        <v>384</v>
      </c>
      <c r="N285">
        <v>9.7514538340109994E-2</v>
      </c>
      <c r="O285">
        <v>158.77647942709351</v>
      </c>
      <c r="P285" t="s">
        <v>440</v>
      </c>
      <c r="Q285">
        <v>2</v>
      </c>
      <c r="R285">
        <v>28.410399999999999</v>
      </c>
      <c r="S285">
        <v>0.14099999999999999</v>
      </c>
      <c r="T285">
        <v>4.0058664000000004</v>
      </c>
      <c r="U285">
        <v>1.9E-2</v>
      </c>
      <c r="V285">
        <v>76.111000000000004</v>
      </c>
      <c r="W285">
        <v>2</v>
      </c>
      <c r="X285">
        <v>9.38474547E-4</v>
      </c>
      <c r="Y285">
        <v>0.14285600000000001</v>
      </c>
      <c r="Z285" s="61">
        <v>22.682172999999999</v>
      </c>
      <c r="AA285" t="s">
        <v>347</v>
      </c>
      <c r="AB285" t="s">
        <v>437</v>
      </c>
      <c r="AC285" t="s">
        <v>425</v>
      </c>
      <c r="AD285" t="s">
        <v>81</v>
      </c>
      <c r="AE285">
        <v>111.133</v>
      </c>
      <c r="AF285">
        <v>1.0541007448257309</v>
      </c>
      <c r="AG285">
        <v>117.145378074718</v>
      </c>
      <c r="AH285">
        <v>640.82000000000005</v>
      </c>
      <c r="AI285">
        <v>1</v>
      </c>
      <c r="AJ285">
        <v>75.069101177840764</v>
      </c>
      <c r="AK285">
        <v>0.93830000000000002</v>
      </c>
      <c r="AL285" s="63">
        <v>70.436999999999998</v>
      </c>
      <c r="AM285">
        <v>8.9176000000000002</v>
      </c>
      <c r="AN285">
        <v>9.4000488020579382</v>
      </c>
      <c r="AO285">
        <v>1</v>
      </c>
      <c r="AP285">
        <v>6023.7392733347688</v>
      </c>
      <c r="AQ285">
        <v>1.098016605166052</v>
      </c>
      <c r="AR285">
        <v>6614.1656999999996</v>
      </c>
      <c r="AS285" s="61">
        <v>150023.65065806609</v>
      </c>
      <c r="AT285" t="s">
        <v>347</v>
      </c>
      <c r="AU285" t="s">
        <v>437</v>
      </c>
      <c r="AV285" t="s">
        <v>425</v>
      </c>
      <c r="AW285" t="s">
        <v>81</v>
      </c>
      <c r="AX285">
        <v>111.133</v>
      </c>
      <c r="AY285">
        <v>1.0541007448257309</v>
      </c>
      <c r="AZ285">
        <v>117.145378074718</v>
      </c>
      <c r="BA285">
        <v>640.82000000000005</v>
      </c>
      <c r="BB285">
        <v>1</v>
      </c>
      <c r="BC285">
        <v>75.069101177840764</v>
      </c>
      <c r="BD285">
        <v>0.93830000000000002</v>
      </c>
      <c r="BE285" s="63">
        <v>70.436999999999998</v>
      </c>
      <c r="BF285">
        <v>8.9176000000000002</v>
      </c>
      <c r="BG285">
        <v>1</v>
      </c>
      <c r="BH285">
        <v>6023.7392733347688</v>
      </c>
      <c r="BI285">
        <v>1.098016605166052</v>
      </c>
      <c r="BJ285" s="63">
        <v>6614.1656999999996</v>
      </c>
      <c r="BK285" s="61">
        <v>150023.65065806609</v>
      </c>
    </row>
    <row r="286" spans="1:63" x14ac:dyDescent="0.25">
      <c r="A286">
        <v>871</v>
      </c>
      <c r="B286" t="s">
        <v>148</v>
      </c>
      <c r="C286">
        <v>2019</v>
      </c>
      <c r="D286">
        <v>12</v>
      </c>
      <c r="E286" t="s">
        <v>100</v>
      </c>
      <c r="F286" t="s">
        <v>426</v>
      </c>
      <c r="G286" t="s">
        <v>427</v>
      </c>
      <c r="H286" t="s">
        <v>84</v>
      </c>
      <c r="I286" t="s">
        <v>430</v>
      </c>
      <c r="J286" t="s">
        <v>59</v>
      </c>
      <c r="K286">
        <v>-638.12814897999999</v>
      </c>
      <c r="L286" t="s">
        <v>59</v>
      </c>
      <c r="M286" t="s">
        <v>384</v>
      </c>
      <c r="N286">
        <v>9.9723560466120006E-2</v>
      </c>
      <c r="O286">
        <v>63.636411049940257</v>
      </c>
      <c r="P286" t="s">
        <v>440</v>
      </c>
      <c r="Q286">
        <v>2</v>
      </c>
      <c r="R286">
        <v>28.410399999999999</v>
      </c>
      <c r="S286">
        <v>0.14099999999999999</v>
      </c>
      <c r="T286">
        <v>4.0058664000000004</v>
      </c>
      <c r="U286">
        <v>1.9E-2</v>
      </c>
      <c r="V286">
        <v>76.111000000000004</v>
      </c>
      <c r="W286">
        <v>2</v>
      </c>
      <c r="X286">
        <v>9.38474547E-4</v>
      </c>
      <c r="Y286">
        <v>0.14285600000000001</v>
      </c>
      <c r="Z286" s="61">
        <v>9.0908429999999996</v>
      </c>
      <c r="AA286" t="s">
        <v>347</v>
      </c>
      <c r="AB286" t="s">
        <v>437</v>
      </c>
      <c r="AC286" t="s">
        <v>425</v>
      </c>
      <c r="AD286" t="s">
        <v>81</v>
      </c>
      <c r="AE286">
        <v>111.133</v>
      </c>
      <c r="AF286">
        <v>1.0541007448257309</v>
      </c>
      <c r="AG286">
        <v>117.145378074718</v>
      </c>
      <c r="AH286">
        <v>640.82000000000005</v>
      </c>
      <c r="AI286">
        <v>1</v>
      </c>
      <c r="AJ286">
        <v>75.069101177840764</v>
      </c>
      <c r="AK286">
        <v>0.93830000000000002</v>
      </c>
      <c r="AL286" s="63">
        <v>70.436999999999998</v>
      </c>
      <c r="AM286">
        <v>8.9176000000000002</v>
      </c>
      <c r="AN286">
        <v>9.4000488020579382</v>
      </c>
      <c r="AO286">
        <v>1</v>
      </c>
      <c r="AP286">
        <v>6023.7392733347688</v>
      </c>
      <c r="AQ286">
        <v>1.098016605166052</v>
      </c>
      <c r="AR286">
        <v>6614.1656999999996</v>
      </c>
      <c r="AS286" s="61">
        <v>60128.341954685093</v>
      </c>
      <c r="AT286" t="s">
        <v>347</v>
      </c>
      <c r="AU286" t="s">
        <v>437</v>
      </c>
      <c r="AV286" t="s">
        <v>425</v>
      </c>
      <c r="AW286" t="s">
        <v>81</v>
      </c>
      <c r="AX286">
        <v>111.133</v>
      </c>
      <c r="AY286">
        <v>1.0541007448257309</v>
      </c>
      <c r="AZ286">
        <v>117.145378074718</v>
      </c>
      <c r="BA286">
        <v>640.82000000000005</v>
      </c>
      <c r="BB286">
        <v>1</v>
      </c>
      <c r="BC286">
        <v>75.069101177840764</v>
      </c>
      <c r="BD286">
        <v>0.93830000000000002</v>
      </c>
      <c r="BE286" s="63">
        <v>70.436999999999998</v>
      </c>
      <c r="BF286">
        <v>8.9176000000000002</v>
      </c>
      <c r="BG286">
        <v>1</v>
      </c>
      <c r="BH286">
        <v>6023.7392733347688</v>
      </c>
      <c r="BI286">
        <v>1.098016605166052</v>
      </c>
      <c r="BJ286" s="63">
        <v>6614.1656999999996</v>
      </c>
      <c r="BK286" s="61">
        <v>60128.341954685093</v>
      </c>
    </row>
    <row r="287" spans="1:63" x14ac:dyDescent="0.25">
      <c r="A287">
        <v>873</v>
      </c>
      <c r="B287" t="s">
        <v>148</v>
      </c>
      <c r="C287">
        <v>2019</v>
      </c>
      <c r="D287">
        <v>12</v>
      </c>
      <c r="E287" t="s">
        <v>100</v>
      </c>
      <c r="F287" t="s">
        <v>426</v>
      </c>
      <c r="G287" t="s">
        <v>427</v>
      </c>
      <c r="H287" t="s">
        <v>84</v>
      </c>
      <c r="I287" t="s">
        <v>428</v>
      </c>
      <c r="J287" t="s">
        <v>381</v>
      </c>
      <c r="K287">
        <v>-3149.0804299900001</v>
      </c>
      <c r="L287" t="s">
        <v>381</v>
      </c>
      <c r="M287" t="s">
        <v>385</v>
      </c>
      <c r="N287">
        <v>0.54567226407077996</v>
      </c>
      <c r="O287">
        <v>1718.3658479736289</v>
      </c>
      <c r="P287" t="s">
        <v>440</v>
      </c>
      <c r="Q287">
        <v>2</v>
      </c>
      <c r="R287">
        <v>28.410399999999999</v>
      </c>
      <c r="S287">
        <v>0.14099999999999999</v>
      </c>
      <c r="T287">
        <v>4.0058664000000004</v>
      </c>
      <c r="U287">
        <v>0.98099999999999998</v>
      </c>
      <c r="V287">
        <v>3929.7550000000001</v>
      </c>
      <c r="W287">
        <v>2</v>
      </c>
      <c r="X287">
        <v>1.8176344000000001E-5</v>
      </c>
      <c r="Y287">
        <v>0.14285700000000001</v>
      </c>
      <c r="Z287" s="61">
        <v>245.48059000000001</v>
      </c>
      <c r="AA287" t="s">
        <v>347</v>
      </c>
      <c r="AB287" t="s">
        <v>437</v>
      </c>
      <c r="AC287" t="s">
        <v>425</v>
      </c>
      <c r="AD287" t="s">
        <v>27</v>
      </c>
      <c r="AE287">
        <v>111.133</v>
      </c>
      <c r="AF287">
        <v>1.0541007448257309</v>
      </c>
      <c r="AG287">
        <v>117.145378074718</v>
      </c>
      <c r="AH287">
        <v>640.82000000000005</v>
      </c>
      <c r="AI287">
        <v>1</v>
      </c>
      <c r="AJ287">
        <v>75.069101177840764</v>
      </c>
      <c r="AK287">
        <v>0.95889999999999997</v>
      </c>
      <c r="AL287" s="63">
        <v>71.983999999999995</v>
      </c>
      <c r="AM287">
        <v>8.9176000000000002</v>
      </c>
      <c r="AN287">
        <v>9.4000488020579382</v>
      </c>
      <c r="AO287">
        <v>1</v>
      </c>
      <c r="AP287">
        <v>6023.7392733347688</v>
      </c>
      <c r="AQ287">
        <v>0.99097621000820357</v>
      </c>
      <c r="AR287">
        <v>5969.3823000000002</v>
      </c>
      <c r="AS287" s="61">
        <v>1465367.488939557</v>
      </c>
      <c r="AT287" t="s">
        <v>347</v>
      </c>
      <c r="AU287" t="s">
        <v>437</v>
      </c>
      <c r="AV287" t="s">
        <v>425</v>
      </c>
      <c r="AW287" t="s">
        <v>27</v>
      </c>
      <c r="AX287">
        <v>111.133</v>
      </c>
      <c r="AY287">
        <v>1.0541007448257309</v>
      </c>
      <c r="AZ287">
        <v>117.145378074718</v>
      </c>
      <c r="BA287">
        <v>640.82000000000005</v>
      </c>
      <c r="BB287">
        <v>1</v>
      </c>
      <c r="BC287">
        <v>75.069101177840764</v>
      </c>
      <c r="BD287">
        <v>0.95889999999999997</v>
      </c>
      <c r="BE287" s="63">
        <v>71.983999999999995</v>
      </c>
      <c r="BF287">
        <v>8.9176000000000002</v>
      </c>
      <c r="BG287">
        <v>1</v>
      </c>
      <c r="BH287">
        <v>6023.7392733347688</v>
      </c>
      <c r="BI287">
        <v>0.99097621000820357</v>
      </c>
      <c r="BJ287" s="63">
        <v>5969.3823000000002</v>
      </c>
      <c r="BK287" s="61">
        <v>1465367.488939557</v>
      </c>
    </row>
    <row r="288" spans="1:63" x14ac:dyDescent="0.25">
      <c r="A288">
        <v>873</v>
      </c>
      <c r="B288" t="s">
        <v>148</v>
      </c>
      <c r="C288">
        <v>2019</v>
      </c>
      <c r="D288">
        <v>12</v>
      </c>
      <c r="E288" t="s">
        <v>100</v>
      </c>
      <c r="F288" t="s">
        <v>426</v>
      </c>
      <c r="G288" t="s">
        <v>427</v>
      </c>
      <c r="H288" t="s">
        <v>84</v>
      </c>
      <c r="I288" t="s">
        <v>429</v>
      </c>
      <c r="J288" t="s">
        <v>87</v>
      </c>
      <c r="K288">
        <v>-1628.2339241899999</v>
      </c>
      <c r="L288" t="s">
        <v>87</v>
      </c>
      <c r="M288" t="s">
        <v>385</v>
      </c>
      <c r="N288">
        <v>0.46576586246455998</v>
      </c>
      <c r="O288">
        <v>758.37577799441033</v>
      </c>
      <c r="P288" t="s">
        <v>440</v>
      </c>
      <c r="Q288">
        <v>2</v>
      </c>
      <c r="R288">
        <v>28.410399999999999</v>
      </c>
      <c r="S288">
        <v>0.14099999999999999</v>
      </c>
      <c r="T288">
        <v>4.0058664000000004</v>
      </c>
      <c r="U288">
        <v>0.98099999999999998</v>
      </c>
      <c r="V288">
        <v>3929.7550000000001</v>
      </c>
      <c r="W288">
        <v>2</v>
      </c>
      <c r="X288">
        <v>1.8176344000000001E-5</v>
      </c>
      <c r="Y288">
        <v>0.14285700000000001</v>
      </c>
      <c r="Z288" s="61">
        <v>108.33928899999999</v>
      </c>
      <c r="AA288" t="s">
        <v>347</v>
      </c>
      <c r="AB288" t="s">
        <v>437</v>
      </c>
      <c r="AC288" t="s">
        <v>425</v>
      </c>
      <c r="AD288" t="s">
        <v>27</v>
      </c>
      <c r="AE288">
        <v>111.133</v>
      </c>
      <c r="AF288">
        <v>1.0541007448257309</v>
      </c>
      <c r="AG288">
        <v>117.145378074718</v>
      </c>
      <c r="AH288">
        <v>640.82000000000005</v>
      </c>
      <c r="AI288">
        <v>1</v>
      </c>
      <c r="AJ288">
        <v>75.069101177840764</v>
      </c>
      <c r="AK288">
        <v>0.95889999999999997</v>
      </c>
      <c r="AL288" s="63">
        <v>71.983999999999995</v>
      </c>
      <c r="AM288">
        <v>8.9176000000000002</v>
      </c>
      <c r="AN288">
        <v>9.4000488020579382</v>
      </c>
      <c r="AO288">
        <v>1</v>
      </c>
      <c r="AP288">
        <v>6023.7392733347688</v>
      </c>
      <c r="AQ288">
        <v>0.99097621000820357</v>
      </c>
      <c r="AR288">
        <v>5969.3823000000002</v>
      </c>
      <c r="AS288" s="61">
        <v>646718.6341511847</v>
      </c>
      <c r="AT288" t="s">
        <v>347</v>
      </c>
      <c r="AU288" t="s">
        <v>437</v>
      </c>
      <c r="AV288" t="s">
        <v>425</v>
      </c>
      <c r="AW288" t="s">
        <v>27</v>
      </c>
      <c r="AX288">
        <v>111.133</v>
      </c>
      <c r="AY288">
        <v>1.0541007448257309</v>
      </c>
      <c r="AZ288">
        <v>117.145378074718</v>
      </c>
      <c r="BA288">
        <v>640.82000000000005</v>
      </c>
      <c r="BB288">
        <v>1</v>
      </c>
      <c r="BC288">
        <v>75.069101177840764</v>
      </c>
      <c r="BD288">
        <v>0.95889999999999997</v>
      </c>
      <c r="BE288" s="63">
        <v>71.983999999999995</v>
      </c>
      <c r="BF288">
        <v>8.9176000000000002</v>
      </c>
      <c r="BG288">
        <v>1</v>
      </c>
      <c r="BH288">
        <v>6023.7392733347688</v>
      </c>
      <c r="BI288">
        <v>0.99097621000820357</v>
      </c>
      <c r="BJ288" s="63">
        <v>5969.3823000000002</v>
      </c>
      <c r="BK288" s="61">
        <v>646718.6341511847</v>
      </c>
    </row>
    <row r="289" spans="1:63" x14ac:dyDescent="0.25">
      <c r="A289">
        <v>873</v>
      </c>
      <c r="B289" t="s">
        <v>148</v>
      </c>
      <c r="C289">
        <v>2019</v>
      </c>
      <c r="D289">
        <v>12</v>
      </c>
      <c r="E289" t="s">
        <v>100</v>
      </c>
      <c r="F289" t="s">
        <v>426</v>
      </c>
      <c r="G289" t="s">
        <v>427</v>
      </c>
      <c r="H289" t="s">
        <v>84</v>
      </c>
      <c r="I289" t="s">
        <v>430</v>
      </c>
      <c r="J289" t="s">
        <v>59</v>
      </c>
      <c r="K289">
        <v>-638.12814897999999</v>
      </c>
      <c r="L289" t="s">
        <v>59</v>
      </c>
      <c r="M289" t="s">
        <v>385</v>
      </c>
      <c r="N289">
        <v>0.54314598235946998</v>
      </c>
      <c r="O289">
        <v>346.59674034897228</v>
      </c>
      <c r="P289" t="s">
        <v>440</v>
      </c>
      <c r="Q289">
        <v>2</v>
      </c>
      <c r="R289">
        <v>28.410399999999999</v>
      </c>
      <c r="S289">
        <v>0.14099999999999999</v>
      </c>
      <c r="T289">
        <v>4.0058664000000004</v>
      </c>
      <c r="U289">
        <v>0.98099999999999998</v>
      </c>
      <c r="V289">
        <v>3929.7550000000001</v>
      </c>
      <c r="W289">
        <v>2</v>
      </c>
      <c r="X289">
        <v>1.8176344000000001E-5</v>
      </c>
      <c r="Y289">
        <v>0.14285700000000001</v>
      </c>
      <c r="Z289" s="61">
        <v>49.513770999999998</v>
      </c>
      <c r="AA289" t="s">
        <v>347</v>
      </c>
      <c r="AB289" t="s">
        <v>437</v>
      </c>
      <c r="AC289" t="s">
        <v>425</v>
      </c>
      <c r="AD289" t="s">
        <v>27</v>
      </c>
      <c r="AE289">
        <v>111.133</v>
      </c>
      <c r="AF289">
        <v>1.0541007448257309</v>
      </c>
      <c r="AG289">
        <v>117.145378074718</v>
      </c>
      <c r="AH289">
        <v>640.82000000000005</v>
      </c>
      <c r="AI289">
        <v>1</v>
      </c>
      <c r="AJ289">
        <v>75.069101177840764</v>
      </c>
      <c r="AK289">
        <v>0.95889999999999997</v>
      </c>
      <c r="AL289" s="63">
        <v>71.983999999999995</v>
      </c>
      <c r="AM289">
        <v>8.9176000000000002</v>
      </c>
      <c r="AN289">
        <v>9.4000488020579382</v>
      </c>
      <c r="AO289">
        <v>1</v>
      </c>
      <c r="AP289">
        <v>6023.7392733347688</v>
      </c>
      <c r="AQ289">
        <v>0.99097621000820357</v>
      </c>
      <c r="AR289">
        <v>5969.3823000000002</v>
      </c>
      <c r="AS289" s="61">
        <v>295566.62821365328</v>
      </c>
      <c r="AT289" t="s">
        <v>347</v>
      </c>
      <c r="AU289" t="s">
        <v>437</v>
      </c>
      <c r="AV289" t="s">
        <v>425</v>
      </c>
      <c r="AW289" t="s">
        <v>27</v>
      </c>
      <c r="AX289">
        <v>111.133</v>
      </c>
      <c r="AY289">
        <v>1.0541007448257309</v>
      </c>
      <c r="AZ289">
        <v>117.145378074718</v>
      </c>
      <c r="BA289">
        <v>640.82000000000005</v>
      </c>
      <c r="BB289">
        <v>1</v>
      </c>
      <c r="BC289">
        <v>75.069101177840764</v>
      </c>
      <c r="BD289">
        <v>0.95889999999999997</v>
      </c>
      <c r="BE289" s="63">
        <v>71.983999999999995</v>
      </c>
      <c r="BF289">
        <v>8.9176000000000002</v>
      </c>
      <c r="BG289">
        <v>1</v>
      </c>
      <c r="BH289">
        <v>6023.7392733347688</v>
      </c>
      <c r="BI289">
        <v>0.99097621000820357</v>
      </c>
      <c r="BJ289" s="63">
        <v>5969.3823000000002</v>
      </c>
      <c r="BK289" s="61">
        <v>295566.62821365328</v>
      </c>
    </row>
    <row r="290" spans="1:63" x14ac:dyDescent="0.25">
      <c r="A290">
        <v>897</v>
      </c>
      <c r="B290" t="s">
        <v>197</v>
      </c>
      <c r="C290">
        <v>2020</v>
      </c>
      <c r="D290">
        <v>1</v>
      </c>
      <c r="E290" t="s">
        <v>100</v>
      </c>
      <c r="F290" t="s">
        <v>426</v>
      </c>
      <c r="G290" t="s">
        <v>427</v>
      </c>
      <c r="H290" t="s">
        <v>84</v>
      </c>
      <c r="I290" t="s">
        <v>428</v>
      </c>
      <c r="J290" t="s">
        <v>381</v>
      </c>
      <c r="K290">
        <v>-7110.4468122799999</v>
      </c>
      <c r="L290" t="s">
        <v>381</v>
      </c>
      <c r="M290" t="s">
        <v>384</v>
      </c>
      <c r="N290">
        <v>8.2227491443849998E-2</v>
      </c>
      <c r="O290">
        <v>584.67420441870422</v>
      </c>
      <c r="P290" t="s">
        <v>440</v>
      </c>
      <c r="Q290">
        <v>2</v>
      </c>
      <c r="R290">
        <v>47.636589999999998</v>
      </c>
      <c r="S290">
        <v>8.5999999999999993E-2</v>
      </c>
      <c r="T290">
        <v>4.0967466999999997</v>
      </c>
      <c r="U290">
        <v>1.9E-2</v>
      </c>
      <c r="V290">
        <v>77.837999999999994</v>
      </c>
      <c r="W290">
        <v>2</v>
      </c>
      <c r="X290">
        <v>9.1765513399999997E-4</v>
      </c>
      <c r="Y290">
        <v>0.14285700000000001</v>
      </c>
      <c r="Z290" s="61">
        <v>83.524803000000006</v>
      </c>
      <c r="AA290" t="s">
        <v>347</v>
      </c>
      <c r="AB290" t="s">
        <v>437</v>
      </c>
      <c r="AC290" t="s">
        <v>425</v>
      </c>
      <c r="AD290" t="s">
        <v>81</v>
      </c>
      <c r="AE290">
        <v>111.133</v>
      </c>
      <c r="AF290">
        <v>1.0541007448257309</v>
      </c>
      <c r="AG290">
        <v>117.145378074718</v>
      </c>
      <c r="AH290">
        <v>640.82000000000005</v>
      </c>
      <c r="AI290">
        <v>1</v>
      </c>
      <c r="AJ290">
        <v>75.069101177840764</v>
      </c>
      <c r="AK290">
        <v>0.93830000000000002</v>
      </c>
      <c r="AL290" s="63">
        <v>70.436999999999998</v>
      </c>
      <c r="AM290">
        <v>8.9176000000000002</v>
      </c>
      <c r="AN290">
        <v>9.4000488020579382</v>
      </c>
      <c r="AO290">
        <v>1</v>
      </c>
      <c r="AP290">
        <v>6023.7392733347688</v>
      </c>
      <c r="AQ290">
        <v>1.098016605166052</v>
      </c>
      <c r="AR290">
        <v>6614.1656999999996</v>
      </c>
      <c r="AS290" s="61">
        <v>552446.88710185711</v>
      </c>
      <c r="AT290" t="s">
        <v>348</v>
      </c>
      <c r="AU290" t="s">
        <v>438</v>
      </c>
      <c r="AV290" t="s">
        <v>425</v>
      </c>
      <c r="AW290" t="s">
        <v>81</v>
      </c>
      <c r="AX290">
        <v>111.133</v>
      </c>
      <c r="AY290">
        <v>1.0727760310708341</v>
      </c>
      <c r="AZ290">
        <v>119.22081866099499</v>
      </c>
      <c r="BA290">
        <v>694.38</v>
      </c>
      <c r="BB290">
        <v>0.875</v>
      </c>
      <c r="BC290">
        <v>72.436483054094012</v>
      </c>
      <c r="BD290">
        <v>0.93500000000000005</v>
      </c>
      <c r="BE290" s="63">
        <v>67.727999999999994</v>
      </c>
      <c r="BF290">
        <v>8.9176000000000002</v>
      </c>
      <c r="BG290">
        <v>0.91300000000000003</v>
      </c>
      <c r="BH290">
        <v>6064.9193587765631</v>
      </c>
      <c r="BI290">
        <v>1.096171586715867</v>
      </c>
      <c r="BJ290" s="63">
        <v>6648.1922999999997</v>
      </c>
      <c r="BK290" s="61">
        <v>555288.95216361689</v>
      </c>
    </row>
    <row r="291" spans="1:63" x14ac:dyDescent="0.25">
      <c r="A291">
        <v>897</v>
      </c>
      <c r="B291" t="s">
        <v>197</v>
      </c>
      <c r="C291">
        <v>2020</v>
      </c>
      <c r="D291">
        <v>1</v>
      </c>
      <c r="E291" t="s">
        <v>100</v>
      </c>
      <c r="F291" t="s">
        <v>426</v>
      </c>
      <c r="G291" t="s">
        <v>427</v>
      </c>
      <c r="H291" t="s">
        <v>84</v>
      </c>
      <c r="I291" t="s">
        <v>429</v>
      </c>
      <c r="J291" t="s">
        <v>87</v>
      </c>
      <c r="K291">
        <v>-2733.6295059700001</v>
      </c>
      <c r="L291" t="s">
        <v>87</v>
      </c>
      <c r="M291" t="s">
        <v>384</v>
      </c>
      <c r="N291">
        <v>5.4975015900489997E-2</v>
      </c>
      <c r="O291">
        <v>150.28132555674941</v>
      </c>
      <c r="P291" t="s">
        <v>440</v>
      </c>
      <c r="Q291">
        <v>2</v>
      </c>
      <c r="R291">
        <v>47.636589999999998</v>
      </c>
      <c r="S291">
        <v>8.5999999999999993E-2</v>
      </c>
      <c r="T291">
        <v>4.0967466999999997</v>
      </c>
      <c r="U291">
        <v>1.9E-2</v>
      </c>
      <c r="V291">
        <v>77.837999999999994</v>
      </c>
      <c r="W291">
        <v>2</v>
      </c>
      <c r="X291">
        <v>9.1765513399999997E-4</v>
      </c>
      <c r="Y291">
        <v>0.14285700000000001</v>
      </c>
      <c r="Z291" s="61">
        <v>21.468738999999999</v>
      </c>
      <c r="AA291" t="s">
        <v>347</v>
      </c>
      <c r="AB291" t="s">
        <v>437</v>
      </c>
      <c r="AC291" t="s">
        <v>425</v>
      </c>
      <c r="AD291" t="s">
        <v>81</v>
      </c>
      <c r="AE291">
        <v>111.133</v>
      </c>
      <c r="AF291">
        <v>1.0541007448257309</v>
      </c>
      <c r="AG291">
        <v>117.145378074718</v>
      </c>
      <c r="AH291">
        <v>640.82000000000005</v>
      </c>
      <c r="AI291">
        <v>1</v>
      </c>
      <c r="AJ291">
        <v>75.069101177840764</v>
      </c>
      <c r="AK291">
        <v>0.93830000000000002</v>
      </c>
      <c r="AL291" s="63">
        <v>70.436999999999998</v>
      </c>
      <c r="AM291">
        <v>8.9176000000000002</v>
      </c>
      <c r="AN291">
        <v>9.4000488020579382</v>
      </c>
      <c r="AO291">
        <v>1</v>
      </c>
      <c r="AP291">
        <v>6023.7392733347688</v>
      </c>
      <c r="AQ291">
        <v>1.098016605166052</v>
      </c>
      <c r="AR291">
        <v>6614.1656999999996</v>
      </c>
      <c r="AS291" s="61">
        <v>141997.7971160523</v>
      </c>
      <c r="AT291" t="s">
        <v>348</v>
      </c>
      <c r="AU291" t="s">
        <v>438</v>
      </c>
      <c r="AV291" t="s">
        <v>425</v>
      </c>
      <c r="AW291" t="s">
        <v>81</v>
      </c>
      <c r="AX291">
        <v>111.133</v>
      </c>
      <c r="AY291">
        <v>1.0727760310708341</v>
      </c>
      <c r="AZ291">
        <v>119.22081866099499</v>
      </c>
      <c r="BA291">
        <v>694.38</v>
      </c>
      <c r="BB291">
        <v>0.875</v>
      </c>
      <c r="BC291">
        <v>72.436483054094012</v>
      </c>
      <c r="BD291">
        <v>0.93500000000000005</v>
      </c>
      <c r="BE291" s="63">
        <v>67.727999999999994</v>
      </c>
      <c r="BF291">
        <v>8.9176000000000002</v>
      </c>
      <c r="BG291">
        <v>0.91300000000000003</v>
      </c>
      <c r="BH291">
        <v>6064.9193587765631</v>
      </c>
      <c r="BI291">
        <v>1.096171586715867</v>
      </c>
      <c r="BJ291" s="63">
        <v>6648.1922999999997</v>
      </c>
      <c r="BK291" s="61">
        <v>142728.30531050969</v>
      </c>
    </row>
    <row r="292" spans="1:63" x14ac:dyDescent="0.25">
      <c r="A292">
        <v>897</v>
      </c>
      <c r="B292" t="s">
        <v>197</v>
      </c>
      <c r="C292">
        <v>2020</v>
      </c>
      <c r="D292">
        <v>1</v>
      </c>
      <c r="E292" t="s">
        <v>100</v>
      </c>
      <c r="F292" t="s">
        <v>426</v>
      </c>
      <c r="G292" t="s">
        <v>427</v>
      </c>
      <c r="H292" t="s">
        <v>84</v>
      </c>
      <c r="I292" t="s">
        <v>430</v>
      </c>
      <c r="J292" t="s">
        <v>59</v>
      </c>
      <c r="K292">
        <v>-2302.3002981999998</v>
      </c>
      <c r="L292" t="s">
        <v>59</v>
      </c>
      <c r="M292" t="s">
        <v>384</v>
      </c>
      <c r="N292">
        <v>6.0751694611689999E-2</v>
      </c>
      <c r="O292">
        <v>139.86864462064921</v>
      </c>
      <c r="P292" t="s">
        <v>440</v>
      </c>
      <c r="Q292">
        <v>2</v>
      </c>
      <c r="R292">
        <v>47.636589999999998</v>
      </c>
      <c r="S292">
        <v>8.5999999999999993E-2</v>
      </c>
      <c r="T292">
        <v>4.0967466999999997</v>
      </c>
      <c r="U292">
        <v>1.9E-2</v>
      </c>
      <c r="V292">
        <v>77.837999999999994</v>
      </c>
      <c r="W292">
        <v>2</v>
      </c>
      <c r="X292">
        <v>9.1765513399999997E-4</v>
      </c>
      <c r="Y292">
        <v>0.14285700000000001</v>
      </c>
      <c r="Z292" s="61">
        <v>19.981214999999999</v>
      </c>
      <c r="AA292" t="s">
        <v>347</v>
      </c>
      <c r="AB292" t="s">
        <v>437</v>
      </c>
      <c r="AC292" t="s">
        <v>425</v>
      </c>
      <c r="AD292" t="s">
        <v>81</v>
      </c>
      <c r="AE292">
        <v>111.133</v>
      </c>
      <c r="AF292">
        <v>1.0541007448257309</v>
      </c>
      <c r="AG292">
        <v>117.145378074718</v>
      </c>
      <c r="AH292">
        <v>640.82000000000005</v>
      </c>
      <c r="AI292">
        <v>1</v>
      </c>
      <c r="AJ292">
        <v>75.069101177840764</v>
      </c>
      <c r="AK292">
        <v>0.93830000000000002</v>
      </c>
      <c r="AL292" s="63">
        <v>70.436999999999998</v>
      </c>
      <c r="AM292">
        <v>8.9176000000000002</v>
      </c>
      <c r="AN292">
        <v>9.4000488020579382</v>
      </c>
      <c r="AO292">
        <v>1</v>
      </c>
      <c r="AP292">
        <v>6023.7392733347688</v>
      </c>
      <c r="AQ292">
        <v>1.098016605166052</v>
      </c>
      <c r="AR292">
        <v>6614.1656999999996</v>
      </c>
      <c r="AS292" s="61">
        <v>132159.06689732551</v>
      </c>
      <c r="AT292" t="s">
        <v>348</v>
      </c>
      <c r="AU292" t="s">
        <v>438</v>
      </c>
      <c r="AV292" t="s">
        <v>425</v>
      </c>
      <c r="AW292" t="s">
        <v>81</v>
      </c>
      <c r="AX292">
        <v>111.133</v>
      </c>
      <c r="AY292">
        <v>1.0727760310708341</v>
      </c>
      <c r="AZ292">
        <v>119.22081866099499</v>
      </c>
      <c r="BA292">
        <v>694.38</v>
      </c>
      <c r="BB292">
        <v>0.875</v>
      </c>
      <c r="BC292">
        <v>72.436483054094012</v>
      </c>
      <c r="BD292">
        <v>0.93500000000000005</v>
      </c>
      <c r="BE292" s="63">
        <v>67.727999999999994</v>
      </c>
      <c r="BF292">
        <v>8.9176000000000002</v>
      </c>
      <c r="BG292">
        <v>0.91300000000000003</v>
      </c>
      <c r="BH292">
        <v>6064.9193587765631</v>
      </c>
      <c r="BI292">
        <v>1.096171586715867</v>
      </c>
      <c r="BJ292" s="63">
        <v>6648.1922999999997</v>
      </c>
      <c r="BK292" s="61">
        <v>132838.95970764451</v>
      </c>
    </row>
    <row r="293" spans="1:63" x14ac:dyDescent="0.25">
      <c r="A293">
        <v>899</v>
      </c>
      <c r="B293" t="s">
        <v>197</v>
      </c>
      <c r="C293">
        <v>2020</v>
      </c>
      <c r="D293">
        <v>1</v>
      </c>
      <c r="E293" t="s">
        <v>100</v>
      </c>
      <c r="F293" t="s">
        <v>426</v>
      </c>
      <c r="G293" t="s">
        <v>427</v>
      </c>
      <c r="H293" t="s">
        <v>84</v>
      </c>
      <c r="I293" t="s">
        <v>428</v>
      </c>
      <c r="J293" t="s">
        <v>381</v>
      </c>
      <c r="K293">
        <v>-7110.4468122799999</v>
      </c>
      <c r="L293" t="s">
        <v>381</v>
      </c>
      <c r="M293" t="s">
        <v>385</v>
      </c>
      <c r="N293">
        <v>0.46583509407820001</v>
      </c>
      <c r="O293">
        <v>3312.295659736491</v>
      </c>
      <c r="P293" t="s">
        <v>440</v>
      </c>
      <c r="Q293">
        <v>2</v>
      </c>
      <c r="R293">
        <v>47.636589999999998</v>
      </c>
      <c r="S293">
        <v>8.5999999999999993E-2</v>
      </c>
      <c r="T293">
        <v>4.0967466999999997</v>
      </c>
      <c r="U293">
        <v>0.98099999999999998</v>
      </c>
      <c r="V293">
        <v>4018.9090000000001</v>
      </c>
      <c r="W293">
        <v>2</v>
      </c>
      <c r="X293">
        <v>1.7773125999999999E-5</v>
      </c>
      <c r="Y293">
        <v>0.14285700000000001</v>
      </c>
      <c r="Z293" s="61">
        <v>473.18462099999999</v>
      </c>
      <c r="AA293" t="s">
        <v>347</v>
      </c>
      <c r="AB293" t="s">
        <v>437</v>
      </c>
      <c r="AC293" t="s">
        <v>425</v>
      </c>
      <c r="AD293" t="s">
        <v>27</v>
      </c>
      <c r="AE293">
        <v>111.133</v>
      </c>
      <c r="AF293">
        <v>1.0541007448257309</v>
      </c>
      <c r="AG293">
        <v>117.145378074718</v>
      </c>
      <c r="AH293">
        <v>640.82000000000005</v>
      </c>
      <c r="AI293">
        <v>1</v>
      </c>
      <c r="AJ293">
        <v>75.069101177840764</v>
      </c>
      <c r="AK293">
        <v>0.95889999999999997</v>
      </c>
      <c r="AL293" s="63">
        <v>71.983999999999995</v>
      </c>
      <c r="AM293">
        <v>8.9176000000000002</v>
      </c>
      <c r="AN293">
        <v>9.4000488020579382</v>
      </c>
      <c r="AO293">
        <v>1</v>
      </c>
      <c r="AP293">
        <v>6023.7392733347688</v>
      </c>
      <c r="AQ293">
        <v>0.99097621000820357</v>
      </c>
      <c r="AR293">
        <v>5969.3823000000002</v>
      </c>
      <c r="AS293" s="61">
        <v>2824619.9012296079</v>
      </c>
      <c r="AT293" t="s">
        <v>348</v>
      </c>
      <c r="AU293" t="s">
        <v>438</v>
      </c>
      <c r="AV293" t="s">
        <v>425</v>
      </c>
      <c r="AW293" t="s">
        <v>27</v>
      </c>
      <c r="AX293">
        <v>111.133</v>
      </c>
      <c r="AY293">
        <v>1.0727760310708341</v>
      </c>
      <c r="AZ293">
        <v>119.22081866099499</v>
      </c>
      <c r="BA293">
        <v>694.38</v>
      </c>
      <c r="BB293">
        <v>0.875</v>
      </c>
      <c r="BC293">
        <v>72.436483054094012</v>
      </c>
      <c r="BD293">
        <v>0.95369999999999999</v>
      </c>
      <c r="BE293" s="63">
        <v>69.082999999999998</v>
      </c>
      <c r="BF293">
        <v>8.9176000000000002</v>
      </c>
      <c r="BG293">
        <v>0.91300000000000003</v>
      </c>
      <c r="BH293">
        <v>6064.9193587765631</v>
      </c>
      <c r="BI293">
        <v>1.007895816242822</v>
      </c>
      <c r="BJ293" s="63">
        <v>6112.8068000000003</v>
      </c>
      <c r="BK293" s="61">
        <v>2892486.168904223</v>
      </c>
    </row>
    <row r="294" spans="1:63" x14ac:dyDescent="0.25">
      <c r="A294">
        <v>899</v>
      </c>
      <c r="B294" t="s">
        <v>197</v>
      </c>
      <c r="C294">
        <v>2020</v>
      </c>
      <c r="D294">
        <v>1</v>
      </c>
      <c r="E294" t="s">
        <v>100</v>
      </c>
      <c r="F294" t="s">
        <v>426</v>
      </c>
      <c r="G294" t="s">
        <v>427</v>
      </c>
      <c r="H294" t="s">
        <v>84</v>
      </c>
      <c r="I294" t="s">
        <v>429</v>
      </c>
      <c r="J294" t="s">
        <v>87</v>
      </c>
      <c r="K294">
        <v>-2733.6295059700001</v>
      </c>
      <c r="L294" t="s">
        <v>87</v>
      </c>
      <c r="M294" t="s">
        <v>385</v>
      </c>
      <c r="N294">
        <v>0.36091731608875999</v>
      </c>
      <c r="O294">
        <v>986.61422447573534</v>
      </c>
      <c r="P294" t="s">
        <v>440</v>
      </c>
      <c r="Q294">
        <v>2</v>
      </c>
      <c r="R294">
        <v>47.636589999999998</v>
      </c>
      <c r="S294">
        <v>8.5999999999999993E-2</v>
      </c>
      <c r="T294">
        <v>4.0967466999999997</v>
      </c>
      <c r="U294">
        <v>0.98099999999999998</v>
      </c>
      <c r="V294">
        <v>4018.9090000000001</v>
      </c>
      <c r="W294">
        <v>2</v>
      </c>
      <c r="X294">
        <v>1.7773125999999999E-5</v>
      </c>
      <c r="Y294">
        <v>0.14285700000000001</v>
      </c>
      <c r="Z294" s="61">
        <v>140.944748</v>
      </c>
      <c r="AA294" t="s">
        <v>347</v>
      </c>
      <c r="AB294" t="s">
        <v>437</v>
      </c>
      <c r="AC294" t="s">
        <v>425</v>
      </c>
      <c r="AD294" t="s">
        <v>27</v>
      </c>
      <c r="AE294">
        <v>111.133</v>
      </c>
      <c r="AF294">
        <v>1.0541007448257309</v>
      </c>
      <c r="AG294">
        <v>117.145378074718</v>
      </c>
      <c r="AH294">
        <v>640.82000000000005</v>
      </c>
      <c r="AI294">
        <v>1</v>
      </c>
      <c r="AJ294">
        <v>75.069101177840764</v>
      </c>
      <c r="AK294">
        <v>0.95889999999999997</v>
      </c>
      <c r="AL294" s="63">
        <v>71.983999999999995</v>
      </c>
      <c r="AM294">
        <v>8.9176000000000002</v>
      </c>
      <c r="AN294">
        <v>9.4000488020579382</v>
      </c>
      <c r="AO294">
        <v>1</v>
      </c>
      <c r="AP294">
        <v>6023.7392733347688</v>
      </c>
      <c r="AQ294">
        <v>0.99097621000820357</v>
      </c>
      <c r="AR294">
        <v>5969.3823000000002</v>
      </c>
      <c r="AS294" s="61">
        <v>841353.08398916048</v>
      </c>
      <c r="AT294" t="s">
        <v>348</v>
      </c>
      <c r="AU294" t="s">
        <v>438</v>
      </c>
      <c r="AV294" t="s">
        <v>425</v>
      </c>
      <c r="AW294" t="s">
        <v>27</v>
      </c>
      <c r="AX294">
        <v>111.133</v>
      </c>
      <c r="AY294">
        <v>1.0727760310708341</v>
      </c>
      <c r="AZ294">
        <v>119.22081866099499</v>
      </c>
      <c r="BA294">
        <v>694.38</v>
      </c>
      <c r="BB294">
        <v>0.875</v>
      </c>
      <c r="BC294">
        <v>72.436483054094012</v>
      </c>
      <c r="BD294">
        <v>0.95369999999999999</v>
      </c>
      <c r="BE294" s="63">
        <v>69.082999999999998</v>
      </c>
      <c r="BF294">
        <v>8.9176000000000002</v>
      </c>
      <c r="BG294">
        <v>0.91300000000000003</v>
      </c>
      <c r="BH294">
        <v>6064.9193587765631</v>
      </c>
      <c r="BI294">
        <v>1.007895816242822</v>
      </c>
      <c r="BJ294" s="63">
        <v>6112.8068000000003</v>
      </c>
      <c r="BK294" s="61">
        <v>861568.01399868645</v>
      </c>
    </row>
    <row r="295" spans="1:63" x14ac:dyDescent="0.25">
      <c r="A295">
        <v>899</v>
      </c>
      <c r="B295" t="s">
        <v>197</v>
      </c>
      <c r="C295">
        <v>2020</v>
      </c>
      <c r="D295">
        <v>1</v>
      </c>
      <c r="E295" t="s">
        <v>100</v>
      </c>
      <c r="F295" t="s">
        <v>426</v>
      </c>
      <c r="G295" t="s">
        <v>427</v>
      </c>
      <c r="H295" t="s">
        <v>84</v>
      </c>
      <c r="I295" t="s">
        <v>430</v>
      </c>
      <c r="J295" t="s">
        <v>59</v>
      </c>
      <c r="K295">
        <v>-2302.3002981999998</v>
      </c>
      <c r="L295" t="s">
        <v>59</v>
      </c>
      <c r="M295" t="s">
        <v>385</v>
      </c>
      <c r="N295">
        <v>0.45696251572935997</v>
      </c>
      <c r="O295">
        <v>1052.064936229928</v>
      </c>
      <c r="P295" t="s">
        <v>440</v>
      </c>
      <c r="Q295">
        <v>2</v>
      </c>
      <c r="R295">
        <v>47.636589999999998</v>
      </c>
      <c r="S295">
        <v>8.5999999999999993E-2</v>
      </c>
      <c r="T295">
        <v>4.0967466999999997</v>
      </c>
      <c r="U295">
        <v>0.98099999999999998</v>
      </c>
      <c r="V295">
        <v>4018.9090000000001</v>
      </c>
      <c r="W295">
        <v>2</v>
      </c>
      <c r="X295">
        <v>1.7773125999999999E-5</v>
      </c>
      <c r="Y295">
        <v>0.14285700000000001</v>
      </c>
      <c r="Z295" s="61">
        <v>150.29484099999999</v>
      </c>
      <c r="AA295" t="s">
        <v>347</v>
      </c>
      <c r="AB295" t="s">
        <v>437</v>
      </c>
      <c r="AC295" t="s">
        <v>425</v>
      </c>
      <c r="AD295" t="s">
        <v>27</v>
      </c>
      <c r="AE295">
        <v>111.133</v>
      </c>
      <c r="AF295">
        <v>1.0541007448257309</v>
      </c>
      <c r="AG295">
        <v>117.145378074718</v>
      </c>
      <c r="AH295">
        <v>640.82000000000005</v>
      </c>
      <c r="AI295">
        <v>1</v>
      </c>
      <c r="AJ295">
        <v>75.069101177840764</v>
      </c>
      <c r="AK295">
        <v>0.95889999999999997</v>
      </c>
      <c r="AL295" s="63">
        <v>71.983999999999995</v>
      </c>
      <c r="AM295">
        <v>8.9176000000000002</v>
      </c>
      <c r="AN295">
        <v>9.4000488020579382</v>
      </c>
      <c r="AO295">
        <v>1</v>
      </c>
      <c r="AP295">
        <v>6023.7392733347688</v>
      </c>
      <c r="AQ295">
        <v>0.99097621000820357</v>
      </c>
      <c r="AR295">
        <v>5969.3823000000002</v>
      </c>
      <c r="AS295" s="61">
        <v>897167.36364671425</v>
      </c>
      <c r="AT295" t="s">
        <v>348</v>
      </c>
      <c r="AU295" t="s">
        <v>438</v>
      </c>
      <c r="AV295" t="s">
        <v>425</v>
      </c>
      <c r="AW295" t="s">
        <v>27</v>
      </c>
      <c r="AX295">
        <v>111.133</v>
      </c>
      <c r="AY295">
        <v>1.0727760310708341</v>
      </c>
      <c r="AZ295">
        <v>119.22081866099499</v>
      </c>
      <c r="BA295">
        <v>694.38</v>
      </c>
      <c r="BB295">
        <v>0.875</v>
      </c>
      <c r="BC295">
        <v>72.436483054094012</v>
      </c>
      <c r="BD295">
        <v>0.95369999999999999</v>
      </c>
      <c r="BE295" s="63">
        <v>69.082999999999998</v>
      </c>
      <c r="BF295">
        <v>8.9176000000000002</v>
      </c>
      <c r="BG295">
        <v>0.91300000000000003</v>
      </c>
      <c r="BH295">
        <v>6064.9193587765631</v>
      </c>
      <c r="BI295">
        <v>1.007895816242822</v>
      </c>
      <c r="BJ295" s="63">
        <v>6112.8068000000003</v>
      </c>
      <c r="BK295" s="61">
        <v>918723.32606971881</v>
      </c>
    </row>
    <row r="296" spans="1:63" x14ac:dyDescent="0.25">
      <c r="A296">
        <v>923</v>
      </c>
      <c r="B296" t="s">
        <v>201</v>
      </c>
      <c r="C296">
        <v>2020</v>
      </c>
      <c r="D296">
        <v>2</v>
      </c>
      <c r="E296" t="s">
        <v>100</v>
      </c>
      <c r="F296" t="s">
        <v>426</v>
      </c>
      <c r="G296" t="s">
        <v>427</v>
      </c>
      <c r="H296" t="s">
        <v>84</v>
      </c>
      <c r="I296" t="s">
        <v>428</v>
      </c>
      <c r="J296" t="s">
        <v>381</v>
      </c>
      <c r="K296">
        <v>-7084.4769050900004</v>
      </c>
      <c r="L296" t="s">
        <v>381</v>
      </c>
      <c r="M296" t="s">
        <v>384</v>
      </c>
      <c r="N296">
        <v>8.2227491443889994E-2</v>
      </c>
      <c r="O296">
        <v>582.53876409772431</v>
      </c>
      <c r="P296" t="s">
        <v>440</v>
      </c>
      <c r="Q296">
        <v>2</v>
      </c>
      <c r="R296">
        <v>47.636589999999998</v>
      </c>
      <c r="S296">
        <v>0.11799999999999999</v>
      </c>
      <c r="T296">
        <v>5.6211175999999998</v>
      </c>
      <c r="U296">
        <v>1.9E-2</v>
      </c>
      <c r="V296">
        <v>106.801</v>
      </c>
      <c r="W296">
        <v>2</v>
      </c>
      <c r="X296">
        <v>6.6879924499999997E-4</v>
      </c>
      <c r="Y296">
        <v>0.14285700000000001</v>
      </c>
      <c r="Z296" s="61">
        <v>83.219740000000002</v>
      </c>
      <c r="AA296" t="s">
        <v>347</v>
      </c>
      <c r="AB296" t="s">
        <v>437</v>
      </c>
      <c r="AC296" t="s">
        <v>425</v>
      </c>
      <c r="AD296" t="s">
        <v>81</v>
      </c>
      <c r="AE296">
        <v>111.133</v>
      </c>
      <c r="AF296">
        <v>1.0541007448257309</v>
      </c>
      <c r="AG296">
        <v>117.145378074718</v>
      </c>
      <c r="AH296">
        <v>640.82000000000005</v>
      </c>
      <c r="AI296">
        <v>1</v>
      </c>
      <c r="AJ296">
        <v>75.069101177840764</v>
      </c>
      <c r="AK296">
        <v>0.93830000000000002</v>
      </c>
      <c r="AL296" s="63">
        <v>70.436999999999998</v>
      </c>
      <c r="AM296">
        <v>8.9176000000000002</v>
      </c>
      <c r="AN296">
        <v>9.4000488020579382</v>
      </c>
      <c r="AO296">
        <v>1</v>
      </c>
      <c r="AP296">
        <v>6023.7392733347688</v>
      </c>
      <c r="AQ296">
        <v>1.098016605166052</v>
      </c>
      <c r="AR296">
        <v>6614.1656999999996</v>
      </c>
      <c r="AS296" s="61">
        <v>550429.14987091802</v>
      </c>
      <c r="AT296" t="s">
        <v>348</v>
      </c>
      <c r="AU296" t="s">
        <v>438</v>
      </c>
      <c r="AV296" t="s">
        <v>425</v>
      </c>
      <c r="AW296" t="s">
        <v>81</v>
      </c>
      <c r="AX296">
        <v>111.133</v>
      </c>
      <c r="AY296">
        <v>1.0727760310708341</v>
      </c>
      <c r="AZ296">
        <v>119.22081866099499</v>
      </c>
      <c r="BA296">
        <v>694.38</v>
      </c>
      <c r="BB296">
        <v>0.875</v>
      </c>
      <c r="BC296">
        <v>72.436483054094012</v>
      </c>
      <c r="BD296">
        <v>0.93500000000000005</v>
      </c>
      <c r="BE296" s="63">
        <v>67.727999999999994</v>
      </c>
      <c r="BF296">
        <v>8.9176000000000002</v>
      </c>
      <c r="BG296">
        <v>0.91300000000000003</v>
      </c>
      <c r="BH296">
        <v>6064.9193587765631</v>
      </c>
      <c r="BI296">
        <v>1.096171586715867</v>
      </c>
      <c r="BJ296" s="63">
        <v>6648.1922999999997</v>
      </c>
      <c r="BK296" s="61">
        <v>553260.83467600204</v>
      </c>
    </row>
    <row r="297" spans="1:63" x14ac:dyDescent="0.25">
      <c r="A297">
        <v>923</v>
      </c>
      <c r="B297" t="s">
        <v>201</v>
      </c>
      <c r="C297">
        <v>2020</v>
      </c>
      <c r="D297">
        <v>2</v>
      </c>
      <c r="E297" t="s">
        <v>100</v>
      </c>
      <c r="F297" t="s">
        <v>426</v>
      </c>
      <c r="G297" t="s">
        <v>427</v>
      </c>
      <c r="H297" t="s">
        <v>84</v>
      </c>
      <c r="I297" t="s">
        <v>429</v>
      </c>
      <c r="J297" t="s">
        <v>87</v>
      </c>
      <c r="K297">
        <v>-2655.0525418799998</v>
      </c>
      <c r="L297" t="s">
        <v>87</v>
      </c>
      <c r="M297" t="s">
        <v>384</v>
      </c>
      <c r="N297">
        <v>5.4975015899629998E-2</v>
      </c>
      <c r="O297">
        <v>145.96155570420609</v>
      </c>
      <c r="P297" t="s">
        <v>440</v>
      </c>
      <c r="Q297">
        <v>2</v>
      </c>
      <c r="R297">
        <v>47.636589999999998</v>
      </c>
      <c r="S297">
        <v>0.11799999999999999</v>
      </c>
      <c r="T297">
        <v>5.6211175999999998</v>
      </c>
      <c r="U297">
        <v>1.9E-2</v>
      </c>
      <c r="V297">
        <v>106.801</v>
      </c>
      <c r="W297">
        <v>2</v>
      </c>
      <c r="X297">
        <v>6.6879924499999997E-4</v>
      </c>
      <c r="Y297">
        <v>0.14285700000000001</v>
      </c>
      <c r="Z297" s="61">
        <v>20.85163</v>
      </c>
      <c r="AA297" t="s">
        <v>347</v>
      </c>
      <c r="AB297" t="s">
        <v>437</v>
      </c>
      <c r="AC297" t="s">
        <v>425</v>
      </c>
      <c r="AD297" t="s">
        <v>81</v>
      </c>
      <c r="AE297">
        <v>111.133</v>
      </c>
      <c r="AF297">
        <v>1.0541007448257309</v>
      </c>
      <c r="AG297">
        <v>117.145378074718</v>
      </c>
      <c r="AH297">
        <v>640.82000000000005</v>
      </c>
      <c r="AI297">
        <v>1</v>
      </c>
      <c r="AJ297">
        <v>75.069101177840764</v>
      </c>
      <c r="AK297">
        <v>0.93830000000000002</v>
      </c>
      <c r="AL297" s="63">
        <v>70.436999999999998</v>
      </c>
      <c r="AM297">
        <v>8.9176000000000002</v>
      </c>
      <c r="AN297">
        <v>9.4000488020579382</v>
      </c>
      <c r="AO297">
        <v>1</v>
      </c>
      <c r="AP297">
        <v>6023.7392733347688</v>
      </c>
      <c r="AQ297">
        <v>1.098016605166052</v>
      </c>
      <c r="AR297">
        <v>6614.1656999999996</v>
      </c>
      <c r="AS297" s="61">
        <v>137916.13593509101</v>
      </c>
      <c r="AT297" t="s">
        <v>348</v>
      </c>
      <c r="AU297" t="s">
        <v>438</v>
      </c>
      <c r="AV297" t="s">
        <v>425</v>
      </c>
      <c r="AW297" t="s">
        <v>81</v>
      </c>
      <c r="AX297">
        <v>111.133</v>
      </c>
      <c r="AY297">
        <v>1.0727760310708341</v>
      </c>
      <c r="AZ297">
        <v>119.22081866099499</v>
      </c>
      <c r="BA297">
        <v>694.38</v>
      </c>
      <c r="BB297">
        <v>0.875</v>
      </c>
      <c r="BC297">
        <v>72.436483054094012</v>
      </c>
      <c r="BD297">
        <v>0.93500000000000005</v>
      </c>
      <c r="BE297" s="63">
        <v>67.727999999999994</v>
      </c>
      <c r="BF297">
        <v>8.9176000000000002</v>
      </c>
      <c r="BG297">
        <v>0.91300000000000003</v>
      </c>
      <c r="BH297">
        <v>6064.9193587765631</v>
      </c>
      <c r="BI297">
        <v>1.096171586715867</v>
      </c>
      <c r="BJ297" s="63">
        <v>6648.1922999999997</v>
      </c>
      <c r="BK297" s="61">
        <v>138625.646008449</v>
      </c>
    </row>
    <row r="298" spans="1:63" x14ac:dyDescent="0.25">
      <c r="A298">
        <v>923</v>
      </c>
      <c r="B298" t="s">
        <v>201</v>
      </c>
      <c r="C298">
        <v>2020</v>
      </c>
      <c r="D298">
        <v>2</v>
      </c>
      <c r="E298" t="s">
        <v>100</v>
      </c>
      <c r="F298" t="s">
        <v>426</v>
      </c>
      <c r="G298" t="s">
        <v>427</v>
      </c>
      <c r="H298" t="s">
        <v>84</v>
      </c>
      <c r="I298" t="s">
        <v>430</v>
      </c>
      <c r="J298" t="s">
        <v>59</v>
      </c>
      <c r="K298">
        <v>-2168.0051843599999</v>
      </c>
      <c r="L298" t="s">
        <v>59</v>
      </c>
      <c r="M298" t="s">
        <v>384</v>
      </c>
      <c r="N298">
        <v>6.0751694611850003E-2</v>
      </c>
      <c r="O298">
        <v>131.70998887714629</v>
      </c>
      <c r="P298" t="s">
        <v>440</v>
      </c>
      <c r="Q298">
        <v>2</v>
      </c>
      <c r="R298">
        <v>47.636589999999998</v>
      </c>
      <c r="S298">
        <v>0.11799999999999999</v>
      </c>
      <c r="T298">
        <v>5.6211175999999998</v>
      </c>
      <c r="U298">
        <v>1.9E-2</v>
      </c>
      <c r="V298">
        <v>106.801</v>
      </c>
      <c r="W298">
        <v>2</v>
      </c>
      <c r="X298">
        <v>6.6879924499999997E-4</v>
      </c>
      <c r="Y298">
        <v>0.14285700000000001</v>
      </c>
      <c r="Z298" s="61">
        <v>18.815694000000001</v>
      </c>
      <c r="AA298" t="s">
        <v>347</v>
      </c>
      <c r="AB298" t="s">
        <v>437</v>
      </c>
      <c r="AC298" t="s">
        <v>425</v>
      </c>
      <c r="AD298" t="s">
        <v>81</v>
      </c>
      <c r="AE298">
        <v>111.133</v>
      </c>
      <c r="AF298">
        <v>1.0541007448257309</v>
      </c>
      <c r="AG298">
        <v>117.145378074718</v>
      </c>
      <c r="AH298">
        <v>640.82000000000005</v>
      </c>
      <c r="AI298">
        <v>1</v>
      </c>
      <c r="AJ298">
        <v>75.069101177840764</v>
      </c>
      <c r="AK298">
        <v>0.93830000000000002</v>
      </c>
      <c r="AL298" s="63">
        <v>70.436999999999998</v>
      </c>
      <c r="AM298">
        <v>8.9176000000000002</v>
      </c>
      <c r="AN298">
        <v>9.4000488020579382</v>
      </c>
      <c r="AO298">
        <v>1</v>
      </c>
      <c r="AP298">
        <v>6023.7392733347688</v>
      </c>
      <c r="AQ298">
        <v>1.098016605166052</v>
      </c>
      <c r="AR298">
        <v>6614.1656999999996</v>
      </c>
      <c r="AS298" s="61">
        <v>124450.1178764958</v>
      </c>
      <c r="AT298" t="s">
        <v>348</v>
      </c>
      <c r="AU298" t="s">
        <v>438</v>
      </c>
      <c r="AV298" t="s">
        <v>425</v>
      </c>
      <c r="AW298" t="s">
        <v>81</v>
      </c>
      <c r="AX298">
        <v>111.133</v>
      </c>
      <c r="AY298">
        <v>1.0727760310708341</v>
      </c>
      <c r="AZ298">
        <v>119.22081866099499</v>
      </c>
      <c r="BA298">
        <v>694.38</v>
      </c>
      <c r="BB298">
        <v>0.875</v>
      </c>
      <c r="BC298">
        <v>72.436483054094012</v>
      </c>
      <c r="BD298">
        <v>0.93500000000000005</v>
      </c>
      <c r="BE298" s="63">
        <v>67.727999999999994</v>
      </c>
      <c r="BF298">
        <v>8.9176000000000002</v>
      </c>
      <c r="BG298">
        <v>0.91300000000000003</v>
      </c>
      <c r="BH298">
        <v>6064.9193587765631</v>
      </c>
      <c r="BI298">
        <v>1.096171586715867</v>
      </c>
      <c r="BJ298" s="63">
        <v>6648.1922999999997</v>
      </c>
      <c r="BK298" s="61">
        <v>125090.3519699562</v>
      </c>
    </row>
    <row r="299" spans="1:63" x14ac:dyDescent="0.25">
      <c r="A299">
        <v>925</v>
      </c>
      <c r="B299" t="s">
        <v>201</v>
      </c>
      <c r="C299">
        <v>2020</v>
      </c>
      <c r="D299">
        <v>2</v>
      </c>
      <c r="E299" t="s">
        <v>100</v>
      </c>
      <c r="F299" t="s">
        <v>426</v>
      </c>
      <c r="G299" t="s">
        <v>427</v>
      </c>
      <c r="H299" t="s">
        <v>84</v>
      </c>
      <c r="I299" t="s">
        <v>428</v>
      </c>
      <c r="J299" t="s">
        <v>381</v>
      </c>
      <c r="K299">
        <v>-7084.4769050900004</v>
      </c>
      <c r="L299" t="s">
        <v>381</v>
      </c>
      <c r="M299" t="s">
        <v>385</v>
      </c>
      <c r="N299">
        <v>0.46583509407822998</v>
      </c>
      <c r="O299">
        <v>3300.1979655776481</v>
      </c>
      <c r="P299" t="s">
        <v>440</v>
      </c>
      <c r="Q299">
        <v>2</v>
      </c>
      <c r="R299">
        <v>47.636589999999998</v>
      </c>
      <c r="S299">
        <v>0.11799999999999999</v>
      </c>
      <c r="T299">
        <v>5.6211175999999998</v>
      </c>
      <c r="U299">
        <v>0.98099999999999998</v>
      </c>
      <c r="V299">
        <v>5514.3159999999998</v>
      </c>
      <c r="W299">
        <v>2</v>
      </c>
      <c r="X299">
        <v>1.2953295999999999E-5</v>
      </c>
      <c r="Y299">
        <v>0.14285700000000001</v>
      </c>
      <c r="Z299" s="61">
        <v>471.45638100000002</v>
      </c>
      <c r="AA299" t="s">
        <v>347</v>
      </c>
      <c r="AB299" t="s">
        <v>437</v>
      </c>
      <c r="AC299" t="s">
        <v>425</v>
      </c>
      <c r="AD299" t="s">
        <v>27</v>
      </c>
      <c r="AE299">
        <v>111.133</v>
      </c>
      <c r="AF299">
        <v>1.0541007448257309</v>
      </c>
      <c r="AG299">
        <v>117.145378074718</v>
      </c>
      <c r="AH299">
        <v>640.82000000000005</v>
      </c>
      <c r="AI299">
        <v>1</v>
      </c>
      <c r="AJ299">
        <v>75.069101177840764</v>
      </c>
      <c r="AK299">
        <v>0.95889999999999997</v>
      </c>
      <c r="AL299" s="63">
        <v>71.983999999999995</v>
      </c>
      <c r="AM299">
        <v>8.9176000000000002</v>
      </c>
      <c r="AN299">
        <v>9.4000488020579382</v>
      </c>
      <c r="AO299">
        <v>1</v>
      </c>
      <c r="AP299">
        <v>6023.7392733347688</v>
      </c>
      <c r="AQ299">
        <v>0.99097621000820357</v>
      </c>
      <c r="AR299">
        <v>5969.3823000000002</v>
      </c>
      <c r="AS299" s="61">
        <v>2814303.375963456</v>
      </c>
      <c r="AT299" t="s">
        <v>348</v>
      </c>
      <c r="AU299" t="s">
        <v>438</v>
      </c>
      <c r="AV299" t="s">
        <v>425</v>
      </c>
      <c r="AW299" t="s">
        <v>27</v>
      </c>
      <c r="AX299">
        <v>111.133</v>
      </c>
      <c r="AY299">
        <v>1.0727760310708341</v>
      </c>
      <c r="AZ299">
        <v>119.22081866099499</v>
      </c>
      <c r="BA299">
        <v>694.38</v>
      </c>
      <c r="BB299">
        <v>0.875</v>
      </c>
      <c r="BC299">
        <v>72.436483054094012</v>
      </c>
      <c r="BD299">
        <v>0.95369999999999999</v>
      </c>
      <c r="BE299" s="63">
        <v>69.082999999999998</v>
      </c>
      <c r="BF299">
        <v>8.9176000000000002</v>
      </c>
      <c r="BG299">
        <v>0.91300000000000003</v>
      </c>
      <c r="BH299">
        <v>6064.9193587765631</v>
      </c>
      <c r="BI299">
        <v>1.007895816242822</v>
      </c>
      <c r="BJ299" s="63">
        <v>6112.8068000000003</v>
      </c>
      <c r="BK299" s="61">
        <v>2881921.7716801912</v>
      </c>
    </row>
    <row r="300" spans="1:63" x14ac:dyDescent="0.25">
      <c r="A300">
        <v>925</v>
      </c>
      <c r="B300" t="s">
        <v>201</v>
      </c>
      <c r="C300">
        <v>2020</v>
      </c>
      <c r="D300">
        <v>2</v>
      </c>
      <c r="E300" t="s">
        <v>100</v>
      </c>
      <c r="F300" t="s">
        <v>426</v>
      </c>
      <c r="G300" t="s">
        <v>427</v>
      </c>
      <c r="H300" t="s">
        <v>84</v>
      </c>
      <c r="I300" t="s">
        <v>429</v>
      </c>
      <c r="J300" t="s">
        <v>87</v>
      </c>
      <c r="K300">
        <v>-2655.0525418799998</v>
      </c>
      <c r="L300" t="s">
        <v>87</v>
      </c>
      <c r="M300" t="s">
        <v>385</v>
      </c>
      <c r="N300">
        <v>0.36091731608896999</v>
      </c>
      <c r="O300">
        <v>958.25443749052715</v>
      </c>
      <c r="P300" t="s">
        <v>440</v>
      </c>
      <c r="Q300">
        <v>2</v>
      </c>
      <c r="R300">
        <v>47.636589999999998</v>
      </c>
      <c r="S300">
        <v>0.11799999999999999</v>
      </c>
      <c r="T300">
        <v>5.6211175999999998</v>
      </c>
      <c r="U300">
        <v>0.98099999999999998</v>
      </c>
      <c r="V300">
        <v>5514.3159999999998</v>
      </c>
      <c r="W300">
        <v>2</v>
      </c>
      <c r="X300">
        <v>1.2953295999999999E-5</v>
      </c>
      <c r="Y300">
        <v>0.14285700000000001</v>
      </c>
      <c r="Z300" s="61">
        <v>136.89335399999999</v>
      </c>
      <c r="AA300" t="s">
        <v>347</v>
      </c>
      <c r="AB300" t="s">
        <v>437</v>
      </c>
      <c r="AC300" t="s">
        <v>425</v>
      </c>
      <c r="AD300" t="s">
        <v>27</v>
      </c>
      <c r="AE300">
        <v>111.133</v>
      </c>
      <c r="AF300">
        <v>1.0541007448257309</v>
      </c>
      <c r="AG300">
        <v>117.145378074718</v>
      </c>
      <c r="AH300">
        <v>640.82000000000005</v>
      </c>
      <c r="AI300">
        <v>1</v>
      </c>
      <c r="AJ300">
        <v>75.069101177840764</v>
      </c>
      <c r="AK300">
        <v>0.95889999999999997</v>
      </c>
      <c r="AL300" s="63">
        <v>71.983999999999995</v>
      </c>
      <c r="AM300">
        <v>8.9176000000000002</v>
      </c>
      <c r="AN300">
        <v>9.4000488020579382</v>
      </c>
      <c r="AO300">
        <v>1</v>
      </c>
      <c r="AP300">
        <v>6023.7392733347688</v>
      </c>
      <c r="AQ300">
        <v>0.99097621000820357</v>
      </c>
      <c r="AR300">
        <v>5969.3823000000002</v>
      </c>
      <c r="AS300" s="61">
        <v>817168.7643552341</v>
      </c>
      <c r="AT300" t="s">
        <v>348</v>
      </c>
      <c r="AU300" t="s">
        <v>438</v>
      </c>
      <c r="AV300" t="s">
        <v>425</v>
      </c>
      <c r="AW300" t="s">
        <v>27</v>
      </c>
      <c r="AX300">
        <v>111.133</v>
      </c>
      <c r="AY300">
        <v>1.0727760310708341</v>
      </c>
      <c r="AZ300">
        <v>119.22081866099499</v>
      </c>
      <c r="BA300">
        <v>694.38</v>
      </c>
      <c r="BB300">
        <v>0.875</v>
      </c>
      <c r="BC300">
        <v>72.436483054094012</v>
      </c>
      <c r="BD300">
        <v>0.95369999999999999</v>
      </c>
      <c r="BE300" s="63">
        <v>69.082999999999998</v>
      </c>
      <c r="BF300">
        <v>8.9176000000000002</v>
      </c>
      <c r="BG300">
        <v>0.91300000000000003</v>
      </c>
      <c r="BH300">
        <v>6064.9193587765631</v>
      </c>
      <c r="BI300">
        <v>1.007895816242822</v>
      </c>
      <c r="BJ300" s="63">
        <v>6112.8068000000003</v>
      </c>
      <c r="BK300" s="61">
        <v>836802.62520600716</v>
      </c>
    </row>
    <row r="301" spans="1:63" x14ac:dyDescent="0.25">
      <c r="A301">
        <v>925</v>
      </c>
      <c r="B301" t="s">
        <v>201</v>
      </c>
      <c r="C301">
        <v>2020</v>
      </c>
      <c r="D301">
        <v>2</v>
      </c>
      <c r="E301" t="s">
        <v>100</v>
      </c>
      <c r="F301" t="s">
        <v>426</v>
      </c>
      <c r="G301" t="s">
        <v>427</v>
      </c>
      <c r="H301" t="s">
        <v>84</v>
      </c>
      <c r="I301" t="s">
        <v>430</v>
      </c>
      <c r="J301" t="s">
        <v>59</v>
      </c>
      <c r="K301">
        <v>-2168.0051843599999</v>
      </c>
      <c r="L301" t="s">
        <v>59</v>
      </c>
      <c r="M301" t="s">
        <v>385</v>
      </c>
      <c r="N301">
        <v>0.45696251573021002</v>
      </c>
      <c r="O301">
        <v>990.69710316128339</v>
      </c>
      <c r="P301" t="s">
        <v>440</v>
      </c>
      <c r="Q301">
        <v>2</v>
      </c>
      <c r="R301">
        <v>47.636589999999998</v>
      </c>
      <c r="S301">
        <v>0.11799999999999999</v>
      </c>
      <c r="T301">
        <v>5.6211175999999998</v>
      </c>
      <c r="U301">
        <v>0.98099999999999998</v>
      </c>
      <c r="V301">
        <v>5514.3159999999998</v>
      </c>
      <c r="W301">
        <v>2</v>
      </c>
      <c r="X301">
        <v>1.2953295999999999E-5</v>
      </c>
      <c r="Y301">
        <v>0.14285700000000001</v>
      </c>
      <c r="Z301" s="61">
        <v>141.52801600000001</v>
      </c>
      <c r="AA301" t="s">
        <v>347</v>
      </c>
      <c r="AB301" t="s">
        <v>437</v>
      </c>
      <c r="AC301" t="s">
        <v>425</v>
      </c>
      <c r="AD301" t="s">
        <v>27</v>
      </c>
      <c r="AE301">
        <v>111.133</v>
      </c>
      <c r="AF301">
        <v>1.0541007448257309</v>
      </c>
      <c r="AG301">
        <v>117.145378074718</v>
      </c>
      <c r="AH301">
        <v>640.82000000000005</v>
      </c>
      <c r="AI301">
        <v>1</v>
      </c>
      <c r="AJ301">
        <v>75.069101177840764</v>
      </c>
      <c r="AK301">
        <v>0.95889999999999997</v>
      </c>
      <c r="AL301" s="63">
        <v>71.983999999999995</v>
      </c>
      <c r="AM301">
        <v>8.9176000000000002</v>
      </c>
      <c r="AN301">
        <v>9.4000488020579382</v>
      </c>
      <c r="AO301">
        <v>1</v>
      </c>
      <c r="AP301">
        <v>6023.7392733347688</v>
      </c>
      <c r="AQ301">
        <v>0.99097621000820357</v>
      </c>
      <c r="AR301">
        <v>5969.3823000000002</v>
      </c>
      <c r="AS301" s="61">
        <v>844834.83366451692</v>
      </c>
      <c r="AT301" t="s">
        <v>348</v>
      </c>
      <c r="AU301" t="s">
        <v>438</v>
      </c>
      <c r="AV301" t="s">
        <v>425</v>
      </c>
      <c r="AW301" t="s">
        <v>27</v>
      </c>
      <c r="AX301">
        <v>111.133</v>
      </c>
      <c r="AY301">
        <v>1.0727760310708341</v>
      </c>
      <c r="AZ301">
        <v>119.22081866099499</v>
      </c>
      <c r="BA301">
        <v>694.38</v>
      </c>
      <c r="BB301">
        <v>0.875</v>
      </c>
      <c r="BC301">
        <v>72.436483054094012</v>
      </c>
      <c r="BD301">
        <v>0.95369999999999999</v>
      </c>
      <c r="BE301" s="63">
        <v>69.082999999999998</v>
      </c>
      <c r="BF301">
        <v>8.9176000000000002</v>
      </c>
      <c r="BG301">
        <v>0.91300000000000003</v>
      </c>
      <c r="BH301">
        <v>6064.9193587765631</v>
      </c>
      <c r="BI301">
        <v>1.007895816242822</v>
      </c>
      <c r="BJ301" s="63">
        <v>6112.8068000000003</v>
      </c>
      <c r="BK301" s="61">
        <v>865133.4185953089</v>
      </c>
    </row>
    <row r="302" spans="1:63" x14ac:dyDescent="0.25">
      <c r="A302">
        <v>949</v>
      </c>
      <c r="B302" t="s">
        <v>205</v>
      </c>
      <c r="C302">
        <v>2020</v>
      </c>
      <c r="D302">
        <v>3</v>
      </c>
      <c r="E302" t="s">
        <v>100</v>
      </c>
      <c r="F302" t="s">
        <v>426</v>
      </c>
      <c r="G302" t="s">
        <v>427</v>
      </c>
      <c r="H302" t="s">
        <v>84</v>
      </c>
      <c r="I302" t="s">
        <v>428</v>
      </c>
      <c r="J302" t="s">
        <v>381</v>
      </c>
      <c r="K302">
        <v>-6958.63726589</v>
      </c>
      <c r="L302" t="s">
        <v>381</v>
      </c>
      <c r="M302" t="s">
        <v>384</v>
      </c>
      <c r="N302">
        <v>8.2227491443600004E-2</v>
      </c>
      <c r="O302">
        <v>572.19128624008613</v>
      </c>
      <c r="P302" t="s">
        <v>440</v>
      </c>
      <c r="Q302">
        <v>2</v>
      </c>
      <c r="R302">
        <v>47.636589999999998</v>
      </c>
      <c r="S302">
        <v>0.13500000000000001</v>
      </c>
      <c r="T302">
        <v>6.4309396999999997</v>
      </c>
      <c r="U302">
        <v>1.9E-2</v>
      </c>
      <c r="V302">
        <v>122.188</v>
      </c>
      <c r="W302">
        <v>2</v>
      </c>
      <c r="X302">
        <v>5.8457995E-4</v>
      </c>
      <c r="Y302">
        <v>0.14285700000000001</v>
      </c>
      <c r="Z302" s="61">
        <v>81.741530999999995</v>
      </c>
      <c r="AA302" t="s">
        <v>347</v>
      </c>
      <c r="AB302" t="s">
        <v>437</v>
      </c>
      <c r="AC302" t="s">
        <v>425</v>
      </c>
      <c r="AD302" t="s">
        <v>81</v>
      </c>
      <c r="AE302">
        <v>111.133</v>
      </c>
      <c r="AF302">
        <v>1.0541007448257309</v>
      </c>
      <c r="AG302">
        <v>117.145378074718</v>
      </c>
      <c r="AH302">
        <v>640.82000000000005</v>
      </c>
      <c r="AI302">
        <v>1</v>
      </c>
      <c r="AJ302">
        <v>75.069101177840764</v>
      </c>
      <c r="AK302">
        <v>0.93830000000000002</v>
      </c>
      <c r="AL302" s="63">
        <v>70.436999999999998</v>
      </c>
      <c r="AM302">
        <v>8.9176000000000002</v>
      </c>
      <c r="AN302">
        <v>9.4000488020579382</v>
      </c>
      <c r="AO302">
        <v>1</v>
      </c>
      <c r="AP302">
        <v>6023.7392733347688</v>
      </c>
      <c r="AQ302">
        <v>1.098016605166052</v>
      </c>
      <c r="AR302">
        <v>6614.1656999999996</v>
      </c>
      <c r="AS302" s="61">
        <v>540652.0306056866</v>
      </c>
      <c r="AT302" t="s">
        <v>348</v>
      </c>
      <c r="AU302" t="s">
        <v>438</v>
      </c>
      <c r="AV302" t="s">
        <v>425</v>
      </c>
      <c r="AW302" t="s">
        <v>81</v>
      </c>
      <c r="AX302">
        <v>111.133</v>
      </c>
      <c r="AY302">
        <v>1.0727760310708341</v>
      </c>
      <c r="AZ302">
        <v>119.22081866099499</v>
      </c>
      <c r="BA302">
        <v>694.38</v>
      </c>
      <c r="BB302">
        <v>0.875</v>
      </c>
      <c r="BC302">
        <v>72.436483054094012</v>
      </c>
      <c r="BD302">
        <v>0.93500000000000005</v>
      </c>
      <c r="BE302" s="63">
        <v>67.727999999999994</v>
      </c>
      <c r="BF302">
        <v>8.9176000000000002</v>
      </c>
      <c r="BG302">
        <v>0.91300000000000003</v>
      </c>
      <c r="BH302">
        <v>6064.9193587765631</v>
      </c>
      <c r="BI302">
        <v>1.096171586715867</v>
      </c>
      <c r="BJ302" s="63">
        <v>6648.1922999999997</v>
      </c>
      <c r="BK302" s="61">
        <v>543433.41698441119</v>
      </c>
    </row>
    <row r="303" spans="1:63" x14ac:dyDescent="0.25">
      <c r="A303">
        <v>949</v>
      </c>
      <c r="B303" t="s">
        <v>205</v>
      </c>
      <c r="C303">
        <v>2020</v>
      </c>
      <c r="D303">
        <v>3</v>
      </c>
      <c r="E303" t="s">
        <v>100</v>
      </c>
      <c r="F303" t="s">
        <v>426</v>
      </c>
      <c r="G303" t="s">
        <v>427</v>
      </c>
      <c r="H303" t="s">
        <v>84</v>
      </c>
      <c r="I303" t="s">
        <v>429</v>
      </c>
      <c r="J303" t="s">
        <v>87</v>
      </c>
      <c r="K303">
        <v>-2634.2534426900002</v>
      </c>
      <c r="L303" t="s">
        <v>87</v>
      </c>
      <c r="M303" t="s">
        <v>384</v>
      </c>
      <c r="N303">
        <v>5.4975015900139999E-2</v>
      </c>
      <c r="O303">
        <v>144.8181248968813</v>
      </c>
      <c r="P303" t="s">
        <v>440</v>
      </c>
      <c r="Q303">
        <v>2</v>
      </c>
      <c r="R303">
        <v>47.636589999999998</v>
      </c>
      <c r="S303">
        <v>0.13500000000000001</v>
      </c>
      <c r="T303">
        <v>6.4309396999999997</v>
      </c>
      <c r="U303">
        <v>1.9E-2</v>
      </c>
      <c r="V303">
        <v>122.188</v>
      </c>
      <c r="W303">
        <v>2</v>
      </c>
      <c r="X303">
        <v>5.8457995E-4</v>
      </c>
      <c r="Y303">
        <v>0.14285700000000001</v>
      </c>
      <c r="Z303" s="61">
        <v>20.688282999999998</v>
      </c>
      <c r="AA303" t="s">
        <v>347</v>
      </c>
      <c r="AB303" t="s">
        <v>437</v>
      </c>
      <c r="AC303" t="s">
        <v>425</v>
      </c>
      <c r="AD303" t="s">
        <v>81</v>
      </c>
      <c r="AE303">
        <v>111.133</v>
      </c>
      <c r="AF303">
        <v>1.0541007448257309</v>
      </c>
      <c r="AG303">
        <v>117.145378074718</v>
      </c>
      <c r="AH303">
        <v>640.82000000000005</v>
      </c>
      <c r="AI303">
        <v>1</v>
      </c>
      <c r="AJ303">
        <v>75.069101177840764</v>
      </c>
      <c r="AK303">
        <v>0.93830000000000002</v>
      </c>
      <c r="AL303" s="63">
        <v>70.436999999999998</v>
      </c>
      <c r="AM303">
        <v>8.9176000000000002</v>
      </c>
      <c r="AN303">
        <v>9.4000488020579382</v>
      </c>
      <c r="AO303">
        <v>1</v>
      </c>
      <c r="AP303">
        <v>6023.7392733347688</v>
      </c>
      <c r="AQ303">
        <v>1.098016605166052</v>
      </c>
      <c r="AR303">
        <v>6614.1656999999996</v>
      </c>
      <c r="AS303" s="61">
        <v>136835.7318104931</v>
      </c>
      <c r="AT303" t="s">
        <v>348</v>
      </c>
      <c r="AU303" t="s">
        <v>438</v>
      </c>
      <c r="AV303" t="s">
        <v>425</v>
      </c>
      <c r="AW303" t="s">
        <v>81</v>
      </c>
      <c r="AX303">
        <v>111.133</v>
      </c>
      <c r="AY303">
        <v>1.0727760310708341</v>
      </c>
      <c r="AZ303">
        <v>119.22081866099499</v>
      </c>
      <c r="BA303">
        <v>694.38</v>
      </c>
      <c r="BB303">
        <v>0.875</v>
      </c>
      <c r="BC303">
        <v>72.436483054094012</v>
      </c>
      <c r="BD303">
        <v>0.93500000000000005</v>
      </c>
      <c r="BE303" s="63">
        <v>67.727999999999994</v>
      </c>
      <c r="BF303">
        <v>8.9176000000000002</v>
      </c>
      <c r="BG303">
        <v>0.91300000000000003</v>
      </c>
      <c r="BH303">
        <v>6064.9193587765631</v>
      </c>
      <c r="BI303">
        <v>1.096171586715867</v>
      </c>
      <c r="BJ303" s="63">
        <v>6648.1922999999997</v>
      </c>
      <c r="BK303" s="61">
        <v>137539.68374082091</v>
      </c>
    </row>
    <row r="304" spans="1:63" x14ac:dyDescent="0.25">
      <c r="A304">
        <v>949</v>
      </c>
      <c r="B304" t="s">
        <v>205</v>
      </c>
      <c r="C304">
        <v>2020</v>
      </c>
      <c r="D304">
        <v>3</v>
      </c>
      <c r="E304" t="s">
        <v>100</v>
      </c>
      <c r="F304" t="s">
        <v>426</v>
      </c>
      <c r="G304" t="s">
        <v>427</v>
      </c>
      <c r="H304" t="s">
        <v>84</v>
      </c>
      <c r="I304" t="s">
        <v>430</v>
      </c>
      <c r="J304" t="s">
        <v>59</v>
      </c>
      <c r="K304">
        <v>-2164.2694227000002</v>
      </c>
      <c r="L304" t="s">
        <v>59</v>
      </c>
      <c r="M304" t="s">
        <v>384</v>
      </c>
      <c r="N304">
        <v>6.0751694612559998E-2</v>
      </c>
      <c r="O304">
        <v>131.48303502717189</v>
      </c>
      <c r="P304" t="s">
        <v>440</v>
      </c>
      <c r="Q304">
        <v>2</v>
      </c>
      <c r="R304">
        <v>47.636589999999998</v>
      </c>
      <c r="S304">
        <v>0.13500000000000001</v>
      </c>
      <c r="T304">
        <v>6.4309396999999997</v>
      </c>
      <c r="U304">
        <v>1.9E-2</v>
      </c>
      <c r="V304">
        <v>122.188</v>
      </c>
      <c r="W304">
        <v>2</v>
      </c>
      <c r="X304">
        <v>5.8457995E-4</v>
      </c>
      <c r="Y304">
        <v>0.14285700000000001</v>
      </c>
      <c r="Z304" s="61">
        <v>18.783272</v>
      </c>
      <c r="AA304" t="s">
        <v>347</v>
      </c>
      <c r="AB304" t="s">
        <v>437</v>
      </c>
      <c r="AC304" t="s">
        <v>425</v>
      </c>
      <c r="AD304" t="s">
        <v>81</v>
      </c>
      <c r="AE304">
        <v>111.133</v>
      </c>
      <c r="AF304">
        <v>1.0541007448257309</v>
      </c>
      <c r="AG304">
        <v>117.145378074718</v>
      </c>
      <c r="AH304">
        <v>640.82000000000005</v>
      </c>
      <c r="AI304">
        <v>1</v>
      </c>
      <c r="AJ304">
        <v>75.069101177840764</v>
      </c>
      <c r="AK304">
        <v>0.93830000000000002</v>
      </c>
      <c r="AL304" s="63">
        <v>70.436999999999998</v>
      </c>
      <c r="AM304">
        <v>8.9176000000000002</v>
      </c>
      <c r="AN304">
        <v>9.4000488020579382</v>
      </c>
      <c r="AO304">
        <v>1</v>
      </c>
      <c r="AP304">
        <v>6023.7392733347688</v>
      </c>
      <c r="AQ304">
        <v>1.098016605166052</v>
      </c>
      <c r="AR304">
        <v>6614.1656999999996</v>
      </c>
      <c r="AS304" s="61">
        <v>124235.6733961704</v>
      </c>
      <c r="AT304" t="s">
        <v>348</v>
      </c>
      <c r="AU304" t="s">
        <v>438</v>
      </c>
      <c r="AV304" t="s">
        <v>425</v>
      </c>
      <c r="AW304" t="s">
        <v>81</v>
      </c>
      <c r="AX304">
        <v>111.133</v>
      </c>
      <c r="AY304">
        <v>1.0727760310708341</v>
      </c>
      <c r="AZ304">
        <v>119.22081866099499</v>
      </c>
      <c r="BA304">
        <v>694.38</v>
      </c>
      <c r="BB304">
        <v>0.875</v>
      </c>
      <c r="BC304">
        <v>72.436483054094012</v>
      </c>
      <c r="BD304">
        <v>0.93500000000000005</v>
      </c>
      <c r="BE304" s="63">
        <v>67.727999999999994</v>
      </c>
      <c r="BF304">
        <v>8.9176000000000002</v>
      </c>
      <c r="BG304">
        <v>0.91300000000000003</v>
      </c>
      <c r="BH304">
        <v>6064.9193587765631</v>
      </c>
      <c r="BI304">
        <v>1.096171586715867</v>
      </c>
      <c r="BJ304" s="63">
        <v>6648.1922999999997</v>
      </c>
      <c r="BK304" s="61">
        <v>124874.80427920559</v>
      </c>
    </row>
    <row r="305" spans="1:63" x14ac:dyDescent="0.25">
      <c r="A305">
        <v>951</v>
      </c>
      <c r="B305" t="s">
        <v>205</v>
      </c>
      <c r="C305">
        <v>2020</v>
      </c>
      <c r="D305">
        <v>3</v>
      </c>
      <c r="E305" t="s">
        <v>100</v>
      </c>
      <c r="F305" t="s">
        <v>426</v>
      </c>
      <c r="G305" t="s">
        <v>427</v>
      </c>
      <c r="H305" t="s">
        <v>84</v>
      </c>
      <c r="I305" t="s">
        <v>428</v>
      </c>
      <c r="J305" t="s">
        <v>381</v>
      </c>
      <c r="K305">
        <v>-6958.63726589</v>
      </c>
      <c r="L305" t="s">
        <v>381</v>
      </c>
      <c r="M305" t="s">
        <v>385</v>
      </c>
      <c r="N305">
        <v>0.46583509407819002</v>
      </c>
      <c r="O305">
        <v>3241.5774454118668</v>
      </c>
      <c r="P305" t="s">
        <v>440</v>
      </c>
      <c r="Q305">
        <v>2</v>
      </c>
      <c r="R305">
        <v>47.636589999999998</v>
      </c>
      <c r="S305">
        <v>0.13500000000000001</v>
      </c>
      <c r="T305">
        <v>6.4309396999999997</v>
      </c>
      <c r="U305">
        <v>0.98099999999999998</v>
      </c>
      <c r="V305">
        <v>6308.7520000000004</v>
      </c>
      <c r="W305">
        <v>2</v>
      </c>
      <c r="X305">
        <v>1.1322140000000001E-5</v>
      </c>
      <c r="Y305">
        <v>0.14285700000000001</v>
      </c>
      <c r="Z305" s="61">
        <v>463.08202899999998</v>
      </c>
      <c r="AA305" t="s">
        <v>347</v>
      </c>
      <c r="AB305" t="s">
        <v>437</v>
      </c>
      <c r="AC305" t="s">
        <v>425</v>
      </c>
      <c r="AD305" t="s">
        <v>27</v>
      </c>
      <c r="AE305">
        <v>111.133</v>
      </c>
      <c r="AF305">
        <v>1.0541007448257309</v>
      </c>
      <c r="AG305">
        <v>117.145378074718</v>
      </c>
      <c r="AH305">
        <v>640.82000000000005</v>
      </c>
      <c r="AI305">
        <v>1</v>
      </c>
      <c r="AJ305">
        <v>75.069101177840764</v>
      </c>
      <c r="AK305">
        <v>0.95889999999999997</v>
      </c>
      <c r="AL305" s="63">
        <v>71.983999999999995</v>
      </c>
      <c r="AM305">
        <v>8.9176000000000002</v>
      </c>
      <c r="AN305">
        <v>9.4000488020579382</v>
      </c>
      <c r="AO305">
        <v>1</v>
      </c>
      <c r="AP305">
        <v>6023.7392733347688</v>
      </c>
      <c r="AQ305">
        <v>0.99097621000820357</v>
      </c>
      <c r="AR305">
        <v>5969.3823000000002</v>
      </c>
      <c r="AS305" s="61">
        <v>2764313.6673606872</v>
      </c>
      <c r="AT305" t="s">
        <v>348</v>
      </c>
      <c r="AU305" t="s">
        <v>438</v>
      </c>
      <c r="AV305" t="s">
        <v>425</v>
      </c>
      <c r="AW305" t="s">
        <v>27</v>
      </c>
      <c r="AX305">
        <v>111.133</v>
      </c>
      <c r="AY305">
        <v>1.0727760310708341</v>
      </c>
      <c r="AZ305">
        <v>119.22081866099499</v>
      </c>
      <c r="BA305">
        <v>694.38</v>
      </c>
      <c r="BB305">
        <v>0.875</v>
      </c>
      <c r="BC305">
        <v>72.436483054094012</v>
      </c>
      <c r="BD305">
        <v>0.95369999999999999</v>
      </c>
      <c r="BE305" s="63">
        <v>69.082999999999998</v>
      </c>
      <c r="BF305">
        <v>8.9176000000000002</v>
      </c>
      <c r="BG305">
        <v>0.91300000000000003</v>
      </c>
      <c r="BH305">
        <v>6064.9193587765631</v>
      </c>
      <c r="BI305">
        <v>1.007895816242822</v>
      </c>
      <c r="BJ305" s="63">
        <v>6112.8068000000003</v>
      </c>
      <c r="BK305" s="61">
        <v>2830730.9758289969</v>
      </c>
    </row>
    <row r="306" spans="1:63" x14ac:dyDescent="0.25">
      <c r="A306">
        <v>951</v>
      </c>
      <c r="B306" t="s">
        <v>205</v>
      </c>
      <c r="C306">
        <v>2020</v>
      </c>
      <c r="D306">
        <v>3</v>
      </c>
      <c r="E306" t="s">
        <v>100</v>
      </c>
      <c r="F306" t="s">
        <v>426</v>
      </c>
      <c r="G306" t="s">
        <v>427</v>
      </c>
      <c r="H306" t="s">
        <v>84</v>
      </c>
      <c r="I306" t="s">
        <v>429</v>
      </c>
      <c r="J306" t="s">
        <v>87</v>
      </c>
      <c r="K306">
        <v>-2634.2534426900002</v>
      </c>
      <c r="L306" t="s">
        <v>87</v>
      </c>
      <c r="M306" t="s">
        <v>385</v>
      </c>
      <c r="N306">
        <v>0.36091731608909999</v>
      </c>
      <c r="O306">
        <v>950.74768243414655</v>
      </c>
      <c r="P306" t="s">
        <v>440</v>
      </c>
      <c r="Q306">
        <v>2</v>
      </c>
      <c r="R306">
        <v>47.636589999999998</v>
      </c>
      <c r="S306">
        <v>0.13500000000000001</v>
      </c>
      <c r="T306">
        <v>6.4309396999999997</v>
      </c>
      <c r="U306">
        <v>0.98099999999999998</v>
      </c>
      <c r="V306">
        <v>6308.7520000000004</v>
      </c>
      <c r="W306">
        <v>2</v>
      </c>
      <c r="X306">
        <v>1.1322140000000001E-5</v>
      </c>
      <c r="Y306">
        <v>0.14285700000000001</v>
      </c>
      <c r="Z306" s="61">
        <v>135.82096200000001</v>
      </c>
      <c r="AA306" t="s">
        <v>347</v>
      </c>
      <c r="AB306" t="s">
        <v>437</v>
      </c>
      <c r="AC306" t="s">
        <v>425</v>
      </c>
      <c r="AD306" t="s">
        <v>27</v>
      </c>
      <c r="AE306">
        <v>111.133</v>
      </c>
      <c r="AF306">
        <v>1.0541007448257309</v>
      </c>
      <c r="AG306">
        <v>117.145378074718</v>
      </c>
      <c r="AH306">
        <v>640.82000000000005</v>
      </c>
      <c r="AI306">
        <v>1</v>
      </c>
      <c r="AJ306">
        <v>75.069101177840764</v>
      </c>
      <c r="AK306">
        <v>0.95889999999999997</v>
      </c>
      <c r="AL306" s="63">
        <v>71.983999999999995</v>
      </c>
      <c r="AM306">
        <v>8.9176000000000002</v>
      </c>
      <c r="AN306">
        <v>9.4000488020579382</v>
      </c>
      <c r="AO306">
        <v>1</v>
      </c>
      <c r="AP306">
        <v>6023.7392733347688</v>
      </c>
      <c r="AQ306">
        <v>0.99097621000820357</v>
      </c>
      <c r="AR306">
        <v>5969.3823000000002</v>
      </c>
      <c r="AS306" s="61">
        <v>810767.24653177266</v>
      </c>
      <c r="AT306" t="s">
        <v>348</v>
      </c>
      <c r="AU306" t="s">
        <v>438</v>
      </c>
      <c r="AV306" t="s">
        <v>425</v>
      </c>
      <c r="AW306" t="s">
        <v>27</v>
      </c>
      <c r="AX306">
        <v>111.133</v>
      </c>
      <c r="AY306">
        <v>1.0727760310708341</v>
      </c>
      <c r="AZ306">
        <v>119.22081866099499</v>
      </c>
      <c r="BA306">
        <v>694.38</v>
      </c>
      <c r="BB306">
        <v>0.875</v>
      </c>
      <c r="BC306">
        <v>72.436483054094012</v>
      </c>
      <c r="BD306">
        <v>0.95369999999999999</v>
      </c>
      <c r="BE306" s="63">
        <v>69.082999999999998</v>
      </c>
      <c r="BF306">
        <v>8.9176000000000002</v>
      </c>
      <c r="BG306">
        <v>0.91300000000000003</v>
      </c>
      <c r="BH306">
        <v>6064.9193587765631</v>
      </c>
      <c r="BI306">
        <v>1.007895816242822</v>
      </c>
      <c r="BJ306" s="63">
        <v>6112.8068000000003</v>
      </c>
      <c r="BK306" s="61">
        <v>830247.30009614164</v>
      </c>
    </row>
    <row r="307" spans="1:63" x14ac:dyDescent="0.25">
      <c r="A307">
        <v>951</v>
      </c>
      <c r="B307" t="s">
        <v>205</v>
      </c>
      <c r="C307">
        <v>2020</v>
      </c>
      <c r="D307">
        <v>3</v>
      </c>
      <c r="E307" t="s">
        <v>100</v>
      </c>
      <c r="F307" t="s">
        <v>426</v>
      </c>
      <c r="G307" t="s">
        <v>427</v>
      </c>
      <c r="H307" t="s">
        <v>84</v>
      </c>
      <c r="I307" t="s">
        <v>430</v>
      </c>
      <c r="J307" t="s">
        <v>59</v>
      </c>
      <c r="K307">
        <v>-2164.2694227000002</v>
      </c>
      <c r="L307" t="s">
        <v>59</v>
      </c>
      <c r="M307" t="s">
        <v>385</v>
      </c>
      <c r="N307">
        <v>0.45696251572956997</v>
      </c>
      <c r="O307">
        <v>988.99000011357612</v>
      </c>
      <c r="P307" t="s">
        <v>440</v>
      </c>
      <c r="Q307">
        <v>2</v>
      </c>
      <c r="R307">
        <v>47.636589999999998</v>
      </c>
      <c r="S307">
        <v>0.13500000000000001</v>
      </c>
      <c r="T307">
        <v>6.4309396999999997</v>
      </c>
      <c r="U307">
        <v>0.98099999999999998</v>
      </c>
      <c r="V307">
        <v>6308.7520000000004</v>
      </c>
      <c r="W307">
        <v>2</v>
      </c>
      <c r="X307">
        <v>1.1322140000000001E-5</v>
      </c>
      <c r="Y307">
        <v>0.14285700000000001</v>
      </c>
      <c r="Z307" s="61">
        <v>141.284144</v>
      </c>
      <c r="AA307" t="s">
        <v>347</v>
      </c>
      <c r="AB307" t="s">
        <v>437</v>
      </c>
      <c r="AC307" t="s">
        <v>425</v>
      </c>
      <c r="AD307" t="s">
        <v>27</v>
      </c>
      <c r="AE307">
        <v>111.133</v>
      </c>
      <c r="AF307">
        <v>1.0541007448257309</v>
      </c>
      <c r="AG307">
        <v>117.145378074718</v>
      </c>
      <c r="AH307">
        <v>640.82000000000005</v>
      </c>
      <c r="AI307">
        <v>1</v>
      </c>
      <c r="AJ307">
        <v>75.069101177840764</v>
      </c>
      <c r="AK307">
        <v>0.95889999999999997</v>
      </c>
      <c r="AL307" s="63">
        <v>71.983999999999995</v>
      </c>
      <c r="AM307">
        <v>8.9176000000000002</v>
      </c>
      <c r="AN307">
        <v>9.4000488020579382</v>
      </c>
      <c r="AO307">
        <v>1</v>
      </c>
      <c r="AP307">
        <v>6023.7392733347688</v>
      </c>
      <c r="AQ307">
        <v>0.99097621000820357</v>
      </c>
      <c r="AR307">
        <v>5969.3823000000002</v>
      </c>
      <c r="AS307" s="61">
        <v>843379.06846425124</v>
      </c>
      <c r="AT307" t="s">
        <v>348</v>
      </c>
      <c r="AU307" t="s">
        <v>438</v>
      </c>
      <c r="AV307" t="s">
        <v>425</v>
      </c>
      <c r="AW307" t="s">
        <v>27</v>
      </c>
      <c r="AX307">
        <v>111.133</v>
      </c>
      <c r="AY307">
        <v>1.0727760310708341</v>
      </c>
      <c r="AZ307">
        <v>119.22081866099499</v>
      </c>
      <c r="BA307">
        <v>694.38</v>
      </c>
      <c r="BB307">
        <v>0.875</v>
      </c>
      <c r="BC307">
        <v>72.436483054094012</v>
      </c>
      <c r="BD307">
        <v>0.95369999999999999</v>
      </c>
      <c r="BE307" s="63">
        <v>69.082999999999998</v>
      </c>
      <c r="BF307">
        <v>8.9176000000000002</v>
      </c>
      <c r="BG307">
        <v>0.91300000000000003</v>
      </c>
      <c r="BH307">
        <v>6064.9193587765631</v>
      </c>
      <c r="BI307">
        <v>1.007895816242822</v>
      </c>
      <c r="BJ307" s="63">
        <v>6112.8068000000003</v>
      </c>
      <c r="BK307" s="61">
        <v>863642.67617537919</v>
      </c>
    </row>
    <row r="308" spans="1:63" x14ac:dyDescent="0.25">
      <c r="A308">
        <v>975</v>
      </c>
      <c r="B308" t="s">
        <v>209</v>
      </c>
      <c r="C308">
        <v>2020</v>
      </c>
      <c r="D308">
        <v>4</v>
      </c>
      <c r="E308" t="s">
        <v>100</v>
      </c>
      <c r="F308" t="s">
        <v>426</v>
      </c>
      <c r="G308" t="s">
        <v>427</v>
      </c>
      <c r="H308" t="s">
        <v>84</v>
      </c>
      <c r="I308" t="s">
        <v>428</v>
      </c>
      <c r="J308" t="s">
        <v>381</v>
      </c>
      <c r="K308">
        <v>-4791.6486302000003</v>
      </c>
      <c r="L308" t="s">
        <v>381</v>
      </c>
      <c r="M308" t="s">
        <v>384</v>
      </c>
      <c r="N308">
        <v>8.2227491443679995E-2</v>
      </c>
      <c r="O308">
        <v>394.00524674089149</v>
      </c>
      <c r="P308" t="s">
        <v>440</v>
      </c>
      <c r="Q308">
        <v>2</v>
      </c>
      <c r="R308">
        <v>47.636589999999998</v>
      </c>
      <c r="S308">
        <v>9.1999999999999998E-2</v>
      </c>
      <c r="T308">
        <v>4.3825662999999997</v>
      </c>
      <c r="U308">
        <v>1.9E-2</v>
      </c>
      <c r="V308">
        <v>83.269000000000005</v>
      </c>
      <c r="W308">
        <v>2</v>
      </c>
      <c r="X308">
        <v>8.5780728999999996E-4</v>
      </c>
      <c r="Y308">
        <v>0.14285800000000001</v>
      </c>
      <c r="Z308" s="61">
        <v>56.286802000000002</v>
      </c>
      <c r="AA308" t="s">
        <v>347</v>
      </c>
      <c r="AB308" t="s">
        <v>437</v>
      </c>
      <c r="AC308" t="s">
        <v>425</v>
      </c>
      <c r="AD308" t="s">
        <v>81</v>
      </c>
      <c r="AE308">
        <v>111.133</v>
      </c>
      <c r="AF308">
        <v>1.0541007448257309</v>
      </c>
      <c r="AG308">
        <v>117.145378074718</v>
      </c>
      <c r="AH308">
        <v>640.82000000000005</v>
      </c>
      <c r="AI308">
        <v>1</v>
      </c>
      <c r="AJ308">
        <v>75.069101177840764</v>
      </c>
      <c r="AK308">
        <v>0.93830000000000002</v>
      </c>
      <c r="AL308" s="63">
        <v>70.436999999999998</v>
      </c>
      <c r="AM308">
        <v>8.9176000000000002</v>
      </c>
      <c r="AN308">
        <v>9.4000488020579382</v>
      </c>
      <c r="AO308">
        <v>1</v>
      </c>
      <c r="AP308">
        <v>6023.7392733347688</v>
      </c>
      <c r="AQ308">
        <v>1.098016605166052</v>
      </c>
      <c r="AR308">
        <v>6614.1656999999996</v>
      </c>
      <c r="AS308" s="61">
        <v>372290.23515109142</v>
      </c>
      <c r="AT308" t="s">
        <v>348</v>
      </c>
      <c r="AU308" t="s">
        <v>438</v>
      </c>
      <c r="AV308" t="s">
        <v>425</v>
      </c>
      <c r="AW308" t="s">
        <v>81</v>
      </c>
      <c r="AX308">
        <v>111.133</v>
      </c>
      <c r="AY308">
        <v>1.0727760310708341</v>
      </c>
      <c r="AZ308">
        <v>119.22081866099499</v>
      </c>
      <c r="BA308">
        <v>694.38</v>
      </c>
      <c r="BB308">
        <v>0.875</v>
      </c>
      <c r="BC308">
        <v>72.436483054094012</v>
      </c>
      <c r="BD308">
        <v>0.93500000000000005</v>
      </c>
      <c r="BE308" s="63">
        <v>67.727999999999994</v>
      </c>
      <c r="BF308">
        <v>8.9176000000000002</v>
      </c>
      <c r="BG308">
        <v>0.91300000000000003</v>
      </c>
      <c r="BH308">
        <v>6064.9193587765631</v>
      </c>
      <c r="BI308">
        <v>1.096171586715867</v>
      </c>
      <c r="BJ308" s="63">
        <v>6648.1922999999997</v>
      </c>
      <c r="BK308" s="61">
        <v>374205.48364802462</v>
      </c>
    </row>
    <row r="309" spans="1:63" x14ac:dyDescent="0.25">
      <c r="A309">
        <v>975</v>
      </c>
      <c r="B309" t="s">
        <v>209</v>
      </c>
      <c r="C309">
        <v>2020</v>
      </c>
      <c r="D309">
        <v>4</v>
      </c>
      <c r="E309" t="s">
        <v>100</v>
      </c>
      <c r="F309" t="s">
        <v>426</v>
      </c>
      <c r="G309" t="s">
        <v>427</v>
      </c>
      <c r="H309" t="s">
        <v>84</v>
      </c>
      <c r="I309" t="s">
        <v>429</v>
      </c>
      <c r="J309" t="s">
        <v>87</v>
      </c>
      <c r="K309">
        <v>-1342.6734234600001</v>
      </c>
      <c r="L309" t="s">
        <v>87</v>
      </c>
      <c r="M309" t="s">
        <v>384</v>
      </c>
      <c r="N309">
        <v>5.4975015899400001E-2</v>
      </c>
      <c r="O309">
        <v>73.813492802415325</v>
      </c>
      <c r="P309" t="s">
        <v>440</v>
      </c>
      <c r="Q309">
        <v>2</v>
      </c>
      <c r="R309">
        <v>47.636589999999998</v>
      </c>
      <c r="S309">
        <v>9.1999999999999998E-2</v>
      </c>
      <c r="T309">
        <v>4.3825662999999997</v>
      </c>
      <c r="U309">
        <v>1.9E-2</v>
      </c>
      <c r="V309">
        <v>83.269000000000005</v>
      </c>
      <c r="W309">
        <v>2</v>
      </c>
      <c r="X309">
        <v>8.5780728999999996E-4</v>
      </c>
      <c r="Y309">
        <v>0.14285800000000001</v>
      </c>
      <c r="Z309" s="61">
        <v>10.544848</v>
      </c>
      <c r="AA309" t="s">
        <v>347</v>
      </c>
      <c r="AB309" t="s">
        <v>437</v>
      </c>
      <c r="AC309" t="s">
        <v>425</v>
      </c>
      <c r="AD309" t="s">
        <v>81</v>
      </c>
      <c r="AE309">
        <v>111.133</v>
      </c>
      <c r="AF309">
        <v>1.0541007448257309</v>
      </c>
      <c r="AG309">
        <v>117.145378074718</v>
      </c>
      <c r="AH309">
        <v>640.82000000000005</v>
      </c>
      <c r="AI309">
        <v>1</v>
      </c>
      <c r="AJ309">
        <v>75.069101177840764</v>
      </c>
      <c r="AK309">
        <v>0.93830000000000002</v>
      </c>
      <c r="AL309" s="63">
        <v>70.436999999999998</v>
      </c>
      <c r="AM309">
        <v>8.9176000000000002</v>
      </c>
      <c r="AN309">
        <v>9.4000488020579382</v>
      </c>
      <c r="AO309">
        <v>1</v>
      </c>
      <c r="AP309">
        <v>6023.7392733347688</v>
      </c>
      <c r="AQ309">
        <v>1.098016605166052</v>
      </c>
      <c r="AR309">
        <v>6614.1656999999996</v>
      </c>
      <c r="AS309" s="61">
        <v>69745.371953313588</v>
      </c>
      <c r="AT309" t="s">
        <v>348</v>
      </c>
      <c r="AU309" t="s">
        <v>438</v>
      </c>
      <c r="AV309" t="s">
        <v>425</v>
      </c>
      <c r="AW309" t="s">
        <v>81</v>
      </c>
      <c r="AX309">
        <v>111.133</v>
      </c>
      <c r="AY309">
        <v>1.0727760310708341</v>
      </c>
      <c r="AZ309">
        <v>119.22081866099499</v>
      </c>
      <c r="BA309">
        <v>694.38</v>
      </c>
      <c r="BB309">
        <v>0.875</v>
      </c>
      <c r="BC309">
        <v>72.436483054094012</v>
      </c>
      <c r="BD309">
        <v>0.93500000000000005</v>
      </c>
      <c r="BE309" s="63">
        <v>67.727999999999994</v>
      </c>
      <c r="BF309">
        <v>8.9176000000000002</v>
      </c>
      <c r="BG309">
        <v>0.91300000000000003</v>
      </c>
      <c r="BH309">
        <v>6064.9193587765631</v>
      </c>
      <c r="BI309">
        <v>1.096171586715867</v>
      </c>
      <c r="BJ309" s="63">
        <v>6648.1922999999997</v>
      </c>
      <c r="BK309" s="61">
        <v>70104.177278270392</v>
      </c>
    </row>
    <row r="310" spans="1:63" x14ac:dyDescent="0.25">
      <c r="A310">
        <v>975</v>
      </c>
      <c r="B310" t="s">
        <v>209</v>
      </c>
      <c r="C310">
        <v>2020</v>
      </c>
      <c r="D310">
        <v>4</v>
      </c>
      <c r="E310" t="s">
        <v>100</v>
      </c>
      <c r="F310" t="s">
        <v>426</v>
      </c>
      <c r="G310" t="s">
        <v>427</v>
      </c>
      <c r="H310" t="s">
        <v>84</v>
      </c>
      <c r="I310" t="s">
        <v>430</v>
      </c>
      <c r="J310" t="s">
        <v>59</v>
      </c>
      <c r="K310">
        <v>-2206.3209413599998</v>
      </c>
      <c r="L310" t="s">
        <v>59</v>
      </c>
      <c r="M310" t="s">
        <v>384</v>
      </c>
      <c r="N310">
        <v>6.075169461214E-2</v>
      </c>
      <c r="O310">
        <v>134.03773604587201</v>
      </c>
      <c r="P310" t="s">
        <v>440</v>
      </c>
      <c r="Q310">
        <v>2</v>
      </c>
      <c r="R310">
        <v>47.636589999999998</v>
      </c>
      <c r="S310">
        <v>9.1999999999999998E-2</v>
      </c>
      <c r="T310">
        <v>4.3825662999999997</v>
      </c>
      <c r="U310">
        <v>1.9E-2</v>
      </c>
      <c r="V310">
        <v>83.269000000000005</v>
      </c>
      <c r="W310">
        <v>2</v>
      </c>
      <c r="X310">
        <v>8.5780728999999996E-4</v>
      </c>
      <c r="Y310">
        <v>0.14285800000000001</v>
      </c>
      <c r="Z310" s="61">
        <v>19.148363</v>
      </c>
      <c r="AA310" t="s">
        <v>347</v>
      </c>
      <c r="AB310" t="s">
        <v>437</v>
      </c>
      <c r="AC310" t="s">
        <v>425</v>
      </c>
      <c r="AD310" t="s">
        <v>81</v>
      </c>
      <c r="AE310">
        <v>111.133</v>
      </c>
      <c r="AF310">
        <v>1.0541007448257309</v>
      </c>
      <c r="AG310">
        <v>117.145378074718</v>
      </c>
      <c r="AH310">
        <v>640.82000000000005</v>
      </c>
      <c r="AI310">
        <v>1</v>
      </c>
      <c r="AJ310">
        <v>75.069101177840764</v>
      </c>
      <c r="AK310">
        <v>0.93830000000000002</v>
      </c>
      <c r="AL310" s="63">
        <v>70.436999999999998</v>
      </c>
      <c r="AM310">
        <v>8.9176000000000002</v>
      </c>
      <c r="AN310">
        <v>9.4000488020579382</v>
      </c>
      <c r="AO310">
        <v>1</v>
      </c>
      <c r="AP310">
        <v>6023.7392733347688</v>
      </c>
      <c r="AQ310">
        <v>1.098016605166052</v>
      </c>
      <c r="AR310">
        <v>6614.1656999999996</v>
      </c>
      <c r="AS310" s="61">
        <v>126650.4457657491</v>
      </c>
      <c r="AT310" t="s">
        <v>348</v>
      </c>
      <c r="AU310" t="s">
        <v>438</v>
      </c>
      <c r="AV310" t="s">
        <v>425</v>
      </c>
      <c r="AW310" t="s">
        <v>81</v>
      </c>
      <c r="AX310">
        <v>111.133</v>
      </c>
      <c r="AY310">
        <v>1.0727760310708341</v>
      </c>
      <c r="AZ310">
        <v>119.22081866099499</v>
      </c>
      <c r="BA310">
        <v>694.38</v>
      </c>
      <c r="BB310">
        <v>0.875</v>
      </c>
      <c r="BC310">
        <v>72.436483054094012</v>
      </c>
      <c r="BD310">
        <v>0.93500000000000005</v>
      </c>
      <c r="BE310" s="63">
        <v>67.727999999999994</v>
      </c>
      <c r="BF310">
        <v>8.9176000000000002</v>
      </c>
      <c r="BG310">
        <v>0.91300000000000003</v>
      </c>
      <c r="BH310">
        <v>6064.9193587765631</v>
      </c>
      <c r="BI310">
        <v>1.096171586715867</v>
      </c>
      <c r="BJ310" s="63">
        <v>6648.1922999999997</v>
      </c>
      <c r="BK310" s="61">
        <v>127301.9994542049</v>
      </c>
    </row>
    <row r="311" spans="1:63" x14ac:dyDescent="0.25">
      <c r="A311">
        <v>977</v>
      </c>
      <c r="B311" t="s">
        <v>209</v>
      </c>
      <c r="C311">
        <v>2020</v>
      </c>
      <c r="D311">
        <v>4</v>
      </c>
      <c r="E311" t="s">
        <v>100</v>
      </c>
      <c r="F311" t="s">
        <v>426</v>
      </c>
      <c r="G311" t="s">
        <v>427</v>
      </c>
      <c r="H311" t="s">
        <v>84</v>
      </c>
      <c r="I311" t="s">
        <v>428</v>
      </c>
      <c r="J311" t="s">
        <v>381</v>
      </c>
      <c r="K311">
        <v>-4791.6486302000003</v>
      </c>
      <c r="L311" t="s">
        <v>381</v>
      </c>
      <c r="M311" t="s">
        <v>385</v>
      </c>
      <c r="N311">
        <v>0.46583509407815998</v>
      </c>
      <c r="O311">
        <v>2232.1180904387029</v>
      </c>
      <c r="P311" t="s">
        <v>440</v>
      </c>
      <c r="Q311">
        <v>2</v>
      </c>
      <c r="R311">
        <v>47.636589999999998</v>
      </c>
      <c r="S311">
        <v>9.1999999999999998E-2</v>
      </c>
      <c r="T311">
        <v>4.3825662999999997</v>
      </c>
      <c r="U311">
        <v>0.98099999999999998</v>
      </c>
      <c r="V311">
        <v>4299.2979999999998</v>
      </c>
      <c r="W311">
        <v>2</v>
      </c>
      <c r="X311">
        <v>1.6614008999999998E-5</v>
      </c>
      <c r="Y311">
        <v>0.14285700000000001</v>
      </c>
      <c r="Z311" s="61">
        <v>318.873694</v>
      </c>
      <c r="AA311" t="s">
        <v>347</v>
      </c>
      <c r="AB311" t="s">
        <v>437</v>
      </c>
      <c r="AC311" t="s">
        <v>425</v>
      </c>
      <c r="AD311" t="s">
        <v>27</v>
      </c>
      <c r="AE311">
        <v>111.133</v>
      </c>
      <c r="AF311">
        <v>1.0541007448257309</v>
      </c>
      <c r="AG311">
        <v>117.145378074718</v>
      </c>
      <c r="AH311">
        <v>640.82000000000005</v>
      </c>
      <c r="AI311">
        <v>1</v>
      </c>
      <c r="AJ311">
        <v>75.069101177840764</v>
      </c>
      <c r="AK311">
        <v>0.95889999999999997</v>
      </c>
      <c r="AL311" s="63">
        <v>71.983999999999995</v>
      </c>
      <c r="AM311">
        <v>8.9176000000000002</v>
      </c>
      <c r="AN311">
        <v>9.4000488020579382</v>
      </c>
      <c r="AO311">
        <v>1</v>
      </c>
      <c r="AP311">
        <v>6023.7392733347688</v>
      </c>
      <c r="AQ311">
        <v>0.99097621000820357</v>
      </c>
      <c r="AR311">
        <v>5969.3823000000002</v>
      </c>
      <c r="AS311" s="61">
        <v>1903478.9848992161</v>
      </c>
      <c r="AT311" t="s">
        <v>348</v>
      </c>
      <c r="AU311" t="s">
        <v>438</v>
      </c>
      <c r="AV311" t="s">
        <v>425</v>
      </c>
      <c r="AW311" t="s">
        <v>27</v>
      </c>
      <c r="AX311">
        <v>111.133</v>
      </c>
      <c r="AY311">
        <v>1.0727760310708341</v>
      </c>
      <c r="AZ311">
        <v>119.22081866099499</v>
      </c>
      <c r="BA311">
        <v>694.38</v>
      </c>
      <c r="BB311">
        <v>0.875</v>
      </c>
      <c r="BC311">
        <v>72.436483054094012</v>
      </c>
      <c r="BD311">
        <v>0.95369999999999999</v>
      </c>
      <c r="BE311" s="63">
        <v>69.082999999999998</v>
      </c>
      <c r="BF311">
        <v>8.9176000000000002</v>
      </c>
      <c r="BG311">
        <v>0.91300000000000003</v>
      </c>
      <c r="BH311">
        <v>6064.9193587765631</v>
      </c>
      <c r="BI311">
        <v>1.007895816242822</v>
      </c>
      <c r="BJ311" s="63">
        <v>6112.8068000000003</v>
      </c>
      <c r="BK311" s="61">
        <v>1949213.2850243191</v>
      </c>
    </row>
    <row r="312" spans="1:63" x14ac:dyDescent="0.25">
      <c r="A312">
        <v>977</v>
      </c>
      <c r="B312" t="s">
        <v>209</v>
      </c>
      <c r="C312">
        <v>2020</v>
      </c>
      <c r="D312">
        <v>4</v>
      </c>
      <c r="E312" t="s">
        <v>100</v>
      </c>
      <c r="F312" t="s">
        <v>426</v>
      </c>
      <c r="G312" t="s">
        <v>427</v>
      </c>
      <c r="H312" t="s">
        <v>84</v>
      </c>
      <c r="I312" t="s">
        <v>429</v>
      </c>
      <c r="J312" t="s">
        <v>87</v>
      </c>
      <c r="K312">
        <v>-1342.6734234600001</v>
      </c>
      <c r="L312" t="s">
        <v>87</v>
      </c>
      <c r="M312" t="s">
        <v>385</v>
      </c>
      <c r="N312">
        <v>0.36091731609084998</v>
      </c>
      <c r="O312">
        <v>484.59408838169651</v>
      </c>
      <c r="P312" t="s">
        <v>440</v>
      </c>
      <c r="Q312">
        <v>2</v>
      </c>
      <c r="R312">
        <v>47.636589999999998</v>
      </c>
      <c r="S312">
        <v>9.1999999999999998E-2</v>
      </c>
      <c r="T312">
        <v>4.3825662999999997</v>
      </c>
      <c r="U312">
        <v>0.98099999999999998</v>
      </c>
      <c r="V312">
        <v>4299.2979999999998</v>
      </c>
      <c r="W312">
        <v>2</v>
      </c>
      <c r="X312">
        <v>1.6614008999999998E-5</v>
      </c>
      <c r="Y312">
        <v>0.14285700000000001</v>
      </c>
      <c r="Z312" s="61">
        <v>69.227658000000005</v>
      </c>
      <c r="AA312" t="s">
        <v>347</v>
      </c>
      <c r="AB312" t="s">
        <v>437</v>
      </c>
      <c r="AC312" t="s">
        <v>425</v>
      </c>
      <c r="AD312" t="s">
        <v>27</v>
      </c>
      <c r="AE312">
        <v>111.133</v>
      </c>
      <c r="AF312">
        <v>1.0541007448257309</v>
      </c>
      <c r="AG312">
        <v>117.145378074718</v>
      </c>
      <c r="AH312">
        <v>640.82000000000005</v>
      </c>
      <c r="AI312">
        <v>1</v>
      </c>
      <c r="AJ312">
        <v>75.069101177840764</v>
      </c>
      <c r="AK312">
        <v>0.95889999999999997</v>
      </c>
      <c r="AL312" s="63">
        <v>71.983999999999995</v>
      </c>
      <c r="AM312">
        <v>8.9176000000000002</v>
      </c>
      <c r="AN312">
        <v>9.4000488020579382</v>
      </c>
      <c r="AO312">
        <v>1</v>
      </c>
      <c r="AP312">
        <v>6023.7392733347688</v>
      </c>
      <c r="AQ312">
        <v>0.99097621000820357</v>
      </c>
      <c r="AR312">
        <v>5969.3823000000002</v>
      </c>
      <c r="AS312" s="61">
        <v>413246.35633565352</v>
      </c>
      <c r="AT312" t="s">
        <v>348</v>
      </c>
      <c r="AU312" t="s">
        <v>438</v>
      </c>
      <c r="AV312" t="s">
        <v>425</v>
      </c>
      <c r="AW312" t="s">
        <v>27</v>
      </c>
      <c r="AX312">
        <v>111.133</v>
      </c>
      <c r="AY312">
        <v>1.0727760310708341</v>
      </c>
      <c r="AZ312">
        <v>119.22081866099499</v>
      </c>
      <c r="BA312">
        <v>694.38</v>
      </c>
      <c r="BB312">
        <v>0.875</v>
      </c>
      <c r="BC312">
        <v>72.436483054094012</v>
      </c>
      <c r="BD312">
        <v>0.95369999999999999</v>
      </c>
      <c r="BE312" s="63">
        <v>69.082999999999998</v>
      </c>
      <c r="BF312">
        <v>8.9176000000000002</v>
      </c>
      <c r="BG312">
        <v>0.91300000000000003</v>
      </c>
      <c r="BH312">
        <v>6064.9193587765631</v>
      </c>
      <c r="BI312">
        <v>1.007895816242822</v>
      </c>
      <c r="BJ312" s="63">
        <v>6112.8068000000003</v>
      </c>
      <c r="BK312" s="61">
        <v>423175.29857047438</v>
      </c>
    </row>
    <row r="313" spans="1:63" x14ac:dyDescent="0.25">
      <c r="A313">
        <v>977</v>
      </c>
      <c r="B313" t="s">
        <v>209</v>
      </c>
      <c r="C313">
        <v>2020</v>
      </c>
      <c r="D313">
        <v>4</v>
      </c>
      <c r="E313" t="s">
        <v>100</v>
      </c>
      <c r="F313" t="s">
        <v>426</v>
      </c>
      <c r="G313" t="s">
        <v>427</v>
      </c>
      <c r="H313" t="s">
        <v>84</v>
      </c>
      <c r="I313" t="s">
        <v>430</v>
      </c>
      <c r="J313" t="s">
        <v>59</v>
      </c>
      <c r="K313">
        <v>-2206.3209413599998</v>
      </c>
      <c r="L313" t="s">
        <v>59</v>
      </c>
      <c r="M313" t="s">
        <v>385</v>
      </c>
      <c r="N313">
        <v>0.45696251573081997</v>
      </c>
      <c r="O313">
        <v>1008.205967873457</v>
      </c>
      <c r="P313" t="s">
        <v>440</v>
      </c>
      <c r="Q313">
        <v>2</v>
      </c>
      <c r="R313">
        <v>47.636589999999998</v>
      </c>
      <c r="S313">
        <v>9.1999999999999998E-2</v>
      </c>
      <c r="T313">
        <v>4.3825662999999997</v>
      </c>
      <c r="U313">
        <v>0.98099999999999998</v>
      </c>
      <c r="V313">
        <v>4299.2979999999998</v>
      </c>
      <c r="W313">
        <v>2</v>
      </c>
      <c r="X313">
        <v>1.6614008999999998E-5</v>
      </c>
      <c r="Y313">
        <v>0.14285700000000001</v>
      </c>
      <c r="Z313" s="61">
        <v>144.02928</v>
      </c>
      <c r="AA313" t="s">
        <v>347</v>
      </c>
      <c r="AB313" t="s">
        <v>437</v>
      </c>
      <c r="AC313" t="s">
        <v>425</v>
      </c>
      <c r="AD313" t="s">
        <v>27</v>
      </c>
      <c r="AE313">
        <v>111.133</v>
      </c>
      <c r="AF313">
        <v>1.0541007448257309</v>
      </c>
      <c r="AG313">
        <v>117.145378074718</v>
      </c>
      <c r="AH313">
        <v>640.82000000000005</v>
      </c>
      <c r="AI313">
        <v>1</v>
      </c>
      <c r="AJ313">
        <v>75.069101177840764</v>
      </c>
      <c r="AK313">
        <v>0.95889999999999997</v>
      </c>
      <c r="AL313" s="63">
        <v>71.983999999999995</v>
      </c>
      <c r="AM313">
        <v>8.9176000000000002</v>
      </c>
      <c r="AN313">
        <v>9.4000488020579382</v>
      </c>
      <c r="AO313">
        <v>1</v>
      </c>
      <c r="AP313">
        <v>6023.7392733347688</v>
      </c>
      <c r="AQ313">
        <v>0.99097621000820357</v>
      </c>
      <c r="AR313">
        <v>5969.3823000000002</v>
      </c>
      <c r="AS313" s="61">
        <v>859765.834713744</v>
      </c>
      <c r="AT313" t="s">
        <v>348</v>
      </c>
      <c r="AU313" t="s">
        <v>438</v>
      </c>
      <c r="AV313" t="s">
        <v>425</v>
      </c>
      <c r="AW313" t="s">
        <v>27</v>
      </c>
      <c r="AX313">
        <v>111.133</v>
      </c>
      <c r="AY313">
        <v>1.0727760310708341</v>
      </c>
      <c r="AZ313">
        <v>119.22081866099499</v>
      </c>
      <c r="BA313">
        <v>694.38</v>
      </c>
      <c r="BB313">
        <v>0.875</v>
      </c>
      <c r="BC313">
        <v>72.436483054094012</v>
      </c>
      <c r="BD313">
        <v>0.95369999999999999</v>
      </c>
      <c r="BE313" s="63">
        <v>69.082999999999998</v>
      </c>
      <c r="BF313">
        <v>8.9176000000000002</v>
      </c>
      <c r="BG313">
        <v>0.91300000000000003</v>
      </c>
      <c r="BH313">
        <v>6064.9193587765631</v>
      </c>
      <c r="BI313">
        <v>1.007895816242822</v>
      </c>
      <c r="BJ313" s="63">
        <v>6112.8068000000003</v>
      </c>
      <c r="BK313" s="61">
        <v>880423.16218310408</v>
      </c>
    </row>
    <row r="314" spans="1:63" x14ac:dyDescent="0.25">
      <c r="A314">
        <v>1001</v>
      </c>
      <c r="B314" t="s">
        <v>216</v>
      </c>
      <c r="C314">
        <v>2020</v>
      </c>
      <c r="D314">
        <v>5</v>
      </c>
      <c r="E314" t="s">
        <v>100</v>
      </c>
      <c r="F314" t="s">
        <v>426</v>
      </c>
      <c r="G314" t="s">
        <v>427</v>
      </c>
      <c r="H314" t="s">
        <v>84</v>
      </c>
      <c r="I314" t="s">
        <v>428</v>
      </c>
      <c r="J314" t="s">
        <v>381</v>
      </c>
      <c r="K314">
        <v>-5245.06234795</v>
      </c>
      <c r="L314" t="s">
        <v>381</v>
      </c>
      <c r="M314" t="s">
        <v>384</v>
      </c>
      <c r="N314">
        <v>8.2227491443749995E-2</v>
      </c>
      <c r="O314">
        <v>431.28831933799393</v>
      </c>
      <c r="P314" t="s">
        <v>440</v>
      </c>
      <c r="Q314">
        <v>2</v>
      </c>
      <c r="R314">
        <v>47.636589999999998</v>
      </c>
      <c r="S314">
        <v>8.5999999999999993E-2</v>
      </c>
      <c r="T314">
        <v>4.0967466999999997</v>
      </c>
      <c r="U314">
        <v>1.9E-2</v>
      </c>
      <c r="V314">
        <v>77.837999999999994</v>
      </c>
      <c r="W314">
        <v>2</v>
      </c>
      <c r="X314">
        <v>9.1765513399999997E-4</v>
      </c>
      <c r="Y314">
        <v>0.14285700000000001</v>
      </c>
      <c r="Z314" s="61">
        <v>61.612555</v>
      </c>
      <c r="AA314" t="s">
        <v>347</v>
      </c>
      <c r="AB314" t="s">
        <v>437</v>
      </c>
      <c r="AC314" t="s">
        <v>425</v>
      </c>
      <c r="AD314" t="s">
        <v>81</v>
      </c>
      <c r="AE314">
        <v>111.133</v>
      </c>
      <c r="AF314">
        <v>1.0541007448257309</v>
      </c>
      <c r="AG314">
        <v>117.145378074718</v>
      </c>
      <c r="AH314">
        <v>640.82000000000005</v>
      </c>
      <c r="AI314">
        <v>1</v>
      </c>
      <c r="AJ314">
        <v>75.069101177840764</v>
      </c>
      <c r="AK314">
        <v>0.93830000000000002</v>
      </c>
      <c r="AL314" s="63">
        <v>70.436999999999998</v>
      </c>
      <c r="AM314">
        <v>8.9176000000000002</v>
      </c>
      <c r="AN314">
        <v>9.4000488020579382</v>
      </c>
      <c r="AO314">
        <v>1</v>
      </c>
      <c r="AP314">
        <v>6023.7392733347688</v>
      </c>
      <c r="AQ314">
        <v>1.098016605166052</v>
      </c>
      <c r="AR314">
        <v>6614.1656999999996</v>
      </c>
      <c r="AS314" s="61">
        <v>407515.6479703635</v>
      </c>
      <c r="AT314" t="s">
        <v>348</v>
      </c>
      <c r="AU314" t="s">
        <v>438</v>
      </c>
      <c r="AV314" t="s">
        <v>425</v>
      </c>
      <c r="AW314" t="s">
        <v>81</v>
      </c>
      <c r="AX314">
        <v>111.133</v>
      </c>
      <c r="AY314">
        <v>1.0727760310708341</v>
      </c>
      <c r="AZ314">
        <v>119.22081866099499</v>
      </c>
      <c r="BA314">
        <v>694.38</v>
      </c>
      <c r="BB314">
        <v>0.875</v>
      </c>
      <c r="BC314">
        <v>72.436483054094012</v>
      </c>
      <c r="BD314">
        <v>0.93500000000000005</v>
      </c>
      <c r="BE314" s="63">
        <v>67.727999999999994</v>
      </c>
      <c r="BF314">
        <v>8.9176000000000002</v>
      </c>
      <c r="BG314">
        <v>0.91300000000000003</v>
      </c>
      <c r="BH314">
        <v>6064.9193587765631</v>
      </c>
      <c r="BI314">
        <v>1.096171586715867</v>
      </c>
      <c r="BJ314" s="63">
        <v>6648.1922999999997</v>
      </c>
      <c r="BK314" s="61">
        <v>409612.1137343265</v>
      </c>
    </row>
    <row r="315" spans="1:63" x14ac:dyDescent="0.25">
      <c r="A315">
        <v>1001</v>
      </c>
      <c r="B315" t="s">
        <v>216</v>
      </c>
      <c r="C315">
        <v>2020</v>
      </c>
      <c r="D315">
        <v>5</v>
      </c>
      <c r="E315" t="s">
        <v>100</v>
      </c>
      <c r="F315" t="s">
        <v>426</v>
      </c>
      <c r="G315" t="s">
        <v>427</v>
      </c>
      <c r="H315" t="s">
        <v>84</v>
      </c>
      <c r="I315" t="s">
        <v>429</v>
      </c>
      <c r="J315" t="s">
        <v>87</v>
      </c>
      <c r="K315">
        <v>-1345.72417174</v>
      </c>
      <c r="L315" t="s">
        <v>87</v>
      </c>
      <c r="M315" t="s">
        <v>384</v>
      </c>
      <c r="N315">
        <v>5.4975015900980001E-2</v>
      </c>
      <c r="O315">
        <v>73.981207739739645</v>
      </c>
      <c r="P315" t="s">
        <v>440</v>
      </c>
      <c r="Q315">
        <v>2</v>
      </c>
      <c r="R315">
        <v>47.636589999999998</v>
      </c>
      <c r="S315">
        <v>8.5999999999999993E-2</v>
      </c>
      <c r="T315">
        <v>4.0967466999999997</v>
      </c>
      <c r="U315">
        <v>1.9E-2</v>
      </c>
      <c r="V315">
        <v>77.837999999999994</v>
      </c>
      <c r="W315">
        <v>2</v>
      </c>
      <c r="X315">
        <v>9.1765513399999997E-4</v>
      </c>
      <c r="Y315">
        <v>0.14285700000000001</v>
      </c>
      <c r="Z315" s="61">
        <v>10.568733</v>
      </c>
      <c r="AA315" t="s">
        <v>347</v>
      </c>
      <c r="AB315" t="s">
        <v>437</v>
      </c>
      <c r="AC315" t="s">
        <v>425</v>
      </c>
      <c r="AD315" t="s">
        <v>81</v>
      </c>
      <c r="AE315">
        <v>111.133</v>
      </c>
      <c r="AF315">
        <v>1.0541007448257309</v>
      </c>
      <c r="AG315">
        <v>117.145378074718</v>
      </c>
      <c r="AH315">
        <v>640.82000000000005</v>
      </c>
      <c r="AI315">
        <v>1</v>
      </c>
      <c r="AJ315">
        <v>75.069101177840764</v>
      </c>
      <c r="AK315">
        <v>0.93830000000000002</v>
      </c>
      <c r="AL315" s="63">
        <v>70.436999999999998</v>
      </c>
      <c r="AM315">
        <v>8.9176000000000002</v>
      </c>
      <c r="AN315">
        <v>9.4000488020579382</v>
      </c>
      <c r="AO315">
        <v>1</v>
      </c>
      <c r="AP315">
        <v>6023.7392733347688</v>
      </c>
      <c r="AQ315">
        <v>1.098016605166052</v>
      </c>
      <c r="AR315">
        <v>6614.1656999999996</v>
      </c>
      <c r="AS315" s="61">
        <v>69903.351301058094</v>
      </c>
      <c r="AT315" t="s">
        <v>348</v>
      </c>
      <c r="AU315" t="s">
        <v>438</v>
      </c>
      <c r="AV315" t="s">
        <v>425</v>
      </c>
      <c r="AW315" t="s">
        <v>81</v>
      </c>
      <c r="AX315">
        <v>111.133</v>
      </c>
      <c r="AY315">
        <v>1.0727760310708341</v>
      </c>
      <c r="AZ315">
        <v>119.22081866099499</v>
      </c>
      <c r="BA315">
        <v>694.38</v>
      </c>
      <c r="BB315">
        <v>0.875</v>
      </c>
      <c r="BC315">
        <v>72.436483054094012</v>
      </c>
      <c r="BD315">
        <v>0.93500000000000005</v>
      </c>
      <c r="BE315" s="63">
        <v>67.727999999999994</v>
      </c>
      <c r="BF315">
        <v>8.9176000000000002</v>
      </c>
      <c r="BG315">
        <v>0.91300000000000003</v>
      </c>
      <c r="BH315">
        <v>6064.9193587765631</v>
      </c>
      <c r="BI315">
        <v>1.096171586715867</v>
      </c>
      <c r="BJ315" s="63">
        <v>6648.1922999999997</v>
      </c>
      <c r="BK315" s="61">
        <v>70262.969351355903</v>
      </c>
    </row>
    <row r="316" spans="1:63" x14ac:dyDescent="0.25">
      <c r="A316">
        <v>1001</v>
      </c>
      <c r="B316" t="s">
        <v>216</v>
      </c>
      <c r="C316">
        <v>2020</v>
      </c>
      <c r="D316">
        <v>5</v>
      </c>
      <c r="E316" t="s">
        <v>100</v>
      </c>
      <c r="F316" t="s">
        <v>426</v>
      </c>
      <c r="G316" t="s">
        <v>427</v>
      </c>
      <c r="H316" t="s">
        <v>84</v>
      </c>
      <c r="I316" t="s">
        <v>430</v>
      </c>
      <c r="J316" t="s">
        <v>59</v>
      </c>
      <c r="K316">
        <v>-2460.7492706799999</v>
      </c>
      <c r="L316" t="s">
        <v>59</v>
      </c>
      <c r="M316" t="s">
        <v>384</v>
      </c>
      <c r="N316">
        <v>6.0751694611330002E-2</v>
      </c>
      <c r="O316">
        <v>149.49468820740441</v>
      </c>
      <c r="P316" t="s">
        <v>440</v>
      </c>
      <c r="Q316">
        <v>2</v>
      </c>
      <c r="R316">
        <v>47.636589999999998</v>
      </c>
      <c r="S316">
        <v>8.5999999999999993E-2</v>
      </c>
      <c r="T316">
        <v>4.0967466999999997</v>
      </c>
      <c r="U316">
        <v>1.9E-2</v>
      </c>
      <c r="V316">
        <v>77.837999999999994</v>
      </c>
      <c r="W316">
        <v>2</v>
      </c>
      <c r="X316">
        <v>9.1765513399999997E-4</v>
      </c>
      <c r="Y316">
        <v>0.14285700000000001</v>
      </c>
      <c r="Z316" s="61">
        <v>21.356363000000002</v>
      </c>
      <c r="AA316" t="s">
        <v>347</v>
      </c>
      <c r="AB316" t="s">
        <v>437</v>
      </c>
      <c r="AC316" t="s">
        <v>425</v>
      </c>
      <c r="AD316" t="s">
        <v>81</v>
      </c>
      <c r="AE316">
        <v>111.133</v>
      </c>
      <c r="AF316">
        <v>1.0541007448257309</v>
      </c>
      <c r="AG316">
        <v>117.145378074718</v>
      </c>
      <c r="AH316">
        <v>640.82000000000005</v>
      </c>
      <c r="AI316">
        <v>1</v>
      </c>
      <c r="AJ316">
        <v>75.069101177840764</v>
      </c>
      <c r="AK316">
        <v>0.93830000000000002</v>
      </c>
      <c r="AL316" s="63">
        <v>70.436999999999998</v>
      </c>
      <c r="AM316">
        <v>8.9176000000000002</v>
      </c>
      <c r="AN316">
        <v>9.4000488020579382</v>
      </c>
      <c r="AO316">
        <v>1</v>
      </c>
      <c r="AP316">
        <v>6023.7392733347688</v>
      </c>
      <c r="AQ316">
        <v>1.098016605166052</v>
      </c>
      <c r="AR316">
        <v>6614.1656999999996</v>
      </c>
      <c r="AS316" s="61">
        <v>141254.52363134909</v>
      </c>
      <c r="AT316" t="s">
        <v>348</v>
      </c>
      <c r="AU316" t="s">
        <v>438</v>
      </c>
      <c r="AV316" t="s">
        <v>425</v>
      </c>
      <c r="AW316" t="s">
        <v>81</v>
      </c>
      <c r="AX316">
        <v>111.133</v>
      </c>
      <c r="AY316">
        <v>1.0727760310708341</v>
      </c>
      <c r="AZ316">
        <v>119.22081866099499</v>
      </c>
      <c r="BA316">
        <v>694.38</v>
      </c>
      <c r="BB316">
        <v>0.875</v>
      </c>
      <c r="BC316">
        <v>72.436483054094012</v>
      </c>
      <c r="BD316">
        <v>0.93500000000000005</v>
      </c>
      <c r="BE316" s="63">
        <v>67.727999999999994</v>
      </c>
      <c r="BF316">
        <v>8.9176000000000002</v>
      </c>
      <c r="BG316">
        <v>0.91300000000000003</v>
      </c>
      <c r="BH316">
        <v>6064.9193587765631</v>
      </c>
      <c r="BI316">
        <v>1.096171586715867</v>
      </c>
      <c r="BJ316" s="63">
        <v>6648.1922999999997</v>
      </c>
      <c r="BK316" s="61">
        <v>141981.2080526049</v>
      </c>
    </row>
    <row r="317" spans="1:63" x14ac:dyDescent="0.25">
      <c r="A317">
        <v>1003</v>
      </c>
      <c r="B317" t="s">
        <v>216</v>
      </c>
      <c r="C317">
        <v>2020</v>
      </c>
      <c r="D317">
        <v>5</v>
      </c>
      <c r="E317" t="s">
        <v>100</v>
      </c>
      <c r="F317" t="s">
        <v>426</v>
      </c>
      <c r="G317" t="s">
        <v>427</v>
      </c>
      <c r="H317" t="s">
        <v>84</v>
      </c>
      <c r="I317" t="s">
        <v>428</v>
      </c>
      <c r="J317" t="s">
        <v>381</v>
      </c>
      <c r="K317">
        <v>-5245.06234795</v>
      </c>
      <c r="L317" t="s">
        <v>381</v>
      </c>
      <c r="M317" t="s">
        <v>385</v>
      </c>
      <c r="N317">
        <v>0.46583509407830997</v>
      </c>
      <c r="O317">
        <v>2443.3341123038899</v>
      </c>
      <c r="P317" t="s">
        <v>440</v>
      </c>
      <c r="Q317">
        <v>2</v>
      </c>
      <c r="R317">
        <v>47.636589999999998</v>
      </c>
      <c r="S317">
        <v>8.5999999999999993E-2</v>
      </c>
      <c r="T317">
        <v>4.0967466999999997</v>
      </c>
      <c r="U317">
        <v>0.98099999999999998</v>
      </c>
      <c r="V317">
        <v>4018.9090000000001</v>
      </c>
      <c r="W317">
        <v>2</v>
      </c>
      <c r="X317">
        <v>1.7773125999999999E-5</v>
      </c>
      <c r="Y317">
        <v>0.14285700000000001</v>
      </c>
      <c r="Z317" s="61">
        <v>349.04738099999997</v>
      </c>
      <c r="AA317" t="s">
        <v>347</v>
      </c>
      <c r="AB317" t="s">
        <v>437</v>
      </c>
      <c r="AC317" t="s">
        <v>425</v>
      </c>
      <c r="AD317" t="s">
        <v>27</v>
      </c>
      <c r="AE317">
        <v>111.133</v>
      </c>
      <c r="AF317">
        <v>1.0541007448257309</v>
      </c>
      <c r="AG317">
        <v>117.145378074718</v>
      </c>
      <c r="AH317">
        <v>640.82000000000005</v>
      </c>
      <c r="AI317">
        <v>1</v>
      </c>
      <c r="AJ317">
        <v>75.069101177840764</v>
      </c>
      <c r="AK317">
        <v>0.95889999999999997</v>
      </c>
      <c r="AL317" s="63">
        <v>71.983999999999995</v>
      </c>
      <c r="AM317">
        <v>8.9176000000000002</v>
      </c>
      <c r="AN317">
        <v>9.4000488020579382</v>
      </c>
      <c r="AO317">
        <v>1</v>
      </c>
      <c r="AP317">
        <v>6023.7392733347688</v>
      </c>
      <c r="AQ317">
        <v>0.99097621000820357</v>
      </c>
      <c r="AR317">
        <v>5969.3823000000002</v>
      </c>
      <c r="AS317" s="61">
        <v>2083597.2580027559</v>
      </c>
      <c r="AT317" t="s">
        <v>348</v>
      </c>
      <c r="AU317" t="s">
        <v>438</v>
      </c>
      <c r="AV317" t="s">
        <v>425</v>
      </c>
      <c r="AW317" t="s">
        <v>27</v>
      </c>
      <c r="AX317">
        <v>111.133</v>
      </c>
      <c r="AY317">
        <v>1.0727760310708341</v>
      </c>
      <c r="AZ317">
        <v>119.22081866099499</v>
      </c>
      <c r="BA317">
        <v>694.38</v>
      </c>
      <c r="BB317">
        <v>0.875</v>
      </c>
      <c r="BC317">
        <v>72.436483054094012</v>
      </c>
      <c r="BD317">
        <v>0.95369999999999999</v>
      </c>
      <c r="BE317" s="63">
        <v>69.082999999999998</v>
      </c>
      <c r="BF317">
        <v>8.9176000000000002</v>
      </c>
      <c r="BG317">
        <v>0.91300000000000003</v>
      </c>
      <c r="BH317">
        <v>6064.9193587765631</v>
      </c>
      <c r="BI317">
        <v>1.007895816242822</v>
      </c>
      <c r="BJ317" s="63">
        <v>6112.8068000000003</v>
      </c>
      <c r="BK317" s="61">
        <v>2133659.2040989911</v>
      </c>
    </row>
    <row r="318" spans="1:63" x14ac:dyDescent="0.25">
      <c r="A318">
        <v>1003</v>
      </c>
      <c r="B318" t="s">
        <v>216</v>
      </c>
      <c r="C318">
        <v>2020</v>
      </c>
      <c r="D318">
        <v>5</v>
      </c>
      <c r="E318" t="s">
        <v>100</v>
      </c>
      <c r="F318" t="s">
        <v>426</v>
      </c>
      <c r="G318" t="s">
        <v>427</v>
      </c>
      <c r="H318" t="s">
        <v>84</v>
      </c>
      <c r="I318" t="s">
        <v>429</v>
      </c>
      <c r="J318" t="s">
        <v>87</v>
      </c>
      <c r="K318">
        <v>-1345.72417174</v>
      </c>
      <c r="L318" t="s">
        <v>87</v>
      </c>
      <c r="M318" t="s">
        <v>385</v>
      </c>
      <c r="N318">
        <v>0.36091731608972999</v>
      </c>
      <c r="O318">
        <v>485.69515626147569</v>
      </c>
      <c r="P318" t="s">
        <v>440</v>
      </c>
      <c r="Q318">
        <v>2</v>
      </c>
      <c r="R318">
        <v>47.636589999999998</v>
      </c>
      <c r="S318">
        <v>8.5999999999999993E-2</v>
      </c>
      <c r="T318">
        <v>4.0967466999999997</v>
      </c>
      <c r="U318">
        <v>0.98099999999999998</v>
      </c>
      <c r="V318">
        <v>4018.9090000000001</v>
      </c>
      <c r="W318">
        <v>2</v>
      </c>
      <c r="X318">
        <v>1.7773125999999999E-5</v>
      </c>
      <c r="Y318">
        <v>0.14285700000000001</v>
      </c>
      <c r="Z318" s="61">
        <v>69.384952999999996</v>
      </c>
      <c r="AA318" t="s">
        <v>347</v>
      </c>
      <c r="AB318" t="s">
        <v>437</v>
      </c>
      <c r="AC318" t="s">
        <v>425</v>
      </c>
      <c r="AD318" t="s">
        <v>27</v>
      </c>
      <c r="AE318">
        <v>111.133</v>
      </c>
      <c r="AF318">
        <v>1.0541007448257309</v>
      </c>
      <c r="AG318">
        <v>117.145378074718</v>
      </c>
      <c r="AH318">
        <v>640.82000000000005</v>
      </c>
      <c r="AI318">
        <v>1</v>
      </c>
      <c r="AJ318">
        <v>75.069101177840764</v>
      </c>
      <c r="AK318">
        <v>0.95889999999999997</v>
      </c>
      <c r="AL318" s="63">
        <v>71.983999999999995</v>
      </c>
      <c r="AM318">
        <v>8.9176000000000002</v>
      </c>
      <c r="AN318">
        <v>9.4000488020579382</v>
      </c>
      <c r="AO318">
        <v>1</v>
      </c>
      <c r="AP318">
        <v>6023.7392733347688</v>
      </c>
      <c r="AQ318">
        <v>0.99097621000820357</v>
      </c>
      <c r="AR318">
        <v>5969.3823000000002</v>
      </c>
      <c r="AS318" s="61">
        <v>414185.31032453192</v>
      </c>
      <c r="AT318" t="s">
        <v>348</v>
      </c>
      <c r="AU318" t="s">
        <v>438</v>
      </c>
      <c r="AV318" t="s">
        <v>425</v>
      </c>
      <c r="AW318" t="s">
        <v>27</v>
      </c>
      <c r="AX318">
        <v>111.133</v>
      </c>
      <c r="AY318">
        <v>1.0727760310708341</v>
      </c>
      <c r="AZ318">
        <v>119.22081866099499</v>
      </c>
      <c r="BA318">
        <v>694.38</v>
      </c>
      <c r="BB318">
        <v>0.875</v>
      </c>
      <c r="BC318">
        <v>72.436483054094012</v>
      </c>
      <c r="BD318">
        <v>0.95369999999999999</v>
      </c>
      <c r="BE318" s="63">
        <v>69.082999999999998</v>
      </c>
      <c r="BF318">
        <v>8.9176000000000002</v>
      </c>
      <c r="BG318">
        <v>0.91300000000000003</v>
      </c>
      <c r="BH318">
        <v>6064.9193587765631</v>
      </c>
      <c r="BI318">
        <v>1.007895816242822</v>
      </c>
      <c r="BJ318" s="63">
        <v>6112.8068000000003</v>
      </c>
      <c r="BK318" s="61">
        <v>424136.81251608039</v>
      </c>
    </row>
    <row r="319" spans="1:63" x14ac:dyDescent="0.25">
      <c r="A319">
        <v>1003</v>
      </c>
      <c r="B319" t="s">
        <v>216</v>
      </c>
      <c r="C319">
        <v>2020</v>
      </c>
      <c r="D319">
        <v>5</v>
      </c>
      <c r="E319" t="s">
        <v>100</v>
      </c>
      <c r="F319" t="s">
        <v>426</v>
      </c>
      <c r="G319" t="s">
        <v>427</v>
      </c>
      <c r="H319" t="s">
        <v>84</v>
      </c>
      <c r="I319" t="s">
        <v>430</v>
      </c>
      <c r="J319" t="s">
        <v>59</v>
      </c>
      <c r="K319">
        <v>-2460.7492706799999</v>
      </c>
      <c r="L319" t="s">
        <v>59</v>
      </c>
      <c r="M319" t="s">
        <v>385</v>
      </c>
      <c r="N319">
        <v>0.45696251573011998</v>
      </c>
      <c r="O319">
        <v>1124.4701773109909</v>
      </c>
      <c r="P319" t="s">
        <v>440</v>
      </c>
      <c r="Q319">
        <v>2</v>
      </c>
      <c r="R319">
        <v>47.636589999999998</v>
      </c>
      <c r="S319">
        <v>8.5999999999999993E-2</v>
      </c>
      <c r="T319">
        <v>4.0967466999999997</v>
      </c>
      <c r="U319">
        <v>0.98099999999999998</v>
      </c>
      <c r="V319">
        <v>4018.9090000000001</v>
      </c>
      <c r="W319">
        <v>2</v>
      </c>
      <c r="X319">
        <v>1.7773125999999999E-5</v>
      </c>
      <c r="Y319">
        <v>0.14285700000000001</v>
      </c>
      <c r="Z319" s="61">
        <v>160.63843600000001</v>
      </c>
      <c r="AA319" t="s">
        <v>347</v>
      </c>
      <c r="AB319" t="s">
        <v>437</v>
      </c>
      <c r="AC319" t="s">
        <v>425</v>
      </c>
      <c r="AD319" t="s">
        <v>27</v>
      </c>
      <c r="AE319">
        <v>111.133</v>
      </c>
      <c r="AF319">
        <v>1.0541007448257309</v>
      </c>
      <c r="AG319">
        <v>117.145378074718</v>
      </c>
      <c r="AH319">
        <v>640.82000000000005</v>
      </c>
      <c r="AI319">
        <v>1</v>
      </c>
      <c r="AJ319">
        <v>75.069101177840764</v>
      </c>
      <c r="AK319">
        <v>0.95889999999999997</v>
      </c>
      <c r="AL319" s="63">
        <v>71.983999999999995</v>
      </c>
      <c r="AM319">
        <v>8.9176000000000002</v>
      </c>
      <c r="AN319">
        <v>9.4000488020579382</v>
      </c>
      <c r="AO319">
        <v>1</v>
      </c>
      <c r="AP319">
        <v>6023.7392733347688</v>
      </c>
      <c r="AQ319">
        <v>0.99097621000820357</v>
      </c>
      <c r="AR319">
        <v>5969.3823000000002</v>
      </c>
      <c r="AS319" s="61">
        <v>958912.23655808286</v>
      </c>
      <c r="AT319" t="s">
        <v>348</v>
      </c>
      <c r="AU319" t="s">
        <v>438</v>
      </c>
      <c r="AV319" t="s">
        <v>425</v>
      </c>
      <c r="AW319" t="s">
        <v>27</v>
      </c>
      <c r="AX319">
        <v>111.133</v>
      </c>
      <c r="AY319">
        <v>1.0727760310708341</v>
      </c>
      <c r="AZ319">
        <v>119.22081866099499</v>
      </c>
      <c r="BA319">
        <v>694.38</v>
      </c>
      <c r="BB319">
        <v>0.875</v>
      </c>
      <c r="BC319">
        <v>72.436483054094012</v>
      </c>
      <c r="BD319">
        <v>0.95369999999999999</v>
      </c>
      <c r="BE319" s="63">
        <v>69.082999999999998</v>
      </c>
      <c r="BF319">
        <v>8.9176000000000002</v>
      </c>
      <c r="BG319">
        <v>0.91300000000000003</v>
      </c>
      <c r="BH319">
        <v>6064.9193587765631</v>
      </c>
      <c r="BI319">
        <v>1.007895816242822</v>
      </c>
      <c r="BJ319" s="63">
        <v>6112.8068000000003</v>
      </c>
      <c r="BK319" s="61">
        <v>981951.72392216488</v>
      </c>
    </row>
    <row r="320" spans="1:63" x14ac:dyDescent="0.25">
      <c r="A320">
        <v>1027</v>
      </c>
      <c r="B320" t="s">
        <v>223</v>
      </c>
      <c r="C320">
        <v>2020</v>
      </c>
      <c r="D320">
        <v>6</v>
      </c>
      <c r="E320" t="s">
        <v>100</v>
      </c>
      <c r="F320" t="s">
        <v>426</v>
      </c>
      <c r="G320" t="s">
        <v>427</v>
      </c>
      <c r="H320" t="s">
        <v>84</v>
      </c>
      <c r="I320" t="s">
        <v>428</v>
      </c>
      <c r="J320" t="s">
        <v>381</v>
      </c>
      <c r="K320">
        <v>-4275.1870550399999</v>
      </c>
      <c r="L320" t="s">
        <v>381</v>
      </c>
      <c r="M320" t="s">
        <v>384</v>
      </c>
      <c r="N320">
        <v>8.2227491443600004E-2</v>
      </c>
      <c r="O320">
        <v>351.53790698809109</v>
      </c>
      <c r="P320" t="s">
        <v>440</v>
      </c>
      <c r="Q320">
        <v>2</v>
      </c>
      <c r="R320">
        <v>47.636589999999998</v>
      </c>
      <c r="S320">
        <v>7.2999999999999995E-2</v>
      </c>
      <c r="T320">
        <v>3.4774710999999998</v>
      </c>
      <c r="U320">
        <v>1.9E-2</v>
      </c>
      <c r="V320">
        <v>66.072000000000003</v>
      </c>
      <c r="W320">
        <v>2</v>
      </c>
      <c r="X320">
        <v>1.0810729000000001E-3</v>
      </c>
      <c r="Y320">
        <v>0.14285700000000001</v>
      </c>
      <c r="Z320" s="61">
        <v>50.219650999999999</v>
      </c>
      <c r="AA320" t="s">
        <v>347</v>
      </c>
      <c r="AB320" t="s">
        <v>437</v>
      </c>
      <c r="AC320" t="s">
        <v>425</v>
      </c>
      <c r="AD320" t="s">
        <v>81</v>
      </c>
      <c r="AE320">
        <v>111.133</v>
      </c>
      <c r="AF320">
        <v>1.0541007448257309</v>
      </c>
      <c r="AG320">
        <v>117.145378074718</v>
      </c>
      <c r="AH320">
        <v>640.82000000000005</v>
      </c>
      <c r="AI320">
        <v>1</v>
      </c>
      <c r="AJ320">
        <v>75.069101177840764</v>
      </c>
      <c r="AK320">
        <v>0.93830000000000002</v>
      </c>
      <c r="AL320" s="63">
        <v>70.436999999999998</v>
      </c>
      <c r="AM320">
        <v>8.9176000000000002</v>
      </c>
      <c r="AN320">
        <v>9.4000488020579382</v>
      </c>
      <c r="AO320">
        <v>1</v>
      </c>
      <c r="AP320">
        <v>6023.7392733347688</v>
      </c>
      <c r="AQ320">
        <v>1.098016605166052</v>
      </c>
      <c r="AR320">
        <v>6614.1656999999996</v>
      </c>
      <c r="AS320" s="61">
        <v>332161.09311017068</v>
      </c>
      <c r="AT320" t="s">
        <v>348</v>
      </c>
      <c r="AU320" t="s">
        <v>438</v>
      </c>
      <c r="AV320" t="s">
        <v>425</v>
      </c>
      <c r="AW320" t="s">
        <v>81</v>
      </c>
      <c r="AX320">
        <v>111.133</v>
      </c>
      <c r="AY320">
        <v>1.0727760310708341</v>
      </c>
      <c r="AZ320">
        <v>119.22081866099499</v>
      </c>
      <c r="BA320">
        <v>694.38</v>
      </c>
      <c r="BB320">
        <v>0.875</v>
      </c>
      <c r="BC320">
        <v>72.436483054094012</v>
      </c>
      <c r="BD320">
        <v>0.93500000000000005</v>
      </c>
      <c r="BE320" s="63">
        <v>67.727999999999994</v>
      </c>
      <c r="BF320">
        <v>8.9176000000000002</v>
      </c>
      <c r="BG320">
        <v>0.91300000000000003</v>
      </c>
      <c r="BH320">
        <v>6064.9193587765631</v>
      </c>
      <c r="BI320">
        <v>1.096171586715867</v>
      </c>
      <c r="BJ320" s="63">
        <v>6648.1922999999997</v>
      </c>
      <c r="BK320" s="61">
        <v>333869.89708688727</v>
      </c>
    </row>
    <row r="321" spans="1:63" x14ac:dyDescent="0.25">
      <c r="A321">
        <v>1027</v>
      </c>
      <c r="B321" t="s">
        <v>223</v>
      </c>
      <c r="C321">
        <v>2020</v>
      </c>
      <c r="D321">
        <v>6</v>
      </c>
      <c r="E321" t="s">
        <v>100</v>
      </c>
      <c r="F321" t="s">
        <v>426</v>
      </c>
      <c r="G321" t="s">
        <v>427</v>
      </c>
      <c r="H321" t="s">
        <v>84</v>
      </c>
      <c r="I321" t="s">
        <v>429</v>
      </c>
      <c r="J321" t="s">
        <v>87</v>
      </c>
      <c r="K321">
        <v>-795.93641853999998</v>
      </c>
      <c r="L321" t="s">
        <v>87</v>
      </c>
      <c r="M321" t="s">
        <v>384</v>
      </c>
      <c r="N321">
        <v>5.4975015897909998E-2</v>
      </c>
      <c r="O321">
        <v>43.756617262962052</v>
      </c>
      <c r="P321" t="s">
        <v>440</v>
      </c>
      <c r="Q321">
        <v>2</v>
      </c>
      <c r="R321">
        <v>47.636589999999998</v>
      </c>
      <c r="S321">
        <v>7.2999999999999995E-2</v>
      </c>
      <c r="T321">
        <v>3.4774710999999998</v>
      </c>
      <c r="U321">
        <v>1.9E-2</v>
      </c>
      <c r="V321">
        <v>66.072000000000003</v>
      </c>
      <c r="W321">
        <v>2</v>
      </c>
      <c r="X321">
        <v>1.0810729000000001E-3</v>
      </c>
      <c r="Y321">
        <v>0.14285700000000001</v>
      </c>
      <c r="Z321" s="61">
        <v>6.2509389999999998</v>
      </c>
      <c r="AA321" t="s">
        <v>347</v>
      </c>
      <c r="AB321" t="s">
        <v>437</v>
      </c>
      <c r="AC321" t="s">
        <v>425</v>
      </c>
      <c r="AD321" t="s">
        <v>81</v>
      </c>
      <c r="AE321">
        <v>111.133</v>
      </c>
      <c r="AF321">
        <v>1.0541007448257309</v>
      </c>
      <c r="AG321">
        <v>117.145378074718</v>
      </c>
      <c r="AH321">
        <v>640.82000000000005</v>
      </c>
      <c r="AI321">
        <v>1</v>
      </c>
      <c r="AJ321">
        <v>75.069101177840764</v>
      </c>
      <c r="AK321">
        <v>0.93830000000000002</v>
      </c>
      <c r="AL321" s="63">
        <v>70.436999999999998</v>
      </c>
      <c r="AM321">
        <v>8.9176000000000002</v>
      </c>
      <c r="AN321">
        <v>9.4000488020579382</v>
      </c>
      <c r="AO321">
        <v>1</v>
      </c>
      <c r="AP321">
        <v>6023.7392733347688</v>
      </c>
      <c r="AQ321">
        <v>1.098016605166052</v>
      </c>
      <c r="AR321">
        <v>6614.1656999999996</v>
      </c>
      <c r="AS321" s="61">
        <v>41344.746326592292</v>
      </c>
      <c r="AT321" t="s">
        <v>348</v>
      </c>
      <c r="AU321" t="s">
        <v>438</v>
      </c>
      <c r="AV321" t="s">
        <v>425</v>
      </c>
      <c r="AW321" t="s">
        <v>81</v>
      </c>
      <c r="AX321">
        <v>111.133</v>
      </c>
      <c r="AY321">
        <v>1.0727760310708341</v>
      </c>
      <c r="AZ321">
        <v>119.22081866099499</v>
      </c>
      <c r="BA321">
        <v>694.38</v>
      </c>
      <c r="BB321">
        <v>0.875</v>
      </c>
      <c r="BC321">
        <v>72.436483054094012</v>
      </c>
      <c r="BD321">
        <v>0.93500000000000005</v>
      </c>
      <c r="BE321" s="63">
        <v>67.727999999999994</v>
      </c>
      <c r="BF321">
        <v>8.9176000000000002</v>
      </c>
      <c r="BG321">
        <v>0.91300000000000003</v>
      </c>
      <c r="BH321">
        <v>6064.9193587765631</v>
      </c>
      <c r="BI321">
        <v>1.096171586715867</v>
      </c>
      <c r="BJ321" s="63">
        <v>6648.1922999999997</v>
      </c>
      <c r="BK321" s="61">
        <v>41557.4445275697</v>
      </c>
    </row>
    <row r="322" spans="1:63" x14ac:dyDescent="0.25">
      <c r="A322">
        <v>1027</v>
      </c>
      <c r="B322" t="s">
        <v>223</v>
      </c>
      <c r="C322">
        <v>2020</v>
      </c>
      <c r="D322">
        <v>6</v>
      </c>
      <c r="E322" t="s">
        <v>100</v>
      </c>
      <c r="F322" t="s">
        <v>426</v>
      </c>
      <c r="G322" t="s">
        <v>427</v>
      </c>
      <c r="H322" t="s">
        <v>84</v>
      </c>
      <c r="I322" t="s">
        <v>430</v>
      </c>
      <c r="J322" t="s">
        <v>59</v>
      </c>
      <c r="K322">
        <v>-2333.7163181000001</v>
      </c>
      <c r="L322" t="s">
        <v>59</v>
      </c>
      <c r="M322" t="s">
        <v>384</v>
      </c>
      <c r="N322">
        <v>6.0751694611959998E-2</v>
      </c>
      <c r="O322">
        <v>141.77722106815889</v>
      </c>
      <c r="P322" t="s">
        <v>440</v>
      </c>
      <c r="Q322">
        <v>2</v>
      </c>
      <c r="R322">
        <v>47.636589999999998</v>
      </c>
      <c r="S322">
        <v>7.2999999999999995E-2</v>
      </c>
      <c r="T322">
        <v>3.4774710999999998</v>
      </c>
      <c r="U322">
        <v>1.9E-2</v>
      </c>
      <c r="V322">
        <v>66.072000000000003</v>
      </c>
      <c r="W322">
        <v>2</v>
      </c>
      <c r="X322">
        <v>1.0810729000000001E-3</v>
      </c>
      <c r="Y322">
        <v>0.14285700000000001</v>
      </c>
      <c r="Z322" s="61">
        <v>20.253868000000001</v>
      </c>
      <c r="AA322" t="s">
        <v>347</v>
      </c>
      <c r="AB322" t="s">
        <v>437</v>
      </c>
      <c r="AC322" t="s">
        <v>425</v>
      </c>
      <c r="AD322" t="s">
        <v>81</v>
      </c>
      <c r="AE322">
        <v>111.133</v>
      </c>
      <c r="AF322">
        <v>1.0541007448257309</v>
      </c>
      <c r="AG322">
        <v>117.145378074718</v>
      </c>
      <c r="AH322">
        <v>640.82000000000005</v>
      </c>
      <c r="AI322">
        <v>1</v>
      </c>
      <c r="AJ322">
        <v>75.069101177840764</v>
      </c>
      <c r="AK322">
        <v>0.93830000000000002</v>
      </c>
      <c r="AL322" s="63">
        <v>70.436999999999998</v>
      </c>
      <c r="AM322">
        <v>8.9176000000000002</v>
      </c>
      <c r="AN322">
        <v>9.4000488020579382</v>
      </c>
      <c r="AO322">
        <v>1</v>
      </c>
      <c r="AP322">
        <v>6023.7392733347688</v>
      </c>
      <c r="AQ322">
        <v>1.098016605166052</v>
      </c>
      <c r="AR322">
        <v>6614.1656999999996</v>
      </c>
      <c r="AS322" s="61">
        <v>133962.43901792759</v>
      </c>
      <c r="AT322" t="s">
        <v>348</v>
      </c>
      <c r="AU322" t="s">
        <v>438</v>
      </c>
      <c r="AV322" t="s">
        <v>425</v>
      </c>
      <c r="AW322" t="s">
        <v>81</v>
      </c>
      <c r="AX322">
        <v>111.133</v>
      </c>
      <c r="AY322">
        <v>1.0727760310708341</v>
      </c>
      <c r="AZ322">
        <v>119.22081866099499</v>
      </c>
      <c r="BA322">
        <v>694.38</v>
      </c>
      <c r="BB322">
        <v>0.875</v>
      </c>
      <c r="BC322">
        <v>72.436483054094012</v>
      </c>
      <c r="BD322">
        <v>0.93500000000000005</v>
      </c>
      <c r="BE322" s="63">
        <v>67.727999999999994</v>
      </c>
      <c r="BF322">
        <v>8.9176000000000002</v>
      </c>
      <c r="BG322">
        <v>0.91300000000000003</v>
      </c>
      <c r="BH322">
        <v>6064.9193587765631</v>
      </c>
      <c r="BI322">
        <v>1.096171586715867</v>
      </c>
      <c r="BJ322" s="63">
        <v>6648.1922999999997</v>
      </c>
      <c r="BK322" s="61">
        <v>134651.60928281641</v>
      </c>
    </row>
    <row r="323" spans="1:63" x14ac:dyDescent="0.25">
      <c r="A323">
        <v>1029</v>
      </c>
      <c r="B323" t="s">
        <v>223</v>
      </c>
      <c r="C323">
        <v>2020</v>
      </c>
      <c r="D323">
        <v>6</v>
      </c>
      <c r="E323" t="s">
        <v>100</v>
      </c>
      <c r="F323" t="s">
        <v>426</v>
      </c>
      <c r="G323" t="s">
        <v>427</v>
      </c>
      <c r="H323" t="s">
        <v>84</v>
      </c>
      <c r="I323" t="s">
        <v>428</v>
      </c>
      <c r="J323" t="s">
        <v>381</v>
      </c>
      <c r="K323">
        <v>-4275.1870550399999</v>
      </c>
      <c r="L323" t="s">
        <v>381</v>
      </c>
      <c r="M323" t="s">
        <v>385</v>
      </c>
      <c r="N323">
        <v>0.46583509407811002</v>
      </c>
      <c r="O323">
        <v>1991.5321639860761</v>
      </c>
      <c r="P323" t="s">
        <v>440</v>
      </c>
      <c r="Q323">
        <v>2</v>
      </c>
      <c r="R323">
        <v>47.636589999999998</v>
      </c>
      <c r="S323">
        <v>7.2999999999999995E-2</v>
      </c>
      <c r="T323">
        <v>3.4774710999999998</v>
      </c>
      <c r="U323">
        <v>0.98099999999999998</v>
      </c>
      <c r="V323">
        <v>3411.3989999999999</v>
      </c>
      <c r="W323">
        <v>2</v>
      </c>
      <c r="X323">
        <v>2.0938204E-5</v>
      </c>
      <c r="Y323">
        <v>0.14285700000000001</v>
      </c>
      <c r="Z323" s="61">
        <v>284.50430999999998</v>
      </c>
      <c r="AA323" t="s">
        <v>347</v>
      </c>
      <c r="AB323" t="s">
        <v>437</v>
      </c>
      <c r="AC323" t="s">
        <v>425</v>
      </c>
      <c r="AD323" t="s">
        <v>27</v>
      </c>
      <c r="AE323">
        <v>111.133</v>
      </c>
      <c r="AF323">
        <v>1.0541007448257309</v>
      </c>
      <c r="AG323">
        <v>117.145378074718</v>
      </c>
      <c r="AH323">
        <v>640.82000000000005</v>
      </c>
      <c r="AI323">
        <v>1</v>
      </c>
      <c r="AJ323">
        <v>75.069101177840764</v>
      </c>
      <c r="AK323">
        <v>0.95889999999999997</v>
      </c>
      <c r="AL323" s="63">
        <v>71.983999999999995</v>
      </c>
      <c r="AM323">
        <v>8.9176000000000002</v>
      </c>
      <c r="AN323">
        <v>9.4000488020579382</v>
      </c>
      <c r="AO323">
        <v>1</v>
      </c>
      <c r="AP323">
        <v>6023.7392733347688</v>
      </c>
      <c r="AQ323">
        <v>0.99097621000820357</v>
      </c>
      <c r="AR323">
        <v>5969.3823000000002</v>
      </c>
      <c r="AS323" s="61">
        <v>1698314.9923877129</v>
      </c>
      <c r="AT323" t="s">
        <v>348</v>
      </c>
      <c r="AU323" t="s">
        <v>438</v>
      </c>
      <c r="AV323" t="s">
        <v>425</v>
      </c>
      <c r="AW323" t="s">
        <v>27</v>
      </c>
      <c r="AX323">
        <v>111.133</v>
      </c>
      <c r="AY323">
        <v>1.0727760310708341</v>
      </c>
      <c r="AZ323">
        <v>119.22081866099499</v>
      </c>
      <c r="BA323">
        <v>694.38</v>
      </c>
      <c r="BB323">
        <v>0.875</v>
      </c>
      <c r="BC323">
        <v>72.436483054094012</v>
      </c>
      <c r="BD323">
        <v>0.95369999999999999</v>
      </c>
      <c r="BE323" s="63">
        <v>69.082999999999998</v>
      </c>
      <c r="BF323">
        <v>8.9176000000000002</v>
      </c>
      <c r="BG323">
        <v>0.91300000000000003</v>
      </c>
      <c r="BH323">
        <v>6064.9193587765631</v>
      </c>
      <c r="BI323">
        <v>1.007895816242822</v>
      </c>
      <c r="BJ323" s="63">
        <v>6112.8068000000003</v>
      </c>
      <c r="BK323" s="61">
        <v>1739119.8807973079</v>
      </c>
    </row>
    <row r="324" spans="1:63" x14ac:dyDescent="0.25">
      <c r="A324">
        <v>1029</v>
      </c>
      <c r="B324" t="s">
        <v>223</v>
      </c>
      <c r="C324">
        <v>2020</v>
      </c>
      <c r="D324">
        <v>6</v>
      </c>
      <c r="E324" t="s">
        <v>100</v>
      </c>
      <c r="F324" t="s">
        <v>426</v>
      </c>
      <c r="G324" t="s">
        <v>427</v>
      </c>
      <c r="H324" t="s">
        <v>84</v>
      </c>
      <c r="I324" t="s">
        <v>429</v>
      </c>
      <c r="J324" t="s">
        <v>87</v>
      </c>
      <c r="K324">
        <v>-795.93641853999998</v>
      </c>
      <c r="L324" t="s">
        <v>87</v>
      </c>
      <c r="M324" t="s">
        <v>385</v>
      </c>
      <c r="N324">
        <v>0.36091731609031003</v>
      </c>
      <c r="O324">
        <v>287.26723595799052</v>
      </c>
      <c r="P324" t="s">
        <v>440</v>
      </c>
      <c r="Q324">
        <v>2</v>
      </c>
      <c r="R324">
        <v>47.636589999999998</v>
      </c>
      <c r="S324">
        <v>7.2999999999999995E-2</v>
      </c>
      <c r="T324">
        <v>3.4774710999999998</v>
      </c>
      <c r="U324">
        <v>0.98099999999999998</v>
      </c>
      <c r="V324">
        <v>3411.3989999999999</v>
      </c>
      <c r="W324">
        <v>2</v>
      </c>
      <c r="X324">
        <v>2.0938204E-5</v>
      </c>
      <c r="Y324">
        <v>0.14285700000000001</v>
      </c>
      <c r="Z324" s="61">
        <v>41.038136000000002</v>
      </c>
      <c r="AA324" t="s">
        <v>347</v>
      </c>
      <c r="AB324" t="s">
        <v>437</v>
      </c>
      <c r="AC324" t="s">
        <v>425</v>
      </c>
      <c r="AD324" t="s">
        <v>27</v>
      </c>
      <c r="AE324">
        <v>111.133</v>
      </c>
      <c r="AF324">
        <v>1.0541007448257309</v>
      </c>
      <c r="AG324">
        <v>117.145378074718</v>
      </c>
      <c r="AH324">
        <v>640.82000000000005</v>
      </c>
      <c r="AI324">
        <v>1</v>
      </c>
      <c r="AJ324">
        <v>75.069101177840764</v>
      </c>
      <c r="AK324">
        <v>0.95889999999999997</v>
      </c>
      <c r="AL324" s="63">
        <v>71.983999999999995</v>
      </c>
      <c r="AM324">
        <v>8.9176000000000002</v>
      </c>
      <c r="AN324">
        <v>9.4000488020579382</v>
      </c>
      <c r="AO324">
        <v>1</v>
      </c>
      <c r="AP324">
        <v>6023.7392733347688</v>
      </c>
      <c r="AQ324">
        <v>0.99097621000820357</v>
      </c>
      <c r="AR324">
        <v>5969.3823000000002</v>
      </c>
      <c r="AS324" s="61">
        <v>244972.32266339281</v>
      </c>
      <c r="AT324" t="s">
        <v>348</v>
      </c>
      <c r="AU324" t="s">
        <v>438</v>
      </c>
      <c r="AV324" t="s">
        <v>425</v>
      </c>
      <c r="AW324" t="s">
        <v>27</v>
      </c>
      <c r="AX324">
        <v>111.133</v>
      </c>
      <c r="AY324">
        <v>1.0727760310708341</v>
      </c>
      <c r="AZ324">
        <v>119.22081866099499</v>
      </c>
      <c r="BA324">
        <v>694.38</v>
      </c>
      <c r="BB324">
        <v>0.875</v>
      </c>
      <c r="BC324">
        <v>72.436483054094012</v>
      </c>
      <c r="BD324">
        <v>0.95369999999999999</v>
      </c>
      <c r="BE324" s="63">
        <v>69.082999999999998</v>
      </c>
      <c r="BF324">
        <v>8.9176000000000002</v>
      </c>
      <c r="BG324">
        <v>0.91300000000000003</v>
      </c>
      <c r="BH324">
        <v>6064.9193587765631</v>
      </c>
      <c r="BI324">
        <v>1.007895816242822</v>
      </c>
      <c r="BJ324" s="63">
        <v>6112.8068000000003</v>
      </c>
      <c r="BK324" s="61">
        <v>250858.1968001248</v>
      </c>
    </row>
    <row r="325" spans="1:63" x14ac:dyDescent="0.25">
      <c r="A325">
        <v>1029</v>
      </c>
      <c r="B325" t="s">
        <v>223</v>
      </c>
      <c r="C325">
        <v>2020</v>
      </c>
      <c r="D325">
        <v>6</v>
      </c>
      <c r="E325" t="s">
        <v>100</v>
      </c>
      <c r="F325" t="s">
        <v>426</v>
      </c>
      <c r="G325" t="s">
        <v>427</v>
      </c>
      <c r="H325" t="s">
        <v>84</v>
      </c>
      <c r="I325" t="s">
        <v>430</v>
      </c>
      <c r="J325" t="s">
        <v>59</v>
      </c>
      <c r="K325">
        <v>-2333.7163181000001</v>
      </c>
      <c r="L325" t="s">
        <v>59</v>
      </c>
      <c r="M325" t="s">
        <v>385</v>
      </c>
      <c r="N325">
        <v>0.45696251572993002</v>
      </c>
      <c r="O325">
        <v>1066.420879718966</v>
      </c>
      <c r="P325" t="s">
        <v>440</v>
      </c>
      <c r="Q325">
        <v>2</v>
      </c>
      <c r="R325">
        <v>47.636589999999998</v>
      </c>
      <c r="S325">
        <v>7.2999999999999995E-2</v>
      </c>
      <c r="T325">
        <v>3.4774710999999998</v>
      </c>
      <c r="U325">
        <v>0.98099999999999998</v>
      </c>
      <c r="V325">
        <v>3411.3989999999999</v>
      </c>
      <c r="W325">
        <v>2</v>
      </c>
      <c r="X325">
        <v>2.0938204E-5</v>
      </c>
      <c r="Y325">
        <v>0.14285700000000001</v>
      </c>
      <c r="Z325" s="61">
        <v>152.345688</v>
      </c>
      <c r="AA325" t="s">
        <v>347</v>
      </c>
      <c r="AB325" t="s">
        <v>437</v>
      </c>
      <c r="AC325" t="s">
        <v>425</v>
      </c>
      <c r="AD325" t="s">
        <v>27</v>
      </c>
      <c r="AE325">
        <v>111.133</v>
      </c>
      <c r="AF325">
        <v>1.0541007448257309</v>
      </c>
      <c r="AG325">
        <v>117.145378074718</v>
      </c>
      <c r="AH325">
        <v>640.82000000000005</v>
      </c>
      <c r="AI325">
        <v>1</v>
      </c>
      <c r="AJ325">
        <v>75.069101177840764</v>
      </c>
      <c r="AK325">
        <v>0.95889999999999997</v>
      </c>
      <c r="AL325" s="63">
        <v>71.983999999999995</v>
      </c>
      <c r="AM325">
        <v>8.9176000000000002</v>
      </c>
      <c r="AN325">
        <v>9.4000488020579382</v>
      </c>
      <c r="AO325">
        <v>1</v>
      </c>
      <c r="AP325">
        <v>6023.7392733347688</v>
      </c>
      <c r="AQ325">
        <v>0.99097621000820357</v>
      </c>
      <c r="AR325">
        <v>5969.3823000000002</v>
      </c>
      <c r="AS325" s="61">
        <v>909409.6534285224</v>
      </c>
      <c r="AT325" t="s">
        <v>348</v>
      </c>
      <c r="AU325" t="s">
        <v>438</v>
      </c>
      <c r="AV325" t="s">
        <v>425</v>
      </c>
      <c r="AW325" t="s">
        <v>27</v>
      </c>
      <c r="AX325">
        <v>111.133</v>
      </c>
      <c r="AY325">
        <v>1.0727760310708341</v>
      </c>
      <c r="AZ325">
        <v>119.22081866099499</v>
      </c>
      <c r="BA325">
        <v>694.38</v>
      </c>
      <c r="BB325">
        <v>0.875</v>
      </c>
      <c r="BC325">
        <v>72.436483054094012</v>
      </c>
      <c r="BD325">
        <v>0.95369999999999999</v>
      </c>
      <c r="BE325" s="63">
        <v>69.082999999999998</v>
      </c>
      <c r="BF325">
        <v>8.9176000000000002</v>
      </c>
      <c r="BG325">
        <v>0.91300000000000003</v>
      </c>
      <c r="BH325">
        <v>6064.9193587765631</v>
      </c>
      <c r="BI325">
        <v>1.007895816242822</v>
      </c>
      <c r="BJ325" s="63">
        <v>6112.8068000000003</v>
      </c>
      <c r="BK325" s="61">
        <v>931259.75755707838</v>
      </c>
    </row>
    <row r="326" spans="1:63" x14ac:dyDescent="0.25">
      <c r="A326">
        <v>1053</v>
      </c>
      <c r="B326" t="s">
        <v>230</v>
      </c>
      <c r="C326">
        <v>2020</v>
      </c>
      <c r="D326">
        <v>7</v>
      </c>
      <c r="E326" t="s">
        <v>100</v>
      </c>
      <c r="F326" t="s">
        <v>426</v>
      </c>
      <c r="G326" t="s">
        <v>427</v>
      </c>
      <c r="H326" t="s">
        <v>84</v>
      </c>
      <c r="I326" t="s">
        <v>428</v>
      </c>
      <c r="J326" t="s">
        <v>381</v>
      </c>
      <c r="K326">
        <v>-4441.3899390400002</v>
      </c>
      <c r="L326" t="s">
        <v>381</v>
      </c>
      <c r="M326" t="s">
        <v>384</v>
      </c>
      <c r="N326">
        <v>8.1690224049839999E-2</v>
      </c>
      <c r="O326">
        <v>362.81813921288278</v>
      </c>
      <c r="P326" t="s">
        <v>440</v>
      </c>
      <c r="Q326">
        <v>2</v>
      </c>
      <c r="R326">
        <v>47.636589999999998</v>
      </c>
      <c r="S326">
        <v>6.6000000000000003E-2</v>
      </c>
      <c r="T326">
        <v>3.1440149000000002</v>
      </c>
      <c r="U326">
        <v>1.9E-2</v>
      </c>
      <c r="V326">
        <v>59.735999999999997</v>
      </c>
      <c r="W326">
        <v>2</v>
      </c>
      <c r="X326">
        <v>1.1957331460000001E-3</v>
      </c>
      <c r="Y326">
        <v>0.14285700000000001</v>
      </c>
      <c r="Z326" s="61">
        <v>51.831111</v>
      </c>
      <c r="AA326" t="s">
        <v>347</v>
      </c>
      <c r="AB326" t="s">
        <v>437</v>
      </c>
      <c r="AC326" t="s">
        <v>425</v>
      </c>
      <c r="AD326" t="s">
        <v>81</v>
      </c>
      <c r="AE326">
        <v>111.133</v>
      </c>
      <c r="AF326">
        <v>1.0541007448257309</v>
      </c>
      <c r="AG326">
        <v>117.145378074718</v>
      </c>
      <c r="AH326">
        <v>640.82000000000005</v>
      </c>
      <c r="AI326">
        <v>1</v>
      </c>
      <c r="AJ326">
        <v>75.069101177840764</v>
      </c>
      <c r="AK326">
        <v>0.93830000000000002</v>
      </c>
      <c r="AL326" s="63">
        <v>70.436999999999998</v>
      </c>
      <c r="AM326">
        <v>8.9176000000000002</v>
      </c>
      <c r="AN326">
        <v>9.4000488020579382</v>
      </c>
      <c r="AO326">
        <v>1</v>
      </c>
      <c r="AP326">
        <v>6023.7392733347688</v>
      </c>
      <c r="AQ326">
        <v>1.098016605166052</v>
      </c>
      <c r="AR326">
        <v>6614.1656999999996</v>
      </c>
      <c r="AS326" s="61">
        <v>342819.55656909267</v>
      </c>
      <c r="AT326" t="s">
        <v>349</v>
      </c>
      <c r="AU326" t="s">
        <v>439</v>
      </c>
      <c r="AV326" t="s">
        <v>425</v>
      </c>
      <c r="AW326" t="s">
        <v>81</v>
      </c>
      <c r="AX326">
        <v>111.133</v>
      </c>
      <c r="AY326">
        <v>1.080821157758461</v>
      </c>
      <c r="AZ326">
        <v>120.1148977251711</v>
      </c>
      <c r="BA326">
        <v>779.31</v>
      </c>
      <c r="BB326">
        <v>0.879</v>
      </c>
      <c r="BC326">
        <v>82.280325291712501</v>
      </c>
      <c r="BD326">
        <v>0.93120000000000003</v>
      </c>
      <c r="BE326" s="63">
        <v>76.619</v>
      </c>
      <c r="BF326">
        <v>8.9176000000000002</v>
      </c>
      <c r="BG326">
        <v>0.80400000000000005</v>
      </c>
      <c r="BH326">
        <v>6039.0430235999738</v>
      </c>
      <c r="BI326">
        <v>1.1187730627306269</v>
      </c>
      <c r="BJ326" s="63">
        <v>6756.3186999999998</v>
      </c>
      <c r="BK326" s="61">
        <v>350187.5044910757</v>
      </c>
    </row>
    <row r="327" spans="1:63" x14ac:dyDescent="0.25">
      <c r="A327">
        <v>1053</v>
      </c>
      <c r="B327" t="s">
        <v>230</v>
      </c>
      <c r="C327">
        <v>2020</v>
      </c>
      <c r="D327">
        <v>7</v>
      </c>
      <c r="E327" t="s">
        <v>100</v>
      </c>
      <c r="F327" t="s">
        <v>426</v>
      </c>
      <c r="G327" t="s">
        <v>427</v>
      </c>
      <c r="H327" t="s">
        <v>84</v>
      </c>
      <c r="I327" t="s">
        <v>429</v>
      </c>
      <c r="J327" t="s">
        <v>87</v>
      </c>
      <c r="K327">
        <v>-832.63126098999999</v>
      </c>
      <c r="L327" t="s">
        <v>87</v>
      </c>
      <c r="M327" t="s">
        <v>384</v>
      </c>
      <c r="N327">
        <v>5.2173184005399997E-2</v>
      </c>
      <c r="O327">
        <v>43.441023988279497</v>
      </c>
      <c r="P327" t="s">
        <v>440</v>
      </c>
      <c r="Q327">
        <v>2</v>
      </c>
      <c r="R327">
        <v>47.636589999999998</v>
      </c>
      <c r="S327">
        <v>6.6000000000000003E-2</v>
      </c>
      <c r="T327">
        <v>3.1440149000000002</v>
      </c>
      <c r="U327">
        <v>1.9E-2</v>
      </c>
      <c r="V327">
        <v>59.735999999999997</v>
      </c>
      <c r="W327">
        <v>2</v>
      </c>
      <c r="X327">
        <v>1.1957331460000001E-3</v>
      </c>
      <c r="Y327">
        <v>0.14285700000000001</v>
      </c>
      <c r="Z327" s="61">
        <v>6.2058540000000004</v>
      </c>
      <c r="AA327" t="s">
        <v>347</v>
      </c>
      <c r="AB327" t="s">
        <v>437</v>
      </c>
      <c r="AC327" t="s">
        <v>425</v>
      </c>
      <c r="AD327" t="s">
        <v>81</v>
      </c>
      <c r="AE327">
        <v>111.133</v>
      </c>
      <c r="AF327">
        <v>1.0541007448257309</v>
      </c>
      <c r="AG327">
        <v>117.145378074718</v>
      </c>
      <c r="AH327">
        <v>640.82000000000005</v>
      </c>
      <c r="AI327">
        <v>1</v>
      </c>
      <c r="AJ327">
        <v>75.069101177840764</v>
      </c>
      <c r="AK327">
        <v>0.93830000000000002</v>
      </c>
      <c r="AL327" s="63">
        <v>70.436999999999998</v>
      </c>
      <c r="AM327">
        <v>8.9176000000000002</v>
      </c>
      <c r="AN327">
        <v>9.4000488020579382</v>
      </c>
      <c r="AO327">
        <v>1</v>
      </c>
      <c r="AP327">
        <v>6023.7392733347688</v>
      </c>
      <c r="AQ327">
        <v>1.098016605166052</v>
      </c>
      <c r="AR327">
        <v>6614.1656999999996</v>
      </c>
      <c r="AS327" s="61">
        <v>41046.546666007802</v>
      </c>
      <c r="AT327" t="s">
        <v>349</v>
      </c>
      <c r="AU327" t="s">
        <v>439</v>
      </c>
      <c r="AV327" t="s">
        <v>425</v>
      </c>
      <c r="AW327" t="s">
        <v>81</v>
      </c>
      <c r="AX327">
        <v>111.133</v>
      </c>
      <c r="AY327">
        <v>1.080821157758461</v>
      </c>
      <c r="AZ327">
        <v>120.1148977251711</v>
      </c>
      <c r="BA327">
        <v>779.31</v>
      </c>
      <c r="BB327">
        <v>0.879</v>
      </c>
      <c r="BC327">
        <v>82.280325291712501</v>
      </c>
      <c r="BD327">
        <v>0.93120000000000003</v>
      </c>
      <c r="BE327" s="63">
        <v>76.619</v>
      </c>
      <c r="BF327">
        <v>8.9176000000000002</v>
      </c>
      <c r="BG327">
        <v>0.80400000000000005</v>
      </c>
      <c r="BH327">
        <v>6039.0430235999738</v>
      </c>
      <c r="BI327">
        <v>1.1187730627306269</v>
      </c>
      <c r="BJ327" s="63">
        <v>6756.3186999999998</v>
      </c>
      <c r="BK327" s="61">
        <v>41928.727429669801</v>
      </c>
    </row>
    <row r="328" spans="1:63" x14ac:dyDescent="0.25">
      <c r="A328">
        <v>1053</v>
      </c>
      <c r="B328" t="s">
        <v>230</v>
      </c>
      <c r="C328">
        <v>2020</v>
      </c>
      <c r="D328">
        <v>7</v>
      </c>
      <c r="E328" t="s">
        <v>100</v>
      </c>
      <c r="F328" t="s">
        <v>426</v>
      </c>
      <c r="G328" t="s">
        <v>427</v>
      </c>
      <c r="H328" t="s">
        <v>84</v>
      </c>
      <c r="I328" t="s">
        <v>430</v>
      </c>
      <c r="J328" t="s">
        <v>59</v>
      </c>
      <c r="K328">
        <v>-2551.2444336100002</v>
      </c>
      <c r="L328" t="s">
        <v>59</v>
      </c>
      <c r="M328" t="s">
        <v>384</v>
      </c>
      <c r="N328">
        <v>3.3878542232840002E-2</v>
      </c>
      <c r="O328">
        <v>86.432442290354345</v>
      </c>
      <c r="P328" t="s">
        <v>440</v>
      </c>
      <c r="Q328">
        <v>2</v>
      </c>
      <c r="R328">
        <v>47.636589999999998</v>
      </c>
      <c r="S328">
        <v>6.6000000000000003E-2</v>
      </c>
      <c r="T328">
        <v>3.1440149000000002</v>
      </c>
      <c r="U328">
        <v>1.9E-2</v>
      </c>
      <c r="V328">
        <v>59.735999999999997</v>
      </c>
      <c r="W328">
        <v>2</v>
      </c>
      <c r="X328">
        <v>1.1957331460000001E-3</v>
      </c>
      <c r="Y328">
        <v>0.14285700000000001</v>
      </c>
      <c r="Z328" s="61">
        <v>12.347479</v>
      </c>
      <c r="AA328" t="s">
        <v>347</v>
      </c>
      <c r="AB328" t="s">
        <v>437</v>
      </c>
      <c r="AC328" t="s">
        <v>425</v>
      </c>
      <c r="AD328" t="s">
        <v>81</v>
      </c>
      <c r="AE328">
        <v>111.133</v>
      </c>
      <c r="AF328">
        <v>1.0541007448257309</v>
      </c>
      <c r="AG328">
        <v>117.145378074718</v>
      </c>
      <c r="AH328">
        <v>640.82000000000005</v>
      </c>
      <c r="AI328">
        <v>1</v>
      </c>
      <c r="AJ328">
        <v>75.069101177840764</v>
      </c>
      <c r="AK328">
        <v>0.93830000000000002</v>
      </c>
      <c r="AL328" s="63">
        <v>70.436999999999998</v>
      </c>
      <c r="AM328">
        <v>8.9176000000000002</v>
      </c>
      <c r="AN328">
        <v>9.4000488020579382</v>
      </c>
      <c r="AO328">
        <v>1</v>
      </c>
      <c r="AP328">
        <v>6023.7392733347688</v>
      </c>
      <c r="AQ328">
        <v>1.098016605166052</v>
      </c>
      <c r="AR328">
        <v>6614.1656999999996</v>
      </c>
      <c r="AS328" s="61">
        <v>81668.272083270291</v>
      </c>
      <c r="AT328" t="s">
        <v>349</v>
      </c>
      <c r="AU328" t="s">
        <v>439</v>
      </c>
      <c r="AV328" t="s">
        <v>425</v>
      </c>
      <c r="AW328" t="s">
        <v>81</v>
      </c>
      <c r="AX328">
        <v>111.133</v>
      </c>
      <c r="AY328">
        <v>1.080821157758461</v>
      </c>
      <c r="AZ328">
        <v>120.1148977251711</v>
      </c>
      <c r="BA328">
        <v>779.31</v>
      </c>
      <c r="BB328">
        <v>0.879</v>
      </c>
      <c r="BC328">
        <v>82.280325291712501</v>
      </c>
      <c r="BD328">
        <v>0.93120000000000003</v>
      </c>
      <c r="BE328" s="63">
        <v>76.619</v>
      </c>
      <c r="BF328">
        <v>8.9176000000000002</v>
      </c>
      <c r="BG328">
        <v>0.80400000000000005</v>
      </c>
      <c r="BH328">
        <v>6039.0430235999738</v>
      </c>
      <c r="BI328">
        <v>1.1187730627306269</v>
      </c>
      <c r="BJ328" s="63">
        <v>6756.3186999999998</v>
      </c>
      <c r="BK328" s="61">
        <v>83423.503265557301</v>
      </c>
    </row>
    <row r="329" spans="1:63" x14ac:dyDescent="0.25">
      <c r="A329">
        <v>1055</v>
      </c>
      <c r="B329" t="s">
        <v>230</v>
      </c>
      <c r="C329">
        <v>2020</v>
      </c>
      <c r="D329">
        <v>7</v>
      </c>
      <c r="E329" t="s">
        <v>100</v>
      </c>
      <c r="F329" t="s">
        <v>426</v>
      </c>
      <c r="G329" t="s">
        <v>427</v>
      </c>
      <c r="H329" t="s">
        <v>84</v>
      </c>
      <c r="I329" t="s">
        <v>428</v>
      </c>
      <c r="J329" t="s">
        <v>381</v>
      </c>
      <c r="K329">
        <v>-4441.3899390400002</v>
      </c>
      <c r="L329" t="s">
        <v>381</v>
      </c>
      <c r="M329" t="s">
        <v>385</v>
      </c>
      <c r="N329">
        <v>0.53433255212611996</v>
      </c>
      <c r="O329">
        <v>2373.1792211145162</v>
      </c>
      <c r="P329" t="s">
        <v>440</v>
      </c>
      <c r="Q329">
        <v>2</v>
      </c>
      <c r="R329">
        <v>47.636589999999998</v>
      </c>
      <c r="S329">
        <v>6.6000000000000003E-2</v>
      </c>
      <c r="T329">
        <v>3.1440149000000002</v>
      </c>
      <c r="U329">
        <v>0.98099999999999998</v>
      </c>
      <c r="V329">
        <v>3084.279</v>
      </c>
      <c r="W329">
        <v>2</v>
      </c>
      <c r="X329">
        <v>2.3158922E-5</v>
      </c>
      <c r="Y329">
        <v>0.14285700000000001</v>
      </c>
      <c r="Z329" s="61">
        <v>339.02526399999999</v>
      </c>
      <c r="AA329" t="s">
        <v>347</v>
      </c>
      <c r="AB329" t="s">
        <v>437</v>
      </c>
      <c r="AC329" t="s">
        <v>425</v>
      </c>
      <c r="AD329" t="s">
        <v>27</v>
      </c>
      <c r="AE329">
        <v>111.133</v>
      </c>
      <c r="AF329">
        <v>1.0541007448257309</v>
      </c>
      <c r="AG329">
        <v>117.145378074718</v>
      </c>
      <c r="AH329">
        <v>640.82000000000005</v>
      </c>
      <c r="AI329">
        <v>1</v>
      </c>
      <c r="AJ329">
        <v>75.069101177840764</v>
      </c>
      <c r="AK329">
        <v>0.95889999999999997</v>
      </c>
      <c r="AL329" s="63">
        <v>71.983999999999995</v>
      </c>
      <c r="AM329">
        <v>8.9176000000000002</v>
      </c>
      <c r="AN329">
        <v>9.4000488020579382</v>
      </c>
      <c r="AO329">
        <v>1</v>
      </c>
      <c r="AP329">
        <v>6023.7392733347688</v>
      </c>
      <c r="AQ329">
        <v>0.99097621000820357</v>
      </c>
      <c r="AR329">
        <v>5969.3823000000002</v>
      </c>
      <c r="AS329" s="61">
        <v>2023771.4101744271</v>
      </c>
      <c r="AT329" t="s">
        <v>349</v>
      </c>
      <c r="AU329" t="s">
        <v>439</v>
      </c>
      <c r="AV329" t="s">
        <v>425</v>
      </c>
      <c r="AW329" t="s">
        <v>27</v>
      </c>
      <c r="AX329">
        <v>111.133</v>
      </c>
      <c r="AY329">
        <v>1.080821157758461</v>
      </c>
      <c r="AZ329">
        <v>120.1148977251711</v>
      </c>
      <c r="BA329">
        <v>779.31</v>
      </c>
      <c r="BB329">
        <v>0.879</v>
      </c>
      <c r="BC329">
        <v>82.280325291712501</v>
      </c>
      <c r="BD329">
        <v>0.93269999999999997</v>
      </c>
      <c r="BE329" s="63">
        <v>76.742999999999995</v>
      </c>
      <c r="BF329">
        <v>8.9176000000000002</v>
      </c>
      <c r="BG329">
        <v>0.80400000000000005</v>
      </c>
      <c r="BH329">
        <v>6039.0430235999738</v>
      </c>
      <c r="BI329">
        <v>1.016406890894175</v>
      </c>
      <c r="BJ329" s="63">
        <v>6138.1248999999998</v>
      </c>
      <c r="BK329" s="61">
        <v>2080979.414687474</v>
      </c>
    </row>
    <row r="330" spans="1:63" x14ac:dyDescent="0.25">
      <c r="A330">
        <v>1055</v>
      </c>
      <c r="B330" t="s">
        <v>230</v>
      </c>
      <c r="C330">
        <v>2020</v>
      </c>
      <c r="D330">
        <v>7</v>
      </c>
      <c r="E330" t="s">
        <v>100</v>
      </c>
      <c r="F330" t="s">
        <v>426</v>
      </c>
      <c r="G330" t="s">
        <v>427</v>
      </c>
      <c r="H330" t="s">
        <v>84</v>
      </c>
      <c r="I330" t="s">
        <v>429</v>
      </c>
      <c r="J330" t="s">
        <v>87</v>
      </c>
      <c r="K330">
        <v>-832.63126098999999</v>
      </c>
      <c r="L330" t="s">
        <v>87</v>
      </c>
      <c r="M330" t="s">
        <v>385</v>
      </c>
      <c r="N330">
        <v>0.48201182829095002</v>
      </c>
      <c r="O330">
        <v>401.33811640198911</v>
      </c>
      <c r="P330" t="s">
        <v>440</v>
      </c>
      <c r="Q330">
        <v>2</v>
      </c>
      <c r="R330">
        <v>47.636589999999998</v>
      </c>
      <c r="S330">
        <v>6.6000000000000003E-2</v>
      </c>
      <c r="T330">
        <v>3.1440149000000002</v>
      </c>
      <c r="U330">
        <v>0.98099999999999998</v>
      </c>
      <c r="V330">
        <v>3084.279</v>
      </c>
      <c r="W330">
        <v>2</v>
      </c>
      <c r="X330">
        <v>2.3158922E-5</v>
      </c>
      <c r="Y330">
        <v>0.14285700000000001</v>
      </c>
      <c r="Z330" s="61">
        <v>57.333959</v>
      </c>
      <c r="AA330" t="s">
        <v>347</v>
      </c>
      <c r="AB330" t="s">
        <v>437</v>
      </c>
      <c r="AC330" t="s">
        <v>425</v>
      </c>
      <c r="AD330" t="s">
        <v>27</v>
      </c>
      <c r="AE330">
        <v>111.133</v>
      </c>
      <c r="AF330">
        <v>1.0541007448257309</v>
      </c>
      <c r="AG330">
        <v>117.145378074718</v>
      </c>
      <c r="AH330">
        <v>640.82000000000005</v>
      </c>
      <c r="AI330">
        <v>1</v>
      </c>
      <c r="AJ330">
        <v>75.069101177840764</v>
      </c>
      <c r="AK330">
        <v>0.95889999999999997</v>
      </c>
      <c r="AL330" s="63">
        <v>71.983999999999995</v>
      </c>
      <c r="AM330">
        <v>8.9176000000000002</v>
      </c>
      <c r="AN330">
        <v>9.4000488020579382</v>
      </c>
      <c r="AO330">
        <v>1</v>
      </c>
      <c r="AP330">
        <v>6023.7392733347688</v>
      </c>
      <c r="AQ330">
        <v>0.99097621000820357</v>
      </c>
      <c r="AR330">
        <v>5969.3823000000002</v>
      </c>
      <c r="AS330" s="61">
        <v>342248.32004352572</v>
      </c>
      <c r="AT330" t="s">
        <v>349</v>
      </c>
      <c r="AU330" t="s">
        <v>439</v>
      </c>
      <c r="AV330" t="s">
        <v>425</v>
      </c>
      <c r="AW330" t="s">
        <v>27</v>
      </c>
      <c r="AX330">
        <v>111.133</v>
      </c>
      <c r="AY330">
        <v>1.080821157758461</v>
      </c>
      <c r="AZ330">
        <v>120.1148977251711</v>
      </c>
      <c r="BA330">
        <v>779.31</v>
      </c>
      <c r="BB330">
        <v>0.879</v>
      </c>
      <c r="BC330">
        <v>82.280325291712501</v>
      </c>
      <c r="BD330">
        <v>0.93269999999999997</v>
      </c>
      <c r="BE330" s="63">
        <v>76.742999999999995</v>
      </c>
      <c r="BF330">
        <v>8.9176000000000002</v>
      </c>
      <c r="BG330">
        <v>0.80400000000000005</v>
      </c>
      <c r="BH330">
        <v>6039.0430235999738</v>
      </c>
      <c r="BI330">
        <v>1.016406890894175</v>
      </c>
      <c r="BJ330" s="63">
        <v>6138.1248999999998</v>
      </c>
      <c r="BK330" s="61">
        <v>351923.00135347911</v>
      </c>
    </row>
    <row r="331" spans="1:63" x14ac:dyDescent="0.25">
      <c r="A331">
        <v>1055</v>
      </c>
      <c r="B331" t="s">
        <v>230</v>
      </c>
      <c r="C331">
        <v>2020</v>
      </c>
      <c r="D331">
        <v>7</v>
      </c>
      <c r="E331" t="s">
        <v>100</v>
      </c>
      <c r="F331" t="s">
        <v>426</v>
      </c>
      <c r="G331" t="s">
        <v>427</v>
      </c>
      <c r="H331" t="s">
        <v>84</v>
      </c>
      <c r="I331" t="s">
        <v>430</v>
      </c>
      <c r="J331" t="s">
        <v>59</v>
      </c>
      <c r="K331">
        <v>-2551.2444336100002</v>
      </c>
      <c r="L331" t="s">
        <v>59</v>
      </c>
      <c r="M331" t="s">
        <v>385</v>
      </c>
      <c r="N331">
        <v>0.55635923938887</v>
      </c>
      <c r="O331">
        <v>1419.4084125783479</v>
      </c>
      <c r="P331" t="s">
        <v>440</v>
      </c>
      <c r="Q331">
        <v>2</v>
      </c>
      <c r="R331">
        <v>47.636589999999998</v>
      </c>
      <c r="S331">
        <v>6.6000000000000003E-2</v>
      </c>
      <c r="T331">
        <v>3.1440149000000002</v>
      </c>
      <c r="U331">
        <v>0.98099999999999998</v>
      </c>
      <c r="V331">
        <v>3084.279</v>
      </c>
      <c r="W331">
        <v>2</v>
      </c>
      <c r="X331">
        <v>2.3158922E-5</v>
      </c>
      <c r="Y331">
        <v>0.14285700000000001</v>
      </c>
      <c r="Z331" s="61">
        <v>202.77242799999999</v>
      </c>
      <c r="AA331" t="s">
        <v>347</v>
      </c>
      <c r="AB331" t="s">
        <v>437</v>
      </c>
      <c r="AC331" t="s">
        <v>425</v>
      </c>
      <c r="AD331" t="s">
        <v>27</v>
      </c>
      <c r="AE331">
        <v>111.133</v>
      </c>
      <c r="AF331">
        <v>1.0541007448257309</v>
      </c>
      <c r="AG331">
        <v>117.145378074718</v>
      </c>
      <c r="AH331">
        <v>640.82000000000005</v>
      </c>
      <c r="AI331">
        <v>1</v>
      </c>
      <c r="AJ331">
        <v>75.069101177840764</v>
      </c>
      <c r="AK331">
        <v>0.95889999999999997</v>
      </c>
      <c r="AL331" s="63">
        <v>71.983999999999995</v>
      </c>
      <c r="AM331">
        <v>8.9176000000000002</v>
      </c>
      <c r="AN331">
        <v>9.4000488020579382</v>
      </c>
      <c r="AO331">
        <v>1</v>
      </c>
      <c r="AP331">
        <v>6023.7392733347688</v>
      </c>
      <c r="AQ331">
        <v>0.99097621000820357</v>
      </c>
      <c r="AR331">
        <v>5969.3823000000002</v>
      </c>
      <c r="AS331" s="61">
        <v>1210426.1426312239</v>
      </c>
      <c r="AT331" t="s">
        <v>349</v>
      </c>
      <c r="AU331" t="s">
        <v>439</v>
      </c>
      <c r="AV331" t="s">
        <v>425</v>
      </c>
      <c r="AW331" t="s">
        <v>27</v>
      </c>
      <c r="AX331">
        <v>111.133</v>
      </c>
      <c r="AY331">
        <v>1.080821157758461</v>
      </c>
      <c r="AZ331">
        <v>120.1148977251711</v>
      </c>
      <c r="BA331">
        <v>779.31</v>
      </c>
      <c r="BB331">
        <v>0.879</v>
      </c>
      <c r="BC331">
        <v>82.280325291712501</v>
      </c>
      <c r="BD331">
        <v>0.93269999999999997</v>
      </c>
      <c r="BE331" s="63">
        <v>76.742999999999995</v>
      </c>
      <c r="BF331">
        <v>8.9176000000000002</v>
      </c>
      <c r="BG331">
        <v>0.80400000000000005</v>
      </c>
      <c r="BH331">
        <v>6039.0430235999738</v>
      </c>
      <c r="BI331">
        <v>1.016406890894175</v>
      </c>
      <c r="BJ331" s="63">
        <v>6138.1248999999998</v>
      </c>
      <c r="BK331" s="61">
        <v>1244642.4893402569</v>
      </c>
    </row>
    <row r="332" spans="1:63" x14ac:dyDescent="0.25">
      <c r="A332">
        <v>1079</v>
      </c>
      <c r="B332" t="s">
        <v>237</v>
      </c>
      <c r="C332">
        <v>2020</v>
      </c>
      <c r="D332">
        <v>8</v>
      </c>
      <c r="E332" t="s">
        <v>100</v>
      </c>
      <c r="F332" t="s">
        <v>426</v>
      </c>
      <c r="G332" t="s">
        <v>427</v>
      </c>
      <c r="H332" t="s">
        <v>84</v>
      </c>
      <c r="I332" t="s">
        <v>428</v>
      </c>
      <c r="J332" t="s">
        <v>381</v>
      </c>
      <c r="K332">
        <v>-4467.9596279999996</v>
      </c>
      <c r="L332" t="s">
        <v>381</v>
      </c>
      <c r="M332" t="s">
        <v>384</v>
      </c>
      <c r="N332">
        <v>8.1690224049839999E-2</v>
      </c>
      <c r="O332">
        <v>364.9886230569598</v>
      </c>
      <c r="P332" t="s">
        <v>440</v>
      </c>
      <c r="Q332">
        <v>2</v>
      </c>
      <c r="R332">
        <v>47.636589999999998</v>
      </c>
      <c r="S332">
        <v>5.6000000000000001E-2</v>
      </c>
      <c r="T332">
        <v>2.6676489999999999</v>
      </c>
      <c r="U332">
        <v>1.9E-2</v>
      </c>
      <c r="V332">
        <v>50.685000000000002</v>
      </c>
      <c r="W332">
        <v>2</v>
      </c>
      <c r="X332">
        <v>1.4092565609999999E-3</v>
      </c>
      <c r="Y332">
        <v>0.14285600000000001</v>
      </c>
      <c r="Z332" s="61">
        <v>52.140815000000003</v>
      </c>
      <c r="AA332" t="s">
        <v>347</v>
      </c>
      <c r="AB332" t="s">
        <v>437</v>
      </c>
      <c r="AC332" t="s">
        <v>425</v>
      </c>
      <c r="AD332" t="s">
        <v>81</v>
      </c>
      <c r="AE332">
        <v>111.133</v>
      </c>
      <c r="AF332">
        <v>1.0541007448257309</v>
      </c>
      <c r="AG332">
        <v>117.145378074718</v>
      </c>
      <c r="AH332">
        <v>640.82000000000005</v>
      </c>
      <c r="AI332">
        <v>1</v>
      </c>
      <c r="AJ332">
        <v>75.069101177840764</v>
      </c>
      <c r="AK332">
        <v>0.93830000000000002</v>
      </c>
      <c r="AL332" s="63">
        <v>70.436999999999998</v>
      </c>
      <c r="AM332">
        <v>8.9176000000000002</v>
      </c>
      <c r="AN332">
        <v>9.4000488020579382</v>
      </c>
      <c r="AO332">
        <v>1</v>
      </c>
      <c r="AP332">
        <v>6023.7392733347688</v>
      </c>
      <c r="AQ332">
        <v>1.098016605166052</v>
      </c>
      <c r="AR332">
        <v>6614.1656999999996</v>
      </c>
      <c r="AS332" s="61">
        <v>344867.99014304549</v>
      </c>
      <c r="AT332" t="s">
        <v>349</v>
      </c>
      <c r="AU332" t="s">
        <v>439</v>
      </c>
      <c r="AV332" t="s">
        <v>425</v>
      </c>
      <c r="AW332" t="s">
        <v>81</v>
      </c>
      <c r="AX332">
        <v>111.133</v>
      </c>
      <c r="AY332">
        <v>1.080821157758461</v>
      </c>
      <c r="AZ332">
        <v>120.1148977251711</v>
      </c>
      <c r="BA332">
        <v>779.31</v>
      </c>
      <c r="BB332">
        <v>0.879</v>
      </c>
      <c r="BC332">
        <v>82.280325291712501</v>
      </c>
      <c r="BD332">
        <v>0.93120000000000003</v>
      </c>
      <c r="BE332" s="63">
        <v>76.619</v>
      </c>
      <c r="BF332">
        <v>8.9176000000000002</v>
      </c>
      <c r="BG332">
        <v>0.80400000000000005</v>
      </c>
      <c r="BH332">
        <v>6039.0430235999738</v>
      </c>
      <c r="BI332">
        <v>1.1187730627306269</v>
      </c>
      <c r="BJ332" s="63">
        <v>6756.3186999999998</v>
      </c>
      <c r="BK332" s="61">
        <v>352279.96341774048</v>
      </c>
    </row>
    <row r="333" spans="1:63" x14ac:dyDescent="0.25">
      <c r="A333">
        <v>1079</v>
      </c>
      <c r="B333" t="s">
        <v>237</v>
      </c>
      <c r="C333">
        <v>2020</v>
      </c>
      <c r="D333">
        <v>8</v>
      </c>
      <c r="E333" t="s">
        <v>100</v>
      </c>
      <c r="F333" t="s">
        <v>426</v>
      </c>
      <c r="G333" t="s">
        <v>427</v>
      </c>
      <c r="H333" t="s">
        <v>84</v>
      </c>
      <c r="I333" t="s">
        <v>429</v>
      </c>
      <c r="J333" t="s">
        <v>87</v>
      </c>
      <c r="K333">
        <v>-671.05509757000004</v>
      </c>
      <c r="L333" t="s">
        <v>87</v>
      </c>
      <c r="M333" t="s">
        <v>384</v>
      </c>
      <c r="N333">
        <v>5.2173184005399997E-2</v>
      </c>
      <c r="O333">
        <v>35.011081083281262</v>
      </c>
      <c r="P333" t="s">
        <v>440</v>
      </c>
      <c r="Q333">
        <v>2</v>
      </c>
      <c r="R333">
        <v>47.636589999999998</v>
      </c>
      <c r="S333">
        <v>5.6000000000000001E-2</v>
      </c>
      <c r="T333">
        <v>2.6676489999999999</v>
      </c>
      <c r="U333">
        <v>1.9E-2</v>
      </c>
      <c r="V333">
        <v>50.685000000000002</v>
      </c>
      <c r="W333">
        <v>2</v>
      </c>
      <c r="X333">
        <v>1.4092565609999999E-3</v>
      </c>
      <c r="Y333">
        <v>0.14285600000000001</v>
      </c>
      <c r="Z333" s="61">
        <v>5.0015429999999999</v>
      </c>
      <c r="AA333" t="s">
        <v>347</v>
      </c>
      <c r="AB333" t="s">
        <v>437</v>
      </c>
      <c r="AC333" t="s">
        <v>425</v>
      </c>
      <c r="AD333" t="s">
        <v>81</v>
      </c>
      <c r="AE333">
        <v>111.133</v>
      </c>
      <c r="AF333">
        <v>1.0541007448257309</v>
      </c>
      <c r="AG333">
        <v>117.145378074718</v>
      </c>
      <c r="AH333">
        <v>640.82000000000005</v>
      </c>
      <c r="AI333">
        <v>1</v>
      </c>
      <c r="AJ333">
        <v>75.069101177840764</v>
      </c>
      <c r="AK333">
        <v>0.93830000000000002</v>
      </c>
      <c r="AL333" s="63">
        <v>70.436999999999998</v>
      </c>
      <c r="AM333">
        <v>8.9176000000000002</v>
      </c>
      <c r="AN333">
        <v>9.4000488020579382</v>
      </c>
      <c r="AO333">
        <v>1</v>
      </c>
      <c r="AP333">
        <v>6023.7392733347688</v>
      </c>
      <c r="AQ333">
        <v>1.098016605166052</v>
      </c>
      <c r="AR333">
        <v>6614.1656999999996</v>
      </c>
      <c r="AS333" s="61">
        <v>33081.034157675087</v>
      </c>
      <c r="AT333" t="s">
        <v>349</v>
      </c>
      <c r="AU333" t="s">
        <v>439</v>
      </c>
      <c r="AV333" t="s">
        <v>425</v>
      </c>
      <c r="AW333" t="s">
        <v>81</v>
      </c>
      <c r="AX333">
        <v>111.133</v>
      </c>
      <c r="AY333">
        <v>1.080821157758461</v>
      </c>
      <c r="AZ333">
        <v>120.1148977251711</v>
      </c>
      <c r="BA333">
        <v>779.31</v>
      </c>
      <c r="BB333">
        <v>0.879</v>
      </c>
      <c r="BC333">
        <v>82.280325291712501</v>
      </c>
      <c r="BD333">
        <v>0.93120000000000003</v>
      </c>
      <c r="BE333" s="63">
        <v>76.619</v>
      </c>
      <c r="BF333">
        <v>8.9176000000000002</v>
      </c>
      <c r="BG333">
        <v>0.80400000000000005</v>
      </c>
      <c r="BH333">
        <v>6039.0430235999738</v>
      </c>
      <c r="BI333">
        <v>1.1187730627306269</v>
      </c>
      <c r="BJ333" s="63">
        <v>6756.3186999999998</v>
      </c>
      <c r="BK333" s="61">
        <v>33792.0184997541</v>
      </c>
    </row>
    <row r="334" spans="1:63" x14ac:dyDescent="0.25">
      <c r="A334">
        <v>1079</v>
      </c>
      <c r="B334" t="s">
        <v>237</v>
      </c>
      <c r="C334">
        <v>2020</v>
      </c>
      <c r="D334">
        <v>8</v>
      </c>
      <c r="E334" t="s">
        <v>100</v>
      </c>
      <c r="F334" t="s">
        <v>426</v>
      </c>
      <c r="G334" t="s">
        <v>427</v>
      </c>
      <c r="H334" t="s">
        <v>84</v>
      </c>
      <c r="I334" t="s">
        <v>430</v>
      </c>
      <c r="J334" t="s">
        <v>59</v>
      </c>
      <c r="K334">
        <v>-1959.8993626900001</v>
      </c>
      <c r="L334" t="s">
        <v>59</v>
      </c>
      <c r="M334" t="s">
        <v>384</v>
      </c>
      <c r="N334">
        <v>3.3878542232840002E-2</v>
      </c>
      <c r="O334">
        <v>66.398533331009361</v>
      </c>
      <c r="P334" t="s">
        <v>440</v>
      </c>
      <c r="Q334">
        <v>2</v>
      </c>
      <c r="R334">
        <v>47.636589999999998</v>
      </c>
      <c r="S334">
        <v>5.6000000000000001E-2</v>
      </c>
      <c r="T334">
        <v>2.6676489999999999</v>
      </c>
      <c r="U334">
        <v>1.9E-2</v>
      </c>
      <c r="V334">
        <v>50.685000000000002</v>
      </c>
      <c r="W334">
        <v>2</v>
      </c>
      <c r="X334">
        <v>1.4092565609999999E-3</v>
      </c>
      <c r="Y334">
        <v>0.14285600000000001</v>
      </c>
      <c r="Z334" s="61">
        <v>9.4854289999999999</v>
      </c>
      <c r="AA334" t="s">
        <v>347</v>
      </c>
      <c r="AB334" t="s">
        <v>437</v>
      </c>
      <c r="AC334" t="s">
        <v>425</v>
      </c>
      <c r="AD334" t="s">
        <v>81</v>
      </c>
      <c r="AE334">
        <v>111.133</v>
      </c>
      <c r="AF334">
        <v>1.0541007448257309</v>
      </c>
      <c r="AG334">
        <v>117.145378074718</v>
      </c>
      <c r="AH334">
        <v>640.82000000000005</v>
      </c>
      <c r="AI334">
        <v>1</v>
      </c>
      <c r="AJ334">
        <v>75.069101177840764</v>
      </c>
      <c r="AK334">
        <v>0.93830000000000002</v>
      </c>
      <c r="AL334" s="63">
        <v>70.436999999999998</v>
      </c>
      <c r="AM334">
        <v>8.9176000000000002</v>
      </c>
      <c r="AN334">
        <v>9.4000488020579382</v>
      </c>
      <c r="AO334">
        <v>1</v>
      </c>
      <c r="AP334">
        <v>6023.7392733347688</v>
      </c>
      <c r="AQ334">
        <v>1.098016605166052</v>
      </c>
      <c r="AR334">
        <v>6614.1656999999996</v>
      </c>
      <c r="AS334" s="61">
        <v>62738.199141585297</v>
      </c>
      <c r="AT334" t="s">
        <v>349</v>
      </c>
      <c r="AU334" t="s">
        <v>439</v>
      </c>
      <c r="AV334" t="s">
        <v>425</v>
      </c>
      <c r="AW334" t="s">
        <v>81</v>
      </c>
      <c r="AX334">
        <v>111.133</v>
      </c>
      <c r="AY334">
        <v>1.080821157758461</v>
      </c>
      <c r="AZ334">
        <v>120.1148977251711</v>
      </c>
      <c r="BA334">
        <v>779.31</v>
      </c>
      <c r="BB334">
        <v>0.879</v>
      </c>
      <c r="BC334">
        <v>82.280325291712501</v>
      </c>
      <c r="BD334">
        <v>0.93120000000000003</v>
      </c>
      <c r="BE334" s="63">
        <v>76.619</v>
      </c>
      <c r="BF334">
        <v>8.9176000000000002</v>
      </c>
      <c r="BG334">
        <v>0.80400000000000005</v>
      </c>
      <c r="BH334">
        <v>6039.0430235999738</v>
      </c>
      <c r="BI334">
        <v>1.1187730627306269</v>
      </c>
      <c r="BJ334" s="63">
        <v>6756.3186999999998</v>
      </c>
      <c r="BK334" s="61">
        <v>64086.581330222303</v>
      </c>
    </row>
    <row r="335" spans="1:63" x14ac:dyDescent="0.25">
      <c r="A335">
        <v>1081</v>
      </c>
      <c r="B335" t="s">
        <v>237</v>
      </c>
      <c r="C335">
        <v>2020</v>
      </c>
      <c r="D335">
        <v>8</v>
      </c>
      <c r="E335" t="s">
        <v>100</v>
      </c>
      <c r="F335" t="s">
        <v>426</v>
      </c>
      <c r="G335" t="s">
        <v>427</v>
      </c>
      <c r="H335" t="s">
        <v>84</v>
      </c>
      <c r="I335" t="s">
        <v>428</v>
      </c>
      <c r="J335" t="s">
        <v>381</v>
      </c>
      <c r="K335">
        <v>-4467.9596279999996</v>
      </c>
      <c r="L335" t="s">
        <v>381</v>
      </c>
      <c r="M335" t="s">
        <v>385</v>
      </c>
      <c r="N335">
        <v>0.53433255212611996</v>
      </c>
      <c r="O335">
        <v>2387.37627082571</v>
      </c>
      <c r="P335" t="s">
        <v>440</v>
      </c>
      <c r="Q335">
        <v>2</v>
      </c>
      <c r="R335">
        <v>47.636589999999998</v>
      </c>
      <c r="S335">
        <v>5.6000000000000001E-2</v>
      </c>
      <c r="T335">
        <v>2.6676489999999999</v>
      </c>
      <c r="U335">
        <v>0.98099999999999998</v>
      </c>
      <c r="V335">
        <v>2616.9639999999999</v>
      </c>
      <c r="W335">
        <v>2</v>
      </c>
      <c r="X335">
        <v>2.7294442999999998E-5</v>
      </c>
      <c r="Y335">
        <v>0.14285700000000001</v>
      </c>
      <c r="Z335" s="61">
        <v>341.05341199999998</v>
      </c>
      <c r="AA335" t="s">
        <v>347</v>
      </c>
      <c r="AB335" t="s">
        <v>437</v>
      </c>
      <c r="AC335" t="s">
        <v>425</v>
      </c>
      <c r="AD335" t="s">
        <v>27</v>
      </c>
      <c r="AE335">
        <v>111.133</v>
      </c>
      <c r="AF335">
        <v>1.0541007448257309</v>
      </c>
      <c r="AG335">
        <v>117.145378074718</v>
      </c>
      <c r="AH335">
        <v>640.82000000000005</v>
      </c>
      <c r="AI335">
        <v>1</v>
      </c>
      <c r="AJ335">
        <v>75.069101177840764</v>
      </c>
      <c r="AK335">
        <v>0.95889999999999997</v>
      </c>
      <c r="AL335" s="63">
        <v>71.983999999999995</v>
      </c>
      <c r="AM335">
        <v>8.9176000000000002</v>
      </c>
      <c r="AN335">
        <v>9.4000488020579382</v>
      </c>
      <c r="AO335">
        <v>1</v>
      </c>
      <c r="AP335">
        <v>6023.7392733347688</v>
      </c>
      <c r="AQ335">
        <v>0.99097621000820357</v>
      </c>
      <c r="AR335">
        <v>5969.3823000000002</v>
      </c>
      <c r="AS335" s="61">
        <v>2035878.2009474081</v>
      </c>
      <c r="AT335" t="s">
        <v>349</v>
      </c>
      <c r="AU335" t="s">
        <v>439</v>
      </c>
      <c r="AV335" t="s">
        <v>425</v>
      </c>
      <c r="AW335" t="s">
        <v>27</v>
      </c>
      <c r="AX335">
        <v>111.133</v>
      </c>
      <c r="AY335">
        <v>1.080821157758461</v>
      </c>
      <c r="AZ335">
        <v>120.1148977251711</v>
      </c>
      <c r="BA335">
        <v>779.31</v>
      </c>
      <c r="BB335">
        <v>0.879</v>
      </c>
      <c r="BC335">
        <v>82.280325291712501</v>
      </c>
      <c r="BD335">
        <v>0.93269999999999997</v>
      </c>
      <c r="BE335" s="63">
        <v>76.742999999999995</v>
      </c>
      <c r="BF335">
        <v>8.9176000000000002</v>
      </c>
      <c r="BG335">
        <v>0.80400000000000005</v>
      </c>
      <c r="BH335">
        <v>6039.0430235999738</v>
      </c>
      <c r="BI335">
        <v>1.016406890894175</v>
      </c>
      <c r="BJ335" s="63">
        <v>6138.1248999999998</v>
      </c>
      <c r="BK335" s="61">
        <v>2093428.440427158</v>
      </c>
    </row>
    <row r="336" spans="1:63" x14ac:dyDescent="0.25">
      <c r="A336">
        <v>1081</v>
      </c>
      <c r="B336" t="s">
        <v>237</v>
      </c>
      <c r="C336">
        <v>2020</v>
      </c>
      <c r="D336">
        <v>8</v>
      </c>
      <c r="E336" t="s">
        <v>100</v>
      </c>
      <c r="F336" t="s">
        <v>426</v>
      </c>
      <c r="G336" t="s">
        <v>427</v>
      </c>
      <c r="H336" t="s">
        <v>84</v>
      </c>
      <c r="I336" t="s">
        <v>429</v>
      </c>
      <c r="J336" t="s">
        <v>87</v>
      </c>
      <c r="K336">
        <v>-671.05509757000004</v>
      </c>
      <c r="L336" t="s">
        <v>87</v>
      </c>
      <c r="M336" t="s">
        <v>385</v>
      </c>
      <c r="N336">
        <v>0.48201182829095002</v>
      </c>
      <c r="O336">
        <v>323.45649446367747</v>
      </c>
      <c r="P336" t="s">
        <v>440</v>
      </c>
      <c r="Q336">
        <v>2</v>
      </c>
      <c r="R336">
        <v>47.636589999999998</v>
      </c>
      <c r="S336">
        <v>5.6000000000000001E-2</v>
      </c>
      <c r="T336">
        <v>2.6676489999999999</v>
      </c>
      <c r="U336">
        <v>0.98099999999999998</v>
      </c>
      <c r="V336">
        <v>2616.9639999999999</v>
      </c>
      <c r="W336">
        <v>2</v>
      </c>
      <c r="X336">
        <v>2.7294442999999998E-5</v>
      </c>
      <c r="Y336">
        <v>0.14285700000000001</v>
      </c>
      <c r="Z336" s="61">
        <v>46.208024000000002</v>
      </c>
      <c r="AA336" t="s">
        <v>347</v>
      </c>
      <c r="AB336" t="s">
        <v>437</v>
      </c>
      <c r="AC336" t="s">
        <v>425</v>
      </c>
      <c r="AD336" t="s">
        <v>27</v>
      </c>
      <c r="AE336">
        <v>111.133</v>
      </c>
      <c r="AF336">
        <v>1.0541007448257309</v>
      </c>
      <c r="AG336">
        <v>117.145378074718</v>
      </c>
      <c r="AH336">
        <v>640.82000000000005</v>
      </c>
      <c r="AI336">
        <v>1</v>
      </c>
      <c r="AJ336">
        <v>75.069101177840764</v>
      </c>
      <c r="AK336">
        <v>0.95889999999999997</v>
      </c>
      <c r="AL336" s="63">
        <v>71.983999999999995</v>
      </c>
      <c r="AM336">
        <v>8.9176000000000002</v>
      </c>
      <c r="AN336">
        <v>9.4000488020579382</v>
      </c>
      <c r="AO336">
        <v>1</v>
      </c>
      <c r="AP336">
        <v>6023.7392733347688</v>
      </c>
      <c r="AQ336">
        <v>0.99097621000820357</v>
      </c>
      <c r="AR336">
        <v>5969.3823000000002</v>
      </c>
      <c r="AS336" s="61">
        <v>275833.36058357521</v>
      </c>
      <c r="AT336" t="s">
        <v>349</v>
      </c>
      <c r="AU336" t="s">
        <v>439</v>
      </c>
      <c r="AV336" t="s">
        <v>425</v>
      </c>
      <c r="AW336" t="s">
        <v>27</v>
      </c>
      <c r="AX336">
        <v>111.133</v>
      </c>
      <c r="AY336">
        <v>1.080821157758461</v>
      </c>
      <c r="AZ336">
        <v>120.1148977251711</v>
      </c>
      <c r="BA336">
        <v>779.31</v>
      </c>
      <c r="BB336">
        <v>0.879</v>
      </c>
      <c r="BC336">
        <v>82.280325291712501</v>
      </c>
      <c r="BD336">
        <v>0.93269999999999997</v>
      </c>
      <c r="BE336" s="63">
        <v>76.742999999999995</v>
      </c>
      <c r="BF336">
        <v>8.9176000000000002</v>
      </c>
      <c r="BG336">
        <v>0.80400000000000005</v>
      </c>
      <c r="BH336">
        <v>6039.0430235999738</v>
      </c>
      <c r="BI336">
        <v>1.016406890894175</v>
      </c>
      <c r="BJ336" s="63">
        <v>6138.1248999999998</v>
      </c>
      <c r="BK336" s="61">
        <v>283630.62269419758</v>
      </c>
    </row>
    <row r="337" spans="1:63" x14ac:dyDescent="0.25">
      <c r="A337">
        <v>1081</v>
      </c>
      <c r="B337" t="s">
        <v>237</v>
      </c>
      <c r="C337">
        <v>2020</v>
      </c>
      <c r="D337">
        <v>8</v>
      </c>
      <c r="E337" t="s">
        <v>100</v>
      </c>
      <c r="F337" t="s">
        <v>426</v>
      </c>
      <c r="G337" t="s">
        <v>427</v>
      </c>
      <c r="H337" t="s">
        <v>84</v>
      </c>
      <c r="I337" t="s">
        <v>430</v>
      </c>
      <c r="J337" t="s">
        <v>59</v>
      </c>
      <c r="K337">
        <v>-1959.8993626900001</v>
      </c>
      <c r="L337" t="s">
        <v>59</v>
      </c>
      <c r="M337" t="s">
        <v>385</v>
      </c>
      <c r="N337">
        <v>0.55635923938887</v>
      </c>
      <c r="O337">
        <v>1090.4081187049389</v>
      </c>
      <c r="P337" t="s">
        <v>440</v>
      </c>
      <c r="Q337">
        <v>2</v>
      </c>
      <c r="R337">
        <v>47.636589999999998</v>
      </c>
      <c r="S337">
        <v>5.6000000000000001E-2</v>
      </c>
      <c r="T337">
        <v>2.6676489999999999</v>
      </c>
      <c r="U337">
        <v>0.98099999999999998</v>
      </c>
      <c r="V337">
        <v>2616.9639999999999</v>
      </c>
      <c r="W337">
        <v>2</v>
      </c>
      <c r="X337">
        <v>2.7294442999999998E-5</v>
      </c>
      <c r="Y337">
        <v>0.14285700000000001</v>
      </c>
      <c r="Z337" s="61">
        <v>155.77243300000001</v>
      </c>
      <c r="AA337" t="s">
        <v>347</v>
      </c>
      <c r="AB337" t="s">
        <v>437</v>
      </c>
      <c r="AC337" t="s">
        <v>425</v>
      </c>
      <c r="AD337" t="s">
        <v>27</v>
      </c>
      <c r="AE337">
        <v>111.133</v>
      </c>
      <c r="AF337">
        <v>1.0541007448257309</v>
      </c>
      <c r="AG337">
        <v>117.145378074718</v>
      </c>
      <c r="AH337">
        <v>640.82000000000005</v>
      </c>
      <c r="AI337">
        <v>1</v>
      </c>
      <c r="AJ337">
        <v>75.069101177840764</v>
      </c>
      <c r="AK337">
        <v>0.95889999999999997</v>
      </c>
      <c r="AL337" s="63">
        <v>71.983999999999995</v>
      </c>
      <c r="AM337">
        <v>8.9176000000000002</v>
      </c>
      <c r="AN337">
        <v>9.4000488020579382</v>
      </c>
      <c r="AO337">
        <v>1</v>
      </c>
      <c r="AP337">
        <v>6023.7392733347688</v>
      </c>
      <c r="AQ337">
        <v>0.99097621000820357</v>
      </c>
      <c r="AR337">
        <v>5969.3823000000002</v>
      </c>
      <c r="AS337" s="61">
        <v>929865.20437813597</v>
      </c>
      <c r="AT337" t="s">
        <v>349</v>
      </c>
      <c r="AU337" t="s">
        <v>439</v>
      </c>
      <c r="AV337" t="s">
        <v>425</v>
      </c>
      <c r="AW337" t="s">
        <v>27</v>
      </c>
      <c r="AX337">
        <v>111.133</v>
      </c>
      <c r="AY337">
        <v>1.080821157758461</v>
      </c>
      <c r="AZ337">
        <v>120.1148977251711</v>
      </c>
      <c r="BA337">
        <v>779.31</v>
      </c>
      <c r="BB337">
        <v>0.879</v>
      </c>
      <c r="BC337">
        <v>82.280325291712501</v>
      </c>
      <c r="BD337">
        <v>0.93269999999999997</v>
      </c>
      <c r="BE337" s="63">
        <v>76.742999999999995</v>
      </c>
      <c r="BF337">
        <v>8.9176000000000002</v>
      </c>
      <c r="BG337">
        <v>0.80400000000000005</v>
      </c>
      <c r="BH337">
        <v>6039.0430235999738</v>
      </c>
      <c r="BI337">
        <v>1.016406890894175</v>
      </c>
      <c r="BJ337" s="63">
        <v>6138.1248999999998</v>
      </c>
      <c r="BK337" s="61">
        <v>956150.64973088168</v>
      </c>
    </row>
    <row r="338" spans="1:63" x14ac:dyDescent="0.25">
      <c r="A338">
        <v>1105</v>
      </c>
      <c r="B338" t="s">
        <v>244</v>
      </c>
      <c r="C338">
        <v>2020</v>
      </c>
      <c r="D338">
        <v>9</v>
      </c>
      <c r="E338" t="s">
        <v>100</v>
      </c>
      <c r="F338" t="s">
        <v>426</v>
      </c>
      <c r="G338" t="s">
        <v>427</v>
      </c>
      <c r="H338" t="s">
        <v>84</v>
      </c>
      <c r="I338" t="s">
        <v>428</v>
      </c>
      <c r="J338" t="s">
        <v>381</v>
      </c>
      <c r="K338">
        <v>-3800.6351391399999</v>
      </c>
      <c r="L338" t="s">
        <v>381</v>
      </c>
      <c r="M338" t="s">
        <v>384</v>
      </c>
      <c r="N338">
        <v>8.1690224049839999E-2</v>
      </c>
      <c r="O338">
        <v>310.47473604804139</v>
      </c>
      <c r="P338" t="s">
        <v>440</v>
      </c>
      <c r="Q338">
        <v>2</v>
      </c>
      <c r="R338">
        <v>47.636589999999998</v>
      </c>
      <c r="S338">
        <v>4.7E-2</v>
      </c>
      <c r="T338">
        <v>2.2389196999999998</v>
      </c>
      <c r="U338">
        <v>1.9E-2</v>
      </c>
      <c r="V338">
        <v>42.539000000000001</v>
      </c>
      <c r="W338">
        <v>2</v>
      </c>
      <c r="X338">
        <v>1.6791145019999999E-3</v>
      </c>
      <c r="Y338">
        <v>0.14285600000000001</v>
      </c>
      <c r="Z338" s="61">
        <v>44.353178999999997</v>
      </c>
      <c r="AA338" t="s">
        <v>347</v>
      </c>
      <c r="AB338" t="s">
        <v>437</v>
      </c>
      <c r="AC338" t="s">
        <v>425</v>
      </c>
      <c r="AD338" t="s">
        <v>81</v>
      </c>
      <c r="AE338">
        <v>111.133</v>
      </c>
      <c r="AF338">
        <v>1.0541007448257309</v>
      </c>
      <c r="AG338">
        <v>117.145378074718</v>
      </c>
      <c r="AH338">
        <v>640.82000000000005</v>
      </c>
      <c r="AI338">
        <v>1</v>
      </c>
      <c r="AJ338">
        <v>75.069101177840764</v>
      </c>
      <c r="AK338">
        <v>0.93830000000000002</v>
      </c>
      <c r="AL338" s="63">
        <v>70.436999999999998</v>
      </c>
      <c r="AM338">
        <v>8.9176000000000002</v>
      </c>
      <c r="AN338">
        <v>9.4000488020579382</v>
      </c>
      <c r="AO338">
        <v>1</v>
      </c>
      <c r="AP338">
        <v>6023.7392733347688</v>
      </c>
      <c r="AQ338">
        <v>1.098016605166052</v>
      </c>
      <c r="AR338">
        <v>6614.1656999999996</v>
      </c>
      <c r="AS338" s="61">
        <v>293359.27522776031</v>
      </c>
      <c r="AT338" t="s">
        <v>349</v>
      </c>
      <c r="AU338" t="s">
        <v>439</v>
      </c>
      <c r="AV338" t="s">
        <v>425</v>
      </c>
      <c r="AW338" t="s">
        <v>81</v>
      </c>
      <c r="AX338">
        <v>111.133</v>
      </c>
      <c r="AY338">
        <v>1.080821157758461</v>
      </c>
      <c r="AZ338">
        <v>120.1148977251711</v>
      </c>
      <c r="BA338">
        <v>779.31</v>
      </c>
      <c r="BB338">
        <v>0.879</v>
      </c>
      <c r="BC338">
        <v>82.280325291712501</v>
      </c>
      <c r="BD338">
        <v>0.93120000000000003</v>
      </c>
      <c r="BE338" s="63">
        <v>76.619</v>
      </c>
      <c r="BF338">
        <v>8.9176000000000002</v>
      </c>
      <c r="BG338">
        <v>0.80400000000000005</v>
      </c>
      <c r="BH338">
        <v>6039.0430235999738</v>
      </c>
      <c r="BI338">
        <v>1.1187730627306269</v>
      </c>
      <c r="BJ338" s="63">
        <v>6756.3186999999998</v>
      </c>
      <c r="BK338" s="61">
        <v>299664.21268214728</v>
      </c>
    </row>
    <row r="339" spans="1:63" x14ac:dyDescent="0.25">
      <c r="A339">
        <v>1105</v>
      </c>
      <c r="B339" t="s">
        <v>244</v>
      </c>
      <c r="C339">
        <v>2020</v>
      </c>
      <c r="D339">
        <v>9</v>
      </c>
      <c r="E339" t="s">
        <v>100</v>
      </c>
      <c r="F339" t="s">
        <v>426</v>
      </c>
      <c r="G339" t="s">
        <v>427</v>
      </c>
      <c r="H339" t="s">
        <v>84</v>
      </c>
      <c r="I339" t="s">
        <v>429</v>
      </c>
      <c r="J339" t="s">
        <v>87</v>
      </c>
      <c r="K339">
        <v>-714.69357404000004</v>
      </c>
      <c r="L339" t="s">
        <v>87</v>
      </c>
      <c r="M339" t="s">
        <v>384</v>
      </c>
      <c r="N339">
        <v>5.2173184005399997E-2</v>
      </c>
      <c r="O339">
        <v>37.287839345865891</v>
      </c>
      <c r="P339" t="s">
        <v>440</v>
      </c>
      <c r="Q339">
        <v>2</v>
      </c>
      <c r="R339">
        <v>47.636589999999998</v>
      </c>
      <c r="S339">
        <v>4.7E-2</v>
      </c>
      <c r="T339">
        <v>2.2389196999999998</v>
      </c>
      <c r="U339">
        <v>1.9E-2</v>
      </c>
      <c r="V339">
        <v>42.539000000000001</v>
      </c>
      <c r="W339">
        <v>2</v>
      </c>
      <c r="X339">
        <v>1.6791145019999999E-3</v>
      </c>
      <c r="Y339">
        <v>0.14285600000000001</v>
      </c>
      <c r="Z339" s="61">
        <v>5.3267920000000002</v>
      </c>
      <c r="AA339" t="s">
        <v>347</v>
      </c>
      <c r="AB339" t="s">
        <v>437</v>
      </c>
      <c r="AC339" t="s">
        <v>425</v>
      </c>
      <c r="AD339" t="s">
        <v>81</v>
      </c>
      <c r="AE339">
        <v>111.133</v>
      </c>
      <c r="AF339">
        <v>1.0541007448257309</v>
      </c>
      <c r="AG339">
        <v>117.145378074718</v>
      </c>
      <c r="AH339">
        <v>640.82000000000005</v>
      </c>
      <c r="AI339">
        <v>1</v>
      </c>
      <c r="AJ339">
        <v>75.069101177840764</v>
      </c>
      <c r="AK339">
        <v>0.93830000000000002</v>
      </c>
      <c r="AL339" s="63">
        <v>70.436999999999998</v>
      </c>
      <c r="AM339">
        <v>8.9176000000000002</v>
      </c>
      <c r="AN339">
        <v>9.4000488020579382</v>
      </c>
      <c r="AO339">
        <v>1</v>
      </c>
      <c r="AP339">
        <v>6023.7392733347688</v>
      </c>
      <c r="AQ339">
        <v>1.098016605166052</v>
      </c>
      <c r="AR339">
        <v>6614.1656999999996</v>
      </c>
      <c r="AS339" s="61">
        <v>35232.2849374344</v>
      </c>
      <c r="AT339" t="s">
        <v>349</v>
      </c>
      <c r="AU339" t="s">
        <v>439</v>
      </c>
      <c r="AV339" t="s">
        <v>425</v>
      </c>
      <c r="AW339" t="s">
        <v>81</v>
      </c>
      <c r="AX339">
        <v>111.133</v>
      </c>
      <c r="AY339">
        <v>1.080821157758461</v>
      </c>
      <c r="AZ339">
        <v>120.1148977251711</v>
      </c>
      <c r="BA339">
        <v>779.31</v>
      </c>
      <c r="BB339">
        <v>0.879</v>
      </c>
      <c r="BC339">
        <v>82.280325291712501</v>
      </c>
      <c r="BD339">
        <v>0.93120000000000003</v>
      </c>
      <c r="BE339" s="63">
        <v>76.619</v>
      </c>
      <c r="BF339">
        <v>8.9176000000000002</v>
      </c>
      <c r="BG339">
        <v>0.80400000000000005</v>
      </c>
      <c r="BH339">
        <v>6039.0430235999738</v>
      </c>
      <c r="BI339">
        <v>1.1187730627306269</v>
      </c>
      <c r="BJ339" s="63">
        <v>6756.3186999999998</v>
      </c>
      <c r="BK339" s="61">
        <v>35989.5044006104</v>
      </c>
    </row>
    <row r="340" spans="1:63" x14ac:dyDescent="0.25">
      <c r="A340">
        <v>1105</v>
      </c>
      <c r="B340" t="s">
        <v>244</v>
      </c>
      <c r="C340">
        <v>2020</v>
      </c>
      <c r="D340">
        <v>9</v>
      </c>
      <c r="E340" t="s">
        <v>100</v>
      </c>
      <c r="F340" t="s">
        <v>426</v>
      </c>
      <c r="G340" t="s">
        <v>427</v>
      </c>
      <c r="H340" t="s">
        <v>84</v>
      </c>
      <c r="I340" t="s">
        <v>430</v>
      </c>
      <c r="J340" t="s">
        <v>59</v>
      </c>
      <c r="K340">
        <v>-1910.23438975</v>
      </c>
      <c r="L340" t="s">
        <v>59</v>
      </c>
      <c r="M340" t="s">
        <v>384</v>
      </c>
      <c r="N340">
        <v>3.3878542232840002E-2</v>
      </c>
      <c r="O340">
        <v>64.715956447768718</v>
      </c>
      <c r="P340" t="s">
        <v>440</v>
      </c>
      <c r="Q340">
        <v>2</v>
      </c>
      <c r="R340">
        <v>47.636589999999998</v>
      </c>
      <c r="S340">
        <v>4.7E-2</v>
      </c>
      <c r="T340">
        <v>2.2389196999999998</v>
      </c>
      <c r="U340">
        <v>1.9E-2</v>
      </c>
      <c r="V340">
        <v>42.539000000000001</v>
      </c>
      <c r="W340">
        <v>2</v>
      </c>
      <c r="X340">
        <v>1.6791145019999999E-3</v>
      </c>
      <c r="Y340">
        <v>0.14285600000000001</v>
      </c>
      <c r="Z340" s="61">
        <v>9.245063</v>
      </c>
      <c r="AA340" t="s">
        <v>347</v>
      </c>
      <c r="AB340" t="s">
        <v>437</v>
      </c>
      <c r="AC340" t="s">
        <v>425</v>
      </c>
      <c r="AD340" t="s">
        <v>81</v>
      </c>
      <c r="AE340">
        <v>111.133</v>
      </c>
      <c r="AF340">
        <v>1.0541007448257309</v>
      </c>
      <c r="AG340">
        <v>117.145378074718</v>
      </c>
      <c r="AH340">
        <v>640.82000000000005</v>
      </c>
      <c r="AI340">
        <v>1</v>
      </c>
      <c r="AJ340">
        <v>75.069101177840764</v>
      </c>
      <c r="AK340">
        <v>0.93830000000000002</v>
      </c>
      <c r="AL340" s="63">
        <v>70.436999999999998</v>
      </c>
      <c r="AM340">
        <v>8.9176000000000002</v>
      </c>
      <c r="AN340">
        <v>9.4000488020579382</v>
      </c>
      <c r="AO340">
        <v>1</v>
      </c>
      <c r="AP340">
        <v>6023.7392733347688</v>
      </c>
      <c r="AQ340">
        <v>1.098016605166052</v>
      </c>
      <c r="AR340">
        <v>6614.1656999999996</v>
      </c>
      <c r="AS340" s="61">
        <v>61148.378588939093</v>
      </c>
      <c r="AT340" t="s">
        <v>349</v>
      </c>
      <c r="AU340" t="s">
        <v>439</v>
      </c>
      <c r="AV340" t="s">
        <v>425</v>
      </c>
      <c r="AW340" t="s">
        <v>81</v>
      </c>
      <c r="AX340">
        <v>111.133</v>
      </c>
      <c r="AY340">
        <v>1.080821157758461</v>
      </c>
      <c r="AZ340">
        <v>120.1148977251711</v>
      </c>
      <c r="BA340">
        <v>779.31</v>
      </c>
      <c r="BB340">
        <v>0.879</v>
      </c>
      <c r="BC340">
        <v>82.280325291712501</v>
      </c>
      <c r="BD340">
        <v>0.93120000000000003</v>
      </c>
      <c r="BE340" s="63">
        <v>76.619</v>
      </c>
      <c r="BF340">
        <v>8.9176000000000002</v>
      </c>
      <c r="BG340">
        <v>0.80400000000000005</v>
      </c>
      <c r="BH340">
        <v>6039.0430235999738</v>
      </c>
      <c r="BI340">
        <v>1.1187730627306269</v>
      </c>
      <c r="BJ340" s="63">
        <v>6756.3186999999998</v>
      </c>
      <c r="BK340" s="61">
        <v>62462.592029578103</v>
      </c>
    </row>
    <row r="341" spans="1:63" x14ac:dyDescent="0.25">
      <c r="A341">
        <v>1107</v>
      </c>
      <c r="B341" t="s">
        <v>244</v>
      </c>
      <c r="C341">
        <v>2020</v>
      </c>
      <c r="D341">
        <v>9</v>
      </c>
      <c r="E341" t="s">
        <v>100</v>
      </c>
      <c r="F341" t="s">
        <v>426</v>
      </c>
      <c r="G341" t="s">
        <v>427</v>
      </c>
      <c r="H341" t="s">
        <v>84</v>
      </c>
      <c r="I341" t="s">
        <v>428</v>
      </c>
      <c r="J341" t="s">
        <v>381</v>
      </c>
      <c r="K341">
        <v>-3800.6351391399999</v>
      </c>
      <c r="L341" t="s">
        <v>381</v>
      </c>
      <c r="M341" t="s">
        <v>385</v>
      </c>
      <c r="N341">
        <v>0.53433255212611996</v>
      </c>
      <c r="O341">
        <v>2030.8030735968871</v>
      </c>
      <c r="P341" t="s">
        <v>440</v>
      </c>
      <c r="Q341">
        <v>2</v>
      </c>
      <c r="R341">
        <v>47.636589999999998</v>
      </c>
      <c r="S341">
        <v>4.7E-2</v>
      </c>
      <c r="T341">
        <v>2.2389196999999998</v>
      </c>
      <c r="U341">
        <v>0.98099999999999998</v>
      </c>
      <c r="V341">
        <v>2196.38</v>
      </c>
      <c r="W341">
        <v>2</v>
      </c>
      <c r="X341">
        <v>3.2521039999999999E-5</v>
      </c>
      <c r="Y341">
        <v>0.14285700000000001</v>
      </c>
      <c r="Z341" s="61">
        <v>290.11443500000001</v>
      </c>
      <c r="AA341" t="s">
        <v>347</v>
      </c>
      <c r="AB341" t="s">
        <v>437</v>
      </c>
      <c r="AC341" t="s">
        <v>425</v>
      </c>
      <c r="AD341" t="s">
        <v>27</v>
      </c>
      <c r="AE341">
        <v>111.133</v>
      </c>
      <c r="AF341">
        <v>1.0541007448257309</v>
      </c>
      <c r="AG341">
        <v>117.145378074718</v>
      </c>
      <c r="AH341">
        <v>640.82000000000005</v>
      </c>
      <c r="AI341">
        <v>1</v>
      </c>
      <c r="AJ341">
        <v>75.069101177840764</v>
      </c>
      <c r="AK341">
        <v>0.95889999999999997</v>
      </c>
      <c r="AL341" s="63">
        <v>71.983999999999995</v>
      </c>
      <c r="AM341">
        <v>8.9176000000000002</v>
      </c>
      <c r="AN341">
        <v>9.4000488020579382</v>
      </c>
      <c r="AO341">
        <v>1</v>
      </c>
      <c r="AP341">
        <v>6023.7392733347688</v>
      </c>
      <c r="AQ341">
        <v>0.99097621000820357</v>
      </c>
      <c r="AR341">
        <v>5969.3823000000002</v>
      </c>
      <c r="AS341" s="61">
        <v>1731803.973263501</v>
      </c>
      <c r="AT341" t="s">
        <v>349</v>
      </c>
      <c r="AU341" t="s">
        <v>439</v>
      </c>
      <c r="AV341" t="s">
        <v>425</v>
      </c>
      <c r="AW341" t="s">
        <v>27</v>
      </c>
      <c r="AX341">
        <v>111.133</v>
      </c>
      <c r="AY341">
        <v>1.080821157758461</v>
      </c>
      <c r="AZ341">
        <v>120.1148977251711</v>
      </c>
      <c r="BA341">
        <v>779.31</v>
      </c>
      <c r="BB341">
        <v>0.879</v>
      </c>
      <c r="BC341">
        <v>82.280325291712501</v>
      </c>
      <c r="BD341">
        <v>0.93269999999999997</v>
      </c>
      <c r="BE341" s="63">
        <v>76.742999999999995</v>
      </c>
      <c r="BF341">
        <v>8.9176000000000002</v>
      </c>
      <c r="BG341">
        <v>0.80400000000000005</v>
      </c>
      <c r="BH341">
        <v>6039.0430235999738</v>
      </c>
      <c r="BI341">
        <v>1.016406890894175</v>
      </c>
      <c r="BJ341" s="63">
        <v>6138.1248999999998</v>
      </c>
      <c r="BK341" s="61">
        <v>1780758.637322932</v>
      </c>
    </row>
    <row r="342" spans="1:63" x14ac:dyDescent="0.25">
      <c r="A342">
        <v>1107</v>
      </c>
      <c r="B342" t="s">
        <v>244</v>
      </c>
      <c r="C342">
        <v>2020</v>
      </c>
      <c r="D342">
        <v>9</v>
      </c>
      <c r="E342" t="s">
        <v>100</v>
      </c>
      <c r="F342" t="s">
        <v>426</v>
      </c>
      <c r="G342" t="s">
        <v>427</v>
      </c>
      <c r="H342" t="s">
        <v>84</v>
      </c>
      <c r="I342" t="s">
        <v>429</v>
      </c>
      <c r="J342" t="s">
        <v>87</v>
      </c>
      <c r="K342">
        <v>-714.69357404000004</v>
      </c>
      <c r="L342" t="s">
        <v>87</v>
      </c>
      <c r="M342" t="s">
        <v>385</v>
      </c>
      <c r="N342">
        <v>0.48201182829095002</v>
      </c>
      <c r="O342">
        <v>344.49075629081392</v>
      </c>
      <c r="P342" t="s">
        <v>440</v>
      </c>
      <c r="Q342">
        <v>2</v>
      </c>
      <c r="R342">
        <v>47.636589999999998</v>
      </c>
      <c r="S342">
        <v>4.7E-2</v>
      </c>
      <c r="T342">
        <v>2.2389196999999998</v>
      </c>
      <c r="U342">
        <v>0.98099999999999998</v>
      </c>
      <c r="V342">
        <v>2196.38</v>
      </c>
      <c r="W342">
        <v>2</v>
      </c>
      <c r="X342">
        <v>3.2521039999999999E-5</v>
      </c>
      <c r="Y342">
        <v>0.14285700000000001</v>
      </c>
      <c r="Z342" s="61">
        <v>49.212916</v>
      </c>
      <c r="AA342" t="s">
        <v>347</v>
      </c>
      <c r="AB342" t="s">
        <v>437</v>
      </c>
      <c r="AC342" t="s">
        <v>425</v>
      </c>
      <c r="AD342" t="s">
        <v>27</v>
      </c>
      <c r="AE342">
        <v>111.133</v>
      </c>
      <c r="AF342">
        <v>1.0541007448257309</v>
      </c>
      <c r="AG342">
        <v>117.145378074718</v>
      </c>
      <c r="AH342">
        <v>640.82000000000005</v>
      </c>
      <c r="AI342">
        <v>1</v>
      </c>
      <c r="AJ342">
        <v>75.069101177840764</v>
      </c>
      <c r="AK342">
        <v>0.95889999999999997</v>
      </c>
      <c r="AL342" s="63">
        <v>71.983999999999995</v>
      </c>
      <c r="AM342">
        <v>8.9176000000000002</v>
      </c>
      <c r="AN342">
        <v>9.4000488020579382</v>
      </c>
      <c r="AO342">
        <v>1</v>
      </c>
      <c r="AP342">
        <v>6023.7392733347688</v>
      </c>
      <c r="AQ342">
        <v>0.99097621000820357</v>
      </c>
      <c r="AR342">
        <v>5969.3823000000002</v>
      </c>
      <c r="AS342" s="61">
        <v>293770.70970178681</v>
      </c>
      <c r="AT342" t="s">
        <v>349</v>
      </c>
      <c r="AU342" t="s">
        <v>439</v>
      </c>
      <c r="AV342" t="s">
        <v>425</v>
      </c>
      <c r="AW342" t="s">
        <v>27</v>
      </c>
      <c r="AX342">
        <v>111.133</v>
      </c>
      <c r="AY342">
        <v>1.080821157758461</v>
      </c>
      <c r="AZ342">
        <v>120.1148977251711</v>
      </c>
      <c r="BA342">
        <v>779.31</v>
      </c>
      <c r="BB342">
        <v>0.879</v>
      </c>
      <c r="BC342">
        <v>82.280325291712501</v>
      </c>
      <c r="BD342">
        <v>0.93269999999999997</v>
      </c>
      <c r="BE342" s="63">
        <v>76.742999999999995</v>
      </c>
      <c r="BF342">
        <v>8.9176000000000002</v>
      </c>
      <c r="BG342">
        <v>0.80400000000000005</v>
      </c>
      <c r="BH342">
        <v>6039.0430235999738</v>
      </c>
      <c r="BI342">
        <v>1.016406890894175</v>
      </c>
      <c r="BJ342" s="63">
        <v>6138.1248999999998</v>
      </c>
      <c r="BK342" s="61">
        <v>302075.02510120842</v>
      </c>
    </row>
    <row r="343" spans="1:63" x14ac:dyDescent="0.25">
      <c r="A343">
        <v>1107</v>
      </c>
      <c r="B343" t="s">
        <v>244</v>
      </c>
      <c r="C343">
        <v>2020</v>
      </c>
      <c r="D343">
        <v>9</v>
      </c>
      <c r="E343" t="s">
        <v>100</v>
      </c>
      <c r="F343" t="s">
        <v>426</v>
      </c>
      <c r="G343" t="s">
        <v>427</v>
      </c>
      <c r="H343" t="s">
        <v>84</v>
      </c>
      <c r="I343" t="s">
        <v>430</v>
      </c>
      <c r="J343" t="s">
        <v>59</v>
      </c>
      <c r="K343">
        <v>-1910.23438975</v>
      </c>
      <c r="L343" t="s">
        <v>59</v>
      </c>
      <c r="M343" t="s">
        <v>385</v>
      </c>
      <c r="N343">
        <v>0.55635923938887</v>
      </c>
      <c r="O343">
        <v>1062.7765521357719</v>
      </c>
      <c r="P343" t="s">
        <v>440</v>
      </c>
      <c r="Q343">
        <v>2</v>
      </c>
      <c r="R343">
        <v>47.636589999999998</v>
      </c>
      <c r="S343">
        <v>4.7E-2</v>
      </c>
      <c r="T343">
        <v>2.2389196999999998</v>
      </c>
      <c r="U343">
        <v>0.98099999999999998</v>
      </c>
      <c r="V343">
        <v>2196.38</v>
      </c>
      <c r="W343">
        <v>2</v>
      </c>
      <c r="X343">
        <v>3.2521039999999999E-5</v>
      </c>
      <c r="Y343">
        <v>0.14285700000000001</v>
      </c>
      <c r="Z343" s="61">
        <v>151.82507000000001</v>
      </c>
      <c r="AA343" t="s">
        <v>347</v>
      </c>
      <c r="AB343" t="s">
        <v>437</v>
      </c>
      <c r="AC343" t="s">
        <v>425</v>
      </c>
      <c r="AD343" t="s">
        <v>27</v>
      </c>
      <c r="AE343">
        <v>111.133</v>
      </c>
      <c r="AF343">
        <v>1.0541007448257309</v>
      </c>
      <c r="AG343">
        <v>117.145378074718</v>
      </c>
      <c r="AH343">
        <v>640.82000000000005</v>
      </c>
      <c r="AI343">
        <v>1</v>
      </c>
      <c r="AJ343">
        <v>75.069101177840764</v>
      </c>
      <c r="AK343">
        <v>0.95889999999999997</v>
      </c>
      <c r="AL343" s="63">
        <v>71.983999999999995</v>
      </c>
      <c r="AM343">
        <v>8.9176000000000002</v>
      </c>
      <c r="AN343">
        <v>9.4000488020579382</v>
      </c>
      <c r="AO343">
        <v>1</v>
      </c>
      <c r="AP343">
        <v>6023.7392733347688</v>
      </c>
      <c r="AQ343">
        <v>0.99097621000820357</v>
      </c>
      <c r="AR343">
        <v>5969.3823000000002</v>
      </c>
      <c r="AS343" s="61">
        <v>906301.88555426104</v>
      </c>
      <c r="AT343" t="s">
        <v>349</v>
      </c>
      <c r="AU343" t="s">
        <v>439</v>
      </c>
      <c r="AV343" t="s">
        <v>425</v>
      </c>
      <c r="AW343" t="s">
        <v>27</v>
      </c>
      <c r="AX343">
        <v>111.133</v>
      </c>
      <c r="AY343">
        <v>1.080821157758461</v>
      </c>
      <c r="AZ343">
        <v>120.1148977251711</v>
      </c>
      <c r="BA343">
        <v>779.31</v>
      </c>
      <c r="BB343">
        <v>0.879</v>
      </c>
      <c r="BC343">
        <v>82.280325291712501</v>
      </c>
      <c r="BD343">
        <v>0.93269999999999997</v>
      </c>
      <c r="BE343" s="63">
        <v>76.742999999999995</v>
      </c>
      <c r="BF343">
        <v>8.9176000000000002</v>
      </c>
      <c r="BG343">
        <v>0.80400000000000005</v>
      </c>
      <c r="BH343">
        <v>6039.0430235999738</v>
      </c>
      <c r="BI343">
        <v>1.016406890894175</v>
      </c>
      <c r="BJ343" s="63">
        <v>6138.1248999999998</v>
      </c>
      <c r="BK343" s="61">
        <v>931921.24261124304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E74B-F0A7-4944-9825-10ABD69EE07F}">
  <sheetPr>
    <tabColor rgb="FF0070C0"/>
  </sheetPr>
  <dimension ref="A1:BC785"/>
  <sheetViews>
    <sheetView workbookViewId="0"/>
  </sheetViews>
  <sheetFormatPr baseColWidth="10" defaultColWidth="9.140625" defaultRowHeight="15" x14ac:dyDescent="0.25"/>
  <cols>
    <col min="1" max="1" width="7" bestFit="1" customWidth="1"/>
    <col min="2" max="2" width="14.85546875" bestFit="1" customWidth="1"/>
    <col min="3" max="3" width="5.7109375" bestFit="1" customWidth="1"/>
    <col min="4" max="4" width="4.85546875" bestFit="1" customWidth="1"/>
    <col min="5" max="5" width="8.5703125" bestFit="1" customWidth="1"/>
    <col min="6" max="6" width="11.42578125" bestFit="1" customWidth="1"/>
    <col min="7" max="7" width="12.5703125" bestFit="1" customWidth="1"/>
    <col min="8" max="8" width="8" bestFit="1" customWidth="1"/>
    <col min="9" max="9" width="6.140625" bestFit="1" customWidth="1"/>
    <col min="10" max="10" width="21.28515625" bestFit="1" customWidth="1"/>
    <col min="11" max="11" width="16.140625" bestFit="1" customWidth="1"/>
    <col min="12" max="12" width="12.42578125" bestFit="1" customWidth="1"/>
    <col min="13" max="13" width="23.85546875" bestFit="1" customWidth="1"/>
    <col min="14" max="14" width="16.140625" bestFit="1" customWidth="1"/>
    <col min="15" max="15" width="10" bestFit="1" customWidth="1"/>
    <col min="16" max="16" width="13.140625" bestFit="1" customWidth="1"/>
    <col min="17" max="17" width="9" bestFit="1" customWidth="1"/>
    <col min="18" max="18" width="38" style="61" bestFit="1" customWidth="1"/>
    <col min="19" max="19" width="21.28515625" bestFit="1" customWidth="1"/>
    <col min="20" max="20" width="23.42578125" bestFit="1" customWidth="1"/>
    <col min="21" max="21" width="23.7109375" bestFit="1" customWidth="1"/>
    <col min="22" max="22" width="15.85546875" bestFit="1" customWidth="1"/>
    <col min="23" max="23" width="33.28515625" bestFit="1" customWidth="1"/>
    <col min="24" max="24" width="13" bestFit="1" customWidth="1"/>
    <col min="25" max="25" width="34" bestFit="1" customWidth="1"/>
    <col min="26" max="26" width="18.85546875" bestFit="1" customWidth="1"/>
    <col min="27" max="27" width="21.28515625" bestFit="1" customWidth="1"/>
    <col min="28" max="28" width="45" bestFit="1" customWidth="1"/>
    <col min="29" max="29" width="12" bestFit="1" customWidth="1"/>
    <col min="30" max="30" width="33.140625" style="63" bestFit="1" customWidth="1"/>
    <col min="31" max="31" width="29.5703125" bestFit="1" customWidth="1"/>
    <col min="32" max="32" width="38.140625" bestFit="1" customWidth="1"/>
    <col min="33" max="33" width="22.42578125" bestFit="1" customWidth="1"/>
    <col min="34" max="34" width="50" bestFit="1" customWidth="1"/>
    <col min="35" max="35" width="13.140625" bestFit="1" customWidth="1"/>
    <col min="36" max="36" width="38.140625" style="63" bestFit="1" customWidth="1"/>
    <col min="37" max="37" width="48.85546875" style="61" bestFit="1" customWidth="1"/>
    <col min="38" max="38" width="26.42578125" bestFit="1" customWidth="1"/>
    <col min="39" max="39" width="23.28515625" bestFit="1" customWidth="1"/>
    <col min="40" max="40" width="23.5703125" bestFit="1" customWidth="1"/>
    <col min="41" max="41" width="15.85546875" bestFit="1" customWidth="1"/>
    <col min="42" max="42" width="32.140625" bestFit="1" customWidth="1"/>
    <col min="43" max="43" width="12.85546875" bestFit="1" customWidth="1"/>
    <col min="44" max="44" width="33.85546875" bestFit="1" customWidth="1"/>
    <col min="45" max="45" width="24" bestFit="1" customWidth="1"/>
    <col min="46" max="46" width="21" bestFit="1" customWidth="1"/>
    <col min="47" max="47" width="44.85546875" bestFit="1" customWidth="1"/>
    <col min="48" max="48" width="12" bestFit="1" customWidth="1"/>
    <col min="49" max="49" width="33" style="63" bestFit="1" customWidth="1"/>
    <col min="50" max="50" width="29.42578125" bestFit="1" customWidth="1"/>
    <col min="51" max="51" width="22.28515625" bestFit="1" customWidth="1"/>
    <col min="52" max="52" width="49.85546875" bestFit="1" customWidth="1"/>
    <col min="53" max="53" width="13" bestFit="1" customWidth="1"/>
    <col min="54" max="54" width="38" style="63" bestFit="1" customWidth="1"/>
    <col min="55" max="55" width="48.7109375" style="61" bestFit="1" customWidth="1"/>
  </cols>
  <sheetData>
    <row r="1" spans="1:55" x14ac:dyDescent="0.25">
      <c r="A1" s="38" t="s">
        <v>31</v>
      </c>
      <c r="B1" s="38" t="s">
        <v>1</v>
      </c>
      <c r="C1" s="38" t="s">
        <v>2</v>
      </c>
      <c r="D1" s="38" t="s">
        <v>3</v>
      </c>
      <c r="E1" s="38" t="s">
        <v>43</v>
      </c>
      <c r="F1" s="38" t="s">
        <v>441</v>
      </c>
      <c r="G1" s="38" t="s">
        <v>364</v>
      </c>
      <c r="H1" s="38" t="s">
        <v>442</v>
      </c>
      <c r="I1" s="38" t="s">
        <v>363</v>
      </c>
      <c r="J1" s="38" t="s">
        <v>443</v>
      </c>
      <c r="K1" s="38" t="s">
        <v>444</v>
      </c>
      <c r="L1" s="38" t="s">
        <v>368</v>
      </c>
      <c r="M1" s="38" t="s">
        <v>445</v>
      </c>
      <c r="N1" s="38" t="s">
        <v>446</v>
      </c>
      <c r="O1" s="38" t="s">
        <v>447</v>
      </c>
      <c r="P1" s="38" t="s">
        <v>378</v>
      </c>
      <c r="Q1" s="38" t="s">
        <v>379</v>
      </c>
      <c r="R1" s="60" t="s">
        <v>448</v>
      </c>
      <c r="S1" s="38" t="s">
        <v>386</v>
      </c>
      <c r="T1" s="38" t="s">
        <v>387</v>
      </c>
      <c r="U1" s="38" t="s">
        <v>388</v>
      </c>
      <c r="V1" s="38" t="s">
        <v>389</v>
      </c>
      <c r="W1" s="38" t="s">
        <v>390</v>
      </c>
      <c r="X1" s="38" t="s">
        <v>391</v>
      </c>
      <c r="Y1" s="38" t="s">
        <v>392</v>
      </c>
      <c r="Z1" s="38" t="s">
        <v>393</v>
      </c>
      <c r="AA1" s="38" t="s">
        <v>394</v>
      </c>
      <c r="AB1" s="38" t="s">
        <v>395</v>
      </c>
      <c r="AC1" s="38" t="s">
        <v>396</v>
      </c>
      <c r="AD1" s="62" t="s">
        <v>397</v>
      </c>
      <c r="AE1" s="38" t="s">
        <v>398</v>
      </c>
      <c r="AF1" s="38" t="s">
        <v>399</v>
      </c>
      <c r="AG1" s="38" t="s">
        <v>400</v>
      </c>
      <c r="AH1" s="38" t="s">
        <v>401</v>
      </c>
      <c r="AI1" s="38" t="s">
        <v>402</v>
      </c>
      <c r="AJ1" s="62" t="s">
        <v>403</v>
      </c>
      <c r="AK1" s="60" t="s">
        <v>404</v>
      </c>
      <c r="AL1" s="38" t="s">
        <v>405</v>
      </c>
      <c r="AM1" s="38" t="s">
        <v>406</v>
      </c>
      <c r="AN1" s="38" t="s">
        <v>407</v>
      </c>
      <c r="AO1" s="38" t="s">
        <v>408</v>
      </c>
      <c r="AP1" s="38" t="s">
        <v>409</v>
      </c>
      <c r="AQ1" s="38" t="s">
        <v>410</v>
      </c>
      <c r="AR1" s="38" t="s">
        <v>411</v>
      </c>
      <c r="AS1" s="38" t="s">
        <v>412</v>
      </c>
      <c r="AT1" s="38" t="s">
        <v>413</v>
      </c>
      <c r="AU1" s="38" t="s">
        <v>414</v>
      </c>
      <c r="AV1" s="38" t="s">
        <v>415</v>
      </c>
      <c r="AW1" s="62" t="s">
        <v>416</v>
      </c>
      <c r="AX1" s="38" t="s">
        <v>417</v>
      </c>
      <c r="AY1" s="38" t="s">
        <v>418</v>
      </c>
      <c r="AZ1" s="38" t="s">
        <v>419</v>
      </c>
      <c r="BA1" s="38" t="s">
        <v>420</v>
      </c>
      <c r="BB1" s="62" t="s">
        <v>421</v>
      </c>
      <c r="BC1" s="60" t="s">
        <v>422</v>
      </c>
    </row>
    <row r="2" spans="1:55" x14ac:dyDescent="0.25">
      <c r="A2">
        <v>2521</v>
      </c>
      <c r="B2" t="s">
        <v>99</v>
      </c>
      <c r="C2">
        <v>2016</v>
      </c>
      <c r="D2">
        <v>4</v>
      </c>
      <c r="E2" t="s">
        <v>51</v>
      </c>
      <c r="F2" t="s">
        <v>449</v>
      </c>
      <c r="G2" t="s">
        <v>84</v>
      </c>
      <c r="H2" t="s">
        <v>381</v>
      </c>
      <c r="I2" t="s">
        <v>427</v>
      </c>
      <c r="J2">
        <v>-4.6399156000000001</v>
      </c>
      <c r="K2" t="s">
        <v>440</v>
      </c>
      <c r="L2" t="s">
        <v>450</v>
      </c>
      <c r="M2">
        <v>0.15011157993331001</v>
      </c>
      <c r="N2">
        <v>0.69650506109988286</v>
      </c>
      <c r="O2">
        <v>31615.94</v>
      </c>
      <c r="P2">
        <v>1.5814806999999999E-5</v>
      </c>
      <c r="Q2">
        <v>1</v>
      </c>
      <c r="R2" s="61">
        <v>0.69650506109988286</v>
      </c>
      <c r="S2" t="s">
        <v>423</v>
      </c>
      <c r="T2" t="s">
        <v>424</v>
      </c>
      <c r="U2" t="s">
        <v>425</v>
      </c>
      <c r="V2" t="s">
        <v>26</v>
      </c>
      <c r="W2">
        <v>111.133</v>
      </c>
      <c r="X2">
        <v>0.99656169611782708</v>
      </c>
      <c r="Y2">
        <v>110.7508909746625</v>
      </c>
      <c r="Z2">
        <v>691.73</v>
      </c>
      <c r="AA2">
        <v>1</v>
      </c>
      <c r="AB2">
        <v>76.609713813903269</v>
      </c>
      <c r="AC2">
        <v>1.0244</v>
      </c>
      <c r="AD2" s="63">
        <v>78.478999999999999</v>
      </c>
      <c r="AE2">
        <v>8.9176000000000002</v>
      </c>
      <c r="AF2">
        <v>8.8869385813003348</v>
      </c>
      <c r="AG2">
        <v>1</v>
      </c>
      <c r="AH2">
        <v>6147.3620248428806</v>
      </c>
      <c r="AI2">
        <v>1.0034718777899021</v>
      </c>
      <c r="AJ2" s="63">
        <v>6168.7048999999997</v>
      </c>
      <c r="AK2" s="61">
        <v>4296.5341832816466</v>
      </c>
      <c r="AL2" t="s">
        <v>423</v>
      </c>
      <c r="AM2" t="s">
        <v>424</v>
      </c>
      <c r="AN2" t="s">
        <v>425</v>
      </c>
      <c r="AO2" t="s">
        <v>26</v>
      </c>
      <c r="AP2">
        <v>111.133</v>
      </c>
      <c r="AQ2">
        <v>0.99656169611782708</v>
      </c>
      <c r="AR2">
        <v>110.7508909746625</v>
      </c>
      <c r="AS2">
        <v>691.73</v>
      </c>
      <c r="AT2">
        <v>1</v>
      </c>
      <c r="AU2">
        <v>76.609713813903269</v>
      </c>
      <c r="AV2">
        <v>1.0244</v>
      </c>
      <c r="AW2" s="63">
        <v>78.478999999999999</v>
      </c>
      <c r="AX2">
        <v>8.9176000000000002</v>
      </c>
      <c r="AY2">
        <v>1</v>
      </c>
      <c r="AZ2">
        <v>6147.3620248428806</v>
      </c>
      <c r="BA2">
        <v>1.0034718777899021</v>
      </c>
      <c r="BB2" s="63">
        <v>6168.7048999999997</v>
      </c>
      <c r="BC2" s="61">
        <v>4296.5341832816466</v>
      </c>
    </row>
    <row r="3" spans="1:55" x14ac:dyDescent="0.25">
      <c r="A3">
        <v>2522</v>
      </c>
      <c r="B3" t="s">
        <v>99</v>
      </c>
      <c r="C3">
        <v>2016</v>
      </c>
      <c r="D3">
        <v>4</v>
      </c>
      <c r="E3" t="s">
        <v>51</v>
      </c>
      <c r="F3" t="s">
        <v>449</v>
      </c>
      <c r="G3" t="s">
        <v>84</v>
      </c>
      <c r="H3" t="s">
        <v>381</v>
      </c>
      <c r="I3" t="s">
        <v>427</v>
      </c>
      <c r="J3">
        <v>-4.6399156000000001</v>
      </c>
      <c r="K3" t="s">
        <v>440</v>
      </c>
      <c r="L3" t="s">
        <v>384</v>
      </c>
      <c r="M3">
        <v>4.5811354346740003E-2</v>
      </c>
      <c r="N3">
        <v>0.21256081757663339</v>
      </c>
      <c r="O3">
        <v>31615.94</v>
      </c>
      <c r="P3">
        <v>1.5814806999999999E-5</v>
      </c>
      <c r="Q3">
        <v>1</v>
      </c>
      <c r="R3" s="61">
        <v>0.21256081757663339</v>
      </c>
      <c r="S3" t="s">
        <v>423</v>
      </c>
      <c r="T3" t="s">
        <v>424</v>
      </c>
      <c r="U3" t="s">
        <v>425</v>
      </c>
      <c r="V3" t="s">
        <v>81</v>
      </c>
      <c r="W3">
        <v>111.133</v>
      </c>
      <c r="X3">
        <v>0.99656169611782708</v>
      </c>
      <c r="Y3">
        <v>110.7508909746625</v>
      </c>
      <c r="Z3">
        <v>691.73</v>
      </c>
      <c r="AA3">
        <v>1</v>
      </c>
      <c r="AB3">
        <v>76.609713813903269</v>
      </c>
      <c r="AC3">
        <v>0.89239999999999997</v>
      </c>
      <c r="AD3" s="63">
        <v>68.367000000000004</v>
      </c>
      <c r="AE3">
        <v>8.9176000000000002</v>
      </c>
      <c r="AF3">
        <v>8.8869385813003348</v>
      </c>
      <c r="AG3">
        <v>1</v>
      </c>
      <c r="AH3">
        <v>6147.3620248428806</v>
      </c>
      <c r="AI3">
        <v>0.98143450184501846</v>
      </c>
      <c r="AJ3" s="63">
        <v>6033.2331999999997</v>
      </c>
      <c r="AK3" s="61">
        <v>1282.428981622488</v>
      </c>
      <c r="AL3" t="s">
        <v>423</v>
      </c>
      <c r="AM3" t="s">
        <v>424</v>
      </c>
      <c r="AN3" t="s">
        <v>425</v>
      </c>
      <c r="AO3" t="s">
        <v>81</v>
      </c>
      <c r="AP3">
        <v>111.133</v>
      </c>
      <c r="AQ3">
        <v>0.99656169611782708</v>
      </c>
      <c r="AR3">
        <v>110.7508909746625</v>
      </c>
      <c r="AS3">
        <v>691.73</v>
      </c>
      <c r="AT3">
        <v>1</v>
      </c>
      <c r="AU3">
        <v>76.609713813903269</v>
      </c>
      <c r="AV3">
        <v>0.89239999999999997</v>
      </c>
      <c r="AW3" s="63">
        <v>68.367000000000004</v>
      </c>
      <c r="AX3">
        <v>8.9176000000000002</v>
      </c>
      <c r="AY3">
        <v>1</v>
      </c>
      <c r="AZ3">
        <v>6147.3620248428806</v>
      </c>
      <c r="BA3">
        <v>0.98143450184501846</v>
      </c>
      <c r="BB3" s="63">
        <v>6033.2331999999997</v>
      </c>
      <c r="BC3" s="61">
        <v>1282.428981622488</v>
      </c>
    </row>
    <row r="4" spans="1:55" x14ac:dyDescent="0.25">
      <c r="A4">
        <v>2523</v>
      </c>
      <c r="B4" t="s">
        <v>99</v>
      </c>
      <c r="C4">
        <v>2016</v>
      </c>
      <c r="D4">
        <v>4</v>
      </c>
      <c r="E4" t="s">
        <v>51</v>
      </c>
      <c r="F4" t="s">
        <v>449</v>
      </c>
      <c r="G4" t="s">
        <v>84</v>
      </c>
      <c r="H4" t="s">
        <v>381</v>
      </c>
      <c r="I4" t="s">
        <v>427</v>
      </c>
      <c r="J4">
        <v>-4.6399156000000001</v>
      </c>
      <c r="K4" t="s">
        <v>440</v>
      </c>
      <c r="L4" t="s">
        <v>385</v>
      </c>
      <c r="M4">
        <v>0.43232641346992001</v>
      </c>
      <c r="N4">
        <v>2.0059580690759309</v>
      </c>
      <c r="O4">
        <v>31615.94</v>
      </c>
      <c r="P4">
        <v>1.5814806999999999E-5</v>
      </c>
      <c r="Q4">
        <v>1</v>
      </c>
      <c r="R4" s="61">
        <v>2.0059580690759309</v>
      </c>
      <c r="S4" t="s">
        <v>423</v>
      </c>
      <c r="T4" t="s">
        <v>424</v>
      </c>
      <c r="U4" t="s">
        <v>425</v>
      </c>
      <c r="V4" t="s">
        <v>27</v>
      </c>
      <c r="W4">
        <v>111.133</v>
      </c>
      <c r="X4">
        <v>0.99656169611782708</v>
      </c>
      <c r="Y4">
        <v>110.7508909746625</v>
      </c>
      <c r="Z4">
        <v>691.73</v>
      </c>
      <c r="AA4">
        <v>1</v>
      </c>
      <c r="AB4">
        <v>76.609713813903269</v>
      </c>
      <c r="AC4">
        <v>1.008</v>
      </c>
      <c r="AD4" s="63">
        <v>77.222999999999999</v>
      </c>
      <c r="AE4">
        <v>8.9176000000000002</v>
      </c>
      <c r="AF4">
        <v>8.8869385813003348</v>
      </c>
      <c r="AG4">
        <v>1</v>
      </c>
      <c r="AH4">
        <v>6147.3620248428806</v>
      </c>
      <c r="AI4">
        <v>1.01312551271534</v>
      </c>
      <c r="AJ4" s="63">
        <v>6228.0492999999997</v>
      </c>
      <c r="AK4" s="61">
        <v>12493.205747937711</v>
      </c>
      <c r="AL4" t="s">
        <v>423</v>
      </c>
      <c r="AM4" t="s">
        <v>424</v>
      </c>
      <c r="AN4" t="s">
        <v>425</v>
      </c>
      <c r="AO4" t="s">
        <v>27</v>
      </c>
      <c r="AP4">
        <v>111.133</v>
      </c>
      <c r="AQ4">
        <v>0.99656169611782708</v>
      </c>
      <c r="AR4">
        <v>110.7508909746625</v>
      </c>
      <c r="AS4">
        <v>691.73</v>
      </c>
      <c r="AT4">
        <v>1</v>
      </c>
      <c r="AU4">
        <v>76.609713813903269</v>
      </c>
      <c r="AV4">
        <v>1.008</v>
      </c>
      <c r="AW4" s="63">
        <v>77.222999999999999</v>
      </c>
      <c r="AX4">
        <v>8.9176000000000002</v>
      </c>
      <c r="AY4">
        <v>1</v>
      </c>
      <c r="AZ4">
        <v>6147.3620248428806</v>
      </c>
      <c r="BA4">
        <v>1.01312551271534</v>
      </c>
      <c r="BB4" s="63">
        <v>6228.0492999999997</v>
      </c>
      <c r="BC4" s="61">
        <v>12493.205747937711</v>
      </c>
    </row>
    <row r="5" spans="1:55" x14ac:dyDescent="0.25">
      <c r="A5">
        <v>2524</v>
      </c>
      <c r="B5" t="s">
        <v>99</v>
      </c>
      <c r="C5">
        <v>2016</v>
      </c>
      <c r="D5">
        <v>4</v>
      </c>
      <c r="E5" t="s">
        <v>51</v>
      </c>
      <c r="F5" t="s">
        <v>449</v>
      </c>
      <c r="G5" t="s">
        <v>84</v>
      </c>
      <c r="H5" t="s">
        <v>381</v>
      </c>
      <c r="I5" t="s">
        <v>427</v>
      </c>
      <c r="J5">
        <v>-4.6399156000000001</v>
      </c>
      <c r="K5" t="s">
        <v>440</v>
      </c>
      <c r="L5" t="s">
        <v>451</v>
      </c>
      <c r="M5">
        <v>1.6825115802299999E-3</v>
      </c>
      <c r="N5">
        <v>7.8067117241054033E-3</v>
      </c>
      <c r="O5">
        <v>31615.94</v>
      </c>
      <c r="P5">
        <v>1.5814806999999999E-5</v>
      </c>
      <c r="Q5">
        <v>1</v>
      </c>
      <c r="R5" s="61">
        <v>7.8067117241054033E-3</v>
      </c>
      <c r="S5" t="s">
        <v>423</v>
      </c>
      <c r="T5" t="s">
        <v>424</v>
      </c>
      <c r="U5" t="s">
        <v>425</v>
      </c>
      <c r="V5" t="s">
        <v>91</v>
      </c>
      <c r="W5">
        <v>111.133</v>
      </c>
      <c r="X5">
        <v>0.99656169611782708</v>
      </c>
      <c r="Y5">
        <v>110.7508909746625</v>
      </c>
      <c r="Z5">
        <v>691.73</v>
      </c>
      <c r="AA5">
        <v>1</v>
      </c>
      <c r="AB5">
        <v>76.609713813903269</v>
      </c>
      <c r="AC5">
        <v>1.0368999999999999</v>
      </c>
      <c r="AD5" s="63">
        <v>79.436999999999998</v>
      </c>
      <c r="AE5">
        <v>8.9176000000000002</v>
      </c>
      <c r="AF5">
        <v>8.8869385813003348</v>
      </c>
      <c r="AG5">
        <v>1</v>
      </c>
      <c r="AH5">
        <v>6147.3620248428806</v>
      </c>
      <c r="AI5">
        <v>0.98272159312768448</v>
      </c>
      <c r="AJ5" s="63">
        <v>6041.1454000000003</v>
      </c>
      <c r="AK5" s="61">
        <v>47.161480621205428</v>
      </c>
      <c r="AL5" t="s">
        <v>423</v>
      </c>
      <c r="AM5" t="s">
        <v>424</v>
      </c>
      <c r="AN5" t="s">
        <v>425</v>
      </c>
      <c r="AO5" t="s">
        <v>91</v>
      </c>
      <c r="AP5">
        <v>111.133</v>
      </c>
      <c r="AQ5">
        <v>0.99656169611782708</v>
      </c>
      <c r="AR5">
        <v>110.7508909746625</v>
      </c>
      <c r="AS5">
        <v>691.73</v>
      </c>
      <c r="AT5">
        <v>1</v>
      </c>
      <c r="AU5">
        <v>76.609713813903269</v>
      </c>
      <c r="AV5">
        <v>1.0368999999999999</v>
      </c>
      <c r="AW5" s="63">
        <v>79.436999999999998</v>
      </c>
      <c r="AX5">
        <v>8.9176000000000002</v>
      </c>
      <c r="AY5">
        <v>1</v>
      </c>
      <c r="AZ5">
        <v>6147.3620248428806</v>
      </c>
      <c r="BA5">
        <v>0.98272159312768448</v>
      </c>
      <c r="BB5" s="63">
        <v>6041.1454000000003</v>
      </c>
      <c r="BC5" s="61">
        <v>47.161480621205428</v>
      </c>
    </row>
    <row r="6" spans="1:55" x14ac:dyDescent="0.25">
      <c r="A6">
        <v>2525</v>
      </c>
      <c r="B6" t="s">
        <v>99</v>
      </c>
      <c r="C6">
        <v>2016</v>
      </c>
      <c r="D6">
        <v>4</v>
      </c>
      <c r="E6" t="s">
        <v>51</v>
      </c>
      <c r="F6" t="s">
        <v>449</v>
      </c>
      <c r="G6" t="s">
        <v>84</v>
      </c>
      <c r="H6" t="s">
        <v>381</v>
      </c>
      <c r="I6" t="s">
        <v>427</v>
      </c>
      <c r="J6">
        <v>-4.6399156000000001</v>
      </c>
      <c r="K6" t="s">
        <v>440</v>
      </c>
      <c r="L6" t="s">
        <v>452</v>
      </c>
      <c r="M6">
        <v>1.53682162831E-3</v>
      </c>
      <c r="N6">
        <v>7.1307226437908782E-3</v>
      </c>
      <c r="O6">
        <v>31615.94</v>
      </c>
      <c r="P6">
        <v>1.5814806999999999E-5</v>
      </c>
      <c r="Q6">
        <v>1</v>
      </c>
      <c r="R6" s="61">
        <v>7.1307226437908782E-3</v>
      </c>
      <c r="S6" t="s">
        <v>423</v>
      </c>
      <c r="T6" t="s">
        <v>424</v>
      </c>
      <c r="U6" t="s">
        <v>425</v>
      </c>
      <c r="V6" t="s">
        <v>28</v>
      </c>
      <c r="W6">
        <v>111.133</v>
      </c>
      <c r="X6">
        <v>0.99656169611782708</v>
      </c>
      <c r="Y6">
        <v>110.7508909746625</v>
      </c>
      <c r="Z6">
        <v>691.73</v>
      </c>
      <c r="AA6">
        <v>1</v>
      </c>
      <c r="AB6">
        <v>76.609713813903269</v>
      </c>
      <c r="AC6">
        <v>1.0342</v>
      </c>
      <c r="AD6" s="63">
        <v>79.23</v>
      </c>
      <c r="AE6">
        <v>8.9176000000000002</v>
      </c>
      <c r="AF6">
        <v>8.8869385813003348</v>
      </c>
      <c r="AG6">
        <v>1</v>
      </c>
      <c r="AH6">
        <v>6147.3620248428806</v>
      </c>
      <c r="AI6">
        <v>0.98050797401063194</v>
      </c>
      <c r="AJ6" s="63">
        <v>6027.5375000000004</v>
      </c>
      <c r="AK6" s="61">
        <v>42.980698137548657</v>
      </c>
      <c r="AL6" t="s">
        <v>423</v>
      </c>
      <c r="AM6" t="s">
        <v>424</v>
      </c>
      <c r="AN6" t="s">
        <v>425</v>
      </c>
      <c r="AO6" t="s">
        <v>28</v>
      </c>
      <c r="AP6">
        <v>111.133</v>
      </c>
      <c r="AQ6">
        <v>0.99656169611782708</v>
      </c>
      <c r="AR6">
        <v>110.7508909746625</v>
      </c>
      <c r="AS6">
        <v>691.73</v>
      </c>
      <c r="AT6">
        <v>1</v>
      </c>
      <c r="AU6">
        <v>76.609713813903269</v>
      </c>
      <c r="AV6">
        <v>1.0342</v>
      </c>
      <c r="AW6" s="63">
        <v>79.23</v>
      </c>
      <c r="AX6">
        <v>8.9176000000000002</v>
      </c>
      <c r="AY6">
        <v>1</v>
      </c>
      <c r="AZ6">
        <v>6147.3620248428806</v>
      </c>
      <c r="BA6">
        <v>0.98050797401063194</v>
      </c>
      <c r="BB6" s="63">
        <v>6027.5375000000004</v>
      </c>
      <c r="BC6" s="61">
        <v>42.980698137548657</v>
      </c>
    </row>
    <row r="7" spans="1:55" x14ac:dyDescent="0.25">
      <c r="A7">
        <v>2526</v>
      </c>
      <c r="B7" t="s">
        <v>99</v>
      </c>
      <c r="C7">
        <v>2016</v>
      </c>
      <c r="D7">
        <v>4</v>
      </c>
      <c r="E7" t="s">
        <v>51</v>
      </c>
      <c r="F7" t="s">
        <v>449</v>
      </c>
      <c r="G7" t="s">
        <v>84</v>
      </c>
      <c r="H7" t="s">
        <v>87</v>
      </c>
      <c r="I7" t="s">
        <v>427</v>
      </c>
      <c r="J7">
        <v>-0.9543722</v>
      </c>
      <c r="K7" t="s">
        <v>440</v>
      </c>
      <c r="L7" t="s">
        <v>450</v>
      </c>
      <c r="M7">
        <v>0.26601384014995</v>
      </c>
      <c r="N7">
        <v>0.25387621335978872</v>
      </c>
      <c r="O7">
        <v>31615.94</v>
      </c>
      <c r="P7">
        <v>1.5814806999999999E-5</v>
      </c>
      <c r="Q7">
        <v>1</v>
      </c>
      <c r="R7" s="61">
        <v>0.25387621335978872</v>
      </c>
      <c r="S7" t="s">
        <v>423</v>
      </c>
      <c r="T7" t="s">
        <v>424</v>
      </c>
      <c r="U7" t="s">
        <v>425</v>
      </c>
      <c r="V7" t="s">
        <v>26</v>
      </c>
      <c r="W7">
        <v>111.133</v>
      </c>
      <c r="X7">
        <v>0.99656169611782708</v>
      </c>
      <c r="Y7">
        <v>110.7508909746625</v>
      </c>
      <c r="Z7">
        <v>691.73</v>
      </c>
      <c r="AA7">
        <v>1</v>
      </c>
      <c r="AB7">
        <v>76.609713813903269</v>
      </c>
      <c r="AC7">
        <v>1.0244</v>
      </c>
      <c r="AD7" s="63">
        <v>78.478999999999999</v>
      </c>
      <c r="AE7">
        <v>8.9176000000000002</v>
      </c>
      <c r="AF7">
        <v>8.8869385813003348</v>
      </c>
      <c r="AG7">
        <v>1</v>
      </c>
      <c r="AH7">
        <v>6147.3620248428806</v>
      </c>
      <c r="AI7">
        <v>1.0034718777899021</v>
      </c>
      <c r="AJ7" s="63">
        <v>6168.7048999999997</v>
      </c>
      <c r="AK7" s="61">
        <v>1566.087441345974</v>
      </c>
      <c r="AL7" t="s">
        <v>423</v>
      </c>
      <c r="AM7" t="s">
        <v>424</v>
      </c>
      <c r="AN7" t="s">
        <v>425</v>
      </c>
      <c r="AO7" t="s">
        <v>26</v>
      </c>
      <c r="AP7">
        <v>111.133</v>
      </c>
      <c r="AQ7">
        <v>0.99656169611782708</v>
      </c>
      <c r="AR7">
        <v>110.7508909746625</v>
      </c>
      <c r="AS7">
        <v>691.73</v>
      </c>
      <c r="AT7">
        <v>1</v>
      </c>
      <c r="AU7">
        <v>76.609713813903269</v>
      </c>
      <c r="AV7">
        <v>1.0244</v>
      </c>
      <c r="AW7" s="63">
        <v>78.478999999999999</v>
      </c>
      <c r="AX7">
        <v>8.9176000000000002</v>
      </c>
      <c r="AY7">
        <v>1</v>
      </c>
      <c r="AZ7">
        <v>6147.3620248428806</v>
      </c>
      <c r="BA7">
        <v>1.0034718777899021</v>
      </c>
      <c r="BB7" s="63">
        <v>6168.7048999999997</v>
      </c>
      <c r="BC7" s="61">
        <v>1566.087441345974</v>
      </c>
    </row>
    <row r="8" spans="1:55" x14ac:dyDescent="0.25">
      <c r="A8">
        <v>2527</v>
      </c>
      <c r="B8" t="s">
        <v>99</v>
      </c>
      <c r="C8">
        <v>2016</v>
      </c>
      <c r="D8">
        <v>4</v>
      </c>
      <c r="E8" t="s">
        <v>51</v>
      </c>
      <c r="F8" t="s">
        <v>449</v>
      </c>
      <c r="G8" t="s">
        <v>84</v>
      </c>
      <c r="H8" t="s">
        <v>87</v>
      </c>
      <c r="I8" t="s">
        <v>427</v>
      </c>
      <c r="J8">
        <v>-0.9543722</v>
      </c>
      <c r="K8" t="s">
        <v>440</v>
      </c>
      <c r="L8" t="s">
        <v>384</v>
      </c>
      <c r="M8">
        <v>3.9509559941419997E-2</v>
      </c>
      <c r="N8">
        <v>3.7706825568869513E-2</v>
      </c>
      <c r="O8">
        <v>31615.94</v>
      </c>
      <c r="P8">
        <v>1.5814806999999999E-5</v>
      </c>
      <c r="Q8">
        <v>1</v>
      </c>
      <c r="R8" s="61">
        <v>3.7706825568869513E-2</v>
      </c>
      <c r="S8" t="s">
        <v>423</v>
      </c>
      <c r="T8" t="s">
        <v>424</v>
      </c>
      <c r="U8" t="s">
        <v>425</v>
      </c>
      <c r="V8" t="s">
        <v>81</v>
      </c>
      <c r="W8">
        <v>111.133</v>
      </c>
      <c r="X8">
        <v>0.99656169611782708</v>
      </c>
      <c r="Y8">
        <v>110.7508909746625</v>
      </c>
      <c r="Z8">
        <v>691.73</v>
      </c>
      <c r="AA8">
        <v>1</v>
      </c>
      <c r="AB8">
        <v>76.609713813903269</v>
      </c>
      <c r="AC8">
        <v>0.89239999999999997</v>
      </c>
      <c r="AD8" s="63">
        <v>68.367000000000004</v>
      </c>
      <c r="AE8">
        <v>8.9176000000000002</v>
      </c>
      <c r="AF8">
        <v>8.8869385813003348</v>
      </c>
      <c r="AG8">
        <v>1</v>
      </c>
      <c r="AH8">
        <v>6147.3620248428806</v>
      </c>
      <c r="AI8">
        <v>0.98143450184501846</v>
      </c>
      <c r="AJ8" s="63">
        <v>6033.2331999999997</v>
      </c>
      <c r="AK8" s="61">
        <v>227.4940718887124</v>
      </c>
      <c r="AL8" t="s">
        <v>423</v>
      </c>
      <c r="AM8" t="s">
        <v>424</v>
      </c>
      <c r="AN8" t="s">
        <v>425</v>
      </c>
      <c r="AO8" t="s">
        <v>81</v>
      </c>
      <c r="AP8">
        <v>111.133</v>
      </c>
      <c r="AQ8">
        <v>0.99656169611782708</v>
      </c>
      <c r="AR8">
        <v>110.7508909746625</v>
      </c>
      <c r="AS8">
        <v>691.73</v>
      </c>
      <c r="AT8">
        <v>1</v>
      </c>
      <c r="AU8">
        <v>76.609713813903269</v>
      </c>
      <c r="AV8">
        <v>0.89239999999999997</v>
      </c>
      <c r="AW8" s="63">
        <v>68.367000000000004</v>
      </c>
      <c r="AX8">
        <v>8.9176000000000002</v>
      </c>
      <c r="AY8">
        <v>1</v>
      </c>
      <c r="AZ8">
        <v>6147.3620248428806</v>
      </c>
      <c r="BA8">
        <v>0.98143450184501846</v>
      </c>
      <c r="BB8" s="63">
        <v>6033.2331999999997</v>
      </c>
      <c r="BC8" s="61">
        <v>227.4940718887124</v>
      </c>
    </row>
    <row r="9" spans="1:55" x14ac:dyDescent="0.25">
      <c r="A9">
        <v>2528</v>
      </c>
      <c r="B9" t="s">
        <v>99</v>
      </c>
      <c r="C9">
        <v>2016</v>
      </c>
      <c r="D9">
        <v>4</v>
      </c>
      <c r="E9" t="s">
        <v>51</v>
      </c>
      <c r="F9" t="s">
        <v>449</v>
      </c>
      <c r="G9" t="s">
        <v>84</v>
      </c>
      <c r="H9" t="s">
        <v>87</v>
      </c>
      <c r="I9" t="s">
        <v>427</v>
      </c>
      <c r="J9">
        <v>-0.9543722</v>
      </c>
      <c r="K9" t="s">
        <v>440</v>
      </c>
      <c r="L9" t="s">
        <v>385</v>
      </c>
      <c r="M9">
        <v>0.39737542925016001</v>
      </c>
      <c r="N9">
        <v>0.37924406190062732</v>
      </c>
      <c r="O9">
        <v>31615.94</v>
      </c>
      <c r="P9">
        <v>1.5814806999999999E-5</v>
      </c>
      <c r="Q9">
        <v>1</v>
      </c>
      <c r="R9" s="61">
        <v>0.37924406190062732</v>
      </c>
      <c r="S9" t="s">
        <v>423</v>
      </c>
      <c r="T9" t="s">
        <v>424</v>
      </c>
      <c r="U9" t="s">
        <v>425</v>
      </c>
      <c r="V9" t="s">
        <v>27</v>
      </c>
      <c r="W9">
        <v>111.133</v>
      </c>
      <c r="X9">
        <v>0.99656169611782708</v>
      </c>
      <c r="Y9">
        <v>110.7508909746625</v>
      </c>
      <c r="Z9">
        <v>691.73</v>
      </c>
      <c r="AA9">
        <v>1</v>
      </c>
      <c r="AB9">
        <v>76.609713813903269</v>
      </c>
      <c r="AC9">
        <v>1.008</v>
      </c>
      <c r="AD9" s="63">
        <v>77.222999999999999</v>
      </c>
      <c r="AE9">
        <v>8.9176000000000002</v>
      </c>
      <c r="AF9">
        <v>8.8869385813003348</v>
      </c>
      <c r="AG9">
        <v>1</v>
      </c>
      <c r="AH9">
        <v>6147.3620248428806</v>
      </c>
      <c r="AI9">
        <v>1.01312551271534</v>
      </c>
      <c r="AJ9" s="63">
        <v>6228.0492999999997</v>
      </c>
      <c r="AK9" s="61">
        <v>2361.950714249358</v>
      </c>
      <c r="AL9" t="s">
        <v>423</v>
      </c>
      <c r="AM9" t="s">
        <v>424</v>
      </c>
      <c r="AN9" t="s">
        <v>425</v>
      </c>
      <c r="AO9" t="s">
        <v>27</v>
      </c>
      <c r="AP9">
        <v>111.133</v>
      </c>
      <c r="AQ9">
        <v>0.99656169611782708</v>
      </c>
      <c r="AR9">
        <v>110.7508909746625</v>
      </c>
      <c r="AS9">
        <v>691.73</v>
      </c>
      <c r="AT9">
        <v>1</v>
      </c>
      <c r="AU9">
        <v>76.609713813903269</v>
      </c>
      <c r="AV9">
        <v>1.008</v>
      </c>
      <c r="AW9" s="63">
        <v>77.222999999999999</v>
      </c>
      <c r="AX9">
        <v>8.9176000000000002</v>
      </c>
      <c r="AY9">
        <v>1</v>
      </c>
      <c r="AZ9">
        <v>6147.3620248428806</v>
      </c>
      <c r="BA9">
        <v>1.01312551271534</v>
      </c>
      <c r="BB9" s="63">
        <v>6228.0492999999997</v>
      </c>
      <c r="BC9" s="61">
        <v>2361.950714249358</v>
      </c>
    </row>
    <row r="10" spans="1:55" x14ac:dyDescent="0.25">
      <c r="A10">
        <v>2529</v>
      </c>
      <c r="B10" t="s">
        <v>99</v>
      </c>
      <c r="C10">
        <v>2016</v>
      </c>
      <c r="D10">
        <v>4</v>
      </c>
      <c r="E10" t="s">
        <v>51</v>
      </c>
      <c r="F10" t="s">
        <v>449</v>
      </c>
      <c r="G10" t="s">
        <v>84</v>
      </c>
      <c r="H10" t="s">
        <v>87</v>
      </c>
      <c r="I10" t="s">
        <v>427</v>
      </c>
      <c r="J10">
        <v>-0.9543722</v>
      </c>
      <c r="K10" t="s">
        <v>440</v>
      </c>
      <c r="L10" t="s">
        <v>452</v>
      </c>
      <c r="M10">
        <v>8.4248020759000004E-4</v>
      </c>
      <c r="N10">
        <v>8.0403968760780315E-4</v>
      </c>
      <c r="O10">
        <v>31615.94</v>
      </c>
      <c r="P10">
        <v>1.5814806999999999E-5</v>
      </c>
      <c r="Q10">
        <v>1</v>
      </c>
      <c r="R10" s="61">
        <v>8.0403968760780315E-4</v>
      </c>
      <c r="S10" t="s">
        <v>423</v>
      </c>
      <c r="T10" t="s">
        <v>424</v>
      </c>
      <c r="U10" t="s">
        <v>425</v>
      </c>
      <c r="V10" t="s">
        <v>28</v>
      </c>
      <c r="W10">
        <v>111.133</v>
      </c>
      <c r="X10">
        <v>0.99656169611782708</v>
      </c>
      <c r="Y10">
        <v>110.7508909746625</v>
      </c>
      <c r="Z10">
        <v>691.73</v>
      </c>
      <c r="AA10">
        <v>1</v>
      </c>
      <c r="AB10">
        <v>76.609713813903269</v>
      </c>
      <c r="AC10">
        <v>1.0342</v>
      </c>
      <c r="AD10" s="63">
        <v>79.23</v>
      </c>
      <c r="AE10">
        <v>8.9176000000000002</v>
      </c>
      <c r="AF10">
        <v>8.8869385813003348</v>
      </c>
      <c r="AG10">
        <v>1</v>
      </c>
      <c r="AH10">
        <v>6147.3620248428806</v>
      </c>
      <c r="AI10">
        <v>0.98050797401063194</v>
      </c>
      <c r="AJ10" s="63">
        <v>6027.5375000000004</v>
      </c>
      <c r="AK10" s="61">
        <v>4.8463793685443193</v>
      </c>
      <c r="AL10" t="s">
        <v>423</v>
      </c>
      <c r="AM10" t="s">
        <v>424</v>
      </c>
      <c r="AN10" t="s">
        <v>425</v>
      </c>
      <c r="AO10" t="s">
        <v>28</v>
      </c>
      <c r="AP10">
        <v>111.133</v>
      </c>
      <c r="AQ10">
        <v>0.99656169611782708</v>
      </c>
      <c r="AR10">
        <v>110.7508909746625</v>
      </c>
      <c r="AS10">
        <v>691.73</v>
      </c>
      <c r="AT10">
        <v>1</v>
      </c>
      <c r="AU10">
        <v>76.609713813903269</v>
      </c>
      <c r="AV10">
        <v>1.0342</v>
      </c>
      <c r="AW10" s="63">
        <v>79.23</v>
      </c>
      <c r="AX10">
        <v>8.9176000000000002</v>
      </c>
      <c r="AY10">
        <v>1</v>
      </c>
      <c r="AZ10">
        <v>6147.3620248428806</v>
      </c>
      <c r="BA10">
        <v>0.98050797401063194</v>
      </c>
      <c r="BB10" s="63">
        <v>6027.5375000000004</v>
      </c>
      <c r="BC10" s="61">
        <v>4.8463793685443193</v>
      </c>
    </row>
    <row r="11" spans="1:55" x14ac:dyDescent="0.25">
      <c r="A11">
        <v>2530</v>
      </c>
      <c r="B11" t="s">
        <v>99</v>
      </c>
      <c r="C11">
        <v>2016</v>
      </c>
      <c r="D11">
        <v>4</v>
      </c>
      <c r="E11" t="s">
        <v>51</v>
      </c>
      <c r="F11" t="s">
        <v>449</v>
      </c>
      <c r="G11" t="s">
        <v>84</v>
      </c>
      <c r="H11" t="s">
        <v>59</v>
      </c>
      <c r="I11" t="s">
        <v>427</v>
      </c>
      <c r="J11">
        <v>-2.7798718999999998</v>
      </c>
      <c r="K11" t="s">
        <v>440</v>
      </c>
      <c r="L11" t="s">
        <v>450</v>
      </c>
      <c r="M11">
        <v>0.15931709696460999</v>
      </c>
      <c r="N11">
        <v>0.44288112039006822</v>
      </c>
      <c r="O11">
        <v>31615.94</v>
      </c>
      <c r="P11">
        <v>1.5814806999999999E-5</v>
      </c>
      <c r="Q11">
        <v>1</v>
      </c>
      <c r="R11" s="61">
        <v>0.44288112039006822</v>
      </c>
      <c r="S11" t="s">
        <v>423</v>
      </c>
      <c r="T11" t="s">
        <v>424</v>
      </c>
      <c r="U11" t="s">
        <v>425</v>
      </c>
      <c r="V11" t="s">
        <v>26</v>
      </c>
      <c r="W11">
        <v>111.133</v>
      </c>
      <c r="X11">
        <v>0.99656169611782708</v>
      </c>
      <c r="Y11">
        <v>110.7508909746625</v>
      </c>
      <c r="Z11">
        <v>691.73</v>
      </c>
      <c r="AA11">
        <v>1</v>
      </c>
      <c r="AB11">
        <v>76.609713813903269</v>
      </c>
      <c r="AC11">
        <v>1.0244</v>
      </c>
      <c r="AD11" s="63">
        <v>78.478999999999999</v>
      </c>
      <c r="AE11">
        <v>8.9176000000000002</v>
      </c>
      <c r="AF11">
        <v>8.8869385813003348</v>
      </c>
      <c r="AG11">
        <v>1</v>
      </c>
      <c r="AH11">
        <v>6147.3620248428806</v>
      </c>
      <c r="AI11">
        <v>1.0034718777899021</v>
      </c>
      <c r="AJ11" s="63">
        <v>6168.7048999999997</v>
      </c>
      <c r="AK11" s="61">
        <v>2732.0029374677042</v>
      </c>
      <c r="AL11" t="s">
        <v>423</v>
      </c>
      <c r="AM11" t="s">
        <v>424</v>
      </c>
      <c r="AN11" t="s">
        <v>425</v>
      </c>
      <c r="AO11" t="s">
        <v>26</v>
      </c>
      <c r="AP11">
        <v>111.133</v>
      </c>
      <c r="AQ11">
        <v>0.99656169611782708</v>
      </c>
      <c r="AR11">
        <v>110.7508909746625</v>
      </c>
      <c r="AS11">
        <v>691.73</v>
      </c>
      <c r="AT11">
        <v>1</v>
      </c>
      <c r="AU11">
        <v>76.609713813903269</v>
      </c>
      <c r="AV11">
        <v>1.0244</v>
      </c>
      <c r="AW11" s="63">
        <v>78.478999999999999</v>
      </c>
      <c r="AX11">
        <v>8.9176000000000002</v>
      </c>
      <c r="AY11">
        <v>1</v>
      </c>
      <c r="AZ11">
        <v>6147.3620248428806</v>
      </c>
      <c r="BA11">
        <v>1.0034718777899021</v>
      </c>
      <c r="BB11" s="63">
        <v>6168.7048999999997</v>
      </c>
      <c r="BC11" s="61">
        <v>2732.0029374677042</v>
      </c>
    </row>
    <row r="12" spans="1:55" x14ac:dyDescent="0.25">
      <c r="A12">
        <v>2531</v>
      </c>
      <c r="B12" t="s">
        <v>99</v>
      </c>
      <c r="C12">
        <v>2016</v>
      </c>
      <c r="D12">
        <v>4</v>
      </c>
      <c r="E12" t="s">
        <v>51</v>
      </c>
      <c r="F12" t="s">
        <v>449</v>
      </c>
      <c r="G12" t="s">
        <v>84</v>
      </c>
      <c r="H12" t="s">
        <v>59</v>
      </c>
      <c r="I12" t="s">
        <v>427</v>
      </c>
      <c r="J12">
        <v>-2.7798718999999998</v>
      </c>
      <c r="K12" t="s">
        <v>440</v>
      </c>
      <c r="L12" t="s">
        <v>384</v>
      </c>
      <c r="M12">
        <v>4.1785183859599999E-2</v>
      </c>
      <c r="N12">
        <v>0.11615745827678151</v>
      </c>
      <c r="O12">
        <v>31615.94</v>
      </c>
      <c r="P12">
        <v>1.5814806999999999E-5</v>
      </c>
      <c r="Q12">
        <v>1</v>
      </c>
      <c r="R12" s="61">
        <v>0.11615745827678151</v>
      </c>
      <c r="S12" t="s">
        <v>423</v>
      </c>
      <c r="T12" t="s">
        <v>424</v>
      </c>
      <c r="U12" t="s">
        <v>425</v>
      </c>
      <c r="V12" t="s">
        <v>81</v>
      </c>
      <c r="W12">
        <v>111.133</v>
      </c>
      <c r="X12">
        <v>0.99656169611782708</v>
      </c>
      <c r="Y12">
        <v>110.7508909746625</v>
      </c>
      <c r="Z12">
        <v>691.73</v>
      </c>
      <c r="AA12">
        <v>1</v>
      </c>
      <c r="AB12">
        <v>76.609713813903269</v>
      </c>
      <c r="AC12">
        <v>0.89239999999999997</v>
      </c>
      <c r="AD12" s="63">
        <v>68.367000000000004</v>
      </c>
      <c r="AE12">
        <v>8.9176000000000002</v>
      </c>
      <c r="AF12">
        <v>8.8869385813003348</v>
      </c>
      <c r="AG12">
        <v>1</v>
      </c>
      <c r="AH12">
        <v>6147.3620248428806</v>
      </c>
      <c r="AI12">
        <v>0.98143450184501846</v>
      </c>
      <c r="AJ12" s="63">
        <v>6033.2331999999997</v>
      </c>
      <c r="AK12" s="61">
        <v>700.80503370309305</v>
      </c>
      <c r="AL12" t="s">
        <v>423</v>
      </c>
      <c r="AM12" t="s">
        <v>424</v>
      </c>
      <c r="AN12" t="s">
        <v>425</v>
      </c>
      <c r="AO12" t="s">
        <v>81</v>
      </c>
      <c r="AP12">
        <v>111.133</v>
      </c>
      <c r="AQ12">
        <v>0.99656169611782708</v>
      </c>
      <c r="AR12">
        <v>110.7508909746625</v>
      </c>
      <c r="AS12">
        <v>691.73</v>
      </c>
      <c r="AT12">
        <v>1</v>
      </c>
      <c r="AU12">
        <v>76.609713813903269</v>
      </c>
      <c r="AV12">
        <v>0.89239999999999997</v>
      </c>
      <c r="AW12" s="63">
        <v>68.367000000000004</v>
      </c>
      <c r="AX12">
        <v>8.9176000000000002</v>
      </c>
      <c r="AY12">
        <v>1</v>
      </c>
      <c r="AZ12">
        <v>6147.3620248428806</v>
      </c>
      <c r="BA12">
        <v>0.98143450184501846</v>
      </c>
      <c r="BB12" s="63">
        <v>6033.2331999999997</v>
      </c>
      <c r="BC12" s="61">
        <v>700.80503370309305</v>
      </c>
    </row>
    <row r="13" spans="1:55" x14ac:dyDescent="0.25">
      <c r="A13">
        <v>2532</v>
      </c>
      <c r="B13" t="s">
        <v>99</v>
      </c>
      <c r="C13">
        <v>2016</v>
      </c>
      <c r="D13">
        <v>4</v>
      </c>
      <c r="E13" t="s">
        <v>51</v>
      </c>
      <c r="F13" t="s">
        <v>449</v>
      </c>
      <c r="G13" t="s">
        <v>84</v>
      </c>
      <c r="H13" t="s">
        <v>59</v>
      </c>
      <c r="I13" t="s">
        <v>427</v>
      </c>
      <c r="J13">
        <v>-2.7798718999999998</v>
      </c>
      <c r="K13" t="s">
        <v>440</v>
      </c>
      <c r="L13" t="s">
        <v>385</v>
      </c>
      <c r="M13">
        <v>0.43497567483749999</v>
      </c>
      <c r="N13">
        <v>1.209176653885746</v>
      </c>
      <c r="O13">
        <v>31615.94</v>
      </c>
      <c r="P13">
        <v>1.5814806999999999E-5</v>
      </c>
      <c r="Q13">
        <v>1</v>
      </c>
      <c r="R13" s="61">
        <v>1.209176653885746</v>
      </c>
      <c r="S13" t="s">
        <v>423</v>
      </c>
      <c r="T13" t="s">
        <v>424</v>
      </c>
      <c r="U13" t="s">
        <v>425</v>
      </c>
      <c r="V13" t="s">
        <v>27</v>
      </c>
      <c r="W13">
        <v>111.133</v>
      </c>
      <c r="X13">
        <v>0.99656169611782708</v>
      </c>
      <c r="Y13">
        <v>110.7508909746625</v>
      </c>
      <c r="Z13">
        <v>691.73</v>
      </c>
      <c r="AA13">
        <v>1</v>
      </c>
      <c r="AB13">
        <v>76.609713813903269</v>
      </c>
      <c r="AC13">
        <v>1.008</v>
      </c>
      <c r="AD13" s="63">
        <v>77.222999999999999</v>
      </c>
      <c r="AE13">
        <v>8.9176000000000002</v>
      </c>
      <c r="AF13">
        <v>8.8869385813003348</v>
      </c>
      <c r="AG13">
        <v>1</v>
      </c>
      <c r="AH13">
        <v>6147.3620248428806</v>
      </c>
      <c r="AI13">
        <v>1.01312551271534</v>
      </c>
      <c r="AJ13" s="63">
        <v>6228.0492999999997</v>
      </c>
      <c r="AK13" s="61">
        <v>7530.8118128094611</v>
      </c>
      <c r="AL13" t="s">
        <v>423</v>
      </c>
      <c r="AM13" t="s">
        <v>424</v>
      </c>
      <c r="AN13" t="s">
        <v>425</v>
      </c>
      <c r="AO13" t="s">
        <v>27</v>
      </c>
      <c r="AP13">
        <v>111.133</v>
      </c>
      <c r="AQ13">
        <v>0.99656169611782708</v>
      </c>
      <c r="AR13">
        <v>110.7508909746625</v>
      </c>
      <c r="AS13">
        <v>691.73</v>
      </c>
      <c r="AT13">
        <v>1</v>
      </c>
      <c r="AU13">
        <v>76.609713813903269</v>
      </c>
      <c r="AV13">
        <v>1.008</v>
      </c>
      <c r="AW13" s="63">
        <v>77.222999999999999</v>
      </c>
      <c r="AX13">
        <v>8.9176000000000002</v>
      </c>
      <c r="AY13">
        <v>1</v>
      </c>
      <c r="AZ13">
        <v>6147.3620248428806</v>
      </c>
      <c r="BA13">
        <v>1.01312551271534</v>
      </c>
      <c r="BB13" s="63">
        <v>6228.0492999999997</v>
      </c>
      <c r="BC13" s="61">
        <v>7530.8118128094611</v>
      </c>
    </row>
    <row r="14" spans="1:55" x14ac:dyDescent="0.25">
      <c r="A14">
        <v>2533</v>
      </c>
      <c r="B14" t="s">
        <v>99</v>
      </c>
      <c r="C14">
        <v>2016</v>
      </c>
      <c r="D14">
        <v>4</v>
      </c>
      <c r="E14" t="s">
        <v>51</v>
      </c>
      <c r="F14" t="s">
        <v>449</v>
      </c>
      <c r="G14" t="s">
        <v>84</v>
      </c>
      <c r="H14" t="s">
        <v>59</v>
      </c>
      <c r="I14" t="s">
        <v>427</v>
      </c>
      <c r="J14">
        <v>-2.7798718999999998</v>
      </c>
      <c r="K14" t="s">
        <v>440</v>
      </c>
      <c r="L14" t="s">
        <v>451</v>
      </c>
      <c r="M14">
        <v>1.7625750762999999E-3</v>
      </c>
      <c r="N14">
        <v>4.8997329190397908E-3</v>
      </c>
      <c r="O14">
        <v>31615.94</v>
      </c>
      <c r="P14">
        <v>1.5814806999999999E-5</v>
      </c>
      <c r="Q14">
        <v>1</v>
      </c>
      <c r="R14" s="61">
        <v>4.8997329190397908E-3</v>
      </c>
      <c r="S14" t="s">
        <v>423</v>
      </c>
      <c r="T14" t="s">
        <v>424</v>
      </c>
      <c r="U14" t="s">
        <v>425</v>
      </c>
      <c r="V14" t="s">
        <v>91</v>
      </c>
      <c r="W14">
        <v>111.133</v>
      </c>
      <c r="X14">
        <v>0.99656169611782708</v>
      </c>
      <c r="Y14">
        <v>110.7508909746625</v>
      </c>
      <c r="Z14">
        <v>691.73</v>
      </c>
      <c r="AA14">
        <v>1</v>
      </c>
      <c r="AB14">
        <v>76.609713813903269</v>
      </c>
      <c r="AC14">
        <v>1.0368999999999999</v>
      </c>
      <c r="AD14" s="63">
        <v>79.436999999999998</v>
      </c>
      <c r="AE14">
        <v>8.9176000000000002</v>
      </c>
      <c r="AF14">
        <v>8.8869385813003348</v>
      </c>
      <c r="AG14">
        <v>1</v>
      </c>
      <c r="AH14">
        <v>6147.3620248428806</v>
      </c>
      <c r="AI14">
        <v>0.98272159312768448</v>
      </c>
      <c r="AJ14" s="63">
        <v>6041.1454000000003</v>
      </c>
      <c r="AK14" s="61">
        <v>29.599998985085811</v>
      </c>
      <c r="AL14" t="s">
        <v>423</v>
      </c>
      <c r="AM14" t="s">
        <v>424</v>
      </c>
      <c r="AN14" t="s">
        <v>425</v>
      </c>
      <c r="AO14" t="s">
        <v>91</v>
      </c>
      <c r="AP14">
        <v>111.133</v>
      </c>
      <c r="AQ14">
        <v>0.99656169611782708</v>
      </c>
      <c r="AR14">
        <v>110.7508909746625</v>
      </c>
      <c r="AS14">
        <v>691.73</v>
      </c>
      <c r="AT14">
        <v>1</v>
      </c>
      <c r="AU14">
        <v>76.609713813903269</v>
      </c>
      <c r="AV14">
        <v>1.0368999999999999</v>
      </c>
      <c r="AW14" s="63">
        <v>79.436999999999998</v>
      </c>
      <c r="AX14">
        <v>8.9176000000000002</v>
      </c>
      <c r="AY14">
        <v>1</v>
      </c>
      <c r="AZ14">
        <v>6147.3620248428806</v>
      </c>
      <c r="BA14">
        <v>0.98272159312768448</v>
      </c>
      <c r="BB14" s="63">
        <v>6041.1454000000003</v>
      </c>
      <c r="BC14" s="61">
        <v>29.599998985085811</v>
      </c>
    </row>
    <row r="15" spans="1:55" x14ac:dyDescent="0.25">
      <c r="A15">
        <v>2534</v>
      </c>
      <c r="B15" t="s">
        <v>99</v>
      </c>
      <c r="C15">
        <v>2016</v>
      </c>
      <c r="D15">
        <v>4</v>
      </c>
      <c r="E15" t="s">
        <v>51</v>
      </c>
      <c r="F15" t="s">
        <v>449</v>
      </c>
      <c r="G15" t="s">
        <v>84</v>
      </c>
      <c r="H15" t="s">
        <v>59</v>
      </c>
      <c r="I15" t="s">
        <v>427</v>
      </c>
      <c r="J15">
        <v>-2.7798718999999998</v>
      </c>
      <c r="K15" t="s">
        <v>440</v>
      </c>
      <c r="L15" t="s">
        <v>452</v>
      </c>
      <c r="M15">
        <v>1.4858046103299999E-3</v>
      </c>
      <c r="N15">
        <v>4.1303464790715593E-3</v>
      </c>
      <c r="O15">
        <v>31615.94</v>
      </c>
      <c r="P15">
        <v>1.5814806999999999E-5</v>
      </c>
      <c r="Q15">
        <v>1</v>
      </c>
      <c r="R15" s="61">
        <v>4.1303464790715593E-3</v>
      </c>
      <c r="S15" t="s">
        <v>423</v>
      </c>
      <c r="T15" t="s">
        <v>424</v>
      </c>
      <c r="U15" t="s">
        <v>425</v>
      </c>
      <c r="V15" t="s">
        <v>28</v>
      </c>
      <c r="W15">
        <v>111.133</v>
      </c>
      <c r="X15">
        <v>0.99656169611782708</v>
      </c>
      <c r="Y15">
        <v>110.7508909746625</v>
      </c>
      <c r="Z15">
        <v>691.73</v>
      </c>
      <c r="AA15">
        <v>1</v>
      </c>
      <c r="AB15">
        <v>76.609713813903269</v>
      </c>
      <c r="AC15">
        <v>1.0342</v>
      </c>
      <c r="AD15" s="63">
        <v>79.23</v>
      </c>
      <c r="AE15">
        <v>8.9176000000000002</v>
      </c>
      <c r="AF15">
        <v>8.8869385813003348</v>
      </c>
      <c r="AG15">
        <v>1</v>
      </c>
      <c r="AH15">
        <v>6147.3620248428806</v>
      </c>
      <c r="AI15">
        <v>0.98050797401063194</v>
      </c>
      <c r="AJ15" s="63">
        <v>6027.5375000000004</v>
      </c>
      <c r="AK15" s="61">
        <v>24.89581829059679</v>
      </c>
      <c r="AL15" t="s">
        <v>423</v>
      </c>
      <c r="AM15" t="s">
        <v>424</v>
      </c>
      <c r="AN15" t="s">
        <v>425</v>
      </c>
      <c r="AO15" t="s">
        <v>28</v>
      </c>
      <c r="AP15">
        <v>111.133</v>
      </c>
      <c r="AQ15">
        <v>0.99656169611782708</v>
      </c>
      <c r="AR15">
        <v>110.7508909746625</v>
      </c>
      <c r="AS15">
        <v>691.73</v>
      </c>
      <c r="AT15">
        <v>1</v>
      </c>
      <c r="AU15">
        <v>76.609713813903269</v>
      </c>
      <c r="AV15">
        <v>1.0342</v>
      </c>
      <c r="AW15" s="63">
        <v>79.23</v>
      </c>
      <c r="AX15">
        <v>8.9176000000000002</v>
      </c>
      <c r="AY15">
        <v>1</v>
      </c>
      <c r="AZ15">
        <v>6147.3620248428806</v>
      </c>
      <c r="BA15">
        <v>0.98050797401063194</v>
      </c>
      <c r="BB15" s="63">
        <v>6027.5375000000004</v>
      </c>
      <c r="BC15" s="61">
        <v>24.89581829059679</v>
      </c>
    </row>
    <row r="16" spans="1:55" x14ac:dyDescent="0.25">
      <c r="A16">
        <v>3693</v>
      </c>
      <c r="B16" t="s">
        <v>134</v>
      </c>
      <c r="C16">
        <v>2016</v>
      </c>
      <c r="D16">
        <v>5</v>
      </c>
      <c r="E16" t="s">
        <v>51</v>
      </c>
      <c r="F16" t="s">
        <v>449</v>
      </c>
      <c r="G16" t="s">
        <v>84</v>
      </c>
      <c r="H16" t="s">
        <v>381</v>
      </c>
      <c r="I16" t="s">
        <v>427</v>
      </c>
      <c r="J16">
        <v>-4.6399156000000001</v>
      </c>
      <c r="K16" t="s">
        <v>440</v>
      </c>
      <c r="L16" t="s">
        <v>450</v>
      </c>
      <c r="M16">
        <v>0.15011157993331001</v>
      </c>
      <c r="N16">
        <v>0.69650506109988286</v>
      </c>
      <c r="O16">
        <v>31615.94</v>
      </c>
      <c r="P16">
        <v>1.5814806999999999E-5</v>
      </c>
      <c r="Q16">
        <v>1</v>
      </c>
      <c r="R16" s="61">
        <v>0.69650506109988286</v>
      </c>
      <c r="S16" t="s">
        <v>431</v>
      </c>
      <c r="T16" t="s">
        <v>424</v>
      </c>
      <c r="U16" t="s">
        <v>425</v>
      </c>
      <c r="V16" t="s">
        <v>26</v>
      </c>
      <c r="W16">
        <v>111.133</v>
      </c>
      <c r="X16">
        <v>0.99656169611782708</v>
      </c>
      <c r="Y16">
        <v>110.7508909746625</v>
      </c>
      <c r="Z16">
        <v>691.73</v>
      </c>
      <c r="AA16">
        <v>1</v>
      </c>
      <c r="AB16">
        <v>76.609713813903269</v>
      </c>
      <c r="AC16">
        <v>1.0244</v>
      </c>
      <c r="AD16" s="63">
        <v>78.478999999999999</v>
      </c>
      <c r="AE16">
        <v>8.9176000000000002</v>
      </c>
      <c r="AF16">
        <v>8.8869385813003348</v>
      </c>
      <c r="AG16">
        <v>1</v>
      </c>
      <c r="AH16">
        <v>6147.3620248428806</v>
      </c>
      <c r="AI16">
        <v>1.0034718777899021</v>
      </c>
      <c r="AJ16" s="63">
        <v>6168.7048999999997</v>
      </c>
      <c r="AK16" s="61">
        <v>4296.5341832816466</v>
      </c>
      <c r="AL16" t="s">
        <v>423</v>
      </c>
      <c r="AM16" t="s">
        <v>424</v>
      </c>
      <c r="AN16" t="s">
        <v>425</v>
      </c>
      <c r="AO16" t="s">
        <v>26</v>
      </c>
      <c r="AP16">
        <v>111.133</v>
      </c>
      <c r="AQ16">
        <v>0.99656169611782708</v>
      </c>
      <c r="AR16">
        <v>110.7508909746625</v>
      </c>
      <c r="AS16">
        <v>691.73</v>
      </c>
      <c r="AT16">
        <v>1</v>
      </c>
      <c r="AU16">
        <v>76.609713813903269</v>
      </c>
      <c r="AV16">
        <v>1.0244</v>
      </c>
      <c r="AW16" s="63">
        <v>78.478999999999999</v>
      </c>
      <c r="AX16">
        <v>8.9176000000000002</v>
      </c>
      <c r="AY16">
        <v>1</v>
      </c>
      <c r="AZ16">
        <v>6147.3620248428806</v>
      </c>
      <c r="BA16">
        <v>1.0034718777899021</v>
      </c>
      <c r="BB16" s="63">
        <v>6168.7048999999997</v>
      </c>
      <c r="BC16" s="61">
        <v>4296.5341832816466</v>
      </c>
    </row>
    <row r="17" spans="1:55" x14ac:dyDescent="0.25">
      <c r="A17">
        <v>3694</v>
      </c>
      <c r="B17" t="s">
        <v>134</v>
      </c>
      <c r="C17">
        <v>2016</v>
      </c>
      <c r="D17">
        <v>5</v>
      </c>
      <c r="E17" t="s">
        <v>51</v>
      </c>
      <c r="F17" t="s">
        <v>449</v>
      </c>
      <c r="G17" t="s">
        <v>84</v>
      </c>
      <c r="H17" t="s">
        <v>381</v>
      </c>
      <c r="I17" t="s">
        <v>427</v>
      </c>
      <c r="J17">
        <v>-4.6399156000000001</v>
      </c>
      <c r="K17" t="s">
        <v>440</v>
      </c>
      <c r="L17" t="s">
        <v>384</v>
      </c>
      <c r="M17">
        <v>4.5811354346740003E-2</v>
      </c>
      <c r="N17">
        <v>0.21256081757663339</v>
      </c>
      <c r="O17">
        <v>31615.94</v>
      </c>
      <c r="P17">
        <v>1.5814806999999999E-5</v>
      </c>
      <c r="Q17">
        <v>1</v>
      </c>
      <c r="R17" s="61">
        <v>0.21256081757663339</v>
      </c>
      <c r="S17" t="s">
        <v>431</v>
      </c>
      <c r="T17" t="s">
        <v>424</v>
      </c>
      <c r="U17" t="s">
        <v>425</v>
      </c>
      <c r="V17" t="s">
        <v>81</v>
      </c>
      <c r="W17">
        <v>111.133</v>
      </c>
      <c r="X17">
        <v>0.99656169611782708</v>
      </c>
      <c r="Y17">
        <v>110.7508909746625</v>
      </c>
      <c r="Z17">
        <v>691.73</v>
      </c>
      <c r="AA17">
        <v>1</v>
      </c>
      <c r="AB17">
        <v>76.609713813903269</v>
      </c>
      <c r="AC17">
        <v>0.89239999999999997</v>
      </c>
      <c r="AD17" s="63">
        <v>68.367000000000004</v>
      </c>
      <c r="AE17">
        <v>8.9176000000000002</v>
      </c>
      <c r="AF17">
        <v>8.8869385813003348</v>
      </c>
      <c r="AG17">
        <v>1</v>
      </c>
      <c r="AH17">
        <v>6147.3620248428806</v>
      </c>
      <c r="AI17">
        <v>0.98143450184501846</v>
      </c>
      <c r="AJ17" s="63">
        <v>6033.2331999999997</v>
      </c>
      <c r="AK17" s="61">
        <v>1282.428981622488</v>
      </c>
      <c r="AL17" t="s">
        <v>423</v>
      </c>
      <c r="AM17" t="s">
        <v>424</v>
      </c>
      <c r="AN17" t="s">
        <v>425</v>
      </c>
      <c r="AO17" t="s">
        <v>81</v>
      </c>
      <c r="AP17">
        <v>111.133</v>
      </c>
      <c r="AQ17">
        <v>0.99656169611782708</v>
      </c>
      <c r="AR17">
        <v>110.7508909746625</v>
      </c>
      <c r="AS17">
        <v>691.73</v>
      </c>
      <c r="AT17">
        <v>1</v>
      </c>
      <c r="AU17">
        <v>76.609713813903269</v>
      </c>
      <c r="AV17">
        <v>0.89239999999999997</v>
      </c>
      <c r="AW17" s="63">
        <v>68.367000000000004</v>
      </c>
      <c r="AX17">
        <v>8.9176000000000002</v>
      </c>
      <c r="AY17">
        <v>1</v>
      </c>
      <c r="AZ17">
        <v>6147.3620248428806</v>
      </c>
      <c r="BA17">
        <v>0.98143450184501846</v>
      </c>
      <c r="BB17" s="63">
        <v>6033.2331999999997</v>
      </c>
      <c r="BC17" s="61">
        <v>1282.428981622488</v>
      </c>
    </row>
    <row r="18" spans="1:55" x14ac:dyDescent="0.25">
      <c r="A18">
        <v>3695</v>
      </c>
      <c r="B18" t="s">
        <v>134</v>
      </c>
      <c r="C18">
        <v>2016</v>
      </c>
      <c r="D18">
        <v>5</v>
      </c>
      <c r="E18" t="s">
        <v>51</v>
      </c>
      <c r="F18" t="s">
        <v>449</v>
      </c>
      <c r="G18" t="s">
        <v>84</v>
      </c>
      <c r="H18" t="s">
        <v>381</v>
      </c>
      <c r="I18" t="s">
        <v>427</v>
      </c>
      <c r="J18">
        <v>-4.6399156000000001</v>
      </c>
      <c r="K18" t="s">
        <v>440</v>
      </c>
      <c r="L18" t="s">
        <v>385</v>
      </c>
      <c r="M18">
        <v>0.43232641346992001</v>
      </c>
      <c r="N18">
        <v>2.0059580690759309</v>
      </c>
      <c r="O18">
        <v>31615.94</v>
      </c>
      <c r="P18">
        <v>1.5814806999999999E-5</v>
      </c>
      <c r="Q18">
        <v>1</v>
      </c>
      <c r="R18" s="61">
        <v>2.0059580690759309</v>
      </c>
      <c r="S18" t="s">
        <v>431</v>
      </c>
      <c r="T18" t="s">
        <v>424</v>
      </c>
      <c r="U18" t="s">
        <v>425</v>
      </c>
      <c r="V18" t="s">
        <v>27</v>
      </c>
      <c r="W18">
        <v>111.133</v>
      </c>
      <c r="X18">
        <v>0.99656169611782708</v>
      </c>
      <c r="Y18">
        <v>110.7508909746625</v>
      </c>
      <c r="Z18">
        <v>691.73</v>
      </c>
      <c r="AA18">
        <v>1</v>
      </c>
      <c r="AB18">
        <v>76.609713813903269</v>
      </c>
      <c r="AC18">
        <v>1.008</v>
      </c>
      <c r="AD18" s="63">
        <v>77.222999999999999</v>
      </c>
      <c r="AE18">
        <v>8.9176000000000002</v>
      </c>
      <c r="AF18">
        <v>8.8869385813003348</v>
      </c>
      <c r="AG18">
        <v>1</v>
      </c>
      <c r="AH18">
        <v>6147.3620248428806</v>
      </c>
      <c r="AI18">
        <v>1.01312551271534</v>
      </c>
      <c r="AJ18" s="63">
        <v>6228.0492999999997</v>
      </c>
      <c r="AK18" s="61">
        <v>12493.205747937711</v>
      </c>
      <c r="AL18" t="s">
        <v>423</v>
      </c>
      <c r="AM18" t="s">
        <v>424</v>
      </c>
      <c r="AN18" t="s">
        <v>425</v>
      </c>
      <c r="AO18" t="s">
        <v>27</v>
      </c>
      <c r="AP18">
        <v>111.133</v>
      </c>
      <c r="AQ18">
        <v>0.99656169611782708</v>
      </c>
      <c r="AR18">
        <v>110.7508909746625</v>
      </c>
      <c r="AS18">
        <v>691.73</v>
      </c>
      <c r="AT18">
        <v>1</v>
      </c>
      <c r="AU18">
        <v>76.609713813903269</v>
      </c>
      <c r="AV18">
        <v>1.008</v>
      </c>
      <c r="AW18" s="63">
        <v>77.222999999999999</v>
      </c>
      <c r="AX18">
        <v>8.9176000000000002</v>
      </c>
      <c r="AY18">
        <v>1</v>
      </c>
      <c r="AZ18">
        <v>6147.3620248428806</v>
      </c>
      <c r="BA18">
        <v>1.01312551271534</v>
      </c>
      <c r="BB18" s="63">
        <v>6228.0492999999997</v>
      </c>
      <c r="BC18" s="61">
        <v>12493.205747937711</v>
      </c>
    </row>
    <row r="19" spans="1:55" x14ac:dyDescent="0.25">
      <c r="A19">
        <v>3696</v>
      </c>
      <c r="B19" t="s">
        <v>134</v>
      </c>
      <c r="C19">
        <v>2016</v>
      </c>
      <c r="D19">
        <v>5</v>
      </c>
      <c r="E19" t="s">
        <v>51</v>
      </c>
      <c r="F19" t="s">
        <v>449</v>
      </c>
      <c r="G19" t="s">
        <v>84</v>
      </c>
      <c r="H19" t="s">
        <v>381</v>
      </c>
      <c r="I19" t="s">
        <v>427</v>
      </c>
      <c r="J19">
        <v>-4.6399156000000001</v>
      </c>
      <c r="K19" t="s">
        <v>440</v>
      </c>
      <c r="L19" t="s">
        <v>451</v>
      </c>
      <c r="M19">
        <v>1.6825115802299999E-3</v>
      </c>
      <c r="N19">
        <v>7.8067117241054033E-3</v>
      </c>
      <c r="O19">
        <v>31615.94</v>
      </c>
      <c r="P19">
        <v>1.5814806999999999E-5</v>
      </c>
      <c r="Q19">
        <v>1</v>
      </c>
      <c r="R19" s="61">
        <v>7.8067117241054033E-3</v>
      </c>
      <c r="S19" t="s">
        <v>431</v>
      </c>
      <c r="T19" t="s">
        <v>424</v>
      </c>
      <c r="U19" t="s">
        <v>425</v>
      </c>
      <c r="V19" t="s">
        <v>91</v>
      </c>
      <c r="W19">
        <v>111.133</v>
      </c>
      <c r="X19">
        <v>0.99656169611782708</v>
      </c>
      <c r="Y19">
        <v>110.7508909746625</v>
      </c>
      <c r="Z19">
        <v>691.73</v>
      </c>
      <c r="AA19">
        <v>1</v>
      </c>
      <c r="AB19">
        <v>76.609713813903269</v>
      </c>
      <c r="AC19">
        <v>1.0368999999999999</v>
      </c>
      <c r="AD19" s="63">
        <v>79.436999999999998</v>
      </c>
      <c r="AE19">
        <v>8.9176000000000002</v>
      </c>
      <c r="AF19">
        <v>8.8869385813003348</v>
      </c>
      <c r="AG19">
        <v>1</v>
      </c>
      <c r="AH19">
        <v>6147.3620248428806</v>
      </c>
      <c r="AI19">
        <v>0.98272159312768448</v>
      </c>
      <c r="AJ19" s="63">
        <v>6041.1454000000003</v>
      </c>
      <c r="AK19" s="61">
        <v>47.161480621205428</v>
      </c>
      <c r="AL19" t="s">
        <v>423</v>
      </c>
      <c r="AM19" t="s">
        <v>424</v>
      </c>
      <c r="AN19" t="s">
        <v>425</v>
      </c>
      <c r="AO19" t="s">
        <v>91</v>
      </c>
      <c r="AP19">
        <v>111.133</v>
      </c>
      <c r="AQ19">
        <v>0.99656169611782708</v>
      </c>
      <c r="AR19">
        <v>110.7508909746625</v>
      </c>
      <c r="AS19">
        <v>691.73</v>
      </c>
      <c r="AT19">
        <v>1</v>
      </c>
      <c r="AU19">
        <v>76.609713813903269</v>
      </c>
      <c r="AV19">
        <v>1.0368999999999999</v>
      </c>
      <c r="AW19" s="63">
        <v>79.436999999999998</v>
      </c>
      <c r="AX19">
        <v>8.9176000000000002</v>
      </c>
      <c r="AY19">
        <v>1</v>
      </c>
      <c r="AZ19">
        <v>6147.3620248428806</v>
      </c>
      <c r="BA19">
        <v>0.98272159312768448</v>
      </c>
      <c r="BB19" s="63">
        <v>6041.1454000000003</v>
      </c>
      <c r="BC19" s="61">
        <v>47.161480621205428</v>
      </c>
    </row>
    <row r="20" spans="1:55" x14ac:dyDescent="0.25">
      <c r="A20">
        <v>3697</v>
      </c>
      <c r="B20" t="s">
        <v>134</v>
      </c>
      <c r="C20">
        <v>2016</v>
      </c>
      <c r="D20">
        <v>5</v>
      </c>
      <c r="E20" t="s">
        <v>51</v>
      </c>
      <c r="F20" t="s">
        <v>449</v>
      </c>
      <c r="G20" t="s">
        <v>84</v>
      </c>
      <c r="H20" t="s">
        <v>381</v>
      </c>
      <c r="I20" t="s">
        <v>427</v>
      </c>
      <c r="J20">
        <v>-4.6399156000000001</v>
      </c>
      <c r="K20" t="s">
        <v>440</v>
      </c>
      <c r="L20" t="s">
        <v>452</v>
      </c>
      <c r="M20">
        <v>1.53682162831E-3</v>
      </c>
      <c r="N20">
        <v>7.1307226437908782E-3</v>
      </c>
      <c r="O20">
        <v>31615.94</v>
      </c>
      <c r="P20">
        <v>1.5814806999999999E-5</v>
      </c>
      <c r="Q20">
        <v>1</v>
      </c>
      <c r="R20" s="61">
        <v>7.1307226437908782E-3</v>
      </c>
      <c r="S20" t="s">
        <v>431</v>
      </c>
      <c r="T20" t="s">
        <v>424</v>
      </c>
      <c r="U20" t="s">
        <v>425</v>
      </c>
      <c r="V20" t="s">
        <v>28</v>
      </c>
      <c r="W20">
        <v>111.133</v>
      </c>
      <c r="X20">
        <v>0.99656169611782708</v>
      </c>
      <c r="Y20">
        <v>110.7508909746625</v>
      </c>
      <c r="Z20">
        <v>691.73</v>
      </c>
      <c r="AA20">
        <v>1</v>
      </c>
      <c r="AB20">
        <v>76.609713813903269</v>
      </c>
      <c r="AC20">
        <v>1.0342</v>
      </c>
      <c r="AD20" s="63">
        <v>79.23</v>
      </c>
      <c r="AE20">
        <v>8.9176000000000002</v>
      </c>
      <c r="AF20">
        <v>8.8869385813003348</v>
      </c>
      <c r="AG20">
        <v>1</v>
      </c>
      <c r="AH20">
        <v>6147.3620248428806</v>
      </c>
      <c r="AI20">
        <v>0.98050797401063194</v>
      </c>
      <c r="AJ20" s="63">
        <v>6027.5375000000004</v>
      </c>
      <c r="AK20" s="61">
        <v>42.980698137548657</v>
      </c>
      <c r="AL20" t="s">
        <v>423</v>
      </c>
      <c r="AM20" t="s">
        <v>424</v>
      </c>
      <c r="AN20" t="s">
        <v>425</v>
      </c>
      <c r="AO20" t="s">
        <v>28</v>
      </c>
      <c r="AP20">
        <v>111.133</v>
      </c>
      <c r="AQ20">
        <v>0.99656169611782708</v>
      </c>
      <c r="AR20">
        <v>110.7508909746625</v>
      </c>
      <c r="AS20">
        <v>691.73</v>
      </c>
      <c r="AT20">
        <v>1</v>
      </c>
      <c r="AU20">
        <v>76.609713813903269</v>
      </c>
      <c r="AV20">
        <v>1.0342</v>
      </c>
      <c r="AW20" s="63">
        <v>79.23</v>
      </c>
      <c r="AX20">
        <v>8.9176000000000002</v>
      </c>
      <c r="AY20">
        <v>1</v>
      </c>
      <c r="AZ20">
        <v>6147.3620248428806</v>
      </c>
      <c r="BA20">
        <v>0.98050797401063194</v>
      </c>
      <c r="BB20" s="63">
        <v>6027.5375000000004</v>
      </c>
      <c r="BC20" s="61">
        <v>42.980698137548657</v>
      </c>
    </row>
    <row r="21" spans="1:55" x14ac:dyDescent="0.25">
      <c r="A21">
        <v>3698</v>
      </c>
      <c r="B21" t="s">
        <v>134</v>
      </c>
      <c r="C21">
        <v>2016</v>
      </c>
      <c r="D21">
        <v>5</v>
      </c>
      <c r="E21" t="s">
        <v>51</v>
      </c>
      <c r="F21" t="s">
        <v>449</v>
      </c>
      <c r="G21" t="s">
        <v>84</v>
      </c>
      <c r="H21" t="s">
        <v>87</v>
      </c>
      <c r="I21" t="s">
        <v>427</v>
      </c>
      <c r="J21">
        <v>-0.9543722</v>
      </c>
      <c r="K21" t="s">
        <v>440</v>
      </c>
      <c r="L21" t="s">
        <v>450</v>
      </c>
      <c r="M21">
        <v>0.26601384014995</v>
      </c>
      <c r="N21">
        <v>0.25387621335978872</v>
      </c>
      <c r="O21">
        <v>31615.94</v>
      </c>
      <c r="P21">
        <v>1.5814806999999999E-5</v>
      </c>
      <c r="Q21">
        <v>1</v>
      </c>
      <c r="R21" s="61">
        <v>0.25387621335978872</v>
      </c>
      <c r="S21" t="s">
        <v>431</v>
      </c>
      <c r="T21" t="s">
        <v>424</v>
      </c>
      <c r="U21" t="s">
        <v>425</v>
      </c>
      <c r="V21" t="s">
        <v>26</v>
      </c>
      <c r="W21">
        <v>111.133</v>
      </c>
      <c r="X21">
        <v>0.99656169611782708</v>
      </c>
      <c r="Y21">
        <v>110.7508909746625</v>
      </c>
      <c r="Z21">
        <v>691.73</v>
      </c>
      <c r="AA21">
        <v>1</v>
      </c>
      <c r="AB21">
        <v>76.609713813903269</v>
      </c>
      <c r="AC21">
        <v>1.0244</v>
      </c>
      <c r="AD21" s="63">
        <v>78.478999999999999</v>
      </c>
      <c r="AE21">
        <v>8.9176000000000002</v>
      </c>
      <c r="AF21">
        <v>8.8869385813003348</v>
      </c>
      <c r="AG21">
        <v>1</v>
      </c>
      <c r="AH21">
        <v>6147.3620248428806</v>
      </c>
      <c r="AI21">
        <v>1.0034718777899021</v>
      </c>
      <c r="AJ21" s="63">
        <v>6168.7048999999997</v>
      </c>
      <c r="AK21" s="61">
        <v>1566.087441345974</v>
      </c>
      <c r="AL21" t="s">
        <v>423</v>
      </c>
      <c r="AM21" t="s">
        <v>424</v>
      </c>
      <c r="AN21" t="s">
        <v>425</v>
      </c>
      <c r="AO21" t="s">
        <v>26</v>
      </c>
      <c r="AP21">
        <v>111.133</v>
      </c>
      <c r="AQ21">
        <v>0.99656169611782708</v>
      </c>
      <c r="AR21">
        <v>110.7508909746625</v>
      </c>
      <c r="AS21">
        <v>691.73</v>
      </c>
      <c r="AT21">
        <v>1</v>
      </c>
      <c r="AU21">
        <v>76.609713813903269</v>
      </c>
      <c r="AV21">
        <v>1.0244</v>
      </c>
      <c r="AW21" s="63">
        <v>78.478999999999999</v>
      </c>
      <c r="AX21">
        <v>8.9176000000000002</v>
      </c>
      <c r="AY21">
        <v>1</v>
      </c>
      <c r="AZ21">
        <v>6147.3620248428806</v>
      </c>
      <c r="BA21">
        <v>1.0034718777899021</v>
      </c>
      <c r="BB21" s="63">
        <v>6168.7048999999997</v>
      </c>
      <c r="BC21" s="61">
        <v>1566.087441345974</v>
      </c>
    </row>
    <row r="22" spans="1:55" x14ac:dyDescent="0.25">
      <c r="A22">
        <v>3699</v>
      </c>
      <c r="B22" t="s">
        <v>134</v>
      </c>
      <c r="C22">
        <v>2016</v>
      </c>
      <c r="D22">
        <v>5</v>
      </c>
      <c r="E22" t="s">
        <v>51</v>
      </c>
      <c r="F22" t="s">
        <v>449</v>
      </c>
      <c r="G22" t="s">
        <v>84</v>
      </c>
      <c r="H22" t="s">
        <v>87</v>
      </c>
      <c r="I22" t="s">
        <v>427</v>
      </c>
      <c r="J22">
        <v>-0.9543722</v>
      </c>
      <c r="K22" t="s">
        <v>440</v>
      </c>
      <c r="L22" t="s">
        <v>384</v>
      </c>
      <c r="M22">
        <v>3.9509559941419997E-2</v>
      </c>
      <c r="N22">
        <v>3.7706825568869513E-2</v>
      </c>
      <c r="O22">
        <v>31615.94</v>
      </c>
      <c r="P22">
        <v>1.5814806999999999E-5</v>
      </c>
      <c r="Q22">
        <v>1</v>
      </c>
      <c r="R22" s="61">
        <v>3.7706825568869513E-2</v>
      </c>
      <c r="S22" t="s">
        <v>431</v>
      </c>
      <c r="T22" t="s">
        <v>424</v>
      </c>
      <c r="U22" t="s">
        <v>425</v>
      </c>
      <c r="V22" t="s">
        <v>81</v>
      </c>
      <c r="W22">
        <v>111.133</v>
      </c>
      <c r="X22">
        <v>0.99656169611782708</v>
      </c>
      <c r="Y22">
        <v>110.7508909746625</v>
      </c>
      <c r="Z22">
        <v>691.73</v>
      </c>
      <c r="AA22">
        <v>1</v>
      </c>
      <c r="AB22">
        <v>76.609713813903269</v>
      </c>
      <c r="AC22">
        <v>0.89239999999999997</v>
      </c>
      <c r="AD22" s="63">
        <v>68.367000000000004</v>
      </c>
      <c r="AE22">
        <v>8.9176000000000002</v>
      </c>
      <c r="AF22">
        <v>8.8869385813003348</v>
      </c>
      <c r="AG22">
        <v>1</v>
      </c>
      <c r="AH22">
        <v>6147.3620248428806</v>
      </c>
      <c r="AI22">
        <v>0.98143450184501846</v>
      </c>
      <c r="AJ22" s="63">
        <v>6033.2331999999997</v>
      </c>
      <c r="AK22" s="61">
        <v>227.4940718887124</v>
      </c>
      <c r="AL22" t="s">
        <v>423</v>
      </c>
      <c r="AM22" t="s">
        <v>424</v>
      </c>
      <c r="AN22" t="s">
        <v>425</v>
      </c>
      <c r="AO22" t="s">
        <v>81</v>
      </c>
      <c r="AP22">
        <v>111.133</v>
      </c>
      <c r="AQ22">
        <v>0.99656169611782708</v>
      </c>
      <c r="AR22">
        <v>110.7508909746625</v>
      </c>
      <c r="AS22">
        <v>691.73</v>
      </c>
      <c r="AT22">
        <v>1</v>
      </c>
      <c r="AU22">
        <v>76.609713813903269</v>
      </c>
      <c r="AV22">
        <v>0.89239999999999997</v>
      </c>
      <c r="AW22" s="63">
        <v>68.367000000000004</v>
      </c>
      <c r="AX22">
        <v>8.9176000000000002</v>
      </c>
      <c r="AY22">
        <v>1</v>
      </c>
      <c r="AZ22">
        <v>6147.3620248428806</v>
      </c>
      <c r="BA22">
        <v>0.98143450184501846</v>
      </c>
      <c r="BB22" s="63">
        <v>6033.2331999999997</v>
      </c>
      <c r="BC22" s="61">
        <v>227.4940718887124</v>
      </c>
    </row>
    <row r="23" spans="1:55" x14ac:dyDescent="0.25">
      <c r="A23">
        <v>3700</v>
      </c>
      <c r="B23" t="s">
        <v>134</v>
      </c>
      <c r="C23">
        <v>2016</v>
      </c>
      <c r="D23">
        <v>5</v>
      </c>
      <c r="E23" t="s">
        <v>51</v>
      </c>
      <c r="F23" t="s">
        <v>449</v>
      </c>
      <c r="G23" t="s">
        <v>84</v>
      </c>
      <c r="H23" t="s">
        <v>87</v>
      </c>
      <c r="I23" t="s">
        <v>427</v>
      </c>
      <c r="J23">
        <v>-0.9543722</v>
      </c>
      <c r="K23" t="s">
        <v>440</v>
      </c>
      <c r="L23" t="s">
        <v>385</v>
      </c>
      <c r="M23">
        <v>0.39737542925016001</v>
      </c>
      <c r="N23">
        <v>0.37924406190062732</v>
      </c>
      <c r="O23">
        <v>31615.94</v>
      </c>
      <c r="P23">
        <v>1.5814806999999999E-5</v>
      </c>
      <c r="Q23">
        <v>1</v>
      </c>
      <c r="R23" s="61">
        <v>0.37924406190062732</v>
      </c>
      <c r="S23" t="s">
        <v>431</v>
      </c>
      <c r="T23" t="s">
        <v>424</v>
      </c>
      <c r="U23" t="s">
        <v>425</v>
      </c>
      <c r="V23" t="s">
        <v>27</v>
      </c>
      <c r="W23">
        <v>111.133</v>
      </c>
      <c r="X23">
        <v>0.99656169611782708</v>
      </c>
      <c r="Y23">
        <v>110.7508909746625</v>
      </c>
      <c r="Z23">
        <v>691.73</v>
      </c>
      <c r="AA23">
        <v>1</v>
      </c>
      <c r="AB23">
        <v>76.609713813903269</v>
      </c>
      <c r="AC23">
        <v>1.008</v>
      </c>
      <c r="AD23" s="63">
        <v>77.222999999999999</v>
      </c>
      <c r="AE23">
        <v>8.9176000000000002</v>
      </c>
      <c r="AF23">
        <v>8.8869385813003348</v>
      </c>
      <c r="AG23">
        <v>1</v>
      </c>
      <c r="AH23">
        <v>6147.3620248428806</v>
      </c>
      <c r="AI23">
        <v>1.01312551271534</v>
      </c>
      <c r="AJ23" s="63">
        <v>6228.0492999999997</v>
      </c>
      <c r="AK23" s="61">
        <v>2361.950714249358</v>
      </c>
      <c r="AL23" t="s">
        <v>423</v>
      </c>
      <c r="AM23" t="s">
        <v>424</v>
      </c>
      <c r="AN23" t="s">
        <v>425</v>
      </c>
      <c r="AO23" t="s">
        <v>27</v>
      </c>
      <c r="AP23">
        <v>111.133</v>
      </c>
      <c r="AQ23">
        <v>0.99656169611782708</v>
      </c>
      <c r="AR23">
        <v>110.7508909746625</v>
      </c>
      <c r="AS23">
        <v>691.73</v>
      </c>
      <c r="AT23">
        <v>1</v>
      </c>
      <c r="AU23">
        <v>76.609713813903269</v>
      </c>
      <c r="AV23">
        <v>1.008</v>
      </c>
      <c r="AW23" s="63">
        <v>77.222999999999999</v>
      </c>
      <c r="AX23">
        <v>8.9176000000000002</v>
      </c>
      <c r="AY23">
        <v>1</v>
      </c>
      <c r="AZ23">
        <v>6147.3620248428806</v>
      </c>
      <c r="BA23">
        <v>1.01312551271534</v>
      </c>
      <c r="BB23" s="63">
        <v>6228.0492999999997</v>
      </c>
      <c r="BC23" s="61">
        <v>2361.950714249358</v>
      </c>
    </row>
    <row r="24" spans="1:55" x14ac:dyDescent="0.25">
      <c r="A24">
        <v>3701</v>
      </c>
      <c r="B24" t="s">
        <v>134</v>
      </c>
      <c r="C24">
        <v>2016</v>
      </c>
      <c r="D24">
        <v>5</v>
      </c>
      <c r="E24" t="s">
        <v>51</v>
      </c>
      <c r="F24" t="s">
        <v>449</v>
      </c>
      <c r="G24" t="s">
        <v>84</v>
      </c>
      <c r="H24" t="s">
        <v>87</v>
      </c>
      <c r="I24" t="s">
        <v>427</v>
      </c>
      <c r="J24">
        <v>-0.9543722</v>
      </c>
      <c r="K24" t="s">
        <v>440</v>
      </c>
      <c r="L24" t="s">
        <v>452</v>
      </c>
      <c r="M24">
        <v>8.4248020759000004E-4</v>
      </c>
      <c r="N24">
        <v>8.0403968760780315E-4</v>
      </c>
      <c r="O24">
        <v>31615.94</v>
      </c>
      <c r="P24">
        <v>1.5814806999999999E-5</v>
      </c>
      <c r="Q24">
        <v>1</v>
      </c>
      <c r="R24" s="61">
        <v>8.0403968760780315E-4</v>
      </c>
      <c r="S24" t="s">
        <v>431</v>
      </c>
      <c r="T24" t="s">
        <v>424</v>
      </c>
      <c r="U24" t="s">
        <v>425</v>
      </c>
      <c r="V24" t="s">
        <v>28</v>
      </c>
      <c r="W24">
        <v>111.133</v>
      </c>
      <c r="X24">
        <v>0.99656169611782708</v>
      </c>
      <c r="Y24">
        <v>110.7508909746625</v>
      </c>
      <c r="Z24">
        <v>691.73</v>
      </c>
      <c r="AA24">
        <v>1</v>
      </c>
      <c r="AB24">
        <v>76.609713813903269</v>
      </c>
      <c r="AC24">
        <v>1.0342</v>
      </c>
      <c r="AD24" s="63">
        <v>79.23</v>
      </c>
      <c r="AE24">
        <v>8.9176000000000002</v>
      </c>
      <c r="AF24">
        <v>8.8869385813003348</v>
      </c>
      <c r="AG24">
        <v>1</v>
      </c>
      <c r="AH24">
        <v>6147.3620248428806</v>
      </c>
      <c r="AI24">
        <v>0.98050797401063194</v>
      </c>
      <c r="AJ24" s="63">
        <v>6027.5375000000004</v>
      </c>
      <c r="AK24" s="61">
        <v>4.8463793685443193</v>
      </c>
      <c r="AL24" t="s">
        <v>423</v>
      </c>
      <c r="AM24" t="s">
        <v>424</v>
      </c>
      <c r="AN24" t="s">
        <v>425</v>
      </c>
      <c r="AO24" t="s">
        <v>28</v>
      </c>
      <c r="AP24">
        <v>111.133</v>
      </c>
      <c r="AQ24">
        <v>0.99656169611782708</v>
      </c>
      <c r="AR24">
        <v>110.7508909746625</v>
      </c>
      <c r="AS24">
        <v>691.73</v>
      </c>
      <c r="AT24">
        <v>1</v>
      </c>
      <c r="AU24">
        <v>76.609713813903269</v>
      </c>
      <c r="AV24">
        <v>1.0342</v>
      </c>
      <c r="AW24" s="63">
        <v>79.23</v>
      </c>
      <c r="AX24">
        <v>8.9176000000000002</v>
      </c>
      <c r="AY24">
        <v>1</v>
      </c>
      <c r="AZ24">
        <v>6147.3620248428806</v>
      </c>
      <c r="BA24">
        <v>0.98050797401063194</v>
      </c>
      <c r="BB24" s="63">
        <v>6027.5375000000004</v>
      </c>
      <c r="BC24" s="61">
        <v>4.8463793685443193</v>
      </c>
    </row>
    <row r="25" spans="1:55" x14ac:dyDescent="0.25">
      <c r="A25">
        <v>3702</v>
      </c>
      <c r="B25" t="s">
        <v>134</v>
      </c>
      <c r="C25">
        <v>2016</v>
      </c>
      <c r="D25">
        <v>5</v>
      </c>
      <c r="E25" t="s">
        <v>51</v>
      </c>
      <c r="F25" t="s">
        <v>449</v>
      </c>
      <c r="G25" t="s">
        <v>84</v>
      </c>
      <c r="H25" t="s">
        <v>59</v>
      </c>
      <c r="I25" t="s">
        <v>427</v>
      </c>
      <c r="J25">
        <v>-2.7798718999999998</v>
      </c>
      <c r="K25" t="s">
        <v>440</v>
      </c>
      <c r="L25" t="s">
        <v>450</v>
      </c>
      <c r="M25">
        <v>0.15931709696460999</v>
      </c>
      <c r="N25">
        <v>0.44288112039006822</v>
      </c>
      <c r="O25">
        <v>31615.94</v>
      </c>
      <c r="P25">
        <v>1.5814806999999999E-5</v>
      </c>
      <c r="Q25">
        <v>1</v>
      </c>
      <c r="R25" s="61">
        <v>0.44288112039006822</v>
      </c>
      <c r="S25" t="s">
        <v>431</v>
      </c>
      <c r="T25" t="s">
        <v>424</v>
      </c>
      <c r="U25" t="s">
        <v>425</v>
      </c>
      <c r="V25" t="s">
        <v>26</v>
      </c>
      <c r="W25">
        <v>111.133</v>
      </c>
      <c r="X25">
        <v>0.99656169611782708</v>
      </c>
      <c r="Y25">
        <v>110.7508909746625</v>
      </c>
      <c r="Z25">
        <v>691.73</v>
      </c>
      <c r="AA25">
        <v>1</v>
      </c>
      <c r="AB25">
        <v>76.609713813903269</v>
      </c>
      <c r="AC25">
        <v>1.0244</v>
      </c>
      <c r="AD25" s="63">
        <v>78.478999999999999</v>
      </c>
      <c r="AE25">
        <v>8.9176000000000002</v>
      </c>
      <c r="AF25">
        <v>8.8869385813003348</v>
      </c>
      <c r="AG25">
        <v>1</v>
      </c>
      <c r="AH25">
        <v>6147.3620248428806</v>
      </c>
      <c r="AI25">
        <v>1.0034718777899021</v>
      </c>
      <c r="AJ25" s="63">
        <v>6168.7048999999997</v>
      </c>
      <c r="AK25" s="61">
        <v>2732.0029374677042</v>
      </c>
      <c r="AL25" t="s">
        <v>423</v>
      </c>
      <c r="AM25" t="s">
        <v>424</v>
      </c>
      <c r="AN25" t="s">
        <v>425</v>
      </c>
      <c r="AO25" t="s">
        <v>26</v>
      </c>
      <c r="AP25">
        <v>111.133</v>
      </c>
      <c r="AQ25">
        <v>0.99656169611782708</v>
      </c>
      <c r="AR25">
        <v>110.7508909746625</v>
      </c>
      <c r="AS25">
        <v>691.73</v>
      </c>
      <c r="AT25">
        <v>1</v>
      </c>
      <c r="AU25">
        <v>76.609713813903269</v>
      </c>
      <c r="AV25">
        <v>1.0244</v>
      </c>
      <c r="AW25" s="63">
        <v>78.478999999999999</v>
      </c>
      <c r="AX25">
        <v>8.9176000000000002</v>
      </c>
      <c r="AY25">
        <v>1</v>
      </c>
      <c r="AZ25">
        <v>6147.3620248428806</v>
      </c>
      <c r="BA25">
        <v>1.0034718777899021</v>
      </c>
      <c r="BB25" s="63">
        <v>6168.7048999999997</v>
      </c>
      <c r="BC25" s="61">
        <v>2732.0029374677042</v>
      </c>
    </row>
    <row r="26" spans="1:55" x14ac:dyDescent="0.25">
      <c r="A26">
        <v>3703</v>
      </c>
      <c r="B26" t="s">
        <v>134</v>
      </c>
      <c r="C26">
        <v>2016</v>
      </c>
      <c r="D26">
        <v>5</v>
      </c>
      <c r="E26" t="s">
        <v>51</v>
      </c>
      <c r="F26" t="s">
        <v>449</v>
      </c>
      <c r="G26" t="s">
        <v>84</v>
      </c>
      <c r="H26" t="s">
        <v>59</v>
      </c>
      <c r="I26" t="s">
        <v>427</v>
      </c>
      <c r="J26">
        <v>-2.7798718999999998</v>
      </c>
      <c r="K26" t="s">
        <v>440</v>
      </c>
      <c r="L26" t="s">
        <v>384</v>
      </c>
      <c r="M26">
        <v>4.1785183859599999E-2</v>
      </c>
      <c r="N26">
        <v>0.11615745827678151</v>
      </c>
      <c r="O26">
        <v>31615.94</v>
      </c>
      <c r="P26">
        <v>1.5814806999999999E-5</v>
      </c>
      <c r="Q26">
        <v>1</v>
      </c>
      <c r="R26" s="61">
        <v>0.11615745827678151</v>
      </c>
      <c r="S26" t="s">
        <v>431</v>
      </c>
      <c r="T26" t="s">
        <v>424</v>
      </c>
      <c r="U26" t="s">
        <v>425</v>
      </c>
      <c r="V26" t="s">
        <v>81</v>
      </c>
      <c r="W26">
        <v>111.133</v>
      </c>
      <c r="X26">
        <v>0.99656169611782708</v>
      </c>
      <c r="Y26">
        <v>110.7508909746625</v>
      </c>
      <c r="Z26">
        <v>691.73</v>
      </c>
      <c r="AA26">
        <v>1</v>
      </c>
      <c r="AB26">
        <v>76.609713813903269</v>
      </c>
      <c r="AC26">
        <v>0.89239999999999997</v>
      </c>
      <c r="AD26" s="63">
        <v>68.367000000000004</v>
      </c>
      <c r="AE26">
        <v>8.9176000000000002</v>
      </c>
      <c r="AF26">
        <v>8.8869385813003348</v>
      </c>
      <c r="AG26">
        <v>1</v>
      </c>
      <c r="AH26">
        <v>6147.3620248428806</v>
      </c>
      <c r="AI26">
        <v>0.98143450184501846</v>
      </c>
      <c r="AJ26" s="63">
        <v>6033.2331999999997</v>
      </c>
      <c r="AK26" s="61">
        <v>700.80503370309305</v>
      </c>
      <c r="AL26" t="s">
        <v>423</v>
      </c>
      <c r="AM26" t="s">
        <v>424</v>
      </c>
      <c r="AN26" t="s">
        <v>425</v>
      </c>
      <c r="AO26" t="s">
        <v>81</v>
      </c>
      <c r="AP26">
        <v>111.133</v>
      </c>
      <c r="AQ26">
        <v>0.99656169611782708</v>
      </c>
      <c r="AR26">
        <v>110.7508909746625</v>
      </c>
      <c r="AS26">
        <v>691.73</v>
      </c>
      <c r="AT26">
        <v>1</v>
      </c>
      <c r="AU26">
        <v>76.609713813903269</v>
      </c>
      <c r="AV26">
        <v>0.89239999999999997</v>
      </c>
      <c r="AW26" s="63">
        <v>68.367000000000004</v>
      </c>
      <c r="AX26">
        <v>8.9176000000000002</v>
      </c>
      <c r="AY26">
        <v>1</v>
      </c>
      <c r="AZ26">
        <v>6147.3620248428806</v>
      </c>
      <c r="BA26">
        <v>0.98143450184501846</v>
      </c>
      <c r="BB26" s="63">
        <v>6033.2331999999997</v>
      </c>
      <c r="BC26" s="61">
        <v>700.80503370309305</v>
      </c>
    </row>
    <row r="27" spans="1:55" x14ac:dyDescent="0.25">
      <c r="A27">
        <v>3704</v>
      </c>
      <c r="B27" t="s">
        <v>134</v>
      </c>
      <c r="C27">
        <v>2016</v>
      </c>
      <c r="D27">
        <v>5</v>
      </c>
      <c r="E27" t="s">
        <v>51</v>
      </c>
      <c r="F27" t="s">
        <v>449</v>
      </c>
      <c r="G27" t="s">
        <v>84</v>
      </c>
      <c r="H27" t="s">
        <v>59</v>
      </c>
      <c r="I27" t="s">
        <v>427</v>
      </c>
      <c r="J27">
        <v>-2.7798718999999998</v>
      </c>
      <c r="K27" t="s">
        <v>440</v>
      </c>
      <c r="L27" t="s">
        <v>385</v>
      </c>
      <c r="M27">
        <v>0.43497567483749999</v>
      </c>
      <c r="N27">
        <v>1.209176653885746</v>
      </c>
      <c r="O27">
        <v>31615.94</v>
      </c>
      <c r="P27">
        <v>1.5814806999999999E-5</v>
      </c>
      <c r="Q27">
        <v>1</v>
      </c>
      <c r="R27" s="61">
        <v>1.209176653885746</v>
      </c>
      <c r="S27" t="s">
        <v>431</v>
      </c>
      <c r="T27" t="s">
        <v>424</v>
      </c>
      <c r="U27" t="s">
        <v>425</v>
      </c>
      <c r="V27" t="s">
        <v>27</v>
      </c>
      <c r="W27">
        <v>111.133</v>
      </c>
      <c r="X27">
        <v>0.99656169611782708</v>
      </c>
      <c r="Y27">
        <v>110.7508909746625</v>
      </c>
      <c r="Z27">
        <v>691.73</v>
      </c>
      <c r="AA27">
        <v>1</v>
      </c>
      <c r="AB27">
        <v>76.609713813903269</v>
      </c>
      <c r="AC27">
        <v>1.008</v>
      </c>
      <c r="AD27" s="63">
        <v>77.222999999999999</v>
      </c>
      <c r="AE27">
        <v>8.9176000000000002</v>
      </c>
      <c r="AF27">
        <v>8.8869385813003348</v>
      </c>
      <c r="AG27">
        <v>1</v>
      </c>
      <c r="AH27">
        <v>6147.3620248428806</v>
      </c>
      <c r="AI27">
        <v>1.01312551271534</v>
      </c>
      <c r="AJ27" s="63">
        <v>6228.0492999999997</v>
      </c>
      <c r="AK27" s="61">
        <v>7530.8118128094611</v>
      </c>
      <c r="AL27" t="s">
        <v>423</v>
      </c>
      <c r="AM27" t="s">
        <v>424</v>
      </c>
      <c r="AN27" t="s">
        <v>425</v>
      </c>
      <c r="AO27" t="s">
        <v>27</v>
      </c>
      <c r="AP27">
        <v>111.133</v>
      </c>
      <c r="AQ27">
        <v>0.99656169611782708</v>
      </c>
      <c r="AR27">
        <v>110.7508909746625</v>
      </c>
      <c r="AS27">
        <v>691.73</v>
      </c>
      <c r="AT27">
        <v>1</v>
      </c>
      <c r="AU27">
        <v>76.609713813903269</v>
      </c>
      <c r="AV27">
        <v>1.008</v>
      </c>
      <c r="AW27" s="63">
        <v>77.222999999999999</v>
      </c>
      <c r="AX27">
        <v>8.9176000000000002</v>
      </c>
      <c r="AY27">
        <v>1</v>
      </c>
      <c r="AZ27">
        <v>6147.3620248428806</v>
      </c>
      <c r="BA27">
        <v>1.01312551271534</v>
      </c>
      <c r="BB27" s="63">
        <v>6228.0492999999997</v>
      </c>
      <c r="BC27" s="61">
        <v>7530.8118128094611</v>
      </c>
    </row>
    <row r="28" spans="1:55" x14ac:dyDescent="0.25">
      <c r="A28">
        <v>3705</v>
      </c>
      <c r="B28" t="s">
        <v>134</v>
      </c>
      <c r="C28">
        <v>2016</v>
      </c>
      <c r="D28">
        <v>5</v>
      </c>
      <c r="E28" t="s">
        <v>51</v>
      </c>
      <c r="F28" t="s">
        <v>449</v>
      </c>
      <c r="G28" t="s">
        <v>84</v>
      </c>
      <c r="H28" t="s">
        <v>59</v>
      </c>
      <c r="I28" t="s">
        <v>427</v>
      </c>
      <c r="J28">
        <v>-2.7798718999999998</v>
      </c>
      <c r="K28" t="s">
        <v>440</v>
      </c>
      <c r="L28" t="s">
        <v>451</v>
      </c>
      <c r="M28">
        <v>1.7625750762999999E-3</v>
      </c>
      <c r="N28">
        <v>4.8997329190397908E-3</v>
      </c>
      <c r="O28">
        <v>31615.94</v>
      </c>
      <c r="P28">
        <v>1.5814806999999999E-5</v>
      </c>
      <c r="Q28">
        <v>1</v>
      </c>
      <c r="R28" s="61">
        <v>4.8997329190397908E-3</v>
      </c>
      <c r="S28" t="s">
        <v>431</v>
      </c>
      <c r="T28" t="s">
        <v>424</v>
      </c>
      <c r="U28" t="s">
        <v>425</v>
      </c>
      <c r="V28" t="s">
        <v>91</v>
      </c>
      <c r="W28">
        <v>111.133</v>
      </c>
      <c r="X28">
        <v>0.99656169611782708</v>
      </c>
      <c r="Y28">
        <v>110.7508909746625</v>
      </c>
      <c r="Z28">
        <v>691.73</v>
      </c>
      <c r="AA28">
        <v>1</v>
      </c>
      <c r="AB28">
        <v>76.609713813903269</v>
      </c>
      <c r="AC28">
        <v>1.0368999999999999</v>
      </c>
      <c r="AD28" s="63">
        <v>79.436999999999998</v>
      </c>
      <c r="AE28">
        <v>8.9176000000000002</v>
      </c>
      <c r="AF28">
        <v>8.8869385813003348</v>
      </c>
      <c r="AG28">
        <v>1</v>
      </c>
      <c r="AH28">
        <v>6147.3620248428806</v>
      </c>
      <c r="AI28">
        <v>0.98272159312768448</v>
      </c>
      <c r="AJ28" s="63">
        <v>6041.1454000000003</v>
      </c>
      <c r="AK28" s="61">
        <v>29.599998985085811</v>
      </c>
      <c r="AL28" t="s">
        <v>423</v>
      </c>
      <c r="AM28" t="s">
        <v>424</v>
      </c>
      <c r="AN28" t="s">
        <v>425</v>
      </c>
      <c r="AO28" t="s">
        <v>91</v>
      </c>
      <c r="AP28">
        <v>111.133</v>
      </c>
      <c r="AQ28">
        <v>0.99656169611782708</v>
      </c>
      <c r="AR28">
        <v>110.7508909746625</v>
      </c>
      <c r="AS28">
        <v>691.73</v>
      </c>
      <c r="AT28">
        <v>1</v>
      </c>
      <c r="AU28">
        <v>76.609713813903269</v>
      </c>
      <c r="AV28">
        <v>1.0368999999999999</v>
      </c>
      <c r="AW28" s="63">
        <v>79.436999999999998</v>
      </c>
      <c r="AX28">
        <v>8.9176000000000002</v>
      </c>
      <c r="AY28">
        <v>1</v>
      </c>
      <c r="AZ28">
        <v>6147.3620248428806</v>
      </c>
      <c r="BA28">
        <v>0.98272159312768448</v>
      </c>
      <c r="BB28" s="63">
        <v>6041.1454000000003</v>
      </c>
      <c r="BC28" s="61">
        <v>29.599998985085811</v>
      </c>
    </row>
    <row r="29" spans="1:55" x14ac:dyDescent="0.25">
      <c r="A29">
        <v>3706</v>
      </c>
      <c r="B29" t="s">
        <v>134</v>
      </c>
      <c r="C29">
        <v>2016</v>
      </c>
      <c r="D29">
        <v>5</v>
      </c>
      <c r="E29" t="s">
        <v>51</v>
      </c>
      <c r="F29" t="s">
        <v>449</v>
      </c>
      <c r="G29" t="s">
        <v>84</v>
      </c>
      <c r="H29" t="s">
        <v>59</v>
      </c>
      <c r="I29" t="s">
        <v>427</v>
      </c>
      <c r="J29">
        <v>-2.7798718999999998</v>
      </c>
      <c r="K29" t="s">
        <v>440</v>
      </c>
      <c r="L29" t="s">
        <v>452</v>
      </c>
      <c r="M29">
        <v>1.4858046103299999E-3</v>
      </c>
      <c r="N29">
        <v>4.1303464790715593E-3</v>
      </c>
      <c r="O29">
        <v>31615.94</v>
      </c>
      <c r="P29">
        <v>1.5814806999999999E-5</v>
      </c>
      <c r="Q29">
        <v>1</v>
      </c>
      <c r="R29" s="61">
        <v>4.1303464790715593E-3</v>
      </c>
      <c r="S29" t="s">
        <v>431</v>
      </c>
      <c r="T29" t="s">
        <v>424</v>
      </c>
      <c r="U29" t="s">
        <v>425</v>
      </c>
      <c r="V29" t="s">
        <v>28</v>
      </c>
      <c r="W29">
        <v>111.133</v>
      </c>
      <c r="X29">
        <v>0.99656169611782708</v>
      </c>
      <c r="Y29">
        <v>110.7508909746625</v>
      </c>
      <c r="Z29">
        <v>691.73</v>
      </c>
      <c r="AA29">
        <v>1</v>
      </c>
      <c r="AB29">
        <v>76.609713813903269</v>
      </c>
      <c r="AC29">
        <v>1.0342</v>
      </c>
      <c r="AD29" s="63">
        <v>79.23</v>
      </c>
      <c r="AE29">
        <v>8.9176000000000002</v>
      </c>
      <c r="AF29">
        <v>8.8869385813003348</v>
      </c>
      <c r="AG29">
        <v>1</v>
      </c>
      <c r="AH29">
        <v>6147.3620248428806</v>
      </c>
      <c r="AI29">
        <v>0.98050797401063194</v>
      </c>
      <c r="AJ29" s="63">
        <v>6027.5375000000004</v>
      </c>
      <c r="AK29" s="61">
        <v>24.89581829059679</v>
      </c>
      <c r="AL29" t="s">
        <v>423</v>
      </c>
      <c r="AM29" t="s">
        <v>424</v>
      </c>
      <c r="AN29" t="s">
        <v>425</v>
      </c>
      <c r="AO29" t="s">
        <v>28</v>
      </c>
      <c r="AP29">
        <v>111.133</v>
      </c>
      <c r="AQ29">
        <v>0.99656169611782708</v>
      </c>
      <c r="AR29">
        <v>110.7508909746625</v>
      </c>
      <c r="AS29">
        <v>691.73</v>
      </c>
      <c r="AT29">
        <v>1</v>
      </c>
      <c r="AU29">
        <v>76.609713813903269</v>
      </c>
      <c r="AV29">
        <v>1.0342</v>
      </c>
      <c r="AW29" s="63">
        <v>79.23</v>
      </c>
      <c r="AX29">
        <v>8.9176000000000002</v>
      </c>
      <c r="AY29">
        <v>1</v>
      </c>
      <c r="AZ29">
        <v>6147.3620248428806</v>
      </c>
      <c r="BA29">
        <v>0.98050797401063194</v>
      </c>
      <c r="BB29" s="63">
        <v>6027.5375000000004</v>
      </c>
      <c r="BC29" s="61">
        <v>24.89581829059679</v>
      </c>
    </row>
    <row r="30" spans="1:55" x14ac:dyDescent="0.25">
      <c r="A30">
        <v>4866</v>
      </c>
      <c r="B30" t="s">
        <v>136</v>
      </c>
      <c r="C30">
        <v>2016</v>
      </c>
      <c r="D30">
        <v>6</v>
      </c>
      <c r="E30" t="s">
        <v>51</v>
      </c>
      <c r="F30" t="s">
        <v>449</v>
      </c>
      <c r="G30" t="s">
        <v>84</v>
      </c>
      <c r="H30" t="s">
        <v>381</v>
      </c>
      <c r="I30" t="s">
        <v>427</v>
      </c>
      <c r="J30">
        <v>-4.6404793099999999</v>
      </c>
      <c r="K30" t="s">
        <v>440</v>
      </c>
      <c r="L30" t="s">
        <v>450</v>
      </c>
      <c r="M30">
        <v>0.15011157993331001</v>
      </c>
      <c r="N30">
        <v>0.69658968083759387</v>
      </c>
      <c r="O30">
        <v>31615.94</v>
      </c>
      <c r="P30">
        <v>1.5814806999999999E-5</v>
      </c>
      <c r="Q30">
        <v>1</v>
      </c>
      <c r="R30" s="61">
        <v>0.69658968083759387</v>
      </c>
      <c r="S30" t="s">
        <v>432</v>
      </c>
      <c r="T30" t="s">
        <v>424</v>
      </c>
      <c r="U30" t="s">
        <v>425</v>
      </c>
      <c r="V30" t="s">
        <v>26</v>
      </c>
      <c r="W30">
        <v>111.133</v>
      </c>
      <c r="X30">
        <v>0.99656169611782708</v>
      </c>
      <c r="Y30">
        <v>110.7508909746625</v>
      </c>
      <c r="Z30">
        <v>691.73</v>
      </c>
      <c r="AA30">
        <v>1</v>
      </c>
      <c r="AB30">
        <v>76.609713813903269</v>
      </c>
      <c r="AC30">
        <v>1.0244</v>
      </c>
      <c r="AD30" s="63">
        <v>78.478999999999999</v>
      </c>
      <c r="AE30">
        <v>8.9176000000000002</v>
      </c>
      <c r="AF30">
        <v>8.8869385813003348</v>
      </c>
      <c r="AG30">
        <v>1</v>
      </c>
      <c r="AH30">
        <v>6147.3620248428806</v>
      </c>
      <c r="AI30">
        <v>1.0034718777899021</v>
      </c>
      <c r="AJ30" s="63">
        <v>6168.7048999999997</v>
      </c>
      <c r="AK30" s="61">
        <v>4297.056177472301</v>
      </c>
      <c r="AL30" t="s">
        <v>423</v>
      </c>
      <c r="AM30" t="s">
        <v>424</v>
      </c>
      <c r="AN30" t="s">
        <v>425</v>
      </c>
      <c r="AO30" t="s">
        <v>26</v>
      </c>
      <c r="AP30">
        <v>111.133</v>
      </c>
      <c r="AQ30">
        <v>0.99656169611782708</v>
      </c>
      <c r="AR30">
        <v>110.7508909746625</v>
      </c>
      <c r="AS30">
        <v>691.73</v>
      </c>
      <c r="AT30">
        <v>1</v>
      </c>
      <c r="AU30">
        <v>76.609713813903269</v>
      </c>
      <c r="AV30">
        <v>1.0244</v>
      </c>
      <c r="AW30" s="63">
        <v>78.478999999999999</v>
      </c>
      <c r="AX30">
        <v>8.9176000000000002</v>
      </c>
      <c r="AY30">
        <v>1</v>
      </c>
      <c r="AZ30">
        <v>6147.3620248428806</v>
      </c>
      <c r="BA30">
        <v>1.0034718777899021</v>
      </c>
      <c r="BB30" s="63">
        <v>6168.7048999999997</v>
      </c>
      <c r="BC30" s="61">
        <v>4297.056177472301</v>
      </c>
    </row>
    <row r="31" spans="1:55" x14ac:dyDescent="0.25">
      <c r="A31">
        <v>4867</v>
      </c>
      <c r="B31" t="s">
        <v>136</v>
      </c>
      <c r="C31">
        <v>2016</v>
      </c>
      <c r="D31">
        <v>6</v>
      </c>
      <c r="E31" t="s">
        <v>51</v>
      </c>
      <c r="F31" t="s">
        <v>449</v>
      </c>
      <c r="G31" t="s">
        <v>84</v>
      </c>
      <c r="H31" t="s">
        <v>381</v>
      </c>
      <c r="I31" t="s">
        <v>427</v>
      </c>
      <c r="J31">
        <v>-4.6404793099999999</v>
      </c>
      <c r="K31" t="s">
        <v>440</v>
      </c>
      <c r="L31" t="s">
        <v>384</v>
      </c>
      <c r="M31">
        <v>4.5811354346740003E-2</v>
      </c>
      <c r="N31">
        <v>0.21258664199864491</v>
      </c>
      <c r="O31">
        <v>31615.94</v>
      </c>
      <c r="P31">
        <v>1.5814806999999999E-5</v>
      </c>
      <c r="Q31">
        <v>1</v>
      </c>
      <c r="R31" s="61">
        <v>0.21258664199864491</v>
      </c>
      <c r="S31" t="s">
        <v>432</v>
      </c>
      <c r="T31" t="s">
        <v>424</v>
      </c>
      <c r="U31" t="s">
        <v>425</v>
      </c>
      <c r="V31" t="s">
        <v>81</v>
      </c>
      <c r="W31">
        <v>111.133</v>
      </c>
      <c r="X31">
        <v>0.99656169611782708</v>
      </c>
      <c r="Y31">
        <v>110.7508909746625</v>
      </c>
      <c r="Z31">
        <v>691.73</v>
      </c>
      <c r="AA31">
        <v>1</v>
      </c>
      <c r="AB31">
        <v>76.609713813903269</v>
      </c>
      <c r="AC31">
        <v>0.89239999999999997</v>
      </c>
      <c r="AD31" s="63">
        <v>68.367000000000004</v>
      </c>
      <c r="AE31">
        <v>8.9176000000000002</v>
      </c>
      <c r="AF31">
        <v>8.8869385813003348</v>
      </c>
      <c r="AG31">
        <v>1</v>
      </c>
      <c r="AH31">
        <v>6147.3620248428806</v>
      </c>
      <c r="AI31">
        <v>0.98143450184501846</v>
      </c>
      <c r="AJ31" s="63">
        <v>6033.2331999999997</v>
      </c>
      <c r="AK31" s="61">
        <v>1282.5847863827389</v>
      </c>
      <c r="AL31" t="s">
        <v>423</v>
      </c>
      <c r="AM31" t="s">
        <v>424</v>
      </c>
      <c r="AN31" t="s">
        <v>425</v>
      </c>
      <c r="AO31" t="s">
        <v>81</v>
      </c>
      <c r="AP31">
        <v>111.133</v>
      </c>
      <c r="AQ31">
        <v>0.99656169611782708</v>
      </c>
      <c r="AR31">
        <v>110.7508909746625</v>
      </c>
      <c r="AS31">
        <v>691.73</v>
      </c>
      <c r="AT31">
        <v>1</v>
      </c>
      <c r="AU31">
        <v>76.609713813903269</v>
      </c>
      <c r="AV31">
        <v>0.89239999999999997</v>
      </c>
      <c r="AW31" s="63">
        <v>68.367000000000004</v>
      </c>
      <c r="AX31">
        <v>8.9176000000000002</v>
      </c>
      <c r="AY31">
        <v>1</v>
      </c>
      <c r="AZ31">
        <v>6147.3620248428806</v>
      </c>
      <c r="BA31">
        <v>0.98143450184501846</v>
      </c>
      <c r="BB31" s="63">
        <v>6033.2331999999997</v>
      </c>
      <c r="BC31" s="61">
        <v>1282.5847863827389</v>
      </c>
    </row>
    <row r="32" spans="1:55" x14ac:dyDescent="0.25">
      <c r="A32">
        <v>4868</v>
      </c>
      <c r="B32" t="s">
        <v>136</v>
      </c>
      <c r="C32">
        <v>2016</v>
      </c>
      <c r="D32">
        <v>6</v>
      </c>
      <c r="E32" t="s">
        <v>51</v>
      </c>
      <c r="F32" t="s">
        <v>449</v>
      </c>
      <c r="G32" t="s">
        <v>84</v>
      </c>
      <c r="H32" t="s">
        <v>381</v>
      </c>
      <c r="I32" t="s">
        <v>427</v>
      </c>
      <c r="J32">
        <v>-4.6404793099999999</v>
      </c>
      <c r="K32" t="s">
        <v>440</v>
      </c>
      <c r="L32" t="s">
        <v>385</v>
      </c>
      <c r="M32">
        <v>0.43232641346992001</v>
      </c>
      <c r="N32">
        <v>2.0062017767747622</v>
      </c>
      <c r="O32">
        <v>31615.94</v>
      </c>
      <c r="P32">
        <v>1.5814806999999999E-5</v>
      </c>
      <c r="Q32">
        <v>1</v>
      </c>
      <c r="R32" s="61">
        <v>2.0062017767747622</v>
      </c>
      <c r="S32" t="s">
        <v>432</v>
      </c>
      <c r="T32" t="s">
        <v>424</v>
      </c>
      <c r="U32" t="s">
        <v>425</v>
      </c>
      <c r="V32" t="s">
        <v>27</v>
      </c>
      <c r="W32">
        <v>111.133</v>
      </c>
      <c r="X32">
        <v>0.99656169611782708</v>
      </c>
      <c r="Y32">
        <v>110.7508909746625</v>
      </c>
      <c r="Z32">
        <v>691.73</v>
      </c>
      <c r="AA32">
        <v>1</v>
      </c>
      <c r="AB32">
        <v>76.609713813903269</v>
      </c>
      <c r="AC32">
        <v>1.008</v>
      </c>
      <c r="AD32" s="63">
        <v>77.222999999999999</v>
      </c>
      <c r="AE32">
        <v>8.9176000000000002</v>
      </c>
      <c r="AF32">
        <v>8.8869385813003348</v>
      </c>
      <c r="AG32">
        <v>1</v>
      </c>
      <c r="AH32">
        <v>6147.3620248428806</v>
      </c>
      <c r="AI32">
        <v>1.01312551271534</v>
      </c>
      <c r="AJ32" s="63">
        <v>6228.0492999999997</v>
      </c>
      <c r="AK32" s="61">
        <v>12494.72357150081</v>
      </c>
      <c r="AL32" t="s">
        <v>423</v>
      </c>
      <c r="AM32" t="s">
        <v>424</v>
      </c>
      <c r="AN32" t="s">
        <v>425</v>
      </c>
      <c r="AO32" t="s">
        <v>27</v>
      </c>
      <c r="AP32">
        <v>111.133</v>
      </c>
      <c r="AQ32">
        <v>0.99656169611782708</v>
      </c>
      <c r="AR32">
        <v>110.7508909746625</v>
      </c>
      <c r="AS32">
        <v>691.73</v>
      </c>
      <c r="AT32">
        <v>1</v>
      </c>
      <c r="AU32">
        <v>76.609713813903269</v>
      </c>
      <c r="AV32">
        <v>1.008</v>
      </c>
      <c r="AW32" s="63">
        <v>77.222999999999999</v>
      </c>
      <c r="AX32">
        <v>8.9176000000000002</v>
      </c>
      <c r="AY32">
        <v>1</v>
      </c>
      <c r="AZ32">
        <v>6147.3620248428806</v>
      </c>
      <c r="BA32">
        <v>1.01312551271534</v>
      </c>
      <c r="BB32" s="63">
        <v>6228.0492999999997</v>
      </c>
      <c r="BC32" s="61">
        <v>12494.72357150081</v>
      </c>
    </row>
    <row r="33" spans="1:55" x14ac:dyDescent="0.25">
      <c r="A33">
        <v>4869</v>
      </c>
      <c r="B33" t="s">
        <v>136</v>
      </c>
      <c r="C33">
        <v>2016</v>
      </c>
      <c r="D33">
        <v>6</v>
      </c>
      <c r="E33" t="s">
        <v>51</v>
      </c>
      <c r="F33" t="s">
        <v>449</v>
      </c>
      <c r="G33" t="s">
        <v>84</v>
      </c>
      <c r="H33" t="s">
        <v>381</v>
      </c>
      <c r="I33" t="s">
        <v>427</v>
      </c>
      <c r="J33">
        <v>-4.6404793099999999</v>
      </c>
      <c r="K33" t="s">
        <v>440</v>
      </c>
      <c r="L33" t="s">
        <v>451</v>
      </c>
      <c r="M33">
        <v>1.6825115802299999E-3</v>
      </c>
      <c r="N33">
        <v>7.8076601765077963E-3</v>
      </c>
      <c r="O33">
        <v>31615.94</v>
      </c>
      <c r="P33">
        <v>1.5814806999999999E-5</v>
      </c>
      <c r="Q33">
        <v>1</v>
      </c>
      <c r="R33" s="61">
        <v>7.8076601765077963E-3</v>
      </c>
      <c r="S33" t="s">
        <v>432</v>
      </c>
      <c r="T33" t="s">
        <v>424</v>
      </c>
      <c r="U33" t="s">
        <v>425</v>
      </c>
      <c r="V33" t="s">
        <v>91</v>
      </c>
      <c r="W33">
        <v>111.133</v>
      </c>
      <c r="X33">
        <v>0.99656169611782708</v>
      </c>
      <c r="Y33">
        <v>110.7508909746625</v>
      </c>
      <c r="Z33">
        <v>691.73</v>
      </c>
      <c r="AA33">
        <v>1</v>
      </c>
      <c r="AB33">
        <v>76.609713813903269</v>
      </c>
      <c r="AC33">
        <v>1.0368999999999999</v>
      </c>
      <c r="AD33" s="63">
        <v>79.436999999999998</v>
      </c>
      <c r="AE33">
        <v>8.9176000000000002</v>
      </c>
      <c r="AF33">
        <v>8.8869385813003348</v>
      </c>
      <c r="AG33">
        <v>1</v>
      </c>
      <c r="AH33">
        <v>6147.3620248428806</v>
      </c>
      <c r="AI33">
        <v>0.98272159312768448</v>
      </c>
      <c r="AJ33" s="63">
        <v>6041.1454000000003</v>
      </c>
      <c r="AK33" s="61">
        <v>47.167210360073263</v>
      </c>
      <c r="AL33" t="s">
        <v>423</v>
      </c>
      <c r="AM33" t="s">
        <v>424</v>
      </c>
      <c r="AN33" t="s">
        <v>425</v>
      </c>
      <c r="AO33" t="s">
        <v>91</v>
      </c>
      <c r="AP33">
        <v>111.133</v>
      </c>
      <c r="AQ33">
        <v>0.99656169611782708</v>
      </c>
      <c r="AR33">
        <v>110.7508909746625</v>
      </c>
      <c r="AS33">
        <v>691.73</v>
      </c>
      <c r="AT33">
        <v>1</v>
      </c>
      <c r="AU33">
        <v>76.609713813903269</v>
      </c>
      <c r="AV33">
        <v>1.0368999999999999</v>
      </c>
      <c r="AW33" s="63">
        <v>79.436999999999998</v>
      </c>
      <c r="AX33">
        <v>8.9176000000000002</v>
      </c>
      <c r="AY33">
        <v>1</v>
      </c>
      <c r="AZ33">
        <v>6147.3620248428806</v>
      </c>
      <c r="BA33">
        <v>0.98272159312768448</v>
      </c>
      <c r="BB33" s="63">
        <v>6041.1454000000003</v>
      </c>
      <c r="BC33" s="61">
        <v>47.167210360073263</v>
      </c>
    </row>
    <row r="34" spans="1:55" x14ac:dyDescent="0.25">
      <c r="A34">
        <v>4870</v>
      </c>
      <c r="B34" t="s">
        <v>136</v>
      </c>
      <c r="C34">
        <v>2016</v>
      </c>
      <c r="D34">
        <v>6</v>
      </c>
      <c r="E34" t="s">
        <v>51</v>
      </c>
      <c r="F34" t="s">
        <v>449</v>
      </c>
      <c r="G34" t="s">
        <v>84</v>
      </c>
      <c r="H34" t="s">
        <v>381</v>
      </c>
      <c r="I34" t="s">
        <v>427</v>
      </c>
      <c r="J34">
        <v>-4.6404793099999999</v>
      </c>
      <c r="K34" t="s">
        <v>440</v>
      </c>
      <c r="L34" t="s">
        <v>452</v>
      </c>
      <c r="M34">
        <v>1.53682162831E-3</v>
      </c>
      <c r="N34">
        <v>7.1315889689814727E-3</v>
      </c>
      <c r="O34">
        <v>31615.94</v>
      </c>
      <c r="P34">
        <v>1.5814806999999999E-5</v>
      </c>
      <c r="Q34">
        <v>1</v>
      </c>
      <c r="R34" s="61">
        <v>7.1315889689814727E-3</v>
      </c>
      <c r="S34" t="s">
        <v>432</v>
      </c>
      <c r="T34" t="s">
        <v>424</v>
      </c>
      <c r="U34" t="s">
        <v>425</v>
      </c>
      <c r="V34" t="s">
        <v>28</v>
      </c>
      <c r="W34">
        <v>111.133</v>
      </c>
      <c r="X34">
        <v>0.99656169611782708</v>
      </c>
      <c r="Y34">
        <v>110.7508909746625</v>
      </c>
      <c r="Z34">
        <v>691.73</v>
      </c>
      <c r="AA34">
        <v>1</v>
      </c>
      <c r="AB34">
        <v>76.609713813903269</v>
      </c>
      <c r="AC34">
        <v>1.0342</v>
      </c>
      <c r="AD34" s="63">
        <v>79.23</v>
      </c>
      <c r="AE34">
        <v>8.9176000000000002</v>
      </c>
      <c r="AF34">
        <v>8.8869385813003348</v>
      </c>
      <c r="AG34">
        <v>1</v>
      </c>
      <c r="AH34">
        <v>6147.3620248428806</v>
      </c>
      <c r="AI34">
        <v>0.98050797401063194</v>
      </c>
      <c r="AJ34" s="63">
        <v>6027.5375000000004</v>
      </c>
      <c r="AK34" s="61">
        <v>42.985919945122163</v>
      </c>
      <c r="AL34" t="s">
        <v>423</v>
      </c>
      <c r="AM34" t="s">
        <v>424</v>
      </c>
      <c r="AN34" t="s">
        <v>425</v>
      </c>
      <c r="AO34" t="s">
        <v>28</v>
      </c>
      <c r="AP34">
        <v>111.133</v>
      </c>
      <c r="AQ34">
        <v>0.99656169611782708</v>
      </c>
      <c r="AR34">
        <v>110.7508909746625</v>
      </c>
      <c r="AS34">
        <v>691.73</v>
      </c>
      <c r="AT34">
        <v>1</v>
      </c>
      <c r="AU34">
        <v>76.609713813903269</v>
      </c>
      <c r="AV34">
        <v>1.0342</v>
      </c>
      <c r="AW34" s="63">
        <v>79.23</v>
      </c>
      <c r="AX34">
        <v>8.9176000000000002</v>
      </c>
      <c r="AY34">
        <v>1</v>
      </c>
      <c r="AZ34">
        <v>6147.3620248428806</v>
      </c>
      <c r="BA34">
        <v>0.98050797401063194</v>
      </c>
      <c r="BB34" s="63">
        <v>6027.5375000000004</v>
      </c>
      <c r="BC34" s="61">
        <v>42.985919945122163</v>
      </c>
    </row>
    <row r="35" spans="1:55" x14ac:dyDescent="0.25">
      <c r="A35">
        <v>4871</v>
      </c>
      <c r="B35" t="s">
        <v>136</v>
      </c>
      <c r="C35">
        <v>2016</v>
      </c>
      <c r="D35">
        <v>6</v>
      </c>
      <c r="E35" t="s">
        <v>51</v>
      </c>
      <c r="F35" t="s">
        <v>449</v>
      </c>
      <c r="G35" t="s">
        <v>84</v>
      </c>
      <c r="H35" t="s">
        <v>87</v>
      </c>
      <c r="I35" t="s">
        <v>427</v>
      </c>
      <c r="J35">
        <v>-0.95448814999999998</v>
      </c>
      <c r="K35" t="s">
        <v>440</v>
      </c>
      <c r="L35" t="s">
        <v>450</v>
      </c>
      <c r="M35">
        <v>0.26601384014995</v>
      </c>
      <c r="N35">
        <v>0.25390705726859192</v>
      </c>
      <c r="O35">
        <v>31615.94</v>
      </c>
      <c r="P35">
        <v>1.5814806999999999E-5</v>
      </c>
      <c r="Q35">
        <v>1</v>
      </c>
      <c r="R35" s="61">
        <v>0.25390705726859192</v>
      </c>
      <c r="S35" t="s">
        <v>432</v>
      </c>
      <c r="T35" t="s">
        <v>424</v>
      </c>
      <c r="U35" t="s">
        <v>425</v>
      </c>
      <c r="V35" t="s">
        <v>26</v>
      </c>
      <c r="W35">
        <v>111.133</v>
      </c>
      <c r="X35">
        <v>0.99656169611782708</v>
      </c>
      <c r="Y35">
        <v>110.7508909746625</v>
      </c>
      <c r="Z35">
        <v>691.73</v>
      </c>
      <c r="AA35">
        <v>1</v>
      </c>
      <c r="AB35">
        <v>76.609713813903269</v>
      </c>
      <c r="AC35">
        <v>1.0244</v>
      </c>
      <c r="AD35" s="63">
        <v>78.478999999999999</v>
      </c>
      <c r="AE35">
        <v>8.9176000000000002</v>
      </c>
      <c r="AF35">
        <v>8.8869385813003348</v>
      </c>
      <c r="AG35">
        <v>1</v>
      </c>
      <c r="AH35">
        <v>6147.3620248428806</v>
      </c>
      <c r="AI35">
        <v>1.0034718777899021</v>
      </c>
      <c r="AJ35" s="63">
        <v>6168.7048999999997</v>
      </c>
      <c r="AK35" s="61">
        <v>1566.277708317343</v>
      </c>
      <c r="AL35" t="s">
        <v>423</v>
      </c>
      <c r="AM35" t="s">
        <v>424</v>
      </c>
      <c r="AN35" t="s">
        <v>425</v>
      </c>
      <c r="AO35" t="s">
        <v>26</v>
      </c>
      <c r="AP35">
        <v>111.133</v>
      </c>
      <c r="AQ35">
        <v>0.99656169611782708</v>
      </c>
      <c r="AR35">
        <v>110.7508909746625</v>
      </c>
      <c r="AS35">
        <v>691.73</v>
      </c>
      <c r="AT35">
        <v>1</v>
      </c>
      <c r="AU35">
        <v>76.609713813903269</v>
      </c>
      <c r="AV35">
        <v>1.0244</v>
      </c>
      <c r="AW35" s="63">
        <v>78.478999999999999</v>
      </c>
      <c r="AX35">
        <v>8.9176000000000002</v>
      </c>
      <c r="AY35">
        <v>1</v>
      </c>
      <c r="AZ35">
        <v>6147.3620248428806</v>
      </c>
      <c r="BA35">
        <v>1.0034718777899021</v>
      </c>
      <c r="BB35" s="63">
        <v>6168.7048999999997</v>
      </c>
      <c r="BC35" s="61">
        <v>1566.277708317343</v>
      </c>
    </row>
    <row r="36" spans="1:55" x14ac:dyDescent="0.25">
      <c r="A36">
        <v>4872</v>
      </c>
      <c r="B36" t="s">
        <v>136</v>
      </c>
      <c r="C36">
        <v>2016</v>
      </c>
      <c r="D36">
        <v>6</v>
      </c>
      <c r="E36" t="s">
        <v>51</v>
      </c>
      <c r="F36" t="s">
        <v>449</v>
      </c>
      <c r="G36" t="s">
        <v>84</v>
      </c>
      <c r="H36" t="s">
        <v>87</v>
      </c>
      <c r="I36" t="s">
        <v>427</v>
      </c>
      <c r="J36">
        <v>-0.95448814999999998</v>
      </c>
      <c r="K36" t="s">
        <v>440</v>
      </c>
      <c r="L36" t="s">
        <v>384</v>
      </c>
      <c r="M36">
        <v>3.9509559941419997E-2</v>
      </c>
      <c r="N36">
        <v>3.7711406643534673E-2</v>
      </c>
      <c r="O36">
        <v>31615.94</v>
      </c>
      <c r="P36">
        <v>1.5814806999999999E-5</v>
      </c>
      <c r="Q36">
        <v>1</v>
      </c>
      <c r="R36" s="61">
        <v>3.7711406643534673E-2</v>
      </c>
      <c r="S36" t="s">
        <v>432</v>
      </c>
      <c r="T36" t="s">
        <v>424</v>
      </c>
      <c r="U36" t="s">
        <v>425</v>
      </c>
      <c r="V36" t="s">
        <v>81</v>
      </c>
      <c r="W36">
        <v>111.133</v>
      </c>
      <c r="X36">
        <v>0.99656169611782708</v>
      </c>
      <c r="Y36">
        <v>110.7508909746625</v>
      </c>
      <c r="Z36">
        <v>691.73</v>
      </c>
      <c r="AA36">
        <v>1</v>
      </c>
      <c r="AB36">
        <v>76.609713813903269</v>
      </c>
      <c r="AC36">
        <v>0.89239999999999997</v>
      </c>
      <c r="AD36" s="63">
        <v>68.367000000000004</v>
      </c>
      <c r="AE36">
        <v>8.9176000000000002</v>
      </c>
      <c r="AF36">
        <v>8.8869385813003348</v>
      </c>
      <c r="AG36">
        <v>1</v>
      </c>
      <c r="AH36">
        <v>6147.3620248428806</v>
      </c>
      <c r="AI36">
        <v>0.98143450184501846</v>
      </c>
      <c r="AJ36" s="63">
        <v>6033.2331999999997</v>
      </c>
      <c r="AK36" s="61">
        <v>227.52171058047389</v>
      </c>
      <c r="AL36" t="s">
        <v>423</v>
      </c>
      <c r="AM36" t="s">
        <v>424</v>
      </c>
      <c r="AN36" t="s">
        <v>425</v>
      </c>
      <c r="AO36" t="s">
        <v>81</v>
      </c>
      <c r="AP36">
        <v>111.133</v>
      </c>
      <c r="AQ36">
        <v>0.99656169611782708</v>
      </c>
      <c r="AR36">
        <v>110.7508909746625</v>
      </c>
      <c r="AS36">
        <v>691.73</v>
      </c>
      <c r="AT36">
        <v>1</v>
      </c>
      <c r="AU36">
        <v>76.609713813903269</v>
      </c>
      <c r="AV36">
        <v>0.89239999999999997</v>
      </c>
      <c r="AW36" s="63">
        <v>68.367000000000004</v>
      </c>
      <c r="AX36">
        <v>8.9176000000000002</v>
      </c>
      <c r="AY36">
        <v>1</v>
      </c>
      <c r="AZ36">
        <v>6147.3620248428806</v>
      </c>
      <c r="BA36">
        <v>0.98143450184501846</v>
      </c>
      <c r="BB36" s="63">
        <v>6033.2331999999997</v>
      </c>
      <c r="BC36" s="61">
        <v>227.52171058047389</v>
      </c>
    </row>
    <row r="37" spans="1:55" x14ac:dyDescent="0.25">
      <c r="A37">
        <v>4873</v>
      </c>
      <c r="B37" t="s">
        <v>136</v>
      </c>
      <c r="C37">
        <v>2016</v>
      </c>
      <c r="D37">
        <v>6</v>
      </c>
      <c r="E37" t="s">
        <v>51</v>
      </c>
      <c r="F37" t="s">
        <v>449</v>
      </c>
      <c r="G37" t="s">
        <v>84</v>
      </c>
      <c r="H37" t="s">
        <v>87</v>
      </c>
      <c r="I37" t="s">
        <v>427</v>
      </c>
      <c r="J37">
        <v>-0.95448814999999998</v>
      </c>
      <c r="K37" t="s">
        <v>440</v>
      </c>
      <c r="L37" t="s">
        <v>385</v>
      </c>
      <c r="M37">
        <v>0.39737542925016001</v>
      </c>
      <c r="N37">
        <v>0.37929013699015479</v>
      </c>
      <c r="O37">
        <v>31615.94</v>
      </c>
      <c r="P37">
        <v>1.5814806999999999E-5</v>
      </c>
      <c r="Q37">
        <v>1</v>
      </c>
      <c r="R37" s="61">
        <v>0.37929013699015479</v>
      </c>
      <c r="S37" t="s">
        <v>432</v>
      </c>
      <c r="T37" t="s">
        <v>424</v>
      </c>
      <c r="U37" t="s">
        <v>425</v>
      </c>
      <c r="V37" t="s">
        <v>27</v>
      </c>
      <c r="W37">
        <v>111.133</v>
      </c>
      <c r="X37">
        <v>0.99656169611782708</v>
      </c>
      <c r="Y37">
        <v>110.7508909746625</v>
      </c>
      <c r="Z37">
        <v>691.73</v>
      </c>
      <c r="AA37">
        <v>1</v>
      </c>
      <c r="AB37">
        <v>76.609713813903269</v>
      </c>
      <c r="AC37">
        <v>1.008</v>
      </c>
      <c r="AD37" s="63">
        <v>77.222999999999999</v>
      </c>
      <c r="AE37">
        <v>8.9176000000000002</v>
      </c>
      <c r="AF37">
        <v>8.8869385813003348</v>
      </c>
      <c r="AG37">
        <v>1</v>
      </c>
      <c r="AH37">
        <v>6147.3620248428806</v>
      </c>
      <c r="AI37">
        <v>1.01312551271534</v>
      </c>
      <c r="AJ37" s="63">
        <v>6228.0492999999997</v>
      </c>
      <c r="AK37" s="61">
        <v>2362.2376721784381</v>
      </c>
      <c r="AL37" t="s">
        <v>423</v>
      </c>
      <c r="AM37" t="s">
        <v>424</v>
      </c>
      <c r="AN37" t="s">
        <v>425</v>
      </c>
      <c r="AO37" t="s">
        <v>27</v>
      </c>
      <c r="AP37">
        <v>111.133</v>
      </c>
      <c r="AQ37">
        <v>0.99656169611782708</v>
      </c>
      <c r="AR37">
        <v>110.7508909746625</v>
      </c>
      <c r="AS37">
        <v>691.73</v>
      </c>
      <c r="AT37">
        <v>1</v>
      </c>
      <c r="AU37">
        <v>76.609713813903269</v>
      </c>
      <c r="AV37">
        <v>1.008</v>
      </c>
      <c r="AW37" s="63">
        <v>77.222999999999999</v>
      </c>
      <c r="AX37">
        <v>8.9176000000000002</v>
      </c>
      <c r="AY37">
        <v>1</v>
      </c>
      <c r="AZ37">
        <v>6147.3620248428806</v>
      </c>
      <c r="BA37">
        <v>1.01312551271534</v>
      </c>
      <c r="BB37" s="63">
        <v>6228.0492999999997</v>
      </c>
      <c r="BC37" s="61">
        <v>2362.2376721784381</v>
      </c>
    </row>
    <row r="38" spans="1:55" x14ac:dyDescent="0.25">
      <c r="A38">
        <v>4874</v>
      </c>
      <c r="B38" t="s">
        <v>136</v>
      </c>
      <c r="C38">
        <v>2016</v>
      </c>
      <c r="D38">
        <v>6</v>
      </c>
      <c r="E38" t="s">
        <v>51</v>
      </c>
      <c r="F38" t="s">
        <v>449</v>
      </c>
      <c r="G38" t="s">
        <v>84</v>
      </c>
      <c r="H38" t="s">
        <v>87</v>
      </c>
      <c r="I38" t="s">
        <v>427</v>
      </c>
      <c r="J38">
        <v>-0.95448814999999998</v>
      </c>
      <c r="K38" t="s">
        <v>440</v>
      </c>
      <c r="L38" t="s">
        <v>452</v>
      </c>
      <c r="M38">
        <v>8.4248020759000004E-4</v>
      </c>
      <c r="N38">
        <v>8.0413737193383975E-4</v>
      </c>
      <c r="O38">
        <v>31615.94</v>
      </c>
      <c r="P38">
        <v>1.5814806999999999E-5</v>
      </c>
      <c r="Q38">
        <v>1</v>
      </c>
      <c r="R38" s="61">
        <v>8.0413737193383975E-4</v>
      </c>
      <c r="S38" t="s">
        <v>432</v>
      </c>
      <c r="T38" t="s">
        <v>424</v>
      </c>
      <c r="U38" t="s">
        <v>425</v>
      </c>
      <c r="V38" t="s">
        <v>28</v>
      </c>
      <c r="W38">
        <v>111.133</v>
      </c>
      <c r="X38">
        <v>0.99656169611782708</v>
      </c>
      <c r="Y38">
        <v>110.7508909746625</v>
      </c>
      <c r="Z38">
        <v>691.73</v>
      </c>
      <c r="AA38">
        <v>1</v>
      </c>
      <c r="AB38">
        <v>76.609713813903269</v>
      </c>
      <c r="AC38">
        <v>1.0342</v>
      </c>
      <c r="AD38" s="63">
        <v>79.23</v>
      </c>
      <c r="AE38">
        <v>8.9176000000000002</v>
      </c>
      <c r="AF38">
        <v>8.8869385813003348</v>
      </c>
      <c r="AG38">
        <v>1</v>
      </c>
      <c r="AH38">
        <v>6147.3620248428806</v>
      </c>
      <c r="AI38">
        <v>0.98050797401063194</v>
      </c>
      <c r="AJ38" s="63">
        <v>6027.5375000000004</v>
      </c>
      <c r="AK38" s="61">
        <v>4.846968164482667</v>
      </c>
      <c r="AL38" t="s">
        <v>423</v>
      </c>
      <c r="AM38" t="s">
        <v>424</v>
      </c>
      <c r="AN38" t="s">
        <v>425</v>
      </c>
      <c r="AO38" t="s">
        <v>28</v>
      </c>
      <c r="AP38">
        <v>111.133</v>
      </c>
      <c r="AQ38">
        <v>0.99656169611782708</v>
      </c>
      <c r="AR38">
        <v>110.7508909746625</v>
      </c>
      <c r="AS38">
        <v>691.73</v>
      </c>
      <c r="AT38">
        <v>1</v>
      </c>
      <c r="AU38">
        <v>76.609713813903269</v>
      </c>
      <c r="AV38">
        <v>1.0342</v>
      </c>
      <c r="AW38" s="63">
        <v>79.23</v>
      </c>
      <c r="AX38">
        <v>8.9176000000000002</v>
      </c>
      <c r="AY38">
        <v>1</v>
      </c>
      <c r="AZ38">
        <v>6147.3620248428806</v>
      </c>
      <c r="BA38">
        <v>0.98050797401063194</v>
      </c>
      <c r="BB38" s="63">
        <v>6027.5375000000004</v>
      </c>
      <c r="BC38" s="61">
        <v>4.846968164482667</v>
      </c>
    </row>
    <row r="39" spans="1:55" x14ac:dyDescent="0.25">
      <c r="A39">
        <v>4875</v>
      </c>
      <c r="B39" t="s">
        <v>136</v>
      </c>
      <c r="C39">
        <v>2016</v>
      </c>
      <c r="D39">
        <v>6</v>
      </c>
      <c r="E39" t="s">
        <v>51</v>
      </c>
      <c r="F39" t="s">
        <v>449</v>
      </c>
      <c r="G39" t="s">
        <v>84</v>
      </c>
      <c r="H39" t="s">
        <v>59</v>
      </c>
      <c r="I39" t="s">
        <v>427</v>
      </c>
      <c r="J39">
        <v>-2.7802096299999999</v>
      </c>
      <c r="K39" t="s">
        <v>440</v>
      </c>
      <c r="L39" t="s">
        <v>450</v>
      </c>
      <c r="M39">
        <v>0.15931709696460999</v>
      </c>
      <c r="N39">
        <v>0.44293492686806479</v>
      </c>
      <c r="O39">
        <v>31615.94</v>
      </c>
      <c r="P39">
        <v>1.5814806999999999E-5</v>
      </c>
      <c r="Q39">
        <v>1</v>
      </c>
      <c r="R39" s="61">
        <v>0.44293492686806479</v>
      </c>
      <c r="S39" t="s">
        <v>432</v>
      </c>
      <c r="T39" t="s">
        <v>424</v>
      </c>
      <c r="U39" t="s">
        <v>425</v>
      </c>
      <c r="V39" t="s">
        <v>26</v>
      </c>
      <c r="W39">
        <v>111.133</v>
      </c>
      <c r="X39">
        <v>0.99656169611782708</v>
      </c>
      <c r="Y39">
        <v>110.7508909746625</v>
      </c>
      <c r="Z39">
        <v>691.73</v>
      </c>
      <c r="AA39">
        <v>1</v>
      </c>
      <c r="AB39">
        <v>76.609713813903269</v>
      </c>
      <c r="AC39">
        <v>1.0244</v>
      </c>
      <c r="AD39" s="63">
        <v>78.478999999999999</v>
      </c>
      <c r="AE39">
        <v>8.9176000000000002</v>
      </c>
      <c r="AF39">
        <v>8.8869385813003348</v>
      </c>
      <c r="AG39">
        <v>1</v>
      </c>
      <c r="AH39">
        <v>6147.3620248428806</v>
      </c>
      <c r="AI39">
        <v>1.0034718777899021</v>
      </c>
      <c r="AJ39" s="63">
        <v>6168.7048999999997</v>
      </c>
      <c r="AK39" s="61">
        <v>2732.3348537521729</v>
      </c>
      <c r="AL39" t="s">
        <v>423</v>
      </c>
      <c r="AM39" t="s">
        <v>424</v>
      </c>
      <c r="AN39" t="s">
        <v>425</v>
      </c>
      <c r="AO39" t="s">
        <v>26</v>
      </c>
      <c r="AP39">
        <v>111.133</v>
      </c>
      <c r="AQ39">
        <v>0.99656169611782708</v>
      </c>
      <c r="AR39">
        <v>110.7508909746625</v>
      </c>
      <c r="AS39">
        <v>691.73</v>
      </c>
      <c r="AT39">
        <v>1</v>
      </c>
      <c r="AU39">
        <v>76.609713813903269</v>
      </c>
      <c r="AV39">
        <v>1.0244</v>
      </c>
      <c r="AW39" s="63">
        <v>78.478999999999999</v>
      </c>
      <c r="AX39">
        <v>8.9176000000000002</v>
      </c>
      <c r="AY39">
        <v>1</v>
      </c>
      <c r="AZ39">
        <v>6147.3620248428806</v>
      </c>
      <c r="BA39">
        <v>1.0034718777899021</v>
      </c>
      <c r="BB39" s="63">
        <v>6168.7048999999997</v>
      </c>
      <c r="BC39" s="61">
        <v>2732.3348537521729</v>
      </c>
    </row>
    <row r="40" spans="1:55" x14ac:dyDescent="0.25">
      <c r="A40">
        <v>4876</v>
      </c>
      <c r="B40" t="s">
        <v>136</v>
      </c>
      <c r="C40">
        <v>2016</v>
      </c>
      <c r="D40">
        <v>6</v>
      </c>
      <c r="E40" t="s">
        <v>51</v>
      </c>
      <c r="F40" t="s">
        <v>449</v>
      </c>
      <c r="G40" t="s">
        <v>84</v>
      </c>
      <c r="H40" t="s">
        <v>59</v>
      </c>
      <c r="I40" t="s">
        <v>427</v>
      </c>
      <c r="J40">
        <v>-2.7802096299999999</v>
      </c>
      <c r="K40" t="s">
        <v>440</v>
      </c>
      <c r="L40" t="s">
        <v>384</v>
      </c>
      <c r="M40">
        <v>4.1785183859599999E-2</v>
      </c>
      <c r="N40">
        <v>0.1161715704695013</v>
      </c>
      <c r="O40">
        <v>31615.94</v>
      </c>
      <c r="P40">
        <v>1.5814806999999999E-5</v>
      </c>
      <c r="Q40">
        <v>1</v>
      </c>
      <c r="R40" s="61">
        <v>0.1161715704695013</v>
      </c>
      <c r="S40" t="s">
        <v>432</v>
      </c>
      <c r="T40" t="s">
        <v>424</v>
      </c>
      <c r="U40" t="s">
        <v>425</v>
      </c>
      <c r="V40" t="s">
        <v>81</v>
      </c>
      <c r="W40">
        <v>111.133</v>
      </c>
      <c r="X40">
        <v>0.99656169611782708</v>
      </c>
      <c r="Y40">
        <v>110.7508909746625</v>
      </c>
      <c r="Z40">
        <v>691.73</v>
      </c>
      <c r="AA40">
        <v>1</v>
      </c>
      <c r="AB40">
        <v>76.609713813903269</v>
      </c>
      <c r="AC40">
        <v>0.89239999999999997</v>
      </c>
      <c r="AD40" s="63">
        <v>68.367000000000004</v>
      </c>
      <c r="AE40">
        <v>8.9176000000000002</v>
      </c>
      <c r="AF40">
        <v>8.8869385813003348</v>
      </c>
      <c r="AG40">
        <v>1</v>
      </c>
      <c r="AH40">
        <v>6147.3620248428806</v>
      </c>
      <c r="AI40">
        <v>0.98143450184501846</v>
      </c>
      <c r="AJ40" s="63">
        <v>6033.2331999999997</v>
      </c>
      <c r="AK40" s="61">
        <v>700.89017585273507</v>
      </c>
      <c r="AL40" t="s">
        <v>423</v>
      </c>
      <c r="AM40" t="s">
        <v>424</v>
      </c>
      <c r="AN40" t="s">
        <v>425</v>
      </c>
      <c r="AO40" t="s">
        <v>81</v>
      </c>
      <c r="AP40">
        <v>111.133</v>
      </c>
      <c r="AQ40">
        <v>0.99656169611782708</v>
      </c>
      <c r="AR40">
        <v>110.7508909746625</v>
      </c>
      <c r="AS40">
        <v>691.73</v>
      </c>
      <c r="AT40">
        <v>1</v>
      </c>
      <c r="AU40">
        <v>76.609713813903269</v>
      </c>
      <c r="AV40">
        <v>0.89239999999999997</v>
      </c>
      <c r="AW40" s="63">
        <v>68.367000000000004</v>
      </c>
      <c r="AX40">
        <v>8.9176000000000002</v>
      </c>
      <c r="AY40">
        <v>1</v>
      </c>
      <c r="AZ40">
        <v>6147.3620248428806</v>
      </c>
      <c r="BA40">
        <v>0.98143450184501846</v>
      </c>
      <c r="BB40" s="63">
        <v>6033.2331999999997</v>
      </c>
      <c r="BC40" s="61">
        <v>700.89017585273507</v>
      </c>
    </row>
    <row r="41" spans="1:55" x14ac:dyDescent="0.25">
      <c r="A41">
        <v>4877</v>
      </c>
      <c r="B41" t="s">
        <v>136</v>
      </c>
      <c r="C41">
        <v>2016</v>
      </c>
      <c r="D41">
        <v>6</v>
      </c>
      <c r="E41" t="s">
        <v>51</v>
      </c>
      <c r="F41" t="s">
        <v>449</v>
      </c>
      <c r="G41" t="s">
        <v>84</v>
      </c>
      <c r="H41" t="s">
        <v>59</v>
      </c>
      <c r="I41" t="s">
        <v>427</v>
      </c>
      <c r="J41">
        <v>-2.7802096299999999</v>
      </c>
      <c r="K41" t="s">
        <v>440</v>
      </c>
      <c r="L41" t="s">
        <v>385</v>
      </c>
      <c r="M41">
        <v>0.43497567483749999</v>
      </c>
      <c r="N41">
        <v>1.2093235590799969</v>
      </c>
      <c r="O41">
        <v>31615.94</v>
      </c>
      <c r="P41">
        <v>1.5814806999999999E-5</v>
      </c>
      <c r="Q41">
        <v>1</v>
      </c>
      <c r="R41" s="61">
        <v>1.2093235590799969</v>
      </c>
      <c r="S41" t="s">
        <v>432</v>
      </c>
      <c r="T41" t="s">
        <v>424</v>
      </c>
      <c r="U41" t="s">
        <v>425</v>
      </c>
      <c r="V41" t="s">
        <v>27</v>
      </c>
      <c r="W41">
        <v>111.133</v>
      </c>
      <c r="X41">
        <v>0.99656169611782708</v>
      </c>
      <c r="Y41">
        <v>110.7508909746625</v>
      </c>
      <c r="Z41">
        <v>691.73</v>
      </c>
      <c r="AA41">
        <v>1</v>
      </c>
      <c r="AB41">
        <v>76.609713813903269</v>
      </c>
      <c r="AC41">
        <v>1.008</v>
      </c>
      <c r="AD41" s="63">
        <v>77.222999999999999</v>
      </c>
      <c r="AE41">
        <v>8.9176000000000002</v>
      </c>
      <c r="AF41">
        <v>8.8869385813003348</v>
      </c>
      <c r="AG41">
        <v>1</v>
      </c>
      <c r="AH41">
        <v>6147.3620248428806</v>
      </c>
      <c r="AI41">
        <v>1.01312551271534</v>
      </c>
      <c r="AJ41" s="63">
        <v>6228.0492999999997</v>
      </c>
      <c r="AK41" s="61">
        <v>7531.7267456016853</v>
      </c>
      <c r="AL41" t="s">
        <v>423</v>
      </c>
      <c r="AM41" t="s">
        <v>424</v>
      </c>
      <c r="AN41" t="s">
        <v>425</v>
      </c>
      <c r="AO41" t="s">
        <v>27</v>
      </c>
      <c r="AP41">
        <v>111.133</v>
      </c>
      <c r="AQ41">
        <v>0.99656169611782708</v>
      </c>
      <c r="AR41">
        <v>110.7508909746625</v>
      </c>
      <c r="AS41">
        <v>691.73</v>
      </c>
      <c r="AT41">
        <v>1</v>
      </c>
      <c r="AU41">
        <v>76.609713813903269</v>
      </c>
      <c r="AV41">
        <v>1.008</v>
      </c>
      <c r="AW41" s="63">
        <v>77.222999999999999</v>
      </c>
      <c r="AX41">
        <v>8.9176000000000002</v>
      </c>
      <c r="AY41">
        <v>1</v>
      </c>
      <c r="AZ41">
        <v>6147.3620248428806</v>
      </c>
      <c r="BA41">
        <v>1.01312551271534</v>
      </c>
      <c r="BB41" s="63">
        <v>6228.0492999999997</v>
      </c>
      <c r="BC41" s="61">
        <v>7531.7267456016853</v>
      </c>
    </row>
    <row r="42" spans="1:55" x14ac:dyDescent="0.25">
      <c r="A42">
        <v>4878</v>
      </c>
      <c r="B42" t="s">
        <v>136</v>
      </c>
      <c r="C42">
        <v>2016</v>
      </c>
      <c r="D42">
        <v>6</v>
      </c>
      <c r="E42" t="s">
        <v>51</v>
      </c>
      <c r="F42" t="s">
        <v>449</v>
      </c>
      <c r="G42" t="s">
        <v>84</v>
      </c>
      <c r="H42" t="s">
        <v>59</v>
      </c>
      <c r="I42" t="s">
        <v>427</v>
      </c>
      <c r="J42">
        <v>-2.7802096299999999</v>
      </c>
      <c r="K42" t="s">
        <v>440</v>
      </c>
      <c r="L42" t="s">
        <v>451</v>
      </c>
      <c r="M42">
        <v>1.7625750762999999E-3</v>
      </c>
      <c r="N42">
        <v>4.9003281970034698E-3</v>
      </c>
      <c r="O42">
        <v>31615.94</v>
      </c>
      <c r="P42">
        <v>1.5814806999999999E-5</v>
      </c>
      <c r="Q42">
        <v>1</v>
      </c>
      <c r="R42" s="61">
        <v>4.9003281970034698E-3</v>
      </c>
      <c r="S42" t="s">
        <v>432</v>
      </c>
      <c r="T42" t="s">
        <v>424</v>
      </c>
      <c r="U42" t="s">
        <v>425</v>
      </c>
      <c r="V42" t="s">
        <v>91</v>
      </c>
      <c r="W42">
        <v>111.133</v>
      </c>
      <c r="X42">
        <v>0.99656169611782708</v>
      </c>
      <c r="Y42">
        <v>110.7508909746625</v>
      </c>
      <c r="Z42">
        <v>691.73</v>
      </c>
      <c r="AA42">
        <v>1</v>
      </c>
      <c r="AB42">
        <v>76.609713813903269</v>
      </c>
      <c r="AC42">
        <v>1.0368999999999999</v>
      </c>
      <c r="AD42" s="63">
        <v>79.436999999999998</v>
      </c>
      <c r="AE42">
        <v>8.9176000000000002</v>
      </c>
      <c r="AF42">
        <v>8.8869385813003348</v>
      </c>
      <c r="AG42">
        <v>1</v>
      </c>
      <c r="AH42">
        <v>6147.3620248428806</v>
      </c>
      <c r="AI42">
        <v>0.98272159312768448</v>
      </c>
      <c r="AJ42" s="63">
        <v>6041.1454000000003</v>
      </c>
      <c r="AK42" s="61">
        <v>29.60359514581781</v>
      </c>
      <c r="AL42" t="s">
        <v>423</v>
      </c>
      <c r="AM42" t="s">
        <v>424</v>
      </c>
      <c r="AN42" t="s">
        <v>425</v>
      </c>
      <c r="AO42" t="s">
        <v>91</v>
      </c>
      <c r="AP42">
        <v>111.133</v>
      </c>
      <c r="AQ42">
        <v>0.99656169611782708</v>
      </c>
      <c r="AR42">
        <v>110.7508909746625</v>
      </c>
      <c r="AS42">
        <v>691.73</v>
      </c>
      <c r="AT42">
        <v>1</v>
      </c>
      <c r="AU42">
        <v>76.609713813903269</v>
      </c>
      <c r="AV42">
        <v>1.0368999999999999</v>
      </c>
      <c r="AW42" s="63">
        <v>79.436999999999998</v>
      </c>
      <c r="AX42">
        <v>8.9176000000000002</v>
      </c>
      <c r="AY42">
        <v>1</v>
      </c>
      <c r="AZ42">
        <v>6147.3620248428806</v>
      </c>
      <c r="BA42">
        <v>0.98272159312768448</v>
      </c>
      <c r="BB42" s="63">
        <v>6041.1454000000003</v>
      </c>
      <c r="BC42" s="61">
        <v>29.60359514581781</v>
      </c>
    </row>
    <row r="43" spans="1:55" x14ac:dyDescent="0.25">
      <c r="A43">
        <v>4879</v>
      </c>
      <c r="B43" t="s">
        <v>136</v>
      </c>
      <c r="C43">
        <v>2016</v>
      </c>
      <c r="D43">
        <v>6</v>
      </c>
      <c r="E43" t="s">
        <v>51</v>
      </c>
      <c r="F43" t="s">
        <v>449</v>
      </c>
      <c r="G43" t="s">
        <v>84</v>
      </c>
      <c r="H43" t="s">
        <v>59</v>
      </c>
      <c r="I43" t="s">
        <v>427</v>
      </c>
      <c r="J43">
        <v>-2.7802096299999999</v>
      </c>
      <c r="K43" t="s">
        <v>440</v>
      </c>
      <c r="L43" t="s">
        <v>452</v>
      </c>
      <c r="M43">
        <v>1.4858046103299999E-3</v>
      </c>
      <c r="N43">
        <v>4.1308482827988194E-3</v>
      </c>
      <c r="O43">
        <v>31615.94</v>
      </c>
      <c r="P43">
        <v>1.5814806999999999E-5</v>
      </c>
      <c r="Q43">
        <v>1</v>
      </c>
      <c r="R43" s="61">
        <v>4.1308482827988194E-3</v>
      </c>
      <c r="S43" t="s">
        <v>432</v>
      </c>
      <c r="T43" t="s">
        <v>424</v>
      </c>
      <c r="U43" t="s">
        <v>425</v>
      </c>
      <c r="V43" t="s">
        <v>28</v>
      </c>
      <c r="W43">
        <v>111.133</v>
      </c>
      <c r="X43">
        <v>0.99656169611782708</v>
      </c>
      <c r="Y43">
        <v>110.7508909746625</v>
      </c>
      <c r="Z43">
        <v>691.73</v>
      </c>
      <c r="AA43">
        <v>1</v>
      </c>
      <c r="AB43">
        <v>76.609713813903269</v>
      </c>
      <c r="AC43">
        <v>1.0342</v>
      </c>
      <c r="AD43" s="63">
        <v>79.23</v>
      </c>
      <c r="AE43">
        <v>8.9176000000000002</v>
      </c>
      <c r="AF43">
        <v>8.8869385813003348</v>
      </c>
      <c r="AG43">
        <v>1</v>
      </c>
      <c r="AH43">
        <v>6147.3620248428806</v>
      </c>
      <c r="AI43">
        <v>0.98050797401063194</v>
      </c>
      <c r="AJ43" s="63">
        <v>6027.5375000000004</v>
      </c>
      <c r="AK43" s="61">
        <v>24.898842931380489</v>
      </c>
      <c r="AL43" t="s">
        <v>423</v>
      </c>
      <c r="AM43" t="s">
        <v>424</v>
      </c>
      <c r="AN43" t="s">
        <v>425</v>
      </c>
      <c r="AO43" t="s">
        <v>28</v>
      </c>
      <c r="AP43">
        <v>111.133</v>
      </c>
      <c r="AQ43">
        <v>0.99656169611782708</v>
      </c>
      <c r="AR43">
        <v>110.7508909746625</v>
      </c>
      <c r="AS43">
        <v>691.73</v>
      </c>
      <c r="AT43">
        <v>1</v>
      </c>
      <c r="AU43">
        <v>76.609713813903269</v>
      </c>
      <c r="AV43">
        <v>1.0342</v>
      </c>
      <c r="AW43" s="63">
        <v>79.23</v>
      </c>
      <c r="AX43">
        <v>8.9176000000000002</v>
      </c>
      <c r="AY43">
        <v>1</v>
      </c>
      <c r="AZ43">
        <v>6147.3620248428806</v>
      </c>
      <c r="BA43">
        <v>0.98050797401063194</v>
      </c>
      <c r="BB43" s="63">
        <v>6027.5375000000004</v>
      </c>
      <c r="BC43" s="61">
        <v>24.898842931380489</v>
      </c>
    </row>
    <row r="44" spans="1:55" x14ac:dyDescent="0.25">
      <c r="A44">
        <v>6039</v>
      </c>
      <c r="B44" t="s">
        <v>135</v>
      </c>
      <c r="C44">
        <v>2016</v>
      </c>
      <c r="D44">
        <v>7</v>
      </c>
      <c r="E44" t="s">
        <v>51</v>
      </c>
      <c r="F44" t="s">
        <v>449</v>
      </c>
      <c r="G44" t="s">
        <v>84</v>
      </c>
      <c r="H44" t="s">
        <v>381</v>
      </c>
      <c r="I44" t="s">
        <v>427</v>
      </c>
      <c r="J44">
        <v>-9.6591745299999996</v>
      </c>
      <c r="K44" t="s">
        <v>440</v>
      </c>
      <c r="L44" t="s">
        <v>450</v>
      </c>
      <c r="M44">
        <v>0.15011157993331001</v>
      </c>
      <c r="N44">
        <v>1.4499539490444191</v>
      </c>
      <c r="O44">
        <v>31615.94</v>
      </c>
      <c r="P44">
        <v>1.5814806999999999E-5</v>
      </c>
      <c r="Q44">
        <v>1</v>
      </c>
      <c r="R44" s="61">
        <v>1.4499539490444191</v>
      </c>
      <c r="S44" t="s">
        <v>333</v>
      </c>
      <c r="T44" t="s">
        <v>433</v>
      </c>
      <c r="U44" t="s">
        <v>425</v>
      </c>
      <c r="V44" t="s">
        <v>26</v>
      </c>
      <c r="W44">
        <v>111.133</v>
      </c>
      <c r="X44">
        <v>0.99656169611782708</v>
      </c>
      <c r="Y44">
        <v>110.7508909746625</v>
      </c>
      <c r="Z44">
        <v>682.07</v>
      </c>
      <c r="AA44">
        <v>1</v>
      </c>
      <c r="AB44">
        <v>75.539860207088026</v>
      </c>
      <c r="AC44">
        <v>1.0178</v>
      </c>
      <c r="AD44" s="63">
        <v>76.884</v>
      </c>
      <c r="AE44">
        <v>8.9176000000000002</v>
      </c>
      <c r="AF44">
        <v>8.8869385813003348</v>
      </c>
      <c r="AG44">
        <v>1</v>
      </c>
      <c r="AH44">
        <v>6061.5141981475199</v>
      </c>
      <c r="AI44">
        <v>1.0020831266739409</v>
      </c>
      <c r="AJ44" s="63">
        <v>6074.1410999999998</v>
      </c>
      <c r="AK44" s="61">
        <v>8807.2248749980099</v>
      </c>
      <c r="AL44" t="s">
        <v>336</v>
      </c>
      <c r="AM44" t="s">
        <v>433</v>
      </c>
      <c r="AN44" t="s">
        <v>425</v>
      </c>
      <c r="AO44" t="s">
        <v>26</v>
      </c>
      <c r="AP44">
        <v>111.133</v>
      </c>
      <c r="AQ44">
        <v>0.99819678194932504</v>
      </c>
      <c r="AR44">
        <v>110.9326029683743</v>
      </c>
      <c r="AS44">
        <v>682.07</v>
      </c>
      <c r="AT44">
        <v>1</v>
      </c>
      <c r="AU44">
        <v>75.663800506639092</v>
      </c>
      <c r="AV44">
        <v>1.0178</v>
      </c>
      <c r="AW44" s="63">
        <v>77.010999999999996</v>
      </c>
      <c r="AX44">
        <v>8.9176000000000002</v>
      </c>
      <c r="AY44">
        <v>1</v>
      </c>
      <c r="AZ44">
        <v>6071.4594890626977</v>
      </c>
      <c r="BA44">
        <v>1.0020831266739409</v>
      </c>
      <c r="BB44" s="63">
        <v>6084.1071000000002</v>
      </c>
      <c r="BC44" s="61">
        <v>8821.675116054188</v>
      </c>
    </row>
    <row r="45" spans="1:55" x14ac:dyDescent="0.25">
      <c r="A45">
        <v>6040</v>
      </c>
      <c r="B45" t="s">
        <v>135</v>
      </c>
      <c r="C45">
        <v>2016</v>
      </c>
      <c r="D45">
        <v>7</v>
      </c>
      <c r="E45" t="s">
        <v>51</v>
      </c>
      <c r="F45" t="s">
        <v>449</v>
      </c>
      <c r="G45" t="s">
        <v>84</v>
      </c>
      <c r="H45" t="s">
        <v>381</v>
      </c>
      <c r="I45" t="s">
        <v>427</v>
      </c>
      <c r="J45">
        <v>-9.6591745299999996</v>
      </c>
      <c r="K45" t="s">
        <v>440</v>
      </c>
      <c r="L45" t="s">
        <v>384</v>
      </c>
      <c r="M45">
        <v>4.5811354346740003E-2</v>
      </c>
      <c r="N45">
        <v>0.442499866936576</v>
      </c>
      <c r="O45">
        <v>31615.94</v>
      </c>
      <c r="P45">
        <v>1.5814806999999999E-5</v>
      </c>
      <c r="Q45">
        <v>1</v>
      </c>
      <c r="R45" s="61">
        <v>0.442499866936576</v>
      </c>
      <c r="S45" t="s">
        <v>333</v>
      </c>
      <c r="T45" t="s">
        <v>433</v>
      </c>
      <c r="U45" t="s">
        <v>425</v>
      </c>
      <c r="V45" t="s">
        <v>81</v>
      </c>
      <c r="W45">
        <v>111.133</v>
      </c>
      <c r="X45">
        <v>0.99656169611782708</v>
      </c>
      <c r="Y45">
        <v>110.7508909746625</v>
      </c>
      <c r="Z45">
        <v>682.07</v>
      </c>
      <c r="AA45">
        <v>1</v>
      </c>
      <c r="AB45">
        <v>75.539860207088026</v>
      </c>
      <c r="AC45">
        <v>0.92979999999999996</v>
      </c>
      <c r="AD45" s="63">
        <v>70.236999999999995</v>
      </c>
      <c r="AE45">
        <v>8.9176000000000002</v>
      </c>
      <c r="AF45">
        <v>8.8869385813003348</v>
      </c>
      <c r="AG45">
        <v>1</v>
      </c>
      <c r="AH45">
        <v>6061.5141981475199</v>
      </c>
      <c r="AI45">
        <v>1.0375922509225091</v>
      </c>
      <c r="AJ45" s="63">
        <v>6289.3801999999996</v>
      </c>
      <c r="AK45" s="61">
        <v>2783.049901613535</v>
      </c>
      <c r="AL45" t="s">
        <v>336</v>
      </c>
      <c r="AM45" t="s">
        <v>433</v>
      </c>
      <c r="AN45" t="s">
        <v>425</v>
      </c>
      <c r="AO45" t="s">
        <v>81</v>
      </c>
      <c r="AP45">
        <v>111.133</v>
      </c>
      <c r="AQ45">
        <v>0.99819678194932504</v>
      </c>
      <c r="AR45">
        <v>110.9326029683743</v>
      </c>
      <c r="AS45">
        <v>682.07</v>
      </c>
      <c r="AT45">
        <v>1</v>
      </c>
      <c r="AU45">
        <v>75.663800506639092</v>
      </c>
      <c r="AV45">
        <v>0.92979999999999996</v>
      </c>
      <c r="AW45" s="63">
        <v>70.352000000000004</v>
      </c>
      <c r="AX45">
        <v>8.9176000000000002</v>
      </c>
      <c r="AY45">
        <v>1</v>
      </c>
      <c r="AZ45">
        <v>6071.4594890626977</v>
      </c>
      <c r="BA45">
        <v>1.0375922509225091</v>
      </c>
      <c r="BB45" s="63">
        <v>6299.6993000000002</v>
      </c>
      <c r="BC45" s="61">
        <v>2787.6161019904412</v>
      </c>
    </row>
    <row r="46" spans="1:55" x14ac:dyDescent="0.25">
      <c r="A46">
        <v>6041</v>
      </c>
      <c r="B46" t="s">
        <v>135</v>
      </c>
      <c r="C46">
        <v>2016</v>
      </c>
      <c r="D46">
        <v>7</v>
      </c>
      <c r="E46" t="s">
        <v>51</v>
      </c>
      <c r="F46" t="s">
        <v>449</v>
      </c>
      <c r="G46" t="s">
        <v>84</v>
      </c>
      <c r="H46" t="s">
        <v>381</v>
      </c>
      <c r="I46" t="s">
        <v>427</v>
      </c>
      <c r="J46">
        <v>-9.6591745299999996</v>
      </c>
      <c r="K46" t="s">
        <v>440</v>
      </c>
      <c r="L46" t="s">
        <v>385</v>
      </c>
      <c r="M46">
        <v>0.43232641346992001</v>
      </c>
      <c r="N46">
        <v>4.175916280179135</v>
      </c>
      <c r="O46">
        <v>31615.94</v>
      </c>
      <c r="P46">
        <v>1.5814806999999999E-5</v>
      </c>
      <c r="Q46">
        <v>1</v>
      </c>
      <c r="R46" s="61">
        <v>4.175916280179135</v>
      </c>
      <c r="S46" t="s">
        <v>333</v>
      </c>
      <c r="T46" t="s">
        <v>433</v>
      </c>
      <c r="U46" t="s">
        <v>425</v>
      </c>
      <c r="V46" t="s">
        <v>27</v>
      </c>
      <c r="W46">
        <v>111.133</v>
      </c>
      <c r="X46">
        <v>0.99656169611782708</v>
      </c>
      <c r="Y46">
        <v>110.7508909746625</v>
      </c>
      <c r="Z46">
        <v>682.07</v>
      </c>
      <c r="AA46">
        <v>1</v>
      </c>
      <c r="AB46">
        <v>75.539860207088026</v>
      </c>
      <c r="AC46">
        <v>0.99739999999999995</v>
      </c>
      <c r="AD46" s="63">
        <v>75.343000000000004</v>
      </c>
      <c r="AE46">
        <v>8.9176000000000002</v>
      </c>
      <c r="AF46">
        <v>8.8869385813003348</v>
      </c>
      <c r="AG46">
        <v>1</v>
      </c>
      <c r="AH46">
        <v>6061.5141981475199</v>
      </c>
      <c r="AI46">
        <v>1.0108695652173909</v>
      </c>
      <c r="AJ46" s="63">
        <v>6127.4002</v>
      </c>
      <c r="AK46" s="61">
        <v>25587.510250352891</v>
      </c>
      <c r="AL46" t="s">
        <v>336</v>
      </c>
      <c r="AM46" t="s">
        <v>433</v>
      </c>
      <c r="AN46" t="s">
        <v>425</v>
      </c>
      <c r="AO46" t="s">
        <v>27</v>
      </c>
      <c r="AP46">
        <v>111.133</v>
      </c>
      <c r="AQ46">
        <v>0.99819678194932504</v>
      </c>
      <c r="AR46">
        <v>110.9326029683743</v>
      </c>
      <c r="AS46">
        <v>682.07</v>
      </c>
      <c r="AT46">
        <v>1</v>
      </c>
      <c r="AU46">
        <v>75.663800506639092</v>
      </c>
      <c r="AV46">
        <v>0.99739999999999995</v>
      </c>
      <c r="AW46" s="63">
        <v>75.466999999999999</v>
      </c>
      <c r="AX46">
        <v>8.9176000000000002</v>
      </c>
      <c r="AY46">
        <v>1</v>
      </c>
      <c r="AZ46">
        <v>6071.4594890626977</v>
      </c>
      <c r="BA46">
        <v>1.0108695652173909</v>
      </c>
      <c r="BB46" s="63">
        <v>6137.4535999999998</v>
      </c>
      <c r="BC46" s="61">
        <v>25629.492407084039</v>
      </c>
    </row>
    <row r="47" spans="1:55" x14ac:dyDescent="0.25">
      <c r="A47">
        <v>6042</v>
      </c>
      <c r="B47" t="s">
        <v>135</v>
      </c>
      <c r="C47">
        <v>2016</v>
      </c>
      <c r="D47">
        <v>7</v>
      </c>
      <c r="E47" t="s">
        <v>51</v>
      </c>
      <c r="F47" t="s">
        <v>449</v>
      </c>
      <c r="G47" t="s">
        <v>84</v>
      </c>
      <c r="H47" t="s">
        <v>381</v>
      </c>
      <c r="I47" t="s">
        <v>427</v>
      </c>
      <c r="J47">
        <v>-9.6591745299999996</v>
      </c>
      <c r="K47" t="s">
        <v>440</v>
      </c>
      <c r="L47" t="s">
        <v>451</v>
      </c>
      <c r="M47">
        <v>1.6825115802299999E-3</v>
      </c>
      <c r="N47">
        <v>1.6251672996522169E-2</v>
      </c>
      <c r="O47">
        <v>31615.94</v>
      </c>
      <c r="P47">
        <v>1.5814806999999999E-5</v>
      </c>
      <c r="Q47">
        <v>1</v>
      </c>
      <c r="R47" s="61">
        <v>1.6251672996522169E-2</v>
      </c>
      <c r="S47" t="s">
        <v>333</v>
      </c>
      <c r="T47" t="s">
        <v>433</v>
      </c>
      <c r="U47" t="s">
        <v>425</v>
      </c>
      <c r="V47" t="s">
        <v>91</v>
      </c>
      <c r="W47">
        <v>111.133</v>
      </c>
      <c r="X47">
        <v>0.99656169611782708</v>
      </c>
      <c r="Y47">
        <v>110.7508909746625</v>
      </c>
      <c r="Z47">
        <v>682.07</v>
      </c>
      <c r="AA47">
        <v>1</v>
      </c>
      <c r="AB47">
        <v>75.539860207088026</v>
      </c>
      <c r="AC47">
        <v>1.0269999999999999</v>
      </c>
      <c r="AD47" s="63">
        <v>77.578999999999994</v>
      </c>
      <c r="AE47">
        <v>8.9176000000000002</v>
      </c>
      <c r="AF47">
        <v>8.8869385813003348</v>
      </c>
      <c r="AG47">
        <v>1</v>
      </c>
      <c r="AH47">
        <v>6061.5141981475199</v>
      </c>
      <c r="AI47">
        <v>0.98496680983990625</v>
      </c>
      <c r="AJ47" s="63">
        <v>5970.3903</v>
      </c>
      <c r="AK47" s="61">
        <v>97.028830817207904</v>
      </c>
      <c r="AL47" t="s">
        <v>336</v>
      </c>
      <c r="AM47" t="s">
        <v>433</v>
      </c>
      <c r="AN47" t="s">
        <v>425</v>
      </c>
      <c r="AO47" t="s">
        <v>91</v>
      </c>
      <c r="AP47">
        <v>111.133</v>
      </c>
      <c r="AQ47">
        <v>0.99819678194932504</v>
      </c>
      <c r="AR47">
        <v>110.9326029683743</v>
      </c>
      <c r="AS47">
        <v>682.07</v>
      </c>
      <c r="AT47">
        <v>1</v>
      </c>
      <c r="AU47">
        <v>75.663800506639092</v>
      </c>
      <c r="AV47">
        <v>1.0269999999999999</v>
      </c>
      <c r="AW47" s="63">
        <v>77.706999999999994</v>
      </c>
      <c r="AX47">
        <v>8.9176000000000002</v>
      </c>
      <c r="AY47">
        <v>1</v>
      </c>
      <c r="AZ47">
        <v>6071.4594890626977</v>
      </c>
      <c r="BA47">
        <v>0.98496680983990625</v>
      </c>
      <c r="BB47" s="63">
        <v>5980.1860999999999</v>
      </c>
      <c r="BC47" s="61">
        <v>97.188028955547239</v>
      </c>
    </row>
    <row r="48" spans="1:55" x14ac:dyDescent="0.25">
      <c r="A48">
        <v>6043</v>
      </c>
      <c r="B48" t="s">
        <v>135</v>
      </c>
      <c r="C48">
        <v>2016</v>
      </c>
      <c r="D48">
        <v>7</v>
      </c>
      <c r="E48" t="s">
        <v>51</v>
      </c>
      <c r="F48" t="s">
        <v>449</v>
      </c>
      <c r="G48" t="s">
        <v>84</v>
      </c>
      <c r="H48" t="s">
        <v>381</v>
      </c>
      <c r="I48" t="s">
        <v>427</v>
      </c>
      <c r="J48">
        <v>-9.6591745299999996</v>
      </c>
      <c r="K48" t="s">
        <v>440</v>
      </c>
      <c r="L48" t="s">
        <v>452</v>
      </c>
      <c r="M48">
        <v>1.53682162831E-3</v>
      </c>
      <c r="N48">
        <v>1.484442832415016E-2</v>
      </c>
      <c r="O48">
        <v>31615.94</v>
      </c>
      <c r="P48">
        <v>1.5814806999999999E-5</v>
      </c>
      <c r="Q48">
        <v>1</v>
      </c>
      <c r="R48" s="61">
        <v>1.484442832415016E-2</v>
      </c>
      <c r="S48" t="s">
        <v>333</v>
      </c>
      <c r="T48" t="s">
        <v>433</v>
      </c>
      <c r="U48" t="s">
        <v>425</v>
      </c>
      <c r="V48" t="s">
        <v>28</v>
      </c>
      <c r="W48">
        <v>111.133</v>
      </c>
      <c r="X48">
        <v>0.99656169611782708</v>
      </c>
      <c r="Y48">
        <v>110.7508909746625</v>
      </c>
      <c r="Z48">
        <v>682.07</v>
      </c>
      <c r="AA48">
        <v>1</v>
      </c>
      <c r="AB48">
        <v>75.539860207088026</v>
      </c>
      <c r="AC48">
        <v>1.0196000000000001</v>
      </c>
      <c r="AD48" s="63">
        <v>77.02</v>
      </c>
      <c r="AE48">
        <v>8.9176000000000002</v>
      </c>
      <c r="AF48">
        <v>8.8869385813003348</v>
      </c>
      <c r="AG48">
        <v>1</v>
      </c>
      <c r="AH48">
        <v>6061.5141981475199</v>
      </c>
      <c r="AI48">
        <v>0.97991730655640863</v>
      </c>
      <c r="AJ48" s="63">
        <v>5939.7826999999997</v>
      </c>
      <c r="AK48" s="61">
        <v>88.172678551177142</v>
      </c>
      <c r="AL48" t="s">
        <v>336</v>
      </c>
      <c r="AM48" t="s">
        <v>433</v>
      </c>
      <c r="AN48" t="s">
        <v>425</v>
      </c>
      <c r="AO48" t="s">
        <v>28</v>
      </c>
      <c r="AP48">
        <v>111.133</v>
      </c>
      <c r="AQ48">
        <v>0.99819678194932504</v>
      </c>
      <c r="AR48">
        <v>110.9326029683743</v>
      </c>
      <c r="AS48">
        <v>682.07</v>
      </c>
      <c r="AT48">
        <v>1</v>
      </c>
      <c r="AU48">
        <v>75.663800506639092</v>
      </c>
      <c r="AV48">
        <v>1.0196000000000001</v>
      </c>
      <c r="AW48" s="63">
        <v>77.147000000000006</v>
      </c>
      <c r="AX48">
        <v>8.9176000000000002</v>
      </c>
      <c r="AY48">
        <v>1</v>
      </c>
      <c r="AZ48">
        <v>6071.4594890626977</v>
      </c>
      <c r="BA48">
        <v>0.97991730655640863</v>
      </c>
      <c r="BB48" s="63">
        <v>5949.5281999999997</v>
      </c>
      <c r="BC48" s="61">
        <v>88.317344927410147</v>
      </c>
    </row>
    <row r="49" spans="1:55" x14ac:dyDescent="0.25">
      <c r="A49">
        <v>6044</v>
      </c>
      <c r="B49" t="s">
        <v>135</v>
      </c>
      <c r="C49">
        <v>2016</v>
      </c>
      <c r="D49">
        <v>7</v>
      </c>
      <c r="E49" t="s">
        <v>51</v>
      </c>
      <c r="F49" t="s">
        <v>449</v>
      </c>
      <c r="G49" t="s">
        <v>84</v>
      </c>
      <c r="H49" t="s">
        <v>87</v>
      </c>
      <c r="I49" t="s">
        <v>427</v>
      </c>
      <c r="J49">
        <v>-1.98677054</v>
      </c>
      <c r="K49" t="s">
        <v>440</v>
      </c>
      <c r="L49" t="s">
        <v>450</v>
      </c>
      <c r="M49">
        <v>0.26601384014995</v>
      </c>
      <c r="N49">
        <v>0.52850846129986706</v>
      </c>
      <c r="O49">
        <v>31615.94</v>
      </c>
      <c r="P49">
        <v>1.5814806999999999E-5</v>
      </c>
      <c r="Q49">
        <v>1</v>
      </c>
      <c r="R49" s="61">
        <v>0.52850846129986706</v>
      </c>
      <c r="S49" t="s">
        <v>333</v>
      </c>
      <c r="T49" t="s">
        <v>433</v>
      </c>
      <c r="U49" t="s">
        <v>425</v>
      </c>
      <c r="V49" t="s">
        <v>26</v>
      </c>
      <c r="W49">
        <v>111.133</v>
      </c>
      <c r="X49">
        <v>0.99656169611782708</v>
      </c>
      <c r="Y49">
        <v>110.7508909746625</v>
      </c>
      <c r="Z49">
        <v>682.07</v>
      </c>
      <c r="AA49">
        <v>1</v>
      </c>
      <c r="AB49">
        <v>75.539860207088026</v>
      </c>
      <c r="AC49">
        <v>1.0178</v>
      </c>
      <c r="AD49" s="63">
        <v>76.884</v>
      </c>
      <c r="AE49">
        <v>8.9176000000000002</v>
      </c>
      <c r="AF49">
        <v>8.8869385813003348</v>
      </c>
      <c r="AG49">
        <v>1</v>
      </c>
      <c r="AH49">
        <v>6061.5141981475199</v>
      </c>
      <c r="AI49">
        <v>1.0020831266739409</v>
      </c>
      <c r="AJ49" s="63">
        <v>6074.1410999999998</v>
      </c>
      <c r="AK49" s="61">
        <v>3210.2349664792819</v>
      </c>
      <c r="AL49" t="s">
        <v>336</v>
      </c>
      <c r="AM49" t="s">
        <v>433</v>
      </c>
      <c r="AN49" t="s">
        <v>425</v>
      </c>
      <c r="AO49" t="s">
        <v>26</v>
      </c>
      <c r="AP49">
        <v>111.133</v>
      </c>
      <c r="AQ49">
        <v>0.99819678194932504</v>
      </c>
      <c r="AR49">
        <v>110.9326029683743</v>
      </c>
      <c r="AS49">
        <v>682.07</v>
      </c>
      <c r="AT49">
        <v>1</v>
      </c>
      <c r="AU49">
        <v>75.663800506639092</v>
      </c>
      <c r="AV49">
        <v>1.0178</v>
      </c>
      <c r="AW49" s="63">
        <v>77.010999999999996</v>
      </c>
      <c r="AX49">
        <v>8.9176000000000002</v>
      </c>
      <c r="AY49">
        <v>1</v>
      </c>
      <c r="AZ49">
        <v>6071.4594890626977</v>
      </c>
      <c r="BA49">
        <v>1.0020831266739409</v>
      </c>
      <c r="BB49" s="63">
        <v>6084.1071000000002</v>
      </c>
      <c r="BC49" s="61">
        <v>3215.5020818045959</v>
      </c>
    </row>
    <row r="50" spans="1:55" x14ac:dyDescent="0.25">
      <c r="A50">
        <v>6045</v>
      </c>
      <c r="B50" t="s">
        <v>135</v>
      </c>
      <c r="C50">
        <v>2016</v>
      </c>
      <c r="D50">
        <v>7</v>
      </c>
      <c r="E50" t="s">
        <v>51</v>
      </c>
      <c r="F50" t="s">
        <v>449</v>
      </c>
      <c r="G50" t="s">
        <v>84</v>
      </c>
      <c r="H50" t="s">
        <v>87</v>
      </c>
      <c r="I50" t="s">
        <v>427</v>
      </c>
      <c r="J50">
        <v>-1.98677054</v>
      </c>
      <c r="K50" t="s">
        <v>440</v>
      </c>
      <c r="L50" t="s">
        <v>384</v>
      </c>
      <c r="M50">
        <v>3.9509559941419997E-2</v>
      </c>
      <c r="N50">
        <v>7.8496429807953627E-2</v>
      </c>
      <c r="O50">
        <v>31615.94</v>
      </c>
      <c r="P50">
        <v>1.5814806999999999E-5</v>
      </c>
      <c r="Q50">
        <v>1</v>
      </c>
      <c r="R50" s="61">
        <v>7.8496429807953627E-2</v>
      </c>
      <c r="S50" t="s">
        <v>333</v>
      </c>
      <c r="T50" t="s">
        <v>433</v>
      </c>
      <c r="U50" t="s">
        <v>425</v>
      </c>
      <c r="V50" t="s">
        <v>81</v>
      </c>
      <c r="W50">
        <v>111.133</v>
      </c>
      <c r="X50">
        <v>0.99656169611782708</v>
      </c>
      <c r="Y50">
        <v>110.7508909746625</v>
      </c>
      <c r="Z50">
        <v>682.07</v>
      </c>
      <c r="AA50">
        <v>1</v>
      </c>
      <c r="AB50">
        <v>75.539860207088026</v>
      </c>
      <c r="AC50">
        <v>0.92979999999999996</v>
      </c>
      <c r="AD50" s="63">
        <v>70.236999999999995</v>
      </c>
      <c r="AE50">
        <v>8.9176000000000002</v>
      </c>
      <c r="AF50">
        <v>8.8869385813003348</v>
      </c>
      <c r="AG50">
        <v>1</v>
      </c>
      <c r="AH50">
        <v>6061.5141981475199</v>
      </c>
      <c r="AI50">
        <v>1.0375922509225091</v>
      </c>
      <c r="AJ50" s="63">
        <v>6289.3801999999996</v>
      </c>
      <c r="AK50" s="61">
        <v>493.69389140483332</v>
      </c>
      <c r="AL50" t="s">
        <v>336</v>
      </c>
      <c r="AM50" t="s">
        <v>433</v>
      </c>
      <c r="AN50" t="s">
        <v>425</v>
      </c>
      <c r="AO50" t="s">
        <v>81</v>
      </c>
      <c r="AP50">
        <v>111.133</v>
      </c>
      <c r="AQ50">
        <v>0.99819678194932504</v>
      </c>
      <c r="AR50">
        <v>110.9326029683743</v>
      </c>
      <c r="AS50">
        <v>682.07</v>
      </c>
      <c r="AT50">
        <v>1</v>
      </c>
      <c r="AU50">
        <v>75.663800506639092</v>
      </c>
      <c r="AV50">
        <v>0.92979999999999996</v>
      </c>
      <c r="AW50" s="63">
        <v>70.352000000000004</v>
      </c>
      <c r="AX50">
        <v>8.9176000000000002</v>
      </c>
      <c r="AY50">
        <v>1</v>
      </c>
      <c r="AZ50">
        <v>6071.4594890626977</v>
      </c>
      <c r="BA50">
        <v>1.0375922509225091</v>
      </c>
      <c r="BB50" s="63">
        <v>6299.6993000000002</v>
      </c>
      <c r="BC50" s="61">
        <v>494.5039039136646</v>
      </c>
    </row>
    <row r="51" spans="1:55" x14ac:dyDescent="0.25">
      <c r="A51">
        <v>6046</v>
      </c>
      <c r="B51" t="s">
        <v>135</v>
      </c>
      <c r="C51">
        <v>2016</v>
      </c>
      <c r="D51">
        <v>7</v>
      </c>
      <c r="E51" t="s">
        <v>51</v>
      </c>
      <c r="F51" t="s">
        <v>449</v>
      </c>
      <c r="G51" t="s">
        <v>84</v>
      </c>
      <c r="H51" t="s">
        <v>87</v>
      </c>
      <c r="I51" t="s">
        <v>427</v>
      </c>
      <c r="J51">
        <v>-1.98677054</v>
      </c>
      <c r="K51" t="s">
        <v>440</v>
      </c>
      <c r="L51" t="s">
        <v>385</v>
      </c>
      <c r="M51">
        <v>0.39737542925016001</v>
      </c>
      <c r="N51">
        <v>0.78949379683775722</v>
      </c>
      <c r="O51">
        <v>31615.94</v>
      </c>
      <c r="P51">
        <v>1.5814806999999999E-5</v>
      </c>
      <c r="Q51">
        <v>1</v>
      </c>
      <c r="R51" s="61">
        <v>0.78949379683775722</v>
      </c>
      <c r="S51" t="s">
        <v>333</v>
      </c>
      <c r="T51" t="s">
        <v>433</v>
      </c>
      <c r="U51" t="s">
        <v>425</v>
      </c>
      <c r="V51" t="s">
        <v>27</v>
      </c>
      <c r="W51">
        <v>111.133</v>
      </c>
      <c r="X51">
        <v>0.99656169611782708</v>
      </c>
      <c r="Y51">
        <v>110.7508909746625</v>
      </c>
      <c r="Z51">
        <v>682.07</v>
      </c>
      <c r="AA51">
        <v>1</v>
      </c>
      <c r="AB51">
        <v>75.539860207088026</v>
      </c>
      <c r="AC51">
        <v>0.99739999999999995</v>
      </c>
      <c r="AD51" s="63">
        <v>75.343000000000004</v>
      </c>
      <c r="AE51">
        <v>8.9176000000000002</v>
      </c>
      <c r="AF51">
        <v>8.8869385813003348</v>
      </c>
      <c r="AG51">
        <v>1</v>
      </c>
      <c r="AH51">
        <v>6061.5141981475199</v>
      </c>
      <c r="AI51">
        <v>1.0108695652173909</v>
      </c>
      <c r="AJ51" s="63">
        <v>6127.4002</v>
      </c>
      <c r="AK51" s="61">
        <v>4837.5444486424331</v>
      </c>
      <c r="AL51" t="s">
        <v>336</v>
      </c>
      <c r="AM51" t="s">
        <v>433</v>
      </c>
      <c r="AN51" t="s">
        <v>425</v>
      </c>
      <c r="AO51" t="s">
        <v>27</v>
      </c>
      <c r="AP51">
        <v>111.133</v>
      </c>
      <c r="AQ51">
        <v>0.99819678194932504</v>
      </c>
      <c r="AR51">
        <v>110.9326029683743</v>
      </c>
      <c r="AS51">
        <v>682.07</v>
      </c>
      <c r="AT51">
        <v>1</v>
      </c>
      <c r="AU51">
        <v>75.663800506639092</v>
      </c>
      <c r="AV51">
        <v>0.99739999999999995</v>
      </c>
      <c r="AW51" s="63">
        <v>75.466999999999999</v>
      </c>
      <c r="AX51">
        <v>8.9176000000000002</v>
      </c>
      <c r="AY51">
        <v>1</v>
      </c>
      <c r="AZ51">
        <v>6071.4594890626977</v>
      </c>
      <c r="BA51">
        <v>1.0108695652173909</v>
      </c>
      <c r="BB51" s="63">
        <v>6137.4535999999998</v>
      </c>
      <c r="BC51" s="61">
        <v>4845.4815455795606</v>
      </c>
    </row>
    <row r="52" spans="1:55" x14ac:dyDescent="0.25">
      <c r="A52">
        <v>6047</v>
      </c>
      <c r="B52" t="s">
        <v>135</v>
      </c>
      <c r="C52">
        <v>2016</v>
      </c>
      <c r="D52">
        <v>7</v>
      </c>
      <c r="E52" t="s">
        <v>51</v>
      </c>
      <c r="F52" t="s">
        <v>449</v>
      </c>
      <c r="G52" t="s">
        <v>84</v>
      </c>
      <c r="H52" t="s">
        <v>87</v>
      </c>
      <c r="I52" t="s">
        <v>427</v>
      </c>
      <c r="J52">
        <v>-1.98677054</v>
      </c>
      <c r="K52" t="s">
        <v>440</v>
      </c>
      <c r="L52" t="s">
        <v>452</v>
      </c>
      <c r="M52">
        <v>8.4248020759000004E-4</v>
      </c>
      <c r="N52">
        <v>1.6738148584223851E-3</v>
      </c>
      <c r="O52">
        <v>31615.94</v>
      </c>
      <c r="P52">
        <v>1.5814806999999999E-5</v>
      </c>
      <c r="Q52">
        <v>1</v>
      </c>
      <c r="R52" s="61">
        <v>1.6738148584223851E-3</v>
      </c>
      <c r="S52" t="s">
        <v>333</v>
      </c>
      <c r="T52" t="s">
        <v>433</v>
      </c>
      <c r="U52" t="s">
        <v>425</v>
      </c>
      <c r="V52" t="s">
        <v>28</v>
      </c>
      <c r="W52">
        <v>111.133</v>
      </c>
      <c r="X52">
        <v>0.99656169611782708</v>
      </c>
      <c r="Y52">
        <v>110.7508909746625</v>
      </c>
      <c r="Z52">
        <v>682.07</v>
      </c>
      <c r="AA52">
        <v>1</v>
      </c>
      <c r="AB52">
        <v>75.539860207088026</v>
      </c>
      <c r="AC52">
        <v>1.0196000000000001</v>
      </c>
      <c r="AD52" s="63">
        <v>77.02</v>
      </c>
      <c r="AE52">
        <v>8.9176000000000002</v>
      </c>
      <c r="AF52">
        <v>8.8869385813003348</v>
      </c>
      <c r="AG52">
        <v>1</v>
      </c>
      <c r="AH52">
        <v>6061.5141981475199</v>
      </c>
      <c r="AI52">
        <v>0.97991730655640863</v>
      </c>
      <c r="AJ52" s="63">
        <v>5939.7826999999997</v>
      </c>
      <c r="AK52" s="61">
        <v>9.9420965390602305</v>
      </c>
      <c r="AL52" t="s">
        <v>336</v>
      </c>
      <c r="AM52" t="s">
        <v>433</v>
      </c>
      <c r="AN52" t="s">
        <v>425</v>
      </c>
      <c r="AO52" t="s">
        <v>28</v>
      </c>
      <c r="AP52">
        <v>111.133</v>
      </c>
      <c r="AQ52">
        <v>0.99819678194932504</v>
      </c>
      <c r="AR52">
        <v>110.9326029683743</v>
      </c>
      <c r="AS52">
        <v>682.07</v>
      </c>
      <c r="AT52">
        <v>1</v>
      </c>
      <c r="AU52">
        <v>75.663800506639092</v>
      </c>
      <c r="AV52">
        <v>1.0196000000000001</v>
      </c>
      <c r="AW52" s="63">
        <v>77.147000000000006</v>
      </c>
      <c r="AX52">
        <v>8.9176000000000002</v>
      </c>
      <c r="AY52">
        <v>1</v>
      </c>
      <c r="AZ52">
        <v>6071.4594890626977</v>
      </c>
      <c r="BA52">
        <v>0.97991730655640863</v>
      </c>
      <c r="BB52" s="63">
        <v>5949.5281999999997</v>
      </c>
      <c r="BC52" s="61">
        <v>9.9584087017629859</v>
      </c>
    </row>
    <row r="53" spans="1:55" x14ac:dyDescent="0.25">
      <c r="A53">
        <v>6048</v>
      </c>
      <c r="B53" t="s">
        <v>135</v>
      </c>
      <c r="C53">
        <v>2016</v>
      </c>
      <c r="D53">
        <v>7</v>
      </c>
      <c r="E53" t="s">
        <v>51</v>
      </c>
      <c r="F53" t="s">
        <v>449</v>
      </c>
      <c r="G53" t="s">
        <v>84</v>
      </c>
      <c r="H53" t="s">
        <v>59</v>
      </c>
      <c r="I53" t="s">
        <v>427</v>
      </c>
      <c r="J53">
        <v>-5.7870164300000004</v>
      </c>
      <c r="K53" t="s">
        <v>440</v>
      </c>
      <c r="L53" t="s">
        <v>450</v>
      </c>
      <c r="M53">
        <v>0.15931709696460999</v>
      </c>
      <c r="N53">
        <v>0.92197065797732514</v>
      </c>
      <c r="O53">
        <v>31615.94</v>
      </c>
      <c r="P53">
        <v>1.5814806999999999E-5</v>
      </c>
      <c r="Q53">
        <v>1</v>
      </c>
      <c r="R53" s="61">
        <v>0.92197065797732514</v>
      </c>
      <c r="S53" t="s">
        <v>333</v>
      </c>
      <c r="T53" t="s">
        <v>433</v>
      </c>
      <c r="U53" t="s">
        <v>425</v>
      </c>
      <c r="V53" t="s">
        <v>26</v>
      </c>
      <c r="W53">
        <v>111.133</v>
      </c>
      <c r="X53">
        <v>0.99656169611782708</v>
      </c>
      <c r="Y53">
        <v>110.7508909746625</v>
      </c>
      <c r="Z53">
        <v>682.07</v>
      </c>
      <c r="AA53">
        <v>1</v>
      </c>
      <c r="AB53">
        <v>75.539860207088026</v>
      </c>
      <c r="AC53">
        <v>1.0178</v>
      </c>
      <c r="AD53" s="63">
        <v>76.884</v>
      </c>
      <c r="AE53">
        <v>8.9176000000000002</v>
      </c>
      <c r="AF53">
        <v>8.8869385813003348</v>
      </c>
      <c r="AG53">
        <v>1</v>
      </c>
      <c r="AH53">
        <v>6061.5141981475199</v>
      </c>
      <c r="AI53">
        <v>1.0020831266739409</v>
      </c>
      <c r="AJ53" s="63">
        <v>6074.1410999999998</v>
      </c>
      <c r="AK53" s="61">
        <v>5600.1798666141131</v>
      </c>
      <c r="AL53" t="s">
        <v>336</v>
      </c>
      <c r="AM53" t="s">
        <v>433</v>
      </c>
      <c r="AN53" t="s">
        <v>425</v>
      </c>
      <c r="AO53" t="s">
        <v>26</v>
      </c>
      <c r="AP53">
        <v>111.133</v>
      </c>
      <c r="AQ53">
        <v>0.99819678194932504</v>
      </c>
      <c r="AR53">
        <v>110.9326029683743</v>
      </c>
      <c r="AS53">
        <v>682.07</v>
      </c>
      <c r="AT53">
        <v>1</v>
      </c>
      <c r="AU53">
        <v>75.663800506639092</v>
      </c>
      <c r="AV53">
        <v>1.0178</v>
      </c>
      <c r="AW53" s="63">
        <v>77.010999999999996</v>
      </c>
      <c r="AX53">
        <v>8.9176000000000002</v>
      </c>
      <c r="AY53">
        <v>1</v>
      </c>
      <c r="AZ53">
        <v>6071.4594890626977</v>
      </c>
      <c r="BA53">
        <v>1.0020831266739409</v>
      </c>
      <c r="BB53" s="63">
        <v>6084.1071000000002</v>
      </c>
      <c r="BC53" s="61">
        <v>5609.3682261915164</v>
      </c>
    </row>
    <row r="54" spans="1:55" x14ac:dyDescent="0.25">
      <c r="A54">
        <v>6049</v>
      </c>
      <c r="B54" t="s">
        <v>135</v>
      </c>
      <c r="C54">
        <v>2016</v>
      </c>
      <c r="D54">
        <v>7</v>
      </c>
      <c r="E54" t="s">
        <v>51</v>
      </c>
      <c r="F54" t="s">
        <v>449</v>
      </c>
      <c r="G54" t="s">
        <v>84</v>
      </c>
      <c r="H54" t="s">
        <v>59</v>
      </c>
      <c r="I54" t="s">
        <v>427</v>
      </c>
      <c r="J54">
        <v>-5.7870164300000004</v>
      </c>
      <c r="K54" t="s">
        <v>440</v>
      </c>
      <c r="L54" t="s">
        <v>384</v>
      </c>
      <c r="M54">
        <v>4.1785183859599999E-2</v>
      </c>
      <c r="N54">
        <v>0.24181154559511359</v>
      </c>
      <c r="O54">
        <v>31615.94</v>
      </c>
      <c r="P54">
        <v>1.5814806999999999E-5</v>
      </c>
      <c r="Q54">
        <v>1</v>
      </c>
      <c r="R54" s="61">
        <v>0.24181154559511359</v>
      </c>
      <c r="S54" t="s">
        <v>333</v>
      </c>
      <c r="T54" t="s">
        <v>433</v>
      </c>
      <c r="U54" t="s">
        <v>425</v>
      </c>
      <c r="V54" t="s">
        <v>81</v>
      </c>
      <c r="W54">
        <v>111.133</v>
      </c>
      <c r="X54">
        <v>0.99656169611782708</v>
      </c>
      <c r="Y54">
        <v>110.7508909746625</v>
      </c>
      <c r="Z54">
        <v>682.07</v>
      </c>
      <c r="AA54">
        <v>1</v>
      </c>
      <c r="AB54">
        <v>75.539860207088026</v>
      </c>
      <c r="AC54">
        <v>0.92979999999999996</v>
      </c>
      <c r="AD54" s="63">
        <v>70.236999999999995</v>
      </c>
      <c r="AE54">
        <v>8.9176000000000002</v>
      </c>
      <c r="AF54">
        <v>8.8869385813003348</v>
      </c>
      <c r="AG54">
        <v>1</v>
      </c>
      <c r="AH54">
        <v>6061.5141981475199</v>
      </c>
      <c r="AI54">
        <v>1.0375922509225091</v>
      </c>
      <c r="AJ54" s="63">
        <v>6289.3801999999996</v>
      </c>
      <c r="AK54" s="61">
        <v>1520.8447469973039</v>
      </c>
      <c r="AL54" t="s">
        <v>336</v>
      </c>
      <c r="AM54" t="s">
        <v>433</v>
      </c>
      <c r="AN54" t="s">
        <v>425</v>
      </c>
      <c r="AO54" t="s">
        <v>81</v>
      </c>
      <c r="AP54">
        <v>111.133</v>
      </c>
      <c r="AQ54">
        <v>0.99819678194932504</v>
      </c>
      <c r="AR54">
        <v>110.9326029683743</v>
      </c>
      <c r="AS54">
        <v>682.07</v>
      </c>
      <c r="AT54">
        <v>1</v>
      </c>
      <c r="AU54">
        <v>75.663800506639092</v>
      </c>
      <c r="AV54">
        <v>0.92979999999999996</v>
      </c>
      <c r="AW54" s="63">
        <v>70.352000000000004</v>
      </c>
      <c r="AX54">
        <v>8.9176000000000002</v>
      </c>
      <c r="AY54">
        <v>1</v>
      </c>
      <c r="AZ54">
        <v>6071.4594890626977</v>
      </c>
      <c r="BA54">
        <v>1.0375922509225091</v>
      </c>
      <c r="BB54" s="63">
        <v>6299.6993000000002</v>
      </c>
      <c r="BC54" s="61">
        <v>1523.340024517455</v>
      </c>
    </row>
    <row r="55" spans="1:55" x14ac:dyDescent="0.25">
      <c r="A55">
        <v>6050</v>
      </c>
      <c r="B55" t="s">
        <v>135</v>
      </c>
      <c r="C55">
        <v>2016</v>
      </c>
      <c r="D55">
        <v>7</v>
      </c>
      <c r="E55" t="s">
        <v>51</v>
      </c>
      <c r="F55" t="s">
        <v>449</v>
      </c>
      <c r="G55" t="s">
        <v>84</v>
      </c>
      <c r="H55" t="s">
        <v>59</v>
      </c>
      <c r="I55" t="s">
        <v>427</v>
      </c>
      <c r="J55">
        <v>-5.7870164300000004</v>
      </c>
      <c r="K55" t="s">
        <v>440</v>
      </c>
      <c r="L55" t="s">
        <v>385</v>
      </c>
      <c r="M55">
        <v>0.43497567483749999</v>
      </c>
      <c r="N55">
        <v>2.5172113776536169</v>
      </c>
      <c r="O55">
        <v>31615.94</v>
      </c>
      <c r="P55">
        <v>1.5814806999999999E-5</v>
      </c>
      <c r="Q55">
        <v>1</v>
      </c>
      <c r="R55" s="61">
        <v>2.5172113776536169</v>
      </c>
      <c r="S55" t="s">
        <v>333</v>
      </c>
      <c r="T55" t="s">
        <v>433</v>
      </c>
      <c r="U55" t="s">
        <v>425</v>
      </c>
      <c r="V55" t="s">
        <v>27</v>
      </c>
      <c r="W55">
        <v>111.133</v>
      </c>
      <c r="X55">
        <v>0.99656169611782708</v>
      </c>
      <c r="Y55">
        <v>110.7508909746625</v>
      </c>
      <c r="Z55">
        <v>682.07</v>
      </c>
      <c r="AA55">
        <v>1</v>
      </c>
      <c r="AB55">
        <v>75.539860207088026</v>
      </c>
      <c r="AC55">
        <v>0.99739999999999995</v>
      </c>
      <c r="AD55" s="63">
        <v>75.343000000000004</v>
      </c>
      <c r="AE55">
        <v>8.9176000000000002</v>
      </c>
      <c r="AF55">
        <v>8.8869385813003348</v>
      </c>
      <c r="AG55">
        <v>1</v>
      </c>
      <c r="AH55">
        <v>6061.5141981475199</v>
      </c>
      <c r="AI55">
        <v>1.0108695652173909</v>
      </c>
      <c r="AJ55" s="63">
        <v>6127.4002</v>
      </c>
      <c r="AK55" s="61">
        <v>15423.96149887705</v>
      </c>
      <c r="AL55" t="s">
        <v>336</v>
      </c>
      <c r="AM55" t="s">
        <v>433</v>
      </c>
      <c r="AN55" t="s">
        <v>425</v>
      </c>
      <c r="AO55" t="s">
        <v>27</v>
      </c>
      <c r="AP55">
        <v>111.133</v>
      </c>
      <c r="AQ55">
        <v>0.99819678194932504</v>
      </c>
      <c r="AR55">
        <v>110.9326029683743</v>
      </c>
      <c r="AS55">
        <v>682.07</v>
      </c>
      <c r="AT55">
        <v>1</v>
      </c>
      <c r="AU55">
        <v>75.663800506639092</v>
      </c>
      <c r="AV55">
        <v>0.99739999999999995</v>
      </c>
      <c r="AW55" s="63">
        <v>75.466999999999999</v>
      </c>
      <c r="AX55">
        <v>8.9176000000000002</v>
      </c>
      <c r="AY55">
        <v>1</v>
      </c>
      <c r="AZ55">
        <v>6071.4594890626977</v>
      </c>
      <c r="BA55">
        <v>1.0108695652173909</v>
      </c>
      <c r="BB55" s="63">
        <v>6137.4535999999998</v>
      </c>
      <c r="BC55" s="61">
        <v>15449.26803174115</v>
      </c>
    </row>
    <row r="56" spans="1:55" x14ac:dyDescent="0.25">
      <c r="A56">
        <v>6051</v>
      </c>
      <c r="B56" t="s">
        <v>135</v>
      </c>
      <c r="C56">
        <v>2016</v>
      </c>
      <c r="D56">
        <v>7</v>
      </c>
      <c r="E56" t="s">
        <v>51</v>
      </c>
      <c r="F56" t="s">
        <v>449</v>
      </c>
      <c r="G56" t="s">
        <v>84</v>
      </c>
      <c r="H56" t="s">
        <v>59</v>
      </c>
      <c r="I56" t="s">
        <v>427</v>
      </c>
      <c r="J56">
        <v>-5.7870164300000004</v>
      </c>
      <c r="K56" t="s">
        <v>440</v>
      </c>
      <c r="L56" t="s">
        <v>451</v>
      </c>
      <c r="M56">
        <v>1.7625750762999999E-3</v>
      </c>
      <c r="N56">
        <v>1.0200050928568729E-2</v>
      </c>
      <c r="O56">
        <v>31615.94</v>
      </c>
      <c r="P56">
        <v>1.5814806999999999E-5</v>
      </c>
      <c r="Q56">
        <v>1</v>
      </c>
      <c r="R56" s="61">
        <v>1.0200050928568729E-2</v>
      </c>
      <c r="S56" t="s">
        <v>333</v>
      </c>
      <c r="T56" t="s">
        <v>433</v>
      </c>
      <c r="U56" t="s">
        <v>425</v>
      </c>
      <c r="V56" t="s">
        <v>91</v>
      </c>
      <c r="W56">
        <v>111.133</v>
      </c>
      <c r="X56">
        <v>0.99656169611782708</v>
      </c>
      <c r="Y56">
        <v>110.7508909746625</v>
      </c>
      <c r="Z56">
        <v>682.07</v>
      </c>
      <c r="AA56">
        <v>1</v>
      </c>
      <c r="AB56">
        <v>75.539860207088026</v>
      </c>
      <c r="AC56">
        <v>1.0269999999999999</v>
      </c>
      <c r="AD56" s="63">
        <v>77.578999999999994</v>
      </c>
      <c r="AE56">
        <v>8.9176000000000002</v>
      </c>
      <c r="AF56">
        <v>8.8869385813003348</v>
      </c>
      <c r="AG56">
        <v>1</v>
      </c>
      <c r="AH56">
        <v>6061.5141981475199</v>
      </c>
      <c r="AI56">
        <v>0.98496680983990625</v>
      </c>
      <c r="AJ56" s="63">
        <v>5970.3903</v>
      </c>
      <c r="AK56" s="61">
        <v>60.898285123432757</v>
      </c>
      <c r="AL56" t="s">
        <v>336</v>
      </c>
      <c r="AM56" t="s">
        <v>433</v>
      </c>
      <c r="AN56" t="s">
        <v>425</v>
      </c>
      <c r="AO56" t="s">
        <v>91</v>
      </c>
      <c r="AP56">
        <v>111.133</v>
      </c>
      <c r="AQ56">
        <v>0.99819678194932504</v>
      </c>
      <c r="AR56">
        <v>110.9326029683743</v>
      </c>
      <c r="AS56">
        <v>682.07</v>
      </c>
      <c r="AT56">
        <v>1</v>
      </c>
      <c r="AU56">
        <v>75.663800506639092</v>
      </c>
      <c r="AV56">
        <v>1.0269999999999999</v>
      </c>
      <c r="AW56" s="63">
        <v>77.706999999999994</v>
      </c>
      <c r="AX56">
        <v>8.9176000000000002</v>
      </c>
      <c r="AY56">
        <v>1</v>
      </c>
      <c r="AZ56">
        <v>6071.4594890626977</v>
      </c>
      <c r="BA56">
        <v>0.98496680983990625</v>
      </c>
      <c r="BB56" s="63">
        <v>5980.1860999999999</v>
      </c>
      <c r="BC56" s="61">
        <v>60.998202782318828</v>
      </c>
    </row>
    <row r="57" spans="1:55" x14ac:dyDescent="0.25">
      <c r="A57">
        <v>6052</v>
      </c>
      <c r="B57" t="s">
        <v>135</v>
      </c>
      <c r="C57">
        <v>2016</v>
      </c>
      <c r="D57">
        <v>7</v>
      </c>
      <c r="E57" t="s">
        <v>51</v>
      </c>
      <c r="F57" t="s">
        <v>449</v>
      </c>
      <c r="G57" t="s">
        <v>84</v>
      </c>
      <c r="H57" t="s">
        <v>59</v>
      </c>
      <c r="I57" t="s">
        <v>427</v>
      </c>
      <c r="J57">
        <v>-5.7870164300000004</v>
      </c>
      <c r="K57" t="s">
        <v>440</v>
      </c>
      <c r="L57" t="s">
        <v>452</v>
      </c>
      <c r="M57">
        <v>1.4858046103299999E-3</v>
      </c>
      <c r="N57">
        <v>8.5983756942043053E-3</v>
      </c>
      <c r="O57">
        <v>31615.94</v>
      </c>
      <c r="P57">
        <v>1.5814806999999999E-5</v>
      </c>
      <c r="Q57">
        <v>1</v>
      </c>
      <c r="R57" s="61">
        <v>8.5983756942043053E-3</v>
      </c>
      <c r="S57" t="s">
        <v>333</v>
      </c>
      <c r="T57" t="s">
        <v>433</v>
      </c>
      <c r="U57" t="s">
        <v>425</v>
      </c>
      <c r="V57" t="s">
        <v>28</v>
      </c>
      <c r="W57">
        <v>111.133</v>
      </c>
      <c r="X57">
        <v>0.99656169611782708</v>
      </c>
      <c r="Y57">
        <v>110.7508909746625</v>
      </c>
      <c r="Z57">
        <v>682.07</v>
      </c>
      <c r="AA57">
        <v>1</v>
      </c>
      <c r="AB57">
        <v>75.539860207088026</v>
      </c>
      <c r="AC57">
        <v>1.0196000000000001</v>
      </c>
      <c r="AD57" s="63">
        <v>77.02</v>
      </c>
      <c r="AE57">
        <v>8.9176000000000002</v>
      </c>
      <c r="AF57">
        <v>8.8869385813003348</v>
      </c>
      <c r="AG57">
        <v>1</v>
      </c>
      <c r="AH57">
        <v>6061.5141981475199</v>
      </c>
      <c r="AI57">
        <v>0.97991730655640863</v>
      </c>
      <c r="AJ57" s="63">
        <v>5939.7826999999997</v>
      </c>
      <c r="AK57" s="61">
        <v>51.072483196535217</v>
      </c>
      <c r="AL57" t="s">
        <v>336</v>
      </c>
      <c r="AM57" t="s">
        <v>433</v>
      </c>
      <c r="AN57" t="s">
        <v>425</v>
      </c>
      <c r="AO57" t="s">
        <v>28</v>
      </c>
      <c r="AP57">
        <v>111.133</v>
      </c>
      <c r="AQ57">
        <v>0.99819678194932504</v>
      </c>
      <c r="AR57">
        <v>110.9326029683743</v>
      </c>
      <c r="AS57">
        <v>682.07</v>
      </c>
      <c r="AT57">
        <v>1</v>
      </c>
      <c r="AU57">
        <v>75.663800506639092</v>
      </c>
      <c r="AV57">
        <v>1.0196000000000001</v>
      </c>
      <c r="AW57" s="63">
        <v>77.147000000000006</v>
      </c>
      <c r="AX57">
        <v>8.9176000000000002</v>
      </c>
      <c r="AY57">
        <v>1</v>
      </c>
      <c r="AZ57">
        <v>6071.4594890626977</v>
      </c>
      <c r="BA57">
        <v>0.97991730655640863</v>
      </c>
      <c r="BB57" s="63">
        <v>5949.5281999999997</v>
      </c>
      <c r="BC57" s="61">
        <v>51.156278666863088</v>
      </c>
    </row>
    <row r="58" spans="1:55" x14ac:dyDescent="0.25">
      <c r="A58">
        <v>7212</v>
      </c>
      <c r="B58" t="s">
        <v>129</v>
      </c>
      <c r="C58">
        <v>2016</v>
      </c>
      <c r="D58">
        <v>8</v>
      </c>
      <c r="E58" t="s">
        <v>51</v>
      </c>
      <c r="F58" t="s">
        <v>449</v>
      </c>
      <c r="G58" t="s">
        <v>84</v>
      </c>
      <c r="H58" t="s">
        <v>381</v>
      </c>
      <c r="I58" t="s">
        <v>427</v>
      </c>
      <c r="J58">
        <v>-4.5379333700000002</v>
      </c>
      <c r="K58" t="s">
        <v>440</v>
      </c>
      <c r="L58" t="s">
        <v>450</v>
      </c>
      <c r="M58">
        <v>0.15011157993331001</v>
      </c>
      <c r="N58">
        <v>0.68119634822077169</v>
      </c>
      <c r="O58">
        <v>31615.94</v>
      </c>
      <c r="P58">
        <v>1.5814806999999999E-5</v>
      </c>
      <c r="Q58">
        <v>1</v>
      </c>
      <c r="R58" s="61">
        <v>0.68119634822077169</v>
      </c>
      <c r="S58" t="s">
        <v>336</v>
      </c>
      <c r="T58" t="s">
        <v>433</v>
      </c>
      <c r="U58" t="s">
        <v>425</v>
      </c>
      <c r="V58" t="s">
        <v>26</v>
      </c>
      <c r="W58">
        <v>111.133</v>
      </c>
      <c r="X58">
        <v>0.99819678194932504</v>
      </c>
      <c r="Y58">
        <v>110.9326029683743</v>
      </c>
      <c r="Z58">
        <v>682.07</v>
      </c>
      <c r="AA58">
        <v>1</v>
      </c>
      <c r="AB58">
        <v>75.663800506639092</v>
      </c>
      <c r="AC58">
        <v>1.0178</v>
      </c>
      <c r="AD58" s="63">
        <v>77.010999999999996</v>
      </c>
      <c r="AE58">
        <v>8.9176000000000002</v>
      </c>
      <c r="AF58">
        <v>8.9015196227113016</v>
      </c>
      <c r="AG58">
        <v>1</v>
      </c>
      <c r="AH58">
        <v>6071.4594890626977</v>
      </c>
      <c r="AI58">
        <v>1.0020831266739409</v>
      </c>
      <c r="AJ58" s="63">
        <v>6084.1071000000002</v>
      </c>
      <c r="AK58" s="61">
        <v>4144.4715387040696</v>
      </c>
      <c r="AL58" t="s">
        <v>336</v>
      </c>
      <c r="AM58" t="s">
        <v>433</v>
      </c>
      <c r="AN58" t="s">
        <v>425</v>
      </c>
      <c r="AO58" t="s">
        <v>26</v>
      </c>
      <c r="AP58">
        <v>111.133</v>
      </c>
      <c r="AQ58">
        <v>0.99819678194932504</v>
      </c>
      <c r="AR58">
        <v>110.9326029683743</v>
      </c>
      <c r="AS58">
        <v>682.07</v>
      </c>
      <c r="AT58">
        <v>1</v>
      </c>
      <c r="AU58">
        <v>75.663800506639092</v>
      </c>
      <c r="AV58">
        <v>1.0178</v>
      </c>
      <c r="AW58" s="63">
        <v>77.010999999999996</v>
      </c>
      <c r="AX58">
        <v>8.9176000000000002</v>
      </c>
      <c r="AY58">
        <v>1</v>
      </c>
      <c r="AZ58">
        <v>6071.4594890626977</v>
      </c>
      <c r="BA58">
        <v>1.0020831266739409</v>
      </c>
      <c r="BB58" s="63">
        <v>6084.1071000000002</v>
      </c>
      <c r="BC58" s="61">
        <v>4144.4715387040696</v>
      </c>
    </row>
    <row r="59" spans="1:55" x14ac:dyDescent="0.25">
      <c r="A59">
        <v>7213</v>
      </c>
      <c r="B59" t="s">
        <v>129</v>
      </c>
      <c r="C59">
        <v>2016</v>
      </c>
      <c r="D59">
        <v>8</v>
      </c>
      <c r="E59" t="s">
        <v>51</v>
      </c>
      <c r="F59" t="s">
        <v>449</v>
      </c>
      <c r="G59" t="s">
        <v>84</v>
      </c>
      <c r="H59" t="s">
        <v>381</v>
      </c>
      <c r="I59" t="s">
        <v>427</v>
      </c>
      <c r="J59">
        <v>-4.5379333700000002</v>
      </c>
      <c r="K59" t="s">
        <v>440</v>
      </c>
      <c r="L59" t="s">
        <v>384</v>
      </c>
      <c r="M59">
        <v>4.5811354346740003E-2</v>
      </c>
      <c r="N59">
        <v>0.20788887374252649</v>
      </c>
      <c r="O59">
        <v>31615.94</v>
      </c>
      <c r="P59">
        <v>1.5814806999999999E-5</v>
      </c>
      <c r="Q59">
        <v>1</v>
      </c>
      <c r="R59" s="61">
        <v>0.20788887374252649</v>
      </c>
      <c r="S59" t="s">
        <v>336</v>
      </c>
      <c r="T59" t="s">
        <v>433</v>
      </c>
      <c r="U59" t="s">
        <v>425</v>
      </c>
      <c r="V59" t="s">
        <v>81</v>
      </c>
      <c r="W59">
        <v>111.133</v>
      </c>
      <c r="X59">
        <v>0.99819678194932504</v>
      </c>
      <c r="Y59">
        <v>110.9326029683743</v>
      </c>
      <c r="Z59">
        <v>682.07</v>
      </c>
      <c r="AA59">
        <v>1</v>
      </c>
      <c r="AB59">
        <v>75.663800506639092</v>
      </c>
      <c r="AC59">
        <v>0.92979999999999996</v>
      </c>
      <c r="AD59" s="63">
        <v>70.352000000000004</v>
      </c>
      <c r="AE59">
        <v>8.9176000000000002</v>
      </c>
      <c r="AF59">
        <v>8.9015196227113016</v>
      </c>
      <c r="AG59">
        <v>1</v>
      </c>
      <c r="AH59">
        <v>6071.4594890626977</v>
      </c>
      <c r="AI59">
        <v>1.0375922509225091</v>
      </c>
      <c r="AJ59" s="63">
        <v>6299.6993000000002</v>
      </c>
      <c r="AK59" s="61">
        <v>1309.637392393583</v>
      </c>
      <c r="AL59" t="s">
        <v>336</v>
      </c>
      <c r="AM59" t="s">
        <v>433</v>
      </c>
      <c r="AN59" t="s">
        <v>425</v>
      </c>
      <c r="AO59" t="s">
        <v>81</v>
      </c>
      <c r="AP59">
        <v>111.133</v>
      </c>
      <c r="AQ59">
        <v>0.99819678194932504</v>
      </c>
      <c r="AR59">
        <v>110.9326029683743</v>
      </c>
      <c r="AS59">
        <v>682.07</v>
      </c>
      <c r="AT59">
        <v>1</v>
      </c>
      <c r="AU59">
        <v>75.663800506639092</v>
      </c>
      <c r="AV59">
        <v>0.92979999999999996</v>
      </c>
      <c r="AW59" s="63">
        <v>70.352000000000004</v>
      </c>
      <c r="AX59">
        <v>8.9176000000000002</v>
      </c>
      <c r="AY59">
        <v>1</v>
      </c>
      <c r="AZ59">
        <v>6071.4594890626977</v>
      </c>
      <c r="BA59">
        <v>1.0375922509225091</v>
      </c>
      <c r="BB59" s="63">
        <v>6299.6993000000002</v>
      </c>
      <c r="BC59" s="61">
        <v>1309.637392393583</v>
      </c>
    </row>
    <row r="60" spans="1:55" x14ac:dyDescent="0.25">
      <c r="A60">
        <v>7214</v>
      </c>
      <c r="B60" t="s">
        <v>129</v>
      </c>
      <c r="C60">
        <v>2016</v>
      </c>
      <c r="D60">
        <v>8</v>
      </c>
      <c r="E60" t="s">
        <v>51</v>
      </c>
      <c r="F60" t="s">
        <v>449</v>
      </c>
      <c r="G60" t="s">
        <v>84</v>
      </c>
      <c r="H60" t="s">
        <v>381</v>
      </c>
      <c r="I60" t="s">
        <v>427</v>
      </c>
      <c r="J60">
        <v>-4.5379333700000002</v>
      </c>
      <c r="K60" t="s">
        <v>440</v>
      </c>
      <c r="L60" t="s">
        <v>385</v>
      </c>
      <c r="M60">
        <v>0.43232641346992001</v>
      </c>
      <c r="N60">
        <v>1.9618684596213689</v>
      </c>
      <c r="O60">
        <v>31615.94</v>
      </c>
      <c r="P60">
        <v>1.5814806999999999E-5</v>
      </c>
      <c r="Q60">
        <v>1</v>
      </c>
      <c r="R60" s="61">
        <v>1.9618684596213689</v>
      </c>
      <c r="S60" t="s">
        <v>336</v>
      </c>
      <c r="T60" t="s">
        <v>433</v>
      </c>
      <c r="U60" t="s">
        <v>425</v>
      </c>
      <c r="V60" t="s">
        <v>27</v>
      </c>
      <c r="W60">
        <v>111.133</v>
      </c>
      <c r="X60">
        <v>0.99819678194932504</v>
      </c>
      <c r="Y60">
        <v>110.9326029683743</v>
      </c>
      <c r="Z60">
        <v>682.07</v>
      </c>
      <c r="AA60">
        <v>1</v>
      </c>
      <c r="AB60">
        <v>75.663800506639092</v>
      </c>
      <c r="AC60">
        <v>0.99739999999999995</v>
      </c>
      <c r="AD60" s="63">
        <v>75.466999999999999</v>
      </c>
      <c r="AE60">
        <v>8.9176000000000002</v>
      </c>
      <c r="AF60">
        <v>8.9015196227113016</v>
      </c>
      <c r="AG60">
        <v>1</v>
      </c>
      <c r="AH60">
        <v>6071.4594890626977</v>
      </c>
      <c r="AI60">
        <v>1.0108695652173909</v>
      </c>
      <c r="AJ60" s="63">
        <v>6137.4535999999998</v>
      </c>
      <c r="AK60" s="61">
        <v>12040.87664022963</v>
      </c>
      <c r="AL60" t="s">
        <v>336</v>
      </c>
      <c r="AM60" t="s">
        <v>433</v>
      </c>
      <c r="AN60" t="s">
        <v>425</v>
      </c>
      <c r="AO60" t="s">
        <v>27</v>
      </c>
      <c r="AP60">
        <v>111.133</v>
      </c>
      <c r="AQ60">
        <v>0.99819678194932504</v>
      </c>
      <c r="AR60">
        <v>110.9326029683743</v>
      </c>
      <c r="AS60">
        <v>682.07</v>
      </c>
      <c r="AT60">
        <v>1</v>
      </c>
      <c r="AU60">
        <v>75.663800506639092</v>
      </c>
      <c r="AV60">
        <v>0.99739999999999995</v>
      </c>
      <c r="AW60" s="63">
        <v>75.466999999999999</v>
      </c>
      <c r="AX60">
        <v>8.9176000000000002</v>
      </c>
      <c r="AY60">
        <v>1</v>
      </c>
      <c r="AZ60">
        <v>6071.4594890626977</v>
      </c>
      <c r="BA60">
        <v>1.0108695652173909</v>
      </c>
      <c r="BB60" s="63">
        <v>6137.4535999999998</v>
      </c>
      <c r="BC60" s="61">
        <v>12040.87664022963</v>
      </c>
    </row>
    <row r="61" spans="1:55" x14ac:dyDescent="0.25">
      <c r="A61">
        <v>7215</v>
      </c>
      <c r="B61" t="s">
        <v>129</v>
      </c>
      <c r="C61">
        <v>2016</v>
      </c>
      <c r="D61">
        <v>8</v>
      </c>
      <c r="E61" t="s">
        <v>51</v>
      </c>
      <c r="F61" t="s">
        <v>449</v>
      </c>
      <c r="G61" t="s">
        <v>84</v>
      </c>
      <c r="H61" t="s">
        <v>381</v>
      </c>
      <c r="I61" t="s">
        <v>427</v>
      </c>
      <c r="J61">
        <v>-4.5379333700000002</v>
      </c>
      <c r="K61" t="s">
        <v>440</v>
      </c>
      <c r="L61" t="s">
        <v>451</v>
      </c>
      <c r="M61">
        <v>1.6825115802299999E-3</v>
      </c>
      <c r="N61">
        <v>7.6351254500220591E-3</v>
      </c>
      <c r="O61">
        <v>31615.94</v>
      </c>
      <c r="P61">
        <v>1.5814806999999999E-5</v>
      </c>
      <c r="Q61">
        <v>1</v>
      </c>
      <c r="R61" s="61">
        <v>7.6351254500220591E-3</v>
      </c>
      <c r="S61" t="s">
        <v>336</v>
      </c>
      <c r="T61" t="s">
        <v>433</v>
      </c>
      <c r="U61" t="s">
        <v>425</v>
      </c>
      <c r="V61" t="s">
        <v>91</v>
      </c>
      <c r="W61">
        <v>111.133</v>
      </c>
      <c r="X61">
        <v>0.99819678194932504</v>
      </c>
      <c r="Y61">
        <v>110.9326029683743</v>
      </c>
      <c r="Z61">
        <v>682.07</v>
      </c>
      <c r="AA61">
        <v>1</v>
      </c>
      <c r="AB61">
        <v>75.663800506639092</v>
      </c>
      <c r="AC61">
        <v>1.0269999999999999</v>
      </c>
      <c r="AD61" s="63">
        <v>77.706999999999994</v>
      </c>
      <c r="AE61">
        <v>8.9176000000000002</v>
      </c>
      <c r="AF61">
        <v>8.9015196227113016</v>
      </c>
      <c r="AG61">
        <v>1</v>
      </c>
      <c r="AH61">
        <v>6071.4594890626977</v>
      </c>
      <c r="AI61">
        <v>0.98496680983990625</v>
      </c>
      <c r="AJ61" s="63">
        <v>5980.1860999999999</v>
      </c>
      <c r="AK61" s="61">
        <v>45.659471087978162</v>
      </c>
      <c r="AL61" t="s">
        <v>336</v>
      </c>
      <c r="AM61" t="s">
        <v>433</v>
      </c>
      <c r="AN61" t="s">
        <v>425</v>
      </c>
      <c r="AO61" t="s">
        <v>91</v>
      </c>
      <c r="AP61">
        <v>111.133</v>
      </c>
      <c r="AQ61">
        <v>0.99819678194932504</v>
      </c>
      <c r="AR61">
        <v>110.9326029683743</v>
      </c>
      <c r="AS61">
        <v>682.07</v>
      </c>
      <c r="AT61">
        <v>1</v>
      </c>
      <c r="AU61">
        <v>75.663800506639092</v>
      </c>
      <c r="AV61">
        <v>1.0269999999999999</v>
      </c>
      <c r="AW61" s="63">
        <v>77.706999999999994</v>
      </c>
      <c r="AX61">
        <v>8.9176000000000002</v>
      </c>
      <c r="AY61">
        <v>1</v>
      </c>
      <c r="AZ61">
        <v>6071.4594890626977</v>
      </c>
      <c r="BA61">
        <v>0.98496680983990625</v>
      </c>
      <c r="BB61" s="63">
        <v>5980.1860999999999</v>
      </c>
      <c r="BC61" s="61">
        <v>45.659471087978162</v>
      </c>
    </row>
    <row r="62" spans="1:55" x14ac:dyDescent="0.25">
      <c r="A62">
        <v>7216</v>
      </c>
      <c r="B62" t="s">
        <v>129</v>
      </c>
      <c r="C62">
        <v>2016</v>
      </c>
      <c r="D62">
        <v>8</v>
      </c>
      <c r="E62" t="s">
        <v>51</v>
      </c>
      <c r="F62" t="s">
        <v>449</v>
      </c>
      <c r="G62" t="s">
        <v>84</v>
      </c>
      <c r="H62" t="s">
        <v>381</v>
      </c>
      <c r="I62" t="s">
        <v>427</v>
      </c>
      <c r="J62">
        <v>-4.5379333700000002</v>
      </c>
      <c r="K62" t="s">
        <v>440</v>
      </c>
      <c r="L62" t="s">
        <v>452</v>
      </c>
      <c r="M62">
        <v>1.53682162831E-3</v>
      </c>
      <c r="N62">
        <v>6.9739941551249258E-3</v>
      </c>
      <c r="O62">
        <v>31615.94</v>
      </c>
      <c r="P62">
        <v>1.5814806999999999E-5</v>
      </c>
      <c r="Q62">
        <v>1</v>
      </c>
      <c r="R62" s="61">
        <v>6.9739941551249258E-3</v>
      </c>
      <c r="S62" t="s">
        <v>336</v>
      </c>
      <c r="T62" t="s">
        <v>433</v>
      </c>
      <c r="U62" t="s">
        <v>425</v>
      </c>
      <c r="V62" t="s">
        <v>28</v>
      </c>
      <c r="W62">
        <v>111.133</v>
      </c>
      <c r="X62">
        <v>0.99819678194932504</v>
      </c>
      <c r="Y62">
        <v>110.9326029683743</v>
      </c>
      <c r="Z62">
        <v>682.07</v>
      </c>
      <c r="AA62">
        <v>1</v>
      </c>
      <c r="AB62">
        <v>75.663800506639092</v>
      </c>
      <c r="AC62">
        <v>1.0196000000000001</v>
      </c>
      <c r="AD62" s="63">
        <v>77.147000000000006</v>
      </c>
      <c r="AE62">
        <v>8.9176000000000002</v>
      </c>
      <c r="AF62">
        <v>8.9015196227113016</v>
      </c>
      <c r="AG62">
        <v>1</v>
      </c>
      <c r="AH62">
        <v>6071.4594890626977</v>
      </c>
      <c r="AI62">
        <v>0.97991730655640863</v>
      </c>
      <c r="AJ62" s="63">
        <v>5949.5281999999997</v>
      </c>
      <c r="AK62" s="61">
        <v>41.491974892550921</v>
      </c>
      <c r="AL62" t="s">
        <v>336</v>
      </c>
      <c r="AM62" t="s">
        <v>433</v>
      </c>
      <c r="AN62" t="s">
        <v>425</v>
      </c>
      <c r="AO62" t="s">
        <v>28</v>
      </c>
      <c r="AP62">
        <v>111.133</v>
      </c>
      <c r="AQ62">
        <v>0.99819678194932504</v>
      </c>
      <c r="AR62">
        <v>110.9326029683743</v>
      </c>
      <c r="AS62">
        <v>682.07</v>
      </c>
      <c r="AT62">
        <v>1</v>
      </c>
      <c r="AU62">
        <v>75.663800506639092</v>
      </c>
      <c r="AV62">
        <v>1.0196000000000001</v>
      </c>
      <c r="AW62" s="63">
        <v>77.147000000000006</v>
      </c>
      <c r="AX62">
        <v>8.9176000000000002</v>
      </c>
      <c r="AY62">
        <v>1</v>
      </c>
      <c r="AZ62">
        <v>6071.4594890626977</v>
      </c>
      <c r="BA62">
        <v>0.97991730655640863</v>
      </c>
      <c r="BB62" s="63">
        <v>5949.5281999999997</v>
      </c>
      <c r="BC62" s="61">
        <v>41.491974892550921</v>
      </c>
    </row>
    <row r="63" spans="1:55" x14ac:dyDescent="0.25">
      <c r="A63">
        <v>7217</v>
      </c>
      <c r="B63" t="s">
        <v>129</v>
      </c>
      <c r="C63">
        <v>2016</v>
      </c>
      <c r="D63">
        <v>8</v>
      </c>
      <c r="E63" t="s">
        <v>51</v>
      </c>
      <c r="F63" t="s">
        <v>449</v>
      </c>
      <c r="G63" t="s">
        <v>84</v>
      </c>
      <c r="H63" t="s">
        <v>87</v>
      </c>
      <c r="I63" t="s">
        <v>427</v>
      </c>
      <c r="J63">
        <v>-0.93339574000000003</v>
      </c>
      <c r="K63" t="s">
        <v>440</v>
      </c>
      <c r="L63" t="s">
        <v>450</v>
      </c>
      <c r="M63">
        <v>0.26601384014995</v>
      </c>
      <c r="N63">
        <v>0.24829618490884869</v>
      </c>
      <c r="O63">
        <v>31615.94</v>
      </c>
      <c r="P63">
        <v>1.5814806999999999E-5</v>
      </c>
      <c r="Q63">
        <v>1</v>
      </c>
      <c r="R63" s="61">
        <v>0.24829618490884869</v>
      </c>
      <c r="S63" t="s">
        <v>336</v>
      </c>
      <c r="T63" t="s">
        <v>433</v>
      </c>
      <c r="U63" t="s">
        <v>425</v>
      </c>
      <c r="V63" t="s">
        <v>26</v>
      </c>
      <c r="W63">
        <v>111.133</v>
      </c>
      <c r="X63">
        <v>0.99819678194932504</v>
      </c>
      <c r="Y63">
        <v>110.9326029683743</v>
      </c>
      <c r="Z63">
        <v>682.07</v>
      </c>
      <c r="AA63">
        <v>1</v>
      </c>
      <c r="AB63">
        <v>75.663800506639092</v>
      </c>
      <c r="AC63">
        <v>1.0178</v>
      </c>
      <c r="AD63" s="63">
        <v>77.010999999999996</v>
      </c>
      <c r="AE63">
        <v>8.9176000000000002</v>
      </c>
      <c r="AF63">
        <v>8.9015196227113016</v>
      </c>
      <c r="AG63">
        <v>1</v>
      </c>
      <c r="AH63">
        <v>6071.4594890626977</v>
      </c>
      <c r="AI63">
        <v>1.0020831266739409</v>
      </c>
      <c r="AJ63" s="63">
        <v>6084.1071000000002</v>
      </c>
      <c r="AK63" s="61">
        <v>1510.6605815068399</v>
      </c>
      <c r="AL63" t="s">
        <v>336</v>
      </c>
      <c r="AM63" t="s">
        <v>433</v>
      </c>
      <c r="AN63" t="s">
        <v>425</v>
      </c>
      <c r="AO63" t="s">
        <v>26</v>
      </c>
      <c r="AP63">
        <v>111.133</v>
      </c>
      <c r="AQ63">
        <v>0.99819678194932504</v>
      </c>
      <c r="AR63">
        <v>110.9326029683743</v>
      </c>
      <c r="AS63">
        <v>682.07</v>
      </c>
      <c r="AT63">
        <v>1</v>
      </c>
      <c r="AU63">
        <v>75.663800506639092</v>
      </c>
      <c r="AV63">
        <v>1.0178</v>
      </c>
      <c r="AW63" s="63">
        <v>77.010999999999996</v>
      </c>
      <c r="AX63">
        <v>8.9176000000000002</v>
      </c>
      <c r="AY63">
        <v>1</v>
      </c>
      <c r="AZ63">
        <v>6071.4594890626977</v>
      </c>
      <c r="BA63">
        <v>1.0020831266739409</v>
      </c>
      <c r="BB63" s="63">
        <v>6084.1071000000002</v>
      </c>
      <c r="BC63" s="61">
        <v>1510.6605815068399</v>
      </c>
    </row>
    <row r="64" spans="1:55" x14ac:dyDescent="0.25">
      <c r="A64">
        <v>7218</v>
      </c>
      <c r="B64" t="s">
        <v>129</v>
      </c>
      <c r="C64">
        <v>2016</v>
      </c>
      <c r="D64">
        <v>8</v>
      </c>
      <c r="E64" t="s">
        <v>51</v>
      </c>
      <c r="F64" t="s">
        <v>449</v>
      </c>
      <c r="G64" t="s">
        <v>84</v>
      </c>
      <c r="H64" t="s">
        <v>87</v>
      </c>
      <c r="I64" t="s">
        <v>427</v>
      </c>
      <c r="J64">
        <v>-0.93339574000000003</v>
      </c>
      <c r="K64" t="s">
        <v>440</v>
      </c>
      <c r="L64" t="s">
        <v>384</v>
      </c>
      <c r="M64">
        <v>3.9509559941419997E-2</v>
      </c>
      <c r="N64">
        <v>3.6878054898768421E-2</v>
      </c>
      <c r="O64">
        <v>31615.94</v>
      </c>
      <c r="P64">
        <v>1.5814806999999999E-5</v>
      </c>
      <c r="Q64">
        <v>1</v>
      </c>
      <c r="R64" s="61">
        <v>3.6878054898768421E-2</v>
      </c>
      <c r="S64" t="s">
        <v>336</v>
      </c>
      <c r="T64" t="s">
        <v>433</v>
      </c>
      <c r="U64" t="s">
        <v>425</v>
      </c>
      <c r="V64" t="s">
        <v>81</v>
      </c>
      <c r="W64">
        <v>111.133</v>
      </c>
      <c r="X64">
        <v>0.99819678194932504</v>
      </c>
      <c r="Y64">
        <v>110.9326029683743</v>
      </c>
      <c r="Z64">
        <v>682.07</v>
      </c>
      <c r="AA64">
        <v>1</v>
      </c>
      <c r="AB64">
        <v>75.663800506639092</v>
      </c>
      <c r="AC64">
        <v>0.92979999999999996</v>
      </c>
      <c r="AD64" s="63">
        <v>70.352000000000004</v>
      </c>
      <c r="AE64">
        <v>8.9176000000000002</v>
      </c>
      <c r="AF64">
        <v>8.9015196227113016</v>
      </c>
      <c r="AG64">
        <v>1</v>
      </c>
      <c r="AH64">
        <v>6071.4594890626977</v>
      </c>
      <c r="AI64">
        <v>1.0375922509225091</v>
      </c>
      <c r="AJ64" s="63">
        <v>6299.6993000000002</v>
      </c>
      <c r="AK64" s="61">
        <v>232.32065663113301</v>
      </c>
      <c r="AL64" t="s">
        <v>336</v>
      </c>
      <c r="AM64" t="s">
        <v>433</v>
      </c>
      <c r="AN64" t="s">
        <v>425</v>
      </c>
      <c r="AO64" t="s">
        <v>81</v>
      </c>
      <c r="AP64">
        <v>111.133</v>
      </c>
      <c r="AQ64">
        <v>0.99819678194932504</v>
      </c>
      <c r="AR64">
        <v>110.9326029683743</v>
      </c>
      <c r="AS64">
        <v>682.07</v>
      </c>
      <c r="AT64">
        <v>1</v>
      </c>
      <c r="AU64">
        <v>75.663800506639092</v>
      </c>
      <c r="AV64">
        <v>0.92979999999999996</v>
      </c>
      <c r="AW64" s="63">
        <v>70.352000000000004</v>
      </c>
      <c r="AX64">
        <v>8.9176000000000002</v>
      </c>
      <c r="AY64">
        <v>1</v>
      </c>
      <c r="AZ64">
        <v>6071.4594890626977</v>
      </c>
      <c r="BA64">
        <v>1.0375922509225091</v>
      </c>
      <c r="BB64" s="63">
        <v>6299.6993000000002</v>
      </c>
      <c r="BC64" s="61">
        <v>232.32065663113301</v>
      </c>
    </row>
    <row r="65" spans="1:55" x14ac:dyDescent="0.25">
      <c r="A65">
        <v>7219</v>
      </c>
      <c r="B65" t="s">
        <v>129</v>
      </c>
      <c r="C65">
        <v>2016</v>
      </c>
      <c r="D65">
        <v>8</v>
      </c>
      <c r="E65" t="s">
        <v>51</v>
      </c>
      <c r="F65" t="s">
        <v>449</v>
      </c>
      <c r="G65" t="s">
        <v>84</v>
      </c>
      <c r="H65" t="s">
        <v>87</v>
      </c>
      <c r="I65" t="s">
        <v>427</v>
      </c>
      <c r="J65">
        <v>-0.93339574000000003</v>
      </c>
      <c r="K65" t="s">
        <v>440</v>
      </c>
      <c r="L65" t="s">
        <v>385</v>
      </c>
      <c r="M65">
        <v>0.39737542925016001</v>
      </c>
      <c r="N65">
        <v>0.37090853244219602</v>
      </c>
      <c r="O65">
        <v>31615.94</v>
      </c>
      <c r="P65">
        <v>1.5814806999999999E-5</v>
      </c>
      <c r="Q65">
        <v>1</v>
      </c>
      <c r="R65" s="61">
        <v>0.37090853244219602</v>
      </c>
      <c r="S65" t="s">
        <v>336</v>
      </c>
      <c r="T65" t="s">
        <v>433</v>
      </c>
      <c r="U65" t="s">
        <v>425</v>
      </c>
      <c r="V65" t="s">
        <v>27</v>
      </c>
      <c r="W65">
        <v>111.133</v>
      </c>
      <c r="X65">
        <v>0.99819678194932504</v>
      </c>
      <c r="Y65">
        <v>110.9326029683743</v>
      </c>
      <c r="Z65">
        <v>682.07</v>
      </c>
      <c r="AA65">
        <v>1</v>
      </c>
      <c r="AB65">
        <v>75.663800506639092</v>
      </c>
      <c r="AC65">
        <v>0.99739999999999995</v>
      </c>
      <c r="AD65" s="63">
        <v>75.466999999999999</v>
      </c>
      <c r="AE65">
        <v>8.9176000000000002</v>
      </c>
      <c r="AF65">
        <v>8.9015196227113016</v>
      </c>
      <c r="AG65">
        <v>1</v>
      </c>
      <c r="AH65">
        <v>6071.4594890626977</v>
      </c>
      <c r="AI65">
        <v>1.0108695652173909</v>
      </c>
      <c r="AJ65" s="63">
        <v>6137.4535999999998</v>
      </c>
      <c r="AK65" s="61">
        <v>2276.4339077080731</v>
      </c>
      <c r="AL65" t="s">
        <v>336</v>
      </c>
      <c r="AM65" t="s">
        <v>433</v>
      </c>
      <c r="AN65" t="s">
        <v>425</v>
      </c>
      <c r="AO65" t="s">
        <v>27</v>
      </c>
      <c r="AP65">
        <v>111.133</v>
      </c>
      <c r="AQ65">
        <v>0.99819678194932504</v>
      </c>
      <c r="AR65">
        <v>110.9326029683743</v>
      </c>
      <c r="AS65">
        <v>682.07</v>
      </c>
      <c r="AT65">
        <v>1</v>
      </c>
      <c r="AU65">
        <v>75.663800506639092</v>
      </c>
      <c r="AV65">
        <v>0.99739999999999995</v>
      </c>
      <c r="AW65" s="63">
        <v>75.466999999999999</v>
      </c>
      <c r="AX65">
        <v>8.9176000000000002</v>
      </c>
      <c r="AY65">
        <v>1</v>
      </c>
      <c r="AZ65">
        <v>6071.4594890626977</v>
      </c>
      <c r="BA65">
        <v>1.0108695652173909</v>
      </c>
      <c r="BB65" s="63">
        <v>6137.4535999999998</v>
      </c>
      <c r="BC65" s="61">
        <v>2276.4339077080731</v>
      </c>
    </row>
    <row r="66" spans="1:55" x14ac:dyDescent="0.25">
      <c r="A66">
        <v>7220</v>
      </c>
      <c r="B66" t="s">
        <v>129</v>
      </c>
      <c r="C66">
        <v>2016</v>
      </c>
      <c r="D66">
        <v>8</v>
      </c>
      <c r="E66" t="s">
        <v>51</v>
      </c>
      <c r="F66" t="s">
        <v>449</v>
      </c>
      <c r="G66" t="s">
        <v>84</v>
      </c>
      <c r="H66" t="s">
        <v>87</v>
      </c>
      <c r="I66" t="s">
        <v>427</v>
      </c>
      <c r="J66">
        <v>-0.93339574000000003</v>
      </c>
      <c r="K66" t="s">
        <v>440</v>
      </c>
      <c r="L66" t="s">
        <v>452</v>
      </c>
      <c r="M66">
        <v>8.4248020759000004E-4</v>
      </c>
      <c r="N66">
        <v>7.8636743594955863E-4</v>
      </c>
      <c r="O66">
        <v>31615.94</v>
      </c>
      <c r="P66">
        <v>1.5814806999999999E-5</v>
      </c>
      <c r="Q66">
        <v>1</v>
      </c>
      <c r="R66" s="61">
        <v>7.8636743594955863E-4</v>
      </c>
      <c r="S66" t="s">
        <v>336</v>
      </c>
      <c r="T66" t="s">
        <v>433</v>
      </c>
      <c r="U66" t="s">
        <v>425</v>
      </c>
      <c r="V66" t="s">
        <v>28</v>
      </c>
      <c r="W66">
        <v>111.133</v>
      </c>
      <c r="X66">
        <v>0.99819678194932504</v>
      </c>
      <c r="Y66">
        <v>110.9326029683743</v>
      </c>
      <c r="Z66">
        <v>682.07</v>
      </c>
      <c r="AA66">
        <v>1</v>
      </c>
      <c r="AB66">
        <v>75.663800506639092</v>
      </c>
      <c r="AC66">
        <v>1.0196000000000001</v>
      </c>
      <c r="AD66" s="63">
        <v>77.147000000000006</v>
      </c>
      <c r="AE66">
        <v>8.9176000000000002</v>
      </c>
      <c r="AF66">
        <v>8.9015196227113016</v>
      </c>
      <c r="AG66">
        <v>1</v>
      </c>
      <c r="AH66">
        <v>6071.4594890626977</v>
      </c>
      <c r="AI66">
        <v>0.97991730655640863</v>
      </c>
      <c r="AJ66" s="63">
        <v>5949.5281999999997</v>
      </c>
      <c r="AK66" s="61">
        <v>4.6785152357435926</v>
      </c>
      <c r="AL66" t="s">
        <v>336</v>
      </c>
      <c r="AM66" t="s">
        <v>433</v>
      </c>
      <c r="AN66" t="s">
        <v>425</v>
      </c>
      <c r="AO66" t="s">
        <v>28</v>
      </c>
      <c r="AP66">
        <v>111.133</v>
      </c>
      <c r="AQ66">
        <v>0.99819678194932504</v>
      </c>
      <c r="AR66">
        <v>110.9326029683743</v>
      </c>
      <c r="AS66">
        <v>682.07</v>
      </c>
      <c r="AT66">
        <v>1</v>
      </c>
      <c r="AU66">
        <v>75.663800506639092</v>
      </c>
      <c r="AV66">
        <v>1.0196000000000001</v>
      </c>
      <c r="AW66" s="63">
        <v>77.147000000000006</v>
      </c>
      <c r="AX66">
        <v>8.9176000000000002</v>
      </c>
      <c r="AY66">
        <v>1</v>
      </c>
      <c r="AZ66">
        <v>6071.4594890626977</v>
      </c>
      <c r="BA66">
        <v>0.97991730655640863</v>
      </c>
      <c r="BB66" s="63">
        <v>5949.5281999999997</v>
      </c>
      <c r="BC66" s="61">
        <v>4.6785152357435926</v>
      </c>
    </row>
    <row r="67" spans="1:55" x14ac:dyDescent="0.25">
      <c r="A67">
        <v>7221</v>
      </c>
      <c r="B67" t="s">
        <v>129</v>
      </c>
      <c r="C67">
        <v>2016</v>
      </c>
      <c r="D67">
        <v>8</v>
      </c>
      <c r="E67" t="s">
        <v>51</v>
      </c>
      <c r="F67" t="s">
        <v>449</v>
      </c>
      <c r="G67" t="s">
        <v>84</v>
      </c>
      <c r="H67" t="s">
        <v>59</v>
      </c>
      <c r="I67" t="s">
        <v>427</v>
      </c>
      <c r="J67">
        <v>-2.7187721800000002</v>
      </c>
      <c r="K67" t="s">
        <v>440</v>
      </c>
      <c r="L67" t="s">
        <v>450</v>
      </c>
      <c r="M67">
        <v>0.15931709696460999</v>
      </c>
      <c r="N67">
        <v>0.43314689117869087</v>
      </c>
      <c r="O67">
        <v>31615.94</v>
      </c>
      <c r="P67">
        <v>1.5814806999999999E-5</v>
      </c>
      <c r="Q67">
        <v>1</v>
      </c>
      <c r="R67" s="61">
        <v>0.43314689117869087</v>
      </c>
      <c r="S67" t="s">
        <v>336</v>
      </c>
      <c r="T67" t="s">
        <v>433</v>
      </c>
      <c r="U67" t="s">
        <v>425</v>
      </c>
      <c r="V67" t="s">
        <v>26</v>
      </c>
      <c r="W67">
        <v>111.133</v>
      </c>
      <c r="X67">
        <v>0.99819678194932504</v>
      </c>
      <c r="Y67">
        <v>110.9326029683743</v>
      </c>
      <c r="Z67">
        <v>682.07</v>
      </c>
      <c r="AA67">
        <v>1</v>
      </c>
      <c r="AB67">
        <v>75.663800506639092</v>
      </c>
      <c r="AC67">
        <v>1.0178</v>
      </c>
      <c r="AD67" s="63">
        <v>77.010999999999996</v>
      </c>
      <c r="AE67">
        <v>8.9176000000000002</v>
      </c>
      <c r="AF67">
        <v>8.9015196227113016</v>
      </c>
      <c r="AG67">
        <v>1</v>
      </c>
      <c r="AH67">
        <v>6071.4594890626977</v>
      </c>
      <c r="AI67">
        <v>1.0020831266739409</v>
      </c>
      <c r="AJ67" s="63">
        <v>6084.1071000000002</v>
      </c>
      <c r="AK67" s="61">
        <v>2635.3120759632011</v>
      </c>
      <c r="AL67" t="s">
        <v>336</v>
      </c>
      <c r="AM67" t="s">
        <v>433</v>
      </c>
      <c r="AN67" t="s">
        <v>425</v>
      </c>
      <c r="AO67" t="s">
        <v>26</v>
      </c>
      <c r="AP67">
        <v>111.133</v>
      </c>
      <c r="AQ67">
        <v>0.99819678194932504</v>
      </c>
      <c r="AR67">
        <v>110.9326029683743</v>
      </c>
      <c r="AS67">
        <v>682.07</v>
      </c>
      <c r="AT67">
        <v>1</v>
      </c>
      <c r="AU67">
        <v>75.663800506639092</v>
      </c>
      <c r="AV67">
        <v>1.0178</v>
      </c>
      <c r="AW67" s="63">
        <v>77.010999999999996</v>
      </c>
      <c r="AX67">
        <v>8.9176000000000002</v>
      </c>
      <c r="AY67">
        <v>1</v>
      </c>
      <c r="AZ67">
        <v>6071.4594890626977</v>
      </c>
      <c r="BA67">
        <v>1.0020831266739409</v>
      </c>
      <c r="BB67" s="63">
        <v>6084.1071000000002</v>
      </c>
      <c r="BC67" s="61">
        <v>2635.3120759632011</v>
      </c>
    </row>
    <row r="68" spans="1:55" x14ac:dyDescent="0.25">
      <c r="A68">
        <v>7222</v>
      </c>
      <c r="B68" t="s">
        <v>129</v>
      </c>
      <c r="C68">
        <v>2016</v>
      </c>
      <c r="D68">
        <v>8</v>
      </c>
      <c r="E68" t="s">
        <v>51</v>
      </c>
      <c r="F68" t="s">
        <v>449</v>
      </c>
      <c r="G68" t="s">
        <v>84</v>
      </c>
      <c r="H68" t="s">
        <v>59</v>
      </c>
      <c r="I68" t="s">
        <v>427</v>
      </c>
      <c r="J68">
        <v>-2.7187721800000002</v>
      </c>
      <c r="K68" t="s">
        <v>440</v>
      </c>
      <c r="L68" t="s">
        <v>384</v>
      </c>
      <c r="M68">
        <v>4.1785183859599999E-2</v>
      </c>
      <c r="N68">
        <v>0.1136043954537799</v>
      </c>
      <c r="O68">
        <v>31615.94</v>
      </c>
      <c r="P68">
        <v>1.5814806999999999E-5</v>
      </c>
      <c r="Q68">
        <v>1</v>
      </c>
      <c r="R68" s="61">
        <v>0.1136043954537799</v>
      </c>
      <c r="S68" t="s">
        <v>336</v>
      </c>
      <c r="T68" t="s">
        <v>433</v>
      </c>
      <c r="U68" t="s">
        <v>425</v>
      </c>
      <c r="V68" t="s">
        <v>81</v>
      </c>
      <c r="W68">
        <v>111.133</v>
      </c>
      <c r="X68">
        <v>0.99819678194932504</v>
      </c>
      <c r="Y68">
        <v>110.9326029683743</v>
      </c>
      <c r="Z68">
        <v>682.07</v>
      </c>
      <c r="AA68">
        <v>1</v>
      </c>
      <c r="AB68">
        <v>75.663800506639092</v>
      </c>
      <c r="AC68">
        <v>0.92979999999999996</v>
      </c>
      <c r="AD68" s="63">
        <v>70.352000000000004</v>
      </c>
      <c r="AE68">
        <v>8.9176000000000002</v>
      </c>
      <c r="AF68">
        <v>8.9015196227113016</v>
      </c>
      <c r="AG68">
        <v>1</v>
      </c>
      <c r="AH68">
        <v>6071.4594890626977</v>
      </c>
      <c r="AI68">
        <v>1.0375922509225091</v>
      </c>
      <c r="AJ68" s="63">
        <v>6299.6993000000002</v>
      </c>
      <c r="AK68" s="61">
        <v>715.6735305171004</v>
      </c>
      <c r="AL68" t="s">
        <v>336</v>
      </c>
      <c r="AM68" t="s">
        <v>433</v>
      </c>
      <c r="AN68" t="s">
        <v>425</v>
      </c>
      <c r="AO68" t="s">
        <v>81</v>
      </c>
      <c r="AP68">
        <v>111.133</v>
      </c>
      <c r="AQ68">
        <v>0.99819678194932504</v>
      </c>
      <c r="AR68">
        <v>110.9326029683743</v>
      </c>
      <c r="AS68">
        <v>682.07</v>
      </c>
      <c r="AT68">
        <v>1</v>
      </c>
      <c r="AU68">
        <v>75.663800506639092</v>
      </c>
      <c r="AV68">
        <v>0.92979999999999996</v>
      </c>
      <c r="AW68" s="63">
        <v>70.352000000000004</v>
      </c>
      <c r="AX68">
        <v>8.9176000000000002</v>
      </c>
      <c r="AY68">
        <v>1</v>
      </c>
      <c r="AZ68">
        <v>6071.4594890626977</v>
      </c>
      <c r="BA68">
        <v>1.0375922509225091</v>
      </c>
      <c r="BB68" s="63">
        <v>6299.6993000000002</v>
      </c>
      <c r="BC68" s="61">
        <v>715.6735305171004</v>
      </c>
    </row>
    <row r="69" spans="1:55" x14ac:dyDescent="0.25">
      <c r="A69">
        <v>7223</v>
      </c>
      <c r="B69" t="s">
        <v>129</v>
      </c>
      <c r="C69">
        <v>2016</v>
      </c>
      <c r="D69">
        <v>8</v>
      </c>
      <c r="E69" t="s">
        <v>51</v>
      </c>
      <c r="F69" t="s">
        <v>449</v>
      </c>
      <c r="G69" t="s">
        <v>84</v>
      </c>
      <c r="H69" t="s">
        <v>59</v>
      </c>
      <c r="I69" t="s">
        <v>427</v>
      </c>
      <c r="J69">
        <v>-2.7187721800000002</v>
      </c>
      <c r="K69" t="s">
        <v>440</v>
      </c>
      <c r="L69" t="s">
        <v>385</v>
      </c>
      <c r="M69">
        <v>0.43497567483749999</v>
      </c>
      <c r="N69">
        <v>1.1825997641425039</v>
      </c>
      <c r="O69">
        <v>31615.94</v>
      </c>
      <c r="P69">
        <v>1.5814806999999999E-5</v>
      </c>
      <c r="Q69">
        <v>1</v>
      </c>
      <c r="R69" s="61">
        <v>1.1825997641425039</v>
      </c>
      <c r="S69" t="s">
        <v>336</v>
      </c>
      <c r="T69" t="s">
        <v>433</v>
      </c>
      <c r="U69" t="s">
        <v>425</v>
      </c>
      <c r="V69" t="s">
        <v>27</v>
      </c>
      <c r="W69">
        <v>111.133</v>
      </c>
      <c r="X69">
        <v>0.99819678194932504</v>
      </c>
      <c r="Y69">
        <v>110.9326029683743</v>
      </c>
      <c r="Z69">
        <v>682.07</v>
      </c>
      <c r="AA69">
        <v>1</v>
      </c>
      <c r="AB69">
        <v>75.663800506639092</v>
      </c>
      <c r="AC69">
        <v>0.99739999999999995</v>
      </c>
      <c r="AD69" s="63">
        <v>75.466999999999999</v>
      </c>
      <c r="AE69">
        <v>8.9176000000000002</v>
      </c>
      <c r="AF69">
        <v>8.9015196227113016</v>
      </c>
      <c r="AG69">
        <v>1</v>
      </c>
      <c r="AH69">
        <v>6071.4594890626977</v>
      </c>
      <c r="AI69">
        <v>1.0108695652173909</v>
      </c>
      <c r="AJ69" s="63">
        <v>6137.4535999999998</v>
      </c>
      <c r="AK69" s="61">
        <v>7258.1511797955627</v>
      </c>
      <c r="AL69" t="s">
        <v>336</v>
      </c>
      <c r="AM69" t="s">
        <v>433</v>
      </c>
      <c r="AN69" t="s">
        <v>425</v>
      </c>
      <c r="AO69" t="s">
        <v>27</v>
      </c>
      <c r="AP69">
        <v>111.133</v>
      </c>
      <c r="AQ69">
        <v>0.99819678194932504</v>
      </c>
      <c r="AR69">
        <v>110.9326029683743</v>
      </c>
      <c r="AS69">
        <v>682.07</v>
      </c>
      <c r="AT69">
        <v>1</v>
      </c>
      <c r="AU69">
        <v>75.663800506639092</v>
      </c>
      <c r="AV69">
        <v>0.99739999999999995</v>
      </c>
      <c r="AW69" s="63">
        <v>75.466999999999999</v>
      </c>
      <c r="AX69">
        <v>8.9176000000000002</v>
      </c>
      <c r="AY69">
        <v>1</v>
      </c>
      <c r="AZ69">
        <v>6071.4594890626977</v>
      </c>
      <c r="BA69">
        <v>1.0108695652173909</v>
      </c>
      <c r="BB69" s="63">
        <v>6137.4535999999998</v>
      </c>
      <c r="BC69" s="61">
        <v>7258.1511797955627</v>
      </c>
    </row>
    <row r="70" spans="1:55" x14ac:dyDescent="0.25">
      <c r="A70">
        <v>7224</v>
      </c>
      <c r="B70" t="s">
        <v>129</v>
      </c>
      <c r="C70">
        <v>2016</v>
      </c>
      <c r="D70">
        <v>8</v>
      </c>
      <c r="E70" t="s">
        <v>51</v>
      </c>
      <c r="F70" t="s">
        <v>449</v>
      </c>
      <c r="G70" t="s">
        <v>84</v>
      </c>
      <c r="H70" t="s">
        <v>59</v>
      </c>
      <c r="I70" t="s">
        <v>427</v>
      </c>
      <c r="J70">
        <v>-2.7187721800000002</v>
      </c>
      <c r="K70" t="s">
        <v>440</v>
      </c>
      <c r="L70" t="s">
        <v>451</v>
      </c>
      <c r="M70">
        <v>1.7625750762999999E-3</v>
      </c>
      <c r="N70">
        <v>4.7920400842979159E-3</v>
      </c>
      <c r="O70">
        <v>31615.94</v>
      </c>
      <c r="P70">
        <v>1.5814806999999999E-5</v>
      </c>
      <c r="Q70">
        <v>1</v>
      </c>
      <c r="R70" s="61">
        <v>4.7920400842979159E-3</v>
      </c>
      <c r="S70" t="s">
        <v>336</v>
      </c>
      <c r="T70" t="s">
        <v>433</v>
      </c>
      <c r="U70" t="s">
        <v>425</v>
      </c>
      <c r="V70" t="s">
        <v>91</v>
      </c>
      <c r="W70">
        <v>111.133</v>
      </c>
      <c r="X70">
        <v>0.99819678194932504</v>
      </c>
      <c r="Y70">
        <v>110.9326029683743</v>
      </c>
      <c r="Z70">
        <v>682.07</v>
      </c>
      <c r="AA70">
        <v>1</v>
      </c>
      <c r="AB70">
        <v>75.663800506639092</v>
      </c>
      <c r="AC70">
        <v>1.0269999999999999</v>
      </c>
      <c r="AD70" s="63">
        <v>77.706999999999994</v>
      </c>
      <c r="AE70">
        <v>8.9176000000000002</v>
      </c>
      <c r="AF70">
        <v>8.9015196227113016</v>
      </c>
      <c r="AG70">
        <v>1</v>
      </c>
      <c r="AH70">
        <v>6071.4594890626977</v>
      </c>
      <c r="AI70">
        <v>0.98496680983990625</v>
      </c>
      <c r="AJ70" s="63">
        <v>5980.1860999999999</v>
      </c>
      <c r="AK70" s="61">
        <v>28.657291502761229</v>
      </c>
      <c r="AL70" t="s">
        <v>336</v>
      </c>
      <c r="AM70" t="s">
        <v>433</v>
      </c>
      <c r="AN70" t="s">
        <v>425</v>
      </c>
      <c r="AO70" t="s">
        <v>91</v>
      </c>
      <c r="AP70">
        <v>111.133</v>
      </c>
      <c r="AQ70">
        <v>0.99819678194932504</v>
      </c>
      <c r="AR70">
        <v>110.9326029683743</v>
      </c>
      <c r="AS70">
        <v>682.07</v>
      </c>
      <c r="AT70">
        <v>1</v>
      </c>
      <c r="AU70">
        <v>75.663800506639092</v>
      </c>
      <c r="AV70">
        <v>1.0269999999999999</v>
      </c>
      <c r="AW70" s="63">
        <v>77.706999999999994</v>
      </c>
      <c r="AX70">
        <v>8.9176000000000002</v>
      </c>
      <c r="AY70">
        <v>1</v>
      </c>
      <c r="AZ70">
        <v>6071.4594890626977</v>
      </c>
      <c r="BA70">
        <v>0.98496680983990625</v>
      </c>
      <c r="BB70" s="63">
        <v>5980.1860999999999</v>
      </c>
      <c r="BC70" s="61">
        <v>28.657291502761229</v>
      </c>
    </row>
    <row r="71" spans="1:55" x14ac:dyDescent="0.25">
      <c r="A71">
        <v>7225</v>
      </c>
      <c r="B71" t="s">
        <v>129</v>
      </c>
      <c r="C71">
        <v>2016</v>
      </c>
      <c r="D71">
        <v>8</v>
      </c>
      <c r="E71" t="s">
        <v>51</v>
      </c>
      <c r="F71" t="s">
        <v>449</v>
      </c>
      <c r="G71" t="s">
        <v>84</v>
      </c>
      <c r="H71" t="s">
        <v>59</v>
      </c>
      <c r="I71" t="s">
        <v>427</v>
      </c>
      <c r="J71">
        <v>-2.7187721800000002</v>
      </c>
      <c r="K71" t="s">
        <v>440</v>
      </c>
      <c r="L71" t="s">
        <v>452</v>
      </c>
      <c r="M71">
        <v>1.4858046103299999E-3</v>
      </c>
      <c r="N71">
        <v>4.039564240907339E-3</v>
      </c>
      <c r="O71">
        <v>31615.94</v>
      </c>
      <c r="P71">
        <v>1.5814806999999999E-5</v>
      </c>
      <c r="Q71">
        <v>1</v>
      </c>
      <c r="R71" s="61">
        <v>4.039564240907339E-3</v>
      </c>
      <c r="S71" t="s">
        <v>336</v>
      </c>
      <c r="T71" t="s">
        <v>433</v>
      </c>
      <c r="U71" t="s">
        <v>425</v>
      </c>
      <c r="V71" t="s">
        <v>28</v>
      </c>
      <c r="W71">
        <v>111.133</v>
      </c>
      <c r="X71">
        <v>0.99819678194932504</v>
      </c>
      <c r="Y71">
        <v>110.9326029683743</v>
      </c>
      <c r="Z71">
        <v>682.07</v>
      </c>
      <c r="AA71">
        <v>1</v>
      </c>
      <c r="AB71">
        <v>75.663800506639092</v>
      </c>
      <c r="AC71">
        <v>1.0196000000000001</v>
      </c>
      <c r="AD71" s="63">
        <v>77.147000000000006</v>
      </c>
      <c r="AE71">
        <v>8.9176000000000002</v>
      </c>
      <c r="AF71">
        <v>8.9015196227113016</v>
      </c>
      <c r="AG71">
        <v>1</v>
      </c>
      <c r="AH71">
        <v>6071.4594890626977</v>
      </c>
      <c r="AI71">
        <v>0.97991730655640863</v>
      </c>
      <c r="AJ71" s="63">
        <v>5949.5281999999997</v>
      </c>
      <c r="AK71" s="61">
        <v>24.03350136698981</v>
      </c>
      <c r="AL71" t="s">
        <v>336</v>
      </c>
      <c r="AM71" t="s">
        <v>433</v>
      </c>
      <c r="AN71" t="s">
        <v>425</v>
      </c>
      <c r="AO71" t="s">
        <v>28</v>
      </c>
      <c r="AP71">
        <v>111.133</v>
      </c>
      <c r="AQ71">
        <v>0.99819678194932504</v>
      </c>
      <c r="AR71">
        <v>110.9326029683743</v>
      </c>
      <c r="AS71">
        <v>682.07</v>
      </c>
      <c r="AT71">
        <v>1</v>
      </c>
      <c r="AU71">
        <v>75.663800506639092</v>
      </c>
      <c r="AV71">
        <v>1.0196000000000001</v>
      </c>
      <c r="AW71" s="63">
        <v>77.147000000000006</v>
      </c>
      <c r="AX71">
        <v>8.9176000000000002</v>
      </c>
      <c r="AY71">
        <v>1</v>
      </c>
      <c r="AZ71">
        <v>6071.4594890626977</v>
      </c>
      <c r="BA71">
        <v>0.97991730655640863</v>
      </c>
      <c r="BB71" s="63">
        <v>5949.5281999999997</v>
      </c>
      <c r="BC71" s="61">
        <v>24.03350136698981</v>
      </c>
    </row>
    <row r="72" spans="1:55" x14ac:dyDescent="0.25">
      <c r="A72">
        <v>8385</v>
      </c>
      <c r="B72" t="s">
        <v>131</v>
      </c>
      <c r="C72">
        <v>2016</v>
      </c>
      <c r="D72">
        <v>9</v>
      </c>
      <c r="E72" t="s">
        <v>51</v>
      </c>
      <c r="F72" t="s">
        <v>449</v>
      </c>
      <c r="G72" t="s">
        <v>84</v>
      </c>
      <c r="H72" t="s">
        <v>381</v>
      </c>
      <c r="I72" t="s">
        <v>427</v>
      </c>
      <c r="J72">
        <v>-4.5379333700000002</v>
      </c>
      <c r="K72" t="s">
        <v>440</v>
      </c>
      <c r="L72" t="s">
        <v>450</v>
      </c>
      <c r="M72">
        <v>0.15011157993331001</v>
      </c>
      <c r="N72">
        <v>0.68119634822077169</v>
      </c>
      <c r="O72">
        <v>31615.94</v>
      </c>
      <c r="P72">
        <v>1.5814806999999999E-5</v>
      </c>
      <c r="Q72">
        <v>1</v>
      </c>
      <c r="R72" s="61">
        <v>0.68119634822077169</v>
      </c>
      <c r="S72" t="s">
        <v>336</v>
      </c>
      <c r="T72" t="s">
        <v>433</v>
      </c>
      <c r="U72" t="s">
        <v>425</v>
      </c>
      <c r="V72" t="s">
        <v>26</v>
      </c>
      <c r="W72">
        <v>111.133</v>
      </c>
      <c r="X72">
        <v>0.99819678194932504</v>
      </c>
      <c r="Y72">
        <v>110.9326029683743</v>
      </c>
      <c r="Z72">
        <v>682.07</v>
      </c>
      <c r="AA72">
        <v>1</v>
      </c>
      <c r="AB72">
        <v>75.663800506639092</v>
      </c>
      <c r="AC72">
        <v>1.0178</v>
      </c>
      <c r="AD72" s="63">
        <v>77.010999999999996</v>
      </c>
      <c r="AE72">
        <v>8.9176000000000002</v>
      </c>
      <c r="AF72">
        <v>8.9015196227113016</v>
      </c>
      <c r="AG72">
        <v>1</v>
      </c>
      <c r="AH72">
        <v>6071.4594890626977</v>
      </c>
      <c r="AI72">
        <v>1.0020831266739409</v>
      </c>
      <c r="AJ72" s="63">
        <v>6084.1071000000002</v>
      </c>
      <c r="AK72" s="61">
        <v>4144.4715387040696</v>
      </c>
      <c r="AL72" t="s">
        <v>336</v>
      </c>
      <c r="AM72" t="s">
        <v>433</v>
      </c>
      <c r="AN72" t="s">
        <v>425</v>
      </c>
      <c r="AO72" t="s">
        <v>26</v>
      </c>
      <c r="AP72">
        <v>111.133</v>
      </c>
      <c r="AQ72">
        <v>0.99819678194932504</v>
      </c>
      <c r="AR72">
        <v>110.9326029683743</v>
      </c>
      <c r="AS72">
        <v>682.07</v>
      </c>
      <c r="AT72">
        <v>1</v>
      </c>
      <c r="AU72">
        <v>75.663800506639092</v>
      </c>
      <c r="AV72">
        <v>1.0178</v>
      </c>
      <c r="AW72" s="63">
        <v>77.010999999999996</v>
      </c>
      <c r="AX72">
        <v>8.9176000000000002</v>
      </c>
      <c r="AY72">
        <v>1</v>
      </c>
      <c r="AZ72">
        <v>6071.4594890626977</v>
      </c>
      <c r="BA72">
        <v>1.0020831266739409</v>
      </c>
      <c r="BB72" s="63">
        <v>6084.1071000000002</v>
      </c>
      <c r="BC72" s="61">
        <v>4144.4715387040696</v>
      </c>
    </row>
    <row r="73" spans="1:55" x14ac:dyDescent="0.25">
      <c r="A73">
        <v>8386</v>
      </c>
      <c r="B73" t="s">
        <v>131</v>
      </c>
      <c r="C73">
        <v>2016</v>
      </c>
      <c r="D73">
        <v>9</v>
      </c>
      <c r="E73" t="s">
        <v>51</v>
      </c>
      <c r="F73" t="s">
        <v>449</v>
      </c>
      <c r="G73" t="s">
        <v>84</v>
      </c>
      <c r="H73" t="s">
        <v>381</v>
      </c>
      <c r="I73" t="s">
        <v>427</v>
      </c>
      <c r="J73">
        <v>-4.5379333700000002</v>
      </c>
      <c r="K73" t="s">
        <v>440</v>
      </c>
      <c r="L73" t="s">
        <v>384</v>
      </c>
      <c r="M73">
        <v>4.5811354346740003E-2</v>
      </c>
      <c r="N73">
        <v>0.20788887374252649</v>
      </c>
      <c r="O73">
        <v>31615.94</v>
      </c>
      <c r="P73">
        <v>1.5814806999999999E-5</v>
      </c>
      <c r="Q73">
        <v>1</v>
      </c>
      <c r="R73" s="61">
        <v>0.20788887374252649</v>
      </c>
      <c r="S73" t="s">
        <v>336</v>
      </c>
      <c r="T73" t="s">
        <v>433</v>
      </c>
      <c r="U73" t="s">
        <v>425</v>
      </c>
      <c r="V73" t="s">
        <v>81</v>
      </c>
      <c r="W73">
        <v>111.133</v>
      </c>
      <c r="X73">
        <v>0.99819678194932504</v>
      </c>
      <c r="Y73">
        <v>110.9326029683743</v>
      </c>
      <c r="Z73">
        <v>682.07</v>
      </c>
      <c r="AA73">
        <v>1</v>
      </c>
      <c r="AB73">
        <v>75.663800506639092</v>
      </c>
      <c r="AC73">
        <v>0.92979999999999996</v>
      </c>
      <c r="AD73" s="63">
        <v>70.352000000000004</v>
      </c>
      <c r="AE73">
        <v>8.9176000000000002</v>
      </c>
      <c r="AF73">
        <v>8.9015196227113016</v>
      </c>
      <c r="AG73">
        <v>1</v>
      </c>
      <c r="AH73">
        <v>6071.4594890626977</v>
      </c>
      <c r="AI73">
        <v>1.0375922509225091</v>
      </c>
      <c r="AJ73" s="63">
        <v>6299.6993000000002</v>
      </c>
      <c r="AK73" s="61">
        <v>1309.637392393583</v>
      </c>
      <c r="AL73" t="s">
        <v>336</v>
      </c>
      <c r="AM73" t="s">
        <v>433</v>
      </c>
      <c r="AN73" t="s">
        <v>425</v>
      </c>
      <c r="AO73" t="s">
        <v>81</v>
      </c>
      <c r="AP73">
        <v>111.133</v>
      </c>
      <c r="AQ73">
        <v>0.99819678194932504</v>
      </c>
      <c r="AR73">
        <v>110.9326029683743</v>
      </c>
      <c r="AS73">
        <v>682.07</v>
      </c>
      <c r="AT73">
        <v>1</v>
      </c>
      <c r="AU73">
        <v>75.663800506639092</v>
      </c>
      <c r="AV73">
        <v>0.92979999999999996</v>
      </c>
      <c r="AW73" s="63">
        <v>70.352000000000004</v>
      </c>
      <c r="AX73">
        <v>8.9176000000000002</v>
      </c>
      <c r="AY73">
        <v>1</v>
      </c>
      <c r="AZ73">
        <v>6071.4594890626977</v>
      </c>
      <c r="BA73">
        <v>1.0375922509225091</v>
      </c>
      <c r="BB73" s="63">
        <v>6299.6993000000002</v>
      </c>
      <c r="BC73" s="61">
        <v>1309.637392393583</v>
      </c>
    </row>
    <row r="74" spans="1:55" x14ac:dyDescent="0.25">
      <c r="A74">
        <v>8387</v>
      </c>
      <c r="B74" t="s">
        <v>131</v>
      </c>
      <c r="C74">
        <v>2016</v>
      </c>
      <c r="D74">
        <v>9</v>
      </c>
      <c r="E74" t="s">
        <v>51</v>
      </c>
      <c r="F74" t="s">
        <v>449</v>
      </c>
      <c r="G74" t="s">
        <v>84</v>
      </c>
      <c r="H74" t="s">
        <v>381</v>
      </c>
      <c r="I74" t="s">
        <v>427</v>
      </c>
      <c r="J74">
        <v>-4.5379333700000002</v>
      </c>
      <c r="K74" t="s">
        <v>440</v>
      </c>
      <c r="L74" t="s">
        <v>385</v>
      </c>
      <c r="M74">
        <v>0.43232641346992001</v>
      </c>
      <c r="N74">
        <v>1.9618684596213689</v>
      </c>
      <c r="O74">
        <v>31615.94</v>
      </c>
      <c r="P74">
        <v>1.5814806999999999E-5</v>
      </c>
      <c r="Q74">
        <v>1</v>
      </c>
      <c r="R74" s="61">
        <v>1.9618684596213689</v>
      </c>
      <c r="S74" t="s">
        <v>336</v>
      </c>
      <c r="T74" t="s">
        <v>433</v>
      </c>
      <c r="U74" t="s">
        <v>425</v>
      </c>
      <c r="V74" t="s">
        <v>27</v>
      </c>
      <c r="W74">
        <v>111.133</v>
      </c>
      <c r="X74">
        <v>0.99819678194932504</v>
      </c>
      <c r="Y74">
        <v>110.9326029683743</v>
      </c>
      <c r="Z74">
        <v>682.07</v>
      </c>
      <c r="AA74">
        <v>1</v>
      </c>
      <c r="AB74">
        <v>75.663800506639092</v>
      </c>
      <c r="AC74">
        <v>0.99739999999999995</v>
      </c>
      <c r="AD74" s="63">
        <v>75.466999999999999</v>
      </c>
      <c r="AE74">
        <v>8.9176000000000002</v>
      </c>
      <c r="AF74">
        <v>8.9015196227113016</v>
      </c>
      <c r="AG74">
        <v>1</v>
      </c>
      <c r="AH74">
        <v>6071.4594890626977</v>
      </c>
      <c r="AI74">
        <v>1.0108695652173909</v>
      </c>
      <c r="AJ74" s="63">
        <v>6137.4535999999998</v>
      </c>
      <c r="AK74" s="61">
        <v>12040.87664022963</v>
      </c>
      <c r="AL74" t="s">
        <v>336</v>
      </c>
      <c r="AM74" t="s">
        <v>433</v>
      </c>
      <c r="AN74" t="s">
        <v>425</v>
      </c>
      <c r="AO74" t="s">
        <v>27</v>
      </c>
      <c r="AP74">
        <v>111.133</v>
      </c>
      <c r="AQ74">
        <v>0.99819678194932504</v>
      </c>
      <c r="AR74">
        <v>110.9326029683743</v>
      </c>
      <c r="AS74">
        <v>682.07</v>
      </c>
      <c r="AT74">
        <v>1</v>
      </c>
      <c r="AU74">
        <v>75.663800506639092</v>
      </c>
      <c r="AV74">
        <v>0.99739999999999995</v>
      </c>
      <c r="AW74" s="63">
        <v>75.466999999999999</v>
      </c>
      <c r="AX74">
        <v>8.9176000000000002</v>
      </c>
      <c r="AY74">
        <v>1</v>
      </c>
      <c r="AZ74">
        <v>6071.4594890626977</v>
      </c>
      <c r="BA74">
        <v>1.0108695652173909</v>
      </c>
      <c r="BB74" s="63">
        <v>6137.4535999999998</v>
      </c>
      <c r="BC74" s="61">
        <v>12040.87664022963</v>
      </c>
    </row>
    <row r="75" spans="1:55" x14ac:dyDescent="0.25">
      <c r="A75">
        <v>8388</v>
      </c>
      <c r="B75" t="s">
        <v>131</v>
      </c>
      <c r="C75">
        <v>2016</v>
      </c>
      <c r="D75">
        <v>9</v>
      </c>
      <c r="E75" t="s">
        <v>51</v>
      </c>
      <c r="F75" t="s">
        <v>449</v>
      </c>
      <c r="G75" t="s">
        <v>84</v>
      </c>
      <c r="H75" t="s">
        <v>381</v>
      </c>
      <c r="I75" t="s">
        <v>427</v>
      </c>
      <c r="J75">
        <v>-4.5379333700000002</v>
      </c>
      <c r="K75" t="s">
        <v>440</v>
      </c>
      <c r="L75" t="s">
        <v>451</v>
      </c>
      <c r="M75">
        <v>1.6825115802299999E-3</v>
      </c>
      <c r="N75">
        <v>7.6351254500220591E-3</v>
      </c>
      <c r="O75">
        <v>31615.94</v>
      </c>
      <c r="P75">
        <v>1.5814806999999999E-5</v>
      </c>
      <c r="Q75">
        <v>1</v>
      </c>
      <c r="R75" s="61">
        <v>7.6351254500220591E-3</v>
      </c>
      <c r="S75" t="s">
        <v>336</v>
      </c>
      <c r="T75" t="s">
        <v>433</v>
      </c>
      <c r="U75" t="s">
        <v>425</v>
      </c>
      <c r="V75" t="s">
        <v>91</v>
      </c>
      <c r="W75">
        <v>111.133</v>
      </c>
      <c r="X75">
        <v>0.99819678194932504</v>
      </c>
      <c r="Y75">
        <v>110.9326029683743</v>
      </c>
      <c r="Z75">
        <v>682.07</v>
      </c>
      <c r="AA75">
        <v>1</v>
      </c>
      <c r="AB75">
        <v>75.663800506639092</v>
      </c>
      <c r="AC75">
        <v>1.0269999999999999</v>
      </c>
      <c r="AD75" s="63">
        <v>77.706999999999994</v>
      </c>
      <c r="AE75">
        <v>8.9176000000000002</v>
      </c>
      <c r="AF75">
        <v>8.9015196227113016</v>
      </c>
      <c r="AG75">
        <v>1</v>
      </c>
      <c r="AH75">
        <v>6071.4594890626977</v>
      </c>
      <c r="AI75">
        <v>0.98496680983990625</v>
      </c>
      <c r="AJ75" s="63">
        <v>5980.1860999999999</v>
      </c>
      <c r="AK75" s="61">
        <v>45.659471087978162</v>
      </c>
      <c r="AL75" t="s">
        <v>336</v>
      </c>
      <c r="AM75" t="s">
        <v>433</v>
      </c>
      <c r="AN75" t="s">
        <v>425</v>
      </c>
      <c r="AO75" t="s">
        <v>91</v>
      </c>
      <c r="AP75">
        <v>111.133</v>
      </c>
      <c r="AQ75">
        <v>0.99819678194932504</v>
      </c>
      <c r="AR75">
        <v>110.9326029683743</v>
      </c>
      <c r="AS75">
        <v>682.07</v>
      </c>
      <c r="AT75">
        <v>1</v>
      </c>
      <c r="AU75">
        <v>75.663800506639092</v>
      </c>
      <c r="AV75">
        <v>1.0269999999999999</v>
      </c>
      <c r="AW75" s="63">
        <v>77.706999999999994</v>
      </c>
      <c r="AX75">
        <v>8.9176000000000002</v>
      </c>
      <c r="AY75">
        <v>1</v>
      </c>
      <c r="AZ75">
        <v>6071.4594890626977</v>
      </c>
      <c r="BA75">
        <v>0.98496680983990625</v>
      </c>
      <c r="BB75" s="63">
        <v>5980.1860999999999</v>
      </c>
      <c r="BC75" s="61">
        <v>45.659471087978162</v>
      </c>
    </row>
    <row r="76" spans="1:55" x14ac:dyDescent="0.25">
      <c r="A76">
        <v>8389</v>
      </c>
      <c r="B76" t="s">
        <v>131</v>
      </c>
      <c r="C76">
        <v>2016</v>
      </c>
      <c r="D76">
        <v>9</v>
      </c>
      <c r="E76" t="s">
        <v>51</v>
      </c>
      <c r="F76" t="s">
        <v>449</v>
      </c>
      <c r="G76" t="s">
        <v>84</v>
      </c>
      <c r="H76" t="s">
        <v>381</v>
      </c>
      <c r="I76" t="s">
        <v>427</v>
      </c>
      <c r="J76">
        <v>-4.5379333700000002</v>
      </c>
      <c r="K76" t="s">
        <v>440</v>
      </c>
      <c r="L76" t="s">
        <v>452</v>
      </c>
      <c r="M76">
        <v>1.53682162831E-3</v>
      </c>
      <c r="N76">
        <v>6.9739941551249258E-3</v>
      </c>
      <c r="O76">
        <v>31615.94</v>
      </c>
      <c r="P76">
        <v>1.5814806999999999E-5</v>
      </c>
      <c r="Q76">
        <v>1</v>
      </c>
      <c r="R76" s="61">
        <v>6.9739941551249258E-3</v>
      </c>
      <c r="S76" t="s">
        <v>336</v>
      </c>
      <c r="T76" t="s">
        <v>433</v>
      </c>
      <c r="U76" t="s">
        <v>425</v>
      </c>
      <c r="V76" t="s">
        <v>28</v>
      </c>
      <c r="W76">
        <v>111.133</v>
      </c>
      <c r="X76">
        <v>0.99819678194932504</v>
      </c>
      <c r="Y76">
        <v>110.9326029683743</v>
      </c>
      <c r="Z76">
        <v>682.07</v>
      </c>
      <c r="AA76">
        <v>1</v>
      </c>
      <c r="AB76">
        <v>75.663800506639092</v>
      </c>
      <c r="AC76">
        <v>1.0196000000000001</v>
      </c>
      <c r="AD76" s="63">
        <v>77.147000000000006</v>
      </c>
      <c r="AE76">
        <v>8.9176000000000002</v>
      </c>
      <c r="AF76">
        <v>8.9015196227113016</v>
      </c>
      <c r="AG76">
        <v>1</v>
      </c>
      <c r="AH76">
        <v>6071.4594890626977</v>
      </c>
      <c r="AI76">
        <v>0.97991730655640863</v>
      </c>
      <c r="AJ76" s="63">
        <v>5949.5281999999997</v>
      </c>
      <c r="AK76" s="61">
        <v>41.491974892550921</v>
      </c>
      <c r="AL76" t="s">
        <v>336</v>
      </c>
      <c r="AM76" t="s">
        <v>433</v>
      </c>
      <c r="AN76" t="s">
        <v>425</v>
      </c>
      <c r="AO76" t="s">
        <v>28</v>
      </c>
      <c r="AP76">
        <v>111.133</v>
      </c>
      <c r="AQ76">
        <v>0.99819678194932504</v>
      </c>
      <c r="AR76">
        <v>110.9326029683743</v>
      </c>
      <c r="AS76">
        <v>682.07</v>
      </c>
      <c r="AT76">
        <v>1</v>
      </c>
      <c r="AU76">
        <v>75.663800506639092</v>
      </c>
      <c r="AV76">
        <v>1.0196000000000001</v>
      </c>
      <c r="AW76" s="63">
        <v>77.147000000000006</v>
      </c>
      <c r="AX76">
        <v>8.9176000000000002</v>
      </c>
      <c r="AY76">
        <v>1</v>
      </c>
      <c r="AZ76">
        <v>6071.4594890626977</v>
      </c>
      <c r="BA76">
        <v>0.97991730655640863</v>
      </c>
      <c r="BB76" s="63">
        <v>5949.5281999999997</v>
      </c>
      <c r="BC76" s="61">
        <v>41.491974892550921</v>
      </c>
    </row>
    <row r="77" spans="1:55" x14ac:dyDescent="0.25">
      <c r="A77">
        <v>8390</v>
      </c>
      <c r="B77" t="s">
        <v>131</v>
      </c>
      <c r="C77">
        <v>2016</v>
      </c>
      <c r="D77">
        <v>9</v>
      </c>
      <c r="E77" t="s">
        <v>51</v>
      </c>
      <c r="F77" t="s">
        <v>449</v>
      </c>
      <c r="G77" t="s">
        <v>84</v>
      </c>
      <c r="H77" t="s">
        <v>87</v>
      </c>
      <c r="I77" t="s">
        <v>427</v>
      </c>
      <c r="J77">
        <v>-0.93339574000000003</v>
      </c>
      <c r="K77" t="s">
        <v>440</v>
      </c>
      <c r="L77" t="s">
        <v>450</v>
      </c>
      <c r="M77">
        <v>0.26601384014995</v>
      </c>
      <c r="N77">
        <v>0.24829618490884869</v>
      </c>
      <c r="O77">
        <v>31615.94</v>
      </c>
      <c r="P77">
        <v>1.5814806999999999E-5</v>
      </c>
      <c r="Q77">
        <v>1</v>
      </c>
      <c r="R77" s="61">
        <v>0.24829618490884869</v>
      </c>
      <c r="S77" t="s">
        <v>336</v>
      </c>
      <c r="T77" t="s">
        <v>433</v>
      </c>
      <c r="U77" t="s">
        <v>425</v>
      </c>
      <c r="V77" t="s">
        <v>26</v>
      </c>
      <c r="W77">
        <v>111.133</v>
      </c>
      <c r="X77">
        <v>0.99819678194932504</v>
      </c>
      <c r="Y77">
        <v>110.9326029683743</v>
      </c>
      <c r="Z77">
        <v>682.07</v>
      </c>
      <c r="AA77">
        <v>1</v>
      </c>
      <c r="AB77">
        <v>75.663800506639092</v>
      </c>
      <c r="AC77">
        <v>1.0178</v>
      </c>
      <c r="AD77" s="63">
        <v>77.010999999999996</v>
      </c>
      <c r="AE77">
        <v>8.9176000000000002</v>
      </c>
      <c r="AF77">
        <v>8.9015196227113016</v>
      </c>
      <c r="AG77">
        <v>1</v>
      </c>
      <c r="AH77">
        <v>6071.4594890626977</v>
      </c>
      <c r="AI77">
        <v>1.0020831266739409</v>
      </c>
      <c r="AJ77" s="63">
        <v>6084.1071000000002</v>
      </c>
      <c r="AK77" s="61">
        <v>1510.6605815068399</v>
      </c>
      <c r="AL77" t="s">
        <v>336</v>
      </c>
      <c r="AM77" t="s">
        <v>433</v>
      </c>
      <c r="AN77" t="s">
        <v>425</v>
      </c>
      <c r="AO77" t="s">
        <v>26</v>
      </c>
      <c r="AP77">
        <v>111.133</v>
      </c>
      <c r="AQ77">
        <v>0.99819678194932504</v>
      </c>
      <c r="AR77">
        <v>110.9326029683743</v>
      </c>
      <c r="AS77">
        <v>682.07</v>
      </c>
      <c r="AT77">
        <v>1</v>
      </c>
      <c r="AU77">
        <v>75.663800506639092</v>
      </c>
      <c r="AV77">
        <v>1.0178</v>
      </c>
      <c r="AW77" s="63">
        <v>77.010999999999996</v>
      </c>
      <c r="AX77">
        <v>8.9176000000000002</v>
      </c>
      <c r="AY77">
        <v>1</v>
      </c>
      <c r="AZ77">
        <v>6071.4594890626977</v>
      </c>
      <c r="BA77">
        <v>1.0020831266739409</v>
      </c>
      <c r="BB77" s="63">
        <v>6084.1071000000002</v>
      </c>
      <c r="BC77" s="61">
        <v>1510.6605815068399</v>
      </c>
    </row>
    <row r="78" spans="1:55" x14ac:dyDescent="0.25">
      <c r="A78">
        <v>8391</v>
      </c>
      <c r="B78" t="s">
        <v>131</v>
      </c>
      <c r="C78">
        <v>2016</v>
      </c>
      <c r="D78">
        <v>9</v>
      </c>
      <c r="E78" t="s">
        <v>51</v>
      </c>
      <c r="F78" t="s">
        <v>449</v>
      </c>
      <c r="G78" t="s">
        <v>84</v>
      </c>
      <c r="H78" t="s">
        <v>87</v>
      </c>
      <c r="I78" t="s">
        <v>427</v>
      </c>
      <c r="J78">
        <v>-0.93339574000000003</v>
      </c>
      <c r="K78" t="s">
        <v>440</v>
      </c>
      <c r="L78" t="s">
        <v>384</v>
      </c>
      <c r="M78">
        <v>3.9509559941419997E-2</v>
      </c>
      <c r="N78">
        <v>3.6878054898768421E-2</v>
      </c>
      <c r="O78">
        <v>31615.94</v>
      </c>
      <c r="P78">
        <v>1.5814806999999999E-5</v>
      </c>
      <c r="Q78">
        <v>1</v>
      </c>
      <c r="R78" s="61">
        <v>3.6878054898768421E-2</v>
      </c>
      <c r="S78" t="s">
        <v>336</v>
      </c>
      <c r="T78" t="s">
        <v>433</v>
      </c>
      <c r="U78" t="s">
        <v>425</v>
      </c>
      <c r="V78" t="s">
        <v>81</v>
      </c>
      <c r="W78">
        <v>111.133</v>
      </c>
      <c r="X78">
        <v>0.99819678194932504</v>
      </c>
      <c r="Y78">
        <v>110.9326029683743</v>
      </c>
      <c r="Z78">
        <v>682.07</v>
      </c>
      <c r="AA78">
        <v>1</v>
      </c>
      <c r="AB78">
        <v>75.663800506639092</v>
      </c>
      <c r="AC78">
        <v>0.92979999999999996</v>
      </c>
      <c r="AD78" s="63">
        <v>70.352000000000004</v>
      </c>
      <c r="AE78">
        <v>8.9176000000000002</v>
      </c>
      <c r="AF78">
        <v>8.9015196227113016</v>
      </c>
      <c r="AG78">
        <v>1</v>
      </c>
      <c r="AH78">
        <v>6071.4594890626977</v>
      </c>
      <c r="AI78">
        <v>1.0375922509225091</v>
      </c>
      <c r="AJ78" s="63">
        <v>6299.6993000000002</v>
      </c>
      <c r="AK78" s="61">
        <v>232.32065663113301</v>
      </c>
      <c r="AL78" t="s">
        <v>336</v>
      </c>
      <c r="AM78" t="s">
        <v>433</v>
      </c>
      <c r="AN78" t="s">
        <v>425</v>
      </c>
      <c r="AO78" t="s">
        <v>81</v>
      </c>
      <c r="AP78">
        <v>111.133</v>
      </c>
      <c r="AQ78">
        <v>0.99819678194932504</v>
      </c>
      <c r="AR78">
        <v>110.9326029683743</v>
      </c>
      <c r="AS78">
        <v>682.07</v>
      </c>
      <c r="AT78">
        <v>1</v>
      </c>
      <c r="AU78">
        <v>75.663800506639092</v>
      </c>
      <c r="AV78">
        <v>0.92979999999999996</v>
      </c>
      <c r="AW78" s="63">
        <v>70.352000000000004</v>
      </c>
      <c r="AX78">
        <v>8.9176000000000002</v>
      </c>
      <c r="AY78">
        <v>1</v>
      </c>
      <c r="AZ78">
        <v>6071.4594890626977</v>
      </c>
      <c r="BA78">
        <v>1.0375922509225091</v>
      </c>
      <c r="BB78" s="63">
        <v>6299.6993000000002</v>
      </c>
      <c r="BC78" s="61">
        <v>232.32065663113301</v>
      </c>
    </row>
    <row r="79" spans="1:55" x14ac:dyDescent="0.25">
      <c r="A79">
        <v>8392</v>
      </c>
      <c r="B79" t="s">
        <v>131</v>
      </c>
      <c r="C79">
        <v>2016</v>
      </c>
      <c r="D79">
        <v>9</v>
      </c>
      <c r="E79" t="s">
        <v>51</v>
      </c>
      <c r="F79" t="s">
        <v>449</v>
      </c>
      <c r="G79" t="s">
        <v>84</v>
      </c>
      <c r="H79" t="s">
        <v>87</v>
      </c>
      <c r="I79" t="s">
        <v>427</v>
      </c>
      <c r="J79">
        <v>-0.93339574000000003</v>
      </c>
      <c r="K79" t="s">
        <v>440</v>
      </c>
      <c r="L79" t="s">
        <v>385</v>
      </c>
      <c r="M79">
        <v>0.39737542925016001</v>
      </c>
      <c r="N79">
        <v>0.37090853244219602</v>
      </c>
      <c r="O79">
        <v>31615.94</v>
      </c>
      <c r="P79">
        <v>1.5814806999999999E-5</v>
      </c>
      <c r="Q79">
        <v>1</v>
      </c>
      <c r="R79" s="61">
        <v>0.37090853244219602</v>
      </c>
      <c r="S79" t="s">
        <v>336</v>
      </c>
      <c r="T79" t="s">
        <v>433</v>
      </c>
      <c r="U79" t="s">
        <v>425</v>
      </c>
      <c r="V79" t="s">
        <v>27</v>
      </c>
      <c r="W79">
        <v>111.133</v>
      </c>
      <c r="X79">
        <v>0.99819678194932504</v>
      </c>
      <c r="Y79">
        <v>110.9326029683743</v>
      </c>
      <c r="Z79">
        <v>682.07</v>
      </c>
      <c r="AA79">
        <v>1</v>
      </c>
      <c r="AB79">
        <v>75.663800506639092</v>
      </c>
      <c r="AC79">
        <v>0.99739999999999995</v>
      </c>
      <c r="AD79" s="63">
        <v>75.466999999999999</v>
      </c>
      <c r="AE79">
        <v>8.9176000000000002</v>
      </c>
      <c r="AF79">
        <v>8.9015196227113016</v>
      </c>
      <c r="AG79">
        <v>1</v>
      </c>
      <c r="AH79">
        <v>6071.4594890626977</v>
      </c>
      <c r="AI79">
        <v>1.0108695652173909</v>
      </c>
      <c r="AJ79" s="63">
        <v>6137.4535999999998</v>
      </c>
      <c r="AK79" s="61">
        <v>2276.4339077080731</v>
      </c>
      <c r="AL79" t="s">
        <v>336</v>
      </c>
      <c r="AM79" t="s">
        <v>433</v>
      </c>
      <c r="AN79" t="s">
        <v>425</v>
      </c>
      <c r="AO79" t="s">
        <v>27</v>
      </c>
      <c r="AP79">
        <v>111.133</v>
      </c>
      <c r="AQ79">
        <v>0.99819678194932504</v>
      </c>
      <c r="AR79">
        <v>110.9326029683743</v>
      </c>
      <c r="AS79">
        <v>682.07</v>
      </c>
      <c r="AT79">
        <v>1</v>
      </c>
      <c r="AU79">
        <v>75.663800506639092</v>
      </c>
      <c r="AV79">
        <v>0.99739999999999995</v>
      </c>
      <c r="AW79" s="63">
        <v>75.466999999999999</v>
      </c>
      <c r="AX79">
        <v>8.9176000000000002</v>
      </c>
      <c r="AY79">
        <v>1</v>
      </c>
      <c r="AZ79">
        <v>6071.4594890626977</v>
      </c>
      <c r="BA79">
        <v>1.0108695652173909</v>
      </c>
      <c r="BB79" s="63">
        <v>6137.4535999999998</v>
      </c>
      <c r="BC79" s="61">
        <v>2276.4339077080731</v>
      </c>
    </row>
    <row r="80" spans="1:55" x14ac:dyDescent="0.25">
      <c r="A80">
        <v>8393</v>
      </c>
      <c r="B80" t="s">
        <v>131</v>
      </c>
      <c r="C80">
        <v>2016</v>
      </c>
      <c r="D80">
        <v>9</v>
      </c>
      <c r="E80" t="s">
        <v>51</v>
      </c>
      <c r="F80" t="s">
        <v>449</v>
      </c>
      <c r="G80" t="s">
        <v>84</v>
      </c>
      <c r="H80" t="s">
        <v>87</v>
      </c>
      <c r="I80" t="s">
        <v>427</v>
      </c>
      <c r="J80">
        <v>-0.93339574000000003</v>
      </c>
      <c r="K80" t="s">
        <v>440</v>
      </c>
      <c r="L80" t="s">
        <v>452</v>
      </c>
      <c r="M80">
        <v>8.4248020759000004E-4</v>
      </c>
      <c r="N80">
        <v>7.8636743594955863E-4</v>
      </c>
      <c r="O80">
        <v>31615.94</v>
      </c>
      <c r="P80">
        <v>1.5814806999999999E-5</v>
      </c>
      <c r="Q80">
        <v>1</v>
      </c>
      <c r="R80" s="61">
        <v>7.8636743594955863E-4</v>
      </c>
      <c r="S80" t="s">
        <v>336</v>
      </c>
      <c r="T80" t="s">
        <v>433</v>
      </c>
      <c r="U80" t="s">
        <v>425</v>
      </c>
      <c r="V80" t="s">
        <v>28</v>
      </c>
      <c r="W80">
        <v>111.133</v>
      </c>
      <c r="X80">
        <v>0.99819678194932504</v>
      </c>
      <c r="Y80">
        <v>110.9326029683743</v>
      </c>
      <c r="Z80">
        <v>682.07</v>
      </c>
      <c r="AA80">
        <v>1</v>
      </c>
      <c r="AB80">
        <v>75.663800506639092</v>
      </c>
      <c r="AC80">
        <v>1.0196000000000001</v>
      </c>
      <c r="AD80" s="63">
        <v>77.147000000000006</v>
      </c>
      <c r="AE80">
        <v>8.9176000000000002</v>
      </c>
      <c r="AF80">
        <v>8.9015196227113016</v>
      </c>
      <c r="AG80">
        <v>1</v>
      </c>
      <c r="AH80">
        <v>6071.4594890626977</v>
      </c>
      <c r="AI80">
        <v>0.97991730655640863</v>
      </c>
      <c r="AJ80" s="63">
        <v>5949.5281999999997</v>
      </c>
      <c r="AK80" s="61">
        <v>4.6785152357435926</v>
      </c>
      <c r="AL80" t="s">
        <v>336</v>
      </c>
      <c r="AM80" t="s">
        <v>433</v>
      </c>
      <c r="AN80" t="s">
        <v>425</v>
      </c>
      <c r="AO80" t="s">
        <v>28</v>
      </c>
      <c r="AP80">
        <v>111.133</v>
      </c>
      <c r="AQ80">
        <v>0.99819678194932504</v>
      </c>
      <c r="AR80">
        <v>110.9326029683743</v>
      </c>
      <c r="AS80">
        <v>682.07</v>
      </c>
      <c r="AT80">
        <v>1</v>
      </c>
      <c r="AU80">
        <v>75.663800506639092</v>
      </c>
      <c r="AV80">
        <v>1.0196000000000001</v>
      </c>
      <c r="AW80" s="63">
        <v>77.147000000000006</v>
      </c>
      <c r="AX80">
        <v>8.9176000000000002</v>
      </c>
      <c r="AY80">
        <v>1</v>
      </c>
      <c r="AZ80">
        <v>6071.4594890626977</v>
      </c>
      <c r="BA80">
        <v>0.97991730655640863</v>
      </c>
      <c r="BB80" s="63">
        <v>5949.5281999999997</v>
      </c>
      <c r="BC80" s="61">
        <v>4.6785152357435926</v>
      </c>
    </row>
    <row r="81" spans="1:55" x14ac:dyDescent="0.25">
      <c r="A81">
        <v>8394</v>
      </c>
      <c r="B81" t="s">
        <v>131</v>
      </c>
      <c r="C81">
        <v>2016</v>
      </c>
      <c r="D81">
        <v>9</v>
      </c>
      <c r="E81" t="s">
        <v>51</v>
      </c>
      <c r="F81" t="s">
        <v>449</v>
      </c>
      <c r="G81" t="s">
        <v>84</v>
      </c>
      <c r="H81" t="s">
        <v>59</v>
      </c>
      <c r="I81" t="s">
        <v>427</v>
      </c>
      <c r="J81">
        <v>-2.7187721800000002</v>
      </c>
      <c r="K81" t="s">
        <v>440</v>
      </c>
      <c r="L81" t="s">
        <v>450</v>
      </c>
      <c r="M81">
        <v>0.15931709696460999</v>
      </c>
      <c r="N81">
        <v>0.43314689117869087</v>
      </c>
      <c r="O81">
        <v>31615.94</v>
      </c>
      <c r="P81">
        <v>1.5814806999999999E-5</v>
      </c>
      <c r="Q81">
        <v>1</v>
      </c>
      <c r="R81" s="61">
        <v>0.43314689117869087</v>
      </c>
      <c r="S81" t="s">
        <v>336</v>
      </c>
      <c r="T81" t="s">
        <v>433</v>
      </c>
      <c r="U81" t="s">
        <v>425</v>
      </c>
      <c r="V81" t="s">
        <v>26</v>
      </c>
      <c r="W81">
        <v>111.133</v>
      </c>
      <c r="X81">
        <v>0.99819678194932504</v>
      </c>
      <c r="Y81">
        <v>110.9326029683743</v>
      </c>
      <c r="Z81">
        <v>682.07</v>
      </c>
      <c r="AA81">
        <v>1</v>
      </c>
      <c r="AB81">
        <v>75.663800506639092</v>
      </c>
      <c r="AC81">
        <v>1.0178</v>
      </c>
      <c r="AD81" s="63">
        <v>77.010999999999996</v>
      </c>
      <c r="AE81">
        <v>8.9176000000000002</v>
      </c>
      <c r="AF81">
        <v>8.9015196227113016</v>
      </c>
      <c r="AG81">
        <v>1</v>
      </c>
      <c r="AH81">
        <v>6071.4594890626977</v>
      </c>
      <c r="AI81">
        <v>1.0020831266739409</v>
      </c>
      <c r="AJ81" s="63">
        <v>6084.1071000000002</v>
      </c>
      <c r="AK81" s="61">
        <v>2635.3120759632011</v>
      </c>
      <c r="AL81" t="s">
        <v>336</v>
      </c>
      <c r="AM81" t="s">
        <v>433</v>
      </c>
      <c r="AN81" t="s">
        <v>425</v>
      </c>
      <c r="AO81" t="s">
        <v>26</v>
      </c>
      <c r="AP81">
        <v>111.133</v>
      </c>
      <c r="AQ81">
        <v>0.99819678194932504</v>
      </c>
      <c r="AR81">
        <v>110.9326029683743</v>
      </c>
      <c r="AS81">
        <v>682.07</v>
      </c>
      <c r="AT81">
        <v>1</v>
      </c>
      <c r="AU81">
        <v>75.663800506639092</v>
      </c>
      <c r="AV81">
        <v>1.0178</v>
      </c>
      <c r="AW81" s="63">
        <v>77.010999999999996</v>
      </c>
      <c r="AX81">
        <v>8.9176000000000002</v>
      </c>
      <c r="AY81">
        <v>1</v>
      </c>
      <c r="AZ81">
        <v>6071.4594890626977</v>
      </c>
      <c r="BA81">
        <v>1.0020831266739409</v>
      </c>
      <c r="BB81" s="63">
        <v>6084.1071000000002</v>
      </c>
      <c r="BC81" s="61">
        <v>2635.3120759632011</v>
      </c>
    </row>
    <row r="82" spans="1:55" x14ac:dyDescent="0.25">
      <c r="A82">
        <v>8395</v>
      </c>
      <c r="B82" t="s">
        <v>131</v>
      </c>
      <c r="C82">
        <v>2016</v>
      </c>
      <c r="D82">
        <v>9</v>
      </c>
      <c r="E82" t="s">
        <v>51</v>
      </c>
      <c r="F82" t="s">
        <v>449</v>
      </c>
      <c r="G82" t="s">
        <v>84</v>
      </c>
      <c r="H82" t="s">
        <v>59</v>
      </c>
      <c r="I82" t="s">
        <v>427</v>
      </c>
      <c r="J82">
        <v>-2.7187721800000002</v>
      </c>
      <c r="K82" t="s">
        <v>440</v>
      </c>
      <c r="L82" t="s">
        <v>384</v>
      </c>
      <c r="M82">
        <v>4.1785183859599999E-2</v>
      </c>
      <c r="N82">
        <v>0.1136043954537799</v>
      </c>
      <c r="O82">
        <v>31615.94</v>
      </c>
      <c r="P82">
        <v>1.5814806999999999E-5</v>
      </c>
      <c r="Q82">
        <v>1</v>
      </c>
      <c r="R82" s="61">
        <v>0.1136043954537799</v>
      </c>
      <c r="S82" t="s">
        <v>336</v>
      </c>
      <c r="T82" t="s">
        <v>433</v>
      </c>
      <c r="U82" t="s">
        <v>425</v>
      </c>
      <c r="V82" t="s">
        <v>81</v>
      </c>
      <c r="W82">
        <v>111.133</v>
      </c>
      <c r="X82">
        <v>0.99819678194932504</v>
      </c>
      <c r="Y82">
        <v>110.9326029683743</v>
      </c>
      <c r="Z82">
        <v>682.07</v>
      </c>
      <c r="AA82">
        <v>1</v>
      </c>
      <c r="AB82">
        <v>75.663800506639092</v>
      </c>
      <c r="AC82">
        <v>0.92979999999999996</v>
      </c>
      <c r="AD82" s="63">
        <v>70.352000000000004</v>
      </c>
      <c r="AE82">
        <v>8.9176000000000002</v>
      </c>
      <c r="AF82">
        <v>8.9015196227113016</v>
      </c>
      <c r="AG82">
        <v>1</v>
      </c>
      <c r="AH82">
        <v>6071.4594890626977</v>
      </c>
      <c r="AI82">
        <v>1.0375922509225091</v>
      </c>
      <c r="AJ82" s="63">
        <v>6299.6993000000002</v>
      </c>
      <c r="AK82" s="61">
        <v>715.6735305171004</v>
      </c>
      <c r="AL82" t="s">
        <v>336</v>
      </c>
      <c r="AM82" t="s">
        <v>433</v>
      </c>
      <c r="AN82" t="s">
        <v>425</v>
      </c>
      <c r="AO82" t="s">
        <v>81</v>
      </c>
      <c r="AP82">
        <v>111.133</v>
      </c>
      <c r="AQ82">
        <v>0.99819678194932504</v>
      </c>
      <c r="AR82">
        <v>110.9326029683743</v>
      </c>
      <c r="AS82">
        <v>682.07</v>
      </c>
      <c r="AT82">
        <v>1</v>
      </c>
      <c r="AU82">
        <v>75.663800506639092</v>
      </c>
      <c r="AV82">
        <v>0.92979999999999996</v>
      </c>
      <c r="AW82" s="63">
        <v>70.352000000000004</v>
      </c>
      <c r="AX82">
        <v>8.9176000000000002</v>
      </c>
      <c r="AY82">
        <v>1</v>
      </c>
      <c r="AZ82">
        <v>6071.4594890626977</v>
      </c>
      <c r="BA82">
        <v>1.0375922509225091</v>
      </c>
      <c r="BB82" s="63">
        <v>6299.6993000000002</v>
      </c>
      <c r="BC82" s="61">
        <v>715.6735305171004</v>
      </c>
    </row>
    <row r="83" spans="1:55" x14ac:dyDescent="0.25">
      <c r="A83">
        <v>8396</v>
      </c>
      <c r="B83" t="s">
        <v>131</v>
      </c>
      <c r="C83">
        <v>2016</v>
      </c>
      <c r="D83">
        <v>9</v>
      </c>
      <c r="E83" t="s">
        <v>51</v>
      </c>
      <c r="F83" t="s">
        <v>449</v>
      </c>
      <c r="G83" t="s">
        <v>84</v>
      </c>
      <c r="H83" t="s">
        <v>59</v>
      </c>
      <c r="I83" t="s">
        <v>427</v>
      </c>
      <c r="J83">
        <v>-2.7187721800000002</v>
      </c>
      <c r="K83" t="s">
        <v>440</v>
      </c>
      <c r="L83" t="s">
        <v>385</v>
      </c>
      <c r="M83">
        <v>0.43497567483749999</v>
      </c>
      <c r="N83">
        <v>1.1825997641425039</v>
      </c>
      <c r="O83">
        <v>31615.94</v>
      </c>
      <c r="P83">
        <v>1.5814806999999999E-5</v>
      </c>
      <c r="Q83">
        <v>1</v>
      </c>
      <c r="R83" s="61">
        <v>1.1825997641425039</v>
      </c>
      <c r="S83" t="s">
        <v>336</v>
      </c>
      <c r="T83" t="s">
        <v>433</v>
      </c>
      <c r="U83" t="s">
        <v>425</v>
      </c>
      <c r="V83" t="s">
        <v>27</v>
      </c>
      <c r="W83">
        <v>111.133</v>
      </c>
      <c r="X83">
        <v>0.99819678194932504</v>
      </c>
      <c r="Y83">
        <v>110.9326029683743</v>
      </c>
      <c r="Z83">
        <v>682.07</v>
      </c>
      <c r="AA83">
        <v>1</v>
      </c>
      <c r="AB83">
        <v>75.663800506639092</v>
      </c>
      <c r="AC83">
        <v>0.99739999999999995</v>
      </c>
      <c r="AD83" s="63">
        <v>75.466999999999999</v>
      </c>
      <c r="AE83">
        <v>8.9176000000000002</v>
      </c>
      <c r="AF83">
        <v>8.9015196227113016</v>
      </c>
      <c r="AG83">
        <v>1</v>
      </c>
      <c r="AH83">
        <v>6071.4594890626977</v>
      </c>
      <c r="AI83">
        <v>1.0108695652173909</v>
      </c>
      <c r="AJ83" s="63">
        <v>6137.4535999999998</v>
      </c>
      <c r="AK83" s="61">
        <v>7258.1511797955627</v>
      </c>
      <c r="AL83" t="s">
        <v>336</v>
      </c>
      <c r="AM83" t="s">
        <v>433</v>
      </c>
      <c r="AN83" t="s">
        <v>425</v>
      </c>
      <c r="AO83" t="s">
        <v>27</v>
      </c>
      <c r="AP83">
        <v>111.133</v>
      </c>
      <c r="AQ83">
        <v>0.99819678194932504</v>
      </c>
      <c r="AR83">
        <v>110.9326029683743</v>
      </c>
      <c r="AS83">
        <v>682.07</v>
      </c>
      <c r="AT83">
        <v>1</v>
      </c>
      <c r="AU83">
        <v>75.663800506639092</v>
      </c>
      <c r="AV83">
        <v>0.99739999999999995</v>
      </c>
      <c r="AW83" s="63">
        <v>75.466999999999999</v>
      </c>
      <c r="AX83">
        <v>8.9176000000000002</v>
      </c>
      <c r="AY83">
        <v>1</v>
      </c>
      <c r="AZ83">
        <v>6071.4594890626977</v>
      </c>
      <c r="BA83">
        <v>1.0108695652173909</v>
      </c>
      <c r="BB83" s="63">
        <v>6137.4535999999998</v>
      </c>
      <c r="BC83" s="61">
        <v>7258.1511797955627</v>
      </c>
    </row>
    <row r="84" spans="1:55" x14ac:dyDescent="0.25">
      <c r="A84">
        <v>8397</v>
      </c>
      <c r="B84" t="s">
        <v>131</v>
      </c>
      <c r="C84">
        <v>2016</v>
      </c>
      <c r="D84">
        <v>9</v>
      </c>
      <c r="E84" t="s">
        <v>51</v>
      </c>
      <c r="F84" t="s">
        <v>449</v>
      </c>
      <c r="G84" t="s">
        <v>84</v>
      </c>
      <c r="H84" t="s">
        <v>59</v>
      </c>
      <c r="I84" t="s">
        <v>427</v>
      </c>
      <c r="J84">
        <v>-2.7187721800000002</v>
      </c>
      <c r="K84" t="s">
        <v>440</v>
      </c>
      <c r="L84" t="s">
        <v>451</v>
      </c>
      <c r="M84">
        <v>1.7625750762999999E-3</v>
      </c>
      <c r="N84">
        <v>4.7920400842979159E-3</v>
      </c>
      <c r="O84">
        <v>31615.94</v>
      </c>
      <c r="P84">
        <v>1.5814806999999999E-5</v>
      </c>
      <c r="Q84">
        <v>1</v>
      </c>
      <c r="R84" s="61">
        <v>4.7920400842979159E-3</v>
      </c>
      <c r="S84" t="s">
        <v>336</v>
      </c>
      <c r="T84" t="s">
        <v>433</v>
      </c>
      <c r="U84" t="s">
        <v>425</v>
      </c>
      <c r="V84" t="s">
        <v>91</v>
      </c>
      <c r="W84">
        <v>111.133</v>
      </c>
      <c r="X84">
        <v>0.99819678194932504</v>
      </c>
      <c r="Y84">
        <v>110.9326029683743</v>
      </c>
      <c r="Z84">
        <v>682.07</v>
      </c>
      <c r="AA84">
        <v>1</v>
      </c>
      <c r="AB84">
        <v>75.663800506639092</v>
      </c>
      <c r="AC84">
        <v>1.0269999999999999</v>
      </c>
      <c r="AD84" s="63">
        <v>77.706999999999994</v>
      </c>
      <c r="AE84">
        <v>8.9176000000000002</v>
      </c>
      <c r="AF84">
        <v>8.9015196227113016</v>
      </c>
      <c r="AG84">
        <v>1</v>
      </c>
      <c r="AH84">
        <v>6071.4594890626977</v>
      </c>
      <c r="AI84">
        <v>0.98496680983990625</v>
      </c>
      <c r="AJ84" s="63">
        <v>5980.1860999999999</v>
      </c>
      <c r="AK84" s="61">
        <v>28.657291502761229</v>
      </c>
      <c r="AL84" t="s">
        <v>336</v>
      </c>
      <c r="AM84" t="s">
        <v>433</v>
      </c>
      <c r="AN84" t="s">
        <v>425</v>
      </c>
      <c r="AO84" t="s">
        <v>91</v>
      </c>
      <c r="AP84">
        <v>111.133</v>
      </c>
      <c r="AQ84">
        <v>0.99819678194932504</v>
      </c>
      <c r="AR84">
        <v>110.9326029683743</v>
      </c>
      <c r="AS84">
        <v>682.07</v>
      </c>
      <c r="AT84">
        <v>1</v>
      </c>
      <c r="AU84">
        <v>75.663800506639092</v>
      </c>
      <c r="AV84">
        <v>1.0269999999999999</v>
      </c>
      <c r="AW84" s="63">
        <v>77.706999999999994</v>
      </c>
      <c r="AX84">
        <v>8.9176000000000002</v>
      </c>
      <c r="AY84">
        <v>1</v>
      </c>
      <c r="AZ84">
        <v>6071.4594890626977</v>
      </c>
      <c r="BA84">
        <v>0.98496680983990625</v>
      </c>
      <c r="BB84" s="63">
        <v>5980.1860999999999</v>
      </c>
      <c r="BC84" s="61">
        <v>28.657291502761229</v>
      </c>
    </row>
    <row r="85" spans="1:55" x14ac:dyDescent="0.25">
      <c r="A85">
        <v>8398</v>
      </c>
      <c r="B85" t="s">
        <v>131</v>
      </c>
      <c r="C85">
        <v>2016</v>
      </c>
      <c r="D85">
        <v>9</v>
      </c>
      <c r="E85" t="s">
        <v>51</v>
      </c>
      <c r="F85" t="s">
        <v>449</v>
      </c>
      <c r="G85" t="s">
        <v>84</v>
      </c>
      <c r="H85" t="s">
        <v>59</v>
      </c>
      <c r="I85" t="s">
        <v>427</v>
      </c>
      <c r="J85">
        <v>-2.7187721800000002</v>
      </c>
      <c r="K85" t="s">
        <v>440</v>
      </c>
      <c r="L85" t="s">
        <v>452</v>
      </c>
      <c r="M85">
        <v>1.4858046103299999E-3</v>
      </c>
      <c r="N85">
        <v>4.039564240907339E-3</v>
      </c>
      <c r="O85">
        <v>31615.94</v>
      </c>
      <c r="P85">
        <v>1.5814806999999999E-5</v>
      </c>
      <c r="Q85">
        <v>1</v>
      </c>
      <c r="R85" s="61">
        <v>4.039564240907339E-3</v>
      </c>
      <c r="S85" t="s">
        <v>336</v>
      </c>
      <c r="T85" t="s">
        <v>433</v>
      </c>
      <c r="U85" t="s">
        <v>425</v>
      </c>
      <c r="V85" t="s">
        <v>28</v>
      </c>
      <c r="W85">
        <v>111.133</v>
      </c>
      <c r="X85">
        <v>0.99819678194932504</v>
      </c>
      <c r="Y85">
        <v>110.9326029683743</v>
      </c>
      <c r="Z85">
        <v>682.07</v>
      </c>
      <c r="AA85">
        <v>1</v>
      </c>
      <c r="AB85">
        <v>75.663800506639092</v>
      </c>
      <c r="AC85">
        <v>1.0196000000000001</v>
      </c>
      <c r="AD85" s="63">
        <v>77.147000000000006</v>
      </c>
      <c r="AE85">
        <v>8.9176000000000002</v>
      </c>
      <c r="AF85">
        <v>8.9015196227113016</v>
      </c>
      <c r="AG85">
        <v>1</v>
      </c>
      <c r="AH85">
        <v>6071.4594890626977</v>
      </c>
      <c r="AI85">
        <v>0.97991730655640863</v>
      </c>
      <c r="AJ85" s="63">
        <v>5949.5281999999997</v>
      </c>
      <c r="AK85" s="61">
        <v>24.03350136698981</v>
      </c>
      <c r="AL85" t="s">
        <v>336</v>
      </c>
      <c r="AM85" t="s">
        <v>433</v>
      </c>
      <c r="AN85" t="s">
        <v>425</v>
      </c>
      <c r="AO85" t="s">
        <v>28</v>
      </c>
      <c r="AP85">
        <v>111.133</v>
      </c>
      <c r="AQ85">
        <v>0.99819678194932504</v>
      </c>
      <c r="AR85">
        <v>110.9326029683743</v>
      </c>
      <c r="AS85">
        <v>682.07</v>
      </c>
      <c r="AT85">
        <v>1</v>
      </c>
      <c r="AU85">
        <v>75.663800506639092</v>
      </c>
      <c r="AV85">
        <v>1.0196000000000001</v>
      </c>
      <c r="AW85" s="63">
        <v>77.147000000000006</v>
      </c>
      <c r="AX85">
        <v>8.9176000000000002</v>
      </c>
      <c r="AY85">
        <v>1</v>
      </c>
      <c r="AZ85">
        <v>6071.4594890626977</v>
      </c>
      <c r="BA85">
        <v>0.97991730655640863</v>
      </c>
      <c r="BB85" s="63">
        <v>5949.5281999999997</v>
      </c>
      <c r="BC85" s="61">
        <v>24.03350136698981</v>
      </c>
    </row>
    <row r="86" spans="1:55" x14ac:dyDescent="0.25">
      <c r="A86">
        <v>9558</v>
      </c>
      <c r="B86" t="s">
        <v>133</v>
      </c>
      <c r="C86">
        <v>2016</v>
      </c>
      <c r="D86">
        <v>10</v>
      </c>
      <c r="E86" t="s">
        <v>51</v>
      </c>
      <c r="F86" t="s">
        <v>449</v>
      </c>
      <c r="G86" t="s">
        <v>84</v>
      </c>
      <c r="H86" t="s">
        <v>381</v>
      </c>
      <c r="I86" t="s">
        <v>427</v>
      </c>
      <c r="J86">
        <v>-4.5384725799999996</v>
      </c>
      <c r="K86" t="s">
        <v>440</v>
      </c>
      <c r="L86" t="s">
        <v>450</v>
      </c>
      <c r="M86">
        <v>0.15011157993331001</v>
      </c>
      <c r="N86">
        <v>0.68127728885150152</v>
      </c>
      <c r="O86">
        <v>31615.94</v>
      </c>
      <c r="P86">
        <v>1.5814806999999999E-5</v>
      </c>
      <c r="Q86">
        <v>1</v>
      </c>
      <c r="R86" s="61">
        <v>0.68127728885150152</v>
      </c>
      <c r="S86" t="s">
        <v>336</v>
      </c>
      <c r="T86" t="s">
        <v>433</v>
      </c>
      <c r="U86" t="s">
        <v>425</v>
      </c>
      <c r="V86" t="s">
        <v>26</v>
      </c>
      <c r="W86">
        <v>111.133</v>
      </c>
      <c r="X86">
        <v>0.99819678194932504</v>
      </c>
      <c r="Y86">
        <v>110.9326029683743</v>
      </c>
      <c r="Z86">
        <v>682.07</v>
      </c>
      <c r="AA86">
        <v>1</v>
      </c>
      <c r="AB86">
        <v>75.663800506639092</v>
      </c>
      <c r="AC86">
        <v>1.0178</v>
      </c>
      <c r="AD86" s="63">
        <v>77.010999999999996</v>
      </c>
      <c r="AE86">
        <v>8.9176000000000002</v>
      </c>
      <c r="AF86">
        <v>8.9015196227113016</v>
      </c>
      <c r="AG86">
        <v>1</v>
      </c>
      <c r="AH86">
        <v>6071.4594890626977</v>
      </c>
      <c r="AI86">
        <v>1.0020831266739409</v>
      </c>
      <c r="AJ86" s="63">
        <v>6084.1071000000002</v>
      </c>
      <c r="AK86" s="61">
        <v>4144.9639901701712</v>
      </c>
      <c r="AL86" t="s">
        <v>336</v>
      </c>
      <c r="AM86" t="s">
        <v>433</v>
      </c>
      <c r="AN86" t="s">
        <v>425</v>
      </c>
      <c r="AO86" t="s">
        <v>26</v>
      </c>
      <c r="AP86">
        <v>111.133</v>
      </c>
      <c r="AQ86">
        <v>0.99819678194932504</v>
      </c>
      <c r="AR86">
        <v>110.9326029683743</v>
      </c>
      <c r="AS86">
        <v>682.07</v>
      </c>
      <c r="AT86">
        <v>1</v>
      </c>
      <c r="AU86">
        <v>75.663800506639092</v>
      </c>
      <c r="AV86">
        <v>1.0178</v>
      </c>
      <c r="AW86" s="63">
        <v>77.010999999999996</v>
      </c>
      <c r="AX86">
        <v>8.9176000000000002</v>
      </c>
      <c r="AY86">
        <v>1</v>
      </c>
      <c r="AZ86">
        <v>6071.4594890626977</v>
      </c>
      <c r="BA86">
        <v>1.0020831266739409</v>
      </c>
      <c r="BB86" s="63">
        <v>6084.1071000000002</v>
      </c>
      <c r="BC86" s="61">
        <v>4144.9639901701712</v>
      </c>
    </row>
    <row r="87" spans="1:55" x14ac:dyDescent="0.25">
      <c r="A87">
        <v>9559</v>
      </c>
      <c r="B87" t="s">
        <v>133</v>
      </c>
      <c r="C87">
        <v>2016</v>
      </c>
      <c r="D87">
        <v>10</v>
      </c>
      <c r="E87" t="s">
        <v>51</v>
      </c>
      <c r="F87" t="s">
        <v>449</v>
      </c>
      <c r="G87" t="s">
        <v>84</v>
      </c>
      <c r="H87" t="s">
        <v>381</v>
      </c>
      <c r="I87" t="s">
        <v>427</v>
      </c>
      <c r="J87">
        <v>-4.5384725799999996</v>
      </c>
      <c r="K87" t="s">
        <v>440</v>
      </c>
      <c r="L87" t="s">
        <v>384</v>
      </c>
      <c r="M87">
        <v>4.5811354346740003E-2</v>
      </c>
      <c r="N87">
        <v>0.20791357536725841</v>
      </c>
      <c r="O87">
        <v>31615.94</v>
      </c>
      <c r="P87">
        <v>1.5814806999999999E-5</v>
      </c>
      <c r="Q87">
        <v>1</v>
      </c>
      <c r="R87" s="61">
        <v>0.20791357536725841</v>
      </c>
      <c r="S87" t="s">
        <v>336</v>
      </c>
      <c r="T87" t="s">
        <v>433</v>
      </c>
      <c r="U87" t="s">
        <v>425</v>
      </c>
      <c r="V87" t="s">
        <v>81</v>
      </c>
      <c r="W87">
        <v>111.133</v>
      </c>
      <c r="X87">
        <v>0.99819678194932504</v>
      </c>
      <c r="Y87">
        <v>110.9326029683743</v>
      </c>
      <c r="Z87">
        <v>682.07</v>
      </c>
      <c r="AA87">
        <v>1</v>
      </c>
      <c r="AB87">
        <v>75.663800506639092</v>
      </c>
      <c r="AC87">
        <v>0.92979999999999996</v>
      </c>
      <c r="AD87" s="63">
        <v>70.352000000000004</v>
      </c>
      <c r="AE87">
        <v>8.9176000000000002</v>
      </c>
      <c r="AF87">
        <v>8.9015196227113016</v>
      </c>
      <c r="AG87">
        <v>1</v>
      </c>
      <c r="AH87">
        <v>6071.4594890626977</v>
      </c>
      <c r="AI87">
        <v>1.0375922509225091</v>
      </c>
      <c r="AJ87" s="63">
        <v>6299.6993000000002</v>
      </c>
      <c r="AK87" s="61">
        <v>1309.793005201615</v>
      </c>
      <c r="AL87" t="s">
        <v>336</v>
      </c>
      <c r="AM87" t="s">
        <v>433</v>
      </c>
      <c r="AN87" t="s">
        <v>425</v>
      </c>
      <c r="AO87" t="s">
        <v>81</v>
      </c>
      <c r="AP87">
        <v>111.133</v>
      </c>
      <c r="AQ87">
        <v>0.99819678194932504</v>
      </c>
      <c r="AR87">
        <v>110.9326029683743</v>
      </c>
      <c r="AS87">
        <v>682.07</v>
      </c>
      <c r="AT87">
        <v>1</v>
      </c>
      <c r="AU87">
        <v>75.663800506639092</v>
      </c>
      <c r="AV87">
        <v>0.92979999999999996</v>
      </c>
      <c r="AW87" s="63">
        <v>70.352000000000004</v>
      </c>
      <c r="AX87">
        <v>8.9176000000000002</v>
      </c>
      <c r="AY87">
        <v>1</v>
      </c>
      <c r="AZ87">
        <v>6071.4594890626977</v>
      </c>
      <c r="BA87">
        <v>1.0375922509225091</v>
      </c>
      <c r="BB87" s="63">
        <v>6299.6993000000002</v>
      </c>
      <c r="BC87" s="61">
        <v>1309.793005201615</v>
      </c>
    </row>
    <row r="88" spans="1:55" x14ac:dyDescent="0.25">
      <c r="A88">
        <v>9560</v>
      </c>
      <c r="B88" t="s">
        <v>133</v>
      </c>
      <c r="C88">
        <v>2016</v>
      </c>
      <c r="D88">
        <v>10</v>
      </c>
      <c r="E88" t="s">
        <v>51</v>
      </c>
      <c r="F88" t="s">
        <v>449</v>
      </c>
      <c r="G88" t="s">
        <v>84</v>
      </c>
      <c r="H88" t="s">
        <v>381</v>
      </c>
      <c r="I88" t="s">
        <v>427</v>
      </c>
      <c r="J88">
        <v>-4.5384725799999996</v>
      </c>
      <c r="K88" t="s">
        <v>440</v>
      </c>
      <c r="L88" t="s">
        <v>385</v>
      </c>
      <c r="M88">
        <v>0.43232641346992001</v>
      </c>
      <c r="N88">
        <v>1.9621015713679979</v>
      </c>
      <c r="O88">
        <v>31615.94</v>
      </c>
      <c r="P88">
        <v>1.5814806999999999E-5</v>
      </c>
      <c r="Q88">
        <v>1</v>
      </c>
      <c r="R88" s="61">
        <v>1.9621015713679979</v>
      </c>
      <c r="S88" t="s">
        <v>336</v>
      </c>
      <c r="T88" t="s">
        <v>433</v>
      </c>
      <c r="U88" t="s">
        <v>425</v>
      </c>
      <c r="V88" t="s">
        <v>27</v>
      </c>
      <c r="W88">
        <v>111.133</v>
      </c>
      <c r="X88">
        <v>0.99819678194932504</v>
      </c>
      <c r="Y88">
        <v>110.9326029683743</v>
      </c>
      <c r="Z88">
        <v>682.07</v>
      </c>
      <c r="AA88">
        <v>1</v>
      </c>
      <c r="AB88">
        <v>75.663800506639092</v>
      </c>
      <c r="AC88">
        <v>0.99739999999999995</v>
      </c>
      <c r="AD88" s="63">
        <v>75.466999999999999</v>
      </c>
      <c r="AE88">
        <v>8.9176000000000002</v>
      </c>
      <c r="AF88">
        <v>8.9015196227113016</v>
      </c>
      <c r="AG88">
        <v>1</v>
      </c>
      <c r="AH88">
        <v>6071.4594890626977</v>
      </c>
      <c r="AI88">
        <v>1.0108695652173909</v>
      </c>
      <c r="AJ88" s="63">
        <v>6137.4535999999998</v>
      </c>
      <c r="AK88" s="61">
        <v>12042.307352758169</v>
      </c>
      <c r="AL88" t="s">
        <v>336</v>
      </c>
      <c r="AM88" t="s">
        <v>433</v>
      </c>
      <c r="AN88" t="s">
        <v>425</v>
      </c>
      <c r="AO88" t="s">
        <v>27</v>
      </c>
      <c r="AP88">
        <v>111.133</v>
      </c>
      <c r="AQ88">
        <v>0.99819678194932504</v>
      </c>
      <c r="AR88">
        <v>110.9326029683743</v>
      </c>
      <c r="AS88">
        <v>682.07</v>
      </c>
      <c r="AT88">
        <v>1</v>
      </c>
      <c r="AU88">
        <v>75.663800506639092</v>
      </c>
      <c r="AV88">
        <v>0.99739999999999995</v>
      </c>
      <c r="AW88" s="63">
        <v>75.466999999999999</v>
      </c>
      <c r="AX88">
        <v>8.9176000000000002</v>
      </c>
      <c r="AY88">
        <v>1</v>
      </c>
      <c r="AZ88">
        <v>6071.4594890626977</v>
      </c>
      <c r="BA88">
        <v>1.0108695652173909</v>
      </c>
      <c r="BB88" s="63">
        <v>6137.4535999999998</v>
      </c>
      <c r="BC88" s="61">
        <v>12042.307352758169</v>
      </c>
    </row>
    <row r="89" spans="1:55" x14ac:dyDescent="0.25">
      <c r="A89">
        <v>9561</v>
      </c>
      <c r="B89" t="s">
        <v>133</v>
      </c>
      <c r="C89">
        <v>2016</v>
      </c>
      <c r="D89">
        <v>10</v>
      </c>
      <c r="E89" t="s">
        <v>51</v>
      </c>
      <c r="F89" t="s">
        <v>449</v>
      </c>
      <c r="G89" t="s">
        <v>84</v>
      </c>
      <c r="H89" t="s">
        <v>381</v>
      </c>
      <c r="I89" t="s">
        <v>427</v>
      </c>
      <c r="J89">
        <v>-4.5384725799999996</v>
      </c>
      <c r="K89" t="s">
        <v>440</v>
      </c>
      <c r="L89" t="s">
        <v>451</v>
      </c>
      <c r="M89">
        <v>1.6825115802299999E-3</v>
      </c>
      <c r="N89">
        <v>7.6360326654985374E-3</v>
      </c>
      <c r="O89">
        <v>31615.94</v>
      </c>
      <c r="P89">
        <v>1.5814806999999999E-5</v>
      </c>
      <c r="Q89">
        <v>1</v>
      </c>
      <c r="R89" s="61">
        <v>7.6360326654985374E-3</v>
      </c>
      <c r="S89" t="s">
        <v>336</v>
      </c>
      <c r="T89" t="s">
        <v>433</v>
      </c>
      <c r="U89" t="s">
        <v>425</v>
      </c>
      <c r="V89" t="s">
        <v>91</v>
      </c>
      <c r="W89">
        <v>111.133</v>
      </c>
      <c r="X89">
        <v>0.99819678194932504</v>
      </c>
      <c r="Y89">
        <v>110.9326029683743</v>
      </c>
      <c r="Z89">
        <v>682.07</v>
      </c>
      <c r="AA89">
        <v>1</v>
      </c>
      <c r="AB89">
        <v>75.663800506639092</v>
      </c>
      <c r="AC89">
        <v>1.0269999999999999</v>
      </c>
      <c r="AD89" s="63">
        <v>77.706999999999994</v>
      </c>
      <c r="AE89">
        <v>8.9176000000000002</v>
      </c>
      <c r="AF89">
        <v>8.9015196227113016</v>
      </c>
      <c r="AG89">
        <v>1</v>
      </c>
      <c r="AH89">
        <v>6071.4594890626977</v>
      </c>
      <c r="AI89">
        <v>0.98496680983990625</v>
      </c>
      <c r="AJ89" s="63">
        <v>5980.1860999999999</v>
      </c>
      <c r="AK89" s="61">
        <v>45.664896405360302</v>
      </c>
      <c r="AL89" t="s">
        <v>336</v>
      </c>
      <c r="AM89" t="s">
        <v>433</v>
      </c>
      <c r="AN89" t="s">
        <v>425</v>
      </c>
      <c r="AO89" t="s">
        <v>91</v>
      </c>
      <c r="AP89">
        <v>111.133</v>
      </c>
      <c r="AQ89">
        <v>0.99819678194932504</v>
      </c>
      <c r="AR89">
        <v>110.9326029683743</v>
      </c>
      <c r="AS89">
        <v>682.07</v>
      </c>
      <c r="AT89">
        <v>1</v>
      </c>
      <c r="AU89">
        <v>75.663800506639092</v>
      </c>
      <c r="AV89">
        <v>1.0269999999999999</v>
      </c>
      <c r="AW89" s="63">
        <v>77.706999999999994</v>
      </c>
      <c r="AX89">
        <v>8.9176000000000002</v>
      </c>
      <c r="AY89">
        <v>1</v>
      </c>
      <c r="AZ89">
        <v>6071.4594890626977</v>
      </c>
      <c r="BA89">
        <v>0.98496680983990625</v>
      </c>
      <c r="BB89" s="63">
        <v>5980.1860999999999</v>
      </c>
      <c r="BC89" s="61">
        <v>45.664896405360302</v>
      </c>
    </row>
    <row r="90" spans="1:55" x14ac:dyDescent="0.25">
      <c r="A90">
        <v>9562</v>
      </c>
      <c r="B90" t="s">
        <v>133</v>
      </c>
      <c r="C90">
        <v>2016</v>
      </c>
      <c r="D90">
        <v>10</v>
      </c>
      <c r="E90" t="s">
        <v>51</v>
      </c>
      <c r="F90" t="s">
        <v>449</v>
      </c>
      <c r="G90" t="s">
        <v>84</v>
      </c>
      <c r="H90" t="s">
        <v>381</v>
      </c>
      <c r="I90" t="s">
        <v>427</v>
      </c>
      <c r="J90">
        <v>-4.5384725799999996</v>
      </c>
      <c r="K90" t="s">
        <v>440</v>
      </c>
      <c r="L90" t="s">
        <v>452</v>
      </c>
      <c r="M90">
        <v>1.53682162831E-3</v>
      </c>
      <c r="N90">
        <v>6.9748228141262494E-3</v>
      </c>
      <c r="O90">
        <v>31615.94</v>
      </c>
      <c r="P90">
        <v>1.5814806999999999E-5</v>
      </c>
      <c r="Q90">
        <v>1</v>
      </c>
      <c r="R90" s="61">
        <v>6.9748228141262494E-3</v>
      </c>
      <c r="S90" t="s">
        <v>336</v>
      </c>
      <c r="T90" t="s">
        <v>433</v>
      </c>
      <c r="U90" t="s">
        <v>425</v>
      </c>
      <c r="V90" t="s">
        <v>28</v>
      </c>
      <c r="W90">
        <v>111.133</v>
      </c>
      <c r="X90">
        <v>0.99819678194932504</v>
      </c>
      <c r="Y90">
        <v>110.9326029683743</v>
      </c>
      <c r="Z90">
        <v>682.07</v>
      </c>
      <c r="AA90">
        <v>1</v>
      </c>
      <c r="AB90">
        <v>75.663800506639092</v>
      </c>
      <c r="AC90">
        <v>1.0196000000000001</v>
      </c>
      <c r="AD90" s="63">
        <v>77.147000000000006</v>
      </c>
      <c r="AE90">
        <v>8.9176000000000002</v>
      </c>
      <c r="AF90">
        <v>8.9015196227113016</v>
      </c>
      <c r="AG90">
        <v>1</v>
      </c>
      <c r="AH90">
        <v>6071.4594890626977</v>
      </c>
      <c r="AI90">
        <v>0.97991730655640863</v>
      </c>
      <c r="AJ90" s="63">
        <v>5949.5281999999997</v>
      </c>
      <c r="AK90" s="61">
        <v>41.496905022647468</v>
      </c>
      <c r="AL90" t="s">
        <v>336</v>
      </c>
      <c r="AM90" t="s">
        <v>433</v>
      </c>
      <c r="AN90" t="s">
        <v>425</v>
      </c>
      <c r="AO90" t="s">
        <v>28</v>
      </c>
      <c r="AP90">
        <v>111.133</v>
      </c>
      <c r="AQ90">
        <v>0.99819678194932504</v>
      </c>
      <c r="AR90">
        <v>110.9326029683743</v>
      </c>
      <c r="AS90">
        <v>682.07</v>
      </c>
      <c r="AT90">
        <v>1</v>
      </c>
      <c r="AU90">
        <v>75.663800506639092</v>
      </c>
      <c r="AV90">
        <v>1.0196000000000001</v>
      </c>
      <c r="AW90" s="63">
        <v>77.147000000000006</v>
      </c>
      <c r="AX90">
        <v>8.9176000000000002</v>
      </c>
      <c r="AY90">
        <v>1</v>
      </c>
      <c r="AZ90">
        <v>6071.4594890626977</v>
      </c>
      <c r="BA90">
        <v>0.97991730655640863</v>
      </c>
      <c r="BB90" s="63">
        <v>5949.5281999999997</v>
      </c>
      <c r="BC90" s="61">
        <v>41.496905022647468</v>
      </c>
    </row>
    <row r="91" spans="1:55" x14ac:dyDescent="0.25">
      <c r="A91">
        <v>9563</v>
      </c>
      <c r="B91" t="s">
        <v>133</v>
      </c>
      <c r="C91">
        <v>2016</v>
      </c>
      <c r="D91">
        <v>10</v>
      </c>
      <c r="E91" t="s">
        <v>51</v>
      </c>
      <c r="F91" t="s">
        <v>449</v>
      </c>
      <c r="G91" t="s">
        <v>84</v>
      </c>
      <c r="H91" t="s">
        <v>87</v>
      </c>
      <c r="I91" t="s">
        <v>427</v>
      </c>
      <c r="J91">
        <v>-0.93350664999999999</v>
      </c>
      <c r="K91" t="s">
        <v>440</v>
      </c>
      <c r="L91" t="s">
        <v>450</v>
      </c>
      <c r="M91">
        <v>0.26601384014995</v>
      </c>
      <c r="N91">
        <v>0.24832568778253089</v>
      </c>
      <c r="O91">
        <v>31615.94</v>
      </c>
      <c r="P91">
        <v>1.5814806999999999E-5</v>
      </c>
      <c r="Q91">
        <v>1</v>
      </c>
      <c r="R91" s="61">
        <v>0.24832568778253089</v>
      </c>
      <c r="S91" t="s">
        <v>336</v>
      </c>
      <c r="T91" t="s">
        <v>433</v>
      </c>
      <c r="U91" t="s">
        <v>425</v>
      </c>
      <c r="V91" t="s">
        <v>26</v>
      </c>
      <c r="W91">
        <v>111.133</v>
      </c>
      <c r="X91">
        <v>0.99819678194932504</v>
      </c>
      <c r="Y91">
        <v>110.9326029683743</v>
      </c>
      <c r="Z91">
        <v>682.07</v>
      </c>
      <c r="AA91">
        <v>1</v>
      </c>
      <c r="AB91">
        <v>75.663800506639092</v>
      </c>
      <c r="AC91">
        <v>1.0178</v>
      </c>
      <c r="AD91" s="63">
        <v>77.010999999999996</v>
      </c>
      <c r="AE91">
        <v>8.9176000000000002</v>
      </c>
      <c r="AF91">
        <v>8.9015196227113016</v>
      </c>
      <c r="AG91">
        <v>1</v>
      </c>
      <c r="AH91">
        <v>6071.4594890626977</v>
      </c>
      <c r="AI91">
        <v>1.0020831266739409</v>
      </c>
      <c r="AJ91" s="63">
        <v>6084.1071000000002</v>
      </c>
      <c r="AK91" s="61">
        <v>1510.84008015008</v>
      </c>
      <c r="AL91" t="s">
        <v>336</v>
      </c>
      <c r="AM91" t="s">
        <v>433</v>
      </c>
      <c r="AN91" t="s">
        <v>425</v>
      </c>
      <c r="AO91" t="s">
        <v>26</v>
      </c>
      <c r="AP91">
        <v>111.133</v>
      </c>
      <c r="AQ91">
        <v>0.99819678194932504</v>
      </c>
      <c r="AR91">
        <v>110.9326029683743</v>
      </c>
      <c r="AS91">
        <v>682.07</v>
      </c>
      <c r="AT91">
        <v>1</v>
      </c>
      <c r="AU91">
        <v>75.663800506639092</v>
      </c>
      <c r="AV91">
        <v>1.0178</v>
      </c>
      <c r="AW91" s="63">
        <v>77.010999999999996</v>
      </c>
      <c r="AX91">
        <v>8.9176000000000002</v>
      </c>
      <c r="AY91">
        <v>1</v>
      </c>
      <c r="AZ91">
        <v>6071.4594890626977</v>
      </c>
      <c r="BA91">
        <v>1.0020831266739409</v>
      </c>
      <c r="BB91" s="63">
        <v>6084.1071000000002</v>
      </c>
      <c r="BC91" s="61">
        <v>1510.84008015008</v>
      </c>
    </row>
    <row r="92" spans="1:55" x14ac:dyDescent="0.25">
      <c r="A92">
        <v>9564</v>
      </c>
      <c r="B92" t="s">
        <v>133</v>
      </c>
      <c r="C92">
        <v>2016</v>
      </c>
      <c r="D92">
        <v>10</v>
      </c>
      <c r="E92" t="s">
        <v>51</v>
      </c>
      <c r="F92" t="s">
        <v>449</v>
      </c>
      <c r="G92" t="s">
        <v>84</v>
      </c>
      <c r="H92" t="s">
        <v>87</v>
      </c>
      <c r="I92" t="s">
        <v>427</v>
      </c>
      <c r="J92">
        <v>-0.93350664999999999</v>
      </c>
      <c r="K92" t="s">
        <v>440</v>
      </c>
      <c r="L92" t="s">
        <v>384</v>
      </c>
      <c r="M92">
        <v>3.9509559941419997E-2</v>
      </c>
      <c r="N92">
        <v>3.688243679692655E-2</v>
      </c>
      <c r="O92">
        <v>31615.94</v>
      </c>
      <c r="P92">
        <v>1.5814806999999999E-5</v>
      </c>
      <c r="Q92">
        <v>1</v>
      </c>
      <c r="R92" s="61">
        <v>3.688243679692655E-2</v>
      </c>
      <c r="S92" t="s">
        <v>336</v>
      </c>
      <c r="T92" t="s">
        <v>433</v>
      </c>
      <c r="U92" t="s">
        <v>425</v>
      </c>
      <c r="V92" t="s">
        <v>81</v>
      </c>
      <c r="W92">
        <v>111.133</v>
      </c>
      <c r="X92">
        <v>0.99819678194932504</v>
      </c>
      <c r="Y92">
        <v>110.9326029683743</v>
      </c>
      <c r="Z92">
        <v>682.07</v>
      </c>
      <c r="AA92">
        <v>1</v>
      </c>
      <c r="AB92">
        <v>75.663800506639092</v>
      </c>
      <c r="AC92">
        <v>0.92979999999999996</v>
      </c>
      <c r="AD92" s="63">
        <v>70.352000000000004</v>
      </c>
      <c r="AE92">
        <v>8.9176000000000002</v>
      </c>
      <c r="AF92">
        <v>8.9015196227113016</v>
      </c>
      <c r="AG92">
        <v>1</v>
      </c>
      <c r="AH92">
        <v>6071.4594890626977</v>
      </c>
      <c r="AI92">
        <v>1.0375922509225091</v>
      </c>
      <c r="AJ92" s="63">
        <v>6299.6993000000002</v>
      </c>
      <c r="AK92" s="61">
        <v>232.3482612718924</v>
      </c>
      <c r="AL92" t="s">
        <v>336</v>
      </c>
      <c r="AM92" t="s">
        <v>433</v>
      </c>
      <c r="AN92" t="s">
        <v>425</v>
      </c>
      <c r="AO92" t="s">
        <v>81</v>
      </c>
      <c r="AP92">
        <v>111.133</v>
      </c>
      <c r="AQ92">
        <v>0.99819678194932504</v>
      </c>
      <c r="AR92">
        <v>110.9326029683743</v>
      </c>
      <c r="AS92">
        <v>682.07</v>
      </c>
      <c r="AT92">
        <v>1</v>
      </c>
      <c r="AU92">
        <v>75.663800506639092</v>
      </c>
      <c r="AV92">
        <v>0.92979999999999996</v>
      </c>
      <c r="AW92" s="63">
        <v>70.352000000000004</v>
      </c>
      <c r="AX92">
        <v>8.9176000000000002</v>
      </c>
      <c r="AY92">
        <v>1</v>
      </c>
      <c r="AZ92">
        <v>6071.4594890626977</v>
      </c>
      <c r="BA92">
        <v>1.0375922509225091</v>
      </c>
      <c r="BB92" s="63">
        <v>6299.6993000000002</v>
      </c>
      <c r="BC92" s="61">
        <v>232.3482612718924</v>
      </c>
    </row>
    <row r="93" spans="1:55" x14ac:dyDescent="0.25">
      <c r="A93">
        <v>9565</v>
      </c>
      <c r="B93" t="s">
        <v>133</v>
      </c>
      <c r="C93">
        <v>2016</v>
      </c>
      <c r="D93">
        <v>10</v>
      </c>
      <c r="E93" t="s">
        <v>51</v>
      </c>
      <c r="F93" t="s">
        <v>449</v>
      </c>
      <c r="G93" t="s">
        <v>84</v>
      </c>
      <c r="H93" t="s">
        <v>87</v>
      </c>
      <c r="I93" t="s">
        <v>427</v>
      </c>
      <c r="J93">
        <v>-0.93350664999999999</v>
      </c>
      <c r="K93" t="s">
        <v>440</v>
      </c>
      <c r="L93" t="s">
        <v>385</v>
      </c>
      <c r="M93">
        <v>0.39737542925016001</v>
      </c>
      <c r="N93">
        <v>0.37095260427352228</v>
      </c>
      <c r="O93">
        <v>31615.94</v>
      </c>
      <c r="P93">
        <v>1.5814806999999999E-5</v>
      </c>
      <c r="Q93">
        <v>1</v>
      </c>
      <c r="R93" s="61">
        <v>0.37095260427352228</v>
      </c>
      <c r="S93" t="s">
        <v>336</v>
      </c>
      <c r="T93" t="s">
        <v>433</v>
      </c>
      <c r="U93" t="s">
        <v>425</v>
      </c>
      <c r="V93" t="s">
        <v>27</v>
      </c>
      <c r="W93">
        <v>111.133</v>
      </c>
      <c r="X93">
        <v>0.99819678194932504</v>
      </c>
      <c r="Y93">
        <v>110.9326029683743</v>
      </c>
      <c r="Z93">
        <v>682.07</v>
      </c>
      <c r="AA93">
        <v>1</v>
      </c>
      <c r="AB93">
        <v>75.663800506639092</v>
      </c>
      <c r="AC93">
        <v>0.99739999999999995</v>
      </c>
      <c r="AD93" s="63">
        <v>75.466999999999999</v>
      </c>
      <c r="AE93">
        <v>8.9176000000000002</v>
      </c>
      <c r="AF93">
        <v>8.9015196227113016</v>
      </c>
      <c r="AG93">
        <v>1</v>
      </c>
      <c r="AH93">
        <v>6071.4594890626977</v>
      </c>
      <c r="AI93">
        <v>1.0108695652173909</v>
      </c>
      <c r="AJ93" s="63">
        <v>6137.4535999999998</v>
      </c>
      <c r="AK93" s="61">
        <v>2276.7043965279049</v>
      </c>
      <c r="AL93" t="s">
        <v>336</v>
      </c>
      <c r="AM93" t="s">
        <v>433</v>
      </c>
      <c r="AN93" t="s">
        <v>425</v>
      </c>
      <c r="AO93" t="s">
        <v>27</v>
      </c>
      <c r="AP93">
        <v>111.133</v>
      </c>
      <c r="AQ93">
        <v>0.99819678194932504</v>
      </c>
      <c r="AR93">
        <v>110.9326029683743</v>
      </c>
      <c r="AS93">
        <v>682.07</v>
      </c>
      <c r="AT93">
        <v>1</v>
      </c>
      <c r="AU93">
        <v>75.663800506639092</v>
      </c>
      <c r="AV93">
        <v>0.99739999999999995</v>
      </c>
      <c r="AW93" s="63">
        <v>75.466999999999999</v>
      </c>
      <c r="AX93">
        <v>8.9176000000000002</v>
      </c>
      <c r="AY93">
        <v>1</v>
      </c>
      <c r="AZ93">
        <v>6071.4594890626977</v>
      </c>
      <c r="BA93">
        <v>1.0108695652173909</v>
      </c>
      <c r="BB93" s="63">
        <v>6137.4535999999998</v>
      </c>
      <c r="BC93" s="61">
        <v>2276.7043965279049</v>
      </c>
    </row>
    <row r="94" spans="1:55" x14ac:dyDescent="0.25">
      <c r="A94">
        <v>9566</v>
      </c>
      <c r="B94" t="s">
        <v>133</v>
      </c>
      <c r="C94">
        <v>2016</v>
      </c>
      <c r="D94">
        <v>10</v>
      </c>
      <c r="E94" t="s">
        <v>51</v>
      </c>
      <c r="F94" t="s">
        <v>449</v>
      </c>
      <c r="G94" t="s">
        <v>84</v>
      </c>
      <c r="H94" t="s">
        <v>87</v>
      </c>
      <c r="I94" t="s">
        <v>427</v>
      </c>
      <c r="J94">
        <v>-0.93350664999999999</v>
      </c>
      <c r="K94" t="s">
        <v>440</v>
      </c>
      <c r="L94" t="s">
        <v>452</v>
      </c>
      <c r="M94">
        <v>8.4248020759000004E-4</v>
      </c>
      <c r="N94">
        <v>7.8646087314489493E-4</v>
      </c>
      <c r="O94">
        <v>31615.94</v>
      </c>
      <c r="P94">
        <v>1.5814806999999999E-5</v>
      </c>
      <c r="Q94">
        <v>1</v>
      </c>
      <c r="R94" s="61">
        <v>7.8646087314489493E-4</v>
      </c>
      <c r="S94" t="s">
        <v>336</v>
      </c>
      <c r="T94" t="s">
        <v>433</v>
      </c>
      <c r="U94" t="s">
        <v>425</v>
      </c>
      <c r="V94" t="s">
        <v>28</v>
      </c>
      <c r="W94">
        <v>111.133</v>
      </c>
      <c r="X94">
        <v>0.99819678194932504</v>
      </c>
      <c r="Y94">
        <v>110.9326029683743</v>
      </c>
      <c r="Z94">
        <v>682.07</v>
      </c>
      <c r="AA94">
        <v>1</v>
      </c>
      <c r="AB94">
        <v>75.663800506639092</v>
      </c>
      <c r="AC94">
        <v>1.0196000000000001</v>
      </c>
      <c r="AD94" s="63">
        <v>77.147000000000006</v>
      </c>
      <c r="AE94">
        <v>8.9176000000000002</v>
      </c>
      <c r="AF94">
        <v>8.9015196227113016</v>
      </c>
      <c r="AG94">
        <v>1</v>
      </c>
      <c r="AH94">
        <v>6071.4594890626977</v>
      </c>
      <c r="AI94">
        <v>0.97991730655640863</v>
      </c>
      <c r="AJ94" s="63">
        <v>5949.5281999999997</v>
      </c>
      <c r="AK94" s="61">
        <v>4.679071142972175</v>
      </c>
      <c r="AL94" t="s">
        <v>336</v>
      </c>
      <c r="AM94" t="s">
        <v>433</v>
      </c>
      <c r="AN94" t="s">
        <v>425</v>
      </c>
      <c r="AO94" t="s">
        <v>28</v>
      </c>
      <c r="AP94">
        <v>111.133</v>
      </c>
      <c r="AQ94">
        <v>0.99819678194932504</v>
      </c>
      <c r="AR94">
        <v>110.9326029683743</v>
      </c>
      <c r="AS94">
        <v>682.07</v>
      </c>
      <c r="AT94">
        <v>1</v>
      </c>
      <c r="AU94">
        <v>75.663800506639092</v>
      </c>
      <c r="AV94">
        <v>1.0196000000000001</v>
      </c>
      <c r="AW94" s="63">
        <v>77.147000000000006</v>
      </c>
      <c r="AX94">
        <v>8.9176000000000002</v>
      </c>
      <c r="AY94">
        <v>1</v>
      </c>
      <c r="AZ94">
        <v>6071.4594890626977</v>
      </c>
      <c r="BA94">
        <v>0.97991730655640863</v>
      </c>
      <c r="BB94" s="63">
        <v>5949.5281999999997</v>
      </c>
      <c r="BC94" s="61">
        <v>4.679071142972175</v>
      </c>
    </row>
    <row r="95" spans="1:55" x14ac:dyDescent="0.25">
      <c r="A95">
        <v>9567</v>
      </c>
      <c r="B95" t="s">
        <v>133</v>
      </c>
      <c r="C95">
        <v>2016</v>
      </c>
      <c r="D95">
        <v>10</v>
      </c>
      <c r="E95" t="s">
        <v>51</v>
      </c>
      <c r="F95" t="s">
        <v>449</v>
      </c>
      <c r="G95" t="s">
        <v>84</v>
      </c>
      <c r="H95" t="s">
        <v>59</v>
      </c>
      <c r="I95" t="s">
        <v>427</v>
      </c>
      <c r="J95">
        <v>-2.7190952300000002</v>
      </c>
      <c r="K95" t="s">
        <v>440</v>
      </c>
      <c r="L95" t="s">
        <v>450</v>
      </c>
      <c r="M95">
        <v>0.15931709696460999</v>
      </c>
      <c r="N95">
        <v>0.43319835825226249</v>
      </c>
      <c r="O95">
        <v>31615.94</v>
      </c>
      <c r="P95">
        <v>1.5814806999999999E-5</v>
      </c>
      <c r="Q95">
        <v>1</v>
      </c>
      <c r="R95" s="61">
        <v>0.43319835825226249</v>
      </c>
      <c r="S95" t="s">
        <v>336</v>
      </c>
      <c r="T95" t="s">
        <v>433</v>
      </c>
      <c r="U95" t="s">
        <v>425</v>
      </c>
      <c r="V95" t="s">
        <v>26</v>
      </c>
      <c r="W95">
        <v>111.133</v>
      </c>
      <c r="X95">
        <v>0.99819678194932504</v>
      </c>
      <c r="Y95">
        <v>110.9326029683743</v>
      </c>
      <c r="Z95">
        <v>682.07</v>
      </c>
      <c r="AA95">
        <v>1</v>
      </c>
      <c r="AB95">
        <v>75.663800506639092</v>
      </c>
      <c r="AC95">
        <v>1.0178</v>
      </c>
      <c r="AD95" s="63">
        <v>77.010999999999996</v>
      </c>
      <c r="AE95">
        <v>8.9176000000000002</v>
      </c>
      <c r="AF95">
        <v>8.9015196227113016</v>
      </c>
      <c r="AG95">
        <v>1</v>
      </c>
      <c r="AH95">
        <v>6071.4594890626977</v>
      </c>
      <c r="AI95">
        <v>1.0020831266739409</v>
      </c>
      <c r="AJ95" s="63">
        <v>6084.1071000000002</v>
      </c>
      <c r="AK95" s="61">
        <v>2635.6252071509339</v>
      </c>
      <c r="AL95" t="s">
        <v>336</v>
      </c>
      <c r="AM95" t="s">
        <v>433</v>
      </c>
      <c r="AN95" t="s">
        <v>425</v>
      </c>
      <c r="AO95" t="s">
        <v>26</v>
      </c>
      <c r="AP95">
        <v>111.133</v>
      </c>
      <c r="AQ95">
        <v>0.99819678194932504</v>
      </c>
      <c r="AR95">
        <v>110.9326029683743</v>
      </c>
      <c r="AS95">
        <v>682.07</v>
      </c>
      <c r="AT95">
        <v>1</v>
      </c>
      <c r="AU95">
        <v>75.663800506639092</v>
      </c>
      <c r="AV95">
        <v>1.0178</v>
      </c>
      <c r="AW95" s="63">
        <v>77.010999999999996</v>
      </c>
      <c r="AX95">
        <v>8.9176000000000002</v>
      </c>
      <c r="AY95">
        <v>1</v>
      </c>
      <c r="AZ95">
        <v>6071.4594890626977</v>
      </c>
      <c r="BA95">
        <v>1.0020831266739409</v>
      </c>
      <c r="BB95" s="63">
        <v>6084.1071000000002</v>
      </c>
      <c r="BC95" s="61">
        <v>2635.6252071509339</v>
      </c>
    </row>
    <row r="96" spans="1:55" x14ac:dyDescent="0.25">
      <c r="A96">
        <v>9568</v>
      </c>
      <c r="B96" t="s">
        <v>133</v>
      </c>
      <c r="C96">
        <v>2016</v>
      </c>
      <c r="D96">
        <v>10</v>
      </c>
      <c r="E96" t="s">
        <v>51</v>
      </c>
      <c r="F96" t="s">
        <v>449</v>
      </c>
      <c r="G96" t="s">
        <v>84</v>
      </c>
      <c r="H96" t="s">
        <v>59</v>
      </c>
      <c r="I96" t="s">
        <v>427</v>
      </c>
      <c r="J96">
        <v>-2.7190952300000002</v>
      </c>
      <c r="K96" t="s">
        <v>440</v>
      </c>
      <c r="L96" t="s">
        <v>384</v>
      </c>
      <c r="M96">
        <v>4.1785183859599999E-2</v>
      </c>
      <c r="N96">
        <v>0.1136178940749127</v>
      </c>
      <c r="O96">
        <v>31615.94</v>
      </c>
      <c r="P96">
        <v>1.5814806999999999E-5</v>
      </c>
      <c r="Q96">
        <v>1</v>
      </c>
      <c r="R96" s="61">
        <v>0.1136178940749127</v>
      </c>
      <c r="S96" t="s">
        <v>336</v>
      </c>
      <c r="T96" t="s">
        <v>433</v>
      </c>
      <c r="U96" t="s">
        <v>425</v>
      </c>
      <c r="V96" t="s">
        <v>81</v>
      </c>
      <c r="W96">
        <v>111.133</v>
      </c>
      <c r="X96">
        <v>0.99819678194932504</v>
      </c>
      <c r="Y96">
        <v>110.9326029683743</v>
      </c>
      <c r="Z96">
        <v>682.07</v>
      </c>
      <c r="AA96">
        <v>1</v>
      </c>
      <c r="AB96">
        <v>75.663800506639092</v>
      </c>
      <c r="AC96">
        <v>0.92979999999999996</v>
      </c>
      <c r="AD96" s="63">
        <v>70.352000000000004</v>
      </c>
      <c r="AE96">
        <v>8.9176000000000002</v>
      </c>
      <c r="AF96">
        <v>8.9015196227113016</v>
      </c>
      <c r="AG96">
        <v>1</v>
      </c>
      <c r="AH96">
        <v>6071.4594890626977</v>
      </c>
      <c r="AI96">
        <v>1.0375922509225091</v>
      </c>
      <c r="AJ96" s="63">
        <v>6299.6993000000002</v>
      </c>
      <c r="AK96" s="61">
        <v>715.75856777120191</v>
      </c>
      <c r="AL96" t="s">
        <v>336</v>
      </c>
      <c r="AM96" t="s">
        <v>433</v>
      </c>
      <c r="AN96" t="s">
        <v>425</v>
      </c>
      <c r="AO96" t="s">
        <v>81</v>
      </c>
      <c r="AP96">
        <v>111.133</v>
      </c>
      <c r="AQ96">
        <v>0.99819678194932504</v>
      </c>
      <c r="AR96">
        <v>110.9326029683743</v>
      </c>
      <c r="AS96">
        <v>682.07</v>
      </c>
      <c r="AT96">
        <v>1</v>
      </c>
      <c r="AU96">
        <v>75.663800506639092</v>
      </c>
      <c r="AV96">
        <v>0.92979999999999996</v>
      </c>
      <c r="AW96" s="63">
        <v>70.352000000000004</v>
      </c>
      <c r="AX96">
        <v>8.9176000000000002</v>
      </c>
      <c r="AY96">
        <v>1</v>
      </c>
      <c r="AZ96">
        <v>6071.4594890626977</v>
      </c>
      <c r="BA96">
        <v>1.0375922509225091</v>
      </c>
      <c r="BB96" s="63">
        <v>6299.6993000000002</v>
      </c>
      <c r="BC96" s="61">
        <v>715.75856777120191</v>
      </c>
    </row>
    <row r="97" spans="1:55" x14ac:dyDescent="0.25">
      <c r="A97">
        <v>9569</v>
      </c>
      <c r="B97" t="s">
        <v>133</v>
      </c>
      <c r="C97">
        <v>2016</v>
      </c>
      <c r="D97">
        <v>10</v>
      </c>
      <c r="E97" t="s">
        <v>51</v>
      </c>
      <c r="F97" t="s">
        <v>449</v>
      </c>
      <c r="G97" t="s">
        <v>84</v>
      </c>
      <c r="H97" t="s">
        <v>59</v>
      </c>
      <c r="I97" t="s">
        <v>427</v>
      </c>
      <c r="J97">
        <v>-2.7190952300000002</v>
      </c>
      <c r="K97" t="s">
        <v>440</v>
      </c>
      <c r="L97" t="s">
        <v>385</v>
      </c>
      <c r="M97">
        <v>0.43497567483749999</v>
      </c>
      <c r="N97">
        <v>1.1827402821753159</v>
      </c>
      <c r="O97">
        <v>31615.94</v>
      </c>
      <c r="P97">
        <v>1.5814806999999999E-5</v>
      </c>
      <c r="Q97">
        <v>1</v>
      </c>
      <c r="R97" s="61">
        <v>1.1827402821753159</v>
      </c>
      <c r="S97" t="s">
        <v>336</v>
      </c>
      <c r="T97" t="s">
        <v>433</v>
      </c>
      <c r="U97" t="s">
        <v>425</v>
      </c>
      <c r="V97" t="s">
        <v>27</v>
      </c>
      <c r="W97">
        <v>111.133</v>
      </c>
      <c r="X97">
        <v>0.99819678194932504</v>
      </c>
      <c r="Y97">
        <v>110.9326029683743</v>
      </c>
      <c r="Z97">
        <v>682.07</v>
      </c>
      <c r="AA97">
        <v>1</v>
      </c>
      <c r="AB97">
        <v>75.663800506639092</v>
      </c>
      <c r="AC97">
        <v>0.99739999999999995</v>
      </c>
      <c r="AD97" s="63">
        <v>75.466999999999999</v>
      </c>
      <c r="AE97">
        <v>8.9176000000000002</v>
      </c>
      <c r="AF97">
        <v>8.9015196227113016</v>
      </c>
      <c r="AG97">
        <v>1</v>
      </c>
      <c r="AH97">
        <v>6071.4594890626977</v>
      </c>
      <c r="AI97">
        <v>1.0108695652173909</v>
      </c>
      <c r="AJ97" s="63">
        <v>6137.4535999999998</v>
      </c>
      <c r="AK97" s="61">
        <v>7259.013602701908</v>
      </c>
      <c r="AL97" t="s">
        <v>336</v>
      </c>
      <c r="AM97" t="s">
        <v>433</v>
      </c>
      <c r="AN97" t="s">
        <v>425</v>
      </c>
      <c r="AO97" t="s">
        <v>27</v>
      </c>
      <c r="AP97">
        <v>111.133</v>
      </c>
      <c r="AQ97">
        <v>0.99819678194932504</v>
      </c>
      <c r="AR97">
        <v>110.9326029683743</v>
      </c>
      <c r="AS97">
        <v>682.07</v>
      </c>
      <c r="AT97">
        <v>1</v>
      </c>
      <c r="AU97">
        <v>75.663800506639092</v>
      </c>
      <c r="AV97">
        <v>0.99739999999999995</v>
      </c>
      <c r="AW97" s="63">
        <v>75.466999999999999</v>
      </c>
      <c r="AX97">
        <v>8.9176000000000002</v>
      </c>
      <c r="AY97">
        <v>1</v>
      </c>
      <c r="AZ97">
        <v>6071.4594890626977</v>
      </c>
      <c r="BA97">
        <v>1.0108695652173909</v>
      </c>
      <c r="BB97" s="63">
        <v>6137.4535999999998</v>
      </c>
      <c r="BC97" s="61">
        <v>7259.013602701908</v>
      </c>
    </row>
    <row r="98" spans="1:55" x14ac:dyDescent="0.25">
      <c r="A98">
        <v>9570</v>
      </c>
      <c r="B98" t="s">
        <v>133</v>
      </c>
      <c r="C98">
        <v>2016</v>
      </c>
      <c r="D98">
        <v>10</v>
      </c>
      <c r="E98" t="s">
        <v>51</v>
      </c>
      <c r="F98" t="s">
        <v>449</v>
      </c>
      <c r="G98" t="s">
        <v>84</v>
      </c>
      <c r="H98" t="s">
        <v>59</v>
      </c>
      <c r="I98" t="s">
        <v>427</v>
      </c>
      <c r="J98">
        <v>-2.7190952300000002</v>
      </c>
      <c r="K98" t="s">
        <v>440</v>
      </c>
      <c r="L98" t="s">
        <v>451</v>
      </c>
      <c r="M98">
        <v>1.7625750762999999E-3</v>
      </c>
      <c r="N98">
        <v>4.7926094806957651E-3</v>
      </c>
      <c r="O98">
        <v>31615.94</v>
      </c>
      <c r="P98">
        <v>1.5814806999999999E-5</v>
      </c>
      <c r="Q98">
        <v>1</v>
      </c>
      <c r="R98" s="61">
        <v>4.7926094806957651E-3</v>
      </c>
      <c r="S98" t="s">
        <v>336</v>
      </c>
      <c r="T98" t="s">
        <v>433</v>
      </c>
      <c r="U98" t="s">
        <v>425</v>
      </c>
      <c r="V98" t="s">
        <v>91</v>
      </c>
      <c r="W98">
        <v>111.133</v>
      </c>
      <c r="X98">
        <v>0.99819678194932504</v>
      </c>
      <c r="Y98">
        <v>110.9326029683743</v>
      </c>
      <c r="Z98">
        <v>682.07</v>
      </c>
      <c r="AA98">
        <v>1</v>
      </c>
      <c r="AB98">
        <v>75.663800506639092</v>
      </c>
      <c r="AC98">
        <v>1.0269999999999999</v>
      </c>
      <c r="AD98" s="63">
        <v>77.706999999999994</v>
      </c>
      <c r="AE98">
        <v>8.9176000000000002</v>
      </c>
      <c r="AF98">
        <v>8.9015196227113016</v>
      </c>
      <c r="AG98">
        <v>1</v>
      </c>
      <c r="AH98">
        <v>6071.4594890626977</v>
      </c>
      <c r="AI98">
        <v>0.98496680983990625</v>
      </c>
      <c r="AJ98" s="63">
        <v>5980.1860999999999</v>
      </c>
      <c r="AK98" s="61">
        <v>28.66069659918503</v>
      </c>
      <c r="AL98" t="s">
        <v>336</v>
      </c>
      <c r="AM98" t="s">
        <v>433</v>
      </c>
      <c r="AN98" t="s">
        <v>425</v>
      </c>
      <c r="AO98" t="s">
        <v>91</v>
      </c>
      <c r="AP98">
        <v>111.133</v>
      </c>
      <c r="AQ98">
        <v>0.99819678194932504</v>
      </c>
      <c r="AR98">
        <v>110.9326029683743</v>
      </c>
      <c r="AS98">
        <v>682.07</v>
      </c>
      <c r="AT98">
        <v>1</v>
      </c>
      <c r="AU98">
        <v>75.663800506639092</v>
      </c>
      <c r="AV98">
        <v>1.0269999999999999</v>
      </c>
      <c r="AW98" s="63">
        <v>77.706999999999994</v>
      </c>
      <c r="AX98">
        <v>8.9176000000000002</v>
      </c>
      <c r="AY98">
        <v>1</v>
      </c>
      <c r="AZ98">
        <v>6071.4594890626977</v>
      </c>
      <c r="BA98">
        <v>0.98496680983990625</v>
      </c>
      <c r="BB98" s="63">
        <v>5980.1860999999999</v>
      </c>
      <c r="BC98" s="61">
        <v>28.66069659918503</v>
      </c>
    </row>
    <row r="99" spans="1:55" x14ac:dyDescent="0.25">
      <c r="A99">
        <v>9571</v>
      </c>
      <c r="B99" t="s">
        <v>133</v>
      </c>
      <c r="C99">
        <v>2016</v>
      </c>
      <c r="D99">
        <v>10</v>
      </c>
      <c r="E99" t="s">
        <v>51</v>
      </c>
      <c r="F99" t="s">
        <v>449</v>
      </c>
      <c r="G99" t="s">
        <v>84</v>
      </c>
      <c r="H99" t="s">
        <v>59</v>
      </c>
      <c r="I99" t="s">
        <v>427</v>
      </c>
      <c r="J99">
        <v>-2.7190952300000002</v>
      </c>
      <c r="K99" t="s">
        <v>440</v>
      </c>
      <c r="L99" t="s">
        <v>452</v>
      </c>
      <c r="M99">
        <v>1.4858046103299999E-3</v>
      </c>
      <c r="N99">
        <v>4.0400442271526947E-3</v>
      </c>
      <c r="O99">
        <v>31615.94</v>
      </c>
      <c r="P99">
        <v>1.5814806999999999E-5</v>
      </c>
      <c r="Q99">
        <v>1</v>
      </c>
      <c r="R99" s="61">
        <v>4.0400442271526947E-3</v>
      </c>
      <c r="S99" t="s">
        <v>336</v>
      </c>
      <c r="T99" t="s">
        <v>433</v>
      </c>
      <c r="U99" t="s">
        <v>425</v>
      </c>
      <c r="V99" t="s">
        <v>28</v>
      </c>
      <c r="W99">
        <v>111.133</v>
      </c>
      <c r="X99">
        <v>0.99819678194932504</v>
      </c>
      <c r="Y99">
        <v>110.9326029683743</v>
      </c>
      <c r="Z99">
        <v>682.07</v>
      </c>
      <c r="AA99">
        <v>1</v>
      </c>
      <c r="AB99">
        <v>75.663800506639092</v>
      </c>
      <c r="AC99">
        <v>1.0196000000000001</v>
      </c>
      <c r="AD99" s="63">
        <v>77.147000000000006</v>
      </c>
      <c r="AE99">
        <v>8.9176000000000002</v>
      </c>
      <c r="AF99">
        <v>8.9015196227113016</v>
      </c>
      <c r="AG99">
        <v>1</v>
      </c>
      <c r="AH99">
        <v>6071.4594890626977</v>
      </c>
      <c r="AI99">
        <v>0.97991730655640863</v>
      </c>
      <c r="AJ99" s="63">
        <v>5949.5281999999997</v>
      </c>
      <c r="AK99" s="61">
        <v>24.036357058692161</v>
      </c>
      <c r="AL99" t="s">
        <v>336</v>
      </c>
      <c r="AM99" t="s">
        <v>433</v>
      </c>
      <c r="AN99" t="s">
        <v>425</v>
      </c>
      <c r="AO99" t="s">
        <v>28</v>
      </c>
      <c r="AP99">
        <v>111.133</v>
      </c>
      <c r="AQ99">
        <v>0.99819678194932504</v>
      </c>
      <c r="AR99">
        <v>110.9326029683743</v>
      </c>
      <c r="AS99">
        <v>682.07</v>
      </c>
      <c r="AT99">
        <v>1</v>
      </c>
      <c r="AU99">
        <v>75.663800506639092</v>
      </c>
      <c r="AV99">
        <v>1.0196000000000001</v>
      </c>
      <c r="AW99" s="63">
        <v>77.147000000000006</v>
      </c>
      <c r="AX99">
        <v>8.9176000000000002</v>
      </c>
      <c r="AY99">
        <v>1</v>
      </c>
      <c r="AZ99">
        <v>6071.4594890626977</v>
      </c>
      <c r="BA99">
        <v>0.97991730655640863</v>
      </c>
      <c r="BB99" s="63">
        <v>5949.5281999999997</v>
      </c>
      <c r="BC99" s="61">
        <v>24.036357058692161</v>
      </c>
    </row>
    <row r="100" spans="1:55" x14ac:dyDescent="0.25">
      <c r="A100">
        <v>11869</v>
      </c>
      <c r="B100" t="s">
        <v>132</v>
      </c>
      <c r="C100">
        <v>2016</v>
      </c>
      <c r="D100">
        <v>12</v>
      </c>
      <c r="E100" t="s">
        <v>51</v>
      </c>
      <c r="F100" t="s">
        <v>449</v>
      </c>
      <c r="G100" t="s">
        <v>84</v>
      </c>
      <c r="H100" t="s">
        <v>381</v>
      </c>
      <c r="I100" t="s">
        <v>427</v>
      </c>
      <c r="J100">
        <v>-6.24336717</v>
      </c>
      <c r="K100" t="s">
        <v>440</v>
      </c>
      <c r="L100" t="s">
        <v>450</v>
      </c>
      <c r="M100">
        <v>0.15011157993331001</v>
      </c>
      <c r="N100">
        <v>0.93720171024602639</v>
      </c>
      <c r="O100">
        <v>31615.94</v>
      </c>
      <c r="P100">
        <v>1.5814806999999999E-5</v>
      </c>
      <c r="Q100">
        <v>1</v>
      </c>
      <c r="R100" s="61">
        <v>0.93720171024602639</v>
      </c>
      <c r="S100" t="s">
        <v>336</v>
      </c>
      <c r="T100" t="s">
        <v>433</v>
      </c>
      <c r="U100" t="s">
        <v>425</v>
      </c>
      <c r="V100" t="s">
        <v>26</v>
      </c>
      <c r="W100">
        <v>111.133</v>
      </c>
      <c r="X100">
        <v>0.99819678194932504</v>
      </c>
      <c r="Y100">
        <v>110.9326029683743</v>
      </c>
      <c r="Z100">
        <v>682.07</v>
      </c>
      <c r="AA100">
        <v>1</v>
      </c>
      <c r="AB100">
        <v>75.663800506639092</v>
      </c>
      <c r="AC100">
        <v>1.0178</v>
      </c>
      <c r="AD100" s="63">
        <v>77.010999999999996</v>
      </c>
      <c r="AE100">
        <v>8.9176000000000002</v>
      </c>
      <c r="AF100">
        <v>8.9015196227113016</v>
      </c>
      <c r="AG100">
        <v>1</v>
      </c>
      <c r="AH100">
        <v>6071.4594890626977</v>
      </c>
      <c r="AI100">
        <v>1.0020831266739409</v>
      </c>
      <c r="AJ100" s="63">
        <v>6084.1071000000002</v>
      </c>
      <c r="AK100" s="61">
        <v>5702.035579439992</v>
      </c>
      <c r="AL100" t="s">
        <v>336</v>
      </c>
      <c r="AM100" t="s">
        <v>433</v>
      </c>
      <c r="AN100" t="s">
        <v>425</v>
      </c>
      <c r="AO100" t="s">
        <v>26</v>
      </c>
      <c r="AP100">
        <v>111.133</v>
      </c>
      <c r="AQ100">
        <v>0.99819678194932504</v>
      </c>
      <c r="AR100">
        <v>110.9326029683743</v>
      </c>
      <c r="AS100">
        <v>682.07</v>
      </c>
      <c r="AT100">
        <v>1</v>
      </c>
      <c r="AU100">
        <v>75.663800506639092</v>
      </c>
      <c r="AV100">
        <v>1.0178</v>
      </c>
      <c r="AW100" s="63">
        <v>77.010999999999996</v>
      </c>
      <c r="AX100">
        <v>8.9176000000000002</v>
      </c>
      <c r="AY100">
        <v>1</v>
      </c>
      <c r="AZ100">
        <v>6071.4594890626977</v>
      </c>
      <c r="BA100">
        <v>1.0020831266739409</v>
      </c>
      <c r="BB100" s="63">
        <v>6084.1071000000002</v>
      </c>
      <c r="BC100" s="61">
        <v>5702.035579439992</v>
      </c>
    </row>
    <row r="101" spans="1:55" x14ac:dyDescent="0.25">
      <c r="A101">
        <v>11870</v>
      </c>
      <c r="B101" t="s">
        <v>132</v>
      </c>
      <c r="C101">
        <v>2016</v>
      </c>
      <c r="D101">
        <v>12</v>
      </c>
      <c r="E101" t="s">
        <v>51</v>
      </c>
      <c r="F101" t="s">
        <v>449</v>
      </c>
      <c r="G101" t="s">
        <v>84</v>
      </c>
      <c r="H101" t="s">
        <v>381</v>
      </c>
      <c r="I101" t="s">
        <v>427</v>
      </c>
      <c r="J101">
        <v>-6.24336717</v>
      </c>
      <c r="K101" t="s">
        <v>440</v>
      </c>
      <c r="L101" t="s">
        <v>384</v>
      </c>
      <c r="M101">
        <v>4.5811354346740003E-2</v>
      </c>
      <c r="N101">
        <v>0.2860171058190577</v>
      </c>
      <c r="O101">
        <v>31615.94</v>
      </c>
      <c r="P101">
        <v>1.5814806999999999E-5</v>
      </c>
      <c r="Q101">
        <v>1</v>
      </c>
      <c r="R101" s="61">
        <v>0.2860171058190577</v>
      </c>
      <c r="S101" t="s">
        <v>336</v>
      </c>
      <c r="T101" t="s">
        <v>433</v>
      </c>
      <c r="U101" t="s">
        <v>425</v>
      </c>
      <c r="V101" t="s">
        <v>81</v>
      </c>
      <c r="W101">
        <v>111.133</v>
      </c>
      <c r="X101">
        <v>0.99819678194932504</v>
      </c>
      <c r="Y101">
        <v>110.9326029683743</v>
      </c>
      <c r="Z101">
        <v>682.07</v>
      </c>
      <c r="AA101">
        <v>1</v>
      </c>
      <c r="AB101">
        <v>75.663800506639092</v>
      </c>
      <c r="AC101">
        <v>0.92979999999999996</v>
      </c>
      <c r="AD101" s="63">
        <v>70.352000000000004</v>
      </c>
      <c r="AE101">
        <v>8.9176000000000002</v>
      </c>
      <c r="AF101">
        <v>8.9015196227113016</v>
      </c>
      <c r="AG101">
        <v>1</v>
      </c>
      <c r="AH101">
        <v>6071.4594890626977</v>
      </c>
      <c r="AI101">
        <v>1.0375922509225091</v>
      </c>
      <c r="AJ101" s="63">
        <v>6299.6993000000002</v>
      </c>
      <c r="AK101" s="61">
        <v>1801.821761316344</v>
      </c>
      <c r="AL101" t="s">
        <v>336</v>
      </c>
      <c r="AM101" t="s">
        <v>433</v>
      </c>
      <c r="AN101" t="s">
        <v>425</v>
      </c>
      <c r="AO101" t="s">
        <v>81</v>
      </c>
      <c r="AP101">
        <v>111.133</v>
      </c>
      <c r="AQ101">
        <v>0.99819678194932504</v>
      </c>
      <c r="AR101">
        <v>110.9326029683743</v>
      </c>
      <c r="AS101">
        <v>682.07</v>
      </c>
      <c r="AT101">
        <v>1</v>
      </c>
      <c r="AU101">
        <v>75.663800506639092</v>
      </c>
      <c r="AV101">
        <v>0.92979999999999996</v>
      </c>
      <c r="AW101" s="63">
        <v>70.352000000000004</v>
      </c>
      <c r="AX101">
        <v>8.9176000000000002</v>
      </c>
      <c r="AY101">
        <v>1</v>
      </c>
      <c r="AZ101">
        <v>6071.4594890626977</v>
      </c>
      <c r="BA101">
        <v>1.0375922509225091</v>
      </c>
      <c r="BB101" s="63">
        <v>6299.6993000000002</v>
      </c>
      <c r="BC101" s="61">
        <v>1801.821761316344</v>
      </c>
    </row>
    <row r="102" spans="1:55" x14ac:dyDescent="0.25">
      <c r="A102">
        <v>11871</v>
      </c>
      <c r="B102" t="s">
        <v>132</v>
      </c>
      <c r="C102">
        <v>2016</v>
      </c>
      <c r="D102">
        <v>12</v>
      </c>
      <c r="E102" t="s">
        <v>51</v>
      </c>
      <c r="F102" t="s">
        <v>449</v>
      </c>
      <c r="G102" t="s">
        <v>84</v>
      </c>
      <c r="H102" t="s">
        <v>381</v>
      </c>
      <c r="I102" t="s">
        <v>427</v>
      </c>
      <c r="J102">
        <v>-6.24336717</v>
      </c>
      <c r="K102" t="s">
        <v>440</v>
      </c>
      <c r="L102" t="s">
        <v>385</v>
      </c>
      <c r="M102">
        <v>0.43232641346992001</v>
      </c>
      <c r="N102">
        <v>2.6991725373122279</v>
      </c>
      <c r="O102">
        <v>31615.94</v>
      </c>
      <c r="P102">
        <v>1.5814806999999999E-5</v>
      </c>
      <c r="Q102">
        <v>1</v>
      </c>
      <c r="R102" s="61">
        <v>2.6991725373122279</v>
      </c>
      <c r="S102" t="s">
        <v>336</v>
      </c>
      <c r="T102" t="s">
        <v>433</v>
      </c>
      <c r="U102" t="s">
        <v>425</v>
      </c>
      <c r="V102" t="s">
        <v>27</v>
      </c>
      <c r="W102">
        <v>111.133</v>
      </c>
      <c r="X102">
        <v>0.99819678194932504</v>
      </c>
      <c r="Y102">
        <v>110.9326029683743</v>
      </c>
      <c r="Z102">
        <v>682.07</v>
      </c>
      <c r="AA102">
        <v>1</v>
      </c>
      <c r="AB102">
        <v>75.663800506639092</v>
      </c>
      <c r="AC102">
        <v>0.99739999999999995</v>
      </c>
      <c r="AD102" s="63">
        <v>75.466999999999999</v>
      </c>
      <c r="AE102">
        <v>8.9176000000000002</v>
      </c>
      <c r="AF102">
        <v>8.9015196227113016</v>
      </c>
      <c r="AG102">
        <v>1</v>
      </c>
      <c r="AH102">
        <v>6071.4594890626977</v>
      </c>
      <c r="AI102">
        <v>1.0108695652173909</v>
      </c>
      <c r="AJ102" s="63">
        <v>6137.4535999999998</v>
      </c>
      <c r="AK102" s="61">
        <v>16566.046206148068</v>
      </c>
      <c r="AL102" t="s">
        <v>336</v>
      </c>
      <c r="AM102" t="s">
        <v>433</v>
      </c>
      <c r="AN102" t="s">
        <v>425</v>
      </c>
      <c r="AO102" t="s">
        <v>27</v>
      </c>
      <c r="AP102">
        <v>111.133</v>
      </c>
      <c r="AQ102">
        <v>0.99819678194932504</v>
      </c>
      <c r="AR102">
        <v>110.9326029683743</v>
      </c>
      <c r="AS102">
        <v>682.07</v>
      </c>
      <c r="AT102">
        <v>1</v>
      </c>
      <c r="AU102">
        <v>75.663800506639092</v>
      </c>
      <c r="AV102">
        <v>0.99739999999999995</v>
      </c>
      <c r="AW102" s="63">
        <v>75.466999999999999</v>
      </c>
      <c r="AX102">
        <v>8.9176000000000002</v>
      </c>
      <c r="AY102">
        <v>1</v>
      </c>
      <c r="AZ102">
        <v>6071.4594890626977</v>
      </c>
      <c r="BA102">
        <v>1.0108695652173909</v>
      </c>
      <c r="BB102" s="63">
        <v>6137.4535999999998</v>
      </c>
      <c r="BC102" s="61">
        <v>16566.046206148068</v>
      </c>
    </row>
    <row r="103" spans="1:55" x14ac:dyDescent="0.25">
      <c r="A103">
        <v>11872</v>
      </c>
      <c r="B103" t="s">
        <v>132</v>
      </c>
      <c r="C103">
        <v>2016</v>
      </c>
      <c r="D103">
        <v>12</v>
      </c>
      <c r="E103" t="s">
        <v>51</v>
      </c>
      <c r="F103" t="s">
        <v>449</v>
      </c>
      <c r="G103" t="s">
        <v>84</v>
      </c>
      <c r="H103" t="s">
        <v>381</v>
      </c>
      <c r="I103" t="s">
        <v>427</v>
      </c>
      <c r="J103">
        <v>-6.24336717</v>
      </c>
      <c r="K103" t="s">
        <v>440</v>
      </c>
      <c r="L103" t="s">
        <v>451</v>
      </c>
      <c r="M103">
        <v>1.6825115802299999E-3</v>
      </c>
      <c r="N103">
        <v>1.0504537565994889E-2</v>
      </c>
      <c r="O103">
        <v>31615.94</v>
      </c>
      <c r="P103">
        <v>1.5814806999999999E-5</v>
      </c>
      <c r="Q103">
        <v>1</v>
      </c>
      <c r="R103" s="61">
        <v>1.0504537565994889E-2</v>
      </c>
      <c r="S103" t="s">
        <v>336</v>
      </c>
      <c r="T103" t="s">
        <v>433</v>
      </c>
      <c r="U103" t="s">
        <v>425</v>
      </c>
      <c r="V103" t="s">
        <v>91</v>
      </c>
      <c r="W103">
        <v>111.133</v>
      </c>
      <c r="X103">
        <v>0.99819678194932504</v>
      </c>
      <c r="Y103">
        <v>110.9326029683743</v>
      </c>
      <c r="Z103">
        <v>682.07</v>
      </c>
      <c r="AA103">
        <v>1</v>
      </c>
      <c r="AB103">
        <v>75.663800506639092</v>
      </c>
      <c r="AC103">
        <v>1.0269999999999999</v>
      </c>
      <c r="AD103" s="63">
        <v>77.706999999999994</v>
      </c>
      <c r="AE103">
        <v>8.9176000000000002</v>
      </c>
      <c r="AF103">
        <v>8.9015196227113016</v>
      </c>
      <c r="AG103">
        <v>1</v>
      </c>
      <c r="AH103">
        <v>6071.4594890626977</v>
      </c>
      <c r="AI103">
        <v>0.98496680983990625</v>
      </c>
      <c r="AJ103" s="63">
        <v>5980.1860999999999</v>
      </c>
      <c r="AK103" s="61">
        <v>62.819089539090498</v>
      </c>
      <c r="AL103" t="s">
        <v>336</v>
      </c>
      <c r="AM103" t="s">
        <v>433</v>
      </c>
      <c r="AN103" t="s">
        <v>425</v>
      </c>
      <c r="AO103" t="s">
        <v>91</v>
      </c>
      <c r="AP103">
        <v>111.133</v>
      </c>
      <c r="AQ103">
        <v>0.99819678194932504</v>
      </c>
      <c r="AR103">
        <v>110.9326029683743</v>
      </c>
      <c r="AS103">
        <v>682.07</v>
      </c>
      <c r="AT103">
        <v>1</v>
      </c>
      <c r="AU103">
        <v>75.663800506639092</v>
      </c>
      <c r="AV103">
        <v>1.0269999999999999</v>
      </c>
      <c r="AW103" s="63">
        <v>77.706999999999994</v>
      </c>
      <c r="AX103">
        <v>8.9176000000000002</v>
      </c>
      <c r="AY103">
        <v>1</v>
      </c>
      <c r="AZ103">
        <v>6071.4594890626977</v>
      </c>
      <c r="BA103">
        <v>0.98496680983990625</v>
      </c>
      <c r="BB103" s="63">
        <v>5980.1860999999999</v>
      </c>
      <c r="BC103" s="61">
        <v>62.819089539090498</v>
      </c>
    </row>
    <row r="104" spans="1:55" x14ac:dyDescent="0.25">
      <c r="A104">
        <v>11873</v>
      </c>
      <c r="B104" t="s">
        <v>132</v>
      </c>
      <c r="C104">
        <v>2016</v>
      </c>
      <c r="D104">
        <v>12</v>
      </c>
      <c r="E104" t="s">
        <v>51</v>
      </c>
      <c r="F104" t="s">
        <v>449</v>
      </c>
      <c r="G104" t="s">
        <v>84</v>
      </c>
      <c r="H104" t="s">
        <v>381</v>
      </c>
      <c r="I104" t="s">
        <v>427</v>
      </c>
      <c r="J104">
        <v>-6.24336717</v>
      </c>
      <c r="K104" t="s">
        <v>440</v>
      </c>
      <c r="L104" t="s">
        <v>452</v>
      </c>
      <c r="M104">
        <v>1.53682162831E-3</v>
      </c>
      <c r="N104">
        <v>9.5949417029325898E-3</v>
      </c>
      <c r="O104">
        <v>31615.94</v>
      </c>
      <c r="P104">
        <v>1.5814806999999999E-5</v>
      </c>
      <c r="Q104">
        <v>1</v>
      </c>
      <c r="R104" s="61">
        <v>9.5949417029325898E-3</v>
      </c>
      <c r="S104" t="s">
        <v>336</v>
      </c>
      <c r="T104" t="s">
        <v>433</v>
      </c>
      <c r="U104" t="s">
        <v>425</v>
      </c>
      <c r="V104" t="s">
        <v>28</v>
      </c>
      <c r="W104">
        <v>111.133</v>
      </c>
      <c r="X104">
        <v>0.99819678194932504</v>
      </c>
      <c r="Y104">
        <v>110.9326029683743</v>
      </c>
      <c r="Z104">
        <v>682.07</v>
      </c>
      <c r="AA104">
        <v>1</v>
      </c>
      <c r="AB104">
        <v>75.663800506639092</v>
      </c>
      <c r="AC104">
        <v>1.0196000000000001</v>
      </c>
      <c r="AD104" s="63">
        <v>77.147000000000006</v>
      </c>
      <c r="AE104">
        <v>8.9176000000000002</v>
      </c>
      <c r="AF104">
        <v>8.9015196227113016</v>
      </c>
      <c r="AG104">
        <v>1</v>
      </c>
      <c r="AH104">
        <v>6071.4594890626977</v>
      </c>
      <c r="AI104">
        <v>0.97991730655640863</v>
      </c>
      <c r="AJ104" s="63">
        <v>5949.5281999999997</v>
      </c>
      <c r="AK104" s="61">
        <v>57.085376238953472</v>
      </c>
      <c r="AL104" t="s">
        <v>336</v>
      </c>
      <c r="AM104" t="s">
        <v>433</v>
      </c>
      <c r="AN104" t="s">
        <v>425</v>
      </c>
      <c r="AO104" t="s">
        <v>28</v>
      </c>
      <c r="AP104">
        <v>111.133</v>
      </c>
      <c r="AQ104">
        <v>0.99819678194932504</v>
      </c>
      <c r="AR104">
        <v>110.9326029683743</v>
      </c>
      <c r="AS104">
        <v>682.07</v>
      </c>
      <c r="AT104">
        <v>1</v>
      </c>
      <c r="AU104">
        <v>75.663800506639092</v>
      </c>
      <c r="AV104">
        <v>1.0196000000000001</v>
      </c>
      <c r="AW104" s="63">
        <v>77.147000000000006</v>
      </c>
      <c r="AX104">
        <v>8.9176000000000002</v>
      </c>
      <c r="AY104">
        <v>1</v>
      </c>
      <c r="AZ104">
        <v>6071.4594890626977</v>
      </c>
      <c r="BA104">
        <v>0.97991730655640863</v>
      </c>
      <c r="BB104" s="63">
        <v>5949.5281999999997</v>
      </c>
      <c r="BC104" s="61">
        <v>57.085376238953472</v>
      </c>
    </row>
    <row r="105" spans="1:55" x14ac:dyDescent="0.25">
      <c r="A105">
        <v>11874</v>
      </c>
      <c r="B105" t="s">
        <v>132</v>
      </c>
      <c r="C105">
        <v>2016</v>
      </c>
      <c r="D105">
        <v>12</v>
      </c>
      <c r="E105" t="s">
        <v>51</v>
      </c>
      <c r="F105" t="s">
        <v>449</v>
      </c>
      <c r="G105" t="s">
        <v>84</v>
      </c>
      <c r="H105" t="s">
        <v>87</v>
      </c>
      <c r="I105" t="s">
        <v>427</v>
      </c>
      <c r="J105">
        <v>-1.28418199</v>
      </c>
      <c r="K105" t="s">
        <v>440</v>
      </c>
      <c r="L105" t="s">
        <v>450</v>
      </c>
      <c r="M105">
        <v>0.26601384014995</v>
      </c>
      <c r="N105">
        <v>0.34161018295523632</v>
      </c>
      <c r="O105">
        <v>31615.94</v>
      </c>
      <c r="P105">
        <v>1.5814806999999999E-5</v>
      </c>
      <c r="Q105">
        <v>1</v>
      </c>
      <c r="R105" s="61">
        <v>0.34161018295523632</v>
      </c>
      <c r="S105" t="s">
        <v>336</v>
      </c>
      <c r="T105" t="s">
        <v>433</v>
      </c>
      <c r="U105" t="s">
        <v>425</v>
      </c>
      <c r="V105" t="s">
        <v>26</v>
      </c>
      <c r="W105">
        <v>111.133</v>
      </c>
      <c r="X105">
        <v>0.99819678194932504</v>
      </c>
      <c r="Y105">
        <v>110.9326029683743</v>
      </c>
      <c r="Z105">
        <v>682.07</v>
      </c>
      <c r="AA105">
        <v>1</v>
      </c>
      <c r="AB105">
        <v>75.663800506639092</v>
      </c>
      <c r="AC105">
        <v>1.0178</v>
      </c>
      <c r="AD105" s="63">
        <v>77.010999999999996</v>
      </c>
      <c r="AE105">
        <v>8.9176000000000002</v>
      </c>
      <c r="AF105">
        <v>8.9015196227113016</v>
      </c>
      <c r="AG105">
        <v>1</v>
      </c>
      <c r="AH105">
        <v>6071.4594890626977</v>
      </c>
      <c r="AI105">
        <v>1.0020831266739409</v>
      </c>
      <c r="AJ105" s="63">
        <v>6084.1071000000002</v>
      </c>
      <c r="AK105" s="61">
        <v>2078.3929395502519</v>
      </c>
      <c r="AL105" t="s">
        <v>336</v>
      </c>
      <c r="AM105" t="s">
        <v>433</v>
      </c>
      <c r="AN105" t="s">
        <v>425</v>
      </c>
      <c r="AO105" t="s">
        <v>26</v>
      </c>
      <c r="AP105">
        <v>111.133</v>
      </c>
      <c r="AQ105">
        <v>0.99819678194932504</v>
      </c>
      <c r="AR105">
        <v>110.9326029683743</v>
      </c>
      <c r="AS105">
        <v>682.07</v>
      </c>
      <c r="AT105">
        <v>1</v>
      </c>
      <c r="AU105">
        <v>75.663800506639092</v>
      </c>
      <c r="AV105">
        <v>1.0178</v>
      </c>
      <c r="AW105" s="63">
        <v>77.010999999999996</v>
      </c>
      <c r="AX105">
        <v>8.9176000000000002</v>
      </c>
      <c r="AY105">
        <v>1</v>
      </c>
      <c r="AZ105">
        <v>6071.4594890626977</v>
      </c>
      <c r="BA105">
        <v>1.0020831266739409</v>
      </c>
      <c r="BB105" s="63">
        <v>6084.1071000000002</v>
      </c>
      <c r="BC105" s="61">
        <v>2078.3929395502519</v>
      </c>
    </row>
    <row r="106" spans="1:55" x14ac:dyDescent="0.25">
      <c r="A106">
        <v>11875</v>
      </c>
      <c r="B106" t="s">
        <v>132</v>
      </c>
      <c r="C106">
        <v>2016</v>
      </c>
      <c r="D106">
        <v>12</v>
      </c>
      <c r="E106" t="s">
        <v>51</v>
      </c>
      <c r="F106" t="s">
        <v>449</v>
      </c>
      <c r="G106" t="s">
        <v>84</v>
      </c>
      <c r="H106" t="s">
        <v>87</v>
      </c>
      <c r="I106" t="s">
        <v>427</v>
      </c>
      <c r="J106">
        <v>-1.28418199</v>
      </c>
      <c r="K106" t="s">
        <v>440</v>
      </c>
      <c r="L106" t="s">
        <v>384</v>
      </c>
      <c r="M106">
        <v>3.9509559941419997E-2</v>
      </c>
      <c r="N106">
        <v>5.0737465360679267E-2</v>
      </c>
      <c r="O106">
        <v>31615.94</v>
      </c>
      <c r="P106">
        <v>1.5814806999999999E-5</v>
      </c>
      <c r="Q106">
        <v>1</v>
      </c>
      <c r="R106" s="61">
        <v>5.0737465360679267E-2</v>
      </c>
      <c r="S106" t="s">
        <v>336</v>
      </c>
      <c r="T106" t="s">
        <v>433</v>
      </c>
      <c r="U106" t="s">
        <v>425</v>
      </c>
      <c r="V106" t="s">
        <v>81</v>
      </c>
      <c r="W106">
        <v>111.133</v>
      </c>
      <c r="X106">
        <v>0.99819678194932504</v>
      </c>
      <c r="Y106">
        <v>110.9326029683743</v>
      </c>
      <c r="Z106">
        <v>682.07</v>
      </c>
      <c r="AA106">
        <v>1</v>
      </c>
      <c r="AB106">
        <v>75.663800506639092</v>
      </c>
      <c r="AC106">
        <v>0.92979999999999996</v>
      </c>
      <c r="AD106" s="63">
        <v>70.352000000000004</v>
      </c>
      <c r="AE106">
        <v>8.9176000000000002</v>
      </c>
      <c r="AF106">
        <v>8.9015196227113016</v>
      </c>
      <c r="AG106">
        <v>1</v>
      </c>
      <c r="AH106">
        <v>6071.4594890626977</v>
      </c>
      <c r="AI106">
        <v>1.0375922509225091</v>
      </c>
      <c r="AJ106" s="63">
        <v>6299.6993000000002</v>
      </c>
      <c r="AK106" s="61">
        <v>319.63077501644551</v>
      </c>
      <c r="AL106" t="s">
        <v>336</v>
      </c>
      <c r="AM106" t="s">
        <v>433</v>
      </c>
      <c r="AN106" t="s">
        <v>425</v>
      </c>
      <c r="AO106" t="s">
        <v>81</v>
      </c>
      <c r="AP106">
        <v>111.133</v>
      </c>
      <c r="AQ106">
        <v>0.99819678194932504</v>
      </c>
      <c r="AR106">
        <v>110.9326029683743</v>
      </c>
      <c r="AS106">
        <v>682.07</v>
      </c>
      <c r="AT106">
        <v>1</v>
      </c>
      <c r="AU106">
        <v>75.663800506639092</v>
      </c>
      <c r="AV106">
        <v>0.92979999999999996</v>
      </c>
      <c r="AW106" s="63">
        <v>70.352000000000004</v>
      </c>
      <c r="AX106">
        <v>8.9176000000000002</v>
      </c>
      <c r="AY106">
        <v>1</v>
      </c>
      <c r="AZ106">
        <v>6071.4594890626977</v>
      </c>
      <c r="BA106">
        <v>1.0375922509225091</v>
      </c>
      <c r="BB106" s="63">
        <v>6299.6993000000002</v>
      </c>
      <c r="BC106" s="61">
        <v>319.63077501644551</v>
      </c>
    </row>
    <row r="107" spans="1:55" x14ac:dyDescent="0.25">
      <c r="A107">
        <v>11876</v>
      </c>
      <c r="B107" t="s">
        <v>132</v>
      </c>
      <c r="C107">
        <v>2016</v>
      </c>
      <c r="D107">
        <v>12</v>
      </c>
      <c r="E107" t="s">
        <v>51</v>
      </c>
      <c r="F107" t="s">
        <v>449</v>
      </c>
      <c r="G107" t="s">
        <v>84</v>
      </c>
      <c r="H107" t="s">
        <v>87</v>
      </c>
      <c r="I107" t="s">
        <v>427</v>
      </c>
      <c r="J107">
        <v>-1.28418199</v>
      </c>
      <c r="K107" t="s">
        <v>440</v>
      </c>
      <c r="L107" t="s">
        <v>385</v>
      </c>
      <c r="M107">
        <v>0.39737542925016001</v>
      </c>
      <c r="N107">
        <v>0.51030237002534495</v>
      </c>
      <c r="O107">
        <v>31615.94</v>
      </c>
      <c r="P107">
        <v>1.5814806999999999E-5</v>
      </c>
      <c r="Q107">
        <v>1</v>
      </c>
      <c r="R107" s="61">
        <v>0.51030237002534495</v>
      </c>
      <c r="S107" t="s">
        <v>336</v>
      </c>
      <c r="T107" t="s">
        <v>433</v>
      </c>
      <c r="U107" t="s">
        <v>425</v>
      </c>
      <c r="V107" t="s">
        <v>27</v>
      </c>
      <c r="W107">
        <v>111.133</v>
      </c>
      <c r="X107">
        <v>0.99819678194932504</v>
      </c>
      <c r="Y107">
        <v>110.9326029683743</v>
      </c>
      <c r="Z107">
        <v>682.07</v>
      </c>
      <c r="AA107">
        <v>1</v>
      </c>
      <c r="AB107">
        <v>75.663800506639092</v>
      </c>
      <c r="AC107">
        <v>0.99739999999999995</v>
      </c>
      <c r="AD107" s="63">
        <v>75.466999999999999</v>
      </c>
      <c r="AE107">
        <v>8.9176000000000002</v>
      </c>
      <c r="AF107">
        <v>8.9015196227113016</v>
      </c>
      <c r="AG107">
        <v>1</v>
      </c>
      <c r="AH107">
        <v>6071.4594890626977</v>
      </c>
      <c r="AI107">
        <v>1.0108695652173909</v>
      </c>
      <c r="AJ107" s="63">
        <v>6137.4535999999998</v>
      </c>
      <c r="AK107" s="61">
        <v>3131.957118000586</v>
      </c>
      <c r="AL107" t="s">
        <v>336</v>
      </c>
      <c r="AM107" t="s">
        <v>433</v>
      </c>
      <c r="AN107" t="s">
        <v>425</v>
      </c>
      <c r="AO107" t="s">
        <v>27</v>
      </c>
      <c r="AP107">
        <v>111.133</v>
      </c>
      <c r="AQ107">
        <v>0.99819678194932504</v>
      </c>
      <c r="AR107">
        <v>110.9326029683743</v>
      </c>
      <c r="AS107">
        <v>682.07</v>
      </c>
      <c r="AT107">
        <v>1</v>
      </c>
      <c r="AU107">
        <v>75.663800506639092</v>
      </c>
      <c r="AV107">
        <v>0.99739999999999995</v>
      </c>
      <c r="AW107" s="63">
        <v>75.466999999999999</v>
      </c>
      <c r="AX107">
        <v>8.9176000000000002</v>
      </c>
      <c r="AY107">
        <v>1</v>
      </c>
      <c r="AZ107">
        <v>6071.4594890626977</v>
      </c>
      <c r="BA107">
        <v>1.0108695652173909</v>
      </c>
      <c r="BB107" s="63">
        <v>6137.4535999999998</v>
      </c>
      <c r="BC107" s="61">
        <v>3131.957118000586</v>
      </c>
    </row>
    <row r="108" spans="1:55" x14ac:dyDescent="0.25">
      <c r="A108">
        <v>11877</v>
      </c>
      <c r="B108" t="s">
        <v>132</v>
      </c>
      <c r="C108">
        <v>2016</v>
      </c>
      <c r="D108">
        <v>12</v>
      </c>
      <c r="E108" t="s">
        <v>51</v>
      </c>
      <c r="F108" t="s">
        <v>449</v>
      </c>
      <c r="G108" t="s">
        <v>84</v>
      </c>
      <c r="H108" t="s">
        <v>87</v>
      </c>
      <c r="I108" t="s">
        <v>427</v>
      </c>
      <c r="J108">
        <v>-1.28418199</v>
      </c>
      <c r="K108" t="s">
        <v>440</v>
      </c>
      <c r="L108" t="s">
        <v>452</v>
      </c>
      <c r="M108">
        <v>8.4248020759000004E-4</v>
      </c>
      <c r="N108">
        <v>1.08189791060779E-3</v>
      </c>
      <c r="O108">
        <v>31615.94</v>
      </c>
      <c r="P108">
        <v>1.5814806999999999E-5</v>
      </c>
      <c r="Q108">
        <v>1</v>
      </c>
      <c r="R108" s="61">
        <v>1.08189791060779E-3</v>
      </c>
      <c r="S108" t="s">
        <v>336</v>
      </c>
      <c r="T108" t="s">
        <v>433</v>
      </c>
      <c r="U108" t="s">
        <v>425</v>
      </c>
      <c r="V108" t="s">
        <v>28</v>
      </c>
      <c r="W108">
        <v>111.133</v>
      </c>
      <c r="X108">
        <v>0.99819678194932504</v>
      </c>
      <c r="Y108">
        <v>110.9326029683743</v>
      </c>
      <c r="Z108">
        <v>682.07</v>
      </c>
      <c r="AA108">
        <v>1</v>
      </c>
      <c r="AB108">
        <v>75.663800506639092</v>
      </c>
      <c r="AC108">
        <v>1.0196000000000001</v>
      </c>
      <c r="AD108" s="63">
        <v>77.147000000000006</v>
      </c>
      <c r="AE108">
        <v>8.9176000000000002</v>
      </c>
      <c r="AF108">
        <v>8.9015196227113016</v>
      </c>
      <c r="AG108">
        <v>1</v>
      </c>
      <c r="AH108">
        <v>6071.4594890626977</v>
      </c>
      <c r="AI108">
        <v>0.97991730655640863</v>
      </c>
      <c r="AJ108" s="63">
        <v>5949.5281999999997</v>
      </c>
      <c r="AK108" s="61">
        <v>6.4367821286821227</v>
      </c>
      <c r="AL108" t="s">
        <v>336</v>
      </c>
      <c r="AM108" t="s">
        <v>433</v>
      </c>
      <c r="AN108" t="s">
        <v>425</v>
      </c>
      <c r="AO108" t="s">
        <v>28</v>
      </c>
      <c r="AP108">
        <v>111.133</v>
      </c>
      <c r="AQ108">
        <v>0.99819678194932504</v>
      </c>
      <c r="AR108">
        <v>110.9326029683743</v>
      </c>
      <c r="AS108">
        <v>682.07</v>
      </c>
      <c r="AT108">
        <v>1</v>
      </c>
      <c r="AU108">
        <v>75.663800506639092</v>
      </c>
      <c r="AV108">
        <v>1.0196000000000001</v>
      </c>
      <c r="AW108" s="63">
        <v>77.147000000000006</v>
      </c>
      <c r="AX108">
        <v>8.9176000000000002</v>
      </c>
      <c r="AY108">
        <v>1</v>
      </c>
      <c r="AZ108">
        <v>6071.4594890626977</v>
      </c>
      <c r="BA108">
        <v>0.97991730655640863</v>
      </c>
      <c r="BB108" s="63">
        <v>5949.5281999999997</v>
      </c>
      <c r="BC108" s="61">
        <v>6.4367821286821227</v>
      </c>
    </row>
    <row r="109" spans="1:55" x14ac:dyDescent="0.25">
      <c r="A109">
        <v>11878</v>
      </c>
      <c r="B109" t="s">
        <v>132</v>
      </c>
      <c r="C109">
        <v>2016</v>
      </c>
      <c r="D109">
        <v>12</v>
      </c>
      <c r="E109" t="s">
        <v>51</v>
      </c>
      <c r="F109" t="s">
        <v>449</v>
      </c>
      <c r="G109" t="s">
        <v>84</v>
      </c>
      <c r="H109" t="s">
        <v>59</v>
      </c>
      <c r="I109" t="s">
        <v>427</v>
      </c>
      <c r="J109">
        <v>-3.7405337599999999</v>
      </c>
      <c r="K109" t="s">
        <v>440</v>
      </c>
      <c r="L109" t="s">
        <v>450</v>
      </c>
      <c r="M109">
        <v>0.15931709696460999</v>
      </c>
      <c r="N109">
        <v>0.59593097975453913</v>
      </c>
      <c r="O109">
        <v>31615.94</v>
      </c>
      <c r="P109">
        <v>1.5814806999999999E-5</v>
      </c>
      <c r="Q109">
        <v>1</v>
      </c>
      <c r="R109" s="61">
        <v>0.59593097975453913</v>
      </c>
      <c r="S109" t="s">
        <v>336</v>
      </c>
      <c r="T109" t="s">
        <v>433</v>
      </c>
      <c r="U109" t="s">
        <v>425</v>
      </c>
      <c r="V109" t="s">
        <v>26</v>
      </c>
      <c r="W109">
        <v>111.133</v>
      </c>
      <c r="X109">
        <v>0.99819678194932504</v>
      </c>
      <c r="Y109">
        <v>110.9326029683743</v>
      </c>
      <c r="Z109">
        <v>682.07</v>
      </c>
      <c r="AA109">
        <v>1</v>
      </c>
      <c r="AB109">
        <v>75.663800506639092</v>
      </c>
      <c r="AC109">
        <v>1.0178</v>
      </c>
      <c r="AD109" s="63">
        <v>77.010999999999996</v>
      </c>
      <c r="AE109">
        <v>8.9176000000000002</v>
      </c>
      <c r="AF109">
        <v>8.9015196227113016</v>
      </c>
      <c r="AG109">
        <v>1</v>
      </c>
      <c r="AH109">
        <v>6071.4594890626977</v>
      </c>
      <c r="AI109">
        <v>1.0020831266739409</v>
      </c>
      <c r="AJ109" s="63">
        <v>6084.1071000000002</v>
      </c>
      <c r="AK109" s="61">
        <v>3625.7079050345478</v>
      </c>
      <c r="AL109" t="s">
        <v>336</v>
      </c>
      <c r="AM109" t="s">
        <v>433</v>
      </c>
      <c r="AN109" t="s">
        <v>425</v>
      </c>
      <c r="AO109" t="s">
        <v>26</v>
      </c>
      <c r="AP109">
        <v>111.133</v>
      </c>
      <c r="AQ109">
        <v>0.99819678194932504</v>
      </c>
      <c r="AR109">
        <v>110.9326029683743</v>
      </c>
      <c r="AS109">
        <v>682.07</v>
      </c>
      <c r="AT109">
        <v>1</v>
      </c>
      <c r="AU109">
        <v>75.663800506639092</v>
      </c>
      <c r="AV109">
        <v>1.0178</v>
      </c>
      <c r="AW109" s="63">
        <v>77.010999999999996</v>
      </c>
      <c r="AX109">
        <v>8.9176000000000002</v>
      </c>
      <c r="AY109">
        <v>1</v>
      </c>
      <c r="AZ109">
        <v>6071.4594890626977</v>
      </c>
      <c r="BA109">
        <v>1.0020831266739409</v>
      </c>
      <c r="BB109" s="63">
        <v>6084.1071000000002</v>
      </c>
      <c r="BC109" s="61">
        <v>3625.7079050345478</v>
      </c>
    </row>
    <row r="110" spans="1:55" x14ac:dyDescent="0.25">
      <c r="A110">
        <v>11879</v>
      </c>
      <c r="B110" t="s">
        <v>132</v>
      </c>
      <c r="C110">
        <v>2016</v>
      </c>
      <c r="D110">
        <v>12</v>
      </c>
      <c r="E110" t="s">
        <v>51</v>
      </c>
      <c r="F110" t="s">
        <v>449</v>
      </c>
      <c r="G110" t="s">
        <v>84</v>
      </c>
      <c r="H110" t="s">
        <v>59</v>
      </c>
      <c r="I110" t="s">
        <v>427</v>
      </c>
      <c r="J110">
        <v>-3.7405337599999999</v>
      </c>
      <c r="K110" t="s">
        <v>440</v>
      </c>
      <c r="L110" t="s">
        <v>384</v>
      </c>
      <c r="M110">
        <v>4.1785183859599999E-2</v>
      </c>
      <c r="N110">
        <v>0.15629889089810869</v>
      </c>
      <c r="O110">
        <v>31615.94</v>
      </c>
      <c r="P110">
        <v>1.5814806999999999E-5</v>
      </c>
      <c r="Q110">
        <v>1</v>
      </c>
      <c r="R110" s="61">
        <v>0.15629889089810869</v>
      </c>
      <c r="S110" t="s">
        <v>336</v>
      </c>
      <c r="T110" t="s">
        <v>433</v>
      </c>
      <c r="U110" t="s">
        <v>425</v>
      </c>
      <c r="V110" t="s">
        <v>81</v>
      </c>
      <c r="W110">
        <v>111.133</v>
      </c>
      <c r="X110">
        <v>0.99819678194932504</v>
      </c>
      <c r="Y110">
        <v>110.9326029683743</v>
      </c>
      <c r="Z110">
        <v>682.07</v>
      </c>
      <c r="AA110">
        <v>1</v>
      </c>
      <c r="AB110">
        <v>75.663800506639092</v>
      </c>
      <c r="AC110">
        <v>0.92979999999999996</v>
      </c>
      <c r="AD110" s="63">
        <v>70.352000000000004</v>
      </c>
      <c r="AE110">
        <v>8.9176000000000002</v>
      </c>
      <c r="AF110">
        <v>8.9015196227113016</v>
      </c>
      <c r="AG110">
        <v>1</v>
      </c>
      <c r="AH110">
        <v>6071.4594890626977</v>
      </c>
      <c r="AI110">
        <v>1.0375922509225091</v>
      </c>
      <c r="AJ110" s="63">
        <v>6299.6993000000002</v>
      </c>
      <c r="AK110" s="61">
        <v>984.63601358159178</v>
      </c>
      <c r="AL110" t="s">
        <v>336</v>
      </c>
      <c r="AM110" t="s">
        <v>433</v>
      </c>
      <c r="AN110" t="s">
        <v>425</v>
      </c>
      <c r="AO110" t="s">
        <v>81</v>
      </c>
      <c r="AP110">
        <v>111.133</v>
      </c>
      <c r="AQ110">
        <v>0.99819678194932504</v>
      </c>
      <c r="AR110">
        <v>110.9326029683743</v>
      </c>
      <c r="AS110">
        <v>682.07</v>
      </c>
      <c r="AT110">
        <v>1</v>
      </c>
      <c r="AU110">
        <v>75.663800506639092</v>
      </c>
      <c r="AV110">
        <v>0.92979999999999996</v>
      </c>
      <c r="AW110" s="63">
        <v>70.352000000000004</v>
      </c>
      <c r="AX110">
        <v>8.9176000000000002</v>
      </c>
      <c r="AY110">
        <v>1</v>
      </c>
      <c r="AZ110">
        <v>6071.4594890626977</v>
      </c>
      <c r="BA110">
        <v>1.0375922509225091</v>
      </c>
      <c r="BB110" s="63">
        <v>6299.6993000000002</v>
      </c>
      <c r="BC110" s="61">
        <v>984.63601358159178</v>
      </c>
    </row>
    <row r="111" spans="1:55" x14ac:dyDescent="0.25">
      <c r="A111">
        <v>11880</v>
      </c>
      <c r="B111" t="s">
        <v>132</v>
      </c>
      <c r="C111">
        <v>2016</v>
      </c>
      <c r="D111">
        <v>12</v>
      </c>
      <c r="E111" t="s">
        <v>51</v>
      </c>
      <c r="F111" t="s">
        <v>449</v>
      </c>
      <c r="G111" t="s">
        <v>84</v>
      </c>
      <c r="H111" t="s">
        <v>59</v>
      </c>
      <c r="I111" t="s">
        <v>427</v>
      </c>
      <c r="J111">
        <v>-3.7405337599999999</v>
      </c>
      <c r="K111" t="s">
        <v>440</v>
      </c>
      <c r="L111" t="s">
        <v>385</v>
      </c>
      <c r="M111">
        <v>0.43497567483749999</v>
      </c>
      <c r="N111">
        <v>1.6270411965445499</v>
      </c>
      <c r="O111">
        <v>31615.94</v>
      </c>
      <c r="P111">
        <v>1.5814806999999999E-5</v>
      </c>
      <c r="Q111">
        <v>1</v>
      </c>
      <c r="R111" s="61">
        <v>1.6270411965445499</v>
      </c>
      <c r="S111" t="s">
        <v>336</v>
      </c>
      <c r="T111" t="s">
        <v>433</v>
      </c>
      <c r="U111" t="s">
        <v>425</v>
      </c>
      <c r="V111" t="s">
        <v>27</v>
      </c>
      <c r="W111">
        <v>111.133</v>
      </c>
      <c r="X111">
        <v>0.99819678194932504</v>
      </c>
      <c r="Y111">
        <v>110.9326029683743</v>
      </c>
      <c r="Z111">
        <v>682.07</v>
      </c>
      <c r="AA111">
        <v>1</v>
      </c>
      <c r="AB111">
        <v>75.663800506639092</v>
      </c>
      <c r="AC111">
        <v>0.99739999999999995</v>
      </c>
      <c r="AD111" s="63">
        <v>75.466999999999999</v>
      </c>
      <c r="AE111">
        <v>8.9176000000000002</v>
      </c>
      <c r="AF111">
        <v>8.9015196227113016</v>
      </c>
      <c r="AG111">
        <v>1</v>
      </c>
      <c r="AH111">
        <v>6071.4594890626977</v>
      </c>
      <c r="AI111">
        <v>1.0108695652173909</v>
      </c>
      <c r="AJ111" s="63">
        <v>6137.4535999999998</v>
      </c>
      <c r="AK111" s="61">
        <v>9985.8898490806569</v>
      </c>
      <c r="AL111" t="s">
        <v>336</v>
      </c>
      <c r="AM111" t="s">
        <v>433</v>
      </c>
      <c r="AN111" t="s">
        <v>425</v>
      </c>
      <c r="AO111" t="s">
        <v>27</v>
      </c>
      <c r="AP111">
        <v>111.133</v>
      </c>
      <c r="AQ111">
        <v>0.99819678194932504</v>
      </c>
      <c r="AR111">
        <v>110.9326029683743</v>
      </c>
      <c r="AS111">
        <v>682.07</v>
      </c>
      <c r="AT111">
        <v>1</v>
      </c>
      <c r="AU111">
        <v>75.663800506639092</v>
      </c>
      <c r="AV111">
        <v>0.99739999999999995</v>
      </c>
      <c r="AW111" s="63">
        <v>75.466999999999999</v>
      </c>
      <c r="AX111">
        <v>8.9176000000000002</v>
      </c>
      <c r="AY111">
        <v>1</v>
      </c>
      <c r="AZ111">
        <v>6071.4594890626977</v>
      </c>
      <c r="BA111">
        <v>1.0108695652173909</v>
      </c>
      <c r="BB111" s="63">
        <v>6137.4535999999998</v>
      </c>
      <c r="BC111" s="61">
        <v>9985.8898490806569</v>
      </c>
    </row>
    <row r="112" spans="1:55" x14ac:dyDescent="0.25">
      <c r="A112">
        <v>11881</v>
      </c>
      <c r="B112" t="s">
        <v>132</v>
      </c>
      <c r="C112">
        <v>2016</v>
      </c>
      <c r="D112">
        <v>12</v>
      </c>
      <c r="E112" t="s">
        <v>51</v>
      </c>
      <c r="F112" t="s">
        <v>449</v>
      </c>
      <c r="G112" t="s">
        <v>84</v>
      </c>
      <c r="H112" t="s">
        <v>59</v>
      </c>
      <c r="I112" t="s">
        <v>427</v>
      </c>
      <c r="J112">
        <v>-3.7405337599999999</v>
      </c>
      <c r="K112" t="s">
        <v>440</v>
      </c>
      <c r="L112" t="s">
        <v>451</v>
      </c>
      <c r="M112">
        <v>1.7625750762999999E-3</v>
      </c>
      <c r="N112">
        <v>6.5929715775810034E-3</v>
      </c>
      <c r="O112">
        <v>31615.94</v>
      </c>
      <c r="P112">
        <v>1.5814806999999999E-5</v>
      </c>
      <c r="Q112">
        <v>1</v>
      </c>
      <c r="R112" s="61">
        <v>6.5929715775810034E-3</v>
      </c>
      <c r="S112" t="s">
        <v>336</v>
      </c>
      <c r="T112" t="s">
        <v>433</v>
      </c>
      <c r="U112" t="s">
        <v>425</v>
      </c>
      <c r="V112" t="s">
        <v>91</v>
      </c>
      <c r="W112">
        <v>111.133</v>
      </c>
      <c r="X112">
        <v>0.99819678194932504</v>
      </c>
      <c r="Y112">
        <v>110.9326029683743</v>
      </c>
      <c r="Z112">
        <v>682.07</v>
      </c>
      <c r="AA112">
        <v>1</v>
      </c>
      <c r="AB112">
        <v>75.663800506639092</v>
      </c>
      <c r="AC112">
        <v>1.0269999999999999</v>
      </c>
      <c r="AD112" s="63">
        <v>77.706999999999994</v>
      </c>
      <c r="AE112">
        <v>8.9176000000000002</v>
      </c>
      <c r="AF112">
        <v>8.9015196227113016</v>
      </c>
      <c r="AG112">
        <v>1</v>
      </c>
      <c r="AH112">
        <v>6071.4594890626977</v>
      </c>
      <c r="AI112">
        <v>0.98496680983990625</v>
      </c>
      <c r="AJ112" s="63">
        <v>5980.1860999999999</v>
      </c>
      <c r="AK112" s="61">
        <v>39.427196985944988</v>
      </c>
      <c r="AL112" t="s">
        <v>336</v>
      </c>
      <c r="AM112" t="s">
        <v>433</v>
      </c>
      <c r="AN112" t="s">
        <v>425</v>
      </c>
      <c r="AO112" t="s">
        <v>91</v>
      </c>
      <c r="AP112">
        <v>111.133</v>
      </c>
      <c r="AQ112">
        <v>0.99819678194932504</v>
      </c>
      <c r="AR112">
        <v>110.9326029683743</v>
      </c>
      <c r="AS112">
        <v>682.07</v>
      </c>
      <c r="AT112">
        <v>1</v>
      </c>
      <c r="AU112">
        <v>75.663800506639092</v>
      </c>
      <c r="AV112">
        <v>1.0269999999999999</v>
      </c>
      <c r="AW112" s="63">
        <v>77.706999999999994</v>
      </c>
      <c r="AX112">
        <v>8.9176000000000002</v>
      </c>
      <c r="AY112">
        <v>1</v>
      </c>
      <c r="AZ112">
        <v>6071.4594890626977</v>
      </c>
      <c r="BA112">
        <v>0.98496680983990625</v>
      </c>
      <c r="BB112" s="63">
        <v>5980.1860999999999</v>
      </c>
      <c r="BC112" s="61">
        <v>39.427196985944988</v>
      </c>
    </row>
    <row r="113" spans="1:55" x14ac:dyDescent="0.25">
      <c r="A113">
        <v>11882</v>
      </c>
      <c r="B113" t="s">
        <v>132</v>
      </c>
      <c r="C113">
        <v>2016</v>
      </c>
      <c r="D113">
        <v>12</v>
      </c>
      <c r="E113" t="s">
        <v>51</v>
      </c>
      <c r="F113" t="s">
        <v>449</v>
      </c>
      <c r="G113" t="s">
        <v>84</v>
      </c>
      <c r="H113" t="s">
        <v>59</v>
      </c>
      <c r="I113" t="s">
        <v>427</v>
      </c>
      <c r="J113">
        <v>-3.7405337599999999</v>
      </c>
      <c r="K113" t="s">
        <v>440</v>
      </c>
      <c r="L113" t="s">
        <v>452</v>
      </c>
      <c r="M113">
        <v>1.4858046103299999E-3</v>
      </c>
      <c r="N113">
        <v>5.5577023058263177E-3</v>
      </c>
      <c r="O113">
        <v>31615.94</v>
      </c>
      <c r="P113">
        <v>1.5814806999999999E-5</v>
      </c>
      <c r="Q113">
        <v>1</v>
      </c>
      <c r="R113" s="61">
        <v>5.5577023058263177E-3</v>
      </c>
      <c r="S113" t="s">
        <v>336</v>
      </c>
      <c r="T113" t="s">
        <v>433</v>
      </c>
      <c r="U113" t="s">
        <v>425</v>
      </c>
      <c r="V113" t="s">
        <v>28</v>
      </c>
      <c r="W113">
        <v>111.133</v>
      </c>
      <c r="X113">
        <v>0.99819678194932504</v>
      </c>
      <c r="Y113">
        <v>110.9326029683743</v>
      </c>
      <c r="Z113">
        <v>682.07</v>
      </c>
      <c r="AA113">
        <v>1</v>
      </c>
      <c r="AB113">
        <v>75.663800506639092</v>
      </c>
      <c r="AC113">
        <v>1.0196000000000001</v>
      </c>
      <c r="AD113" s="63">
        <v>77.147000000000006</v>
      </c>
      <c r="AE113">
        <v>8.9176000000000002</v>
      </c>
      <c r="AF113">
        <v>8.9015196227113016</v>
      </c>
      <c r="AG113">
        <v>1</v>
      </c>
      <c r="AH113">
        <v>6071.4594890626977</v>
      </c>
      <c r="AI113">
        <v>0.97991730655640863</v>
      </c>
      <c r="AJ113" s="63">
        <v>5949.5281999999997</v>
      </c>
      <c r="AK113" s="61">
        <v>33.065706595718702</v>
      </c>
      <c r="AL113" t="s">
        <v>336</v>
      </c>
      <c r="AM113" t="s">
        <v>433</v>
      </c>
      <c r="AN113" t="s">
        <v>425</v>
      </c>
      <c r="AO113" t="s">
        <v>28</v>
      </c>
      <c r="AP113">
        <v>111.133</v>
      </c>
      <c r="AQ113">
        <v>0.99819678194932504</v>
      </c>
      <c r="AR113">
        <v>110.9326029683743</v>
      </c>
      <c r="AS113">
        <v>682.07</v>
      </c>
      <c r="AT113">
        <v>1</v>
      </c>
      <c r="AU113">
        <v>75.663800506639092</v>
      </c>
      <c r="AV113">
        <v>1.0196000000000001</v>
      </c>
      <c r="AW113" s="63">
        <v>77.147000000000006</v>
      </c>
      <c r="AX113">
        <v>8.9176000000000002</v>
      </c>
      <c r="AY113">
        <v>1</v>
      </c>
      <c r="AZ113">
        <v>6071.4594890626977</v>
      </c>
      <c r="BA113">
        <v>0.97991730655640863</v>
      </c>
      <c r="BB113" s="63">
        <v>5949.5281999999997</v>
      </c>
      <c r="BC113" s="61">
        <v>33.065706595718702</v>
      </c>
    </row>
    <row r="114" spans="1:55" x14ac:dyDescent="0.25">
      <c r="A114">
        <v>12231</v>
      </c>
      <c r="B114" t="s">
        <v>122</v>
      </c>
      <c r="C114">
        <v>2017</v>
      </c>
      <c r="D114">
        <v>1</v>
      </c>
      <c r="E114" t="s">
        <v>51</v>
      </c>
      <c r="F114" t="s">
        <v>449</v>
      </c>
      <c r="G114" t="s">
        <v>84</v>
      </c>
      <c r="H114" t="s">
        <v>381</v>
      </c>
      <c r="I114" t="s">
        <v>427</v>
      </c>
      <c r="J114">
        <v>-5.1063884000000002</v>
      </c>
      <c r="K114" t="s">
        <v>440</v>
      </c>
      <c r="L114" t="s">
        <v>450</v>
      </c>
      <c r="M114">
        <v>0.15011157993331001</v>
      </c>
      <c r="N114">
        <v>0.76652802980938972</v>
      </c>
      <c r="O114">
        <v>29976.978999999999</v>
      </c>
      <c r="P114">
        <v>1.6679465999999999E-5</v>
      </c>
      <c r="Q114">
        <v>1</v>
      </c>
      <c r="R114" s="61">
        <v>0.76652802980938972</v>
      </c>
      <c r="S114" t="s">
        <v>336</v>
      </c>
      <c r="T114" t="s">
        <v>433</v>
      </c>
      <c r="U114" t="s">
        <v>425</v>
      </c>
      <c r="V114" t="s">
        <v>26</v>
      </c>
      <c r="W114">
        <v>111.133</v>
      </c>
      <c r="X114">
        <v>0.99819678194932504</v>
      </c>
      <c r="Y114">
        <v>110.9326029683743</v>
      </c>
      <c r="Z114">
        <v>682.07</v>
      </c>
      <c r="AA114">
        <v>1</v>
      </c>
      <c r="AB114">
        <v>75.663800506639092</v>
      </c>
      <c r="AC114">
        <v>1.0178</v>
      </c>
      <c r="AD114" s="63">
        <v>77.010999999999996</v>
      </c>
      <c r="AE114">
        <v>8.9176000000000002</v>
      </c>
      <c r="AF114">
        <v>8.9015196227113016</v>
      </c>
      <c r="AG114">
        <v>1</v>
      </c>
      <c r="AH114">
        <v>6071.4594890626977</v>
      </c>
      <c r="AI114">
        <v>1.0020831266739409</v>
      </c>
      <c r="AJ114" s="63">
        <v>6084.1071000000002</v>
      </c>
      <c r="AK114" s="61">
        <v>4663.6386285123199</v>
      </c>
      <c r="AL114" t="s">
        <v>339</v>
      </c>
      <c r="AM114" t="s">
        <v>433</v>
      </c>
      <c r="AN114" t="s">
        <v>425</v>
      </c>
      <c r="AO114" t="s">
        <v>26</v>
      </c>
      <c r="AP114">
        <v>111.133</v>
      </c>
      <c r="AQ114">
        <v>1.0062587218588701</v>
      </c>
      <c r="AR114">
        <v>111.82855053634179</v>
      </c>
      <c r="AS114">
        <v>663.92</v>
      </c>
      <c r="AT114">
        <v>1</v>
      </c>
      <c r="AU114">
        <v>74.245211272088028</v>
      </c>
      <c r="AV114">
        <v>1.0178</v>
      </c>
      <c r="AW114" s="63">
        <v>75.566999999999993</v>
      </c>
      <c r="AX114">
        <v>8.9176000000000002</v>
      </c>
      <c r="AY114">
        <v>1</v>
      </c>
      <c r="AZ114">
        <v>5957.6282116020648</v>
      </c>
      <c r="BA114">
        <v>1.0020831266739409</v>
      </c>
      <c r="BB114" s="63">
        <v>5970.0387000000001</v>
      </c>
      <c r="BC114" s="61">
        <v>4576.2020025968104</v>
      </c>
    </row>
    <row r="115" spans="1:55" x14ac:dyDescent="0.25">
      <c r="A115">
        <v>12232</v>
      </c>
      <c r="B115" t="s">
        <v>122</v>
      </c>
      <c r="C115">
        <v>2017</v>
      </c>
      <c r="D115">
        <v>1</v>
      </c>
      <c r="E115" t="s">
        <v>51</v>
      </c>
      <c r="F115" t="s">
        <v>449</v>
      </c>
      <c r="G115" t="s">
        <v>84</v>
      </c>
      <c r="H115" t="s">
        <v>381</v>
      </c>
      <c r="I115" t="s">
        <v>427</v>
      </c>
      <c r="J115">
        <v>-5.1063884000000002</v>
      </c>
      <c r="K115" t="s">
        <v>440</v>
      </c>
      <c r="L115" t="s">
        <v>384</v>
      </c>
      <c r="M115">
        <v>4.5811354346740003E-2</v>
      </c>
      <c r="N115">
        <v>0.2339305682207013</v>
      </c>
      <c r="O115">
        <v>29976.978999999999</v>
      </c>
      <c r="P115">
        <v>1.6679465999999999E-5</v>
      </c>
      <c r="Q115">
        <v>1</v>
      </c>
      <c r="R115" s="61">
        <v>0.2339305682207013</v>
      </c>
      <c r="S115" t="s">
        <v>336</v>
      </c>
      <c r="T115" t="s">
        <v>433</v>
      </c>
      <c r="U115" t="s">
        <v>425</v>
      </c>
      <c r="V115" t="s">
        <v>81</v>
      </c>
      <c r="W115">
        <v>111.133</v>
      </c>
      <c r="X115">
        <v>0.99819678194932504</v>
      </c>
      <c r="Y115">
        <v>110.9326029683743</v>
      </c>
      <c r="Z115">
        <v>682.07</v>
      </c>
      <c r="AA115">
        <v>1</v>
      </c>
      <c r="AB115">
        <v>75.663800506639092</v>
      </c>
      <c r="AC115">
        <v>0.92979999999999996</v>
      </c>
      <c r="AD115" s="63">
        <v>70.352000000000004</v>
      </c>
      <c r="AE115">
        <v>8.9176000000000002</v>
      </c>
      <c r="AF115">
        <v>8.9015196227113016</v>
      </c>
      <c r="AG115">
        <v>1</v>
      </c>
      <c r="AH115">
        <v>6071.4594890626977</v>
      </c>
      <c r="AI115">
        <v>1.0375922509225091</v>
      </c>
      <c r="AJ115" s="63">
        <v>6299.6993000000002</v>
      </c>
      <c r="AK115" s="61">
        <v>1473.6922368685539</v>
      </c>
      <c r="AL115" t="s">
        <v>339</v>
      </c>
      <c r="AM115" t="s">
        <v>433</v>
      </c>
      <c r="AN115" t="s">
        <v>425</v>
      </c>
      <c r="AO115" t="s">
        <v>81</v>
      </c>
      <c r="AP115">
        <v>111.133</v>
      </c>
      <c r="AQ115">
        <v>1.0062587218588701</v>
      </c>
      <c r="AR115">
        <v>111.82855053634179</v>
      </c>
      <c r="AS115">
        <v>663.92</v>
      </c>
      <c r="AT115">
        <v>1</v>
      </c>
      <c r="AU115">
        <v>74.245211272088028</v>
      </c>
      <c r="AV115">
        <v>0.92979999999999996</v>
      </c>
      <c r="AW115" s="63">
        <v>69.033000000000001</v>
      </c>
      <c r="AX115">
        <v>8.9176000000000002</v>
      </c>
      <c r="AY115">
        <v>1</v>
      </c>
      <c r="AZ115">
        <v>5957.6282116020648</v>
      </c>
      <c r="BA115">
        <v>1.0375922509225091</v>
      </c>
      <c r="BB115" s="63">
        <v>6181.5888999999997</v>
      </c>
      <c r="BC115" s="61">
        <v>1446.06260388378</v>
      </c>
    </row>
    <row r="116" spans="1:55" x14ac:dyDescent="0.25">
      <c r="A116">
        <v>12233</v>
      </c>
      <c r="B116" t="s">
        <v>122</v>
      </c>
      <c r="C116">
        <v>2017</v>
      </c>
      <c r="D116">
        <v>1</v>
      </c>
      <c r="E116" t="s">
        <v>51</v>
      </c>
      <c r="F116" t="s">
        <v>449</v>
      </c>
      <c r="G116" t="s">
        <v>84</v>
      </c>
      <c r="H116" t="s">
        <v>381</v>
      </c>
      <c r="I116" t="s">
        <v>427</v>
      </c>
      <c r="J116">
        <v>-5.1063884000000002</v>
      </c>
      <c r="K116" t="s">
        <v>440</v>
      </c>
      <c r="L116" t="s">
        <v>385</v>
      </c>
      <c r="M116">
        <v>0.43232641346992001</v>
      </c>
      <c r="N116">
        <v>2.2076265808332969</v>
      </c>
      <c r="O116">
        <v>29976.978999999999</v>
      </c>
      <c r="P116">
        <v>1.6679465999999999E-5</v>
      </c>
      <c r="Q116">
        <v>1</v>
      </c>
      <c r="R116" s="61">
        <v>2.2076265808332969</v>
      </c>
      <c r="S116" t="s">
        <v>336</v>
      </c>
      <c r="T116" t="s">
        <v>433</v>
      </c>
      <c r="U116" t="s">
        <v>425</v>
      </c>
      <c r="V116" t="s">
        <v>27</v>
      </c>
      <c r="W116">
        <v>111.133</v>
      </c>
      <c r="X116">
        <v>0.99819678194932504</v>
      </c>
      <c r="Y116">
        <v>110.9326029683743</v>
      </c>
      <c r="Z116">
        <v>682.07</v>
      </c>
      <c r="AA116">
        <v>1</v>
      </c>
      <c r="AB116">
        <v>75.663800506639092</v>
      </c>
      <c r="AC116">
        <v>0.99739999999999995</v>
      </c>
      <c r="AD116" s="63">
        <v>75.466999999999999</v>
      </c>
      <c r="AE116">
        <v>8.9176000000000002</v>
      </c>
      <c r="AF116">
        <v>8.9015196227113016</v>
      </c>
      <c r="AG116">
        <v>1</v>
      </c>
      <c r="AH116">
        <v>6071.4594890626977</v>
      </c>
      <c r="AI116">
        <v>1.0108695652173909</v>
      </c>
      <c r="AJ116" s="63">
        <v>6137.4535999999998</v>
      </c>
      <c r="AK116" s="61">
        <v>13549.205705991009</v>
      </c>
      <c r="AL116" t="s">
        <v>339</v>
      </c>
      <c r="AM116" t="s">
        <v>433</v>
      </c>
      <c r="AN116" t="s">
        <v>425</v>
      </c>
      <c r="AO116" t="s">
        <v>27</v>
      </c>
      <c r="AP116">
        <v>111.133</v>
      </c>
      <c r="AQ116">
        <v>1.0062587218588701</v>
      </c>
      <c r="AR116">
        <v>111.82855053634179</v>
      </c>
      <c r="AS116">
        <v>663.92</v>
      </c>
      <c r="AT116">
        <v>1</v>
      </c>
      <c r="AU116">
        <v>74.245211272088028</v>
      </c>
      <c r="AV116">
        <v>0.99739999999999995</v>
      </c>
      <c r="AW116" s="63">
        <v>74.052000000000007</v>
      </c>
      <c r="AX116">
        <v>8.9176000000000002</v>
      </c>
      <c r="AY116">
        <v>1</v>
      </c>
      <c r="AZ116">
        <v>5957.6282116020648</v>
      </c>
      <c r="BA116">
        <v>1.0108695652173909</v>
      </c>
      <c r="BB116" s="63">
        <v>6022.3850000000002</v>
      </c>
      <c r="BC116" s="61">
        <v>13295.17720601174</v>
      </c>
    </row>
    <row r="117" spans="1:55" x14ac:dyDescent="0.25">
      <c r="A117">
        <v>12234</v>
      </c>
      <c r="B117" t="s">
        <v>122</v>
      </c>
      <c r="C117">
        <v>2017</v>
      </c>
      <c r="D117">
        <v>1</v>
      </c>
      <c r="E117" t="s">
        <v>51</v>
      </c>
      <c r="F117" t="s">
        <v>449</v>
      </c>
      <c r="G117" t="s">
        <v>84</v>
      </c>
      <c r="H117" t="s">
        <v>381</v>
      </c>
      <c r="I117" t="s">
        <v>427</v>
      </c>
      <c r="J117">
        <v>-5.1063884000000002</v>
      </c>
      <c r="K117" t="s">
        <v>440</v>
      </c>
      <c r="L117" t="s">
        <v>451</v>
      </c>
      <c r="M117">
        <v>1.6825115802299999E-3</v>
      </c>
      <c r="N117">
        <v>8.591557608667871E-3</v>
      </c>
      <c r="O117">
        <v>29976.978999999999</v>
      </c>
      <c r="P117">
        <v>1.6679465999999999E-5</v>
      </c>
      <c r="Q117">
        <v>1</v>
      </c>
      <c r="R117" s="61">
        <v>8.591557608667871E-3</v>
      </c>
      <c r="S117" t="s">
        <v>336</v>
      </c>
      <c r="T117" t="s">
        <v>433</v>
      </c>
      <c r="U117" t="s">
        <v>425</v>
      </c>
      <c r="V117" t="s">
        <v>91</v>
      </c>
      <c r="W117">
        <v>111.133</v>
      </c>
      <c r="X117">
        <v>0.99819678194932504</v>
      </c>
      <c r="Y117">
        <v>110.9326029683743</v>
      </c>
      <c r="Z117">
        <v>682.07</v>
      </c>
      <c r="AA117">
        <v>1</v>
      </c>
      <c r="AB117">
        <v>75.663800506639092</v>
      </c>
      <c r="AC117">
        <v>1.0269999999999999</v>
      </c>
      <c r="AD117" s="63">
        <v>77.706999999999994</v>
      </c>
      <c r="AE117">
        <v>8.9176000000000002</v>
      </c>
      <c r="AF117">
        <v>8.9015196227113016</v>
      </c>
      <c r="AG117">
        <v>1</v>
      </c>
      <c r="AH117">
        <v>6071.4594890626977</v>
      </c>
      <c r="AI117">
        <v>0.98496680983990625</v>
      </c>
      <c r="AJ117" s="63">
        <v>5980.1860999999999</v>
      </c>
      <c r="AK117" s="61">
        <v>51.379113388704837</v>
      </c>
      <c r="AL117" t="s">
        <v>339</v>
      </c>
      <c r="AM117" t="s">
        <v>433</v>
      </c>
      <c r="AN117" t="s">
        <v>425</v>
      </c>
      <c r="AO117" t="s">
        <v>91</v>
      </c>
      <c r="AP117">
        <v>111.133</v>
      </c>
      <c r="AQ117">
        <v>1.0062587218588701</v>
      </c>
      <c r="AR117">
        <v>111.82855053634179</v>
      </c>
      <c r="AS117">
        <v>663.92</v>
      </c>
      <c r="AT117">
        <v>1</v>
      </c>
      <c r="AU117">
        <v>74.245211272088028</v>
      </c>
      <c r="AV117">
        <v>1.0269999999999999</v>
      </c>
      <c r="AW117" s="63">
        <v>76.25</v>
      </c>
      <c r="AX117">
        <v>8.9176000000000002</v>
      </c>
      <c r="AY117">
        <v>1</v>
      </c>
      <c r="AZ117">
        <v>5957.6282116020648</v>
      </c>
      <c r="BA117">
        <v>0.98496680983990625</v>
      </c>
      <c r="BB117" s="63">
        <v>5868.0661</v>
      </c>
      <c r="BC117" s="61">
        <v>50.415827949620997</v>
      </c>
    </row>
    <row r="118" spans="1:55" x14ac:dyDescent="0.25">
      <c r="A118">
        <v>12235</v>
      </c>
      <c r="B118" t="s">
        <v>122</v>
      </c>
      <c r="C118">
        <v>2017</v>
      </c>
      <c r="D118">
        <v>1</v>
      </c>
      <c r="E118" t="s">
        <v>51</v>
      </c>
      <c r="F118" t="s">
        <v>449</v>
      </c>
      <c r="G118" t="s">
        <v>84</v>
      </c>
      <c r="H118" t="s">
        <v>381</v>
      </c>
      <c r="I118" t="s">
        <v>427</v>
      </c>
      <c r="J118">
        <v>-5.1063884000000002</v>
      </c>
      <c r="K118" t="s">
        <v>440</v>
      </c>
      <c r="L118" t="s">
        <v>452</v>
      </c>
      <c r="M118">
        <v>1.53682162831E-3</v>
      </c>
      <c r="N118">
        <v>7.8476081288350943E-3</v>
      </c>
      <c r="O118">
        <v>29976.978999999999</v>
      </c>
      <c r="P118">
        <v>1.6679465999999999E-5</v>
      </c>
      <c r="Q118">
        <v>1</v>
      </c>
      <c r="R118" s="61">
        <v>7.8476081288350943E-3</v>
      </c>
      <c r="S118" t="s">
        <v>336</v>
      </c>
      <c r="T118" t="s">
        <v>433</v>
      </c>
      <c r="U118" t="s">
        <v>425</v>
      </c>
      <c r="V118" t="s">
        <v>28</v>
      </c>
      <c r="W118">
        <v>111.133</v>
      </c>
      <c r="X118">
        <v>0.99819678194932504</v>
      </c>
      <c r="Y118">
        <v>110.9326029683743</v>
      </c>
      <c r="Z118">
        <v>682.07</v>
      </c>
      <c r="AA118">
        <v>1</v>
      </c>
      <c r="AB118">
        <v>75.663800506639092</v>
      </c>
      <c r="AC118">
        <v>1.0196000000000001</v>
      </c>
      <c r="AD118" s="63">
        <v>77.147000000000006</v>
      </c>
      <c r="AE118">
        <v>8.9176000000000002</v>
      </c>
      <c r="AF118">
        <v>8.9015196227113016</v>
      </c>
      <c r="AG118">
        <v>1</v>
      </c>
      <c r="AH118">
        <v>6071.4594890626977</v>
      </c>
      <c r="AI118">
        <v>0.97991730655640863</v>
      </c>
      <c r="AJ118" s="63">
        <v>5949.5281999999997</v>
      </c>
      <c r="AK118" s="61">
        <v>46.689565865053623</v>
      </c>
      <c r="AL118" t="s">
        <v>339</v>
      </c>
      <c r="AM118" t="s">
        <v>433</v>
      </c>
      <c r="AN118" t="s">
        <v>425</v>
      </c>
      <c r="AO118" t="s">
        <v>28</v>
      </c>
      <c r="AP118">
        <v>111.133</v>
      </c>
      <c r="AQ118">
        <v>1.0062587218588701</v>
      </c>
      <c r="AR118">
        <v>111.82855053634179</v>
      </c>
      <c r="AS118">
        <v>663.92</v>
      </c>
      <c r="AT118">
        <v>1</v>
      </c>
      <c r="AU118">
        <v>74.245211272088028</v>
      </c>
      <c r="AV118">
        <v>1.0196000000000001</v>
      </c>
      <c r="AW118" s="63">
        <v>75.7</v>
      </c>
      <c r="AX118">
        <v>8.9176000000000002</v>
      </c>
      <c r="AY118">
        <v>1</v>
      </c>
      <c r="AZ118">
        <v>5957.6282116020648</v>
      </c>
      <c r="BA118">
        <v>0.97991730655640863</v>
      </c>
      <c r="BB118" s="63">
        <v>5837.9830000000002</v>
      </c>
      <c r="BC118" s="61">
        <v>45.814202846801088</v>
      </c>
    </row>
    <row r="119" spans="1:55" x14ac:dyDescent="0.25">
      <c r="A119">
        <v>12236</v>
      </c>
      <c r="B119" t="s">
        <v>122</v>
      </c>
      <c r="C119">
        <v>2017</v>
      </c>
      <c r="D119">
        <v>1</v>
      </c>
      <c r="E119" t="s">
        <v>51</v>
      </c>
      <c r="F119" t="s">
        <v>449</v>
      </c>
      <c r="G119" t="s">
        <v>84</v>
      </c>
      <c r="H119" t="s">
        <v>87</v>
      </c>
      <c r="I119" t="s">
        <v>427</v>
      </c>
      <c r="J119">
        <v>-1.0503197799999999</v>
      </c>
      <c r="K119" t="s">
        <v>440</v>
      </c>
      <c r="L119" t="s">
        <v>450</v>
      </c>
      <c r="M119">
        <v>0.26601384014995</v>
      </c>
      <c r="N119">
        <v>0.27939959737670861</v>
      </c>
      <c r="O119">
        <v>29976.978999999999</v>
      </c>
      <c r="P119">
        <v>1.6679465999999999E-5</v>
      </c>
      <c r="Q119">
        <v>1</v>
      </c>
      <c r="R119" s="61">
        <v>0.27939959737670861</v>
      </c>
      <c r="S119" t="s">
        <v>336</v>
      </c>
      <c r="T119" t="s">
        <v>433</v>
      </c>
      <c r="U119" t="s">
        <v>425</v>
      </c>
      <c r="V119" t="s">
        <v>26</v>
      </c>
      <c r="W119">
        <v>111.133</v>
      </c>
      <c r="X119">
        <v>0.99819678194932504</v>
      </c>
      <c r="Y119">
        <v>110.9326029683743</v>
      </c>
      <c r="Z119">
        <v>682.07</v>
      </c>
      <c r="AA119">
        <v>1</v>
      </c>
      <c r="AB119">
        <v>75.663800506639092</v>
      </c>
      <c r="AC119">
        <v>1.0178</v>
      </c>
      <c r="AD119" s="63">
        <v>77.010999999999996</v>
      </c>
      <c r="AE119">
        <v>8.9176000000000002</v>
      </c>
      <c r="AF119">
        <v>8.9015196227113016</v>
      </c>
      <c r="AG119">
        <v>1</v>
      </c>
      <c r="AH119">
        <v>6071.4594890626977</v>
      </c>
      <c r="AI119">
        <v>1.0020831266739409</v>
      </c>
      <c r="AJ119" s="63">
        <v>6084.1071000000002</v>
      </c>
      <c r="AK119" s="61">
        <v>1699.8970741367741</v>
      </c>
      <c r="AL119" t="s">
        <v>339</v>
      </c>
      <c r="AM119" t="s">
        <v>433</v>
      </c>
      <c r="AN119" t="s">
        <v>425</v>
      </c>
      <c r="AO119" t="s">
        <v>26</v>
      </c>
      <c r="AP119">
        <v>111.133</v>
      </c>
      <c r="AQ119">
        <v>1.0062587218588701</v>
      </c>
      <c r="AR119">
        <v>111.82855053634179</v>
      </c>
      <c r="AS119">
        <v>663.92</v>
      </c>
      <c r="AT119">
        <v>1</v>
      </c>
      <c r="AU119">
        <v>74.245211272088028</v>
      </c>
      <c r="AV119">
        <v>1.0178</v>
      </c>
      <c r="AW119" s="63">
        <v>75.566999999999993</v>
      </c>
      <c r="AX119">
        <v>8.9176000000000002</v>
      </c>
      <c r="AY119">
        <v>1</v>
      </c>
      <c r="AZ119">
        <v>5957.6282116020648</v>
      </c>
      <c r="BA119">
        <v>1.0020831266739409</v>
      </c>
      <c r="BB119" s="63">
        <v>5970.0387000000001</v>
      </c>
      <c r="BC119" s="61">
        <v>1668.026409103368</v>
      </c>
    </row>
    <row r="120" spans="1:55" x14ac:dyDescent="0.25">
      <c r="A120">
        <v>12237</v>
      </c>
      <c r="B120" t="s">
        <v>122</v>
      </c>
      <c r="C120">
        <v>2017</v>
      </c>
      <c r="D120">
        <v>1</v>
      </c>
      <c r="E120" t="s">
        <v>51</v>
      </c>
      <c r="F120" t="s">
        <v>449</v>
      </c>
      <c r="G120" t="s">
        <v>84</v>
      </c>
      <c r="H120" t="s">
        <v>87</v>
      </c>
      <c r="I120" t="s">
        <v>427</v>
      </c>
      <c r="J120">
        <v>-1.0503197799999999</v>
      </c>
      <c r="K120" t="s">
        <v>440</v>
      </c>
      <c r="L120" t="s">
        <v>384</v>
      </c>
      <c r="M120">
        <v>3.9509559941419997E-2</v>
      </c>
      <c r="N120">
        <v>4.1497672203600781E-2</v>
      </c>
      <c r="O120">
        <v>29976.978999999999</v>
      </c>
      <c r="P120">
        <v>1.6679465999999999E-5</v>
      </c>
      <c r="Q120">
        <v>1</v>
      </c>
      <c r="R120" s="61">
        <v>4.1497672203600781E-2</v>
      </c>
      <c r="S120" t="s">
        <v>336</v>
      </c>
      <c r="T120" t="s">
        <v>433</v>
      </c>
      <c r="U120" t="s">
        <v>425</v>
      </c>
      <c r="V120" t="s">
        <v>81</v>
      </c>
      <c r="W120">
        <v>111.133</v>
      </c>
      <c r="X120">
        <v>0.99819678194932504</v>
      </c>
      <c r="Y120">
        <v>110.9326029683743</v>
      </c>
      <c r="Z120">
        <v>682.07</v>
      </c>
      <c r="AA120">
        <v>1</v>
      </c>
      <c r="AB120">
        <v>75.663800506639092</v>
      </c>
      <c r="AC120">
        <v>0.92979999999999996</v>
      </c>
      <c r="AD120" s="63">
        <v>70.352000000000004</v>
      </c>
      <c r="AE120">
        <v>8.9176000000000002</v>
      </c>
      <c r="AF120">
        <v>8.9015196227113016</v>
      </c>
      <c r="AG120">
        <v>1</v>
      </c>
      <c r="AH120">
        <v>6071.4594890626977</v>
      </c>
      <c r="AI120">
        <v>1.0375922509225091</v>
      </c>
      <c r="AJ120" s="63">
        <v>6299.6993000000002</v>
      </c>
      <c r="AK120" s="61">
        <v>261.42285653265333</v>
      </c>
      <c r="AL120" t="s">
        <v>339</v>
      </c>
      <c r="AM120" t="s">
        <v>433</v>
      </c>
      <c r="AN120" t="s">
        <v>425</v>
      </c>
      <c r="AO120" t="s">
        <v>81</v>
      </c>
      <c r="AP120">
        <v>111.133</v>
      </c>
      <c r="AQ120">
        <v>1.0062587218588701</v>
      </c>
      <c r="AR120">
        <v>111.82855053634179</v>
      </c>
      <c r="AS120">
        <v>663.92</v>
      </c>
      <c r="AT120">
        <v>1</v>
      </c>
      <c r="AU120">
        <v>74.245211272088028</v>
      </c>
      <c r="AV120">
        <v>0.92979999999999996</v>
      </c>
      <c r="AW120" s="63">
        <v>69.033000000000001</v>
      </c>
      <c r="AX120">
        <v>8.9176000000000002</v>
      </c>
      <c r="AY120">
        <v>1</v>
      </c>
      <c r="AZ120">
        <v>5957.6282116020648</v>
      </c>
      <c r="BA120">
        <v>1.0375922509225091</v>
      </c>
      <c r="BB120" s="63">
        <v>6181.5888999999997</v>
      </c>
      <c r="BC120" s="61">
        <v>256.5215498696171</v>
      </c>
    </row>
    <row r="121" spans="1:55" x14ac:dyDescent="0.25">
      <c r="A121">
        <v>12238</v>
      </c>
      <c r="B121" t="s">
        <v>122</v>
      </c>
      <c r="C121">
        <v>2017</v>
      </c>
      <c r="D121">
        <v>1</v>
      </c>
      <c r="E121" t="s">
        <v>51</v>
      </c>
      <c r="F121" t="s">
        <v>449</v>
      </c>
      <c r="G121" t="s">
        <v>84</v>
      </c>
      <c r="H121" t="s">
        <v>87</v>
      </c>
      <c r="I121" t="s">
        <v>427</v>
      </c>
      <c r="J121">
        <v>-1.0503197799999999</v>
      </c>
      <c r="K121" t="s">
        <v>440</v>
      </c>
      <c r="L121" t="s">
        <v>385</v>
      </c>
      <c r="M121">
        <v>0.39737542925016001</v>
      </c>
      <c r="N121">
        <v>0.41737127240186689</v>
      </c>
      <c r="O121">
        <v>29976.978999999999</v>
      </c>
      <c r="P121">
        <v>1.6679465999999999E-5</v>
      </c>
      <c r="Q121">
        <v>1</v>
      </c>
      <c r="R121" s="61">
        <v>0.41737127240186689</v>
      </c>
      <c r="S121" t="s">
        <v>336</v>
      </c>
      <c r="T121" t="s">
        <v>433</v>
      </c>
      <c r="U121" t="s">
        <v>425</v>
      </c>
      <c r="V121" t="s">
        <v>27</v>
      </c>
      <c r="W121">
        <v>111.133</v>
      </c>
      <c r="X121">
        <v>0.99819678194932504</v>
      </c>
      <c r="Y121">
        <v>110.9326029683743</v>
      </c>
      <c r="Z121">
        <v>682.07</v>
      </c>
      <c r="AA121">
        <v>1</v>
      </c>
      <c r="AB121">
        <v>75.663800506639092</v>
      </c>
      <c r="AC121">
        <v>0.99739999999999995</v>
      </c>
      <c r="AD121" s="63">
        <v>75.466999999999999</v>
      </c>
      <c r="AE121">
        <v>8.9176000000000002</v>
      </c>
      <c r="AF121">
        <v>8.9015196227113016</v>
      </c>
      <c r="AG121">
        <v>1</v>
      </c>
      <c r="AH121">
        <v>6071.4594890626977</v>
      </c>
      <c r="AI121">
        <v>1.0108695652173909</v>
      </c>
      <c r="AJ121" s="63">
        <v>6137.4535999999998</v>
      </c>
      <c r="AK121" s="61">
        <v>2561.596818339418</v>
      </c>
      <c r="AL121" t="s">
        <v>339</v>
      </c>
      <c r="AM121" t="s">
        <v>433</v>
      </c>
      <c r="AN121" t="s">
        <v>425</v>
      </c>
      <c r="AO121" t="s">
        <v>27</v>
      </c>
      <c r="AP121">
        <v>111.133</v>
      </c>
      <c r="AQ121">
        <v>1.0062587218588701</v>
      </c>
      <c r="AR121">
        <v>111.82855053634179</v>
      </c>
      <c r="AS121">
        <v>663.92</v>
      </c>
      <c r="AT121">
        <v>1</v>
      </c>
      <c r="AU121">
        <v>74.245211272088028</v>
      </c>
      <c r="AV121">
        <v>0.99739999999999995</v>
      </c>
      <c r="AW121" s="63">
        <v>74.052000000000007</v>
      </c>
      <c r="AX121">
        <v>8.9176000000000002</v>
      </c>
      <c r="AY121">
        <v>1</v>
      </c>
      <c r="AZ121">
        <v>5957.6282116020648</v>
      </c>
      <c r="BA121">
        <v>1.0108695652173909</v>
      </c>
      <c r="BB121" s="63">
        <v>6022.3850000000002</v>
      </c>
      <c r="BC121" s="61">
        <v>2513.5704903439168</v>
      </c>
    </row>
    <row r="122" spans="1:55" x14ac:dyDescent="0.25">
      <c r="A122">
        <v>12239</v>
      </c>
      <c r="B122" t="s">
        <v>122</v>
      </c>
      <c r="C122">
        <v>2017</v>
      </c>
      <c r="D122">
        <v>1</v>
      </c>
      <c r="E122" t="s">
        <v>51</v>
      </c>
      <c r="F122" t="s">
        <v>449</v>
      </c>
      <c r="G122" t="s">
        <v>84</v>
      </c>
      <c r="H122" t="s">
        <v>87</v>
      </c>
      <c r="I122" t="s">
        <v>427</v>
      </c>
      <c r="J122">
        <v>-1.0503197799999999</v>
      </c>
      <c r="K122" t="s">
        <v>440</v>
      </c>
      <c r="L122" t="s">
        <v>452</v>
      </c>
      <c r="M122">
        <v>8.4248020759000004E-4</v>
      </c>
      <c r="N122">
        <v>8.8487362411596735E-4</v>
      </c>
      <c r="O122">
        <v>29976.978999999999</v>
      </c>
      <c r="P122">
        <v>1.6679465999999999E-5</v>
      </c>
      <c r="Q122">
        <v>1</v>
      </c>
      <c r="R122" s="61">
        <v>8.8487362411596735E-4</v>
      </c>
      <c r="S122" t="s">
        <v>336</v>
      </c>
      <c r="T122" t="s">
        <v>433</v>
      </c>
      <c r="U122" t="s">
        <v>425</v>
      </c>
      <c r="V122" t="s">
        <v>28</v>
      </c>
      <c r="W122">
        <v>111.133</v>
      </c>
      <c r="X122">
        <v>0.99819678194932504</v>
      </c>
      <c r="Y122">
        <v>110.9326029683743</v>
      </c>
      <c r="Z122">
        <v>682.07</v>
      </c>
      <c r="AA122">
        <v>1</v>
      </c>
      <c r="AB122">
        <v>75.663800506639092</v>
      </c>
      <c r="AC122">
        <v>1.0196000000000001</v>
      </c>
      <c r="AD122" s="63">
        <v>77.147000000000006</v>
      </c>
      <c r="AE122">
        <v>8.9176000000000002</v>
      </c>
      <c r="AF122">
        <v>8.9015196227113016</v>
      </c>
      <c r="AG122">
        <v>1</v>
      </c>
      <c r="AH122">
        <v>6071.4594890626977</v>
      </c>
      <c r="AI122">
        <v>0.97991730655640863</v>
      </c>
      <c r="AJ122" s="63">
        <v>5949.5281999999997</v>
      </c>
      <c r="AK122" s="61">
        <v>5.2645805801141474</v>
      </c>
      <c r="AL122" t="s">
        <v>339</v>
      </c>
      <c r="AM122" t="s">
        <v>433</v>
      </c>
      <c r="AN122" t="s">
        <v>425</v>
      </c>
      <c r="AO122" t="s">
        <v>28</v>
      </c>
      <c r="AP122">
        <v>111.133</v>
      </c>
      <c r="AQ122">
        <v>1.0062587218588701</v>
      </c>
      <c r="AR122">
        <v>111.82855053634179</v>
      </c>
      <c r="AS122">
        <v>663.92</v>
      </c>
      <c r="AT122">
        <v>1</v>
      </c>
      <c r="AU122">
        <v>74.245211272088028</v>
      </c>
      <c r="AV122">
        <v>1.0196000000000001</v>
      </c>
      <c r="AW122" s="63">
        <v>75.7</v>
      </c>
      <c r="AX122">
        <v>8.9176000000000002</v>
      </c>
      <c r="AY122">
        <v>1</v>
      </c>
      <c r="AZ122">
        <v>5957.6282116020648</v>
      </c>
      <c r="BA122">
        <v>0.97991730655640863</v>
      </c>
      <c r="BB122" s="63">
        <v>5837.9830000000002</v>
      </c>
      <c r="BC122" s="61">
        <v>5.1658771747374077</v>
      </c>
    </row>
    <row r="123" spans="1:55" x14ac:dyDescent="0.25">
      <c r="A123">
        <v>12240</v>
      </c>
      <c r="B123" t="s">
        <v>122</v>
      </c>
      <c r="C123">
        <v>2017</v>
      </c>
      <c r="D123">
        <v>1</v>
      </c>
      <c r="E123" t="s">
        <v>51</v>
      </c>
      <c r="F123" t="s">
        <v>449</v>
      </c>
      <c r="G123" t="s">
        <v>84</v>
      </c>
      <c r="H123" t="s">
        <v>59</v>
      </c>
      <c r="I123" t="s">
        <v>427</v>
      </c>
      <c r="J123">
        <v>-3.05934565</v>
      </c>
      <c r="K123" t="s">
        <v>440</v>
      </c>
      <c r="L123" t="s">
        <v>450</v>
      </c>
      <c r="M123">
        <v>0.15931709696460999</v>
      </c>
      <c r="N123">
        <v>0.4874060672528131</v>
      </c>
      <c r="O123">
        <v>29976.978999999999</v>
      </c>
      <c r="P123">
        <v>1.6679465999999999E-5</v>
      </c>
      <c r="Q123">
        <v>1</v>
      </c>
      <c r="R123" s="61">
        <v>0.4874060672528131</v>
      </c>
      <c r="S123" t="s">
        <v>336</v>
      </c>
      <c r="T123" t="s">
        <v>433</v>
      </c>
      <c r="U123" t="s">
        <v>425</v>
      </c>
      <c r="V123" t="s">
        <v>26</v>
      </c>
      <c r="W123">
        <v>111.133</v>
      </c>
      <c r="X123">
        <v>0.99819678194932504</v>
      </c>
      <c r="Y123">
        <v>110.9326029683743</v>
      </c>
      <c r="Z123">
        <v>682.07</v>
      </c>
      <c r="AA123">
        <v>1</v>
      </c>
      <c r="AB123">
        <v>75.663800506639092</v>
      </c>
      <c r="AC123">
        <v>1.0178</v>
      </c>
      <c r="AD123" s="63">
        <v>77.010999999999996</v>
      </c>
      <c r="AE123">
        <v>8.9176000000000002</v>
      </c>
      <c r="AF123">
        <v>8.9015196227113016</v>
      </c>
      <c r="AG123">
        <v>1</v>
      </c>
      <c r="AH123">
        <v>6071.4594890626977</v>
      </c>
      <c r="AI123">
        <v>1.0020831266739409</v>
      </c>
      <c r="AJ123" s="63">
        <v>6084.1071000000002</v>
      </c>
      <c r="AK123" s="61">
        <v>2965.4307143559181</v>
      </c>
      <c r="AL123" t="s">
        <v>339</v>
      </c>
      <c r="AM123" t="s">
        <v>433</v>
      </c>
      <c r="AN123" t="s">
        <v>425</v>
      </c>
      <c r="AO123" t="s">
        <v>26</v>
      </c>
      <c r="AP123">
        <v>111.133</v>
      </c>
      <c r="AQ123">
        <v>1.0062587218588701</v>
      </c>
      <c r="AR123">
        <v>111.82855053634179</v>
      </c>
      <c r="AS123">
        <v>663.92</v>
      </c>
      <c r="AT123">
        <v>1</v>
      </c>
      <c r="AU123">
        <v>74.245211272088028</v>
      </c>
      <c r="AV123">
        <v>1.0178</v>
      </c>
      <c r="AW123" s="63">
        <v>75.566999999999993</v>
      </c>
      <c r="AX123">
        <v>8.9176000000000002</v>
      </c>
      <c r="AY123">
        <v>1</v>
      </c>
      <c r="AZ123">
        <v>5957.6282116020648</v>
      </c>
      <c r="BA123">
        <v>1.0020831266739409</v>
      </c>
      <c r="BB123" s="63">
        <v>5970.0387000000001</v>
      </c>
      <c r="BC123" s="61">
        <v>2909.8330841140969</v>
      </c>
    </row>
    <row r="124" spans="1:55" x14ac:dyDescent="0.25">
      <c r="A124">
        <v>12241</v>
      </c>
      <c r="B124" t="s">
        <v>122</v>
      </c>
      <c r="C124">
        <v>2017</v>
      </c>
      <c r="D124">
        <v>1</v>
      </c>
      <c r="E124" t="s">
        <v>51</v>
      </c>
      <c r="F124" t="s">
        <v>449</v>
      </c>
      <c r="G124" t="s">
        <v>84</v>
      </c>
      <c r="H124" t="s">
        <v>59</v>
      </c>
      <c r="I124" t="s">
        <v>427</v>
      </c>
      <c r="J124">
        <v>-3.05934565</v>
      </c>
      <c r="K124" t="s">
        <v>440</v>
      </c>
      <c r="L124" t="s">
        <v>384</v>
      </c>
      <c r="M124">
        <v>4.1785183859599999E-2</v>
      </c>
      <c r="N124">
        <v>0.12783532039230819</v>
      </c>
      <c r="O124">
        <v>29976.978999999999</v>
      </c>
      <c r="P124">
        <v>1.6679465999999999E-5</v>
      </c>
      <c r="Q124">
        <v>1</v>
      </c>
      <c r="R124" s="61">
        <v>0.12783532039230819</v>
      </c>
      <c r="S124" t="s">
        <v>336</v>
      </c>
      <c r="T124" t="s">
        <v>433</v>
      </c>
      <c r="U124" t="s">
        <v>425</v>
      </c>
      <c r="V124" t="s">
        <v>81</v>
      </c>
      <c r="W124">
        <v>111.133</v>
      </c>
      <c r="X124">
        <v>0.99819678194932504</v>
      </c>
      <c r="Y124">
        <v>110.9326029683743</v>
      </c>
      <c r="Z124">
        <v>682.07</v>
      </c>
      <c r="AA124">
        <v>1</v>
      </c>
      <c r="AB124">
        <v>75.663800506639092</v>
      </c>
      <c r="AC124">
        <v>0.92979999999999996</v>
      </c>
      <c r="AD124" s="63">
        <v>70.352000000000004</v>
      </c>
      <c r="AE124">
        <v>8.9176000000000002</v>
      </c>
      <c r="AF124">
        <v>8.9015196227113016</v>
      </c>
      <c r="AG124">
        <v>1</v>
      </c>
      <c r="AH124">
        <v>6071.4594890626977</v>
      </c>
      <c r="AI124">
        <v>1.0375922509225091</v>
      </c>
      <c r="AJ124" s="63">
        <v>6299.6993000000002</v>
      </c>
      <c r="AK124" s="61">
        <v>805.32407839070004</v>
      </c>
      <c r="AL124" t="s">
        <v>339</v>
      </c>
      <c r="AM124" t="s">
        <v>433</v>
      </c>
      <c r="AN124" t="s">
        <v>425</v>
      </c>
      <c r="AO124" t="s">
        <v>81</v>
      </c>
      <c r="AP124">
        <v>111.133</v>
      </c>
      <c r="AQ124">
        <v>1.0062587218588701</v>
      </c>
      <c r="AR124">
        <v>111.82855053634179</v>
      </c>
      <c r="AS124">
        <v>663.92</v>
      </c>
      <c r="AT124">
        <v>1</v>
      </c>
      <c r="AU124">
        <v>74.245211272088028</v>
      </c>
      <c r="AV124">
        <v>0.92979999999999996</v>
      </c>
      <c r="AW124" s="63">
        <v>69.033000000000001</v>
      </c>
      <c r="AX124">
        <v>8.9176000000000002</v>
      </c>
      <c r="AY124">
        <v>1</v>
      </c>
      <c r="AZ124">
        <v>5957.6282116020648</v>
      </c>
      <c r="BA124">
        <v>1.0375922509225091</v>
      </c>
      <c r="BB124" s="63">
        <v>6181.5888999999997</v>
      </c>
      <c r="BC124" s="61">
        <v>790.22539756503625</v>
      </c>
    </row>
    <row r="125" spans="1:55" x14ac:dyDescent="0.25">
      <c r="A125">
        <v>12242</v>
      </c>
      <c r="B125" t="s">
        <v>122</v>
      </c>
      <c r="C125">
        <v>2017</v>
      </c>
      <c r="D125">
        <v>1</v>
      </c>
      <c r="E125" t="s">
        <v>51</v>
      </c>
      <c r="F125" t="s">
        <v>449</v>
      </c>
      <c r="G125" t="s">
        <v>84</v>
      </c>
      <c r="H125" t="s">
        <v>59</v>
      </c>
      <c r="I125" t="s">
        <v>427</v>
      </c>
      <c r="J125">
        <v>-3.05934565</v>
      </c>
      <c r="K125" t="s">
        <v>440</v>
      </c>
      <c r="L125" t="s">
        <v>385</v>
      </c>
      <c r="M125">
        <v>0.43497567483749999</v>
      </c>
      <c r="N125">
        <v>1.3307409378058099</v>
      </c>
      <c r="O125">
        <v>29976.978999999999</v>
      </c>
      <c r="P125">
        <v>1.6679465999999999E-5</v>
      </c>
      <c r="Q125">
        <v>1</v>
      </c>
      <c r="R125" s="61">
        <v>1.3307409378058099</v>
      </c>
      <c r="S125" t="s">
        <v>336</v>
      </c>
      <c r="T125" t="s">
        <v>433</v>
      </c>
      <c r="U125" t="s">
        <v>425</v>
      </c>
      <c r="V125" t="s">
        <v>27</v>
      </c>
      <c r="W125">
        <v>111.133</v>
      </c>
      <c r="X125">
        <v>0.99819678194932504</v>
      </c>
      <c r="Y125">
        <v>110.9326029683743</v>
      </c>
      <c r="Z125">
        <v>682.07</v>
      </c>
      <c r="AA125">
        <v>1</v>
      </c>
      <c r="AB125">
        <v>75.663800506639092</v>
      </c>
      <c r="AC125">
        <v>0.99739999999999995</v>
      </c>
      <c r="AD125" s="63">
        <v>75.466999999999999</v>
      </c>
      <c r="AE125">
        <v>8.9176000000000002</v>
      </c>
      <c r="AF125">
        <v>8.9015196227113016</v>
      </c>
      <c r="AG125">
        <v>1</v>
      </c>
      <c r="AH125">
        <v>6071.4594890626977</v>
      </c>
      <c r="AI125">
        <v>1.0108695652173909</v>
      </c>
      <c r="AJ125" s="63">
        <v>6137.4535999999998</v>
      </c>
      <c r="AK125" s="61">
        <v>8167.3607594036457</v>
      </c>
      <c r="AL125" t="s">
        <v>339</v>
      </c>
      <c r="AM125" t="s">
        <v>433</v>
      </c>
      <c r="AN125" t="s">
        <v>425</v>
      </c>
      <c r="AO125" t="s">
        <v>27</v>
      </c>
      <c r="AP125">
        <v>111.133</v>
      </c>
      <c r="AQ125">
        <v>1.0062587218588701</v>
      </c>
      <c r="AR125">
        <v>111.82855053634179</v>
      </c>
      <c r="AS125">
        <v>663.92</v>
      </c>
      <c r="AT125">
        <v>1</v>
      </c>
      <c r="AU125">
        <v>74.245211272088028</v>
      </c>
      <c r="AV125">
        <v>0.99739999999999995</v>
      </c>
      <c r="AW125" s="63">
        <v>74.052000000000007</v>
      </c>
      <c r="AX125">
        <v>8.9176000000000002</v>
      </c>
      <c r="AY125">
        <v>1</v>
      </c>
      <c r="AZ125">
        <v>5957.6282116020648</v>
      </c>
      <c r="BA125">
        <v>1.0108695652173909</v>
      </c>
      <c r="BB125" s="63">
        <v>6022.3850000000002</v>
      </c>
      <c r="BC125" s="61">
        <v>8014.2342627276439</v>
      </c>
    </row>
    <row r="126" spans="1:55" x14ac:dyDescent="0.25">
      <c r="A126">
        <v>12243</v>
      </c>
      <c r="B126" t="s">
        <v>122</v>
      </c>
      <c r="C126">
        <v>2017</v>
      </c>
      <c r="D126">
        <v>1</v>
      </c>
      <c r="E126" t="s">
        <v>51</v>
      </c>
      <c r="F126" t="s">
        <v>449</v>
      </c>
      <c r="G126" t="s">
        <v>84</v>
      </c>
      <c r="H126" t="s">
        <v>59</v>
      </c>
      <c r="I126" t="s">
        <v>427</v>
      </c>
      <c r="J126">
        <v>-3.05934565</v>
      </c>
      <c r="K126" t="s">
        <v>440</v>
      </c>
      <c r="L126" t="s">
        <v>451</v>
      </c>
      <c r="M126">
        <v>1.7625750762999999E-3</v>
      </c>
      <c r="N126">
        <v>5.3923263889753426E-3</v>
      </c>
      <c r="O126">
        <v>29976.978999999999</v>
      </c>
      <c r="P126">
        <v>1.6679465999999999E-5</v>
      </c>
      <c r="Q126">
        <v>1</v>
      </c>
      <c r="R126" s="61">
        <v>5.3923263889753426E-3</v>
      </c>
      <c r="S126" t="s">
        <v>336</v>
      </c>
      <c r="T126" t="s">
        <v>433</v>
      </c>
      <c r="U126" t="s">
        <v>425</v>
      </c>
      <c r="V126" t="s">
        <v>91</v>
      </c>
      <c r="W126">
        <v>111.133</v>
      </c>
      <c r="X126">
        <v>0.99819678194932504</v>
      </c>
      <c r="Y126">
        <v>110.9326029683743</v>
      </c>
      <c r="Z126">
        <v>682.07</v>
      </c>
      <c r="AA126">
        <v>1</v>
      </c>
      <c r="AB126">
        <v>75.663800506639092</v>
      </c>
      <c r="AC126">
        <v>1.0269999999999999</v>
      </c>
      <c r="AD126" s="63">
        <v>77.706999999999994</v>
      </c>
      <c r="AE126">
        <v>8.9176000000000002</v>
      </c>
      <c r="AF126">
        <v>8.9015196227113016</v>
      </c>
      <c r="AG126">
        <v>1</v>
      </c>
      <c r="AH126">
        <v>6071.4594890626977</v>
      </c>
      <c r="AI126">
        <v>0.98496680983990625</v>
      </c>
      <c r="AJ126" s="63">
        <v>5980.1860999999999</v>
      </c>
      <c r="AK126" s="61">
        <v>32.247115318013527</v>
      </c>
      <c r="AL126" t="s">
        <v>339</v>
      </c>
      <c r="AM126" t="s">
        <v>433</v>
      </c>
      <c r="AN126" t="s">
        <v>425</v>
      </c>
      <c r="AO126" t="s">
        <v>91</v>
      </c>
      <c r="AP126">
        <v>111.133</v>
      </c>
      <c r="AQ126">
        <v>1.0062587218588701</v>
      </c>
      <c r="AR126">
        <v>111.82855053634179</v>
      </c>
      <c r="AS126">
        <v>663.92</v>
      </c>
      <c r="AT126">
        <v>1</v>
      </c>
      <c r="AU126">
        <v>74.245211272088028</v>
      </c>
      <c r="AV126">
        <v>1.0269999999999999</v>
      </c>
      <c r="AW126" s="63">
        <v>76.25</v>
      </c>
      <c r="AX126">
        <v>8.9176000000000002</v>
      </c>
      <c r="AY126">
        <v>1</v>
      </c>
      <c r="AZ126">
        <v>5957.6282116020648</v>
      </c>
      <c r="BA126">
        <v>0.98496680983990625</v>
      </c>
      <c r="BB126" s="63">
        <v>5868.0661</v>
      </c>
      <c r="BC126" s="61">
        <v>31.642527683281621</v>
      </c>
    </row>
    <row r="127" spans="1:55" x14ac:dyDescent="0.25">
      <c r="A127">
        <v>12244</v>
      </c>
      <c r="B127" t="s">
        <v>122</v>
      </c>
      <c r="C127">
        <v>2017</v>
      </c>
      <c r="D127">
        <v>1</v>
      </c>
      <c r="E127" t="s">
        <v>51</v>
      </c>
      <c r="F127" t="s">
        <v>449</v>
      </c>
      <c r="G127" t="s">
        <v>84</v>
      </c>
      <c r="H127" t="s">
        <v>59</v>
      </c>
      <c r="I127" t="s">
        <v>427</v>
      </c>
      <c r="J127">
        <v>-3.05934565</v>
      </c>
      <c r="K127" t="s">
        <v>440</v>
      </c>
      <c r="L127" t="s">
        <v>452</v>
      </c>
      <c r="M127">
        <v>1.4858046103299999E-3</v>
      </c>
      <c r="N127">
        <v>4.5455898684113741E-3</v>
      </c>
      <c r="O127">
        <v>29976.978999999999</v>
      </c>
      <c r="P127">
        <v>1.6679465999999999E-5</v>
      </c>
      <c r="Q127">
        <v>1</v>
      </c>
      <c r="R127" s="61">
        <v>4.5455898684113741E-3</v>
      </c>
      <c r="S127" t="s">
        <v>336</v>
      </c>
      <c r="T127" t="s">
        <v>433</v>
      </c>
      <c r="U127" t="s">
        <v>425</v>
      </c>
      <c r="V127" t="s">
        <v>28</v>
      </c>
      <c r="W127">
        <v>111.133</v>
      </c>
      <c r="X127">
        <v>0.99819678194932504</v>
      </c>
      <c r="Y127">
        <v>110.9326029683743</v>
      </c>
      <c r="Z127">
        <v>682.07</v>
      </c>
      <c r="AA127">
        <v>1</v>
      </c>
      <c r="AB127">
        <v>75.663800506639092</v>
      </c>
      <c r="AC127">
        <v>1.0196000000000001</v>
      </c>
      <c r="AD127" s="63">
        <v>77.147000000000006</v>
      </c>
      <c r="AE127">
        <v>8.9176000000000002</v>
      </c>
      <c r="AF127">
        <v>8.9015196227113016</v>
      </c>
      <c r="AG127">
        <v>1</v>
      </c>
      <c r="AH127">
        <v>6071.4594890626977</v>
      </c>
      <c r="AI127">
        <v>0.97991730655640863</v>
      </c>
      <c r="AJ127" s="63">
        <v>5949.5281999999997</v>
      </c>
      <c r="AK127" s="61">
        <v>27.044115107747761</v>
      </c>
      <c r="AL127" t="s">
        <v>339</v>
      </c>
      <c r="AM127" t="s">
        <v>433</v>
      </c>
      <c r="AN127" t="s">
        <v>425</v>
      </c>
      <c r="AO127" t="s">
        <v>28</v>
      </c>
      <c r="AP127">
        <v>111.133</v>
      </c>
      <c r="AQ127">
        <v>1.0062587218588701</v>
      </c>
      <c r="AR127">
        <v>111.82855053634179</v>
      </c>
      <c r="AS127">
        <v>663.92</v>
      </c>
      <c r="AT127">
        <v>1</v>
      </c>
      <c r="AU127">
        <v>74.245211272088028</v>
      </c>
      <c r="AV127">
        <v>1.0196000000000001</v>
      </c>
      <c r="AW127" s="63">
        <v>75.7</v>
      </c>
      <c r="AX127">
        <v>8.9176000000000002</v>
      </c>
      <c r="AY127">
        <v>1</v>
      </c>
      <c r="AZ127">
        <v>5957.6282116020648</v>
      </c>
      <c r="BA127">
        <v>0.97991730655640863</v>
      </c>
      <c r="BB127" s="63">
        <v>5837.9830000000002</v>
      </c>
      <c r="BC127" s="61">
        <v>26.537076376757842</v>
      </c>
    </row>
    <row r="128" spans="1:55" x14ac:dyDescent="0.25">
      <c r="A128">
        <v>14559</v>
      </c>
      <c r="B128" t="s">
        <v>124</v>
      </c>
      <c r="C128">
        <v>2017</v>
      </c>
      <c r="D128">
        <v>2</v>
      </c>
      <c r="E128" t="s">
        <v>51</v>
      </c>
      <c r="F128" t="s">
        <v>449</v>
      </c>
      <c r="G128" t="s">
        <v>84</v>
      </c>
      <c r="H128" t="s">
        <v>381</v>
      </c>
      <c r="I128" t="s">
        <v>427</v>
      </c>
      <c r="J128">
        <v>-5.1063884000000002</v>
      </c>
      <c r="K128" t="s">
        <v>440</v>
      </c>
      <c r="L128" t="s">
        <v>450</v>
      </c>
      <c r="M128">
        <v>0.15011157993331001</v>
      </c>
      <c r="N128">
        <v>0.76652802980938972</v>
      </c>
      <c r="O128">
        <v>29976.978999999999</v>
      </c>
      <c r="P128">
        <v>1.6679465999999999E-5</v>
      </c>
      <c r="Q128">
        <v>1</v>
      </c>
      <c r="R128" s="61">
        <v>0.76652802980938972</v>
      </c>
      <c r="S128" t="s">
        <v>336</v>
      </c>
      <c r="T128" t="s">
        <v>433</v>
      </c>
      <c r="U128" t="s">
        <v>425</v>
      </c>
      <c r="V128" t="s">
        <v>26</v>
      </c>
      <c r="W128">
        <v>111.133</v>
      </c>
      <c r="X128">
        <v>0.99819678194932504</v>
      </c>
      <c r="Y128">
        <v>110.9326029683743</v>
      </c>
      <c r="Z128">
        <v>682.07</v>
      </c>
      <c r="AA128">
        <v>1</v>
      </c>
      <c r="AB128">
        <v>75.663800506639092</v>
      </c>
      <c r="AC128">
        <v>1.0178</v>
      </c>
      <c r="AD128" s="63">
        <v>77.010999999999996</v>
      </c>
      <c r="AE128">
        <v>8.9176000000000002</v>
      </c>
      <c r="AF128">
        <v>8.9015196227113016</v>
      </c>
      <c r="AG128">
        <v>1</v>
      </c>
      <c r="AH128">
        <v>6071.4594890626977</v>
      </c>
      <c r="AI128">
        <v>1.0020831266739409</v>
      </c>
      <c r="AJ128" s="63">
        <v>6084.1071000000002</v>
      </c>
      <c r="AK128" s="61">
        <v>4663.6386285123199</v>
      </c>
      <c r="AL128" t="s">
        <v>339</v>
      </c>
      <c r="AM128" t="s">
        <v>433</v>
      </c>
      <c r="AN128" t="s">
        <v>425</v>
      </c>
      <c r="AO128" t="s">
        <v>26</v>
      </c>
      <c r="AP128">
        <v>111.133</v>
      </c>
      <c r="AQ128">
        <v>1.0062587218588701</v>
      </c>
      <c r="AR128">
        <v>111.82855053634179</v>
      </c>
      <c r="AS128">
        <v>663.92</v>
      </c>
      <c r="AT128">
        <v>1</v>
      </c>
      <c r="AU128">
        <v>74.245211272088028</v>
      </c>
      <c r="AV128">
        <v>1.0178</v>
      </c>
      <c r="AW128" s="63">
        <v>75.566999999999993</v>
      </c>
      <c r="AX128">
        <v>8.9176000000000002</v>
      </c>
      <c r="AY128">
        <v>1</v>
      </c>
      <c r="AZ128">
        <v>5957.6282116020648</v>
      </c>
      <c r="BA128">
        <v>1.0020831266739409</v>
      </c>
      <c r="BB128" s="63">
        <v>5970.0387000000001</v>
      </c>
      <c r="BC128" s="61">
        <v>4576.2020025968104</v>
      </c>
    </row>
    <row r="129" spans="1:55" x14ac:dyDescent="0.25">
      <c r="A129">
        <v>14560</v>
      </c>
      <c r="B129" t="s">
        <v>124</v>
      </c>
      <c r="C129">
        <v>2017</v>
      </c>
      <c r="D129">
        <v>2</v>
      </c>
      <c r="E129" t="s">
        <v>51</v>
      </c>
      <c r="F129" t="s">
        <v>449</v>
      </c>
      <c r="G129" t="s">
        <v>84</v>
      </c>
      <c r="H129" t="s">
        <v>381</v>
      </c>
      <c r="I129" t="s">
        <v>427</v>
      </c>
      <c r="J129">
        <v>-5.1063884000000002</v>
      </c>
      <c r="K129" t="s">
        <v>440</v>
      </c>
      <c r="L129" t="s">
        <v>384</v>
      </c>
      <c r="M129">
        <v>4.5811354346740003E-2</v>
      </c>
      <c r="N129">
        <v>0.2339305682207013</v>
      </c>
      <c r="O129">
        <v>29976.978999999999</v>
      </c>
      <c r="P129">
        <v>1.6679465999999999E-5</v>
      </c>
      <c r="Q129">
        <v>1</v>
      </c>
      <c r="R129" s="61">
        <v>0.2339305682207013</v>
      </c>
      <c r="S129" t="s">
        <v>336</v>
      </c>
      <c r="T129" t="s">
        <v>433</v>
      </c>
      <c r="U129" t="s">
        <v>425</v>
      </c>
      <c r="V129" t="s">
        <v>81</v>
      </c>
      <c r="W129">
        <v>111.133</v>
      </c>
      <c r="X129">
        <v>0.99819678194932504</v>
      </c>
      <c r="Y129">
        <v>110.9326029683743</v>
      </c>
      <c r="Z129">
        <v>682.07</v>
      </c>
      <c r="AA129">
        <v>1</v>
      </c>
      <c r="AB129">
        <v>75.663800506639092</v>
      </c>
      <c r="AC129">
        <v>0.92979999999999996</v>
      </c>
      <c r="AD129" s="63">
        <v>70.352000000000004</v>
      </c>
      <c r="AE129">
        <v>8.9176000000000002</v>
      </c>
      <c r="AF129">
        <v>8.9015196227113016</v>
      </c>
      <c r="AG129">
        <v>1</v>
      </c>
      <c r="AH129">
        <v>6071.4594890626977</v>
      </c>
      <c r="AI129">
        <v>1.0375922509225091</v>
      </c>
      <c r="AJ129" s="63">
        <v>6299.6993000000002</v>
      </c>
      <c r="AK129" s="61">
        <v>1473.6922368685539</v>
      </c>
      <c r="AL129" t="s">
        <v>339</v>
      </c>
      <c r="AM129" t="s">
        <v>433</v>
      </c>
      <c r="AN129" t="s">
        <v>425</v>
      </c>
      <c r="AO129" t="s">
        <v>81</v>
      </c>
      <c r="AP129">
        <v>111.133</v>
      </c>
      <c r="AQ129">
        <v>1.0062587218588701</v>
      </c>
      <c r="AR129">
        <v>111.82855053634179</v>
      </c>
      <c r="AS129">
        <v>663.92</v>
      </c>
      <c r="AT129">
        <v>1</v>
      </c>
      <c r="AU129">
        <v>74.245211272088028</v>
      </c>
      <c r="AV129">
        <v>0.92979999999999996</v>
      </c>
      <c r="AW129" s="63">
        <v>69.033000000000001</v>
      </c>
      <c r="AX129">
        <v>8.9176000000000002</v>
      </c>
      <c r="AY129">
        <v>1</v>
      </c>
      <c r="AZ129">
        <v>5957.6282116020648</v>
      </c>
      <c r="BA129">
        <v>1.0375922509225091</v>
      </c>
      <c r="BB129" s="63">
        <v>6181.5888999999997</v>
      </c>
      <c r="BC129" s="61">
        <v>1446.06260388378</v>
      </c>
    </row>
    <row r="130" spans="1:55" x14ac:dyDescent="0.25">
      <c r="A130">
        <v>14561</v>
      </c>
      <c r="B130" t="s">
        <v>124</v>
      </c>
      <c r="C130">
        <v>2017</v>
      </c>
      <c r="D130">
        <v>2</v>
      </c>
      <c r="E130" t="s">
        <v>51</v>
      </c>
      <c r="F130" t="s">
        <v>449</v>
      </c>
      <c r="G130" t="s">
        <v>84</v>
      </c>
      <c r="H130" t="s">
        <v>381</v>
      </c>
      <c r="I130" t="s">
        <v>427</v>
      </c>
      <c r="J130">
        <v>-5.1063884000000002</v>
      </c>
      <c r="K130" t="s">
        <v>440</v>
      </c>
      <c r="L130" t="s">
        <v>385</v>
      </c>
      <c r="M130">
        <v>0.43232641346992001</v>
      </c>
      <c r="N130">
        <v>2.2076265808332969</v>
      </c>
      <c r="O130">
        <v>29976.978999999999</v>
      </c>
      <c r="P130">
        <v>1.6679465999999999E-5</v>
      </c>
      <c r="Q130">
        <v>1</v>
      </c>
      <c r="R130" s="61">
        <v>2.2076265808332969</v>
      </c>
      <c r="S130" t="s">
        <v>336</v>
      </c>
      <c r="T130" t="s">
        <v>433</v>
      </c>
      <c r="U130" t="s">
        <v>425</v>
      </c>
      <c r="V130" t="s">
        <v>27</v>
      </c>
      <c r="W130">
        <v>111.133</v>
      </c>
      <c r="X130">
        <v>0.99819678194932504</v>
      </c>
      <c r="Y130">
        <v>110.9326029683743</v>
      </c>
      <c r="Z130">
        <v>682.07</v>
      </c>
      <c r="AA130">
        <v>1</v>
      </c>
      <c r="AB130">
        <v>75.663800506639092</v>
      </c>
      <c r="AC130">
        <v>0.99739999999999995</v>
      </c>
      <c r="AD130" s="63">
        <v>75.466999999999999</v>
      </c>
      <c r="AE130">
        <v>8.9176000000000002</v>
      </c>
      <c r="AF130">
        <v>8.9015196227113016</v>
      </c>
      <c r="AG130">
        <v>1</v>
      </c>
      <c r="AH130">
        <v>6071.4594890626977</v>
      </c>
      <c r="AI130">
        <v>1.0108695652173909</v>
      </c>
      <c r="AJ130" s="63">
        <v>6137.4535999999998</v>
      </c>
      <c r="AK130" s="61">
        <v>13549.205705991009</v>
      </c>
      <c r="AL130" t="s">
        <v>339</v>
      </c>
      <c r="AM130" t="s">
        <v>433</v>
      </c>
      <c r="AN130" t="s">
        <v>425</v>
      </c>
      <c r="AO130" t="s">
        <v>27</v>
      </c>
      <c r="AP130">
        <v>111.133</v>
      </c>
      <c r="AQ130">
        <v>1.0062587218588701</v>
      </c>
      <c r="AR130">
        <v>111.82855053634179</v>
      </c>
      <c r="AS130">
        <v>663.92</v>
      </c>
      <c r="AT130">
        <v>1</v>
      </c>
      <c r="AU130">
        <v>74.245211272088028</v>
      </c>
      <c r="AV130">
        <v>0.99739999999999995</v>
      </c>
      <c r="AW130" s="63">
        <v>74.052000000000007</v>
      </c>
      <c r="AX130">
        <v>8.9176000000000002</v>
      </c>
      <c r="AY130">
        <v>1</v>
      </c>
      <c r="AZ130">
        <v>5957.6282116020648</v>
      </c>
      <c r="BA130">
        <v>1.0108695652173909</v>
      </c>
      <c r="BB130" s="63">
        <v>6022.3850000000002</v>
      </c>
      <c r="BC130" s="61">
        <v>13295.17720601174</v>
      </c>
    </row>
    <row r="131" spans="1:55" x14ac:dyDescent="0.25">
      <c r="A131">
        <v>14562</v>
      </c>
      <c r="B131" t="s">
        <v>124</v>
      </c>
      <c r="C131">
        <v>2017</v>
      </c>
      <c r="D131">
        <v>2</v>
      </c>
      <c r="E131" t="s">
        <v>51</v>
      </c>
      <c r="F131" t="s">
        <v>449</v>
      </c>
      <c r="G131" t="s">
        <v>84</v>
      </c>
      <c r="H131" t="s">
        <v>381</v>
      </c>
      <c r="I131" t="s">
        <v>427</v>
      </c>
      <c r="J131">
        <v>-5.1063884000000002</v>
      </c>
      <c r="K131" t="s">
        <v>440</v>
      </c>
      <c r="L131" t="s">
        <v>451</v>
      </c>
      <c r="M131">
        <v>1.6825115802299999E-3</v>
      </c>
      <c r="N131">
        <v>8.591557608667871E-3</v>
      </c>
      <c r="O131">
        <v>29976.978999999999</v>
      </c>
      <c r="P131">
        <v>1.6679465999999999E-5</v>
      </c>
      <c r="Q131">
        <v>1</v>
      </c>
      <c r="R131" s="61">
        <v>8.591557608667871E-3</v>
      </c>
      <c r="S131" t="s">
        <v>336</v>
      </c>
      <c r="T131" t="s">
        <v>433</v>
      </c>
      <c r="U131" t="s">
        <v>425</v>
      </c>
      <c r="V131" t="s">
        <v>91</v>
      </c>
      <c r="W131">
        <v>111.133</v>
      </c>
      <c r="X131">
        <v>0.99819678194932504</v>
      </c>
      <c r="Y131">
        <v>110.9326029683743</v>
      </c>
      <c r="Z131">
        <v>682.07</v>
      </c>
      <c r="AA131">
        <v>1</v>
      </c>
      <c r="AB131">
        <v>75.663800506639092</v>
      </c>
      <c r="AC131">
        <v>1.0269999999999999</v>
      </c>
      <c r="AD131" s="63">
        <v>77.706999999999994</v>
      </c>
      <c r="AE131">
        <v>8.9176000000000002</v>
      </c>
      <c r="AF131">
        <v>8.9015196227113016</v>
      </c>
      <c r="AG131">
        <v>1</v>
      </c>
      <c r="AH131">
        <v>6071.4594890626977</v>
      </c>
      <c r="AI131">
        <v>0.98496680983990625</v>
      </c>
      <c r="AJ131" s="63">
        <v>5980.1860999999999</v>
      </c>
      <c r="AK131" s="61">
        <v>51.379113388704837</v>
      </c>
      <c r="AL131" t="s">
        <v>339</v>
      </c>
      <c r="AM131" t="s">
        <v>433</v>
      </c>
      <c r="AN131" t="s">
        <v>425</v>
      </c>
      <c r="AO131" t="s">
        <v>91</v>
      </c>
      <c r="AP131">
        <v>111.133</v>
      </c>
      <c r="AQ131">
        <v>1.0062587218588701</v>
      </c>
      <c r="AR131">
        <v>111.82855053634179</v>
      </c>
      <c r="AS131">
        <v>663.92</v>
      </c>
      <c r="AT131">
        <v>1</v>
      </c>
      <c r="AU131">
        <v>74.245211272088028</v>
      </c>
      <c r="AV131">
        <v>1.0269999999999999</v>
      </c>
      <c r="AW131" s="63">
        <v>76.25</v>
      </c>
      <c r="AX131">
        <v>8.9176000000000002</v>
      </c>
      <c r="AY131">
        <v>1</v>
      </c>
      <c r="AZ131">
        <v>5957.6282116020648</v>
      </c>
      <c r="BA131">
        <v>0.98496680983990625</v>
      </c>
      <c r="BB131" s="63">
        <v>5868.0661</v>
      </c>
      <c r="BC131" s="61">
        <v>50.415827949620997</v>
      </c>
    </row>
    <row r="132" spans="1:55" x14ac:dyDescent="0.25">
      <c r="A132">
        <v>14563</v>
      </c>
      <c r="B132" t="s">
        <v>124</v>
      </c>
      <c r="C132">
        <v>2017</v>
      </c>
      <c r="D132">
        <v>2</v>
      </c>
      <c r="E132" t="s">
        <v>51</v>
      </c>
      <c r="F132" t="s">
        <v>449</v>
      </c>
      <c r="G132" t="s">
        <v>84</v>
      </c>
      <c r="H132" t="s">
        <v>381</v>
      </c>
      <c r="I132" t="s">
        <v>427</v>
      </c>
      <c r="J132">
        <v>-5.1063884000000002</v>
      </c>
      <c r="K132" t="s">
        <v>440</v>
      </c>
      <c r="L132" t="s">
        <v>452</v>
      </c>
      <c r="M132">
        <v>1.53682162831E-3</v>
      </c>
      <c r="N132">
        <v>7.8476081288350943E-3</v>
      </c>
      <c r="O132">
        <v>29976.978999999999</v>
      </c>
      <c r="P132">
        <v>1.6679465999999999E-5</v>
      </c>
      <c r="Q132">
        <v>1</v>
      </c>
      <c r="R132" s="61">
        <v>7.8476081288350943E-3</v>
      </c>
      <c r="S132" t="s">
        <v>336</v>
      </c>
      <c r="T132" t="s">
        <v>433</v>
      </c>
      <c r="U132" t="s">
        <v>425</v>
      </c>
      <c r="V132" t="s">
        <v>28</v>
      </c>
      <c r="W132">
        <v>111.133</v>
      </c>
      <c r="X132">
        <v>0.99819678194932504</v>
      </c>
      <c r="Y132">
        <v>110.9326029683743</v>
      </c>
      <c r="Z132">
        <v>682.07</v>
      </c>
      <c r="AA132">
        <v>1</v>
      </c>
      <c r="AB132">
        <v>75.663800506639092</v>
      </c>
      <c r="AC132">
        <v>1.0196000000000001</v>
      </c>
      <c r="AD132" s="63">
        <v>77.147000000000006</v>
      </c>
      <c r="AE132">
        <v>8.9176000000000002</v>
      </c>
      <c r="AF132">
        <v>8.9015196227113016</v>
      </c>
      <c r="AG132">
        <v>1</v>
      </c>
      <c r="AH132">
        <v>6071.4594890626977</v>
      </c>
      <c r="AI132">
        <v>0.97991730655640863</v>
      </c>
      <c r="AJ132" s="63">
        <v>5949.5281999999997</v>
      </c>
      <c r="AK132" s="61">
        <v>46.689565865053623</v>
      </c>
      <c r="AL132" t="s">
        <v>339</v>
      </c>
      <c r="AM132" t="s">
        <v>433</v>
      </c>
      <c r="AN132" t="s">
        <v>425</v>
      </c>
      <c r="AO132" t="s">
        <v>28</v>
      </c>
      <c r="AP132">
        <v>111.133</v>
      </c>
      <c r="AQ132">
        <v>1.0062587218588701</v>
      </c>
      <c r="AR132">
        <v>111.82855053634179</v>
      </c>
      <c r="AS132">
        <v>663.92</v>
      </c>
      <c r="AT132">
        <v>1</v>
      </c>
      <c r="AU132">
        <v>74.245211272088028</v>
      </c>
      <c r="AV132">
        <v>1.0196000000000001</v>
      </c>
      <c r="AW132" s="63">
        <v>75.7</v>
      </c>
      <c r="AX132">
        <v>8.9176000000000002</v>
      </c>
      <c r="AY132">
        <v>1</v>
      </c>
      <c r="AZ132">
        <v>5957.6282116020648</v>
      </c>
      <c r="BA132">
        <v>0.97991730655640863</v>
      </c>
      <c r="BB132" s="63">
        <v>5837.9830000000002</v>
      </c>
      <c r="BC132" s="61">
        <v>45.814202846801088</v>
      </c>
    </row>
    <row r="133" spans="1:55" x14ac:dyDescent="0.25">
      <c r="A133">
        <v>14564</v>
      </c>
      <c r="B133" t="s">
        <v>124</v>
      </c>
      <c r="C133">
        <v>2017</v>
      </c>
      <c r="D133">
        <v>2</v>
      </c>
      <c r="E133" t="s">
        <v>51</v>
      </c>
      <c r="F133" t="s">
        <v>449</v>
      </c>
      <c r="G133" t="s">
        <v>84</v>
      </c>
      <c r="H133" t="s">
        <v>87</v>
      </c>
      <c r="I133" t="s">
        <v>427</v>
      </c>
      <c r="J133">
        <v>-1.0503197799999999</v>
      </c>
      <c r="K133" t="s">
        <v>440</v>
      </c>
      <c r="L133" t="s">
        <v>450</v>
      </c>
      <c r="M133">
        <v>0.26601384014995</v>
      </c>
      <c r="N133">
        <v>0.27939959737670861</v>
      </c>
      <c r="O133">
        <v>29976.978999999999</v>
      </c>
      <c r="P133">
        <v>1.6679465999999999E-5</v>
      </c>
      <c r="Q133">
        <v>1</v>
      </c>
      <c r="R133" s="61">
        <v>0.27939959737670861</v>
      </c>
      <c r="S133" t="s">
        <v>336</v>
      </c>
      <c r="T133" t="s">
        <v>433</v>
      </c>
      <c r="U133" t="s">
        <v>425</v>
      </c>
      <c r="V133" t="s">
        <v>26</v>
      </c>
      <c r="W133">
        <v>111.133</v>
      </c>
      <c r="X133">
        <v>0.99819678194932504</v>
      </c>
      <c r="Y133">
        <v>110.9326029683743</v>
      </c>
      <c r="Z133">
        <v>682.07</v>
      </c>
      <c r="AA133">
        <v>1</v>
      </c>
      <c r="AB133">
        <v>75.663800506639092</v>
      </c>
      <c r="AC133">
        <v>1.0178</v>
      </c>
      <c r="AD133" s="63">
        <v>77.010999999999996</v>
      </c>
      <c r="AE133">
        <v>8.9176000000000002</v>
      </c>
      <c r="AF133">
        <v>8.9015196227113016</v>
      </c>
      <c r="AG133">
        <v>1</v>
      </c>
      <c r="AH133">
        <v>6071.4594890626977</v>
      </c>
      <c r="AI133">
        <v>1.0020831266739409</v>
      </c>
      <c r="AJ133" s="63">
        <v>6084.1071000000002</v>
      </c>
      <c r="AK133" s="61">
        <v>1699.8970741367741</v>
      </c>
      <c r="AL133" t="s">
        <v>339</v>
      </c>
      <c r="AM133" t="s">
        <v>433</v>
      </c>
      <c r="AN133" t="s">
        <v>425</v>
      </c>
      <c r="AO133" t="s">
        <v>26</v>
      </c>
      <c r="AP133">
        <v>111.133</v>
      </c>
      <c r="AQ133">
        <v>1.0062587218588701</v>
      </c>
      <c r="AR133">
        <v>111.82855053634179</v>
      </c>
      <c r="AS133">
        <v>663.92</v>
      </c>
      <c r="AT133">
        <v>1</v>
      </c>
      <c r="AU133">
        <v>74.245211272088028</v>
      </c>
      <c r="AV133">
        <v>1.0178</v>
      </c>
      <c r="AW133" s="63">
        <v>75.566999999999993</v>
      </c>
      <c r="AX133">
        <v>8.9176000000000002</v>
      </c>
      <c r="AY133">
        <v>1</v>
      </c>
      <c r="AZ133">
        <v>5957.6282116020648</v>
      </c>
      <c r="BA133">
        <v>1.0020831266739409</v>
      </c>
      <c r="BB133" s="63">
        <v>5970.0387000000001</v>
      </c>
      <c r="BC133" s="61">
        <v>1668.026409103368</v>
      </c>
    </row>
    <row r="134" spans="1:55" x14ac:dyDescent="0.25">
      <c r="A134">
        <v>14565</v>
      </c>
      <c r="B134" t="s">
        <v>124</v>
      </c>
      <c r="C134">
        <v>2017</v>
      </c>
      <c r="D134">
        <v>2</v>
      </c>
      <c r="E134" t="s">
        <v>51</v>
      </c>
      <c r="F134" t="s">
        <v>449</v>
      </c>
      <c r="G134" t="s">
        <v>84</v>
      </c>
      <c r="H134" t="s">
        <v>87</v>
      </c>
      <c r="I134" t="s">
        <v>427</v>
      </c>
      <c r="J134">
        <v>-1.0503197799999999</v>
      </c>
      <c r="K134" t="s">
        <v>440</v>
      </c>
      <c r="L134" t="s">
        <v>384</v>
      </c>
      <c r="M134">
        <v>3.9509559941419997E-2</v>
      </c>
      <c r="N134">
        <v>4.1497672203600781E-2</v>
      </c>
      <c r="O134">
        <v>29976.978999999999</v>
      </c>
      <c r="P134">
        <v>1.6679465999999999E-5</v>
      </c>
      <c r="Q134">
        <v>1</v>
      </c>
      <c r="R134" s="61">
        <v>4.1497672203600781E-2</v>
      </c>
      <c r="S134" t="s">
        <v>336</v>
      </c>
      <c r="T134" t="s">
        <v>433</v>
      </c>
      <c r="U134" t="s">
        <v>425</v>
      </c>
      <c r="V134" t="s">
        <v>81</v>
      </c>
      <c r="W134">
        <v>111.133</v>
      </c>
      <c r="X134">
        <v>0.99819678194932504</v>
      </c>
      <c r="Y134">
        <v>110.9326029683743</v>
      </c>
      <c r="Z134">
        <v>682.07</v>
      </c>
      <c r="AA134">
        <v>1</v>
      </c>
      <c r="AB134">
        <v>75.663800506639092</v>
      </c>
      <c r="AC134">
        <v>0.92979999999999996</v>
      </c>
      <c r="AD134" s="63">
        <v>70.352000000000004</v>
      </c>
      <c r="AE134">
        <v>8.9176000000000002</v>
      </c>
      <c r="AF134">
        <v>8.9015196227113016</v>
      </c>
      <c r="AG134">
        <v>1</v>
      </c>
      <c r="AH134">
        <v>6071.4594890626977</v>
      </c>
      <c r="AI134">
        <v>1.0375922509225091</v>
      </c>
      <c r="AJ134" s="63">
        <v>6299.6993000000002</v>
      </c>
      <c r="AK134" s="61">
        <v>261.42285653265333</v>
      </c>
      <c r="AL134" t="s">
        <v>339</v>
      </c>
      <c r="AM134" t="s">
        <v>433</v>
      </c>
      <c r="AN134" t="s">
        <v>425</v>
      </c>
      <c r="AO134" t="s">
        <v>81</v>
      </c>
      <c r="AP134">
        <v>111.133</v>
      </c>
      <c r="AQ134">
        <v>1.0062587218588701</v>
      </c>
      <c r="AR134">
        <v>111.82855053634179</v>
      </c>
      <c r="AS134">
        <v>663.92</v>
      </c>
      <c r="AT134">
        <v>1</v>
      </c>
      <c r="AU134">
        <v>74.245211272088028</v>
      </c>
      <c r="AV134">
        <v>0.92979999999999996</v>
      </c>
      <c r="AW134" s="63">
        <v>69.033000000000001</v>
      </c>
      <c r="AX134">
        <v>8.9176000000000002</v>
      </c>
      <c r="AY134">
        <v>1</v>
      </c>
      <c r="AZ134">
        <v>5957.6282116020648</v>
      </c>
      <c r="BA134">
        <v>1.0375922509225091</v>
      </c>
      <c r="BB134" s="63">
        <v>6181.5888999999997</v>
      </c>
      <c r="BC134" s="61">
        <v>256.5215498696171</v>
      </c>
    </row>
    <row r="135" spans="1:55" x14ac:dyDescent="0.25">
      <c r="A135">
        <v>14566</v>
      </c>
      <c r="B135" t="s">
        <v>124</v>
      </c>
      <c r="C135">
        <v>2017</v>
      </c>
      <c r="D135">
        <v>2</v>
      </c>
      <c r="E135" t="s">
        <v>51</v>
      </c>
      <c r="F135" t="s">
        <v>449</v>
      </c>
      <c r="G135" t="s">
        <v>84</v>
      </c>
      <c r="H135" t="s">
        <v>87</v>
      </c>
      <c r="I135" t="s">
        <v>427</v>
      </c>
      <c r="J135">
        <v>-1.0503197799999999</v>
      </c>
      <c r="K135" t="s">
        <v>440</v>
      </c>
      <c r="L135" t="s">
        <v>385</v>
      </c>
      <c r="M135">
        <v>0.39737542925016001</v>
      </c>
      <c r="N135">
        <v>0.41737127240186689</v>
      </c>
      <c r="O135">
        <v>29976.978999999999</v>
      </c>
      <c r="P135">
        <v>1.6679465999999999E-5</v>
      </c>
      <c r="Q135">
        <v>1</v>
      </c>
      <c r="R135" s="61">
        <v>0.41737127240186689</v>
      </c>
      <c r="S135" t="s">
        <v>336</v>
      </c>
      <c r="T135" t="s">
        <v>433</v>
      </c>
      <c r="U135" t="s">
        <v>425</v>
      </c>
      <c r="V135" t="s">
        <v>27</v>
      </c>
      <c r="W135">
        <v>111.133</v>
      </c>
      <c r="X135">
        <v>0.99819678194932504</v>
      </c>
      <c r="Y135">
        <v>110.9326029683743</v>
      </c>
      <c r="Z135">
        <v>682.07</v>
      </c>
      <c r="AA135">
        <v>1</v>
      </c>
      <c r="AB135">
        <v>75.663800506639092</v>
      </c>
      <c r="AC135">
        <v>0.99739999999999995</v>
      </c>
      <c r="AD135" s="63">
        <v>75.466999999999999</v>
      </c>
      <c r="AE135">
        <v>8.9176000000000002</v>
      </c>
      <c r="AF135">
        <v>8.9015196227113016</v>
      </c>
      <c r="AG135">
        <v>1</v>
      </c>
      <c r="AH135">
        <v>6071.4594890626977</v>
      </c>
      <c r="AI135">
        <v>1.0108695652173909</v>
      </c>
      <c r="AJ135" s="63">
        <v>6137.4535999999998</v>
      </c>
      <c r="AK135" s="61">
        <v>2561.596818339418</v>
      </c>
      <c r="AL135" t="s">
        <v>339</v>
      </c>
      <c r="AM135" t="s">
        <v>433</v>
      </c>
      <c r="AN135" t="s">
        <v>425</v>
      </c>
      <c r="AO135" t="s">
        <v>27</v>
      </c>
      <c r="AP135">
        <v>111.133</v>
      </c>
      <c r="AQ135">
        <v>1.0062587218588701</v>
      </c>
      <c r="AR135">
        <v>111.82855053634179</v>
      </c>
      <c r="AS135">
        <v>663.92</v>
      </c>
      <c r="AT135">
        <v>1</v>
      </c>
      <c r="AU135">
        <v>74.245211272088028</v>
      </c>
      <c r="AV135">
        <v>0.99739999999999995</v>
      </c>
      <c r="AW135" s="63">
        <v>74.052000000000007</v>
      </c>
      <c r="AX135">
        <v>8.9176000000000002</v>
      </c>
      <c r="AY135">
        <v>1</v>
      </c>
      <c r="AZ135">
        <v>5957.6282116020648</v>
      </c>
      <c r="BA135">
        <v>1.0108695652173909</v>
      </c>
      <c r="BB135" s="63">
        <v>6022.3850000000002</v>
      </c>
      <c r="BC135" s="61">
        <v>2513.5704903439168</v>
      </c>
    </row>
    <row r="136" spans="1:55" x14ac:dyDescent="0.25">
      <c r="A136">
        <v>14567</v>
      </c>
      <c r="B136" t="s">
        <v>124</v>
      </c>
      <c r="C136">
        <v>2017</v>
      </c>
      <c r="D136">
        <v>2</v>
      </c>
      <c r="E136" t="s">
        <v>51</v>
      </c>
      <c r="F136" t="s">
        <v>449</v>
      </c>
      <c r="G136" t="s">
        <v>84</v>
      </c>
      <c r="H136" t="s">
        <v>87</v>
      </c>
      <c r="I136" t="s">
        <v>427</v>
      </c>
      <c r="J136">
        <v>-1.0503197799999999</v>
      </c>
      <c r="K136" t="s">
        <v>440</v>
      </c>
      <c r="L136" t="s">
        <v>452</v>
      </c>
      <c r="M136">
        <v>8.4248020759000004E-4</v>
      </c>
      <c r="N136">
        <v>8.8487362411596735E-4</v>
      </c>
      <c r="O136">
        <v>29976.978999999999</v>
      </c>
      <c r="P136">
        <v>1.6679465999999999E-5</v>
      </c>
      <c r="Q136">
        <v>1</v>
      </c>
      <c r="R136" s="61">
        <v>8.8487362411596735E-4</v>
      </c>
      <c r="S136" t="s">
        <v>336</v>
      </c>
      <c r="T136" t="s">
        <v>433</v>
      </c>
      <c r="U136" t="s">
        <v>425</v>
      </c>
      <c r="V136" t="s">
        <v>28</v>
      </c>
      <c r="W136">
        <v>111.133</v>
      </c>
      <c r="X136">
        <v>0.99819678194932504</v>
      </c>
      <c r="Y136">
        <v>110.9326029683743</v>
      </c>
      <c r="Z136">
        <v>682.07</v>
      </c>
      <c r="AA136">
        <v>1</v>
      </c>
      <c r="AB136">
        <v>75.663800506639092</v>
      </c>
      <c r="AC136">
        <v>1.0196000000000001</v>
      </c>
      <c r="AD136" s="63">
        <v>77.147000000000006</v>
      </c>
      <c r="AE136">
        <v>8.9176000000000002</v>
      </c>
      <c r="AF136">
        <v>8.9015196227113016</v>
      </c>
      <c r="AG136">
        <v>1</v>
      </c>
      <c r="AH136">
        <v>6071.4594890626977</v>
      </c>
      <c r="AI136">
        <v>0.97991730655640863</v>
      </c>
      <c r="AJ136" s="63">
        <v>5949.5281999999997</v>
      </c>
      <c r="AK136" s="61">
        <v>5.2645805801141474</v>
      </c>
      <c r="AL136" t="s">
        <v>339</v>
      </c>
      <c r="AM136" t="s">
        <v>433</v>
      </c>
      <c r="AN136" t="s">
        <v>425</v>
      </c>
      <c r="AO136" t="s">
        <v>28</v>
      </c>
      <c r="AP136">
        <v>111.133</v>
      </c>
      <c r="AQ136">
        <v>1.0062587218588701</v>
      </c>
      <c r="AR136">
        <v>111.82855053634179</v>
      </c>
      <c r="AS136">
        <v>663.92</v>
      </c>
      <c r="AT136">
        <v>1</v>
      </c>
      <c r="AU136">
        <v>74.245211272088028</v>
      </c>
      <c r="AV136">
        <v>1.0196000000000001</v>
      </c>
      <c r="AW136" s="63">
        <v>75.7</v>
      </c>
      <c r="AX136">
        <v>8.9176000000000002</v>
      </c>
      <c r="AY136">
        <v>1</v>
      </c>
      <c r="AZ136">
        <v>5957.6282116020648</v>
      </c>
      <c r="BA136">
        <v>0.97991730655640863</v>
      </c>
      <c r="BB136" s="63">
        <v>5837.9830000000002</v>
      </c>
      <c r="BC136" s="61">
        <v>5.1658771747374077</v>
      </c>
    </row>
    <row r="137" spans="1:55" x14ac:dyDescent="0.25">
      <c r="A137">
        <v>14568</v>
      </c>
      <c r="B137" t="s">
        <v>124</v>
      </c>
      <c r="C137">
        <v>2017</v>
      </c>
      <c r="D137">
        <v>2</v>
      </c>
      <c r="E137" t="s">
        <v>51</v>
      </c>
      <c r="F137" t="s">
        <v>449</v>
      </c>
      <c r="G137" t="s">
        <v>84</v>
      </c>
      <c r="H137" t="s">
        <v>59</v>
      </c>
      <c r="I137" t="s">
        <v>427</v>
      </c>
      <c r="J137">
        <v>-3.05934565</v>
      </c>
      <c r="K137" t="s">
        <v>440</v>
      </c>
      <c r="L137" t="s">
        <v>450</v>
      </c>
      <c r="M137">
        <v>0.15931709696460999</v>
      </c>
      <c r="N137">
        <v>0.4874060672528131</v>
      </c>
      <c r="O137">
        <v>29976.978999999999</v>
      </c>
      <c r="P137">
        <v>1.6679465999999999E-5</v>
      </c>
      <c r="Q137">
        <v>1</v>
      </c>
      <c r="R137" s="61">
        <v>0.4874060672528131</v>
      </c>
      <c r="S137" t="s">
        <v>336</v>
      </c>
      <c r="T137" t="s">
        <v>433</v>
      </c>
      <c r="U137" t="s">
        <v>425</v>
      </c>
      <c r="V137" t="s">
        <v>26</v>
      </c>
      <c r="W137">
        <v>111.133</v>
      </c>
      <c r="X137">
        <v>0.99819678194932504</v>
      </c>
      <c r="Y137">
        <v>110.9326029683743</v>
      </c>
      <c r="Z137">
        <v>682.07</v>
      </c>
      <c r="AA137">
        <v>1</v>
      </c>
      <c r="AB137">
        <v>75.663800506639092</v>
      </c>
      <c r="AC137">
        <v>1.0178</v>
      </c>
      <c r="AD137" s="63">
        <v>77.010999999999996</v>
      </c>
      <c r="AE137">
        <v>8.9176000000000002</v>
      </c>
      <c r="AF137">
        <v>8.9015196227113016</v>
      </c>
      <c r="AG137">
        <v>1</v>
      </c>
      <c r="AH137">
        <v>6071.4594890626977</v>
      </c>
      <c r="AI137">
        <v>1.0020831266739409</v>
      </c>
      <c r="AJ137" s="63">
        <v>6084.1071000000002</v>
      </c>
      <c r="AK137" s="61">
        <v>2965.4307143559181</v>
      </c>
      <c r="AL137" t="s">
        <v>339</v>
      </c>
      <c r="AM137" t="s">
        <v>433</v>
      </c>
      <c r="AN137" t="s">
        <v>425</v>
      </c>
      <c r="AO137" t="s">
        <v>26</v>
      </c>
      <c r="AP137">
        <v>111.133</v>
      </c>
      <c r="AQ137">
        <v>1.0062587218588701</v>
      </c>
      <c r="AR137">
        <v>111.82855053634179</v>
      </c>
      <c r="AS137">
        <v>663.92</v>
      </c>
      <c r="AT137">
        <v>1</v>
      </c>
      <c r="AU137">
        <v>74.245211272088028</v>
      </c>
      <c r="AV137">
        <v>1.0178</v>
      </c>
      <c r="AW137" s="63">
        <v>75.566999999999993</v>
      </c>
      <c r="AX137">
        <v>8.9176000000000002</v>
      </c>
      <c r="AY137">
        <v>1</v>
      </c>
      <c r="AZ137">
        <v>5957.6282116020648</v>
      </c>
      <c r="BA137">
        <v>1.0020831266739409</v>
      </c>
      <c r="BB137" s="63">
        <v>5970.0387000000001</v>
      </c>
      <c r="BC137" s="61">
        <v>2909.8330841140969</v>
      </c>
    </row>
    <row r="138" spans="1:55" x14ac:dyDescent="0.25">
      <c r="A138">
        <v>14569</v>
      </c>
      <c r="B138" t="s">
        <v>124</v>
      </c>
      <c r="C138">
        <v>2017</v>
      </c>
      <c r="D138">
        <v>2</v>
      </c>
      <c r="E138" t="s">
        <v>51</v>
      </c>
      <c r="F138" t="s">
        <v>449</v>
      </c>
      <c r="G138" t="s">
        <v>84</v>
      </c>
      <c r="H138" t="s">
        <v>59</v>
      </c>
      <c r="I138" t="s">
        <v>427</v>
      </c>
      <c r="J138">
        <v>-3.05934565</v>
      </c>
      <c r="K138" t="s">
        <v>440</v>
      </c>
      <c r="L138" t="s">
        <v>384</v>
      </c>
      <c r="M138">
        <v>4.1785183859599999E-2</v>
      </c>
      <c r="N138">
        <v>0.12783532039230819</v>
      </c>
      <c r="O138">
        <v>29976.978999999999</v>
      </c>
      <c r="P138">
        <v>1.6679465999999999E-5</v>
      </c>
      <c r="Q138">
        <v>1</v>
      </c>
      <c r="R138" s="61">
        <v>0.12783532039230819</v>
      </c>
      <c r="S138" t="s">
        <v>336</v>
      </c>
      <c r="T138" t="s">
        <v>433</v>
      </c>
      <c r="U138" t="s">
        <v>425</v>
      </c>
      <c r="V138" t="s">
        <v>81</v>
      </c>
      <c r="W138">
        <v>111.133</v>
      </c>
      <c r="X138">
        <v>0.99819678194932504</v>
      </c>
      <c r="Y138">
        <v>110.9326029683743</v>
      </c>
      <c r="Z138">
        <v>682.07</v>
      </c>
      <c r="AA138">
        <v>1</v>
      </c>
      <c r="AB138">
        <v>75.663800506639092</v>
      </c>
      <c r="AC138">
        <v>0.92979999999999996</v>
      </c>
      <c r="AD138" s="63">
        <v>70.352000000000004</v>
      </c>
      <c r="AE138">
        <v>8.9176000000000002</v>
      </c>
      <c r="AF138">
        <v>8.9015196227113016</v>
      </c>
      <c r="AG138">
        <v>1</v>
      </c>
      <c r="AH138">
        <v>6071.4594890626977</v>
      </c>
      <c r="AI138">
        <v>1.0375922509225091</v>
      </c>
      <c r="AJ138" s="63">
        <v>6299.6993000000002</v>
      </c>
      <c r="AK138" s="61">
        <v>805.32407839070004</v>
      </c>
      <c r="AL138" t="s">
        <v>339</v>
      </c>
      <c r="AM138" t="s">
        <v>433</v>
      </c>
      <c r="AN138" t="s">
        <v>425</v>
      </c>
      <c r="AO138" t="s">
        <v>81</v>
      </c>
      <c r="AP138">
        <v>111.133</v>
      </c>
      <c r="AQ138">
        <v>1.0062587218588701</v>
      </c>
      <c r="AR138">
        <v>111.82855053634179</v>
      </c>
      <c r="AS138">
        <v>663.92</v>
      </c>
      <c r="AT138">
        <v>1</v>
      </c>
      <c r="AU138">
        <v>74.245211272088028</v>
      </c>
      <c r="AV138">
        <v>0.92979999999999996</v>
      </c>
      <c r="AW138" s="63">
        <v>69.033000000000001</v>
      </c>
      <c r="AX138">
        <v>8.9176000000000002</v>
      </c>
      <c r="AY138">
        <v>1</v>
      </c>
      <c r="AZ138">
        <v>5957.6282116020648</v>
      </c>
      <c r="BA138">
        <v>1.0375922509225091</v>
      </c>
      <c r="BB138" s="63">
        <v>6181.5888999999997</v>
      </c>
      <c r="BC138" s="61">
        <v>790.22539756503625</v>
      </c>
    </row>
    <row r="139" spans="1:55" x14ac:dyDescent="0.25">
      <c r="A139">
        <v>14570</v>
      </c>
      <c r="B139" t="s">
        <v>124</v>
      </c>
      <c r="C139">
        <v>2017</v>
      </c>
      <c r="D139">
        <v>2</v>
      </c>
      <c r="E139" t="s">
        <v>51</v>
      </c>
      <c r="F139" t="s">
        <v>449</v>
      </c>
      <c r="G139" t="s">
        <v>84</v>
      </c>
      <c r="H139" t="s">
        <v>59</v>
      </c>
      <c r="I139" t="s">
        <v>427</v>
      </c>
      <c r="J139">
        <v>-3.05934565</v>
      </c>
      <c r="K139" t="s">
        <v>440</v>
      </c>
      <c r="L139" t="s">
        <v>385</v>
      </c>
      <c r="M139">
        <v>0.43497567483749999</v>
      </c>
      <c r="N139">
        <v>1.3307409378058099</v>
      </c>
      <c r="O139">
        <v>29976.978999999999</v>
      </c>
      <c r="P139">
        <v>1.6679465999999999E-5</v>
      </c>
      <c r="Q139">
        <v>1</v>
      </c>
      <c r="R139" s="61">
        <v>1.3307409378058099</v>
      </c>
      <c r="S139" t="s">
        <v>336</v>
      </c>
      <c r="T139" t="s">
        <v>433</v>
      </c>
      <c r="U139" t="s">
        <v>425</v>
      </c>
      <c r="V139" t="s">
        <v>27</v>
      </c>
      <c r="W139">
        <v>111.133</v>
      </c>
      <c r="X139">
        <v>0.99819678194932504</v>
      </c>
      <c r="Y139">
        <v>110.9326029683743</v>
      </c>
      <c r="Z139">
        <v>682.07</v>
      </c>
      <c r="AA139">
        <v>1</v>
      </c>
      <c r="AB139">
        <v>75.663800506639092</v>
      </c>
      <c r="AC139">
        <v>0.99739999999999995</v>
      </c>
      <c r="AD139" s="63">
        <v>75.466999999999999</v>
      </c>
      <c r="AE139">
        <v>8.9176000000000002</v>
      </c>
      <c r="AF139">
        <v>8.9015196227113016</v>
      </c>
      <c r="AG139">
        <v>1</v>
      </c>
      <c r="AH139">
        <v>6071.4594890626977</v>
      </c>
      <c r="AI139">
        <v>1.0108695652173909</v>
      </c>
      <c r="AJ139" s="63">
        <v>6137.4535999999998</v>
      </c>
      <c r="AK139" s="61">
        <v>8167.3607594036457</v>
      </c>
      <c r="AL139" t="s">
        <v>339</v>
      </c>
      <c r="AM139" t="s">
        <v>433</v>
      </c>
      <c r="AN139" t="s">
        <v>425</v>
      </c>
      <c r="AO139" t="s">
        <v>27</v>
      </c>
      <c r="AP139">
        <v>111.133</v>
      </c>
      <c r="AQ139">
        <v>1.0062587218588701</v>
      </c>
      <c r="AR139">
        <v>111.82855053634179</v>
      </c>
      <c r="AS139">
        <v>663.92</v>
      </c>
      <c r="AT139">
        <v>1</v>
      </c>
      <c r="AU139">
        <v>74.245211272088028</v>
      </c>
      <c r="AV139">
        <v>0.99739999999999995</v>
      </c>
      <c r="AW139" s="63">
        <v>74.052000000000007</v>
      </c>
      <c r="AX139">
        <v>8.9176000000000002</v>
      </c>
      <c r="AY139">
        <v>1</v>
      </c>
      <c r="AZ139">
        <v>5957.6282116020648</v>
      </c>
      <c r="BA139">
        <v>1.0108695652173909</v>
      </c>
      <c r="BB139" s="63">
        <v>6022.3850000000002</v>
      </c>
      <c r="BC139" s="61">
        <v>8014.2342627276439</v>
      </c>
    </row>
    <row r="140" spans="1:55" x14ac:dyDescent="0.25">
      <c r="A140">
        <v>14571</v>
      </c>
      <c r="B140" t="s">
        <v>124</v>
      </c>
      <c r="C140">
        <v>2017</v>
      </c>
      <c r="D140">
        <v>2</v>
      </c>
      <c r="E140" t="s">
        <v>51</v>
      </c>
      <c r="F140" t="s">
        <v>449</v>
      </c>
      <c r="G140" t="s">
        <v>84</v>
      </c>
      <c r="H140" t="s">
        <v>59</v>
      </c>
      <c r="I140" t="s">
        <v>427</v>
      </c>
      <c r="J140">
        <v>-3.05934565</v>
      </c>
      <c r="K140" t="s">
        <v>440</v>
      </c>
      <c r="L140" t="s">
        <v>451</v>
      </c>
      <c r="M140">
        <v>1.7625750762999999E-3</v>
      </c>
      <c r="N140">
        <v>5.3923263889753426E-3</v>
      </c>
      <c r="O140">
        <v>29976.978999999999</v>
      </c>
      <c r="P140">
        <v>1.6679465999999999E-5</v>
      </c>
      <c r="Q140">
        <v>1</v>
      </c>
      <c r="R140" s="61">
        <v>5.3923263889753426E-3</v>
      </c>
      <c r="S140" t="s">
        <v>336</v>
      </c>
      <c r="T140" t="s">
        <v>433</v>
      </c>
      <c r="U140" t="s">
        <v>425</v>
      </c>
      <c r="V140" t="s">
        <v>91</v>
      </c>
      <c r="W140">
        <v>111.133</v>
      </c>
      <c r="X140">
        <v>0.99819678194932504</v>
      </c>
      <c r="Y140">
        <v>110.9326029683743</v>
      </c>
      <c r="Z140">
        <v>682.07</v>
      </c>
      <c r="AA140">
        <v>1</v>
      </c>
      <c r="AB140">
        <v>75.663800506639092</v>
      </c>
      <c r="AC140">
        <v>1.0269999999999999</v>
      </c>
      <c r="AD140" s="63">
        <v>77.706999999999994</v>
      </c>
      <c r="AE140">
        <v>8.9176000000000002</v>
      </c>
      <c r="AF140">
        <v>8.9015196227113016</v>
      </c>
      <c r="AG140">
        <v>1</v>
      </c>
      <c r="AH140">
        <v>6071.4594890626977</v>
      </c>
      <c r="AI140">
        <v>0.98496680983990625</v>
      </c>
      <c r="AJ140" s="63">
        <v>5980.1860999999999</v>
      </c>
      <c r="AK140" s="61">
        <v>32.247115318013527</v>
      </c>
      <c r="AL140" t="s">
        <v>339</v>
      </c>
      <c r="AM140" t="s">
        <v>433</v>
      </c>
      <c r="AN140" t="s">
        <v>425</v>
      </c>
      <c r="AO140" t="s">
        <v>91</v>
      </c>
      <c r="AP140">
        <v>111.133</v>
      </c>
      <c r="AQ140">
        <v>1.0062587218588701</v>
      </c>
      <c r="AR140">
        <v>111.82855053634179</v>
      </c>
      <c r="AS140">
        <v>663.92</v>
      </c>
      <c r="AT140">
        <v>1</v>
      </c>
      <c r="AU140">
        <v>74.245211272088028</v>
      </c>
      <c r="AV140">
        <v>1.0269999999999999</v>
      </c>
      <c r="AW140" s="63">
        <v>76.25</v>
      </c>
      <c r="AX140">
        <v>8.9176000000000002</v>
      </c>
      <c r="AY140">
        <v>1</v>
      </c>
      <c r="AZ140">
        <v>5957.6282116020648</v>
      </c>
      <c r="BA140">
        <v>0.98496680983990625</v>
      </c>
      <c r="BB140" s="63">
        <v>5868.0661</v>
      </c>
      <c r="BC140" s="61">
        <v>31.642527683281621</v>
      </c>
    </row>
    <row r="141" spans="1:55" x14ac:dyDescent="0.25">
      <c r="A141">
        <v>14572</v>
      </c>
      <c r="B141" t="s">
        <v>124</v>
      </c>
      <c r="C141">
        <v>2017</v>
      </c>
      <c r="D141">
        <v>2</v>
      </c>
      <c r="E141" t="s">
        <v>51</v>
      </c>
      <c r="F141" t="s">
        <v>449</v>
      </c>
      <c r="G141" t="s">
        <v>84</v>
      </c>
      <c r="H141" t="s">
        <v>59</v>
      </c>
      <c r="I141" t="s">
        <v>427</v>
      </c>
      <c r="J141">
        <v>-3.05934565</v>
      </c>
      <c r="K141" t="s">
        <v>440</v>
      </c>
      <c r="L141" t="s">
        <v>452</v>
      </c>
      <c r="M141">
        <v>1.4858046103299999E-3</v>
      </c>
      <c r="N141">
        <v>4.5455898684113741E-3</v>
      </c>
      <c r="O141">
        <v>29976.978999999999</v>
      </c>
      <c r="P141">
        <v>1.6679465999999999E-5</v>
      </c>
      <c r="Q141">
        <v>1</v>
      </c>
      <c r="R141" s="61">
        <v>4.5455898684113741E-3</v>
      </c>
      <c r="S141" t="s">
        <v>336</v>
      </c>
      <c r="T141" t="s">
        <v>433</v>
      </c>
      <c r="U141" t="s">
        <v>425</v>
      </c>
      <c r="V141" t="s">
        <v>28</v>
      </c>
      <c r="W141">
        <v>111.133</v>
      </c>
      <c r="X141">
        <v>0.99819678194932504</v>
      </c>
      <c r="Y141">
        <v>110.9326029683743</v>
      </c>
      <c r="Z141">
        <v>682.07</v>
      </c>
      <c r="AA141">
        <v>1</v>
      </c>
      <c r="AB141">
        <v>75.663800506639092</v>
      </c>
      <c r="AC141">
        <v>1.0196000000000001</v>
      </c>
      <c r="AD141" s="63">
        <v>77.147000000000006</v>
      </c>
      <c r="AE141">
        <v>8.9176000000000002</v>
      </c>
      <c r="AF141">
        <v>8.9015196227113016</v>
      </c>
      <c r="AG141">
        <v>1</v>
      </c>
      <c r="AH141">
        <v>6071.4594890626977</v>
      </c>
      <c r="AI141">
        <v>0.97991730655640863</v>
      </c>
      <c r="AJ141" s="63">
        <v>5949.5281999999997</v>
      </c>
      <c r="AK141" s="61">
        <v>27.044115107747761</v>
      </c>
      <c r="AL141" t="s">
        <v>339</v>
      </c>
      <c r="AM141" t="s">
        <v>433</v>
      </c>
      <c r="AN141" t="s">
        <v>425</v>
      </c>
      <c r="AO141" t="s">
        <v>28</v>
      </c>
      <c r="AP141">
        <v>111.133</v>
      </c>
      <c r="AQ141">
        <v>1.0062587218588701</v>
      </c>
      <c r="AR141">
        <v>111.82855053634179</v>
      </c>
      <c r="AS141">
        <v>663.92</v>
      </c>
      <c r="AT141">
        <v>1</v>
      </c>
      <c r="AU141">
        <v>74.245211272088028</v>
      </c>
      <c r="AV141">
        <v>1.0196000000000001</v>
      </c>
      <c r="AW141" s="63">
        <v>75.7</v>
      </c>
      <c r="AX141">
        <v>8.9176000000000002</v>
      </c>
      <c r="AY141">
        <v>1</v>
      </c>
      <c r="AZ141">
        <v>5957.6282116020648</v>
      </c>
      <c r="BA141">
        <v>0.97991730655640863</v>
      </c>
      <c r="BB141" s="63">
        <v>5837.9830000000002</v>
      </c>
      <c r="BC141" s="61">
        <v>26.537076376757842</v>
      </c>
    </row>
    <row r="142" spans="1:55" x14ac:dyDescent="0.25">
      <c r="A142">
        <v>16887</v>
      </c>
      <c r="B142" t="s">
        <v>125</v>
      </c>
      <c r="C142">
        <v>2017</v>
      </c>
      <c r="D142">
        <v>3</v>
      </c>
      <c r="E142" t="s">
        <v>51</v>
      </c>
      <c r="F142" t="s">
        <v>449</v>
      </c>
      <c r="G142" t="s">
        <v>84</v>
      </c>
      <c r="H142" t="s">
        <v>381</v>
      </c>
      <c r="I142" t="s">
        <v>427</v>
      </c>
      <c r="J142">
        <v>-4.5373942999999999</v>
      </c>
      <c r="K142" t="s">
        <v>440</v>
      </c>
      <c r="L142" t="s">
        <v>450</v>
      </c>
      <c r="M142">
        <v>0.15011157993331001</v>
      </c>
      <c r="N142">
        <v>0.68111542682041293</v>
      </c>
      <c r="O142">
        <v>29976.978999999999</v>
      </c>
      <c r="P142">
        <v>1.6679465999999999E-5</v>
      </c>
      <c r="Q142">
        <v>1</v>
      </c>
      <c r="R142" s="61">
        <v>0.68111542682041293</v>
      </c>
      <c r="S142" t="s">
        <v>336</v>
      </c>
      <c r="T142" t="s">
        <v>433</v>
      </c>
      <c r="U142" t="s">
        <v>425</v>
      </c>
      <c r="V142" t="s">
        <v>26</v>
      </c>
      <c r="W142">
        <v>111.133</v>
      </c>
      <c r="X142">
        <v>0.99819678194932504</v>
      </c>
      <c r="Y142">
        <v>110.9326029683743</v>
      </c>
      <c r="Z142">
        <v>682.07</v>
      </c>
      <c r="AA142">
        <v>1</v>
      </c>
      <c r="AB142">
        <v>75.663800506639092</v>
      </c>
      <c r="AC142">
        <v>1.0178</v>
      </c>
      <c r="AD142" s="63">
        <v>77.010999999999996</v>
      </c>
      <c r="AE142">
        <v>8.9176000000000002</v>
      </c>
      <c r="AF142">
        <v>8.9015196227113016</v>
      </c>
      <c r="AG142">
        <v>1</v>
      </c>
      <c r="AH142">
        <v>6071.4594890626977</v>
      </c>
      <c r="AI142">
        <v>1.0020831266739409</v>
      </c>
      <c r="AJ142" s="63">
        <v>6084.1071000000002</v>
      </c>
      <c r="AK142" s="61">
        <v>4143.9792042376048</v>
      </c>
      <c r="AL142" t="s">
        <v>339</v>
      </c>
      <c r="AM142" t="s">
        <v>433</v>
      </c>
      <c r="AN142" t="s">
        <v>425</v>
      </c>
      <c r="AO142" t="s">
        <v>26</v>
      </c>
      <c r="AP142">
        <v>111.133</v>
      </c>
      <c r="AQ142">
        <v>1.0062587218588701</v>
      </c>
      <c r="AR142">
        <v>111.82855053634179</v>
      </c>
      <c r="AS142">
        <v>663.92</v>
      </c>
      <c r="AT142">
        <v>1</v>
      </c>
      <c r="AU142">
        <v>74.245211272088028</v>
      </c>
      <c r="AV142">
        <v>1.0178</v>
      </c>
      <c r="AW142" s="63">
        <v>75.566999999999993</v>
      </c>
      <c r="AX142">
        <v>8.9176000000000002</v>
      </c>
      <c r="AY142">
        <v>1</v>
      </c>
      <c r="AZ142">
        <v>5957.6282116020648</v>
      </c>
      <c r="BA142">
        <v>1.0020831266739409</v>
      </c>
      <c r="BB142" s="63">
        <v>5970.0387000000001</v>
      </c>
      <c r="BC142" s="61">
        <v>4066.2854572848828</v>
      </c>
    </row>
    <row r="143" spans="1:55" x14ac:dyDescent="0.25">
      <c r="A143">
        <v>16888</v>
      </c>
      <c r="B143" t="s">
        <v>125</v>
      </c>
      <c r="C143">
        <v>2017</v>
      </c>
      <c r="D143">
        <v>3</v>
      </c>
      <c r="E143" t="s">
        <v>51</v>
      </c>
      <c r="F143" t="s">
        <v>449</v>
      </c>
      <c r="G143" t="s">
        <v>84</v>
      </c>
      <c r="H143" t="s">
        <v>381</v>
      </c>
      <c r="I143" t="s">
        <v>427</v>
      </c>
      <c r="J143">
        <v>-4.5373942999999999</v>
      </c>
      <c r="K143" t="s">
        <v>440</v>
      </c>
      <c r="L143" t="s">
        <v>384</v>
      </c>
      <c r="M143">
        <v>4.5811354346740003E-2</v>
      </c>
      <c r="N143">
        <v>0.2078641779865581</v>
      </c>
      <c r="O143">
        <v>29976.978999999999</v>
      </c>
      <c r="P143">
        <v>1.6679465999999999E-5</v>
      </c>
      <c r="Q143">
        <v>1</v>
      </c>
      <c r="R143" s="61">
        <v>0.2078641779865581</v>
      </c>
      <c r="S143" t="s">
        <v>336</v>
      </c>
      <c r="T143" t="s">
        <v>433</v>
      </c>
      <c r="U143" t="s">
        <v>425</v>
      </c>
      <c r="V143" t="s">
        <v>81</v>
      </c>
      <c r="W143">
        <v>111.133</v>
      </c>
      <c r="X143">
        <v>0.99819678194932504</v>
      </c>
      <c r="Y143">
        <v>110.9326029683743</v>
      </c>
      <c r="Z143">
        <v>682.07</v>
      </c>
      <c r="AA143">
        <v>1</v>
      </c>
      <c r="AB143">
        <v>75.663800506639092</v>
      </c>
      <c r="AC143">
        <v>0.92979999999999996</v>
      </c>
      <c r="AD143" s="63">
        <v>70.352000000000004</v>
      </c>
      <c r="AE143">
        <v>8.9176000000000002</v>
      </c>
      <c r="AF143">
        <v>8.9015196227113016</v>
      </c>
      <c r="AG143">
        <v>1</v>
      </c>
      <c r="AH143">
        <v>6071.4594890626977</v>
      </c>
      <c r="AI143">
        <v>1.0375922509225091</v>
      </c>
      <c r="AJ143" s="63">
        <v>6299.6993000000002</v>
      </c>
      <c r="AK143" s="61">
        <v>1309.481816556995</v>
      </c>
      <c r="AL143" t="s">
        <v>339</v>
      </c>
      <c r="AM143" t="s">
        <v>433</v>
      </c>
      <c r="AN143" t="s">
        <v>425</v>
      </c>
      <c r="AO143" t="s">
        <v>81</v>
      </c>
      <c r="AP143">
        <v>111.133</v>
      </c>
      <c r="AQ143">
        <v>1.0062587218588701</v>
      </c>
      <c r="AR143">
        <v>111.82855053634179</v>
      </c>
      <c r="AS143">
        <v>663.92</v>
      </c>
      <c r="AT143">
        <v>1</v>
      </c>
      <c r="AU143">
        <v>74.245211272088028</v>
      </c>
      <c r="AV143">
        <v>0.92979999999999996</v>
      </c>
      <c r="AW143" s="63">
        <v>69.033000000000001</v>
      </c>
      <c r="AX143">
        <v>8.9176000000000002</v>
      </c>
      <c r="AY143">
        <v>1</v>
      </c>
      <c r="AZ143">
        <v>5957.6282116020648</v>
      </c>
      <c r="BA143">
        <v>1.0375922509225091</v>
      </c>
      <c r="BB143" s="63">
        <v>6181.5888999999997</v>
      </c>
      <c r="BC143" s="61">
        <v>1284.9308953493321</v>
      </c>
    </row>
    <row r="144" spans="1:55" x14ac:dyDescent="0.25">
      <c r="A144">
        <v>16889</v>
      </c>
      <c r="B144" t="s">
        <v>125</v>
      </c>
      <c r="C144">
        <v>2017</v>
      </c>
      <c r="D144">
        <v>3</v>
      </c>
      <c r="E144" t="s">
        <v>51</v>
      </c>
      <c r="F144" t="s">
        <v>449</v>
      </c>
      <c r="G144" t="s">
        <v>84</v>
      </c>
      <c r="H144" t="s">
        <v>381</v>
      </c>
      <c r="I144" t="s">
        <v>427</v>
      </c>
      <c r="J144">
        <v>-4.5373942999999999</v>
      </c>
      <c r="K144" t="s">
        <v>440</v>
      </c>
      <c r="L144" t="s">
        <v>385</v>
      </c>
      <c r="M144">
        <v>0.43232641346992001</v>
      </c>
      <c r="N144">
        <v>1.9616354032588581</v>
      </c>
      <c r="O144">
        <v>29976.978999999999</v>
      </c>
      <c r="P144">
        <v>1.6679465999999999E-5</v>
      </c>
      <c r="Q144">
        <v>1</v>
      </c>
      <c r="R144" s="61">
        <v>1.9616354032588581</v>
      </c>
      <c r="S144" t="s">
        <v>336</v>
      </c>
      <c r="T144" t="s">
        <v>433</v>
      </c>
      <c r="U144" t="s">
        <v>425</v>
      </c>
      <c r="V144" t="s">
        <v>27</v>
      </c>
      <c r="W144">
        <v>111.133</v>
      </c>
      <c r="X144">
        <v>0.99819678194932504</v>
      </c>
      <c r="Y144">
        <v>110.9326029683743</v>
      </c>
      <c r="Z144">
        <v>682.07</v>
      </c>
      <c r="AA144">
        <v>1</v>
      </c>
      <c r="AB144">
        <v>75.663800506639092</v>
      </c>
      <c r="AC144">
        <v>0.99739999999999995</v>
      </c>
      <c r="AD144" s="63">
        <v>75.466999999999999</v>
      </c>
      <c r="AE144">
        <v>8.9176000000000002</v>
      </c>
      <c r="AF144">
        <v>8.9015196227113016</v>
      </c>
      <c r="AG144">
        <v>1</v>
      </c>
      <c r="AH144">
        <v>6071.4594890626977</v>
      </c>
      <c r="AI144">
        <v>1.0108695652173909</v>
      </c>
      <c r="AJ144" s="63">
        <v>6137.4535999999998</v>
      </c>
      <c r="AK144" s="61">
        <v>12039.44626761853</v>
      </c>
      <c r="AL144" t="s">
        <v>339</v>
      </c>
      <c r="AM144" t="s">
        <v>433</v>
      </c>
      <c r="AN144" t="s">
        <v>425</v>
      </c>
      <c r="AO144" t="s">
        <v>27</v>
      </c>
      <c r="AP144">
        <v>111.133</v>
      </c>
      <c r="AQ144">
        <v>1.0062587218588701</v>
      </c>
      <c r="AR144">
        <v>111.82855053634179</v>
      </c>
      <c r="AS144">
        <v>663.92</v>
      </c>
      <c r="AT144">
        <v>1</v>
      </c>
      <c r="AU144">
        <v>74.245211272088028</v>
      </c>
      <c r="AV144">
        <v>0.99739999999999995</v>
      </c>
      <c r="AW144" s="63">
        <v>74.052000000000007</v>
      </c>
      <c r="AX144">
        <v>8.9176000000000002</v>
      </c>
      <c r="AY144">
        <v>1</v>
      </c>
      <c r="AZ144">
        <v>5957.6282116020648</v>
      </c>
      <c r="BA144">
        <v>1.0108695652173909</v>
      </c>
      <c r="BB144" s="63">
        <v>6022.3850000000002</v>
      </c>
      <c r="BC144" s="61">
        <v>11813.723628055101</v>
      </c>
    </row>
    <row r="145" spans="1:55" x14ac:dyDescent="0.25">
      <c r="A145">
        <v>16890</v>
      </c>
      <c r="B145" t="s">
        <v>125</v>
      </c>
      <c r="C145">
        <v>2017</v>
      </c>
      <c r="D145">
        <v>3</v>
      </c>
      <c r="E145" t="s">
        <v>51</v>
      </c>
      <c r="F145" t="s">
        <v>449</v>
      </c>
      <c r="G145" t="s">
        <v>84</v>
      </c>
      <c r="H145" t="s">
        <v>381</v>
      </c>
      <c r="I145" t="s">
        <v>427</v>
      </c>
      <c r="J145">
        <v>-4.5373942999999999</v>
      </c>
      <c r="K145" t="s">
        <v>440</v>
      </c>
      <c r="L145" t="s">
        <v>451</v>
      </c>
      <c r="M145">
        <v>1.6825115802299999E-3</v>
      </c>
      <c r="N145">
        <v>7.6342184500873926E-3</v>
      </c>
      <c r="O145">
        <v>29976.978999999999</v>
      </c>
      <c r="P145">
        <v>1.6679465999999999E-5</v>
      </c>
      <c r="Q145">
        <v>1</v>
      </c>
      <c r="R145" s="61">
        <v>7.6342184500873926E-3</v>
      </c>
      <c r="S145" t="s">
        <v>336</v>
      </c>
      <c r="T145" t="s">
        <v>433</v>
      </c>
      <c r="U145" t="s">
        <v>425</v>
      </c>
      <c r="V145" t="s">
        <v>91</v>
      </c>
      <c r="W145">
        <v>111.133</v>
      </c>
      <c r="X145">
        <v>0.99819678194932504</v>
      </c>
      <c r="Y145">
        <v>110.9326029683743</v>
      </c>
      <c r="Z145">
        <v>682.07</v>
      </c>
      <c r="AA145">
        <v>1</v>
      </c>
      <c r="AB145">
        <v>75.663800506639092</v>
      </c>
      <c r="AC145">
        <v>1.0269999999999999</v>
      </c>
      <c r="AD145" s="63">
        <v>77.706999999999994</v>
      </c>
      <c r="AE145">
        <v>8.9176000000000002</v>
      </c>
      <c r="AF145">
        <v>8.9015196227113016</v>
      </c>
      <c r="AG145">
        <v>1</v>
      </c>
      <c r="AH145">
        <v>6071.4594890626977</v>
      </c>
      <c r="AI145">
        <v>0.98496680983990625</v>
      </c>
      <c r="AJ145" s="63">
        <v>5980.1860999999999</v>
      </c>
      <c r="AK145" s="61">
        <v>45.654047059576172</v>
      </c>
      <c r="AL145" t="s">
        <v>339</v>
      </c>
      <c r="AM145" t="s">
        <v>433</v>
      </c>
      <c r="AN145" t="s">
        <v>425</v>
      </c>
      <c r="AO145" t="s">
        <v>91</v>
      </c>
      <c r="AP145">
        <v>111.133</v>
      </c>
      <c r="AQ145">
        <v>1.0062587218588701</v>
      </c>
      <c r="AR145">
        <v>111.82855053634179</v>
      </c>
      <c r="AS145">
        <v>663.92</v>
      </c>
      <c r="AT145">
        <v>1</v>
      </c>
      <c r="AU145">
        <v>74.245211272088028</v>
      </c>
      <c r="AV145">
        <v>1.0269999999999999</v>
      </c>
      <c r="AW145" s="63">
        <v>76.25</v>
      </c>
      <c r="AX145">
        <v>8.9176000000000002</v>
      </c>
      <c r="AY145">
        <v>1</v>
      </c>
      <c r="AZ145">
        <v>5957.6282116020648</v>
      </c>
      <c r="BA145">
        <v>0.98496680983990625</v>
      </c>
      <c r="BB145" s="63">
        <v>5868.0661</v>
      </c>
      <c r="BC145" s="61">
        <v>44.798098486952377</v>
      </c>
    </row>
    <row r="146" spans="1:55" x14ac:dyDescent="0.25">
      <c r="A146">
        <v>16891</v>
      </c>
      <c r="B146" t="s">
        <v>125</v>
      </c>
      <c r="C146">
        <v>2017</v>
      </c>
      <c r="D146">
        <v>3</v>
      </c>
      <c r="E146" t="s">
        <v>51</v>
      </c>
      <c r="F146" t="s">
        <v>449</v>
      </c>
      <c r="G146" t="s">
        <v>84</v>
      </c>
      <c r="H146" t="s">
        <v>381</v>
      </c>
      <c r="I146" t="s">
        <v>427</v>
      </c>
      <c r="J146">
        <v>-4.5373942999999999</v>
      </c>
      <c r="K146" t="s">
        <v>440</v>
      </c>
      <c r="L146" t="s">
        <v>452</v>
      </c>
      <c r="M146">
        <v>1.53682162831E-3</v>
      </c>
      <c r="N146">
        <v>6.973165693001486E-3</v>
      </c>
      <c r="O146">
        <v>29976.978999999999</v>
      </c>
      <c r="P146">
        <v>1.6679465999999999E-5</v>
      </c>
      <c r="Q146">
        <v>1</v>
      </c>
      <c r="R146" s="61">
        <v>6.973165693001486E-3</v>
      </c>
      <c r="S146" t="s">
        <v>336</v>
      </c>
      <c r="T146" t="s">
        <v>433</v>
      </c>
      <c r="U146" t="s">
        <v>425</v>
      </c>
      <c r="V146" t="s">
        <v>28</v>
      </c>
      <c r="W146">
        <v>111.133</v>
      </c>
      <c r="X146">
        <v>0.99819678194932504</v>
      </c>
      <c r="Y146">
        <v>110.9326029683743</v>
      </c>
      <c r="Z146">
        <v>682.07</v>
      </c>
      <c r="AA146">
        <v>1</v>
      </c>
      <c r="AB146">
        <v>75.663800506639092</v>
      </c>
      <c r="AC146">
        <v>1.0196000000000001</v>
      </c>
      <c r="AD146" s="63">
        <v>77.147000000000006</v>
      </c>
      <c r="AE146">
        <v>8.9176000000000002</v>
      </c>
      <c r="AF146">
        <v>8.9015196227113016</v>
      </c>
      <c r="AG146">
        <v>1</v>
      </c>
      <c r="AH146">
        <v>6071.4594890626977</v>
      </c>
      <c r="AI146">
        <v>0.97991730655640863</v>
      </c>
      <c r="AJ146" s="63">
        <v>5949.5281999999997</v>
      </c>
      <c r="AK146" s="61">
        <v>41.487045933784877</v>
      </c>
      <c r="AL146" t="s">
        <v>339</v>
      </c>
      <c r="AM146" t="s">
        <v>433</v>
      </c>
      <c r="AN146" t="s">
        <v>425</v>
      </c>
      <c r="AO146" t="s">
        <v>28</v>
      </c>
      <c r="AP146">
        <v>111.133</v>
      </c>
      <c r="AQ146">
        <v>1.0062587218588701</v>
      </c>
      <c r="AR146">
        <v>111.82855053634179</v>
      </c>
      <c r="AS146">
        <v>663.92</v>
      </c>
      <c r="AT146">
        <v>1</v>
      </c>
      <c r="AU146">
        <v>74.245211272088028</v>
      </c>
      <c r="AV146">
        <v>1.0196000000000001</v>
      </c>
      <c r="AW146" s="63">
        <v>75.7</v>
      </c>
      <c r="AX146">
        <v>8.9176000000000002</v>
      </c>
      <c r="AY146">
        <v>1</v>
      </c>
      <c r="AZ146">
        <v>5957.6282116020648</v>
      </c>
      <c r="BA146">
        <v>0.97991730655640863</v>
      </c>
      <c r="BB146" s="63">
        <v>5837.9830000000002</v>
      </c>
      <c r="BC146" s="61">
        <v>40.709222771925887</v>
      </c>
    </row>
    <row r="147" spans="1:55" x14ac:dyDescent="0.25">
      <c r="A147">
        <v>16892</v>
      </c>
      <c r="B147" t="s">
        <v>125</v>
      </c>
      <c r="C147">
        <v>2017</v>
      </c>
      <c r="D147">
        <v>3</v>
      </c>
      <c r="E147" t="s">
        <v>51</v>
      </c>
      <c r="F147" t="s">
        <v>449</v>
      </c>
      <c r="G147" t="s">
        <v>84</v>
      </c>
      <c r="H147" t="s">
        <v>87</v>
      </c>
      <c r="I147" t="s">
        <v>427</v>
      </c>
      <c r="J147">
        <v>-0.93328485999999999</v>
      </c>
      <c r="K147" t="s">
        <v>440</v>
      </c>
      <c r="L147" t="s">
        <v>450</v>
      </c>
      <c r="M147">
        <v>0.26601384014995</v>
      </c>
      <c r="N147">
        <v>0.24826668904464011</v>
      </c>
      <c r="O147">
        <v>29976.978999999999</v>
      </c>
      <c r="P147">
        <v>1.6679465999999999E-5</v>
      </c>
      <c r="Q147">
        <v>1</v>
      </c>
      <c r="R147" s="61">
        <v>0.24826668904464011</v>
      </c>
      <c r="S147" t="s">
        <v>336</v>
      </c>
      <c r="T147" t="s">
        <v>433</v>
      </c>
      <c r="U147" t="s">
        <v>425</v>
      </c>
      <c r="V147" t="s">
        <v>26</v>
      </c>
      <c r="W147">
        <v>111.133</v>
      </c>
      <c r="X147">
        <v>0.99819678194932504</v>
      </c>
      <c r="Y147">
        <v>110.9326029683743</v>
      </c>
      <c r="Z147">
        <v>682.07</v>
      </c>
      <c r="AA147">
        <v>1</v>
      </c>
      <c r="AB147">
        <v>75.663800506639092</v>
      </c>
      <c r="AC147">
        <v>1.0178</v>
      </c>
      <c r="AD147" s="63">
        <v>77.010999999999996</v>
      </c>
      <c r="AE147">
        <v>8.9176000000000002</v>
      </c>
      <c r="AF147">
        <v>8.9015196227113016</v>
      </c>
      <c r="AG147">
        <v>1</v>
      </c>
      <c r="AH147">
        <v>6071.4594890626977</v>
      </c>
      <c r="AI147">
        <v>1.0020831266739409</v>
      </c>
      <c r="AJ147" s="63">
        <v>6084.1071000000002</v>
      </c>
      <c r="AK147" s="61">
        <v>1510.4811255099869</v>
      </c>
      <c r="AL147" t="s">
        <v>339</v>
      </c>
      <c r="AM147" t="s">
        <v>433</v>
      </c>
      <c r="AN147" t="s">
        <v>425</v>
      </c>
      <c r="AO147" t="s">
        <v>26</v>
      </c>
      <c r="AP147">
        <v>111.133</v>
      </c>
      <c r="AQ147">
        <v>1.0062587218588701</v>
      </c>
      <c r="AR147">
        <v>111.82855053634179</v>
      </c>
      <c r="AS147">
        <v>663.92</v>
      </c>
      <c r="AT147">
        <v>1</v>
      </c>
      <c r="AU147">
        <v>74.245211272088028</v>
      </c>
      <c r="AV147">
        <v>1.0178</v>
      </c>
      <c r="AW147" s="63">
        <v>75.566999999999993</v>
      </c>
      <c r="AX147">
        <v>8.9176000000000002</v>
      </c>
      <c r="AY147">
        <v>1</v>
      </c>
      <c r="AZ147">
        <v>5957.6282116020648</v>
      </c>
      <c r="BA147">
        <v>1.0020831266739409</v>
      </c>
      <c r="BB147" s="63">
        <v>5970.0387000000001</v>
      </c>
      <c r="BC147" s="61">
        <v>1482.1617415173671</v>
      </c>
    </row>
    <row r="148" spans="1:55" x14ac:dyDescent="0.25">
      <c r="A148">
        <v>16893</v>
      </c>
      <c r="B148" t="s">
        <v>125</v>
      </c>
      <c r="C148">
        <v>2017</v>
      </c>
      <c r="D148">
        <v>3</v>
      </c>
      <c r="E148" t="s">
        <v>51</v>
      </c>
      <c r="F148" t="s">
        <v>449</v>
      </c>
      <c r="G148" t="s">
        <v>84</v>
      </c>
      <c r="H148" t="s">
        <v>87</v>
      </c>
      <c r="I148" t="s">
        <v>427</v>
      </c>
      <c r="J148">
        <v>-0.93328485999999999</v>
      </c>
      <c r="K148" t="s">
        <v>440</v>
      </c>
      <c r="L148" t="s">
        <v>384</v>
      </c>
      <c r="M148">
        <v>3.9509559941419997E-2</v>
      </c>
      <c r="N148">
        <v>3.6873674041688509E-2</v>
      </c>
      <c r="O148">
        <v>29976.978999999999</v>
      </c>
      <c r="P148">
        <v>1.6679465999999999E-5</v>
      </c>
      <c r="Q148">
        <v>1</v>
      </c>
      <c r="R148" s="61">
        <v>3.6873674041688509E-2</v>
      </c>
      <c r="S148" t="s">
        <v>336</v>
      </c>
      <c r="T148" t="s">
        <v>433</v>
      </c>
      <c r="U148" t="s">
        <v>425</v>
      </c>
      <c r="V148" t="s">
        <v>81</v>
      </c>
      <c r="W148">
        <v>111.133</v>
      </c>
      <c r="X148">
        <v>0.99819678194932504</v>
      </c>
      <c r="Y148">
        <v>110.9326029683743</v>
      </c>
      <c r="Z148">
        <v>682.07</v>
      </c>
      <c r="AA148">
        <v>1</v>
      </c>
      <c r="AB148">
        <v>75.663800506639092</v>
      </c>
      <c r="AC148">
        <v>0.92979999999999996</v>
      </c>
      <c r="AD148" s="63">
        <v>70.352000000000004</v>
      </c>
      <c r="AE148">
        <v>8.9176000000000002</v>
      </c>
      <c r="AF148">
        <v>8.9015196227113016</v>
      </c>
      <c r="AG148">
        <v>1</v>
      </c>
      <c r="AH148">
        <v>6071.4594890626977</v>
      </c>
      <c r="AI148">
        <v>1.0375922509225091</v>
      </c>
      <c r="AJ148" s="63">
        <v>6299.6993000000002</v>
      </c>
      <c r="AK148" s="61">
        <v>232.29305854885331</v>
      </c>
      <c r="AL148" t="s">
        <v>339</v>
      </c>
      <c r="AM148" t="s">
        <v>433</v>
      </c>
      <c r="AN148" t="s">
        <v>425</v>
      </c>
      <c r="AO148" t="s">
        <v>81</v>
      </c>
      <c r="AP148">
        <v>111.133</v>
      </c>
      <c r="AQ148">
        <v>1.0062587218588701</v>
      </c>
      <c r="AR148">
        <v>111.82855053634179</v>
      </c>
      <c r="AS148">
        <v>663.92</v>
      </c>
      <c r="AT148">
        <v>1</v>
      </c>
      <c r="AU148">
        <v>74.245211272088028</v>
      </c>
      <c r="AV148">
        <v>0.92979999999999996</v>
      </c>
      <c r="AW148" s="63">
        <v>69.033000000000001</v>
      </c>
      <c r="AX148">
        <v>8.9176000000000002</v>
      </c>
      <c r="AY148">
        <v>1</v>
      </c>
      <c r="AZ148">
        <v>5957.6282116020648</v>
      </c>
      <c r="BA148">
        <v>1.0375922509225091</v>
      </c>
      <c r="BB148" s="63">
        <v>6181.5888999999997</v>
      </c>
      <c r="BC148" s="61">
        <v>227.93789415831981</v>
      </c>
    </row>
    <row r="149" spans="1:55" x14ac:dyDescent="0.25">
      <c r="A149">
        <v>16894</v>
      </c>
      <c r="B149" t="s">
        <v>125</v>
      </c>
      <c r="C149">
        <v>2017</v>
      </c>
      <c r="D149">
        <v>3</v>
      </c>
      <c r="E149" t="s">
        <v>51</v>
      </c>
      <c r="F149" t="s">
        <v>449</v>
      </c>
      <c r="G149" t="s">
        <v>84</v>
      </c>
      <c r="H149" t="s">
        <v>87</v>
      </c>
      <c r="I149" t="s">
        <v>427</v>
      </c>
      <c r="J149">
        <v>-0.93328485999999999</v>
      </c>
      <c r="K149" t="s">
        <v>440</v>
      </c>
      <c r="L149" t="s">
        <v>385</v>
      </c>
      <c r="M149">
        <v>0.39737542925016001</v>
      </c>
      <c r="N149">
        <v>0.37086447108172538</v>
      </c>
      <c r="O149">
        <v>29976.978999999999</v>
      </c>
      <c r="P149">
        <v>1.6679465999999999E-5</v>
      </c>
      <c r="Q149">
        <v>1</v>
      </c>
      <c r="R149" s="61">
        <v>0.37086447108172538</v>
      </c>
      <c r="S149" t="s">
        <v>336</v>
      </c>
      <c r="T149" t="s">
        <v>433</v>
      </c>
      <c r="U149" t="s">
        <v>425</v>
      </c>
      <c r="V149" t="s">
        <v>27</v>
      </c>
      <c r="W149">
        <v>111.133</v>
      </c>
      <c r="X149">
        <v>0.99819678194932504</v>
      </c>
      <c r="Y149">
        <v>110.9326029683743</v>
      </c>
      <c r="Z149">
        <v>682.07</v>
      </c>
      <c r="AA149">
        <v>1</v>
      </c>
      <c r="AB149">
        <v>75.663800506639092</v>
      </c>
      <c r="AC149">
        <v>0.99739999999999995</v>
      </c>
      <c r="AD149" s="63">
        <v>75.466999999999999</v>
      </c>
      <c r="AE149">
        <v>8.9176000000000002</v>
      </c>
      <c r="AF149">
        <v>8.9015196227113016</v>
      </c>
      <c r="AG149">
        <v>1</v>
      </c>
      <c r="AH149">
        <v>6071.4594890626977</v>
      </c>
      <c r="AI149">
        <v>1.0108695652173909</v>
      </c>
      <c r="AJ149" s="63">
        <v>6137.4535999999998</v>
      </c>
      <c r="AK149" s="61">
        <v>2276.1634831526312</v>
      </c>
      <c r="AL149" t="s">
        <v>339</v>
      </c>
      <c r="AM149" t="s">
        <v>433</v>
      </c>
      <c r="AN149" t="s">
        <v>425</v>
      </c>
      <c r="AO149" t="s">
        <v>27</v>
      </c>
      <c r="AP149">
        <v>111.133</v>
      </c>
      <c r="AQ149">
        <v>1.0062587218588701</v>
      </c>
      <c r="AR149">
        <v>111.82855053634179</v>
      </c>
      <c r="AS149">
        <v>663.92</v>
      </c>
      <c r="AT149">
        <v>1</v>
      </c>
      <c r="AU149">
        <v>74.245211272088028</v>
      </c>
      <c r="AV149">
        <v>0.99739999999999995</v>
      </c>
      <c r="AW149" s="63">
        <v>74.052000000000007</v>
      </c>
      <c r="AX149">
        <v>8.9176000000000002</v>
      </c>
      <c r="AY149">
        <v>1</v>
      </c>
      <c r="AZ149">
        <v>5957.6282116020648</v>
      </c>
      <c r="BA149">
        <v>1.0108695652173909</v>
      </c>
      <c r="BB149" s="63">
        <v>6022.3850000000002</v>
      </c>
      <c r="BC149" s="61">
        <v>2233.4886276755169</v>
      </c>
    </row>
    <row r="150" spans="1:55" x14ac:dyDescent="0.25">
      <c r="A150">
        <v>16895</v>
      </c>
      <c r="B150" t="s">
        <v>125</v>
      </c>
      <c r="C150">
        <v>2017</v>
      </c>
      <c r="D150">
        <v>3</v>
      </c>
      <c r="E150" t="s">
        <v>51</v>
      </c>
      <c r="F150" t="s">
        <v>449</v>
      </c>
      <c r="G150" t="s">
        <v>84</v>
      </c>
      <c r="H150" t="s">
        <v>87</v>
      </c>
      <c r="I150" t="s">
        <v>427</v>
      </c>
      <c r="J150">
        <v>-0.93328485999999999</v>
      </c>
      <c r="K150" t="s">
        <v>440</v>
      </c>
      <c r="L150" t="s">
        <v>452</v>
      </c>
      <c r="M150">
        <v>8.4248020759000004E-4</v>
      </c>
      <c r="N150">
        <v>7.8627402095360365E-4</v>
      </c>
      <c r="O150">
        <v>29976.978999999999</v>
      </c>
      <c r="P150">
        <v>1.6679465999999999E-5</v>
      </c>
      <c r="Q150">
        <v>1</v>
      </c>
      <c r="R150" s="61">
        <v>7.8627402095360365E-4</v>
      </c>
      <c r="S150" t="s">
        <v>336</v>
      </c>
      <c r="T150" t="s">
        <v>433</v>
      </c>
      <c r="U150" t="s">
        <v>425</v>
      </c>
      <c r="V150" t="s">
        <v>28</v>
      </c>
      <c r="W150">
        <v>111.133</v>
      </c>
      <c r="X150">
        <v>0.99819678194932504</v>
      </c>
      <c r="Y150">
        <v>110.9326029683743</v>
      </c>
      <c r="Z150">
        <v>682.07</v>
      </c>
      <c r="AA150">
        <v>1</v>
      </c>
      <c r="AB150">
        <v>75.663800506639092</v>
      </c>
      <c r="AC150">
        <v>1.0196000000000001</v>
      </c>
      <c r="AD150" s="63">
        <v>77.147000000000006</v>
      </c>
      <c r="AE150">
        <v>8.9176000000000002</v>
      </c>
      <c r="AF150">
        <v>8.9015196227113016</v>
      </c>
      <c r="AG150">
        <v>1</v>
      </c>
      <c r="AH150">
        <v>6071.4594890626977</v>
      </c>
      <c r="AI150">
        <v>0.97991730655640863</v>
      </c>
      <c r="AJ150" s="63">
        <v>5949.5281999999997</v>
      </c>
      <c r="AK150" s="61">
        <v>4.6779594605908557</v>
      </c>
      <c r="AL150" t="s">
        <v>339</v>
      </c>
      <c r="AM150" t="s">
        <v>433</v>
      </c>
      <c r="AN150" t="s">
        <v>425</v>
      </c>
      <c r="AO150" t="s">
        <v>28</v>
      </c>
      <c r="AP150">
        <v>111.133</v>
      </c>
      <c r="AQ150">
        <v>1.0062587218588701</v>
      </c>
      <c r="AR150">
        <v>111.82855053634179</v>
      </c>
      <c r="AS150">
        <v>663.92</v>
      </c>
      <c r="AT150">
        <v>1</v>
      </c>
      <c r="AU150">
        <v>74.245211272088028</v>
      </c>
      <c r="AV150">
        <v>1.0196000000000001</v>
      </c>
      <c r="AW150" s="63">
        <v>75.7</v>
      </c>
      <c r="AX150">
        <v>8.9176000000000002</v>
      </c>
      <c r="AY150">
        <v>1</v>
      </c>
      <c r="AZ150">
        <v>5957.6282116020648</v>
      </c>
      <c r="BA150">
        <v>0.97991730655640863</v>
      </c>
      <c r="BB150" s="63">
        <v>5837.9830000000002</v>
      </c>
      <c r="BC150" s="61">
        <v>4.5902543676687824</v>
      </c>
    </row>
    <row r="151" spans="1:55" x14ac:dyDescent="0.25">
      <c r="A151">
        <v>16896</v>
      </c>
      <c r="B151" t="s">
        <v>125</v>
      </c>
      <c r="C151">
        <v>2017</v>
      </c>
      <c r="D151">
        <v>3</v>
      </c>
      <c r="E151" t="s">
        <v>51</v>
      </c>
      <c r="F151" t="s">
        <v>449</v>
      </c>
      <c r="G151" t="s">
        <v>84</v>
      </c>
      <c r="H151" t="s">
        <v>59</v>
      </c>
      <c r="I151" t="s">
        <v>427</v>
      </c>
      <c r="J151">
        <v>-2.7184492100000002</v>
      </c>
      <c r="K151" t="s">
        <v>440</v>
      </c>
      <c r="L151" t="s">
        <v>450</v>
      </c>
      <c r="M151">
        <v>0.15931709696460999</v>
      </c>
      <c r="N151">
        <v>0.43309543633298192</v>
      </c>
      <c r="O151">
        <v>29976.978999999999</v>
      </c>
      <c r="P151">
        <v>1.6679465999999999E-5</v>
      </c>
      <c r="Q151">
        <v>1</v>
      </c>
      <c r="R151" s="61">
        <v>0.43309543633298192</v>
      </c>
      <c r="S151" t="s">
        <v>336</v>
      </c>
      <c r="T151" t="s">
        <v>433</v>
      </c>
      <c r="U151" t="s">
        <v>425</v>
      </c>
      <c r="V151" t="s">
        <v>26</v>
      </c>
      <c r="W151">
        <v>111.133</v>
      </c>
      <c r="X151">
        <v>0.99819678194932504</v>
      </c>
      <c r="Y151">
        <v>110.9326029683743</v>
      </c>
      <c r="Z151">
        <v>682.07</v>
      </c>
      <c r="AA151">
        <v>1</v>
      </c>
      <c r="AB151">
        <v>75.663800506639092</v>
      </c>
      <c r="AC151">
        <v>1.0178</v>
      </c>
      <c r="AD151" s="63">
        <v>77.010999999999996</v>
      </c>
      <c r="AE151">
        <v>8.9176000000000002</v>
      </c>
      <c r="AF151">
        <v>8.9015196227113016</v>
      </c>
      <c r="AG151">
        <v>1</v>
      </c>
      <c r="AH151">
        <v>6071.4594890626977</v>
      </c>
      <c r="AI151">
        <v>1.0020831266739409</v>
      </c>
      <c r="AJ151" s="63">
        <v>6084.1071000000002</v>
      </c>
      <c r="AK151" s="61">
        <v>2634.9990191710931</v>
      </c>
      <c r="AL151" t="s">
        <v>339</v>
      </c>
      <c r="AM151" t="s">
        <v>433</v>
      </c>
      <c r="AN151" t="s">
        <v>425</v>
      </c>
      <c r="AO151" t="s">
        <v>26</v>
      </c>
      <c r="AP151">
        <v>111.133</v>
      </c>
      <c r="AQ151">
        <v>1.0062587218588701</v>
      </c>
      <c r="AR151">
        <v>111.82855053634179</v>
      </c>
      <c r="AS151">
        <v>663.92</v>
      </c>
      <c r="AT151">
        <v>1</v>
      </c>
      <c r="AU151">
        <v>74.245211272088028</v>
      </c>
      <c r="AV151">
        <v>1.0178</v>
      </c>
      <c r="AW151" s="63">
        <v>75.566999999999993</v>
      </c>
      <c r="AX151">
        <v>8.9176000000000002</v>
      </c>
      <c r="AY151">
        <v>1</v>
      </c>
      <c r="AZ151">
        <v>5957.6282116020648</v>
      </c>
      <c r="BA151">
        <v>1.0020831266739409</v>
      </c>
      <c r="BB151" s="63">
        <v>5970.0387000000001</v>
      </c>
      <c r="BC151" s="61">
        <v>2585.5965157012879</v>
      </c>
    </row>
    <row r="152" spans="1:55" x14ac:dyDescent="0.25">
      <c r="A152">
        <v>16897</v>
      </c>
      <c r="B152" t="s">
        <v>125</v>
      </c>
      <c r="C152">
        <v>2017</v>
      </c>
      <c r="D152">
        <v>3</v>
      </c>
      <c r="E152" t="s">
        <v>51</v>
      </c>
      <c r="F152" t="s">
        <v>449</v>
      </c>
      <c r="G152" t="s">
        <v>84</v>
      </c>
      <c r="H152" t="s">
        <v>59</v>
      </c>
      <c r="I152" t="s">
        <v>427</v>
      </c>
      <c r="J152">
        <v>-2.7184492100000002</v>
      </c>
      <c r="K152" t="s">
        <v>440</v>
      </c>
      <c r="L152" t="s">
        <v>384</v>
      </c>
      <c r="M152">
        <v>4.1785183859599999E-2</v>
      </c>
      <c r="N152">
        <v>0.1135909000397322</v>
      </c>
      <c r="O152">
        <v>29976.978999999999</v>
      </c>
      <c r="P152">
        <v>1.6679465999999999E-5</v>
      </c>
      <c r="Q152">
        <v>1</v>
      </c>
      <c r="R152" s="61">
        <v>0.1135909000397322</v>
      </c>
      <c r="S152" t="s">
        <v>336</v>
      </c>
      <c r="T152" t="s">
        <v>433</v>
      </c>
      <c r="U152" t="s">
        <v>425</v>
      </c>
      <c r="V152" t="s">
        <v>81</v>
      </c>
      <c r="W152">
        <v>111.133</v>
      </c>
      <c r="X152">
        <v>0.99819678194932504</v>
      </c>
      <c r="Y152">
        <v>110.9326029683743</v>
      </c>
      <c r="Z152">
        <v>682.07</v>
      </c>
      <c r="AA152">
        <v>1</v>
      </c>
      <c r="AB152">
        <v>75.663800506639092</v>
      </c>
      <c r="AC152">
        <v>0.92979999999999996</v>
      </c>
      <c r="AD152" s="63">
        <v>70.352000000000004</v>
      </c>
      <c r="AE152">
        <v>8.9176000000000002</v>
      </c>
      <c r="AF152">
        <v>8.9015196227113016</v>
      </c>
      <c r="AG152">
        <v>1</v>
      </c>
      <c r="AH152">
        <v>6071.4594890626977</v>
      </c>
      <c r="AI152">
        <v>1.0375922509225091</v>
      </c>
      <c r="AJ152" s="63">
        <v>6299.6993000000002</v>
      </c>
      <c r="AK152" s="61">
        <v>715.58851346667086</v>
      </c>
      <c r="AL152" t="s">
        <v>339</v>
      </c>
      <c r="AM152" t="s">
        <v>433</v>
      </c>
      <c r="AN152" t="s">
        <v>425</v>
      </c>
      <c r="AO152" t="s">
        <v>81</v>
      </c>
      <c r="AP152">
        <v>111.133</v>
      </c>
      <c r="AQ152">
        <v>1.0062587218588701</v>
      </c>
      <c r="AR152">
        <v>111.82855053634179</v>
      </c>
      <c r="AS152">
        <v>663.92</v>
      </c>
      <c r="AT152">
        <v>1</v>
      </c>
      <c r="AU152">
        <v>74.245211272088028</v>
      </c>
      <c r="AV152">
        <v>0.92979999999999996</v>
      </c>
      <c r="AW152" s="63">
        <v>69.033000000000001</v>
      </c>
      <c r="AX152">
        <v>8.9176000000000002</v>
      </c>
      <c r="AY152">
        <v>1</v>
      </c>
      <c r="AZ152">
        <v>5957.6282116020648</v>
      </c>
      <c r="BA152">
        <v>1.0375922509225091</v>
      </c>
      <c r="BB152" s="63">
        <v>6181.5888999999997</v>
      </c>
      <c r="BC152" s="61">
        <v>702.17224682661799</v>
      </c>
    </row>
    <row r="153" spans="1:55" x14ac:dyDescent="0.25">
      <c r="A153">
        <v>16898</v>
      </c>
      <c r="B153" t="s">
        <v>125</v>
      </c>
      <c r="C153">
        <v>2017</v>
      </c>
      <c r="D153">
        <v>3</v>
      </c>
      <c r="E153" t="s">
        <v>51</v>
      </c>
      <c r="F153" t="s">
        <v>449</v>
      </c>
      <c r="G153" t="s">
        <v>84</v>
      </c>
      <c r="H153" t="s">
        <v>59</v>
      </c>
      <c r="I153" t="s">
        <v>427</v>
      </c>
      <c r="J153">
        <v>-2.7184492100000002</v>
      </c>
      <c r="K153" t="s">
        <v>440</v>
      </c>
      <c r="L153" t="s">
        <v>385</v>
      </c>
      <c r="M153">
        <v>0.43497567483749999</v>
      </c>
      <c r="N153">
        <v>1.182459279494827</v>
      </c>
      <c r="O153">
        <v>29976.978999999999</v>
      </c>
      <c r="P153">
        <v>1.6679465999999999E-5</v>
      </c>
      <c r="Q153">
        <v>1</v>
      </c>
      <c r="R153" s="61">
        <v>1.182459279494827</v>
      </c>
      <c r="S153" t="s">
        <v>336</v>
      </c>
      <c r="T153" t="s">
        <v>433</v>
      </c>
      <c r="U153" t="s">
        <v>425</v>
      </c>
      <c r="V153" t="s">
        <v>27</v>
      </c>
      <c r="W153">
        <v>111.133</v>
      </c>
      <c r="X153">
        <v>0.99819678194932504</v>
      </c>
      <c r="Y153">
        <v>110.9326029683743</v>
      </c>
      <c r="Z153">
        <v>682.07</v>
      </c>
      <c r="AA153">
        <v>1</v>
      </c>
      <c r="AB153">
        <v>75.663800506639092</v>
      </c>
      <c r="AC153">
        <v>0.99739999999999995</v>
      </c>
      <c r="AD153" s="63">
        <v>75.466999999999999</v>
      </c>
      <c r="AE153">
        <v>8.9176000000000002</v>
      </c>
      <c r="AF153">
        <v>8.9015196227113016</v>
      </c>
      <c r="AG153">
        <v>1</v>
      </c>
      <c r="AH153">
        <v>6071.4594890626977</v>
      </c>
      <c r="AI153">
        <v>1.0108695652173909</v>
      </c>
      <c r="AJ153" s="63">
        <v>6137.4535999999998</v>
      </c>
      <c r="AK153" s="61">
        <v>7257.288961788935</v>
      </c>
      <c r="AL153" t="s">
        <v>339</v>
      </c>
      <c r="AM153" t="s">
        <v>433</v>
      </c>
      <c r="AN153" t="s">
        <v>425</v>
      </c>
      <c r="AO153" t="s">
        <v>27</v>
      </c>
      <c r="AP153">
        <v>111.133</v>
      </c>
      <c r="AQ153">
        <v>1.0062587218588701</v>
      </c>
      <c r="AR153">
        <v>111.82855053634179</v>
      </c>
      <c r="AS153">
        <v>663.92</v>
      </c>
      <c r="AT153">
        <v>1</v>
      </c>
      <c r="AU153">
        <v>74.245211272088028</v>
      </c>
      <c r="AV153">
        <v>0.99739999999999995</v>
      </c>
      <c r="AW153" s="63">
        <v>74.052000000000007</v>
      </c>
      <c r="AX153">
        <v>8.9176000000000002</v>
      </c>
      <c r="AY153">
        <v>1</v>
      </c>
      <c r="AZ153">
        <v>5957.6282116020648</v>
      </c>
      <c r="BA153">
        <v>1.0108695652173909</v>
      </c>
      <c r="BB153" s="63">
        <v>6022.3850000000002</v>
      </c>
      <c r="BC153" s="61">
        <v>7121.2250279404561</v>
      </c>
    </row>
    <row r="154" spans="1:55" x14ac:dyDescent="0.25">
      <c r="A154">
        <v>16899</v>
      </c>
      <c r="B154" t="s">
        <v>125</v>
      </c>
      <c r="C154">
        <v>2017</v>
      </c>
      <c r="D154">
        <v>3</v>
      </c>
      <c r="E154" t="s">
        <v>51</v>
      </c>
      <c r="F154" t="s">
        <v>449</v>
      </c>
      <c r="G154" t="s">
        <v>84</v>
      </c>
      <c r="H154" t="s">
        <v>59</v>
      </c>
      <c r="I154" t="s">
        <v>427</v>
      </c>
      <c r="J154">
        <v>-2.7184492100000002</v>
      </c>
      <c r="K154" t="s">
        <v>440</v>
      </c>
      <c r="L154" t="s">
        <v>451</v>
      </c>
      <c r="M154">
        <v>1.7625750762999999E-3</v>
      </c>
      <c r="N154">
        <v>4.7914708231807501E-3</v>
      </c>
      <c r="O154">
        <v>29976.978999999999</v>
      </c>
      <c r="P154">
        <v>1.6679465999999999E-5</v>
      </c>
      <c r="Q154">
        <v>1</v>
      </c>
      <c r="R154" s="61">
        <v>4.7914708231807501E-3</v>
      </c>
      <c r="S154" t="s">
        <v>336</v>
      </c>
      <c r="T154" t="s">
        <v>433</v>
      </c>
      <c r="U154" t="s">
        <v>425</v>
      </c>
      <c r="V154" t="s">
        <v>91</v>
      </c>
      <c r="W154">
        <v>111.133</v>
      </c>
      <c r="X154">
        <v>0.99819678194932504</v>
      </c>
      <c r="Y154">
        <v>110.9326029683743</v>
      </c>
      <c r="Z154">
        <v>682.07</v>
      </c>
      <c r="AA154">
        <v>1</v>
      </c>
      <c r="AB154">
        <v>75.663800506639092</v>
      </c>
      <c r="AC154">
        <v>1.0269999999999999</v>
      </c>
      <c r="AD154" s="63">
        <v>77.706999999999994</v>
      </c>
      <c r="AE154">
        <v>8.9176000000000002</v>
      </c>
      <c r="AF154">
        <v>8.9015196227113016</v>
      </c>
      <c r="AG154">
        <v>1</v>
      </c>
      <c r="AH154">
        <v>6071.4594890626977</v>
      </c>
      <c r="AI154">
        <v>0.98496680983990625</v>
      </c>
      <c r="AJ154" s="63">
        <v>5980.1860999999999</v>
      </c>
      <c r="AK154" s="61">
        <v>28.653887215341079</v>
      </c>
      <c r="AL154" t="s">
        <v>339</v>
      </c>
      <c r="AM154" t="s">
        <v>433</v>
      </c>
      <c r="AN154" t="s">
        <v>425</v>
      </c>
      <c r="AO154" t="s">
        <v>91</v>
      </c>
      <c r="AP154">
        <v>111.133</v>
      </c>
      <c r="AQ154">
        <v>1.0062587218588701</v>
      </c>
      <c r="AR154">
        <v>111.82855053634179</v>
      </c>
      <c r="AS154">
        <v>663.92</v>
      </c>
      <c r="AT154">
        <v>1</v>
      </c>
      <c r="AU154">
        <v>74.245211272088028</v>
      </c>
      <c r="AV154">
        <v>1.0269999999999999</v>
      </c>
      <c r="AW154" s="63">
        <v>76.25</v>
      </c>
      <c r="AX154">
        <v>8.9176000000000002</v>
      </c>
      <c r="AY154">
        <v>1</v>
      </c>
      <c r="AZ154">
        <v>5957.6282116020648</v>
      </c>
      <c r="BA154">
        <v>0.98496680983990625</v>
      </c>
      <c r="BB154" s="63">
        <v>5868.0661</v>
      </c>
      <c r="BC154" s="61">
        <v>28.116667506646049</v>
      </c>
    </row>
    <row r="155" spans="1:55" x14ac:dyDescent="0.25">
      <c r="A155">
        <v>16900</v>
      </c>
      <c r="B155" t="s">
        <v>125</v>
      </c>
      <c r="C155">
        <v>2017</v>
      </c>
      <c r="D155">
        <v>3</v>
      </c>
      <c r="E155" t="s">
        <v>51</v>
      </c>
      <c r="F155" t="s">
        <v>449</v>
      </c>
      <c r="G155" t="s">
        <v>84</v>
      </c>
      <c r="H155" t="s">
        <v>59</v>
      </c>
      <c r="I155" t="s">
        <v>427</v>
      </c>
      <c r="J155">
        <v>-2.7184492100000002</v>
      </c>
      <c r="K155" t="s">
        <v>440</v>
      </c>
      <c r="L155" t="s">
        <v>452</v>
      </c>
      <c r="M155">
        <v>1.4858046103299999E-3</v>
      </c>
      <c r="N155">
        <v>4.0390843687000567E-3</v>
      </c>
      <c r="O155">
        <v>29976.978999999999</v>
      </c>
      <c r="P155">
        <v>1.6679465999999999E-5</v>
      </c>
      <c r="Q155">
        <v>1</v>
      </c>
      <c r="R155" s="61">
        <v>4.0390843687000567E-3</v>
      </c>
      <c r="S155" t="s">
        <v>336</v>
      </c>
      <c r="T155" t="s">
        <v>433</v>
      </c>
      <c r="U155" t="s">
        <v>425</v>
      </c>
      <c r="V155" t="s">
        <v>28</v>
      </c>
      <c r="W155">
        <v>111.133</v>
      </c>
      <c r="X155">
        <v>0.99819678194932504</v>
      </c>
      <c r="Y155">
        <v>110.9326029683743</v>
      </c>
      <c r="Z155">
        <v>682.07</v>
      </c>
      <c r="AA155">
        <v>1</v>
      </c>
      <c r="AB155">
        <v>75.663800506639092</v>
      </c>
      <c r="AC155">
        <v>1.0196000000000001</v>
      </c>
      <c r="AD155" s="63">
        <v>77.147000000000006</v>
      </c>
      <c r="AE155">
        <v>8.9176000000000002</v>
      </c>
      <c r="AF155">
        <v>8.9015196227113016</v>
      </c>
      <c r="AG155">
        <v>1</v>
      </c>
      <c r="AH155">
        <v>6071.4594890626977</v>
      </c>
      <c r="AI155">
        <v>0.97991730655640863</v>
      </c>
      <c r="AJ155" s="63">
        <v>5949.5281999999997</v>
      </c>
      <c r="AK155" s="61">
        <v>24.030646353760179</v>
      </c>
      <c r="AL155" t="s">
        <v>339</v>
      </c>
      <c r="AM155" t="s">
        <v>433</v>
      </c>
      <c r="AN155" t="s">
        <v>425</v>
      </c>
      <c r="AO155" t="s">
        <v>28</v>
      </c>
      <c r="AP155">
        <v>111.133</v>
      </c>
      <c r="AQ155">
        <v>1.0062587218588701</v>
      </c>
      <c r="AR155">
        <v>111.82855053634179</v>
      </c>
      <c r="AS155">
        <v>663.92</v>
      </c>
      <c r="AT155">
        <v>1</v>
      </c>
      <c r="AU155">
        <v>74.245211272088028</v>
      </c>
      <c r="AV155">
        <v>1.0196000000000001</v>
      </c>
      <c r="AW155" s="63">
        <v>75.7</v>
      </c>
      <c r="AX155">
        <v>8.9176000000000002</v>
      </c>
      <c r="AY155">
        <v>1</v>
      </c>
      <c r="AZ155">
        <v>5957.6282116020648</v>
      </c>
      <c r="BA155">
        <v>0.97991730655640863</v>
      </c>
      <c r="BB155" s="63">
        <v>5837.9830000000002</v>
      </c>
      <c r="BC155" s="61">
        <v>23.580105880036669</v>
      </c>
    </row>
    <row r="156" spans="1:55" x14ac:dyDescent="0.25">
      <c r="A156">
        <v>19201</v>
      </c>
      <c r="B156" t="s">
        <v>141</v>
      </c>
      <c r="C156">
        <v>2017</v>
      </c>
      <c r="D156">
        <v>4</v>
      </c>
      <c r="E156" t="s">
        <v>51</v>
      </c>
      <c r="F156" t="s">
        <v>449</v>
      </c>
      <c r="G156" t="s">
        <v>84</v>
      </c>
      <c r="H156" t="s">
        <v>381</v>
      </c>
      <c r="I156" t="s">
        <v>427</v>
      </c>
      <c r="J156">
        <v>-4.8277693399999997</v>
      </c>
      <c r="K156" t="s">
        <v>440</v>
      </c>
      <c r="L156" t="s">
        <v>450</v>
      </c>
      <c r="M156">
        <v>0.15011157993331001</v>
      </c>
      <c r="N156">
        <v>0.72470408330498137</v>
      </c>
      <c r="O156">
        <v>29976.978999999999</v>
      </c>
      <c r="P156">
        <v>1.6679465999999999E-5</v>
      </c>
      <c r="Q156">
        <v>1</v>
      </c>
      <c r="R156" s="61">
        <v>0.72470408330498137</v>
      </c>
      <c r="S156" t="s">
        <v>336</v>
      </c>
      <c r="T156" t="s">
        <v>433</v>
      </c>
      <c r="U156" t="s">
        <v>425</v>
      </c>
      <c r="V156" t="s">
        <v>26</v>
      </c>
      <c r="W156">
        <v>111.133</v>
      </c>
      <c r="X156">
        <v>0.99819678194932504</v>
      </c>
      <c r="Y156">
        <v>110.9326029683743</v>
      </c>
      <c r="Z156">
        <v>682.07</v>
      </c>
      <c r="AA156">
        <v>1</v>
      </c>
      <c r="AB156">
        <v>75.663800506639092</v>
      </c>
      <c r="AC156">
        <v>1.0178</v>
      </c>
      <c r="AD156" s="63">
        <v>77.010999999999996</v>
      </c>
      <c r="AE156">
        <v>8.9176000000000002</v>
      </c>
      <c r="AF156">
        <v>8.9015196227113016</v>
      </c>
      <c r="AG156">
        <v>1</v>
      </c>
      <c r="AH156">
        <v>6071.4594890626977</v>
      </c>
      <c r="AI156">
        <v>1.0020831266739409</v>
      </c>
      <c r="AJ156" s="63">
        <v>6084.1071000000002</v>
      </c>
      <c r="AK156" s="61">
        <v>4409.1772586348288</v>
      </c>
      <c r="AL156" t="s">
        <v>339</v>
      </c>
      <c r="AM156" t="s">
        <v>433</v>
      </c>
      <c r="AN156" t="s">
        <v>425</v>
      </c>
      <c r="AO156" t="s">
        <v>26</v>
      </c>
      <c r="AP156">
        <v>111.133</v>
      </c>
      <c r="AQ156">
        <v>1.0062587218588701</v>
      </c>
      <c r="AR156">
        <v>111.82855053634179</v>
      </c>
      <c r="AS156">
        <v>655.74</v>
      </c>
      <c r="AT156">
        <v>1</v>
      </c>
      <c r="AU156">
        <v>73.330453728700761</v>
      </c>
      <c r="AV156">
        <v>1.0178</v>
      </c>
      <c r="AW156" s="63">
        <v>74.635999999999996</v>
      </c>
      <c r="AX156">
        <v>8.9176000000000002</v>
      </c>
      <c r="AY156">
        <v>1</v>
      </c>
      <c r="AZ156">
        <v>5884.2256950776273</v>
      </c>
      <c r="BA156">
        <v>1.0020831266739409</v>
      </c>
      <c r="BB156" s="63">
        <v>5896.4832999999999</v>
      </c>
      <c r="BC156" s="61">
        <v>4273.2055246496311</v>
      </c>
    </row>
    <row r="157" spans="1:55" x14ac:dyDescent="0.25">
      <c r="A157">
        <v>19202</v>
      </c>
      <c r="B157" t="s">
        <v>141</v>
      </c>
      <c r="C157">
        <v>2017</v>
      </c>
      <c r="D157">
        <v>4</v>
      </c>
      <c r="E157" t="s">
        <v>51</v>
      </c>
      <c r="F157" t="s">
        <v>449</v>
      </c>
      <c r="G157" t="s">
        <v>84</v>
      </c>
      <c r="H157" t="s">
        <v>381</v>
      </c>
      <c r="I157" t="s">
        <v>427</v>
      </c>
      <c r="J157">
        <v>-4.8277693399999997</v>
      </c>
      <c r="K157" t="s">
        <v>440</v>
      </c>
      <c r="L157" t="s">
        <v>384</v>
      </c>
      <c r="M157">
        <v>4.5811354346740003E-2</v>
      </c>
      <c r="N157">
        <v>0.22116665197690599</v>
      </c>
      <c r="O157">
        <v>29976.978999999999</v>
      </c>
      <c r="P157">
        <v>1.6679465999999999E-5</v>
      </c>
      <c r="Q157">
        <v>1</v>
      </c>
      <c r="R157" s="61">
        <v>0.22116665197690599</v>
      </c>
      <c r="S157" t="s">
        <v>336</v>
      </c>
      <c r="T157" t="s">
        <v>433</v>
      </c>
      <c r="U157" t="s">
        <v>425</v>
      </c>
      <c r="V157" t="s">
        <v>81</v>
      </c>
      <c r="W157">
        <v>111.133</v>
      </c>
      <c r="X157">
        <v>0.99819678194932504</v>
      </c>
      <c r="Y157">
        <v>110.9326029683743</v>
      </c>
      <c r="Z157">
        <v>682.07</v>
      </c>
      <c r="AA157">
        <v>1</v>
      </c>
      <c r="AB157">
        <v>75.663800506639092</v>
      </c>
      <c r="AC157">
        <v>0.92979999999999996</v>
      </c>
      <c r="AD157" s="63">
        <v>70.352000000000004</v>
      </c>
      <c r="AE157">
        <v>8.9176000000000002</v>
      </c>
      <c r="AF157">
        <v>8.9015196227113016</v>
      </c>
      <c r="AG157">
        <v>1</v>
      </c>
      <c r="AH157">
        <v>6071.4594890626977</v>
      </c>
      <c r="AI157">
        <v>1.0375922509225091</v>
      </c>
      <c r="AJ157" s="63">
        <v>6299.6993000000002</v>
      </c>
      <c r="AK157" s="61">
        <v>1393.283402642259</v>
      </c>
      <c r="AL157" t="s">
        <v>339</v>
      </c>
      <c r="AM157" t="s">
        <v>433</v>
      </c>
      <c r="AN157" t="s">
        <v>425</v>
      </c>
      <c r="AO157" t="s">
        <v>81</v>
      </c>
      <c r="AP157">
        <v>111.133</v>
      </c>
      <c r="AQ157">
        <v>1.0062587218588701</v>
      </c>
      <c r="AR157">
        <v>111.82855053634179</v>
      </c>
      <c r="AS157">
        <v>655.74</v>
      </c>
      <c r="AT157">
        <v>1</v>
      </c>
      <c r="AU157">
        <v>73.330453728700761</v>
      </c>
      <c r="AV157">
        <v>0.92979999999999996</v>
      </c>
      <c r="AW157" s="63">
        <v>68.183000000000007</v>
      </c>
      <c r="AX157">
        <v>8.9176000000000002</v>
      </c>
      <c r="AY157">
        <v>1</v>
      </c>
      <c r="AZ157">
        <v>5884.2256950776273</v>
      </c>
      <c r="BA157">
        <v>1.0375922509225091</v>
      </c>
      <c r="BB157" s="63">
        <v>6105.4269999999997</v>
      </c>
      <c r="BC157" s="61">
        <v>1350.316848479406</v>
      </c>
    </row>
    <row r="158" spans="1:55" x14ac:dyDescent="0.25">
      <c r="A158">
        <v>19203</v>
      </c>
      <c r="B158" t="s">
        <v>141</v>
      </c>
      <c r="C158">
        <v>2017</v>
      </c>
      <c r="D158">
        <v>4</v>
      </c>
      <c r="E158" t="s">
        <v>51</v>
      </c>
      <c r="F158" t="s">
        <v>449</v>
      </c>
      <c r="G158" t="s">
        <v>84</v>
      </c>
      <c r="H158" t="s">
        <v>381</v>
      </c>
      <c r="I158" t="s">
        <v>427</v>
      </c>
      <c r="J158">
        <v>-4.8277693399999997</v>
      </c>
      <c r="K158" t="s">
        <v>440</v>
      </c>
      <c r="L158" t="s">
        <v>385</v>
      </c>
      <c r="M158">
        <v>0.43232641346992001</v>
      </c>
      <c r="N158">
        <v>2.0871722041793328</v>
      </c>
      <c r="O158">
        <v>29976.978999999999</v>
      </c>
      <c r="P158">
        <v>1.6679465999999999E-5</v>
      </c>
      <c r="Q158">
        <v>1</v>
      </c>
      <c r="R158" s="61">
        <v>2.0871722041793328</v>
      </c>
      <c r="S158" t="s">
        <v>336</v>
      </c>
      <c r="T158" t="s">
        <v>433</v>
      </c>
      <c r="U158" t="s">
        <v>425</v>
      </c>
      <c r="V158" t="s">
        <v>27</v>
      </c>
      <c r="W158">
        <v>111.133</v>
      </c>
      <c r="X158">
        <v>0.99819678194932504</v>
      </c>
      <c r="Y158">
        <v>110.9326029683743</v>
      </c>
      <c r="Z158">
        <v>682.07</v>
      </c>
      <c r="AA158">
        <v>1</v>
      </c>
      <c r="AB158">
        <v>75.663800506639092</v>
      </c>
      <c r="AC158">
        <v>0.99739999999999995</v>
      </c>
      <c r="AD158" s="63">
        <v>75.466999999999999</v>
      </c>
      <c r="AE158">
        <v>8.9176000000000002</v>
      </c>
      <c r="AF158">
        <v>8.9015196227113016</v>
      </c>
      <c r="AG158">
        <v>1</v>
      </c>
      <c r="AH158">
        <v>6071.4594890626977</v>
      </c>
      <c r="AI158">
        <v>1.0108695652173909</v>
      </c>
      <c r="AJ158" s="63">
        <v>6137.4535999999998</v>
      </c>
      <c r="AK158" s="61">
        <v>12809.92255836038</v>
      </c>
      <c r="AL158" t="s">
        <v>339</v>
      </c>
      <c r="AM158" t="s">
        <v>433</v>
      </c>
      <c r="AN158" t="s">
        <v>425</v>
      </c>
      <c r="AO158" t="s">
        <v>27</v>
      </c>
      <c r="AP158">
        <v>111.133</v>
      </c>
      <c r="AQ158">
        <v>1.0062587218588701</v>
      </c>
      <c r="AR158">
        <v>111.82855053634179</v>
      </c>
      <c r="AS158">
        <v>655.74</v>
      </c>
      <c r="AT158">
        <v>1</v>
      </c>
      <c r="AU158">
        <v>73.330453728700761</v>
      </c>
      <c r="AV158">
        <v>0.99739999999999995</v>
      </c>
      <c r="AW158" s="63">
        <v>73.14</v>
      </c>
      <c r="AX158">
        <v>8.9176000000000002</v>
      </c>
      <c r="AY158">
        <v>1</v>
      </c>
      <c r="AZ158">
        <v>5884.2256950776273</v>
      </c>
      <c r="BA158">
        <v>1.0108695652173909</v>
      </c>
      <c r="BB158" s="63">
        <v>5948.1846999999998</v>
      </c>
      <c r="BC158" s="61">
        <v>12414.88577116478</v>
      </c>
    </row>
    <row r="159" spans="1:55" x14ac:dyDescent="0.25">
      <c r="A159">
        <v>19204</v>
      </c>
      <c r="B159" t="s">
        <v>141</v>
      </c>
      <c r="C159">
        <v>2017</v>
      </c>
      <c r="D159">
        <v>4</v>
      </c>
      <c r="E159" t="s">
        <v>51</v>
      </c>
      <c r="F159" t="s">
        <v>449</v>
      </c>
      <c r="G159" t="s">
        <v>84</v>
      </c>
      <c r="H159" t="s">
        <v>381</v>
      </c>
      <c r="I159" t="s">
        <v>427</v>
      </c>
      <c r="J159">
        <v>-4.8277693399999997</v>
      </c>
      <c r="K159" t="s">
        <v>440</v>
      </c>
      <c r="L159" t="s">
        <v>451</v>
      </c>
      <c r="M159">
        <v>1.6825115802299999E-3</v>
      </c>
      <c r="N159">
        <v>8.1227778226190522E-3</v>
      </c>
      <c r="O159">
        <v>29976.978999999999</v>
      </c>
      <c r="P159">
        <v>1.6679465999999999E-5</v>
      </c>
      <c r="Q159">
        <v>1</v>
      </c>
      <c r="R159" s="61">
        <v>8.1227778226190522E-3</v>
      </c>
      <c r="S159" t="s">
        <v>336</v>
      </c>
      <c r="T159" t="s">
        <v>433</v>
      </c>
      <c r="U159" t="s">
        <v>425</v>
      </c>
      <c r="V159" t="s">
        <v>91</v>
      </c>
      <c r="W159">
        <v>111.133</v>
      </c>
      <c r="X159">
        <v>0.99819678194932504</v>
      </c>
      <c r="Y159">
        <v>110.9326029683743</v>
      </c>
      <c r="Z159">
        <v>682.07</v>
      </c>
      <c r="AA159">
        <v>1</v>
      </c>
      <c r="AB159">
        <v>75.663800506639092</v>
      </c>
      <c r="AC159">
        <v>1.0269999999999999</v>
      </c>
      <c r="AD159" s="63">
        <v>77.706999999999994</v>
      </c>
      <c r="AE159">
        <v>8.9176000000000002</v>
      </c>
      <c r="AF159">
        <v>8.9015196227113016</v>
      </c>
      <c r="AG159">
        <v>1</v>
      </c>
      <c r="AH159">
        <v>6071.4594890626977</v>
      </c>
      <c r="AI159">
        <v>0.98496680983990625</v>
      </c>
      <c r="AJ159" s="63">
        <v>5980.1860999999999</v>
      </c>
      <c r="AK159" s="61">
        <v>48.575723028214718</v>
      </c>
      <c r="AL159" t="s">
        <v>339</v>
      </c>
      <c r="AM159" t="s">
        <v>433</v>
      </c>
      <c r="AN159" t="s">
        <v>425</v>
      </c>
      <c r="AO159" t="s">
        <v>91</v>
      </c>
      <c r="AP159">
        <v>111.133</v>
      </c>
      <c r="AQ159">
        <v>1.0062587218588701</v>
      </c>
      <c r="AR159">
        <v>111.82855053634179</v>
      </c>
      <c r="AS159">
        <v>655.74</v>
      </c>
      <c r="AT159">
        <v>1</v>
      </c>
      <c r="AU159">
        <v>73.330453728700761</v>
      </c>
      <c r="AV159">
        <v>1.0269999999999999</v>
      </c>
      <c r="AW159" s="63">
        <v>75.31</v>
      </c>
      <c r="AX159">
        <v>8.9176000000000002</v>
      </c>
      <c r="AY159">
        <v>1</v>
      </c>
      <c r="AZ159">
        <v>5884.2256950776273</v>
      </c>
      <c r="BA159">
        <v>0.98496680983990625</v>
      </c>
      <c r="BB159" s="63">
        <v>5795.7669999999998</v>
      </c>
      <c r="BC159" s="61">
        <v>47.077727652667363</v>
      </c>
    </row>
    <row r="160" spans="1:55" x14ac:dyDescent="0.25">
      <c r="A160">
        <v>19205</v>
      </c>
      <c r="B160" t="s">
        <v>141</v>
      </c>
      <c r="C160">
        <v>2017</v>
      </c>
      <c r="D160">
        <v>4</v>
      </c>
      <c r="E160" t="s">
        <v>51</v>
      </c>
      <c r="F160" t="s">
        <v>449</v>
      </c>
      <c r="G160" t="s">
        <v>84</v>
      </c>
      <c r="H160" t="s">
        <v>381</v>
      </c>
      <c r="I160" t="s">
        <v>427</v>
      </c>
      <c r="J160">
        <v>-4.8277693399999997</v>
      </c>
      <c r="K160" t="s">
        <v>440</v>
      </c>
      <c r="L160" t="s">
        <v>452</v>
      </c>
      <c r="M160">
        <v>1.53682162831E-3</v>
      </c>
      <c r="N160">
        <v>7.4194203394732667E-3</v>
      </c>
      <c r="O160">
        <v>29976.978999999999</v>
      </c>
      <c r="P160">
        <v>1.6679465999999999E-5</v>
      </c>
      <c r="Q160">
        <v>1</v>
      </c>
      <c r="R160" s="61">
        <v>7.4194203394732667E-3</v>
      </c>
      <c r="S160" t="s">
        <v>336</v>
      </c>
      <c r="T160" t="s">
        <v>433</v>
      </c>
      <c r="U160" t="s">
        <v>425</v>
      </c>
      <c r="V160" t="s">
        <v>28</v>
      </c>
      <c r="W160">
        <v>111.133</v>
      </c>
      <c r="X160">
        <v>0.99819678194932504</v>
      </c>
      <c r="Y160">
        <v>110.9326029683743</v>
      </c>
      <c r="Z160">
        <v>682.07</v>
      </c>
      <c r="AA160">
        <v>1</v>
      </c>
      <c r="AB160">
        <v>75.663800506639092</v>
      </c>
      <c r="AC160">
        <v>1.0196000000000001</v>
      </c>
      <c r="AD160" s="63">
        <v>77.147000000000006</v>
      </c>
      <c r="AE160">
        <v>8.9176000000000002</v>
      </c>
      <c r="AF160">
        <v>8.9015196227113016</v>
      </c>
      <c r="AG160">
        <v>1</v>
      </c>
      <c r="AH160">
        <v>6071.4594890626977</v>
      </c>
      <c r="AI160">
        <v>0.97991730655640863</v>
      </c>
      <c r="AJ160" s="63">
        <v>5949.5281999999997</v>
      </c>
      <c r="AK160" s="61">
        <v>44.142050537349768</v>
      </c>
      <c r="AL160" t="s">
        <v>339</v>
      </c>
      <c r="AM160" t="s">
        <v>433</v>
      </c>
      <c r="AN160" t="s">
        <v>425</v>
      </c>
      <c r="AO160" t="s">
        <v>28</v>
      </c>
      <c r="AP160">
        <v>111.133</v>
      </c>
      <c r="AQ160">
        <v>1.0062587218588701</v>
      </c>
      <c r="AR160">
        <v>111.82855053634179</v>
      </c>
      <c r="AS160">
        <v>655.74</v>
      </c>
      <c r="AT160">
        <v>1</v>
      </c>
      <c r="AU160">
        <v>73.330453728700761</v>
      </c>
      <c r="AV160">
        <v>1.0196000000000001</v>
      </c>
      <c r="AW160" s="63">
        <v>74.768000000000001</v>
      </c>
      <c r="AX160">
        <v>8.9176000000000002</v>
      </c>
      <c r="AY160">
        <v>1</v>
      </c>
      <c r="AZ160">
        <v>5884.2256950776273</v>
      </c>
      <c r="BA160">
        <v>0.97991730655640863</v>
      </c>
      <c r="BB160" s="63">
        <v>5766.0546000000004</v>
      </c>
      <c r="BC160" s="61">
        <v>42.780782777753387</v>
      </c>
    </row>
    <row r="161" spans="1:55" x14ac:dyDescent="0.25">
      <c r="A161">
        <v>19206</v>
      </c>
      <c r="B161" t="s">
        <v>141</v>
      </c>
      <c r="C161">
        <v>2017</v>
      </c>
      <c r="D161">
        <v>4</v>
      </c>
      <c r="E161" t="s">
        <v>51</v>
      </c>
      <c r="F161" t="s">
        <v>449</v>
      </c>
      <c r="G161" t="s">
        <v>84</v>
      </c>
      <c r="H161" t="s">
        <v>87</v>
      </c>
      <c r="I161" t="s">
        <v>427</v>
      </c>
      <c r="J161">
        <v>-1.0404085599999999</v>
      </c>
      <c r="K161" t="s">
        <v>440</v>
      </c>
      <c r="L161" t="s">
        <v>450</v>
      </c>
      <c r="M161">
        <v>0.26601384014995</v>
      </c>
      <c r="N161">
        <v>0.27676307665250438</v>
      </c>
      <c r="O161">
        <v>29976.978999999999</v>
      </c>
      <c r="P161">
        <v>1.6679465999999999E-5</v>
      </c>
      <c r="Q161">
        <v>1</v>
      </c>
      <c r="R161" s="61">
        <v>0.27676307665250438</v>
      </c>
      <c r="S161" t="s">
        <v>336</v>
      </c>
      <c r="T161" t="s">
        <v>433</v>
      </c>
      <c r="U161" t="s">
        <v>425</v>
      </c>
      <c r="V161" t="s">
        <v>26</v>
      </c>
      <c r="W161">
        <v>111.133</v>
      </c>
      <c r="X161">
        <v>0.99819678194932504</v>
      </c>
      <c r="Y161">
        <v>110.9326029683743</v>
      </c>
      <c r="Z161">
        <v>682.07</v>
      </c>
      <c r="AA161">
        <v>1</v>
      </c>
      <c r="AB161">
        <v>75.663800506639092</v>
      </c>
      <c r="AC161">
        <v>1.0178</v>
      </c>
      <c r="AD161" s="63">
        <v>77.010999999999996</v>
      </c>
      <c r="AE161">
        <v>8.9176000000000002</v>
      </c>
      <c r="AF161">
        <v>8.9015196227113016</v>
      </c>
      <c r="AG161">
        <v>1</v>
      </c>
      <c r="AH161">
        <v>6071.4594890626977</v>
      </c>
      <c r="AI161">
        <v>1.0020831266739409</v>
      </c>
      <c r="AJ161" s="63">
        <v>6084.1071000000002</v>
      </c>
      <c r="AK161" s="61">
        <v>1683.856199679346</v>
      </c>
      <c r="AL161" t="s">
        <v>339</v>
      </c>
      <c r="AM161" t="s">
        <v>433</v>
      </c>
      <c r="AN161" t="s">
        <v>425</v>
      </c>
      <c r="AO161" t="s">
        <v>26</v>
      </c>
      <c r="AP161">
        <v>111.133</v>
      </c>
      <c r="AQ161">
        <v>1.0062587218588701</v>
      </c>
      <c r="AR161">
        <v>111.82855053634179</v>
      </c>
      <c r="AS161">
        <v>655.74</v>
      </c>
      <c r="AT161">
        <v>1</v>
      </c>
      <c r="AU161">
        <v>73.330453728700761</v>
      </c>
      <c r="AV161">
        <v>1.0178</v>
      </c>
      <c r="AW161" s="63">
        <v>74.635999999999996</v>
      </c>
      <c r="AX161">
        <v>8.9176000000000002</v>
      </c>
      <c r="AY161">
        <v>1</v>
      </c>
      <c r="AZ161">
        <v>5884.2256950776273</v>
      </c>
      <c r="BA161">
        <v>1.0020831266739409</v>
      </c>
      <c r="BB161" s="63">
        <v>5896.4832999999999</v>
      </c>
      <c r="BC161" s="61">
        <v>1631.928859538112</v>
      </c>
    </row>
    <row r="162" spans="1:55" x14ac:dyDescent="0.25">
      <c r="A162">
        <v>19207</v>
      </c>
      <c r="B162" t="s">
        <v>141</v>
      </c>
      <c r="C162">
        <v>2017</v>
      </c>
      <c r="D162">
        <v>4</v>
      </c>
      <c r="E162" t="s">
        <v>51</v>
      </c>
      <c r="F162" t="s">
        <v>449</v>
      </c>
      <c r="G162" t="s">
        <v>84</v>
      </c>
      <c r="H162" t="s">
        <v>87</v>
      </c>
      <c r="I162" t="s">
        <v>427</v>
      </c>
      <c r="J162">
        <v>-1.0404085599999999</v>
      </c>
      <c r="K162" t="s">
        <v>440</v>
      </c>
      <c r="L162" t="s">
        <v>384</v>
      </c>
      <c r="M162">
        <v>3.9509559941419997E-2</v>
      </c>
      <c r="N162">
        <v>4.1106084406774032E-2</v>
      </c>
      <c r="O162">
        <v>29976.978999999999</v>
      </c>
      <c r="P162">
        <v>1.6679465999999999E-5</v>
      </c>
      <c r="Q162">
        <v>1</v>
      </c>
      <c r="R162" s="61">
        <v>4.1106084406774032E-2</v>
      </c>
      <c r="S162" t="s">
        <v>336</v>
      </c>
      <c r="T162" t="s">
        <v>433</v>
      </c>
      <c r="U162" t="s">
        <v>425</v>
      </c>
      <c r="V162" t="s">
        <v>81</v>
      </c>
      <c r="W162">
        <v>111.133</v>
      </c>
      <c r="X162">
        <v>0.99819678194932504</v>
      </c>
      <c r="Y162">
        <v>110.9326029683743</v>
      </c>
      <c r="Z162">
        <v>682.07</v>
      </c>
      <c r="AA162">
        <v>1</v>
      </c>
      <c r="AB162">
        <v>75.663800506639092</v>
      </c>
      <c r="AC162">
        <v>0.92979999999999996</v>
      </c>
      <c r="AD162" s="63">
        <v>70.352000000000004</v>
      </c>
      <c r="AE162">
        <v>8.9176000000000002</v>
      </c>
      <c r="AF162">
        <v>8.9015196227113016</v>
      </c>
      <c r="AG162">
        <v>1</v>
      </c>
      <c r="AH162">
        <v>6071.4594890626977</v>
      </c>
      <c r="AI162">
        <v>1.0375922509225091</v>
      </c>
      <c r="AJ162" s="63">
        <v>6299.6993000000002</v>
      </c>
      <c r="AK162" s="61">
        <v>258.95597116309523</v>
      </c>
      <c r="AL162" t="s">
        <v>339</v>
      </c>
      <c r="AM162" t="s">
        <v>433</v>
      </c>
      <c r="AN162" t="s">
        <v>425</v>
      </c>
      <c r="AO162" t="s">
        <v>81</v>
      </c>
      <c r="AP162">
        <v>111.133</v>
      </c>
      <c r="AQ162">
        <v>1.0062587218588701</v>
      </c>
      <c r="AR162">
        <v>111.82855053634179</v>
      </c>
      <c r="AS162">
        <v>655.74</v>
      </c>
      <c r="AT162">
        <v>1</v>
      </c>
      <c r="AU162">
        <v>73.330453728700761</v>
      </c>
      <c r="AV162">
        <v>0.92979999999999996</v>
      </c>
      <c r="AW162" s="63">
        <v>68.183000000000007</v>
      </c>
      <c r="AX162">
        <v>8.9176000000000002</v>
      </c>
      <c r="AY162">
        <v>1</v>
      </c>
      <c r="AZ162">
        <v>5884.2256950776273</v>
      </c>
      <c r="BA162">
        <v>1.0375922509225091</v>
      </c>
      <c r="BB162" s="63">
        <v>6105.4269999999997</v>
      </c>
      <c r="BC162" s="61">
        <v>250.9701976013971</v>
      </c>
    </row>
    <row r="163" spans="1:55" x14ac:dyDescent="0.25">
      <c r="A163">
        <v>19208</v>
      </c>
      <c r="B163" t="s">
        <v>141</v>
      </c>
      <c r="C163">
        <v>2017</v>
      </c>
      <c r="D163">
        <v>4</v>
      </c>
      <c r="E163" t="s">
        <v>51</v>
      </c>
      <c r="F163" t="s">
        <v>449</v>
      </c>
      <c r="G163" t="s">
        <v>84</v>
      </c>
      <c r="H163" t="s">
        <v>87</v>
      </c>
      <c r="I163" t="s">
        <v>427</v>
      </c>
      <c r="J163">
        <v>-1.0404085599999999</v>
      </c>
      <c r="K163" t="s">
        <v>440</v>
      </c>
      <c r="L163" t="s">
        <v>385</v>
      </c>
      <c r="M163">
        <v>0.39737542925016001</v>
      </c>
      <c r="N163">
        <v>0.41343279854683362</v>
      </c>
      <c r="O163">
        <v>29976.978999999999</v>
      </c>
      <c r="P163">
        <v>1.6679465999999999E-5</v>
      </c>
      <c r="Q163">
        <v>1</v>
      </c>
      <c r="R163" s="61">
        <v>0.41343279854683362</v>
      </c>
      <c r="S163" t="s">
        <v>336</v>
      </c>
      <c r="T163" t="s">
        <v>433</v>
      </c>
      <c r="U163" t="s">
        <v>425</v>
      </c>
      <c r="V163" t="s">
        <v>27</v>
      </c>
      <c r="W163">
        <v>111.133</v>
      </c>
      <c r="X163">
        <v>0.99819678194932504</v>
      </c>
      <c r="Y163">
        <v>110.9326029683743</v>
      </c>
      <c r="Z163">
        <v>682.07</v>
      </c>
      <c r="AA163">
        <v>1</v>
      </c>
      <c r="AB163">
        <v>75.663800506639092</v>
      </c>
      <c r="AC163">
        <v>0.99739999999999995</v>
      </c>
      <c r="AD163" s="63">
        <v>75.466999999999999</v>
      </c>
      <c r="AE163">
        <v>8.9176000000000002</v>
      </c>
      <c r="AF163">
        <v>8.9015196227113016</v>
      </c>
      <c r="AG163">
        <v>1</v>
      </c>
      <c r="AH163">
        <v>6071.4594890626977</v>
      </c>
      <c r="AI163">
        <v>1.0108695652173909</v>
      </c>
      <c r="AJ163" s="63">
        <v>6137.4535999999998</v>
      </c>
      <c r="AK163" s="61">
        <v>2537.4246177993382</v>
      </c>
      <c r="AL163" t="s">
        <v>339</v>
      </c>
      <c r="AM163" t="s">
        <v>433</v>
      </c>
      <c r="AN163" t="s">
        <v>425</v>
      </c>
      <c r="AO163" t="s">
        <v>27</v>
      </c>
      <c r="AP163">
        <v>111.133</v>
      </c>
      <c r="AQ163">
        <v>1.0062587218588701</v>
      </c>
      <c r="AR163">
        <v>111.82855053634179</v>
      </c>
      <c r="AS163">
        <v>655.74</v>
      </c>
      <c r="AT163">
        <v>1</v>
      </c>
      <c r="AU163">
        <v>73.330453728700761</v>
      </c>
      <c r="AV163">
        <v>0.99739999999999995</v>
      </c>
      <c r="AW163" s="63">
        <v>73.14</v>
      </c>
      <c r="AX163">
        <v>8.9176000000000002</v>
      </c>
      <c r="AY163">
        <v>1</v>
      </c>
      <c r="AZ163">
        <v>5884.2256950776273</v>
      </c>
      <c r="BA163">
        <v>1.0108695652173909</v>
      </c>
      <c r="BB163" s="63">
        <v>5948.1846999999998</v>
      </c>
      <c r="BC163" s="61">
        <v>2459.1746467944581</v>
      </c>
    </row>
    <row r="164" spans="1:55" x14ac:dyDescent="0.25">
      <c r="A164">
        <v>19209</v>
      </c>
      <c r="B164" t="s">
        <v>141</v>
      </c>
      <c r="C164">
        <v>2017</v>
      </c>
      <c r="D164">
        <v>4</v>
      </c>
      <c r="E164" t="s">
        <v>51</v>
      </c>
      <c r="F164" t="s">
        <v>449</v>
      </c>
      <c r="G164" t="s">
        <v>84</v>
      </c>
      <c r="H164" t="s">
        <v>87</v>
      </c>
      <c r="I164" t="s">
        <v>427</v>
      </c>
      <c r="J164">
        <v>-1.0404085599999999</v>
      </c>
      <c r="K164" t="s">
        <v>440</v>
      </c>
      <c r="L164" t="s">
        <v>452</v>
      </c>
      <c r="M164">
        <v>8.4248020759000004E-4</v>
      </c>
      <c r="N164">
        <v>8.7652362050040045E-4</v>
      </c>
      <c r="O164">
        <v>29976.978999999999</v>
      </c>
      <c r="P164">
        <v>1.6679465999999999E-5</v>
      </c>
      <c r="Q164">
        <v>1</v>
      </c>
      <c r="R164" s="61">
        <v>8.7652362050040045E-4</v>
      </c>
      <c r="S164" t="s">
        <v>336</v>
      </c>
      <c r="T164" t="s">
        <v>433</v>
      </c>
      <c r="U164" t="s">
        <v>425</v>
      </c>
      <c r="V164" t="s">
        <v>28</v>
      </c>
      <c r="W164">
        <v>111.133</v>
      </c>
      <c r="X164">
        <v>0.99819678194932504</v>
      </c>
      <c r="Y164">
        <v>110.9326029683743</v>
      </c>
      <c r="Z164">
        <v>682.07</v>
      </c>
      <c r="AA164">
        <v>1</v>
      </c>
      <c r="AB164">
        <v>75.663800506639092</v>
      </c>
      <c r="AC164">
        <v>1.0196000000000001</v>
      </c>
      <c r="AD164" s="63">
        <v>77.147000000000006</v>
      </c>
      <c r="AE164">
        <v>8.9176000000000002</v>
      </c>
      <c r="AF164">
        <v>8.9015196227113016</v>
      </c>
      <c r="AG164">
        <v>1</v>
      </c>
      <c r="AH164">
        <v>6071.4594890626977</v>
      </c>
      <c r="AI164">
        <v>0.97991730655640863</v>
      </c>
      <c r="AJ164" s="63">
        <v>5949.5281999999997</v>
      </c>
      <c r="AK164" s="61">
        <v>5.2149019981332314</v>
      </c>
      <c r="AL164" t="s">
        <v>339</v>
      </c>
      <c r="AM164" t="s">
        <v>433</v>
      </c>
      <c r="AN164" t="s">
        <v>425</v>
      </c>
      <c r="AO164" t="s">
        <v>28</v>
      </c>
      <c r="AP164">
        <v>111.133</v>
      </c>
      <c r="AQ164">
        <v>1.0062587218588701</v>
      </c>
      <c r="AR164">
        <v>111.82855053634179</v>
      </c>
      <c r="AS164">
        <v>655.74</v>
      </c>
      <c r="AT164">
        <v>1</v>
      </c>
      <c r="AU164">
        <v>73.330453728700761</v>
      </c>
      <c r="AV164">
        <v>1.0196000000000001</v>
      </c>
      <c r="AW164" s="63">
        <v>74.768000000000001</v>
      </c>
      <c r="AX164">
        <v>8.9176000000000002</v>
      </c>
      <c r="AY164">
        <v>1</v>
      </c>
      <c r="AZ164">
        <v>5884.2256950776273</v>
      </c>
      <c r="BA164">
        <v>0.97991730655640863</v>
      </c>
      <c r="BB164" s="63">
        <v>5766.0546000000004</v>
      </c>
      <c r="BC164" s="61">
        <v>5.0540830539949884</v>
      </c>
    </row>
    <row r="165" spans="1:55" x14ac:dyDescent="0.25">
      <c r="A165">
        <v>19210</v>
      </c>
      <c r="B165" t="s">
        <v>141</v>
      </c>
      <c r="C165">
        <v>2017</v>
      </c>
      <c r="D165">
        <v>4</v>
      </c>
      <c r="E165" t="s">
        <v>51</v>
      </c>
      <c r="F165" t="s">
        <v>449</v>
      </c>
      <c r="G165" t="s">
        <v>84</v>
      </c>
      <c r="H165" t="s">
        <v>59</v>
      </c>
      <c r="I165" t="s">
        <v>427</v>
      </c>
      <c r="J165">
        <v>-2.7236482199999998</v>
      </c>
      <c r="K165" t="s">
        <v>440</v>
      </c>
      <c r="L165" t="s">
        <v>450</v>
      </c>
      <c r="M165">
        <v>0.15931709696460999</v>
      </c>
      <c r="N165">
        <v>0.4339237274373467</v>
      </c>
      <c r="O165">
        <v>29976.978999999999</v>
      </c>
      <c r="P165">
        <v>1.6679465999999999E-5</v>
      </c>
      <c r="Q165">
        <v>1</v>
      </c>
      <c r="R165" s="61">
        <v>0.4339237274373467</v>
      </c>
      <c r="S165" t="s">
        <v>336</v>
      </c>
      <c r="T165" t="s">
        <v>433</v>
      </c>
      <c r="U165" t="s">
        <v>425</v>
      </c>
      <c r="V165" t="s">
        <v>26</v>
      </c>
      <c r="W165">
        <v>111.133</v>
      </c>
      <c r="X165">
        <v>0.99819678194932504</v>
      </c>
      <c r="Y165">
        <v>110.9326029683743</v>
      </c>
      <c r="Z165">
        <v>682.07</v>
      </c>
      <c r="AA165">
        <v>1</v>
      </c>
      <c r="AB165">
        <v>75.663800506639092</v>
      </c>
      <c r="AC165">
        <v>1.0178</v>
      </c>
      <c r="AD165" s="63">
        <v>77.010999999999996</v>
      </c>
      <c r="AE165">
        <v>8.9176000000000002</v>
      </c>
      <c r="AF165">
        <v>8.9015196227113016</v>
      </c>
      <c r="AG165">
        <v>1</v>
      </c>
      <c r="AH165">
        <v>6071.4594890626977</v>
      </c>
      <c r="AI165">
        <v>1.0020831266739409</v>
      </c>
      <c r="AJ165" s="63">
        <v>6084.1071000000002</v>
      </c>
      <c r="AK165" s="61">
        <v>2640.0384309600258</v>
      </c>
      <c r="AL165" t="s">
        <v>339</v>
      </c>
      <c r="AM165" t="s">
        <v>433</v>
      </c>
      <c r="AN165" t="s">
        <v>425</v>
      </c>
      <c r="AO165" t="s">
        <v>26</v>
      </c>
      <c r="AP165">
        <v>111.133</v>
      </c>
      <c r="AQ165">
        <v>1.0062587218588701</v>
      </c>
      <c r="AR165">
        <v>111.82855053634179</v>
      </c>
      <c r="AS165">
        <v>655.74</v>
      </c>
      <c r="AT165">
        <v>1</v>
      </c>
      <c r="AU165">
        <v>73.330453728700761</v>
      </c>
      <c r="AV165">
        <v>1.0178</v>
      </c>
      <c r="AW165" s="63">
        <v>74.635999999999996</v>
      </c>
      <c r="AX165">
        <v>8.9176000000000002</v>
      </c>
      <c r="AY165">
        <v>1</v>
      </c>
      <c r="AZ165">
        <v>5884.2256950776273</v>
      </c>
      <c r="BA165">
        <v>1.0020831266739409</v>
      </c>
      <c r="BB165" s="63">
        <v>5896.4832999999999</v>
      </c>
      <c r="BC165" s="61">
        <v>2558.624012308067</v>
      </c>
    </row>
    <row r="166" spans="1:55" x14ac:dyDescent="0.25">
      <c r="A166">
        <v>19211</v>
      </c>
      <c r="B166" t="s">
        <v>141</v>
      </c>
      <c r="C166">
        <v>2017</v>
      </c>
      <c r="D166">
        <v>4</v>
      </c>
      <c r="E166" t="s">
        <v>51</v>
      </c>
      <c r="F166" t="s">
        <v>449</v>
      </c>
      <c r="G166" t="s">
        <v>84</v>
      </c>
      <c r="H166" t="s">
        <v>59</v>
      </c>
      <c r="I166" t="s">
        <v>427</v>
      </c>
      <c r="J166">
        <v>-2.7236482199999998</v>
      </c>
      <c r="K166" t="s">
        <v>440</v>
      </c>
      <c r="L166" t="s">
        <v>384</v>
      </c>
      <c r="M166">
        <v>4.1785183859599999E-2</v>
      </c>
      <c r="N166">
        <v>0.11380814160855671</v>
      </c>
      <c r="O166">
        <v>29976.978999999999</v>
      </c>
      <c r="P166">
        <v>1.6679465999999999E-5</v>
      </c>
      <c r="Q166">
        <v>1</v>
      </c>
      <c r="R166" s="61">
        <v>0.11380814160855671</v>
      </c>
      <c r="S166" t="s">
        <v>336</v>
      </c>
      <c r="T166" t="s">
        <v>433</v>
      </c>
      <c r="U166" t="s">
        <v>425</v>
      </c>
      <c r="V166" t="s">
        <v>81</v>
      </c>
      <c r="W166">
        <v>111.133</v>
      </c>
      <c r="X166">
        <v>0.99819678194932504</v>
      </c>
      <c r="Y166">
        <v>110.9326029683743</v>
      </c>
      <c r="Z166">
        <v>682.07</v>
      </c>
      <c r="AA166">
        <v>1</v>
      </c>
      <c r="AB166">
        <v>75.663800506639092</v>
      </c>
      <c r="AC166">
        <v>0.92979999999999996</v>
      </c>
      <c r="AD166" s="63">
        <v>70.352000000000004</v>
      </c>
      <c r="AE166">
        <v>8.9176000000000002</v>
      </c>
      <c r="AF166">
        <v>8.9015196227113016</v>
      </c>
      <c r="AG166">
        <v>1</v>
      </c>
      <c r="AH166">
        <v>6071.4594890626977</v>
      </c>
      <c r="AI166">
        <v>1.0375922509225091</v>
      </c>
      <c r="AJ166" s="63">
        <v>6299.6993000000002</v>
      </c>
      <c r="AK166" s="61">
        <v>716.95707002572544</v>
      </c>
      <c r="AL166" t="s">
        <v>339</v>
      </c>
      <c r="AM166" t="s">
        <v>433</v>
      </c>
      <c r="AN166" t="s">
        <v>425</v>
      </c>
      <c r="AO166" t="s">
        <v>81</v>
      </c>
      <c r="AP166">
        <v>111.133</v>
      </c>
      <c r="AQ166">
        <v>1.0062587218588701</v>
      </c>
      <c r="AR166">
        <v>111.82855053634179</v>
      </c>
      <c r="AS166">
        <v>655.74</v>
      </c>
      <c r="AT166">
        <v>1</v>
      </c>
      <c r="AU166">
        <v>73.330453728700761</v>
      </c>
      <c r="AV166">
        <v>0.92979999999999996</v>
      </c>
      <c r="AW166" s="63">
        <v>68.183000000000007</v>
      </c>
      <c r="AX166">
        <v>8.9176000000000002</v>
      </c>
      <c r="AY166">
        <v>1</v>
      </c>
      <c r="AZ166">
        <v>5884.2256950776273</v>
      </c>
      <c r="BA166">
        <v>1.0375922509225091</v>
      </c>
      <c r="BB166" s="63">
        <v>6105.4269999999997</v>
      </c>
      <c r="BC166" s="61">
        <v>694.8473005967054</v>
      </c>
    </row>
    <row r="167" spans="1:55" x14ac:dyDescent="0.25">
      <c r="A167">
        <v>19212</v>
      </c>
      <c r="B167" t="s">
        <v>141</v>
      </c>
      <c r="C167">
        <v>2017</v>
      </c>
      <c r="D167">
        <v>4</v>
      </c>
      <c r="E167" t="s">
        <v>51</v>
      </c>
      <c r="F167" t="s">
        <v>449</v>
      </c>
      <c r="G167" t="s">
        <v>84</v>
      </c>
      <c r="H167" t="s">
        <v>59</v>
      </c>
      <c r="I167" t="s">
        <v>427</v>
      </c>
      <c r="J167">
        <v>-2.7236482199999998</v>
      </c>
      <c r="K167" t="s">
        <v>440</v>
      </c>
      <c r="L167" t="s">
        <v>385</v>
      </c>
      <c r="M167">
        <v>0.43497567483749999</v>
      </c>
      <c r="N167">
        <v>1.1847207221707701</v>
      </c>
      <c r="O167">
        <v>29976.978999999999</v>
      </c>
      <c r="P167">
        <v>1.6679465999999999E-5</v>
      </c>
      <c r="Q167">
        <v>1</v>
      </c>
      <c r="R167" s="61">
        <v>1.1847207221707701</v>
      </c>
      <c r="S167" t="s">
        <v>336</v>
      </c>
      <c r="T167" t="s">
        <v>433</v>
      </c>
      <c r="U167" t="s">
        <v>425</v>
      </c>
      <c r="V167" t="s">
        <v>27</v>
      </c>
      <c r="W167">
        <v>111.133</v>
      </c>
      <c r="X167">
        <v>0.99819678194932504</v>
      </c>
      <c r="Y167">
        <v>110.9326029683743</v>
      </c>
      <c r="Z167">
        <v>682.07</v>
      </c>
      <c r="AA167">
        <v>1</v>
      </c>
      <c r="AB167">
        <v>75.663800506639092</v>
      </c>
      <c r="AC167">
        <v>0.99739999999999995</v>
      </c>
      <c r="AD167" s="63">
        <v>75.466999999999999</v>
      </c>
      <c r="AE167">
        <v>8.9176000000000002</v>
      </c>
      <c r="AF167">
        <v>8.9015196227113016</v>
      </c>
      <c r="AG167">
        <v>1</v>
      </c>
      <c r="AH167">
        <v>6071.4594890626977</v>
      </c>
      <c r="AI167">
        <v>1.0108695652173909</v>
      </c>
      <c r="AJ167" s="63">
        <v>6137.4535999999998</v>
      </c>
      <c r="AK167" s="61">
        <v>7271.1684612815898</v>
      </c>
      <c r="AL167" t="s">
        <v>339</v>
      </c>
      <c r="AM167" t="s">
        <v>433</v>
      </c>
      <c r="AN167" t="s">
        <v>425</v>
      </c>
      <c r="AO167" t="s">
        <v>27</v>
      </c>
      <c r="AP167">
        <v>111.133</v>
      </c>
      <c r="AQ167">
        <v>1.0062587218588701</v>
      </c>
      <c r="AR167">
        <v>111.82855053634179</v>
      </c>
      <c r="AS167">
        <v>655.74</v>
      </c>
      <c r="AT167">
        <v>1</v>
      </c>
      <c r="AU167">
        <v>73.330453728700761</v>
      </c>
      <c r="AV167">
        <v>0.99739999999999995</v>
      </c>
      <c r="AW167" s="63">
        <v>73.14</v>
      </c>
      <c r="AX167">
        <v>8.9176000000000002</v>
      </c>
      <c r="AY167">
        <v>1</v>
      </c>
      <c r="AZ167">
        <v>5884.2256950776273</v>
      </c>
      <c r="BA167">
        <v>1.0108695652173909</v>
      </c>
      <c r="BB167" s="63">
        <v>5948.1846999999998</v>
      </c>
      <c r="BC167" s="61">
        <v>7046.9376733891222</v>
      </c>
    </row>
    <row r="168" spans="1:55" x14ac:dyDescent="0.25">
      <c r="A168">
        <v>19213</v>
      </c>
      <c r="B168" t="s">
        <v>141</v>
      </c>
      <c r="C168">
        <v>2017</v>
      </c>
      <c r="D168">
        <v>4</v>
      </c>
      <c r="E168" t="s">
        <v>51</v>
      </c>
      <c r="F168" t="s">
        <v>449</v>
      </c>
      <c r="G168" t="s">
        <v>84</v>
      </c>
      <c r="H168" t="s">
        <v>59</v>
      </c>
      <c r="I168" t="s">
        <v>427</v>
      </c>
      <c r="J168">
        <v>-2.7236482199999998</v>
      </c>
      <c r="K168" t="s">
        <v>440</v>
      </c>
      <c r="L168" t="s">
        <v>451</v>
      </c>
      <c r="M168">
        <v>1.7625750762999999E-3</v>
      </c>
      <c r="N168">
        <v>4.8006344677882012E-3</v>
      </c>
      <c r="O168">
        <v>29976.978999999999</v>
      </c>
      <c r="P168">
        <v>1.6679465999999999E-5</v>
      </c>
      <c r="Q168">
        <v>1</v>
      </c>
      <c r="R168" s="61">
        <v>4.8006344677882012E-3</v>
      </c>
      <c r="S168" t="s">
        <v>336</v>
      </c>
      <c r="T168" t="s">
        <v>433</v>
      </c>
      <c r="U168" t="s">
        <v>425</v>
      </c>
      <c r="V168" t="s">
        <v>91</v>
      </c>
      <c r="W168">
        <v>111.133</v>
      </c>
      <c r="X168">
        <v>0.99819678194932504</v>
      </c>
      <c r="Y168">
        <v>110.9326029683743</v>
      </c>
      <c r="Z168">
        <v>682.07</v>
      </c>
      <c r="AA168">
        <v>1</v>
      </c>
      <c r="AB168">
        <v>75.663800506639092</v>
      </c>
      <c r="AC168">
        <v>1.0269999999999999</v>
      </c>
      <c r="AD168" s="63">
        <v>77.706999999999994</v>
      </c>
      <c r="AE168">
        <v>8.9176000000000002</v>
      </c>
      <c r="AF168">
        <v>8.9015196227113016</v>
      </c>
      <c r="AG168">
        <v>1</v>
      </c>
      <c r="AH168">
        <v>6071.4594890626977</v>
      </c>
      <c r="AI168">
        <v>0.98496680983990625</v>
      </c>
      <c r="AJ168" s="63">
        <v>5980.1860999999999</v>
      </c>
      <c r="AK168" s="61">
        <v>28.708687515447899</v>
      </c>
      <c r="AL168" t="s">
        <v>339</v>
      </c>
      <c r="AM168" t="s">
        <v>433</v>
      </c>
      <c r="AN168" t="s">
        <v>425</v>
      </c>
      <c r="AO168" t="s">
        <v>91</v>
      </c>
      <c r="AP168">
        <v>111.133</v>
      </c>
      <c r="AQ168">
        <v>1.0062587218588701</v>
      </c>
      <c r="AR168">
        <v>111.82855053634179</v>
      </c>
      <c r="AS168">
        <v>655.74</v>
      </c>
      <c r="AT168">
        <v>1</v>
      </c>
      <c r="AU168">
        <v>73.330453728700761</v>
      </c>
      <c r="AV168">
        <v>1.0269999999999999</v>
      </c>
      <c r="AW168" s="63">
        <v>75.31</v>
      </c>
      <c r="AX168">
        <v>8.9176000000000002</v>
      </c>
      <c r="AY168">
        <v>1</v>
      </c>
      <c r="AZ168">
        <v>5884.2256950776273</v>
      </c>
      <c r="BA168">
        <v>0.98496680983990625</v>
      </c>
      <c r="BB168" s="63">
        <v>5795.7669999999998</v>
      </c>
      <c r="BC168" s="61">
        <v>27.82335882746942</v>
      </c>
    </row>
    <row r="169" spans="1:55" x14ac:dyDescent="0.25">
      <c r="A169">
        <v>19214</v>
      </c>
      <c r="B169" t="s">
        <v>141</v>
      </c>
      <c r="C169">
        <v>2017</v>
      </c>
      <c r="D169">
        <v>4</v>
      </c>
      <c r="E169" t="s">
        <v>51</v>
      </c>
      <c r="F169" t="s">
        <v>449</v>
      </c>
      <c r="G169" t="s">
        <v>84</v>
      </c>
      <c r="H169" t="s">
        <v>59</v>
      </c>
      <c r="I169" t="s">
        <v>427</v>
      </c>
      <c r="J169">
        <v>-2.7236482199999998</v>
      </c>
      <c r="K169" t="s">
        <v>440</v>
      </c>
      <c r="L169" t="s">
        <v>452</v>
      </c>
      <c r="M169">
        <v>1.4858046103299999E-3</v>
      </c>
      <c r="N169">
        <v>4.0468090810191239E-3</v>
      </c>
      <c r="O169">
        <v>29976.978999999999</v>
      </c>
      <c r="P169">
        <v>1.6679465999999999E-5</v>
      </c>
      <c r="Q169">
        <v>1</v>
      </c>
      <c r="R169" s="61">
        <v>4.0468090810191239E-3</v>
      </c>
      <c r="S169" t="s">
        <v>336</v>
      </c>
      <c r="T169" t="s">
        <v>433</v>
      </c>
      <c r="U169" t="s">
        <v>425</v>
      </c>
      <c r="V169" t="s">
        <v>28</v>
      </c>
      <c r="W169">
        <v>111.133</v>
      </c>
      <c r="X169">
        <v>0.99819678194932504</v>
      </c>
      <c r="Y169">
        <v>110.9326029683743</v>
      </c>
      <c r="Z169">
        <v>682.07</v>
      </c>
      <c r="AA169">
        <v>1</v>
      </c>
      <c r="AB169">
        <v>75.663800506639092</v>
      </c>
      <c r="AC169">
        <v>1.0196000000000001</v>
      </c>
      <c r="AD169" s="63">
        <v>77.147000000000006</v>
      </c>
      <c r="AE169">
        <v>8.9176000000000002</v>
      </c>
      <c r="AF169">
        <v>8.9015196227113016</v>
      </c>
      <c r="AG169">
        <v>1</v>
      </c>
      <c r="AH169">
        <v>6071.4594890626977</v>
      </c>
      <c r="AI169">
        <v>0.97991730655640863</v>
      </c>
      <c r="AJ169" s="63">
        <v>5949.5281999999997</v>
      </c>
      <c r="AK169" s="61">
        <v>24.07660474753936</v>
      </c>
      <c r="AL169" t="s">
        <v>339</v>
      </c>
      <c r="AM169" t="s">
        <v>433</v>
      </c>
      <c r="AN169" t="s">
        <v>425</v>
      </c>
      <c r="AO169" t="s">
        <v>28</v>
      </c>
      <c r="AP169">
        <v>111.133</v>
      </c>
      <c r="AQ169">
        <v>1.0062587218588701</v>
      </c>
      <c r="AR169">
        <v>111.82855053634179</v>
      </c>
      <c r="AS169">
        <v>655.74</v>
      </c>
      <c r="AT169">
        <v>1</v>
      </c>
      <c r="AU169">
        <v>73.330453728700761</v>
      </c>
      <c r="AV169">
        <v>1.0196000000000001</v>
      </c>
      <c r="AW169" s="63">
        <v>74.768000000000001</v>
      </c>
      <c r="AX169">
        <v>8.9176000000000002</v>
      </c>
      <c r="AY169">
        <v>1</v>
      </c>
      <c r="AZ169">
        <v>5884.2256950776273</v>
      </c>
      <c r="BA169">
        <v>0.97991730655640863</v>
      </c>
      <c r="BB169" s="63">
        <v>5766.0546000000004</v>
      </c>
      <c r="BC169" s="61">
        <v>23.33412211693209</v>
      </c>
    </row>
    <row r="170" spans="1:55" x14ac:dyDescent="0.25">
      <c r="A170">
        <v>21885</v>
      </c>
      <c r="B170" t="s">
        <v>144</v>
      </c>
      <c r="C170">
        <v>2017</v>
      </c>
      <c r="D170">
        <v>5</v>
      </c>
      <c r="E170" t="s">
        <v>51</v>
      </c>
      <c r="F170" t="s">
        <v>449</v>
      </c>
      <c r="G170" t="s">
        <v>84</v>
      </c>
      <c r="H170" t="s">
        <v>381</v>
      </c>
      <c r="I170" t="s">
        <v>427</v>
      </c>
      <c r="J170">
        <v>-4.1699826599999996</v>
      </c>
      <c r="K170" t="s">
        <v>440</v>
      </c>
      <c r="L170" t="s">
        <v>450</v>
      </c>
      <c r="M170">
        <v>0.15011157993331001</v>
      </c>
      <c r="N170">
        <v>0.6259626854643543</v>
      </c>
      <c r="O170">
        <v>29976.978999999999</v>
      </c>
      <c r="P170">
        <v>1.6679465999999999E-5</v>
      </c>
      <c r="Q170">
        <v>1</v>
      </c>
      <c r="R170" s="61">
        <v>0.6259626854643543</v>
      </c>
      <c r="S170" t="s">
        <v>336</v>
      </c>
      <c r="T170" t="s">
        <v>433</v>
      </c>
      <c r="U170" t="s">
        <v>425</v>
      </c>
      <c r="V170" t="s">
        <v>26</v>
      </c>
      <c r="W170">
        <v>111.133</v>
      </c>
      <c r="X170">
        <v>0.99819678194932504</v>
      </c>
      <c r="Y170">
        <v>110.9326029683743</v>
      </c>
      <c r="Z170">
        <v>682.07</v>
      </c>
      <c r="AA170">
        <v>1</v>
      </c>
      <c r="AB170">
        <v>75.663800506639092</v>
      </c>
      <c r="AC170">
        <v>1.0178</v>
      </c>
      <c r="AD170" s="63">
        <v>77.010999999999996</v>
      </c>
      <c r="AE170">
        <v>8.9176000000000002</v>
      </c>
      <c r="AF170">
        <v>8.9015196227113016</v>
      </c>
      <c r="AG170">
        <v>1</v>
      </c>
      <c r="AH170">
        <v>6071.4594890626977</v>
      </c>
      <c r="AI170">
        <v>1.0020831266739409</v>
      </c>
      <c r="AJ170" s="63">
        <v>6084.1071000000002</v>
      </c>
      <c r="AK170" s="61">
        <v>3808.4240189687448</v>
      </c>
      <c r="AL170" t="s">
        <v>339</v>
      </c>
      <c r="AM170" t="s">
        <v>433</v>
      </c>
      <c r="AN170" t="s">
        <v>425</v>
      </c>
      <c r="AO170" t="s">
        <v>26</v>
      </c>
      <c r="AP170">
        <v>111.133</v>
      </c>
      <c r="AQ170">
        <v>1.0062587218588701</v>
      </c>
      <c r="AR170">
        <v>111.82855053634179</v>
      </c>
      <c r="AS170">
        <v>671.54</v>
      </c>
      <c r="AT170">
        <v>1</v>
      </c>
      <c r="AU170">
        <v>75.09734482717495</v>
      </c>
      <c r="AV170">
        <v>1.0178</v>
      </c>
      <c r="AW170" s="63">
        <v>76.433999999999997</v>
      </c>
      <c r="AX170">
        <v>8.9176000000000002</v>
      </c>
      <c r="AY170">
        <v>1</v>
      </c>
      <c r="AZ170">
        <v>6026.0056169707959</v>
      </c>
      <c r="BA170">
        <v>1.0020831266739409</v>
      </c>
      <c r="BB170" s="63">
        <v>6038.5586000000003</v>
      </c>
      <c r="BC170" s="61">
        <v>3779.912357589872</v>
      </c>
    </row>
    <row r="171" spans="1:55" x14ac:dyDescent="0.25">
      <c r="A171">
        <v>21886</v>
      </c>
      <c r="B171" t="s">
        <v>144</v>
      </c>
      <c r="C171">
        <v>2017</v>
      </c>
      <c r="D171">
        <v>5</v>
      </c>
      <c r="E171" t="s">
        <v>51</v>
      </c>
      <c r="F171" t="s">
        <v>449</v>
      </c>
      <c r="G171" t="s">
        <v>84</v>
      </c>
      <c r="H171" t="s">
        <v>381</v>
      </c>
      <c r="I171" t="s">
        <v>427</v>
      </c>
      <c r="J171">
        <v>-4.1699826599999996</v>
      </c>
      <c r="K171" t="s">
        <v>440</v>
      </c>
      <c r="L171" t="s">
        <v>384</v>
      </c>
      <c r="M171">
        <v>4.5811354346740003E-2</v>
      </c>
      <c r="N171">
        <v>0.19103255328059601</v>
      </c>
      <c r="O171">
        <v>29976.978999999999</v>
      </c>
      <c r="P171">
        <v>1.6679465999999999E-5</v>
      </c>
      <c r="Q171">
        <v>1</v>
      </c>
      <c r="R171" s="61">
        <v>0.19103255328059601</v>
      </c>
      <c r="S171" t="s">
        <v>336</v>
      </c>
      <c r="T171" t="s">
        <v>433</v>
      </c>
      <c r="U171" t="s">
        <v>425</v>
      </c>
      <c r="V171" t="s">
        <v>81</v>
      </c>
      <c r="W171">
        <v>111.133</v>
      </c>
      <c r="X171">
        <v>0.99819678194932504</v>
      </c>
      <c r="Y171">
        <v>110.9326029683743</v>
      </c>
      <c r="Z171">
        <v>682.07</v>
      </c>
      <c r="AA171">
        <v>1</v>
      </c>
      <c r="AB171">
        <v>75.663800506639092</v>
      </c>
      <c r="AC171">
        <v>0.92979999999999996</v>
      </c>
      <c r="AD171" s="63">
        <v>70.352000000000004</v>
      </c>
      <c r="AE171">
        <v>8.9176000000000002</v>
      </c>
      <c r="AF171">
        <v>8.9015196227113016</v>
      </c>
      <c r="AG171">
        <v>1</v>
      </c>
      <c r="AH171">
        <v>6071.4594890626977</v>
      </c>
      <c r="AI171">
        <v>1.0375922509225091</v>
      </c>
      <c r="AJ171" s="63">
        <v>6299.6993000000002</v>
      </c>
      <c r="AK171" s="61">
        <v>1203.447642178983</v>
      </c>
      <c r="AL171" t="s">
        <v>339</v>
      </c>
      <c r="AM171" t="s">
        <v>433</v>
      </c>
      <c r="AN171" t="s">
        <v>425</v>
      </c>
      <c r="AO171" t="s">
        <v>81</v>
      </c>
      <c r="AP171">
        <v>111.133</v>
      </c>
      <c r="AQ171">
        <v>1.0062587218588701</v>
      </c>
      <c r="AR171">
        <v>111.82855053634179</v>
      </c>
      <c r="AS171">
        <v>671.54</v>
      </c>
      <c r="AT171">
        <v>1</v>
      </c>
      <c r="AU171">
        <v>75.09734482717495</v>
      </c>
      <c r="AV171">
        <v>0.92979999999999996</v>
      </c>
      <c r="AW171" s="63">
        <v>69.825999999999993</v>
      </c>
      <c r="AX171">
        <v>8.9176000000000002</v>
      </c>
      <c r="AY171">
        <v>1</v>
      </c>
      <c r="AZ171">
        <v>6026.0056169707959</v>
      </c>
      <c r="BA171">
        <v>1.0375922509225091</v>
      </c>
      <c r="BB171" s="63">
        <v>6252.5366999999997</v>
      </c>
      <c r="BC171" s="61">
        <v>1194.4380502816321</v>
      </c>
    </row>
    <row r="172" spans="1:55" x14ac:dyDescent="0.25">
      <c r="A172">
        <v>21887</v>
      </c>
      <c r="B172" t="s">
        <v>144</v>
      </c>
      <c r="C172">
        <v>2017</v>
      </c>
      <c r="D172">
        <v>5</v>
      </c>
      <c r="E172" t="s">
        <v>51</v>
      </c>
      <c r="F172" t="s">
        <v>449</v>
      </c>
      <c r="G172" t="s">
        <v>84</v>
      </c>
      <c r="H172" t="s">
        <v>381</v>
      </c>
      <c r="I172" t="s">
        <v>427</v>
      </c>
      <c r="J172">
        <v>-4.1699826599999996</v>
      </c>
      <c r="K172" t="s">
        <v>440</v>
      </c>
      <c r="L172" t="s">
        <v>385</v>
      </c>
      <c r="M172">
        <v>0.43232641346992001</v>
      </c>
      <c r="N172">
        <v>1.802793647852033</v>
      </c>
      <c r="O172">
        <v>29976.978999999999</v>
      </c>
      <c r="P172">
        <v>1.6679465999999999E-5</v>
      </c>
      <c r="Q172">
        <v>1</v>
      </c>
      <c r="R172" s="61">
        <v>1.802793647852033</v>
      </c>
      <c r="S172" t="s">
        <v>336</v>
      </c>
      <c r="T172" t="s">
        <v>433</v>
      </c>
      <c r="U172" t="s">
        <v>425</v>
      </c>
      <c r="V172" t="s">
        <v>27</v>
      </c>
      <c r="W172">
        <v>111.133</v>
      </c>
      <c r="X172">
        <v>0.99819678194932504</v>
      </c>
      <c r="Y172">
        <v>110.9326029683743</v>
      </c>
      <c r="Z172">
        <v>682.07</v>
      </c>
      <c r="AA172">
        <v>1</v>
      </c>
      <c r="AB172">
        <v>75.663800506639092</v>
      </c>
      <c r="AC172">
        <v>0.99739999999999995</v>
      </c>
      <c r="AD172" s="63">
        <v>75.466999999999999</v>
      </c>
      <c r="AE172">
        <v>8.9176000000000002</v>
      </c>
      <c r="AF172">
        <v>8.9015196227113016</v>
      </c>
      <c r="AG172">
        <v>1</v>
      </c>
      <c r="AH172">
        <v>6071.4594890626977</v>
      </c>
      <c r="AI172">
        <v>1.0108695652173909</v>
      </c>
      <c r="AJ172" s="63">
        <v>6137.4535999999998</v>
      </c>
      <c r="AK172" s="61">
        <v>11064.562364066591</v>
      </c>
      <c r="AL172" t="s">
        <v>339</v>
      </c>
      <c r="AM172" t="s">
        <v>433</v>
      </c>
      <c r="AN172" t="s">
        <v>425</v>
      </c>
      <c r="AO172" t="s">
        <v>27</v>
      </c>
      <c r="AP172">
        <v>111.133</v>
      </c>
      <c r="AQ172">
        <v>1.0062587218588701</v>
      </c>
      <c r="AR172">
        <v>111.82855053634179</v>
      </c>
      <c r="AS172">
        <v>671.54</v>
      </c>
      <c r="AT172">
        <v>1</v>
      </c>
      <c r="AU172">
        <v>75.09734482717495</v>
      </c>
      <c r="AV172">
        <v>0.99739999999999995</v>
      </c>
      <c r="AW172" s="63">
        <v>74.902000000000001</v>
      </c>
      <c r="AX172">
        <v>8.9176000000000002</v>
      </c>
      <c r="AY172">
        <v>1</v>
      </c>
      <c r="AZ172">
        <v>6026.0056169707959</v>
      </c>
      <c r="BA172">
        <v>1.0108695652173909</v>
      </c>
      <c r="BB172" s="63">
        <v>6091.5056999999997</v>
      </c>
      <c r="BC172" s="61">
        <v>10981.72778181445</v>
      </c>
    </row>
    <row r="173" spans="1:55" x14ac:dyDescent="0.25">
      <c r="A173">
        <v>21888</v>
      </c>
      <c r="B173" t="s">
        <v>144</v>
      </c>
      <c r="C173">
        <v>2017</v>
      </c>
      <c r="D173">
        <v>5</v>
      </c>
      <c r="E173" t="s">
        <v>51</v>
      </c>
      <c r="F173" t="s">
        <v>449</v>
      </c>
      <c r="G173" t="s">
        <v>84</v>
      </c>
      <c r="H173" t="s">
        <v>381</v>
      </c>
      <c r="I173" t="s">
        <v>427</v>
      </c>
      <c r="J173">
        <v>-4.1699826599999996</v>
      </c>
      <c r="K173" t="s">
        <v>440</v>
      </c>
      <c r="L173" t="s">
        <v>451</v>
      </c>
      <c r="M173">
        <v>1.6825115802299999E-3</v>
      </c>
      <c r="N173">
        <v>7.0160441156741212E-3</v>
      </c>
      <c r="O173">
        <v>29976.978999999999</v>
      </c>
      <c r="P173">
        <v>1.6679465999999999E-5</v>
      </c>
      <c r="Q173">
        <v>1</v>
      </c>
      <c r="R173" s="61">
        <v>7.0160441156741212E-3</v>
      </c>
      <c r="S173" t="s">
        <v>336</v>
      </c>
      <c r="T173" t="s">
        <v>433</v>
      </c>
      <c r="U173" t="s">
        <v>425</v>
      </c>
      <c r="V173" t="s">
        <v>91</v>
      </c>
      <c r="W173">
        <v>111.133</v>
      </c>
      <c r="X173">
        <v>0.99819678194932504</v>
      </c>
      <c r="Y173">
        <v>110.9326029683743</v>
      </c>
      <c r="Z173">
        <v>682.07</v>
      </c>
      <c r="AA173">
        <v>1</v>
      </c>
      <c r="AB173">
        <v>75.663800506639092</v>
      </c>
      <c r="AC173">
        <v>1.0269999999999999</v>
      </c>
      <c r="AD173" s="63">
        <v>77.706999999999994</v>
      </c>
      <c r="AE173">
        <v>8.9176000000000002</v>
      </c>
      <c r="AF173">
        <v>8.9015196227113016</v>
      </c>
      <c r="AG173">
        <v>1</v>
      </c>
      <c r="AH173">
        <v>6071.4594890626977</v>
      </c>
      <c r="AI173">
        <v>0.98496680983990625</v>
      </c>
      <c r="AJ173" s="63">
        <v>5980.1860999999999</v>
      </c>
      <c r="AK173" s="61">
        <v>41.95724949754117</v>
      </c>
      <c r="AL173" t="s">
        <v>339</v>
      </c>
      <c r="AM173" t="s">
        <v>433</v>
      </c>
      <c r="AN173" t="s">
        <v>425</v>
      </c>
      <c r="AO173" t="s">
        <v>91</v>
      </c>
      <c r="AP173">
        <v>111.133</v>
      </c>
      <c r="AQ173">
        <v>1.0062587218588701</v>
      </c>
      <c r="AR173">
        <v>111.82855053634179</v>
      </c>
      <c r="AS173">
        <v>671.54</v>
      </c>
      <c r="AT173">
        <v>1</v>
      </c>
      <c r="AU173">
        <v>75.09734482717495</v>
      </c>
      <c r="AV173">
        <v>1.0269999999999999</v>
      </c>
      <c r="AW173" s="63">
        <v>77.125</v>
      </c>
      <c r="AX173">
        <v>8.9176000000000002</v>
      </c>
      <c r="AY173">
        <v>1</v>
      </c>
      <c r="AZ173">
        <v>6026.0056169707959</v>
      </c>
      <c r="BA173">
        <v>0.98496680983990625</v>
      </c>
      <c r="BB173" s="63">
        <v>5935.4155000000001</v>
      </c>
      <c r="BC173" s="61">
        <v>41.643136992855972</v>
      </c>
    </row>
    <row r="174" spans="1:55" x14ac:dyDescent="0.25">
      <c r="A174">
        <v>21889</v>
      </c>
      <c r="B174" t="s">
        <v>144</v>
      </c>
      <c r="C174">
        <v>2017</v>
      </c>
      <c r="D174">
        <v>5</v>
      </c>
      <c r="E174" t="s">
        <v>51</v>
      </c>
      <c r="F174" t="s">
        <v>449</v>
      </c>
      <c r="G174" t="s">
        <v>84</v>
      </c>
      <c r="H174" t="s">
        <v>381</v>
      </c>
      <c r="I174" t="s">
        <v>427</v>
      </c>
      <c r="J174">
        <v>-4.1699826599999996</v>
      </c>
      <c r="K174" t="s">
        <v>440</v>
      </c>
      <c r="L174" t="s">
        <v>452</v>
      </c>
      <c r="M174">
        <v>1.53682162831E-3</v>
      </c>
      <c r="N174">
        <v>6.4085195423565153E-3</v>
      </c>
      <c r="O174">
        <v>29976.978999999999</v>
      </c>
      <c r="P174">
        <v>1.6679465999999999E-5</v>
      </c>
      <c r="Q174">
        <v>1</v>
      </c>
      <c r="R174" s="61">
        <v>6.4085195423565153E-3</v>
      </c>
      <c r="S174" t="s">
        <v>336</v>
      </c>
      <c r="T174" t="s">
        <v>433</v>
      </c>
      <c r="U174" t="s">
        <v>425</v>
      </c>
      <c r="V174" t="s">
        <v>28</v>
      </c>
      <c r="W174">
        <v>111.133</v>
      </c>
      <c r="X174">
        <v>0.99819678194932504</v>
      </c>
      <c r="Y174">
        <v>110.9326029683743</v>
      </c>
      <c r="Z174">
        <v>682.07</v>
      </c>
      <c r="AA174">
        <v>1</v>
      </c>
      <c r="AB174">
        <v>75.663800506639092</v>
      </c>
      <c r="AC174">
        <v>1.0196000000000001</v>
      </c>
      <c r="AD174" s="63">
        <v>77.147000000000006</v>
      </c>
      <c r="AE174">
        <v>8.9176000000000002</v>
      </c>
      <c r="AF174">
        <v>8.9015196227113016</v>
      </c>
      <c r="AG174">
        <v>1</v>
      </c>
      <c r="AH174">
        <v>6071.4594890626977</v>
      </c>
      <c r="AI174">
        <v>0.97991730655640863</v>
      </c>
      <c r="AJ174" s="63">
        <v>5949.5281999999997</v>
      </c>
      <c r="AK174" s="61">
        <v>38.127667737501177</v>
      </c>
      <c r="AL174" t="s">
        <v>339</v>
      </c>
      <c r="AM174" t="s">
        <v>433</v>
      </c>
      <c r="AN174" t="s">
        <v>425</v>
      </c>
      <c r="AO174" t="s">
        <v>28</v>
      </c>
      <c r="AP174">
        <v>111.133</v>
      </c>
      <c r="AQ174">
        <v>1.0062587218588701</v>
      </c>
      <c r="AR174">
        <v>111.82855053634179</v>
      </c>
      <c r="AS174">
        <v>671.54</v>
      </c>
      <c r="AT174">
        <v>1</v>
      </c>
      <c r="AU174">
        <v>75.09734482717495</v>
      </c>
      <c r="AV174">
        <v>1.0196000000000001</v>
      </c>
      <c r="AW174" s="63">
        <v>76.569000000000003</v>
      </c>
      <c r="AX174">
        <v>8.9176000000000002</v>
      </c>
      <c r="AY174">
        <v>1</v>
      </c>
      <c r="AZ174">
        <v>6026.0056169707959</v>
      </c>
      <c r="BA174">
        <v>0.97991730655640863</v>
      </c>
      <c r="BB174" s="63">
        <v>5904.9871999999996</v>
      </c>
      <c r="BC174" s="61">
        <v>37.84222586856508</v>
      </c>
    </row>
    <row r="175" spans="1:55" x14ac:dyDescent="0.25">
      <c r="A175">
        <v>21890</v>
      </c>
      <c r="B175" t="s">
        <v>144</v>
      </c>
      <c r="C175">
        <v>2017</v>
      </c>
      <c r="D175">
        <v>5</v>
      </c>
      <c r="E175" t="s">
        <v>51</v>
      </c>
      <c r="F175" t="s">
        <v>449</v>
      </c>
      <c r="G175" t="s">
        <v>84</v>
      </c>
      <c r="H175" t="s">
        <v>87</v>
      </c>
      <c r="I175" t="s">
        <v>427</v>
      </c>
      <c r="J175">
        <v>-0.91867582000000003</v>
      </c>
      <c r="K175" t="s">
        <v>440</v>
      </c>
      <c r="L175" t="s">
        <v>450</v>
      </c>
      <c r="M175">
        <v>0.26601384014995</v>
      </c>
      <c r="N175">
        <v>0.2443804816549229</v>
      </c>
      <c r="O175">
        <v>29976.978999999999</v>
      </c>
      <c r="P175">
        <v>1.6679465999999999E-5</v>
      </c>
      <c r="Q175">
        <v>1</v>
      </c>
      <c r="R175" s="61">
        <v>0.2443804816549229</v>
      </c>
      <c r="S175" t="s">
        <v>336</v>
      </c>
      <c r="T175" t="s">
        <v>433</v>
      </c>
      <c r="U175" t="s">
        <v>425</v>
      </c>
      <c r="V175" t="s">
        <v>26</v>
      </c>
      <c r="W175">
        <v>111.133</v>
      </c>
      <c r="X175">
        <v>0.99819678194932504</v>
      </c>
      <c r="Y175">
        <v>110.9326029683743</v>
      </c>
      <c r="Z175">
        <v>682.07</v>
      </c>
      <c r="AA175">
        <v>1</v>
      </c>
      <c r="AB175">
        <v>75.663800506639092</v>
      </c>
      <c r="AC175">
        <v>1.0178</v>
      </c>
      <c r="AD175" s="63">
        <v>77.010999999999996</v>
      </c>
      <c r="AE175">
        <v>8.9176000000000002</v>
      </c>
      <c r="AF175">
        <v>8.9015196227113016</v>
      </c>
      <c r="AG175">
        <v>1</v>
      </c>
      <c r="AH175">
        <v>6071.4594890626977</v>
      </c>
      <c r="AI175">
        <v>1.0020831266739409</v>
      </c>
      <c r="AJ175" s="63">
        <v>6084.1071000000002</v>
      </c>
      <c r="AK175" s="61">
        <v>1486.837023538136</v>
      </c>
      <c r="AL175" t="s">
        <v>339</v>
      </c>
      <c r="AM175" t="s">
        <v>433</v>
      </c>
      <c r="AN175" t="s">
        <v>425</v>
      </c>
      <c r="AO175" t="s">
        <v>26</v>
      </c>
      <c r="AP175">
        <v>111.133</v>
      </c>
      <c r="AQ175">
        <v>1.0062587218588701</v>
      </c>
      <c r="AR175">
        <v>111.82855053634179</v>
      </c>
      <c r="AS175">
        <v>671.54</v>
      </c>
      <c r="AT175">
        <v>1</v>
      </c>
      <c r="AU175">
        <v>75.09734482717495</v>
      </c>
      <c r="AV175">
        <v>1.0178</v>
      </c>
      <c r="AW175" s="63">
        <v>76.433999999999997</v>
      </c>
      <c r="AX175">
        <v>8.9176000000000002</v>
      </c>
      <c r="AY175">
        <v>1</v>
      </c>
      <c r="AZ175">
        <v>6026.0056169707959</v>
      </c>
      <c r="BA175">
        <v>1.0020831266739409</v>
      </c>
      <c r="BB175" s="63">
        <v>6038.5586000000003</v>
      </c>
      <c r="BC175" s="61">
        <v>1475.705859169477</v>
      </c>
    </row>
    <row r="176" spans="1:55" x14ac:dyDescent="0.25">
      <c r="A176">
        <v>21891</v>
      </c>
      <c r="B176" t="s">
        <v>144</v>
      </c>
      <c r="C176">
        <v>2017</v>
      </c>
      <c r="D176">
        <v>5</v>
      </c>
      <c r="E176" t="s">
        <v>51</v>
      </c>
      <c r="F176" t="s">
        <v>449</v>
      </c>
      <c r="G176" t="s">
        <v>84</v>
      </c>
      <c r="H176" t="s">
        <v>87</v>
      </c>
      <c r="I176" t="s">
        <v>427</v>
      </c>
      <c r="J176">
        <v>-0.91867582000000003</v>
      </c>
      <c r="K176" t="s">
        <v>440</v>
      </c>
      <c r="L176" t="s">
        <v>384</v>
      </c>
      <c r="M176">
        <v>3.9509559941419997E-2</v>
      </c>
      <c r="N176">
        <v>3.6296477217183917E-2</v>
      </c>
      <c r="O176">
        <v>29976.978999999999</v>
      </c>
      <c r="P176">
        <v>1.6679465999999999E-5</v>
      </c>
      <c r="Q176">
        <v>1</v>
      </c>
      <c r="R176" s="61">
        <v>3.6296477217183917E-2</v>
      </c>
      <c r="S176" t="s">
        <v>336</v>
      </c>
      <c r="T176" t="s">
        <v>433</v>
      </c>
      <c r="U176" t="s">
        <v>425</v>
      </c>
      <c r="V176" t="s">
        <v>81</v>
      </c>
      <c r="W176">
        <v>111.133</v>
      </c>
      <c r="X176">
        <v>0.99819678194932504</v>
      </c>
      <c r="Y176">
        <v>110.9326029683743</v>
      </c>
      <c r="Z176">
        <v>682.07</v>
      </c>
      <c r="AA176">
        <v>1</v>
      </c>
      <c r="AB176">
        <v>75.663800506639092</v>
      </c>
      <c r="AC176">
        <v>0.92979999999999996</v>
      </c>
      <c r="AD176" s="63">
        <v>70.352000000000004</v>
      </c>
      <c r="AE176">
        <v>8.9176000000000002</v>
      </c>
      <c r="AF176">
        <v>8.9015196227113016</v>
      </c>
      <c r="AG176">
        <v>1</v>
      </c>
      <c r="AH176">
        <v>6071.4594890626977</v>
      </c>
      <c r="AI176">
        <v>1.0375922509225091</v>
      </c>
      <c r="AJ176" s="63">
        <v>6299.6993000000002</v>
      </c>
      <c r="AK176" s="61">
        <v>228.65689211755949</v>
      </c>
      <c r="AL176" t="s">
        <v>339</v>
      </c>
      <c r="AM176" t="s">
        <v>433</v>
      </c>
      <c r="AN176" t="s">
        <v>425</v>
      </c>
      <c r="AO176" t="s">
        <v>81</v>
      </c>
      <c r="AP176">
        <v>111.133</v>
      </c>
      <c r="AQ176">
        <v>1.0062587218588701</v>
      </c>
      <c r="AR176">
        <v>111.82855053634179</v>
      </c>
      <c r="AS176">
        <v>671.54</v>
      </c>
      <c r="AT176">
        <v>1</v>
      </c>
      <c r="AU176">
        <v>75.09734482717495</v>
      </c>
      <c r="AV176">
        <v>0.92979999999999996</v>
      </c>
      <c r="AW176" s="63">
        <v>69.825999999999993</v>
      </c>
      <c r="AX176">
        <v>8.9176000000000002</v>
      </c>
      <c r="AY176">
        <v>1</v>
      </c>
      <c r="AZ176">
        <v>6026.0056169707959</v>
      </c>
      <c r="BA176">
        <v>1.0375922509225091</v>
      </c>
      <c r="BB176" s="63">
        <v>6252.5366999999997</v>
      </c>
      <c r="BC176" s="61">
        <v>226.94505588115629</v>
      </c>
    </row>
    <row r="177" spans="1:55" x14ac:dyDescent="0.25">
      <c r="A177">
        <v>21892</v>
      </c>
      <c r="B177" t="s">
        <v>144</v>
      </c>
      <c r="C177">
        <v>2017</v>
      </c>
      <c r="D177">
        <v>5</v>
      </c>
      <c r="E177" t="s">
        <v>51</v>
      </c>
      <c r="F177" t="s">
        <v>449</v>
      </c>
      <c r="G177" t="s">
        <v>84</v>
      </c>
      <c r="H177" t="s">
        <v>87</v>
      </c>
      <c r="I177" t="s">
        <v>427</v>
      </c>
      <c r="J177">
        <v>-0.91867582000000003</v>
      </c>
      <c r="K177" t="s">
        <v>440</v>
      </c>
      <c r="L177" t="s">
        <v>385</v>
      </c>
      <c r="M177">
        <v>0.39737542925016001</v>
      </c>
      <c r="N177">
        <v>0.36505919670662701</v>
      </c>
      <c r="O177">
        <v>29976.978999999999</v>
      </c>
      <c r="P177">
        <v>1.6679465999999999E-5</v>
      </c>
      <c r="Q177">
        <v>1</v>
      </c>
      <c r="R177" s="61">
        <v>0.36505919670662701</v>
      </c>
      <c r="S177" t="s">
        <v>336</v>
      </c>
      <c r="T177" t="s">
        <v>433</v>
      </c>
      <c r="U177" t="s">
        <v>425</v>
      </c>
      <c r="V177" t="s">
        <v>27</v>
      </c>
      <c r="W177">
        <v>111.133</v>
      </c>
      <c r="X177">
        <v>0.99819678194932504</v>
      </c>
      <c r="Y177">
        <v>110.9326029683743</v>
      </c>
      <c r="Z177">
        <v>682.07</v>
      </c>
      <c r="AA177">
        <v>1</v>
      </c>
      <c r="AB177">
        <v>75.663800506639092</v>
      </c>
      <c r="AC177">
        <v>0.99739999999999995</v>
      </c>
      <c r="AD177" s="63">
        <v>75.466999999999999</v>
      </c>
      <c r="AE177">
        <v>8.9176000000000002</v>
      </c>
      <c r="AF177">
        <v>8.9015196227113016</v>
      </c>
      <c r="AG177">
        <v>1</v>
      </c>
      <c r="AH177">
        <v>6071.4594890626977</v>
      </c>
      <c r="AI177">
        <v>1.0108695652173909</v>
      </c>
      <c r="AJ177" s="63">
        <v>6137.4535999999998</v>
      </c>
      <c r="AK177" s="61">
        <v>2240.5338810401959</v>
      </c>
      <c r="AL177" t="s">
        <v>339</v>
      </c>
      <c r="AM177" t="s">
        <v>433</v>
      </c>
      <c r="AN177" t="s">
        <v>425</v>
      </c>
      <c r="AO177" t="s">
        <v>27</v>
      </c>
      <c r="AP177">
        <v>111.133</v>
      </c>
      <c r="AQ177">
        <v>1.0062587218588701</v>
      </c>
      <c r="AR177">
        <v>111.82855053634179</v>
      </c>
      <c r="AS177">
        <v>671.54</v>
      </c>
      <c r="AT177">
        <v>1</v>
      </c>
      <c r="AU177">
        <v>75.09734482717495</v>
      </c>
      <c r="AV177">
        <v>0.99739999999999995</v>
      </c>
      <c r="AW177" s="63">
        <v>74.902000000000001</v>
      </c>
      <c r="AX177">
        <v>8.9176000000000002</v>
      </c>
      <c r="AY177">
        <v>1</v>
      </c>
      <c r="AZ177">
        <v>6026.0056169707959</v>
      </c>
      <c r="BA177">
        <v>1.0108695652173909</v>
      </c>
      <c r="BB177" s="63">
        <v>6091.5056999999997</v>
      </c>
      <c r="BC177" s="61">
        <v>2223.760177575839</v>
      </c>
    </row>
    <row r="178" spans="1:55" x14ac:dyDescent="0.25">
      <c r="A178">
        <v>21893</v>
      </c>
      <c r="B178" t="s">
        <v>144</v>
      </c>
      <c r="C178">
        <v>2017</v>
      </c>
      <c r="D178">
        <v>5</v>
      </c>
      <c r="E178" t="s">
        <v>51</v>
      </c>
      <c r="F178" t="s">
        <v>449</v>
      </c>
      <c r="G178" t="s">
        <v>84</v>
      </c>
      <c r="H178" t="s">
        <v>87</v>
      </c>
      <c r="I178" t="s">
        <v>427</v>
      </c>
      <c r="J178">
        <v>-0.91867582000000003</v>
      </c>
      <c r="K178" t="s">
        <v>440</v>
      </c>
      <c r="L178" t="s">
        <v>452</v>
      </c>
      <c r="M178">
        <v>8.4248020759000004E-4</v>
      </c>
      <c r="N178">
        <v>7.7396619213318898E-4</v>
      </c>
      <c r="O178">
        <v>29976.978999999999</v>
      </c>
      <c r="P178">
        <v>1.6679465999999999E-5</v>
      </c>
      <c r="Q178">
        <v>1</v>
      </c>
      <c r="R178" s="61">
        <v>7.7396619213318898E-4</v>
      </c>
      <c r="S178" t="s">
        <v>336</v>
      </c>
      <c r="T178" t="s">
        <v>433</v>
      </c>
      <c r="U178" t="s">
        <v>425</v>
      </c>
      <c r="V178" t="s">
        <v>28</v>
      </c>
      <c r="W178">
        <v>111.133</v>
      </c>
      <c r="X178">
        <v>0.99819678194932504</v>
      </c>
      <c r="Y178">
        <v>110.9326029683743</v>
      </c>
      <c r="Z178">
        <v>682.07</v>
      </c>
      <c r="AA178">
        <v>1</v>
      </c>
      <c r="AB178">
        <v>75.663800506639092</v>
      </c>
      <c r="AC178">
        <v>1.0196000000000001</v>
      </c>
      <c r="AD178" s="63">
        <v>77.147000000000006</v>
      </c>
      <c r="AE178">
        <v>8.9176000000000002</v>
      </c>
      <c r="AF178">
        <v>8.9015196227113016</v>
      </c>
      <c r="AG178">
        <v>1</v>
      </c>
      <c r="AH178">
        <v>6071.4594890626977</v>
      </c>
      <c r="AI178">
        <v>0.97991730655640863</v>
      </c>
      <c r="AJ178" s="63">
        <v>5949.5281999999997</v>
      </c>
      <c r="AK178" s="61">
        <v>4.6047336859430246</v>
      </c>
      <c r="AL178" t="s">
        <v>339</v>
      </c>
      <c r="AM178" t="s">
        <v>433</v>
      </c>
      <c r="AN178" t="s">
        <v>425</v>
      </c>
      <c r="AO178" t="s">
        <v>28</v>
      </c>
      <c r="AP178">
        <v>111.133</v>
      </c>
      <c r="AQ178">
        <v>1.0062587218588701</v>
      </c>
      <c r="AR178">
        <v>111.82855053634179</v>
      </c>
      <c r="AS178">
        <v>671.54</v>
      </c>
      <c r="AT178">
        <v>1</v>
      </c>
      <c r="AU178">
        <v>75.09734482717495</v>
      </c>
      <c r="AV178">
        <v>1.0196000000000001</v>
      </c>
      <c r="AW178" s="63">
        <v>76.569000000000003</v>
      </c>
      <c r="AX178">
        <v>8.9176000000000002</v>
      </c>
      <c r="AY178">
        <v>1</v>
      </c>
      <c r="AZ178">
        <v>6026.0056169707959</v>
      </c>
      <c r="BA178">
        <v>0.97991730655640863</v>
      </c>
      <c r="BB178" s="63">
        <v>5904.9871999999996</v>
      </c>
      <c r="BC178" s="61">
        <v>4.570260457779221</v>
      </c>
    </row>
    <row r="179" spans="1:55" x14ac:dyDescent="0.25">
      <c r="A179">
        <v>21894</v>
      </c>
      <c r="B179" t="s">
        <v>144</v>
      </c>
      <c r="C179">
        <v>2017</v>
      </c>
      <c r="D179">
        <v>5</v>
      </c>
      <c r="E179" t="s">
        <v>51</v>
      </c>
      <c r="F179" t="s">
        <v>449</v>
      </c>
      <c r="G179" t="s">
        <v>84</v>
      </c>
      <c r="H179" t="s">
        <v>59</v>
      </c>
      <c r="I179" t="s">
        <v>427</v>
      </c>
      <c r="J179">
        <v>-2.39898466</v>
      </c>
      <c r="K179" t="s">
        <v>440</v>
      </c>
      <c r="L179" t="s">
        <v>450</v>
      </c>
      <c r="M179">
        <v>0.15931709696460999</v>
      </c>
      <c r="N179">
        <v>0.38219927189319092</v>
      </c>
      <c r="O179">
        <v>29976.978999999999</v>
      </c>
      <c r="P179">
        <v>1.6679465999999999E-5</v>
      </c>
      <c r="Q179">
        <v>1</v>
      </c>
      <c r="R179" s="61">
        <v>0.38219927189319092</v>
      </c>
      <c r="S179" t="s">
        <v>336</v>
      </c>
      <c r="T179" t="s">
        <v>433</v>
      </c>
      <c r="U179" t="s">
        <v>425</v>
      </c>
      <c r="V179" t="s">
        <v>26</v>
      </c>
      <c r="W179">
        <v>111.133</v>
      </c>
      <c r="X179">
        <v>0.99819678194932504</v>
      </c>
      <c r="Y179">
        <v>110.9326029683743</v>
      </c>
      <c r="Z179">
        <v>682.07</v>
      </c>
      <c r="AA179">
        <v>1</v>
      </c>
      <c r="AB179">
        <v>75.663800506639092</v>
      </c>
      <c r="AC179">
        <v>1.0178</v>
      </c>
      <c r="AD179" s="63">
        <v>77.010999999999996</v>
      </c>
      <c r="AE179">
        <v>8.9176000000000002</v>
      </c>
      <c r="AF179">
        <v>8.9015196227113016</v>
      </c>
      <c r="AG179">
        <v>1</v>
      </c>
      <c r="AH179">
        <v>6071.4594890626977</v>
      </c>
      <c r="AI179">
        <v>1.0020831266739409</v>
      </c>
      <c r="AJ179" s="63">
        <v>6084.1071000000002</v>
      </c>
      <c r="AK179" s="61">
        <v>2325.3413037401929</v>
      </c>
      <c r="AL179" t="s">
        <v>339</v>
      </c>
      <c r="AM179" t="s">
        <v>433</v>
      </c>
      <c r="AN179" t="s">
        <v>425</v>
      </c>
      <c r="AO179" t="s">
        <v>26</v>
      </c>
      <c r="AP179">
        <v>111.133</v>
      </c>
      <c r="AQ179">
        <v>1.0062587218588701</v>
      </c>
      <c r="AR179">
        <v>111.82855053634179</v>
      </c>
      <c r="AS179">
        <v>671.54</v>
      </c>
      <c r="AT179">
        <v>1</v>
      </c>
      <c r="AU179">
        <v>75.09734482717495</v>
      </c>
      <c r="AV179">
        <v>1.0178</v>
      </c>
      <c r="AW179" s="63">
        <v>76.433999999999997</v>
      </c>
      <c r="AX179">
        <v>8.9176000000000002</v>
      </c>
      <c r="AY179">
        <v>1</v>
      </c>
      <c r="AZ179">
        <v>6026.0056169707959</v>
      </c>
      <c r="BA179">
        <v>1.0020831266739409</v>
      </c>
      <c r="BB179" s="63">
        <v>6038.5586000000003</v>
      </c>
      <c r="BC179" s="61">
        <v>2307.932700204366</v>
      </c>
    </row>
    <row r="180" spans="1:55" x14ac:dyDescent="0.25">
      <c r="A180">
        <v>21895</v>
      </c>
      <c r="B180" t="s">
        <v>144</v>
      </c>
      <c r="C180">
        <v>2017</v>
      </c>
      <c r="D180">
        <v>5</v>
      </c>
      <c r="E180" t="s">
        <v>51</v>
      </c>
      <c r="F180" t="s">
        <v>449</v>
      </c>
      <c r="G180" t="s">
        <v>84</v>
      </c>
      <c r="H180" t="s">
        <v>59</v>
      </c>
      <c r="I180" t="s">
        <v>427</v>
      </c>
      <c r="J180">
        <v>-2.39898466</v>
      </c>
      <c r="K180" t="s">
        <v>440</v>
      </c>
      <c r="L180" t="s">
        <v>384</v>
      </c>
      <c r="M180">
        <v>4.1785183859599999E-2</v>
      </c>
      <c r="N180">
        <v>0.1002420151467472</v>
      </c>
      <c r="O180">
        <v>29976.978999999999</v>
      </c>
      <c r="P180">
        <v>1.6679465999999999E-5</v>
      </c>
      <c r="Q180">
        <v>1</v>
      </c>
      <c r="R180" s="61">
        <v>0.1002420151467472</v>
      </c>
      <c r="S180" t="s">
        <v>336</v>
      </c>
      <c r="T180" t="s">
        <v>433</v>
      </c>
      <c r="U180" t="s">
        <v>425</v>
      </c>
      <c r="V180" t="s">
        <v>81</v>
      </c>
      <c r="W180">
        <v>111.133</v>
      </c>
      <c r="X180">
        <v>0.99819678194932504</v>
      </c>
      <c r="Y180">
        <v>110.9326029683743</v>
      </c>
      <c r="Z180">
        <v>682.07</v>
      </c>
      <c r="AA180">
        <v>1</v>
      </c>
      <c r="AB180">
        <v>75.663800506639092</v>
      </c>
      <c r="AC180">
        <v>0.92979999999999996</v>
      </c>
      <c r="AD180" s="63">
        <v>70.352000000000004</v>
      </c>
      <c r="AE180">
        <v>8.9176000000000002</v>
      </c>
      <c r="AF180">
        <v>8.9015196227113016</v>
      </c>
      <c r="AG180">
        <v>1</v>
      </c>
      <c r="AH180">
        <v>6071.4594890626977</v>
      </c>
      <c r="AI180">
        <v>1.0375922509225091</v>
      </c>
      <c r="AJ180" s="63">
        <v>6299.6993000000002</v>
      </c>
      <c r="AK180" s="61">
        <v>631.49455265055303</v>
      </c>
      <c r="AL180" t="s">
        <v>339</v>
      </c>
      <c r="AM180" t="s">
        <v>433</v>
      </c>
      <c r="AN180" t="s">
        <v>425</v>
      </c>
      <c r="AO180" t="s">
        <v>81</v>
      </c>
      <c r="AP180">
        <v>111.133</v>
      </c>
      <c r="AQ180">
        <v>1.0062587218588701</v>
      </c>
      <c r="AR180">
        <v>111.82855053634179</v>
      </c>
      <c r="AS180">
        <v>671.54</v>
      </c>
      <c r="AT180">
        <v>1</v>
      </c>
      <c r="AU180">
        <v>75.09734482717495</v>
      </c>
      <c r="AV180">
        <v>0.92979999999999996</v>
      </c>
      <c r="AW180" s="63">
        <v>69.825999999999993</v>
      </c>
      <c r="AX180">
        <v>8.9176000000000002</v>
      </c>
      <c r="AY180">
        <v>1</v>
      </c>
      <c r="AZ180">
        <v>6026.0056169707959</v>
      </c>
      <c r="BA180">
        <v>1.0375922509225091</v>
      </c>
      <c r="BB180" s="63">
        <v>6252.5366999999997</v>
      </c>
      <c r="BC180" s="61">
        <v>626.76687858699302</v>
      </c>
    </row>
    <row r="181" spans="1:55" x14ac:dyDescent="0.25">
      <c r="A181">
        <v>21896</v>
      </c>
      <c r="B181" t="s">
        <v>144</v>
      </c>
      <c r="C181">
        <v>2017</v>
      </c>
      <c r="D181">
        <v>5</v>
      </c>
      <c r="E181" t="s">
        <v>51</v>
      </c>
      <c r="F181" t="s">
        <v>449</v>
      </c>
      <c r="G181" t="s">
        <v>84</v>
      </c>
      <c r="H181" t="s">
        <v>59</v>
      </c>
      <c r="I181" t="s">
        <v>427</v>
      </c>
      <c r="J181">
        <v>-2.39898466</v>
      </c>
      <c r="K181" t="s">
        <v>440</v>
      </c>
      <c r="L181" t="s">
        <v>385</v>
      </c>
      <c r="M181">
        <v>0.43497567483749999</v>
      </c>
      <c r="N181">
        <v>1.043499971952611</v>
      </c>
      <c r="O181">
        <v>29976.978999999999</v>
      </c>
      <c r="P181">
        <v>1.6679465999999999E-5</v>
      </c>
      <c r="Q181">
        <v>1</v>
      </c>
      <c r="R181" s="61">
        <v>1.043499971952611</v>
      </c>
      <c r="S181" t="s">
        <v>336</v>
      </c>
      <c r="T181" t="s">
        <v>433</v>
      </c>
      <c r="U181" t="s">
        <v>425</v>
      </c>
      <c r="V181" t="s">
        <v>27</v>
      </c>
      <c r="W181">
        <v>111.133</v>
      </c>
      <c r="X181">
        <v>0.99819678194932504</v>
      </c>
      <c r="Y181">
        <v>110.9326029683743</v>
      </c>
      <c r="Z181">
        <v>682.07</v>
      </c>
      <c r="AA181">
        <v>1</v>
      </c>
      <c r="AB181">
        <v>75.663800506639092</v>
      </c>
      <c r="AC181">
        <v>0.99739999999999995</v>
      </c>
      <c r="AD181" s="63">
        <v>75.466999999999999</v>
      </c>
      <c r="AE181">
        <v>8.9176000000000002</v>
      </c>
      <c r="AF181">
        <v>8.9015196227113016</v>
      </c>
      <c r="AG181">
        <v>1</v>
      </c>
      <c r="AH181">
        <v>6071.4594890626977</v>
      </c>
      <c r="AI181">
        <v>1.0108695652173909</v>
      </c>
      <c r="AJ181" s="63">
        <v>6137.4535999999998</v>
      </c>
      <c r="AK181" s="61">
        <v>6404.432659460449</v>
      </c>
      <c r="AL181" t="s">
        <v>339</v>
      </c>
      <c r="AM181" t="s">
        <v>433</v>
      </c>
      <c r="AN181" t="s">
        <v>425</v>
      </c>
      <c r="AO181" t="s">
        <v>27</v>
      </c>
      <c r="AP181">
        <v>111.133</v>
      </c>
      <c r="AQ181">
        <v>1.0062587218588701</v>
      </c>
      <c r="AR181">
        <v>111.82855053634179</v>
      </c>
      <c r="AS181">
        <v>671.54</v>
      </c>
      <c r="AT181">
        <v>1</v>
      </c>
      <c r="AU181">
        <v>75.09734482717495</v>
      </c>
      <c r="AV181">
        <v>0.99739999999999995</v>
      </c>
      <c r="AW181" s="63">
        <v>74.902000000000001</v>
      </c>
      <c r="AX181">
        <v>8.9176000000000002</v>
      </c>
      <c r="AY181">
        <v>1</v>
      </c>
      <c r="AZ181">
        <v>6026.0056169707959</v>
      </c>
      <c r="BA181">
        <v>1.0108695652173909</v>
      </c>
      <c r="BB181" s="63">
        <v>6091.5056999999997</v>
      </c>
      <c r="BC181" s="61">
        <v>6356.4860270991667</v>
      </c>
    </row>
    <row r="182" spans="1:55" x14ac:dyDescent="0.25">
      <c r="A182">
        <v>21897</v>
      </c>
      <c r="B182" t="s">
        <v>144</v>
      </c>
      <c r="C182">
        <v>2017</v>
      </c>
      <c r="D182">
        <v>5</v>
      </c>
      <c r="E182" t="s">
        <v>51</v>
      </c>
      <c r="F182" t="s">
        <v>449</v>
      </c>
      <c r="G182" t="s">
        <v>84</v>
      </c>
      <c r="H182" t="s">
        <v>59</v>
      </c>
      <c r="I182" t="s">
        <v>427</v>
      </c>
      <c r="J182">
        <v>-2.39898466</v>
      </c>
      <c r="K182" t="s">
        <v>440</v>
      </c>
      <c r="L182" t="s">
        <v>451</v>
      </c>
      <c r="M182">
        <v>1.7625750762999999E-3</v>
      </c>
      <c r="N182">
        <v>4.2283905723476001E-3</v>
      </c>
      <c r="O182">
        <v>29976.978999999999</v>
      </c>
      <c r="P182">
        <v>1.6679465999999999E-5</v>
      </c>
      <c r="Q182">
        <v>1</v>
      </c>
      <c r="R182" s="61">
        <v>4.2283905723476001E-3</v>
      </c>
      <c r="S182" t="s">
        <v>336</v>
      </c>
      <c r="T182" t="s">
        <v>433</v>
      </c>
      <c r="U182" t="s">
        <v>425</v>
      </c>
      <c r="V182" t="s">
        <v>91</v>
      </c>
      <c r="W182">
        <v>111.133</v>
      </c>
      <c r="X182">
        <v>0.99819678194932504</v>
      </c>
      <c r="Y182">
        <v>110.9326029683743</v>
      </c>
      <c r="Z182">
        <v>682.07</v>
      </c>
      <c r="AA182">
        <v>1</v>
      </c>
      <c r="AB182">
        <v>75.663800506639092</v>
      </c>
      <c r="AC182">
        <v>1.0269999999999999</v>
      </c>
      <c r="AD182" s="63">
        <v>77.706999999999994</v>
      </c>
      <c r="AE182">
        <v>8.9176000000000002</v>
      </c>
      <c r="AF182">
        <v>8.9015196227113016</v>
      </c>
      <c r="AG182">
        <v>1</v>
      </c>
      <c r="AH182">
        <v>6071.4594890626977</v>
      </c>
      <c r="AI182">
        <v>0.98496680983990625</v>
      </c>
      <c r="AJ182" s="63">
        <v>5980.1860999999999</v>
      </c>
      <c r="AK182" s="61">
        <v>25.286562526124161</v>
      </c>
      <c r="AL182" t="s">
        <v>339</v>
      </c>
      <c r="AM182" t="s">
        <v>433</v>
      </c>
      <c r="AN182" t="s">
        <v>425</v>
      </c>
      <c r="AO182" t="s">
        <v>91</v>
      </c>
      <c r="AP182">
        <v>111.133</v>
      </c>
      <c r="AQ182">
        <v>1.0062587218588701</v>
      </c>
      <c r="AR182">
        <v>111.82855053634179</v>
      </c>
      <c r="AS182">
        <v>671.54</v>
      </c>
      <c r="AT182">
        <v>1</v>
      </c>
      <c r="AU182">
        <v>75.09734482717495</v>
      </c>
      <c r="AV182">
        <v>1.0269999999999999</v>
      </c>
      <c r="AW182" s="63">
        <v>77.125</v>
      </c>
      <c r="AX182">
        <v>8.9176000000000002</v>
      </c>
      <c r="AY182">
        <v>1</v>
      </c>
      <c r="AZ182">
        <v>6026.0056169707959</v>
      </c>
      <c r="BA182">
        <v>0.98496680983990625</v>
      </c>
      <c r="BB182" s="63">
        <v>5935.4155000000001</v>
      </c>
      <c r="BC182" s="61">
        <v>25.097254943165819</v>
      </c>
    </row>
    <row r="183" spans="1:55" x14ac:dyDescent="0.25">
      <c r="A183">
        <v>21898</v>
      </c>
      <c r="B183" t="s">
        <v>144</v>
      </c>
      <c r="C183">
        <v>2017</v>
      </c>
      <c r="D183">
        <v>5</v>
      </c>
      <c r="E183" t="s">
        <v>51</v>
      </c>
      <c r="F183" t="s">
        <v>449</v>
      </c>
      <c r="G183" t="s">
        <v>84</v>
      </c>
      <c r="H183" t="s">
        <v>59</v>
      </c>
      <c r="I183" t="s">
        <v>427</v>
      </c>
      <c r="J183">
        <v>-2.39898466</v>
      </c>
      <c r="K183" t="s">
        <v>440</v>
      </c>
      <c r="L183" t="s">
        <v>452</v>
      </c>
      <c r="M183">
        <v>1.4858046103299999E-3</v>
      </c>
      <c r="N183">
        <v>3.5644224697981858E-3</v>
      </c>
      <c r="O183">
        <v>29976.978999999999</v>
      </c>
      <c r="P183">
        <v>1.6679465999999999E-5</v>
      </c>
      <c r="Q183">
        <v>1</v>
      </c>
      <c r="R183" s="61">
        <v>3.5644224697981858E-3</v>
      </c>
      <c r="S183" t="s">
        <v>336</v>
      </c>
      <c r="T183" t="s">
        <v>433</v>
      </c>
      <c r="U183" t="s">
        <v>425</v>
      </c>
      <c r="V183" t="s">
        <v>28</v>
      </c>
      <c r="W183">
        <v>111.133</v>
      </c>
      <c r="X183">
        <v>0.99819678194932504</v>
      </c>
      <c r="Y183">
        <v>110.9326029683743</v>
      </c>
      <c r="Z183">
        <v>682.07</v>
      </c>
      <c r="AA183">
        <v>1</v>
      </c>
      <c r="AB183">
        <v>75.663800506639092</v>
      </c>
      <c r="AC183">
        <v>1.0196000000000001</v>
      </c>
      <c r="AD183" s="63">
        <v>77.147000000000006</v>
      </c>
      <c r="AE183">
        <v>8.9176000000000002</v>
      </c>
      <c r="AF183">
        <v>8.9015196227113016</v>
      </c>
      <c r="AG183">
        <v>1</v>
      </c>
      <c r="AH183">
        <v>6071.4594890626977</v>
      </c>
      <c r="AI183">
        <v>0.97991730655640863</v>
      </c>
      <c r="AJ183" s="63">
        <v>5949.5281999999997</v>
      </c>
      <c r="AK183" s="61">
        <v>21.206632000777962</v>
      </c>
      <c r="AL183" t="s">
        <v>339</v>
      </c>
      <c r="AM183" t="s">
        <v>433</v>
      </c>
      <c r="AN183" t="s">
        <v>425</v>
      </c>
      <c r="AO183" t="s">
        <v>28</v>
      </c>
      <c r="AP183">
        <v>111.133</v>
      </c>
      <c r="AQ183">
        <v>1.0062587218588701</v>
      </c>
      <c r="AR183">
        <v>111.82855053634179</v>
      </c>
      <c r="AS183">
        <v>671.54</v>
      </c>
      <c r="AT183">
        <v>1</v>
      </c>
      <c r="AU183">
        <v>75.09734482717495</v>
      </c>
      <c r="AV183">
        <v>1.0196000000000001</v>
      </c>
      <c r="AW183" s="63">
        <v>76.569000000000003</v>
      </c>
      <c r="AX183">
        <v>8.9176000000000002</v>
      </c>
      <c r="AY183">
        <v>1</v>
      </c>
      <c r="AZ183">
        <v>6026.0056169707959</v>
      </c>
      <c r="BA183">
        <v>0.97991730655640863</v>
      </c>
      <c r="BB183" s="63">
        <v>5904.9871999999996</v>
      </c>
      <c r="BC183" s="61">
        <v>21.047869059550671</v>
      </c>
    </row>
    <row r="184" spans="1:55" x14ac:dyDescent="0.25">
      <c r="A184">
        <v>24569</v>
      </c>
      <c r="B184" t="s">
        <v>143</v>
      </c>
      <c r="C184">
        <v>2017</v>
      </c>
      <c r="D184">
        <v>6</v>
      </c>
      <c r="E184" t="s">
        <v>51</v>
      </c>
      <c r="F184" t="s">
        <v>449</v>
      </c>
      <c r="G184" t="s">
        <v>84</v>
      </c>
      <c r="H184" t="s">
        <v>381</v>
      </c>
      <c r="I184" t="s">
        <v>427</v>
      </c>
      <c r="J184">
        <v>-4.5511828799999998</v>
      </c>
      <c r="K184" t="s">
        <v>440</v>
      </c>
      <c r="L184" t="s">
        <v>450</v>
      </c>
      <c r="M184">
        <v>0.15011157993331001</v>
      </c>
      <c r="N184">
        <v>0.68318525327441748</v>
      </c>
      <c r="O184">
        <v>29976.978999999999</v>
      </c>
      <c r="P184">
        <v>1.6679465999999999E-5</v>
      </c>
      <c r="Q184">
        <v>1</v>
      </c>
      <c r="R184" s="61">
        <v>0.68318525327441748</v>
      </c>
      <c r="S184" t="s">
        <v>336</v>
      </c>
      <c r="T184" t="s">
        <v>433</v>
      </c>
      <c r="U184" t="s">
        <v>425</v>
      </c>
      <c r="V184" t="s">
        <v>26</v>
      </c>
      <c r="W184">
        <v>111.133</v>
      </c>
      <c r="X184">
        <v>0.99819678194932504</v>
      </c>
      <c r="Y184">
        <v>110.9326029683743</v>
      </c>
      <c r="Z184">
        <v>682.07</v>
      </c>
      <c r="AA184">
        <v>1</v>
      </c>
      <c r="AB184">
        <v>75.663800506639092</v>
      </c>
      <c r="AC184">
        <v>1.0178</v>
      </c>
      <c r="AD184" s="63">
        <v>77.010999999999996</v>
      </c>
      <c r="AE184">
        <v>8.9176000000000002</v>
      </c>
      <c r="AF184">
        <v>8.9015196227113016</v>
      </c>
      <c r="AG184">
        <v>1</v>
      </c>
      <c r="AH184">
        <v>6071.4594890626977</v>
      </c>
      <c r="AI184">
        <v>1.0020831266739409</v>
      </c>
      <c r="AJ184" s="63">
        <v>6084.1071000000002</v>
      </c>
      <c r="AK184" s="61">
        <v>4156.5722500621814</v>
      </c>
      <c r="AL184" t="s">
        <v>339</v>
      </c>
      <c r="AM184" t="s">
        <v>433</v>
      </c>
      <c r="AN184" t="s">
        <v>425</v>
      </c>
      <c r="AO184" t="s">
        <v>26</v>
      </c>
      <c r="AP184">
        <v>111.133</v>
      </c>
      <c r="AQ184">
        <v>1.0062587218588701</v>
      </c>
      <c r="AR184">
        <v>111.82855053634179</v>
      </c>
      <c r="AS184">
        <v>665.15</v>
      </c>
      <c r="AT184">
        <v>1</v>
      </c>
      <c r="AU184">
        <v>74.382760389247736</v>
      </c>
      <c r="AV184">
        <v>1.0178</v>
      </c>
      <c r="AW184" s="63">
        <v>75.706999999999994</v>
      </c>
      <c r="AX184">
        <v>8.9176000000000002</v>
      </c>
      <c r="AY184">
        <v>1</v>
      </c>
      <c r="AZ184">
        <v>5968.6655093190648</v>
      </c>
      <c r="BA184">
        <v>1.0020831266739409</v>
      </c>
      <c r="BB184" s="63">
        <v>5981.0990000000002</v>
      </c>
      <c r="BC184" s="61">
        <v>4086.1986351743649</v>
      </c>
    </row>
    <row r="185" spans="1:55" x14ac:dyDescent="0.25">
      <c r="A185">
        <v>24570</v>
      </c>
      <c r="B185" t="s">
        <v>143</v>
      </c>
      <c r="C185">
        <v>2017</v>
      </c>
      <c r="D185">
        <v>6</v>
      </c>
      <c r="E185" t="s">
        <v>51</v>
      </c>
      <c r="F185" t="s">
        <v>449</v>
      </c>
      <c r="G185" t="s">
        <v>84</v>
      </c>
      <c r="H185" t="s">
        <v>381</v>
      </c>
      <c r="I185" t="s">
        <v>427</v>
      </c>
      <c r="J185">
        <v>-4.5511828799999998</v>
      </c>
      <c r="K185" t="s">
        <v>440</v>
      </c>
      <c r="L185" t="s">
        <v>384</v>
      </c>
      <c r="M185">
        <v>4.5811354346740003E-2</v>
      </c>
      <c r="N185">
        <v>0.20849585179322111</v>
      </c>
      <c r="O185">
        <v>29976.978999999999</v>
      </c>
      <c r="P185">
        <v>1.6679465999999999E-5</v>
      </c>
      <c r="Q185">
        <v>1</v>
      </c>
      <c r="R185" s="61">
        <v>0.20849585179322111</v>
      </c>
      <c r="S185" t="s">
        <v>336</v>
      </c>
      <c r="T185" t="s">
        <v>433</v>
      </c>
      <c r="U185" t="s">
        <v>425</v>
      </c>
      <c r="V185" t="s">
        <v>81</v>
      </c>
      <c r="W185">
        <v>111.133</v>
      </c>
      <c r="X185">
        <v>0.99819678194932504</v>
      </c>
      <c r="Y185">
        <v>110.9326029683743</v>
      </c>
      <c r="Z185">
        <v>682.07</v>
      </c>
      <c r="AA185">
        <v>1</v>
      </c>
      <c r="AB185">
        <v>75.663800506639092</v>
      </c>
      <c r="AC185">
        <v>0.92979999999999996</v>
      </c>
      <c r="AD185" s="63">
        <v>70.352000000000004</v>
      </c>
      <c r="AE185">
        <v>8.9176000000000002</v>
      </c>
      <c r="AF185">
        <v>8.9015196227113016</v>
      </c>
      <c r="AG185">
        <v>1</v>
      </c>
      <c r="AH185">
        <v>6071.4594890626977</v>
      </c>
      <c r="AI185">
        <v>1.0375922509225091</v>
      </c>
      <c r="AJ185" s="63">
        <v>6299.6993000000002</v>
      </c>
      <c r="AK185" s="61">
        <v>1313.461171594658</v>
      </c>
      <c r="AL185" t="s">
        <v>339</v>
      </c>
      <c r="AM185" t="s">
        <v>433</v>
      </c>
      <c r="AN185" t="s">
        <v>425</v>
      </c>
      <c r="AO185" t="s">
        <v>81</v>
      </c>
      <c r="AP185">
        <v>111.133</v>
      </c>
      <c r="AQ185">
        <v>1.0062587218588701</v>
      </c>
      <c r="AR185">
        <v>111.82855053634179</v>
      </c>
      <c r="AS185">
        <v>665.15</v>
      </c>
      <c r="AT185">
        <v>1</v>
      </c>
      <c r="AU185">
        <v>74.382760389247736</v>
      </c>
      <c r="AV185">
        <v>0.92979999999999996</v>
      </c>
      <c r="AW185" s="63">
        <v>69.161000000000001</v>
      </c>
      <c r="AX185">
        <v>8.9176000000000002</v>
      </c>
      <c r="AY185">
        <v>1</v>
      </c>
      <c r="AZ185">
        <v>5968.6655093190648</v>
      </c>
      <c r="BA185">
        <v>1.0375922509225091</v>
      </c>
      <c r="BB185" s="63">
        <v>6193.0411000000004</v>
      </c>
      <c r="BC185" s="61">
        <v>1291.2233793349269</v>
      </c>
    </row>
    <row r="186" spans="1:55" x14ac:dyDescent="0.25">
      <c r="A186">
        <v>24571</v>
      </c>
      <c r="B186" t="s">
        <v>143</v>
      </c>
      <c r="C186">
        <v>2017</v>
      </c>
      <c r="D186">
        <v>6</v>
      </c>
      <c r="E186" t="s">
        <v>51</v>
      </c>
      <c r="F186" t="s">
        <v>449</v>
      </c>
      <c r="G186" t="s">
        <v>84</v>
      </c>
      <c r="H186" t="s">
        <v>381</v>
      </c>
      <c r="I186" t="s">
        <v>427</v>
      </c>
      <c r="J186">
        <v>-4.5511828799999998</v>
      </c>
      <c r="K186" t="s">
        <v>440</v>
      </c>
      <c r="L186" t="s">
        <v>385</v>
      </c>
      <c r="M186">
        <v>0.43232641346992001</v>
      </c>
      <c r="N186">
        <v>1.967596573261615</v>
      </c>
      <c r="O186">
        <v>29976.978999999999</v>
      </c>
      <c r="P186">
        <v>1.6679465999999999E-5</v>
      </c>
      <c r="Q186">
        <v>1</v>
      </c>
      <c r="R186" s="61">
        <v>1.967596573261615</v>
      </c>
      <c r="S186" t="s">
        <v>336</v>
      </c>
      <c r="T186" t="s">
        <v>433</v>
      </c>
      <c r="U186" t="s">
        <v>425</v>
      </c>
      <c r="V186" t="s">
        <v>27</v>
      </c>
      <c r="W186">
        <v>111.133</v>
      </c>
      <c r="X186">
        <v>0.99819678194932504</v>
      </c>
      <c r="Y186">
        <v>110.9326029683743</v>
      </c>
      <c r="Z186">
        <v>682.07</v>
      </c>
      <c r="AA186">
        <v>1</v>
      </c>
      <c r="AB186">
        <v>75.663800506639092</v>
      </c>
      <c r="AC186">
        <v>0.99739999999999995</v>
      </c>
      <c r="AD186" s="63">
        <v>75.466999999999999</v>
      </c>
      <c r="AE186">
        <v>8.9176000000000002</v>
      </c>
      <c r="AF186">
        <v>8.9015196227113016</v>
      </c>
      <c r="AG186">
        <v>1</v>
      </c>
      <c r="AH186">
        <v>6071.4594890626977</v>
      </c>
      <c r="AI186">
        <v>1.0108695652173909</v>
      </c>
      <c r="AJ186" s="63">
        <v>6137.4535999999998</v>
      </c>
      <c r="AK186" s="61">
        <v>12076.03267191216</v>
      </c>
      <c r="AL186" t="s">
        <v>339</v>
      </c>
      <c r="AM186" t="s">
        <v>433</v>
      </c>
      <c r="AN186" t="s">
        <v>425</v>
      </c>
      <c r="AO186" t="s">
        <v>27</v>
      </c>
      <c r="AP186">
        <v>111.133</v>
      </c>
      <c r="AQ186">
        <v>1.0062587218588701</v>
      </c>
      <c r="AR186">
        <v>111.82855053634179</v>
      </c>
      <c r="AS186">
        <v>665.15</v>
      </c>
      <c r="AT186">
        <v>1</v>
      </c>
      <c r="AU186">
        <v>74.382760389247736</v>
      </c>
      <c r="AV186">
        <v>0.99739999999999995</v>
      </c>
      <c r="AW186" s="63">
        <v>74.188999999999993</v>
      </c>
      <c r="AX186">
        <v>8.9176000000000002</v>
      </c>
      <c r="AY186">
        <v>1</v>
      </c>
      <c r="AZ186">
        <v>5968.6655093190648</v>
      </c>
      <c r="BA186">
        <v>1.0108695652173909</v>
      </c>
      <c r="BB186" s="63">
        <v>6033.5423000000001</v>
      </c>
      <c r="BC186" s="61">
        <v>11871.577154109011</v>
      </c>
    </row>
    <row r="187" spans="1:55" x14ac:dyDescent="0.25">
      <c r="A187">
        <v>24572</v>
      </c>
      <c r="B187" t="s">
        <v>143</v>
      </c>
      <c r="C187">
        <v>2017</v>
      </c>
      <c r="D187">
        <v>6</v>
      </c>
      <c r="E187" t="s">
        <v>51</v>
      </c>
      <c r="F187" t="s">
        <v>449</v>
      </c>
      <c r="G187" t="s">
        <v>84</v>
      </c>
      <c r="H187" t="s">
        <v>381</v>
      </c>
      <c r="I187" t="s">
        <v>427</v>
      </c>
      <c r="J187">
        <v>-4.5511828799999998</v>
      </c>
      <c r="K187" t="s">
        <v>440</v>
      </c>
      <c r="L187" t="s">
        <v>451</v>
      </c>
      <c r="M187">
        <v>1.6825115802299999E-3</v>
      </c>
      <c r="N187">
        <v>7.6574179059819784E-3</v>
      </c>
      <c r="O187">
        <v>29976.978999999999</v>
      </c>
      <c r="P187">
        <v>1.6679465999999999E-5</v>
      </c>
      <c r="Q187">
        <v>1</v>
      </c>
      <c r="R187" s="61">
        <v>7.6574179059819784E-3</v>
      </c>
      <c r="S187" t="s">
        <v>336</v>
      </c>
      <c r="T187" t="s">
        <v>433</v>
      </c>
      <c r="U187" t="s">
        <v>425</v>
      </c>
      <c r="V187" t="s">
        <v>91</v>
      </c>
      <c r="W187">
        <v>111.133</v>
      </c>
      <c r="X187">
        <v>0.99819678194932504</v>
      </c>
      <c r="Y187">
        <v>110.9326029683743</v>
      </c>
      <c r="Z187">
        <v>682.07</v>
      </c>
      <c r="AA187">
        <v>1</v>
      </c>
      <c r="AB187">
        <v>75.663800506639092</v>
      </c>
      <c r="AC187">
        <v>1.0269999999999999</v>
      </c>
      <c r="AD187" s="63">
        <v>77.706999999999994</v>
      </c>
      <c r="AE187">
        <v>8.9176000000000002</v>
      </c>
      <c r="AF187">
        <v>8.9015196227113016</v>
      </c>
      <c r="AG187">
        <v>1</v>
      </c>
      <c r="AH187">
        <v>6071.4594890626977</v>
      </c>
      <c r="AI187">
        <v>0.98496680983990625</v>
      </c>
      <c r="AJ187" s="63">
        <v>5980.1860999999999</v>
      </c>
      <c r="AK187" s="61">
        <v>45.79278412324453</v>
      </c>
      <c r="AL187" t="s">
        <v>339</v>
      </c>
      <c r="AM187" t="s">
        <v>433</v>
      </c>
      <c r="AN187" t="s">
        <v>425</v>
      </c>
      <c r="AO187" t="s">
        <v>91</v>
      </c>
      <c r="AP187">
        <v>111.133</v>
      </c>
      <c r="AQ187">
        <v>1.0062587218588701</v>
      </c>
      <c r="AR187">
        <v>111.82855053634179</v>
      </c>
      <c r="AS187">
        <v>665.15</v>
      </c>
      <c r="AT187">
        <v>1</v>
      </c>
      <c r="AU187">
        <v>74.382760389247736</v>
      </c>
      <c r="AV187">
        <v>1.0269999999999999</v>
      </c>
      <c r="AW187" s="63">
        <v>76.391000000000005</v>
      </c>
      <c r="AX187">
        <v>8.9176000000000002</v>
      </c>
      <c r="AY187">
        <v>1</v>
      </c>
      <c r="AZ187">
        <v>5968.6655093190648</v>
      </c>
      <c r="BA187">
        <v>0.98496680983990625</v>
      </c>
      <c r="BB187" s="63">
        <v>5878.9373999999998</v>
      </c>
      <c r="BC187" s="61">
        <v>45.017480514907128</v>
      </c>
    </row>
    <row r="188" spans="1:55" x14ac:dyDescent="0.25">
      <c r="A188">
        <v>24573</v>
      </c>
      <c r="B188" t="s">
        <v>143</v>
      </c>
      <c r="C188">
        <v>2017</v>
      </c>
      <c r="D188">
        <v>6</v>
      </c>
      <c r="E188" t="s">
        <v>51</v>
      </c>
      <c r="F188" t="s">
        <v>449</v>
      </c>
      <c r="G188" t="s">
        <v>84</v>
      </c>
      <c r="H188" t="s">
        <v>381</v>
      </c>
      <c r="I188" t="s">
        <v>427</v>
      </c>
      <c r="J188">
        <v>-4.5511828799999998</v>
      </c>
      <c r="K188" t="s">
        <v>440</v>
      </c>
      <c r="L188" t="s">
        <v>452</v>
      </c>
      <c r="M188">
        <v>1.53682162831E-3</v>
      </c>
      <c r="N188">
        <v>6.9943562904409076E-3</v>
      </c>
      <c r="O188">
        <v>29976.978999999999</v>
      </c>
      <c r="P188">
        <v>1.6679465999999999E-5</v>
      </c>
      <c r="Q188">
        <v>1</v>
      </c>
      <c r="R188" s="61">
        <v>6.9943562904409076E-3</v>
      </c>
      <c r="S188" t="s">
        <v>336</v>
      </c>
      <c r="T188" t="s">
        <v>433</v>
      </c>
      <c r="U188" t="s">
        <v>425</v>
      </c>
      <c r="V188" t="s">
        <v>28</v>
      </c>
      <c r="W188">
        <v>111.133</v>
      </c>
      <c r="X188">
        <v>0.99819678194932504</v>
      </c>
      <c r="Y188">
        <v>110.9326029683743</v>
      </c>
      <c r="Z188">
        <v>682.07</v>
      </c>
      <c r="AA188">
        <v>1</v>
      </c>
      <c r="AB188">
        <v>75.663800506639092</v>
      </c>
      <c r="AC188">
        <v>1.0196000000000001</v>
      </c>
      <c r="AD188" s="63">
        <v>77.147000000000006</v>
      </c>
      <c r="AE188">
        <v>8.9176000000000002</v>
      </c>
      <c r="AF188">
        <v>8.9015196227113016</v>
      </c>
      <c r="AG188">
        <v>1</v>
      </c>
      <c r="AH188">
        <v>6071.4594890626977</v>
      </c>
      <c r="AI188">
        <v>0.97991730655640863</v>
      </c>
      <c r="AJ188" s="63">
        <v>5949.5281999999997</v>
      </c>
      <c r="AK188" s="61">
        <v>41.613119990825567</v>
      </c>
      <c r="AL188" t="s">
        <v>339</v>
      </c>
      <c r="AM188" t="s">
        <v>433</v>
      </c>
      <c r="AN188" t="s">
        <v>425</v>
      </c>
      <c r="AO188" t="s">
        <v>28</v>
      </c>
      <c r="AP188">
        <v>111.133</v>
      </c>
      <c r="AQ188">
        <v>1.0062587218588701</v>
      </c>
      <c r="AR188">
        <v>111.82855053634179</v>
      </c>
      <c r="AS188">
        <v>665.15</v>
      </c>
      <c r="AT188">
        <v>1</v>
      </c>
      <c r="AU188">
        <v>74.382760389247736</v>
      </c>
      <c r="AV188">
        <v>1.0196000000000001</v>
      </c>
      <c r="AW188" s="63">
        <v>75.840999999999994</v>
      </c>
      <c r="AX188">
        <v>8.9176000000000002</v>
      </c>
      <c r="AY188">
        <v>1</v>
      </c>
      <c r="AZ188">
        <v>5968.6655093190648</v>
      </c>
      <c r="BA188">
        <v>0.97991730655640863</v>
      </c>
      <c r="BB188" s="63">
        <v>5848.7986000000001</v>
      </c>
      <c r="BC188" s="61">
        <v>40.908581279431978</v>
      </c>
    </row>
    <row r="189" spans="1:55" x14ac:dyDescent="0.25">
      <c r="A189">
        <v>24574</v>
      </c>
      <c r="B189" t="s">
        <v>143</v>
      </c>
      <c r="C189">
        <v>2017</v>
      </c>
      <c r="D189">
        <v>6</v>
      </c>
      <c r="E189" t="s">
        <v>51</v>
      </c>
      <c r="F189" t="s">
        <v>449</v>
      </c>
      <c r="G189" t="s">
        <v>84</v>
      </c>
      <c r="H189" t="s">
        <v>87</v>
      </c>
      <c r="I189" t="s">
        <v>427</v>
      </c>
      <c r="J189">
        <v>-1.00265684</v>
      </c>
      <c r="K189" t="s">
        <v>440</v>
      </c>
      <c r="L189" t="s">
        <v>450</v>
      </c>
      <c r="M189">
        <v>0.26601384014995</v>
      </c>
      <c r="N189">
        <v>0.26672059714053048</v>
      </c>
      <c r="O189">
        <v>29976.978999999999</v>
      </c>
      <c r="P189">
        <v>1.6679465999999999E-5</v>
      </c>
      <c r="Q189">
        <v>1</v>
      </c>
      <c r="R189" s="61">
        <v>0.26672059714053048</v>
      </c>
      <c r="S189" t="s">
        <v>336</v>
      </c>
      <c r="T189" t="s">
        <v>433</v>
      </c>
      <c r="U189" t="s">
        <v>425</v>
      </c>
      <c r="V189" t="s">
        <v>26</v>
      </c>
      <c r="W189">
        <v>111.133</v>
      </c>
      <c r="X189">
        <v>0.99819678194932504</v>
      </c>
      <c r="Y189">
        <v>110.9326029683743</v>
      </c>
      <c r="Z189">
        <v>682.07</v>
      </c>
      <c r="AA189">
        <v>1</v>
      </c>
      <c r="AB189">
        <v>75.663800506639092</v>
      </c>
      <c r="AC189">
        <v>1.0178</v>
      </c>
      <c r="AD189" s="63">
        <v>77.010999999999996</v>
      </c>
      <c r="AE189">
        <v>8.9176000000000002</v>
      </c>
      <c r="AF189">
        <v>8.9015196227113016</v>
      </c>
      <c r="AG189">
        <v>1</v>
      </c>
      <c r="AH189">
        <v>6071.4594890626977</v>
      </c>
      <c r="AI189">
        <v>1.0020831266739409</v>
      </c>
      <c r="AJ189" s="63">
        <v>6084.1071000000002</v>
      </c>
      <c r="AK189" s="61">
        <v>1622.756678778941</v>
      </c>
      <c r="AL189" t="s">
        <v>339</v>
      </c>
      <c r="AM189" t="s">
        <v>433</v>
      </c>
      <c r="AN189" t="s">
        <v>425</v>
      </c>
      <c r="AO189" t="s">
        <v>26</v>
      </c>
      <c r="AP189">
        <v>111.133</v>
      </c>
      <c r="AQ189">
        <v>1.0062587218588701</v>
      </c>
      <c r="AR189">
        <v>111.82855053634179</v>
      </c>
      <c r="AS189">
        <v>665.15</v>
      </c>
      <c r="AT189">
        <v>1</v>
      </c>
      <c r="AU189">
        <v>74.382760389247736</v>
      </c>
      <c r="AV189">
        <v>1.0178</v>
      </c>
      <c r="AW189" s="63">
        <v>75.706999999999994</v>
      </c>
      <c r="AX189">
        <v>8.9176000000000002</v>
      </c>
      <c r="AY189">
        <v>1</v>
      </c>
      <c r="AZ189">
        <v>5968.6655093190648</v>
      </c>
      <c r="BA189">
        <v>1.0020831266739409</v>
      </c>
      <c r="BB189" s="63">
        <v>5981.0990000000002</v>
      </c>
      <c r="BC189" s="61">
        <v>1595.2822968366299</v>
      </c>
    </row>
    <row r="190" spans="1:55" x14ac:dyDescent="0.25">
      <c r="A190">
        <v>24575</v>
      </c>
      <c r="B190" t="s">
        <v>143</v>
      </c>
      <c r="C190">
        <v>2017</v>
      </c>
      <c r="D190">
        <v>6</v>
      </c>
      <c r="E190" t="s">
        <v>51</v>
      </c>
      <c r="F190" t="s">
        <v>449</v>
      </c>
      <c r="G190" t="s">
        <v>84</v>
      </c>
      <c r="H190" t="s">
        <v>87</v>
      </c>
      <c r="I190" t="s">
        <v>427</v>
      </c>
      <c r="J190">
        <v>-1.00265684</v>
      </c>
      <c r="K190" t="s">
        <v>440</v>
      </c>
      <c r="L190" t="s">
        <v>384</v>
      </c>
      <c r="M190">
        <v>3.9509559941419997E-2</v>
      </c>
      <c r="N190">
        <v>3.961453063643202E-2</v>
      </c>
      <c r="O190">
        <v>29976.978999999999</v>
      </c>
      <c r="P190">
        <v>1.6679465999999999E-5</v>
      </c>
      <c r="Q190">
        <v>1</v>
      </c>
      <c r="R190" s="61">
        <v>3.961453063643202E-2</v>
      </c>
      <c r="S190" t="s">
        <v>336</v>
      </c>
      <c r="T190" t="s">
        <v>433</v>
      </c>
      <c r="U190" t="s">
        <v>425</v>
      </c>
      <c r="V190" t="s">
        <v>81</v>
      </c>
      <c r="W190">
        <v>111.133</v>
      </c>
      <c r="X190">
        <v>0.99819678194932504</v>
      </c>
      <c r="Y190">
        <v>110.9326029683743</v>
      </c>
      <c r="Z190">
        <v>682.07</v>
      </c>
      <c r="AA190">
        <v>1</v>
      </c>
      <c r="AB190">
        <v>75.663800506639092</v>
      </c>
      <c r="AC190">
        <v>0.92979999999999996</v>
      </c>
      <c r="AD190" s="63">
        <v>70.352000000000004</v>
      </c>
      <c r="AE190">
        <v>8.9176000000000002</v>
      </c>
      <c r="AF190">
        <v>8.9015196227113016</v>
      </c>
      <c r="AG190">
        <v>1</v>
      </c>
      <c r="AH190">
        <v>6071.4594890626977</v>
      </c>
      <c r="AI190">
        <v>1.0375922509225091</v>
      </c>
      <c r="AJ190" s="63">
        <v>6299.6993000000002</v>
      </c>
      <c r="AK190" s="61">
        <v>249.55963092015929</v>
      </c>
      <c r="AL190" t="s">
        <v>339</v>
      </c>
      <c r="AM190" t="s">
        <v>433</v>
      </c>
      <c r="AN190" t="s">
        <v>425</v>
      </c>
      <c r="AO190" t="s">
        <v>81</v>
      </c>
      <c r="AP190">
        <v>111.133</v>
      </c>
      <c r="AQ190">
        <v>1.0062587218588701</v>
      </c>
      <c r="AR190">
        <v>111.82855053634179</v>
      </c>
      <c r="AS190">
        <v>665.15</v>
      </c>
      <c r="AT190">
        <v>1</v>
      </c>
      <c r="AU190">
        <v>74.382760389247736</v>
      </c>
      <c r="AV190">
        <v>0.92979999999999996</v>
      </c>
      <c r="AW190" s="63">
        <v>69.161000000000001</v>
      </c>
      <c r="AX190">
        <v>8.9176000000000002</v>
      </c>
      <c r="AY190">
        <v>1</v>
      </c>
      <c r="AZ190">
        <v>5968.6655093190648</v>
      </c>
      <c r="BA190">
        <v>1.0375922509225091</v>
      </c>
      <c r="BB190" s="63">
        <v>6193.0411000000004</v>
      </c>
      <c r="BC190" s="61">
        <v>245.33441638863269</v>
      </c>
    </row>
    <row r="191" spans="1:55" x14ac:dyDescent="0.25">
      <c r="A191">
        <v>24576</v>
      </c>
      <c r="B191" t="s">
        <v>143</v>
      </c>
      <c r="C191">
        <v>2017</v>
      </c>
      <c r="D191">
        <v>6</v>
      </c>
      <c r="E191" t="s">
        <v>51</v>
      </c>
      <c r="F191" t="s">
        <v>449</v>
      </c>
      <c r="G191" t="s">
        <v>84</v>
      </c>
      <c r="H191" t="s">
        <v>87</v>
      </c>
      <c r="I191" t="s">
        <v>427</v>
      </c>
      <c r="J191">
        <v>-1.00265684</v>
      </c>
      <c r="K191" t="s">
        <v>440</v>
      </c>
      <c r="L191" t="s">
        <v>385</v>
      </c>
      <c r="M191">
        <v>0.39737542925016001</v>
      </c>
      <c r="N191">
        <v>0.39843119335006227</v>
      </c>
      <c r="O191">
        <v>29976.978999999999</v>
      </c>
      <c r="P191">
        <v>1.6679465999999999E-5</v>
      </c>
      <c r="Q191">
        <v>1</v>
      </c>
      <c r="R191" s="61">
        <v>0.39843119335006227</v>
      </c>
      <c r="S191" t="s">
        <v>336</v>
      </c>
      <c r="T191" t="s">
        <v>433</v>
      </c>
      <c r="U191" t="s">
        <v>425</v>
      </c>
      <c r="V191" t="s">
        <v>27</v>
      </c>
      <c r="W191">
        <v>111.133</v>
      </c>
      <c r="X191">
        <v>0.99819678194932504</v>
      </c>
      <c r="Y191">
        <v>110.9326029683743</v>
      </c>
      <c r="Z191">
        <v>682.07</v>
      </c>
      <c r="AA191">
        <v>1</v>
      </c>
      <c r="AB191">
        <v>75.663800506639092</v>
      </c>
      <c r="AC191">
        <v>0.99739999999999995</v>
      </c>
      <c r="AD191" s="63">
        <v>75.466999999999999</v>
      </c>
      <c r="AE191">
        <v>8.9176000000000002</v>
      </c>
      <c r="AF191">
        <v>8.9015196227113016</v>
      </c>
      <c r="AG191">
        <v>1</v>
      </c>
      <c r="AH191">
        <v>6071.4594890626977</v>
      </c>
      <c r="AI191">
        <v>1.0108695652173909</v>
      </c>
      <c r="AJ191" s="63">
        <v>6137.4535999999998</v>
      </c>
      <c r="AK191" s="61">
        <v>2445.3529619786359</v>
      </c>
      <c r="AL191" t="s">
        <v>339</v>
      </c>
      <c r="AM191" t="s">
        <v>433</v>
      </c>
      <c r="AN191" t="s">
        <v>425</v>
      </c>
      <c r="AO191" t="s">
        <v>27</v>
      </c>
      <c r="AP191">
        <v>111.133</v>
      </c>
      <c r="AQ191">
        <v>1.0062587218588701</v>
      </c>
      <c r="AR191">
        <v>111.82855053634179</v>
      </c>
      <c r="AS191">
        <v>665.15</v>
      </c>
      <c r="AT191">
        <v>1</v>
      </c>
      <c r="AU191">
        <v>74.382760389247736</v>
      </c>
      <c r="AV191">
        <v>0.99739999999999995</v>
      </c>
      <c r="AW191" s="63">
        <v>74.188999999999993</v>
      </c>
      <c r="AX191">
        <v>8.9176000000000002</v>
      </c>
      <c r="AY191">
        <v>1</v>
      </c>
      <c r="AZ191">
        <v>5968.6655093190648</v>
      </c>
      <c r="BA191">
        <v>1.0108695652173909</v>
      </c>
      <c r="BB191" s="63">
        <v>6033.5423000000001</v>
      </c>
      <c r="BC191" s="61">
        <v>2403.9514587170802</v>
      </c>
    </row>
    <row r="192" spans="1:55" x14ac:dyDescent="0.25">
      <c r="A192">
        <v>24577</v>
      </c>
      <c r="B192" t="s">
        <v>143</v>
      </c>
      <c r="C192">
        <v>2017</v>
      </c>
      <c r="D192">
        <v>6</v>
      </c>
      <c r="E192" t="s">
        <v>51</v>
      </c>
      <c r="F192" t="s">
        <v>449</v>
      </c>
      <c r="G192" t="s">
        <v>84</v>
      </c>
      <c r="H192" t="s">
        <v>87</v>
      </c>
      <c r="I192" t="s">
        <v>427</v>
      </c>
      <c r="J192">
        <v>-1.00265684</v>
      </c>
      <c r="K192" t="s">
        <v>440</v>
      </c>
      <c r="L192" t="s">
        <v>452</v>
      </c>
      <c r="M192">
        <v>8.4248020759000004E-4</v>
      </c>
      <c r="N192">
        <v>8.4471854517350427E-4</v>
      </c>
      <c r="O192">
        <v>29976.978999999999</v>
      </c>
      <c r="P192">
        <v>1.6679465999999999E-5</v>
      </c>
      <c r="Q192">
        <v>1</v>
      </c>
      <c r="R192" s="61">
        <v>8.4471854517350427E-4</v>
      </c>
      <c r="S192" t="s">
        <v>336</v>
      </c>
      <c r="T192" t="s">
        <v>433</v>
      </c>
      <c r="U192" t="s">
        <v>425</v>
      </c>
      <c r="V192" t="s">
        <v>28</v>
      </c>
      <c r="W192">
        <v>111.133</v>
      </c>
      <c r="X192">
        <v>0.99819678194932504</v>
      </c>
      <c r="Y192">
        <v>110.9326029683743</v>
      </c>
      <c r="Z192">
        <v>682.07</v>
      </c>
      <c r="AA192">
        <v>1</v>
      </c>
      <c r="AB192">
        <v>75.663800506639092</v>
      </c>
      <c r="AC192">
        <v>1.0196000000000001</v>
      </c>
      <c r="AD192" s="63">
        <v>77.147000000000006</v>
      </c>
      <c r="AE192">
        <v>8.9176000000000002</v>
      </c>
      <c r="AF192">
        <v>8.9015196227113016</v>
      </c>
      <c r="AG192">
        <v>1</v>
      </c>
      <c r="AH192">
        <v>6071.4594890626977</v>
      </c>
      <c r="AI192">
        <v>0.97991730655640863</v>
      </c>
      <c r="AJ192" s="63">
        <v>5949.5281999999997</v>
      </c>
      <c r="AK192" s="61">
        <v>5.0256768055727372</v>
      </c>
      <c r="AL192" t="s">
        <v>339</v>
      </c>
      <c r="AM192" t="s">
        <v>433</v>
      </c>
      <c r="AN192" t="s">
        <v>425</v>
      </c>
      <c r="AO192" t="s">
        <v>28</v>
      </c>
      <c r="AP192">
        <v>111.133</v>
      </c>
      <c r="AQ192">
        <v>1.0062587218588701</v>
      </c>
      <c r="AR192">
        <v>111.82855053634179</v>
      </c>
      <c r="AS192">
        <v>665.15</v>
      </c>
      <c r="AT192">
        <v>1</v>
      </c>
      <c r="AU192">
        <v>74.382760389247736</v>
      </c>
      <c r="AV192">
        <v>1.0196000000000001</v>
      </c>
      <c r="AW192" s="63">
        <v>75.840999999999994</v>
      </c>
      <c r="AX192">
        <v>8.9176000000000002</v>
      </c>
      <c r="AY192">
        <v>1</v>
      </c>
      <c r="AZ192">
        <v>5968.6655093190648</v>
      </c>
      <c r="BA192">
        <v>0.97991730655640863</v>
      </c>
      <c r="BB192" s="63">
        <v>5848.7986000000001</v>
      </c>
      <c r="BC192" s="61">
        <v>4.9405886444048281</v>
      </c>
    </row>
    <row r="193" spans="1:55" x14ac:dyDescent="0.25">
      <c r="A193">
        <v>24578</v>
      </c>
      <c r="B193" t="s">
        <v>143</v>
      </c>
      <c r="C193">
        <v>2017</v>
      </c>
      <c r="D193">
        <v>6</v>
      </c>
      <c r="E193" t="s">
        <v>51</v>
      </c>
      <c r="F193" t="s">
        <v>449</v>
      </c>
      <c r="G193" t="s">
        <v>84</v>
      </c>
      <c r="H193" t="s">
        <v>59</v>
      </c>
      <c r="I193" t="s">
        <v>427</v>
      </c>
      <c r="J193">
        <v>-2.6182885699999998</v>
      </c>
      <c r="K193" t="s">
        <v>440</v>
      </c>
      <c r="L193" t="s">
        <v>450</v>
      </c>
      <c r="M193">
        <v>0.15931709696460999</v>
      </c>
      <c r="N193">
        <v>0.41713813368275737</v>
      </c>
      <c r="O193">
        <v>29976.978999999999</v>
      </c>
      <c r="P193">
        <v>1.6679465999999999E-5</v>
      </c>
      <c r="Q193">
        <v>1</v>
      </c>
      <c r="R193" s="61">
        <v>0.41713813368275737</v>
      </c>
      <c r="S193" t="s">
        <v>336</v>
      </c>
      <c r="T193" t="s">
        <v>433</v>
      </c>
      <c r="U193" t="s">
        <v>425</v>
      </c>
      <c r="V193" t="s">
        <v>26</v>
      </c>
      <c r="W193">
        <v>111.133</v>
      </c>
      <c r="X193">
        <v>0.99819678194932504</v>
      </c>
      <c r="Y193">
        <v>110.9326029683743</v>
      </c>
      <c r="Z193">
        <v>682.07</v>
      </c>
      <c r="AA193">
        <v>1</v>
      </c>
      <c r="AB193">
        <v>75.663800506639092</v>
      </c>
      <c r="AC193">
        <v>1.0178</v>
      </c>
      <c r="AD193" s="63">
        <v>77.010999999999996</v>
      </c>
      <c r="AE193">
        <v>8.9176000000000002</v>
      </c>
      <c r="AF193">
        <v>8.9015196227113016</v>
      </c>
      <c r="AG193">
        <v>1</v>
      </c>
      <c r="AH193">
        <v>6071.4594890626977</v>
      </c>
      <c r="AI193">
        <v>1.0020831266739409</v>
      </c>
      <c r="AJ193" s="63">
        <v>6084.1071000000002</v>
      </c>
      <c r="AK193" s="61">
        <v>2537.913080820013</v>
      </c>
      <c r="AL193" t="s">
        <v>339</v>
      </c>
      <c r="AM193" t="s">
        <v>433</v>
      </c>
      <c r="AN193" t="s">
        <v>425</v>
      </c>
      <c r="AO193" t="s">
        <v>26</v>
      </c>
      <c r="AP193">
        <v>111.133</v>
      </c>
      <c r="AQ193">
        <v>1.0062587218588701</v>
      </c>
      <c r="AR193">
        <v>111.82855053634179</v>
      </c>
      <c r="AS193">
        <v>665.15</v>
      </c>
      <c r="AT193">
        <v>1</v>
      </c>
      <c r="AU193">
        <v>74.382760389247736</v>
      </c>
      <c r="AV193">
        <v>1.0178</v>
      </c>
      <c r="AW193" s="63">
        <v>75.706999999999994</v>
      </c>
      <c r="AX193">
        <v>8.9176000000000002</v>
      </c>
      <c r="AY193">
        <v>1</v>
      </c>
      <c r="AZ193">
        <v>5968.6655093190648</v>
      </c>
      <c r="BA193">
        <v>1.0020831266739409</v>
      </c>
      <c r="BB193" s="63">
        <v>5981.0990000000002</v>
      </c>
      <c r="BC193" s="61">
        <v>2494.944474231806</v>
      </c>
    </row>
    <row r="194" spans="1:55" x14ac:dyDescent="0.25">
      <c r="A194">
        <v>24579</v>
      </c>
      <c r="B194" t="s">
        <v>143</v>
      </c>
      <c r="C194">
        <v>2017</v>
      </c>
      <c r="D194">
        <v>6</v>
      </c>
      <c r="E194" t="s">
        <v>51</v>
      </c>
      <c r="F194" t="s">
        <v>449</v>
      </c>
      <c r="G194" t="s">
        <v>84</v>
      </c>
      <c r="H194" t="s">
        <v>59</v>
      </c>
      <c r="I194" t="s">
        <v>427</v>
      </c>
      <c r="J194">
        <v>-2.6182885699999998</v>
      </c>
      <c r="K194" t="s">
        <v>440</v>
      </c>
      <c r="L194" t="s">
        <v>384</v>
      </c>
      <c r="M194">
        <v>4.1785183859599999E-2</v>
      </c>
      <c r="N194">
        <v>0.10940566921487579</v>
      </c>
      <c r="O194">
        <v>29976.978999999999</v>
      </c>
      <c r="P194">
        <v>1.6679465999999999E-5</v>
      </c>
      <c r="Q194">
        <v>1</v>
      </c>
      <c r="R194" s="61">
        <v>0.10940566921487579</v>
      </c>
      <c r="S194" t="s">
        <v>336</v>
      </c>
      <c r="T194" t="s">
        <v>433</v>
      </c>
      <c r="U194" t="s">
        <v>425</v>
      </c>
      <c r="V194" t="s">
        <v>81</v>
      </c>
      <c r="W194">
        <v>111.133</v>
      </c>
      <c r="X194">
        <v>0.99819678194932504</v>
      </c>
      <c r="Y194">
        <v>110.9326029683743</v>
      </c>
      <c r="Z194">
        <v>682.07</v>
      </c>
      <c r="AA194">
        <v>1</v>
      </c>
      <c r="AB194">
        <v>75.663800506639092</v>
      </c>
      <c r="AC194">
        <v>0.92979999999999996</v>
      </c>
      <c r="AD194" s="63">
        <v>70.352000000000004</v>
      </c>
      <c r="AE194">
        <v>8.9176000000000002</v>
      </c>
      <c r="AF194">
        <v>8.9015196227113016</v>
      </c>
      <c r="AG194">
        <v>1</v>
      </c>
      <c r="AH194">
        <v>6071.4594890626977</v>
      </c>
      <c r="AI194">
        <v>1.0375922509225091</v>
      </c>
      <c r="AJ194" s="63">
        <v>6299.6993000000002</v>
      </c>
      <c r="AK194" s="61">
        <v>689.2228177689849</v>
      </c>
      <c r="AL194" t="s">
        <v>339</v>
      </c>
      <c r="AM194" t="s">
        <v>433</v>
      </c>
      <c r="AN194" t="s">
        <v>425</v>
      </c>
      <c r="AO194" t="s">
        <v>81</v>
      </c>
      <c r="AP194">
        <v>111.133</v>
      </c>
      <c r="AQ194">
        <v>1.0062587218588701</v>
      </c>
      <c r="AR194">
        <v>111.82855053634179</v>
      </c>
      <c r="AS194">
        <v>665.15</v>
      </c>
      <c r="AT194">
        <v>1</v>
      </c>
      <c r="AU194">
        <v>74.382760389247736</v>
      </c>
      <c r="AV194">
        <v>0.92979999999999996</v>
      </c>
      <c r="AW194" s="63">
        <v>69.161000000000001</v>
      </c>
      <c r="AX194">
        <v>8.9176000000000002</v>
      </c>
      <c r="AY194">
        <v>1</v>
      </c>
      <c r="AZ194">
        <v>5968.6655093190648</v>
      </c>
      <c r="BA194">
        <v>1.0375922509225091</v>
      </c>
      <c r="BB194" s="63">
        <v>6193.0411000000004</v>
      </c>
      <c r="BC194" s="61">
        <v>677.5538060207308</v>
      </c>
    </row>
    <row r="195" spans="1:55" x14ac:dyDescent="0.25">
      <c r="A195">
        <v>24580</v>
      </c>
      <c r="B195" t="s">
        <v>143</v>
      </c>
      <c r="C195">
        <v>2017</v>
      </c>
      <c r="D195">
        <v>6</v>
      </c>
      <c r="E195" t="s">
        <v>51</v>
      </c>
      <c r="F195" t="s">
        <v>449</v>
      </c>
      <c r="G195" t="s">
        <v>84</v>
      </c>
      <c r="H195" t="s">
        <v>59</v>
      </c>
      <c r="I195" t="s">
        <v>427</v>
      </c>
      <c r="J195">
        <v>-2.6182885699999998</v>
      </c>
      <c r="K195" t="s">
        <v>440</v>
      </c>
      <c r="L195" t="s">
        <v>385</v>
      </c>
      <c r="M195">
        <v>0.43497567483749999</v>
      </c>
      <c r="N195">
        <v>1.138891836821619</v>
      </c>
      <c r="O195">
        <v>29976.978999999999</v>
      </c>
      <c r="P195">
        <v>1.6679465999999999E-5</v>
      </c>
      <c r="Q195">
        <v>1</v>
      </c>
      <c r="R195" s="61">
        <v>1.138891836821619</v>
      </c>
      <c r="S195" t="s">
        <v>336</v>
      </c>
      <c r="T195" t="s">
        <v>433</v>
      </c>
      <c r="U195" t="s">
        <v>425</v>
      </c>
      <c r="V195" t="s">
        <v>27</v>
      </c>
      <c r="W195">
        <v>111.133</v>
      </c>
      <c r="X195">
        <v>0.99819678194932504</v>
      </c>
      <c r="Y195">
        <v>110.9326029683743</v>
      </c>
      <c r="Z195">
        <v>682.07</v>
      </c>
      <c r="AA195">
        <v>1</v>
      </c>
      <c r="AB195">
        <v>75.663800506639092</v>
      </c>
      <c r="AC195">
        <v>0.99739999999999995</v>
      </c>
      <c r="AD195" s="63">
        <v>75.466999999999999</v>
      </c>
      <c r="AE195">
        <v>8.9176000000000002</v>
      </c>
      <c r="AF195">
        <v>8.9015196227113016</v>
      </c>
      <c r="AG195">
        <v>1</v>
      </c>
      <c r="AH195">
        <v>6071.4594890626977</v>
      </c>
      <c r="AI195">
        <v>1.0108695652173909</v>
      </c>
      <c r="AJ195" s="63">
        <v>6137.4535999999998</v>
      </c>
      <c r="AK195" s="61">
        <v>6989.8958039114596</v>
      </c>
      <c r="AL195" t="s">
        <v>339</v>
      </c>
      <c r="AM195" t="s">
        <v>433</v>
      </c>
      <c r="AN195" t="s">
        <v>425</v>
      </c>
      <c r="AO195" t="s">
        <v>27</v>
      </c>
      <c r="AP195">
        <v>111.133</v>
      </c>
      <c r="AQ195">
        <v>1.0062587218588701</v>
      </c>
      <c r="AR195">
        <v>111.82855053634179</v>
      </c>
      <c r="AS195">
        <v>665.15</v>
      </c>
      <c r="AT195">
        <v>1</v>
      </c>
      <c r="AU195">
        <v>74.382760389247736</v>
      </c>
      <c r="AV195">
        <v>0.99739999999999995</v>
      </c>
      <c r="AW195" s="63">
        <v>74.188999999999993</v>
      </c>
      <c r="AX195">
        <v>8.9176000000000002</v>
      </c>
      <c r="AY195">
        <v>1</v>
      </c>
      <c r="AZ195">
        <v>5968.6655093190648</v>
      </c>
      <c r="BA195">
        <v>1.0108695652173909</v>
      </c>
      <c r="BB195" s="63">
        <v>6033.5423000000001</v>
      </c>
      <c r="BC195" s="61">
        <v>6871.5520725879369</v>
      </c>
    </row>
    <row r="196" spans="1:55" x14ac:dyDescent="0.25">
      <c r="A196">
        <v>24581</v>
      </c>
      <c r="B196" t="s">
        <v>143</v>
      </c>
      <c r="C196">
        <v>2017</v>
      </c>
      <c r="D196">
        <v>6</v>
      </c>
      <c r="E196" t="s">
        <v>51</v>
      </c>
      <c r="F196" t="s">
        <v>449</v>
      </c>
      <c r="G196" t="s">
        <v>84</v>
      </c>
      <c r="H196" t="s">
        <v>59</v>
      </c>
      <c r="I196" t="s">
        <v>427</v>
      </c>
      <c r="J196">
        <v>-2.6182885699999998</v>
      </c>
      <c r="K196" t="s">
        <v>440</v>
      </c>
      <c r="L196" t="s">
        <v>451</v>
      </c>
      <c r="M196">
        <v>1.7625750762999999E-3</v>
      </c>
      <c r="N196">
        <v>4.6149301726659507E-3</v>
      </c>
      <c r="O196">
        <v>29976.978999999999</v>
      </c>
      <c r="P196">
        <v>1.6679465999999999E-5</v>
      </c>
      <c r="Q196">
        <v>1</v>
      </c>
      <c r="R196" s="61">
        <v>4.6149301726659507E-3</v>
      </c>
      <c r="S196" t="s">
        <v>336</v>
      </c>
      <c r="T196" t="s">
        <v>433</v>
      </c>
      <c r="U196" t="s">
        <v>425</v>
      </c>
      <c r="V196" t="s">
        <v>91</v>
      </c>
      <c r="W196">
        <v>111.133</v>
      </c>
      <c r="X196">
        <v>0.99819678194932504</v>
      </c>
      <c r="Y196">
        <v>110.9326029683743</v>
      </c>
      <c r="Z196">
        <v>682.07</v>
      </c>
      <c r="AA196">
        <v>1</v>
      </c>
      <c r="AB196">
        <v>75.663800506639092</v>
      </c>
      <c r="AC196">
        <v>1.0269999999999999</v>
      </c>
      <c r="AD196" s="63">
        <v>77.706999999999994</v>
      </c>
      <c r="AE196">
        <v>8.9176000000000002</v>
      </c>
      <c r="AF196">
        <v>8.9015196227113016</v>
      </c>
      <c r="AG196">
        <v>1</v>
      </c>
      <c r="AH196">
        <v>6071.4594890626977</v>
      </c>
      <c r="AI196">
        <v>0.98496680983990625</v>
      </c>
      <c r="AJ196" s="63">
        <v>5980.1860999999999</v>
      </c>
      <c r="AK196" s="61">
        <v>27.59814127104752</v>
      </c>
      <c r="AL196" t="s">
        <v>339</v>
      </c>
      <c r="AM196" t="s">
        <v>433</v>
      </c>
      <c r="AN196" t="s">
        <v>425</v>
      </c>
      <c r="AO196" t="s">
        <v>91</v>
      </c>
      <c r="AP196">
        <v>111.133</v>
      </c>
      <c r="AQ196">
        <v>1.0062587218588701</v>
      </c>
      <c r="AR196">
        <v>111.82855053634179</v>
      </c>
      <c r="AS196">
        <v>665.15</v>
      </c>
      <c r="AT196">
        <v>1</v>
      </c>
      <c r="AU196">
        <v>74.382760389247736</v>
      </c>
      <c r="AV196">
        <v>1.0269999999999999</v>
      </c>
      <c r="AW196" s="63">
        <v>76.391000000000005</v>
      </c>
      <c r="AX196">
        <v>8.9176000000000002</v>
      </c>
      <c r="AY196">
        <v>1</v>
      </c>
      <c r="AZ196">
        <v>5968.6655093190648</v>
      </c>
      <c r="BA196">
        <v>0.98496680983990625</v>
      </c>
      <c r="BB196" s="63">
        <v>5878.9373999999998</v>
      </c>
      <c r="BC196" s="61">
        <v>27.13088559047431</v>
      </c>
    </row>
    <row r="197" spans="1:55" x14ac:dyDescent="0.25">
      <c r="A197">
        <v>24582</v>
      </c>
      <c r="B197" t="s">
        <v>143</v>
      </c>
      <c r="C197">
        <v>2017</v>
      </c>
      <c r="D197">
        <v>6</v>
      </c>
      <c r="E197" t="s">
        <v>51</v>
      </c>
      <c r="F197" t="s">
        <v>449</v>
      </c>
      <c r="G197" t="s">
        <v>84</v>
      </c>
      <c r="H197" t="s">
        <v>59</v>
      </c>
      <c r="I197" t="s">
        <v>427</v>
      </c>
      <c r="J197">
        <v>-2.6182885699999998</v>
      </c>
      <c r="K197" t="s">
        <v>440</v>
      </c>
      <c r="L197" t="s">
        <v>452</v>
      </c>
      <c r="M197">
        <v>1.4858046103299999E-3</v>
      </c>
      <c r="N197">
        <v>3.8902652256334381E-3</v>
      </c>
      <c r="O197">
        <v>29976.978999999999</v>
      </c>
      <c r="P197">
        <v>1.6679465999999999E-5</v>
      </c>
      <c r="Q197">
        <v>1</v>
      </c>
      <c r="R197" s="61">
        <v>3.8902652256334381E-3</v>
      </c>
      <c r="S197" t="s">
        <v>336</v>
      </c>
      <c r="T197" t="s">
        <v>433</v>
      </c>
      <c r="U197" t="s">
        <v>425</v>
      </c>
      <c r="V197" t="s">
        <v>28</v>
      </c>
      <c r="W197">
        <v>111.133</v>
      </c>
      <c r="X197">
        <v>0.99819678194932504</v>
      </c>
      <c r="Y197">
        <v>110.9326029683743</v>
      </c>
      <c r="Z197">
        <v>682.07</v>
      </c>
      <c r="AA197">
        <v>1</v>
      </c>
      <c r="AB197">
        <v>75.663800506639092</v>
      </c>
      <c r="AC197">
        <v>1.0196000000000001</v>
      </c>
      <c r="AD197" s="63">
        <v>77.147000000000006</v>
      </c>
      <c r="AE197">
        <v>8.9176000000000002</v>
      </c>
      <c r="AF197">
        <v>8.9015196227113016</v>
      </c>
      <c r="AG197">
        <v>1</v>
      </c>
      <c r="AH197">
        <v>6071.4594890626977</v>
      </c>
      <c r="AI197">
        <v>0.97991730655640863</v>
      </c>
      <c r="AJ197" s="63">
        <v>5949.5281999999997</v>
      </c>
      <c r="AK197" s="61">
        <v>23.145242665385499</v>
      </c>
      <c r="AL197" t="s">
        <v>339</v>
      </c>
      <c r="AM197" t="s">
        <v>433</v>
      </c>
      <c r="AN197" t="s">
        <v>425</v>
      </c>
      <c r="AO197" t="s">
        <v>28</v>
      </c>
      <c r="AP197">
        <v>111.133</v>
      </c>
      <c r="AQ197">
        <v>1.0062587218588701</v>
      </c>
      <c r="AR197">
        <v>111.82855053634179</v>
      </c>
      <c r="AS197">
        <v>665.15</v>
      </c>
      <c r="AT197">
        <v>1</v>
      </c>
      <c r="AU197">
        <v>74.382760389247736</v>
      </c>
      <c r="AV197">
        <v>1.0196000000000001</v>
      </c>
      <c r="AW197" s="63">
        <v>75.840999999999994</v>
      </c>
      <c r="AX197">
        <v>8.9176000000000002</v>
      </c>
      <c r="AY197">
        <v>1</v>
      </c>
      <c r="AZ197">
        <v>5968.6655093190648</v>
      </c>
      <c r="BA197">
        <v>0.97991730655640863</v>
      </c>
      <c r="BB197" s="63">
        <v>5848.7986000000001</v>
      </c>
      <c r="BC197" s="61">
        <v>22.75337780531353</v>
      </c>
    </row>
    <row r="198" spans="1:55" x14ac:dyDescent="0.25">
      <c r="A198">
        <v>27253</v>
      </c>
      <c r="B198" t="s">
        <v>142</v>
      </c>
      <c r="C198">
        <v>2017</v>
      </c>
      <c r="D198">
        <v>7</v>
      </c>
      <c r="E198" t="s">
        <v>51</v>
      </c>
      <c r="F198" t="s">
        <v>449</v>
      </c>
      <c r="G198" t="s">
        <v>84</v>
      </c>
      <c r="H198" t="s">
        <v>381</v>
      </c>
      <c r="I198" t="s">
        <v>427</v>
      </c>
      <c r="J198">
        <v>-4.4307758899999996</v>
      </c>
      <c r="K198" t="s">
        <v>440</v>
      </c>
      <c r="L198" t="s">
        <v>450</v>
      </c>
      <c r="M198">
        <v>0.15011157993331001</v>
      </c>
      <c r="N198">
        <v>0.66511076975882411</v>
      </c>
      <c r="O198">
        <v>29976.978999999999</v>
      </c>
      <c r="P198">
        <v>1.6679465999999999E-5</v>
      </c>
      <c r="Q198">
        <v>1</v>
      </c>
      <c r="R198" s="61">
        <v>0.66511076975882411</v>
      </c>
      <c r="S198" t="s">
        <v>336</v>
      </c>
      <c r="T198" t="s">
        <v>433</v>
      </c>
      <c r="U198" t="s">
        <v>425</v>
      </c>
      <c r="V198" t="s">
        <v>26</v>
      </c>
      <c r="W198">
        <v>111.133</v>
      </c>
      <c r="X198">
        <v>0.99819678194932504</v>
      </c>
      <c r="Y198">
        <v>110.9326029683743</v>
      </c>
      <c r="Z198">
        <v>682.07</v>
      </c>
      <c r="AA198">
        <v>1</v>
      </c>
      <c r="AB198">
        <v>75.663800506639092</v>
      </c>
      <c r="AC198">
        <v>1.0178</v>
      </c>
      <c r="AD198" s="63">
        <v>77.010999999999996</v>
      </c>
      <c r="AE198">
        <v>8.9176000000000002</v>
      </c>
      <c r="AF198">
        <v>8.9015196227113016</v>
      </c>
      <c r="AG198">
        <v>1</v>
      </c>
      <c r="AH198">
        <v>6071.4594890626977</v>
      </c>
      <c r="AI198">
        <v>1.0020831266739409</v>
      </c>
      <c r="AJ198" s="63">
        <v>6084.1071000000002</v>
      </c>
      <c r="AK198" s="61">
        <v>4046.6051565761268</v>
      </c>
      <c r="AL198" t="s">
        <v>342</v>
      </c>
      <c r="AM198" t="s">
        <v>434</v>
      </c>
      <c r="AN198" t="s">
        <v>425</v>
      </c>
      <c r="AO198" t="s">
        <v>26</v>
      </c>
      <c r="AP198">
        <v>111.133</v>
      </c>
      <c r="AQ198">
        <v>1.0155396203574489</v>
      </c>
      <c r="AR198">
        <v>112.8599646291844</v>
      </c>
      <c r="AS198">
        <v>658.17</v>
      </c>
      <c r="AT198">
        <v>1</v>
      </c>
      <c r="AU198">
        <v>74.281042919990284</v>
      </c>
      <c r="AV198">
        <v>1.012368394153123</v>
      </c>
      <c r="AW198" s="63">
        <v>75.2</v>
      </c>
      <c r="AX198">
        <v>8.9176000000000002</v>
      </c>
      <c r="AY198">
        <v>1</v>
      </c>
      <c r="AZ198">
        <v>5960.503435912874</v>
      </c>
      <c r="BA198">
        <v>0.99404987733863315</v>
      </c>
      <c r="BB198" s="63">
        <v>5925.0376999999999</v>
      </c>
      <c r="BC198" s="61">
        <v>3940.8063854970528</v>
      </c>
    </row>
    <row r="199" spans="1:55" x14ac:dyDescent="0.25">
      <c r="A199">
        <v>27254</v>
      </c>
      <c r="B199" t="s">
        <v>142</v>
      </c>
      <c r="C199">
        <v>2017</v>
      </c>
      <c r="D199">
        <v>7</v>
      </c>
      <c r="E199" t="s">
        <v>51</v>
      </c>
      <c r="F199" t="s">
        <v>449</v>
      </c>
      <c r="G199" t="s">
        <v>84</v>
      </c>
      <c r="H199" t="s">
        <v>381</v>
      </c>
      <c r="I199" t="s">
        <v>427</v>
      </c>
      <c r="J199">
        <v>-4.4307758899999996</v>
      </c>
      <c r="K199" t="s">
        <v>440</v>
      </c>
      <c r="L199" t="s">
        <v>384</v>
      </c>
      <c r="M199">
        <v>4.5811354346740003E-2</v>
      </c>
      <c r="N199">
        <v>0.20297984450494241</v>
      </c>
      <c r="O199">
        <v>29976.978999999999</v>
      </c>
      <c r="P199">
        <v>1.6679465999999999E-5</v>
      </c>
      <c r="Q199">
        <v>1</v>
      </c>
      <c r="R199" s="61">
        <v>0.20297984450494241</v>
      </c>
      <c r="S199" t="s">
        <v>336</v>
      </c>
      <c r="T199" t="s">
        <v>433</v>
      </c>
      <c r="U199" t="s">
        <v>425</v>
      </c>
      <c r="V199" t="s">
        <v>81</v>
      </c>
      <c r="W199">
        <v>111.133</v>
      </c>
      <c r="X199">
        <v>0.99819678194932504</v>
      </c>
      <c r="Y199">
        <v>110.9326029683743</v>
      </c>
      <c r="Z199">
        <v>682.07</v>
      </c>
      <c r="AA199">
        <v>1</v>
      </c>
      <c r="AB199">
        <v>75.663800506639092</v>
      </c>
      <c r="AC199">
        <v>0.92979999999999996</v>
      </c>
      <c r="AD199" s="63">
        <v>70.352000000000004</v>
      </c>
      <c r="AE199">
        <v>8.9176000000000002</v>
      </c>
      <c r="AF199">
        <v>8.9015196227113016</v>
      </c>
      <c r="AG199">
        <v>1</v>
      </c>
      <c r="AH199">
        <v>6071.4594890626977</v>
      </c>
      <c r="AI199">
        <v>1.0375922509225091</v>
      </c>
      <c r="AJ199" s="63">
        <v>6299.6993000000002</v>
      </c>
      <c r="AK199" s="61">
        <v>1278.711984341895</v>
      </c>
      <c r="AL199" t="s">
        <v>342</v>
      </c>
      <c r="AM199" t="s">
        <v>434</v>
      </c>
      <c r="AN199" t="s">
        <v>425</v>
      </c>
      <c r="AO199" t="s">
        <v>81</v>
      </c>
      <c r="AP199">
        <v>111.133</v>
      </c>
      <c r="AQ199">
        <v>1.0155396203574489</v>
      </c>
      <c r="AR199">
        <v>112.8599646291844</v>
      </c>
      <c r="AS199">
        <v>658.17</v>
      </c>
      <c r="AT199">
        <v>1</v>
      </c>
      <c r="AU199">
        <v>74.281042919990284</v>
      </c>
      <c r="AV199">
        <v>0.95185525912296853</v>
      </c>
      <c r="AW199" s="63">
        <v>70.704999999999998</v>
      </c>
      <c r="AX199">
        <v>8.9176000000000002</v>
      </c>
      <c r="AY199">
        <v>1</v>
      </c>
      <c r="AZ199">
        <v>5960.503435912874</v>
      </c>
      <c r="BA199">
        <v>1.081469419077697</v>
      </c>
      <c r="BB199" s="63">
        <v>6446.1022000000003</v>
      </c>
      <c r="BC199" s="61">
        <v>1308.4288222189671</v>
      </c>
    </row>
    <row r="200" spans="1:55" x14ac:dyDescent="0.25">
      <c r="A200">
        <v>27255</v>
      </c>
      <c r="B200" t="s">
        <v>142</v>
      </c>
      <c r="C200">
        <v>2017</v>
      </c>
      <c r="D200">
        <v>7</v>
      </c>
      <c r="E200" t="s">
        <v>51</v>
      </c>
      <c r="F200" t="s">
        <v>449</v>
      </c>
      <c r="G200" t="s">
        <v>84</v>
      </c>
      <c r="H200" t="s">
        <v>381</v>
      </c>
      <c r="I200" t="s">
        <v>427</v>
      </c>
      <c r="J200">
        <v>-4.4307758899999996</v>
      </c>
      <c r="K200" t="s">
        <v>440</v>
      </c>
      <c r="L200" t="s">
        <v>385</v>
      </c>
      <c r="M200">
        <v>0.43232641346992001</v>
      </c>
      <c r="N200">
        <v>1.915541451084571</v>
      </c>
      <c r="O200">
        <v>29976.978999999999</v>
      </c>
      <c r="P200">
        <v>1.6679465999999999E-5</v>
      </c>
      <c r="Q200">
        <v>1</v>
      </c>
      <c r="R200" s="61">
        <v>1.915541451084571</v>
      </c>
      <c r="S200" t="s">
        <v>336</v>
      </c>
      <c r="T200" t="s">
        <v>433</v>
      </c>
      <c r="U200" t="s">
        <v>425</v>
      </c>
      <c r="V200" t="s">
        <v>27</v>
      </c>
      <c r="W200">
        <v>111.133</v>
      </c>
      <c r="X200">
        <v>0.99819678194932504</v>
      </c>
      <c r="Y200">
        <v>110.9326029683743</v>
      </c>
      <c r="Z200">
        <v>682.07</v>
      </c>
      <c r="AA200">
        <v>1</v>
      </c>
      <c r="AB200">
        <v>75.663800506639092</v>
      </c>
      <c r="AC200">
        <v>0.99739999999999995</v>
      </c>
      <c r="AD200" s="63">
        <v>75.466999999999999</v>
      </c>
      <c r="AE200">
        <v>8.9176000000000002</v>
      </c>
      <c r="AF200">
        <v>8.9015196227113016</v>
      </c>
      <c r="AG200">
        <v>1</v>
      </c>
      <c r="AH200">
        <v>6071.4594890626977</v>
      </c>
      <c r="AI200">
        <v>1.0108695652173909</v>
      </c>
      <c r="AJ200" s="63">
        <v>6137.4535999999998</v>
      </c>
      <c r="AK200" s="61">
        <v>11756.54677490822</v>
      </c>
      <c r="AL200" t="s">
        <v>342</v>
      </c>
      <c r="AM200" t="s">
        <v>434</v>
      </c>
      <c r="AN200" t="s">
        <v>425</v>
      </c>
      <c r="AO200" t="s">
        <v>27</v>
      </c>
      <c r="AP200">
        <v>111.133</v>
      </c>
      <c r="AQ200">
        <v>1.0155396203574489</v>
      </c>
      <c r="AR200">
        <v>112.8599646291844</v>
      </c>
      <c r="AS200">
        <v>658.17</v>
      </c>
      <c r="AT200">
        <v>1</v>
      </c>
      <c r="AU200">
        <v>74.281042919990284</v>
      </c>
      <c r="AV200">
        <v>1.0016354901359501</v>
      </c>
      <c r="AW200" s="63">
        <v>74.403000000000006</v>
      </c>
      <c r="AX200">
        <v>8.9176000000000002</v>
      </c>
      <c r="AY200">
        <v>1</v>
      </c>
      <c r="AZ200">
        <v>5960.503435912874</v>
      </c>
      <c r="BA200">
        <v>1.016194415745886</v>
      </c>
      <c r="BB200" s="63">
        <v>6057.0303000000004</v>
      </c>
      <c r="BC200" s="61">
        <v>11602.492610125209</v>
      </c>
    </row>
    <row r="201" spans="1:55" x14ac:dyDescent="0.25">
      <c r="A201">
        <v>27256</v>
      </c>
      <c r="B201" t="s">
        <v>142</v>
      </c>
      <c r="C201">
        <v>2017</v>
      </c>
      <c r="D201">
        <v>7</v>
      </c>
      <c r="E201" t="s">
        <v>51</v>
      </c>
      <c r="F201" t="s">
        <v>449</v>
      </c>
      <c r="G201" t="s">
        <v>84</v>
      </c>
      <c r="H201" t="s">
        <v>381</v>
      </c>
      <c r="I201" t="s">
        <v>427</v>
      </c>
      <c r="J201">
        <v>-4.4307758899999996</v>
      </c>
      <c r="K201" t="s">
        <v>440</v>
      </c>
      <c r="L201" t="s">
        <v>451</v>
      </c>
      <c r="M201">
        <v>1.6825115802299999E-3</v>
      </c>
      <c r="N201">
        <v>7.4548317508354358E-3</v>
      </c>
      <c r="O201">
        <v>29976.978999999999</v>
      </c>
      <c r="P201">
        <v>1.6679465999999999E-5</v>
      </c>
      <c r="Q201">
        <v>1</v>
      </c>
      <c r="R201" s="61">
        <v>7.4548317508354358E-3</v>
      </c>
      <c r="S201" t="s">
        <v>336</v>
      </c>
      <c r="T201" t="s">
        <v>433</v>
      </c>
      <c r="U201" t="s">
        <v>425</v>
      </c>
      <c r="V201" t="s">
        <v>91</v>
      </c>
      <c r="W201">
        <v>111.133</v>
      </c>
      <c r="X201">
        <v>0.99819678194932504</v>
      </c>
      <c r="Y201">
        <v>110.9326029683743</v>
      </c>
      <c r="Z201">
        <v>682.07</v>
      </c>
      <c r="AA201">
        <v>1</v>
      </c>
      <c r="AB201">
        <v>75.663800506639092</v>
      </c>
      <c r="AC201">
        <v>1.0269999999999999</v>
      </c>
      <c r="AD201" s="63">
        <v>77.706999999999994</v>
      </c>
      <c r="AE201">
        <v>8.9176000000000002</v>
      </c>
      <c r="AF201">
        <v>8.9015196227113016</v>
      </c>
      <c r="AG201">
        <v>1</v>
      </c>
      <c r="AH201">
        <v>6071.4594890626977</v>
      </c>
      <c r="AI201">
        <v>0.98496680983990625</v>
      </c>
      <c r="AJ201" s="63">
        <v>5980.1860999999999</v>
      </c>
      <c r="AK201" s="61">
        <v>44.581281214184727</v>
      </c>
      <c r="AL201" t="s">
        <v>342</v>
      </c>
      <c r="AM201" t="s">
        <v>434</v>
      </c>
      <c r="AN201" t="s">
        <v>425</v>
      </c>
      <c r="AO201" t="s">
        <v>91</v>
      </c>
      <c r="AP201">
        <v>111.133</v>
      </c>
      <c r="AQ201">
        <v>1.0155396203574489</v>
      </c>
      <c r="AR201">
        <v>112.8599646291844</v>
      </c>
      <c r="AS201">
        <v>658.17</v>
      </c>
      <c r="AT201">
        <v>1</v>
      </c>
      <c r="AU201">
        <v>74.281042919990284</v>
      </c>
      <c r="AV201">
        <v>1.02984769498109</v>
      </c>
      <c r="AW201" s="63">
        <v>76.498000000000005</v>
      </c>
      <c r="AX201">
        <v>8.9176000000000002</v>
      </c>
      <c r="AY201">
        <v>1</v>
      </c>
      <c r="AZ201">
        <v>5960.503435912874</v>
      </c>
      <c r="BA201">
        <v>0.9935711161666545</v>
      </c>
      <c r="BB201" s="63">
        <v>5922.1841000000004</v>
      </c>
      <c r="BC201" s="61">
        <v>44.148886062972792</v>
      </c>
    </row>
    <row r="202" spans="1:55" x14ac:dyDescent="0.25">
      <c r="A202">
        <v>27257</v>
      </c>
      <c r="B202" t="s">
        <v>142</v>
      </c>
      <c r="C202">
        <v>2017</v>
      </c>
      <c r="D202">
        <v>7</v>
      </c>
      <c r="E202" t="s">
        <v>51</v>
      </c>
      <c r="F202" t="s">
        <v>449</v>
      </c>
      <c r="G202" t="s">
        <v>84</v>
      </c>
      <c r="H202" t="s">
        <v>381</v>
      </c>
      <c r="I202" t="s">
        <v>427</v>
      </c>
      <c r="J202">
        <v>-4.4307758899999996</v>
      </c>
      <c r="K202" t="s">
        <v>440</v>
      </c>
      <c r="L202" t="s">
        <v>452</v>
      </c>
      <c r="M202">
        <v>1.53682162831E-3</v>
      </c>
      <c r="N202">
        <v>6.8093122238896331E-3</v>
      </c>
      <c r="O202">
        <v>29976.978999999999</v>
      </c>
      <c r="P202">
        <v>1.6679465999999999E-5</v>
      </c>
      <c r="Q202">
        <v>1</v>
      </c>
      <c r="R202" s="61">
        <v>6.8093122238896331E-3</v>
      </c>
      <c r="S202" t="s">
        <v>336</v>
      </c>
      <c r="T202" t="s">
        <v>433</v>
      </c>
      <c r="U202" t="s">
        <v>425</v>
      </c>
      <c r="V202" t="s">
        <v>28</v>
      </c>
      <c r="W202">
        <v>111.133</v>
      </c>
      <c r="X202">
        <v>0.99819678194932504</v>
      </c>
      <c r="Y202">
        <v>110.9326029683743</v>
      </c>
      <c r="Z202">
        <v>682.07</v>
      </c>
      <c r="AA202">
        <v>1</v>
      </c>
      <c r="AB202">
        <v>75.663800506639092</v>
      </c>
      <c r="AC202">
        <v>1.0196000000000001</v>
      </c>
      <c r="AD202" s="63">
        <v>77.147000000000006</v>
      </c>
      <c r="AE202">
        <v>8.9176000000000002</v>
      </c>
      <c r="AF202">
        <v>8.9015196227113016</v>
      </c>
      <c r="AG202">
        <v>1</v>
      </c>
      <c r="AH202">
        <v>6071.4594890626977</v>
      </c>
      <c r="AI202">
        <v>0.97991730655640863</v>
      </c>
      <c r="AJ202" s="63">
        <v>5949.5281999999997</v>
      </c>
      <c r="AK202" s="61">
        <v>40.512195098636077</v>
      </c>
      <c r="AL202" t="s">
        <v>342</v>
      </c>
      <c r="AM202" t="s">
        <v>434</v>
      </c>
      <c r="AN202" t="s">
        <v>425</v>
      </c>
      <c r="AO202" t="s">
        <v>28</v>
      </c>
      <c r="AP202">
        <v>111.133</v>
      </c>
      <c r="AQ202">
        <v>1.0155396203574489</v>
      </c>
      <c r="AR202">
        <v>112.8599646291844</v>
      </c>
      <c r="AS202">
        <v>658.17</v>
      </c>
      <c r="AT202">
        <v>1</v>
      </c>
      <c r="AU202">
        <v>74.281042919990284</v>
      </c>
      <c r="AV202">
        <v>1.0451804150056221</v>
      </c>
      <c r="AW202" s="63">
        <v>77.637</v>
      </c>
      <c r="AX202">
        <v>8.9176000000000002</v>
      </c>
      <c r="AY202">
        <v>1</v>
      </c>
      <c r="AZ202">
        <v>5960.503435912874</v>
      </c>
      <c r="BA202">
        <v>1.0071061377552519</v>
      </c>
      <c r="BB202" s="63">
        <v>6002.8595999999998</v>
      </c>
      <c r="BC202" s="61">
        <v>40.875345252573233</v>
      </c>
    </row>
    <row r="203" spans="1:55" x14ac:dyDescent="0.25">
      <c r="A203">
        <v>27258</v>
      </c>
      <c r="B203" t="s">
        <v>142</v>
      </c>
      <c r="C203">
        <v>2017</v>
      </c>
      <c r="D203">
        <v>7</v>
      </c>
      <c r="E203" t="s">
        <v>51</v>
      </c>
      <c r="F203" t="s">
        <v>449</v>
      </c>
      <c r="G203" t="s">
        <v>84</v>
      </c>
      <c r="H203" t="s">
        <v>87</v>
      </c>
      <c r="I203" t="s">
        <v>427</v>
      </c>
      <c r="J203">
        <v>-0.83753834000000005</v>
      </c>
      <c r="K203" t="s">
        <v>440</v>
      </c>
      <c r="L203" t="s">
        <v>450</v>
      </c>
      <c r="M203">
        <v>0.26601384014995</v>
      </c>
      <c r="N203">
        <v>0.22279679003840211</v>
      </c>
      <c r="O203">
        <v>29976.978999999999</v>
      </c>
      <c r="P203">
        <v>1.6679465999999999E-5</v>
      </c>
      <c r="Q203">
        <v>1</v>
      </c>
      <c r="R203" s="61">
        <v>0.22279679003840211</v>
      </c>
      <c r="S203" t="s">
        <v>336</v>
      </c>
      <c r="T203" t="s">
        <v>433</v>
      </c>
      <c r="U203" t="s">
        <v>425</v>
      </c>
      <c r="V203" t="s">
        <v>26</v>
      </c>
      <c r="W203">
        <v>111.133</v>
      </c>
      <c r="X203">
        <v>0.99819678194932504</v>
      </c>
      <c r="Y203">
        <v>110.9326029683743</v>
      </c>
      <c r="Z203">
        <v>682.07</v>
      </c>
      <c r="AA203">
        <v>1</v>
      </c>
      <c r="AB203">
        <v>75.663800506639092</v>
      </c>
      <c r="AC203">
        <v>1.0178</v>
      </c>
      <c r="AD203" s="63">
        <v>77.010999999999996</v>
      </c>
      <c r="AE203">
        <v>8.9176000000000002</v>
      </c>
      <c r="AF203">
        <v>8.9015196227113016</v>
      </c>
      <c r="AG203">
        <v>1</v>
      </c>
      <c r="AH203">
        <v>6071.4594890626977</v>
      </c>
      <c r="AI203">
        <v>1.0020831266739409</v>
      </c>
      <c r="AJ203" s="63">
        <v>6084.1071000000002</v>
      </c>
      <c r="AK203" s="61">
        <v>1355.519532129852</v>
      </c>
      <c r="AL203" t="s">
        <v>342</v>
      </c>
      <c r="AM203" t="s">
        <v>434</v>
      </c>
      <c r="AN203" t="s">
        <v>425</v>
      </c>
      <c r="AO203" t="s">
        <v>26</v>
      </c>
      <c r="AP203">
        <v>111.133</v>
      </c>
      <c r="AQ203">
        <v>1.0155396203574489</v>
      </c>
      <c r="AR203">
        <v>112.8599646291844</v>
      </c>
      <c r="AS203">
        <v>658.17</v>
      </c>
      <c r="AT203">
        <v>1</v>
      </c>
      <c r="AU203">
        <v>74.281042919990284</v>
      </c>
      <c r="AV203">
        <v>1.012368394153123</v>
      </c>
      <c r="AW203" s="63">
        <v>75.2</v>
      </c>
      <c r="AX203">
        <v>8.9176000000000002</v>
      </c>
      <c r="AY203">
        <v>1</v>
      </c>
      <c r="AZ203">
        <v>5960.503435912874</v>
      </c>
      <c r="BA203">
        <v>0.99404987733863315</v>
      </c>
      <c r="BB203" s="63">
        <v>5925.0376999999999</v>
      </c>
      <c r="BC203" s="61">
        <v>1320.0793804165171</v>
      </c>
    </row>
    <row r="204" spans="1:55" x14ac:dyDescent="0.25">
      <c r="A204">
        <v>27259</v>
      </c>
      <c r="B204" t="s">
        <v>142</v>
      </c>
      <c r="C204">
        <v>2017</v>
      </c>
      <c r="D204">
        <v>7</v>
      </c>
      <c r="E204" t="s">
        <v>51</v>
      </c>
      <c r="F204" t="s">
        <v>449</v>
      </c>
      <c r="G204" t="s">
        <v>84</v>
      </c>
      <c r="H204" t="s">
        <v>87</v>
      </c>
      <c r="I204" t="s">
        <v>427</v>
      </c>
      <c r="J204">
        <v>-0.83753834000000005</v>
      </c>
      <c r="K204" t="s">
        <v>440</v>
      </c>
      <c r="L204" t="s">
        <v>384</v>
      </c>
      <c r="M204">
        <v>3.9509559941419997E-2</v>
      </c>
      <c r="N204">
        <v>3.3090771238880858E-2</v>
      </c>
      <c r="O204">
        <v>29976.978999999999</v>
      </c>
      <c r="P204">
        <v>1.6679465999999999E-5</v>
      </c>
      <c r="Q204">
        <v>1</v>
      </c>
      <c r="R204" s="61">
        <v>3.3090771238880858E-2</v>
      </c>
      <c r="S204" t="s">
        <v>336</v>
      </c>
      <c r="T204" t="s">
        <v>433</v>
      </c>
      <c r="U204" t="s">
        <v>425</v>
      </c>
      <c r="V204" t="s">
        <v>81</v>
      </c>
      <c r="W204">
        <v>111.133</v>
      </c>
      <c r="X204">
        <v>0.99819678194932504</v>
      </c>
      <c r="Y204">
        <v>110.9326029683743</v>
      </c>
      <c r="Z204">
        <v>682.07</v>
      </c>
      <c r="AA204">
        <v>1</v>
      </c>
      <c r="AB204">
        <v>75.663800506639092</v>
      </c>
      <c r="AC204">
        <v>0.92979999999999996</v>
      </c>
      <c r="AD204" s="63">
        <v>70.352000000000004</v>
      </c>
      <c r="AE204">
        <v>8.9176000000000002</v>
      </c>
      <c r="AF204">
        <v>8.9015196227113016</v>
      </c>
      <c r="AG204">
        <v>1</v>
      </c>
      <c r="AH204">
        <v>6071.4594890626977</v>
      </c>
      <c r="AI204">
        <v>1.0375922509225091</v>
      </c>
      <c r="AJ204" s="63">
        <v>6299.6993000000002</v>
      </c>
      <c r="AK204" s="61">
        <v>208.46190841003789</v>
      </c>
      <c r="AL204" t="s">
        <v>342</v>
      </c>
      <c r="AM204" t="s">
        <v>434</v>
      </c>
      <c r="AN204" t="s">
        <v>425</v>
      </c>
      <c r="AO204" t="s">
        <v>81</v>
      </c>
      <c r="AP204">
        <v>111.133</v>
      </c>
      <c r="AQ204">
        <v>1.0155396203574489</v>
      </c>
      <c r="AR204">
        <v>112.8599646291844</v>
      </c>
      <c r="AS204">
        <v>658.17</v>
      </c>
      <c r="AT204">
        <v>1</v>
      </c>
      <c r="AU204">
        <v>74.281042919990284</v>
      </c>
      <c r="AV204">
        <v>0.95185525912296853</v>
      </c>
      <c r="AW204" s="63">
        <v>70.704999999999998</v>
      </c>
      <c r="AX204">
        <v>8.9176000000000002</v>
      </c>
      <c r="AY204">
        <v>1</v>
      </c>
      <c r="AZ204">
        <v>5960.503435912874</v>
      </c>
      <c r="BA204">
        <v>1.081469419077697</v>
      </c>
      <c r="BB204" s="63">
        <v>6446.1022000000003</v>
      </c>
      <c r="BC204" s="61">
        <v>213.30649328264661</v>
      </c>
    </row>
    <row r="205" spans="1:55" x14ac:dyDescent="0.25">
      <c r="A205">
        <v>27260</v>
      </c>
      <c r="B205" t="s">
        <v>142</v>
      </c>
      <c r="C205">
        <v>2017</v>
      </c>
      <c r="D205">
        <v>7</v>
      </c>
      <c r="E205" t="s">
        <v>51</v>
      </c>
      <c r="F205" t="s">
        <v>449</v>
      </c>
      <c r="G205" t="s">
        <v>84</v>
      </c>
      <c r="H205" t="s">
        <v>87</v>
      </c>
      <c r="I205" t="s">
        <v>427</v>
      </c>
      <c r="J205">
        <v>-0.83753834000000005</v>
      </c>
      <c r="K205" t="s">
        <v>440</v>
      </c>
      <c r="L205" t="s">
        <v>385</v>
      </c>
      <c r="M205">
        <v>0.39737542925016001</v>
      </c>
      <c r="N205">
        <v>0.33281715728460548</v>
      </c>
      <c r="O205">
        <v>29976.978999999999</v>
      </c>
      <c r="P205">
        <v>1.6679465999999999E-5</v>
      </c>
      <c r="Q205">
        <v>1</v>
      </c>
      <c r="R205" s="61">
        <v>0.33281715728460548</v>
      </c>
      <c r="S205" t="s">
        <v>336</v>
      </c>
      <c r="T205" t="s">
        <v>433</v>
      </c>
      <c r="U205" t="s">
        <v>425</v>
      </c>
      <c r="V205" t="s">
        <v>27</v>
      </c>
      <c r="W205">
        <v>111.133</v>
      </c>
      <c r="X205">
        <v>0.99819678194932504</v>
      </c>
      <c r="Y205">
        <v>110.9326029683743</v>
      </c>
      <c r="Z205">
        <v>682.07</v>
      </c>
      <c r="AA205">
        <v>1</v>
      </c>
      <c r="AB205">
        <v>75.663800506639092</v>
      </c>
      <c r="AC205">
        <v>0.99739999999999995</v>
      </c>
      <c r="AD205" s="63">
        <v>75.466999999999999</v>
      </c>
      <c r="AE205">
        <v>8.9176000000000002</v>
      </c>
      <c r="AF205">
        <v>8.9015196227113016</v>
      </c>
      <c r="AG205">
        <v>1</v>
      </c>
      <c r="AH205">
        <v>6071.4594890626977</v>
      </c>
      <c r="AI205">
        <v>1.0108695652173909</v>
      </c>
      <c r="AJ205" s="63">
        <v>6137.4535999999998</v>
      </c>
      <c r="AK205" s="61">
        <v>2042.6498601181679</v>
      </c>
      <c r="AL205" t="s">
        <v>342</v>
      </c>
      <c r="AM205" t="s">
        <v>434</v>
      </c>
      <c r="AN205" t="s">
        <v>425</v>
      </c>
      <c r="AO205" t="s">
        <v>27</v>
      </c>
      <c r="AP205">
        <v>111.133</v>
      </c>
      <c r="AQ205">
        <v>1.0155396203574489</v>
      </c>
      <c r="AR205">
        <v>112.8599646291844</v>
      </c>
      <c r="AS205">
        <v>658.17</v>
      </c>
      <c r="AT205">
        <v>1</v>
      </c>
      <c r="AU205">
        <v>74.281042919990284</v>
      </c>
      <c r="AV205">
        <v>1.0016354901359501</v>
      </c>
      <c r="AW205" s="63">
        <v>74.403000000000006</v>
      </c>
      <c r="AX205">
        <v>8.9176000000000002</v>
      </c>
      <c r="AY205">
        <v>1</v>
      </c>
      <c r="AZ205">
        <v>5960.503435912874</v>
      </c>
      <c r="BA205">
        <v>1.016194415745886</v>
      </c>
      <c r="BB205" s="63">
        <v>6057.0303000000004</v>
      </c>
      <c r="BC205" s="61">
        <v>2015.8836060327219</v>
      </c>
    </row>
    <row r="206" spans="1:55" x14ac:dyDescent="0.25">
      <c r="A206">
        <v>27261</v>
      </c>
      <c r="B206" t="s">
        <v>142</v>
      </c>
      <c r="C206">
        <v>2017</v>
      </c>
      <c r="D206">
        <v>7</v>
      </c>
      <c r="E206" t="s">
        <v>51</v>
      </c>
      <c r="F206" t="s">
        <v>449</v>
      </c>
      <c r="G206" t="s">
        <v>84</v>
      </c>
      <c r="H206" t="s">
        <v>87</v>
      </c>
      <c r="I206" t="s">
        <v>427</v>
      </c>
      <c r="J206">
        <v>-0.83753834000000005</v>
      </c>
      <c r="K206" t="s">
        <v>440</v>
      </c>
      <c r="L206" t="s">
        <v>452</v>
      </c>
      <c r="M206">
        <v>8.4248020759000004E-4</v>
      </c>
      <c r="N206">
        <v>7.0560947436468918E-4</v>
      </c>
      <c r="O206">
        <v>29976.978999999999</v>
      </c>
      <c r="P206">
        <v>1.6679465999999999E-5</v>
      </c>
      <c r="Q206">
        <v>1</v>
      </c>
      <c r="R206" s="61">
        <v>7.0560947436468918E-4</v>
      </c>
      <c r="S206" t="s">
        <v>336</v>
      </c>
      <c r="T206" t="s">
        <v>433</v>
      </c>
      <c r="U206" t="s">
        <v>425</v>
      </c>
      <c r="V206" t="s">
        <v>28</v>
      </c>
      <c r="W206">
        <v>111.133</v>
      </c>
      <c r="X206">
        <v>0.99819678194932504</v>
      </c>
      <c r="Y206">
        <v>110.9326029683743</v>
      </c>
      <c r="Z206">
        <v>682.07</v>
      </c>
      <c r="AA206">
        <v>1</v>
      </c>
      <c r="AB206">
        <v>75.663800506639092</v>
      </c>
      <c r="AC206">
        <v>1.0196000000000001</v>
      </c>
      <c r="AD206" s="63">
        <v>77.147000000000006</v>
      </c>
      <c r="AE206">
        <v>8.9176000000000002</v>
      </c>
      <c r="AF206">
        <v>8.9015196227113016</v>
      </c>
      <c r="AG206">
        <v>1</v>
      </c>
      <c r="AH206">
        <v>6071.4594890626977</v>
      </c>
      <c r="AI206">
        <v>0.97991730655640863</v>
      </c>
      <c r="AJ206" s="63">
        <v>5949.5281999999997</v>
      </c>
      <c r="AK206" s="61">
        <v>4.1980434659198949</v>
      </c>
      <c r="AL206" t="s">
        <v>342</v>
      </c>
      <c r="AM206" t="s">
        <v>434</v>
      </c>
      <c r="AN206" t="s">
        <v>425</v>
      </c>
      <c r="AO206" t="s">
        <v>28</v>
      </c>
      <c r="AP206">
        <v>111.133</v>
      </c>
      <c r="AQ206">
        <v>1.0155396203574489</v>
      </c>
      <c r="AR206">
        <v>112.8599646291844</v>
      </c>
      <c r="AS206">
        <v>658.17</v>
      </c>
      <c r="AT206">
        <v>1</v>
      </c>
      <c r="AU206">
        <v>74.281042919990284</v>
      </c>
      <c r="AV206">
        <v>1.0451804150056221</v>
      </c>
      <c r="AW206" s="63">
        <v>77.637</v>
      </c>
      <c r="AX206">
        <v>8.9176000000000002</v>
      </c>
      <c r="AY206">
        <v>1</v>
      </c>
      <c r="AZ206">
        <v>5960.503435912874</v>
      </c>
      <c r="BA206">
        <v>1.0071061377552519</v>
      </c>
      <c r="BB206" s="63">
        <v>6002.8595999999998</v>
      </c>
      <c r="BC206" s="61">
        <v>4.2356746070410276</v>
      </c>
    </row>
    <row r="207" spans="1:55" x14ac:dyDescent="0.25">
      <c r="A207">
        <v>27262</v>
      </c>
      <c r="B207" t="s">
        <v>142</v>
      </c>
      <c r="C207">
        <v>2017</v>
      </c>
      <c r="D207">
        <v>7</v>
      </c>
      <c r="E207" t="s">
        <v>51</v>
      </c>
      <c r="F207" t="s">
        <v>449</v>
      </c>
      <c r="G207" t="s">
        <v>84</v>
      </c>
      <c r="H207" t="s">
        <v>59</v>
      </c>
      <c r="I207" t="s">
        <v>427</v>
      </c>
      <c r="J207">
        <v>-2.6275700400000002</v>
      </c>
      <c r="K207" t="s">
        <v>440</v>
      </c>
      <c r="L207" t="s">
        <v>450</v>
      </c>
      <c r="M207">
        <v>0.15931709696460999</v>
      </c>
      <c r="N207">
        <v>0.41861683014797862</v>
      </c>
      <c r="O207">
        <v>29976.978999999999</v>
      </c>
      <c r="P207">
        <v>1.6679465999999999E-5</v>
      </c>
      <c r="Q207">
        <v>1</v>
      </c>
      <c r="R207" s="61">
        <v>0.41861683014797862</v>
      </c>
      <c r="S207" t="s">
        <v>336</v>
      </c>
      <c r="T207" t="s">
        <v>433</v>
      </c>
      <c r="U207" t="s">
        <v>425</v>
      </c>
      <c r="V207" t="s">
        <v>26</v>
      </c>
      <c r="W207">
        <v>111.133</v>
      </c>
      <c r="X207">
        <v>0.99819678194932504</v>
      </c>
      <c r="Y207">
        <v>110.9326029683743</v>
      </c>
      <c r="Z207">
        <v>682.07</v>
      </c>
      <c r="AA207">
        <v>1</v>
      </c>
      <c r="AB207">
        <v>75.663800506639092</v>
      </c>
      <c r="AC207">
        <v>1.0178</v>
      </c>
      <c r="AD207" s="63">
        <v>77.010999999999996</v>
      </c>
      <c r="AE207">
        <v>8.9176000000000002</v>
      </c>
      <c r="AF207">
        <v>8.9015196227113016</v>
      </c>
      <c r="AG207">
        <v>1</v>
      </c>
      <c r="AH207">
        <v>6071.4594890626977</v>
      </c>
      <c r="AI207">
        <v>1.0020831266739409</v>
      </c>
      <c r="AJ207" s="63">
        <v>6084.1071000000002</v>
      </c>
      <c r="AK207" s="61">
        <v>2546.9096284828111</v>
      </c>
      <c r="AL207" t="s">
        <v>342</v>
      </c>
      <c r="AM207" t="s">
        <v>434</v>
      </c>
      <c r="AN207" t="s">
        <v>425</v>
      </c>
      <c r="AO207" t="s">
        <v>26</v>
      </c>
      <c r="AP207">
        <v>111.133</v>
      </c>
      <c r="AQ207">
        <v>1.0155396203574489</v>
      </c>
      <c r="AR207">
        <v>112.8599646291844</v>
      </c>
      <c r="AS207">
        <v>658.17</v>
      </c>
      <c r="AT207">
        <v>1</v>
      </c>
      <c r="AU207">
        <v>74.281042919990284</v>
      </c>
      <c r="AV207">
        <v>1.012368394153123</v>
      </c>
      <c r="AW207" s="63">
        <v>75.2</v>
      </c>
      <c r="AX207">
        <v>8.9176000000000002</v>
      </c>
      <c r="AY207">
        <v>1</v>
      </c>
      <c r="AZ207">
        <v>5960.503435912874</v>
      </c>
      <c r="BA207">
        <v>0.99404987733863315</v>
      </c>
      <c r="BB207" s="63">
        <v>5925.0376999999999</v>
      </c>
      <c r="BC207" s="61">
        <v>2480.3205004812689</v>
      </c>
    </row>
    <row r="208" spans="1:55" x14ac:dyDescent="0.25">
      <c r="A208">
        <v>27263</v>
      </c>
      <c r="B208" t="s">
        <v>142</v>
      </c>
      <c r="C208">
        <v>2017</v>
      </c>
      <c r="D208">
        <v>7</v>
      </c>
      <c r="E208" t="s">
        <v>51</v>
      </c>
      <c r="F208" t="s">
        <v>449</v>
      </c>
      <c r="G208" t="s">
        <v>84</v>
      </c>
      <c r="H208" t="s">
        <v>59</v>
      </c>
      <c r="I208" t="s">
        <v>427</v>
      </c>
      <c r="J208">
        <v>-2.6275700400000002</v>
      </c>
      <c r="K208" t="s">
        <v>440</v>
      </c>
      <c r="L208" t="s">
        <v>384</v>
      </c>
      <c r="M208">
        <v>4.1785183859599999E-2</v>
      </c>
      <c r="N208">
        <v>0.1097934970428304</v>
      </c>
      <c r="O208">
        <v>29976.978999999999</v>
      </c>
      <c r="P208">
        <v>1.6679465999999999E-5</v>
      </c>
      <c r="Q208">
        <v>1</v>
      </c>
      <c r="R208" s="61">
        <v>0.1097934970428304</v>
      </c>
      <c r="S208" t="s">
        <v>336</v>
      </c>
      <c r="T208" t="s">
        <v>433</v>
      </c>
      <c r="U208" t="s">
        <v>425</v>
      </c>
      <c r="V208" t="s">
        <v>81</v>
      </c>
      <c r="W208">
        <v>111.133</v>
      </c>
      <c r="X208">
        <v>0.99819678194932504</v>
      </c>
      <c r="Y208">
        <v>110.9326029683743</v>
      </c>
      <c r="Z208">
        <v>682.07</v>
      </c>
      <c r="AA208">
        <v>1</v>
      </c>
      <c r="AB208">
        <v>75.663800506639092</v>
      </c>
      <c r="AC208">
        <v>0.92979999999999996</v>
      </c>
      <c r="AD208" s="63">
        <v>70.352000000000004</v>
      </c>
      <c r="AE208">
        <v>8.9176000000000002</v>
      </c>
      <c r="AF208">
        <v>8.9015196227113016</v>
      </c>
      <c r="AG208">
        <v>1</v>
      </c>
      <c r="AH208">
        <v>6071.4594890626977</v>
      </c>
      <c r="AI208">
        <v>1.0375922509225091</v>
      </c>
      <c r="AJ208" s="63">
        <v>6299.6993000000002</v>
      </c>
      <c r="AK208" s="61">
        <v>691.66601646527056</v>
      </c>
      <c r="AL208" t="s">
        <v>342</v>
      </c>
      <c r="AM208" t="s">
        <v>434</v>
      </c>
      <c r="AN208" t="s">
        <v>425</v>
      </c>
      <c r="AO208" t="s">
        <v>81</v>
      </c>
      <c r="AP208">
        <v>111.133</v>
      </c>
      <c r="AQ208">
        <v>1.0155396203574489</v>
      </c>
      <c r="AR208">
        <v>112.8599646291844</v>
      </c>
      <c r="AS208">
        <v>658.17</v>
      </c>
      <c r="AT208">
        <v>1</v>
      </c>
      <c r="AU208">
        <v>74.281042919990284</v>
      </c>
      <c r="AV208">
        <v>0.95185525912296853</v>
      </c>
      <c r="AW208" s="63">
        <v>70.704999999999998</v>
      </c>
      <c r="AX208">
        <v>8.9176000000000002</v>
      </c>
      <c r="AY208">
        <v>1</v>
      </c>
      <c r="AZ208">
        <v>5960.503435912874</v>
      </c>
      <c r="BA208">
        <v>1.081469419077697</v>
      </c>
      <c r="BB208" s="63">
        <v>6446.1022000000003</v>
      </c>
      <c r="BC208" s="61">
        <v>707.74010283348241</v>
      </c>
    </row>
    <row r="209" spans="1:55" x14ac:dyDescent="0.25">
      <c r="A209">
        <v>27264</v>
      </c>
      <c r="B209" t="s">
        <v>142</v>
      </c>
      <c r="C209">
        <v>2017</v>
      </c>
      <c r="D209">
        <v>7</v>
      </c>
      <c r="E209" t="s">
        <v>51</v>
      </c>
      <c r="F209" t="s">
        <v>449</v>
      </c>
      <c r="G209" t="s">
        <v>84</v>
      </c>
      <c r="H209" t="s">
        <v>59</v>
      </c>
      <c r="I209" t="s">
        <v>427</v>
      </c>
      <c r="J209">
        <v>-2.6275700400000002</v>
      </c>
      <c r="K209" t="s">
        <v>440</v>
      </c>
      <c r="L209" t="s">
        <v>385</v>
      </c>
      <c r="M209">
        <v>0.43497567483749999</v>
      </c>
      <c r="N209">
        <v>1.142929049431527</v>
      </c>
      <c r="O209">
        <v>29976.978999999999</v>
      </c>
      <c r="P209">
        <v>1.6679465999999999E-5</v>
      </c>
      <c r="Q209">
        <v>1</v>
      </c>
      <c r="R209" s="61">
        <v>1.142929049431527</v>
      </c>
      <c r="S209" t="s">
        <v>336</v>
      </c>
      <c r="T209" t="s">
        <v>433</v>
      </c>
      <c r="U209" t="s">
        <v>425</v>
      </c>
      <c r="V209" t="s">
        <v>27</v>
      </c>
      <c r="W209">
        <v>111.133</v>
      </c>
      <c r="X209">
        <v>0.99819678194932504</v>
      </c>
      <c r="Y209">
        <v>110.9326029683743</v>
      </c>
      <c r="Z209">
        <v>682.07</v>
      </c>
      <c r="AA209">
        <v>1</v>
      </c>
      <c r="AB209">
        <v>75.663800506639092</v>
      </c>
      <c r="AC209">
        <v>0.99739999999999995</v>
      </c>
      <c r="AD209" s="63">
        <v>75.466999999999999</v>
      </c>
      <c r="AE209">
        <v>8.9176000000000002</v>
      </c>
      <c r="AF209">
        <v>8.9015196227113016</v>
      </c>
      <c r="AG209">
        <v>1</v>
      </c>
      <c r="AH209">
        <v>6071.4594890626977</v>
      </c>
      <c r="AI209">
        <v>1.0108695652173909</v>
      </c>
      <c r="AJ209" s="63">
        <v>6137.4535999999998</v>
      </c>
      <c r="AK209" s="61">
        <v>7014.6740089781006</v>
      </c>
      <c r="AL209" t="s">
        <v>342</v>
      </c>
      <c r="AM209" t="s">
        <v>434</v>
      </c>
      <c r="AN209" t="s">
        <v>425</v>
      </c>
      <c r="AO209" t="s">
        <v>27</v>
      </c>
      <c r="AP209">
        <v>111.133</v>
      </c>
      <c r="AQ209">
        <v>1.0155396203574489</v>
      </c>
      <c r="AR209">
        <v>112.8599646291844</v>
      </c>
      <c r="AS209">
        <v>658.17</v>
      </c>
      <c r="AT209">
        <v>1</v>
      </c>
      <c r="AU209">
        <v>74.281042919990284</v>
      </c>
      <c r="AV209">
        <v>1.0016354901359501</v>
      </c>
      <c r="AW209" s="63">
        <v>74.403000000000006</v>
      </c>
      <c r="AX209">
        <v>8.9176000000000002</v>
      </c>
      <c r="AY209">
        <v>1</v>
      </c>
      <c r="AZ209">
        <v>5960.503435912874</v>
      </c>
      <c r="BA209">
        <v>1.016194415745886</v>
      </c>
      <c r="BB209" s="63">
        <v>6057.0303000000004</v>
      </c>
      <c r="BC209" s="61">
        <v>6922.7558831569559</v>
      </c>
    </row>
    <row r="210" spans="1:55" x14ac:dyDescent="0.25">
      <c r="A210">
        <v>27265</v>
      </c>
      <c r="B210" t="s">
        <v>142</v>
      </c>
      <c r="C210">
        <v>2017</v>
      </c>
      <c r="D210">
        <v>7</v>
      </c>
      <c r="E210" t="s">
        <v>51</v>
      </c>
      <c r="F210" t="s">
        <v>449</v>
      </c>
      <c r="G210" t="s">
        <v>84</v>
      </c>
      <c r="H210" t="s">
        <v>59</v>
      </c>
      <c r="I210" t="s">
        <v>427</v>
      </c>
      <c r="J210">
        <v>-2.6275700400000002</v>
      </c>
      <c r="K210" t="s">
        <v>440</v>
      </c>
      <c r="L210" t="s">
        <v>451</v>
      </c>
      <c r="M210">
        <v>1.7625750762999999E-3</v>
      </c>
      <c r="N210">
        <v>4.6312894560364649E-3</v>
      </c>
      <c r="O210">
        <v>29976.978999999999</v>
      </c>
      <c r="P210">
        <v>1.6679465999999999E-5</v>
      </c>
      <c r="Q210">
        <v>1</v>
      </c>
      <c r="R210" s="61">
        <v>4.6312894560364649E-3</v>
      </c>
      <c r="S210" t="s">
        <v>336</v>
      </c>
      <c r="T210" t="s">
        <v>433</v>
      </c>
      <c r="U210" t="s">
        <v>425</v>
      </c>
      <c r="V210" t="s">
        <v>91</v>
      </c>
      <c r="W210">
        <v>111.133</v>
      </c>
      <c r="X210">
        <v>0.99819678194932504</v>
      </c>
      <c r="Y210">
        <v>110.9326029683743</v>
      </c>
      <c r="Z210">
        <v>682.07</v>
      </c>
      <c r="AA210">
        <v>1</v>
      </c>
      <c r="AB210">
        <v>75.663800506639092</v>
      </c>
      <c r="AC210">
        <v>1.0269999999999999</v>
      </c>
      <c r="AD210" s="63">
        <v>77.706999999999994</v>
      </c>
      <c r="AE210">
        <v>8.9176000000000002</v>
      </c>
      <c r="AF210">
        <v>8.9015196227113016</v>
      </c>
      <c r="AG210">
        <v>1</v>
      </c>
      <c r="AH210">
        <v>6071.4594890626977</v>
      </c>
      <c r="AI210">
        <v>0.98496680983990625</v>
      </c>
      <c r="AJ210" s="63">
        <v>5980.1860999999999</v>
      </c>
      <c r="AK210" s="61">
        <v>27.695972830065831</v>
      </c>
      <c r="AL210" t="s">
        <v>342</v>
      </c>
      <c r="AM210" t="s">
        <v>434</v>
      </c>
      <c r="AN210" t="s">
        <v>425</v>
      </c>
      <c r="AO210" t="s">
        <v>91</v>
      </c>
      <c r="AP210">
        <v>111.133</v>
      </c>
      <c r="AQ210">
        <v>1.0155396203574489</v>
      </c>
      <c r="AR210">
        <v>112.8599646291844</v>
      </c>
      <c r="AS210">
        <v>658.17</v>
      </c>
      <c r="AT210">
        <v>1</v>
      </c>
      <c r="AU210">
        <v>74.281042919990284</v>
      </c>
      <c r="AV210">
        <v>1.02984769498109</v>
      </c>
      <c r="AW210" s="63">
        <v>76.498000000000005</v>
      </c>
      <c r="AX210">
        <v>8.9176000000000002</v>
      </c>
      <c r="AY210">
        <v>1</v>
      </c>
      <c r="AZ210">
        <v>5960.503435912874</v>
      </c>
      <c r="BA210">
        <v>0.9935711161666545</v>
      </c>
      <c r="BB210" s="63">
        <v>5922.1841000000004</v>
      </c>
      <c r="BC210" s="61">
        <v>27.427348779036802</v>
      </c>
    </row>
    <row r="211" spans="1:55" x14ac:dyDescent="0.25">
      <c r="A211">
        <v>27266</v>
      </c>
      <c r="B211" t="s">
        <v>142</v>
      </c>
      <c r="C211">
        <v>2017</v>
      </c>
      <c r="D211">
        <v>7</v>
      </c>
      <c r="E211" t="s">
        <v>51</v>
      </c>
      <c r="F211" t="s">
        <v>449</v>
      </c>
      <c r="G211" t="s">
        <v>84</v>
      </c>
      <c r="H211" t="s">
        <v>59</v>
      </c>
      <c r="I211" t="s">
        <v>427</v>
      </c>
      <c r="J211">
        <v>-2.6275700400000002</v>
      </c>
      <c r="K211" t="s">
        <v>440</v>
      </c>
      <c r="L211" t="s">
        <v>452</v>
      </c>
      <c r="M211">
        <v>1.4858046103299999E-3</v>
      </c>
      <c r="N211">
        <v>3.9040556729059762E-3</v>
      </c>
      <c r="O211">
        <v>29976.978999999999</v>
      </c>
      <c r="P211">
        <v>1.6679465999999999E-5</v>
      </c>
      <c r="Q211">
        <v>1</v>
      </c>
      <c r="R211" s="61">
        <v>3.9040556729059762E-3</v>
      </c>
      <c r="S211" t="s">
        <v>336</v>
      </c>
      <c r="T211" t="s">
        <v>433</v>
      </c>
      <c r="U211" t="s">
        <v>425</v>
      </c>
      <c r="V211" t="s">
        <v>28</v>
      </c>
      <c r="W211">
        <v>111.133</v>
      </c>
      <c r="X211">
        <v>0.99819678194932504</v>
      </c>
      <c r="Y211">
        <v>110.9326029683743</v>
      </c>
      <c r="Z211">
        <v>682.07</v>
      </c>
      <c r="AA211">
        <v>1</v>
      </c>
      <c r="AB211">
        <v>75.663800506639092</v>
      </c>
      <c r="AC211">
        <v>1.0196000000000001</v>
      </c>
      <c r="AD211" s="63">
        <v>77.147000000000006</v>
      </c>
      <c r="AE211">
        <v>8.9176000000000002</v>
      </c>
      <c r="AF211">
        <v>8.9015196227113016</v>
      </c>
      <c r="AG211">
        <v>1</v>
      </c>
      <c r="AH211">
        <v>6071.4594890626977</v>
      </c>
      <c r="AI211">
        <v>0.97991730655640863</v>
      </c>
      <c r="AJ211" s="63">
        <v>5949.5281999999997</v>
      </c>
      <c r="AK211" s="61">
        <v>23.227289320324079</v>
      </c>
      <c r="AL211" t="s">
        <v>342</v>
      </c>
      <c r="AM211" t="s">
        <v>434</v>
      </c>
      <c r="AN211" t="s">
        <v>425</v>
      </c>
      <c r="AO211" t="s">
        <v>28</v>
      </c>
      <c r="AP211">
        <v>111.133</v>
      </c>
      <c r="AQ211">
        <v>1.0155396203574489</v>
      </c>
      <c r="AR211">
        <v>112.8599646291844</v>
      </c>
      <c r="AS211">
        <v>658.17</v>
      </c>
      <c r="AT211">
        <v>1</v>
      </c>
      <c r="AU211">
        <v>74.281042919990284</v>
      </c>
      <c r="AV211">
        <v>1.0451804150056221</v>
      </c>
      <c r="AW211" s="63">
        <v>77.637</v>
      </c>
      <c r="AX211">
        <v>8.9176000000000002</v>
      </c>
      <c r="AY211">
        <v>1</v>
      </c>
      <c r="AZ211">
        <v>5960.503435912874</v>
      </c>
      <c r="BA211">
        <v>1.0071061377552519</v>
      </c>
      <c r="BB211" s="63">
        <v>6002.8595999999998</v>
      </c>
      <c r="BC211" s="61">
        <v>23.43549807503809</v>
      </c>
    </row>
    <row r="212" spans="1:55" x14ac:dyDescent="0.25">
      <c r="A212">
        <v>29937</v>
      </c>
      <c r="B212" t="s">
        <v>137</v>
      </c>
      <c r="C212">
        <v>2017</v>
      </c>
      <c r="D212">
        <v>8</v>
      </c>
      <c r="E212" t="s">
        <v>51</v>
      </c>
      <c r="F212" t="s">
        <v>449</v>
      </c>
      <c r="G212" t="s">
        <v>84</v>
      </c>
      <c r="H212" t="s">
        <v>381</v>
      </c>
      <c r="I212" t="s">
        <v>427</v>
      </c>
      <c r="J212">
        <v>-4.4033782400000003</v>
      </c>
      <c r="K212" t="s">
        <v>440</v>
      </c>
      <c r="L212" t="s">
        <v>450</v>
      </c>
      <c r="M212">
        <v>0.15011157993331001</v>
      </c>
      <c r="N212">
        <v>0.66099806495507907</v>
      </c>
      <c r="O212">
        <v>29976.978999999999</v>
      </c>
      <c r="P212">
        <v>1.6679465999999999E-5</v>
      </c>
      <c r="Q212">
        <v>1</v>
      </c>
      <c r="R212" s="61">
        <v>0.66099806495507907</v>
      </c>
      <c r="S212" t="s">
        <v>336</v>
      </c>
      <c r="T212" t="s">
        <v>433</v>
      </c>
      <c r="U212" t="s">
        <v>425</v>
      </c>
      <c r="V212" t="s">
        <v>26</v>
      </c>
      <c r="W212">
        <v>111.133</v>
      </c>
      <c r="X212">
        <v>0.99819678194932504</v>
      </c>
      <c r="Y212">
        <v>110.9326029683743</v>
      </c>
      <c r="Z212">
        <v>682.07</v>
      </c>
      <c r="AA212">
        <v>1</v>
      </c>
      <c r="AB212">
        <v>75.663800506639092</v>
      </c>
      <c r="AC212">
        <v>1.0178</v>
      </c>
      <c r="AD212" s="63">
        <v>77.010999999999996</v>
      </c>
      <c r="AE212">
        <v>8.9176000000000002</v>
      </c>
      <c r="AF212">
        <v>8.9015196227113016</v>
      </c>
      <c r="AG212">
        <v>1</v>
      </c>
      <c r="AH212">
        <v>6071.4594890626977</v>
      </c>
      <c r="AI212">
        <v>1.0020831266739409</v>
      </c>
      <c r="AJ212" s="63">
        <v>6084.1071000000002</v>
      </c>
      <c r="AK212" s="61">
        <v>4021.583020079458</v>
      </c>
      <c r="AL212" t="s">
        <v>342</v>
      </c>
      <c r="AM212" t="s">
        <v>434</v>
      </c>
      <c r="AN212" t="s">
        <v>425</v>
      </c>
      <c r="AO212" t="s">
        <v>26</v>
      </c>
      <c r="AP212">
        <v>111.133</v>
      </c>
      <c r="AQ212">
        <v>1.0155396203574489</v>
      </c>
      <c r="AR212">
        <v>112.8599646291844</v>
      </c>
      <c r="AS212">
        <v>644.24</v>
      </c>
      <c r="AT212">
        <v>1</v>
      </c>
      <c r="AU212">
        <v>72.708903612705754</v>
      </c>
      <c r="AV212">
        <v>1.012368394153123</v>
      </c>
      <c r="AW212" s="63">
        <v>73.608000000000004</v>
      </c>
      <c r="AX212">
        <v>8.9176000000000002</v>
      </c>
      <c r="AY212">
        <v>1</v>
      </c>
      <c r="AZ212">
        <v>5834.3509025821759</v>
      </c>
      <c r="BA212">
        <v>0.99404987733863315</v>
      </c>
      <c r="BB212" s="63">
        <v>5799.6358</v>
      </c>
      <c r="BC212" s="61">
        <v>3833.5480412442021</v>
      </c>
    </row>
    <row r="213" spans="1:55" x14ac:dyDescent="0.25">
      <c r="A213">
        <v>29938</v>
      </c>
      <c r="B213" t="s">
        <v>137</v>
      </c>
      <c r="C213">
        <v>2017</v>
      </c>
      <c r="D213">
        <v>8</v>
      </c>
      <c r="E213" t="s">
        <v>51</v>
      </c>
      <c r="F213" t="s">
        <v>449</v>
      </c>
      <c r="G213" t="s">
        <v>84</v>
      </c>
      <c r="H213" t="s">
        <v>381</v>
      </c>
      <c r="I213" t="s">
        <v>427</v>
      </c>
      <c r="J213">
        <v>-4.4033782400000003</v>
      </c>
      <c r="K213" t="s">
        <v>440</v>
      </c>
      <c r="L213" t="s">
        <v>384</v>
      </c>
      <c r="M213">
        <v>4.5811354346740003E-2</v>
      </c>
      <c r="N213">
        <v>0.20172472096835969</v>
      </c>
      <c r="O213">
        <v>29976.978999999999</v>
      </c>
      <c r="P213">
        <v>1.6679465999999999E-5</v>
      </c>
      <c r="Q213">
        <v>1</v>
      </c>
      <c r="R213" s="61">
        <v>0.20172472096835969</v>
      </c>
      <c r="S213" t="s">
        <v>336</v>
      </c>
      <c r="T213" t="s">
        <v>433</v>
      </c>
      <c r="U213" t="s">
        <v>425</v>
      </c>
      <c r="V213" t="s">
        <v>81</v>
      </c>
      <c r="W213">
        <v>111.133</v>
      </c>
      <c r="X213">
        <v>0.99819678194932504</v>
      </c>
      <c r="Y213">
        <v>110.9326029683743</v>
      </c>
      <c r="Z213">
        <v>682.07</v>
      </c>
      <c r="AA213">
        <v>1</v>
      </c>
      <c r="AB213">
        <v>75.663800506639092</v>
      </c>
      <c r="AC213">
        <v>0.92979999999999996</v>
      </c>
      <c r="AD213" s="63">
        <v>70.352000000000004</v>
      </c>
      <c r="AE213">
        <v>8.9176000000000002</v>
      </c>
      <c r="AF213">
        <v>8.9015196227113016</v>
      </c>
      <c r="AG213">
        <v>1</v>
      </c>
      <c r="AH213">
        <v>6071.4594890626977</v>
      </c>
      <c r="AI213">
        <v>1.0375922509225091</v>
      </c>
      <c r="AJ213" s="63">
        <v>6299.6993000000002</v>
      </c>
      <c r="AK213" s="61">
        <v>1270.8050834770711</v>
      </c>
      <c r="AL213" t="s">
        <v>342</v>
      </c>
      <c r="AM213" t="s">
        <v>434</v>
      </c>
      <c r="AN213" t="s">
        <v>425</v>
      </c>
      <c r="AO213" t="s">
        <v>81</v>
      </c>
      <c r="AP213">
        <v>111.133</v>
      </c>
      <c r="AQ213">
        <v>1.0155396203574489</v>
      </c>
      <c r="AR213">
        <v>112.8599646291844</v>
      </c>
      <c r="AS213">
        <v>644.24</v>
      </c>
      <c r="AT213">
        <v>1</v>
      </c>
      <c r="AU213">
        <v>72.708903612705754</v>
      </c>
      <c r="AV213">
        <v>0.95185525912296853</v>
      </c>
      <c r="AW213" s="63">
        <v>69.207999999999998</v>
      </c>
      <c r="AX213">
        <v>8.9176000000000002</v>
      </c>
      <c r="AY213">
        <v>1</v>
      </c>
      <c r="AZ213">
        <v>5834.3509025821759</v>
      </c>
      <c r="BA213">
        <v>1.081469419077697</v>
      </c>
      <c r="BB213" s="63">
        <v>6309.6720999999998</v>
      </c>
      <c r="BC213" s="61">
        <v>1272.816843774345</v>
      </c>
    </row>
    <row r="214" spans="1:55" x14ac:dyDescent="0.25">
      <c r="A214">
        <v>29939</v>
      </c>
      <c r="B214" t="s">
        <v>137</v>
      </c>
      <c r="C214">
        <v>2017</v>
      </c>
      <c r="D214">
        <v>8</v>
      </c>
      <c r="E214" t="s">
        <v>51</v>
      </c>
      <c r="F214" t="s">
        <v>449</v>
      </c>
      <c r="G214" t="s">
        <v>84</v>
      </c>
      <c r="H214" t="s">
        <v>381</v>
      </c>
      <c r="I214" t="s">
        <v>427</v>
      </c>
      <c r="J214">
        <v>-4.4033782400000003</v>
      </c>
      <c r="K214" t="s">
        <v>440</v>
      </c>
      <c r="L214" t="s">
        <v>385</v>
      </c>
      <c r="M214">
        <v>0.43232641346992001</v>
      </c>
      <c r="N214">
        <v>1.9036967225282959</v>
      </c>
      <c r="O214">
        <v>29976.978999999999</v>
      </c>
      <c r="P214">
        <v>1.6679465999999999E-5</v>
      </c>
      <c r="Q214">
        <v>1</v>
      </c>
      <c r="R214" s="61">
        <v>1.9036967225282959</v>
      </c>
      <c r="S214" t="s">
        <v>336</v>
      </c>
      <c r="T214" t="s">
        <v>433</v>
      </c>
      <c r="U214" t="s">
        <v>425</v>
      </c>
      <c r="V214" t="s">
        <v>27</v>
      </c>
      <c r="W214">
        <v>111.133</v>
      </c>
      <c r="X214">
        <v>0.99819678194932504</v>
      </c>
      <c r="Y214">
        <v>110.9326029683743</v>
      </c>
      <c r="Z214">
        <v>682.07</v>
      </c>
      <c r="AA214">
        <v>1</v>
      </c>
      <c r="AB214">
        <v>75.663800506639092</v>
      </c>
      <c r="AC214">
        <v>0.99739999999999995</v>
      </c>
      <c r="AD214" s="63">
        <v>75.466999999999999</v>
      </c>
      <c r="AE214">
        <v>8.9176000000000002</v>
      </c>
      <c r="AF214">
        <v>8.9015196227113016</v>
      </c>
      <c r="AG214">
        <v>1</v>
      </c>
      <c r="AH214">
        <v>6071.4594890626977</v>
      </c>
      <c r="AI214">
        <v>1.0108695652173909</v>
      </c>
      <c r="AJ214" s="63">
        <v>6137.4535999999998</v>
      </c>
      <c r="AK214" s="61">
        <v>11683.850302989489</v>
      </c>
      <c r="AL214" t="s">
        <v>342</v>
      </c>
      <c r="AM214" t="s">
        <v>434</v>
      </c>
      <c r="AN214" t="s">
        <v>425</v>
      </c>
      <c r="AO214" t="s">
        <v>27</v>
      </c>
      <c r="AP214">
        <v>111.133</v>
      </c>
      <c r="AQ214">
        <v>1.0155396203574489</v>
      </c>
      <c r="AR214">
        <v>112.8599646291844</v>
      </c>
      <c r="AS214">
        <v>644.24</v>
      </c>
      <c r="AT214">
        <v>1</v>
      </c>
      <c r="AU214">
        <v>72.708903612705754</v>
      </c>
      <c r="AV214">
        <v>1.0016354901359501</v>
      </c>
      <c r="AW214" s="63">
        <v>72.828000000000003</v>
      </c>
      <c r="AX214">
        <v>8.9176000000000002</v>
      </c>
      <c r="AY214">
        <v>1</v>
      </c>
      <c r="AZ214">
        <v>5834.3509025821759</v>
      </c>
      <c r="BA214">
        <v>1.016194415745886</v>
      </c>
      <c r="BB214" s="63">
        <v>5928.8347999999996</v>
      </c>
      <c r="BC214" s="61">
        <v>11286.7033771717</v>
      </c>
    </row>
    <row r="215" spans="1:55" x14ac:dyDescent="0.25">
      <c r="A215">
        <v>29940</v>
      </c>
      <c r="B215" t="s">
        <v>137</v>
      </c>
      <c r="C215">
        <v>2017</v>
      </c>
      <c r="D215">
        <v>8</v>
      </c>
      <c r="E215" t="s">
        <v>51</v>
      </c>
      <c r="F215" t="s">
        <v>449</v>
      </c>
      <c r="G215" t="s">
        <v>84</v>
      </c>
      <c r="H215" t="s">
        <v>381</v>
      </c>
      <c r="I215" t="s">
        <v>427</v>
      </c>
      <c r="J215">
        <v>-4.4033782400000003</v>
      </c>
      <c r="K215" t="s">
        <v>440</v>
      </c>
      <c r="L215" t="s">
        <v>451</v>
      </c>
      <c r="M215">
        <v>1.6825115802299999E-3</v>
      </c>
      <c r="N215">
        <v>7.4087348843482337E-3</v>
      </c>
      <c r="O215">
        <v>29976.978999999999</v>
      </c>
      <c r="P215">
        <v>1.6679465999999999E-5</v>
      </c>
      <c r="Q215">
        <v>1</v>
      </c>
      <c r="R215" s="61">
        <v>7.4087348843482337E-3</v>
      </c>
      <c r="S215" t="s">
        <v>336</v>
      </c>
      <c r="T215" t="s">
        <v>433</v>
      </c>
      <c r="U215" t="s">
        <v>425</v>
      </c>
      <c r="V215" t="s">
        <v>91</v>
      </c>
      <c r="W215">
        <v>111.133</v>
      </c>
      <c r="X215">
        <v>0.99819678194932504</v>
      </c>
      <c r="Y215">
        <v>110.9326029683743</v>
      </c>
      <c r="Z215">
        <v>682.07</v>
      </c>
      <c r="AA215">
        <v>1</v>
      </c>
      <c r="AB215">
        <v>75.663800506639092</v>
      </c>
      <c r="AC215">
        <v>1.0269999999999999</v>
      </c>
      <c r="AD215" s="63">
        <v>77.706999999999994</v>
      </c>
      <c r="AE215">
        <v>8.9176000000000002</v>
      </c>
      <c r="AF215">
        <v>8.9015196227113016</v>
      </c>
      <c r="AG215">
        <v>1</v>
      </c>
      <c r="AH215">
        <v>6071.4594890626977</v>
      </c>
      <c r="AI215">
        <v>0.98496680983990625</v>
      </c>
      <c r="AJ215" s="63">
        <v>5980.1860999999999</v>
      </c>
      <c r="AK215" s="61">
        <v>44.305613373964412</v>
      </c>
      <c r="AL215" t="s">
        <v>342</v>
      </c>
      <c r="AM215" t="s">
        <v>434</v>
      </c>
      <c r="AN215" t="s">
        <v>425</v>
      </c>
      <c r="AO215" t="s">
        <v>91</v>
      </c>
      <c r="AP215">
        <v>111.133</v>
      </c>
      <c r="AQ215">
        <v>1.0155396203574489</v>
      </c>
      <c r="AR215">
        <v>112.8599646291844</v>
      </c>
      <c r="AS215">
        <v>644.24</v>
      </c>
      <c r="AT215">
        <v>1</v>
      </c>
      <c r="AU215">
        <v>72.708903612705754</v>
      </c>
      <c r="AV215">
        <v>1.02984769498109</v>
      </c>
      <c r="AW215" s="63">
        <v>74.879000000000005</v>
      </c>
      <c r="AX215">
        <v>8.9176000000000002</v>
      </c>
      <c r="AY215">
        <v>1</v>
      </c>
      <c r="AZ215">
        <v>5834.3509025821759</v>
      </c>
      <c r="BA215">
        <v>0.9935711161666545</v>
      </c>
      <c r="BB215" s="63">
        <v>5796.8424999999997</v>
      </c>
      <c r="BC215" s="61">
        <v>42.947269248822423</v>
      </c>
    </row>
    <row r="216" spans="1:55" x14ac:dyDescent="0.25">
      <c r="A216">
        <v>29941</v>
      </c>
      <c r="B216" t="s">
        <v>137</v>
      </c>
      <c r="C216">
        <v>2017</v>
      </c>
      <c r="D216">
        <v>8</v>
      </c>
      <c r="E216" t="s">
        <v>51</v>
      </c>
      <c r="F216" t="s">
        <v>449</v>
      </c>
      <c r="G216" t="s">
        <v>84</v>
      </c>
      <c r="H216" t="s">
        <v>381</v>
      </c>
      <c r="I216" t="s">
        <v>427</v>
      </c>
      <c r="J216">
        <v>-4.4033782400000003</v>
      </c>
      <c r="K216" t="s">
        <v>440</v>
      </c>
      <c r="L216" t="s">
        <v>452</v>
      </c>
      <c r="M216">
        <v>1.53682162831E-3</v>
      </c>
      <c r="N216">
        <v>6.7672069199813147E-3</v>
      </c>
      <c r="O216">
        <v>29976.978999999999</v>
      </c>
      <c r="P216">
        <v>1.6679465999999999E-5</v>
      </c>
      <c r="Q216">
        <v>1</v>
      </c>
      <c r="R216" s="61">
        <v>6.7672069199813147E-3</v>
      </c>
      <c r="S216" t="s">
        <v>336</v>
      </c>
      <c r="T216" t="s">
        <v>433</v>
      </c>
      <c r="U216" t="s">
        <v>425</v>
      </c>
      <c r="V216" t="s">
        <v>28</v>
      </c>
      <c r="W216">
        <v>111.133</v>
      </c>
      <c r="X216">
        <v>0.99819678194932504</v>
      </c>
      <c r="Y216">
        <v>110.9326029683743</v>
      </c>
      <c r="Z216">
        <v>682.07</v>
      </c>
      <c r="AA216">
        <v>1</v>
      </c>
      <c r="AB216">
        <v>75.663800506639092</v>
      </c>
      <c r="AC216">
        <v>1.0196000000000001</v>
      </c>
      <c r="AD216" s="63">
        <v>77.147000000000006</v>
      </c>
      <c r="AE216">
        <v>8.9176000000000002</v>
      </c>
      <c r="AF216">
        <v>8.9015196227113016</v>
      </c>
      <c r="AG216">
        <v>1</v>
      </c>
      <c r="AH216">
        <v>6071.4594890626977</v>
      </c>
      <c r="AI216">
        <v>0.97991730655640863</v>
      </c>
      <c r="AJ216" s="63">
        <v>5949.5281999999997</v>
      </c>
      <c r="AK216" s="61">
        <v>40.261688405663968</v>
      </c>
      <c r="AL216" t="s">
        <v>342</v>
      </c>
      <c r="AM216" t="s">
        <v>434</v>
      </c>
      <c r="AN216" t="s">
        <v>425</v>
      </c>
      <c r="AO216" t="s">
        <v>28</v>
      </c>
      <c r="AP216">
        <v>111.133</v>
      </c>
      <c r="AQ216">
        <v>1.0155396203574489</v>
      </c>
      <c r="AR216">
        <v>112.8599646291844</v>
      </c>
      <c r="AS216">
        <v>644.24</v>
      </c>
      <c r="AT216">
        <v>1</v>
      </c>
      <c r="AU216">
        <v>72.708903612705754</v>
      </c>
      <c r="AV216">
        <v>1.0451804150056221</v>
      </c>
      <c r="AW216" s="63">
        <v>75.994</v>
      </c>
      <c r="AX216">
        <v>8.9176000000000002</v>
      </c>
      <c r="AY216">
        <v>1</v>
      </c>
      <c r="AZ216">
        <v>5834.3509025821759</v>
      </c>
      <c r="BA216">
        <v>1.0071061377552519</v>
      </c>
      <c r="BB216" s="63">
        <v>5875.8105999999998</v>
      </c>
      <c r="BC216" s="61">
        <v>39.762826152819557</v>
      </c>
    </row>
    <row r="217" spans="1:55" x14ac:dyDescent="0.25">
      <c r="A217">
        <v>29942</v>
      </c>
      <c r="B217" t="s">
        <v>137</v>
      </c>
      <c r="C217">
        <v>2017</v>
      </c>
      <c r="D217">
        <v>8</v>
      </c>
      <c r="E217" t="s">
        <v>51</v>
      </c>
      <c r="F217" t="s">
        <v>449</v>
      </c>
      <c r="G217" t="s">
        <v>84</v>
      </c>
      <c r="H217" t="s">
        <v>87</v>
      </c>
      <c r="I217" t="s">
        <v>427</v>
      </c>
      <c r="J217">
        <v>-0.83235943000000001</v>
      </c>
      <c r="K217" t="s">
        <v>440</v>
      </c>
      <c r="L217" t="s">
        <v>450</v>
      </c>
      <c r="M217">
        <v>0.26601384014995</v>
      </c>
      <c r="N217">
        <v>0.22141912864677829</v>
      </c>
      <c r="O217">
        <v>29976.978999999999</v>
      </c>
      <c r="P217">
        <v>1.6679465999999999E-5</v>
      </c>
      <c r="Q217">
        <v>1</v>
      </c>
      <c r="R217" s="61">
        <v>0.22141912864677829</v>
      </c>
      <c r="S217" t="s">
        <v>336</v>
      </c>
      <c r="T217" t="s">
        <v>433</v>
      </c>
      <c r="U217" t="s">
        <v>425</v>
      </c>
      <c r="V217" t="s">
        <v>26</v>
      </c>
      <c r="W217">
        <v>111.133</v>
      </c>
      <c r="X217">
        <v>0.99819678194932504</v>
      </c>
      <c r="Y217">
        <v>110.9326029683743</v>
      </c>
      <c r="Z217">
        <v>682.07</v>
      </c>
      <c r="AA217">
        <v>1</v>
      </c>
      <c r="AB217">
        <v>75.663800506639092</v>
      </c>
      <c r="AC217">
        <v>1.0178</v>
      </c>
      <c r="AD217" s="63">
        <v>77.010999999999996</v>
      </c>
      <c r="AE217">
        <v>8.9176000000000002</v>
      </c>
      <c r="AF217">
        <v>8.9015196227113016</v>
      </c>
      <c r="AG217">
        <v>1</v>
      </c>
      <c r="AH217">
        <v>6071.4594890626977</v>
      </c>
      <c r="AI217">
        <v>1.0020831266739409</v>
      </c>
      <c r="AJ217" s="63">
        <v>6084.1071000000002</v>
      </c>
      <c r="AK217" s="61">
        <v>1347.137692675677</v>
      </c>
      <c r="AL217" t="s">
        <v>342</v>
      </c>
      <c r="AM217" t="s">
        <v>434</v>
      </c>
      <c r="AN217" t="s">
        <v>425</v>
      </c>
      <c r="AO217" t="s">
        <v>26</v>
      </c>
      <c r="AP217">
        <v>111.133</v>
      </c>
      <c r="AQ217">
        <v>1.0155396203574489</v>
      </c>
      <c r="AR217">
        <v>112.8599646291844</v>
      </c>
      <c r="AS217">
        <v>644.24</v>
      </c>
      <c r="AT217">
        <v>1</v>
      </c>
      <c r="AU217">
        <v>72.708903612705754</v>
      </c>
      <c r="AV217">
        <v>1.012368394153123</v>
      </c>
      <c r="AW217" s="63">
        <v>73.608000000000004</v>
      </c>
      <c r="AX217">
        <v>8.9176000000000002</v>
      </c>
      <c r="AY217">
        <v>1</v>
      </c>
      <c r="AZ217">
        <v>5834.3509025821759</v>
      </c>
      <c r="BA217">
        <v>0.99404987733863315</v>
      </c>
      <c r="BB217" s="63">
        <v>5799.6358</v>
      </c>
      <c r="BC217" s="61">
        <v>1284.1503053046611</v>
      </c>
    </row>
    <row r="218" spans="1:55" x14ac:dyDescent="0.25">
      <c r="A218">
        <v>29943</v>
      </c>
      <c r="B218" t="s">
        <v>137</v>
      </c>
      <c r="C218">
        <v>2017</v>
      </c>
      <c r="D218">
        <v>8</v>
      </c>
      <c r="E218" t="s">
        <v>51</v>
      </c>
      <c r="F218" t="s">
        <v>449</v>
      </c>
      <c r="G218" t="s">
        <v>84</v>
      </c>
      <c r="H218" t="s">
        <v>87</v>
      </c>
      <c r="I218" t="s">
        <v>427</v>
      </c>
      <c r="J218">
        <v>-0.83235943000000001</v>
      </c>
      <c r="K218" t="s">
        <v>440</v>
      </c>
      <c r="L218" t="s">
        <v>384</v>
      </c>
      <c r="M218">
        <v>3.9509559941419997E-2</v>
      </c>
      <c r="N218">
        <v>3.2886154835085252E-2</v>
      </c>
      <c r="O218">
        <v>29976.978999999999</v>
      </c>
      <c r="P218">
        <v>1.6679465999999999E-5</v>
      </c>
      <c r="Q218">
        <v>1</v>
      </c>
      <c r="R218" s="61">
        <v>3.2886154835085252E-2</v>
      </c>
      <c r="S218" t="s">
        <v>336</v>
      </c>
      <c r="T218" t="s">
        <v>433</v>
      </c>
      <c r="U218" t="s">
        <v>425</v>
      </c>
      <c r="V218" t="s">
        <v>81</v>
      </c>
      <c r="W218">
        <v>111.133</v>
      </c>
      <c r="X218">
        <v>0.99819678194932504</v>
      </c>
      <c r="Y218">
        <v>110.9326029683743</v>
      </c>
      <c r="Z218">
        <v>682.07</v>
      </c>
      <c r="AA218">
        <v>1</v>
      </c>
      <c r="AB218">
        <v>75.663800506639092</v>
      </c>
      <c r="AC218">
        <v>0.92979999999999996</v>
      </c>
      <c r="AD218" s="63">
        <v>70.352000000000004</v>
      </c>
      <c r="AE218">
        <v>8.9176000000000002</v>
      </c>
      <c r="AF218">
        <v>8.9015196227113016</v>
      </c>
      <c r="AG218">
        <v>1</v>
      </c>
      <c r="AH218">
        <v>6071.4594890626977</v>
      </c>
      <c r="AI218">
        <v>1.0375922509225091</v>
      </c>
      <c r="AJ218" s="63">
        <v>6299.6993000000002</v>
      </c>
      <c r="AK218" s="61">
        <v>207.1728865942782</v>
      </c>
      <c r="AL218" t="s">
        <v>342</v>
      </c>
      <c r="AM218" t="s">
        <v>434</v>
      </c>
      <c r="AN218" t="s">
        <v>425</v>
      </c>
      <c r="AO218" t="s">
        <v>81</v>
      </c>
      <c r="AP218">
        <v>111.133</v>
      </c>
      <c r="AQ218">
        <v>1.0155396203574489</v>
      </c>
      <c r="AR218">
        <v>112.8599646291844</v>
      </c>
      <c r="AS218">
        <v>644.24</v>
      </c>
      <c r="AT218">
        <v>1</v>
      </c>
      <c r="AU218">
        <v>72.708903612705754</v>
      </c>
      <c r="AV218">
        <v>0.95185525912296853</v>
      </c>
      <c r="AW218" s="63">
        <v>69.207999999999998</v>
      </c>
      <c r="AX218">
        <v>8.9176000000000002</v>
      </c>
      <c r="AY218">
        <v>1</v>
      </c>
      <c r="AZ218">
        <v>5834.3509025821759</v>
      </c>
      <c r="BA218">
        <v>1.081469419077697</v>
      </c>
      <c r="BB218" s="63">
        <v>6309.6720999999998</v>
      </c>
      <c r="BC218" s="61">
        <v>207.5008536392175</v>
      </c>
    </row>
    <row r="219" spans="1:55" x14ac:dyDescent="0.25">
      <c r="A219">
        <v>29944</v>
      </c>
      <c r="B219" t="s">
        <v>137</v>
      </c>
      <c r="C219">
        <v>2017</v>
      </c>
      <c r="D219">
        <v>8</v>
      </c>
      <c r="E219" t="s">
        <v>51</v>
      </c>
      <c r="F219" t="s">
        <v>449</v>
      </c>
      <c r="G219" t="s">
        <v>84</v>
      </c>
      <c r="H219" t="s">
        <v>87</v>
      </c>
      <c r="I219" t="s">
        <v>427</v>
      </c>
      <c r="J219">
        <v>-0.83235943000000001</v>
      </c>
      <c r="K219" t="s">
        <v>440</v>
      </c>
      <c r="L219" t="s">
        <v>385</v>
      </c>
      <c r="M219">
        <v>0.39737542925016001</v>
      </c>
      <c r="N219">
        <v>0.33075918621607281</v>
      </c>
      <c r="O219">
        <v>29976.978999999999</v>
      </c>
      <c r="P219">
        <v>1.6679465999999999E-5</v>
      </c>
      <c r="Q219">
        <v>1</v>
      </c>
      <c r="R219" s="61">
        <v>0.33075918621607281</v>
      </c>
      <c r="S219" t="s">
        <v>336</v>
      </c>
      <c r="T219" t="s">
        <v>433</v>
      </c>
      <c r="U219" t="s">
        <v>425</v>
      </c>
      <c r="V219" t="s">
        <v>27</v>
      </c>
      <c r="W219">
        <v>111.133</v>
      </c>
      <c r="X219">
        <v>0.99819678194932504</v>
      </c>
      <c r="Y219">
        <v>110.9326029683743</v>
      </c>
      <c r="Z219">
        <v>682.07</v>
      </c>
      <c r="AA219">
        <v>1</v>
      </c>
      <c r="AB219">
        <v>75.663800506639092</v>
      </c>
      <c r="AC219">
        <v>0.99739999999999995</v>
      </c>
      <c r="AD219" s="63">
        <v>75.466999999999999</v>
      </c>
      <c r="AE219">
        <v>8.9176000000000002</v>
      </c>
      <c r="AF219">
        <v>8.9015196227113016</v>
      </c>
      <c r="AG219">
        <v>1</v>
      </c>
      <c r="AH219">
        <v>6071.4594890626977</v>
      </c>
      <c r="AI219">
        <v>1.0108695652173909</v>
      </c>
      <c r="AJ219" s="63">
        <v>6137.4535999999998</v>
      </c>
      <c r="AK219" s="61">
        <v>2030.0191581749059</v>
      </c>
      <c r="AL219" t="s">
        <v>342</v>
      </c>
      <c r="AM219" t="s">
        <v>434</v>
      </c>
      <c r="AN219" t="s">
        <v>425</v>
      </c>
      <c r="AO219" t="s">
        <v>27</v>
      </c>
      <c r="AP219">
        <v>111.133</v>
      </c>
      <c r="AQ219">
        <v>1.0155396203574489</v>
      </c>
      <c r="AR219">
        <v>112.8599646291844</v>
      </c>
      <c r="AS219">
        <v>644.24</v>
      </c>
      <c r="AT219">
        <v>1</v>
      </c>
      <c r="AU219">
        <v>72.708903612705754</v>
      </c>
      <c r="AV219">
        <v>1.0016354901359501</v>
      </c>
      <c r="AW219" s="63">
        <v>72.828000000000003</v>
      </c>
      <c r="AX219">
        <v>8.9176000000000002</v>
      </c>
      <c r="AY219">
        <v>1</v>
      </c>
      <c r="AZ219">
        <v>5834.3509025821759</v>
      </c>
      <c r="BA219">
        <v>1.016194415745886</v>
      </c>
      <c r="BB219" s="63">
        <v>5928.8347999999996</v>
      </c>
      <c r="BC219" s="61">
        <v>1961.0165736575329</v>
      </c>
    </row>
    <row r="220" spans="1:55" x14ac:dyDescent="0.25">
      <c r="A220">
        <v>29945</v>
      </c>
      <c r="B220" t="s">
        <v>137</v>
      </c>
      <c r="C220">
        <v>2017</v>
      </c>
      <c r="D220">
        <v>8</v>
      </c>
      <c r="E220" t="s">
        <v>51</v>
      </c>
      <c r="F220" t="s">
        <v>449</v>
      </c>
      <c r="G220" t="s">
        <v>84</v>
      </c>
      <c r="H220" t="s">
        <v>87</v>
      </c>
      <c r="I220" t="s">
        <v>427</v>
      </c>
      <c r="J220">
        <v>-0.83235943000000001</v>
      </c>
      <c r="K220" t="s">
        <v>440</v>
      </c>
      <c r="L220" t="s">
        <v>452</v>
      </c>
      <c r="M220">
        <v>8.4248020759000004E-4</v>
      </c>
      <c r="N220">
        <v>7.0124634628627915E-4</v>
      </c>
      <c r="O220">
        <v>29976.978999999999</v>
      </c>
      <c r="P220">
        <v>1.6679465999999999E-5</v>
      </c>
      <c r="Q220">
        <v>1</v>
      </c>
      <c r="R220" s="61">
        <v>7.0124634628627915E-4</v>
      </c>
      <c r="S220" t="s">
        <v>336</v>
      </c>
      <c r="T220" t="s">
        <v>433</v>
      </c>
      <c r="U220" t="s">
        <v>425</v>
      </c>
      <c r="V220" t="s">
        <v>28</v>
      </c>
      <c r="W220">
        <v>111.133</v>
      </c>
      <c r="X220">
        <v>0.99819678194932504</v>
      </c>
      <c r="Y220">
        <v>110.9326029683743</v>
      </c>
      <c r="Z220">
        <v>682.07</v>
      </c>
      <c r="AA220">
        <v>1</v>
      </c>
      <c r="AB220">
        <v>75.663800506639092</v>
      </c>
      <c r="AC220">
        <v>1.0196000000000001</v>
      </c>
      <c r="AD220" s="63">
        <v>77.147000000000006</v>
      </c>
      <c r="AE220">
        <v>8.9176000000000002</v>
      </c>
      <c r="AF220">
        <v>8.9015196227113016</v>
      </c>
      <c r="AG220">
        <v>1</v>
      </c>
      <c r="AH220">
        <v>6071.4594890626977</v>
      </c>
      <c r="AI220">
        <v>0.97991730655640863</v>
      </c>
      <c r="AJ220" s="63">
        <v>5949.5281999999997</v>
      </c>
      <c r="AK220" s="61">
        <v>4.1720849123771826</v>
      </c>
      <c r="AL220" t="s">
        <v>342</v>
      </c>
      <c r="AM220" t="s">
        <v>434</v>
      </c>
      <c r="AN220" t="s">
        <v>425</v>
      </c>
      <c r="AO220" t="s">
        <v>28</v>
      </c>
      <c r="AP220">
        <v>111.133</v>
      </c>
      <c r="AQ220">
        <v>1.0155396203574489</v>
      </c>
      <c r="AR220">
        <v>112.8599646291844</v>
      </c>
      <c r="AS220">
        <v>644.24</v>
      </c>
      <c r="AT220">
        <v>1</v>
      </c>
      <c r="AU220">
        <v>72.708903612705754</v>
      </c>
      <c r="AV220">
        <v>1.0451804150056221</v>
      </c>
      <c r="AW220" s="63">
        <v>75.994</v>
      </c>
      <c r="AX220">
        <v>8.9176000000000002</v>
      </c>
      <c r="AY220">
        <v>1</v>
      </c>
      <c r="AZ220">
        <v>5834.3509025821759</v>
      </c>
      <c r="BA220">
        <v>1.0071061377552519</v>
      </c>
      <c r="BB220" s="63">
        <v>5875.8105999999998</v>
      </c>
      <c r="BC220" s="61">
        <v>4.1203907147201893</v>
      </c>
    </row>
    <row r="221" spans="1:55" x14ac:dyDescent="0.25">
      <c r="A221">
        <v>29946</v>
      </c>
      <c r="B221" t="s">
        <v>137</v>
      </c>
      <c r="C221">
        <v>2017</v>
      </c>
      <c r="D221">
        <v>8</v>
      </c>
      <c r="E221" t="s">
        <v>51</v>
      </c>
      <c r="F221" t="s">
        <v>449</v>
      </c>
      <c r="G221" t="s">
        <v>84</v>
      </c>
      <c r="H221" t="s">
        <v>59</v>
      </c>
      <c r="I221" t="s">
        <v>427</v>
      </c>
      <c r="J221">
        <v>-2.6113224900000001</v>
      </c>
      <c r="K221" t="s">
        <v>440</v>
      </c>
      <c r="L221" t="s">
        <v>450</v>
      </c>
      <c r="M221">
        <v>0.15931709696460999</v>
      </c>
      <c r="N221">
        <v>0.41602831778799609</v>
      </c>
      <c r="O221">
        <v>29976.978999999999</v>
      </c>
      <c r="P221">
        <v>1.6679465999999999E-5</v>
      </c>
      <c r="Q221">
        <v>1</v>
      </c>
      <c r="R221" s="61">
        <v>0.41602831778799609</v>
      </c>
      <c r="S221" t="s">
        <v>336</v>
      </c>
      <c r="T221" t="s">
        <v>433</v>
      </c>
      <c r="U221" t="s">
        <v>425</v>
      </c>
      <c r="V221" t="s">
        <v>26</v>
      </c>
      <c r="W221">
        <v>111.133</v>
      </c>
      <c r="X221">
        <v>0.99819678194932504</v>
      </c>
      <c r="Y221">
        <v>110.9326029683743</v>
      </c>
      <c r="Z221">
        <v>682.07</v>
      </c>
      <c r="AA221">
        <v>1</v>
      </c>
      <c r="AB221">
        <v>75.663800506639092</v>
      </c>
      <c r="AC221">
        <v>1.0178</v>
      </c>
      <c r="AD221" s="63">
        <v>77.010999999999996</v>
      </c>
      <c r="AE221">
        <v>8.9176000000000002</v>
      </c>
      <c r="AF221">
        <v>8.9015196227113016</v>
      </c>
      <c r="AG221">
        <v>1</v>
      </c>
      <c r="AH221">
        <v>6071.4594890626977</v>
      </c>
      <c r="AI221">
        <v>1.0020831266739409</v>
      </c>
      <c r="AJ221" s="63">
        <v>6084.1071000000002</v>
      </c>
      <c r="AK221" s="61">
        <v>2531.1608420550042</v>
      </c>
      <c r="AL221" t="s">
        <v>342</v>
      </c>
      <c r="AM221" t="s">
        <v>434</v>
      </c>
      <c r="AN221" t="s">
        <v>425</v>
      </c>
      <c r="AO221" t="s">
        <v>26</v>
      </c>
      <c r="AP221">
        <v>111.133</v>
      </c>
      <c r="AQ221">
        <v>1.0155396203574489</v>
      </c>
      <c r="AR221">
        <v>112.8599646291844</v>
      </c>
      <c r="AS221">
        <v>644.24</v>
      </c>
      <c r="AT221">
        <v>1</v>
      </c>
      <c r="AU221">
        <v>72.708903612705754</v>
      </c>
      <c r="AV221">
        <v>1.012368394153123</v>
      </c>
      <c r="AW221" s="63">
        <v>73.608000000000004</v>
      </c>
      <c r="AX221">
        <v>8.9176000000000002</v>
      </c>
      <c r="AY221">
        <v>1</v>
      </c>
      <c r="AZ221">
        <v>5834.3509025821759</v>
      </c>
      <c r="BA221">
        <v>0.99404987733863315</v>
      </c>
      <c r="BB221" s="63">
        <v>5799.6358</v>
      </c>
      <c r="BC221" s="61">
        <v>2412.8127256570392</v>
      </c>
    </row>
    <row r="222" spans="1:55" x14ac:dyDescent="0.25">
      <c r="A222">
        <v>29947</v>
      </c>
      <c r="B222" t="s">
        <v>137</v>
      </c>
      <c r="C222">
        <v>2017</v>
      </c>
      <c r="D222">
        <v>8</v>
      </c>
      <c r="E222" t="s">
        <v>51</v>
      </c>
      <c r="F222" t="s">
        <v>449</v>
      </c>
      <c r="G222" t="s">
        <v>84</v>
      </c>
      <c r="H222" t="s">
        <v>59</v>
      </c>
      <c r="I222" t="s">
        <v>427</v>
      </c>
      <c r="J222">
        <v>-2.6113224900000001</v>
      </c>
      <c r="K222" t="s">
        <v>440</v>
      </c>
      <c r="L222" t="s">
        <v>384</v>
      </c>
      <c r="M222">
        <v>4.1785183859599999E-2</v>
      </c>
      <c r="N222">
        <v>0.1091145902152177</v>
      </c>
      <c r="O222">
        <v>29976.978999999999</v>
      </c>
      <c r="P222">
        <v>1.6679465999999999E-5</v>
      </c>
      <c r="Q222">
        <v>1</v>
      </c>
      <c r="R222" s="61">
        <v>0.1091145902152177</v>
      </c>
      <c r="S222" t="s">
        <v>336</v>
      </c>
      <c r="T222" t="s">
        <v>433</v>
      </c>
      <c r="U222" t="s">
        <v>425</v>
      </c>
      <c r="V222" t="s">
        <v>81</v>
      </c>
      <c r="W222">
        <v>111.133</v>
      </c>
      <c r="X222">
        <v>0.99819678194932504</v>
      </c>
      <c r="Y222">
        <v>110.9326029683743</v>
      </c>
      <c r="Z222">
        <v>682.07</v>
      </c>
      <c r="AA222">
        <v>1</v>
      </c>
      <c r="AB222">
        <v>75.663800506639092</v>
      </c>
      <c r="AC222">
        <v>0.92979999999999996</v>
      </c>
      <c r="AD222" s="63">
        <v>70.352000000000004</v>
      </c>
      <c r="AE222">
        <v>8.9176000000000002</v>
      </c>
      <c r="AF222">
        <v>8.9015196227113016</v>
      </c>
      <c r="AG222">
        <v>1</v>
      </c>
      <c r="AH222">
        <v>6071.4594890626977</v>
      </c>
      <c r="AI222">
        <v>1.0375922509225091</v>
      </c>
      <c r="AJ222" s="63">
        <v>6299.6993000000002</v>
      </c>
      <c r="AK222" s="61">
        <v>687.38910759859357</v>
      </c>
      <c r="AL222" t="s">
        <v>342</v>
      </c>
      <c r="AM222" t="s">
        <v>434</v>
      </c>
      <c r="AN222" t="s">
        <v>425</v>
      </c>
      <c r="AO222" t="s">
        <v>81</v>
      </c>
      <c r="AP222">
        <v>111.133</v>
      </c>
      <c r="AQ222">
        <v>1.0155396203574489</v>
      </c>
      <c r="AR222">
        <v>112.8599646291844</v>
      </c>
      <c r="AS222">
        <v>644.24</v>
      </c>
      <c r="AT222">
        <v>1</v>
      </c>
      <c r="AU222">
        <v>72.708903612705754</v>
      </c>
      <c r="AV222">
        <v>0.95185525912296853</v>
      </c>
      <c r="AW222" s="63">
        <v>69.207999999999998</v>
      </c>
      <c r="AX222">
        <v>8.9176000000000002</v>
      </c>
      <c r="AY222">
        <v>1</v>
      </c>
      <c r="AZ222">
        <v>5834.3509025821759</v>
      </c>
      <c r="BA222">
        <v>1.081469419077697</v>
      </c>
      <c r="BB222" s="63">
        <v>6309.6720999999998</v>
      </c>
      <c r="BC222" s="61">
        <v>688.4772855838919</v>
      </c>
    </row>
    <row r="223" spans="1:55" x14ac:dyDescent="0.25">
      <c r="A223">
        <v>29948</v>
      </c>
      <c r="B223" t="s">
        <v>137</v>
      </c>
      <c r="C223">
        <v>2017</v>
      </c>
      <c r="D223">
        <v>8</v>
      </c>
      <c r="E223" t="s">
        <v>51</v>
      </c>
      <c r="F223" t="s">
        <v>449</v>
      </c>
      <c r="G223" t="s">
        <v>84</v>
      </c>
      <c r="H223" t="s">
        <v>59</v>
      </c>
      <c r="I223" t="s">
        <v>427</v>
      </c>
      <c r="J223">
        <v>-2.6113224900000001</v>
      </c>
      <c r="K223" t="s">
        <v>440</v>
      </c>
      <c r="L223" t="s">
        <v>385</v>
      </c>
      <c r="M223">
        <v>0.43497567483749999</v>
      </c>
      <c r="N223">
        <v>1.135861760784793</v>
      </c>
      <c r="O223">
        <v>29976.978999999999</v>
      </c>
      <c r="P223">
        <v>1.6679465999999999E-5</v>
      </c>
      <c r="Q223">
        <v>1</v>
      </c>
      <c r="R223" s="61">
        <v>1.135861760784793</v>
      </c>
      <c r="S223" t="s">
        <v>336</v>
      </c>
      <c r="T223" t="s">
        <v>433</v>
      </c>
      <c r="U223" t="s">
        <v>425</v>
      </c>
      <c r="V223" t="s">
        <v>27</v>
      </c>
      <c r="W223">
        <v>111.133</v>
      </c>
      <c r="X223">
        <v>0.99819678194932504</v>
      </c>
      <c r="Y223">
        <v>110.9326029683743</v>
      </c>
      <c r="Z223">
        <v>682.07</v>
      </c>
      <c r="AA223">
        <v>1</v>
      </c>
      <c r="AB223">
        <v>75.663800506639092</v>
      </c>
      <c r="AC223">
        <v>0.99739999999999995</v>
      </c>
      <c r="AD223" s="63">
        <v>75.466999999999999</v>
      </c>
      <c r="AE223">
        <v>8.9176000000000002</v>
      </c>
      <c r="AF223">
        <v>8.9015196227113016</v>
      </c>
      <c r="AG223">
        <v>1</v>
      </c>
      <c r="AH223">
        <v>6071.4594890626977</v>
      </c>
      <c r="AI223">
        <v>1.0108695652173909</v>
      </c>
      <c r="AJ223" s="63">
        <v>6137.4535999999998</v>
      </c>
      <c r="AK223" s="61">
        <v>6971.2988528309679</v>
      </c>
      <c r="AL223" t="s">
        <v>342</v>
      </c>
      <c r="AM223" t="s">
        <v>434</v>
      </c>
      <c r="AN223" t="s">
        <v>425</v>
      </c>
      <c r="AO223" t="s">
        <v>27</v>
      </c>
      <c r="AP223">
        <v>111.133</v>
      </c>
      <c r="AQ223">
        <v>1.0155396203574489</v>
      </c>
      <c r="AR223">
        <v>112.8599646291844</v>
      </c>
      <c r="AS223">
        <v>644.24</v>
      </c>
      <c r="AT223">
        <v>1</v>
      </c>
      <c r="AU223">
        <v>72.708903612705754</v>
      </c>
      <c r="AV223">
        <v>1.0016354901359501</v>
      </c>
      <c r="AW223" s="63">
        <v>72.828000000000003</v>
      </c>
      <c r="AX223">
        <v>8.9176000000000002</v>
      </c>
      <c r="AY223">
        <v>1</v>
      </c>
      <c r="AZ223">
        <v>5834.3509025821759</v>
      </c>
      <c r="BA223">
        <v>1.016194415745886</v>
      </c>
      <c r="BB223" s="63">
        <v>5928.8347999999996</v>
      </c>
      <c r="BC223" s="61">
        <v>6734.3367353301564</v>
      </c>
    </row>
    <row r="224" spans="1:55" x14ac:dyDescent="0.25">
      <c r="A224">
        <v>29949</v>
      </c>
      <c r="B224" t="s">
        <v>137</v>
      </c>
      <c r="C224">
        <v>2017</v>
      </c>
      <c r="D224">
        <v>8</v>
      </c>
      <c r="E224" t="s">
        <v>51</v>
      </c>
      <c r="F224" t="s">
        <v>449</v>
      </c>
      <c r="G224" t="s">
        <v>84</v>
      </c>
      <c r="H224" t="s">
        <v>59</v>
      </c>
      <c r="I224" t="s">
        <v>427</v>
      </c>
      <c r="J224">
        <v>-2.6113224900000001</v>
      </c>
      <c r="K224" t="s">
        <v>440</v>
      </c>
      <c r="L224" t="s">
        <v>451</v>
      </c>
      <c r="M224">
        <v>1.7625750762999999E-3</v>
      </c>
      <c r="N224">
        <v>4.6026519308911698E-3</v>
      </c>
      <c r="O224">
        <v>29976.978999999999</v>
      </c>
      <c r="P224">
        <v>1.6679465999999999E-5</v>
      </c>
      <c r="Q224">
        <v>1</v>
      </c>
      <c r="R224" s="61">
        <v>4.6026519308911698E-3</v>
      </c>
      <c r="S224" t="s">
        <v>336</v>
      </c>
      <c r="T224" t="s">
        <v>433</v>
      </c>
      <c r="U224" t="s">
        <v>425</v>
      </c>
      <c r="V224" t="s">
        <v>91</v>
      </c>
      <c r="W224">
        <v>111.133</v>
      </c>
      <c r="X224">
        <v>0.99819678194932504</v>
      </c>
      <c r="Y224">
        <v>110.9326029683743</v>
      </c>
      <c r="Z224">
        <v>682.07</v>
      </c>
      <c r="AA224">
        <v>1</v>
      </c>
      <c r="AB224">
        <v>75.663800506639092</v>
      </c>
      <c r="AC224">
        <v>1.0269999999999999</v>
      </c>
      <c r="AD224" s="63">
        <v>77.706999999999994</v>
      </c>
      <c r="AE224">
        <v>8.9176000000000002</v>
      </c>
      <c r="AF224">
        <v>8.9015196227113016</v>
      </c>
      <c r="AG224">
        <v>1</v>
      </c>
      <c r="AH224">
        <v>6071.4594890626977</v>
      </c>
      <c r="AI224">
        <v>0.98496680983990625</v>
      </c>
      <c r="AJ224" s="63">
        <v>5980.1860999999999</v>
      </c>
      <c r="AK224" s="61">
        <v>27.52471510025353</v>
      </c>
      <c r="AL224" t="s">
        <v>342</v>
      </c>
      <c r="AM224" t="s">
        <v>434</v>
      </c>
      <c r="AN224" t="s">
        <v>425</v>
      </c>
      <c r="AO224" t="s">
        <v>91</v>
      </c>
      <c r="AP224">
        <v>111.133</v>
      </c>
      <c r="AQ224">
        <v>1.0155396203574489</v>
      </c>
      <c r="AR224">
        <v>112.8599646291844</v>
      </c>
      <c r="AS224">
        <v>644.24</v>
      </c>
      <c r="AT224">
        <v>1</v>
      </c>
      <c r="AU224">
        <v>72.708903612705754</v>
      </c>
      <c r="AV224">
        <v>1.02984769498109</v>
      </c>
      <c r="AW224" s="63">
        <v>74.879000000000005</v>
      </c>
      <c r="AX224">
        <v>8.9176000000000002</v>
      </c>
      <c r="AY224">
        <v>1</v>
      </c>
      <c r="AZ224">
        <v>5834.3509025821759</v>
      </c>
      <c r="BA224">
        <v>0.9935711161666545</v>
      </c>
      <c r="BB224" s="63">
        <v>5796.8424999999997</v>
      </c>
      <c r="BC224" s="61">
        <v>26.680848325696999</v>
      </c>
    </row>
    <row r="225" spans="1:55" x14ac:dyDescent="0.25">
      <c r="A225">
        <v>29950</v>
      </c>
      <c r="B225" t="s">
        <v>137</v>
      </c>
      <c r="C225">
        <v>2017</v>
      </c>
      <c r="D225">
        <v>8</v>
      </c>
      <c r="E225" t="s">
        <v>51</v>
      </c>
      <c r="F225" t="s">
        <v>449</v>
      </c>
      <c r="G225" t="s">
        <v>84</v>
      </c>
      <c r="H225" t="s">
        <v>59</v>
      </c>
      <c r="I225" t="s">
        <v>427</v>
      </c>
      <c r="J225">
        <v>-2.6113224900000001</v>
      </c>
      <c r="K225" t="s">
        <v>440</v>
      </c>
      <c r="L225" t="s">
        <v>452</v>
      </c>
      <c r="M225">
        <v>1.4858046103299999E-3</v>
      </c>
      <c r="N225">
        <v>3.8799149895039149E-3</v>
      </c>
      <c r="O225">
        <v>29976.978999999999</v>
      </c>
      <c r="P225">
        <v>1.6679465999999999E-5</v>
      </c>
      <c r="Q225">
        <v>1</v>
      </c>
      <c r="R225" s="61">
        <v>3.8799149895039149E-3</v>
      </c>
      <c r="S225" t="s">
        <v>336</v>
      </c>
      <c r="T225" t="s">
        <v>433</v>
      </c>
      <c r="U225" t="s">
        <v>425</v>
      </c>
      <c r="V225" t="s">
        <v>28</v>
      </c>
      <c r="W225">
        <v>111.133</v>
      </c>
      <c r="X225">
        <v>0.99819678194932504</v>
      </c>
      <c r="Y225">
        <v>110.9326029683743</v>
      </c>
      <c r="Z225">
        <v>682.07</v>
      </c>
      <c r="AA225">
        <v>1</v>
      </c>
      <c r="AB225">
        <v>75.663800506639092</v>
      </c>
      <c r="AC225">
        <v>1.0196000000000001</v>
      </c>
      <c r="AD225" s="63">
        <v>77.147000000000006</v>
      </c>
      <c r="AE225">
        <v>8.9176000000000002</v>
      </c>
      <c r="AF225">
        <v>8.9015196227113016</v>
      </c>
      <c r="AG225">
        <v>1</v>
      </c>
      <c r="AH225">
        <v>6071.4594890626977</v>
      </c>
      <c r="AI225">
        <v>0.97991730655640863</v>
      </c>
      <c r="AJ225" s="63">
        <v>5949.5281999999997</v>
      </c>
      <c r="AK225" s="61">
        <v>23.083663643656241</v>
      </c>
      <c r="AL225" t="s">
        <v>342</v>
      </c>
      <c r="AM225" t="s">
        <v>434</v>
      </c>
      <c r="AN225" t="s">
        <v>425</v>
      </c>
      <c r="AO225" t="s">
        <v>28</v>
      </c>
      <c r="AP225">
        <v>111.133</v>
      </c>
      <c r="AQ225">
        <v>1.0155396203574489</v>
      </c>
      <c r="AR225">
        <v>112.8599646291844</v>
      </c>
      <c r="AS225">
        <v>644.24</v>
      </c>
      <c r="AT225">
        <v>1</v>
      </c>
      <c r="AU225">
        <v>72.708903612705754</v>
      </c>
      <c r="AV225">
        <v>1.0451804150056221</v>
      </c>
      <c r="AW225" s="63">
        <v>75.994</v>
      </c>
      <c r="AX225">
        <v>8.9176000000000002</v>
      </c>
      <c r="AY225">
        <v>1</v>
      </c>
      <c r="AZ225">
        <v>5834.3509025821759</v>
      </c>
      <c r="BA225">
        <v>1.0071061377552519</v>
      </c>
      <c r="BB225" s="63">
        <v>5875.8105999999998</v>
      </c>
      <c r="BC225" s="61">
        <v>22.797645622425989</v>
      </c>
    </row>
    <row r="226" spans="1:55" x14ac:dyDescent="0.25">
      <c r="A226">
        <v>32635</v>
      </c>
      <c r="B226" t="s">
        <v>121</v>
      </c>
      <c r="C226">
        <v>2017</v>
      </c>
      <c r="D226">
        <v>9</v>
      </c>
      <c r="E226" t="s">
        <v>51</v>
      </c>
      <c r="F226" t="s">
        <v>449</v>
      </c>
      <c r="G226" t="s">
        <v>84</v>
      </c>
      <c r="H226" t="s">
        <v>381</v>
      </c>
      <c r="I226" t="s">
        <v>427</v>
      </c>
      <c r="J226">
        <v>-4.3922125000000003</v>
      </c>
      <c r="K226" t="s">
        <v>440</v>
      </c>
      <c r="L226" t="s">
        <v>450</v>
      </c>
      <c r="M226">
        <v>0.15011157993331001</v>
      </c>
      <c r="N226">
        <v>0.65932195833375884</v>
      </c>
      <c r="O226">
        <v>29976.978999999999</v>
      </c>
      <c r="P226">
        <v>1.6679465999999999E-5</v>
      </c>
      <c r="Q226">
        <v>1</v>
      </c>
      <c r="R226" s="61">
        <v>0.65932195833375884</v>
      </c>
      <c r="S226" t="s">
        <v>336</v>
      </c>
      <c r="T226" t="s">
        <v>433</v>
      </c>
      <c r="U226" t="s">
        <v>425</v>
      </c>
      <c r="V226" t="s">
        <v>26</v>
      </c>
      <c r="W226">
        <v>111.133</v>
      </c>
      <c r="X226">
        <v>0.99819678194932504</v>
      </c>
      <c r="Y226">
        <v>110.9326029683743</v>
      </c>
      <c r="Z226">
        <v>682.07</v>
      </c>
      <c r="AA226">
        <v>1</v>
      </c>
      <c r="AB226">
        <v>75.663800506639092</v>
      </c>
      <c r="AC226">
        <v>1.0178</v>
      </c>
      <c r="AD226" s="63">
        <v>77.010999999999996</v>
      </c>
      <c r="AE226">
        <v>8.9176000000000002</v>
      </c>
      <c r="AF226">
        <v>8.9015196227113016</v>
      </c>
      <c r="AG226">
        <v>1</v>
      </c>
      <c r="AH226">
        <v>6071.4594890626977</v>
      </c>
      <c r="AI226">
        <v>1.0020831266739409</v>
      </c>
      <c r="AJ226" s="63">
        <v>6084.1071000000002</v>
      </c>
      <c r="AK226" s="61">
        <v>4011.385407884326</v>
      </c>
      <c r="AL226" t="s">
        <v>342</v>
      </c>
      <c r="AM226" t="s">
        <v>434</v>
      </c>
      <c r="AN226" t="s">
        <v>425</v>
      </c>
      <c r="AO226" t="s">
        <v>26</v>
      </c>
      <c r="AP226">
        <v>111.133</v>
      </c>
      <c r="AQ226">
        <v>1.0155396203574489</v>
      </c>
      <c r="AR226">
        <v>112.8599646291844</v>
      </c>
      <c r="AS226">
        <v>625.54</v>
      </c>
      <c r="AT226">
        <v>1</v>
      </c>
      <c r="AU226">
        <v>70.598422274140006</v>
      </c>
      <c r="AV226">
        <v>1.012368394153123</v>
      </c>
      <c r="AW226" s="63">
        <v>71.471999999999994</v>
      </c>
      <c r="AX226">
        <v>8.9176000000000002</v>
      </c>
      <c r="AY226">
        <v>1</v>
      </c>
      <c r="AZ226">
        <v>5665.0004091662331</v>
      </c>
      <c r="BA226">
        <v>0.99404987733863315</v>
      </c>
      <c r="BB226" s="63">
        <v>5631.2929999999997</v>
      </c>
      <c r="BC226" s="61">
        <v>3712.8351287111882</v>
      </c>
    </row>
    <row r="227" spans="1:55" x14ac:dyDescent="0.25">
      <c r="A227">
        <v>32636</v>
      </c>
      <c r="B227" t="s">
        <v>121</v>
      </c>
      <c r="C227">
        <v>2017</v>
      </c>
      <c r="D227">
        <v>9</v>
      </c>
      <c r="E227" t="s">
        <v>51</v>
      </c>
      <c r="F227" t="s">
        <v>449</v>
      </c>
      <c r="G227" t="s">
        <v>84</v>
      </c>
      <c r="H227" t="s">
        <v>381</v>
      </c>
      <c r="I227" t="s">
        <v>427</v>
      </c>
      <c r="J227">
        <v>-4.3922125000000003</v>
      </c>
      <c r="K227" t="s">
        <v>440</v>
      </c>
      <c r="L227" t="s">
        <v>384</v>
      </c>
      <c r="M227">
        <v>4.5811354346740003E-2</v>
      </c>
      <c r="N227">
        <v>0.2012132033733392</v>
      </c>
      <c r="O227">
        <v>29976.978999999999</v>
      </c>
      <c r="P227">
        <v>1.6679465999999999E-5</v>
      </c>
      <c r="Q227">
        <v>1</v>
      </c>
      <c r="R227" s="61">
        <v>0.2012132033733392</v>
      </c>
      <c r="S227" t="s">
        <v>336</v>
      </c>
      <c r="T227" t="s">
        <v>433</v>
      </c>
      <c r="U227" t="s">
        <v>425</v>
      </c>
      <c r="V227" t="s">
        <v>81</v>
      </c>
      <c r="W227">
        <v>111.133</v>
      </c>
      <c r="X227">
        <v>0.99819678194932504</v>
      </c>
      <c r="Y227">
        <v>110.9326029683743</v>
      </c>
      <c r="Z227">
        <v>682.07</v>
      </c>
      <c r="AA227">
        <v>1</v>
      </c>
      <c r="AB227">
        <v>75.663800506639092</v>
      </c>
      <c r="AC227">
        <v>0.92979999999999996</v>
      </c>
      <c r="AD227" s="63">
        <v>70.352000000000004</v>
      </c>
      <c r="AE227">
        <v>8.9176000000000002</v>
      </c>
      <c r="AF227">
        <v>8.9015196227113016</v>
      </c>
      <c r="AG227">
        <v>1</v>
      </c>
      <c r="AH227">
        <v>6071.4594890626977</v>
      </c>
      <c r="AI227">
        <v>1.0375922509225091</v>
      </c>
      <c r="AJ227" s="63">
        <v>6299.6993000000002</v>
      </c>
      <c r="AK227" s="61">
        <v>1267.582676441783</v>
      </c>
      <c r="AL227" t="s">
        <v>342</v>
      </c>
      <c r="AM227" t="s">
        <v>434</v>
      </c>
      <c r="AN227" t="s">
        <v>425</v>
      </c>
      <c r="AO227" t="s">
        <v>81</v>
      </c>
      <c r="AP227">
        <v>111.133</v>
      </c>
      <c r="AQ227">
        <v>1.0155396203574489</v>
      </c>
      <c r="AR227">
        <v>112.8599646291844</v>
      </c>
      <c r="AS227">
        <v>625.54</v>
      </c>
      <c r="AT227">
        <v>1</v>
      </c>
      <c r="AU227">
        <v>70.598422274140006</v>
      </c>
      <c r="AV227">
        <v>0.95185525912296853</v>
      </c>
      <c r="AW227" s="63">
        <v>67.198999999999998</v>
      </c>
      <c r="AX227">
        <v>8.9176000000000002</v>
      </c>
      <c r="AY227">
        <v>1</v>
      </c>
      <c r="AZ227">
        <v>5665.0004091662331</v>
      </c>
      <c r="BA227">
        <v>1.081469419077697</v>
      </c>
      <c r="BB227" s="63">
        <v>6126.5246999999999</v>
      </c>
      <c r="BC227" s="61">
        <v>1232.7376604328861</v>
      </c>
    </row>
    <row r="228" spans="1:55" x14ac:dyDescent="0.25">
      <c r="A228">
        <v>32637</v>
      </c>
      <c r="B228" t="s">
        <v>121</v>
      </c>
      <c r="C228">
        <v>2017</v>
      </c>
      <c r="D228">
        <v>9</v>
      </c>
      <c r="E228" t="s">
        <v>51</v>
      </c>
      <c r="F228" t="s">
        <v>449</v>
      </c>
      <c r="G228" t="s">
        <v>84</v>
      </c>
      <c r="H228" t="s">
        <v>381</v>
      </c>
      <c r="I228" t="s">
        <v>427</v>
      </c>
      <c r="J228">
        <v>-4.3922125000000003</v>
      </c>
      <c r="K228" t="s">
        <v>440</v>
      </c>
      <c r="L228" t="s">
        <v>385</v>
      </c>
      <c r="M228">
        <v>0.43232641346992001</v>
      </c>
      <c r="N228">
        <v>1.898869478923835</v>
      </c>
      <c r="O228">
        <v>29976.978999999999</v>
      </c>
      <c r="P228">
        <v>1.6679465999999999E-5</v>
      </c>
      <c r="Q228">
        <v>1</v>
      </c>
      <c r="R228" s="61">
        <v>1.898869478923835</v>
      </c>
      <c r="S228" t="s">
        <v>336</v>
      </c>
      <c r="T228" t="s">
        <v>433</v>
      </c>
      <c r="U228" t="s">
        <v>425</v>
      </c>
      <c r="V228" t="s">
        <v>27</v>
      </c>
      <c r="W228">
        <v>111.133</v>
      </c>
      <c r="X228">
        <v>0.99819678194932504</v>
      </c>
      <c r="Y228">
        <v>110.9326029683743</v>
      </c>
      <c r="Z228">
        <v>682.07</v>
      </c>
      <c r="AA228">
        <v>1</v>
      </c>
      <c r="AB228">
        <v>75.663800506639092</v>
      </c>
      <c r="AC228">
        <v>0.99739999999999995</v>
      </c>
      <c r="AD228" s="63">
        <v>75.466999999999999</v>
      </c>
      <c r="AE228">
        <v>8.9176000000000002</v>
      </c>
      <c r="AF228">
        <v>8.9015196227113016</v>
      </c>
      <c r="AG228">
        <v>1</v>
      </c>
      <c r="AH228">
        <v>6071.4594890626977</v>
      </c>
      <c r="AI228">
        <v>1.0108695652173909</v>
      </c>
      <c r="AJ228" s="63">
        <v>6137.4535999999998</v>
      </c>
      <c r="AK228" s="61">
        <v>11654.22331935122</v>
      </c>
      <c r="AL228" t="s">
        <v>342</v>
      </c>
      <c r="AM228" t="s">
        <v>434</v>
      </c>
      <c r="AN228" t="s">
        <v>425</v>
      </c>
      <c r="AO228" t="s">
        <v>27</v>
      </c>
      <c r="AP228">
        <v>111.133</v>
      </c>
      <c r="AQ228">
        <v>1.0155396203574489</v>
      </c>
      <c r="AR228">
        <v>112.8599646291844</v>
      </c>
      <c r="AS228">
        <v>625.54</v>
      </c>
      <c r="AT228">
        <v>1</v>
      </c>
      <c r="AU228">
        <v>70.598422274140006</v>
      </c>
      <c r="AV228">
        <v>1.0016354901359501</v>
      </c>
      <c r="AW228" s="63">
        <v>70.713999999999999</v>
      </c>
      <c r="AX228">
        <v>8.9176000000000002</v>
      </c>
      <c r="AY228">
        <v>1</v>
      </c>
      <c r="AZ228">
        <v>5665.0004091662331</v>
      </c>
      <c r="BA228">
        <v>1.016194415745886</v>
      </c>
      <c r="BB228" s="63">
        <v>5756.7417999999998</v>
      </c>
      <c r="BC228" s="61">
        <v>10931.30130206506</v>
      </c>
    </row>
    <row r="229" spans="1:55" x14ac:dyDescent="0.25">
      <c r="A229">
        <v>32638</v>
      </c>
      <c r="B229" t="s">
        <v>121</v>
      </c>
      <c r="C229">
        <v>2017</v>
      </c>
      <c r="D229">
        <v>9</v>
      </c>
      <c r="E229" t="s">
        <v>51</v>
      </c>
      <c r="F229" t="s">
        <v>449</v>
      </c>
      <c r="G229" t="s">
        <v>84</v>
      </c>
      <c r="H229" t="s">
        <v>381</v>
      </c>
      <c r="I229" t="s">
        <v>427</v>
      </c>
      <c r="J229">
        <v>-4.3922125000000003</v>
      </c>
      <c r="K229" t="s">
        <v>440</v>
      </c>
      <c r="L229" t="s">
        <v>451</v>
      </c>
      <c r="M229">
        <v>1.6825115802299999E-3</v>
      </c>
      <c r="N229">
        <v>7.3899484003119966E-3</v>
      </c>
      <c r="O229">
        <v>29976.978999999999</v>
      </c>
      <c r="P229">
        <v>1.6679465999999999E-5</v>
      </c>
      <c r="Q229">
        <v>1</v>
      </c>
      <c r="R229" s="61">
        <v>7.3899484003119966E-3</v>
      </c>
      <c r="S229" t="s">
        <v>336</v>
      </c>
      <c r="T229" t="s">
        <v>433</v>
      </c>
      <c r="U229" t="s">
        <v>425</v>
      </c>
      <c r="V229" t="s">
        <v>91</v>
      </c>
      <c r="W229">
        <v>111.133</v>
      </c>
      <c r="X229">
        <v>0.99819678194932504</v>
      </c>
      <c r="Y229">
        <v>110.9326029683743</v>
      </c>
      <c r="Z229">
        <v>682.07</v>
      </c>
      <c r="AA229">
        <v>1</v>
      </c>
      <c r="AB229">
        <v>75.663800506639092</v>
      </c>
      <c r="AC229">
        <v>1.0269999999999999</v>
      </c>
      <c r="AD229" s="63">
        <v>77.706999999999994</v>
      </c>
      <c r="AE229">
        <v>8.9176000000000002</v>
      </c>
      <c r="AF229">
        <v>8.9015196227113016</v>
      </c>
      <c r="AG229">
        <v>1</v>
      </c>
      <c r="AH229">
        <v>6071.4594890626977</v>
      </c>
      <c r="AI229">
        <v>0.98496680983990625</v>
      </c>
      <c r="AJ229" s="63">
        <v>5980.1860999999999</v>
      </c>
      <c r="AK229" s="61">
        <v>44.193266703263028</v>
      </c>
      <c r="AL229" t="s">
        <v>342</v>
      </c>
      <c r="AM229" t="s">
        <v>434</v>
      </c>
      <c r="AN229" t="s">
        <v>425</v>
      </c>
      <c r="AO229" t="s">
        <v>91</v>
      </c>
      <c r="AP229">
        <v>111.133</v>
      </c>
      <c r="AQ229">
        <v>1.0155396203574489</v>
      </c>
      <c r="AR229">
        <v>112.8599646291844</v>
      </c>
      <c r="AS229">
        <v>625.54</v>
      </c>
      <c r="AT229">
        <v>1</v>
      </c>
      <c r="AU229">
        <v>70.598422274140006</v>
      </c>
      <c r="AV229">
        <v>1.02984769498109</v>
      </c>
      <c r="AW229" s="63">
        <v>72.706000000000003</v>
      </c>
      <c r="AX229">
        <v>8.9176000000000002</v>
      </c>
      <c r="AY229">
        <v>1</v>
      </c>
      <c r="AZ229">
        <v>5665.0004091662331</v>
      </c>
      <c r="BA229">
        <v>0.9935711161666545</v>
      </c>
      <c r="BB229" s="63">
        <v>5628.5807999999997</v>
      </c>
      <c r="BC229" s="61">
        <v>41.594921678986807</v>
      </c>
    </row>
    <row r="230" spans="1:55" x14ac:dyDescent="0.25">
      <c r="A230">
        <v>32639</v>
      </c>
      <c r="B230" t="s">
        <v>121</v>
      </c>
      <c r="C230">
        <v>2017</v>
      </c>
      <c r="D230">
        <v>9</v>
      </c>
      <c r="E230" t="s">
        <v>51</v>
      </c>
      <c r="F230" t="s">
        <v>449</v>
      </c>
      <c r="G230" t="s">
        <v>84</v>
      </c>
      <c r="H230" t="s">
        <v>381</v>
      </c>
      <c r="I230" t="s">
        <v>427</v>
      </c>
      <c r="J230">
        <v>-4.3922125000000003</v>
      </c>
      <c r="K230" t="s">
        <v>440</v>
      </c>
      <c r="L230" t="s">
        <v>452</v>
      </c>
      <c r="M230">
        <v>1.53682162831E-3</v>
      </c>
      <c r="N230">
        <v>6.7500471718250242E-3</v>
      </c>
      <c r="O230">
        <v>29976.978999999999</v>
      </c>
      <c r="P230">
        <v>1.6679465999999999E-5</v>
      </c>
      <c r="Q230">
        <v>1</v>
      </c>
      <c r="R230" s="61">
        <v>6.7500471718250242E-3</v>
      </c>
      <c r="S230" t="s">
        <v>336</v>
      </c>
      <c r="T230" t="s">
        <v>433</v>
      </c>
      <c r="U230" t="s">
        <v>425</v>
      </c>
      <c r="V230" t="s">
        <v>28</v>
      </c>
      <c r="W230">
        <v>111.133</v>
      </c>
      <c r="X230">
        <v>0.99819678194932504</v>
      </c>
      <c r="Y230">
        <v>110.9326029683743</v>
      </c>
      <c r="Z230">
        <v>682.07</v>
      </c>
      <c r="AA230">
        <v>1</v>
      </c>
      <c r="AB230">
        <v>75.663800506639092</v>
      </c>
      <c r="AC230">
        <v>1.0196000000000001</v>
      </c>
      <c r="AD230" s="63">
        <v>77.147000000000006</v>
      </c>
      <c r="AE230">
        <v>8.9176000000000002</v>
      </c>
      <c r="AF230">
        <v>8.9015196227113016</v>
      </c>
      <c r="AG230">
        <v>1</v>
      </c>
      <c r="AH230">
        <v>6071.4594890626977</v>
      </c>
      <c r="AI230">
        <v>0.97991730655640863</v>
      </c>
      <c r="AJ230" s="63">
        <v>5949.5281999999997</v>
      </c>
      <c r="AK230" s="61">
        <v>40.159596000103228</v>
      </c>
      <c r="AL230" t="s">
        <v>342</v>
      </c>
      <c r="AM230" t="s">
        <v>434</v>
      </c>
      <c r="AN230" t="s">
        <v>425</v>
      </c>
      <c r="AO230" t="s">
        <v>28</v>
      </c>
      <c r="AP230">
        <v>111.133</v>
      </c>
      <c r="AQ230">
        <v>1.0155396203574489</v>
      </c>
      <c r="AR230">
        <v>112.8599646291844</v>
      </c>
      <c r="AS230">
        <v>625.54</v>
      </c>
      <c r="AT230">
        <v>1</v>
      </c>
      <c r="AU230">
        <v>70.598422274140006</v>
      </c>
      <c r="AV230">
        <v>1.0451804150056221</v>
      </c>
      <c r="AW230" s="63">
        <v>73.787999999999997</v>
      </c>
      <c r="AX230">
        <v>8.9176000000000002</v>
      </c>
      <c r="AY230">
        <v>1</v>
      </c>
      <c r="AZ230">
        <v>5665.0004091662331</v>
      </c>
      <c r="BA230">
        <v>1.0071061377552519</v>
      </c>
      <c r="BB230" s="63">
        <v>5705.2566999999999</v>
      </c>
      <c r="BC230" s="61">
        <v>38.510751852370767</v>
      </c>
    </row>
    <row r="231" spans="1:55" x14ac:dyDescent="0.25">
      <c r="A231">
        <v>32640</v>
      </c>
      <c r="B231" t="s">
        <v>121</v>
      </c>
      <c r="C231">
        <v>2017</v>
      </c>
      <c r="D231">
        <v>9</v>
      </c>
      <c r="E231" t="s">
        <v>51</v>
      </c>
      <c r="F231" t="s">
        <v>449</v>
      </c>
      <c r="G231" t="s">
        <v>84</v>
      </c>
      <c r="H231" t="s">
        <v>87</v>
      </c>
      <c r="I231" t="s">
        <v>427</v>
      </c>
      <c r="J231">
        <v>-0.83024880000000001</v>
      </c>
      <c r="K231" t="s">
        <v>440</v>
      </c>
      <c r="L231" t="s">
        <v>450</v>
      </c>
      <c r="M231">
        <v>0.26601384014995</v>
      </c>
      <c r="N231">
        <v>0.22085767153020261</v>
      </c>
      <c r="O231">
        <v>29976.978999999999</v>
      </c>
      <c r="P231">
        <v>1.6679465999999999E-5</v>
      </c>
      <c r="Q231">
        <v>1</v>
      </c>
      <c r="R231" s="61">
        <v>0.22085767153020261</v>
      </c>
      <c r="S231" t="s">
        <v>336</v>
      </c>
      <c r="T231" t="s">
        <v>433</v>
      </c>
      <c r="U231" t="s">
        <v>425</v>
      </c>
      <c r="V231" t="s">
        <v>26</v>
      </c>
      <c r="W231">
        <v>111.133</v>
      </c>
      <c r="X231">
        <v>0.99819678194932504</v>
      </c>
      <c r="Y231">
        <v>110.9326029683743</v>
      </c>
      <c r="Z231">
        <v>682.07</v>
      </c>
      <c r="AA231">
        <v>1</v>
      </c>
      <c r="AB231">
        <v>75.663800506639092</v>
      </c>
      <c r="AC231">
        <v>1.0178</v>
      </c>
      <c r="AD231" s="63">
        <v>77.010999999999996</v>
      </c>
      <c r="AE231">
        <v>8.9176000000000002</v>
      </c>
      <c r="AF231">
        <v>8.9015196227113016</v>
      </c>
      <c r="AG231">
        <v>1</v>
      </c>
      <c r="AH231">
        <v>6071.4594890626977</v>
      </c>
      <c r="AI231">
        <v>1.0020831266739409</v>
      </c>
      <c r="AJ231" s="63">
        <v>6084.1071000000002</v>
      </c>
      <c r="AK231" s="61">
        <v>1343.721727446374</v>
      </c>
      <c r="AL231" t="s">
        <v>342</v>
      </c>
      <c r="AM231" t="s">
        <v>434</v>
      </c>
      <c r="AN231" t="s">
        <v>425</v>
      </c>
      <c r="AO231" t="s">
        <v>26</v>
      </c>
      <c r="AP231">
        <v>111.133</v>
      </c>
      <c r="AQ231">
        <v>1.0155396203574489</v>
      </c>
      <c r="AR231">
        <v>112.8599646291844</v>
      </c>
      <c r="AS231">
        <v>625.54</v>
      </c>
      <c r="AT231">
        <v>1</v>
      </c>
      <c r="AU231">
        <v>70.598422274140006</v>
      </c>
      <c r="AV231">
        <v>1.012368394153123</v>
      </c>
      <c r="AW231" s="63">
        <v>71.471999999999994</v>
      </c>
      <c r="AX231">
        <v>8.9176000000000002</v>
      </c>
      <c r="AY231">
        <v>1</v>
      </c>
      <c r="AZ231">
        <v>5665.0004091662331</v>
      </c>
      <c r="BA231">
        <v>0.99404987733863315</v>
      </c>
      <c r="BB231" s="63">
        <v>5631.2929999999997</v>
      </c>
      <c r="BC231" s="61">
        <v>1243.7142596843289</v>
      </c>
    </row>
    <row r="232" spans="1:55" x14ac:dyDescent="0.25">
      <c r="A232">
        <v>32641</v>
      </c>
      <c r="B232" t="s">
        <v>121</v>
      </c>
      <c r="C232">
        <v>2017</v>
      </c>
      <c r="D232">
        <v>9</v>
      </c>
      <c r="E232" t="s">
        <v>51</v>
      </c>
      <c r="F232" t="s">
        <v>449</v>
      </c>
      <c r="G232" t="s">
        <v>84</v>
      </c>
      <c r="H232" t="s">
        <v>87</v>
      </c>
      <c r="I232" t="s">
        <v>427</v>
      </c>
      <c r="J232">
        <v>-0.83024880000000001</v>
      </c>
      <c r="K232" t="s">
        <v>440</v>
      </c>
      <c r="L232" t="s">
        <v>384</v>
      </c>
      <c r="M232">
        <v>3.9509559941419997E-2</v>
      </c>
      <c r="N232">
        <v>3.2802764724294851E-2</v>
      </c>
      <c r="O232">
        <v>29976.978999999999</v>
      </c>
      <c r="P232">
        <v>1.6679465999999999E-5</v>
      </c>
      <c r="Q232">
        <v>1</v>
      </c>
      <c r="R232" s="61">
        <v>3.2802764724294851E-2</v>
      </c>
      <c r="S232" t="s">
        <v>336</v>
      </c>
      <c r="T232" t="s">
        <v>433</v>
      </c>
      <c r="U232" t="s">
        <v>425</v>
      </c>
      <c r="V232" t="s">
        <v>81</v>
      </c>
      <c r="W232">
        <v>111.133</v>
      </c>
      <c r="X232">
        <v>0.99819678194932504</v>
      </c>
      <c r="Y232">
        <v>110.9326029683743</v>
      </c>
      <c r="Z232">
        <v>682.07</v>
      </c>
      <c r="AA232">
        <v>1</v>
      </c>
      <c r="AB232">
        <v>75.663800506639092</v>
      </c>
      <c r="AC232">
        <v>0.92979999999999996</v>
      </c>
      <c r="AD232" s="63">
        <v>70.352000000000004</v>
      </c>
      <c r="AE232">
        <v>8.9176000000000002</v>
      </c>
      <c r="AF232">
        <v>8.9015196227113016</v>
      </c>
      <c r="AG232">
        <v>1</v>
      </c>
      <c r="AH232">
        <v>6071.4594890626977</v>
      </c>
      <c r="AI232">
        <v>1.0375922509225091</v>
      </c>
      <c r="AJ232" s="63">
        <v>6299.6993000000002</v>
      </c>
      <c r="AK232" s="61">
        <v>206.64755397170501</v>
      </c>
      <c r="AL232" t="s">
        <v>342</v>
      </c>
      <c r="AM232" t="s">
        <v>434</v>
      </c>
      <c r="AN232" t="s">
        <v>425</v>
      </c>
      <c r="AO232" t="s">
        <v>81</v>
      </c>
      <c r="AP232">
        <v>111.133</v>
      </c>
      <c r="AQ232">
        <v>1.0155396203574489</v>
      </c>
      <c r="AR232">
        <v>112.8599646291844</v>
      </c>
      <c r="AS232">
        <v>625.54</v>
      </c>
      <c r="AT232">
        <v>1</v>
      </c>
      <c r="AU232">
        <v>70.598422274140006</v>
      </c>
      <c r="AV232">
        <v>0.95185525912296853</v>
      </c>
      <c r="AW232" s="63">
        <v>67.198999999999998</v>
      </c>
      <c r="AX232">
        <v>8.9176000000000002</v>
      </c>
      <c r="AY232">
        <v>1</v>
      </c>
      <c r="AZ232">
        <v>5665.0004091662331</v>
      </c>
      <c r="BA232">
        <v>1.081469419077697</v>
      </c>
      <c r="BB232" s="63">
        <v>6126.5246999999999</v>
      </c>
      <c r="BC232" s="61">
        <v>200.96694831168111</v>
      </c>
    </row>
    <row r="233" spans="1:55" x14ac:dyDescent="0.25">
      <c r="A233">
        <v>32642</v>
      </c>
      <c r="B233" t="s">
        <v>121</v>
      </c>
      <c r="C233">
        <v>2017</v>
      </c>
      <c r="D233">
        <v>9</v>
      </c>
      <c r="E233" t="s">
        <v>51</v>
      </c>
      <c r="F233" t="s">
        <v>449</v>
      </c>
      <c r="G233" t="s">
        <v>84</v>
      </c>
      <c r="H233" t="s">
        <v>87</v>
      </c>
      <c r="I233" t="s">
        <v>427</v>
      </c>
      <c r="J233">
        <v>-0.83024880000000001</v>
      </c>
      <c r="K233" t="s">
        <v>440</v>
      </c>
      <c r="L233" t="s">
        <v>385</v>
      </c>
      <c r="M233">
        <v>0.39737542925016001</v>
      </c>
      <c r="N233">
        <v>0.3299204732281355</v>
      </c>
      <c r="O233">
        <v>29976.978999999999</v>
      </c>
      <c r="P233">
        <v>1.6679465999999999E-5</v>
      </c>
      <c r="Q233">
        <v>1</v>
      </c>
      <c r="R233" s="61">
        <v>0.3299204732281355</v>
      </c>
      <c r="S233" t="s">
        <v>336</v>
      </c>
      <c r="T233" t="s">
        <v>433</v>
      </c>
      <c r="U233" t="s">
        <v>425</v>
      </c>
      <c r="V233" t="s">
        <v>27</v>
      </c>
      <c r="W233">
        <v>111.133</v>
      </c>
      <c r="X233">
        <v>0.99819678194932504</v>
      </c>
      <c r="Y233">
        <v>110.9326029683743</v>
      </c>
      <c r="Z233">
        <v>682.07</v>
      </c>
      <c r="AA233">
        <v>1</v>
      </c>
      <c r="AB233">
        <v>75.663800506639092</v>
      </c>
      <c r="AC233">
        <v>0.99739999999999995</v>
      </c>
      <c r="AD233" s="63">
        <v>75.466999999999999</v>
      </c>
      <c r="AE233">
        <v>8.9176000000000002</v>
      </c>
      <c r="AF233">
        <v>8.9015196227113016</v>
      </c>
      <c r="AG233">
        <v>1</v>
      </c>
      <c r="AH233">
        <v>6071.4594890626977</v>
      </c>
      <c r="AI233">
        <v>1.0108695652173909</v>
      </c>
      <c r="AJ233" s="63">
        <v>6137.4535999999998</v>
      </c>
      <c r="AK233" s="61">
        <v>2024.8715961277239</v>
      </c>
      <c r="AL233" t="s">
        <v>342</v>
      </c>
      <c r="AM233" t="s">
        <v>434</v>
      </c>
      <c r="AN233" t="s">
        <v>425</v>
      </c>
      <c r="AO233" t="s">
        <v>27</v>
      </c>
      <c r="AP233">
        <v>111.133</v>
      </c>
      <c r="AQ233">
        <v>1.0155396203574489</v>
      </c>
      <c r="AR233">
        <v>112.8599646291844</v>
      </c>
      <c r="AS233">
        <v>625.54</v>
      </c>
      <c r="AT233">
        <v>1</v>
      </c>
      <c r="AU233">
        <v>70.598422274140006</v>
      </c>
      <c r="AV233">
        <v>1.0016354901359501</v>
      </c>
      <c r="AW233" s="63">
        <v>70.713999999999999</v>
      </c>
      <c r="AX233">
        <v>8.9176000000000002</v>
      </c>
      <c r="AY233">
        <v>1</v>
      </c>
      <c r="AZ233">
        <v>5665.0004091662331</v>
      </c>
      <c r="BA233">
        <v>1.016194415745886</v>
      </c>
      <c r="BB233" s="63">
        <v>5756.7417999999998</v>
      </c>
      <c r="BC233" s="61">
        <v>1899.266978908189</v>
      </c>
    </row>
    <row r="234" spans="1:55" x14ac:dyDescent="0.25">
      <c r="A234">
        <v>32643</v>
      </c>
      <c r="B234" t="s">
        <v>121</v>
      </c>
      <c r="C234">
        <v>2017</v>
      </c>
      <c r="D234">
        <v>9</v>
      </c>
      <c r="E234" t="s">
        <v>51</v>
      </c>
      <c r="F234" t="s">
        <v>449</v>
      </c>
      <c r="G234" t="s">
        <v>84</v>
      </c>
      <c r="H234" t="s">
        <v>87</v>
      </c>
      <c r="I234" t="s">
        <v>427</v>
      </c>
      <c r="J234">
        <v>-0.83024880000000001</v>
      </c>
      <c r="K234" t="s">
        <v>440</v>
      </c>
      <c r="L234" t="s">
        <v>452</v>
      </c>
      <c r="M234">
        <v>8.4248020759000004E-4</v>
      </c>
      <c r="N234">
        <v>6.9946818125599737E-4</v>
      </c>
      <c r="O234">
        <v>29976.978999999999</v>
      </c>
      <c r="P234">
        <v>1.6679465999999999E-5</v>
      </c>
      <c r="Q234">
        <v>1</v>
      </c>
      <c r="R234" s="61">
        <v>6.9946818125599737E-4</v>
      </c>
      <c r="S234" t="s">
        <v>336</v>
      </c>
      <c r="T234" t="s">
        <v>433</v>
      </c>
      <c r="U234" t="s">
        <v>425</v>
      </c>
      <c r="V234" t="s">
        <v>28</v>
      </c>
      <c r="W234">
        <v>111.133</v>
      </c>
      <c r="X234">
        <v>0.99819678194932504</v>
      </c>
      <c r="Y234">
        <v>110.9326029683743</v>
      </c>
      <c r="Z234">
        <v>682.07</v>
      </c>
      <c r="AA234">
        <v>1</v>
      </c>
      <c r="AB234">
        <v>75.663800506639092</v>
      </c>
      <c r="AC234">
        <v>1.0196000000000001</v>
      </c>
      <c r="AD234" s="63">
        <v>77.147000000000006</v>
      </c>
      <c r="AE234">
        <v>8.9176000000000002</v>
      </c>
      <c r="AF234">
        <v>8.9015196227113016</v>
      </c>
      <c r="AG234">
        <v>1</v>
      </c>
      <c r="AH234">
        <v>6071.4594890626977</v>
      </c>
      <c r="AI234">
        <v>0.97991730655640863</v>
      </c>
      <c r="AJ234" s="63">
        <v>5949.5281999999997</v>
      </c>
      <c r="AK234" s="61">
        <v>4.1615056693852672</v>
      </c>
      <c r="AL234" t="s">
        <v>342</v>
      </c>
      <c r="AM234" t="s">
        <v>434</v>
      </c>
      <c r="AN234" t="s">
        <v>425</v>
      </c>
      <c r="AO234" t="s">
        <v>28</v>
      </c>
      <c r="AP234">
        <v>111.133</v>
      </c>
      <c r="AQ234">
        <v>1.0155396203574489</v>
      </c>
      <c r="AR234">
        <v>112.8599646291844</v>
      </c>
      <c r="AS234">
        <v>625.54</v>
      </c>
      <c r="AT234">
        <v>1</v>
      </c>
      <c r="AU234">
        <v>70.598422274140006</v>
      </c>
      <c r="AV234">
        <v>1.0451804150056221</v>
      </c>
      <c r="AW234" s="63">
        <v>73.787999999999997</v>
      </c>
      <c r="AX234">
        <v>8.9176000000000002</v>
      </c>
      <c r="AY234">
        <v>1</v>
      </c>
      <c r="AZ234">
        <v>5665.0004091662331</v>
      </c>
      <c r="BA234">
        <v>1.0071061377552519</v>
      </c>
      <c r="BB234" s="63">
        <v>5705.2566999999999</v>
      </c>
      <c r="BC234" s="61">
        <v>3.9906455275475929</v>
      </c>
    </row>
    <row r="235" spans="1:55" x14ac:dyDescent="0.25">
      <c r="A235">
        <v>32644</v>
      </c>
      <c r="B235" t="s">
        <v>121</v>
      </c>
      <c r="C235">
        <v>2017</v>
      </c>
      <c r="D235">
        <v>9</v>
      </c>
      <c r="E235" t="s">
        <v>51</v>
      </c>
      <c r="F235" t="s">
        <v>449</v>
      </c>
      <c r="G235" t="s">
        <v>84</v>
      </c>
      <c r="H235" t="s">
        <v>59</v>
      </c>
      <c r="I235" t="s">
        <v>427</v>
      </c>
      <c r="J235">
        <v>-2.6047009000000001</v>
      </c>
      <c r="K235" t="s">
        <v>440</v>
      </c>
      <c r="L235" t="s">
        <v>450</v>
      </c>
      <c r="M235">
        <v>0.15931709696460999</v>
      </c>
      <c r="N235">
        <v>0.41497338607931022</v>
      </c>
      <c r="O235">
        <v>29976.978999999999</v>
      </c>
      <c r="P235">
        <v>1.6679465999999999E-5</v>
      </c>
      <c r="Q235">
        <v>1</v>
      </c>
      <c r="R235" s="61">
        <v>0.41497338607931022</v>
      </c>
      <c r="S235" t="s">
        <v>336</v>
      </c>
      <c r="T235" t="s">
        <v>433</v>
      </c>
      <c r="U235" t="s">
        <v>425</v>
      </c>
      <c r="V235" t="s">
        <v>26</v>
      </c>
      <c r="W235">
        <v>111.133</v>
      </c>
      <c r="X235">
        <v>0.99819678194932504</v>
      </c>
      <c r="Y235">
        <v>110.9326029683743</v>
      </c>
      <c r="Z235">
        <v>682.07</v>
      </c>
      <c r="AA235">
        <v>1</v>
      </c>
      <c r="AB235">
        <v>75.663800506639092</v>
      </c>
      <c r="AC235">
        <v>1.0178</v>
      </c>
      <c r="AD235" s="63">
        <v>77.010999999999996</v>
      </c>
      <c r="AE235">
        <v>8.9176000000000002</v>
      </c>
      <c r="AF235">
        <v>8.9015196227113016</v>
      </c>
      <c r="AG235">
        <v>1</v>
      </c>
      <c r="AH235">
        <v>6071.4594890626977</v>
      </c>
      <c r="AI235">
        <v>1.0020831266739409</v>
      </c>
      <c r="AJ235" s="63">
        <v>6084.1071000000002</v>
      </c>
      <c r="AK235" s="61">
        <v>2524.7425245561722</v>
      </c>
      <c r="AL235" t="s">
        <v>342</v>
      </c>
      <c r="AM235" t="s">
        <v>434</v>
      </c>
      <c r="AN235" t="s">
        <v>425</v>
      </c>
      <c r="AO235" t="s">
        <v>26</v>
      </c>
      <c r="AP235">
        <v>111.133</v>
      </c>
      <c r="AQ235">
        <v>1.0155396203574489</v>
      </c>
      <c r="AR235">
        <v>112.8599646291844</v>
      </c>
      <c r="AS235">
        <v>625.54</v>
      </c>
      <c r="AT235">
        <v>1</v>
      </c>
      <c r="AU235">
        <v>70.598422274140006</v>
      </c>
      <c r="AV235">
        <v>1.012368394153123</v>
      </c>
      <c r="AW235" s="63">
        <v>71.471999999999994</v>
      </c>
      <c r="AX235">
        <v>8.9176000000000002</v>
      </c>
      <c r="AY235">
        <v>1</v>
      </c>
      <c r="AZ235">
        <v>5665.0004091662331</v>
      </c>
      <c r="BA235">
        <v>0.99404987733863315</v>
      </c>
      <c r="BB235" s="63">
        <v>5631.2929999999997</v>
      </c>
      <c r="BC235" s="61">
        <v>2336.836724214716</v>
      </c>
    </row>
    <row r="236" spans="1:55" x14ac:dyDescent="0.25">
      <c r="A236">
        <v>32645</v>
      </c>
      <c r="B236" t="s">
        <v>121</v>
      </c>
      <c r="C236">
        <v>2017</v>
      </c>
      <c r="D236">
        <v>9</v>
      </c>
      <c r="E236" t="s">
        <v>51</v>
      </c>
      <c r="F236" t="s">
        <v>449</v>
      </c>
      <c r="G236" t="s">
        <v>84</v>
      </c>
      <c r="H236" t="s">
        <v>59</v>
      </c>
      <c r="I236" t="s">
        <v>427</v>
      </c>
      <c r="J236">
        <v>-2.6047009000000001</v>
      </c>
      <c r="K236" t="s">
        <v>440</v>
      </c>
      <c r="L236" t="s">
        <v>384</v>
      </c>
      <c r="M236">
        <v>4.1785183859599999E-2</v>
      </c>
      <c r="N236">
        <v>0.1088379060661426</v>
      </c>
      <c r="O236">
        <v>29976.978999999999</v>
      </c>
      <c r="P236">
        <v>1.6679465999999999E-5</v>
      </c>
      <c r="Q236">
        <v>1</v>
      </c>
      <c r="R236" s="61">
        <v>0.1088379060661426</v>
      </c>
      <c r="S236" t="s">
        <v>336</v>
      </c>
      <c r="T236" t="s">
        <v>433</v>
      </c>
      <c r="U236" t="s">
        <v>425</v>
      </c>
      <c r="V236" t="s">
        <v>81</v>
      </c>
      <c r="W236">
        <v>111.133</v>
      </c>
      <c r="X236">
        <v>0.99819678194932504</v>
      </c>
      <c r="Y236">
        <v>110.9326029683743</v>
      </c>
      <c r="Z236">
        <v>682.07</v>
      </c>
      <c r="AA236">
        <v>1</v>
      </c>
      <c r="AB236">
        <v>75.663800506639092</v>
      </c>
      <c r="AC236">
        <v>0.92979999999999996</v>
      </c>
      <c r="AD236" s="63">
        <v>70.352000000000004</v>
      </c>
      <c r="AE236">
        <v>8.9176000000000002</v>
      </c>
      <c r="AF236">
        <v>8.9015196227113016</v>
      </c>
      <c r="AG236">
        <v>1</v>
      </c>
      <c r="AH236">
        <v>6071.4594890626977</v>
      </c>
      <c r="AI236">
        <v>1.0375922509225091</v>
      </c>
      <c r="AJ236" s="63">
        <v>6299.6993000000002</v>
      </c>
      <c r="AK236" s="61">
        <v>685.6460806583442</v>
      </c>
      <c r="AL236" t="s">
        <v>342</v>
      </c>
      <c r="AM236" t="s">
        <v>434</v>
      </c>
      <c r="AN236" t="s">
        <v>425</v>
      </c>
      <c r="AO236" t="s">
        <v>81</v>
      </c>
      <c r="AP236">
        <v>111.133</v>
      </c>
      <c r="AQ236">
        <v>1.0155396203574489</v>
      </c>
      <c r="AR236">
        <v>112.8599646291844</v>
      </c>
      <c r="AS236">
        <v>625.54</v>
      </c>
      <c r="AT236">
        <v>1</v>
      </c>
      <c r="AU236">
        <v>70.598422274140006</v>
      </c>
      <c r="AV236">
        <v>0.95185525912296853</v>
      </c>
      <c r="AW236" s="63">
        <v>67.198999999999998</v>
      </c>
      <c r="AX236">
        <v>8.9176000000000002</v>
      </c>
      <c r="AY236">
        <v>1</v>
      </c>
      <c r="AZ236">
        <v>5665.0004091662331</v>
      </c>
      <c r="BA236">
        <v>1.081469419077697</v>
      </c>
      <c r="BB236" s="63">
        <v>6126.5246999999999</v>
      </c>
      <c r="BC236" s="61">
        <v>666.79811981050227</v>
      </c>
    </row>
    <row r="237" spans="1:55" x14ac:dyDescent="0.25">
      <c r="A237">
        <v>32646</v>
      </c>
      <c r="B237" t="s">
        <v>121</v>
      </c>
      <c r="C237">
        <v>2017</v>
      </c>
      <c r="D237">
        <v>9</v>
      </c>
      <c r="E237" t="s">
        <v>51</v>
      </c>
      <c r="F237" t="s">
        <v>449</v>
      </c>
      <c r="G237" t="s">
        <v>84</v>
      </c>
      <c r="H237" t="s">
        <v>59</v>
      </c>
      <c r="I237" t="s">
        <v>427</v>
      </c>
      <c r="J237">
        <v>-2.6047009000000001</v>
      </c>
      <c r="K237" t="s">
        <v>440</v>
      </c>
      <c r="L237" t="s">
        <v>385</v>
      </c>
      <c r="M237">
        <v>0.43497567483749999</v>
      </c>
      <c r="N237">
        <v>1.1329815323558561</v>
      </c>
      <c r="O237">
        <v>29976.978999999999</v>
      </c>
      <c r="P237">
        <v>1.6679465999999999E-5</v>
      </c>
      <c r="Q237">
        <v>1</v>
      </c>
      <c r="R237" s="61">
        <v>1.1329815323558561</v>
      </c>
      <c r="S237" t="s">
        <v>336</v>
      </c>
      <c r="T237" t="s">
        <v>433</v>
      </c>
      <c r="U237" t="s">
        <v>425</v>
      </c>
      <c r="V237" t="s">
        <v>27</v>
      </c>
      <c r="W237">
        <v>111.133</v>
      </c>
      <c r="X237">
        <v>0.99819678194932504</v>
      </c>
      <c r="Y237">
        <v>110.9326029683743</v>
      </c>
      <c r="Z237">
        <v>682.07</v>
      </c>
      <c r="AA237">
        <v>1</v>
      </c>
      <c r="AB237">
        <v>75.663800506639092</v>
      </c>
      <c r="AC237">
        <v>0.99739999999999995</v>
      </c>
      <c r="AD237" s="63">
        <v>75.466999999999999</v>
      </c>
      <c r="AE237">
        <v>8.9176000000000002</v>
      </c>
      <c r="AF237">
        <v>8.9015196227113016</v>
      </c>
      <c r="AG237">
        <v>1</v>
      </c>
      <c r="AH237">
        <v>6071.4594890626977</v>
      </c>
      <c r="AI237">
        <v>1.0108695652173909</v>
      </c>
      <c r="AJ237" s="63">
        <v>6137.4535999999998</v>
      </c>
      <c r="AK237" s="61">
        <v>6953.6215844909666</v>
      </c>
      <c r="AL237" t="s">
        <v>342</v>
      </c>
      <c r="AM237" t="s">
        <v>434</v>
      </c>
      <c r="AN237" t="s">
        <v>425</v>
      </c>
      <c r="AO237" t="s">
        <v>27</v>
      </c>
      <c r="AP237">
        <v>111.133</v>
      </c>
      <c r="AQ237">
        <v>1.0155396203574489</v>
      </c>
      <c r="AR237">
        <v>112.8599646291844</v>
      </c>
      <c r="AS237">
        <v>625.54</v>
      </c>
      <c r="AT237">
        <v>1</v>
      </c>
      <c r="AU237">
        <v>70.598422274140006</v>
      </c>
      <c r="AV237">
        <v>1.0016354901359501</v>
      </c>
      <c r="AW237" s="63">
        <v>70.713999999999999</v>
      </c>
      <c r="AX237">
        <v>8.9176000000000002</v>
      </c>
      <c r="AY237">
        <v>1</v>
      </c>
      <c r="AZ237">
        <v>5665.0004091662331</v>
      </c>
      <c r="BA237">
        <v>1.016194415745886</v>
      </c>
      <c r="BB237" s="63">
        <v>5756.7417999999998</v>
      </c>
      <c r="BC237" s="61">
        <v>6522.2821459410106</v>
      </c>
    </row>
    <row r="238" spans="1:55" x14ac:dyDescent="0.25">
      <c r="A238">
        <v>32647</v>
      </c>
      <c r="B238" t="s">
        <v>121</v>
      </c>
      <c r="C238">
        <v>2017</v>
      </c>
      <c r="D238">
        <v>9</v>
      </c>
      <c r="E238" t="s">
        <v>51</v>
      </c>
      <c r="F238" t="s">
        <v>449</v>
      </c>
      <c r="G238" t="s">
        <v>84</v>
      </c>
      <c r="H238" t="s">
        <v>59</v>
      </c>
      <c r="I238" t="s">
        <v>427</v>
      </c>
      <c r="J238">
        <v>-2.6047009000000001</v>
      </c>
      <c r="K238" t="s">
        <v>440</v>
      </c>
      <c r="L238" t="s">
        <v>451</v>
      </c>
      <c r="M238">
        <v>1.7625750762999999E-3</v>
      </c>
      <c r="N238">
        <v>4.5909808901029893E-3</v>
      </c>
      <c r="O238">
        <v>29976.978999999999</v>
      </c>
      <c r="P238">
        <v>1.6679465999999999E-5</v>
      </c>
      <c r="Q238">
        <v>1</v>
      </c>
      <c r="R238" s="61">
        <v>4.5909808901029893E-3</v>
      </c>
      <c r="S238" t="s">
        <v>336</v>
      </c>
      <c r="T238" t="s">
        <v>433</v>
      </c>
      <c r="U238" t="s">
        <v>425</v>
      </c>
      <c r="V238" t="s">
        <v>91</v>
      </c>
      <c r="W238">
        <v>111.133</v>
      </c>
      <c r="X238">
        <v>0.99819678194932504</v>
      </c>
      <c r="Y238">
        <v>110.9326029683743</v>
      </c>
      <c r="Z238">
        <v>682.07</v>
      </c>
      <c r="AA238">
        <v>1</v>
      </c>
      <c r="AB238">
        <v>75.663800506639092</v>
      </c>
      <c r="AC238">
        <v>1.0269999999999999</v>
      </c>
      <c r="AD238" s="63">
        <v>77.706999999999994</v>
      </c>
      <c r="AE238">
        <v>8.9176000000000002</v>
      </c>
      <c r="AF238">
        <v>8.9015196227113016</v>
      </c>
      <c r="AG238">
        <v>1</v>
      </c>
      <c r="AH238">
        <v>6071.4594890626977</v>
      </c>
      <c r="AI238">
        <v>0.98496680983990625</v>
      </c>
      <c r="AJ238" s="63">
        <v>5980.1860999999999</v>
      </c>
      <c r="AK238" s="61">
        <v>27.45492010435952</v>
      </c>
      <c r="AL238" t="s">
        <v>342</v>
      </c>
      <c r="AM238" t="s">
        <v>434</v>
      </c>
      <c r="AN238" t="s">
        <v>425</v>
      </c>
      <c r="AO238" t="s">
        <v>91</v>
      </c>
      <c r="AP238">
        <v>111.133</v>
      </c>
      <c r="AQ238">
        <v>1.0155396203574489</v>
      </c>
      <c r="AR238">
        <v>112.8599646291844</v>
      </c>
      <c r="AS238">
        <v>625.54</v>
      </c>
      <c r="AT238">
        <v>1</v>
      </c>
      <c r="AU238">
        <v>70.598422274140006</v>
      </c>
      <c r="AV238">
        <v>1.02984769498109</v>
      </c>
      <c r="AW238" s="63">
        <v>72.706000000000003</v>
      </c>
      <c r="AX238">
        <v>8.9176000000000002</v>
      </c>
      <c r="AY238">
        <v>1</v>
      </c>
      <c r="AZ238">
        <v>5665.0004091662331</v>
      </c>
      <c r="BA238">
        <v>0.9935711161666545</v>
      </c>
      <c r="BB238" s="63">
        <v>5628.5807999999997</v>
      </c>
      <c r="BC238" s="61">
        <v>25.84070689120059</v>
      </c>
    </row>
    <row r="239" spans="1:55" x14ac:dyDescent="0.25">
      <c r="A239">
        <v>32648</v>
      </c>
      <c r="B239" t="s">
        <v>121</v>
      </c>
      <c r="C239">
        <v>2017</v>
      </c>
      <c r="D239">
        <v>9</v>
      </c>
      <c r="E239" t="s">
        <v>51</v>
      </c>
      <c r="F239" t="s">
        <v>449</v>
      </c>
      <c r="G239" t="s">
        <v>84</v>
      </c>
      <c r="H239" t="s">
        <v>59</v>
      </c>
      <c r="I239" t="s">
        <v>427</v>
      </c>
      <c r="J239">
        <v>-2.6047009000000001</v>
      </c>
      <c r="K239" t="s">
        <v>440</v>
      </c>
      <c r="L239" t="s">
        <v>452</v>
      </c>
      <c r="M239">
        <v>1.4858046103299999E-3</v>
      </c>
      <c r="N239">
        <v>3.8700766078975952E-3</v>
      </c>
      <c r="O239">
        <v>29976.978999999999</v>
      </c>
      <c r="P239">
        <v>1.6679465999999999E-5</v>
      </c>
      <c r="Q239">
        <v>1</v>
      </c>
      <c r="R239" s="61">
        <v>3.8700766078975952E-3</v>
      </c>
      <c r="S239" t="s">
        <v>336</v>
      </c>
      <c r="T239" t="s">
        <v>433</v>
      </c>
      <c r="U239" t="s">
        <v>425</v>
      </c>
      <c r="V239" t="s">
        <v>28</v>
      </c>
      <c r="W239">
        <v>111.133</v>
      </c>
      <c r="X239">
        <v>0.99819678194932504</v>
      </c>
      <c r="Y239">
        <v>110.9326029683743</v>
      </c>
      <c r="Z239">
        <v>682.07</v>
      </c>
      <c r="AA239">
        <v>1</v>
      </c>
      <c r="AB239">
        <v>75.663800506639092</v>
      </c>
      <c r="AC239">
        <v>1.0196000000000001</v>
      </c>
      <c r="AD239" s="63">
        <v>77.147000000000006</v>
      </c>
      <c r="AE239">
        <v>8.9176000000000002</v>
      </c>
      <c r="AF239">
        <v>8.9015196227113016</v>
      </c>
      <c r="AG239">
        <v>1</v>
      </c>
      <c r="AH239">
        <v>6071.4594890626977</v>
      </c>
      <c r="AI239">
        <v>0.97991730655640863</v>
      </c>
      <c r="AJ239" s="63">
        <v>5949.5281999999997</v>
      </c>
      <c r="AK239" s="61">
        <v>23.025129914847081</v>
      </c>
      <c r="AL239" t="s">
        <v>342</v>
      </c>
      <c r="AM239" t="s">
        <v>434</v>
      </c>
      <c r="AN239" t="s">
        <v>425</v>
      </c>
      <c r="AO239" t="s">
        <v>28</v>
      </c>
      <c r="AP239">
        <v>111.133</v>
      </c>
      <c r="AQ239">
        <v>1.0155396203574489</v>
      </c>
      <c r="AR239">
        <v>112.8599646291844</v>
      </c>
      <c r="AS239">
        <v>625.54</v>
      </c>
      <c r="AT239">
        <v>1</v>
      </c>
      <c r="AU239">
        <v>70.598422274140006</v>
      </c>
      <c r="AV239">
        <v>1.0451804150056221</v>
      </c>
      <c r="AW239" s="63">
        <v>73.787999999999997</v>
      </c>
      <c r="AX239">
        <v>8.9176000000000002</v>
      </c>
      <c r="AY239">
        <v>1</v>
      </c>
      <c r="AZ239">
        <v>5665.0004091662331</v>
      </c>
      <c r="BA239">
        <v>1.0071061377552519</v>
      </c>
      <c r="BB239" s="63">
        <v>5705.2566999999999</v>
      </c>
      <c r="BC239" s="61">
        <v>22.079780496721028</v>
      </c>
    </row>
    <row r="240" spans="1:55" x14ac:dyDescent="0.25">
      <c r="A240">
        <v>35333</v>
      </c>
      <c r="B240" t="s">
        <v>127</v>
      </c>
      <c r="C240">
        <v>2017</v>
      </c>
      <c r="D240">
        <v>10</v>
      </c>
      <c r="E240" t="s">
        <v>51</v>
      </c>
      <c r="F240" t="s">
        <v>449</v>
      </c>
      <c r="G240" t="s">
        <v>84</v>
      </c>
      <c r="H240" t="s">
        <v>381</v>
      </c>
      <c r="I240" t="s">
        <v>427</v>
      </c>
      <c r="J240">
        <v>-4.2843304</v>
      </c>
      <c r="K240" t="s">
        <v>440</v>
      </c>
      <c r="L240" t="s">
        <v>450</v>
      </c>
      <c r="M240">
        <v>0.15011157993331001</v>
      </c>
      <c r="N240">
        <v>0.6431276053568491</v>
      </c>
      <c r="O240">
        <v>29976.978999999999</v>
      </c>
      <c r="P240">
        <v>1.6679465999999999E-5</v>
      </c>
      <c r="Q240">
        <v>1</v>
      </c>
      <c r="R240" s="61">
        <v>0.6431276053568491</v>
      </c>
      <c r="S240" t="s">
        <v>342</v>
      </c>
      <c r="T240" t="s">
        <v>434</v>
      </c>
      <c r="U240" t="s">
        <v>425</v>
      </c>
      <c r="V240" t="s">
        <v>26</v>
      </c>
      <c r="W240">
        <v>111.133</v>
      </c>
      <c r="X240">
        <v>1.0155396203574489</v>
      </c>
      <c r="Y240">
        <v>112.8599646291844</v>
      </c>
      <c r="Z240">
        <v>661.2</v>
      </c>
      <c r="AA240">
        <v>1</v>
      </c>
      <c r="AB240">
        <v>74.623008612816719</v>
      </c>
      <c r="AC240">
        <v>1.012368394153123</v>
      </c>
      <c r="AD240" s="63">
        <v>75.546000000000006</v>
      </c>
      <c r="AE240">
        <v>8.9176000000000002</v>
      </c>
      <c r="AF240">
        <v>9.0561761184995895</v>
      </c>
      <c r="AG240">
        <v>1</v>
      </c>
      <c r="AH240">
        <v>5987.9436495519294</v>
      </c>
      <c r="AI240">
        <v>0.99404987733863315</v>
      </c>
      <c r="AJ240" s="63">
        <v>5952.3146999999999</v>
      </c>
      <c r="AK240" s="61">
        <v>3828.097899341371</v>
      </c>
      <c r="AL240" t="s">
        <v>342</v>
      </c>
      <c r="AM240" t="s">
        <v>434</v>
      </c>
      <c r="AN240" t="s">
        <v>425</v>
      </c>
      <c r="AO240" t="s">
        <v>26</v>
      </c>
      <c r="AP240">
        <v>111.133</v>
      </c>
      <c r="AQ240">
        <v>1.0155396203574489</v>
      </c>
      <c r="AR240">
        <v>112.8599646291844</v>
      </c>
      <c r="AS240">
        <v>629.54999999999995</v>
      </c>
      <c r="AT240">
        <v>1</v>
      </c>
      <c r="AU240">
        <v>71.050990732303021</v>
      </c>
      <c r="AV240">
        <v>1.012368394153123</v>
      </c>
      <c r="AW240" s="63">
        <v>71.930000000000007</v>
      </c>
      <c r="AX240">
        <v>8.9176000000000002</v>
      </c>
      <c r="AY240">
        <v>1</v>
      </c>
      <c r="AZ240">
        <v>5701.3156754014162</v>
      </c>
      <c r="BA240">
        <v>0.99404987733863315</v>
      </c>
      <c r="BB240" s="63">
        <v>5667.3921</v>
      </c>
      <c r="BC240" s="61">
        <v>3644.8563098913241</v>
      </c>
    </row>
    <row r="241" spans="1:55" x14ac:dyDescent="0.25">
      <c r="A241">
        <v>35334</v>
      </c>
      <c r="B241" t="s">
        <v>127</v>
      </c>
      <c r="C241">
        <v>2017</v>
      </c>
      <c r="D241">
        <v>10</v>
      </c>
      <c r="E241" t="s">
        <v>51</v>
      </c>
      <c r="F241" t="s">
        <v>449</v>
      </c>
      <c r="G241" t="s">
        <v>84</v>
      </c>
      <c r="H241" t="s">
        <v>381</v>
      </c>
      <c r="I241" t="s">
        <v>427</v>
      </c>
      <c r="J241">
        <v>-4.2843304</v>
      </c>
      <c r="K241" t="s">
        <v>440</v>
      </c>
      <c r="L241" t="s">
        <v>384</v>
      </c>
      <c r="M241">
        <v>4.5811354346740003E-2</v>
      </c>
      <c r="N241">
        <v>0.19627097811016511</v>
      </c>
      <c r="O241">
        <v>29976.978999999999</v>
      </c>
      <c r="P241">
        <v>1.6679465999999999E-5</v>
      </c>
      <c r="Q241">
        <v>1</v>
      </c>
      <c r="R241" s="61">
        <v>0.19627097811016511</v>
      </c>
      <c r="S241" t="s">
        <v>342</v>
      </c>
      <c r="T241" t="s">
        <v>434</v>
      </c>
      <c r="U241" t="s">
        <v>425</v>
      </c>
      <c r="V241" t="s">
        <v>81</v>
      </c>
      <c r="W241">
        <v>111.133</v>
      </c>
      <c r="X241">
        <v>1.0155396203574489</v>
      </c>
      <c r="Y241">
        <v>112.8599646291844</v>
      </c>
      <c r="Z241">
        <v>661.2</v>
      </c>
      <c r="AA241">
        <v>1</v>
      </c>
      <c r="AB241">
        <v>74.623008612816719</v>
      </c>
      <c r="AC241">
        <v>0.95185525912296853</v>
      </c>
      <c r="AD241" s="63">
        <v>71.03</v>
      </c>
      <c r="AE241">
        <v>8.9176000000000002</v>
      </c>
      <c r="AF241">
        <v>9.0561761184995895</v>
      </c>
      <c r="AG241">
        <v>1</v>
      </c>
      <c r="AH241">
        <v>5987.9436495519294</v>
      </c>
      <c r="AI241">
        <v>1.081469419077697</v>
      </c>
      <c r="AJ241" s="63">
        <v>6475.7779</v>
      </c>
      <c r="AK241" s="61">
        <v>1271.007262457191</v>
      </c>
      <c r="AL241" t="s">
        <v>342</v>
      </c>
      <c r="AM241" t="s">
        <v>434</v>
      </c>
      <c r="AN241" t="s">
        <v>425</v>
      </c>
      <c r="AO241" t="s">
        <v>81</v>
      </c>
      <c r="AP241">
        <v>111.133</v>
      </c>
      <c r="AQ241">
        <v>1.0155396203574489</v>
      </c>
      <c r="AR241">
        <v>112.8599646291844</v>
      </c>
      <c r="AS241">
        <v>629.54999999999995</v>
      </c>
      <c r="AT241">
        <v>1</v>
      </c>
      <c r="AU241">
        <v>71.050990732303021</v>
      </c>
      <c r="AV241">
        <v>0.95185525912296853</v>
      </c>
      <c r="AW241" s="63">
        <v>67.63</v>
      </c>
      <c r="AX241">
        <v>8.9176000000000002</v>
      </c>
      <c r="AY241">
        <v>1</v>
      </c>
      <c r="AZ241">
        <v>5701.3156754014162</v>
      </c>
      <c r="BA241">
        <v>1.081469419077697</v>
      </c>
      <c r="BB241" s="63">
        <v>6165.7986000000001</v>
      </c>
      <c r="BC241" s="61">
        <v>1210.167322052286</v>
      </c>
    </row>
    <row r="242" spans="1:55" x14ac:dyDescent="0.25">
      <c r="A242">
        <v>35335</v>
      </c>
      <c r="B242" t="s">
        <v>127</v>
      </c>
      <c r="C242">
        <v>2017</v>
      </c>
      <c r="D242">
        <v>10</v>
      </c>
      <c r="E242" t="s">
        <v>51</v>
      </c>
      <c r="F242" t="s">
        <v>449</v>
      </c>
      <c r="G242" t="s">
        <v>84</v>
      </c>
      <c r="H242" t="s">
        <v>381</v>
      </c>
      <c r="I242" t="s">
        <v>427</v>
      </c>
      <c r="J242">
        <v>-4.2843304</v>
      </c>
      <c r="K242" t="s">
        <v>440</v>
      </c>
      <c r="L242" t="s">
        <v>385</v>
      </c>
      <c r="M242">
        <v>0.43232641346992001</v>
      </c>
      <c r="N242">
        <v>1.8522291961149819</v>
      </c>
      <c r="O242">
        <v>29976.978999999999</v>
      </c>
      <c r="P242">
        <v>1.6679465999999999E-5</v>
      </c>
      <c r="Q242">
        <v>1</v>
      </c>
      <c r="R242" s="61">
        <v>1.8522291961149819</v>
      </c>
      <c r="S242" t="s">
        <v>342</v>
      </c>
      <c r="T242" t="s">
        <v>434</v>
      </c>
      <c r="U242" t="s">
        <v>425</v>
      </c>
      <c r="V242" t="s">
        <v>27</v>
      </c>
      <c r="W242">
        <v>111.133</v>
      </c>
      <c r="X242">
        <v>1.0155396203574489</v>
      </c>
      <c r="Y242">
        <v>112.8599646291844</v>
      </c>
      <c r="Z242">
        <v>661.2</v>
      </c>
      <c r="AA242">
        <v>1</v>
      </c>
      <c r="AB242">
        <v>74.623008612816719</v>
      </c>
      <c r="AC242">
        <v>1.0016354901359501</v>
      </c>
      <c r="AD242" s="63">
        <v>74.745000000000005</v>
      </c>
      <c r="AE242">
        <v>8.9176000000000002</v>
      </c>
      <c r="AF242">
        <v>9.0561761184995895</v>
      </c>
      <c r="AG242">
        <v>1</v>
      </c>
      <c r="AH242">
        <v>5987.9436495519294</v>
      </c>
      <c r="AI242">
        <v>1.016194415745886</v>
      </c>
      <c r="AJ242" s="63">
        <v>6084.9148999999998</v>
      </c>
      <c r="AK242" s="61">
        <v>11270.657033655079</v>
      </c>
      <c r="AL242" t="s">
        <v>342</v>
      </c>
      <c r="AM242" t="s">
        <v>434</v>
      </c>
      <c r="AN242" t="s">
        <v>425</v>
      </c>
      <c r="AO242" t="s">
        <v>27</v>
      </c>
      <c r="AP242">
        <v>111.133</v>
      </c>
      <c r="AQ242">
        <v>1.0155396203574489</v>
      </c>
      <c r="AR242">
        <v>112.8599646291844</v>
      </c>
      <c r="AS242">
        <v>629.54999999999995</v>
      </c>
      <c r="AT242">
        <v>1</v>
      </c>
      <c r="AU242">
        <v>71.050990732303021</v>
      </c>
      <c r="AV242">
        <v>1.0016354901359501</v>
      </c>
      <c r="AW242" s="63">
        <v>71.167000000000002</v>
      </c>
      <c r="AX242">
        <v>8.9176000000000002</v>
      </c>
      <c r="AY242">
        <v>1</v>
      </c>
      <c r="AZ242">
        <v>5701.3156754014162</v>
      </c>
      <c r="BA242">
        <v>1.016194415745886</v>
      </c>
      <c r="BB242" s="63">
        <v>5793.6451999999999</v>
      </c>
      <c r="BC242" s="61">
        <v>10731.15879137143</v>
      </c>
    </row>
    <row r="243" spans="1:55" x14ac:dyDescent="0.25">
      <c r="A243">
        <v>35336</v>
      </c>
      <c r="B243" t="s">
        <v>127</v>
      </c>
      <c r="C243">
        <v>2017</v>
      </c>
      <c r="D243">
        <v>10</v>
      </c>
      <c r="E243" t="s">
        <v>51</v>
      </c>
      <c r="F243" t="s">
        <v>449</v>
      </c>
      <c r="G243" t="s">
        <v>84</v>
      </c>
      <c r="H243" t="s">
        <v>381</v>
      </c>
      <c r="I243" t="s">
        <v>427</v>
      </c>
      <c r="J243">
        <v>-4.2843304</v>
      </c>
      <c r="K243" t="s">
        <v>440</v>
      </c>
      <c r="L243" t="s">
        <v>451</v>
      </c>
      <c r="M243">
        <v>1.6825115802299999E-3</v>
      </c>
      <c r="N243">
        <v>7.208435512165141E-3</v>
      </c>
      <c r="O243">
        <v>29976.978999999999</v>
      </c>
      <c r="P243">
        <v>1.6679465999999999E-5</v>
      </c>
      <c r="Q243">
        <v>1</v>
      </c>
      <c r="R243" s="61">
        <v>7.208435512165141E-3</v>
      </c>
      <c r="S243" t="s">
        <v>342</v>
      </c>
      <c r="T243" t="s">
        <v>434</v>
      </c>
      <c r="U243" t="s">
        <v>425</v>
      </c>
      <c r="V243" t="s">
        <v>91</v>
      </c>
      <c r="W243">
        <v>111.133</v>
      </c>
      <c r="X243">
        <v>1.0155396203574489</v>
      </c>
      <c r="Y243">
        <v>112.8599646291844</v>
      </c>
      <c r="Z243">
        <v>661.2</v>
      </c>
      <c r="AA243">
        <v>1</v>
      </c>
      <c r="AB243">
        <v>74.623008612816719</v>
      </c>
      <c r="AC243">
        <v>1.02984769498109</v>
      </c>
      <c r="AD243" s="63">
        <v>76.849999999999994</v>
      </c>
      <c r="AE243">
        <v>8.9176000000000002</v>
      </c>
      <c r="AF243">
        <v>9.0561761184995895</v>
      </c>
      <c r="AG243">
        <v>1</v>
      </c>
      <c r="AH243">
        <v>5987.9436495519294</v>
      </c>
      <c r="AI243">
        <v>0.9935711161666545</v>
      </c>
      <c r="AJ243" s="63">
        <v>5949.4479000000001</v>
      </c>
      <c r="AK243" s="61">
        <v>42.886211520136321</v>
      </c>
      <c r="AL243" t="s">
        <v>342</v>
      </c>
      <c r="AM243" t="s">
        <v>434</v>
      </c>
      <c r="AN243" t="s">
        <v>425</v>
      </c>
      <c r="AO243" t="s">
        <v>91</v>
      </c>
      <c r="AP243">
        <v>111.133</v>
      </c>
      <c r="AQ243">
        <v>1.0155396203574489</v>
      </c>
      <c r="AR243">
        <v>112.8599646291844</v>
      </c>
      <c r="AS243">
        <v>629.54999999999995</v>
      </c>
      <c r="AT243">
        <v>1</v>
      </c>
      <c r="AU243">
        <v>71.050990732303021</v>
      </c>
      <c r="AV243">
        <v>1.02984769498109</v>
      </c>
      <c r="AW243" s="63">
        <v>73.171999999999997</v>
      </c>
      <c r="AX243">
        <v>8.9176000000000002</v>
      </c>
      <c r="AY243">
        <v>1</v>
      </c>
      <c r="AZ243">
        <v>5701.3156754014162</v>
      </c>
      <c r="BA243">
        <v>0.9935711161666545</v>
      </c>
      <c r="BB243" s="63">
        <v>5664.6625999999997</v>
      </c>
      <c r="BC243" s="61">
        <v>40.833355050273717</v>
      </c>
    </row>
    <row r="244" spans="1:55" x14ac:dyDescent="0.25">
      <c r="A244">
        <v>35337</v>
      </c>
      <c r="B244" t="s">
        <v>127</v>
      </c>
      <c r="C244">
        <v>2017</v>
      </c>
      <c r="D244">
        <v>10</v>
      </c>
      <c r="E244" t="s">
        <v>51</v>
      </c>
      <c r="F244" t="s">
        <v>449</v>
      </c>
      <c r="G244" t="s">
        <v>84</v>
      </c>
      <c r="H244" t="s">
        <v>381</v>
      </c>
      <c r="I244" t="s">
        <v>427</v>
      </c>
      <c r="J244">
        <v>-4.2843304</v>
      </c>
      <c r="K244" t="s">
        <v>440</v>
      </c>
      <c r="L244" t="s">
        <v>452</v>
      </c>
      <c r="M244">
        <v>1.53682162831E-3</v>
      </c>
      <c r="N244">
        <v>6.5842516221248726E-3</v>
      </c>
      <c r="O244">
        <v>29976.978999999999</v>
      </c>
      <c r="P244">
        <v>1.6679465999999999E-5</v>
      </c>
      <c r="Q244">
        <v>1</v>
      </c>
      <c r="R244" s="61">
        <v>6.5842516221248726E-3</v>
      </c>
      <c r="S244" t="s">
        <v>342</v>
      </c>
      <c r="T244" t="s">
        <v>434</v>
      </c>
      <c r="U244" t="s">
        <v>425</v>
      </c>
      <c r="V244" t="s">
        <v>28</v>
      </c>
      <c r="W244">
        <v>111.133</v>
      </c>
      <c r="X244">
        <v>1.0155396203574489</v>
      </c>
      <c r="Y244">
        <v>112.8599646291844</v>
      </c>
      <c r="Z244">
        <v>661.2</v>
      </c>
      <c r="AA244">
        <v>1</v>
      </c>
      <c r="AB244">
        <v>74.623008612816719</v>
      </c>
      <c r="AC244">
        <v>1.0451804150056221</v>
      </c>
      <c r="AD244" s="63">
        <v>77.995000000000005</v>
      </c>
      <c r="AE244">
        <v>8.9176000000000002</v>
      </c>
      <c r="AF244">
        <v>9.0561761184995895</v>
      </c>
      <c r="AG244">
        <v>1</v>
      </c>
      <c r="AH244">
        <v>5987.9436495519294</v>
      </c>
      <c r="AI244">
        <v>1.0071061377552519</v>
      </c>
      <c r="AJ244" s="63">
        <v>6030.4948000000004</v>
      </c>
      <c r="AK244" s="61">
        <v>39.70629516911562</v>
      </c>
      <c r="AL244" t="s">
        <v>342</v>
      </c>
      <c r="AM244" t="s">
        <v>434</v>
      </c>
      <c r="AN244" t="s">
        <v>425</v>
      </c>
      <c r="AO244" t="s">
        <v>28</v>
      </c>
      <c r="AP244">
        <v>111.133</v>
      </c>
      <c r="AQ244">
        <v>1.0155396203574489</v>
      </c>
      <c r="AR244">
        <v>112.8599646291844</v>
      </c>
      <c r="AS244">
        <v>629.54999999999995</v>
      </c>
      <c r="AT244">
        <v>1</v>
      </c>
      <c r="AU244">
        <v>71.050990732303021</v>
      </c>
      <c r="AV244">
        <v>1.0451804150056221</v>
      </c>
      <c r="AW244" s="63">
        <v>74.260999999999996</v>
      </c>
      <c r="AX244">
        <v>8.9176000000000002</v>
      </c>
      <c r="AY244">
        <v>1</v>
      </c>
      <c r="AZ244">
        <v>5701.3156754014162</v>
      </c>
      <c r="BA244">
        <v>1.0071061377552519</v>
      </c>
      <c r="BB244" s="63">
        <v>5741.83</v>
      </c>
      <c r="BC244" s="61">
        <v>37.805653491465257</v>
      </c>
    </row>
    <row r="245" spans="1:55" x14ac:dyDescent="0.25">
      <c r="A245">
        <v>35338</v>
      </c>
      <c r="B245" t="s">
        <v>127</v>
      </c>
      <c r="C245">
        <v>2017</v>
      </c>
      <c r="D245">
        <v>10</v>
      </c>
      <c r="E245" t="s">
        <v>51</v>
      </c>
      <c r="F245" t="s">
        <v>449</v>
      </c>
      <c r="G245" t="s">
        <v>84</v>
      </c>
      <c r="H245" t="s">
        <v>87</v>
      </c>
      <c r="I245" t="s">
        <v>427</v>
      </c>
      <c r="J245">
        <v>-0.80985611999999996</v>
      </c>
      <c r="K245" t="s">
        <v>440</v>
      </c>
      <c r="L245" t="s">
        <v>450</v>
      </c>
      <c r="M245">
        <v>0.26601384014995</v>
      </c>
      <c r="N245">
        <v>0.21543293624691651</v>
      </c>
      <c r="O245">
        <v>29976.978999999999</v>
      </c>
      <c r="P245">
        <v>1.6679465999999999E-5</v>
      </c>
      <c r="Q245">
        <v>1</v>
      </c>
      <c r="R245" s="61">
        <v>0.21543293624691651</v>
      </c>
      <c r="S245" t="s">
        <v>342</v>
      </c>
      <c r="T245" t="s">
        <v>434</v>
      </c>
      <c r="U245" t="s">
        <v>425</v>
      </c>
      <c r="V245" t="s">
        <v>26</v>
      </c>
      <c r="W245">
        <v>111.133</v>
      </c>
      <c r="X245">
        <v>1.0155396203574489</v>
      </c>
      <c r="Y245">
        <v>112.8599646291844</v>
      </c>
      <c r="Z245">
        <v>661.2</v>
      </c>
      <c r="AA245">
        <v>1</v>
      </c>
      <c r="AB245">
        <v>74.623008612816719</v>
      </c>
      <c r="AC245">
        <v>1.012368394153123</v>
      </c>
      <c r="AD245" s="63">
        <v>75.546000000000006</v>
      </c>
      <c r="AE245">
        <v>8.9176000000000002</v>
      </c>
      <c r="AF245">
        <v>9.0561761184995895</v>
      </c>
      <c r="AG245">
        <v>1</v>
      </c>
      <c r="AH245">
        <v>5987.9436495519294</v>
      </c>
      <c r="AI245">
        <v>0.99404987733863315</v>
      </c>
      <c r="AJ245" s="63">
        <v>5952.3146999999999</v>
      </c>
      <c r="AK245" s="61">
        <v>1282.324633286684</v>
      </c>
      <c r="AL245" t="s">
        <v>342</v>
      </c>
      <c r="AM245" t="s">
        <v>434</v>
      </c>
      <c r="AN245" t="s">
        <v>425</v>
      </c>
      <c r="AO245" t="s">
        <v>26</v>
      </c>
      <c r="AP245">
        <v>111.133</v>
      </c>
      <c r="AQ245">
        <v>1.0155396203574489</v>
      </c>
      <c r="AR245">
        <v>112.8599646291844</v>
      </c>
      <c r="AS245">
        <v>629.54999999999995</v>
      </c>
      <c r="AT245">
        <v>1</v>
      </c>
      <c r="AU245">
        <v>71.050990732303021</v>
      </c>
      <c r="AV245">
        <v>1.012368394153123</v>
      </c>
      <c r="AW245" s="63">
        <v>71.930000000000007</v>
      </c>
      <c r="AX245">
        <v>8.9176000000000002</v>
      </c>
      <c r="AY245">
        <v>1</v>
      </c>
      <c r="AZ245">
        <v>5701.3156754014162</v>
      </c>
      <c r="BA245">
        <v>0.99404987733863315</v>
      </c>
      <c r="BB245" s="63">
        <v>5667.3921</v>
      </c>
      <c r="BC245" s="61">
        <v>1220.942920965578</v>
      </c>
    </row>
    <row r="246" spans="1:55" x14ac:dyDescent="0.25">
      <c r="A246">
        <v>35339</v>
      </c>
      <c r="B246" t="s">
        <v>127</v>
      </c>
      <c r="C246">
        <v>2017</v>
      </c>
      <c r="D246">
        <v>10</v>
      </c>
      <c r="E246" t="s">
        <v>51</v>
      </c>
      <c r="F246" t="s">
        <v>449</v>
      </c>
      <c r="G246" t="s">
        <v>84</v>
      </c>
      <c r="H246" t="s">
        <v>87</v>
      </c>
      <c r="I246" t="s">
        <v>427</v>
      </c>
      <c r="J246">
        <v>-0.80985611999999996</v>
      </c>
      <c r="K246" t="s">
        <v>440</v>
      </c>
      <c r="L246" t="s">
        <v>384</v>
      </c>
      <c r="M246">
        <v>3.9509559941419997E-2</v>
      </c>
      <c r="N246">
        <v>3.1997058886882347E-2</v>
      </c>
      <c r="O246">
        <v>29976.978999999999</v>
      </c>
      <c r="P246">
        <v>1.6679465999999999E-5</v>
      </c>
      <c r="Q246">
        <v>1</v>
      </c>
      <c r="R246" s="61">
        <v>3.1997058886882347E-2</v>
      </c>
      <c r="S246" t="s">
        <v>342</v>
      </c>
      <c r="T246" t="s">
        <v>434</v>
      </c>
      <c r="U246" t="s">
        <v>425</v>
      </c>
      <c r="V246" t="s">
        <v>81</v>
      </c>
      <c r="W246">
        <v>111.133</v>
      </c>
      <c r="X246">
        <v>1.0155396203574489</v>
      </c>
      <c r="Y246">
        <v>112.8599646291844</v>
      </c>
      <c r="Z246">
        <v>661.2</v>
      </c>
      <c r="AA246">
        <v>1</v>
      </c>
      <c r="AB246">
        <v>74.623008612816719</v>
      </c>
      <c r="AC246">
        <v>0.95185525912296853</v>
      </c>
      <c r="AD246" s="63">
        <v>71.03</v>
      </c>
      <c r="AE246">
        <v>8.9176000000000002</v>
      </c>
      <c r="AF246">
        <v>9.0561761184995895</v>
      </c>
      <c r="AG246">
        <v>1</v>
      </c>
      <c r="AH246">
        <v>5987.9436495519294</v>
      </c>
      <c r="AI246">
        <v>1.081469419077697</v>
      </c>
      <c r="AJ246" s="63">
        <v>6475.7779</v>
      </c>
      <c r="AK246" s="61">
        <v>207.20584680467141</v>
      </c>
      <c r="AL246" t="s">
        <v>342</v>
      </c>
      <c r="AM246" t="s">
        <v>434</v>
      </c>
      <c r="AN246" t="s">
        <v>425</v>
      </c>
      <c r="AO246" t="s">
        <v>81</v>
      </c>
      <c r="AP246">
        <v>111.133</v>
      </c>
      <c r="AQ246">
        <v>1.0155396203574489</v>
      </c>
      <c r="AR246">
        <v>112.8599646291844</v>
      </c>
      <c r="AS246">
        <v>629.54999999999995</v>
      </c>
      <c r="AT246">
        <v>1</v>
      </c>
      <c r="AU246">
        <v>71.050990732303021</v>
      </c>
      <c r="AV246">
        <v>0.95185525912296853</v>
      </c>
      <c r="AW246" s="63">
        <v>67.63</v>
      </c>
      <c r="AX246">
        <v>8.9176000000000002</v>
      </c>
      <c r="AY246">
        <v>1</v>
      </c>
      <c r="AZ246">
        <v>5701.3156754014162</v>
      </c>
      <c r="BA246">
        <v>1.081469419077697</v>
      </c>
      <c r="BB246" s="63">
        <v>6165.7986000000001</v>
      </c>
      <c r="BC246" s="61">
        <v>197.28742088885679</v>
      </c>
    </row>
    <row r="247" spans="1:55" x14ac:dyDescent="0.25">
      <c r="A247">
        <v>35340</v>
      </c>
      <c r="B247" t="s">
        <v>127</v>
      </c>
      <c r="C247">
        <v>2017</v>
      </c>
      <c r="D247">
        <v>10</v>
      </c>
      <c r="E247" t="s">
        <v>51</v>
      </c>
      <c r="F247" t="s">
        <v>449</v>
      </c>
      <c r="G247" t="s">
        <v>84</v>
      </c>
      <c r="H247" t="s">
        <v>87</v>
      </c>
      <c r="I247" t="s">
        <v>427</v>
      </c>
      <c r="J247">
        <v>-0.80985611999999996</v>
      </c>
      <c r="K247" t="s">
        <v>440</v>
      </c>
      <c r="L247" t="s">
        <v>385</v>
      </c>
      <c r="M247">
        <v>0.39737542925016001</v>
      </c>
      <c r="N247">
        <v>0.3218169230122927</v>
      </c>
      <c r="O247">
        <v>29976.978999999999</v>
      </c>
      <c r="P247">
        <v>1.6679465999999999E-5</v>
      </c>
      <c r="Q247">
        <v>1</v>
      </c>
      <c r="R247" s="61">
        <v>0.3218169230122927</v>
      </c>
      <c r="S247" t="s">
        <v>342</v>
      </c>
      <c r="T247" t="s">
        <v>434</v>
      </c>
      <c r="U247" t="s">
        <v>425</v>
      </c>
      <c r="V247" t="s">
        <v>27</v>
      </c>
      <c r="W247">
        <v>111.133</v>
      </c>
      <c r="X247">
        <v>1.0155396203574489</v>
      </c>
      <c r="Y247">
        <v>112.8599646291844</v>
      </c>
      <c r="Z247">
        <v>661.2</v>
      </c>
      <c r="AA247">
        <v>1</v>
      </c>
      <c r="AB247">
        <v>74.623008612816719</v>
      </c>
      <c r="AC247">
        <v>1.0016354901359501</v>
      </c>
      <c r="AD247" s="63">
        <v>74.745000000000005</v>
      </c>
      <c r="AE247">
        <v>8.9176000000000002</v>
      </c>
      <c r="AF247">
        <v>9.0561761184995895</v>
      </c>
      <c r="AG247">
        <v>1</v>
      </c>
      <c r="AH247">
        <v>5987.9436495519294</v>
      </c>
      <c r="AI247">
        <v>1.016194415745886</v>
      </c>
      <c r="AJ247" s="63">
        <v>6084.9148999999998</v>
      </c>
      <c r="AK247" s="61">
        <v>1958.228589909653</v>
      </c>
      <c r="AL247" t="s">
        <v>342</v>
      </c>
      <c r="AM247" t="s">
        <v>434</v>
      </c>
      <c r="AN247" t="s">
        <v>425</v>
      </c>
      <c r="AO247" t="s">
        <v>27</v>
      </c>
      <c r="AP247">
        <v>111.133</v>
      </c>
      <c r="AQ247">
        <v>1.0155396203574489</v>
      </c>
      <c r="AR247">
        <v>112.8599646291844</v>
      </c>
      <c r="AS247">
        <v>629.54999999999995</v>
      </c>
      <c r="AT247">
        <v>1</v>
      </c>
      <c r="AU247">
        <v>71.050990732303021</v>
      </c>
      <c r="AV247">
        <v>1.0016354901359501</v>
      </c>
      <c r="AW247" s="63">
        <v>71.167000000000002</v>
      </c>
      <c r="AX247">
        <v>8.9176000000000002</v>
      </c>
      <c r="AY247">
        <v>1</v>
      </c>
      <c r="AZ247">
        <v>5701.3156754014162</v>
      </c>
      <c r="BA247">
        <v>1.016194415745886</v>
      </c>
      <c r="BB247" s="63">
        <v>5793.6451999999999</v>
      </c>
      <c r="BC247" s="61">
        <v>1864.4930712889391</v>
      </c>
    </row>
    <row r="248" spans="1:55" x14ac:dyDescent="0.25">
      <c r="A248">
        <v>35341</v>
      </c>
      <c r="B248" t="s">
        <v>127</v>
      </c>
      <c r="C248">
        <v>2017</v>
      </c>
      <c r="D248">
        <v>10</v>
      </c>
      <c r="E248" t="s">
        <v>51</v>
      </c>
      <c r="F248" t="s">
        <v>449</v>
      </c>
      <c r="G248" t="s">
        <v>84</v>
      </c>
      <c r="H248" t="s">
        <v>87</v>
      </c>
      <c r="I248" t="s">
        <v>427</v>
      </c>
      <c r="J248">
        <v>-0.80985611999999996</v>
      </c>
      <c r="K248" t="s">
        <v>440</v>
      </c>
      <c r="L248" t="s">
        <v>452</v>
      </c>
      <c r="M248">
        <v>8.4248020759000004E-4</v>
      </c>
      <c r="N248">
        <v>6.8228775145201623E-4</v>
      </c>
      <c r="O248">
        <v>29976.978999999999</v>
      </c>
      <c r="P248">
        <v>1.6679465999999999E-5</v>
      </c>
      <c r="Q248">
        <v>1</v>
      </c>
      <c r="R248" s="61">
        <v>6.8228775145201623E-4</v>
      </c>
      <c r="S248" t="s">
        <v>342</v>
      </c>
      <c r="T248" t="s">
        <v>434</v>
      </c>
      <c r="U248" t="s">
        <v>425</v>
      </c>
      <c r="V248" t="s">
        <v>28</v>
      </c>
      <c r="W248">
        <v>111.133</v>
      </c>
      <c r="X248">
        <v>1.0155396203574489</v>
      </c>
      <c r="Y248">
        <v>112.8599646291844</v>
      </c>
      <c r="Z248">
        <v>661.2</v>
      </c>
      <c r="AA248">
        <v>1</v>
      </c>
      <c r="AB248">
        <v>74.623008612816719</v>
      </c>
      <c r="AC248">
        <v>1.0451804150056221</v>
      </c>
      <c r="AD248" s="63">
        <v>77.995000000000005</v>
      </c>
      <c r="AE248">
        <v>8.9176000000000002</v>
      </c>
      <c r="AF248">
        <v>9.0561761184995895</v>
      </c>
      <c r="AG248">
        <v>1</v>
      </c>
      <c r="AH248">
        <v>5987.9436495519294</v>
      </c>
      <c r="AI248">
        <v>1.0071061377552519</v>
      </c>
      <c r="AJ248" s="63">
        <v>6030.4948000000004</v>
      </c>
      <c r="AK248" s="61">
        <v>4.1145327372350771</v>
      </c>
      <c r="AL248" t="s">
        <v>342</v>
      </c>
      <c r="AM248" t="s">
        <v>434</v>
      </c>
      <c r="AN248" t="s">
        <v>425</v>
      </c>
      <c r="AO248" t="s">
        <v>28</v>
      </c>
      <c r="AP248">
        <v>111.133</v>
      </c>
      <c r="AQ248">
        <v>1.0155396203574489</v>
      </c>
      <c r="AR248">
        <v>112.8599646291844</v>
      </c>
      <c r="AS248">
        <v>629.54999999999995</v>
      </c>
      <c r="AT248">
        <v>1</v>
      </c>
      <c r="AU248">
        <v>71.050990732303021</v>
      </c>
      <c r="AV248">
        <v>1.0451804150056221</v>
      </c>
      <c r="AW248" s="63">
        <v>74.260999999999996</v>
      </c>
      <c r="AX248">
        <v>8.9176000000000002</v>
      </c>
      <c r="AY248">
        <v>1</v>
      </c>
      <c r="AZ248">
        <v>5701.3156754014162</v>
      </c>
      <c r="BA248">
        <v>1.0071061377552519</v>
      </c>
      <c r="BB248" s="63">
        <v>5741.83</v>
      </c>
      <c r="BC248" s="61">
        <v>3.9175802799197301</v>
      </c>
    </row>
    <row r="249" spans="1:55" x14ac:dyDescent="0.25">
      <c r="A249">
        <v>35342</v>
      </c>
      <c r="B249" t="s">
        <v>127</v>
      </c>
      <c r="C249">
        <v>2017</v>
      </c>
      <c r="D249">
        <v>10</v>
      </c>
      <c r="E249" t="s">
        <v>51</v>
      </c>
      <c r="F249" t="s">
        <v>449</v>
      </c>
      <c r="G249" t="s">
        <v>84</v>
      </c>
      <c r="H249" t="s">
        <v>59</v>
      </c>
      <c r="I249" t="s">
        <v>427</v>
      </c>
      <c r="J249">
        <v>-2.5407238900000002</v>
      </c>
      <c r="K249" t="s">
        <v>440</v>
      </c>
      <c r="L249" t="s">
        <v>450</v>
      </c>
      <c r="M249">
        <v>0.15931709696460999</v>
      </c>
      <c r="N249">
        <v>0.40478075499028188</v>
      </c>
      <c r="O249">
        <v>29976.978999999999</v>
      </c>
      <c r="P249">
        <v>1.6679465999999999E-5</v>
      </c>
      <c r="Q249">
        <v>1</v>
      </c>
      <c r="R249" s="61">
        <v>0.40478075499028188</v>
      </c>
      <c r="S249" t="s">
        <v>342</v>
      </c>
      <c r="T249" t="s">
        <v>434</v>
      </c>
      <c r="U249" t="s">
        <v>425</v>
      </c>
      <c r="V249" t="s">
        <v>26</v>
      </c>
      <c r="W249">
        <v>111.133</v>
      </c>
      <c r="X249">
        <v>1.0155396203574489</v>
      </c>
      <c r="Y249">
        <v>112.8599646291844</v>
      </c>
      <c r="Z249">
        <v>661.2</v>
      </c>
      <c r="AA249">
        <v>1</v>
      </c>
      <c r="AB249">
        <v>74.623008612816719</v>
      </c>
      <c r="AC249">
        <v>1.012368394153123</v>
      </c>
      <c r="AD249" s="63">
        <v>75.546000000000006</v>
      </c>
      <c r="AE249">
        <v>8.9176000000000002</v>
      </c>
      <c r="AF249">
        <v>9.0561761184995895</v>
      </c>
      <c r="AG249">
        <v>1</v>
      </c>
      <c r="AH249">
        <v>5987.9436495519294</v>
      </c>
      <c r="AI249">
        <v>0.99404987733863315</v>
      </c>
      <c r="AJ249" s="63">
        <v>5952.3146999999999</v>
      </c>
      <c r="AK249" s="61">
        <v>2409.3824382057528</v>
      </c>
      <c r="AL249" t="s">
        <v>342</v>
      </c>
      <c r="AM249" t="s">
        <v>434</v>
      </c>
      <c r="AN249" t="s">
        <v>425</v>
      </c>
      <c r="AO249" t="s">
        <v>26</v>
      </c>
      <c r="AP249">
        <v>111.133</v>
      </c>
      <c r="AQ249">
        <v>1.0155396203574489</v>
      </c>
      <c r="AR249">
        <v>112.8599646291844</v>
      </c>
      <c r="AS249">
        <v>629.54999999999995</v>
      </c>
      <c r="AT249">
        <v>1</v>
      </c>
      <c r="AU249">
        <v>71.050990732303021</v>
      </c>
      <c r="AV249">
        <v>1.012368394153123</v>
      </c>
      <c r="AW249" s="63">
        <v>71.930000000000007</v>
      </c>
      <c r="AX249">
        <v>8.9176000000000002</v>
      </c>
      <c r="AY249">
        <v>1</v>
      </c>
      <c r="AZ249">
        <v>5701.3156754014162</v>
      </c>
      <c r="BA249">
        <v>0.99404987733863315</v>
      </c>
      <c r="BB249" s="63">
        <v>5667.3921</v>
      </c>
      <c r="BC249" s="61">
        <v>2294.0512530639589</v>
      </c>
    </row>
    <row r="250" spans="1:55" x14ac:dyDescent="0.25">
      <c r="A250">
        <v>35343</v>
      </c>
      <c r="B250" t="s">
        <v>127</v>
      </c>
      <c r="C250">
        <v>2017</v>
      </c>
      <c r="D250">
        <v>10</v>
      </c>
      <c r="E250" t="s">
        <v>51</v>
      </c>
      <c r="F250" t="s">
        <v>449</v>
      </c>
      <c r="G250" t="s">
        <v>84</v>
      </c>
      <c r="H250" t="s">
        <v>59</v>
      </c>
      <c r="I250" t="s">
        <v>427</v>
      </c>
      <c r="J250">
        <v>-2.5407238900000002</v>
      </c>
      <c r="K250" t="s">
        <v>440</v>
      </c>
      <c r="L250" t="s">
        <v>384</v>
      </c>
      <c r="M250">
        <v>4.1785183859599999E-2</v>
      </c>
      <c r="N250">
        <v>0.1061646150497821</v>
      </c>
      <c r="O250">
        <v>29976.978999999999</v>
      </c>
      <c r="P250">
        <v>1.6679465999999999E-5</v>
      </c>
      <c r="Q250">
        <v>1</v>
      </c>
      <c r="R250" s="61">
        <v>0.1061646150497821</v>
      </c>
      <c r="S250" t="s">
        <v>342</v>
      </c>
      <c r="T250" t="s">
        <v>434</v>
      </c>
      <c r="U250" t="s">
        <v>425</v>
      </c>
      <c r="V250" t="s">
        <v>81</v>
      </c>
      <c r="W250">
        <v>111.133</v>
      </c>
      <c r="X250">
        <v>1.0155396203574489</v>
      </c>
      <c r="Y250">
        <v>112.8599646291844</v>
      </c>
      <c r="Z250">
        <v>661.2</v>
      </c>
      <c r="AA250">
        <v>1</v>
      </c>
      <c r="AB250">
        <v>74.623008612816719</v>
      </c>
      <c r="AC250">
        <v>0.95185525912296853</v>
      </c>
      <c r="AD250" s="63">
        <v>71.03</v>
      </c>
      <c r="AE250">
        <v>8.9176000000000002</v>
      </c>
      <c r="AF250">
        <v>9.0561761184995895</v>
      </c>
      <c r="AG250">
        <v>1</v>
      </c>
      <c r="AH250">
        <v>5987.9436495519294</v>
      </c>
      <c r="AI250">
        <v>1.081469419077697</v>
      </c>
      <c r="AJ250" s="63">
        <v>6475.7779</v>
      </c>
      <c r="AK250" s="61">
        <v>687.49846790138645</v>
      </c>
      <c r="AL250" t="s">
        <v>342</v>
      </c>
      <c r="AM250" t="s">
        <v>434</v>
      </c>
      <c r="AN250" t="s">
        <v>425</v>
      </c>
      <c r="AO250" t="s">
        <v>81</v>
      </c>
      <c r="AP250">
        <v>111.133</v>
      </c>
      <c r="AQ250">
        <v>1.0155396203574489</v>
      </c>
      <c r="AR250">
        <v>112.8599646291844</v>
      </c>
      <c r="AS250">
        <v>629.54999999999995</v>
      </c>
      <c r="AT250">
        <v>1</v>
      </c>
      <c r="AU250">
        <v>71.050990732303021</v>
      </c>
      <c r="AV250">
        <v>0.95185525912296853</v>
      </c>
      <c r="AW250" s="63">
        <v>67.63</v>
      </c>
      <c r="AX250">
        <v>8.9176000000000002</v>
      </c>
      <c r="AY250">
        <v>1</v>
      </c>
      <c r="AZ250">
        <v>5701.3156754014162</v>
      </c>
      <c r="BA250">
        <v>1.081469419077697</v>
      </c>
      <c r="BB250" s="63">
        <v>6165.7986000000001</v>
      </c>
      <c r="BC250" s="61">
        <v>654.58963484348544</v>
      </c>
    </row>
    <row r="251" spans="1:55" x14ac:dyDescent="0.25">
      <c r="A251">
        <v>35344</v>
      </c>
      <c r="B251" t="s">
        <v>127</v>
      </c>
      <c r="C251">
        <v>2017</v>
      </c>
      <c r="D251">
        <v>10</v>
      </c>
      <c r="E251" t="s">
        <v>51</v>
      </c>
      <c r="F251" t="s">
        <v>449</v>
      </c>
      <c r="G251" t="s">
        <v>84</v>
      </c>
      <c r="H251" t="s">
        <v>59</v>
      </c>
      <c r="I251" t="s">
        <v>427</v>
      </c>
      <c r="J251">
        <v>-2.5407238900000002</v>
      </c>
      <c r="K251" t="s">
        <v>440</v>
      </c>
      <c r="L251" t="s">
        <v>385</v>
      </c>
      <c r="M251">
        <v>0.43497567483749999</v>
      </c>
      <c r="N251">
        <v>1.105153090394573</v>
      </c>
      <c r="O251">
        <v>29976.978999999999</v>
      </c>
      <c r="P251">
        <v>1.6679465999999999E-5</v>
      </c>
      <c r="Q251">
        <v>1</v>
      </c>
      <c r="R251" s="61">
        <v>1.105153090394573</v>
      </c>
      <c r="S251" t="s">
        <v>342</v>
      </c>
      <c r="T251" t="s">
        <v>434</v>
      </c>
      <c r="U251" t="s">
        <v>425</v>
      </c>
      <c r="V251" t="s">
        <v>27</v>
      </c>
      <c r="W251">
        <v>111.133</v>
      </c>
      <c r="X251">
        <v>1.0155396203574489</v>
      </c>
      <c r="Y251">
        <v>112.8599646291844</v>
      </c>
      <c r="Z251">
        <v>661.2</v>
      </c>
      <c r="AA251">
        <v>1</v>
      </c>
      <c r="AB251">
        <v>74.623008612816719</v>
      </c>
      <c r="AC251">
        <v>1.0016354901359501</v>
      </c>
      <c r="AD251" s="63">
        <v>74.745000000000005</v>
      </c>
      <c r="AE251">
        <v>8.9176000000000002</v>
      </c>
      <c r="AF251">
        <v>9.0561761184995895</v>
      </c>
      <c r="AG251">
        <v>1</v>
      </c>
      <c r="AH251">
        <v>5987.9436495519294</v>
      </c>
      <c r="AI251">
        <v>1.016194415745886</v>
      </c>
      <c r="AJ251" s="63">
        <v>6084.9148999999998</v>
      </c>
      <c r="AK251" s="61">
        <v>6724.7625065229849</v>
      </c>
      <c r="AL251" t="s">
        <v>342</v>
      </c>
      <c r="AM251" t="s">
        <v>434</v>
      </c>
      <c r="AN251" t="s">
        <v>425</v>
      </c>
      <c r="AO251" t="s">
        <v>27</v>
      </c>
      <c r="AP251">
        <v>111.133</v>
      </c>
      <c r="AQ251">
        <v>1.0155396203574489</v>
      </c>
      <c r="AR251">
        <v>112.8599646291844</v>
      </c>
      <c r="AS251">
        <v>629.54999999999995</v>
      </c>
      <c r="AT251">
        <v>1</v>
      </c>
      <c r="AU251">
        <v>71.050990732303021</v>
      </c>
      <c r="AV251">
        <v>1.0016354901359501</v>
      </c>
      <c r="AW251" s="63">
        <v>71.167000000000002</v>
      </c>
      <c r="AX251">
        <v>8.9176000000000002</v>
      </c>
      <c r="AY251">
        <v>1</v>
      </c>
      <c r="AZ251">
        <v>5701.3156754014162</v>
      </c>
      <c r="BA251">
        <v>1.016194415745886</v>
      </c>
      <c r="BB251" s="63">
        <v>5793.6451999999999</v>
      </c>
      <c r="BC251" s="61">
        <v>6402.8648974296848</v>
      </c>
    </row>
    <row r="252" spans="1:55" x14ac:dyDescent="0.25">
      <c r="A252">
        <v>35345</v>
      </c>
      <c r="B252" t="s">
        <v>127</v>
      </c>
      <c r="C252">
        <v>2017</v>
      </c>
      <c r="D252">
        <v>10</v>
      </c>
      <c r="E252" t="s">
        <v>51</v>
      </c>
      <c r="F252" t="s">
        <v>449</v>
      </c>
      <c r="G252" t="s">
        <v>84</v>
      </c>
      <c r="H252" t="s">
        <v>59</v>
      </c>
      <c r="I252" t="s">
        <v>427</v>
      </c>
      <c r="J252">
        <v>-2.5407238900000002</v>
      </c>
      <c r="K252" t="s">
        <v>440</v>
      </c>
      <c r="L252" t="s">
        <v>451</v>
      </c>
      <c r="M252">
        <v>1.7625750762999999E-3</v>
      </c>
      <c r="N252">
        <v>4.4782166114302963E-3</v>
      </c>
      <c r="O252">
        <v>29976.978999999999</v>
      </c>
      <c r="P252">
        <v>1.6679465999999999E-5</v>
      </c>
      <c r="Q252">
        <v>1</v>
      </c>
      <c r="R252" s="61">
        <v>4.4782166114302963E-3</v>
      </c>
      <c r="S252" t="s">
        <v>342</v>
      </c>
      <c r="T252" t="s">
        <v>434</v>
      </c>
      <c r="U252" t="s">
        <v>425</v>
      </c>
      <c r="V252" t="s">
        <v>91</v>
      </c>
      <c r="W252">
        <v>111.133</v>
      </c>
      <c r="X252">
        <v>1.0155396203574489</v>
      </c>
      <c r="Y252">
        <v>112.8599646291844</v>
      </c>
      <c r="Z252">
        <v>661.2</v>
      </c>
      <c r="AA252">
        <v>1</v>
      </c>
      <c r="AB252">
        <v>74.623008612816719</v>
      </c>
      <c r="AC252">
        <v>1.02984769498109</v>
      </c>
      <c r="AD252" s="63">
        <v>76.849999999999994</v>
      </c>
      <c r="AE252">
        <v>8.9176000000000002</v>
      </c>
      <c r="AF252">
        <v>9.0561761184995895</v>
      </c>
      <c r="AG252">
        <v>1</v>
      </c>
      <c r="AH252">
        <v>5987.9436495519294</v>
      </c>
      <c r="AI252">
        <v>0.9935711161666545</v>
      </c>
      <c r="AJ252" s="63">
        <v>5949.4479000000001</v>
      </c>
      <c r="AK252" s="61">
        <v>26.642916414619091</v>
      </c>
      <c r="AL252" t="s">
        <v>342</v>
      </c>
      <c r="AM252" t="s">
        <v>434</v>
      </c>
      <c r="AN252" t="s">
        <v>425</v>
      </c>
      <c r="AO252" t="s">
        <v>91</v>
      </c>
      <c r="AP252">
        <v>111.133</v>
      </c>
      <c r="AQ252">
        <v>1.0155396203574489</v>
      </c>
      <c r="AR252">
        <v>112.8599646291844</v>
      </c>
      <c r="AS252">
        <v>629.54999999999995</v>
      </c>
      <c r="AT252">
        <v>1</v>
      </c>
      <c r="AU252">
        <v>71.050990732303021</v>
      </c>
      <c r="AV252">
        <v>1.02984769498109</v>
      </c>
      <c r="AW252" s="63">
        <v>73.171999999999997</v>
      </c>
      <c r="AX252">
        <v>8.9176000000000002</v>
      </c>
      <c r="AY252">
        <v>1</v>
      </c>
      <c r="AZ252">
        <v>5701.3156754014162</v>
      </c>
      <c r="BA252">
        <v>0.9935711161666545</v>
      </c>
      <c r="BB252" s="63">
        <v>5664.6625999999997</v>
      </c>
      <c r="BC252" s="61">
        <v>25.367586153467929</v>
      </c>
    </row>
    <row r="253" spans="1:55" x14ac:dyDescent="0.25">
      <c r="A253">
        <v>35346</v>
      </c>
      <c r="B253" t="s">
        <v>127</v>
      </c>
      <c r="C253">
        <v>2017</v>
      </c>
      <c r="D253">
        <v>10</v>
      </c>
      <c r="E253" t="s">
        <v>51</v>
      </c>
      <c r="F253" t="s">
        <v>449</v>
      </c>
      <c r="G253" t="s">
        <v>84</v>
      </c>
      <c r="H253" t="s">
        <v>59</v>
      </c>
      <c r="I253" t="s">
        <v>427</v>
      </c>
      <c r="J253">
        <v>-2.5407238900000002</v>
      </c>
      <c r="K253" t="s">
        <v>440</v>
      </c>
      <c r="L253" t="s">
        <v>452</v>
      </c>
      <c r="M253">
        <v>1.4858046103299999E-3</v>
      </c>
      <c r="N253">
        <v>3.7750192753701569E-3</v>
      </c>
      <c r="O253">
        <v>29976.978999999999</v>
      </c>
      <c r="P253">
        <v>1.6679465999999999E-5</v>
      </c>
      <c r="Q253">
        <v>1</v>
      </c>
      <c r="R253" s="61">
        <v>3.7750192753701569E-3</v>
      </c>
      <c r="S253" t="s">
        <v>342</v>
      </c>
      <c r="T253" t="s">
        <v>434</v>
      </c>
      <c r="U253" t="s">
        <v>425</v>
      </c>
      <c r="V253" t="s">
        <v>28</v>
      </c>
      <c r="W253">
        <v>111.133</v>
      </c>
      <c r="X253">
        <v>1.0155396203574489</v>
      </c>
      <c r="Y253">
        <v>112.8599646291844</v>
      </c>
      <c r="Z253">
        <v>661.2</v>
      </c>
      <c r="AA253">
        <v>1</v>
      </c>
      <c r="AB253">
        <v>74.623008612816719</v>
      </c>
      <c r="AC253">
        <v>1.0451804150056221</v>
      </c>
      <c r="AD253" s="63">
        <v>77.995000000000005</v>
      </c>
      <c r="AE253">
        <v>8.9176000000000002</v>
      </c>
      <c r="AF253">
        <v>9.0561761184995895</v>
      </c>
      <c r="AG253">
        <v>1</v>
      </c>
      <c r="AH253">
        <v>5987.9436495519294</v>
      </c>
      <c r="AI253">
        <v>1.0071061377552519</v>
      </c>
      <c r="AJ253" s="63">
        <v>6030.4948000000004</v>
      </c>
      <c r="AK253" s="61">
        <v>22.765234110019499</v>
      </c>
      <c r="AL253" t="s">
        <v>342</v>
      </c>
      <c r="AM253" t="s">
        <v>434</v>
      </c>
      <c r="AN253" t="s">
        <v>425</v>
      </c>
      <c r="AO253" t="s">
        <v>28</v>
      </c>
      <c r="AP253">
        <v>111.133</v>
      </c>
      <c r="AQ253">
        <v>1.0155396203574489</v>
      </c>
      <c r="AR253">
        <v>112.8599646291844</v>
      </c>
      <c r="AS253">
        <v>629.54999999999995</v>
      </c>
      <c r="AT253">
        <v>1</v>
      </c>
      <c r="AU253">
        <v>71.050990732303021</v>
      </c>
      <c r="AV253">
        <v>1.0451804150056221</v>
      </c>
      <c r="AW253" s="63">
        <v>74.260999999999996</v>
      </c>
      <c r="AX253">
        <v>8.9176000000000002</v>
      </c>
      <c r="AY253">
        <v>1</v>
      </c>
      <c r="AZ253">
        <v>5701.3156754014162</v>
      </c>
      <c r="BA253">
        <v>1.0071061377552519</v>
      </c>
      <c r="BB253" s="63">
        <v>5741.83</v>
      </c>
      <c r="BC253" s="61">
        <v>21.675518925898629</v>
      </c>
    </row>
    <row r="254" spans="1:55" x14ac:dyDescent="0.25">
      <c r="A254">
        <v>38031</v>
      </c>
      <c r="B254" t="s">
        <v>128</v>
      </c>
      <c r="C254">
        <v>2017</v>
      </c>
      <c r="D254">
        <v>11</v>
      </c>
      <c r="E254" t="s">
        <v>51</v>
      </c>
      <c r="F254" t="s">
        <v>449</v>
      </c>
      <c r="G254" t="s">
        <v>84</v>
      </c>
      <c r="H254" t="s">
        <v>381</v>
      </c>
      <c r="I254" t="s">
        <v>427</v>
      </c>
      <c r="J254">
        <v>-4.2068060799999998</v>
      </c>
      <c r="K254" t="s">
        <v>440</v>
      </c>
      <c r="L254" t="s">
        <v>450</v>
      </c>
      <c r="M254">
        <v>0.15011157993331001</v>
      </c>
      <c r="N254">
        <v>0.63149030667497374</v>
      </c>
      <c r="O254">
        <v>29976.978999999999</v>
      </c>
      <c r="P254">
        <v>1.6679465999999999E-5</v>
      </c>
      <c r="Q254">
        <v>1</v>
      </c>
      <c r="R254" s="61">
        <v>0.63149030667497374</v>
      </c>
      <c r="S254" t="s">
        <v>342</v>
      </c>
      <c r="T254" t="s">
        <v>434</v>
      </c>
      <c r="U254" t="s">
        <v>425</v>
      </c>
      <c r="V254" t="s">
        <v>26</v>
      </c>
      <c r="W254">
        <v>111.133</v>
      </c>
      <c r="X254">
        <v>1.0155396203574489</v>
      </c>
      <c r="Y254">
        <v>112.8599646291844</v>
      </c>
      <c r="Z254">
        <v>661.2</v>
      </c>
      <c r="AA254">
        <v>1</v>
      </c>
      <c r="AB254">
        <v>74.623008612816719</v>
      </c>
      <c r="AC254">
        <v>1.012368394153123</v>
      </c>
      <c r="AD254" s="63">
        <v>75.546000000000006</v>
      </c>
      <c r="AE254">
        <v>8.9176000000000002</v>
      </c>
      <c r="AF254">
        <v>9.0561761184995895</v>
      </c>
      <c r="AG254">
        <v>1</v>
      </c>
      <c r="AH254">
        <v>5987.9436495519294</v>
      </c>
      <c r="AI254">
        <v>0.99404987733863315</v>
      </c>
      <c r="AJ254" s="63">
        <v>5952.3146999999999</v>
      </c>
      <c r="AK254" s="61">
        <v>3758.829035328954</v>
      </c>
      <c r="AL254" t="s">
        <v>342</v>
      </c>
      <c r="AM254" t="s">
        <v>434</v>
      </c>
      <c r="AN254" t="s">
        <v>425</v>
      </c>
      <c r="AO254" t="s">
        <v>26</v>
      </c>
      <c r="AP254">
        <v>111.133</v>
      </c>
      <c r="AQ254">
        <v>1.0155396203574489</v>
      </c>
      <c r="AR254">
        <v>112.8599646291844</v>
      </c>
      <c r="AS254">
        <v>633.77</v>
      </c>
      <c r="AT254">
        <v>1</v>
      </c>
      <c r="AU254">
        <v>71.52725978303819</v>
      </c>
      <c r="AV254">
        <v>1.012368394153123</v>
      </c>
      <c r="AW254" s="63">
        <v>72.412000000000006</v>
      </c>
      <c r="AX254">
        <v>8.9176000000000002</v>
      </c>
      <c r="AY254">
        <v>1</v>
      </c>
      <c r="AZ254">
        <v>5739.5327386214849</v>
      </c>
      <c r="BA254">
        <v>0.99404987733863315</v>
      </c>
      <c r="BB254" s="63">
        <v>5705.3818000000001</v>
      </c>
      <c r="BC254" s="61">
        <v>3602.8933025798142</v>
      </c>
    </row>
    <row r="255" spans="1:55" x14ac:dyDescent="0.25">
      <c r="A255">
        <v>38032</v>
      </c>
      <c r="B255" t="s">
        <v>128</v>
      </c>
      <c r="C255">
        <v>2017</v>
      </c>
      <c r="D255">
        <v>11</v>
      </c>
      <c r="E255" t="s">
        <v>51</v>
      </c>
      <c r="F255" t="s">
        <v>449</v>
      </c>
      <c r="G255" t="s">
        <v>84</v>
      </c>
      <c r="H255" t="s">
        <v>381</v>
      </c>
      <c r="I255" t="s">
        <v>427</v>
      </c>
      <c r="J255">
        <v>-4.2068060799999998</v>
      </c>
      <c r="K255" t="s">
        <v>440</v>
      </c>
      <c r="L255" t="s">
        <v>384</v>
      </c>
      <c r="M255">
        <v>4.5811354346740003E-2</v>
      </c>
      <c r="N255">
        <v>0.19271948385641671</v>
      </c>
      <c r="O255">
        <v>29976.978999999999</v>
      </c>
      <c r="P255">
        <v>1.6679465999999999E-5</v>
      </c>
      <c r="Q255">
        <v>1</v>
      </c>
      <c r="R255" s="61">
        <v>0.19271948385641671</v>
      </c>
      <c r="S255" t="s">
        <v>342</v>
      </c>
      <c r="T255" t="s">
        <v>434</v>
      </c>
      <c r="U255" t="s">
        <v>425</v>
      </c>
      <c r="V255" t="s">
        <v>81</v>
      </c>
      <c r="W255">
        <v>111.133</v>
      </c>
      <c r="X255">
        <v>1.0155396203574489</v>
      </c>
      <c r="Y255">
        <v>112.8599646291844</v>
      </c>
      <c r="Z255">
        <v>661.2</v>
      </c>
      <c r="AA255">
        <v>1</v>
      </c>
      <c r="AB255">
        <v>74.623008612816719</v>
      </c>
      <c r="AC255">
        <v>0.95185525912296853</v>
      </c>
      <c r="AD255" s="63">
        <v>71.03</v>
      </c>
      <c r="AE255">
        <v>8.9176000000000002</v>
      </c>
      <c r="AF255">
        <v>9.0561761184995895</v>
      </c>
      <c r="AG255">
        <v>1</v>
      </c>
      <c r="AH255">
        <v>5987.9436495519294</v>
      </c>
      <c r="AI255">
        <v>1.081469419077697</v>
      </c>
      <c r="AJ255" s="63">
        <v>6475.7779</v>
      </c>
      <c r="AK255" s="61">
        <v>1248.00857445679</v>
      </c>
      <c r="AL255" t="s">
        <v>342</v>
      </c>
      <c r="AM255" t="s">
        <v>434</v>
      </c>
      <c r="AN255" t="s">
        <v>425</v>
      </c>
      <c r="AO255" t="s">
        <v>81</v>
      </c>
      <c r="AP255">
        <v>111.133</v>
      </c>
      <c r="AQ255">
        <v>1.0155396203574489</v>
      </c>
      <c r="AR255">
        <v>112.8599646291844</v>
      </c>
      <c r="AS255">
        <v>633.77</v>
      </c>
      <c r="AT255">
        <v>1</v>
      </c>
      <c r="AU255">
        <v>71.52725978303819</v>
      </c>
      <c r="AV255">
        <v>0.95185525912296853</v>
      </c>
      <c r="AW255" s="63">
        <v>68.084000000000003</v>
      </c>
      <c r="AX255">
        <v>8.9176000000000002</v>
      </c>
      <c r="AY255">
        <v>1</v>
      </c>
      <c r="AZ255">
        <v>5739.5327386214849</v>
      </c>
      <c r="BA255">
        <v>1.081469419077697</v>
      </c>
      <c r="BB255" s="63">
        <v>6207.1291000000001</v>
      </c>
      <c r="BC255" s="61">
        <v>1196.2347163821439</v>
      </c>
    </row>
    <row r="256" spans="1:55" x14ac:dyDescent="0.25">
      <c r="A256">
        <v>38033</v>
      </c>
      <c r="B256" t="s">
        <v>128</v>
      </c>
      <c r="C256">
        <v>2017</v>
      </c>
      <c r="D256">
        <v>11</v>
      </c>
      <c r="E256" t="s">
        <v>51</v>
      </c>
      <c r="F256" t="s">
        <v>449</v>
      </c>
      <c r="G256" t="s">
        <v>84</v>
      </c>
      <c r="H256" t="s">
        <v>381</v>
      </c>
      <c r="I256" t="s">
        <v>427</v>
      </c>
      <c r="J256">
        <v>-4.2068060799999998</v>
      </c>
      <c r="K256" t="s">
        <v>440</v>
      </c>
      <c r="L256" t="s">
        <v>385</v>
      </c>
      <c r="M256">
        <v>0.43232641346992001</v>
      </c>
      <c r="N256">
        <v>1.8187133833852209</v>
      </c>
      <c r="O256">
        <v>29976.978999999999</v>
      </c>
      <c r="P256">
        <v>1.6679465999999999E-5</v>
      </c>
      <c r="Q256">
        <v>1</v>
      </c>
      <c r="R256" s="61">
        <v>1.8187133833852209</v>
      </c>
      <c r="S256" t="s">
        <v>342</v>
      </c>
      <c r="T256" t="s">
        <v>434</v>
      </c>
      <c r="U256" t="s">
        <v>425</v>
      </c>
      <c r="V256" t="s">
        <v>27</v>
      </c>
      <c r="W256">
        <v>111.133</v>
      </c>
      <c r="X256">
        <v>1.0155396203574489</v>
      </c>
      <c r="Y256">
        <v>112.8599646291844</v>
      </c>
      <c r="Z256">
        <v>661.2</v>
      </c>
      <c r="AA256">
        <v>1</v>
      </c>
      <c r="AB256">
        <v>74.623008612816719</v>
      </c>
      <c r="AC256">
        <v>1.0016354901359501</v>
      </c>
      <c r="AD256" s="63">
        <v>74.745000000000005</v>
      </c>
      <c r="AE256">
        <v>8.9176000000000002</v>
      </c>
      <c r="AF256">
        <v>9.0561761184995895</v>
      </c>
      <c r="AG256">
        <v>1</v>
      </c>
      <c r="AH256">
        <v>5987.9436495519294</v>
      </c>
      <c r="AI256">
        <v>1.016194415745886</v>
      </c>
      <c r="AJ256" s="63">
        <v>6084.9148999999998</v>
      </c>
      <c r="AK256" s="61">
        <v>11066.71616539014</v>
      </c>
      <c r="AL256" t="s">
        <v>342</v>
      </c>
      <c r="AM256" t="s">
        <v>434</v>
      </c>
      <c r="AN256" t="s">
        <v>425</v>
      </c>
      <c r="AO256" t="s">
        <v>27</v>
      </c>
      <c r="AP256">
        <v>111.133</v>
      </c>
      <c r="AQ256">
        <v>1.0155396203574489</v>
      </c>
      <c r="AR256">
        <v>112.8599646291844</v>
      </c>
      <c r="AS256">
        <v>633.77</v>
      </c>
      <c r="AT256">
        <v>1</v>
      </c>
      <c r="AU256">
        <v>71.52725978303819</v>
      </c>
      <c r="AV256">
        <v>1.0016354901359501</v>
      </c>
      <c r="AW256" s="63">
        <v>71.644000000000005</v>
      </c>
      <c r="AX256">
        <v>8.9176000000000002</v>
      </c>
      <c r="AY256">
        <v>1</v>
      </c>
      <c r="AZ256">
        <v>5739.5327386214849</v>
      </c>
      <c r="BA256">
        <v>1.016194415745886</v>
      </c>
      <c r="BB256" s="63">
        <v>5832.4811</v>
      </c>
      <c r="BC256" s="61">
        <v>10607.61143491136</v>
      </c>
    </row>
    <row r="257" spans="1:55" x14ac:dyDescent="0.25">
      <c r="A257">
        <v>38034</v>
      </c>
      <c r="B257" t="s">
        <v>128</v>
      </c>
      <c r="C257">
        <v>2017</v>
      </c>
      <c r="D257">
        <v>11</v>
      </c>
      <c r="E257" t="s">
        <v>51</v>
      </c>
      <c r="F257" t="s">
        <v>449</v>
      </c>
      <c r="G257" t="s">
        <v>84</v>
      </c>
      <c r="H257" t="s">
        <v>381</v>
      </c>
      <c r="I257" t="s">
        <v>427</v>
      </c>
      <c r="J257">
        <v>-4.2068060799999998</v>
      </c>
      <c r="K257" t="s">
        <v>440</v>
      </c>
      <c r="L257" t="s">
        <v>451</v>
      </c>
      <c r="M257">
        <v>1.6825115802299999E-3</v>
      </c>
      <c r="N257">
        <v>7.0779999401489819E-3</v>
      </c>
      <c r="O257">
        <v>29976.978999999999</v>
      </c>
      <c r="P257">
        <v>1.6679465999999999E-5</v>
      </c>
      <c r="Q257">
        <v>1</v>
      </c>
      <c r="R257" s="61">
        <v>7.0779999401489819E-3</v>
      </c>
      <c r="S257" t="s">
        <v>342</v>
      </c>
      <c r="T257" t="s">
        <v>434</v>
      </c>
      <c r="U257" t="s">
        <v>425</v>
      </c>
      <c r="V257" t="s">
        <v>91</v>
      </c>
      <c r="W257">
        <v>111.133</v>
      </c>
      <c r="X257">
        <v>1.0155396203574489</v>
      </c>
      <c r="Y257">
        <v>112.8599646291844</v>
      </c>
      <c r="Z257">
        <v>661.2</v>
      </c>
      <c r="AA257">
        <v>1</v>
      </c>
      <c r="AB257">
        <v>74.623008612816719</v>
      </c>
      <c r="AC257">
        <v>1.02984769498109</v>
      </c>
      <c r="AD257" s="63">
        <v>76.849999999999994</v>
      </c>
      <c r="AE257">
        <v>8.9176000000000002</v>
      </c>
      <c r="AF257">
        <v>9.0561761184995895</v>
      </c>
      <c r="AG257">
        <v>1</v>
      </c>
      <c r="AH257">
        <v>5987.9436495519294</v>
      </c>
      <c r="AI257">
        <v>0.9935711161666545</v>
      </c>
      <c r="AJ257" s="63">
        <v>5949.4479000000001</v>
      </c>
      <c r="AK257" s="61">
        <v>42.110191880119487</v>
      </c>
      <c r="AL257" t="s">
        <v>342</v>
      </c>
      <c r="AM257" t="s">
        <v>434</v>
      </c>
      <c r="AN257" t="s">
        <v>425</v>
      </c>
      <c r="AO257" t="s">
        <v>91</v>
      </c>
      <c r="AP257">
        <v>111.133</v>
      </c>
      <c r="AQ257">
        <v>1.0155396203574489</v>
      </c>
      <c r="AR257">
        <v>112.8599646291844</v>
      </c>
      <c r="AS257">
        <v>633.77</v>
      </c>
      <c r="AT257">
        <v>1</v>
      </c>
      <c r="AU257">
        <v>71.52725978303819</v>
      </c>
      <c r="AV257">
        <v>1.02984769498109</v>
      </c>
      <c r="AW257" s="63">
        <v>73.662000000000006</v>
      </c>
      <c r="AX257">
        <v>8.9176000000000002</v>
      </c>
      <c r="AY257">
        <v>1</v>
      </c>
      <c r="AZ257">
        <v>5739.5327386214849</v>
      </c>
      <c r="BA257">
        <v>0.9935711161666545</v>
      </c>
      <c r="BB257" s="63">
        <v>5702.6338999999998</v>
      </c>
      <c r="BC257" s="61">
        <v>40.363242402891551</v>
      </c>
    </row>
    <row r="258" spans="1:55" x14ac:dyDescent="0.25">
      <c r="A258">
        <v>38035</v>
      </c>
      <c r="B258" t="s">
        <v>128</v>
      </c>
      <c r="C258">
        <v>2017</v>
      </c>
      <c r="D258">
        <v>11</v>
      </c>
      <c r="E258" t="s">
        <v>51</v>
      </c>
      <c r="F258" t="s">
        <v>449</v>
      </c>
      <c r="G258" t="s">
        <v>84</v>
      </c>
      <c r="H258" t="s">
        <v>381</v>
      </c>
      <c r="I258" t="s">
        <v>427</v>
      </c>
      <c r="J258">
        <v>-4.2068060799999998</v>
      </c>
      <c r="K258" t="s">
        <v>440</v>
      </c>
      <c r="L258" t="s">
        <v>452</v>
      </c>
      <c r="M258">
        <v>1.53682162831E-3</v>
      </c>
      <c r="N258">
        <v>6.4651105650701474E-3</v>
      </c>
      <c r="O258">
        <v>29976.978999999999</v>
      </c>
      <c r="P258">
        <v>1.6679465999999999E-5</v>
      </c>
      <c r="Q258">
        <v>1</v>
      </c>
      <c r="R258" s="61">
        <v>6.4651105650701474E-3</v>
      </c>
      <c r="S258" t="s">
        <v>342</v>
      </c>
      <c r="T258" t="s">
        <v>434</v>
      </c>
      <c r="U258" t="s">
        <v>425</v>
      </c>
      <c r="V258" t="s">
        <v>28</v>
      </c>
      <c r="W258">
        <v>111.133</v>
      </c>
      <c r="X258">
        <v>1.0155396203574489</v>
      </c>
      <c r="Y258">
        <v>112.8599646291844</v>
      </c>
      <c r="Z258">
        <v>661.2</v>
      </c>
      <c r="AA258">
        <v>1</v>
      </c>
      <c r="AB258">
        <v>74.623008612816719</v>
      </c>
      <c r="AC258">
        <v>1.0451804150056221</v>
      </c>
      <c r="AD258" s="63">
        <v>77.995000000000005</v>
      </c>
      <c r="AE258">
        <v>8.9176000000000002</v>
      </c>
      <c r="AF258">
        <v>9.0561761184995895</v>
      </c>
      <c r="AG258">
        <v>1</v>
      </c>
      <c r="AH258">
        <v>5987.9436495519294</v>
      </c>
      <c r="AI258">
        <v>1.0071061377552519</v>
      </c>
      <c r="AJ258" s="63">
        <v>6030.4948000000004</v>
      </c>
      <c r="AK258" s="61">
        <v>38.987815644080577</v>
      </c>
      <c r="AL258" t="s">
        <v>342</v>
      </c>
      <c r="AM258" t="s">
        <v>434</v>
      </c>
      <c r="AN258" t="s">
        <v>425</v>
      </c>
      <c r="AO258" t="s">
        <v>28</v>
      </c>
      <c r="AP258">
        <v>111.133</v>
      </c>
      <c r="AQ258">
        <v>1.0155396203574489</v>
      </c>
      <c r="AR258">
        <v>112.8599646291844</v>
      </c>
      <c r="AS258">
        <v>633.77</v>
      </c>
      <c r="AT258">
        <v>1</v>
      </c>
      <c r="AU258">
        <v>71.52725978303819</v>
      </c>
      <c r="AV258">
        <v>1.0451804150056221</v>
      </c>
      <c r="AW258" s="63">
        <v>74.759</v>
      </c>
      <c r="AX258">
        <v>8.9176000000000002</v>
      </c>
      <c r="AY258">
        <v>1</v>
      </c>
      <c r="AZ258">
        <v>5739.5327386214849</v>
      </c>
      <c r="BA258">
        <v>1.0071061377552519</v>
      </c>
      <c r="BB258" s="63">
        <v>5780.3185999999996</v>
      </c>
      <c r="BC258" s="61">
        <v>37.370398850331483</v>
      </c>
    </row>
    <row r="259" spans="1:55" x14ac:dyDescent="0.25">
      <c r="A259">
        <v>38036</v>
      </c>
      <c r="B259" t="s">
        <v>128</v>
      </c>
      <c r="C259">
        <v>2017</v>
      </c>
      <c r="D259">
        <v>11</v>
      </c>
      <c r="E259" t="s">
        <v>51</v>
      </c>
      <c r="F259" t="s">
        <v>449</v>
      </c>
      <c r="G259" t="s">
        <v>84</v>
      </c>
      <c r="H259" t="s">
        <v>87</v>
      </c>
      <c r="I259" t="s">
        <v>427</v>
      </c>
      <c r="J259">
        <v>-0.79520188999999997</v>
      </c>
      <c r="K259" t="s">
        <v>440</v>
      </c>
      <c r="L259" t="s">
        <v>450</v>
      </c>
      <c r="M259">
        <v>0.26601384014995</v>
      </c>
      <c r="N259">
        <v>0.21153470920124681</v>
      </c>
      <c r="O259">
        <v>29976.978999999999</v>
      </c>
      <c r="P259">
        <v>1.6679465999999999E-5</v>
      </c>
      <c r="Q259">
        <v>1</v>
      </c>
      <c r="R259" s="61">
        <v>0.21153470920124681</v>
      </c>
      <c r="S259" t="s">
        <v>342</v>
      </c>
      <c r="T259" t="s">
        <v>434</v>
      </c>
      <c r="U259" t="s">
        <v>425</v>
      </c>
      <c r="V259" t="s">
        <v>26</v>
      </c>
      <c r="W259">
        <v>111.133</v>
      </c>
      <c r="X259">
        <v>1.0155396203574489</v>
      </c>
      <c r="Y259">
        <v>112.8599646291844</v>
      </c>
      <c r="Z259">
        <v>661.2</v>
      </c>
      <c r="AA259">
        <v>1</v>
      </c>
      <c r="AB259">
        <v>74.623008612816719</v>
      </c>
      <c r="AC259">
        <v>1.012368394153123</v>
      </c>
      <c r="AD259" s="63">
        <v>75.546000000000006</v>
      </c>
      <c r="AE259">
        <v>8.9176000000000002</v>
      </c>
      <c r="AF259">
        <v>9.0561761184995895</v>
      </c>
      <c r="AG259">
        <v>1</v>
      </c>
      <c r="AH259">
        <v>5987.9436495519294</v>
      </c>
      <c r="AI259">
        <v>0.99404987733863315</v>
      </c>
      <c r="AJ259" s="63">
        <v>5952.3146999999999</v>
      </c>
      <c r="AK259" s="61">
        <v>1259.1211591388069</v>
      </c>
      <c r="AL259" t="s">
        <v>342</v>
      </c>
      <c r="AM259" t="s">
        <v>434</v>
      </c>
      <c r="AN259" t="s">
        <v>425</v>
      </c>
      <c r="AO259" t="s">
        <v>26</v>
      </c>
      <c r="AP259">
        <v>111.133</v>
      </c>
      <c r="AQ259">
        <v>1.0155396203574489</v>
      </c>
      <c r="AR259">
        <v>112.8599646291844</v>
      </c>
      <c r="AS259">
        <v>633.77</v>
      </c>
      <c r="AT259">
        <v>1</v>
      </c>
      <c r="AU259">
        <v>71.52725978303819</v>
      </c>
      <c r="AV259">
        <v>1.012368394153123</v>
      </c>
      <c r="AW259" s="63">
        <v>72.412000000000006</v>
      </c>
      <c r="AX259">
        <v>8.9176000000000002</v>
      </c>
      <c r="AY259">
        <v>1</v>
      </c>
      <c r="AZ259">
        <v>5739.5327386214849</v>
      </c>
      <c r="BA259">
        <v>0.99404987733863315</v>
      </c>
      <c r="BB259" s="63">
        <v>5705.3818000000001</v>
      </c>
      <c r="BC259" s="61">
        <v>1206.886279945086</v>
      </c>
    </row>
    <row r="260" spans="1:55" x14ac:dyDescent="0.25">
      <c r="A260">
        <v>38037</v>
      </c>
      <c r="B260" t="s">
        <v>128</v>
      </c>
      <c r="C260">
        <v>2017</v>
      </c>
      <c r="D260">
        <v>11</v>
      </c>
      <c r="E260" t="s">
        <v>51</v>
      </c>
      <c r="F260" t="s">
        <v>449</v>
      </c>
      <c r="G260" t="s">
        <v>84</v>
      </c>
      <c r="H260" t="s">
        <v>87</v>
      </c>
      <c r="I260" t="s">
        <v>427</v>
      </c>
      <c r="J260">
        <v>-0.79520188999999997</v>
      </c>
      <c r="K260" t="s">
        <v>440</v>
      </c>
      <c r="L260" t="s">
        <v>384</v>
      </c>
      <c r="M260">
        <v>3.9509559941419997E-2</v>
      </c>
      <c r="N260">
        <v>3.1418076849559287E-2</v>
      </c>
      <c r="O260">
        <v>29976.978999999999</v>
      </c>
      <c r="P260">
        <v>1.6679465999999999E-5</v>
      </c>
      <c r="Q260">
        <v>1</v>
      </c>
      <c r="R260" s="61">
        <v>3.1418076849559287E-2</v>
      </c>
      <c r="S260" t="s">
        <v>342</v>
      </c>
      <c r="T260" t="s">
        <v>434</v>
      </c>
      <c r="U260" t="s">
        <v>425</v>
      </c>
      <c r="V260" t="s">
        <v>81</v>
      </c>
      <c r="W260">
        <v>111.133</v>
      </c>
      <c r="X260">
        <v>1.0155396203574489</v>
      </c>
      <c r="Y260">
        <v>112.8599646291844</v>
      </c>
      <c r="Z260">
        <v>661.2</v>
      </c>
      <c r="AA260">
        <v>1</v>
      </c>
      <c r="AB260">
        <v>74.623008612816719</v>
      </c>
      <c r="AC260">
        <v>0.95185525912296853</v>
      </c>
      <c r="AD260" s="63">
        <v>71.03</v>
      </c>
      <c r="AE260">
        <v>8.9176000000000002</v>
      </c>
      <c r="AF260">
        <v>9.0561761184995895</v>
      </c>
      <c r="AG260">
        <v>1</v>
      </c>
      <c r="AH260">
        <v>5987.9436495519294</v>
      </c>
      <c r="AI260">
        <v>1.081469419077697</v>
      </c>
      <c r="AJ260" s="63">
        <v>6475.7779</v>
      </c>
      <c r="AK260" s="61">
        <v>203.45648772287771</v>
      </c>
      <c r="AL260" t="s">
        <v>342</v>
      </c>
      <c r="AM260" t="s">
        <v>434</v>
      </c>
      <c r="AN260" t="s">
        <v>425</v>
      </c>
      <c r="AO260" t="s">
        <v>81</v>
      </c>
      <c r="AP260">
        <v>111.133</v>
      </c>
      <c r="AQ260">
        <v>1.0155396203574489</v>
      </c>
      <c r="AR260">
        <v>112.8599646291844</v>
      </c>
      <c r="AS260">
        <v>633.77</v>
      </c>
      <c r="AT260">
        <v>1</v>
      </c>
      <c r="AU260">
        <v>71.52725978303819</v>
      </c>
      <c r="AV260">
        <v>0.95185525912296853</v>
      </c>
      <c r="AW260" s="63">
        <v>68.084000000000003</v>
      </c>
      <c r="AX260">
        <v>8.9176000000000002</v>
      </c>
      <c r="AY260">
        <v>1</v>
      </c>
      <c r="AZ260">
        <v>5739.5327386214849</v>
      </c>
      <c r="BA260">
        <v>1.081469419077697</v>
      </c>
      <c r="BB260" s="63">
        <v>6207.1291000000001</v>
      </c>
      <c r="BC260" s="61">
        <v>195.0160590789358</v>
      </c>
    </row>
    <row r="261" spans="1:55" x14ac:dyDescent="0.25">
      <c r="A261">
        <v>38038</v>
      </c>
      <c r="B261" t="s">
        <v>128</v>
      </c>
      <c r="C261">
        <v>2017</v>
      </c>
      <c r="D261">
        <v>11</v>
      </c>
      <c r="E261" t="s">
        <v>51</v>
      </c>
      <c r="F261" t="s">
        <v>449</v>
      </c>
      <c r="G261" t="s">
        <v>84</v>
      </c>
      <c r="H261" t="s">
        <v>87</v>
      </c>
      <c r="I261" t="s">
        <v>427</v>
      </c>
      <c r="J261">
        <v>-0.79520188999999997</v>
      </c>
      <c r="K261" t="s">
        <v>440</v>
      </c>
      <c r="L261" t="s">
        <v>385</v>
      </c>
      <c r="M261">
        <v>0.39737542925016001</v>
      </c>
      <c r="N261">
        <v>0.31599369349643602</v>
      </c>
      <c r="O261">
        <v>29976.978999999999</v>
      </c>
      <c r="P261">
        <v>1.6679465999999999E-5</v>
      </c>
      <c r="Q261">
        <v>1</v>
      </c>
      <c r="R261" s="61">
        <v>0.31599369349643602</v>
      </c>
      <c r="S261" t="s">
        <v>342</v>
      </c>
      <c r="T261" t="s">
        <v>434</v>
      </c>
      <c r="U261" t="s">
        <v>425</v>
      </c>
      <c r="V261" t="s">
        <v>27</v>
      </c>
      <c r="W261">
        <v>111.133</v>
      </c>
      <c r="X261">
        <v>1.0155396203574489</v>
      </c>
      <c r="Y261">
        <v>112.8599646291844</v>
      </c>
      <c r="Z261">
        <v>661.2</v>
      </c>
      <c r="AA261">
        <v>1</v>
      </c>
      <c r="AB261">
        <v>74.623008612816719</v>
      </c>
      <c r="AC261">
        <v>1.0016354901359501</v>
      </c>
      <c r="AD261" s="63">
        <v>74.745000000000005</v>
      </c>
      <c r="AE261">
        <v>8.9176000000000002</v>
      </c>
      <c r="AF261">
        <v>9.0561761184995895</v>
      </c>
      <c r="AG261">
        <v>1</v>
      </c>
      <c r="AH261">
        <v>5987.9436495519294</v>
      </c>
      <c r="AI261">
        <v>1.016194415745886</v>
      </c>
      <c r="AJ261" s="63">
        <v>6084.9148999999998</v>
      </c>
      <c r="AK261" s="61">
        <v>1922.7947338624961</v>
      </c>
      <c r="AL261" t="s">
        <v>342</v>
      </c>
      <c r="AM261" t="s">
        <v>434</v>
      </c>
      <c r="AN261" t="s">
        <v>425</v>
      </c>
      <c r="AO261" t="s">
        <v>27</v>
      </c>
      <c r="AP261">
        <v>111.133</v>
      </c>
      <c r="AQ261">
        <v>1.0155396203574489</v>
      </c>
      <c r="AR261">
        <v>112.8599646291844</v>
      </c>
      <c r="AS261">
        <v>633.77</v>
      </c>
      <c r="AT261">
        <v>1</v>
      </c>
      <c r="AU261">
        <v>71.52725978303819</v>
      </c>
      <c r="AV261">
        <v>1.0016354901359501</v>
      </c>
      <c r="AW261" s="63">
        <v>71.644000000000005</v>
      </c>
      <c r="AX261">
        <v>8.9176000000000002</v>
      </c>
      <c r="AY261">
        <v>1</v>
      </c>
      <c r="AZ261">
        <v>5739.5327386214849</v>
      </c>
      <c r="BA261">
        <v>1.016194415745886</v>
      </c>
      <c r="BB261" s="63">
        <v>5832.4811</v>
      </c>
      <c r="BC261" s="61">
        <v>1843.027245037156</v>
      </c>
    </row>
    <row r="262" spans="1:55" x14ac:dyDescent="0.25">
      <c r="A262">
        <v>38039</v>
      </c>
      <c r="B262" t="s">
        <v>128</v>
      </c>
      <c r="C262">
        <v>2017</v>
      </c>
      <c r="D262">
        <v>11</v>
      </c>
      <c r="E262" t="s">
        <v>51</v>
      </c>
      <c r="F262" t="s">
        <v>449</v>
      </c>
      <c r="G262" t="s">
        <v>84</v>
      </c>
      <c r="H262" t="s">
        <v>87</v>
      </c>
      <c r="I262" t="s">
        <v>427</v>
      </c>
      <c r="J262">
        <v>-0.79520188999999997</v>
      </c>
      <c r="K262" t="s">
        <v>440</v>
      </c>
      <c r="L262" t="s">
        <v>452</v>
      </c>
      <c r="M262">
        <v>8.4248020759000004E-4</v>
      </c>
      <c r="N262">
        <v>6.6994185573163753E-4</v>
      </c>
      <c r="O262">
        <v>29976.978999999999</v>
      </c>
      <c r="P262">
        <v>1.6679465999999999E-5</v>
      </c>
      <c r="Q262">
        <v>1</v>
      </c>
      <c r="R262" s="61">
        <v>6.6994185573163753E-4</v>
      </c>
      <c r="S262" t="s">
        <v>342</v>
      </c>
      <c r="T262" t="s">
        <v>434</v>
      </c>
      <c r="U262" t="s">
        <v>425</v>
      </c>
      <c r="V262" t="s">
        <v>28</v>
      </c>
      <c r="W262">
        <v>111.133</v>
      </c>
      <c r="X262">
        <v>1.0155396203574489</v>
      </c>
      <c r="Y262">
        <v>112.8599646291844</v>
      </c>
      <c r="Z262">
        <v>661.2</v>
      </c>
      <c r="AA262">
        <v>1</v>
      </c>
      <c r="AB262">
        <v>74.623008612816719</v>
      </c>
      <c r="AC262">
        <v>1.0451804150056221</v>
      </c>
      <c r="AD262" s="63">
        <v>77.995000000000005</v>
      </c>
      <c r="AE262">
        <v>8.9176000000000002</v>
      </c>
      <c r="AF262">
        <v>9.0561761184995895</v>
      </c>
      <c r="AG262">
        <v>1</v>
      </c>
      <c r="AH262">
        <v>5987.9436495519294</v>
      </c>
      <c r="AI262">
        <v>1.0071061377552519</v>
      </c>
      <c r="AJ262" s="63">
        <v>6030.4948000000004</v>
      </c>
      <c r="AK262" s="61">
        <v>4.0400808772919907</v>
      </c>
      <c r="AL262" t="s">
        <v>342</v>
      </c>
      <c r="AM262" t="s">
        <v>434</v>
      </c>
      <c r="AN262" t="s">
        <v>425</v>
      </c>
      <c r="AO262" t="s">
        <v>28</v>
      </c>
      <c r="AP262">
        <v>111.133</v>
      </c>
      <c r="AQ262">
        <v>1.0155396203574489</v>
      </c>
      <c r="AR262">
        <v>112.8599646291844</v>
      </c>
      <c r="AS262">
        <v>633.77</v>
      </c>
      <c r="AT262">
        <v>1</v>
      </c>
      <c r="AU262">
        <v>71.52725978303819</v>
      </c>
      <c r="AV262">
        <v>1.0451804150056221</v>
      </c>
      <c r="AW262" s="63">
        <v>74.759</v>
      </c>
      <c r="AX262">
        <v>8.9176000000000002</v>
      </c>
      <c r="AY262">
        <v>1</v>
      </c>
      <c r="AZ262">
        <v>5739.5327386214849</v>
      </c>
      <c r="BA262">
        <v>1.0071061377552519</v>
      </c>
      <c r="BB262" s="63">
        <v>5780.3185999999996</v>
      </c>
      <c r="BC262" s="61">
        <v>3.872477369604101</v>
      </c>
    </row>
    <row r="263" spans="1:55" x14ac:dyDescent="0.25">
      <c r="A263">
        <v>38040</v>
      </c>
      <c r="B263" t="s">
        <v>128</v>
      </c>
      <c r="C263">
        <v>2017</v>
      </c>
      <c r="D263">
        <v>11</v>
      </c>
      <c r="E263" t="s">
        <v>51</v>
      </c>
      <c r="F263" t="s">
        <v>449</v>
      </c>
      <c r="G263" t="s">
        <v>84</v>
      </c>
      <c r="H263" t="s">
        <v>59</v>
      </c>
      <c r="I263" t="s">
        <v>427</v>
      </c>
      <c r="J263">
        <v>-2.4947498700000001</v>
      </c>
      <c r="K263" t="s">
        <v>440</v>
      </c>
      <c r="L263" t="s">
        <v>450</v>
      </c>
      <c r="M263">
        <v>0.15931709696460999</v>
      </c>
      <c r="N263">
        <v>0.39745630723331882</v>
      </c>
      <c r="O263">
        <v>29976.978999999999</v>
      </c>
      <c r="P263">
        <v>1.6679465999999999E-5</v>
      </c>
      <c r="Q263">
        <v>1</v>
      </c>
      <c r="R263" s="61">
        <v>0.39745630723331882</v>
      </c>
      <c r="S263" t="s">
        <v>342</v>
      </c>
      <c r="T263" t="s">
        <v>434</v>
      </c>
      <c r="U263" t="s">
        <v>425</v>
      </c>
      <c r="V263" t="s">
        <v>26</v>
      </c>
      <c r="W263">
        <v>111.133</v>
      </c>
      <c r="X263">
        <v>1.0155396203574489</v>
      </c>
      <c r="Y263">
        <v>112.8599646291844</v>
      </c>
      <c r="Z263">
        <v>661.2</v>
      </c>
      <c r="AA263">
        <v>1</v>
      </c>
      <c r="AB263">
        <v>74.623008612816719</v>
      </c>
      <c r="AC263">
        <v>1.012368394153123</v>
      </c>
      <c r="AD263" s="63">
        <v>75.546000000000006</v>
      </c>
      <c r="AE263">
        <v>8.9176000000000002</v>
      </c>
      <c r="AF263">
        <v>9.0561761184995895</v>
      </c>
      <c r="AG263">
        <v>1</v>
      </c>
      <c r="AH263">
        <v>5987.9436495519294</v>
      </c>
      <c r="AI263">
        <v>0.99404987733863315</v>
      </c>
      <c r="AJ263" s="63">
        <v>5952.3146999999999</v>
      </c>
      <c r="AK263" s="61">
        <v>2365.7850201525998</v>
      </c>
      <c r="AL263" t="s">
        <v>342</v>
      </c>
      <c r="AM263" t="s">
        <v>434</v>
      </c>
      <c r="AN263" t="s">
        <v>425</v>
      </c>
      <c r="AO263" t="s">
        <v>26</v>
      </c>
      <c r="AP263">
        <v>111.133</v>
      </c>
      <c r="AQ263">
        <v>1.0155396203574489</v>
      </c>
      <c r="AR263">
        <v>112.8599646291844</v>
      </c>
      <c r="AS263">
        <v>633.77</v>
      </c>
      <c r="AT263">
        <v>1</v>
      </c>
      <c r="AU263">
        <v>71.52725978303819</v>
      </c>
      <c r="AV263">
        <v>1.012368394153123</v>
      </c>
      <c r="AW263" s="63">
        <v>72.412000000000006</v>
      </c>
      <c r="AX263">
        <v>8.9176000000000002</v>
      </c>
      <c r="AY263">
        <v>1</v>
      </c>
      <c r="AZ263">
        <v>5739.5327386214849</v>
      </c>
      <c r="BA263">
        <v>0.99404987733863315</v>
      </c>
      <c r="BB263" s="63">
        <v>5705.3818000000001</v>
      </c>
      <c r="BC263" s="61">
        <v>2267.639981584186</v>
      </c>
    </row>
    <row r="264" spans="1:55" x14ac:dyDescent="0.25">
      <c r="A264">
        <v>38041</v>
      </c>
      <c r="B264" t="s">
        <v>128</v>
      </c>
      <c r="C264">
        <v>2017</v>
      </c>
      <c r="D264">
        <v>11</v>
      </c>
      <c r="E264" t="s">
        <v>51</v>
      </c>
      <c r="F264" t="s">
        <v>449</v>
      </c>
      <c r="G264" t="s">
        <v>84</v>
      </c>
      <c r="H264" t="s">
        <v>59</v>
      </c>
      <c r="I264" t="s">
        <v>427</v>
      </c>
      <c r="J264">
        <v>-2.4947498700000001</v>
      </c>
      <c r="K264" t="s">
        <v>440</v>
      </c>
      <c r="L264" t="s">
        <v>384</v>
      </c>
      <c r="M264">
        <v>4.1785183859599999E-2</v>
      </c>
      <c r="N264">
        <v>0.1042435820782692</v>
      </c>
      <c r="O264">
        <v>29976.978999999999</v>
      </c>
      <c r="P264">
        <v>1.6679465999999999E-5</v>
      </c>
      <c r="Q264">
        <v>1</v>
      </c>
      <c r="R264" s="61">
        <v>0.1042435820782692</v>
      </c>
      <c r="S264" t="s">
        <v>342</v>
      </c>
      <c r="T264" t="s">
        <v>434</v>
      </c>
      <c r="U264" t="s">
        <v>425</v>
      </c>
      <c r="V264" t="s">
        <v>81</v>
      </c>
      <c r="W264">
        <v>111.133</v>
      </c>
      <c r="X264">
        <v>1.0155396203574489</v>
      </c>
      <c r="Y264">
        <v>112.8599646291844</v>
      </c>
      <c r="Z264">
        <v>661.2</v>
      </c>
      <c r="AA264">
        <v>1</v>
      </c>
      <c r="AB264">
        <v>74.623008612816719</v>
      </c>
      <c r="AC264">
        <v>0.95185525912296853</v>
      </c>
      <c r="AD264" s="63">
        <v>71.03</v>
      </c>
      <c r="AE264">
        <v>8.9176000000000002</v>
      </c>
      <c r="AF264">
        <v>9.0561761184995895</v>
      </c>
      <c r="AG264">
        <v>1</v>
      </c>
      <c r="AH264">
        <v>5987.9436495519294</v>
      </c>
      <c r="AI264">
        <v>1.081469419077697</v>
      </c>
      <c r="AJ264" s="63">
        <v>6475.7779</v>
      </c>
      <c r="AK264" s="61">
        <v>675.0582850392916</v>
      </c>
      <c r="AL264" t="s">
        <v>342</v>
      </c>
      <c r="AM264" t="s">
        <v>434</v>
      </c>
      <c r="AN264" t="s">
        <v>425</v>
      </c>
      <c r="AO264" t="s">
        <v>81</v>
      </c>
      <c r="AP264">
        <v>111.133</v>
      </c>
      <c r="AQ264">
        <v>1.0155396203574489</v>
      </c>
      <c r="AR264">
        <v>112.8599646291844</v>
      </c>
      <c r="AS264">
        <v>633.77</v>
      </c>
      <c r="AT264">
        <v>1</v>
      </c>
      <c r="AU264">
        <v>71.52725978303819</v>
      </c>
      <c r="AV264">
        <v>0.95185525912296853</v>
      </c>
      <c r="AW264" s="63">
        <v>68.084000000000003</v>
      </c>
      <c r="AX264">
        <v>8.9176000000000002</v>
      </c>
      <c r="AY264">
        <v>1</v>
      </c>
      <c r="AZ264">
        <v>5739.5327386214849</v>
      </c>
      <c r="BA264">
        <v>1.081469419077697</v>
      </c>
      <c r="BB264" s="63">
        <v>6207.1291000000001</v>
      </c>
      <c r="BC264" s="61">
        <v>647.05337180626304</v>
      </c>
    </row>
    <row r="265" spans="1:55" x14ac:dyDescent="0.25">
      <c r="A265">
        <v>38042</v>
      </c>
      <c r="B265" t="s">
        <v>128</v>
      </c>
      <c r="C265">
        <v>2017</v>
      </c>
      <c r="D265">
        <v>11</v>
      </c>
      <c r="E265" t="s">
        <v>51</v>
      </c>
      <c r="F265" t="s">
        <v>449</v>
      </c>
      <c r="G265" t="s">
        <v>84</v>
      </c>
      <c r="H265" t="s">
        <v>59</v>
      </c>
      <c r="I265" t="s">
        <v>427</v>
      </c>
      <c r="J265">
        <v>-2.4947498700000001</v>
      </c>
      <c r="K265" t="s">
        <v>440</v>
      </c>
      <c r="L265" t="s">
        <v>385</v>
      </c>
      <c r="M265">
        <v>0.43497567483749999</v>
      </c>
      <c r="N265">
        <v>1.0851555090514691</v>
      </c>
      <c r="O265">
        <v>29976.978999999999</v>
      </c>
      <c r="P265">
        <v>1.6679465999999999E-5</v>
      </c>
      <c r="Q265">
        <v>1</v>
      </c>
      <c r="R265" s="61">
        <v>1.0851555090514691</v>
      </c>
      <c r="S265" t="s">
        <v>342</v>
      </c>
      <c r="T265" t="s">
        <v>434</v>
      </c>
      <c r="U265" t="s">
        <v>425</v>
      </c>
      <c r="V265" t="s">
        <v>27</v>
      </c>
      <c r="W265">
        <v>111.133</v>
      </c>
      <c r="X265">
        <v>1.0155396203574489</v>
      </c>
      <c r="Y265">
        <v>112.8599646291844</v>
      </c>
      <c r="Z265">
        <v>661.2</v>
      </c>
      <c r="AA265">
        <v>1</v>
      </c>
      <c r="AB265">
        <v>74.623008612816719</v>
      </c>
      <c r="AC265">
        <v>1.0016354901359501</v>
      </c>
      <c r="AD265" s="63">
        <v>74.745000000000005</v>
      </c>
      <c r="AE265">
        <v>8.9176000000000002</v>
      </c>
      <c r="AF265">
        <v>9.0561761184995895</v>
      </c>
      <c r="AG265">
        <v>1</v>
      </c>
      <c r="AH265">
        <v>5987.9436495519294</v>
      </c>
      <c r="AI265">
        <v>1.016194415745886</v>
      </c>
      <c r="AJ265" s="63">
        <v>6084.9148999999998</v>
      </c>
      <c r="AK265" s="61">
        <v>6603.0789258443674</v>
      </c>
      <c r="AL265" t="s">
        <v>342</v>
      </c>
      <c r="AM265" t="s">
        <v>434</v>
      </c>
      <c r="AN265" t="s">
        <v>425</v>
      </c>
      <c r="AO265" t="s">
        <v>27</v>
      </c>
      <c r="AP265">
        <v>111.133</v>
      </c>
      <c r="AQ265">
        <v>1.0155396203574489</v>
      </c>
      <c r="AR265">
        <v>112.8599646291844</v>
      </c>
      <c r="AS265">
        <v>633.77</v>
      </c>
      <c r="AT265">
        <v>1</v>
      </c>
      <c r="AU265">
        <v>71.52725978303819</v>
      </c>
      <c r="AV265">
        <v>1.0016354901359501</v>
      </c>
      <c r="AW265" s="63">
        <v>71.644000000000005</v>
      </c>
      <c r="AX265">
        <v>8.9176000000000002</v>
      </c>
      <c r="AY265">
        <v>1</v>
      </c>
      <c r="AZ265">
        <v>5739.5327386214849</v>
      </c>
      <c r="BA265">
        <v>1.016194415745886</v>
      </c>
      <c r="BB265" s="63">
        <v>5832.4811</v>
      </c>
      <c r="BC265" s="61">
        <v>6329.1489971035708</v>
      </c>
    </row>
    <row r="266" spans="1:55" x14ac:dyDescent="0.25">
      <c r="A266">
        <v>38043</v>
      </c>
      <c r="B266" t="s">
        <v>128</v>
      </c>
      <c r="C266">
        <v>2017</v>
      </c>
      <c r="D266">
        <v>11</v>
      </c>
      <c r="E266" t="s">
        <v>51</v>
      </c>
      <c r="F266" t="s">
        <v>449</v>
      </c>
      <c r="G266" t="s">
        <v>84</v>
      </c>
      <c r="H266" t="s">
        <v>59</v>
      </c>
      <c r="I266" t="s">
        <v>427</v>
      </c>
      <c r="J266">
        <v>-2.4947498700000001</v>
      </c>
      <c r="K266" t="s">
        <v>440</v>
      </c>
      <c r="L266" t="s">
        <v>451</v>
      </c>
      <c r="M266">
        <v>1.7625750762999999E-3</v>
      </c>
      <c r="N266">
        <v>4.3971839456960447E-3</v>
      </c>
      <c r="O266">
        <v>29976.978999999999</v>
      </c>
      <c r="P266">
        <v>1.6679465999999999E-5</v>
      </c>
      <c r="Q266">
        <v>1</v>
      </c>
      <c r="R266" s="61">
        <v>4.3971839456960447E-3</v>
      </c>
      <c r="S266" t="s">
        <v>342</v>
      </c>
      <c r="T266" t="s">
        <v>434</v>
      </c>
      <c r="U266" t="s">
        <v>425</v>
      </c>
      <c r="V266" t="s">
        <v>91</v>
      </c>
      <c r="W266">
        <v>111.133</v>
      </c>
      <c r="X266">
        <v>1.0155396203574489</v>
      </c>
      <c r="Y266">
        <v>112.8599646291844</v>
      </c>
      <c r="Z266">
        <v>661.2</v>
      </c>
      <c r="AA266">
        <v>1</v>
      </c>
      <c r="AB266">
        <v>74.623008612816719</v>
      </c>
      <c r="AC266">
        <v>1.02984769498109</v>
      </c>
      <c r="AD266" s="63">
        <v>76.849999999999994</v>
      </c>
      <c r="AE266">
        <v>8.9176000000000002</v>
      </c>
      <c r="AF266">
        <v>9.0561761184995895</v>
      </c>
      <c r="AG266">
        <v>1</v>
      </c>
      <c r="AH266">
        <v>5987.9436495519294</v>
      </c>
      <c r="AI266">
        <v>0.9935711161666545</v>
      </c>
      <c r="AJ266" s="63">
        <v>5949.4479000000001</v>
      </c>
      <c r="AK266" s="61">
        <v>26.16081679163505</v>
      </c>
      <c r="AL266" t="s">
        <v>342</v>
      </c>
      <c r="AM266" t="s">
        <v>434</v>
      </c>
      <c r="AN266" t="s">
        <v>425</v>
      </c>
      <c r="AO266" t="s">
        <v>91</v>
      </c>
      <c r="AP266">
        <v>111.133</v>
      </c>
      <c r="AQ266">
        <v>1.0155396203574489</v>
      </c>
      <c r="AR266">
        <v>112.8599646291844</v>
      </c>
      <c r="AS266">
        <v>633.77</v>
      </c>
      <c r="AT266">
        <v>1</v>
      </c>
      <c r="AU266">
        <v>71.52725978303819</v>
      </c>
      <c r="AV266">
        <v>1.02984769498109</v>
      </c>
      <c r="AW266" s="63">
        <v>73.662000000000006</v>
      </c>
      <c r="AX266">
        <v>8.9176000000000002</v>
      </c>
      <c r="AY266">
        <v>1</v>
      </c>
      <c r="AZ266">
        <v>5739.5327386214849</v>
      </c>
      <c r="BA266">
        <v>0.9935711161666545</v>
      </c>
      <c r="BB266" s="63">
        <v>5702.6338999999998</v>
      </c>
      <c r="BC266" s="61">
        <v>25.075530233262018</v>
      </c>
    </row>
    <row r="267" spans="1:55" x14ac:dyDescent="0.25">
      <c r="A267">
        <v>38044</v>
      </c>
      <c r="B267" t="s">
        <v>128</v>
      </c>
      <c r="C267">
        <v>2017</v>
      </c>
      <c r="D267">
        <v>11</v>
      </c>
      <c r="E267" t="s">
        <v>51</v>
      </c>
      <c r="F267" t="s">
        <v>449</v>
      </c>
      <c r="G267" t="s">
        <v>84</v>
      </c>
      <c r="H267" t="s">
        <v>59</v>
      </c>
      <c r="I267" t="s">
        <v>427</v>
      </c>
      <c r="J267">
        <v>-2.4947498700000001</v>
      </c>
      <c r="K267" t="s">
        <v>440</v>
      </c>
      <c r="L267" t="s">
        <v>452</v>
      </c>
      <c r="M267">
        <v>1.4858046103299999E-3</v>
      </c>
      <c r="N267">
        <v>3.7067108611901359E-3</v>
      </c>
      <c r="O267">
        <v>29976.978999999999</v>
      </c>
      <c r="P267">
        <v>1.6679465999999999E-5</v>
      </c>
      <c r="Q267">
        <v>1</v>
      </c>
      <c r="R267" s="61">
        <v>3.7067108611901359E-3</v>
      </c>
      <c r="S267" t="s">
        <v>342</v>
      </c>
      <c r="T267" t="s">
        <v>434</v>
      </c>
      <c r="U267" t="s">
        <v>425</v>
      </c>
      <c r="V267" t="s">
        <v>28</v>
      </c>
      <c r="W267">
        <v>111.133</v>
      </c>
      <c r="X267">
        <v>1.0155396203574489</v>
      </c>
      <c r="Y267">
        <v>112.8599646291844</v>
      </c>
      <c r="Z267">
        <v>661.2</v>
      </c>
      <c r="AA267">
        <v>1</v>
      </c>
      <c r="AB267">
        <v>74.623008612816719</v>
      </c>
      <c r="AC267">
        <v>1.0451804150056221</v>
      </c>
      <c r="AD267" s="63">
        <v>77.995000000000005</v>
      </c>
      <c r="AE267">
        <v>8.9176000000000002</v>
      </c>
      <c r="AF267">
        <v>9.0561761184995895</v>
      </c>
      <c r="AG267">
        <v>1</v>
      </c>
      <c r="AH267">
        <v>5987.9436495519294</v>
      </c>
      <c r="AI267">
        <v>1.0071061377552519</v>
      </c>
      <c r="AJ267" s="63">
        <v>6030.4948000000004</v>
      </c>
      <c r="AK267" s="61">
        <v>22.353300573510641</v>
      </c>
      <c r="AL267" t="s">
        <v>342</v>
      </c>
      <c r="AM267" t="s">
        <v>434</v>
      </c>
      <c r="AN267" t="s">
        <v>425</v>
      </c>
      <c r="AO267" t="s">
        <v>28</v>
      </c>
      <c r="AP267">
        <v>111.133</v>
      </c>
      <c r="AQ267">
        <v>1.0155396203574489</v>
      </c>
      <c r="AR267">
        <v>112.8599646291844</v>
      </c>
      <c r="AS267">
        <v>633.77</v>
      </c>
      <c r="AT267">
        <v>1</v>
      </c>
      <c r="AU267">
        <v>71.52725978303819</v>
      </c>
      <c r="AV267">
        <v>1.0451804150056221</v>
      </c>
      <c r="AW267" s="63">
        <v>74.759</v>
      </c>
      <c r="AX267">
        <v>8.9176000000000002</v>
      </c>
      <c r="AY267">
        <v>1</v>
      </c>
      <c r="AZ267">
        <v>5739.5327386214849</v>
      </c>
      <c r="BA267">
        <v>1.0071061377552519</v>
      </c>
      <c r="BB267" s="63">
        <v>5780.3185999999996</v>
      </c>
      <c r="BC267" s="61">
        <v>21.425969735759359</v>
      </c>
    </row>
    <row r="268" spans="1:55" x14ac:dyDescent="0.25">
      <c r="A268">
        <v>40729</v>
      </c>
      <c r="B268" t="s">
        <v>138</v>
      </c>
      <c r="C268">
        <v>2017</v>
      </c>
      <c r="D268">
        <v>12</v>
      </c>
      <c r="E268" t="s">
        <v>51</v>
      </c>
      <c r="F268" t="s">
        <v>449</v>
      </c>
      <c r="G268" t="s">
        <v>84</v>
      </c>
      <c r="H268" t="s">
        <v>381</v>
      </c>
      <c r="I268" t="s">
        <v>427</v>
      </c>
      <c r="J268">
        <v>-4.2692925700000002</v>
      </c>
      <c r="K268" t="s">
        <v>440</v>
      </c>
      <c r="L268" t="s">
        <v>450</v>
      </c>
      <c r="M268">
        <v>0.15011157993331001</v>
      </c>
      <c r="N268">
        <v>0.64087025264055442</v>
      </c>
      <c r="O268">
        <v>29976.978999999999</v>
      </c>
      <c r="P268">
        <v>1.6679465999999999E-5</v>
      </c>
      <c r="Q268">
        <v>1</v>
      </c>
      <c r="R268" s="61">
        <v>0.64087025264055442</v>
      </c>
      <c r="S268" t="s">
        <v>342</v>
      </c>
      <c r="T268" t="s">
        <v>434</v>
      </c>
      <c r="U268" t="s">
        <v>425</v>
      </c>
      <c r="V268" t="s">
        <v>26</v>
      </c>
      <c r="W268">
        <v>111.133</v>
      </c>
      <c r="X268">
        <v>1.0155396203574489</v>
      </c>
      <c r="Y268">
        <v>112.8599646291844</v>
      </c>
      <c r="Z268">
        <v>661.2</v>
      </c>
      <c r="AA268">
        <v>1</v>
      </c>
      <c r="AB268">
        <v>74.623008612816719</v>
      </c>
      <c r="AC268">
        <v>1.012368394153123</v>
      </c>
      <c r="AD268" s="63">
        <v>75.546000000000006</v>
      </c>
      <c r="AE268">
        <v>8.9176000000000002</v>
      </c>
      <c r="AF268">
        <v>9.0561761184995895</v>
      </c>
      <c r="AG268">
        <v>1</v>
      </c>
      <c r="AH268">
        <v>5987.9436495519294</v>
      </c>
      <c r="AI268">
        <v>0.99404987733863315</v>
      </c>
      <c r="AJ268" s="63">
        <v>5952.3146999999999</v>
      </c>
      <c r="AK268" s="61">
        <v>3814.6614255850859</v>
      </c>
      <c r="AL268" t="s">
        <v>342</v>
      </c>
      <c r="AM268" t="s">
        <v>434</v>
      </c>
      <c r="AN268" t="s">
        <v>425</v>
      </c>
      <c r="AO268" t="s">
        <v>26</v>
      </c>
      <c r="AP268">
        <v>111.133</v>
      </c>
      <c r="AQ268">
        <v>1.0155396203574489</v>
      </c>
      <c r="AR268">
        <v>112.8599646291844</v>
      </c>
      <c r="AS268">
        <v>638.13</v>
      </c>
      <c r="AT268">
        <v>1</v>
      </c>
      <c r="AU268">
        <v>72.019329228821434</v>
      </c>
      <c r="AV268">
        <v>1.012368394153123</v>
      </c>
      <c r="AW268" s="63">
        <v>72.91</v>
      </c>
      <c r="AX268">
        <v>8.9176000000000002</v>
      </c>
      <c r="AY268">
        <v>1</v>
      </c>
      <c r="AZ268">
        <v>5779.0176664981427</v>
      </c>
      <c r="BA268">
        <v>0.99404987733863315</v>
      </c>
      <c r="BB268" s="63">
        <v>5744.6318000000001</v>
      </c>
      <c r="BC268" s="61">
        <v>3681.563632992963</v>
      </c>
    </row>
    <row r="269" spans="1:55" x14ac:dyDescent="0.25">
      <c r="A269">
        <v>40730</v>
      </c>
      <c r="B269" t="s">
        <v>138</v>
      </c>
      <c r="C269">
        <v>2017</v>
      </c>
      <c r="D269">
        <v>12</v>
      </c>
      <c r="E269" t="s">
        <v>51</v>
      </c>
      <c r="F269" t="s">
        <v>449</v>
      </c>
      <c r="G269" t="s">
        <v>84</v>
      </c>
      <c r="H269" t="s">
        <v>381</v>
      </c>
      <c r="I269" t="s">
        <v>427</v>
      </c>
      <c r="J269">
        <v>-4.2692925700000002</v>
      </c>
      <c r="K269" t="s">
        <v>440</v>
      </c>
      <c r="L269" t="s">
        <v>384</v>
      </c>
      <c r="M269">
        <v>4.5811354346740003E-2</v>
      </c>
      <c r="N269">
        <v>0.19558207466102609</v>
      </c>
      <c r="O269">
        <v>29976.978999999999</v>
      </c>
      <c r="P269">
        <v>1.6679465999999999E-5</v>
      </c>
      <c r="Q269">
        <v>1</v>
      </c>
      <c r="R269" s="61">
        <v>0.19558207466102609</v>
      </c>
      <c r="S269" t="s">
        <v>342</v>
      </c>
      <c r="T269" t="s">
        <v>434</v>
      </c>
      <c r="U269" t="s">
        <v>425</v>
      </c>
      <c r="V269" t="s">
        <v>81</v>
      </c>
      <c r="W269">
        <v>111.133</v>
      </c>
      <c r="X269">
        <v>1.0155396203574489</v>
      </c>
      <c r="Y269">
        <v>112.8599646291844</v>
      </c>
      <c r="Z269">
        <v>661.2</v>
      </c>
      <c r="AA269">
        <v>1</v>
      </c>
      <c r="AB269">
        <v>74.623008612816719</v>
      </c>
      <c r="AC269">
        <v>0.95185525912296853</v>
      </c>
      <c r="AD269" s="63">
        <v>71.03</v>
      </c>
      <c r="AE269">
        <v>8.9176000000000002</v>
      </c>
      <c r="AF269">
        <v>9.0561761184995895</v>
      </c>
      <c r="AG269">
        <v>1</v>
      </c>
      <c r="AH269">
        <v>5987.9436495519294</v>
      </c>
      <c r="AI269">
        <v>1.081469419077697</v>
      </c>
      <c r="AJ269" s="63">
        <v>6475.7779</v>
      </c>
      <c r="AK269" s="61">
        <v>1266.5460767260231</v>
      </c>
      <c r="AL269" t="s">
        <v>342</v>
      </c>
      <c r="AM269" t="s">
        <v>434</v>
      </c>
      <c r="AN269" t="s">
        <v>425</v>
      </c>
      <c r="AO269" t="s">
        <v>81</v>
      </c>
      <c r="AP269">
        <v>111.133</v>
      </c>
      <c r="AQ269">
        <v>1.0155396203574489</v>
      </c>
      <c r="AR269">
        <v>112.8599646291844</v>
      </c>
      <c r="AS269">
        <v>638.13</v>
      </c>
      <c r="AT269">
        <v>1</v>
      </c>
      <c r="AU269">
        <v>72.019329228821434</v>
      </c>
      <c r="AV269">
        <v>0.95185525912296853</v>
      </c>
      <c r="AW269" s="63">
        <v>68.552000000000007</v>
      </c>
      <c r="AX269">
        <v>8.9176000000000002</v>
      </c>
      <c r="AY269">
        <v>1</v>
      </c>
      <c r="AZ269">
        <v>5779.0176664981427</v>
      </c>
      <c r="BA269">
        <v>1.081469419077697</v>
      </c>
      <c r="BB269" s="63">
        <v>6249.8308999999999</v>
      </c>
      <c r="BC269" s="61">
        <v>1222.354893702588</v>
      </c>
    </row>
    <row r="270" spans="1:55" x14ac:dyDescent="0.25">
      <c r="A270">
        <v>40731</v>
      </c>
      <c r="B270" t="s">
        <v>138</v>
      </c>
      <c r="C270">
        <v>2017</v>
      </c>
      <c r="D270">
        <v>12</v>
      </c>
      <c r="E270" t="s">
        <v>51</v>
      </c>
      <c r="F270" t="s">
        <v>449</v>
      </c>
      <c r="G270" t="s">
        <v>84</v>
      </c>
      <c r="H270" t="s">
        <v>381</v>
      </c>
      <c r="I270" t="s">
        <v>427</v>
      </c>
      <c r="J270">
        <v>-4.2692925700000002</v>
      </c>
      <c r="K270" t="s">
        <v>440</v>
      </c>
      <c r="L270" t="s">
        <v>385</v>
      </c>
      <c r="M270">
        <v>0.43232641346992001</v>
      </c>
      <c r="N270">
        <v>1.845727944151571</v>
      </c>
      <c r="O270">
        <v>29976.978999999999</v>
      </c>
      <c r="P270">
        <v>1.6679465999999999E-5</v>
      </c>
      <c r="Q270">
        <v>1</v>
      </c>
      <c r="R270" s="61">
        <v>1.845727944151571</v>
      </c>
      <c r="S270" t="s">
        <v>342</v>
      </c>
      <c r="T270" t="s">
        <v>434</v>
      </c>
      <c r="U270" t="s">
        <v>425</v>
      </c>
      <c r="V270" t="s">
        <v>27</v>
      </c>
      <c r="W270">
        <v>111.133</v>
      </c>
      <c r="X270">
        <v>1.0155396203574489</v>
      </c>
      <c r="Y270">
        <v>112.8599646291844</v>
      </c>
      <c r="Z270">
        <v>661.2</v>
      </c>
      <c r="AA270">
        <v>1</v>
      </c>
      <c r="AB270">
        <v>74.623008612816719</v>
      </c>
      <c r="AC270">
        <v>1.0016354901359501</v>
      </c>
      <c r="AD270" s="63">
        <v>74.745000000000005</v>
      </c>
      <c r="AE270">
        <v>8.9176000000000002</v>
      </c>
      <c r="AF270">
        <v>9.0561761184995895</v>
      </c>
      <c r="AG270">
        <v>1</v>
      </c>
      <c r="AH270">
        <v>5987.9436495519294</v>
      </c>
      <c r="AI270">
        <v>1.016194415745886</v>
      </c>
      <c r="AJ270" s="63">
        <v>6084.9148999999998</v>
      </c>
      <c r="AK270" s="61">
        <v>11231.097468714261</v>
      </c>
      <c r="AL270" t="s">
        <v>342</v>
      </c>
      <c r="AM270" t="s">
        <v>434</v>
      </c>
      <c r="AN270" t="s">
        <v>425</v>
      </c>
      <c r="AO270" t="s">
        <v>27</v>
      </c>
      <c r="AP270">
        <v>111.133</v>
      </c>
      <c r="AQ270">
        <v>1.0155396203574489</v>
      </c>
      <c r="AR270">
        <v>112.8599646291844</v>
      </c>
      <c r="AS270">
        <v>638.13</v>
      </c>
      <c r="AT270">
        <v>1</v>
      </c>
      <c r="AU270">
        <v>72.019329228821434</v>
      </c>
      <c r="AV270">
        <v>1.0016354901359501</v>
      </c>
      <c r="AW270" s="63">
        <v>72.137</v>
      </c>
      <c r="AX270">
        <v>8.9176000000000002</v>
      </c>
      <c r="AY270">
        <v>1</v>
      </c>
      <c r="AZ270">
        <v>5779.0176664981427</v>
      </c>
      <c r="BA270">
        <v>1.016194415745886</v>
      </c>
      <c r="BB270" s="63">
        <v>5872.6054999999997</v>
      </c>
      <c r="BC270" s="61">
        <v>10839.23207632821</v>
      </c>
    </row>
    <row r="271" spans="1:55" x14ac:dyDescent="0.25">
      <c r="A271">
        <v>40732</v>
      </c>
      <c r="B271" t="s">
        <v>138</v>
      </c>
      <c r="C271">
        <v>2017</v>
      </c>
      <c r="D271">
        <v>12</v>
      </c>
      <c r="E271" t="s">
        <v>51</v>
      </c>
      <c r="F271" t="s">
        <v>449</v>
      </c>
      <c r="G271" t="s">
        <v>84</v>
      </c>
      <c r="H271" t="s">
        <v>381</v>
      </c>
      <c r="I271" t="s">
        <v>427</v>
      </c>
      <c r="J271">
        <v>-4.2692925700000002</v>
      </c>
      <c r="K271" t="s">
        <v>440</v>
      </c>
      <c r="L271" t="s">
        <v>451</v>
      </c>
      <c r="M271">
        <v>1.6825115802299999E-3</v>
      </c>
      <c r="N271">
        <v>7.1831341857283874E-3</v>
      </c>
      <c r="O271">
        <v>29976.978999999999</v>
      </c>
      <c r="P271">
        <v>1.6679465999999999E-5</v>
      </c>
      <c r="Q271">
        <v>1</v>
      </c>
      <c r="R271" s="61">
        <v>7.1831341857283874E-3</v>
      </c>
      <c r="S271" t="s">
        <v>342</v>
      </c>
      <c r="T271" t="s">
        <v>434</v>
      </c>
      <c r="U271" t="s">
        <v>425</v>
      </c>
      <c r="V271" t="s">
        <v>91</v>
      </c>
      <c r="W271">
        <v>111.133</v>
      </c>
      <c r="X271">
        <v>1.0155396203574489</v>
      </c>
      <c r="Y271">
        <v>112.8599646291844</v>
      </c>
      <c r="Z271">
        <v>661.2</v>
      </c>
      <c r="AA271">
        <v>1</v>
      </c>
      <c r="AB271">
        <v>74.623008612816719</v>
      </c>
      <c r="AC271">
        <v>1.02984769498109</v>
      </c>
      <c r="AD271" s="63">
        <v>76.849999999999994</v>
      </c>
      <c r="AE271">
        <v>8.9176000000000002</v>
      </c>
      <c r="AF271">
        <v>9.0561761184995895</v>
      </c>
      <c r="AG271">
        <v>1</v>
      </c>
      <c r="AH271">
        <v>5987.9436495519294</v>
      </c>
      <c r="AI271">
        <v>0.9935711161666545</v>
      </c>
      <c r="AJ271" s="63">
        <v>5949.4479000000001</v>
      </c>
      <c r="AK271" s="61">
        <v>42.735682596699966</v>
      </c>
      <c r="AL271" t="s">
        <v>342</v>
      </c>
      <c r="AM271" t="s">
        <v>434</v>
      </c>
      <c r="AN271" t="s">
        <v>425</v>
      </c>
      <c r="AO271" t="s">
        <v>91</v>
      </c>
      <c r="AP271">
        <v>111.133</v>
      </c>
      <c r="AQ271">
        <v>1.0155396203574489</v>
      </c>
      <c r="AR271">
        <v>112.8599646291844</v>
      </c>
      <c r="AS271">
        <v>638.13</v>
      </c>
      <c r="AT271">
        <v>1</v>
      </c>
      <c r="AU271">
        <v>72.019329228821434</v>
      </c>
      <c r="AV271">
        <v>1.02984769498109</v>
      </c>
      <c r="AW271" s="63">
        <v>74.168999999999997</v>
      </c>
      <c r="AX271">
        <v>8.9176000000000002</v>
      </c>
      <c r="AY271">
        <v>1</v>
      </c>
      <c r="AZ271">
        <v>5779.0176664981427</v>
      </c>
      <c r="BA271">
        <v>0.9935711161666545</v>
      </c>
      <c r="BB271" s="63">
        <v>5741.8649999999998</v>
      </c>
      <c r="BC271" s="61">
        <v>41.244586771337318</v>
      </c>
    </row>
    <row r="272" spans="1:55" x14ac:dyDescent="0.25">
      <c r="A272">
        <v>40733</v>
      </c>
      <c r="B272" t="s">
        <v>138</v>
      </c>
      <c r="C272">
        <v>2017</v>
      </c>
      <c r="D272">
        <v>12</v>
      </c>
      <c r="E272" t="s">
        <v>51</v>
      </c>
      <c r="F272" t="s">
        <v>449</v>
      </c>
      <c r="G272" t="s">
        <v>84</v>
      </c>
      <c r="H272" t="s">
        <v>381</v>
      </c>
      <c r="I272" t="s">
        <v>427</v>
      </c>
      <c r="J272">
        <v>-4.2692925700000002</v>
      </c>
      <c r="K272" t="s">
        <v>440</v>
      </c>
      <c r="L272" t="s">
        <v>452</v>
      </c>
      <c r="M272">
        <v>1.53682162831E-3</v>
      </c>
      <c r="N272">
        <v>6.5611411567053019E-3</v>
      </c>
      <c r="O272">
        <v>29976.978999999999</v>
      </c>
      <c r="P272">
        <v>1.6679465999999999E-5</v>
      </c>
      <c r="Q272">
        <v>1</v>
      </c>
      <c r="R272" s="61">
        <v>6.5611411567053019E-3</v>
      </c>
      <c r="S272" t="s">
        <v>342</v>
      </c>
      <c r="T272" t="s">
        <v>434</v>
      </c>
      <c r="U272" t="s">
        <v>425</v>
      </c>
      <c r="V272" t="s">
        <v>28</v>
      </c>
      <c r="W272">
        <v>111.133</v>
      </c>
      <c r="X272">
        <v>1.0155396203574489</v>
      </c>
      <c r="Y272">
        <v>112.8599646291844</v>
      </c>
      <c r="Z272">
        <v>661.2</v>
      </c>
      <c r="AA272">
        <v>1</v>
      </c>
      <c r="AB272">
        <v>74.623008612816719</v>
      </c>
      <c r="AC272">
        <v>1.0451804150056221</v>
      </c>
      <c r="AD272" s="63">
        <v>77.995000000000005</v>
      </c>
      <c r="AE272">
        <v>8.9176000000000002</v>
      </c>
      <c r="AF272">
        <v>9.0561761184995895</v>
      </c>
      <c r="AG272">
        <v>1</v>
      </c>
      <c r="AH272">
        <v>5987.9436495519294</v>
      </c>
      <c r="AI272">
        <v>1.0071061377552519</v>
      </c>
      <c r="AJ272" s="63">
        <v>6030.4948000000004</v>
      </c>
      <c r="AK272" s="61">
        <v>39.566927627577307</v>
      </c>
      <c r="AL272" t="s">
        <v>342</v>
      </c>
      <c r="AM272" t="s">
        <v>434</v>
      </c>
      <c r="AN272" t="s">
        <v>425</v>
      </c>
      <c r="AO272" t="s">
        <v>28</v>
      </c>
      <c r="AP272">
        <v>111.133</v>
      </c>
      <c r="AQ272">
        <v>1.0155396203574489</v>
      </c>
      <c r="AR272">
        <v>112.8599646291844</v>
      </c>
      <c r="AS272">
        <v>638.13</v>
      </c>
      <c r="AT272">
        <v>1</v>
      </c>
      <c r="AU272">
        <v>72.019329228821434</v>
      </c>
      <c r="AV272">
        <v>1.0451804150056221</v>
      </c>
      <c r="AW272" s="63">
        <v>75.272999999999996</v>
      </c>
      <c r="AX272">
        <v>8.9176000000000002</v>
      </c>
      <c r="AY272">
        <v>1</v>
      </c>
      <c r="AZ272">
        <v>5779.0176664981427</v>
      </c>
      <c r="BA272">
        <v>1.0071061377552519</v>
      </c>
      <c r="BB272" s="63">
        <v>5820.0842000000002</v>
      </c>
      <c r="BC272" s="61">
        <v>38.186393980110253</v>
      </c>
    </row>
    <row r="273" spans="1:55" x14ac:dyDescent="0.25">
      <c r="A273">
        <v>40734</v>
      </c>
      <c r="B273" t="s">
        <v>138</v>
      </c>
      <c r="C273">
        <v>2017</v>
      </c>
      <c r="D273">
        <v>12</v>
      </c>
      <c r="E273" t="s">
        <v>51</v>
      </c>
      <c r="F273" t="s">
        <v>449</v>
      </c>
      <c r="G273" t="s">
        <v>84</v>
      </c>
      <c r="H273" t="s">
        <v>87</v>
      </c>
      <c r="I273" t="s">
        <v>427</v>
      </c>
      <c r="J273">
        <v>-0.80701356000000002</v>
      </c>
      <c r="K273" t="s">
        <v>440</v>
      </c>
      <c r="L273" t="s">
        <v>450</v>
      </c>
      <c r="M273">
        <v>0.26601384014995</v>
      </c>
      <c r="N273">
        <v>0.21467677507491001</v>
      </c>
      <c r="O273">
        <v>29976.978999999999</v>
      </c>
      <c r="P273">
        <v>1.6679465999999999E-5</v>
      </c>
      <c r="Q273">
        <v>1</v>
      </c>
      <c r="R273" s="61">
        <v>0.21467677507491001</v>
      </c>
      <c r="S273" t="s">
        <v>342</v>
      </c>
      <c r="T273" t="s">
        <v>434</v>
      </c>
      <c r="U273" t="s">
        <v>425</v>
      </c>
      <c r="V273" t="s">
        <v>26</v>
      </c>
      <c r="W273">
        <v>111.133</v>
      </c>
      <c r="X273">
        <v>1.0155396203574489</v>
      </c>
      <c r="Y273">
        <v>112.8599646291844</v>
      </c>
      <c r="Z273">
        <v>661.2</v>
      </c>
      <c r="AA273">
        <v>1</v>
      </c>
      <c r="AB273">
        <v>74.623008612816719</v>
      </c>
      <c r="AC273">
        <v>1.012368394153123</v>
      </c>
      <c r="AD273" s="63">
        <v>75.546000000000006</v>
      </c>
      <c r="AE273">
        <v>8.9176000000000002</v>
      </c>
      <c r="AF273">
        <v>9.0561761184995895</v>
      </c>
      <c r="AG273">
        <v>1</v>
      </c>
      <c r="AH273">
        <v>5987.9436495519294</v>
      </c>
      <c r="AI273">
        <v>0.99404987733863315</v>
      </c>
      <c r="AJ273" s="63">
        <v>5952.3146999999999</v>
      </c>
      <c r="AK273" s="61">
        <v>1277.82372402698</v>
      </c>
      <c r="AL273" t="s">
        <v>342</v>
      </c>
      <c r="AM273" t="s">
        <v>434</v>
      </c>
      <c r="AN273" t="s">
        <v>425</v>
      </c>
      <c r="AO273" t="s">
        <v>26</v>
      </c>
      <c r="AP273">
        <v>111.133</v>
      </c>
      <c r="AQ273">
        <v>1.0155396203574489</v>
      </c>
      <c r="AR273">
        <v>112.8599646291844</v>
      </c>
      <c r="AS273">
        <v>638.13</v>
      </c>
      <c r="AT273">
        <v>1</v>
      </c>
      <c r="AU273">
        <v>72.019329228821434</v>
      </c>
      <c r="AV273">
        <v>1.012368394153123</v>
      </c>
      <c r="AW273" s="63">
        <v>72.91</v>
      </c>
      <c r="AX273">
        <v>8.9176000000000002</v>
      </c>
      <c r="AY273">
        <v>1</v>
      </c>
      <c r="AZ273">
        <v>5779.0176664981427</v>
      </c>
      <c r="BA273">
        <v>0.99404987733863315</v>
      </c>
      <c r="BB273" s="63">
        <v>5744.6318000000001</v>
      </c>
      <c r="BC273" s="61">
        <v>1233.2390288167751</v>
      </c>
    </row>
    <row r="274" spans="1:55" x14ac:dyDescent="0.25">
      <c r="A274">
        <v>40735</v>
      </c>
      <c r="B274" t="s">
        <v>138</v>
      </c>
      <c r="C274">
        <v>2017</v>
      </c>
      <c r="D274">
        <v>12</v>
      </c>
      <c r="E274" t="s">
        <v>51</v>
      </c>
      <c r="F274" t="s">
        <v>449</v>
      </c>
      <c r="G274" t="s">
        <v>84</v>
      </c>
      <c r="H274" t="s">
        <v>87</v>
      </c>
      <c r="I274" t="s">
        <v>427</v>
      </c>
      <c r="J274">
        <v>-0.80701356000000002</v>
      </c>
      <c r="K274" t="s">
        <v>440</v>
      </c>
      <c r="L274" t="s">
        <v>384</v>
      </c>
      <c r="M274">
        <v>3.9509559941419997E-2</v>
      </c>
      <c r="N274">
        <v>3.188475046287733E-2</v>
      </c>
      <c r="O274">
        <v>29976.978999999999</v>
      </c>
      <c r="P274">
        <v>1.6679465999999999E-5</v>
      </c>
      <c r="Q274">
        <v>1</v>
      </c>
      <c r="R274" s="61">
        <v>3.188475046287733E-2</v>
      </c>
      <c r="S274" t="s">
        <v>342</v>
      </c>
      <c r="T274" t="s">
        <v>434</v>
      </c>
      <c r="U274" t="s">
        <v>425</v>
      </c>
      <c r="V274" t="s">
        <v>81</v>
      </c>
      <c r="W274">
        <v>111.133</v>
      </c>
      <c r="X274">
        <v>1.0155396203574489</v>
      </c>
      <c r="Y274">
        <v>112.8599646291844</v>
      </c>
      <c r="Z274">
        <v>661.2</v>
      </c>
      <c r="AA274">
        <v>1</v>
      </c>
      <c r="AB274">
        <v>74.623008612816719</v>
      </c>
      <c r="AC274">
        <v>0.95185525912296853</v>
      </c>
      <c r="AD274" s="63">
        <v>71.03</v>
      </c>
      <c r="AE274">
        <v>8.9176000000000002</v>
      </c>
      <c r="AF274">
        <v>9.0561761184995895</v>
      </c>
      <c r="AG274">
        <v>1</v>
      </c>
      <c r="AH274">
        <v>5987.9436495519294</v>
      </c>
      <c r="AI274">
        <v>1.081469419077697</v>
      </c>
      <c r="AJ274" s="63">
        <v>6475.7779</v>
      </c>
      <c r="AK274" s="61">
        <v>206.47856239451579</v>
      </c>
      <c r="AL274" t="s">
        <v>342</v>
      </c>
      <c r="AM274" t="s">
        <v>434</v>
      </c>
      <c r="AN274" t="s">
        <v>425</v>
      </c>
      <c r="AO274" t="s">
        <v>81</v>
      </c>
      <c r="AP274">
        <v>111.133</v>
      </c>
      <c r="AQ274">
        <v>1.0155396203574489</v>
      </c>
      <c r="AR274">
        <v>112.8599646291844</v>
      </c>
      <c r="AS274">
        <v>638.13</v>
      </c>
      <c r="AT274">
        <v>1</v>
      </c>
      <c r="AU274">
        <v>72.019329228821434</v>
      </c>
      <c r="AV274">
        <v>0.95185525912296853</v>
      </c>
      <c r="AW274" s="63">
        <v>68.552000000000007</v>
      </c>
      <c r="AX274">
        <v>8.9176000000000002</v>
      </c>
      <c r="AY274">
        <v>1</v>
      </c>
      <c r="AZ274">
        <v>5779.0176664981427</v>
      </c>
      <c r="BA274">
        <v>1.081469419077697</v>
      </c>
      <c r="BB274" s="63">
        <v>6249.8308999999999</v>
      </c>
      <c r="BC274" s="61">
        <v>199.27429868168011</v>
      </c>
    </row>
    <row r="275" spans="1:55" x14ac:dyDescent="0.25">
      <c r="A275">
        <v>40736</v>
      </c>
      <c r="B275" t="s">
        <v>138</v>
      </c>
      <c r="C275">
        <v>2017</v>
      </c>
      <c r="D275">
        <v>12</v>
      </c>
      <c r="E275" t="s">
        <v>51</v>
      </c>
      <c r="F275" t="s">
        <v>449</v>
      </c>
      <c r="G275" t="s">
        <v>84</v>
      </c>
      <c r="H275" t="s">
        <v>87</v>
      </c>
      <c r="I275" t="s">
        <v>427</v>
      </c>
      <c r="J275">
        <v>-0.80701356000000002</v>
      </c>
      <c r="K275" t="s">
        <v>440</v>
      </c>
      <c r="L275" t="s">
        <v>385</v>
      </c>
      <c r="M275">
        <v>0.39737542925016001</v>
      </c>
      <c r="N275">
        <v>0.32068735821168298</v>
      </c>
      <c r="O275">
        <v>29976.978999999999</v>
      </c>
      <c r="P275">
        <v>1.6679465999999999E-5</v>
      </c>
      <c r="Q275">
        <v>1</v>
      </c>
      <c r="R275" s="61">
        <v>0.32068735821168298</v>
      </c>
      <c r="S275" t="s">
        <v>342</v>
      </c>
      <c r="T275" t="s">
        <v>434</v>
      </c>
      <c r="U275" t="s">
        <v>425</v>
      </c>
      <c r="V275" t="s">
        <v>27</v>
      </c>
      <c r="W275">
        <v>111.133</v>
      </c>
      <c r="X275">
        <v>1.0155396203574489</v>
      </c>
      <c r="Y275">
        <v>112.8599646291844</v>
      </c>
      <c r="Z275">
        <v>661.2</v>
      </c>
      <c r="AA275">
        <v>1</v>
      </c>
      <c r="AB275">
        <v>74.623008612816719</v>
      </c>
      <c r="AC275">
        <v>1.0016354901359501</v>
      </c>
      <c r="AD275" s="63">
        <v>74.745000000000005</v>
      </c>
      <c r="AE275">
        <v>8.9176000000000002</v>
      </c>
      <c r="AF275">
        <v>9.0561761184995895</v>
      </c>
      <c r="AG275">
        <v>1</v>
      </c>
      <c r="AH275">
        <v>5987.9436495519294</v>
      </c>
      <c r="AI275">
        <v>1.016194415745886</v>
      </c>
      <c r="AJ275" s="63">
        <v>6084.9148999999998</v>
      </c>
      <c r="AK275" s="61">
        <v>1951.3552842239069</v>
      </c>
      <c r="AL275" t="s">
        <v>342</v>
      </c>
      <c r="AM275" t="s">
        <v>434</v>
      </c>
      <c r="AN275" t="s">
        <v>425</v>
      </c>
      <c r="AO275" t="s">
        <v>27</v>
      </c>
      <c r="AP275">
        <v>111.133</v>
      </c>
      <c r="AQ275">
        <v>1.0155396203574489</v>
      </c>
      <c r="AR275">
        <v>112.8599646291844</v>
      </c>
      <c r="AS275">
        <v>638.13</v>
      </c>
      <c r="AT275">
        <v>1</v>
      </c>
      <c r="AU275">
        <v>72.019329228821434</v>
      </c>
      <c r="AV275">
        <v>1.0016354901359501</v>
      </c>
      <c r="AW275" s="63">
        <v>72.137</v>
      </c>
      <c r="AX275">
        <v>8.9176000000000002</v>
      </c>
      <c r="AY275">
        <v>1</v>
      </c>
      <c r="AZ275">
        <v>5779.0176664981427</v>
      </c>
      <c r="BA275">
        <v>1.016194415745886</v>
      </c>
      <c r="BB275" s="63">
        <v>5872.6054999999997</v>
      </c>
      <c r="BC275" s="61">
        <v>1883.2703436144</v>
      </c>
    </row>
    <row r="276" spans="1:55" x14ac:dyDescent="0.25">
      <c r="A276">
        <v>40737</v>
      </c>
      <c r="B276" t="s">
        <v>138</v>
      </c>
      <c r="C276">
        <v>2017</v>
      </c>
      <c r="D276">
        <v>12</v>
      </c>
      <c r="E276" t="s">
        <v>51</v>
      </c>
      <c r="F276" t="s">
        <v>449</v>
      </c>
      <c r="G276" t="s">
        <v>84</v>
      </c>
      <c r="H276" t="s">
        <v>87</v>
      </c>
      <c r="I276" t="s">
        <v>427</v>
      </c>
      <c r="J276">
        <v>-0.80701356000000002</v>
      </c>
      <c r="K276" t="s">
        <v>440</v>
      </c>
      <c r="L276" t="s">
        <v>452</v>
      </c>
      <c r="M276">
        <v>8.4248020759000004E-4</v>
      </c>
      <c r="N276">
        <v>6.7989294815605072E-4</v>
      </c>
      <c r="O276">
        <v>29976.978999999999</v>
      </c>
      <c r="P276">
        <v>1.6679465999999999E-5</v>
      </c>
      <c r="Q276">
        <v>1</v>
      </c>
      <c r="R276" s="61">
        <v>6.7989294815605072E-4</v>
      </c>
      <c r="S276" t="s">
        <v>342</v>
      </c>
      <c r="T276" t="s">
        <v>434</v>
      </c>
      <c r="U276" t="s">
        <v>425</v>
      </c>
      <c r="V276" t="s">
        <v>28</v>
      </c>
      <c r="W276">
        <v>111.133</v>
      </c>
      <c r="X276">
        <v>1.0155396203574489</v>
      </c>
      <c r="Y276">
        <v>112.8599646291844</v>
      </c>
      <c r="Z276">
        <v>661.2</v>
      </c>
      <c r="AA276">
        <v>1</v>
      </c>
      <c r="AB276">
        <v>74.623008612816719</v>
      </c>
      <c r="AC276">
        <v>1.0451804150056221</v>
      </c>
      <c r="AD276" s="63">
        <v>77.995000000000005</v>
      </c>
      <c r="AE276">
        <v>8.9176000000000002</v>
      </c>
      <c r="AF276">
        <v>9.0561761184995895</v>
      </c>
      <c r="AG276">
        <v>1</v>
      </c>
      <c r="AH276">
        <v>5987.9436495519294</v>
      </c>
      <c r="AI276">
        <v>1.0071061377552519</v>
      </c>
      <c r="AJ276" s="63">
        <v>6030.4948000000004</v>
      </c>
      <c r="AK276" s="61">
        <v>4.1000908884117333</v>
      </c>
      <c r="AL276" t="s">
        <v>342</v>
      </c>
      <c r="AM276" t="s">
        <v>434</v>
      </c>
      <c r="AN276" t="s">
        <v>425</v>
      </c>
      <c r="AO276" t="s">
        <v>28</v>
      </c>
      <c r="AP276">
        <v>111.133</v>
      </c>
      <c r="AQ276">
        <v>1.0155396203574489</v>
      </c>
      <c r="AR276">
        <v>112.8599646291844</v>
      </c>
      <c r="AS276">
        <v>638.13</v>
      </c>
      <c r="AT276">
        <v>1</v>
      </c>
      <c r="AU276">
        <v>72.019329228821434</v>
      </c>
      <c r="AV276">
        <v>1.0451804150056221</v>
      </c>
      <c r="AW276" s="63">
        <v>75.272999999999996</v>
      </c>
      <c r="AX276">
        <v>8.9176000000000002</v>
      </c>
      <c r="AY276">
        <v>1</v>
      </c>
      <c r="AZ276">
        <v>5779.0176664981427</v>
      </c>
      <c r="BA276">
        <v>1.0071061377552519</v>
      </c>
      <c r="BB276" s="63">
        <v>5820.0842000000002</v>
      </c>
      <c r="BC276" s="61">
        <v>3.95703420525445</v>
      </c>
    </row>
    <row r="277" spans="1:55" x14ac:dyDescent="0.25">
      <c r="A277">
        <v>40738</v>
      </c>
      <c r="B277" t="s">
        <v>138</v>
      </c>
      <c r="C277">
        <v>2017</v>
      </c>
      <c r="D277">
        <v>12</v>
      </c>
      <c r="E277" t="s">
        <v>51</v>
      </c>
      <c r="F277" t="s">
        <v>449</v>
      </c>
      <c r="G277" t="s">
        <v>84</v>
      </c>
      <c r="H277" t="s">
        <v>59</v>
      </c>
      <c r="I277" t="s">
        <v>427</v>
      </c>
      <c r="J277">
        <v>-2.5318060500000001</v>
      </c>
      <c r="K277" t="s">
        <v>440</v>
      </c>
      <c r="L277" t="s">
        <v>450</v>
      </c>
      <c r="M277">
        <v>0.15931709696460999</v>
      </c>
      <c r="N277">
        <v>0.4033599903874715</v>
      </c>
      <c r="O277">
        <v>29976.978999999999</v>
      </c>
      <c r="P277">
        <v>1.6679465999999999E-5</v>
      </c>
      <c r="Q277">
        <v>1</v>
      </c>
      <c r="R277" s="61">
        <v>0.4033599903874715</v>
      </c>
      <c r="S277" t="s">
        <v>342</v>
      </c>
      <c r="T277" t="s">
        <v>434</v>
      </c>
      <c r="U277" t="s">
        <v>425</v>
      </c>
      <c r="V277" t="s">
        <v>26</v>
      </c>
      <c r="W277">
        <v>111.133</v>
      </c>
      <c r="X277">
        <v>1.0155396203574489</v>
      </c>
      <c r="Y277">
        <v>112.8599646291844</v>
      </c>
      <c r="Z277">
        <v>661.2</v>
      </c>
      <c r="AA277">
        <v>1</v>
      </c>
      <c r="AB277">
        <v>74.623008612816719</v>
      </c>
      <c r="AC277">
        <v>1.012368394153123</v>
      </c>
      <c r="AD277" s="63">
        <v>75.546000000000006</v>
      </c>
      <c r="AE277">
        <v>8.9176000000000002</v>
      </c>
      <c r="AF277">
        <v>9.0561761184995895</v>
      </c>
      <c r="AG277">
        <v>1</v>
      </c>
      <c r="AH277">
        <v>5987.9436495519294</v>
      </c>
      <c r="AI277">
        <v>0.99404987733863315</v>
      </c>
      <c r="AJ277" s="63">
        <v>5952.3146999999999</v>
      </c>
      <c r="AK277" s="61">
        <v>2400.9256001752051</v>
      </c>
      <c r="AL277" t="s">
        <v>342</v>
      </c>
      <c r="AM277" t="s">
        <v>434</v>
      </c>
      <c r="AN277" t="s">
        <v>425</v>
      </c>
      <c r="AO277" t="s">
        <v>26</v>
      </c>
      <c r="AP277">
        <v>111.133</v>
      </c>
      <c r="AQ277">
        <v>1.0155396203574489</v>
      </c>
      <c r="AR277">
        <v>112.8599646291844</v>
      </c>
      <c r="AS277">
        <v>638.13</v>
      </c>
      <c r="AT277">
        <v>1</v>
      </c>
      <c r="AU277">
        <v>72.019329228821434</v>
      </c>
      <c r="AV277">
        <v>1.012368394153123</v>
      </c>
      <c r="AW277" s="63">
        <v>72.91</v>
      </c>
      <c r="AX277">
        <v>8.9176000000000002</v>
      </c>
      <c r="AY277">
        <v>1</v>
      </c>
      <c r="AZ277">
        <v>5779.0176664981427</v>
      </c>
      <c r="BA277">
        <v>0.99404987733863315</v>
      </c>
      <c r="BB277" s="63">
        <v>5744.6318000000001</v>
      </c>
      <c r="BC277" s="61">
        <v>2317.1546276275631</v>
      </c>
    </row>
    <row r="278" spans="1:55" x14ac:dyDescent="0.25">
      <c r="A278">
        <v>40739</v>
      </c>
      <c r="B278" t="s">
        <v>138</v>
      </c>
      <c r="C278">
        <v>2017</v>
      </c>
      <c r="D278">
        <v>12</v>
      </c>
      <c r="E278" t="s">
        <v>51</v>
      </c>
      <c r="F278" t="s">
        <v>449</v>
      </c>
      <c r="G278" t="s">
        <v>84</v>
      </c>
      <c r="H278" t="s">
        <v>59</v>
      </c>
      <c r="I278" t="s">
        <v>427</v>
      </c>
      <c r="J278">
        <v>-2.5318060500000001</v>
      </c>
      <c r="K278" t="s">
        <v>440</v>
      </c>
      <c r="L278" t="s">
        <v>384</v>
      </c>
      <c r="M278">
        <v>4.1785183859599999E-2</v>
      </c>
      <c r="N278">
        <v>0.1057919814073123</v>
      </c>
      <c r="O278">
        <v>29976.978999999999</v>
      </c>
      <c r="P278">
        <v>1.6679465999999999E-5</v>
      </c>
      <c r="Q278">
        <v>1</v>
      </c>
      <c r="R278" s="61">
        <v>0.1057919814073123</v>
      </c>
      <c r="S278" t="s">
        <v>342</v>
      </c>
      <c r="T278" t="s">
        <v>434</v>
      </c>
      <c r="U278" t="s">
        <v>425</v>
      </c>
      <c r="V278" t="s">
        <v>81</v>
      </c>
      <c r="W278">
        <v>111.133</v>
      </c>
      <c r="X278">
        <v>1.0155396203574489</v>
      </c>
      <c r="Y278">
        <v>112.8599646291844</v>
      </c>
      <c r="Z278">
        <v>661.2</v>
      </c>
      <c r="AA278">
        <v>1</v>
      </c>
      <c r="AB278">
        <v>74.623008612816719</v>
      </c>
      <c r="AC278">
        <v>0.95185525912296853</v>
      </c>
      <c r="AD278" s="63">
        <v>71.03</v>
      </c>
      <c r="AE278">
        <v>8.9176000000000002</v>
      </c>
      <c r="AF278">
        <v>9.0561761184995895</v>
      </c>
      <c r="AG278">
        <v>1</v>
      </c>
      <c r="AH278">
        <v>5987.9436495519294</v>
      </c>
      <c r="AI278">
        <v>1.081469419077697</v>
      </c>
      <c r="AJ278" s="63">
        <v>6475.7779</v>
      </c>
      <c r="AK278" s="61">
        <v>685.08537519468359</v>
      </c>
      <c r="AL278" t="s">
        <v>342</v>
      </c>
      <c r="AM278" t="s">
        <v>434</v>
      </c>
      <c r="AN278" t="s">
        <v>425</v>
      </c>
      <c r="AO278" t="s">
        <v>81</v>
      </c>
      <c r="AP278">
        <v>111.133</v>
      </c>
      <c r="AQ278">
        <v>1.0155396203574489</v>
      </c>
      <c r="AR278">
        <v>112.8599646291844</v>
      </c>
      <c r="AS278">
        <v>638.13</v>
      </c>
      <c r="AT278">
        <v>1</v>
      </c>
      <c r="AU278">
        <v>72.019329228821434</v>
      </c>
      <c r="AV278">
        <v>0.95185525912296853</v>
      </c>
      <c r="AW278" s="63">
        <v>68.552000000000007</v>
      </c>
      <c r="AX278">
        <v>8.9176000000000002</v>
      </c>
      <c r="AY278">
        <v>1</v>
      </c>
      <c r="AZ278">
        <v>5779.0176664981427</v>
      </c>
      <c r="BA278">
        <v>1.081469419077697</v>
      </c>
      <c r="BB278" s="63">
        <v>6249.8308999999999</v>
      </c>
      <c r="BC278" s="61">
        <v>661.1819943716456</v>
      </c>
    </row>
    <row r="279" spans="1:55" x14ac:dyDescent="0.25">
      <c r="A279">
        <v>40740</v>
      </c>
      <c r="B279" t="s">
        <v>138</v>
      </c>
      <c r="C279">
        <v>2017</v>
      </c>
      <c r="D279">
        <v>12</v>
      </c>
      <c r="E279" t="s">
        <v>51</v>
      </c>
      <c r="F279" t="s">
        <v>449</v>
      </c>
      <c r="G279" t="s">
        <v>84</v>
      </c>
      <c r="H279" t="s">
        <v>59</v>
      </c>
      <c r="I279" t="s">
        <v>427</v>
      </c>
      <c r="J279">
        <v>-2.5318060500000001</v>
      </c>
      <c r="K279" t="s">
        <v>440</v>
      </c>
      <c r="L279" t="s">
        <v>385</v>
      </c>
      <c r="M279">
        <v>0.43497567483749999</v>
      </c>
      <c r="N279">
        <v>1.1012740463141379</v>
      </c>
      <c r="O279">
        <v>29976.978999999999</v>
      </c>
      <c r="P279">
        <v>1.6679465999999999E-5</v>
      </c>
      <c r="Q279">
        <v>1</v>
      </c>
      <c r="R279" s="61">
        <v>1.1012740463141379</v>
      </c>
      <c r="S279" t="s">
        <v>342</v>
      </c>
      <c r="T279" t="s">
        <v>434</v>
      </c>
      <c r="U279" t="s">
        <v>425</v>
      </c>
      <c r="V279" t="s">
        <v>27</v>
      </c>
      <c r="W279">
        <v>111.133</v>
      </c>
      <c r="X279">
        <v>1.0155396203574489</v>
      </c>
      <c r="Y279">
        <v>112.8599646291844</v>
      </c>
      <c r="Z279">
        <v>661.2</v>
      </c>
      <c r="AA279">
        <v>1</v>
      </c>
      <c r="AB279">
        <v>74.623008612816719</v>
      </c>
      <c r="AC279">
        <v>1.0016354901359501</v>
      </c>
      <c r="AD279" s="63">
        <v>74.745000000000005</v>
      </c>
      <c r="AE279">
        <v>8.9176000000000002</v>
      </c>
      <c r="AF279">
        <v>9.0561761184995895</v>
      </c>
      <c r="AG279">
        <v>1</v>
      </c>
      <c r="AH279">
        <v>5987.9436495519294</v>
      </c>
      <c r="AI279">
        <v>1.016194415745886</v>
      </c>
      <c r="AJ279" s="63">
        <v>6084.9148999999998</v>
      </c>
      <c r="AK279" s="61">
        <v>6701.1588534001876</v>
      </c>
      <c r="AL279" t="s">
        <v>342</v>
      </c>
      <c r="AM279" t="s">
        <v>434</v>
      </c>
      <c r="AN279" t="s">
        <v>425</v>
      </c>
      <c r="AO279" t="s">
        <v>27</v>
      </c>
      <c r="AP279">
        <v>111.133</v>
      </c>
      <c r="AQ279">
        <v>1.0155396203574489</v>
      </c>
      <c r="AR279">
        <v>112.8599646291844</v>
      </c>
      <c r="AS279">
        <v>638.13</v>
      </c>
      <c r="AT279">
        <v>1</v>
      </c>
      <c r="AU279">
        <v>72.019329228821434</v>
      </c>
      <c r="AV279">
        <v>1.0016354901359501</v>
      </c>
      <c r="AW279" s="63">
        <v>72.137</v>
      </c>
      <c r="AX279">
        <v>8.9176000000000002</v>
      </c>
      <c r="AY279">
        <v>1</v>
      </c>
      <c r="AZ279">
        <v>5779.0176664981427</v>
      </c>
      <c r="BA279">
        <v>1.016194415745886</v>
      </c>
      <c r="BB279" s="63">
        <v>5872.6054999999997</v>
      </c>
      <c r="BC279" s="61">
        <v>6467.348021391661</v>
      </c>
    </row>
    <row r="280" spans="1:55" x14ac:dyDescent="0.25">
      <c r="A280">
        <v>40741</v>
      </c>
      <c r="B280" t="s">
        <v>138</v>
      </c>
      <c r="C280">
        <v>2017</v>
      </c>
      <c r="D280">
        <v>12</v>
      </c>
      <c r="E280" t="s">
        <v>51</v>
      </c>
      <c r="F280" t="s">
        <v>449</v>
      </c>
      <c r="G280" t="s">
        <v>84</v>
      </c>
      <c r="H280" t="s">
        <v>59</v>
      </c>
      <c r="I280" t="s">
        <v>427</v>
      </c>
      <c r="J280">
        <v>-2.5318060500000001</v>
      </c>
      <c r="K280" t="s">
        <v>440</v>
      </c>
      <c r="L280" t="s">
        <v>451</v>
      </c>
      <c r="M280">
        <v>1.7625750762999999E-3</v>
      </c>
      <c r="N280">
        <v>4.4624982464467871E-3</v>
      </c>
      <c r="O280">
        <v>29976.978999999999</v>
      </c>
      <c r="P280">
        <v>1.6679465999999999E-5</v>
      </c>
      <c r="Q280">
        <v>1</v>
      </c>
      <c r="R280" s="61">
        <v>4.4624982464467871E-3</v>
      </c>
      <c r="S280" t="s">
        <v>342</v>
      </c>
      <c r="T280" t="s">
        <v>434</v>
      </c>
      <c r="U280" t="s">
        <v>425</v>
      </c>
      <c r="V280" t="s">
        <v>91</v>
      </c>
      <c r="W280">
        <v>111.133</v>
      </c>
      <c r="X280">
        <v>1.0155396203574489</v>
      </c>
      <c r="Y280">
        <v>112.8599646291844</v>
      </c>
      <c r="Z280">
        <v>661.2</v>
      </c>
      <c r="AA280">
        <v>1</v>
      </c>
      <c r="AB280">
        <v>74.623008612816719</v>
      </c>
      <c r="AC280">
        <v>1.02984769498109</v>
      </c>
      <c r="AD280" s="63">
        <v>76.849999999999994</v>
      </c>
      <c r="AE280">
        <v>8.9176000000000002</v>
      </c>
      <c r="AF280">
        <v>9.0561761184995895</v>
      </c>
      <c r="AG280">
        <v>1</v>
      </c>
      <c r="AH280">
        <v>5987.9436495519294</v>
      </c>
      <c r="AI280">
        <v>0.9935711161666545</v>
      </c>
      <c r="AJ280" s="63">
        <v>5949.4479000000001</v>
      </c>
      <c r="AK280" s="61">
        <v>26.549400821076521</v>
      </c>
      <c r="AL280" t="s">
        <v>342</v>
      </c>
      <c r="AM280" t="s">
        <v>434</v>
      </c>
      <c r="AN280" t="s">
        <v>425</v>
      </c>
      <c r="AO280" t="s">
        <v>91</v>
      </c>
      <c r="AP280">
        <v>111.133</v>
      </c>
      <c r="AQ280">
        <v>1.0155396203574489</v>
      </c>
      <c r="AR280">
        <v>112.8599646291844</v>
      </c>
      <c r="AS280">
        <v>638.13</v>
      </c>
      <c r="AT280">
        <v>1</v>
      </c>
      <c r="AU280">
        <v>72.019329228821434</v>
      </c>
      <c r="AV280">
        <v>1.02984769498109</v>
      </c>
      <c r="AW280" s="63">
        <v>74.168999999999997</v>
      </c>
      <c r="AX280">
        <v>8.9176000000000002</v>
      </c>
      <c r="AY280">
        <v>1</v>
      </c>
      <c r="AZ280">
        <v>5779.0176664981427</v>
      </c>
      <c r="BA280">
        <v>0.9935711161666545</v>
      </c>
      <c r="BB280" s="63">
        <v>5741.8649999999998</v>
      </c>
      <c r="BC280" s="61">
        <v>25.62306249383418</v>
      </c>
    </row>
    <row r="281" spans="1:55" x14ac:dyDescent="0.25">
      <c r="A281">
        <v>40742</v>
      </c>
      <c r="B281" t="s">
        <v>138</v>
      </c>
      <c r="C281">
        <v>2017</v>
      </c>
      <c r="D281">
        <v>12</v>
      </c>
      <c r="E281" t="s">
        <v>51</v>
      </c>
      <c r="F281" t="s">
        <v>449</v>
      </c>
      <c r="G281" t="s">
        <v>84</v>
      </c>
      <c r="H281" t="s">
        <v>59</v>
      </c>
      <c r="I281" t="s">
        <v>427</v>
      </c>
      <c r="J281">
        <v>-2.5318060500000001</v>
      </c>
      <c r="K281" t="s">
        <v>440</v>
      </c>
      <c r="L281" t="s">
        <v>452</v>
      </c>
      <c r="M281">
        <v>1.4858046103299999E-3</v>
      </c>
      <c r="N281">
        <v>3.7617691055059749E-3</v>
      </c>
      <c r="O281">
        <v>29976.978999999999</v>
      </c>
      <c r="P281">
        <v>1.6679465999999999E-5</v>
      </c>
      <c r="Q281">
        <v>1</v>
      </c>
      <c r="R281" s="61">
        <v>3.7617691055059749E-3</v>
      </c>
      <c r="S281" t="s">
        <v>342</v>
      </c>
      <c r="T281" t="s">
        <v>434</v>
      </c>
      <c r="U281" t="s">
        <v>425</v>
      </c>
      <c r="V281" t="s">
        <v>28</v>
      </c>
      <c r="W281">
        <v>111.133</v>
      </c>
      <c r="X281">
        <v>1.0155396203574489</v>
      </c>
      <c r="Y281">
        <v>112.8599646291844</v>
      </c>
      <c r="Z281">
        <v>661.2</v>
      </c>
      <c r="AA281">
        <v>1</v>
      </c>
      <c r="AB281">
        <v>74.623008612816719</v>
      </c>
      <c r="AC281">
        <v>1.0451804150056221</v>
      </c>
      <c r="AD281" s="63">
        <v>77.995000000000005</v>
      </c>
      <c r="AE281">
        <v>8.9176000000000002</v>
      </c>
      <c r="AF281">
        <v>9.0561761184995895</v>
      </c>
      <c r="AG281">
        <v>1</v>
      </c>
      <c r="AH281">
        <v>5987.9436495519294</v>
      </c>
      <c r="AI281">
        <v>1.0071061377552519</v>
      </c>
      <c r="AJ281" s="63">
        <v>6030.4948000000004</v>
      </c>
      <c r="AK281" s="61">
        <v>22.685329029554431</v>
      </c>
      <c r="AL281" t="s">
        <v>342</v>
      </c>
      <c r="AM281" t="s">
        <v>434</v>
      </c>
      <c r="AN281" t="s">
        <v>425</v>
      </c>
      <c r="AO281" t="s">
        <v>28</v>
      </c>
      <c r="AP281">
        <v>111.133</v>
      </c>
      <c r="AQ281">
        <v>1.0155396203574489</v>
      </c>
      <c r="AR281">
        <v>112.8599646291844</v>
      </c>
      <c r="AS281">
        <v>638.13</v>
      </c>
      <c r="AT281">
        <v>1</v>
      </c>
      <c r="AU281">
        <v>72.019329228821434</v>
      </c>
      <c r="AV281">
        <v>1.0451804150056221</v>
      </c>
      <c r="AW281" s="63">
        <v>75.272999999999996</v>
      </c>
      <c r="AX281">
        <v>8.9176000000000002</v>
      </c>
      <c r="AY281">
        <v>1</v>
      </c>
      <c r="AZ281">
        <v>5779.0176664981427</v>
      </c>
      <c r="BA281">
        <v>1.0071061377552519</v>
      </c>
      <c r="BB281" s="63">
        <v>5820.0842000000002</v>
      </c>
      <c r="BC281" s="61">
        <v>21.89381293500346</v>
      </c>
    </row>
    <row r="282" spans="1:55" x14ac:dyDescent="0.25">
      <c r="A282">
        <v>43319</v>
      </c>
      <c r="B282" t="s">
        <v>119</v>
      </c>
      <c r="C282">
        <v>2018</v>
      </c>
      <c r="D282">
        <v>1</v>
      </c>
      <c r="E282" t="s">
        <v>100</v>
      </c>
      <c r="F282" t="s">
        <v>426</v>
      </c>
      <c r="G282" t="s">
        <v>84</v>
      </c>
      <c r="H282" t="s">
        <v>381</v>
      </c>
      <c r="I282" t="s">
        <v>427</v>
      </c>
      <c r="J282">
        <v>-9.2499228599999999</v>
      </c>
      <c r="K282" t="s">
        <v>440</v>
      </c>
      <c r="L282" t="s">
        <v>450</v>
      </c>
      <c r="M282">
        <v>0.15011157993331001</v>
      </c>
      <c r="N282">
        <v>1.388520534819587</v>
      </c>
      <c r="O282">
        <v>30169.468000000001</v>
      </c>
      <c r="P282">
        <v>4.8744250000000003E-6</v>
      </c>
      <c r="Q282">
        <v>0.29411799999999999</v>
      </c>
      <c r="R282" s="61">
        <v>0.40838888266006718</v>
      </c>
      <c r="S282" t="s">
        <v>342</v>
      </c>
      <c r="T282" t="s">
        <v>434</v>
      </c>
      <c r="U282" t="s">
        <v>425</v>
      </c>
      <c r="V282" t="s">
        <v>26</v>
      </c>
      <c r="W282">
        <v>111.133</v>
      </c>
      <c r="X282">
        <v>1.0155396203574489</v>
      </c>
      <c r="Y282">
        <v>112.8599646291844</v>
      </c>
      <c r="Z282">
        <v>661.2</v>
      </c>
      <c r="AA282">
        <v>1</v>
      </c>
      <c r="AB282">
        <v>74.623008612816719</v>
      </c>
      <c r="AC282">
        <v>1.012368394153123</v>
      </c>
      <c r="AD282" s="63">
        <v>75.546000000000006</v>
      </c>
      <c r="AE282">
        <v>8.9176000000000002</v>
      </c>
      <c r="AF282">
        <v>9.0561761184995895</v>
      </c>
      <c r="AG282">
        <v>1</v>
      </c>
      <c r="AH282">
        <v>5987.9436495519294</v>
      </c>
      <c r="AI282">
        <v>0.99404987733863315</v>
      </c>
      <c r="AJ282" s="63">
        <v>5952.3146999999999</v>
      </c>
      <c r="AK282" s="61">
        <v>2430.859149574093</v>
      </c>
      <c r="AL282" t="s">
        <v>343</v>
      </c>
      <c r="AM282" t="s">
        <v>435</v>
      </c>
      <c r="AN282" t="s">
        <v>425</v>
      </c>
      <c r="AO282" t="s">
        <v>26</v>
      </c>
      <c r="AP282">
        <v>111.133</v>
      </c>
      <c r="AQ282">
        <v>1.027287859172453</v>
      </c>
      <c r="AR282">
        <v>114.1655816534122</v>
      </c>
      <c r="AS282">
        <v>605.53</v>
      </c>
      <c r="AT282">
        <v>1</v>
      </c>
      <c r="AU282">
        <v>69.130684658590724</v>
      </c>
      <c r="AV282">
        <v>0.97960000000000003</v>
      </c>
      <c r="AW282" s="63">
        <v>67.72</v>
      </c>
      <c r="AX282">
        <v>8.9176000000000002</v>
      </c>
      <c r="AY282">
        <v>1</v>
      </c>
      <c r="AZ282">
        <v>5547.2253382114104</v>
      </c>
      <c r="BA282">
        <v>0.98541811328241247</v>
      </c>
      <c r="BB282" s="63">
        <v>5466.3362999999999</v>
      </c>
      <c r="BC282" s="61">
        <v>2232.3909738011662</v>
      </c>
    </row>
    <row r="283" spans="1:55" x14ac:dyDescent="0.25">
      <c r="A283">
        <v>43321</v>
      </c>
      <c r="B283" t="s">
        <v>119</v>
      </c>
      <c r="C283">
        <v>2018</v>
      </c>
      <c r="D283">
        <v>1</v>
      </c>
      <c r="E283" t="s">
        <v>100</v>
      </c>
      <c r="F283" t="s">
        <v>426</v>
      </c>
      <c r="G283" t="s">
        <v>84</v>
      </c>
      <c r="H283" t="s">
        <v>381</v>
      </c>
      <c r="I283" t="s">
        <v>427</v>
      </c>
      <c r="J283">
        <v>-9.2499228599999999</v>
      </c>
      <c r="K283" t="s">
        <v>440</v>
      </c>
      <c r="L283" t="s">
        <v>384</v>
      </c>
      <c r="M283">
        <v>4.5811354346740003E-2</v>
      </c>
      <c r="N283">
        <v>0.4237514938328209</v>
      </c>
      <c r="O283">
        <v>30169.468000000001</v>
      </c>
      <c r="P283">
        <v>4.8744250000000003E-6</v>
      </c>
      <c r="Q283">
        <v>0.29411799999999999</v>
      </c>
      <c r="R283" s="61">
        <v>0.1246329418631216</v>
      </c>
      <c r="S283" t="s">
        <v>342</v>
      </c>
      <c r="T283" t="s">
        <v>434</v>
      </c>
      <c r="U283" t="s">
        <v>425</v>
      </c>
      <c r="V283" t="s">
        <v>81</v>
      </c>
      <c r="W283">
        <v>111.133</v>
      </c>
      <c r="X283">
        <v>1.0155396203574489</v>
      </c>
      <c r="Y283">
        <v>112.8599646291844</v>
      </c>
      <c r="Z283">
        <v>661.2</v>
      </c>
      <c r="AA283">
        <v>1</v>
      </c>
      <c r="AB283">
        <v>74.623008612816719</v>
      </c>
      <c r="AC283">
        <v>0.95185525912296853</v>
      </c>
      <c r="AD283" s="63">
        <v>71.03</v>
      </c>
      <c r="AE283">
        <v>8.9176000000000002</v>
      </c>
      <c r="AF283">
        <v>9.0561761184995895</v>
      </c>
      <c r="AG283">
        <v>1</v>
      </c>
      <c r="AH283">
        <v>5987.9436495519294</v>
      </c>
      <c r="AI283">
        <v>1.081469419077697</v>
      </c>
      <c r="AJ283" s="63">
        <v>6475.7779</v>
      </c>
      <c r="AK283" s="61">
        <v>807.09525052918775</v>
      </c>
      <c r="AL283" t="s">
        <v>343</v>
      </c>
      <c r="AM283" t="s">
        <v>435</v>
      </c>
      <c r="AN283" t="s">
        <v>425</v>
      </c>
      <c r="AO283" t="s">
        <v>81</v>
      </c>
      <c r="AP283">
        <v>111.133</v>
      </c>
      <c r="AQ283">
        <v>1.027287859172453</v>
      </c>
      <c r="AR283">
        <v>114.1655816534122</v>
      </c>
      <c r="AS283">
        <v>605.53</v>
      </c>
      <c r="AT283">
        <v>1</v>
      </c>
      <c r="AU283">
        <v>69.130684658590724</v>
      </c>
      <c r="AV283">
        <v>0.92730000000000001</v>
      </c>
      <c r="AW283" s="63">
        <v>64.105000000000004</v>
      </c>
      <c r="AX283">
        <v>8.9176000000000002</v>
      </c>
      <c r="AY283">
        <v>1</v>
      </c>
      <c r="AZ283">
        <v>5547.2253382114104</v>
      </c>
      <c r="BA283">
        <v>1.094557195571956</v>
      </c>
      <c r="BB283" s="63">
        <v>6071.7554</v>
      </c>
      <c r="BC283" s="61">
        <v>756.74073777529475</v>
      </c>
    </row>
    <row r="284" spans="1:55" x14ac:dyDescent="0.25">
      <c r="A284">
        <v>43323</v>
      </c>
      <c r="B284" t="s">
        <v>119</v>
      </c>
      <c r="C284">
        <v>2018</v>
      </c>
      <c r="D284">
        <v>1</v>
      </c>
      <c r="E284" t="s">
        <v>100</v>
      </c>
      <c r="F284" t="s">
        <v>426</v>
      </c>
      <c r="G284" t="s">
        <v>84</v>
      </c>
      <c r="H284" t="s">
        <v>381</v>
      </c>
      <c r="I284" t="s">
        <v>427</v>
      </c>
      <c r="J284">
        <v>-9.2499228599999999</v>
      </c>
      <c r="K284" t="s">
        <v>440</v>
      </c>
      <c r="L284" t="s">
        <v>385</v>
      </c>
      <c r="M284">
        <v>0.43232641346992001</v>
      </c>
      <c r="N284">
        <v>3.9989859750632122</v>
      </c>
      <c r="O284">
        <v>30169.468000000001</v>
      </c>
      <c r="P284">
        <v>4.8744250000000003E-6</v>
      </c>
      <c r="Q284">
        <v>0.29411799999999999</v>
      </c>
      <c r="R284" s="61">
        <v>1.1761737570136419</v>
      </c>
      <c r="S284" t="s">
        <v>342</v>
      </c>
      <c r="T284" t="s">
        <v>434</v>
      </c>
      <c r="U284" t="s">
        <v>425</v>
      </c>
      <c r="V284" t="s">
        <v>27</v>
      </c>
      <c r="W284">
        <v>111.133</v>
      </c>
      <c r="X284">
        <v>1.0155396203574489</v>
      </c>
      <c r="Y284">
        <v>112.8599646291844</v>
      </c>
      <c r="Z284">
        <v>661.2</v>
      </c>
      <c r="AA284">
        <v>1</v>
      </c>
      <c r="AB284">
        <v>74.623008612816719</v>
      </c>
      <c r="AC284">
        <v>1.0016354901359501</v>
      </c>
      <c r="AD284" s="63">
        <v>74.745000000000005</v>
      </c>
      <c r="AE284">
        <v>8.9176000000000002</v>
      </c>
      <c r="AF284">
        <v>9.0561761184995895</v>
      </c>
      <c r="AG284">
        <v>1</v>
      </c>
      <c r="AH284">
        <v>5987.9436495519294</v>
      </c>
      <c r="AI284">
        <v>1.016194415745886</v>
      </c>
      <c r="AJ284" s="63">
        <v>6084.9148999999998</v>
      </c>
      <c r="AK284" s="61">
        <v>7156.9172190412892</v>
      </c>
      <c r="AL284" t="s">
        <v>343</v>
      </c>
      <c r="AM284" t="s">
        <v>435</v>
      </c>
      <c r="AN284" t="s">
        <v>425</v>
      </c>
      <c r="AO284" t="s">
        <v>27</v>
      </c>
      <c r="AP284">
        <v>111.133</v>
      </c>
      <c r="AQ284">
        <v>1.027287859172453</v>
      </c>
      <c r="AR284">
        <v>114.1655816534122</v>
      </c>
      <c r="AS284">
        <v>605.53</v>
      </c>
      <c r="AT284">
        <v>1</v>
      </c>
      <c r="AU284">
        <v>69.130684658590724</v>
      </c>
      <c r="AV284">
        <v>0.95599999999999996</v>
      </c>
      <c r="AW284" s="63">
        <v>66.088999999999999</v>
      </c>
      <c r="AX284">
        <v>8.9176000000000002</v>
      </c>
      <c r="AY284">
        <v>1</v>
      </c>
      <c r="AZ284">
        <v>5547.2253382114104</v>
      </c>
      <c r="BA284">
        <v>1.0027686628383921</v>
      </c>
      <c r="BB284" s="63">
        <v>5562.5837000000001</v>
      </c>
      <c r="BC284" s="61">
        <v>6542.5649691318449</v>
      </c>
    </row>
    <row r="285" spans="1:55" x14ac:dyDescent="0.25">
      <c r="A285">
        <v>43325</v>
      </c>
      <c r="B285" t="s">
        <v>119</v>
      </c>
      <c r="C285">
        <v>2018</v>
      </c>
      <c r="D285">
        <v>1</v>
      </c>
      <c r="E285" t="s">
        <v>100</v>
      </c>
      <c r="F285" t="s">
        <v>426</v>
      </c>
      <c r="G285" t="s">
        <v>84</v>
      </c>
      <c r="H285" t="s">
        <v>381</v>
      </c>
      <c r="I285" t="s">
        <v>427</v>
      </c>
      <c r="J285">
        <v>-9.2499228599999999</v>
      </c>
      <c r="K285" t="s">
        <v>440</v>
      </c>
      <c r="L285" t="s">
        <v>451</v>
      </c>
      <c r="M285">
        <v>1.6825115802299999E-3</v>
      </c>
      <c r="N285">
        <v>1.556310232867451E-2</v>
      </c>
      <c r="O285">
        <v>30169.468000000001</v>
      </c>
      <c r="P285">
        <v>4.8744250000000003E-6</v>
      </c>
      <c r="Q285">
        <v>0.29411799999999999</v>
      </c>
      <c r="R285" s="61">
        <v>4.5773885307050901E-3</v>
      </c>
      <c r="S285" t="s">
        <v>342</v>
      </c>
      <c r="T285" t="s">
        <v>434</v>
      </c>
      <c r="U285" t="s">
        <v>425</v>
      </c>
      <c r="V285" t="s">
        <v>91</v>
      </c>
      <c r="W285">
        <v>111.133</v>
      </c>
      <c r="X285">
        <v>1.0155396203574489</v>
      </c>
      <c r="Y285">
        <v>112.8599646291844</v>
      </c>
      <c r="Z285">
        <v>661.2</v>
      </c>
      <c r="AA285">
        <v>1</v>
      </c>
      <c r="AB285">
        <v>74.623008612816719</v>
      </c>
      <c r="AC285">
        <v>1.02984769498109</v>
      </c>
      <c r="AD285" s="63">
        <v>76.849999999999994</v>
      </c>
      <c r="AE285">
        <v>8.9176000000000002</v>
      </c>
      <c r="AF285">
        <v>9.0561761184995895</v>
      </c>
      <c r="AG285">
        <v>1</v>
      </c>
      <c r="AH285">
        <v>5987.9436495519294</v>
      </c>
      <c r="AI285">
        <v>0.9935711161666545</v>
      </c>
      <c r="AJ285" s="63">
        <v>5949.4479000000001</v>
      </c>
      <c r="AK285" s="61">
        <v>27.232934581487481</v>
      </c>
      <c r="AL285" t="s">
        <v>343</v>
      </c>
      <c r="AM285" t="s">
        <v>435</v>
      </c>
      <c r="AN285" t="s">
        <v>425</v>
      </c>
      <c r="AO285" t="s">
        <v>91</v>
      </c>
      <c r="AP285">
        <v>111.133</v>
      </c>
      <c r="AQ285">
        <v>1.027287859172453</v>
      </c>
      <c r="AR285">
        <v>114.1655816534122</v>
      </c>
      <c r="AS285">
        <v>605.53</v>
      </c>
      <c r="AT285">
        <v>1</v>
      </c>
      <c r="AU285">
        <v>69.130684658590724</v>
      </c>
      <c r="AV285">
        <v>1.0056</v>
      </c>
      <c r="AW285" s="63">
        <v>69.518000000000001</v>
      </c>
      <c r="AX285">
        <v>8.9176000000000002</v>
      </c>
      <c r="AY285">
        <v>1</v>
      </c>
      <c r="AZ285">
        <v>5547.2253382114104</v>
      </c>
      <c r="BA285">
        <v>0.98408824677860207</v>
      </c>
      <c r="BB285" s="63">
        <v>5458.9593000000004</v>
      </c>
      <c r="BC285" s="61">
        <v>24.987777689405888</v>
      </c>
    </row>
    <row r="286" spans="1:55" x14ac:dyDescent="0.25">
      <c r="A286">
        <v>43327</v>
      </c>
      <c r="B286" t="s">
        <v>119</v>
      </c>
      <c r="C286">
        <v>2018</v>
      </c>
      <c r="D286">
        <v>1</v>
      </c>
      <c r="E286" t="s">
        <v>100</v>
      </c>
      <c r="F286" t="s">
        <v>426</v>
      </c>
      <c r="G286" t="s">
        <v>84</v>
      </c>
      <c r="H286" t="s">
        <v>381</v>
      </c>
      <c r="I286" t="s">
        <v>427</v>
      </c>
      <c r="J286">
        <v>-9.2499228599999999</v>
      </c>
      <c r="K286" t="s">
        <v>440</v>
      </c>
      <c r="L286" t="s">
        <v>452</v>
      </c>
      <c r="M286">
        <v>1.53682162831E-3</v>
      </c>
      <c r="N286">
        <v>1.421548151189495E-2</v>
      </c>
      <c r="O286">
        <v>30169.468000000001</v>
      </c>
      <c r="P286">
        <v>4.8744250000000003E-6</v>
      </c>
      <c r="Q286">
        <v>0.29411799999999999</v>
      </c>
      <c r="R286" s="61">
        <v>4.1810289913155182E-3</v>
      </c>
      <c r="S286" t="s">
        <v>342</v>
      </c>
      <c r="T286" t="s">
        <v>434</v>
      </c>
      <c r="U286" t="s">
        <v>425</v>
      </c>
      <c r="V286" t="s">
        <v>28</v>
      </c>
      <c r="W286">
        <v>111.133</v>
      </c>
      <c r="X286">
        <v>1.0155396203574489</v>
      </c>
      <c r="Y286">
        <v>112.8599646291844</v>
      </c>
      <c r="Z286">
        <v>661.2</v>
      </c>
      <c r="AA286">
        <v>1</v>
      </c>
      <c r="AB286">
        <v>74.623008612816719</v>
      </c>
      <c r="AC286">
        <v>1.0451804150056221</v>
      </c>
      <c r="AD286" s="63">
        <v>77.995000000000005</v>
      </c>
      <c r="AE286">
        <v>8.9176000000000002</v>
      </c>
      <c r="AF286">
        <v>9.0561761184995895</v>
      </c>
      <c r="AG286">
        <v>1</v>
      </c>
      <c r="AH286">
        <v>5987.9436495519294</v>
      </c>
      <c r="AI286">
        <v>1.0071061377552519</v>
      </c>
      <c r="AJ286" s="63">
        <v>6030.4948000000004</v>
      </c>
      <c r="AK286" s="61">
        <v>25.213673590777478</v>
      </c>
      <c r="AL286" t="s">
        <v>343</v>
      </c>
      <c r="AM286" t="s">
        <v>435</v>
      </c>
      <c r="AN286" t="s">
        <v>425</v>
      </c>
      <c r="AO286" t="s">
        <v>28</v>
      </c>
      <c r="AP286">
        <v>111.133</v>
      </c>
      <c r="AQ286">
        <v>1.027287859172453</v>
      </c>
      <c r="AR286">
        <v>114.1655816534122</v>
      </c>
      <c r="AS286">
        <v>605.53</v>
      </c>
      <c r="AT286">
        <v>1</v>
      </c>
      <c r="AU286">
        <v>69.130684658590724</v>
      </c>
      <c r="AV286">
        <v>1.0064</v>
      </c>
      <c r="AW286" s="63">
        <v>69.572999999999993</v>
      </c>
      <c r="AX286">
        <v>8.9176000000000002</v>
      </c>
      <c r="AY286">
        <v>1</v>
      </c>
      <c r="AZ286">
        <v>5547.2253382114104</v>
      </c>
      <c r="BA286">
        <v>0.98887576294546164</v>
      </c>
      <c r="BB286" s="63">
        <v>5485.5167000000001</v>
      </c>
      <c r="BC286" s="61">
        <v>22.935104355045429</v>
      </c>
    </row>
    <row r="287" spans="1:55" x14ac:dyDescent="0.25">
      <c r="A287">
        <v>43329</v>
      </c>
      <c r="B287" t="s">
        <v>119</v>
      </c>
      <c r="C287">
        <v>2018</v>
      </c>
      <c r="D287">
        <v>1</v>
      </c>
      <c r="E287" t="s">
        <v>100</v>
      </c>
      <c r="F287" t="s">
        <v>426</v>
      </c>
      <c r="G287" t="s">
        <v>84</v>
      </c>
      <c r="H287" t="s">
        <v>87</v>
      </c>
      <c r="I287" t="s">
        <v>427</v>
      </c>
      <c r="J287">
        <v>-1.6997540600000001</v>
      </c>
      <c r="K287" t="s">
        <v>440</v>
      </c>
      <c r="L287" t="s">
        <v>450</v>
      </c>
      <c r="M287">
        <v>0.26601384014995</v>
      </c>
      <c r="N287">
        <v>0.45215810548046548</v>
      </c>
      <c r="O287">
        <v>30169.468000000001</v>
      </c>
      <c r="P287">
        <v>4.8744250000000003E-6</v>
      </c>
      <c r="Q287">
        <v>0.29411799999999999</v>
      </c>
      <c r="R287" s="61">
        <v>0.1329878376677035</v>
      </c>
      <c r="S287" t="s">
        <v>342</v>
      </c>
      <c r="T287" t="s">
        <v>434</v>
      </c>
      <c r="U287" t="s">
        <v>425</v>
      </c>
      <c r="V287" t="s">
        <v>26</v>
      </c>
      <c r="W287">
        <v>111.133</v>
      </c>
      <c r="X287">
        <v>1.0155396203574489</v>
      </c>
      <c r="Y287">
        <v>112.8599646291844</v>
      </c>
      <c r="Z287">
        <v>661.2</v>
      </c>
      <c r="AA287">
        <v>1</v>
      </c>
      <c r="AB287">
        <v>74.623008612816719</v>
      </c>
      <c r="AC287">
        <v>1.012368394153123</v>
      </c>
      <c r="AD287" s="63">
        <v>75.546000000000006</v>
      </c>
      <c r="AE287">
        <v>8.9176000000000002</v>
      </c>
      <c r="AF287">
        <v>9.0561761184995895</v>
      </c>
      <c r="AG287">
        <v>1</v>
      </c>
      <c r="AH287">
        <v>5987.9436495519294</v>
      </c>
      <c r="AI287">
        <v>0.99404987733863315</v>
      </c>
      <c r="AJ287" s="63">
        <v>5952.3146999999999</v>
      </c>
      <c r="AK287" s="61">
        <v>791.58546107068537</v>
      </c>
      <c r="AL287" t="s">
        <v>343</v>
      </c>
      <c r="AM287" t="s">
        <v>435</v>
      </c>
      <c r="AN287" t="s">
        <v>425</v>
      </c>
      <c r="AO287" t="s">
        <v>26</v>
      </c>
      <c r="AP287">
        <v>111.133</v>
      </c>
      <c r="AQ287">
        <v>1.027287859172453</v>
      </c>
      <c r="AR287">
        <v>114.1655816534122</v>
      </c>
      <c r="AS287">
        <v>605.53</v>
      </c>
      <c r="AT287">
        <v>1</v>
      </c>
      <c r="AU287">
        <v>69.130684658590724</v>
      </c>
      <c r="AV287">
        <v>0.97960000000000003</v>
      </c>
      <c r="AW287" s="63">
        <v>67.72</v>
      </c>
      <c r="AX287">
        <v>8.9176000000000002</v>
      </c>
      <c r="AY287">
        <v>1</v>
      </c>
      <c r="AZ287">
        <v>5547.2253382114104</v>
      </c>
      <c r="BA287">
        <v>0.98541811328241247</v>
      </c>
      <c r="BB287" s="63">
        <v>5466.3362999999999</v>
      </c>
      <c r="BC287" s="61">
        <v>726.95624450147511</v>
      </c>
    </row>
    <row r="288" spans="1:55" x14ac:dyDescent="0.25">
      <c r="A288">
        <v>43331</v>
      </c>
      <c r="B288" t="s">
        <v>119</v>
      </c>
      <c r="C288">
        <v>2018</v>
      </c>
      <c r="D288">
        <v>1</v>
      </c>
      <c r="E288" t="s">
        <v>100</v>
      </c>
      <c r="F288" t="s">
        <v>426</v>
      </c>
      <c r="G288" t="s">
        <v>84</v>
      </c>
      <c r="H288" t="s">
        <v>87</v>
      </c>
      <c r="I288" t="s">
        <v>427</v>
      </c>
      <c r="J288">
        <v>-1.6997540600000001</v>
      </c>
      <c r="K288" t="s">
        <v>440</v>
      </c>
      <c r="L288" t="s">
        <v>384</v>
      </c>
      <c r="M288">
        <v>3.9509559941419997E-2</v>
      </c>
      <c r="N288">
        <v>6.715653501866381E-2</v>
      </c>
      <c r="O288">
        <v>30169.468000000001</v>
      </c>
      <c r="P288">
        <v>4.8744250000000003E-6</v>
      </c>
      <c r="Q288">
        <v>0.29411799999999999</v>
      </c>
      <c r="R288" s="61">
        <v>1.9751945766619362E-2</v>
      </c>
      <c r="S288" t="s">
        <v>342</v>
      </c>
      <c r="T288" t="s">
        <v>434</v>
      </c>
      <c r="U288" t="s">
        <v>425</v>
      </c>
      <c r="V288" t="s">
        <v>81</v>
      </c>
      <c r="W288">
        <v>111.133</v>
      </c>
      <c r="X288">
        <v>1.0155396203574489</v>
      </c>
      <c r="Y288">
        <v>112.8599646291844</v>
      </c>
      <c r="Z288">
        <v>661.2</v>
      </c>
      <c r="AA288">
        <v>1</v>
      </c>
      <c r="AB288">
        <v>74.623008612816719</v>
      </c>
      <c r="AC288">
        <v>0.95185525912296853</v>
      </c>
      <c r="AD288" s="63">
        <v>71.03</v>
      </c>
      <c r="AE288">
        <v>8.9176000000000002</v>
      </c>
      <c r="AF288">
        <v>9.0561761184995895</v>
      </c>
      <c r="AG288">
        <v>1</v>
      </c>
      <c r="AH288">
        <v>5987.9436495519294</v>
      </c>
      <c r="AI288">
        <v>1.081469419077697</v>
      </c>
      <c r="AJ288" s="63">
        <v>6475.7779</v>
      </c>
      <c r="AK288" s="61">
        <v>127.9092138774722</v>
      </c>
      <c r="AL288" t="s">
        <v>343</v>
      </c>
      <c r="AM288" t="s">
        <v>435</v>
      </c>
      <c r="AN288" t="s">
        <v>425</v>
      </c>
      <c r="AO288" t="s">
        <v>81</v>
      </c>
      <c r="AP288">
        <v>111.133</v>
      </c>
      <c r="AQ288">
        <v>1.027287859172453</v>
      </c>
      <c r="AR288">
        <v>114.1655816534122</v>
      </c>
      <c r="AS288">
        <v>605.53</v>
      </c>
      <c r="AT288">
        <v>1</v>
      </c>
      <c r="AU288">
        <v>69.130684658590724</v>
      </c>
      <c r="AV288">
        <v>0.92730000000000001</v>
      </c>
      <c r="AW288" s="63">
        <v>64.105000000000004</v>
      </c>
      <c r="AX288">
        <v>8.9176000000000002</v>
      </c>
      <c r="AY288">
        <v>1</v>
      </c>
      <c r="AZ288">
        <v>5547.2253382114104</v>
      </c>
      <c r="BA288">
        <v>1.094557195571956</v>
      </c>
      <c r="BB288" s="63">
        <v>6071.7554</v>
      </c>
      <c r="BC288" s="61">
        <v>119.92898336897829</v>
      </c>
    </row>
    <row r="289" spans="1:55" x14ac:dyDescent="0.25">
      <c r="A289">
        <v>43333</v>
      </c>
      <c r="B289" t="s">
        <v>119</v>
      </c>
      <c r="C289">
        <v>2018</v>
      </c>
      <c r="D289">
        <v>1</v>
      </c>
      <c r="E289" t="s">
        <v>100</v>
      </c>
      <c r="F289" t="s">
        <v>426</v>
      </c>
      <c r="G289" t="s">
        <v>84</v>
      </c>
      <c r="H289" t="s">
        <v>87</v>
      </c>
      <c r="I289" t="s">
        <v>427</v>
      </c>
      <c r="J289">
        <v>-1.6997540600000001</v>
      </c>
      <c r="K289" t="s">
        <v>440</v>
      </c>
      <c r="L289" t="s">
        <v>385</v>
      </c>
      <c r="M289">
        <v>0.39737542925016001</v>
      </c>
      <c r="N289">
        <v>0.67544050021215729</v>
      </c>
      <c r="O289">
        <v>30169.468000000001</v>
      </c>
      <c r="P289">
        <v>4.8744250000000003E-6</v>
      </c>
      <c r="Q289">
        <v>0.29411799999999999</v>
      </c>
      <c r="R289" s="61">
        <v>0.1986592090413993</v>
      </c>
      <c r="S289" t="s">
        <v>342</v>
      </c>
      <c r="T289" t="s">
        <v>434</v>
      </c>
      <c r="U289" t="s">
        <v>425</v>
      </c>
      <c r="V289" t="s">
        <v>27</v>
      </c>
      <c r="W289">
        <v>111.133</v>
      </c>
      <c r="X289">
        <v>1.0155396203574489</v>
      </c>
      <c r="Y289">
        <v>112.8599646291844</v>
      </c>
      <c r="Z289">
        <v>661.2</v>
      </c>
      <c r="AA289">
        <v>1</v>
      </c>
      <c r="AB289">
        <v>74.623008612816719</v>
      </c>
      <c r="AC289">
        <v>1.0016354901359501</v>
      </c>
      <c r="AD289" s="63">
        <v>74.745000000000005</v>
      </c>
      <c r="AE289">
        <v>8.9176000000000002</v>
      </c>
      <c r="AF289">
        <v>9.0561761184995895</v>
      </c>
      <c r="AG289">
        <v>1</v>
      </c>
      <c r="AH289">
        <v>5987.9436495519294</v>
      </c>
      <c r="AI289">
        <v>1.016194415745886</v>
      </c>
      <c r="AJ289" s="63">
        <v>6084.9148999999998</v>
      </c>
      <c r="AK289" s="61">
        <v>1208.8243811182249</v>
      </c>
      <c r="AL289" t="s">
        <v>343</v>
      </c>
      <c r="AM289" t="s">
        <v>435</v>
      </c>
      <c r="AN289" t="s">
        <v>425</v>
      </c>
      <c r="AO289" t="s">
        <v>27</v>
      </c>
      <c r="AP289">
        <v>111.133</v>
      </c>
      <c r="AQ289">
        <v>1.027287859172453</v>
      </c>
      <c r="AR289">
        <v>114.1655816534122</v>
      </c>
      <c r="AS289">
        <v>605.53</v>
      </c>
      <c r="AT289">
        <v>1</v>
      </c>
      <c r="AU289">
        <v>69.130684658590724</v>
      </c>
      <c r="AV289">
        <v>0.95599999999999996</v>
      </c>
      <c r="AW289" s="63">
        <v>66.088999999999999</v>
      </c>
      <c r="AX289">
        <v>8.9176000000000002</v>
      </c>
      <c r="AY289">
        <v>1</v>
      </c>
      <c r="AZ289">
        <v>5547.2253382114104</v>
      </c>
      <c r="BA289">
        <v>1.0027686628383921</v>
      </c>
      <c r="BB289" s="63">
        <v>5562.5837000000001</v>
      </c>
      <c r="BC289" s="61">
        <v>1105.0584780685799</v>
      </c>
    </row>
    <row r="290" spans="1:55" x14ac:dyDescent="0.25">
      <c r="A290">
        <v>43335</v>
      </c>
      <c r="B290" t="s">
        <v>119</v>
      </c>
      <c r="C290">
        <v>2018</v>
      </c>
      <c r="D290">
        <v>1</v>
      </c>
      <c r="E290" t="s">
        <v>100</v>
      </c>
      <c r="F290" t="s">
        <v>426</v>
      </c>
      <c r="G290" t="s">
        <v>84</v>
      </c>
      <c r="H290" t="s">
        <v>87</v>
      </c>
      <c r="I290" t="s">
        <v>427</v>
      </c>
      <c r="J290">
        <v>-1.6997540600000001</v>
      </c>
      <c r="K290" t="s">
        <v>440</v>
      </c>
      <c r="L290" t="s">
        <v>452</v>
      </c>
      <c r="M290">
        <v>8.4248020759000004E-4</v>
      </c>
      <c r="N290">
        <v>1.432009155440762E-3</v>
      </c>
      <c r="O290">
        <v>30169.468000000001</v>
      </c>
      <c r="P290">
        <v>4.8744250000000003E-6</v>
      </c>
      <c r="Q290">
        <v>0.29411799999999999</v>
      </c>
      <c r="R290" s="61">
        <v>4.2117966877992601E-4</v>
      </c>
      <c r="S290" t="s">
        <v>342</v>
      </c>
      <c r="T290" t="s">
        <v>434</v>
      </c>
      <c r="U290" t="s">
        <v>425</v>
      </c>
      <c r="V290" t="s">
        <v>28</v>
      </c>
      <c r="W290">
        <v>111.133</v>
      </c>
      <c r="X290">
        <v>1.0155396203574489</v>
      </c>
      <c r="Y290">
        <v>112.8599646291844</v>
      </c>
      <c r="Z290">
        <v>661.2</v>
      </c>
      <c r="AA290">
        <v>1</v>
      </c>
      <c r="AB290">
        <v>74.623008612816719</v>
      </c>
      <c r="AC290">
        <v>1.0451804150056221</v>
      </c>
      <c r="AD290" s="63">
        <v>77.995000000000005</v>
      </c>
      <c r="AE290">
        <v>8.9176000000000002</v>
      </c>
      <c r="AF290">
        <v>9.0561761184995895</v>
      </c>
      <c r="AG290">
        <v>1</v>
      </c>
      <c r="AH290">
        <v>5987.9436495519294</v>
      </c>
      <c r="AI290">
        <v>1.0071061377552519</v>
      </c>
      <c r="AJ290" s="63">
        <v>6030.4948000000004</v>
      </c>
      <c r="AK290" s="61">
        <v>2.5399218024430659</v>
      </c>
      <c r="AL290" t="s">
        <v>343</v>
      </c>
      <c r="AM290" t="s">
        <v>435</v>
      </c>
      <c r="AN290" t="s">
        <v>425</v>
      </c>
      <c r="AO290" t="s">
        <v>28</v>
      </c>
      <c r="AP290">
        <v>111.133</v>
      </c>
      <c r="AQ290">
        <v>1.027287859172453</v>
      </c>
      <c r="AR290">
        <v>114.1655816534122</v>
      </c>
      <c r="AS290">
        <v>605.53</v>
      </c>
      <c r="AT290">
        <v>1</v>
      </c>
      <c r="AU290">
        <v>69.130684658590724</v>
      </c>
      <c r="AV290">
        <v>1.0064</v>
      </c>
      <c r="AW290" s="63">
        <v>69.572999999999993</v>
      </c>
      <c r="AX290">
        <v>8.9176000000000002</v>
      </c>
      <c r="AY290">
        <v>1</v>
      </c>
      <c r="AZ290">
        <v>5547.2253382114104</v>
      </c>
      <c r="BA290">
        <v>0.98887576294546164</v>
      </c>
      <c r="BB290" s="63">
        <v>5485.5167000000001</v>
      </c>
      <c r="BC290" s="61">
        <v>2.310388106792753</v>
      </c>
    </row>
    <row r="291" spans="1:55" x14ac:dyDescent="0.25">
      <c r="A291">
        <v>43337</v>
      </c>
      <c r="B291" t="s">
        <v>119</v>
      </c>
      <c r="C291">
        <v>2018</v>
      </c>
      <c r="D291">
        <v>1</v>
      </c>
      <c r="E291" t="s">
        <v>100</v>
      </c>
      <c r="F291" t="s">
        <v>426</v>
      </c>
      <c r="G291" t="s">
        <v>84</v>
      </c>
      <c r="H291" t="s">
        <v>59</v>
      </c>
      <c r="I291" t="s">
        <v>427</v>
      </c>
      <c r="J291">
        <v>-4.88745999</v>
      </c>
      <c r="K291" t="s">
        <v>440</v>
      </c>
      <c r="L291" t="s">
        <v>450</v>
      </c>
      <c r="M291">
        <v>0.15931709696460999</v>
      </c>
      <c r="N291">
        <v>0.77865593666844002</v>
      </c>
      <c r="O291">
        <v>30169.468000000001</v>
      </c>
      <c r="P291">
        <v>4.8744250000000003E-6</v>
      </c>
      <c r="Q291">
        <v>0.29411799999999999</v>
      </c>
      <c r="R291" s="61">
        <v>0.2290167267810482</v>
      </c>
      <c r="S291" t="s">
        <v>342</v>
      </c>
      <c r="T291" t="s">
        <v>434</v>
      </c>
      <c r="U291" t="s">
        <v>425</v>
      </c>
      <c r="V291" t="s">
        <v>26</v>
      </c>
      <c r="W291">
        <v>111.133</v>
      </c>
      <c r="X291">
        <v>1.0155396203574489</v>
      </c>
      <c r="Y291">
        <v>112.8599646291844</v>
      </c>
      <c r="Z291">
        <v>661.2</v>
      </c>
      <c r="AA291">
        <v>1</v>
      </c>
      <c r="AB291">
        <v>74.623008612816719</v>
      </c>
      <c r="AC291">
        <v>1.012368394153123</v>
      </c>
      <c r="AD291" s="63">
        <v>75.546000000000006</v>
      </c>
      <c r="AE291">
        <v>8.9176000000000002</v>
      </c>
      <c r="AF291">
        <v>9.0561761184995895</v>
      </c>
      <c r="AG291">
        <v>1</v>
      </c>
      <c r="AH291">
        <v>5987.9436495519294</v>
      </c>
      <c r="AI291">
        <v>0.99404987733863315</v>
      </c>
      <c r="AJ291" s="63">
        <v>5952.3146999999999</v>
      </c>
      <c r="AK291" s="61">
        <v>1363.1796293647169</v>
      </c>
      <c r="AL291" t="s">
        <v>343</v>
      </c>
      <c r="AM291" t="s">
        <v>435</v>
      </c>
      <c r="AN291" t="s">
        <v>425</v>
      </c>
      <c r="AO291" t="s">
        <v>26</v>
      </c>
      <c r="AP291">
        <v>111.133</v>
      </c>
      <c r="AQ291">
        <v>1.027287859172453</v>
      </c>
      <c r="AR291">
        <v>114.1655816534122</v>
      </c>
      <c r="AS291">
        <v>605.53</v>
      </c>
      <c r="AT291">
        <v>1</v>
      </c>
      <c r="AU291">
        <v>69.130684658590724</v>
      </c>
      <c r="AV291">
        <v>0.97960000000000003</v>
      </c>
      <c r="AW291" s="63">
        <v>67.72</v>
      </c>
      <c r="AX291">
        <v>8.9176000000000002</v>
      </c>
      <c r="AY291">
        <v>1</v>
      </c>
      <c r="AZ291">
        <v>5547.2253382114104</v>
      </c>
      <c r="BA291">
        <v>0.98541811328241247</v>
      </c>
      <c r="BB291" s="63">
        <v>5466.3362999999999</v>
      </c>
      <c r="BC291" s="61">
        <v>1251.8824469104261</v>
      </c>
    </row>
    <row r="292" spans="1:55" x14ac:dyDescent="0.25">
      <c r="A292">
        <v>43339</v>
      </c>
      <c r="B292" t="s">
        <v>119</v>
      </c>
      <c r="C292">
        <v>2018</v>
      </c>
      <c r="D292">
        <v>1</v>
      </c>
      <c r="E292" t="s">
        <v>100</v>
      </c>
      <c r="F292" t="s">
        <v>426</v>
      </c>
      <c r="G292" t="s">
        <v>84</v>
      </c>
      <c r="H292" t="s">
        <v>59</v>
      </c>
      <c r="I292" t="s">
        <v>427</v>
      </c>
      <c r="J292">
        <v>-4.88745999</v>
      </c>
      <c r="K292" t="s">
        <v>440</v>
      </c>
      <c r="L292" t="s">
        <v>384</v>
      </c>
      <c r="M292">
        <v>4.1785183859599999E-2</v>
      </c>
      <c r="N292">
        <v>0.20422341416556999</v>
      </c>
      <c r="O292">
        <v>30169.468000000001</v>
      </c>
      <c r="P292">
        <v>4.8744250000000003E-6</v>
      </c>
      <c r="Q292">
        <v>0.29411799999999999</v>
      </c>
      <c r="R292" s="61">
        <v>6.0065782127549108E-2</v>
      </c>
      <c r="S292" t="s">
        <v>342</v>
      </c>
      <c r="T292" t="s">
        <v>434</v>
      </c>
      <c r="U292" t="s">
        <v>425</v>
      </c>
      <c r="V292" t="s">
        <v>81</v>
      </c>
      <c r="W292">
        <v>111.133</v>
      </c>
      <c r="X292">
        <v>1.0155396203574489</v>
      </c>
      <c r="Y292">
        <v>112.8599646291844</v>
      </c>
      <c r="Z292">
        <v>661.2</v>
      </c>
      <c r="AA292">
        <v>1</v>
      </c>
      <c r="AB292">
        <v>74.623008612816719</v>
      </c>
      <c r="AC292">
        <v>0.95185525912296853</v>
      </c>
      <c r="AD292" s="63">
        <v>71.03</v>
      </c>
      <c r="AE292">
        <v>8.9176000000000002</v>
      </c>
      <c r="AF292">
        <v>9.0561761184995895</v>
      </c>
      <c r="AG292">
        <v>1</v>
      </c>
      <c r="AH292">
        <v>5987.9436495519294</v>
      </c>
      <c r="AI292">
        <v>1.081469419077697</v>
      </c>
      <c r="AJ292" s="63">
        <v>6475.7779</v>
      </c>
      <c r="AK292" s="61">
        <v>388.97266444779751</v>
      </c>
      <c r="AL292" t="s">
        <v>343</v>
      </c>
      <c r="AM292" t="s">
        <v>435</v>
      </c>
      <c r="AN292" t="s">
        <v>425</v>
      </c>
      <c r="AO292" t="s">
        <v>81</v>
      </c>
      <c r="AP292">
        <v>111.133</v>
      </c>
      <c r="AQ292">
        <v>1.027287859172453</v>
      </c>
      <c r="AR292">
        <v>114.1655816534122</v>
      </c>
      <c r="AS292">
        <v>605.53</v>
      </c>
      <c r="AT292">
        <v>1</v>
      </c>
      <c r="AU292">
        <v>69.130684658590724</v>
      </c>
      <c r="AV292">
        <v>0.92730000000000001</v>
      </c>
      <c r="AW292" s="63">
        <v>64.105000000000004</v>
      </c>
      <c r="AX292">
        <v>8.9176000000000002</v>
      </c>
      <c r="AY292">
        <v>1</v>
      </c>
      <c r="AZ292">
        <v>5547.2253382114104</v>
      </c>
      <c r="BA292">
        <v>1.094557195571956</v>
      </c>
      <c r="BB292" s="63">
        <v>6071.7554</v>
      </c>
      <c r="BC292" s="61">
        <v>364.70473698816983</v>
      </c>
    </row>
    <row r="293" spans="1:55" x14ac:dyDescent="0.25">
      <c r="A293">
        <v>43341</v>
      </c>
      <c r="B293" t="s">
        <v>119</v>
      </c>
      <c r="C293">
        <v>2018</v>
      </c>
      <c r="D293">
        <v>1</v>
      </c>
      <c r="E293" t="s">
        <v>100</v>
      </c>
      <c r="F293" t="s">
        <v>426</v>
      </c>
      <c r="G293" t="s">
        <v>84</v>
      </c>
      <c r="H293" t="s">
        <v>59</v>
      </c>
      <c r="I293" t="s">
        <v>427</v>
      </c>
      <c r="J293">
        <v>-4.88745999</v>
      </c>
      <c r="K293" t="s">
        <v>440</v>
      </c>
      <c r="L293" t="s">
        <v>385</v>
      </c>
      <c r="M293">
        <v>0.43497567483749999</v>
      </c>
      <c r="N293">
        <v>2.125926206110929</v>
      </c>
      <c r="O293">
        <v>30169.468000000001</v>
      </c>
      <c r="P293">
        <v>4.8744250000000003E-6</v>
      </c>
      <c r="Q293">
        <v>0.29411799999999999</v>
      </c>
      <c r="R293" s="61">
        <v>0.62527316388893417</v>
      </c>
      <c r="S293" t="s">
        <v>342</v>
      </c>
      <c r="T293" t="s">
        <v>434</v>
      </c>
      <c r="U293" t="s">
        <v>425</v>
      </c>
      <c r="V293" t="s">
        <v>27</v>
      </c>
      <c r="W293">
        <v>111.133</v>
      </c>
      <c r="X293">
        <v>1.0155396203574489</v>
      </c>
      <c r="Y293">
        <v>112.8599646291844</v>
      </c>
      <c r="Z293">
        <v>661.2</v>
      </c>
      <c r="AA293">
        <v>1</v>
      </c>
      <c r="AB293">
        <v>74.623008612816719</v>
      </c>
      <c r="AC293">
        <v>1.0016354901359501</v>
      </c>
      <c r="AD293" s="63">
        <v>74.745000000000005</v>
      </c>
      <c r="AE293">
        <v>8.9176000000000002</v>
      </c>
      <c r="AF293">
        <v>9.0561761184995895</v>
      </c>
      <c r="AG293">
        <v>1</v>
      </c>
      <c r="AH293">
        <v>5987.9436495519294</v>
      </c>
      <c r="AI293">
        <v>1.016194415745886</v>
      </c>
      <c r="AJ293" s="63">
        <v>6084.9148999999998</v>
      </c>
      <c r="AK293" s="61">
        <v>3804.7339915179168</v>
      </c>
      <c r="AL293" t="s">
        <v>343</v>
      </c>
      <c r="AM293" t="s">
        <v>435</v>
      </c>
      <c r="AN293" t="s">
        <v>425</v>
      </c>
      <c r="AO293" t="s">
        <v>27</v>
      </c>
      <c r="AP293">
        <v>111.133</v>
      </c>
      <c r="AQ293">
        <v>1.027287859172453</v>
      </c>
      <c r="AR293">
        <v>114.1655816534122</v>
      </c>
      <c r="AS293">
        <v>605.53</v>
      </c>
      <c r="AT293">
        <v>1</v>
      </c>
      <c r="AU293">
        <v>69.130684658590724</v>
      </c>
      <c r="AV293">
        <v>0.95599999999999996</v>
      </c>
      <c r="AW293" s="63">
        <v>66.088999999999999</v>
      </c>
      <c r="AX293">
        <v>8.9176000000000002</v>
      </c>
      <c r="AY293">
        <v>1</v>
      </c>
      <c r="AZ293">
        <v>5547.2253382114104</v>
      </c>
      <c r="BA293">
        <v>1.0027686628383921</v>
      </c>
      <c r="BB293" s="63">
        <v>5562.5837000000001</v>
      </c>
      <c r="BC293" s="61">
        <v>3478.1343094960139</v>
      </c>
    </row>
    <row r="294" spans="1:55" x14ac:dyDescent="0.25">
      <c r="A294">
        <v>43343</v>
      </c>
      <c r="B294" t="s">
        <v>119</v>
      </c>
      <c r="C294">
        <v>2018</v>
      </c>
      <c r="D294">
        <v>1</v>
      </c>
      <c r="E294" t="s">
        <v>100</v>
      </c>
      <c r="F294" t="s">
        <v>426</v>
      </c>
      <c r="G294" t="s">
        <v>84</v>
      </c>
      <c r="H294" t="s">
        <v>59</v>
      </c>
      <c r="I294" t="s">
        <v>427</v>
      </c>
      <c r="J294">
        <v>-4.88745999</v>
      </c>
      <c r="K294" t="s">
        <v>440</v>
      </c>
      <c r="L294" t="s">
        <v>451</v>
      </c>
      <c r="M294">
        <v>1.7625750762999999E-3</v>
      </c>
      <c r="N294">
        <v>8.6145151595982909E-3</v>
      </c>
      <c r="O294">
        <v>30169.468000000001</v>
      </c>
      <c r="P294">
        <v>4.8744250000000003E-6</v>
      </c>
      <c r="Q294">
        <v>0.29411799999999999</v>
      </c>
      <c r="R294" s="61">
        <v>2.5336839697107298E-3</v>
      </c>
      <c r="S294" t="s">
        <v>342</v>
      </c>
      <c r="T294" t="s">
        <v>434</v>
      </c>
      <c r="U294" t="s">
        <v>425</v>
      </c>
      <c r="V294" t="s">
        <v>91</v>
      </c>
      <c r="W294">
        <v>111.133</v>
      </c>
      <c r="X294">
        <v>1.0155396203574489</v>
      </c>
      <c r="Y294">
        <v>112.8599646291844</v>
      </c>
      <c r="Z294">
        <v>661.2</v>
      </c>
      <c r="AA294">
        <v>1</v>
      </c>
      <c r="AB294">
        <v>74.623008612816719</v>
      </c>
      <c r="AC294">
        <v>1.02984769498109</v>
      </c>
      <c r="AD294" s="63">
        <v>76.849999999999994</v>
      </c>
      <c r="AE294">
        <v>8.9176000000000002</v>
      </c>
      <c r="AF294">
        <v>9.0561761184995895</v>
      </c>
      <c r="AG294">
        <v>1</v>
      </c>
      <c r="AH294">
        <v>5987.9436495519294</v>
      </c>
      <c r="AI294">
        <v>0.9935711161666545</v>
      </c>
      <c r="AJ294" s="63">
        <v>5949.4479000000001</v>
      </c>
      <c r="AK294" s="61">
        <v>15.07402077285917</v>
      </c>
      <c r="AL294" t="s">
        <v>343</v>
      </c>
      <c r="AM294" t="s">
        <v>435</v>
      </c>
      <c r="AN294" t="s">
        <v>425</v>
      </c>
      <c r="AO294" t="s">
        <v>91</v>
      </c>
      <c r="AP294">
        <v>111.133</v>
      </c>
      <c r="AQ294">
        <v>1.027287859172453</v>
      </c>
      <c r="AR294">
        <v>114.1655816534122</v>
      </c>
      <c r="AS294">
        <v>605.53</v>
      </c>
      <c r="AT294">
        <v>1</v>
      </c>
      <c r="AU294">
        <v>69.130684658590724</v>
      </c>
      <c r="AV294">
        <v>1.0056</v>
      </c>
      <c r="AW294" s="63">
        <v>69.518000000000001</v>
      </c>
      <c r="AX294">
        <v>8.9176000000000002</v>
      </c>
      <c r="AY294">
        <v>1</v>
      </c>
      <c r="AZ294">
        <v>5547.2253382114104</v>
      </c>
      <c r="BA294">
        <v>0.98408824677860207</v>
      </c>
      <c r="BB294" s="63">
        <v>5458.9593000000004</v>
      </c>
      <c r="BC294" s="61">
        <v>13.831277669713311</v>
      </c>
    </row>
    <row r="295" spans="1:55" x14ac:dyDescent="0.25">
      <c r="A295">
        <v>43345</v>
      </c>
      <c r="B295" t="s">
        <v>119</v>
      </c>
      <c r="C295">
        <v>2018</v>
      </c>
      <c r="D295">
        <v>1</v>
      </c>
      <c r="E295" t="s">
        <v>100</v>
      </c>
      <c r="F295" t="s">
        <v>426</v>
      </c>
      <c r="G295" t="s">
        <v>84</v>
      </c>
      <c r="H295" t="s">
        <v>59</v>
      </c>
      <c r="I295" t="s">
        <v>427</v>
      </c>
      <c r="J295">
        <v>-4.88745999</v>
      </c>
      <c r="K295" t="s">
        <v>440</v>
      </c>
      <c r="L295" t="s">
        <v>452</v>
      </c>
      <c r="M295">
        <v>1.4858046103299999E-3</v>
      </c>
      <c r="N295">
        <v>7.2618105815710921E-3</v>
      </c>
      <c r="O295">
        <v>30169.468000000001</v>
      </c>
      <c r="P295">
        <v>4.8744250000000003E-6</v>
      </c>
      <c r="Q295">
        <v>0.29411799999999999</v>
      </c>
      <c r="R295" s="61">
        <v>2.135829204630527E-3</v>
      </c>
      <c r="S295" t="s">
        <v>342</v>
      </c>
      <c r="T295" t="s">
        <v>434</v>
      </c>
      <c r="U295" t="s">
        <v>425</v>
      </c>
      <c r="V295" t="s">
        <v>28</v>
      </c>
      <c r="W295">
        <v>111.133</v>
      </c>
      <c r="X295">
        <v>1.0155396203574489</v>
      </c>
      <c r="Y295">
        <v>112.8599646291844</v>
      </c>
      <c r="Z295">
        <v>661.2</v>
      </c>
      <c r="AA295">
        <v>1</v>
      </c>
      <c r="AB295">
        <v>74.623008612816719</v>
      </c>
      <c r="AC295">
        <v>1.0451804150056221</v>
      </c>
      <c r="AD295" s="63">
        <v>77.995000000000005</v>
      </c>
      <c r="AE295">
        <v>8.9176000000000002</v>
      </c>
      <c r="AF295">
        <v>9.0561761184995895</v>
      </c>
      <c r="AG295">
        <v>1</v>
      </c>
      <c r="AH295">
        <v>5987.9436495519294</v>
      </c>
      <c r="AI295">
        <v>1.0071061377552519</v>
      </c>
      <c r="AJ295" s="63">
        <v>6030.4948000000004</v>
      </c>
      <c r="AK295" s="61">
        <v>12.880106912212529</v>
      </c>
      <c r="AL295" t="s">
        <v>343</v>
      </c>
      <c r="AM295" t="s">
        <v>435</v>
      </c>
      <c r="AN295" t="s">
        <v>425</v>
      </c>
      <c r="AO295" t="s">
        <v>28</v>
      </c>
      <c r="AP295">
        <v>111.133</v>
      </c>
      <c r="AQ295">
        <v>1.027287859172453</v>
      </c>
      <c r="AR295">
        <v>114.1655816534122</v>
      </c>
      <c r="AS295">
        <v>605.53</v>
      </c>
      <c r="AT295">
        <v>1</v>
      </c>
      <c r="AU295">
        <v>69.130684658590724</v>
      </c>
      <c r="AV295">
        <v>1.0064</v>
      </c>
      <c r="AW295" s="63">
        <v>69.572999999999993</v>
      </c>
      <c r="AX295">
        <v>8.9176000000000002</v>
      </c>
      <c r="AY295">
        <v>1</v>
      </c>
      <c r="AZ295">
        <v>5547.2253382114104</v>
      </c>
      <c r="BA295">
        <v>0.98887576294546164</v>
      </c>
      <c r="BB295" s="63">
        <v>5485.5167000000001</v>
      </c>
      <c r="BC295" s="61">
        <v>11.71612677034847</v>
      </c>
    </row>
    <row r="296" spans="1:55" x14ac:dyDescent="0.25">
      <c r="A296">
        <v>48967</v>
      </c>
      <c r="B296" t="s">
        <v>117</v>
      </c>
      <c r="C296">
        <v>2018</v>
      </c>
      <c r="D296">
        <v>2</v>
      </c>
      <c r="E296" t="s">
        <v>100</v>
      </c>
      <c r="F296" t="s">
        <v>426</v>
      </c>
      <c r="G296" t="s">
        <v>84</v>
      </c>
      <c r="H296" t="s">
        <v>381</v>
      </c>
      <c r="I296" t="s">
        <v>427</v>
      </c>
      <c r="J296">
        <v>-9.2793292600000008</v>
      </c>
      <c r="K296" t="s">
        <v>440</v>
      </c>
      <c r="L296" t="s">
        <v>450</v>
      </c>
      <c r="M296">
        <v>0.15011157993331001</v>
      </c>
      <c r="N296">
        <v>1.392934775412954</v>
      </c>
      <c r="O296">
        <v>30169.468000000001</v>
      </c>
      <c r="P296">
        <v>4.8744250000000003E-6</v>
      </c>
      <c r="Q296">
        <v>0.29411799999999999</v>
      </c>
      <c r="R296" s="61">
        <v>0.40968719027490708</v>
      </c>
      <c r="S296" t="s">
        <v>342</v>
      </c>
      <c r="T296" t="s">
        <v>434</v>
      </c>
      <c r="U296" t="s">
        <v>425</v>
      </c>
      <c r="V296" t="s">
        <v>26</v>
      </c>
      <c r="W296">
        <v>111.133</v>
      </c>
      <c r="X296">
        <v>1.0155396203574489</v>
      </c>
      <c r="Y296">
        <v>112.8599646291844</v>
      </c>
      <c r="Z296">
        <v>661.2</v>
      </c>
      <c r="AA296">
        <v>1</v>
      </c>
      <c r="AB296">
        <v>74.623008612816719</v>
      </c>
      <c r="AC296">
        <v>1.012368394153123</v>
      </c>
      <c r="AD296" s="63">
        <v>75.546000000000006</v>
      </c>
      <c r="AE296">
        <v>8.9176000000000002</v>
      </c>
      <c r="AF296">
        <v>9.0561761184995895</v>
      </c>
      <c r="AG296">
        <v>1</v>
      </c>
      <c r="AH296">
        <v>5987.9436495519294</v>
      </c>
      <c r="AI296">
        <v>0.99404987733863315</v>
      </c>
      <c r="AJ296" s="63">
        <v>5952.3146999999999</v>
      </c>
      <c r="AK296" s="61">
        <v>2438.5870850750271</v>
      </c>
      <c r="AL296" t="s">
        <v>343</v>
      </c>
      <c r="AM296" t="s">
        <v>435</v>
      </c>
      <c r="AN296" t="s">
        <v>425</v>
      </c>
      <c r="AO296" t="s">
        <v>26</v>
      </c>
      <c r="AP296">
        <v>111.133</v>
      </c>
      <c r="AQ296">
        <v>1.027287859172453</v>
      </c>
      <c r="AR296">
        <v>114.1655816534122</v>
      </c>
      <c r="AS296">
        <v>596.84</v>
      </c>
      <c r="AT296">
        <v>1</v>
      </c>
      <c r="AU296">
        <v>68.138585754022571</v>
      </c>
      <c r="AV296">
        <v>0.97960000000000003</v>
      </c>
      <c r="AW296" s="63">
        <v>66.748999999999995</v>
      </c>
      <c r="AX296">
        <v>8.9176000000000002</v>
      </c>
      <c r="AY296">
        <v>1</v>
      </c>
      <c r="AZ296">
        <v>5467.6167503808201</v>
      </c>
      <c r="BA296">
        <v>0.98541811328241247</v>
      </c>
      <c r="BB296" s="63">
        <v>5387.8886000000002</v>
      </c>
      <c r="BC296" s="61">
        <v>2207.3489420482028</v>
      </c>
    </row>
    <row r="297" spans="1:55" x14ac:dyDescent="0.25">
      <c r="A297">
        <v>48969</v>
      </c>
      <c r="B297" t="s">
        <v>117</v>
      </c>
      <c r="C297">
        <v>2018</v>
      </c>
      <c r="D297">
        <v>2</v>
      </c>
      <c r="E297" t="s">
        <v>100</v>
      </c>
      <c r="F297" t="s">
        <v>426</v>
      </c>
      <c r="G297" t="s">
        <v>84</v>
      </c>
      <c r="H297" t="s">
        <v>381</v>
      </c>
      <c r="I297" t="s">
        <v>427</v>
      </c>
      <c r="J297">
        <v>-9.2793292600000008</v>
      </c>
      <c r="K297" t="s">
        <v>440</v>
      </c>
      <c r="L297" t="s">
        <v>384</v>
      </c>
      <c r="M297">
        <v>4.5811354346740003E-2</v>
      </c>
      <c r="N297">
        <v>0.42509864066908992</v>
      </c>
      <c r="O297">
        <v>30169.468000000001</v>
      </c>
      <c r="P297">
        <v>4.8744250000000003E-6</v>
      </c>
      <c r="Q297">
        <v>0.29411799999999999</v>
      </c>
      <c r="R297" s="61">
        <v>0.12502916199631139</v>
      </c>
      <c r="S297" t="s">
        <v>342</v>
      </c>
      <c r="T297" t="s">
        <v>434</v>
      </c>
      <c r="U297" t="s">
        <v>425</v>
      </c>
      <c r="V297" t="s">
        <v>81</v>
      </c>
      <c r="W297">
        <v>111.133</v>
      </c>
      <c r="X297">
        <v>1.0155396203574489</v>
      </c>
      <c r="Y297">
        <v>112.8599646291844</v>
      </c>
      <c r="Z297">
        <v>661.2</v>
      </c>
      <c r="AA297">
        <v>1</v>
      </c>
      <c r="AB297">
        <v>74.623008612816719</v>
      </c>
      <c r="AC297">
        <v>0.95185525912296853</v>
      </c>
      <c r="AD297" s="63">
        <v>71.03</v>
      </c>
      <c r="AE297">
        <v>8.9176000000000002</v>
      </c>
      <c r="AF297">
        <v>9.0561761184995895</v>
      </c>
      <c r="AG297">
        <v>1</v>
      </c>
      <c r="AH297">
        <v>5987.9436495519294</v>
      </c>
      <c r="AI297">
        <v>1.081469419077697</v>
      </c>
      <c r="AJ297" s="63">
        <v>6475.7779</v>
      </c>
      <c r="AK297" s="61">
        <v>809.66108411123321</v>
      </c>
      <c r="AL297" t="s">
        <v>343</v>
      </c>
      <c r="AM297" t="s">
        <v>435</v>
      </c>
      <c r="AN297" t="s">
        <v>425</v>
      </c>
      <c r="AO297" t="s">
        <v>81</v>
      </c>
      <c r="AP297">
        <v>111.133</v>
      </c>
      <c r="AQ297">
        <v>1.027287859172453</v>
      </c>
      <c r="AR297">
        <v>114.1655816534122</v>
      </c>
      <c r="AS297">
        <v>596.84</v>
      </c>
      <c r="AT297">
        <v>1</v>
      </c>
      <c r="AU297">
        <v>68.138585754022571</v>
      </c>
      <c r="AV297">
        <v>0.92730000000000001</v>
      </c>
      <c r="AW297" s="63">
        <v>63.185000000000002</v>
      </c>
      <c r="AX297">
        <v>8.9176000000000002</v>
      </c>
      <c r="AY297">
        <v>1</v>
      </c>
      <c r="AZ297">
        <v>5467.6167503808201</v>
      </c>
      <c r="BA297">
        <v>1.094557195571956</v>
      </c>
      <c r="BB297" s="63">
        <v>5984.6193000000003</v>
      </c>
      <c r="BC297" s="61">
        <v>748.25193594595169</v>
      </c>
    </row>
    <row r="298" spans="1:55" x14ac:dyDescent="0.25">
      <c r="A298">
        <v>48971</v>
      </c>
      <c r="B298" t="s">
        <v>117</v>
      </c>
      <c r="C298">
        <v>2018</v>
      </c>
      <c r="D298">
        <v>2</v>
      </c>
      <c r="E298" t="s">
        <v>100</v>
      </c>
      <c r="F298" t="s">
        <v>426</v>
      </c>
      <c r="G298" t="s">
        <v>84</v>
      </c>
      <c r="H298" t="s">
        <v>381</v>
      </c>
      <c r="I298" t="s">
        <v>427</v>
      </c>
      <c r="J298">
        <v>-9.2793292600000008</v>
      </c>
      <c r="K298" t="s">
        <v>440</v>
      </c>
      <c r="L298" t="s">
        <v>385</v>
      </c>
      <c r="M298">
        <v>0.43232641346992001</v>
      </c>
      <c r="N298">
        <v>4.0116991368643973</v>
      </c>
      <c r="O298">
        <v>30169.468000000001</v>
      </c>
      <c r="P298">
        <v>4.8744250000000003E-6</v>
      </c>
      <c r="Q298">
        <v>0.29411799999999999</v>
      </c>
      <c r="R298" s="61">
        <v>1.1799129267362829</v>
      </c>
      <c r="S298" t="s">
        <v>342</v>
      </c>
      <c r="T298" t="s">
        <v>434</v>
      </c>
      <c r="U298" t="s">
        <v>425</v>
      </c>
      <c r="V298" t="s">
        <v>27</v>
      </c>
      <c r="W298">
        <v>111.133</v>
      </c>
      <c r="X298">
        <v>1.0155396203574489</v>
      </c>
      <c r="Y298">
        <v>112.8599646291844</v>
      </c>
      <c r="Z298">
        <v>661.2</v>
      </c>
      <c r="AA298">
        <v>1</v>
      </c>
      <c r="AB298">
        <v>74.623008612816719</v>
      </c>
      <c r="AC298">
        <v>1.0016354901359501</v>
      </c>
      <c r="AD298" s="63">
        <v>74.745000000000005</v>
      </c>
      <c r="AE298">
        <v>8.9176000000000002</v>
      </c>
      <c r="AF298">
        <v>9.0561761184995895</v>
      </c>
      <c r="AG298">
        <v>1</v>
      </c>
      <c r="AH298">
        <v>5987.9436495519294</v>
      </c>
      <c r="AI298">
        <v>1.016194415745886</v>
      </c>
      <c r="AJ298" s="63">
        <v>6084.9148999999998</v>
      </c>
      <c r="AK298" s="61">
        <v>7179.6697486002149</v>
      </c>
      <c r="AL298" t="s">
        <v>343</v>
      </c>
      <c r="AM298" t="s">
        <v>435</v>
      </c>
      <c r="AN298" t="s">
        <v>425</v>
      </c>
      <c r="AO298" t="s">
        <v>27</v>
      </c>
      <c r="AP298">
        <v>111.133</v>
      </c>
      <c r="AQ298">
        <v>1.027287859172453</v>
      </c>
      <c r="AR298">
        <v>114.1655816534122</v>
      </c>
      <c r="AS298">
        <v>596.84</v>
      </c>
      <c r="AT298">
        <v>1</v>
      </c>
      <c r="AU298">
        <v>68.138585754022571</v>
      </c>
      <c r="AV298">
        <v>0.95599999999999996</v>
      </c>
      <c r="AW298" s="63">
        <v>65.14</v>
      </c>
      <c r="AX298">
        <v>8.9176000000000002</v>
      </c>
      <c r="AY298">
        <v>1</v>
      </c>
      <c r="AZ298">
        <v>5467.6167503808201</v>
      </c>
      <c r="BA298">
        <v>1.0027686628383921</v>
      </c>
      <c r="BB298" s="63">
        <v>5482.7547000000004</v>
      </c>
      <c r="BC298" s="61">
        <v>6469.1731446541098</v>
      </c>
    </row>
    <row r="299" spans="1:55" x14ac:dyDescent="0.25">
      <c r="A299">
        <v>48973</v>
      </c>
      <c r="B299" t="s">
        <v>117</v>
      </c>
      <c r="C299">
        <v>2018</v>
      </c>
      <c r="D299">
        <v>2</v>
      </c>
      <c r="E299" t="s">
        <v>100</v>
      </c>
      <c r="F299" t="s">
        <v>426</v>
      </c>
      <c r="G299" t="s">
        <v>84</v>
      </c>
      <c r="H299" t="s">
        <v>381</v>
      </c>
      <c r="I299" t="s">
        <v>427</v>
      </c>
      <c r="J299">
        <v>-9.2793292600000008</v>
      </c>
      <c r="K299" t="s">
        <v>440</v>
      </c>
      <c r="L299" t="s">
        <v>451</v>
      </c>
      <c r="M299">
        <v>1.6825115802299999E-3</v>
      </c>
      <c r="N299">
        <v>1.561257893080981E-2</v>
      </c>
      <c r="O299">
        <v>30169.468000000001</v>
      </c>
      <c r="P299">
        <v>4.8744250000000003E-6</v>
      </c>
      <c r="Q299">
        <v>0.29411799999999999</v>
      </c>
      <c r="R299" s="61">
        <v>4.591940489971919E-3</v>
      </c>
      <c r="S299" t="s">
        <v>342</v>
      </c>
      <c r="T299" t="s">
        <v>434</v>
      </c>
      <c r="U299" t="s">
        <v>425</v>
      </c>
      <c r="V299" t="s">
        <v>91</v>
      </c>
      <c r="W299">
        <v>111.133</v>
      </c>
      <c r="X299">
        <v>1.0155396203574489</v>
      </c>
      <c r="Y299">
        <v>112.8599646291844</v>
      </c>
      <c r="Z299">
        <v>661.2</v>
      </c>
      <c r="AA299">
        <v>1</v>
      </c>
      <c r="AB299">
        <v>74.623008612816719</v>
      </c>
      <c r="AC299">
        <v>1.02984769498109</v>
      </c>
      <c r="AD299" s="63">
        <v>76.849999999999994</v>
      </c>
      <c r="AE299">
        <v>8.9176000000000002</v>
      </c>
      <c r="AF299">
        <v>9.0561761184995895</v>
      </c>
      <c r="AG299">
        <v>1</v>
      </c>
      <c r="AH299">
        <v>5987.9436495519294</v>
      </c>
      <c r="AI299">
        <v>0.9935711161666545</v>
      </c>
      <c r="AJ299" s="63">
        <v>5949.4479000000001</v>
      </c>
      <c r="AK299" s="61">
        <v>27.31951070498841</v>
      </c>
      <c r="AL299" t="s">
        <v>343</v>
      </c>
      <c r="AM299" t="s">
        <v>435</v>
      </c>
      <c r="AN299" t="s">
        <v>425</v>
      </c>
      <c r="AO299" t="s">
        <v>91</v>
      </c>
      <c r="AP299">
        <v>111.133</v>
      </c>
      <c r="AQ299">
        <v>1.027287859172453</v>
      </c>
      <c r="AR299">
        <v>114.1655816534122</v>
      </c>
      <c r="AS299">
        <v>596.84</v>
      </c>
      <c r="AT299">
        <v>1</v>
      </c>
      <c r="AU299">
        <v>68.138585754022571</v>
      </c>
      <c r="AV299">
        <v>1.0056</v>
      </c>
      <c r="AW299" s="63">
        <v>68.52</v>
      </c>
      <c r="AX299">
        <v>8.9176000000000002</v>
      </c>
      <c r="AY299">
        <v>1</v>
      </c>
      <c r="AZ299">
        <v>5467.6167503808201</v>
      </c>
      <c r="BA299">
        <v>0.98408824677860207</v>
      </c>
      <c r="BB299" s="63">
        <v>5380.6174000000001</v>
      </c>
      <c r="BC299" s="61">
        <v>24.707474900107439</v>
      </c>
    </row>
    <row r="300" spans="1:55" x14ac:dyDescent="0.25">
      <c r="A300">
        <v>48975</v>
      </c>
      <c r="B300" t="s">
        <v>117</v>
      </c>
      <c r="C300">
        <v>2018</v>
      </c>
      <c r="D300">
        <v>2</v>
      </c>
      <c r="E300" t="s">
        <v>100</v>
      </c>
      <c r="F300" t="s">
        <v>426</v>
      </c>
      <c r="G300" t="s">
        <v>84</v>
      </c>
      <c r="H300" t="s">
        <v>381</v>
      </c>
      <c r="I300" t="s">
        <v>427</v>
      </c>
      <c r="J300">
        <v>-9.2793292600000008</v>
      </c>
      <c r="K300" t="s">
        <v>440</v>
      </c>
      <c r="L300" t="s">
        <v>452</v>
      </c>
      <c r="M300">
        <v>1.53682162831E-3</v>
      </c>
      <c r="N300">
        <v>1.426067389758208E-2</v>
      </c>
      <c r="O300">
        <v>30169.468000000001</v>
      </c>
      <c r="P300">
        <v>4.8744250000000003E-6</v>
      </c>
      <c r="Q300">
        <v>0.29411799999999999</v>
      </c>
      <c r="R300" s="61">
        <v>4.1943208854090452E-3</v>
      </c>
      <c r="S300" t="s">
        <v>342</v>
      </c>
      <c r="T300" t="s">
        <v>434</v>
      </c>
      <c r="U300" t="s">
        <v>425</v>
      </c>
      <c r="V300" t="s">
        <v>28</v>
      </c>
      <c r="W300">
        <v>111.133</v>
      </c>
      <c r="X300">
        <v>1.0155396203574489</v>
      </c>
      <c r="Y300">
        <v>112.8599646291844</v>
      </c>
      <c r="Z300">
        <v>661.2</v>
      </c>
      <c r="AA300">
        <v>1</v>
      </c>
      <c r="AB300">
        <v>74.623008612816719</v>
      </c>
      <c r="AC300">
        <v>1.0451804150056221</v>
      </c>
      <c r="AD300" s="63">
        <v>77.995000000000005</v>
      </c>
      <c r="AE300">
        <v>8.9176000000000002</v>
      </c>
      <c r="AF300">
        <v>9.0561761184995895</v>
      </c>
      <c r="AG300">
        <v>1</v>
      </c>
      <c r="AH300">
        <v>5987.9436495519294</v>
      </c>
      <c r="AI300">
        <v>1.0071061377552519</v>
      </c>
      <c r="AJ300" s="63">
        <v>6030.4948000000004</v>
      </c>
      <c r="AK300" s="61">
        <v>25.293830288990641</v>
      </c>
      <c r="AL300" t="s">
        <v>343</v>
      </c>
      <c r="AM300" t="s">
        <v>435</v>
      </c>
      <c r="AN300" t="s">
        <v>425</v>
      </c>
      <c r="AO300" t="s">
        <v>28</v>
      </c>
      <c r="AP300">
        <v>111.133</v>
      </c>
      <c r="AQ300">
        <v>1.027287859172453</v>
      </c>
      <c r="AR300">
        <v>114.1655816534122</v>
      </c>
      <c r="AS300">
        <v>596.84</v>
      </c>
      <c r="AT300">
        <v>1</v>
      </c>
      <c r="AU300">
        <v>68.138585754022571</v>
      </c>
      <c r="AV300">
        <v>1.0064</v>
      </c>
      <c r="AW300" s="63">
        <v>68.575000000000003</v>
      </c>
      <c r="AX300">
        <v>8.9176000000000002</v>
      </c>
      <c r="AY300">
        <v>1</v>
      </c>
      <c r="AZ300">
        <v>5467.6167503808201</v>
      </c>
      <c r="BA300">
        <v>0.98887576294546164</v>
      </c>
      <c r="BB300" s="63">
        <v>5406.7937000000002</v>
      </c>
      <c r="BC300" s="61">
        <v>22.677827739008048</v>
      </c>
    </row>
    <row r="301" spans="1:55" x14ac:dyDescent="0.25">
      <c r="A301">
        <v>48977</v>
      </c>
      <c r="B301" t="s">
        <v>117</v>
      </c>
      <c r="C301">
        <v>2018</v>
      </c>
      <c r="D301">
        <v>2</v>
      </c>
      <c r="E301" t="s">
        <v>100</v>
      </c>
      <c r="F301" t="s">
        <v>426</v>
      </c>
      <c r="G301" t="s">
        <v>84</v>
      </c>
      <c r="H301" t="s">
        <v>87</v>
      </c>
      <c r="I301" t="s">
        <v>427</v>
      </c>
      <c r="J301">
        <v>-1.70515774</v>
      </c>
      <c r="K301" t="s">
        <v>440</v>
      </c>
      <c r="L301" t="s">
        <v>450</v>
      </c>
      <c r="M301">
        <v>0.26601384014995</v>
      </c>
      <c r="N301">
        <v>0.45359555967273718</v>
      </c>
      <c r="O301">
        <v>30169.468000000001</v>
      </c>
      <c r="P301">
        <v>4.8744250000000003E-6</v>
      </c>
      <c r="Q301">
        <v>0.29411799999999999</v>
      </c>
      <c r="R301" s="61">
        <v>0.1334106188198261</v>
      </c>
      <c r="S301" t="s">
        <v>342</v>
      </c>
      <c r="T301" t="s">
        <v>434</v>
      </c>
      <c r="U301" t="s">
        <v>425</v>
      </c>
      <c r="V301" t="s">
        <v>26</v>
      </c>
      <c r="W301">
        <v>111.133</v>
      </c>
      <c r="X301">
        <v>1.0155396203574489</v>
      </c>
      <c r="Y301">
        <v>112.8599646291844</v>
      </c>
      <c r="Z301">
        <v>661.2</v>
      </c>
      <c r="AA301">
        <v>1</v>
      </c>
      <c r="AB301">
        <v>74.623008612816719</v>
      </c>
      <c r="AC301">
        <v>1.012368394153123</v>
      </c>
      <c r="AD301" s="63">
        <v>75.546000000000006</v>
      </c>
      <c r="AE301">
        <v>8.9176000000000002</v>
      </c>
      <c r="AF301">
        <v>9.0561761184995895</v>
      </c>
      <c r="AG301">
        <v>1</v>
      </c>
      <c r="AH301">
        <v>5987.9436495519294</v>
      </c>
      <c r="AI301">
        <v>0.99404987733863315</v>
      </c>
      <c r="AJ301" s="63">
        <v>5952.3146999999999</v>
      </c>
      <c r="AK301" s="61">
        <v>794.10198753734755</v>
      </c>
      <c r="AL301" t="s">
        <v>343</v>
      </c>
      <c r="AM301" t="s">
        <v>435</v>
      </c>
      <c r="AN301" t="s">
        <v>425</v>
      </c>
      <c r="AO301" t="s">
        <v>26</v>
      </c>
      <c r="AP301">
        <v>111.133</v>
      </c>
      <c r="AQ301">
        <v>1.027287859172453</v>
      </c>
      <c r="AR301">
        <v>114.1655816534122</v>
      </c>
      <c r="AS301">
        <v>596.84</v>
      </c>
      <c r="AT301">
        <v>1</v>
      </c>
      <c r="AU301">
        <v>68.138585754022571</v>
      </c>
      <c r="AV301">
        <v>0.97960000000000003</v>
      </c>
      <c r="AW301" s="63">
        <v>66.748999999999995</v>
      </c>
      <c r="AX301">
        <v>8.9176000000000002</v>
      </c>
      <c r="AY301">
        <v>1</v>
      </c>
      <c r="AZ301">
        <v>5467.6167503808201</v>
      </c>
      <c r="BA301">
        <v>0.98541811328241247</v>
      </c>
      <c r="BB301" s="63">
        <v>5387.8886000000002</v>
      </c>
      <c r="BC301" s="61">
        <v>718.80155225828651</v>
      </c>
    </row>
    <row r="302" spans="1:55" x14ac:dyDescent="0.25">
      <c r="A302">
        <v>48979</v>
      </c>
      <c r="B302" t="s">
        <v>117</v>
      </c>
      <c r="C302">
        <v>2018</v>
      </c>
      <c r="D302">
        <v>2</v>
      </c>
      <c r="E302" t="s">
        <v>100</v>
      </c>
      <c r="F302" t="s">
        <v>426</v>
      </c>
      <c r="G302" t="s">
        <v>84</v>
      </c>
      <c r="H302" t="s">
        <v>87</v>
      </c>
      <c r="I302" t="s">
        <v>427</v>
      </c>
      <c r="J302">
        <v>-1.70515774</v>
      </c>
      <c r="K302" t="s">
        <v>440</v>
      </c>
      <c r="L302" t="s">
        <v>384</v>
      </c>
      <c r="M302">
        <v>3.9509559941419997E-2</v>
      </c>
      <c r="N302">
        <v>6.7370032115433631E-2</v>
      </c>
      <c r="O302">
        <v>30169.468000000001</v>
      </c>
      <c r="P302">
        <v>4.8744250000000003E-6</v>
      </c>
      <c r="Q302">
        <v>0.29411799999999999</v>
      </c>
      <c r="R302" s="61">
        <v>1.9814739105727109E-2</v>
      </c>
      <c r="S302" t="s">
        <v>342</v>
      </c>
      <c r="T302" t="s">
        <v>434</v>
      </c>
      <c r="U302" t="s">
        <v>425</v>
      </c>
      <c r="V302" t="s">
        <v>81</v>
      </c>
      <c r="W302">
        <v>111.133</v>
      </c>
      <c r="X302">
        <v>1.0155396203574489</v>
      </c>
      <c r="Y302">
        <v>112.8599646291844</v>
      </c>
      <c r="Z302">
        <v>661.2</v>
      </c>
      <c r="AA302">
        <v>1</v>
      </c>
      <c r="AB302">
        <v>74.623008612816719</v>
      </c>
      <c r="AC302">
        <v>0.95185525912296853</v>
      </c>
      <c r="AD302" s="63">
        <v>71.03</v>
      </c>
      <c r="AE302">
        <v>8.9176000000000002</v>
      </c>
      <c r="AF302">
        <v>9.0561761184995895</v>
      </c>
      <c r="AG302">
        <v>1</v>
      </c>
      <c r="AH302">
        <v>5987.9436495519294</v>
      </c>
      <c r="AI302">
        <v>1.081469419077697</v>
      </c>
      <c r="AJ302" s="63">
        <v>6475.7779</v>
      </c>
      <c r="AK302" s="61">
        <v>128.31584959513339</v>
      </c>
      <c r="AL302" t="s">
        <v>343</v>
      </c>
      <c r="AM302" t="s">
        <v>435</v>
      </c>
      <c r="AN302" t="s">
        <v>425</v>
      </c>
      <c r="AO302" t="s">
        <v>81</v>
      </c>
      <c r="AP302">
        <v>111.133</v>
      </c>
      <c r="AQ302">
        <v>1.027287859172453</v>
      </c>
      <c r="AR302">
        <v>114.1655816534122</v>
      </c>
      <c r="AS302">
        <v>596.84</v>
      </c>
      <c r="AT302">
        <v>1</v>
      </c>
      <c r="AU302">
        <v>68.138585754022571</v>
      </c>
      <c r="AV302">
        <v>0.92730000000000001</v>
      </c>
      <c r="AW302" s="63">
        <v>63.185000000000002</v>
      </c>
      <c r="AX302">
        <v>8.9176000000000002</v>
      </c>
      <c r="AY302">
        <v>1</v>
      </c>
      <c r="AZ302">
        <v>5467.6167503808201</v>
      </c>
      <c r="BA302">
        <v>1.094557195571956</v>
      </c>
      <c r="BB302" s="63">
        <v>5984.6193000000003</v>
      </c>
      <c r="BC302" s="61">
        <v>118.5836700765992</v>
      </c>
    </row>
    <row r="303" spans="1:55" x14ac:dyDescent="0.25">
      <c r="A303">
        <v>48981</v>
      </c>
      <c r="B303" t="s">
        <v>117</v>
      </c>
      <c r="C303">
        <v>2018</v>
      </c>
      <c r="D303">
        <v>2</v>
      </c>
      <c r="E303" t="s">
        <v>100</v>
      </c>
      <c r="F303" t="s">
        <v>426</v>
      </c>
      <c r="G303" t="s">
        <v>84</v>
      </c>
      <c r="H303" t="s">
        <v>87</v>
      </c>
      <c r="I303" t="s">
        <v>427</v>
      </c>
      <c r="J303">
        <v>-1.70515774</v>
      </c>
      <c r="K303" t="s">
        <v>440</v>
      </c>
      <c r="L303" t="s">
        <v>385</v>
      </c>
      <c r="M303">
        <v>0.39737542925016001</v>
      </c>
      <c r="N303">
        <v>0.67758779065523889</v>
      </c>
      <c r="O303">
        <v>30169.468000000001</v>
      </c>
      <c r="P303">
        <v>4.8744250000000003E-6</v>
      </c>
      <c r="Q303">
        <v>0.29411799999999999</v>
      </c>
      <c r="R303" s="61">
        <v>0.19929076581193761</v>
      </c>
      <c r="S303" t="s">
        <v>342</v>
      </c>
      <c r="T303" t="s">
        <v>434</v>
      </c>
      <c r="U303" t="s">
        <v>425</v>
      </c>
      <c r="V303" t="s">
        <v>27</v>
      </c>
      <c r="W303">
        <v>111.133</v>
      </c>
      <c r="X303">
        <v>1.0155396203574489</v>
      </c>
      <c r="Y303">
        <v>112.8599646291844</v>
      </c>
      <c r="Z303">
        <v>661.2</v>
      </c>
      <c r="AA303">
        <v>1</v>
      </c>
      <c r="AB303">
        <v>74.623008612816719</v>
      </c>
      <c r="AC303">
        <v>1.0016354901359501</v>
      </c>
      <c r="AD303" s="63">
        <v>74.745000000000005</v>
      </c>
      <c r="AE303">
        <v>8.9176000000000002</v>
      </c>
      <c r="AF303">
        <v>9.0561761184995895</v>
      </c>
      <c r="AG303">
        <v>1</v>
      </c>
      <c r="AH303">
        <v>5987.9436495519294</v>
      </c>
      <c r="AI303">
        <v>1.016194415745886</v>
      </c>
      <c r="AJ303" s="63">
        <v>6084.9148999999998</v>
      </c>
      <c r="AK303" s="61">
        <v>1212.667350321469</v>
      </c>
      <c r="AL303" t="s">
        <v>343</v>
      </c>
      <c r="AM303" t="s">
        <v>435</v>
      </c>
      <c r="AN303" t="s">
        <v>425</v>
      </c>
      <c r="AO303" t="s">
        <v>27</v>
      </c>
      <c r="AP303">
        <v>111.133</v>
      </c>
      <c r="AQ303">
        <v>1.027287859172453</v>
      </c>
      <c r="AR303">
        <v>114.1655816534122</v>
      </c>
      <c r="AS303">
        <v>596.84</v>
      </c>
      <c r="AT303">
        <v>1</v>
      </c>
      <c r="AU303">
        <v>68.138585754022571</v>
      </c>
      <c r="AV303">
        <v>0.95599999999999996</v>
      </c>
      <c r="AW303" s="63">
        <v>65.14</v>
      </c>
      <c r="AX303">
        <v>8.9176000000000002</v>
      </c>
      <c r="AY303">
        <v>1</v>
      </c>
      <c r="AZ303">
        <v>5467.6167503808201</v>
      </c>
      <c r="BA303">
        <v>1.0027686628383921</v>
      </c>
      <c r="BB303" s="63">
        <v>5482.7547000000004</v>
      </c>
      <c r="BC303" s="61">
        <v>1092.662382922</v>
      </c>
    </row>
    <row r="304" spans="1:55" x14ac:dyDescent="0.25">
      <c r="A304">
        <v>48983</v>
      </c>
      <c r="B304" t="s">
        <v>117</v>
      </c>
      <c r="C304">
        <v>2018</v>
      </c>
      <c r="D304">
        <v>2</v>
      </c>
      <c r="E304" t="s">
        <v>100</v>
      </c>
      <c r="F304" t="s">
        <v>426</v>
      </c>
      <c r="G304" t="s">
        <v>84</v>
      </c>
      <c r="H304" t="s">
        <v>87</v>
      </c>
      <c r="I304" t="s">
        <v>427</v>
      </c>
      <c r="J304">
        <v>-1.70515774</v>
      </c>
      <c r="K304" t="s">
        <v>440</v>
      </c>
      <c r="L304" t="s">
        <v>452</v>
      </c>
      <c r="M304">
        <v>8.4248020759000004E-4</v>
      </c>
      <c r="N304">
        <v>1.4365616505501271E-3</v>
      </c>
      <c r="O304">
        <v>30169.468000000001</v>
      </c>
      <c r="P304">
        <v>4.8744250000000003E-6</v>
      </c>
      <c r="Q304">
        <v>0.29411799999999999</v>
      </c>
      <c r="R304" s="61">
        <v>4.2251863953650219E-4</v>
      </c>
      <c r="S304" t="s">
        <v>342</v>
      </c>
      <c r="T304" t="s">
        <v>434</v>
      </c>
      <c r="U304" t="s">
        <v>425</v>
      </c>
      <c r="V304" t="s">
        <v>28</v>
      </c>
      <c r="W304">
        <v>111.133</v>
      </c>
      <c r="X304">
        <v>1.0155396203574489</v>
      </c>
      <c r="Y304">
        <v>112.8599646291844</v>
      </c>
      <c r="Z304">
        <v>661.2</v>
      </c>
      <c r="AA304">
        <v>1</v>
      </c>
      <c r="AB304">
        <v>74.623008612816719</v>
      </c>
      <c r="AC304">
        <v>1.0451804150056221</v>
      </c>
      <c r="AD304" s="63">
        <v>77.995000000000005</v>
      </c>
      <c r="AE304">
        <v>8.9176000000000002</v>
      </c>
      <c r="AF304">
        <v>9.0561761184995895</v>
      </c>
      <c r="AG304">
        <v>1</v>
      </c>
      <c r="AH304">
        <v>5987.9436495519294</v>
      </c>
      <c r="AI304">
        <v>1.0071061377552519</v>
      </c>
      <c r="AJ304" s="63">
        <v>6030.4948000000004</v>
      </c>
      <c r="AK304" s="61">
        <v>2.547996458627952</v>
      </c>
      <c r="AL304" t="s">
        <v>343</v>
      </c>
      <c r="AM304" t="s">
        <v>435</v>
      </c>
      <c r="AN304" t="s">
        <v>425</v>
      </c>
      <c r="AO304" t="s">
        <v>28</v>
      </c>
      <c r="AP304">
        <v>111.133</v>
      </c>
      <c r="AQ304">
        <v>1.027287859172453</v>
      </c>
      <c r="AR304">
        <v>114.1655816534122</v>
      </c>
      <c r="AS304">
        <v>596.84</v>
      </c>
      <c r="AT304">
        <v>1</v>
      </c>
      <c r="AU304">
        <v>68.138585754022571</v>
      </c>
      <c r="AV304">
        <v>1.0064</v>
      </c>
      <c r="AW304" s="63">
        <v>68.575000000000003</v>
      </c>
      <c r="AX304">
        <v>8.9176000000000002</v>
      </c>
      <c r="AY304">
        <v>1</v>
      </c>
      <c r="AZ304">
        <v>5467.6167503808201</v>
      </c>
      <c r="BA304">
        <v>0.98887576294546164</v>
      </c>
      <c r="BB304" s="63">
        <v>5406.7937000000002</v>
      </c>
      <c r="BC304" s="61">
        <v>2.2844711183785309</v>
      </c>
    </row>
    <row r="305" spans="1:55" x14ac:dyDescent="0.25">
      <c r="A305">
        <v>48985</v>
      </c>
      <c r="B305" t="s">
        <v>117</v>
      </c>
      <c r="C305">
        <v>2018</v>
      </c>
      <c r="D305">
        <v>2</v>
      </c>
      <c r="E305" t="s">
        <v>100</v>
      </c>
      <c r="F305" t="s">
        <v>426</v>
      </c>
      <c r="G305" t="s">
        <v>84</v>
      </c>
      <c r="H305" t="s">
        <v>59</v>
      </c>
      <c r="I305" t="s">
        <v>427</v>
      </c>
      <c r="J305">
        <v>-4.9029976900000003</v>
      </c>
      <c r="K305" t="s">
        <v>440</v>
      </c>
      <c r="L305" t="s">
        <v>450</v>
      </c>
      <c r="M305">
        <v>0.15931709696460999</v>
      </c>
      <c r="N305">
        <v>0.7811313589309955</v>
      </c>
      <c r="O305">
        <v>30169.468000000001</v>
      </c>
      <c r="P305">
        <v>4.8744250000000003E-6</v>
      </c>
      <c r="Q305">
        <v>0.29411799999999999</v>
      </c>
      <c r="R305" s="61">
        <v>0.22974479302606651</v>
      </c>
      <c r="S305" t="s">
        <v>342</v>
      </c>
      <c r="T305" t="s">
        <v>434</v>
      </c>
      <c r="U305" t="s">
        <v>425</v>
      </c>
      <c r="V305" t="s">
        <v>26</v>
      </c>
      <c r="W305">
        <v>111.133</v>
      </c>
      <c r="X305">
        <v>1.0155396203574489</v>
      </c>
      <c r="Y305">
        <v>112.8599646291844</v>
      </c>
      <c r="Z305">
        <v>661.2</v>
      </c>
      <c r="AA305">
        <v>1</v>
      </c>
      <c r="AB305">
        <v>74.623008612816719</v>
      </c>
      <c r="AC305">
        <v>1.012368394153123</v>
      </c>
      <c r="AD305" s="63">
        <v>75.546000000000006</v>
      </c>
      <c r="AE305">
        <v>8.9176000000000002</v>
      </c>
      <c r="AF305">
        <v>9.0561761184995895</v>
      </c>
      <c r="AG305">
        <v>1</v>
      </c>
      <c r="AH305">
        <v>5987.9436495519294</v>
      </c>
      <c r="AI305">
        <v>0.99404987733863315</v>
      </c>
      <c r="AJ305" s="63">
        <v>5952.3146999999999</v>
      </c>
      <c r="AK305" s="61">
        <v>1367.513308777513</v>
      </c>
      <c r="AL305" t="s">
        <v>343</v>
      </c>
      <c r="AM305" t="s">
        <v>435</v>
      </c>
      <c r="AN305" t="s">
        <v>425</v>
      </c>
      <c r="AO305" t="s">
        <v>26</v>
      </c>
      <c r="AP305">
        <v>111.133</v>
      </c>
      <c r="AQ305">
        <v>1.027287859172453</v>
      </c>
      <c r="AR305">
        <v>114.1655816534122</v>
      </c>
      <c r="AS305">
        <v>596.84</v>
      </c>
      <c r="AT305">
        <v>1</v>
      </c>
      <c r="AU305">
        <v>68.138585754022571</v>
      </c>
      <c r="AV305">
        <v>0.97960000000000003</v>
      </c>
      <c r="AW305" s="63">
        <v>66.748999999999995</v>
      </c>
      <c r="AX305">
        <v>8.9176000000000002</v>
      </c>
      <c r="AY305">
        <v>1</v>
      </c>
      <c r="AZ305">
        <v>5467.6167503808201</v>
      </c>
      <c r="BA305">
        <v>0.98541811328241247</v>
      </c>
      <c r="BB305" s="63">
        <v>5387.8886000000002</v>
      </c>
      <c r="BC305" s="61">
        <v>1237.839351254504</v>
      </c>
    </row>
    <row r="306" spans="1:55" x14ac:dyDescent="0.25">
      <c r="A306">
        <v>48987</v>
      </c>
      <c r="B306" t="s">
        <v>117</v>
      </c>
      <c r="C306">
        <v>2018</v>
      </c>
      <c r="D306">
        <v>2</v>
      </c>
      <c r="E306" t="s">
        <v>100</v>
      </c>
      <c r="F306" t="s">
        <v>426</v>
      </c>
      <c r="G306" t="s">
        <v>84</v>
      </c>
      <c r="H306" t="s">
        <v>59</v>
      </c>
      <c r="I306" t="s">
        <v>427</v>
      </c>
      <c r="J306">
        <v>-4.9029976900000003</v>
      </c>
      <c r="K306" t="s">
        <v>440</v>
      </c>
      <c r="L306" t="s">
        <v>384</v>
      </c>
      <c r="M306">
        <v>4.1785183859599999E-2</v>
      </c>
      <c r="N306">
        <v>0.20487266008042621</v>
      </c>
      <c r="O306">
        <v>30169.468000000001</v>
      </c>
      <c r="P306">
        <v>4.8744250000000003E-6</v>
      </c>
      <c r="Q306">
        <v>0.29411799999999999</v>
      </c>
      <c r="R306" s="61">
        <v>6.0256737037534792E-2</v>
      </c>
      <c r="S306" t="s">
        <v>342</v>
      </c>
      <c r="T306" t="s">
        <v>434</v>
      </c>
      <c r="U306" t="s">
        <v>425</v>
      </c>
      <c r="V306" t="s">
        <v>81</v>
      </c>
      <c r="W306">
        <v>111.133</v>
      </c>
      <c r="X306">
        <v>1.0155396203574489</v>
      </c>
      <c r="Y306">
        <v>112.8599646291844</v>
      </c>
      <c r="Z306">
        <v>661.2</v>
      </c>
      <c r="AA306">
        <v>1</v>
      </c>
      <c r="AB306">
        <v>74.623008612816719</v>
      </c>
      <c r="AC306">
        <v>0.95185525912296853</v>
      </c>
      <c r="AD306" s="63">
        <v>71.03</v>
      </c>
      <c r="AE306">
        <v>8.9176000000000002</v>
      </c>
      <c r="AF306">
        <v>9.0561761184995895</v>
      </c>
      <c r="AG306">
        <v>1</v>
      </c>
      <c r="AH306">
        <v>5987.9436495519294</v>
      </c>
      <c r="AI306">
        <v>1.081469419077697</v>
      </c>
      <c r="AJ306" s="63">
        <v>6475.7779</v>
      </c>
      <c r="AK306" s="61">
        <v>390.20924603377932</v>
      </c>
      <c r="AL306" t="s">
        <v>343</v>
      </c>
      <c r="AM306" t="s">
        <v>435</v>
      </c>
      <c r="AN306" t="s">
        <v>425</v>
      </c>
      <c r="AO306" t="s">
        <v>81</v>
      </c>
      <c r="AP306">
        <v>111.133</v>
      </c>
      <c r="AQ306">
        <v>1.027287859172453</v>
      </c>
      <c r="AR306">
        <v>114.1655816534122</v>
      </c>
      <c r="AS306">
        <v>596.84</v>
      </c>
      <c r="AT306">
        <v>1</v>
      </c>
      <c r="AU306">
        <v>68.138585754022571</v>
      </c>
      <c r="AV306">
        <v>0.92730000000000001</v>
      </c>
      <c r="AW306" s="63">
        <v>63.185000000000002</v>
      </c>
      <c r="AX306">
        <v>8.9176000000000002</v>
      </c>
      <c r="AY306">
        <v>1</v>
      </c>
      <c r="AZ306">
        <v>5467.6167503808201</v>
      </c>
      <c r="BA306">
        <v>1.094557195571956</v>
      </c>
      <c r="BB306" s="63">
        <v>5984.6193000000003</v>
      </c>
      <c r="BC306" s="61">
        <v>360.61363142985562</v>
      </c>
    </row>
    <row r="307" spans="1:55" x14ac:dyDescent="0.25">
      <c r="A307">
        <v>48989</v>
      </c>
      <c r="B307" t="s">
        <v>117</v>
      </c>
      <c r="C307">
        <v>2018</v>
      </c>
      <c r="D307">
        <v>2</v>
      </c>
      <c r="E307" t="s">
        <v>100</v>
      </c>
      <c r="F307" t="s">
        <v>426</v>
      </c>
      <c r="G307" t="s">
        <v>84</v>
      </c>
      <c r="H307" t="s">
        <v>59</v>
      </c>
      <c r="I307" t="s">
        <v>427</v>
      </c>
      <c r="J307">
        <v>-4.9029976900000003</v>
      </c>
      <c r="K307" t="s">
        <v>440</v>
      </c>
      <c r="L307" t="s">
        <v>385</v>
      </c>
      <c r="M307">
        <v>0.43497567483749999</v>
      </c>
      <c r="N307">
        <v>2.132684730397886</v>
      </c>
      <c r="O307">
        <v>30169.468000000001</v>
      </c>
      <c r="P307">
        <v>4.8744250000000003E-6</v>
      </c>
      <c r="Q307">
        <v>0.29411799999999999</v>
      </c>
      <c r="R307" s="61">
        <v>0.62726096753516558</v>
      </c>
      <c r="S307" t="s">
        <v>342</v>
      </c>
      <c r="T307" t="s">
        <v>434</v>
      </c>
      <c r="U307" t="s">
        <v>425</v>
      </c>
      <c r="V307" t="s">
        <v>27</v>
      </c>
      <c r="W307">
        <v>111.133</v>
      </c>
      <c r="X307">
        <v>1.0155396203574489</v>
      </c>
      <c r="Y307">
        <v>112.8599646291844</v>
      </c>
      <c r="Z307">
        <v>661.2</v>
      </c>
      <c r="AA307">
        <v>1</v>
      </c>
      <c r="AB307">
        <v>74.623008612816719</v>
      </c>
      <c r="AC307">
        <v>1.0016354901359501</v>
      </c>
      <c r="AD307" s="63">
        <v>74.745000000000005</v>
      </c>
      <c r="AE307">
        <v>8.9176000000000002</v>
      </c>
      <c r="AF307">
        <v>9.0561761184995895</v>
      </c>
      <c r="AG307">
        <v>1</v>
      </c>
      <c r="AH307">
        <v>5987.9436495519294</v>
      </c>
      <c r="AI307">
        <v>1.016194415745886</v>
      </c>
      <c r="AJ307" s="63">
        <v>6084.9148999999998</v>
      </c>
      <c r="AK307" s="61">
        <v>3816.8296075431449</v>
      </c>
      <c r="AL307" t="s">
        <v>343</v>
      </c>
      <c r="AM307" t="s">
        <v>435</v>
      </c>
      <c r="AN307" t="s">
        <v>425</v>
      </c>
      <c r="AO307" t="s">
        <v>27</v>
      </c>
      <c r="AP307">
        <v>111.133</v>
      </c>
      <c r="AQ307">
        <v>1.027287859172453</v>
      </c>
      <c r="AR307">
        <v>114.1655816534122</v>
      </c>
      <c r="AS307">
        <v>596.84</v>
      </c>
      <c r="AT307">
        <v>1</v>
      </c>
      <c r="AU307">
        <v>68.138585754022571</v>
      </c>
      <c r="AV307">
        <v>0.95599999999999996</v>
      </c>
      <c r="AW307" s="63">
        <v>65.14</v>
      </c>
      <c r="AX307">
        <v>8.9176000000000002</v>
      </c>
      <c r="AY307">
        <v>1</v>
      </c>
      <c r="AZ307">
        <v>5467.6167503808201</v>
      </c>
      <c r="BA307">
        <v>1.0027686628383921</v>
      </c>
      <c r="BB307" s="63">
        <v>5482.7547000000004</v>
      </c>
      <c r="BC307" s="61">
        <v>3439.1180178799768</v>
      </c>
    </row>
    <row r="308" spans="1:55" x14ac:dyDescent="0.25">
      <c r="A308">
        <v>48991</v>
      </c>
      <c r="B308" t="s">
        <v>117</v>
      </c>
      <c r="C308">
        <v>2018</v>
      </c>
      <c r="D308">
        <v>2</v>
      </c>
      <c r="E308" t="s">
        <v>100</v>
      </c>
      <c r="F308" t="s">
        <v>426</v>
      </c>
      <c r="G308" t="s">
        <v>84</v>
      </c>
      <c r="H308" t="s">
        <v>59</v>
      </c>
      <c r="I308" t="s">
        <v>427</v>
      </c>
      <c r="J308">
        <v>-4.9029976900000003</v>
      </c>
      <c r="K308" t="s">
        <v>440</v>
      </c>
      <c r="L308" t="s">
        <v>451</v>
      </c>
      <c r="M308">
        <v>1.7625750762999999E-3</v>
      </c>
      <c r="N308">
        <v>8.6419015334804842E-3</v>
      </c>
      <c r="O308">
        <v>30169.468000000001</v>
      </c>
      <c r="P308">
        <v>4.8744250000000003E-6</v>
      </c>
      <c r="Q308">
        <v>0.29411799999999999</v>
      </c>
      <c r="R308" s="61">
        <v>2.5417387952242129E-3</v>
      </c>
      <c r="S308" t="s">
        <v>342</v>
      </c>
      <c r="T308" t="s">
        <v>434</v>
      </c>
      <c r="U308" t="s">
        <v>425</v>
      </c>
      <c r="V308" t="s">
        <v>91</v>
      </c>
      <c r="W308">
        <v>111.133</v>
      </c>
      <c r="X308">
        <v>1.0155396203574489</v>
      </c>
      <c r="Y308">
        <v>112.8599646291844</v>
      </c>
      <c r="Z308">
        <v>661.2</v>
      </c>
      <c r="AA308">
        <v>1</v>
      </c>
      <c r="AB308">
        <v>74.623008612816719</v>
      </c>
      <c r="AC308">
        <v>1.02984769498109</v>
      </c>
      <c r="AD308" s="63">
        <v>76.849999999999994</v>
      </c>
      <c r="AE308">
        <v>8.9176000000000002</v>
      </c>
      <c r="AF308">
        <v>9.0561761184995895</v>
      </c>
      <c r="AG308">
        <v>1</v>
      </c>
      <c r="AH308">
        <v>5987.9436495519294</v>
      </c>
      <c r="AI308">
        <v>0.9935711161666545</v>
      </c>
      <c r="AJ308" s="63">
        <v>5949.4479000000001</v>
      </c>
      <c r="AK308" s="61">
        <v>15.121942537595221</v>
      </c>
      <c r="AL308" t="s">
        <v>343</v>
      </c>
      <c r="AM308" t="s">
        <v>435</v>
      </c>
      <c r="AN308" t="s">
        <v>425</v>
      </c>
      <c r="AO308" t="s">
        <v>91</v>
      </c>
      <c r="AP308">
        <v>111.133</v>
      </c>
      <c r="AQ308">
        <v>1.027287859172453</v>
      </c>
      <c r="AR308">
        <v>114.1655816534122</v>
      </c>
      <c r="AS308">
        <v>596.84</v>
      </c>
      <c r="AT308">
        <v>1</v>
      </c>
      <c r="AU308">
        <v>68.138585754022571</v>
      </c>
      <c r="AV308">
        <v>1.0056</v>
      </c>
      <c r="AW308" s="63">
        <v>68.52</v>
      </c>
      <c r="AX308">
        <v>8.9176000000000002</v>
      </c>
      <c r="AY308">
        <v>1</v>
      </c>
      <c r="AZ308">
        <v>5467.6167503808201</v>
      </c>
      <c r="BA308">
        <v>0.98408824677860207</v>
      </c>
      <c r="BB308" s="63">
        <v>5380.6174000000001</v>
      </c>
      <c r="BC308" s="61">
        <v>13.676123987838441</v>
      </c>
    </row>
    <row r="309" spans="1:55" x14ac:dyDescent="0.25">
      <c r="A309">
        <v>48993</v>
      </c>
      <c r="B309" t="s">
        <v>117</v>
      </c>
      <c r="C309">
        <v>2018</v>
      </c>
      <c r="D309">
        <v>2</v>
      </c>
      <c r="E309" t="s">
        <v>100</v>
      </c>
      <c r="F309" t="s">
        <v>426</v>
      </c>
      <c r="G309" t="s">
        <v>84</v>
      </c>
      <c r="H309" t="s">
        <v>59</v>
      </c>
      <c r="I309" t="s">
        <v>427</v>
      </c>
      <c r="J309">
        <v>-4.9029976900000003</v>
      </c>
      <c r="K309" t="s">
        <v>440</v>
      </c>
      <c r="L309" t="s">
        <v>452</v>
      </c>
      <c r="M309">
        <v>1.4858046103299999E-3</v>
      </c>
      <c r="N309">
        <v>7.2848965772381834E-3</v>
      </c>
      <c r="O309">
        <v>30169.468000000001</v>
      </c>
      <c r="P309">
        <v>4.8744250000000003E-6</v>
      </c>
      <c r="Q309">
        <v>0.29411799999999999</v>
      </c>
      <c r="R309" s="61">
        <v>2.1426192115041398E-3</v>
      </c>
      <c r="S309" t="s">
        <v>342</v>
      </c>
      <c r="T309" t="s">
        <v>434</v>
      </c>
      <c r="U309" t="s">
        <v>425</v>
      </c>
      <c r="V309" t="s">
        <v>28</v>
      </c>
      <c r="W309">
        <v>111.133</v>
      </c>
      <c r="X309">
        <v>1.0155396203574489</v>
      </c>
      <c r="Y309">
        <v>112.8599646291844</v>
      </c>
      <c r="Z309">
        <v>661.2</v>
      </c>
      <c r="AA309">
        <v>1</v>
      </c>
      <c r="AB309">
        <v>74.623008612816719</v>
      </c>
      <c r="AC309">
        <v>1.0451804150056221</v>
      </c>
      <c r="AD309" s="63">
        <v>77.995000000000005</v>
      </c>
      <c r="AE309">
        <v>8.9176000000000002</v>
      </c>
      <c r="AF309">
        <v>9.0561761184995895</v>
      </c>
      <c r="AG309">
        <v>1</v>
      </c>
      <c r="AH309">
        <v>5987.9436495519294</v>
      </c>
      <c r="AI309">
        <v>1.0071061377552519</v>
      </c>
      <c r="AJ309" s="63">
        <v>6030.4948000000004</v>
      </c>
      <c r="AK309" s="61">
        <v>12.921054013355819</v>
      </c>
      <c r="AL309" t="s">
        <v>343</v>
      </c>
      <c r="AM309" t="s">
        <v>435</v>
      </c>
      <c r="AN309" t="s">
        <v>425</v>
      </c>
      <c r="AO309" t="s">
        <v>28</v>
      </c>
      <c r="AP309">
        <v>111.133</v>
      </c>
      <c r="AQ309">
        <v>1.027287859172453</v>
      </c>
      <c r="AR309">
        <v>114.1655816534122</v>
      </c>
      <c r="AS309">
        <v>596.84</v>
      </c>
      <c r="AT309">
        <v>1</v>
      </c>
      <c r="AU309">
        <v>68.138585754022571</v>
      </c>
      <c r="AV309">
        <v>1.0064</v>
      </c>
      <c r="AW309" s="63">
        <v>68.575000000000003</v>
      </c>
      <c r="AX309">
        <v>8.9176000000000002</v>
      </c>
      <c r="AY309">
        <v>1</v>
      </c>
      <c r="AZ309">
        <v>5467.6167503808201</v>
      </c>
      <c r="BA309">
        <v>0.98887576294546164</v>
      </c>
      <c r="BB309" s="63">
        <v>5406.7937000000002</v>
      </c>
      <c r="BC309" s="61">
        <v>11.58470005425955</v>
      </c>
    </row>
    <row r="310" spans="1:55" x14ac:dyDescent="0.25">
      <c r="A310">
        <v>54615</v>
      </c>
      <c r="B310" t="s">
        <v>118</v>
      </c>
      <c r="C310">
        <v>2018</v>
      </c>
      <c r="D310">
        <v>3</v>
      </c>
      <c r="E310" t="s">
        <v>100</v>
      </c>
      <c r="F310" t="s">
        <v>426</v>
      </c>
      <c r="G310" t="s">
        <v>84</v>
      </c>
      <c r="H310" t="s">
        <v>381</v>
      </c>
      <c r="I310" t="s">
        <v>427</v>
      </c>
      <c r="J310">
        <v>-9.2793184400000008</v>
      </c>
      <c r="K310" t="s">
        <v>440</v>
      </c>
      <c r="L310" t="s">
        <v>450</v>
      </c>
      <c r="M310">
        <v>0.15011157993331001</v>
      </c>
      <c r="N310">
        <v>1.3929331510503671</v>
      </c>
      <c r="O310">
        <v>30169.468000000001</v>
      </c>
      <c r="P310">
        <v>4.8744250000000003E-6</v>
      </c>
      <c r="Q310">
        <v>0.29411799999999999</v>
      </c>
      <c r="R310" s="61">
        <v>0.40968671252063188</v>
      </c>
      <c r="S310" t="s">
        <v>343</v>
      </c>
      <c r="T310" t="s">
        <v>435</v>
      </c>
      <c r="U310" t="s">
        <v>425</v>
      </c>
      <c r="V310" t="s">
        <v>26</v>
      </c>
      <c r="W310">
        <v>111.133</v>
      </c>
      <c r="X310">
        <v>1.027287859172453</v>
      </c>
      <c r="Y310">
        <v>114.1655816534122</v>
      </c>
      <c r="Z310">
        <v>625.54</v>
      </c>
      <c r="AA310">
        <v>1</v>
      </c>
      <c r="AB310">
        <v>71.4151379474755</v>
      </c>
      <c r="AC310">
        <v>0.97960000000000003</v>
      </c>
      <c r="AD310" s="63">
        <v>69.957999999999998</v>
      </c>
      <c r="AE310">
        <v>8.9176000000000002</v>
      </c>
      <c r="AF310">
        <v>9.1609422129562699</v>
      </c>
      <c r="AG310">
        <v>1</v>
      </c>
      <c r="AH310">
        <v>5730.5357918926647</v>
      </c>
      <c r="AI310">
        <v>0.98541811328241247</v>
      </c>
      <c r="AJ310" s="63">
        <v>5646.9737999999998</v>
      </c>
      <c r="AK310" s="61">
        <v>2313.490131812141</v>
      </c>
      <c r="AL310" t="s">
        <v>343</v>
      </c>
      <c r="AM310" t="s">
        <v>435</v>
      </c>
      <c r="AN310" t="s">
        <v>425</v>
      </c>
      <c r="AO310" t="s">
        <v>26</v>
      </c>
      <c r="AP310">
        <v>111.133</v>
      </c>
      <c r="AQ310">
        <v>1.027287859172453</v>
      </c>
      <c r="AR310">
        <v>114.1655816534122</v>
      </c>
      <c r="AS310">
        <v>603.45000000000005</v>
      </c>
      <c r="AT310">
        <v>1</v>
      </c>
      <c r="AU310">
        <v>68.893220248751618</v>
      </c>
      <c r="AV310">
        <v>0.97960000000000003</v>
      </c>
      <c r="AW310" s="63">
        <v>67.488</v>
      </c>
      <c r="AX310">
        <v>8.9176000000000002</v>
      </c>
      <c r="AY310">
        <v>1</v>
      </c>
      <c r="AZ310">
        <v>5528.1705784084616</v>
      </c>
      <c r="BA310">
        <v>0.98541811328241247</v>
      </c>
      <c r="BB310" s="63">
        <v>5447.5594000000001</v>
      </c>
      <c r="BC310" s="61">
        <v>2231.7927018468658</v>
      </c>
    </row>
    <row r="311" spans="1:55" x14ac:dyDescent="0.25">
      <c r="A311">
        <v>54617</v>
      </c>
      <c r="B311" t="s">
        <v>118</v>
      </c>
      <c r="C311">
        <v>2018</v>
      </c>
      <c r="D311">
        <v>3</v>
      </c>
      <c r="E311" t="s">
        <v>100</v>
      </c>
      <c r="F311" t="s">
        <v>426</v>
      </c>
      <c r="G311" t="s">
        <v>84</v>
      </c>
      <c r="H311" t="s">
        <v>381</v>
      </c>
      <c r="I311" t="s">
        <v>427</v>
      </c>
      <c r="J311">
        <v>-9.2793184400000008</v>
      </c>
      <c r="K311" t="s">
        <v>440</v>
      </c>
      <c r="L311" t="s">
        <v>384</v>
      </c>
      <c r="M311">
        <v>4.5811354346740003E-2</v>
      </c>
      <c r="N311">
        <v>0.42509814494284381</v>
      </c>
      <c r="O311">
        <v>30169.468000000001</v>
      </c>
      <c r="P311">
        <v>4.8744250000000003E-6</v>
      </c>
      <c r="Q311">
        <v>0.29411799999999999</v>
      </c>
      <c r="R311" s="61">
        <v>0.12502901619429929</v>
      </c>
      <c r="S311" t="s">
        <v>343</v>
      </c>
      <c r="T311" t="s">
        <v>435</v>
      </c>
      <c r="U311" t="s">
        <v>425</v>
      </c>
      <c r="V311" t="s">
        <v>81</v>
      </c>
      <c r="W311">
        <v>111.133</v>
      </c>
      <c r="X311">
        <v>1.027287859172453</v>
      </c>
      <c r="Y311">
        <v>114.1655816534122</v>
      </c>
      <c r="Z311">
        <v>625.54</v>
      </c>
      <c r="AA311">
        <v>1</v>
      </c>
      <c r="AB311">
        <v>71.4151379474755</v>
      </c>
      <c r="AC311">
        <v>0.92730000000000001</v>
      </c>
      <c r="AD311" s="63">
        <v>66.222999999999999</v>
      </c>
      <c r="AE311">
        <v>8.9176000000000002</v>
      </c>
      <c r="AF311">
        <v>9.1609422129562699</v>
      </c>
      <c r="AG311">
        <v>1</v>
      </c>
      <c r="AH311">
        <v>5730.5357918926647</v>
      </c>
      <c r="AI311">
        <v>1.094557195571956</v>
      </c>
      <c r="AJ311" s="63">
        <v>6272.3991999999998</v>
      </c>
      <c r="AK311" s="61">
        <v>784.23190115391003</v>
      </c>
      <c r="AL311" t="s">
        <v>343</v>
      </c>
      <c r="AM311" t="s">
        <v>435</v>
      </c>
      <c r="AN311" t="s">
        <v>425</v>
      </c>
      <c r="AO311" t="s">
        <v>81</v>
      </c>
      <c r="AP311">
        <v>111.133</v>
      </c>
      <c r="AQ311">
        <v>1.027287859172453</v>
      </c>
      <c r="AR311">
        <v>114.1655816534122</v>
      </c>
      <c r="AS311">
        <v>603.45000000000005</v>
      </c>
      <c r="AT311">
        <v>1</v>
      </c>
      <c r="AU311">
        <v>68.893220248751618</v>
      </c>
      <c r="AV311">
        <v>0.92730000000000001</v>
      </c>
      <c r="AW311" s="63">
        <v>63.884999999999998</v>
      </c>
      <c r="AX311">
        <v>8.9176000000000002</v>
      </c>
      <c r="AY311">
        <v>1</v>
      </c>
      <c r="AZ311">
        <v>5528.1705784084616</v>
      </c>
      <c r="BA311">
        <v>1.094557195571956</v>
      </c>
      <c r="BB311" s="63">
        <v>6050.8989000000001</v>
      </c>
      <c r="BC311" s="61">
        <v>756.53793655816798</v>
      </c>
    </row>
    <row r="312" spans="1:55" x14ac:dyDescent="0.25">
      <c r="A312">
        <v>54619</v>
      </c>
      <c r="B312" t="s">
        <v>118</v>
      </c>
      <c r="C312">
        <v>2018</v>
      </c>
      <c r="D312">
        <v>3</v>
      </c>
      <c r="E312" t="s">
        <v>100</v>
      </c>
      <c r="F312" t="s">
        <v>426</v>
      </c>
      <c r="G312" t="s">
        <v>84</v>
      </c>
      <c r="H312" t="s">
        <v>381</v>
      </c>
      <c r="I312" t="s">
        <v>427</v>
      </c>
      <c r="J312">
        <v>-9.2793184400000008</v>
      </c>
      <c r="K312" t="s">
        <v>440</v>
      </c>
      <c r="L312" t="s">
        <v>385</v>
      </c>
      <c r="M312">
        <v>0.43232641346992001</v>
      </c>
      <c r="N312">
        <v>4.0116944586453593</v>
      </c>
      <c r="O312">
        <v>30169.468000000001</v>
      </c>
      <c r="P312">
        <v>4.8744250000000003E-6</v>
      </c>
      <c r="Q312">
        <v>0.29411799999999999</v>
      </c>
      <c r="R312" s="61">
        <v>1.1799115507878559</v>
      </c>
      <c r="S312" t="s">
        <v>343</v>
      </c>
      <c r="T312" t="s">
        <v>435</v>
      </c>
      <c r="U312" t="s">
        <v>425</v>
      </c>
      <c r="V312" t="s">
        <v>27</v>
      </c>
      <c r="W312">
        <v>111.133</v>
      </c>
      <c r="X312">
        <v>1.027287859172453</v>
      </c>
      <c r="Y312">
        <v>114.1655816534122</v>
      </c>
      <c r="Z312">
        <v>625.54</v>
      </c>
      <c r="AA312">
        <v>1</v>
      </c>
      <c r="AB312">
        <v>71.4151379474755</v>
      </c>
      <c r="AC312">
        <v>0.95599999999999996</v>
      </c>
      <c r="AD312" s="63">
        <v>68.272999999999996</v>
      </c>
      <c r="AE312">
        <v>8.9176000000000002</v>
      </c>
      <c r="AF312">
        <v>9.1609422129562699</v>
      </c>
      <c r="AG312">
        <v>1</v>
      </c>
      <c r="AH312">
        <v>5730.5357918926647</v>
      </c>
      <c r="AI312">
        <v>1.0027686628383921</v>
      </c>
      <c r="AJ312" s="63">
        <v>5746.4017000000003</v>
      </c>
      <c r="AK312" s="61">
        <v>6780.2457412969707</v>
      </c>
      <c r="AL312" t="s">
        <v>343</v>
      </c>
      <c r="AM312" t="s">
        <v>435</v>
      </c>
      <c r="AN312" t="s">
        <v>425</v>
      </c>
      <c r="AO312" t="s">
        <v>27</v>
      </c>
      <c r="AP312">
        <v>111.133</v>
      </c>
      <c r="AQ312">
        <v>1.027287859172453</v>
      </c>
      <c r="AR312">
        <v>114.1655816534122</v>
      </c>
      <c r="AS312">
        <v>603.45000000000005</v>
      </c>
      <c r="AT312">
        <v>1</v>
      </c>
      <c r="AU312">
        <v>68.893220248751618</v>
      </c>
      <c r="AV312">
        <v>0.95599999999999996</v>
      </c>
      <c r="AW312" s="63">
        <v>65.861999999999995</v>
      </c>
      <c r="AX312">
        <v>8.9176000000000002</v>
      </c>
      <c r="AY312">
        <v>1</v>
      </c>
      <c r="AZ312">
        <v>5528.1705784084616</v>
      </c>
      <c r="BA312">
        <v>1.0027686628383921</v>
      </c>
      <c r="BB312" s="63">
        <v>5543.4762000000001</v>
      </c>
      <c r="BC312" s="61">
        <v>6540.8115998975691</v>
      </c>
    </row>
    <row r="313" spans="1:55" x14ac:dyDescent="0.25">
      <c r="A313">
        <v>54621</v>
      </c>
      <c r="B313" t="s">
        <v>118</v>
      </c>
      <c r="C313">
        <v>2018</v>
      </c>
      <c r="D313">
        <v>3</v>
      </c>
      <c r="E313" t="s">
        <v>100</v>
      </c>
      <c r="F313" t="s">
        <v>426</v>
      </c>
      <c r="G313" t="s">
        <v>84</v>
      </c>
      <c r="H313" t="s">
        <v>381</v>
      </c>
      <c r="I313" t="s">
        <v>427</v>
      </c>
      <c r="J313">
        <v>-9.2793184400000008</v>
      </c>
      <c r="K313" t="s">
        <v>440</v>
      </c>
      <c r="L313" t="s">
        <v>451</v>
      </c>
      <c r="M313">
        <v>1.6825115802299999E-3</v>
      </c>
      <c r="N313">
        <v>1.561256072429394E-2</v>
      </c>
      <c r="O313">
        <v>30169.468000000001</v>
      </c>
      <c r="P313">
        <v>4.8744250000000003E-6</v>
      </c>
      <c r="Q313">
        <v>0.29411799999999999</v>
      </c>
      <c r="R313" s="61">
        <v>4.5919351351078859E-3</v>
      </c>
      <c r="S313" t="s">
        <v>343</v>
      </c>
      <c r="T313" t="s">
        <v>435</v>
      </c>
      <c r="U313" t="s">
        <v>425</v>
      </c>
      <c r="V313" t="s">
        <v>91</v>
      </c>
      <c r="W313">
        <v>111.133</v>
      </c>
      <c r="X313">
        <v>1.027287859172453</v>
      </c>
      <c r="Y313">
        <v>114.1655816534122</v>
      </c>
      <c r="Z313">
        <v>625.54</v>
      </c>
      <c r="AA313">
        <v>1</v>
      </c>
      <c r="AB313">
        <v>71.4151379474755</v>
      </c>
      <c r="AC313">
        <v>1.0056</v>
      </c>
      <c r="AD313" s="63">
        <v>71.814999999999998</v>
      </c>
      <c r="AE313">
        <v>8.9176000000000002</v>
      </c>
      <c r="AF313">
        <v>9.1609422129562699</v>
      </c>
      <c r="AG313">
        <v>1</v>
      </c>
      <c r="AH313">
        <v>5730.5357918926647</v>
      </c>
      <c r="AI313">
        <v>0.98408824677860207</v>
      </c>
      <c r="AJ313" s="63">
        <v>5639.3528999999999</v>
      </c>
      <c r="AK313" s="61">
        <v>25.895542720782551</v>
      </c>
      <c r="AL313" t="s">
        <v>343</v>
      </c>
      <c r="AM313" t="s">
        <v>435</v>
      </c>
      <c r="AN313" t="s">
        <v>425</v>
      </c>
      <c r="AO313" t="s">
        <v>91</v>
      </c>
      <c r="AP313">
        <v>111.133</v>
      </c>
      <c r="AQ313">
        <v>1.027287859172453</v>
      </c>
      <c r="AR313">
        <v>114.1655816534122</v>
      </c>
      <c r="AS313">
        <v>603.45000000000005</v>
      </c>
      <c r="AT313">
        <v>1</v>
      </c>
      <c r="AU313">
        <v>68.893220248751618</v>
      </c>
      <c r="AV313">
        <v>1.0056</v>
      </c>
      <c r="AW313" s="63">
        <v>69.278999999999996</v>
      </c>
      <c r="AX313">
        <v>8.9176000000000002</v>
      </c>
      <c r="AY313">
        <v>1</v>
      </c>
      <c r="AZ313">
        <v>5528.1705784084616</v>
      </c>
      <c r="BA313">
        <v>0.98408824677860207</v>
      </c>
      <c r="BB313" s="63">
        <v>5440.2076999999999</v>
      </c>
      <c r="BC313" s="61">
        <v>24.981080879914462</v>
      </c>
    </row>
    <row r="314" spans="1:55" x14ac:dyDescent="0.25">
      <c r="A314">
        <v>54623</v>
      </c>
      <c r="B314" t="s">
        <v>118</v>
      </c>
      <c r="C314">
        <v>2018</v>
      </c>
      <c r="D314">
        <v>3</v>
      </c>
      <c r="E314" t="s">
        <v>100</v>
      </c>
      <c r="F314" t="s">
        <v>426</v>
      </c>
      <c r="G314" t="s">
        <v>84</v>
      </c>
      <c r="H314" t="s">
        <v>381</v>
      </c>
      <c r="I314" t="s">
        <v>427</v>
      </c>
      <c r="J314">
        <v>-9.2793184400000008</v>
      </c>
      <c r="K314" t="s">
        <v>440</v>
      </c>
      <c r="L314" t="s">
        <v>452</v>
      </c>
      <c r="M314">
        <v>1.53682162831E-3</v>
      </c>
      <c r="N314">
        <v>1.4260657267582209E-2</v>
      </c>
      <c r="O314">
        <v>30169.468000000001</v>
      </c>
      <c r="P314">
        <v>4.8744250000000003E-6</v>
      </c>
      <c r="Q314">
        <v>0.29411799999999999</v>
      </c>
      <c r="R314" s="61">
        <v>4.194315994226744E-3</v>
      </c>
      <c r="S314" t="s">
        <v>343</v>
      </c>
      <c r="T314" t="s">
        <v>435</v>
      </c>
      <c r="U314" t="s">
        <v>425</v>
      </c>
      <c r="V314" t="s">
        <v>28</v>
      </c>
      <c r="W314">
        <v>111.133</v>
      </c>
      <c r="X314">
        <v>1.027287859172453</v>
      </c>
      <c r="Y314">
        <v>114.1655816534122</v>
      </c>
      <c r="Z314">
        <v>625.54</v>
      </c>
      <c r="AA314">
        <v>1</v>
      </c>
      <c r="AB314">
        <v>71.4151379474755</v>
      </c>
      <c r="AC314">
        <v>1.0064</v>
      </c>
      <c r="AD314" s="63">
        <v>71.872</v>
      </c>
      <c r="AE314">
        <v>8.9176000000000002</v>
      </c>
      <c r="AF314">
        <v>9.1609422129562699</v>
      </c>
      <c r="AG314">
        <v>1</v>
      </c>
      <c r="AH314">
        <v>5730.5357918926647</v>
      </c>
      <c r="AI314">
        <v>0.98887576294546164</v>
      </c>
      <c r="AJ314" s="63">
        <v>5666.7879999999996</v>
      </c>
      <c r="AK314" s="61">
        <v>23.76829954429218</v>
      </c>
      <c r="AL314" t="s">
        <v>343</v>
      </c>
      <c r="AM314" t="s">
        <v>435</v>
      </c>
      <c r="AN314" t="s">
        <v>425</v>
      </c>
      <c r="AO314" t="s">
        <v>28</v>
      </c>
      <c r="AP314">
        <v>111.133</v>
      </c>
      <c r="AQ314">
        <v>1.027287859172453</v>
      </c>
      <c r="AR314">
        <v>114.1655816534122</v>
      </c>
      <c r="AS314">
        <v>603.45000000000005</v>
      </c>
      <c r="AT314">
        <v>1</v>
      </c>
      <c r="AU314">
        <v>68.893220248751618</v>
      </c>
      <c r="AV314">
        <v>1.0064</v>
      </c>
      <c r="AW314" s="63">
        <v>69.334000000000003</v>
      </c>
      <c r="AX314">
        <v>8.9176000000000002</v>
      </c>
      <c r="AY314">
        <v>1</v>
      </c>
      <c r="AZ314">
        <v>5528.1705784084616</v>
      </c>
      <c r="BA314">
        <v>0.98887576294546164</v>
      </c>
      <c r="BB314" s="63">
        <v>5466.6738999999998</v>
      </c>
      <c r="BC314" s="61">
        <v>22.92895777399189</v>
      </c>
    </row>
    <row r="315" spans="1:55" x14ac:dyDescent="0.25">
      <c r="A315">
        <v>54625</v>
      </c>
      <c r="B315" t="s">
        <v>118</v>
      </c>
      <c r="C315">
        <v>2018</v>
      </c>
      <c r="D315">
        <v>3</v>
      </c>
      <c r="E315" t="s">
        <v>100</v>
      </c>
      <c r="F315" t="s">
        <v>426</v>
      </c>
      <c r="G315" t="s">
        <v>84</v>
      </c>
      <c r="H315" t="s">
        <v>87</v>
      </c>
      <c r="I315" t="s">
        <v>427</v>
      </c>
      <c r="J315">
        <v>-1.70515576</v>
      </c>
      <c r="K315" t="s">
        <v>440</v>
      </c>
      <c r="L315" t="s">
        <v>450</v>
      </c>
      <c r="M315">
        <v>0.26601384014995</v>
      </c>
      <c r="N315">
        <v>0.45359503071497859</v>
      </c>
      <c r="O315">
        <v>30169.468000000001</v>
      </c>
      <c r="P315">
        <v>4.8744250000000003E-6</v>
      </c>
      <c r="Q315">
        <v>0.29411799999999999</v>
      </c>
      <c r="R315" s="61">
        <v>0.1334104632438281</v>
      </c>
      <c r="S315" t="s">
        <v>343</v>
      </c>
      <c r="T315" t="s">
        <v>435</v>
      </c>
      <c r="U315" t="s">
        <v>425</v>
      </c>
      <c r="V315" t="s">
        <v>26</v>
      </c>
      <c r="W315">
        <v>111.133</v>
      </c>
      <c r="X315">
        <v>1.027287859172453</v>
      </c>
      <c r="Y315">
        <v>114.1655816534122</v>
      </c>
      <c r="Z315">
        <v>625.54</v>
      </c>
      <c r="AA315">
        <v>1</v>
      </c>
      <c r="AB315">
        <v>71.4151379474755</v>
      </c>
      <c r="AC315">
        <v>0.97960000000000003</v>
      </c>
      <c r="AD315" s="63">
        <v>69.957999999999998</v>
      </c>
      <c r="AE315">
        <v>8.9176000000000002</v>
      </c>
      <c r="AF315">
        <v>9.1609422129562699</v>
      </c>
      <c r="AG315">
        <v>1</v>
      </c>
      <c r="AH315">
        <v>5730.5357918926647</v>
      </c>
      <c r="AI315">
        <v>0.98541811328241247</v>
      </c>
      <c r="AJ315" s="63">
        <v>5646.9737999999998</v>
      </c>
      <c r="AK315" s="61">
        <v>753.36539058376013</v>
      </c>
      <c r="AL315" t="s">
        <v>343</v>
      </c>
      <c r="AM315" t="s">
        <v>435</v>
      </c>
      <c r="AN315" t="s">
        <v>425</v>
      </c>
      <c r="AO315" t="s">
        <v>26</v>
      </c>
      <c r="AP315">
        <v>111.133</v>
      </c>
      <c r="AQ315">
        <v>1.027287859172453</v>
      </c>
      <c r="AR315">
        <v>114.1655816534122</v>
      </c>
      <c r="AS315">
        <v>603.45000000000005</v>
      </c>
      <c r="AT315">
        <v>1</v>
      </c>
      <c r="AU315">
        <v>68.893220248751618</v>
      </c>
      <c r="AV315">
        <v>0.97960000000000003</v>
      </c>
      <c r="AW315" s="63">
        <v>67.488</v>
      </c>
      <c r="AX315">
        <v>8.9176000000000002</v>
      </c>
      <c r="AY315">
        <v>1</v>
      </c>
      <c r="AZ315">
        <v>5528.1705784084616</v>
      </c>
      <c r="BA315">
        <v>0.98541811328241247</v>
      </c>
      <c r="BB315" s="63">
        <v>5447.5594000000001</v>
      </c>
      <c r="BC315" s="61">
        <v>726.7614231022701</v>
      </c>
    </row>
    <row r="316" spans="1:55" x14ac:dyDescent="0.25">
      <c r="A316">
        <v>54627</v>
      </c>
      <c r="B316" t="s">
        <v>118</v>
      </c>
      <c r="C316">
        <v>2018</v>
      </c>
      <c r="D316">
        <v>3</v>
      </c>
      <c r="E316" t="s">
        <v>100</v>
      </c>
      <c r="F316" t="s">
        <v>426</v>
      </c>
      <c r="G316" t="s">
        <v>84</v>
      </c>
      <c r="H316" t="s">
        <v>87</v>
      </c>
      <c r="I316" t="s">
        <v>427</v>
      </c>
      <c r="J316">
        <v>-1.70515576</v>
      </c>
      <c r="K316" t="s">
        <v>440</v>
      </c>
      <c r="L316" t="s">
        <v>384</v>
      </c>
      <c r="M316">
        <v>3.9509559941419997E-2</v>
      </c>
      <c r="N316">
        <v>6.736995355227221E-2</v>
      </c>
      <c r="O316">
        <v>30169.468000000001</v>
      </c>
      <c r="P316">
        <v>4.8744250000000003E-6</v>
      </c>
      <c r="Q316">
        <v>0.29411799999999999</v>
      </c>
      <c r="R316" s="61">
        <v>1.9814715998887199E-2</v>
      </c>
      <c r="S316" t="s">
        <v>343</v>
      </c>
      <c r="T316" t="s">
        <v>435</v>
      </c>
      <c r="U316" t="s">
        <v>425</v>
      </c>
      <c r="V316" t="s">
        <v>81</v>
      </c>
      <c r="W316">
        <v>111.133</v>
      </c>
      <c r="X316">
        <v>1.027287859172453</v>
      </c>
      <c r="Y316">
        <v>114.1655816534122</v>
      </c>
      <c r="Z316">
        <v>625.54</v>
      </c>
      <c r="AA316">
        <v>1</v>
      </c>
      <c r="AB316">
        <v>71.4151379474755</v>
      </c>
      <c r="AC316">
        <v>0.92730000000000001</v>
      </c>
      <c r="AD316" s="63">
        <v>66.222999999999999</v>
      </c>
      <c r="AE316">
        <v>8.9176000000000002</v>
      </c>
      <c r="AF316">
        <v>9.1609422129562699</v>
      </c>
      <c r="AG316">
        <v>1</v>
      </c>
      <c r="AH316">
        <v>5730.5357918926647</v>
      </c>
      <c r="AI316">
        <v>1.094557195571956</v>
      </c>
      <c r="AJ316" s="63">
        <v>6272.3991999999998</v>
      </c>
      <c r="AK316" s="61">
        <v>124.2858087796473</v>
      </c>
      <c r="AL316" t="s">
        <v>343</v>
      </c>
      <c r="AM316" t="s">
        <v>435</v>
      </c>
      <c r="AN316" t="s">
        <v>425</v>
      </c>
      <c r="AO316" t="s">
        <v>81</v>
      </c>
      <c r="AP316">
        <v>111.133</v>
      </c>
      <c r="AQ316">
        <v>1.027287859172453</v>
      </c>
      <c r="AR316">
        <v>114.1655816534122</v>
      </c>
      <c r="AS316">
        <v>603.45000000000005</v>
      </c>
      <c r="AT316">
        <v>1</v>
      </c>
      <c r="AU316">
        <v>68.893220248751618</v>
      </c>
      <c r="AV316">
        <v>0.92730000000000001</v>
      </c>
      <c r="AW316" s="63">
        <v>63.884999999999998</v>
      </c>
      <c r="AX316">
        <v>8.9176000000000002</v>
      </c>
      <c r="AY316">
        <v>1</v>
      </c>
      <c r="AZ316">
        <v>5528.1705784084616</v>
      </c>
      <c r="BA316">
        <v>1.094557195571956</v>
      </c>
      <c r="BB316" s="63">
        <v>6050.8989000000001</v>
      </c>
      <c r="BC316" s="61">
        <v>119.896843241479</v>
      </c>
    </row>
    <row r="317" spans="1:55" x14ac:dyDescent="0.25">
      <c r="A317">
        <v>54629</v>
      </c>
      <c r="B317" t="s">
        <v>118</v>
      </c>
      <c r="C317">
        <v>2018</v>
      </c>
      <c r="D317">
        <v>3</v>
      </c>
      <c r="E317" t="s">
        <v>100</v>
      </c>
      <c r="F317" t="s">
        <v>426</v>
      </c>
      <c r="G317" t="s">
        <v>84</v>
      </c>
      <c r="H317" t="s">
        <v>87</v>
      </c>
      <c r="I317" t="s">
        <v>427</v>
      </c>
      <c r="J317">
        <v>-1.70515576</v>
      </c>
      <c r="K317" t="s">
        <v>440</v>
      </c>
      <c r="L317" t="s">
        <v>385</v>
      </c>
      <c r="M317">
        <v>0.39737542925016001</v>
      </c>
      <c r="N317">
        <v>0.6775870004902752</v>
      </c>
      <c r="O317">
        <v>30169.468000000001</v>
      </c>
      <c r="P317">
        <v>4.8744250000000003E-6</v>
      </c>
      <c r="Q317">
        <v>0.29411799999999999</v>
      </c>
      <c r="R317" s="61">
        <v>0.19929053341019881</v>
      </c>
      <c r="S317" t="s">
        <v>343</v>
      </c>
      <c r="T317" t="s">
        <v>435</v>
      </c>
      <c r="U317" t="s">
        <v>425</v>
      </c>
      <c r="V317" t="s">
        <v>27</v>
      </c>
      <c r="W317">
        <v>111.133</v>
      </c>
      <c r="X317">
        <v>1.027287859172453</v>
      </c>
      <c r="Y317">
        <v>114.1655816534122</v>
      </c>
      <c r="Z317">
        <v>625.54</v>
      </c>
      <c r="AA317">
        <v>1</v>
      </c>
      <c r="AB317">
        <v>71.4151379474755</v>
      </c>
      <c r="AC317">
        <v>0.95599999999999996</v>
      </c>
      <c r="AD317" s="63">
        <v>68.272999999999996</v>
      </c>
      <c r="AE317">
        <v>8.9176000000000002</v>
      </c>
      <c r="AF317">
        <v>9.1609422129562699</v>
      </c>
      <c r="AG317">
        <v>1</v>
      </c>
      <c r="AH317">
        <v>5730.5357918926647</v>
      </c>
      <c r="AI317">
        <v>1.0027686628383921</v>
      </c>
      <c r="AJ317" s="63">
        <v>5746.4017000000003</v>
      </c>
      <c r="AK317" s="61">
        <v>1145.203459982273</v>
      </c>
      <c r="AL317" t="s">
        <v>343</v>
      </c>
      <c r="AM317" t="s">
        <v>435</v>
      </c>
      <c r="AN317" t="s">
        <v>425</v>
      </c>
      <c r="AO317" t="s">
        <v>27</v>
      </c>
      <c r="AP317">
        <v>111.133</v>
      </c>
      <c r="AQ317">
        <v>1.027287859172453</v>
      </c>
      <c r="AR317">
        <v>114.1655816534122</v>
      </c>
      <c r="AS317">
        <v>603.45000000000005</v>
      </c>
      <c r="AT317">
        <v>1</v>
      </c>
      <c r="AU317">
        <v>68.893220248751618</v>
      </c>
      <c r="AV317">
        <v>0.95599999999999996</v>
      </c>
      <c r="AW317" s="63">
        <v>65.861999999999995</v>
      </c>
      <c r="AX317">
        <v>8.9176000000000002</v>
      </c>
      <c r="AY317">
        <v>1</v>
      </c>
      <c r="AZ317">
        <v>5528.1705784084616</v>
      </c>
      <c r="BA317">
        <v>1.0027686628383921</v>
      </c>
      <c r="BB317" s="63">
        <v>5543.4762000000001</v>
      </c>
      <c r="BC317" s="61">
        <v>1104.7623288447419</v>
      </c>
    </row>
    <row r="318" spans="1:55" x14ac:dyDescent="0.25">
      <c r="A318">
        <v>54631</v>
      </c>
      <c r="B318" t="s">
        <v>118</v>
      </c>
      <c r="C318">
        <v>2018</v>
      </c>
      <c r="D318">
        <v>3</v>
      </c>
      <c r="E318" t="s">
        <v>100</v>
      </c>
      <c r="F318" t="s">
        <v>426</v>
      </c>
      <c r="G318" t="s">
        <v>84</v>
      </c>
      <c r="H318" t="s">
        <v>87</v>
      </c>
      <c r="I318" t="s">
        <v>427</v>
      </c>
      <c r="J318">
        <v>-1.70515576</v>
      </c>
      <c r="K318" t="s">
        <v>440</v>
      </c>
      <c r="L318" t="s">
        <v>452</v>
      </c>
      <c r="M318">
        <v>8.4248020759000004E-4</v>
      </c>
      <c r="N318">
        <v>1.4365599753123201E-3</v>
      </c>
      <c r="O318">
        <v>30169.468000000001</v>
      </c>
      <c r="P318">
        <v>4.8744250000000003E-6</v>
      </c>
      <c r="Q318">
        <v>0.29411799999999999</v>
      </c>
      <c r="R318" s="61">
        <v>4.2251814681890901E-4</v>
      </c>
      <c r="S318" t="s">
        <v>343</v>
      </c>
      <c r="T318" t="s">
        <v>435</v>
      </c>
      <c r="U318" t="s">
        <v>425</v>
      </c>
      <c r="V318" t="s">
        <v>28</v>
      </c>
      <c r="W318">
        <v>111.133</v>
      </c>
      <c r="X318">
        <v>1.027287859172453</v>
      </c>
      <c r="Y318">
        <v>114.1655816534122</v>
      </c>
      <c r="Z318">
        <v>625.54</v>
      </c>
      <c r="AA318">
        <v>1</v>
      </c>
      <c r="AB318">
        <v>71.4151379474755</v>
      </c>
      <c r="AC318">
        <v>1.0064</v>
      </c>
      <c r="AD318" s="63">
        <v>71.872</v>
      </c>
      <c r="AE318">
        <v>8.9176000000000002</v>
      </c>
      <c r="AF318">
        <v>9.1609422129562699</v>
      </c>
      <c r="AG318">
        <v>1</v>
      </c>
      <c r="AH318">
        <v>5730.5357918926647</v>
      </c>
      <c r="AI318">
        <v>0.98887576294546164</v>
      </c>
      <c r="AJ318" s="63">
        <v>5666.7879999999996</v>
      </c>
      <c r="AK318" s="61">
        <v>2.3943207641756321</v>
      </c>
      <c r="AL318" t="s">
        <v>343</v>
      </c>
      <c r="AM318" t="s">
        <v>435</v>
      </c>
      <c r="AN318" t="s">
        <v>425</v>
      </c>
      <c r="AO318" t="s">
        <v>28</v>
      </c>
      <c r="AP318">
        <v>111.133</v>
      </c>
      <c r="AQ318">
        <v>1.027287859172453</v>
      </c>
      <c r="AR318">
        <v>114.1655816534122</v>
      </c>
      <c r="AS318">
        <v>603.45000000000005</v>
      </c>
      <c r="AT318">
        <v>1</v>
      </c>
      <c r="AU318">
        <v>68.893220248751618</v>
      </c>
      <c r="AV318">
        <v>1.0064</v>
      </c>
      <c r="AW318" s="63">
        <v>69.334000000000003</v>
      </c>
      <c r="AX318">
        <v>8.9176000000000002</v>
      </c>
      <c r="AY318">
        <v>1</v>
      </c>
      <c r="AZ318">
        <v>5528.1705784084616</v>
      </c>
      <c r="BA318">
        <v>0.98887576294546164</v>
      </c>
      <c r="BB318" s="63">
        <v>5466.6738999999998</v>
      </c>
      <c r="BC318" s="61">
        <v>2.3097689254912979</v>
      </c>
    </row>
    <row r="319" spans="1:55" x14ac:dyDescent="0.25">
      <c r="A319">
        <v>54633</v>
      </c>
      <c r="B319" t="s">
        <v>118</v>
      </c>
      <c r="C319">
        <v>2018</v>
      </c>
      <c r="D319">
        <v>3</v>
      </c>
      <c r="E319" t="s">
        <v>100</v>
      </c>
      <c r="F319" t="s">
        <v>426</v>
      </c>
      <c r="G319" t="s">
        <v>84</v>
      </c>
      <c r="H319" t="s">
        <v>59</v>
      </c>
      <c r="I319" t="s">
        <v>427</v>
      </c>
      <c r="J319">
        <v>-4.9029919800000004</v>
      </c>
      <c r="K319" t="s">
        <v>440</v>
      </c>
      <c r="L319" t="s">
        <v>450</v>
      </c>
      <c r="M319">
        <v>0.15931709696460999</v>
      </c>
      <c r="N319">
        <v>0.78113044801931675</v>
      </c>
      <c r="O319">
        <v>30169.468000000001</v>
      </c>
      <c r="P319">
        <v>4.8744250000000003E-6</v>
      </c>
      <c r="Q319">
        <v>0.29411799999999999</v>
      </c>
      <c r="R319" s="61">
        <v>0.22974452511054541</v>
      </c>
      <c r="S319" t="s">
        <v>343</v>
      </c>
      <c r="T319" t="s">
        <v>435</v>
      </c>
      <c r="U319" t="s">
        <v>425</v>
      </c>
      <c r="V319" t="s">
        <v>26</v>
      </c>
      <c r="W319">
        <v>111.133</v>
      </c>
      <c r="X319">
        <v>1.027287859172453</v>
      </c>
      <c r="Y319">
        <v>114.1655816534122</v>
      </c>
      <c r="Z319">
        <v>625.54</v>
      </c>
      <c r="AA319">
        <v>1</v>
      </c>
      <c r="AB319">
        <v>71.4151379474755</v>
      </c>
      <c r="AC319">
        <v>0.97960000000000003</v>
      </c>
      <c r="AD319" s="63">
        <v>69.957999999999998</v>
      </c>
      <c r="AE319">
        <v>8.9176000000000002</v>
      </c>
      <c r="AF319">
        <v>9.1609422129562699</v>
      </c>
      <c r="AG319">
        <v>1</v>
      </c>
      <c r="AH319">
        <v>5730.5357918926647</v>
      </c>
      <c r="AI319">
        <v>0.98541811328241247</v>
      </c>
      <c r="AJ319" s="63">
        <v>5646.9737999999998</v>
      </c>
      <c r="AK319" s="61">
        <v>1297.361313992692</v>
      </c>
      <c r="AL319" t="s">
        <v>343</v>
      </c>
      <c r="AM319" t="s">
        <v>435</v>
      </c>
      <c r="AN319" t="s">
        <v>425</v>
      </c>
      <c r="AO319" t="s">
        <v>26</v>
      </c>
      <c r="AP319">
        <v>111.133</v>
      </c>
      <c r="AQ319">
        <v>1.027287859172453</v>
      </c>
      <c r="AR319">
        <v>114.1655816534122</v>
      </c>
      <c r="AS319">
        <v>603.45000000000005</v>
      </c>
      <c r="AT319">
        <v>1</v>
      </c>
      <c r="AU319">
        <v>68.893220248751618</v>
      </c>
      <c r="AV319">
        <v>0.97960000000000003</v>
      </c>
      <c r="AW319" s="63">
        <v>67.488</v>
      </c>
      <c r="AX319">
        <v>8.9176000000000002</v>
      </c>
      <c r="AY319">
        <v>1</v>
      </c>
      <c r="AZ319">
        <v>5528.1705784084616</v>
      </c>
      <c r="BA319">
        <v>0.98541811328241247</v>
      </c>
      <c r="BB319" s="63">
        <v>5447.5594000000001</v>
      </c>
      <c r="BC319" s="61">
        <v>1251.546947364488</v>
      </c>
    </row>
    <row r="320" spans="1:55" x14ac:dyDescent="0.25">
      <c r="A320">
        <v>54635</v>
      </c>
      <c r="B320" t="s">
        <v>118</v>
      </c>
      <c r="C320">
        <v>2018</v>
      </c>
      <c r="D320">
        <v>3</v>
      </c>
      <c r="E320" t="s">
        <v>100</v>
      </c>
      <c r="F320" t="s">
        <v>426</v>
      </c>
      <c r="G320" t="s">
        <v>84</v>
      </c>
      <c r="H320" t="s">
        <v>59</v>
      </c>
      <c r="I320" t="s">
        <v>427</v>
      </c>
      <c r="J320">
        <v>-4.9029919800000004</v>
      </c>
      <c r="K320" t="s">
        <v>440</v>
      </c>
      <c r="L320" t="s">
        <v>384</v>
      </c>
      <c r="M320">
        <v>4.1785183859599999E-2</v>
      </c>
      <c r="N320">
        <v>0.20487242116939469</v>
      </c>
      <c r="O320">
        <v>30169.468000000001</v>
      </c>
      <c r="P320">
        <v>4.8744250000000003E-6</v>
      </c>
      <c r="Q320">
        <v>0.29411799999999999</v>
      </c>
      <c r="R320" s="61">
        <v>6.025666676950002E-2</v>
      </c>
      <c r="S320" t="s">
        <v>343</v>
      </c>
      <c r="T320" t="s">
        <v>435</v>
      </c>
      <c r="U320" t="s">
        <v>425</v>
      </c>
      <c r="V320" t="s">
        <v>81</v>
      </c>
      <c r="W320">
        <v>111.133</v>
      </c>
      <c r="X320">
        <v>1.027287859172453</v>
      </c>
      <c r="Y320">
        <v>114.1655816534122</v>
      </c>
      <c r="Z320">
        <v>625.54</v>
      </c>
      <c r="AA320">
        <v>1</v>
      </c>
      <c r="AB320">
        <v>71.4151379474755</v>
      </c>
      <c r="AC320">
        <v>0.92730000000000001</v>
      </c>
      <c r="AD320" s="63">
        <v>66.222999999999999</v>
      </c>
      <c r="AE320">
        <v>8.9176000000000002</v>
      </c>
      <c r="AF320">
        <v>9.1609422129562699</v>
      </c>
      <c r="AG320">
        <v>1</v>
      </c>
      <c r="AH320">
        <v>5730.5357918926647</v>
      </c>
      <c r="AI320">
        <v>1.094557195571956</v>
      </c>
      <c r="AJ320" s="63">
        <v>6272.3991999999998</v>
      </c>
      <c r="AK320" s="61">
        <v>377.9538684396785</v>
      </c>
      <c r="AL320" t="s">
        <v>343</v>
      </c>
      <c r="AM320" t="s">
        <v>435</v>
      </c>
      <c r="AN320" t="s">
        <v>425</v>
      </c>
      <c r="AO320" t="s">
        <v>81</v>
      </c>
      <c r="AP320">
        <v>111.133</v>
      </c>
      <c r="AQ320">
        <v>1.027287859172453</v>
      </c>
      <c r="AR320">
        <v>114.1655816534122</v>
      </c>
      <c r="AS320">
        <v>603.45000000000005</v>
      </c>
      <c r="AT320">
        <v>1</v>
      </c>
      <c r="AU320">
        <v>68.893220248751618</v>
      </c>
      <c r="AV320">
        <v>0.92730000000000001</v>
      </c>
      <c r="AW320" s="63">
        <v>63.884999999999998</v>
      </c>
      <c r="AX320">
        <v>8.9176000000000002</v>
      </c>
      <c r="AY320">
        <v>1</v>
      </c>
      <c r="AZ320">
        <v>5528.1705784084616</v>
      </c>
      <c r="BA320">
        <v>1.094557195571956</v>
      </c>
      <c r="BB320" s="63">
        <v>6050.8989000000001</v>
      </c>
      <c r="BC320" s="61">
        <v>364.60699867323422</v>
      </c>
    </row>
    <row r="321" spans="1:55" x14ac:dyDescent="0.25">
      <c r="A321">
        <v>54637</v>
      </c>
      <c r="B321" t="s">
        <v>118</v>
      </c>
      <c r="C321">
        <v>2018</v>
      </c>
      <c r="D321">
        <v>3</v>
      </c>
      <c r="E321" t="s">
        <v>100</v>
      </c>
      <c r="F321" t="s">
        <v>426</v>
      </c>
      <c r="G321" t="s">
        <v>84</v>
      </c>
      <c r="H321" t="s">
        <v>59</v>
      </c>
      <c r="I321" t="s">
        <v>427</v>
      </c>
      <c r="J321">
        <v>-4.9029919800000004</v>
      </c>
      <c r="K321" t="s">
        <v>440</v>
      </c>
      <c r="L321" t="s">
        <v>385</v>
      </c>
      <c r="M321">
        <v>0.43497567483749999</v>
      </c>
      <c r="N321">
        <v>2.132682243380299</v>
      </c>
      <c r="O321">
        <v>30169.468000000001</v>
      </c>
      <c r="P321">
        <v>4.8744250000000003E-6</v>
      </c>
      <c r="Q321">
        <v>0.29411799999999999</v>
      </c>
      <c r="R321" s="61">
        <v>0.62726023605852665</v>
      </c>
      <c r="S321" t="s">
        <v>343</v>
      </c>
      <c r="T321" t="s">
        <v>435</v>
      </c>
      <c r="U321" t="s">
        <v>425</v>
      </c>
      <c r="V321" t="s">
        <v>27</v>
      </c>
      <c r="W321">
        <v>111.133</v>
      </c>
      <c r="X321">
        <v>1.027287859172453</v>
      </c>
      <c r="Y321">
        <v>114.1655816534122</v>
      </c>
      <c r="Z321">
        <v>625.54</v>
      </c>
      <c r="AA321">
        <v>1</v>
      </c>
      <c r="AB321">
        <v>71.4151379474755</v>
      </c>
      <c r="AC321">
        <v>0.95599999999999996</v>
      </c>
      <c r="AD321" s="63">
        <v>68.272999999999996</v>
      </c>
      <c r="AE321">
        <v>8.9176000000000002</v>
      </c>
      <c r="AF321">
        <v>9.1609422129562699</v>
      </c>
      <c r="AG321">
        <v>1</v>
      </c>
      <c r="AH321">
        <v>5730.5357918926647</v>
      </c>
      <c r="AI321">
        <v>1.0027686628383921</v>
      </c>
      <c r="AJ321" s="63">
        <v>5746.4017000000003</v>
      </c>
      <c r="AK321" s="61">
        <v>3604.489286829119</v>
      </c>
      <c r="AL321" t="s">
        <v>343</v>
      </c>
      <c r="AM321" t="s">
        <v>435</v>
      </c>
      <c r="AN321" t="s">
        <v>425</v>
      </c>
      <c r="AO321" t="s">
        <v>27</v>
      </c>
      <c r="AP321">
        <v>111.133</v>
      </c>
      <c r="AQ321">
        <v>1.027287859172453</v>
      </c>
      <c r="AR321">
        <v>114.1655816534122</v>
      </c>
      <c r="AS321">
        <v>603.45000000000005</v>
      </c>
      <c r="AT321">
        <v>1</v>
      </c>
      <c r="AU321">
        <v>68.893220248751618</v>
      </c>
      <c r="AV321">
        <v>0.95599999999999996</v>
      </c>
      <c r="AW321" s="63">
        <v>65.861999999999995</v>
      </c>
      <c r="AX321">
        <v>8.9176000000000002</v>
      </c>
      <c r="AY321">
        <v>1</v>
      </c>
      <c r="AZ321">
        <v>5528.1705784084616</v>
      </c>
      <c r="BA321">
        <v>1.0027686628383921</v>
      </c>
      <c r="BB321" s="63">
        <v>5543.4762000000001</v>
      </c>
      <c r="BC321" s="61">
        <v>3477.2021897968239</v>
      </c>
    </row>
    <row r="322" spans="1:55" x14ac:dyDescent="0.25">
      <c r="A322">
        <v>54639</v>
      </c>
      <c r="B322" t="s">
        <v>118</v>
      </c>
      <c r="C322">
        <v>2018</v>
      </c>
      <c r="D322">
        <v>3</v>
      </c>
      <c r="E322" t="s">
        <v>100</v>
      </c>
      <c r="F322" t="s">
        <v>426</v>
      </c>
      <c r="G322" t="s">
        <v>84</v>
      </c>
      <c r="H322" t="s">
        <v>59</v>
      </c>
      <c r="I322" t="s">
        <v>427</v>
      </c>
      <c r="J322">
        <v>-4.9029919800000004</v>
      </c>
      <c r="K322" t="s">
        <v>440</v>
      </c>
      <c r="L322" t="s">
        <v>451</v>
      </c>
      <c r="M322">
        <v>1.7625750762999999E-3</v>
      </c>
      <c r="N322">
        <v>8.6418914557785144E-3</v>
      </c>
      <c r="O322">
        <v>30169.468000000001</v>
      </c>
      <c r="P322">
        <v>4.8744250000000003E-6</v>
      </c>
      <c r="Q322">
        <v>0.29411799999999999</v>
      </c>
      <c r="R322" s="61">
        <v>2.5417358311906652E-3</v>
      </c>
      <c r="S322" t="s">
        <v>343</v>
      </c>
      <c r="T322" t="s">
        <v>435</v>
      </c>
      <c r="U322" t="s">
        <v>425</v>
      </c>
      <c r="V322" t="s">
        <v>91</v>
      </c>
      <c r="W322">
        <v>111.133</v>
      </c>
      <c r="X322">
        <v>1.027287859172453</v>
      </c>
      <c r="Y322">
        <v>114.1655816534122</v>
      </c>
      <c r="Z322">
        <v>625.54</v>
      </c>
      <c r="AA322">
        <v>1</v>
      </c>
      <c r="AB322">
        <v>71.4151379474755</v>
      </c>
      <c r="AC322">
        <v>1.0056</v>
      </c>
      <c r="AD322" s="63">
        <v>71.814999999999998</v>
      </c>
      <c r="AE322">
        <v>8.9176000000000002</v>
      </c>
      <c r="AF322">
        <v>9.1609422129562699</v>
      </c>
      <c r="AG322">
        <v>1</v>
      </c>
      <c r="AH322">
        <v>5730.5357918926647</v>
      </c>
      <c r="AI322">
        <v>0.98408824677860207</v>
      </c>
      <c r="AJ322" s="63">
        <v>5639.3528999999999</v>
      </c>
      <c r="AK322" s="61">
        <v>14.33374533065899</v>
      </c>
      <c r="AL322" t="s">
        <v>343</v>
      </c>
      <c r="AM322" t="s">
        <v>435</v>
      </c>
      <c r="AN322" t="s">
        <v>425</v>
      </c>
      <c r="AO322" t="s">
        <v>91</v>
      </c>
      <c r="AP322">
        <v>111.133</v>
      </c>
      <c r="AQ322">
        <v>1.027287859172453</v>
      </c>
      <c r="AR322">
        <v>114.1655816534122</v>
      </c>
      <c r="AS322">
        <v>603.45000000000005</v>
      </c>
      <c r="AT322">
        <v>1</v>
      </c>
      <c r="AU322">
        <v>68.893220248751618</v>
      </c>
      <c r="AV322">
        <v>1.0056</v>
      </c>
      <c r="AW322" s="63">
        <v>69.278999999999996</v>
      </c>
      <c r="AX322">
        <v>8.9176000000000002</v>
      </c>
      <c r="AY322">
        <v>1</v>
      </c>
      <c r="AZ322">
        <v>5528.1705784084616</v>
      </c>
      <c r="BA322">
        <v>0.98408824677860207</v>
      </c>
      <c r="BB322" s="63">
        <v>5440.2076999999999</v>
      </c>
      <c r="BC322" s="61">
        <v>13.82757084020936</v>
      </c>
    </row>
    <row r="323" spans="1:55" x14ac:dyDescent="0.25">
      <c r="A323">
        <v>54641</v>
      </c>
      <c r="B323" t="s">
        <v>118</v>
      </c>
      <c r="C323">
        <v>2018</v>
      </c>
      <c r="D323">
        <v>3</v>
      </c>
      <c r="E323" t="s">
        <v>100</v>
      </c>
      <c r="F323" t="s">
        <v>426</v>
      </c>
      <c r="G323" t="s">
        <v>84</v>
      </c>
      <c r="H323" t="s">
        <v>59</v>
      </c>
      <c r="I323" t="s">
        <v>427</v>
      </c>
      <c r="J323">
        <v>-4.9029919800000004</v>
      </c>
      <c r="K323" t="s">
        <v>440</v>
      </c>
      <c r="L323" t="s">
        <v>452</v>
      </c>
      <c r="M323">
        <v>1.4858046103299999E-3</v>
      </c>
      <c r="N323">
        <v>7.2848880819994556E-3</v>
      </c>
      <c r="O323">
        <v>30169.468000000001</v>
      </c>
      <c r="P323">
        <v>4.8744250000000003E-6</v>
      </c>
      <c r="Q323">
        <v>0.29411799999999999</v>
      </c>
      <c r="R323" s="61">
        <v>2.142616712901516E-3</v>
      </c>
      <c r="S323" t="s">
        <v>343</v>
      </c>
      <c r="T323" t="s">
        <v>435</v>
      </c>
      <c r="U323" t="s">
        <v>425</v>
      </c>
      <c r="V323" t="s">
        <v>28</v>
      </c>
      <c r="W323">
        <v>111.133</v>
      </c>
      <c r="X323">
        <v>1.027287859172453</v>
      </c>
      <c r="Y323">
        <v>114.1655816534122</v>
      </c>
      <c r="Z323">
        <v>625.54</v>
      </c>
      <c r="AA323">
        <v>1</v>
      </c>
      <c r="AB323">
        <v>71.4151379474755</v>
      </c>
      <c r="AC323">
        <v>1.0064</v>
      </c>
      <c r="AD323" s="63">
        <v>71.872</v>
      </c>
      <c r="AE323">
        <v>8.9176000000000002</v>
      </c>
      <c r="AF323">
        <v>9.1609422129562699</v>
      </c>
      <c r="AG323">
        <v>1</v>
      </c>
      <c r="AH323">
        <v>5730.5357918926647</v>
      </c>
      <c r="AI323">
        <v>0.98887576294546164</v>
      </c>
      <c r="AJ323" s="63">
        <v>5666.7879999999996</v>
      </c>
      <c r="AK323" s="61">
        <v>12.141754677269761</v>
      </c>
      <c r="AL323" t="s">
        <v>343</v>
      </c>
      <c r="AM323" t="s">
        <v>435</v>
      </c>
      <c r="AN323" t="s">
        <v>425</v>
      </c>
      <c r="AO323" t="s">
        <v>28</v>
      </c>
      <c r="AP323">
        <v>111.133</v>
      </c>
      <c r="AQ323">
        <v>1.027287859172453</v>
      </c>
      <c r="AR323">
        <v>114.1655816534122</v>
      </c>
      <c r="AS323">
        <v>603.45000000000005</v>
      </c>
      <c r="AT323">
        <v>1</v>
      </c>
      <c r="AU323">
        <v>68.893220248751618</v>
      </c>
      <c r="AV323">
        <v>1.0064</v>
      </c>
      <c r="AW323" s="63">
        <v>69.334000000000003</v>
      </c>
      <c r="AX323">
        <v>8.9176000000000002</v>
      </c>
      <c r="AY323">
        <v>1</v>
      </c>
      <c r="AZ323">
        <v>5528.1705784084616</v>
      </c>
      <c r="BA323">
        <v>0.98887576294546164</v>
      </c>
      <c r="BB323" s="63">
        <v>5466.6738999999998</v>
      </c>
      <c r="BC323" s="61">
        <v>11.712986862122509</v>
      </c>
    </row>
    <row r="324" spans="1:55" x14ac:dyDescent="0.25">
      <c r="A324">
        <v>60263</v>
      </c>
      <c r="B324" t="s">
        <v>112</v>
      </c>
      <c r="C324">
        <v>2018</v>
      </c>
      <c r="D324">
        <v>4</v>
      </c>
      <c r="E324" t="s">
        <v>100</v>
      </c>
      <c r="F324" t="s">
        <v>426</v>
      </c>
      <c r="G324" t="s">
        <v>84</v>
      </c>
      <c r="H324" t="s">
        <v>381</v>
      </c>
      <c r="I324" t="s">
        <v>427</v>
      </c>
      <c r="J324">
        <v>-9.3768354699999996</v>
      </c>
      <c r="K324" t="s">
        <v>440</v>
      </c>
      <c r="L324" t="s">
        <v>450</v>
      </c>
      <c r="M324">
        <v>0.15011157993331001</v>
      </c>
      <c r="N324">
        <v>1.4075715877208841</v>
      </c>
      <c r="O324">
        <v>30169.468000000001</v>
      </c>
      <c r="P324">
        <v>4.8744250000000003E-6</v>
      </c>
      <c r="Q324">
        <v>0.29411799999999999</v>
      </c>
      <c r="R324" s="61">
        <v>0.41399214023729092</v>
      </c>
      <c r="S324" t="s">
        <v>343</v>
      </c>
      <c r="T324" t="s">
        <v>435</v>
      </c>
      <c r="U324" t="s">
        <v>425</v>
      </c>
      <c r="V324" t="s">
        <v>26</v>
      </c>
      <c r="W324">
        <v>111.133</v>
      </c>
      <c r="X324">
        <v>1.027287859172453</v>
      </c>
      <c r="Y324">
        <v>114.1655816534122</v>
      </c>
      <c r="Z324">
        <v>625.54</v>
      </c>
      <c r="AA324">
        <v>1</v>
      </c>
      <c r="AB324">
        <v>71.4151379474755</v>
      </c>
      <c r="AC324">
        <v>0.97960000000000003</v>
      </c>
      <c r="AD324" s="63">
        <v>69.957999999999998</v>
      </c>
      <c r="AE324">
        <v>8.9176000000000002</v>
      </c>
      <c r="AF324">
        <v>9.1609422129562699</v>
      </c>
      <c r="AG324">
        <v>1</v>
      </c>
      <c r="AH324">
        <v>5730.5357918926647</v>
      </c>
      <c r="AI324">
        <v>0.98541811328241247</v>
      </c>
      <c r="AJ324" s="63">
        <v>5646.9737999999998</v>
      </c>
      <c r="AK324" s="61">
        <v>2337.8027693259069</v>
      </c>
      <c r="AL324" t="s">
        <v>343</v>
      </c>
      <c r="AM324" t="s">
        <v>435</v>
      </c>
      <c r="AN324" t="s">
        <v>425</v>
      </c>
      <c r="AO324" t="s">
        <v>26</v>
      </c>
      <c r="AP324">
        <v>111.133</v>
      </c>
      <c r="AQ324">
        <v>1.027287859172453</v>
      </c>
      <c r="AR324">
        <v>114.1655816534122</v>
      </c>
      <c r="AS324">
        <v>600.54999999999995</v>
      </c>
      <c r="AT324">
        <v>1</v>
      </c>
      <c r="AU324">
        <v>68.562140061956711</v>
      </c>
      <c r="AV324">
        <v>0.97960000000000003</v>
      </c>
      <c r="AW324" s="63">
        <v>67.162999999999997</v>
      </c>
      <c r="AX324">
        <v>8.9176000000000002</v>
      </c>
      <c r="AY324">
        <v>1</v>
      </c>
      <c r="AZ324">
        <v>5501.6038459908877</v>
      </c>
      <c r="BA324">
        <v>0.98541811328241247</v>
      </c>
      <c r="BB324" s="63">
        <v>5421.3801000000003</v>
      </c>
      <c r="BC324" s="61">
        <v>2244.4087506388578</v>
      </c>
    </row>
    <row r="325" spans="1:55" x14ac:dyDescent="0.25">
      <c r="A325">
        <v>60265</v>
      </c>
      <c r="B325" t="s">
        <v>112</v>
      </c>
      <c r="C325">
        <v>2018</v>
      </c>
      <c r="D325">
        <v>4</v>
      </c>
      <c r="E325" t="s">
        <v>100</v>
      </c>
      <c r="F325" t="s">
        <v>426</v>
      </c>
      <c r="G325" t="s">
        <v>84</v>
      </c>
      <c r="H325" t="s">
        <v>381</v>
      </c>
      <c r="I325" t="s">
        <v>427</v>
      </c>
      <c r="J325">
        <v>-9.3768354699999996</v>
      </c>
      <c r="K325" t="s">
        <v>440</v>
      </c>
      <c r="L325" t="s">
        <v>384</v>
      </c>
      <c r="M325">
        <v>4.5811354346740003E-2</v>
      </c>
      <c r="N325">
        <v>0.42956553253341651</v>
      </c>
      <c r="O325">
        <v>30169.468000000001</v>
      </c>
      <c r="P325">
        <v>4.8744250000000003E-6</v>
      </c>
      <c r="Q325">
        <v>0.29411799999999999</v>
      </c>
      <c r="R325" s="61">
        <v>0.1263429552976634</v>
      </c>
      <c r="S325" t="s">
        <v>343</v>
      </c>
      <c r="T325" t="s">
        <v>435</v>
      </c>
      <c r="U325" t="s">
        <v>425</v>
      </c>
      <c r="V325" t="s">
        <v>81</v>
      </c>
      <c r="W325">
        <v>111.133</v>
      </c>
      <c r="X325">
        <v>1.027287859172453</v>
      </c>
      <c r="Y325">
        <v>114.1655816534122</v>
      </c>
      <c r="Z325">
        <v>625.54</v>
      </c>
      <c r="AA325">
        <v>1</v>
      </c>
      <c r="AB325">
        <v>71.4151379474755</v>
      </c>
      <c r="AC325">
        <v>0.92730000000000001</v>
      </c>
      <c r="AD325" s="63">
        <v>66.222999999999999</v>
      </c>
      <c r="AE325">
        <v>8.9176000000000002</v>
      </c>
      <c r="AF325">
        <v>9.1609422129562699</v>
      </c>
      <c r="AG325">
        <v>1</v>
      </c>
      <c r="AH325">
        <v>5730.5357918926647</v>
      </c>
      <c r="AI325">
        <v>1.094557195571956</v>
      </c>
      <c r="AJ325" s="63">
        <v>6272.3991999999998</v>
      </c>
      <c r="AK325" s="61">
        <v>792.47345173469967</v>
      </c>
      <c r="AL325" t="s">
        <v>343</v>
      </c>
      <c r="AM325" t="s">
        <v>435</v>
      </c>
      <c r="AN325" t="s">
        <v>425</v>
      </c>
      <c r="AO325" t="s">
        <v>81</v>
      </c>
      <c r="AP325">
        <v>111.133</v>
      </c>
      <c r="AQ325">
        <v>1.027287859172453</v>
      </c>
      <c r="AR325">
        <v>114.1655816534122</v>
      </c>
      <c r="AS325">
        <v>600.54999999999995</v>
      </c>
      <c r="AT325">
        <v>1</v>
      </c>
      <c r="AU325">
        <v>68.562140061956711</v>
      </c>
      <c r="AV325">
        <v>0.92730000000000001</v>
      </c>
      <c r="AW325" s="63">
        <v>63.578000000000003</v>
      </c>
      <c r="AX325">
        <v>8.9176000000000002</v>
      </c>
      <c r="AY325">
        <v>1</v>
      </c>
      <c r="AZ325">
        <v>5501.6038459908877</v>
      </c>
      <c r="BA325">
        <v>1.094557195571956</v>
      </c>
      <c r="BB325" s="63">
        <v>6021.8200999999999</v>
      </c>
      <c r="BC325" s="61">
        <v>760.81454770487096</v>
      </c>
    </row>
    <row r="326" spans="1:55" x14ac:dyDescent="0.25">
      <c r="A326">
        <v>60267</v>
      </c>
      <c r="B326" t="s">
        <v>112</v>
      </c>
      <c r="C326">
        <v>2018</v>
      </c>
      <c r="D326">
        <v>4</v>
      </c>
      <c r="E326" t="s">
        <v>100</v>
      </c>
      <c r="F326" t="s">
        <v>426</v>
      </c>
      <c r="G326" t="s">
        <v>84</v>
      </c>
      <c r="H326" t="s">
        <v>381</v>
      </c>
      <c r="I326" t="s">
        <v>427</v>
      </c>
      <c r="J326">
        <v>-9.3768354699999996</v>
      </c>
      <c r="K326" t="s">
        <v>440</v>
      </c>
      <c r="L326" t="s">
        <v>385</v>
      </c>
      <c r="M326">
        <v>0.43232641346992001</v>
      </c>
      <c r="N326">
        <v>4.0538536500107591</v>
      </c>
      <c r="O326">
        <v>30169.468000000001</v>
      </c>
      <c r="P326">
        <v>4.8744250000000003E-6</v>
      </c>
      <c r="Q326">
        <v>0.29411799999999999</v>
      </c>
      <c r="R326" s="61">
        <v>1.192311327833864</v>
      </c>
      <c r="S326" t="s">
        <v>343</v>
      </c>
      <c r="T326" t="s">
        <v>435</v>
      </c>
      <c r="U326" t="s">
        <v>425</v>
      </c>
      <c r="V326" t="s">
        <v>27</v>
      </c>
      <c r="W326">
        <v>111.133</v>
      </c>
      <c r="X326">
        <v>1.027287859172453</v>
      </c>
      <c r="Y326">
        <v>114.1655816534122</v>
      </c>
      <c r="Z326">
        <v>625.54</v>
      </c>
      <c r="AA326">
        <v>1</v>
      </c>
      <c r="AB326">
        <v>71.4151379474755</v>
      </c>
      <c r="AC326">
        <v>0.95599999999999996</v>
      </c>
      <c r="AD326" s="63">
        <v>68.272999999999996</v>
      </c>
      <c r="AE326">
        <v>8.9176000000000002</v>
      </c>
      <c r="AF326">
        <v>9.1609422129562699</v>
      </c>
      <c r="AG326">
        <v>1</v>
      </c>
      <c r="AH326">
        <v>5730.5357918926647</v>
      </c>
      <c r="AI326">
        <v>1.0027686628383921</v>
      </c>
      <c r="AJ326" s="63">
        <v>5746.4017000000003</v>
      </c>
      <c r="AK326" s="61">
        <v>6851.4998411937759</v>
      </c>
      <c r="AL326" t="s">
        <v>343</v>
      </c>
      <c r="AM326" t="s">
        <v>435</v>
      </c>
      <c r="AN326" t="s">
        <v>425</v>
      </c>
      <c r="AO326" t="s">
        <v>27</v>
      </c>
      <c r="AP326">
        <v>111.133</v>
      </c>
      <c r="AQ326">
        <v>1.027287859172453</v>
      </c>
      <c r="AR326">
        <v>114.1655816534122</v>
      </c>
      <c r="AS326">
        <v>600.54999999999995</v>
      </c>
      <c r="AT326">
        <v>1</v>
      </c>
      <c r="AU326">
        <v>68.562140061956711</v>
      </c>
      <c r="AV326">
        <v>0.95599999999999996</v>
      </c>
      <c r="AW326" s="63">
        <v>65.545000000000002</v>
      </c>
      <c r="AX326">
        <v>8.9176000000000002</v>
      </c>
      <c r="AY326">
        <v>1</v>
      </c>
      <c r="AZ326">
        <v>5501.6038459908877</v>
      </c>
      <c r="BA326">
        <v>1.0027686628383921</v>
      </c>
      <c r="BB326" s="63">
        <v>5516.8359</v>
      </c>
      <c r="BC326" s="61">
        <v>6577.7859373705323</v>
      </c>
    </row>
    <row r="327" spans="1:55" x14ac:dyDescent="0.25">
      <c r="A327">
        <v>60269</v>
      </c>
      <c r="B327" t="s">
        <v>112</v>
      </c>
      <c r="C327">
        <v>2018</v>
      </c>
      <c r="D327">
        <v>4</v>
      </c>
      <c r="E327" t="s">
        <v>100</v>
      </c>
      <c r="F327" t="s">
        <v>426</v>
      </c>
      <c r="G327" t="s">
        <v>84</v>
      </c>
      <c r="H327" t="s">
        <v>381</v>
      </c>
      <c r="I327" t="s">
        <v>427</v>
      </c>
      <c r="J327">
        <v>-9.3768354699999996</v>
      </c>
      <c r="K327" t="s">
        <v>440</v>
      </c>
      <c r="L327" t="s">
        <v>451</v>
      </c>
      <c r="M327">
        <v>1.6825115802299999E-3</v>
      </c>
      <c r="N327">
        <v>1.5776634270289192E-2</v>
      </c>
      <c r="O327">
        <v>30169.468000000001</v>
      </c>
      <c r="P327">
        <v>4.8744250000000003E-6</v>
      </c>
      <c r="Q327">
        <v>0.29411799999999999</v>
      </c>
      <c r="R327" s="61">
        <v>4.6401921183089161E-3</v>
      </c>
      <c r="S327" t="s">
        <v>343</v>
      </c>
      <c r="T327" t="s">
        <v>435</v>
      </c>
      <c r="U327" t="s">
        <v>425</v>
      </c>
      <c r="V327" t="s">
        <v>91</v>
      </c>
      <c r="W327">
        <v>111.133</v>
      </c>
      <c r="X327">
        <v>1.027287859172453</v>
      </c>
      <c r="Y327">
        <v>114.1655816534122</v>
      </c>
      <c r="Z327">
        <v>625.54</v>
      </c>
      <c r="AA327">
        <v>1</v>
      </c>
      <c r="AB327">
        <v>71.4151379474755</v>
      </c>
      <c r="AC327">
        <v>1.0056</v>
      </c>
      <c r="AD327" s="63">
        <v>71.814999999999998</v>
      </c>
      <c r="AE327">
        <v>8.9176000000000002</v>
      </c>
      <c r="AF327">
        <v>9.1609422129562699</v>
      </c>
      <c r="AG327">
        <v>1</v>
      </c>
      <c r="AH327">
        <v>5730.5357918926647</v>
      </c>
      <c r="AI327">
        <v>0.98408824677860207</v>
      </c>
      <c r="AJ327" s="63">
        <v>5639.3528999999999</v>
      </c>
      <c r="AK327" s="61">
        <v>26.16768087894253</v>
      </c>
      <c r="AL327" t="s">
        <v>343</v>
      </c>
      <c r="AM327" t="s">
        <v>435</v>
      </c>
      <c r="AN327" t="s">
        <v>425</v>
      </c>
      <c r="AO327" t="s">
        <v>91</v>
      </c>
      <c r="AP327">
        <v>111.133</v>
      </c>
      <c r="AQ327">
        <v>1.027287859172453</v>
      </c>
      <c r="AR327">
        <v>114.1655816534122</v>
      </c>
      <c r="AS327">
        <v>600.54999999999995</v>
      </c>
      <c r="AT327">
        <v>1</v>
      </c>
      <c r="AU327">
        <v>68.562140061956711</v>
      </c>
      <c r="AV327">
        <v>1.0056</v>
      </c>
      <c r="AW327" s="63">
        <v>68.945999999999998</v>
      </c>
      <c r="AX327">
        <v>8.9176000000000002</v>
      </c>
      <c r="AY327">
        <v>1</v>
      </c>
      <c r="AZ327">
        <v>5501.6038459908877</v>
      </c>
      <c r="BA327">
        <v>0.98408824677860207</v>
      </c>
      <c r="BB327" s="63">
        <v>5414.0636999999997</v>
      </c>
      <c r="BC327" s="61">
        <v>25.122295708762412</v>
      </c>
    </row>
    <row r="328" spans="1:55" x14ac:dyDescent="0.25">
      <c r="A328">
        <v>60271</v>
      </c>
      <c r="B328" t="s">
        <v>112</v>
      </c>
      <c r="C328">
        <v>2018</v>
      </c>
      <c r="D328">
        <v>4</v>
      </c>
      <c r="E328" t="s">
        <v>100</v>
      </c>
      <c r="F328" t="s">
        <v>426</v>
      </c>
      <c r="G328" t="s">
        <v>84</v>
      </c>
      <c r="H328" t="s">
        <v>381</v>
      </c>
      <c r="I328" t="s">
        <v>427</v>
      </c>
      <c r="J328">
        <v>-9.3768354699999996</v>
      </c>
      <c r="K328" t="s">
        <v>440</v>
      </c>
      <c r="L328" t="s">
        <v>452</v>
      </c>
      <c r="M328">
        <v>1.53682162831E-3</v>
      </c>
      <c r="N328">
        <v>1.44105235609747E-2</v>
      </c>
      <c r="O328">
        <v>30169.468000000001</v>
      </c>
      <c r="P328">
        <v>4.8744250000000003E-6</v>
      </c>
      <c r="Q328">
        <v>0.29411799999999999</v>
      </c>
      <c r="R328" s="61">
        <v>4.2383943687067556E-3</v>
      </c>
      <c r="S328" t="s">
        <v>343</v>
      </c>
      <c r="T328" t="s">
        <v>435</v>
      </c>
      <c r="U328" t="s">
        <v>425</v>
      </c>
      <c r="V328" t="s">
        <v>28</v>
      </c>
      <c r="W328">
        <v>111.133</v>
      </c>
      <c r="X328">
        <v>1.027287859172453</v>
      </c>
      <c r="Y328">
        <v>114.1655816534122</v>
      </c>
      <c r="Z328">
        <v>625.54</v>
      </c>
      <c r="AA328">
        <v>1</v>
      </c>
      <c r="AB328">
        <v>71.4151379474755</v>
      </c>
      <c r="AC328">
        <v>1.0064</v>
      </c>
      <c r="AD328" s="63">
        <v>71.872</v>
      </c>
      <c r="AE328">
        <v>8.9176000000000002</v>
      </c>
      <c r="AF328">
        <v>9.1609422129562699</v>
      </c>
      <c r="AG328">
        <v>1</v>
      </c>
      <c r="AH328">
        <v>5730.5357918926647</v>
      </c>
      <c r="AI328">
        <v>0.98887576294546164</v>
      </c>
      <c r="AJ328" s="63">
        <v>5666.7879999999996</v>
      </c>
      <c r="AK328" s="61">
        <v>24.018082347855021</v>
      </c>
      <c r="AL328" t="s">
        <v>343</v>
      </c>
      <c r="AM328" t="s">
        <v>435</v>
      </c>
      <c r="AN328" t="s">
        <v>425</v>
      </c>
      <c r="AO328" t="s">
        <v>28</v>
      </c>
      <c r="AP328">
        <v>111.133</v>
      </c>
      <c r="AQ328">
        <v>1.027287859172453</v>
      </c>
      <c r="AR328">
        <v>114.1655816534122</v>
      </c>
      <c r="AS328">
        <v>600.54999999999995</v>
      </c>
      <c r="AT328">
        <v>1</v>
      </c>
      <c r="AU328">
        <v>68.562140061956711</v>
      </c>
      <c r="AV328">
        <v>1.0064</v>
      </c>
      <c r="AW328" s="63">
        <v>69.001000000000005</v>
      </c>
      <c r="AX328">
        <v>8.9176000000000002</v>
      </c>
      <c r="AY328">
        <v>1</v>
      </c>
      <c r="AZ328">
        <v>5501.6038459908877</v>
      </c>
      <c r="BA328">
        <v>0.98887576294546164</v>
      </c>
      <c r="BB328" s="63">
        <v>5440.4026999999996</v>
      </c>
      <c r="BC328" s="61">
        <v>23.058572167177029</v>
      </c>
    </row>
    <row r="329" spans="1:55" x14ac:dyDescent="0.25">
      <c r="A329">
        <v>60273</v>
      </c>
      <c r="B329" t="s">
        <v>112</v>
      </c>
      <c r="C329">
        <v>2018</v>
      </c>
      <c r="D329">
        <v>4</v>
      </c>
      <c r="E329" t="s">
        <v>100</v>
      </c>
      <c r="F329" t="s">
        <v>426</v>
      </c>
      <c r="G329" t="s">
        <v>84</v>
      </c>
      <c r="H329" t="s">
        <v>87</v>
      </c>
      <c r="I329" t="s">
        <v>427</v>
      </c>
      <c r="J329">
        <v>-1.7230753599999999</v>
      </c>
      <c r="K329" t="s">
        <v>440</v>
      </c>
      <c r="L329" t="s">
        <v>450</v>
      </c>
      <c r="M329">
        <v>0.26601384014995</v>
      </c>
      <c r="N329">
        <v>0.45836189416867362</v>
      </c>
      <c r="O329">
        <v>30169.468000000001</v>
      </c>
      <c r="P329">
        <v>4.8744250000000003E-6</v>
      </c>
      <c r="Q329">
        <v>0.29411799999999999</v>
      </c>
      <c r="R329" s="61">
        <v>0.13481248358910189</v>
      </c>
      <c r="S329" t="s">
        <v>343</v>
      </c>
      <c r="T329" t="s">
        <v>435</v>
      </c>
      <c r="U329" t="s">
        <v>425</v>
      </c>
      <c r="V329" t="s">
        <v>26</v>
      </c>
      <c r="W329">
        <v>111.133</v>
      </c>
      <c r="X329">
        <v>1.027287859172453</v>
      </c>
      <c r="Y329">
        <v>114.1655816534122</v>
      </c>
      <c r="Z329">
        <v>625.54</v>
      </c>
      <c r="AA329">
        <v>1</v>
      </c>
      <c r="AB329">
        <v>71.4151379474755</v>
      </c>
      <c r="AC329">
        <v>0.97960000000000003</v>
      </c>
      <c r="AD329" s="63">
        <v>69.957999999999998</v>
      </c>
      <c r="AE329">
        <v>8.9176000000000002</v>
      </c>
      <c r="AF329">
        <v>9.1609422129562699</v>
      </c>
      <c r="AG329">
        <v>1</v>
      </c>
      <c r="AH329">
        <v>5730.5357918926647</v>
      </c>
      <c r="AI329">
        <v>0.98541811328241247</v>
      </c>
      <c r="AJ329" s="63">
        <v>5646.9737999999998</v>
      </c>
      <c r="AK329" s="61">
        <v>761.28256274058856</v>
      </c>
      <c r="AL329" t="s">
        <v>343</v>
      </c>
      <c r="AM329" t="s">
        <v>435</v>
      </c>
      <c r="AN329" t="s">
        <v>425</v>
      </c>
      <c r="AO329" t="s">
        <v>26</v>
      </c>
      <c r="AP329">
        <v>111.133</v>
      </c>
      <c r="AQ329">
        <v>1.027287859172453</v>
      </c>
      <c r="AR329">
        <v>114.1655816534122</v>
      </c>
      <c r="AS329">
        <v>600.54999999999995</v>
      </c>
      <c r="AT329">
        <v>1</v>
      </c>
      <c r="AU329">
        <v>68.562140061956711</v>
      </c>
      <c r="AV329">
        <v>0.97960000000000003</v>
      </c>
      <c r="AW329" s="63">
        <v>67.162999999999997</v>
      </c>
      <c r="AX329">
        <v>8.9176000000000002</v>
      </c>
      <c r="AY329">
        <v>1</v>
      </c>
      <c r="AZ329">
        <v>5501.6038459908877</v>
      </c>
      <c r="BA329">
        <v>0.98541811328241247</v>
      </c>
      <c r="BB329" s="63">
        <v>5421.3801000000003</v>
      </c>
      <c r="BC329" s="61">
        <v>730.86971576153394</v>
      </c>
    </row>
    <row r="330" spans="1:55" x14ac:dyDescent="0.25">
      <c r="A330">
        <v>60275</v>
      </c>
      <c r="B330" t="s">
        <v>112</v>
      </c>
      <c r="C330">
        <v>2018</v>
      </c>
      <c r="D330">
        <v>4</v>
      </c>
      <c r="E330" t="s">
        <v>100</v>
      </c>
      <c r="F330" t="s">
        <v>426</v>
      </c>
      <c r="G330" t="s">
        <v>84</v>
      </c>
      <c r="H330" t="s">
        <v>87</v>
      </c>
      <c r="I330" t="s">
        <v>427</v>
      </c>
      <c r="J330">
        <v>-1.7230753599999999</v>
      </c>
      <c r="K330" t="s">
        <v>440</v>
      </c>
      <c r="L330" t="s">
        <v>384</v>
      </c>
      <c r="M330">
        <v>3.9509559941419997E-2</v>
      </c>
      <c r="N330">
        <v>6.8077949336439528E-2</v>
      </c>
      <c r="O330">
        <v>30169.468000000001</v>
      </c>
      <c r="P330">
        <v>4.8744250000000003E-6</v>
      </c>
      <c r="Q330">
        <v>0.29411799999999999</v>
      </c>
      <c r="R330" s="61">
        <v>2.0022950302934921E-2</v>
      </c>
      <c r="S330" t="s">
        <v>343</v>
      </c>
      <c r="T330" t="s">
        <v>435</v>
      </c>
      <c r="U330" t="s">
        <v>425</v>
      </c>
      <c r="V330" t="s">
        <v>81</v>
      </c>
      <c r="W330">
        <v>111.133</v>
      </c>
      <c r="X330">
        <v>1.027287859172453</v>
      </c>
      <c r="Y330">
        <v>114.1655816534122</v>
      </c>
      <c r="Z330">
        <v>625.54</v>
      </c>
      <c r="AA330">
        <v>1</v>
      </c>
      <c r="AB330">
        <v>71.4151379474755</v>
      </c>
      <c r="AC330">
        <v>0.92730000000000001</v>
      </c>
      <c r="AD330" s="63">
        <v>66.222999999999999</v>
      </c>
      <c r="AE330">
        <v>8.9176000000000002</v>
      </c>
      <c r="AF330">
        <v>9.1609422129562699</v>
      </c>
      <c r="AG330">
        <v>1</v>
      </c>
      <c r="AH330">
        <v>5730.5357918926647</v>
      </c>
      <c r="AI330">
        <v>1.094557195571956</v>
      </c>
      <c r="AJ330" s="63">
        <v>6272.3991999999998</v>
      </c>
      <c r="AK330" s="61">
        <v>125.59193746176879</v>
      </c>
      <c r="AL330" t="s">
        <v>343</v>
      </c>
      <c r="AM330" t="s">
        <v>435</v>
      </c>
      <c r="AN330" t="s">
        <v>425</v>
      </c>
      <c r="AO330" t="s">
        <v>81</v>
      </c>
      <c r="AP330">
        <v>111.133</v>
      </c>
      <c r="AQ330">
        <v>1.027287859172453</v>
      </c>
      <c r="AR330">
        <v>114.1655816534122</v>
      </c>
      <c r="AS330">
        <v>600.54999999999995</v>
      </c>
      <c r="AT330">
        <v>1</v>
      </c>
      <c r="AU330">
        <v>68.562140061956711</v>
      </c>
      <c r="AV330">
        <v>0.92730000000000001</v>
      </c>
      <c r="AW330" s="63">
        <v>63.578000000000003</v>
      </c>
      <c r="AX330">
        <v>8.9176000000000002</v>
      </c>
      <c r="AY330">
        <v>1</v>
      </c>
      <c r="AZ330">
        <v>5501.6038459908877</v>
      </c>
      <c r="BA330">
        <v>1.094557195571956</v>
      </c>
      <c r="BB330" s="63">
        <v>6021.8200999999999</v>
      </c>
      <c r="BC330" s="61">
        <v>120.5746045955146</v>
      </c>
    </row>
    <row r="331" spans="1:55" x14ac:dyDescent="0.25">
      <c r="A331">
        <v>60277</v>
      </c>
      <c r="B331" t="s">
        <v>112</v>
      </c>
      <c r="C331">
        <v>2018</v>
      </c>
      <c r="D331">
        <v>4</v>
      </c>
      <c r="E331" t="s">
        <v>100</v>
      </c>
      <c r="F331" t="s">
        <v>426</v>
      </c>
      <c r="G331" t="s">
        <v>84</v>
      </c>
      <c r="H331" t="s">
        <v>87</v>
      </c>
      <c r="I331" t="s">
        <v>427</v>
      </c>
      <c r="J331">
        <v>-1.7230753599999999</v>
      </c>
      <c r="K331" t="s">
        <v>440</v>
      </c>
      <c r="L331" t="s">
        <v>385</v>
      </c>
      <c r="M331">
        <v>0.39737542925016001</v>
      </c>
      <c r="N331">
        <v>0.68470781198647845</v>
      </c>
      <c r="O331">
        <v>30169.468000000001</v>
      </c>
      <c r="P331">
        <v>4.8744250000000003E-6</v>
      </c>
      <c r="Q331">
        <v>0.29411799999999999</v>
      </c>
      <c r="R331" s="61">
        <v>0.20138489224583911</v>
      </c>
      <c r="S331" t="s">
        <v>343</v>
      </c>
      <c r="T331" t="s">
        <v>435</v>
      </c>
      <c r="U331" t="s">
        <v>425</v>
      </c>
      <c r="V331" t="s">
        <v>27</v>
      </c>
      <c r="W331">
        <v>111.133</v>
      </c>
      <c r="X331">
        <v>1.027287859172453</v>
      </c>
      <c r="Y331">
        <v>114.1655816534122</v>
      </c>
      <c r="Z331">
        <v>625.54</v>
      </c>
      <c r="AA331">
        <v>1</v>
      </c>
      <c r="AB331">
        <v>71.4151379474755</v>
      </c>
      <c r="AC331">
        <v>0.95599999999999996</v>
      </c>
      <c r="AD331" s="63">
        <v>68.272999999999996</v>
      </c>
      <c r="AE331">
        <v>8.9176000000000002</v>
      </c>
      <c r="AF331">
        <v>9.1609422129562699</v>
      </c>
      <c r="AG331">
        <v>1</v>
      </c>
      <c r="AH331">
        <v>5730.5357918926647</v>
      </c>
      <c r="AI331">
        <v>1.0027686628383921</v>
      </c>
      <c r="AJ331" s="63">
        <v>5746.4017000000003</v>
      </c>
      <c r="AK331" s="61">
        <v>1157.238487155807</v>
      </c>
      <c r="AL331" t="s">
        <v>343</v>
      </c>
      <c r="AM331" t="s">
        <v>435</v>
      </c>
      <c r="AN331" t="s">
        <v>425</v>
      </c>
      <c r="AO331" t="s">
        <v>27</v>
      </c>
      <c r="AP331">
        <v>111.133</v>
      </c>
      <c r="AQ331">
        <v>1.027287859172453</v>
      </c>
      <c r="AR331">
        <v>114.1655816534122</v>
      </c>
      <c r="AS331">
        <v>600.54999999999995</v>
      </c>
      <c r="AT331">
        <v>1</v>
      </c>
      <c r="AU331">
        <v>68.562140061956711</v>
      </c>
      <c r="AV331">
        <v>0.95599999999999996</v>
      </c>
      <c r="AW331" s="63">
        <v>65.545000000000002</v>
      </c>
      <c r="AX331">
        <v>8.9176000000000002</v>
      </c>
      <c r="AY331">
        <v>1</v>
      </c>
      <c r="AZ331">
        <v>5501.6038459908877</v>
      </c>
      <c r="BA331">
        <v>1.0027686628383921</v>
      </c>
      <c r="BB331" s="63">
        <v>5516.8359</v>
      </c>
      <c r="BC331" s="61">
        <v>1111.0074032594771</v>
      </c>
    </row>
    <row r="332" spans="1:55" x14ac:dyDescent="0.25">
      <c r="A332">
        <v>60279</v>
      </c>
      <c r="B332" t="s">
        <v>112</v>
      </c>
      <c r="C332">
        <v>2018</v>
      </c>
      <c r="D332">
        <v>4</v>
      </c>
      <c r="E332" t="s">
        <v>100</v>
      </c>
      <c r="F332" t="s">
        <v>426</v>
      </c>
      <c r="G332" t="s">
        <v>84</v>
      </c>
      <c r="H332" t="s">
        <v>87</v>
      </c>
      <c r="I332" t="s">
        <v>427</v>
      </c>
      <c r="J332">
        <v>-1.7230753599999999</v>
      </c>
      <c r="K332" t="s">
        <v>440</v>
      </c>
      <c r="L332" t="s">
        <v>452</v>
      </c>
      <c r="M332">
        <v>8.4248020759000004E-4</v>
      </c>
      <c r="N332">
        <v>1.451656889479487E-3</v>
      </c>
      <c r="O332">
        <v>30169.468000000001</v>
      </c>
      <c r="P332">
        <v>4.8744250000000003E-6</v>
      </c>
      <c r="Q332">
        <v>0.29411799999999999</v>
      </c>
      <c r="R332" s="61">
        <v>4.2695842101992759E-4</v>
      </c>
      <c r="S332" t="s">
        <v>343</v>
      </c>
      <c r="T332" t="s">
        <v>435</v>
      </c>
      <c r="U332" t="s">
        <v>425</v>
      </c>
      <c r="V332" t="s">
        <v>28</v>
      </c>
      <c r="W332">
        <v>111.133</v>
      </c>
      <c r="X332">
        <v>1.027287859172453</v>
      </c>
      <c r="Y332">
        <v>114.1655816534122</v>
      </c>
      <c r="Z332">
        <v>625.54</v>
      </c>
      <c r="AA332">
        <v>1</v>
      </c>
      <c r="AB332">
        <v>71.4151379474755</v>
      </c>
      <c r="AC332">
        <v>1.0064</v>
      </c>
      <c r="AD332" s="63">
        <v>71.872</v>
      </c>
      <c r="AE332">
        <v>8.9176000000000002</v>
      </c>
      <c r="AF332">
        <v>9.1609422129562699</v>
      </c>
      <c r="AG332">
        <v>1</v>
      </c>
      <c r="AH332">
        <v>5730.5357918926647</v>
      </c>
      <c r="AI332">
        <v>0.98887576294546164</v>
      </c>
      <c r="AJ332" s="63">
        <v>5666.7879999999996</v>
      </c>
      <c r="AK332" s="61">
        <v>2.4194828567346729</v>
      </c>
      <c r="AL332" t="s">
        <v>343</v>
      </c>
      <c r="AM332" t="s">
        <v>435</v>
      </c>
      <c r="AN332" t="s">
        <v>425</v>
      </c>
      <c r="AO332" t="s">
        <v>28</v>
      </c>
      <c r="AP332">
        <v>111.133</v>
      </c>
      <c r="AQ332">
        <v>1.027287859172453</v>
      </c>
      <c r="AR332">
        <v>114.1655816534122</v>
      </c>
      <c r="AS332">
        <v>600.54999999999995</v>
      </c>
      <c r="AT332">
        <v>1</v>
      </c>
      <c r="AU332">
        <v>68.562140061956711</v>
      </c>
      <c r="AV332">
        <v>1.0064</v>
      </c>
      <c r="AW332" s="63">
        <v>69.001000000000005</v>
      </c>
      <c r="AX332">
        <v>8.9176000000000002</v>
      </c>
      <c r="AY332">
        <v>1</v>
      </c>
      <c r="AZ332">
        <v>5501.6038459908877</v>
      </c>
      <c r="BA332">
        <v>0.98887576294546164</v>
      </c>
      <c r="BB332" s="63">
        <v>5440.4026999999996</v>
      </c>
      <c r="BC332" s="61">
        <v>2.322825746504551</v>
      </c>
    </row>
    <row r="333" spans="1:55" x14ac:dyDescent="0.25">
      <c r="A333">
        <v>60281</v>
      </c>
      <c r="B333" t="s">
        <v>112</v>
      </c>
      <c r="C333">
        <v>2018</v>
      </c>
      <c r="D333">
        <v>4</v>
      </c>
      <c r="E333" t="s">
        <v>100</v>
      </c>
      <c r="F333" t="s">
        <v>426</v>
      </c>
      <c r="G333" t="s">
        <v>84</v>
      </c>
      <c r="H333" t="s">
        <v>59</v>
      </c>
      <c r="I333" t="s">
        <v>427</v>
      </c>
      <c r="J333">
        <v>-4.95451788</v>
      </c>
      <c r="K333" t="s">
        <v>440</v>
      </c>
      <c r="L333" t="s">
        <v>450</v>
      </c>
      <c r="M333">
        <v>0.15931709696460999</v>
      </c>
      <c r="N333">
        <v>0.78933940520159118</v>
      </c>
      <c r="O333">
        <v>30169.468000000001</v>
      </c>
      <c r="P333">
        <v>4.8744250000000003E-6</v>
      </c>
      <c r="Q333">
        <v>0.29411799999999999</v>
      </c>
      <c r="R333" s="61">
        <v>0.2321589271790816</v>
      </c>
      <c r="S333" t="s">
        <v>343</v>
      </c>
      <c r="T333" t="s">
        <v>435</v>
      </c>
      <c r="U333" t="s">
        <v>425</v>
      </c>
      <c r="V333" t="s">
        <v>26</v>
      </c>
      <c r="W333">
        <v>111.133</v>
      </c>
      <c r="X333">
        <v>1.027287859172453</v>
      </c>
      <c r="Y333">
        <v>114.1655816534122</v>
      </c>
      <c r="Z333">
        <v>625.54</v>
      </c>
      <c r="AA333">
        <v>1</v>
      </c>
      <c r="AB333">
        <v>71.4151379474755</v>
      </c>
      <c r="AC333">
        <v>0.97960000000000003</v>
      </c>
      <c r="AD333" s="63">
        <v>69.957999999999998</v>
      </c>
      <c r="AE333">
        <v>8.9176000000000002</v>
      </c>
      <c r="AF333">
        <v>9.1609422129562699</v>
      </c>
      <c r="AG333">
        <v>1</v>
      </c>
      <c r="AH333">
        <v>5730.5357918926647</v>
      </c>
      <c r="AI333">
        <v>0.98541811328241247</v>
      </c>
      <c r="AJ333" s="63">
        <v>5646.9737999999998</v>
      </c>
      <c r="AK333" s="61">
        <v>1310.9953792163819</v>
      </c>
      <c r="AL333" t="s">
        <v>343</v>
      </c>
      <c r="AM333" t="s">
        <v>435</v>
      </c>
      <c r="AN333" t="s">
        <v>425</v>
      </c>
      <c r="AO333" t="s">
        <v>26</v>
      </c>
      <c r="AP333">
        <v>111.133</v>
      </c>
      <c r="AQ333">
        <v>1.027287859172453</v>
      </c>
      <c r="AR333">
        <v>114.1655816534122</v>
      </c>
      <c r="AS333">
        <v>600.54999999999995</v>
      </c>
      <c r="AT333">
        <v>1</v>
      </c>
      <c r="AU333">
        <v>68.562140061956711</v>
      </c>
      <c r="AV333">
        <v>0.97960000000000003</v>
      </c>
      <c r="AW333" s="63">
        <v>67.162999999999997</v>
      </c>
      <c r="AX333">
        <v>8.9176000000000002</v>
      </c>
      <c r="AY333">
        <v>1</v>
      </c>
      <c r="AZ333">
        <v>5501.6038459908877</v>
      </c>
      <c r="BA333">
        <v>0.98541811328241247</v>
      </c>
      <c r="BB333" s="63">
        <v>5421.3801000000003</v>
      </c>
      <c r="BC333" s="61">
        <v>1258.621787846022</v>
      </c>
    </row>
    <row r="334" spans="1:55" x14ac:dyDescent="0.25">
      <c r="A334">
        <v>60283</v>
      </c>
      <c r="B334" t="s">
        <v>112</v>
      </c>
      <c r="C334">
        <v>2018</v>
      </c>
      <c r="D334">
        <v>4</v>
      </c>
      <c r="E334" t="s">
        <v>100</v>
      </c>
      <c r="F334" t="s">
        <v>426</v>
      </c>
      <c r="G334" t="s">
        <v>84</v>
      </c>
      <c r="H334" t="s">
        <v>59</v>
      </c>
      <c r="I334" t="s">
        <v>427</v>
      </c>
      <c r="J334">
        <v>-4.95451788</v>
      </c>
      <c r="K334" t="s">
        <v>440</v>
      </c>
      <c r="L334" t="s">
        <v>384</v>
      </c>
      <c r="M334">
        <v>4.1785183859599999E-2</v>
      </c>
      <c r="N334">
        <v>0.20702544047298591</v>
      </c>
      <c r="O334">
        <v>30169.468000000001</v>
      </c>
      <c r="P334">
        <v>4.8744250000000003E-6</v>
      </c>
      <c r="Q334">
        <v>0.29411799999999999</v>
      </c>
      <c r="R334" s="61">
        <v>6.0889908501033672E-2</v>
      </c>
      <c r="S334" t="s">
        <v>343</v>
      </c>
      <c r="T334" t="s">
        <v>435</v>
      </c>
      <c r="U334" t="s">
        <v>425</v>
      </c>
      <c r="V334" t="s">
        <v>81</v>
      </c>
      <c r="W334">
        <v>111.133</v>
      </c>
      <c r="X334">
        <v>1.027287859172453</v>
      </c>
      <c r="Y334">
        <v>114.1655816534122</v>
      </c>
      <c r="Z334">
        <v>625.54</v>
      </c>
      <c r="AA334">
        <v>1</v>
      </c>
      <c r="AB334">
        <v>71.4151379474755</v>
      </c>
      <c r="AC334">
        <v>0.92730000000000001</v>
      </c>
      <c r="AD334" s="63">
        <v>66.222999999999999</v>
      </c>
      <c r="AE334">
        <v>8.9176000000000002</v>
      </c>
      <c r="AF334">
        <v>9.1609422129562699</v>
      </c>
      <c r="AG334">
        <v>1</v>
      </c>
      <c r="AH334">
        <v>5730.5357918926647</v>
      </c>
      <c r="AI334">
        <v>1.094557195571956</v>
      </c>
      <c r="AJ334" s="63">
        <v>6272.3991999999998</v>
      </c>
      <c r="AK334" s="61">
        <v>381.92581336995681</v>
      </c>
      <c r="AL334" t="s">
        <v>343</v>
      </c>
      <c r="AM334" t="s">
        <v>435</v>
      </c>
      <c r="AN334" t="s">
        <v>425</v>
      </c>
      <c r="AO334" t="s">
        <v>81</v>
      </c>
      <c r="AP334">
        <v>111.133</v>
      </c>
      <c r="AQ334">
        <v>1.027287859172453</v>
      </c>
      <c r="AR334">
        <v>114.1655816534122</v>
      </c>
      <c r="AS334">
        <v>600.54999999999995</v>
      </c>
      <c r="AT334">
        <v>1</v>
      </c>
      <c r="AU334">
        <v>68.562140061956711</v>
      </c>
      <c r="AV334">
        <v>0.92730000000000001</v>
      </c>
      <c r="AW334" s="63">
        <v>63.578000000000003</v>
      </c>
      <c r="AX334">
        <v>8.9176000000000002</v>
      </c>
      <c r="AY334">
        <v>1</v>
      </c>
      <c r="AZ334">
        <v>5501.6038459908877</v>
      </c>
      <c r="BA334">
        <v>1.094557195571956</v>
      </c>
      <c r="BB334" s="63">
        <v>6021.8200999999999</v>
      </c>
      <c r="BC334" s="61">
        <v>366.66807489868552</v>
      </c>
    </row>
    <row r="335" spans="1:55" x14ac:dyDescent="0.25">
      <c r="A335">
        <v>60285</v>
      </c>
      <c r="B335" t="s">
        <v>112</v>
      </c>
      <c r="C335">
        <v>2018</v>
      </c>
      <c r="D335">
        <v>4</v>
      </c>
      <c r="E335" t="s">
        <v>100</v>
      </c>
      <c r="F335" t="s">
        <v>426</v>
      </c>
      <c r="G335" t="s">
        <v>84</v>
      </c>
      <c r="H335" t="s">
        <v>59</v>
      </c>
      <c r="I335" t="s">
        <v>427</v>
      </c>
      <c r="J335">
        <v>-4.95451788</v>
      </c>
      <c r="K335" t="s">
        <v>440</v>
      </c>
      <c r="L335" t="s">
        <v>385</v>
      </c>
      <c r="M335">
        <v>0.43497567483749999</v>
      </c>
      <c r="N335">
        <v>2.155094757530398</v>
      </c>
      <c r="O335">
        <v>30169.468000000001</v>
      </c>
      <c r="P335">
        <v>4.8744250000000003E-6</v>
      </c>
      <c r="Q335">
        <v>0.29411799999999999</v>
      </c>
      <c r="R335" s="61">
        <v>0.63385215989532551</v>
      </c>
      <c r="S335" t="s">
        <v>343</v>
      </c>
      <c r="T335" t="s">
        <v>435</v>
      </c>
      <c r="U335" t="s">
        <v>425</v>
      </c>
      <c r="V335" t="s">
        <v>27</v>
      </c>
      <c r="W335">
        <v>111.133</v>
      </c>
      <c r="X335">
        <v>1.027287859172453</v>
      </c>
      <c r="Y335">
        <v>114.1655816534122</v>
      </c>
      <c r="Z335">
        <v>625.54</v>
      </c>
      <c r="AA335">
        <v>1</v>
      </c>
      <c r="AB335">
        <v>71.4151379474755</v>
      </c>
      <c r="AC335">
        <v>0.95599999999999996</v>
      </c>
      <c r="AD335" s="63">
        <v>68.272999999999996</v>
      </c>
      <c r="AE335">
        <v>8.9176000000000002</v>
      </c>
      <c r="AF335">
        <v>9.1609422129562699</v>
      </c>
      <c r="AG335">
        <v>1</v>
      </c>
      <c r="AH335">
        <v>5730.5357918926647</v>
      </c>
      <c r="AI335">
        <v>1.0027686628383921</v>
      </c>
      <c r="AJ335" s="63">
        <v>5746.4017000000003</v>
      </c>
      <c r="AK335" s="61">
        <v>3642.3691291711712</v>
      </c>
      <c r="AL335" t="s">
        <v>343</v>
      </c>
      <c r="AM335" t="s">
        <v>435</v>
      </c>
      <c r="AN335" t="s">
        <v>425</v>
      </c>
      <c r="AO335" t="s">
        <v>27</v>
      </c>
      <c r="AP335">
        <v>111.133</v>
      </c>
      <c r="AQ335">
        <v>1.027287859172453</v>
      </c>
      <c r="AR335">
        <v>114.1655816534122</v>
      </c>
      <c r="AS335">
        <v>600.54999999999995</v>
      </c>
      <c r="AT335">
        <v>1</v>
      </c>
      <c r="AU335">
        <v>68.562140061956711</v>
      </c>
      <c r="AV335">
        <v>0.95599999999999996</v>
      </c>
      <c r="AW335" s="63">
        <v>65.545000000000002</v>
      </c>
      <c r="AX335">
        <v>8.9176000000000002</v>
      </c>
      <c r="AY335">
        <v>1</v>
      </c>
      <c r="AZ335">
        <v>5501.6038459908877</v>
      </c>
      <c r="BA335">
        <v>1.0027686628383921</v>
      </c>
      <c r="BB335" s="63">
        <v>5516.8359</v>
      </c>
      <c r="BC335" s="61">
        <v>3496.8583510030721</v>
      </c>
    </row>
    <row r="336" spans="1:55" x14ac:dyDescent="0.25">
      <c r="A336">
        <v>60287</v>
      </c>
      <c r="B336" t="s">
        <v>112</v>
      </c>
      <c r="C336">
        <v>2018</v>
      </c>
      <c r="D336">
        <v>4</v>
      </c>
      <c r="E336" t="s">
        <v>100</v>
      </c>
      <c r="F336" t="s">
        <v>426</v>
      </c>
      <c r="G336" t="s">
        <v>84</v>
      </c>
      <c r="H336" t="s">
        <v>59</v>
      </c>
      <c r="I336" t="s">
        <v>427</v>
      </c>
      <c r="J336">
        <v>-4.95451788</v>
      </c>
      <c r="K336" t="s">
        <v>440</v>
      </c>
      <c r="L336" t="s">
        <v>451</v>
      </c>
      <c r="M336">
        <v>1.7625750762999999E-3</v>
      </c>
      <c r="N336">
        <v>8.7327097270598758E-3</v>
      </c>
      <c r="O336">
        <v>30169.468000000001</v>
      </c>
      <c r="P336">
        <v>4.8744250000000003E-6</v>
      </c>
      <c r="Q336">
        <v>0.29411799999999999</v>
      </c>
      <c r="R336" s="61">
        <v>2.5684471195033969E-3</v>
      </c>
      <c r="S336" t="s">
        <v>343</v>
      </c>
      <c r="T336" t="s">
        <v>435</v>
      </c>
      <c r="U336" t="s">
        <v>425</v>
      </c>
      <c r="V336" t="s">
        <v>91</v>
      </c>
      <c r="W336">
        <v>111.133</v>
      </c>
      <c r="X336">
        <v>1.027287859172453</v>
      </c>
      <c r="Y336">
        <v>114.1655816534122</v>
      </c>
      <c r="Z336">
        <v>625.54</v>
      </c>
      <c r="AA336">
        <v>1</v>
      </c>
      <c r="AB336">
        <v>71.4151379474755</v>
      </c>
      <c r="AC336">
        <v>1.0056</v>
      </c>
      <c r="AD336" s="63">
        <v>71.814999999999998</v>
      </c>
      <c r="AE336">
        <v>8.9176000000000002</v>
      </c>
      <c r="AF336">
        <v>9.1609422129562699</v>
      </c>
      <c r="AG336">
        <v>1</v>
      </c>
      <c r="AH336">
        <v>5730.5357918926647</v>
      </c>
      <c r="AI336">
        <v>0.98408824677860207</v>
      </c>
      <c r="AJ336" s="63">
        <v>5639.3528999999999</v>
      </c>
      <c r="AK336" s="61">
        <v>14.484379711868129</v>
      </c>
      <c r="AL336" t="s">
        <v>343</v>
      </c>
      <c r="AM336" t="s">
        <v>435</v>
      </c>
      <c r="AN336" t="s">
        <v>425</v>
      </c>
      <c r="AO336" t="s">
        <v>91</v>
      </c>
      <c r="AP336">
        <v>111.133</v>
      </c>
      <c r="AQ336">
        <v>1.027287859172453</v>
      </c>
      <c r="AR336">
        <v>114.1655816534122</v>
      </c>
      <c r="AS336">
        <v>600.54999999999995</v>
      </c>
      <c r="AT336">
        <v>1</v>
      </c>
      <c r="AU336">
        <v>68.562140061956711</v>
      </c>
      <c r="AV336">
        <v>1.0056</v>
      </c>
      <c r="AW336" s="63">
        <v>68.945999999999998</v>
      </c>
      <c r="AX336">
        <v>8.9176000000000002</v>
      </c>
      <c r="AY336">
        <v>1</v>
      </c>
      <c r="AZ336">
        <v>5501.6038459908877</v>
      </c>
      <c r="BA336">
        <v>0.98408824677860207</v>
      </c>
      <c r="BB336" s="63">
        <v>5414.0636999999997</v>
      </c>
      <c r="BC336" s="61">
        <v>13.9057363150729</v>
      </c>
    </row>
    <row r="337" spans="1:55" x14ac:dyDescent="0.25">
      <c r="A337">
        <v>60289</v>
      </c>
      <c r="B337" t="s">
        <v>112</v>
      </c>
      <c r="C337">
        <v>2018</v>
      </c>
      <c r="D337">
        <v>4</v>
      </c>
      <c r="E337" t="s">
        <v>100</v>
      </c>
      <c r="F337" t="s">
        <v>426</v>
      </c>
      <c r="G337" t="s">
        <v>84</v>
      </c>
      <c r="H337" t="s">
        <v>59</v>
      </c>
      <c r="I337" t="s">
        <v>427</v>
      </c>
      <c r="J337">
        <v>-4.95451788</v>
      </c>
      <c r="K337" t="s">
        <v>440</v>
      </c>
      <c r="L337" t="s">
        <v>452</v>
      </c>
      <c r="M337">
        <v>1.4858046103299999E-3</v>
      </c>
      <c r="N337">
        <v>7.3614455052754676E-3</v>
      </c>
      <c r="O337">
        <v>30169.468000000001</v>
      </c>
      <c r="P337">
        <v>4.8744250000000003E-6</v>
      </c>
      <c r="Q337">
        <v>0.29411799999999999</v>
      </c>
      <c r="R337" s="61">
        <v>2.1651336291206098E-3</v>
      </c>
      <c r="S337" t="s">
        <v>343</v>
      </c>
      <c r="T337" t="s">
        <v>435</v>
      </c>
      <c r="U337" t="s">
        <v>425</v>
      </c>
      <c r="V337" t="s">
        <v>28</v>
      </c>
      <c r="W337">
        <v>111.133</v>
      </c>
      <c r="X337">
        <v>1.027287859172453</v>
      </c>
      <c r="Y337">
        <v>114.1655816534122</v>
      </c>
      <c r="Z337">
        <v>625.54</v>
      </c>
      <c r="AA337">
        <v>1</v>
      </c>
      <c r="AB337">
        <v>71.4151379474755</v>
      </c>
      <c r="AC337">
        <v>1.0064</v>
      </c>
      <c r="AD337" s="63">
        <v>71.872</v>
      </c>
      <c r="AE337">
        <v>8.9176000000000002</v>
      </c>
      <c r="AF337">
        <v>9.1609422129562699</v>
      </c>
      <c r="AG337">
        <v>1</v>
      </c>
      <c r="AH337">
        <v>5730.5357918926647</v>
      </c>
      <c r="AI337">
        <v>0.98887576294546164</v>
      </c>
      <c r="AJ337" s="63">
        <v>5666.7879999999996</v>
      </c>
      <c r="AK337" s="61">
        <v>12.26935326789712</v>
      </c>
      <c r="AL337" t="s">
        <v>343</v>
      </c>
      <c r="AM337" t="s">
        <v>435</v>
      </c>
      <c r="AN337" t="s">
        <v>425</v>
      </c>
      <c r="AO337" t="s">
        <v>28</v>
      </c>
      <c r="AP337">
        <v>111.133</v>
      </c>
      <c r="AQ337">
        <v>1.027287859172453</v>
      </c>
      <c r="AR337">
        <v>114.1655816534122</v>
      </c>
      <c r="AS337">
        <v>600.54999999999995</v>
      </c>
      <c r="AT337">
        <v>1</v>
      </c>
      <c r="AU337">
        <v>68.562140061956711</v>
      </c>
      <c r="AV337">
        <v>1.0064</v>
      </c>
      <c r="AW337" s="63">
        <v>69.001000000000005</v>
      </c>
      <c r="AX337">
        <v>8.9176000000000002</v>
      </c>
      <c r="AY337">
        <v>1</v>
      </c>
      <c r="AZ337">
        <v>5501.6038459908877</v>
      </c>
      <c r="BA337">
        <v>0.98887576294546164</v>
      </c>
      <c r="BB337" s="63">
        <v>5440.4026999999996</v>
      </c>
      <c r="BC337" s="61">
        <v>11.77919884172857</v>
      </c>
    </row>
    <row r="338" spans="1:55" x14ac:dyDescent="0.25">
      <c r="A338">
        <v>65911</v>
      </c>
      <c r="B338" t="s">
        <v>120</v>
      </c>
      <c r="C338">
        <v>2018</v>
      </c>
      <c r="D338">
        <v>5</v>
      </c>
      <c r="E338" t="s">
        <v>100</v>
      </c>
      <c r="F338" t="s">
        <v>426</v>
      </c>
      <c r="G338" t="s">
        <v>84</v>
      </c>
      <c r="H338" t="s">
        <v>381</v>
      </c>
      <c r="I338" t="s">
        <v>427</v>
      </c>
      <c r="J338">
        <v>-9.2807253799999998</v>
      </c>
      <c r="K338" t="s">
        <v>440</v>
      </c>
      <c r="L338" t="s">
        <v>450</v>
      </c>
      <c r="M338">
        <v>0.15011157993331001</v>
      </c>
      <c r="N338">
        <v>1.3931443499578</v>
      </c>
      <c r="O338">
        <v>30169.468000000001</v>
      </c>
      <c r="P338">
        <v>4.8744250000000003E-6</v>
      </c>
      <c r="Q338">
        <v>0.29411799999999999</v>
      </c>
      <c r="R338" s="61">
        <v>0.40974882992088829</v>
      </c>
      <c r="S338" t="s">
        <v>343</v>
      </c>
      <c r="T338" t="s">
        <v>435</v>
      </c>
      <c r="U338" t="s">
        <v>425</v>
      </c>
      <c r="V338" t="s">
        <v>26</v>
      </c>
      <c r="W338">
        <v>111.133</v>
      </c>
      <c r="X338">
        <v>1.027287859172453</v>
      </c>
      <c r="Y338">
        <v>114.1655816534122</v>
      </c>
      <c r="Z338">
        <v>625.54</v>
      </c>
      <c r="AA338">
        <v>1</v>
      </c>
      <c r="AB338">
        <v>71.4151379474755</v>
      </c>
      <c r="AC338">
        <v>0.97960000000000003</v>
      </c>
      <c r="AD338" s="63">
        <v>69.957999999999998</v>
      </c>
      <c r="AE338">
        <v>8.9176000000000002</v>
      </c>
      <c r="AF338">
        <v>9.1609422129562699</v>
      </c>
      <c r="AG338">
        <v>1</v>
      </c>
      <c r="AH338">
        <v>5730.5357918926647</v>
      </c>
      <c r="AI338">
        <v>0.98541811328241247</v>
      </c>
      <c r="AJ338" s="63">
        <v>5646.9737999999998</v>
      </c>
      <c r="AK338" s="61">
        <v>2313.8409071439119</v>
      </c>
      <c r="AL338" t="s">
        <v>343</v>
      </c>
      <c r="AM338" t="s">
        <v>435</v>
      </c>
      <c r="AN338" t="s">
        <v>425</v>
      </c>
      <c r="AO338" t="s">
        <v>26</v>
      </c>
      <c r="AP338">
        <v>111.133</v>
      </c>
      <c r="AQ338">
        <v>1.027287859172453</v>
      </c>
      <c r="AR338">
        <v>114.1655816534122</v>
      </c>
      <c r="AS338">
        <v>626.12</v>
      </c>
      <c r="AT338">
        <v>1</v>
      </c>
      <c r="AU338">
        <v>71.481353984834485</v>
      </c>
      <c r="AV338">
        <v>0.97960000000000003</v>
      </c>
      <c r="AW338" s="63">
        <v>70.022999999999996</v>
      </c>
      <c r="AX338">
        <v>8.9176000000000002</v>
      </c>
      <c r="AY338">
        <v>1</v>
      </c>
      <c r="AZ338">
        <v>5735.8491383761793</v>
      </c>
      <c r="BA338">
        <v>0.98541811328241247</v>
      </c>
      <c r="BB338" s="63">
        <v>5652.2096000000001</v>
      </c>
      <c r="BC338" s="61">
        <v>2315.9862700676122</v>
      </c>
    </row>
    <row r="339" spans="1:55" x14ac:dyDescent="0.25">
      <c r="A339">
        <v>65913</v>
      </c>
      <c r="B339" t="s">
        <v>120</v>
      </c>
      <c r="C339">
        <v>2018</v>
      </c>
      <c r="D339">
        <v>5</v>
      </c>
      <c r="E339" t="s">
        <v>100</v>
      </c>
      <c r="F339" t="s">
        <v>426</v>
      </c>
      <c r="G339" t="s">
        <v>84</v>
      </c>
      <c r="H339" t="s">
        <v>381</v>
      </c>
      <c r="I339" t="s">
        <v>427</v>
      </c>
      <c r="J339">
        <v>-9.2807253799999998</v>
      </c>
      <c r="K339" t="s">
        <v>440</v>
      </c>
      <c r="L339" t="s">
        <v>384</v>
      </c>
      <c r="M339">
        <v>4.5811354346740003E-2</v>
      </c>
      <c r="N339">
        <v>0.4251625990508503</v>
      </c>
      <c r="O339">
        <v>30169.468000000001</v>
      </c>
      <c r="P339">
        <v>4.8744250000000003E-6</v>
      </c>
      <c r="Q339">
        <v>0.29411799999999999</v>
      </c>
      <c r="R339" s="61">
        <v>0.12504797330763801</v>
      </c>
      <c r="S339" t="s">
        <v>343</v>
      </c>
      <c r="T339" t="s">
        <v>435</v>
      </c>
      <c r="U339" t="s">
        <v>425</v>
      </c>
      <c r="V339" t="s">
        <v>81</v>
      </c>
      <c r="W339">
        <v>111.133</v>
      </c>
      <c r="X339">
        <v>1.027287859172453</v>
      </c>
      <c r="Y339">
        <v>114.1655816534122</v>
      </c>
      <c r="Z339">
        <v>625.54</v>
      </c>
      <c r="AA339">
        <v>1</v>
      </c>
      <c r="AB339">
        <v>71.4151379474755</v>
      </c>
      <c r="AC339">
        <v>0.92730000000000001</v>
      </c>
      <c r="AD339" s="63">
        <v>66.222999999999999</v>
      </c>
      <c r="AE339">
        <v>8.9176000000000002</v>
      </c>
      <c r="AF339">
        <v>9.1609422129562699</v>
      </c>
      <c r="AG339">
        <v>1</v>
      </c>
      <c r="AH339">
        <v>5730.5357918926647</v>
      </c>
      <c r="AI339">
        <v>1.094557195571956</v>
      </c>
      <c r="AJ339" s="63">
        <v>6272.3991999999998</v>
      </c>
      <c r="AK339" s="61">
        <v>784.35080773644984</v>
      </c>
      <c r="AL339" t="s">
        <v>343</v>
      </c>
      <c r="AM339" t="s">
        <v>435</v>
      </c>
      <c r="AN339" t="s">
        <v>425</v>
      </c>
      <c r="AO339" t="s">
        <v>81</v>
      </c>
      <c r="AP339">
        <v>111.133</v>
      </c>
      <c r="AQ339">
        <v>1.027287859172453</v>
      </c>
      <c r="AR339">
        <v>114.1655816534122</v>
      </c>
      <c r="AS339">
        <v>626.12</v>
      </c>
      <c r="AT339">
        <v>1</v>
      </c>
      <c r="AU339">
        <v>71.481353984834485</v>
      </c>
      <c r="AV339">
        <v>0.92730000000000001</v>
      </c>
      <c r="AW339" s="63">
        <v>66.284999999999997</v>
      </c>
      <c r="AX339">
        <v>8.9176000000000002</v>
      </c>
      <c r="AY339">
        <v>1</v>
      </c>
      <c r="AZ339">
        <v>5735.8491383761793</v>
      </c>
      <c r="BA339">
        <v>1.094557195571956</v>
      </c>
      <c r="BB339" s="63">
        <v>6278.2148999999999</v>
      </c>
      <c r="BC339" s="61">
        <v>785.07804923481501</v>
      </c>
    </row>
    <row r="340" spans="1:55" x14ac:dyDescent="0.25">
      <c r="A340">
        <v>65915</v>
      </c>
      <c r="B340" t="s">
        <v>120</v>
      </c>
      <c r="C340">
        <v>2018</v>
      </c>
      <c r="D340">
        <v>5</v>
      </c>
      <c r="E340" t="s">
        <v>100</v>
      </c>
      <c r="F340" t="s">
        <v>426</v>
      </c>
      <c r="G340" t="s">
        <v>84</v>
      </c>
      <c r="H340" t="s">
        <v>381</v>
      </c>
      <c r="I340" t="s">
        <v>427</v>
      </c>
      <c r="J340">
        <v>-9.2807253799999998</v>
      </c>
      <c r="K340" t="s">
        <v>440</v>
      </c>
      <c r="L340" t="s">
        <v>385</v>
      </c>
      <c r="M340">
        <v>0.43232641346992001</v>
      </c>
      <c r="N340">
        <v>4.0123027186225029</v>
      </c>
      <c r="O340">
        <v>30169.468000000001</v>
      </c>
      <c r="P340">
        <v>4.8744250000000003E-6</v>
      </c>
      <c r="Q340">
        <v>0.29411799999999999</v>
      </c>
      <c r="R340" s="61">
        <v>1.180090450995813</v>
      </c>
      <c r="S340" t="s">
        <v>343</v>
      </c>
      <c r="T340" t="s">
        <v>435</v>
      </c>
      <c r="U340" t="s">
        <v>425</v>
      </c>
      <c r="V340" t="s">
        <v>27</v>
      </c>
      <c r="W340">
        <v>111.133</v>
      </c>
      <c r="X340">
        <v>1.027287859172453</v>
      </c>
      <c r="Y340">
        <v>114.1655816534122</v>
      </c>
      <c r="Z340">
        <v>625.54</v>
      </c>
      <c r="AA340">
        <v>1</v>
      </c>
      <c r="AB340">
        <v>71.4151379474755</v>
      </c>
      <c r="AC340">
        <v>0.95599999999999996</v>
      </c>
      <c r="AD340" s="63">
        <v>68.272999999999996</v>
      </c>
      <c r="AE340">
        <v>8.9176000000000002</v>
      </c>
      <c r="AF340">
        <v>9.1609422129562699</v>
      </c>
      <c r="AG340">
        <v>1</v>
      </c>
      <c r="AH340">
        <v>5730.5357918926647</v>
      </c>
      <c r="AI340">
        <v>1.0027686628383921</v>
      </c>
      <c r="AJ340" s="63">
        <v>5746.4017000000003</v>
      </c>
      <c r="AK340" s="61">
        <v>6781.2737737561083</v>
      </c>
      <c r="AL340" t="s">
        <v>343</v>
      </c>
      <c r="AM340" t="s">
        <v>435</v>
      </c>
      <c r="AN340" t="s">
        <v>425</v>
      </c>
      <c r="AO340" t="s">
        <v>27</v>
      </c>
      <c r="AP340">
        <v>111.133</v>
      </c>
      <c r="AQ340">
        <v>1.027287859172453</v>
      </c>
      <c r="AR340">
        <v>114.1655816534122</v>
      </c>
      <c r="AS340">
        <v>626.12</v>
      </c>
      <c r="AT340">
        <v>1</v>
      </c>
      <c r="AU340">
        <v>71.481353984834485</v>
      </c>
      <c r="AV340">
        <v>0.95599999999999996</v>
      </c>
      <c r="AW340" s="63">
        <v>68.335999999999999</v>
      </c>
      <c r="AX340">
        <v>8.9176000000000002</v>
      </c>
      <c r="AY340">
        <v>1</v>
      </c>
      <c r="AZ340">
        <v>5735.8491383761793</v>
      </c>
      <c r="BA340">
        <v>1.0027686628383921</v>
      </c>
      <c r="BB340" s="63">
        <v>5751.7298000000001</v>
      </c>
      <c r="BC340" s="61">
        <v>6787.5614136880586</v>
      </c>
    </row>
    <row r="341" spans="1:55" x14ac:dyDescent="0.25">
      <c r="A341">
        <v>65917</v>
      </c>
      <c r="B341" t="s">
        <v>120</v>
      </c>
      <c r="C341">
        <v>2018</v>
      </c>
      <c r="D341">
        <v>5</v>
      </c>
      <c r="E341" t="s">
        <v>100</v>
      </c>
      <c r="F341" t="s">
        <v>426</v>
      </c>
      <c r="G341" t="s">
        <v>84</v>
      </c>
      <c r="H341" t="s">
        <v>381</v>
      </c>
      <c r="I341" t="s">
        <v>427</v>
      </c>
      <c r="J341">
        <v>-9.2807253799999998</v>
      </c>
      <c r="K341" t="s">
        <v>440</v>
      </c>
      <c r="L341" t="s">
        <v>451</v>
      </c>
      <c r="M341">
        <v>1.6825115802299999E-3</v>
      </c>
      <c r="N341">
        <v>1.561492792746139E-2</v>
      </c>
      <c r="O341">
        <v>30169.468000000001</v>
      </c>
      <c r="P341">
        <v>4.8744250000000003E-6</v>
      </c>
      <c r="Q341">
        <v>0.29411799999999999</v>
      </c>
      <c r="R341" s="61">
        <v>4.5926313721690879E-3</v>
      </c>
      <c r="S341" t="s">
        <v>343</v>
      </c>
      <c r="T341" t="s">
        <v>435</v>
      </c>
      <c r="U341" t="s">
        <v>425</v>
      </c>
      <c r="V341" t="s">
        <v>91</v>
      </c>
      <c r="W341">
        <v>111.133</v>
      </c>
      <c r="X341">
        <v>1.027287859172453</v>
      </c>
      <c r="Y341">
        <v>114.1655816534122</v>
      </c>
      <c r="Z341">
        <v>625.54</v>
      </c>
      <c r="AA341">
        <v>1</v>
      </c>
      <c r="AB341">
        <v>71.4151379474755</v>
      </c>
      <c r="AC341">
        <v>1.0056</v>
      </c>
      <c r="AD341" s="63">
        <v>71.814999999999998</v>
      </c>
      <c r="AE341">
        <v>8.9176000000000002</v>
      </c>
      <c r="AF341">
        <v>9.1609422129562699</v>
      </c>
      <c r="AG341">
        <v>1</v>
      </c>
      <c r="AH341">
        <v>5730.5357918926647</v>
      </c>
      <c r="AI341">
        <v>0.98408824677860207</v>
      </c>
      <c r="AJ341" s="63">
        <v>5639.3528999999999</v>
      </c>
      <c r="AK341" s="61">
        <v>25.899469047272721</v>
      </c>
      <c r="AL341" t="s">
        <v>343</v>
      </c>
      <c r="AM341" t="s">
        <v>435</v>
      </c>
      <c r="AN341" t="s">
        <v>425</v>
      </c>
      <c r="AO341" t="s">
        <v>91</v>
      </c>
      <c r="AP341">
        <v>111.133</v>
      </c>
      <c r="AQ341">
        <v>1.027287859172453</v>
      </c>
      <c r="AR341">
        <v>114.1655816534122</v>
      </c>
      <c r="AS341">
        <v>626.12</v>
      </c>
      <c r="AT341">
        <v>1</v>
      </c>
      <c r="AU341">
        <v>71.481353984834485</v>
      </c>
      <c r="AV341">
        <v>1.0056</v>
      </c>
      <c r="AW341" s="63">
        <v>71.882000000000005</v>
      </c>
      <c r="AX341">
        <v>8.9176000000000002</v>
      </c>
      <c r="AY341">
        <v>1</v>
      </c>
      <c r="AZ341">
        <v>5735.8491383761793</v>
      </c>
      <c r="BA341">
        <v>0.98408824677860207</v>
      </c>
      <c r="BB341" s="63">
        <v>5644.5816999999997</v>
      </c>
      <c r="BC341" s="61">
        <v>25.92348299819152</v>
      </c>
    </row>
    <row r="342" spans="1:55" x14ac:dyDescent="0.25">
      <c r="A342">
        <v>65919</v>
      </c>
      <c r="B342" t="s">
        <v>120</v>
      </c>
      <c r="C342">
        <v>2018</v>
      </c>
      <c r="D342">
        <v>5</v>
      </c>
      <c r="E342" t="s">
        <v>100</v>
      </c>
      <c r="F342" t="s">
        <v>426</v>
      </c>
      <c r="G342" t="s">
        <v>84</v>
      </c>
      <c r="H342" t="s">
        <v>381</v>
      </c>
      <c r="I342" t="s">
        <v>427</v>
      </c>
      <c r="J342">
        <v>-9.2807253799999998</v>
      </c>
      <c r="K342" t="s">
        <v>440</v>
      </c>
      <c r="L342" t="s">
        <v>452</v>
      </c>
      <c r="M342">
        <v>1.53682162831E-3</v>
      </c>
      <c r="N342">
        <v>1.426281949283467E-2</v>
      </c>
      <c r="O342">
        <v>30169.468000000001</v>
      </c>
      <c r="P342">
        <v>4.8744250000000003E-6</v>
      </c>
      <c r="Q342">
        <v>0.29411799999999999</v>
      </c>
      <c r="R342" s="61">
        <v>4.1949519435935468E-3</v>
      </c>
      <c r="S342" t="s">
        <v>343</v>
      </c>
      <c r="T342" t="s">
        <v>435</v>
      </c>
      <c r="U342" t="s">
        <v>425</v>
      </c>
      <c r="V342" t="s">
        <v>28</v>
      </c>
      <c r="W342">
        <v>111.133</v>
      </c>
      <c r="X342">
        <v>1.027287859172453</v>
      </c>
      <c r="Y342">
        <v>114.1655816534122</v>
      </c>
      <c r="Z342">
        <v>625.54</v>
      </c>
      <c r="AA342">
        <v>1</v>
      </c>
      <c r="AB342">
        <v>71.4151379474755</v>
      </c>
      <c r="AC342">
        <v>1.0064</v>
      </c>
      <c r="AD342" s="63">
        <v>71.872</v>
      </c>
      <c r="AE342">
        <v>8.9176000000000002</v>
      </c>
      <c r="AF342">
        <v>9.1609422129562699</v>
      </c>
      <c r="AG342">
        <v>1</v>
      </c>
      <c r="AH342">
        <v>5730.5357918926647</v>
      </c>
      <c r="AI342">
        <v>0.98887576294546164</v>
      </c>
      <c r="AJ342" s="63">
        <v>5666.7879999999996</v>
      </c>
      <c r="AK342" s="61">
        <v>23.771903334532581</v>
      </c>
      <c r="AL342" t="s">
        <v>343</v>
      </c>
      <c r="AM342" t="s">
        <v>435</v>
      </c>
      <c r="AN342" t="s">
        <v>425</v>
      </c>
      <c r="AO342" t="s">
        <v>28</v>
      </c>
      <c r="AP342">
        <v>111.133</v>
      </c>
      <c r="AQ342">
        <v>1.027287859172453</v>
      </c>
      <c r="AR342">
        <v>114.1655816534122</v>
      </c>
      <c r="AS342">
        <v>626.12</v>
      </c>
      <c r="AT342">
        <v>1</v>
      </c>
      <c r="AU342">
        <v>71.481353984834485</v>
      </c>
      <c r="AV342">
        <v>1.0064</v>
      </c>
      <c r="AW342" s="63">
        <v>71.938999999999993</v>
      </c>
      <c r="AX342">
        <v>8.9176000000000002</v>
      </c>
      <c r="AY342">
        <v>1</v>
      </c>
      <c r="AZ342">
        <v>5735.8491383761793</v>
      </c>
      <c r="BA342">
        <v>0.98887576294546164</v>
      </c>
      <c r="BB342" s="63">
        <v>5672.0421999999999</v>
      </c>
      <c r="BC342" s="61">
        <v>23.793944451034619</v>
      </c>
    </row>
    <row r="343" spans="1:55" x14ac:dyDescent="0.25">
      <c r="A343">
        <v>65921</v>
      </c>
      <c r="B343" t="s">
        <v>120</v>
      </c>
      <c r="C343">
        <v>2018</v>
      </c>
      <c r="D343">
        <v>5</v>
      </c>
      <c r="E343" t="s">
        <v>100</v>
      </c>
      <c r="F343" t="s">
        <v>426</v>
      </c>
      <c r="G343" t="s">
        <v>84</v>
      </c>
      <c r="H343" t="s">
        <v>87</v>
      </c>
      <c r="I343" t="s">
        <v>427</v>
      </c>
      <c r="J343">
        <v>-1.70541429</v>
      </c>
      <c r="K343" t="s">
        <v>440</v>
      </c>
      <c r="L343" t="s">
        <v>450</v>
      </c>
      <c r="M343">
        <v>0.26601384014995</v>
      </c>
      <c r="N343">
        <v>0.45366380556955938</v>
      </c>
      <c r="O343">
        <v>30169.468000000001</v>
      </c>
      <c r="P343">
        <v>4.8744250000000003E-6</v>
      </c>
      <c r="Q343">
        <v>0.29411799999999999</v>
      </c>
      <c r="R343" s="61">
        <v>0.13343069116650769</v>
      </c>
      <c r="S343" t="s">
        <v>343</v>
      </c>
      <c r="T343" t="s">
        <v>435</v>
      </c>
      <c r="U343" t="s">
        <v>425</v>
      </c>
      <c r="V343" t="s">
        <v>26</v>
      </c>
      <c r="W343">
        <v>111.133</v>
      </c>
      <c r="X343">
        <v>1.027287859172453</v>
      </c>
      <c r="Y343">
        <v>114.1655816534122</v>
      </c>
      <c r="Z343">
        <v>625.54</v>
      </c>
      <c r="AA343">
        <v>1</v>
      </c>
      <c r="AB343">
        <v>71.4151379474755</v>
      </c>
      <c r="AC343">
        <v>0.97960000000000003</v>
      </c>
      <c r="AD343" s="63">
        <v>69.957999999999998</v>
      </c>
      <c r="AE343">
        <v>8.9176000000000002</v>
      </c>
      <c r="AF343">
        <v>9.1609422129562699</v>
      </c>
      <c r="AG343">
        <v>1</v>
      </c>
      <c r="AH343">
        <v>5730.5357918926647</v>
      </c>
      <c r="AI343">
        <v>0.98541811328241247</v>
      </c>
      <c r="AJ343" s="63">
        <v>5646.9737999999998</v>
      </c>
      <c r="AK343" s="61">
        <v>753.4796171331601</v>
      </c>
      <c r="AL343" t="s">
        <v>343</v>
      </c>
      <c r="AM343" t="s">
        <v>435</v>
      </c>
      <c r="AN343" t="s">
        <v>425</v>
      </c>
      <c r="AO343" t="s">
        <v>26</v>
      </c>
      <c r="AP343">
        <v>111.133</v>
      </c>
      <c r="AQ343">
        <v>1.027287859172453</v>
      </c>
      <c r="AR343">
        <v>114.1655816534122</v>
      </c>
      <c r="AS343">
        <v>626.12</v>
      </c>
      <c r="AT343">
        <v>1</v>
      </c>
      <c r="AU343">
        <v>71.481353984834485</v>
      </c>
      <c r="AV343">
        <v>0.97960000000000003</v>
      </c>
      <c r="AW343" s="63">
        <v>70.022999999999996</v>
      </c>
      <c r="AX343">
        <v>8.9176000000000002</v>
      </c>
      <c r="AY343">
        <v>1</v>
      </c>
      <c r="AZ343">
        <v>5735.8491383761793</v>
      </c>
      <c r="BA343">
        <v>0.98541811328241247</v>
      </c>
      <c r="BB343" s="63">
        <v>5652.2096000000001</v>
      </c>
      <c r="BC343" s="61">
        <v>754.17823354596976</v>
      </c>
    </row>
    <row r="344" spans="1:55" x14ac:dyDescent="0.25">
      <c r="A344">
        <v>65923</v>
      </c>
      <c r="B344" t="s">
        <v>120</v>
      </c>
      <c r="C344">
        <v>2018</v>
      </c>
      <c r="D344">
        <v>5</v>
      </c>
      <c r="E344" t="s">
        <v>100</v>
      </c>
      <c r="F344" t="s">
        <v>426</v>
      </c>
      <c r="G344" t="s">
        <v>84</v>
      </c>
      <c r="H344" t="s">
        <v>87</v>
      </c>
      <c r="I344" t="s">
        <v>427</v>
      </c>
      <c r="J344">
        <v>-1.70541429</v>
      </c>
      <c r="K344" t="s">
        <v>440</v>
      </c>
      <c r="L344" t="s">
        <v>384</v>
      </c>
      <c r="M344">
        <v>3.9509559941419997E-2</v>
      </c>
      <c r="N344">
        <v>6.7380168299888299E-2</v>
      </c>
      <c r="O344">
        <v>30169.468000000001</v>
      </c>
      <c r="P344">
        <v>4.8744250000000003E-6</v>
      </c>
      <c r="Q344">
        <v>0.29411799999999999</v>
      </c>
      <c r="R344" s="61">
        <v>1.9817720340026549E-2</v>
      </c>
      <c r="S344" t="s">
        <v>343</v>
      </c>
      <c r="T344" t="s">
        <v>435</v>
      </c>
      <c r="U344" t="s">
        <v>425</v>
      </c>
      <c r="V344" t="s">
        <v>81</v>
      </c>
      <c r="W344">
        <v>111.133</v>
      </c>
      <c r="X344">
        <v>1.027287859172453</v>
      </c>
      <c r="Y344">
        <v>114.1655816534122</v>
      </c>
      <c r="Z344">
        <v>625.54</v>
      </c>
      <c r="AA344">
        <v>1</v>
      </c>
      <c r="AB344">
        <v>71.4151379474755</v>
      </c>
      <c r="AC344">
        <v>0.92730000000000001</v>
      </c>
      <c r="AD344" s="63">
        <v>66.222999999999999</v>
      </c>
      <c r="AE344">
        <v>8.9176000000000002</v>
      </c>
      <c r="AF344">
        <v>9.1609422129562699</v>
      </c>
      <c r="AG344">
        <v>1</v>
      </c>
      <c r="AH344">
        <v>5730.5357918926647</v>
      </c>
      <c r="AI344">
        <v>1.094557195571956</v>
      </c>
      <c r="AJ344" s="63">
        <v>6272.3991999999998</v>
      </c>
      <c r="AK344" s="61">
        <v>124.3046532066062</v>
      </c>
      <c r="AL344" t="s">
        <v>343</v>
      </c>
      <c r="AM344" t="s">
        <v>435</v>
      </c>
      <c r="AN344" t="s">
        <v>425</v>
      </c>
      <c r="AO344" t="s">
        <v>81</v>
      </c>
      <c r="AP344">
        <v>111.133</v>
      </c>
      <c r="AQ344">
        <v>1.027287859172453</v>
      </c>
      <c r="AR344">
        <v>114.1655816534122</v>
      </c>
      <c r="AS344">
        <v>626.12</v>
      </c>
      <c r="AT344">
        <v>1</v>
      </c>
      <c r="AU344">
        <v>71.481353984834485</v>
      </c>
      <c r="AV344">
        <v>0.92730000000000001</v>
      </c>
      <c r="AW344" s="63">
        <v>66.284999999999997</v>
      </c>
      <c r="AX344">
        <v>8.9176000000000002</v>
      </c>
      <c r="AY344">
        <v>1</v>
      </c>
      <c r="AZ344">
        <v>5735.8491383761793</v>
      </c>
      <c r="BA344">
        <v>1.094557195571956</v>
      </c>
      <c r="BB344" s="63">
        <v>6278.2148999999999</v>
      </c>
      <c r="BC344" s="61">
        <v>124.41990712278771</v>
      </c>
    </row>
    <row r="345" spans="1:55" x14ac:dyDescent="0.25">
      <c r="A345">
        <v>65925</v>
      </c>
      <c r="B345" t="s">
        <v>120</v>
      </c>
      <c r="C345">
        <v>2018</v>
      </c>
      <c r="D345">
        <v>5</v>
      </c>
      <c r="E345" t="s">
        <v>100</v>
      </c>
      <c r="F345" t="s">
        <v>426</v>
      </c>
      <c r="G345" t="s">
        <v>84</v>
      </c>
      <c r="H345" t="s">
        <v>87</v>
      </c>
      <c r="I345" t="s">
        <v>427</v>
      </c>
      <c r="J345">
        <v>-1.70541429</v>
      </c>
      <c r="K345" t="s">
        <v>440</v>
      </c>
      <c r="L345" t="s">
        <v>385</v>
      </c>
      <c r="M345">
        <v>0.39737542925016001</v>
      </c>
      <c r="N345">
        <v>0.67768973739052529</v>
      </c>
      <c r="O345">
        <v>30169.468000000001</v>
      </c>
      <c r="P345">
        <v>4.8744250000000003E-6</v>
      </c>
      <c r="Q345">
        <v>0.29411799999999999</v>
      </c>
      <c r="R345" s="61">
        <v>0.19932075018182649</v>
      </c>
      <c r="S345" t="s">
        <v>343</v>
      </c>
      <c r="T345" t="s">
        <v>435</v>
      </c>
      <c r="U345" t="s">
        <v>425</v>
      </c>
      <c r="V345" t="s">
        <v>27</v>
      </c>
      <c r="W345">
        <v>111.133</v>
      </c>
      <c r="X345">
        <v>1.027287859172453</v>
      </c>
      <c r="Y345">
        <v>114.1655816534122</v>
      </c>
      <c r="Z345">
        <v>625.54</v>
      </c>
      <c r="AA345">
        <v>1</v>
      </c>
      <c r="AB345">
        <v>71.4151379474755</v>
      </c>
      <c r="AC345">
        <v>0.95599999999999996</v>
      </c>
      <c r="AD345" s="63">
        <v>68.272999999999996</v>
      </c>
      <c r="AE345">
        <v>8.9176000000000002</v>
      </c>
      <c r="AF345">
        <v>9.1609422129562699</v>
      </c>
      <c r="AG345">
        <v>1</v>
      </c>
      <c r="AH345">
        <v>5730.5357918926647</v>
      </c>
      <c r="AI345">
        <v>1.0027686628383921</v>
      </c>
      <c r="AJ345" s="63">
        <v>5746.4017000000003</v>
      </c>
      <c r="AK345" s="61">
        <v>1145.377097690123</v>
      </c>
      <c r="AL345" t="s">
        <v>343</v>
      </c>
      <c r="AM345" t="s">
        <v>435</v>
      </c>
      <c r="AN345" t="s">
        <v>425</v>
      </c>
      <c r="AO345" t="s">
        <v>27</v>
      </c>
      <c r="AP345">
        <v>111.133</v>
      </c>
      <c r="AQ345">
        <v>1.027287859172453</v>
      </c>
      <c r="AR345">
        <v>114.1655816534122</v>
      </c>
      <c r="AS345">
        <v>626.12</v>
      </c>
      <c r="AT345">
        <v>1</v>
      </c>
      <c r="AU345">
        <v>71.481353984834485</v>
      </c>
      <c r="AV345">
        <v>0.95599999999999996</v>
      </c>
      <c r="AW345" s="63">
        <v>68.335999999999999</v>
      </c>
      <c r="AX345">
        <v>8.9176000000000002</v>
      </c>
      <c r="AY345">
        <v>1</v>
      </c>
      <c r="AZ345">
        <v>5735.8491383761793</v>
      </c>
      <c r="BA345">
        <v>1.0027686628383921</v>
      </c>
      <c r="BB345" s="63">
        <v>5751.7298000000001</v>
      </c>
      <c r="BC345" s="61">
        <v>1146.439098579167</v>
      </c>
    </row>
    <row r="346" spans="1:55" x14ac:dyDescent="0.25">
      <c r="A346">
        <v>65927</v>
      </c>
      <c r="B346" t="s">
        <v>120</v>
      </c>
      <c r="C346">
        <v>2018</v>
      </c>
      <c r="D346">
        <v>5</v>
      </c>
      <c r="E346" t="s">
        <v>100</v>
      </c>
      <c r="F346" t="s">
        <v>426</v>
      </c>
      <c r="G346" t="s">
        <v>84</v>
      </c>
      <c r="H346" t="s">
        <v>87</v>
      </c>
      <c r="I346" t="s">
        <v>427</v>
      </c>
      <c r="J346">
        <v>-1.70541429</v>
      </c>
      <c r="K346" t="s">
        <v>440</v>
      </c>
      <c r="L346" t="s">
        <v>452</v>
      </c>
      <c r="M346">
        <v>8.4248020759000004E-4</v>
      </c>
      <c r="N346">
        <v>1.436777788993486E-3</v>
      </c>
      <c r="O346">
        <v>30169.468000000001</v>
      </c>
      <c r="P346">
        <v>4.8744250000000003E-6</v>
      </c>
      <c r="Q346">
        <v>0.29411799999999999</v>
      </c>
      <c r="R346" s="61">
        <v>4.2258220974318621E-4</v>
      </c>
      <c r="S346" t="s">
        <v>343</v>
      </c>
      <c r="T346" t="s">
        <v>435</v>
      </c>
      <c r="U346" t="s">
        <v>425</v>
      </c>
      <c r="V346" t="s">
        <v>28</v>
      </c>
      <c r="W346">
        <v>111.133</v>
      </c>
      <c r="X346">
        <v>1.027287859172453</v>
      </c>
      <c r="Y346">
        <v>114.1655816534122</v>
      </c>
      <c r="Z346">
        <v>625.54</v>
      </c>
      <c r="AA346">
        <v>1</v>
      </c>
      <c r="AB346">
        <v>71.4151379474755</v>
      </c>
      <c r="AC346">
        <v>1.0064</v>
      </c>
      <c r="AD346" s="63">
        <v>71.872</v>
      </c>
      <c r="AE346">
        <v>8.9176000000000002</v>
      </c>
      <c r="AF346">
        <v>9.1609422129562699</v>
      </c>
      <c r="AG346">
        <v>1</v>
      </c>
      <c r="AH346">
        <v>5730.5357918926647</v>
      </c>
      <c r="AI346">
        <v>0.98887576294546164</v>
      </c>
      <c r="AJ346" s="63">
        <v>5666.7879999999996</v>
      </c>
      <c r="AK346" s="61">
        <v>2.3946837951861699</v>
      </c>
      <c r="AL346" t="s">
        <v>343</v>
      </c>
      <c r="AM346" t="s">
        <v>435</v>
      </c>
      <c r="AN346" t="s">
        <v>425</v>
      </c>
      <c r="AO346" t="s">
        <v>28</v>
      </c>
      <c r="AP346">
        <v>111.133</v>
      </c>
      <c r="AQ346">
        <v>1.027287859172453</v>
      </c>
      <c r="AR346">
        <v>114.1655816534122</v>
      </c>
      <c r="AS346">
        <v>626.12</v>
      </c>
      <c r="AT346">
        <v>1</v>
      </c>
      <c r="AU346">
        <v>71.481353984834485</v>
      </c>
      <c r="AV346">
        <v>1.0064</v>
      </c>
      <c r="AW346" s="63">
        <v>71.938999999999993</v>
      </c>
      <c r="AX346">
        <v>8.9176000000000002</v>
      </c>
      <c r="AY346">
        <v>1</v>
      </c>
      <c r="AZ346">
        <v>5735.8491383761793</v>
      </c>
      <c r="BA346">
        <v>0.98887576294546164</v>
      </c>
      <c r="BB346" s="63">
        <v>5672.0421999999999</v>
      </c>
      <c r="BC346" s="61">
        <v>2.3969041266326032</v>
      </c>
    </row>
    <row r="347" spans="1:55" x14ac:dyDescent="0.25">
      <c r="A347">
        <v>65929</v>
      </c>
      <c r="B347" t="s">
        <v>120</v>
      </c>
      <c r="C347">
        <v>2018</v>
      </c>
      <c r="D347">
        <v>5</v>
      </c>
      <c r="E347" t="s">
        <v>100</v>
      </c>
      <c r="F347" t="s">
        <v>426</v>
      </c>
      <c r="G347" t="s">
        <v>84</v>
      </c>
      <c r="H347" t="s">
        <v>59</v>
      </c>
      <c r="I347" t="s">
        <v>427</v>
      </c>
      <c r="J347">
        <v>-4.9037353799999996</v>
      </c>
      <c r="K347" t="s">
        <v>440</v>
      </c>
      <c r="L347" t="s">
        <v>450</v>
      </c>
      <c r="M347">
        <v>0.15931709696460999</v>
      </c>
      <c r="N347">
        <v>0.78124888435422657</v>
      </c>
      <c r="O347">
        <v>30169.468000000001</v>
      </c>
      <c r="P347">
        <v>4.8744250000000003E-6</v>
      </c>
      <c r="Q347">
        <v>0.29411799999999999</v>
      </c>
      <c r="R347" s="61">
        <v>0.22977935936849639</v>
      </c>
      <c r="S347" t="s">
        <v>343</v>
      </c>
      <c r="T347" t="s">
        <v>435</v>
      </c>
      <c r="U347" t="s">
        <v>425</v>
      </c>
      <c r="V347" t="s">
        <v>26</v>
      </c>
      <c r="W347">
        <v>111.133</v>
      </c>
      <c r="X347">
        <v>1.027287859172453</v>
      </c>
      <c r="Y347">
        <v>114.1655816534122</v>
      </c>
      <c r="Z347">
        <v>625.54</v>
      </c>
      <c r="AA347">
        <v>1</v>
      </c>
      <c r="AB347">
        <v>71.4151379474755</v>
      </c>
      <c r="AC347">
        <v>0.97960000000000003</v>
      </c>
      <c r="AD347" s="63">
        <v>69.957999999999998</v>
      </c>
      <c r="AE347">
        <v>8.9176000000000002</v>
      </c>
      <c r="AF347">
        <v>9.1609422129562699</v>
      </c>
      <c r="AG347">
        <v>1</v>
      </c>
      <c r="AH347">
        <v>5730.5357918926647</v>
      </c>
      <c r="AI347">
        <v>0.98541811328241247</v>
      </c>
      <c r="AJ347" s="63">
        <v>5646.9737999999998</v>
      </c>
      <c r="AK347" s="61">
        <v>1297.5580221346841</v>
      </c>
      <c r="AL347" t="s">
        <v>343</v>
      </c>
      <c r="AM347" t="s">
        <v>435</v>
      </c>
      <c r="AN347" t="s">
        <v>425</v>
      </c>
      <c r="AO347" t="s">
        <v>26</v>
      </c>
      <c r="AP347">
        <v>111.133</v>
      </c>
      <c r="AQ347">
        <v>1.027287859172453</v>
      </c>
      <c r="AR347">
        <v>114.1655816534122</v>
      </c>
      <c r="AS347">
        <v>626.12</v>
      </c>
      <c r="AT347">
        <v>1</v>
      </c>
      <c r="AU347">
        <v>71.481353984834485</v>
      </c>
      <c r="AV347">
        <v>0.97960000000000003</v>
      </c>
      <c r="AW347" s="63">
        <v>70.022999999999996</v>
      </c>
      <c r="AX347">
        <v>8.9176000000000002</v>
      </c>
      <c r="AY347">
        <v>1</v>
      </c>
      <c r="AZ347">
        <v>5735.8491383761793</v>
      </c>
      <c r="BA347">
        <v>0.98541811328241247</v>
      </c>
      <c r="BB347" s="63">
        <v>5652.2096000000001</v>
      </c>
      <c r="BC347" s="61">
        <v>1298.7611009044649</v>
      </c>
    </row>
    <row r="348" spans="1:55" x14ac:dyDescent="0.25">
      <c r="A348">
        <v>65931</v>
      </c>
      <c r="B348" t="s">
        <v>120</v>
      </c>
      <c r="C348">
        <v>2018</v>
      </c>
      <c r="D348">
        <v>5</v>
      </c>
      <c r="E348" t="s">
        <v>100</v>
      </c>
      <c r="F348" t="s">
        <v>426</v>
      </c>
      <c r="G348" t="s">
        <v>84</v>
      </c>
      <c r="H348" t="s">
        <v>59</v>
      </c>
      <c r="I348" t="s">
        <v>427</v>
      </c>
      <c r="J348">
        <v>-4.9037353799999996</v>
      </c>
      <c r="K348" t="s">
        <v>440</v>
      </c>
      <c r="L348" t="s">
        <v>384</v>
      </c>
      <c r="M348">
        <v>4.1785183859599999E-2</v>
      </c>
      <c r="N348">
        <v>0.20490348427639421</v>
      </c>
      <c r="O348">
        <v>30169.468000000001</v>
      </c>
      <c r="P348">
        <v>4.8744250000000003E-6</v>
      </c>
      <c r="Q348">
        <v>0.29411799999999999</v>
      </c>
      <c r="R348" s="61">
        <v>6.0265802988404497E-2</v>
      </c>
      <c r="S348" t="s">
        <v>343</v>
      </c>
      <c r="T348" t="s">
        <v>435</v>
      </c>
      <c r="U348" t="s">
        <v>425</v>
      </c>
      <c r="V348" t="s">
        <v>81</v>
      </c>
      <c r="W348">
        <v>111.133</v>
      </c>
      <c r="X348">
        <v>1.027287859172453</v>
      </c>
      <c r="Y348">
        <v>114.1655816534122</v>
      </c>
      <c r="Z348">
        <v>625.54</v>
      </c>
      <c r="AA348">
        <v>1</v>
      </c>
      <c r="AB348">
        <v>71.4151379474755</v>
      </c>
      <c r="AC348">
        <v>0.92730000000000001</v>
      </c>
      <c r="AD348" s="63">
        <v>66.222999999999999</v>
      </c>
      <c r="AE348">
        <v>8.9176000000000002</v>
      </c>
      <c r="AF348">
        <v>9.1609422129562699</v>
      </c>
      <c r="AG348">
        <v>1</v>
      </c>
      <c r="AH348">
        <v>5730.5357918926647</v>
      </c>
      <c r="AI348">
        <v>1.094557195571956</v>
      </c>
      <c r="AJ348" s="63">
        <v>6272.3991999999998</v>
      </c>
      <c r="AK348" s="61">
        <v>378.01117445182598</v>
      </c>
      <c r="AL348" t="s">
        <v>343</v>
      </c>
      <c r="AM348" t="s">
        <v>435</v>
      </c>
      <c r="AN348" t="s">
        <v>425</v>
      </c>
      <c r="AO348" t="s">
        <v>81</v>
      </c>
      <c r="AP348">
        <v>111.133</v>
      </c>
      <c r="AQ348">
        <v>1.027287859172453</v>
      </c>
      <c r="AR348">
        <v>114.1655816534122</v>
      </c>
      <c r="AS348">
        <v>626.12</v>
      </c>
      <c r="AT348">
        <v>1</v>
      </c>
      <c r="AU348">
        <v>71.481353984834485</v>
      </c>
      <c r="AV348">
        <v>0.92730000000000001</v>
      </c>
      <c r="AW348" s="63">
        <v>66.284999999999997</v>
      </c>
      <c r="AX348">
        <v>8.9176000000000002</v>
      </c>
      <c r="AY348">
        <v>1</v>
      </c>
      <c r="AZ348">
        <v>5735.8491383761793</v>
      </c>
      <c r="BA348">
        <v>1.094557195571956</v>
      </c>
      <c r="BB348" s="63">
        <v>6278.2148999999999</v>
      </c>
      <c r="BC348" s="61">
        <v>378.36166228226568</v>
      </c>
    </row>
    <row r="349" spans="1:55" x14ac:dyDescent="0.25">
      <c r="A349">
        <v>65933</v>
      </c>
      <c r="B349" t="s">
        <v>120</v>
      </c>
      <c r="C349">
        <v>2018</v>
      </c>
      <c r="D349">
        <v>5</v>
      </c>
      <c r="E349" t="s">
        <v>100</v>
      </c>
      <c r="F349" t="s">
        <v>426</v>
      </c>
      <c r="G349" t="s">
        <v>84</v>
      </c>
      <c r="H349" t="s">
        <v>59</v>
      </c>
      <c r="I349" t="s">
        <v>427</v>
      </c>
      <c r="J349">
        <v>-4.9037353799999996</v>
      </c>
      <c r="K349" t="s">
        <v>440</v>
      </c>
      <c r="L349" t="s">
        <v>385</v>
      </c>
      <c r="M349">
        <v>0.43497567483749999</v>
      </c>
      <c r="N349">
        <v>2.133005604310696</v>
      </c>
      <c r="O349">
        <v>30169.468000000001</v>
      </c>
      <c r="P349">
        <v>4.8744250000000003E-6</v>
      </c>
      <c r="Q349">
        <v>0.29411799999999999</v>
      </c>
      <c r="R349" s="61">
        <v>0.62735534232865331</v>
      </c>
      <c r="S349" t="s">
        <v>343</v>
      </c>
      <c r="T349" t="s">
        <v>435</v>
      </c>
      <c r="U349" t="s">
        <v>425</v>
      </c>
      <c r="V349" t="s">
        <v>27</v>
      </c>
      <c r="W349">
        <v>111.133</v>
      </c>
      <c r="X349">
        <v>1.027287859172453</v>
      </c>
      <c r="Y349">
        <v>114.1655816534122</v>
      </c>
      <c r="Z349">
        <v>625.54</v>
      </c>
      <c r="AA349">
        <v>1</v>
      </c>
      <c r="AB349">
        <v>71.4151379474755</v>
      </c>
      <c r="AC349">
        <v>0.95599999999999996</v>
      </c>
      <c r="AD349" s="63">
        <v>68.272999999999996</v>
      </c>
      <c r="AE349">
        <v>8.9176000000000002</v>
      </c>
      <c r="AF349">
        <v>9.1609422129562699</v>
      </c>
      <c r="AG349">
        <v>1</v>
      </c>
      <c r="AH349">
        <v>5730.5357918926647</v>
      </c>
      <c r="AI349">
        <v>1.0027686628383921</v>
      </c>
      <c r="AJ349" s="63">
        <v>5746.4017000000003</v>
      </c>
      <c r="AK349" s="61">
        <v>3605.035805661455</v>
      </c>
      <c r="AL349" t="s">
        <v>343</v>
      </c>
      <c r="AM349" t="s">
        <v>435</v>
      </c>
      <c r="AN349" t="s">
        <v>425</v>
      </c>
      <c r="AO349" t="s">
        <v>27</v>
      </c>
      <c r="AP349">
        <v>111.133</v>
      </c>
      <c r="AQ349">
        <v>1.027287859172453</v>
      </c>
      <c r="AR349">
        <v>114.1655816534122</v>
      </c>
      <c r="AS349">
        <v>626.12</v>
      </c>
      <c r="AT349">
        <v>1</v>
      </c>
      <c r="AU349">
        <v>71.481353984834485</v>
      </c>
      <c r="AV349">
        <v>0.95599999999999996</v>
      </c>
      <c r="AW349" s="63">
        <v>68.335999999999999</v>
      </c>
      <c r="AX349">
        <v>8.9176000000000002</v>
      </c>
      <c r="AY349">
        <v>1</v>
      </c>
      <c r="AZ349">
        <v>5735.8491383761793</v>
      </c>
      <c r="BA349">
        <v>1.0027686628383921</v>
      </c>
      <c r="BB349" s="63">
        <v>5751.7298000000001</v>
      </c>
      <c r="BC349" s="61">
        <v>3608.378417660917</v>
      </c>
    </row>
    <row r="350" spans="1:55" x14ac:dyDescent="0.25">
      <c r="A350">
        <v>65935</v>
      </c>
      <c r="B350" t="s">
        <v>120</v>
      </c>
      <c r="C350">
        <v>2018</v>
      </c>
      <c r="D350">
        <v>5</v>
      </c>
      <c r="E350" t="s">
        <v>100</v>
      </c>
      <c r="F350" t="s">
        <v>426</v>
      </c>
      <c r="G350" t="s">
        <v>84</v>
      </c>
      <c r="H350" t="s">
        <v>59</v>
      </c>
      <c r="I350" t="s">
        <v>427</v>
      </c>
      <c r="J350">
        <v>-4.9037353799999996</v>
      </c>
      <c r="K350" t="s">
        <v>440</v>
      </c>
      <c r="L350" t="s">
        <v>451</v>
      </c>
      <c r="M350">
        <v>1.7625750762999999E-3</v>
      </c>
      <c r="N350">
        <v>8.6432017541458444E-3</v>
      </c>
      <c r="O350">
        <v>30169.468000000001</v>
      </c>
      <c r="P350">
        <v>4.8744250000000003E-6</v>
      </c>
      <c r="Q350">
        <v>0.29411799999999999</v>
      </c>
      <c r="R350" s="61">
        <v>2.5421212135258672E-3</v>
      </c>
      <c r="S350" t="s">
        <v>343</v>
      </c>
      <c r="T350" t="s">
        <v>435</v>
      </c>
      <c r="U350" t="s">
        <v>425</v>
      </c>
      <c r="V350" t="s">
        <v>91</v>
      </c>
      <c r="W350">
        <v>111.133</v>
      </c>
      <c r="X350">
        <v>1.027287859172453</v>
      </c>
      <c r="Y350">
        <v>114.1655816534122</v>
      </c>
      <c r="Z350">
        <v>625.54</v>
      </c>
      <c r="AA350">
        <v>1</v>
      </c>
      <c r="AB350">
        <v>71.4151379474755</v>
      </c>
      <c r="AC350">
        <v>1.0056</v>
      </c>
      <c r="AD350" s="63">
        <v>71.814999999999998</v>
      </c>
      <c r="AE350">
        <v>8.9176000000000002</v>
      </c>
      <c r="AF350">
        <v>9.1609422129562699</v>
      </c>
      <c r="AG350">
        <v>1</v>
      </c>
      <c r="AH350">
        <v>5730.5357918926647</v>
      </c>
      <c r="AI350">
        <v>0.98408824677860207</v>
      </c>
      <c r="AJ350" s="63">
        <v>5639.3528999999999</v>
      </c>
      <c r="AK350" s="61">
        <v>14.33591863764862</v>
      </c>
      <c r="AL350" t="s">
        <v>343</v>
      </c>
      <c r="AM350" t="s">
        <v>435</v>
      </c>
      <c r="AN350" t="s">
        <v>425</v>
      </c>
      <c r="AO350" t="s">
        <v>91</v>
      </c>
      <c r="AP350">
        <v>111.133</v>
      </c>
      <c r="AQ350">
        <v>1.027287859172453</v>
      </c>
      <c r="AR350">
        <v>114.1655816534122</v>
      </c>
      <c r="AS350">
        <v>626.12</v>
      </c>
      <c r="AT350">
        <v>1</v>
      </c>
      <c r="AU350">
        <v>71.481353984834485</v>
      </c>
      <c r="AV350">
        <v>1.0056</v>
      </c>
      <c r="AW350" s="63">
        <v>71.882000000000005</v>
      </c>
      <c r="AX350">
        <v>8.9176000000000002</v>
      </c>
      <c r="AY350">
        <v>1</v>
      </c>
      <c r="AZ350">
        <v>5735.8491383761793</v>
      </c>
      <c r="BA350">
        <v>0.98408824677860207</v>
      </c>
      <c r="BB350" s="63">
        <v>5644.5816999999997</v>
      </c>
      <c r="BC350" s="61">
        <v>14.349210881049901</v>
      </c>
    </row>
    <row r="351" spans="1:55" x14ac:dyDescent="0.25">
      <c r="A351">
        <v>65937</v>
      </c>
      <c r="B351" t="s">
        <v>120</v>
      </c>
      <c r="C351">
        <v>2018</v>
      </c>
      <c r="D351">
        <v>5</v>
      </c>
      <c r="E351" t="s">
        <v>100</v>
      </c>
      <c r="F351" t="s">
        <v>426</v>
      </c>
      <c r="G351" t="s">
        <v>84</v>
      </c>
      <c r="H351" t="s">
        <v>59</v>
      </c>
      <c r="I351" t="s">
        <v>427</v>
      </c>
      <c r="J351">
        <v>-4.9037353799999996</v>
      </c>
      <c r="K351" t="s">
        <v>440</v>
      </c>
      <c r="L351" t="s">
        <v>452</v>
      </c>
      <c r="M351">
        <v>1.4858046103299999E-3</v>
      </c>
      <c r="N351">
        <v>7.2859926291936519E-3</v>
      </c>
      <c r="O351">
        <v>30169.468000000001</v>
      </c>
      <c r="P351">
        <v>4.8744250000000003E-6</v>
      </c>
      <c r="Q351">
        <v>0.29411799999999999</v>
      </c>
      <c r="R351" s="61">
        <v>2.1429415801131791E-3</v>
      </c>
      <c r="S351" t="s">
        <v>343</v>
      </c>
      <c r="T351" t="s">
        <v>435</v>
      </c>
      <c r="U351" t="s">
        <v>425</v>
      </c>
      <c r="V351" t="s">
        <v>28</v>
      </c>
      <c r="W351">
        <v>111.133</v>
      </c>
      <c r="X351">
        <v>1.027287859172453</v>
      </c>
      <c r="Y351">
        <v>114.1655816534122</v>
      </c>
      <c r="Z351">
        <v>625.54</v>
      </c>
      <c r="AA351">
        <v>1</v>
      </c>
      <c r="AB351">
        <v>71.4151379474755</v>
      </c>
      <c r="AC351">
        <v>1.0064</v>
      </c>
      <c r="AD351" s="63">
        <v>71.872</v>
      </c>
      <c r="AE351">
        <v>8.9176000000000002</v>
      </c>
      <c r="AF351">
        <v>9.1609422129562699</v>
      </c>
      <c r="AG351">
        <v>1</v>
      </c>
      <c r="AH351">
        <v>5730.5357918926647</v>
      </c>
      <c r="AI351">
        <v>0.98887576294546164</v>
      </c>
      <c r="AJ351" s="63">
        <v>5666.7879999999996</v>
      </c>
      <c r="AK351" s="61">
        <v>12.1435956308864</v>
      </c>
      <c r="AL351" t="s">
        <v>343</v>
      </c>
      <c r="AM351" t="s">
        <v>435</v>
      </c>
      <c r="AN351" t="s">
        <v>425</v>
      </c>
      <c r="AO351" t="s">
        <v>28</v>
      </c>
      <c r="AP351">
        <v>111.133</v>
      </c>
      <c r="AQ351">
        <v>1.027287859172453</v>
      </c>
      <c r="AR351">
        <v>114.1655816534122</v>
      </c>
      <c r="AS351">
        <v>626.12</v>
      </c>
      <c r="AT351">
        <v>1</v>
      </c>
      <c r="AU351">
        <v>71.481353984834485</v>
      </c>
      <c r="AV351">
        <v>1.0064</v>
      </c>
      <c r="AW351" s="63">
        <v>71.938999999999993</v>
      </c>
      <c r="AX351">
        <v>8.9176000000000002</v>
      </c>
      <c r="AY351">
        <v>1</v>
      </c>
      <c r="AZ351">
        <v>5735.8491383761793</v>
      </c>
      <c r="BA351">
        <v>0.98887576294546164</v>
      </c>
      <c r="BB351" s="63">
        <v>5672.0421999999999</v>
      </c>
      <c r="BC351" s="61">
        <v>12.154855074536631</v>
      </c>
    </row>
    <row r="352" spans="1:55" x14ac:dyDescent="0.25">
      <c r="A352">
        <v>71559</v>
      </c>
      <c r="B352" t="s">
        <v>126</v>
      </c>
      <c r="C352">
        <v>2018</v>
      </c>
      <c r="D352">
        <v>6</v>
      </c>
      <c r="E352" t="s">
        <v>100</v>
      </c>
      <c r="F352" t="s">
        <v>426</v>
      </c>
      <c r="G352" t="s">
        <v>84</v>
      </c>
      <c r="H352" t="s">
        <v>381</v>
      </c>
      <c r="I352" t="s">
        <v>427</v>
      </c>
      <c r="J352">
        <v>-9.5141811500000006</v>
      </c>
      <c r="K352" t="s">
        <v>440</v>
      </c>
      <c r="L352" t="s">
        <v>450</v>
      </c>
      <c r="M352">
        <v>0.15011157993331001</v>
      </c>
      <c r="N352">
        <v>1.428188764233417</v>
      </c>
      <c r="O352">
        <v>30169.468000000001</v>
      </c>
      <c r="P352">
        <v>4.8744250000000003E-6</v>
      </c>
      <c r="Q352">
        <v>0.29411799999999999</v>
      </c>
      <c r="R352" s="61">
        <v>0.42005602295880418</v>
      </c>
      <c r="S352" t="s">
        <v>343</v>
      </c>
      <c r="T352" t="s">
        <v>435</v>
      </c>
      <c r="U352" t="s">
        <v>425</v>
      </c>
      <c r="V352" t="s">
        <v>26</v>
      </c>
      <c r="W352">
        <v>111.133</v>
      </c>
      <c r="X352">
        <v>1.027287859172453</v>
      </c>
      <c r="Y352">
        <v>114.1655816534122</v>
      </c>
      <c r="Z352">
        <v>625.54</v>
      </c>
      <c r="AA352">
        <v>1</v>
      </c>
      <c r="AB352">
        <v>71.4151379474755</v>
      </c>
      <c r="AC352">
        <v>0.97960000000000003</v>
      </c>
      <c r="AD352" s="63">
        <v>69.957999999999998</v>
      </c>
      <c r="AE352">
        <v>8.9176000000000002</v>
      </c>
      <c r="AF352">
        <v>9.1609422129562699</v>
      </c>
      <c r="AG352">
        <v>1</v>
      </c>
      <c r="AH352">
        <v>5730.5357918926647</v>
      </c>
      <c r="AI352">
        <v>0.98541811328241247</v>
      </c>
      <c r="AJ352" s="63">
        <v>5646.9737999999998</v>
      </c>
      <c r="AK352" s="61">
        <v>2372.0453561805662</v>
      </c>
      <c r="AL352" t="s">
        <v>343</v>
      </c>
      <c r="AM352" t="s">
        <v>435</v>
      </c>
      <c r="AN352" t="s">
        <v>425</v>
      </c>
      <c r="AO352" t="s">
        <v>26</v>
      </c>
      <c r="AP352">
        <v>111.133</v>
      </c>
      <c r="AQ352">
        <v>1.027287859172453</v>
      </c>
      <c r="AR352">
        <v>114.1655816534122</v>
      </c>
      <c r="AS352">
        <v>636.15</v>
      </c>
      <c r="AT352">
        <v>1</v>
      </c>
      <c r="AU352">
        <v>72.6264347688182</v>
      </c>
      <c r="AV352">
        <v>0.97960000000000003</v>
      </c>
      <c r="AW352" s="63">
        <v>71.144999999999996</v>
      </c>
      <c r="AX352">
        <v>8.9176000000000002</v>
      </c>
      <c r="AY352">
        <v>1</v>
      </c>
      <c r="AZ352">
        <v>5827.7333887721306</v>
      </c>
      <c r="BA352">
        <v>0.98541811328241247</v>
      </c>
      <c r="BB352" s="63">
        <v>5742.7539999999999</v>
      </c>
      <c r="BC352" s="61">
        <v>2412.278406070765</v>
      </c>
    </row>
    <row r="353" spans="1:55" x14ac:dyDescent="0.25">
      <c r="A353">
        <v>71561</v>
      </c>
      <c r="B353" t="s">
        <v>126</v>
      </c>
      <c r="C353">
        <v>2018</v>
      </c>
      <c r="D353">
        <v>6</v>
      </c>
      <c r="E353" t="s">
        <v>100</v>
      </c>
      <c r="F353" t="s">
        <v>426</v>
      </c>
      <c r="G353" t="s">
        <v>84</v>
      </c>
      <c r="H353" t="s">
        <v>381</v>
      </c>
      <c r="I353" t="s">
        <v>427</v>
      </c>
      <c r="J353">
        <v>-9.5141811500000006</v>
      </c>
      <c r="K353" t="s">
        <v>440</v>
      </c>
      <c r="L353" t="s">
        <v>384</v>
      </c>
      <c r="M353">
        <v>4.5811354346740003E-2</v>
      </c>
      <c r="N353">
        <v>0.43585752399246702</v>
      </c>
      <c r="O353">
        <v>30169.468000000001</v>
      </c>
      <c r="P353">
        <v>4.8744250000000003E-6</v>
      </c>
      <c r="Q353">
        <v>0.29411799999999999</v>
      </c>
      <c r="R353" s="61">
        <v>0.12819354324161639</v>
      </c>
      <c r="S353" t="s">
        <v>343</v>
      </c>
      <c r="T353" t="s">
        <v>435</v>
      </c>
      <c r="U353" t="s">
        <v>425</v>
      </c>
      <c r="V353" t="s">
        <v>81</v>
      </c>
      <c r="W353">
        <v>111.133</v>
      </c>
      <c r="X353">
        <v>1.027287859172453</v>
      </c>
      <c r="Y353">
        <v>114.1655816534122</v>
      </c>
      <c r="Z353">
        <v>625.54</v>
      </c>
      <c r="AA353">
        <v>1</v>
      </c>
      <c r="AB353">
        <v>71.4151379474755</v>
      </c>
      <c r="AC353">
        <v>0.92730000000000001</v>
      </c>
      <c r="AD353" s="63">
        <v>66.222999999999999</v>
      </c>
      <c r="AE353">
        <v>8.9176000000000002</v>
      </c>
      <c r="AF353">
        <v>9.1609422129562699</v>
      </c>
      <c r="AG353">
        <v>1</v>
      </c>
      <c r="AH353">
        <v>5730.5357918926647</v>
      </c>
      <c r="AI353">
        <v>1.094557195571956</v>
      </c>
      <c r="AJ353" s="63">
        <v>6272.3991999999998</v>
      </c>
      <c r="AK353" s="61">
        <v>804.08107807388001</v>
      </c>
      <c r="AL353" t="s">
        <v>343</v>
      </c>
      <c r="AM353" t="s">
        <v>435</v>
      </c>
      <c r="AN353" t="s">
        <v>425</v>
      </c>
      <c r="AO353" t="s">
        <v>81</v>
      </c>
      <c r="AP353">
        <v>111.133</v>
      </c>
      <c r="AQ353">
        <v>1.027287859172453</v>
      </c>
      <c r="AR353">
        <v>114.1655816534122</v>
      </c>
      <c r="AS353">
        <v>636.15</v>
      </c>
      <c r="AT353">
        <v>1</v>
      </c>
      <c r="AU353">
        <v>72.6264347688182</v>
      </c>
      <c r="AV353">
        <v>0.92730000000000001</v>
      </c>
      <c r="AW353" s="63">
        <v>67.346000000000004</v>
      </c>
      <c r="AX353">
        <v>8.9176000000000002</v>
      </c>
      <c r="AY353">
        <v>1</v>
      </c>
      <c r="AZ353">
        <v>5827.7333887721306</v>
      </c>
      <c r="BA353">
        <v>1.094557195571956</v>
      </c>
      <c r="BB353" s="63">
        <v>6378.7875000000004</v>
      </c>
      <c r="BC353" s="61">
        <v>817.71937121033216</v>
      </c>
    </row>
    <row r="354" spans="1:55" x14ac:dyDescent="0.25">
      <c r="A354">
        <v>71563</v>
      </c>
      <c r="B354" t="s">
        <v>126</v>
      </c>
      <c r="C354">
        <v>2018</v>
      </c>
      <c r="D354">
        <v>6</v>
      </c>
      <c r="E354" t="s">
        <v>100</v>
      </c>
      <c r="F354" t="s">
        <v>426</v>
      </c>
      <c r="G354" t="s">
        <v>84</v>
      </c>
      <c r="H354" t="s">
        <v>381</v>
      </c>
      <c r="I354" t="s">
        <v>427</v>
      </c>
      <c r="J354">
        <v>-9.5141811500000006</v>
      </c>
      <c r="K354" t="s">
        <v>440</v>
      </c>
      <c r="L354" t="s">
        <v>385</v>
      </c>
      <c r="M354">
        <v>0.43232641346992001</v>
      </c>
      <c r="N354">
        <v>4.1132318137839983</v>
      </c>
      <c r="O354">
        <v>30169.468000000001</v>
      </c>
      <c r="P354">
        <v>4.8744250000000003E-6</v>
      </c>
      <c r="Q354">
        <v>0.29411799999999999</v>
      </c>
      <c r="R354" s="61">
        <v>1.2097755146065221</v>
      </c>
      <c r="S354" t="s">
        <v>343</v>
      </c>
      <c r="T354" t="s">
        <v>435</v>
      </c>
      <c r="U354" t="s">
        <v>425</v>
      </c>
      <c r="V354" t="s">
        <v>27</v>
      </c>
      <c r="W354">
        <v>111.133</v>
      </c>
      <c r="X354">
        <v>1.027287859172453</v>
      </c>
      <c r="Y354">
        <v>114.1655816534122</v>
      </c>
      <c r="Z354">
        <v>625.54</v>
      </c>
      <c r="AA354">
        <v>1</v>
      </c>
      <c r="AB354">
        <v>71.4151379474755</v>
      </c>
      <c r="AC354">
        <v>0.95599999999999996</v>
      </c>
      <c r="AD354" s="63">
        <v>68.272999999999996</v>
      </c>
      <c r="AE354">
        <v>8.9176000000000002</v>
      </c>
      <c r="AF354">
        <v>9.1609422129562699</v>
      </c>
      <c r="AG354">
        <v>1</v>
      </c>
      <c r="AH354">
        <v>5730.5357918926647</v>
      </c>
      <c r="AI354">
        <v>1.0027686628383921</v>
      </c>
      <c r="AJ354" s="63">
        <v>5746.4017000000003</v>
      </c>
      <c r="AK354" s="61">
        <v>6951.8560737532925</v>
      </c>
      <c r="AL354" t="s">
        <v>343</v>
      </c>
      <c r="AM354" t="s">
        <v>435</v>
      </c>
      <c r="AN354" t="s">
        <v>425</v>
      </c>
      <c r="AO354" t="s">
        <v>27</v>
      </c>
      <c r="AP354">
        <v>111.133</v>
      </c>
      <c r="AQ354">
        <v>1.027287859172453</v>
      </c>
      <c r="AR354">
        <v>114.1655816534122</v>
      </c>
      <c r="AS354">
        <v>636.15</v>
      </c>
      <c r="AT354">
        <v>1</v>
      </c>
      <c r="AU354">
        <v>72.6264347688182</v>
      </c>
      <c r="AV354">
        <v>0.95599999999999996</v>
      </c>
      <c r="AW354" s="63">
        <v>69.430999999999997</v>
      </c>
      <c r="AX354">
        <v>8.9176000000000002</v>
      </c>
      <c r="AY354">
        <v>1</v>
      </c>
      <c r="AZ354">
        <v>5827.7333887721306</v>
      </c>
      <c r="BA354">
        <v>1.0027686628383921</v>
      </c>
      <c r="BB354" s="63">
        <v>5843.8684000000003</v>
      </c>
      <c r="BC354" s="61">
        <v>7069.7689009027918</v>
      </c>
    </row>
    <row r="355" spans="1:55" x14ac:dyDescent="0.25">
      <c r="A355">
        <v>71565</v>
      </c>
      <c r="B355" t="s">
        <v>126</v>
      </c>
      <c r="C355">
        <v>2018</v>
      </c>
      <c r="D355">
        <v>6</v>
      </c>
      <c r="E355" t="s">
        <v>100</v>
      </c>
      <c r="F355" t="s">
        <v>426</v>
      </c>
      <c r="G355" t="s">
        <v>84</v>
      </c>
      <c r="H355" t="s">
        <v>381</v>
      </c>
      <c r="I355" t="s">
        <v>427</v>
      </c>
      <c r="J355">
        <v>-9.5141811500000006</v>
      </c>
      <c r="K355" t="s">
        <v>440</v>
      </c>
      <c r="L355" t="s">
        <v>451</v>
      </c>
      <c r="M355">
        <v>1.6825115802299999E-3</v>
      </c>
      <c r="N355">
        <v>1.6007719961675521E-2</v>
      </c>
      <c r="O355">
        <v>30169.468000000001</v>
      </c>
      <c r="P355">
        <v>4.8744250000000003E-6</v>
      </c>
      <c r="Q355">
        <v>0.29411799999999999</v>
      </c>
      <c r="R355" s="61">
        <v>4.7081585796880819E-3</v>
      </c>
      <c r="S355" t="s">
        <v>343</v>
      </c>
      <c r="T355" t="s">
        <v>435</v>
      </c>
      <c r="U355" t="s">
        <v>425</v>
      </c>
      <c r="V355" t="s">
        <v>91</v>
      </c>
      <c r="W355">
        <v>111.133</v>
      </c>
      <c r="X355">
        <v>1.027287859172453</v>
      </c>
      <c r="Y355">
        <v>114.1655816534122</v>
      </c>
      <c r="Z355">
        <v>625.54</v>
      </c>
      <c r="AA355">
        <v>1</v>
      </c>
      <c r="AB355">
        <v>71.4151379474755</v>
      </c>
      <c r="AC355">
        <v>1.0056</v>
      </c>
      <c r="AD355" s="63">
        <v>71.814999999999998</v>
      </c>
      <c r="AE355">
        <v>8.9176000000000002</v>
      </c>
      <c r="AF355">
        <v>9.1609422129562699</v>
      </c>
      <c r="AG355">
        <v>1</v>
      </c>
      <c r="AH355">
        <v>5730.5357918926647</v>
      </c>
      <c r="AI355">
        <v>0.98408824677860207</v>
      </c>
      <c r="AJ355" s="63">
        <v>5639.3528999999999</v>
      </c>
      <c r="AK355" s="61">
        <v>26.550967740023861</v>
      </c>
      <c r="AL355" t="s">
        <v>343</v>
      </c>
      <c r="AM355" t="s">
        <v>435</v>
      </c>
      <c r="AN355" t="s">
        <v>425</v>
      </c>
      <c r="AO355" t="s">
        <v>91</v>
      </c>
      <c r="AP355">
        <v>111.133</v>
      </c>
      <c r="AQ355">
        <v>1.027287859172453</v>
      </c>
      <c r="AR355">
        <v>114.1655816534122</v>
      </c>
      <c r="AS355">
        <v>636.15</v>
      </c>
      <c r="AT355">
        <v>1</v>
      </c>
      <c r="AU355">
        <v>72.6264347688182</v>
      </c>
      <c r="AV355">
        <v>1.0056</v>
      </c>
      <c r="AW355" s="63">
        <v>73.033000000000001</v>
      </c>
      <c r="AX355">
        <v>8.9176000000000002</v>
      </c>
      <c r="AY355">
        <v>1</v>
      </c>
      <c r="AZ355">
        <v>5827.7333887721306</v>
      </c>
      <c r="BA355">
        <v>0.98408824677860207</v>
      </c>
      <c r="BB355" s="63">
        <v>5735.0038999999997</v>
      </c>
      <c r="BC355" s="61">
        <v>27.001307816329611</v>
      </c>
    </row>
    <row r="356" spans="1:55" x14ac:dyDescent="0.25">
      <c r="A356">
        <v>71567</v>
      </c>
      <c r="B356" t="s">
        <v>126</v>
      </c>
      <c r="C356">
        <v>2018</v>
      </c>
      <c r="D356">
        <v>6</v>
      </c>
      <c r="E356" t="s">
        <v>100</v>
      </c>
      <c r="F356" t="s">
        <v>426</v>
      </c>
      <c r="G356" t="s">
        <v>84</v>
      </c>
      <c r="H356" t="s">
        <v>381</v>
      </c>
      <c r="I356" t="s">
        <v>427</v>
      </c>
      <c r="J356">
        <v>-9.5141811500000006</v>
      </c>
      <c r="K356" t="s">
        <v>440</v>
      </c>
      <c r="L356" t="s">
        <v>452</v>
      </c>
      <c r="M356">
        <v>1.53682162831E-3</v>
      </c>
      <c r="N356">
        <v>1.4621599367339691E-2</v>
      </c>
      <c r="O356">
        <v>30169.468000000001</v>
      </c>
      <c r="P356">
        <v>4.8744250000000003E-6</v>
      </c>
      <c r="Q356">
        <v>0.29411799999999999</v>
      </c>
      <c r="R356" s="61">
        <v>4.3004755627232142E-3</v>
      </c>
      <c r="S356" t="s">
        <v>343</v>
      </c>
      <c r="T356" t="s">
        <v>435</v>
      </c>
      <c r="U356" t="s">
        <v>425</v>
      </c>
      <c r="V356" t="s">
        <v>28</v>
      </c>
      <c r="W356">
        <v>111.133</v>
      </c>
      <c r="X356">
        <v>1.027287859172453</v>
      </c>
      <c r="Y356">
        <v>114.1655816534122</v>
      </c>
      <c r="Z356">
        <v>625.54</v>
      </c>
      <c r="AA356">
        <v>1</v>
      </c>
      <c r="AB356">
        <v>71.4151379474755</v>
      </c>
      <c r="AC356">
        <v>1.0064</v>
      </c>
      <c r="AD356" s="63">
        <v>71.872</v>
      </c>
      <c r="AE356">
        <v>8.9176000000000002</v>
      </c>
      <c r="AF356">
        <v>9.1609422129562699</v>
      </c>
      <c r="AG356">
        <v>1</v>
      </c>
      <c r="AH356">
        <v>5730.5357918926647</v>
      </c>
      <c r="AI356">
        <v>0.98887576294546164</v>
      </c>
      <c r="AJ356" s="63">
        <v>5666.7879999999996</v>
      </c>
      <c r="AK356" s="61">
        <v>24.369883313133151</v>
      </c>
      <c r="AL356" t="s">
        <v>343</v>
      </c>
      <c r="AM356" t="s">
        <v>435</v>
      </c>
      <c r="AN356" t="s">
        <v>425</v>
      </c>
      <c r="AO356" t="s">
        <v>28</v>
      </c>
      <c r="AP356">
        <v>111.133</v>
      </c>
      <c r="AQ356">
        <v>1.027287859172453</v>
      </c>
      <c r="AR356">
        <v>114.1655816534122</v>
      </c>
      <c r="AS356">
        <v>636.15</v>
      </c>
      <c r="AT356">
        <v>1</v>
      </c>
      <c r="AU356">
        <v>72.6264347688182</v>
      </c>
      <c r="AV356">
        <v>1.0064</v>
      </c>
      <c r="AW356" s="63">
        <v>73.090999999999994</v>
      </c>
      <c r="AX356">
        <v>8.9176000000000002</v>
      </c>
      <c r="AY356">
        <v>1</v>
      </c>
      <c r="AZ356">
        <v>5827.7333887721306</v>
      </c>
      <c r="BA356">
        <v>0.98887576294546164</v>
      </c>
      <c r="BB356" s="63">
        <v>5762.9043000000001</v>
      </c>
      <c r="BC356" s="61">
        <v>24.783229112462529</v>
      </c>
    </row>
    <row r="357" spans="1:55" x14ac:dyDescent="0.25">
      <c r="A357">
        <v>71569</v>
      </c>
      <c r="B357" t="s">
        <v>126</v>
      </c>
      <c r="C357">
        <v>2018</v>
      </c>
      <c r="D357">
        <v>6</v>
      </c>
      <c r="E357" t="s">
        <v>100</v>
      </c>
      <c r="F357" t="s">
        <v>426</v>
      </c>
      <c r="G357" t="s">
        <v>84</v>
      </c>
      <c r="H357" t="s">
        <v>87</v>
      </c>
      <c r="I357" t="s">
        <v>427</v>
      </c>
      <c r="J357">
        <v>-1.7483138300000001</v>
      </c>
      <c r="K357" t="s">
        <v>440</v>
      </c>
      <c r="L357" t="s">
        <v>450</v>
      </c>
      <c r="M357">
        <v>0.26601384014995</v>
      </c>
      <c r="N357">
        <v>0.46507567566379188</v>
      </c>
      <c r="O357">
        <v>30169.468000000001</v>
      </c>
      <c r="P357">
        <v>4.8744250000000003E-6</v>
      </c>
      <c r="Q357">
        <v>0.29411799999999999</v>
      </c>
      <c r="R357" s="61">
        <v>0.13678712757488309</v>
      </c>
      <c r="S357" t="s">
        <v>343</v>
      </c>
      <c r="T357" t="s">
        <v>435</v>
      </c>
      <c r="U357" t="s">
        <v>425</v>
      </c>
      <c r="V357" t="s">
        <v>26</v>
      </c>
      <c r="W357">
        <v>111.133</v>
      </c>
      <c r="X357">
        <v>1.027287859172453</v>
      </c>
      <c r="Y357">
        <v>114.1655816534122</v>
      </c>
      <c r="Z357">
        <v>625.54</v>
      </c>
      <c r="AA357">
        <v>1</v>
      </c>
      <c r="AB357">
        <v>71.4151379474755</v>
      </c>
      <c r="AC357">
        <v>0.97960000000000003</v>
      </c>
      <c r="AD357" s="63">
        <v>69.957999999999998</v>
      </c>
      <c r="AE357">
        <v>8.9176000000000002</v>
      </c>
      <c r="AF357">
        <v>9.1609422129562699</v>
      </c>
      <c r="AG357">
        <v>1</v>
      </c>
      <c r="AH357">
        <v>5730.5357918926647</v>
      </c>
      <c r="AI357">
        <v>0.98541811328241247</v>
      </c>
      <c r="AJ357" s="63">
        <v>5646.9737999999998</v>
      </c>
      <c r="AK357" s="61">
        <v>772.43332559262251</v>
      </c>
      <c r="AL357" t="s">
        <v>343</v>
      </c>
      <c r="AM357" t="s">
        <v>435</v>
      </c>
      <c r="AN357" t="s">
        <v>425</v>
      </c>
      <c r="AO357" t="s">
        <v>26</v>
      </c>
      <c r="AP357">
        <v>111.133</v>
      </c>
      <c r="AQ357">
        <v>1.027287859172453</v>
      </c>
      <c r="AR357">
        <v>114.1655816534122</v>
      </c>
      <c r="AS357">
        <v>636.15</v>
      </c>
      <c r="AT357">
        <v>1</v>
      </c>
      <c r="AU357">
        <v>72.6264347688182</v>
      </c>
      <c r="AV357">
        <v>0.97960000000000003</v>
      </c>
      <c r="AW357" s="63">
        <v>71.144999999999996</v>
      </c>
      <c r="AX357">
        <v>8.9176000000000002</v>
      </c>
      <c r="AY357">
        <v>1</v>
      </c>
      <c r="AZ357">
        <v>5827.7333887721306</v>
      </c>
      <c r="BA357">
        <v>0.98541811328241247</v>
      </c>
      <c r="BB357" s="63">
        <v>5742.7539999999999</v>
      </c>
      <c r="BC357" s="61">
        <v>785.5348240291703</v>
      </c>
    </row>
    <row r="358" spans="1:55" x14ac:dyDescent="0.25">
      <c r="A358">
        <v>71571</v>
      </c>
      <c r="B358" t="s">
        <v>126</v>
      </c>
      <c r="C358">
        <v>2018</v>
      </c>
      <c r="D358">
        <v>6</v>
      </c>
      <c r="E358" t="s">
        <v>100</v>
      </c>
      <c r="F358" t="s">
        <v>426</v>
      </c>
      <c r="G358" t="s">
        <v>84</v>
      </c>
      <c r="H358" t="s">
        <v>87</v>
      </c>
      <c r="I358" t="s">
        <v>427</v>
      </c>
      <c r="J358">
        <v>-1.7483138300000001</v>
      </c>
      <c r="K358" t="s">
        <v>440</v>
      </c>
      <c r="L358" t="s">
        <v>384</v>
      </c>
      <c r="M358">
        <v>3.9509559941419997E-2</v>
      </c>
      <c r="N358">
        <v>6.9075110056593975E-2</v>
      </c>
      <c r="O358">
        <v>30169.468000000001</v>
      </c>
      <c r="P358">
        <v>4.8744250000000003E-6</v>
      </c>
      <c r="Q358">
        <v>0.29411799999999999</v>
      </c>
      <c r="R358" s="61">
        <v>2.0316233219625311E-2</v>
      </c>
      <c r="S358" t="s">
        <v>343</v>
      </c>
      <c r="T358" t="s">
        <v>435</v>
      </c>
      <c r="U358" t="s">
        <v>425</v>
      </c>
      <c r="V358" t="s">
        <v>81</v>
      </c>
      <c r="W358">
        <v>111.133</v>
      </c>
      <c r="X358">
        <v>1.027287859172453</v>
      </c>
      <c r="Y358">
        <v>114.1655816534122</v>
      </c>
      <c r="Z358">
        <v>625.54</v>
      </c>
      <c r="AA358">
        <v>1</v>
      </c>
      <c r="AB358">
        <v>71.4151379474755</v>
      </c>
      <c r="AC358">
        <v>0.92730000000000001</v>
      </c>
      <c r="AD358" s="63">
        <v>66.222999999999999</v>
      </c>
      <c r="AE358">
        <v>8.9176000000000002</v>
      </c>
      <c r="AF358">
        <v>9.1609422129562699</v>
      </c>
      <c r="AG358">
        <v>1</v>
      </c>
      <c r="AH358">
        <v>5730.5357918926647</v>
      </c>
      <c r="AI358">
        <v>1.094557195571956</v>
      </c>
      <c r="AJ358" s="63">
        <v>6272.3991999999998</v>
      </c>
      <c r="AK358" s="61">
        <v>127.4315249937912</v>
      </c>
      <c r="AL358" t="s">
        <v>343</v>
      </c>
      <c r="AM358" t="s">
        <v>435</v>
      </c>
      <c r="AN358" t="s">
        <v>425</v>
      </c>
      <c r="AO358" t="s">
        <v>81</v>
      </c>
      <c r="AP358">
        <v>111.133</v>
      </c>
      <c r="AQ358">
        <v>1.027287859172453</v>
      </c>
      <c r="AR358">
        <v>114.1655816534122</v>
      </c>
      <c r="AS358">
        <v>636.15</v>
      </c>
      <c r="AT358">
        <v>1</v>
      </c>
      <c r="AU358">
        <v>72.6264347688182</v>
      </c>
      <c r="AV358">
        <v>0.92730000000000001</v>
      </c>
      <c r="AW358" s="63">
        <v>67.346000000000004</v>
      </c>
      <c r="AX358">
        <v>8.9176000000000002</v>
      </c>
      <c r="AY358">
        <v>1</v>
      </c>
      <c r="AZ358">
        <v>5827.7333887721306</v>
      </c>
      <c r="BA358">
        <v>1.094557195571956</v>
      </c>
      <c r="BB358" s="63">
        <v>6378.7875000000004</v>
      </c>
      <c r="BC358" s="61">
        <v>129.59293450843069</v>
      </c>
    </row>
    <row r="359" spans="1:55" x14ac:dyDescent="0.25">
      <c r="A359">
        <v>71573</v>
      </c>
      <c r="B359" t="s">
        <v>126</v>
      </c>
      <c r="C359">
        <v>2018</v>
      </c>
      <c r="D359">
        <v>6</v>
      </c>
      <c r="E359" t="s">
        <v>100</v>
      </c>
      <c r="F359" t="s">
        <v>426</v>
      </c>
      <c r="G359" t="s">
        <v>84</v>
      </c>
      <c r="H359" t="s">
        <v>87</v>
      </c>
      <c r="I359" t="s">
        <v>427</v>
      </c>
      <c r="J359">
        <v>-1.7483138300000001</v>
      </c>
      <c r="K359" t="s">
        <v>440</v>
      </c>
      <c r="L359" t="s">
        <v>385</v>
      </c>
      <c r="M359">
        <v>0.39737542925016001</v>
      </c>
      <c r="N359">
        <v>0.69473695859783724</v>
      </c>
      <c r="O359">
        <v>30169.468000000001</v>
      </c>
      <c r="P359">
        <v>4.8744250000000003E-6</v>
      </c>
      <c r="Q359">
        <v>0.29411799999999999</v>
      </c>
      <c r="R359" s="61">
        <v>0.20433464478887869</v>
      </c>
      <c r="S359" t="s">
        <v>343</v>
      </c>
      <c r="T359" t="s">
        <v>435</v>
      </c>
      <c r="U359" t="s">
        <v>425</v>
      </c>
      <c r="V359" t="s">
        <v>27</v>
      </c>
      <c r="W359">
        <v>111.133</v>
      </c>
      <c r="X359">
        <v>1.027287859172453</v>
      </c>
      <c r="Y359">
        <v>114.1655816534122</v>
      </c>
      <c r="Z359">
        <v>625.54</v>
      </c>
      <c r="AA359">
        <v>1</v>
      </c>
      <c r="AB359">
        <v>71.4151379474755</v>
      </c>
      <c r="AC359">
        <v>0.95599999999999996</v>
      </c>
      <c r="AD359" s="63">
        <v>68.272999999999996</v>
      </c>
      <c r="AE359">
        <v>8.9176000000000002</v>
      </c>
      <c r="AF359">
        <v>9.1609422129562699</v>
      </c>
      <c r="AG359">
        <v>1</v>
      </c>
      <c r="AH359">
        <v>5730.5357918926647</v>
      </c>
      <c r="AI359">
        <v>1.0027686628383921</v>
      </c>
      <c r="AJ359" s="63">
        <v>5746.4017000000003</v>
      </c>
      <c r="AK359" s="61">
        <v>1174.188950183709</v>
      </c>
      <c r="AL359" t="s">
        <v>343</v>
      </c>
      <c r="AM359" t="s">
        <v>435</v>
      </c>
      <c r="AN359" t="s">
        <v>425</v>
      </c>
      <c r="AO359" t="s">
        <v>27</v>
      </c>
      <c r="AP359">
        <v>111.133</v>
      </c>
      <c r="AQ359">
        <v>1.027287859172453</v>
      </c>
      <c r="AR359">
        <v>114.1655816534122</v>
      </c>
      <c r="AS359">
        <v>636.15</v>
      </c>
      <c r="AT359">
        <v>1</v>
      </c>
      <c r="AU359">
        <v>72.6264347688182</v>
      </c>
      <c r="AV359">
        <v>0.95599999999999996</v>
      </c>
      <c r="AW359" s="63">
        <v>69.430999999999997</v>
      </c>
      <c r="AX359">
        <v>8.9176000000000002</v>
      </c>
      <c r="AY359">
        <v>1</v>
      </c>
      <c r="AZ359">
        <v>5827.7333887721306</v>
      </c>
      <c r="BA359">
        <v>1.0027686628383921</v>
      </c>
      <c r="BB359" s="63">
        <v>5843.8684000000003</v>
      </c>
      <c r="BC359" s="61">
        <v>1194.104773706953</v>
      </c>
    </row>
    <row r="360" spans="1:55" x14ac:dyDescent="0.25">
      <c r="A360">
        <v>71575</v>
      </c>
      <c r="B360" t="s">
        <v>126</v>
      </c>
      <c r="C360">
        <v>2018</v>
      </c>
      <c r="D360">
        <v>6</v>
      </c>
      <c r="E360" t="s">
        <v>100</v>
      </c>
      <c r="F360" t="s">
        <v>426</v>
      </c>
      <c r="G360" t="s">
        <v>84</v>
      </c>
      <c r="H360" t="s">
        <v>87</v>
      </c>
      <c r="I360" t="s">
        <v>427</v>
      </c>
      <c r="J360">
        <v>-1.7483138300000001</v>
      </c>
      <c r="K360" t="s">
        <v>440</v>
      </c>
      <c r="L360" t="s">
        <v>452</v>
      </c>
      <c r="M360">
        <v>8.4248020759000004E-4</v>
      </c>
      <c r="N360">
        <v>1.472919798298564E-3</v>
      </c>
      <c r="O360">
        <v>30169.468000000001</v>
      </c>
      <c r="P360">
        <v>4.8744250000000003E-6</v>
      </c>
      <c r="Q360">
        <v>0.29411799999999999</v>
      </c>
      <c r="R360" s="61">
        <v>4.3321222523597721E-4</v>
      </c>
      <c r="S360" t="s">
        <v>343</v>
      </c>
      <c r="T360" t="s">
        <v>435</v>
      </c>
      <c r="U360" t="s">
        <v>425</v>
      </c>
      <c r="V360" t="s">
        <v>28</v>
      </c>
      <c r="W360">
        <v>111.133</v>
      </c>
      <c r="X360">
        <v>1.027287859172453</v>
      </c>
      <c r="Y360">
        <v>114.1655816534122</v>
      </c>
      <c r="Z360">
        <v>625.54</v>
      </c>
      <c r="AA360">
        <v>1</v>
      </c>
      <c r="AB360">
        <v>71.4151379474755</v>
      </c>
      <c r="AC360">
        <v>1.0064</v>
      </c>
      <c r="AD360" s="63">
        <v>71.872</v>
      </c>
      <c r="AE360">
        <v>8.9176000000000002</v>
      </c>
      <c r="AF360">
        <v>9.1609422129562699</v>
      </c>
      <c r="AG360">
        <v>1</v>
      </c>
      <c r="AH360">
        <v>5730.5357918926647</v>
      </c>
      <c r="AI360">
        <v>0.98887576294546164</v>
      </c>
      <c r="AJ360" s="63">
        <v>5666.7879999999996</v>
      </c>
      <c r="AK360" s="61">
        <v>2.4549218394205319</v>
      </c>
      <c r="AL360" t="s">
        <v>343</v>
      </c>
      <c r="AM360" t="s">
        <v>435</v>
      </c>
      <c r="AN360" t="s">
        <v>425</v>
      </c>
      <c r="AO360" t="s">
        <v>28</v>
      </c>
      <c r="AP360">
        <v>111.133</v>
      </c>
      <c r="AQ360">
        <v>1.027287859172453</v>
      </c>
      <c r="AR360">
        <v>114.1655816534122</v>
      </c>
      <c r="AS360">
        <v>636.15</v>
      </c>
      <c r="AT360">
        <v>1</v>
      </c>
      <c r="AU360">
        <v>72.6264347688182</v>
      </c>
      <c r="AV360">
        <v>1.0064</v>
      </c>
      <c r="AW360" s="63">
        <v>73.090999999999994</v>
      </c>
      <c r="AX360">
        <v>8.9176000000000002</v>
      </c>
      <c r="AY360">
        <v>1</v>
      </c>
      <c r="AZ360">
        <v>5827.7333887721306</v>
      </c>
      <c r="BA360">
        <v>0.98887576294546164</v>
      </c>
      <c r="BB360" s="63">
        <v>5762.9043000000001</v>
      </c>
      <c r="BC360" s="61">
        <v>2.496560595624981</v>
      </c>
    </row>
    <row r="361" spans="1:55" x14ac:dyDescent="0.25">
      <c r="A361">
        <v>71577</v>
      </c>
      <c r="B361" t="s">
        <v>126</v>
      </c>
      <c r="C361">
        <v>2018</v>
      </c>
      <c r="D361">
        <v>6</v>
      </c>
      <c r="E361" t="s">
        <v>100</v>
      </c>
      <c r="F361" t="s">
        <v>426</v>
      </c>
      <c r="G361" t="s">
        <v>84</v>
      </c>
      <c r="H361" t="s">
        <v>59</v>
      </c>
      <c r="I361" t="s">
        <v>427</v>
      </c>
      <c r="J361">
        <v>-5.0270883800000004</v>
      </c>
      <c r="K361" t="s">
        <v>440</v>
      </c>
      <c r="L361" t="s">
        <v>450</v>
      </c>
      <c r="M361">
        <v>0.15931709696460999</v>
      </c>
      <c r="N361">
        <v>0.8009011261025436</v>
      </c>
      <c r="O361">
        <v>30169.468000000001</v>
      </c>
      <c r="P361">
        <v>4.8744250000000003E-6</v>
      </c>
      <c r="Q361">
        <v>0.29411799999999999</v>
      </c>
      <c r="R361" s="61">
        <v>0.23555943740702789</v>
      </c>
      <c r="S361" t="s">
        <v>343</v>
      </c>
      <c r="T361" t="s">
        <v>435</v>
      </c>
      <c r="U361" t="s">
        <v>425</v>
      </c>
      <c r="V361" t="s">
        <v>26</v>
      </c>
      <c r="W361">
        <v>111.133</v>
      </c>
      <c r="X361">
        <v>1.027287859172453</v>
      </c>
      <c r="Y361">
        <v>114.1655816534122</v>
      </c>
      <c r="Z361">
        <v>625.54</v>
      </c>
      <c r="AA361">
        <v>1</v>
      </c>
      <c r="AB361">
        <v>71.4151379474755</v>
      </c>
      <c r="AC361">
        <v>0.97960000000000003</v>
      </c>
      <c r="AD361" s="63">
        <v>69.957999999999998</v>
      </c>
      <c r="AE361">
        <v>8.9176000000000002</v>
      </c>
      <c r="AF361">
        <v>9.1609422129562699</v>
      </c>
      <c r="AG361">
        <v>1</v>
      </c>
      <c r="AH361">
        <v>5730.5357918926647</v>
      </c>
      <c r="AI361">
        <v>0.98541811328241247</v>
      </c>
      <c r="AJ361" s="63">
        <v>5646.9737999999998</v>
      </c>
      <c r="AK361" s="61">
        <v>1330.197971380227</v>
      </c>
      <c r="AL361" t="s">
        <v>343</v>
      </c>
      <c r="AM361" t="s">
        <v>435</v>
      </c>
      <c r="AN361" t="s">
        <v>425</v>
      </c>
      <c r="AO361" t="s">
        <v>26</v>
      </c>
      <c r="AP361">
        <v>111.133</v>
      </c>
      <c r="AQ361">
        <v>1.027287859172453</v>
      </c>
      <c r="AR361">
        <v>114.1655816534122</v>
      </c>
      <c r="AS361">
        <v>636.15</v>
      </c>
      <c r="AT361">
        <v>1</v>
      </c>
      <c r="AU361">
        <v>72.6264347688182</v>
      </c>
      <c r="AV361">
        <v>0.97960000000000003</v>
      </c>
      <c r="AW361" s="63">
        <v>71.144999999999996</v>
      </c>
      <c r="AX361">
        <v>8.9176000000000002</v>
      </c>
      <c r="AY361">
        <v>1</v>
      </c>
      <c r="AZ361">
        <v>5827.7333887721306</v>
      </c>
      <c r="BA361">
        <v>0.98541811328241247</v>
      </c>
      <c r="BB361" s="63">
        <v>5742.7539999999999</v>
      </c>
      <c r="BC361" s="61">
        <v>1352.759901406959</v>
      </c>
    </row>
    <row r="362" spans="1:55" x14ac:dyDescent="0.25">
      <c r="A362">
        <v>71579</v>
      </c>
      <c r="B362" t="s">
        <v>126</v>
      </c>
      <c r="C362">
        <v>2018</v>
      </c>
      <c r="D362">
        <v>6</v>
      </c>
      <c r="E362" t="s">
        <v>100</v>
      </c>
      <c r="F362" t="s">
        <v>426</v>
      </c>
      <c r="G362" t="s">
        <v>84</v>
      </c>
      <c r="H362" t="s">
        <v>59</v>
      </c>
      <c r="I362" t="s">
        <v>427</v>
      </c>
      <c r="J362">
        <v>-5.0270883800000004</v>
      </c>
      <c r="K362" t="s">
        <v>440</v>
      </c>
      <c r="L362" t="s">
        <v>384</v>
      </c>
      <c r="M362">
        <v>4.1785183859599999E-2</v>
      </c>
      <c r="N362">
        <v>0.21005781203124371</v>
      </c>
      <c r="O362">
        <v>30169.468000000001</v>
      </c>
      <c r="P362">
        <v>4.8744250000000003E-6</v>
      </c>
      <c r="Q362">
        <v>0.29411799999999999</v>
      </c>
      <c r="R362" s="61">
        <v>6.1781783559005321E-2</v>
      </c>
      <c r="S362" t="s">
        <v>343</v>
      </c>
      <c r="T362" t="s">
        <v>435</v>
      </c>
      <c r="U362" t="s">
        <v>425</v>
      </c>
      <c r="V362" t="s">
        <v>81</v>
      </c>
      <c r="W362">
        <v>111.133</v>
      </c>
      <c r="X362">
        <v>1.027287859172453</v>
      </c>
      <c r="Y362">
        <v>114.1655816534122</v>
      </c>
      <c r="Z362">
        <v>625.54</v>
      </c>
      <c r="AA362">
        <v>1</v>
      </c>
      <c r="AB362">
        <v>71.4151379474755</v>
      </c>
      <c r="AC362">
        <v>0.92730000000000001</v>
      </c>
      <c r="AD362" s="63">
        <v>66.222999999999999</v>
      </c>
      <c r="AE362">
        <v>8.9176000000000002</v>
      </c>
      <c r="AF362">
        <v>9.1609422129562699</v>
      </c>
      <c r="AG362">
        <v>1</v>
      </c>
      <c r="AH362">
        <v>5730.5357918926647</v>
      </c>
      <c r="AI362">
        <v>1.094557195571956</v>
      </c>
      <c r="AJ362" s="63">
        <v>6272.3991999999998</v>
      </c>
      <c r="AK362" s="61">
        <v>387.5200097700781</v>
      </c>
      <c r="AL362" t="s">
        <v>343</v>
      </c>
      <c r="AM362" t="s">
        <v>435</v>
      </c>
      <c r="AN362" t="s">
        <v>425</v>
      </c>
      <c r="AO362" t="s">
        <v>81</v>
      </c>
      <c r="AP362">
        <v>111.133</v>
      </c>
      <c r="AQ362">
        <v>1.027287859172453</v>
      </c>
      <c r="AR362">
        <v>114.1655816534122</v>
      </c>
      <c r="AS362">
        <v>636.15</v>
      </c>
      <c r="AT362">
        <v>1</v>
      </c>
      <c r="AU362">
        <v>72.6264347688182</v>
      </c>
      <c r="AV362">
        <v>0.92730000000000001</v>
      </c>
      <c r="AW362" s="63">
        <v>67.346000000000004</v>
      </c>
      <c r="AX362">
        <v>8.9176000000000002</v>
      </c>
      <c r="AY362">
        <v>1</v>
      </c>
      <c r="AZ362">
        <v>5827.7333887721306</v>
      </c>
      <c r="BA362">
        <v>1.094557195571956</v>
      </c>
      <c r="BB362" s="63">
        <v>6378.7875000000004</v>
      </c>
      <c r="BC362" s="61">
        <v>394.0928686938887</v>
      </c>
    </row>
    <row r="363" spans="1:55" x14ac:dyDescent="0.25">
      <c r="A363">
        <v>71581</v>
      </c>
      <c r="B363" t="s">
        <v>126</v>
      </c>
      <c r="C363">
        <v>2018</v>
      </c>
      <c r="D363">
        <v>6</v>
      </c>
      <c r="E363" t="s">
        <v>100</v>
      </c>
      <c r="F363" t="s">
        <v>426</v>
      </c>
      <c r="G363" t="s">
        <v>84</v>
      </c>
      <c r="H363" t="s">
        <v>59</v>
      </c>
      <c r="I363" t="s">
        <v>427</v>
      </c>
      <c r="J363">
        <v>-5.0270883800000004</v>
      </c>
      <c r="K363" t="s">
        <v>440</v>
      </c>
      <c r="L363" t="s">
        <v>385</v>
      </c>
      <c r="M363">
        <v>0.43497567483749999</v>
      </c>
      <c r="N363">
        <v>2.1866611584188829</v>
      </c>
      <c r="O363">
        <v>30169.468000000001</v>
      </c>
      <c r="P363">
        <v>4.8744250000000003E-6</v>
      </c>
      <c r="Q363">
        <v>0.29411799999999999</v>
      </c>
      <c r="R363" s="61">
        <v>0.64313640659184501</v>
      </c>
      <c r="S363" t="s">
        <v>343</v>
      </c>
      <c r="T363" t="s">
        <v>435</v>
      </c>
      <c r="U363" t="s">
        <v>425</v>
      </c>
      <c r="V363" t="s">
        <v>27</v>
      </c>
      <c r="W363">
        <v>111.133</v>
      </c>
      <c r="X363">
        <v>1.027287859172453</v>
      </c>
      <c r="Y363">
        <v>114.1655816534122</v>
      </c>
      <c r="Z363">
        <v>625.54</v>
      </c>
      <c r="AA363">
        <v>1</v>
      </c>
      <c r="AB363">
        <v>71.4151379474755</v>
      </c>
      <c r="AC363">
        <v>0.95599999999999996</v>
      </c>
      <c r="AD363" s="63">
        <v>68.272999999999996</v>
      </c>
      <c r="AE363">
        <v>8.9176000000000002</v>
      </c>
      <c r="AF363">
        <v>9.1609422129562699</v>
      </c>
      <c r="AG363">
        <v>1</v>
      </c>
      <c r="AH363">
        <v>5730.5357918926647</v>
      </c>
      <c r="AI363">
        <v>1.0027686628383921</v>
      </c>
      <c r="AJ363" s="63">
        <v>5746.4017000000003</v>
      </c>
      <c r="AK363" s="61">
        <v>3695.72014017127</v>
      </c>
      <c r="AL363" t="s">
        <v>343</v>
      </c>
      <c r="AM363" t="s">
        <v>435</v>
      </c>
      <c r="AN363" t="s">
        <v>425</v>
      </c>
      <c r="AO363" t="s">
        <v>27</v>
      </c>
      <c r="AP363">
        <v>111.133</v>
      </c>
      <c r="AQ363">
        <v>1.027287859172453</v>
      </c>
      <c r="AR363">
        <v>114.1655816534122</v>
      </c>
      <c r="AS363">
        <v>636.15</v>
      </c>
      <c r="AT363">
        <v>1</v>
      </c>
      <c r="AU363">
        <v>72.6264347688182</v>
      </c>
      <c r="AV363">
        <v>0.95599999999999996</v>
      </c>
      <c r="AW363" s="63">
        <v>69.430999999999997</v>
      </c>
      <c r="AX363">
        <v>8.9176000000000002</v>
      </c>
      <c r="AY363">
        <v>1</v>
      </c>
      <c r="AZ363">
        <v>5827.7333887721306</v>
      </c>
      <c r="BA363">
        <v>1.0027686628383921</v>
      </c>
      <c r="BB363" s="63">
        <v>5843.8684000000003</v>
      </c>
      <c r="BC363" s="61">
        <v>3758.4045233716352</v>
      </c>
    </row>
    <row r="364" spans="1:55" x14ac:dyDescent="0.25">
      <c r="A364">
        <v>71583</v>
      </c>
      <c r="B364" t="s">
        <v>126</v>
      </c>
      <c r="C364">
        <v>2018</v>
      </c>
      <c r="D364">
        <v>6</v>
      </c>
      <c r="E364" t="s">
        <v>100</v>
      </c>
      <c r="F364" t="s">
        <v>426</v>
      </c>
      <c r="G364" t="s">
        <v>84</v>
      </c>
      <c r="H364" t="s">
        <v>59</v>
      </c>
      <c r="I364" t="s">
        <v>427</v>
      </c>
      <c r="J364">
        <v>-5.0270883800000004</v>
      </c>
      <c r="K364" t="s">
        <v>440</v>
      </c>
      <c r="L364" t="s">
        <v>451</v>
      </c>
      <c r="M364">
        <v>1.7625750762999999E-3</v>
      </c>
      <c r="N364">
        <v>8.8606206762763453E-3</v>
      </c>
      <c r="O364">
        <v>30169.468000000001</v>
      </c>
      <c r="P364">
        <v>4.8744250000000003E-6</v>
      </c>
      <c r="Q364">
        <v>0.29411799999999999</v>
      </c>
      <c r="R364" s="61">
        <v>2.6060680320650459E-3</v>
      </c>
      <c r="S364" t="s">
        <v>343</v>
      </c>
      <c r="T364" t="s">
        <v>435</v>
      </c>
      <c r="U364" t="s">
        <v>425</v>
      </c>
      <c r="V364" t="s">
        <v>91</v>
      </c>
      <c r="W364">
        <v>111.133</v>
      </c>
      <c r="X364">
        <v>1.027287859172453</v>
      </c>
      <c r="Y364">
        <v>114.1655816534122</v>
      </c>
      <c r="Z364">
        <v>625.54</v>
      </c>
      <c r="AA364">
        <v>1</v>
      </c>
      <c r="AB364">
        <v>71.4151379474755</v>
      </c>
      <c r="AC364">
        <v>1.0056</v>
      </c>
      <c r="AD364" s="63">
        <v>71.814999999999998</v>
      </c>
      <c r="AE364">
        <v>8.9176000000000002</v>
      </c>
      <c r="AF364">
        <v>9.1609422129562699</v>
      </c>
      <c r="AG364">
        <v>1</v>
      </c>
      <c r="AH364">
        <v>5730.5357918926647</v>
      </c>
      <c r="AI364">
        <v>0.98408824677860207</v>
      </c>
      <c r="AJ364" s="63">
        <v>5639.3528999999999</v>
      </c>
      <c r="AK364" s="61">
        <v>14.69653731422331</v>
      </c>
      <c r="AL364" t="s">
        <v>343</v>
      </c>
      <c r="AM364" t="s">
        <v>435</v>
      </c>
      <c r="AN364" t="s">
        <v>425</v>
      </c>
      <c r="AO364" t="s">
        <v>91</v>
      </c>
      <c r="AP364">
        <v>111.133</v>
      </c>
      <c r="AQ364">
        <v>1.027287859172453</v>
      </c>
      <c r="AR364">
        <v>114.1655816534122</v>
      </c>
      <c r="AS364">
        <v>636.15</v>
      </c>
      <c r="AT364">
        <v>1</v>
      </c>
      <c r="AU364">
        <v>72.6264347688182</v>
      </c>
      <c r="AV364">
        <v>1.0056</v>
      </c>
      <c r="AW364" s="63">
        <v>73.033000000000001</v>
      </c>
      <c r="AX364">
        <v>8.9176000000000002</v>
      </c>
      <c r="AY364">
        <v>1</v>
      </c>
      <c r="AZ364">
        <v>5827.7333887721306</v>
      </c>
      <c r="BA364">
        <v>0.98408824677860207</v>
      </c>
      <c r="BB364" s="63">
        <v>5735.0038999999997</v>
      </c>
      <c r="BC364" s="61">
        <v>14.945810327558361</v>
      </c>
    </row>
    <row r="365" spans="1:55" x14ac:dyDescent="0.25">
      <c r="A365">
        <v>71585</v>
      </c>
      <c r="B365" t="s">
        <v>126</v>
      </c>
      <c r="C365">
        <v>2018</v>
      </c>
      <c r="D365">
        <v>6</v>
      </c>
      <c r="E365" t="s">
        <v>100</v>
      </c>
      <c r="F365" t="s">
        <v>426</v>
      </c>
      <c r="G365" t="s">
        <v>84</v>
      </c>
      <c r="H365" t="s">
        <v>59</v>
      </c>
      <c r="I365" t="s">
        <v>427</v>
      </c>
      <c r="J365">
        <v>-5.0270883800000004</v>
      </c>
      <c r="K365" t="s">
        <v>440</v>
      </c>
      <c r="L365" t="s">
        <v>452</v>
      </c>
      <c r="M365">
        <v>1.4858046103299999E-3</v>
      </c>
      <c r="N365">
        <v>7.4692710842326326E-3</v>
      </c>
      <c r="O365">
        <v>30169.468000000001</v>
      </c>
      <c r="P365">
        <v>4.8744250000000003E-6</v>
      </c>
      <c r="Q365">
        <v>0.29411799999999999</v>
      </c>
      <c r="R365" s="61">
        <v>2.1968470727523328E-3</v>
      </c>
      <c r="S365" t="s">
        <v>343</v>
      </c>
      <c r="T365" t="s">
        <v>435</v>
      </c>
      <c r="U365" t="s">
        <v>425</v>
      </c>
      <c r="V365" t="s">
        <v>28</v>
      </c>
      <c r="W365">
        <v>111.133</v>
      </c>
      <c r="X365">
        <v>1.027287859172453</v>
      </c>
      <c r="Y365">
        <v>114.1655816534122</v>
      </c>
      <c r="Z365">
        <v>625.54</v>
      </c>
      <c r="AA365">
        <v>1</v>
      </c>
      <c r="AB365">
        <v>71.4151379474755</v>
      </c>
      <c r="AC365">
        <v>1.0064</v>
      </c>
      <c r="AD365" s="63">
        <v>71.872</v>
      </c>
      <c r="AE365">
        <v>8.9176000000000002</v>
      </c>
      <c r="AF365">
        <v>9.1609422129562699</v>
      </c>
      <c r="AG365">
        <v>1</v>
      </c>
      <c r="AH365">
        <v>5730.5357918926647</v>
      </c>
      <c r="AI365">
        <v>0.98887576294546164</v>
      </c>
      <c r="AJ365" s="63">
        <v>5666.7879999999996</v>
      </c>
      <c r="AK365" s="61">
        <v>12.449066629708049</v>
      </c>
      <c r="AL365" t="s">
        <v>343</v>
      </c>
      <c r="AM365" t="s">
        <v>435</v>
      </c>
      <c r="AN365" t="s">
        <v>425</v>
      </c>
      <c r="AO365" t="s">
        <v>28</v>
      </c>
      <c r="AP365">
        <v>111.133</v>
      </c>
      <c r="AQ365">
        <v>1.027287859172453</v>
      </c>
      <c r="AR365">
        <v>114.1655816534122</v>
      </c>
      <c r="AS365">
        <v>636.15</v>
      </c>
      <c r="AT365">
        <v>1</v>
      </c>
      <c r="AU365">
        <v>72.6264347688182</v>
      </c>
      <c r="AV365">
        <v>1.0064</v>
      </c>
      <c r="AW365" s="63">
        <v>73.090999999999994</v>
      </c>
      <c r="AX365">
        <v>8.9176000000000002</v>
      </c>
      <c r="AY365">
        <v>1</v>
      </c>
      <c r="AZ365">
        <v>5827.7333887721306</v>
      </c>
      <c r="BA365">
        <v>0.98887576294546164</v>
      </c>
      <c r="BB365" s="63">
        <v>5762.9043000000001</v>
      </c>
      <c r="BC365" s="61">
        <v>12.660219442006831</v>
      </c>
    </row>
    <row r="366" spans="1:55" x14ac:dyDescent="0.25">
      <c r="A366">
        <v>77207</v>
      </c>
      <c r="B366" t="s">
        <v>139</v>
      </c>
      <c r="C366">
        <v>2018</v>
      </c>
      <c r="D366">
        <v>7</v>
      </c>
      <c r="E366" t="s">
        <v>100</v>
      </c>
      <c r="F366" t="s">
        <v>426</v>
      </c>
      <c r="G366" t="s">
        <v>84</v>
      </c>
      <c r="H366" t="s">
        <v>381</v>
      </c>
      <c r="I366" t="s">
        <v>427</v>
      </c>
      <c r="J366">
        <v>-9.5738342799999998</v>
      </c>
      <c r="K366" t="s">
        <v>440</v>
      </c>
      <c r="L366" t="s">
        <v>450</v>
      </c>
      <c r="M366">
        <v>0.15011157993331001</v>
      </c>
      <c r="N366">
        <v>1.437143389548321</v>
      </c>
      <c r="O366">
        <v>30169.468000000001</v>
      </c>
      <c r="P366">
        <v>4.8744250000000003E-6</v>
      </c>
      <c r="Q366">
        <v>0.29411799999999999</v>
      </c>
      <c r="R366" s="61">
        <v>0.42268973944717297</v>
      </c>
      <c r="S366" t="s">
        <v>343</v>
      </c>
      <c r="T366" t="s">
        <v>435</v>
      </c>
      <c r="U366" t="s">
        <v>425</v>
      </c>
      <c r="V366" t="s">
        <v>26</v>
      </c>
      <c r="W366">
        <v>111.133</v>
      </c>
      <c r="X366">
        <v>1.027287859172453</v>
      </c>
      <c r="Y366">
        <v>114.1655816534122</v>
      </c>
      <c r="Z366">
        <v>625.54</v>
      </c>
      <c r="AA366">
        <v>1</v>
      </c>
      <c r="AB366">
        <v>71.4151379474755</v>
      </c>
      <c r="AC366">
        <v>0.97960000000000003</v>
      </c>
      <c r="AD366" s="63">
        <v>69.957999999999998</v>
      </c>
      <c r="AE366">
        <v>8.9176000000000002</v>
      </c>
      <c r="AF366">
        <v>9.1609422129562699</v>
      </c>
      <c r="AG366">
        <v>1</v>
      </c>
      <c r="AH366">
        <v>5730.5357918926647</v>
      </c>
      <c r="AI366">
        <v>0.98541811328241247</v>
      </c>
      <c r="AJ366" s="63">
        <v>5646.9737999999998</v>
      </c>
      <c r="AK366" s="61">
        <v>2386.9178841870121</v>
      </c>
      <c r="AL366" t="s">
        <v>346</v>
      </c>
      <c r="AM366" t="s">
        <v>436</v>
      </c>
      <c r="AN366" t="s">
        <v>425</v>
      </c>
      <c r="AO366" t="s">
        <v>26</v>
      </c>
      <c r="AP366">
        <v>111.133</v>
      </c>
      <c r="AQ366">
        <v>1.0368587857491129</v>
      </c>
      <c r="AR366">
        <v>115.2292274366562</v>
      </c>
      <c r="AS366">
        <v>652.41</v>
      </c>
      <c r="AT366">
        <v>1</v>
      </c>
      <c r="AU366">
        <v>75.17670027194886</v>
      </c>
      <c r="AV366">
        <v>0.96209999999999996</v>
      </c>
      <c r="AW366" s="63">
        <v>72.328000000000003</v>
      </c>
      <c r="AX366">
        <v>8.9176000000000002</v>
      </c>
      <c r="AY366">
        <v>1</v>
      </c>
      <c r="AZ366">
        <v>6032.3733035653786</v>
      </c>
      <c r="BA366">
        <v>0.95992461065370505</v>
      </c>
      <c r="BB366" s="63">
        <v>5790.6235999999999</v>
      </c>
      <c r="BC366" s="61">
        <v>2447.637180720651</v>
      </c>
    </row>
    <row r="367" spans="1:55" x14ac:dyDescent="0.25">
      <c r="A367">
        <v>77209</v>
      </c>
      <c r="B367" t="s">
        <v>139</v>
      </c>
      <c r="C367">
        <v>2018</v>
      </c>
      <c r="D367">
        <v>7</v>
      </c>
      <c r="E367" t="s">
        <v>100</v>
      </c>
      <c r="F367" t="s">
        <v>426</v>
      </c>
      <c r="G367" t="s">
        <v>84</v>
      </c>
      <c r="H367" t="s">
        <v>381</v>
      </c>
      <c r="I367" t="s">
        <v>427</v>
      </c>
      <c r="J367">
        <v>-9.5738342799999998</v>
      </c>
      <c r="K367" t="s">
        <v>440</v>
      </c>
      <c r="L367" t="s">
        <v>384</v>
      </c>
      <c r="M367">
        <v>4.5811354346740003E-2</v>
      </c>
      <c r="N367">
        <v>0.43859031458414272</v>
      </c>
      <c r="O367">
        <v>30169.468000000001</v>
      </c>
      <c r="P367">
        <v>4.8744250000000003E-6</v>
      </c>
      <c r="Q367">
        <v>0.29411799999999999</v>
      </c>
      <c r="R367" s="61">
        <v>0.12899730614485891</v>
      </c>
      <c r="S367" t="s">
        <v>343</v>
      </c>
      <c r="T367" t="s">
        <v>435</v>
      </c>
      <c r="U367" t="s">
        <v>425</v>
      </c>
      <c r="V367" t="s">
        <v>81</v>
      </c>
      <c r="W367">
        <v>111.133</v>
      </c>
      <c r="X367">
        <v>1.027287859172453</v>
      </c>
      <c r="Y367">
        <v>114.1655816534122</v>
      </c>
      <c r="Z367">
        <v>625.54</v>
      </c>
      <c r="AA367">
        <v>1</v>
      </c>
      <c r="AB367">
        <v>71.4151379474755</v>
      </c>
      <c r="AC367">
        <v>0.92730000000000001</v>
      </c>
      <c r="AD367" s="63">
        <v>66.222999999999999</v>
      </c>
      <c r="AE367">
        <v>8.9176000000000002</v>
      </c>
      <c r="AF367">
        <v>9.1609422129562699</v>
      </c>
      <c r="AG367">
        <v>1</v>
      </c>
      <c r="AH367">
        <v>5730.5357918926647</v>
      </c>
      <c r="AI367">
        <v>1.094557195571956</v>
      </c>
      <c r="AJ367" s="63">
        <v>6272.3991999999998</v>
      </c>
      <c r="AK367" s="61">
        <v>809.1225998651679</v>
      </c>
      <c r="AL367" t="s">
        <v>346</v>
      </c>
      <c r="AM367" t="s">
        <v>436</v>
      </c>
      <c r="AN367" t="s">
        <v>425</v>
      </c>
      <c r="AO367" t="s">
        <v>81</v>
      </c>
      <c r="AP367">
        <v>111.133</v>
      </c>
      <c r="AQ367">
        <v>1.0368587857491129</v>
      </c>
      <c r="AR367">
        <v>115.2292274366562</v>
      </c>
      <c r="AS367">
        <v>652.41</v>
      </c>
      <c r="AT367">
        <v>1</v>
      </c>
      <c r="AU367">
        <v>75.17670027194886</v>
      </c>
      <c r="AV367">
        <v>0.90990000000000004</v>
      </c>
      <c r="AW367" s="63">
        <v>68.403000000000006</v>
      </c>
      <c r="AX367">
        <v>8.9176000000000002</v>
      </c>
      <c r="AY367">
        <v>1</v>
      </c>
      <c r="AZ367">
        <v>6032.3733035653786</v>
      </c>
      <c r="BA367">
        <v>1.053620848708487</v>
      </c>
      <c r="BB367" s="63">
        <v>6355.8343000000004</v>
      </c>
      <c r="BC367" s="61">
        <v>819.88550300309487</v>
      </c>
    </row>
    <row r="368" spans="1:55" x14ac:dyDescent="0.25">
      <c r="A368">
        <v>77211</v>
      </c>
      <c r="B368" t="s">
        <v>139</v>
      </c>
      <c r="C368">
        <v>2018</v>
      </c>
      <c r="D368">
        <v>7</v>
      </c>
      <c r="E368" t="s">
        <v>100</v>
      </c>
      <c r="F368" t="s">
        <v>426</v>
      </c>
      <c r="G368" t="s">
        <v>84</v>
      </c>
      <c r="H368" t="s">
        <v>381</v>
      </c>
      <c r="I368" t="s">
        <v>427</v>
      </c>
      <c r="J368">
        <v>-9.5738342799999998</v>
      </c>
      <c r="K368" t="s">
        <v>440</v>
      </c>
      <c r="L368" t="s">
        <v>385</v>
      </c>
      <c r="M368">
        <v>0.43232641346992001</v>
      </c>
      <c r="N368">
        <v>4.1390214367303368</v>
      </c>
      <c r="O368">
        <v>30169.468000000001</v>
      </c>
      <c r="P368">
        <v>4.8744250000000003E-6</v>
      </c>
      <c r="Q368">
        <v>0.29411799999999999</v>
      </c>
      <c r="R368" s="61">
        <v>1.217360706928253</v>
      </c>
      <c r="S368" t="s">
        <v>343</v>
      </c>
      <c r="T368" t="s">
        <v>435</v>
      </c>
      <c r="U368" t="s">
        <v>425</v>
      </c>
      <c r="V368" t="s">
        <v>27</v>
      </c>
      <c r="W368">
        <v>111.133</v>
      </c>
      <c r="X368">
        <v>1.027287859172453</v>
      </c>
      <c r="Y368">
        <v>114.1655816534122</v>
      </c>
      <c r="Z368">
        <v>625.54</v>
      </c>
      <c r="AA368">
        <v>1</v>
      </c>
      <c r="AB368">
        <v>71.4151379474755</v>
      </c>
      <c r="AC368">
        <v>0.95599999999999996</v>
      </c>
      <c r="AD368" s="63">
        <v>68.272999999999996</v>
      </c>
      <c r="AE368">
        <v>8.9176000000000002</v>
      </c>
      <c r="AF368">
        <v>9.1609422129562699</v>
      </c>
      <c r="AG368">
        <v>1</v>
      </c>
      <c r="AH368">
        <v>5730.5357918926647</v>
      </c>
      <c r="AI368">
        <v>1.0027686628383921</v>
      </c>
      <c r="AJ368" s="63">
        <v>5746.4017000000003</v>
      </c>
      <c r="AK368" s="61">
        <v>6995.4436358057164</v>
      </c>
      <c r="AL368" t="s">
        <v>346</v>
      </c>
      <c r="AM368" t="s">
        <v>436</v>
      </c>
      <c r="AN368" t="s">
        <v>425</v>
      </c>
      <c r="AO368" t="s">
        <v>27</v>
      </c>
      <c r="AP368">
        <v>111.133</v>
      </c>
      <c r="AQ368">
        <v>1.0368587857491129</v>
      </c>
      <c r="AR368">
        <v>115.2292274366562</v>
      </c>
      <c r="AS368">
        <v>652.41</v>
      </c>
      <c r="AT368">
        <v>1</v>
      </c>
      <c r="AU368">
        <v>75.17670027194886</v>
      </c>
      <c r="AV368">
        <v>0.93979999999999997</v>
      </c>
      <c r="AW368" s="63">
        <v>70.650999999999996</v>
      </c>
      <c r="AX368">
        <v>8.9176000000000002</v>
      </c>
      <c r="AY368">
        <v>1</v>
      </c>
      <c r="AZ368">
        <v>6032.3733035653786</v>
      </c>
      <c r="BA368">
        <v>0.95477850697292876</v>
      </c>
      <c r="BB368" s="63">
        <v>5759.5803999999998</v>
      </c>
      <c r="BC368" s="61">
        <v>7011.4868673541114</v>
      </c>
    </row>
    <row r="369" spans="1:55" x14ac:dyDescent="0.25">
      <c r="A369">
        <v>77213</v>
      </c>
      <c r="B369" t="s">
        <v>139</v>
      </c>
      <c r="C369">
        <v>2018</v>
      </c>
      <c r="D369">
        <v>7</v>
      </c>
      <c r="E369" t="s">
        <v>100</v>
      </c>
      <c r="F369" t="s">
        <v>426</v>
      </c>
      <c r="G369" t="s">
        <v>84</v>
      </c>
      <c r="H369" t="s">
        <v>381</v>
      </c>
      <c r="I369" t="s">
        <v>427</v>
      </c>
      <c r="J369">
        <v>-9.5738342799999998</v>
      </c>
      <c r="K369" t="s">
        <v>440</v>
      </c>
      <c r="L369" t="s">
        <v>451</v>
      </c>
      <c r="M369">
        <v>1.6825115802299999E-3</v>
      </c>
      <c r="N369">
        <v>1.6108087040588689E-2</v>
      </c>
      <c r="O369">
        <v>30169.468000000001</v>
      </c>
      <c r="P369">
        <v>4.8744250000000003E-6</v>
      </c>
      <c r="Q369">
        <v>0.29411799999999999</v>
      </c>
      <c r="R369" s="61">
        <v>4.7376783442038628E-3</v>
      </c>
      <c r="S369" t="s">
        <v>343</v>
      </c>
      <c r="T369" t="s">
        <v>435</v>
      </c>
      <c r="U369" t="s">
        <v>425</v>
      </c>
      <c r="V369" t="s">
        <v>91</v>
      </c>
      <c r="W369">
        <v>111.133</v>
      </c>
      <c r="X369">
        <v>1.027287859172453</v>
      </c>
      <c r="Y369">
        <v>114.1655816534122</v>
      </c>
      <c r="Z369">
        <v>625.54</v>
      </c>
      <c r="AA369">
        <v>1</v>
      </c>
      <c r="AB369">
        <v>71.4151379474755</v>
      </c>
      <c r="AC369">
        <v>1.0056</v>
      </c>
      <c r="AD369" s="63">
        <v>71.814999999999998</v>
      </c>
      <c r="AE369">
        <v>8.9176000000000002</v>
      </c>
      <c r="AF369">
        <v>9.1609422129562699</v>
      </c>
      <c r="AG369">
        <v>1</v>
      </c>
      <c r="AH369">
        <v>5730.5357918926647</v>
      </c>
      <c r="AI369">
        <v>0.98408824677860207</v>
      </c>
      <c r="AJ369" s="63">
        <v>5639.3528999999999</v>
      </c>
      <c r="AK369" s="61">
        <v>26.71744010965325</v>
      </c>
      <c r="AL369" t="s">
        <v>346</v>
      </c>
      <c r="AM369" t="s">
        <v>436</v>
      </c>
      <c r="AN369" t="s">
        <v>425</v>
      </c>
      <c r="AO369" t="s">
        <v>91</v>
      </c>
      <c r="AP369">
        <v>111.133</v>
      </c>
      <c r="AQ369">
        <v>1.0368587857491129</v>
      </c>
      <c r="AR369">
        <v>115.2292274366562</v>
      </c>
      <c r="AS369">
        <v>652.41</v>
      </c>
      <c r="AT369">
        <v>1</v>
      </c>
      <c r="AU369">
        <v>75.17670027194886</v>
      </c>
      <c r="AV369">
        <v>0.99250000000000005</v>
      </c>
      <c r="AW369" s="63">
        <v>74.613</v>
      </c>
      <c r="AX369">
        <v>8.9176000000000002</v>
      </c>
      <c r="AY369">
        <v>1</v>
      </c>
      <c r="AZ369">
        <v>6032.3733035653786</v>
      </c>
      <c r="BA369">
        <v>0.96573604060913698</v>
      </c>
      <c r="BB369" s="63">
        <v>5825.6803</v>
      </c>
      <c r="BC369" s="61">
        <v>27.60019939756506</v>
      </c>
    </row>
    <row r="370" spans="1:55" x14ac:dyDescent="0.25">
      <c r="A370">
        <v>77215</v>
      </c>
      <c r="B370" t="s">
        <v>139</v>
      </c>
      <c r="C370">
        <v>2018</v>
      </c>
      <c r="D370">
        <v>7</v>
      </c>
      <c r="E370" t="s">
        <v>100</v>
      </c>
      <c r="F370" t="s">
        <v>426</v>
      </c>
      <c r="G370" t="s">
        <v>84</v>
      </c>
      <c r="H370" t="s">
        <v>381</v>
      </c>
      <c r="I370" t="s">
        <v>427</v>
      </c>
      <c r="J370">
        <v>-9.5738342799999998</v>
      </c>
      <c r="K370" t="s">
        <v>440</v>
      </c>
      <c r="L370" t="s">
        <v>452</v>
      </c>
      <c r="M370">
        <v>1.53682162831E-3</v>
      </c>
      <c r="N370">
        <v>1.471327558488047E-2</v>
      </c>
      <c r="O370">
        <v>30169.468000000001</v>
      </c>
      <c r="P370">
        <v>4.8744250000000003E-6</v>
      </c>
      <c r="Q370">
        <v>0.29411799999999999</v>
      </c>
      <c r="R370" s="61">
        <v>4.3274391884738734E-3</v>
      </c>
      <c r="S370" t="s">
        <v>343</v>
      </c>
      <c r="T370" t="s">
        <v>435</v>
      </c>
      <c r="U370" t="s">
        <v>425</v>
      </c>
      <c r="V370" t="s">
        <v>28</v>
      </c>
      <c r="W370">
        <v>111.133</v>
      </c>
      <c r="X370">
        <v>1.027287859172453</v>
      </c>
      <c r="Y370">
        <v>114.1655816534122</v>
      </c>
      <c r="Z370">
        <v>625.54</v>
      </c>
      <c r="AA370">
        <v>1</v>
      </c>
      <c r="AB370">
        <v>71.4151379474755</v>
      </c>
      <c r="AC370">
        <v>1.0064</v>
      </c>
      <c r="AD370" s="63">
        <v>71.872</v>
      </c>
      <c r="AE370">
        <v>8.9176000000000002</v>
      </c>
      <c r="AF370">
        <v>9.1609422129562699</v>
      </c>
      <c r="AG370">
        <v>1</v>
      </c>
      <c r="AH370">
        <v>5730.5357918926647</v>
      </c>
      <c r="AI370">
        <v>0.98887576294546164</v>
      </c>
      <c r="AJ370" s="63">
        <v>5666.7879999999996</v>
      </c>
      <c r="AK370" s="61">
        <v>24.522680463973479</v>
      </c>
      <c r="AL370" t="s">
        <v>346</v>
      </c>
      <c r="AM370" t="s">
        <v>436</v>
      </c>
      <c r="AN370" t="s">
        <v>425</v>
      </c>
      <c r="AO370" t="s">
        <v>28</v>
      </c>
      <c r="AP370">
        <v>111.133</v>
      </c>
      <c r="AQ370">
        <v>1.0368587857491129</v>
      </c>
      <c r="AR370">
        <v>115.2292274366562</v>
      </c>
      <c r="AS370">
        <v>652.41</v>
      </c>
      <c r="AT370">
        <v>1</v>
      </c>
      <c r="AU370">
        <v>75.17670027194886</v>
      </c>
      <c r="AV370">
        <v>0.99760000000000004</v>
      </c>
      <c r="AW370" s="63">
        <v>74.995999999999995</v>
      </c>
      <c r="AX370">
        <v>8.9176000000000002</v>
      </c>
      <c r="AY370">
        <v>1</v>
      </c>
      <c r="AZ370">
        <v>6032.3733035653786</v>
      </c>
      <c r="BA370">
        <v>0.96062216971844849</v>
      </c>
      <c r="BB370" s="63">
        <v>5794.8315000000002</v>
      </c>
      <c r="BC370" s="61">
        <v>25.076780923702842</v>
      </c>
    </row>
    <row r="371" spans="1:55" x14ac:dyDescent="0.25">
      <c r="A371">
        <v>77217</v>
      </c>
      <c r="B371" t="s">
        <v>139</v>
      </c>
      <c r="C371">
        <v>2018</v>
      </c>
      <c r="D371">
        <v>7</v>
      </c>
      <c r="E371" t="s">
        <v>100</v>
      </c>
      <c r="F371" t="s">
        <v>426</v>
      </c>
      <c r="G371" t="s">
        <v>84</v>
      </c>
      <c r="H371" t="s">
        <v>87</v>
      </c>
      <c r="I371" t="s">
        <v>427</v>
      </c>
      <c r="J371">
        <v>-1.75927561</v>
      </c>
      <c r="K371" t="s">
        <v>440</v>
      </c>
      <c r="L371" t="s">
        <v>450</v>
      </c>
      <c r="M371">
        <v>0.26601384014995</v>
      </c>
      <c r="N371">
        <v>0.46799166164753558</v>
      </c>
      <c r="O371">
        <v>30169.468000000001</v>
      </c>
      <c r="P371">
        <v>4.8744250000000003E-6</v>
      </c>
      <c r="Q371">
        <v>0.29411799999999999</v>
      </c>
      <c r="R371" s="61">
        <v>0.13764477154044991</v>
      </c>
      <c r="S371" t="s">
        <v>343</v>
      </c>
      <c r="T371" t="s">
        <v>435</v>
      </c>
      <c r="U371" t="s">
        <v>425</v>
      </c>
      <c r="V371" t="s">
        <v>26</v>
      </c>
      <c r="W371">
        <v>111.133</v>
      </c>
      <c r="X371">
        <v>1.027287859172453</v>
      </c>
      <c r="Y371">
        <v>114.1655816534122</v>
      </c>
      <c r="Z371">
        <v>625.54</v>
      </c>
      <c r="AA371">
        <v>1</v>
      </c>
      <c r="AB371">
        <v>71.4151379474755</v>
      </c>
      <c r="AC371">
        <v>0.97960000000000003</v>
      </c>
      <c r="AD371" s="63">
        <v>69.957999999999998</v>
      </c>
      <c r="AE371">
        <v>8.9176000000000002</v>
      </c>
      <c r="AF371">
        <v>9.1609422129562699</v>
      </c>
      <c r="AG371">
        <v>1</v>
      </c>
      <c r="AH371">
        <v>5730.5357918926647</v>
      </c>
      <c r="AI371">
        <v>0.98541811328241247</v>
      </c>
      <c r="AJ371" s="63">
        <v>5646.9737999999998</v>
      </c>
      <c r="AK371" s="61">
        <v>777.27641859590608</v>
      </c>
      <c r="AL371" t="s">
        <v>346</v>
      </c>
      <c r="AM371" t="s">
        <v>436</v>
      </c>
      <c r="AN371" t="s">
        <v>425</v>
      </c>
      <c r="AO371" t="s">
        <v>26</v>
      </c>
      <c r="AP371">
        <v>111.133</v>
      </c>
      <c r="AQ371">
        <v>1.0368587857491129</v>
      </c>
      <c r="AR371">
        <v>115.2292274366562</v>
      </c>
      <c r="AS371">
        <v>652.41</v>
      </c>
      <c r="AT371">
        <v>1</v>
      </c>
      <c r="AU371">
        <v>75.17670027194886</v>
      </c>
      <c r="AV371">
        <v>0.96209999999999996</v>
      </c>
      <c r="AW371" s="63">
        <v>72.328000000000003</v>
      </c>
      <c r="AX371">
        <v>8.9176000000000002</v>
      </c>
      <c r="AY371">
        <v>1</v>
      </c>
      <c r="AZ371">
        <v>6032.3733035653786</v>
      </c>
      <c r="BA371">
        <v>0.95992461065370505</v>
      </c>
      <c r="BB371" s="63">
        <v>5790.6235999999999</v>
      </c>
      <c r="BC371" s="61">
        <v>797.04906249873738</v>
      </c>
    </row>
    <row r="372" spans="1:55" x14ac:dyDescent="0.25">
      <c r="A372">
        <v>77219</v>
      </c>
      <c r="B372" t="s">
        <v>139</v>
      </c>
      <c r="C372">
        <v>2018</v>
      </c>
      <c r="D372">
        <v>7</v>
      </c>
      <c r="E372" t="s">
        <v>100</v>
      </c>
      <c r="F372" t="s">
        <v>426</v>
      </c>
      <c r="G372" t="s">
        <v>84</v>
      </c>
      <c r="H372" t="s">
        <v>87</v>
      </c>
      <c r="I372" t="s">
        <v>427</v>
      </c>
      <c r="J372">
        <v>-1.75927561</v>
      </c>
      <c r="K372" t="s">
        <v>440</v>
      </c>
      <c r="L372" t="s">
        <v>384</v>
      </c>
      <c r="M372">
        <v>3.9509559941419997E-2</v>
      </c>
      <c r="N372">
        <v>6.9508205278061092E-2</v>
      </c>
      <c r="O372">
        <v>30169.468000000001</v>
      </c>
      <c r="P372">
        <v>4.8744250000000003E-6</v>
      </c>
      <c r="Q372">
        <v>0.29411799999999999</v>
      </c>
      <c r="R372" s="61">
        <v>2.0443614319972769E-2</v>
      </c>
      <c r="S372" t="s">
        <v>343</v>
      </c>
      <c r="T372" t="s">
        <v>435</v>
      </c>
      <c r="U372" t="s">
        <v>425</v>
      </c>
      <c r="V372" t="s">
        <v>81</v>
      </c>
      <c r="W372">
        <v>111.133</v>
      </c>
      <c r="X372">
        <v>1.027287859172453</v>
      </c>
      <c r="Y372">
        <v>114.1655816534122</v>
      </c>
      <c r="Z372">
        <v>625.54</v>
      </c>
      <c r="AA372">
        <v>1</v>
      </c>
      <c r="AB372">
        <v>71.4151379474755</v>
      </c>
      <c r="AC372">
        <v>0.92730000000000001</v>
      </c>
      <c r="AD372" s="63">
        <v>66.222999999999999</v>
      </c>
      <c r="AE372">
        <v>8.9176000000000002</v>
      </c>
      <c r="AF372">
        <v>9.1609422129562699</v>
      </c>
      <c r="AG372">
        <v>1</v>
      </c>
      <c r="AH372">
        <v>5730.5357918926647</v>
      </c>
      <c r="AI372">
        <v>1.094557195571956</v>
      </c>
      <c r="AJ372" s="63">
        <v>6272.3991999999998</v>
      </c>
      <c r="AK372" s="61">
        <v>128.23051010570569</v>
      </c>
      <c r="AL372" t="s">
        <v>346</v>
      </c>
      <c r="AM372" t="s">
        <v>436</v>
      </c>
      <c r="AN372" t="s">
        <v>425</v>
      </c>
      <c r="AO372" t="s">
        <v>81</v>
      </c>
      <c r="AP372">
        <v>111.133</v>
      </c>
      <c r="AQ372">
        <v>1.0368587857491129</v>
      </c>
      <c r="AR372">
        <v>115.2292274366562</v>
      </c>
      <c r="AS372">
        <v>652.41</v>
      </c>
      <c r="AT372">
        <v>1</v>
      </c>
      <c r="AU372">
        <v>75.17670027194886</v>
      </c>
      <c r="AV372">
        <v>0.90990000000000004</v>
      </c>
      <c r="AW372" s="63">
        <v>68.403000000000006</v>
      </c>
      <c r="AX372">
        <v>8.9176000000000002</v>
      </c>
      <c r="AY372">
        <v>1</v>
      </c>
      <c r="AZ372">
        <v>6032.3733035653786</v>
      </c>
      <c r="BA372">
        <v>1.053620848708487</v>
      </c>
      <c r="BB372" s="63">
        <v>6355.8343000000004</v>
      </c>
      <c r="BC372" s="61">
        <v>129.93622511085411</v>
      </c>
    </row>
    <row r="373" spans="1:55" x14ac:dyDescent="0.25">
      <c r="A373">
        <v>77221</v>
      </c>
      <c r="B373" t="s">
        <v>139</v>
      </c>
      <c r="C373">
        <v>2018</v>
      </c>
      <c r="D373">
        <v>7</v>
      </c>
      <c r="E373" t="s">
        <v>100</v>
      </c>
      <c r="F373" t="s">
        <v>426</v>
      </c>
      <c r="G373" t="s">
        <v>84</v>
      </c>
      <c r="H373" t="s">
        <v>87</v>
      </c>
      <c r="I373" t="s">
        <v>427</v>
      </c>
      <c r="J373">
        <v>-1.75927561</v>
      </c>
      <c r="K373" t="s">
        <v>440</v>
      </c>
      <c r="L373" t="s">
        <v>385</v>
      </c>
      <c r="M373">
        <v>0.39737542925016001</v>
      </c>
      <c r="N373">
        <v>0.69909290181238737</v>
      </c>
      <c r="O373">
        <v>30169.468000000001</v>
      </c>
      <c r="P373">
        <v>4.8744250000000003E-6</v>
      </c>
      <c r="Q373">
        <v>0.29411799999999999</v>
      </c>
      <c r="R373" s="61">
        <v>0.2056158060952557</v>
      </c>
      <c r="S373" t="s">
        <v>343</v>
      </c>
      <c r="T373" t="s">
        <v>435</v>
      </c>
      <c r="U373" t="s">
        <v>425</v>
      </c>
      <c r="V373" t="s">
        <v>27</v>
      </c>
      <c r="W373">
        <v>111.133</v>
      </c>
      <c r="X373">
        <v>1.027287859172453</v>
      </c>
      <c r="Y373">
        <v>114.1655816534122</v>
      </c>
      <c r="Z373">
        <v>625.54</v>
      </c>
      <c r="AA373">
        <v>1</v>
      </c>
      <c r="AB373">
        <v>71.4151379474755</v>
      </c>
      <c r="AC373">
        <v>0.95599999999999996</v>
      </c>
      <c r="AD373" s="63">
        <v>68.272999999999996</v>
      </c>
      <c r="AE373">
        <v>8.9176000000000002</v>
      </c>
      <c r="AF373">
        <v>9.1609422129562699</v>
      </c>
      <c r="AG373">
        <v>1</v>
      </c>
      <c r="AH373">
        <v>5730.5357918926647</v>
      </c>
      <c r="AI373">
        <v>1.0027686628383921</v>
      </c>
      <c r="AJ373" s="63">
        <v>5746.4017000000003</v>
      </c>
      <c r="AK373" s="61">
        <v>1181.551017692648</v>
      </c>
      <c r="AL373" t="s">
        <v>346</v>
      </c>
      <c r="AM373" t="s">
        <v>436</v>
      </c>
      <c r="AN373" t="s">
        <v>425</v>
      </c>
      <c r="AO373" t="s">
        <v>27</v>
      </c>
      <c r="AP373">
        <v>111.133</v>
      </c>
      <c r="AQ373">
        <v>1.0368587857491129</v>
      </c>
      <c r="AR373">
        <v>115.2292274366562</v>
      </c>
      <c r="AS373">
        <v>652.41</v>
      </c>
      <c r="AT373">
        <v>1</v>
      </c>
      <c r="AU373">
        <v>75.17670027194886</v>
      </c>
      <c r="AV373">
        <v>0.93979999999999997</v>
      </c>
      <c r="AW373" s="63">
        <v>70.650999999999996</v>
      </c>
      <c r="AX373">
        <v>8.9176000000000002</v>
      </c>
      <c r="AY373">
        <v>1</v>
      </c>
      <c r="AZ373">
        <v>6032.3733035653786</v>
      </c>
      <c r="BA373">
        <v>0.95477850697292876</v>
      </c>
      <c r="BB373" s="63">
        <v>5759.5803999999998</v>
      </c>
      <c r="BC373" s="61">
        <v>1184.260766716435</v>
      </c>
    </row>
    <row r="374" spans="1:55" x14ac:dyDescent="0.25">
      <c r="A374">
        <v>77223</v>
      </c>
      <c r="B374" t="s">
        <v>139</v>
      </c>
      <c r="C374">
        <v>2018</v>
      </c>
      <c r="D374">
        <v>7</v>
      </c>
      <c r="E374" t="s">
        <v>100</v>
      </c>
      <c r="F374" t="s">
        <v>426</v>
      </c>
      <c r="G374" t="s">
        <v>84</v>
      </c>
      <c r="H374" t="s">
        <v>87</v>
      </c>
      <c r="I374" t="s">
        <v>427</v>
      </c>
      <c r="J374">
        <v>-1.75927561</v>
      </c>
      <c r="K374" t="s">
        <v>440</v>
      </c>
      <c r="L374" t="s">
        <v>452</v>
      </c>
      <c r="M374">
        <v>8.4248020759000004E-4</v>
      </c>
      <c r="N374">
        <v>1.4821548834938649E-3</v>
      </c>
      <c r="O374">
        <v>30169.468000000001</v>
      </c>
      <c r="P374">
        <v>4.8744250000000003E-6</v>
      </c>
      <c r="Q374">
        <v>0.29411799999999999</v>
      </c>
      <c r="R374" s="61">
        <v>4.3592843002344868E-4</v>
      </c>
      <c r="S374" t="s">
        <v>343</v>
      </c>
      <c r="T374" t="s">
        <v>435</v>
      </c>
      <c r="U374" t="s">
        <v>425</v>
      </c>
      <c r="V374" t="s">
        <v>28</v>
      </c>
      <c r="W374">
        <v>111.133</v>
      </c>
      <c r="X374">
        <v>1.027287859172453</v>
      </c>
      <c r="Y374">
        <v>114.1655816534122</v>
      </c>
      <c r="Z374">
        <v>625.54</v>
      </c>
      <c r="AA374">
        <v>1</v>
      </c>
      <c r="AB374">
        <v>71.4151379474755</v>
      </c>
      <c r="AC374">
        <v>1.0064</v>
      </c>
      <c r="AD374" s="63">
        <v>71.872</v>
      </c>
      <c r="AE374">
        <v>8.9176000000000002</v>
      </c>
      <c r="AF374">
        <v>9.1609422129562699</v>
      </c>
      <c r="AG374">
        <v>1</v>
      </c>
      <c r="AH374">
        <v>5730.5357918926647</v>
      </c>
      <c r="AI374">
        <v>0.98887576294546164</v>
      </c>
      <c r="AJ374" s="63">
        <v>5666.7879999999996</v>
      </c>
      <c r="AK374" s="61">
        <v>2.4703139961157179</v>
      </c>
      <c r="AL374" t="s">
        <v>346</v>
      </c>
      <c r="AM374" t="s">
        <v>436</v>
      </c>
      <c r="AN374" t="s">
        <v>425</v>
      </c>
      <c r="AO374" t="s">
        <v>28</v>
      </c>
      <c r="AP374">
        <v>111.133</v>
      </c>
      <c r="AQ374">
        <v>1.0368587857491129</v>
      </c>
      <c r="AR374">
        <v>115.2292274366562</v>
      </c>
      <c r="AS374">
        <v>652.41</v>
      </c>
      <c r="AT374">
        <v>1</v>
      </c>
      <c r="AU374">
        <v>75.17670027194886</v>
      </c>
      <c r="AV374">
        <v>0.99760000000000004</v>
      </c>
      <c r="AW374" s="63">
        <v>74.995999999999995</v>
      </c>
      <c r="AX374">
        <v>8.9176000000000002</v>
      </c>
      <c r="AY374">
        <v>1</v>
      </c>
      <c r="AZ374">
        <v>6032.3733035653786</v>
      </c>
      <c r="BA374">
        <v>0.96062216971844849</v>
      </c>
      <c r="BB374" s="63">
        <v>5794.8315000000002</v>
      </c>
      <c r="BC374" s="61">
        <v>2.5261317980454261</v>
      </c>
    </row>
    <row r="375" spans="1:55" x14ac:dyDescent="0.25">
      <c r="A375">
        <v>77225</v>
      </c>
      <c r="B375" t="s">
        <v>139</v>
      </c>
      <c r="C375">
        <v>2018</v>
      </c>
      <c r="D375">
        <v>7</v>
      </c>
      <c r="E375" t="s">
        <v>100</v>
      </c>
      <c r="F375" t="s">
        <v>426</v>
      </c>
      <c r="G375" t="s">
        <v>84</v>
      </c>
      <c r="H375" t="s">
        <v>59</v>
      </c>
      <c r="I375" t="s">
        <v>427</v>
      </c>
      <c r="J375">
        <v>-5.0586077999999999</v>
      </c>
      <c r="K375" t="s">
        <v>440</v>
      </c>
      <c r="L375" t="s">
        <v>450</v>
      </c>
      <c r="M375">
        <v>0.15931709696460999</v>
      </c>
      <c r="N375">
        <v>0.80592270985823311</v>
      </c>
      <c r="O375">
        <v>30169.468000000001</v>
      </c>
      <c r="P375">
        <v>4.8744250000000003E-6</v>
      </c>
      <c r="Q375">
        <v>0.29411799999999999</v>
      </c>
      <c r="R375" s="61">
        <v>0.2370363755780838</v>
      </c>
      <c r="S375" t="s">
        <v>343</v>
      </c>
      <c r="T375" t="s">
        <v>435</v>
      </c>
      <c r="U375" t="s">
        <v>425</v>
      </c>
      <c r="V375" t="s">
        <v>26</v>
      </c>
      <c r="W375">
        <v>111.133</v>
      </c>
      <c r="X375">
        <v>1.027287859172453</v>
      </c>
      <c r="Y375">
        <v>114.1655816534122</v>
      </c>
      <c r="Z375">
        <v>625.54</v>
      </c>
      <c r="AA375">
        <v>1</v>
      </c>
      <c r="AB375">
        <v>71.4151379474755</v>
      </c>
      <c r="AC375">
        <v>0.97960000000000003</v>
      </c>
      <c r="AD375" s="63">
        <v>69.957999999999998</v>
      </c>
      <c r="AE375">
        <v>8.9176000000000002</v>
      </c>
      <c r="AF375">
        <v>9.1609422129562699</v>
      </c>
      <c r="AG375">
        <v>1</v>
      </c>
      <c r="AH375">
        <v>5730.5357918926647</v>
      </c>
      <c r="AI375">
        <v>0.98541811328241247</v>
      </c>
      <c r="AJ375" s="63">
        <v>5646.9737999999998</v>
      </c>
      <c r="AK375" s="61">
        <v>1338.538202536399</v>
      </c>
      <c r="AL375" t="s">
        <v>346</v>
      </c>
      <c r="AM375" t="s">
        <v>436</v>
      </c>
      <c r="AN375" t="s">
        <v>425</v>
      </c>
      <c r="AO375" t="s">
        <v>26</v>
      </c>
      <c r="AP375">
        <v>111.133</v>
      </c>
      <c r="AQ375">
        <v>1.0368587857491129</v>
      </c>
      <c r="AR375">
        <v>115.2292274366562</v>
      </c>
      <c r="AS375">
        <v>652.41</v>
      </c>
      <c r="AT375">
        <v>1</v>
      </c>
      <c r="AU375">
        <v>75.17670027194886</v>
      </c>
      <c r="AV375">
        <v>0.96209999999999996</v>
      </c>
      <c r="AW375" s="63">
        <v>72.328000000000003</v>
      </c>
      <c r="AX375">
        <v>8.9176000000000002</v>
      </c>
      <c r="AY375">
        <v>1</v>
      </c>
      <c r="AZ375">
        <v>6032.3733035653786</v>
      </c>
      <c r="BA375">
        <v>0.95992461065370505</v>
      </c>
      <c r="BB375" s="63">
        <v>5790.6235999999999</v>
      </c>
      <c r="BC375" s="61">
        <v>1372.588430480916</v>
      </c>
    </row>
    <row r="376" spans="1:55" x14ac:dyDescent="0.25">
      <c r="A376">
        <v>77227</v>
      </c>
      <c r="B376" t="s">
        <v>139</v>
      </c>
      <c r="C376">
        <v>2018</v>
      </c>
      <c r="D376">
        <v>7</v>
      </c>
      <c r="E376" t="s">
        <v>100</v>
      </c>
      <c r="F376" t="s">
        <v>426</v>
      </c>
      <c r="G376" t="s">
        <v>84</v>
      </c>
      <c r="H376" t="s">
        <v>59</v>
      </c>
      <c r="I376" t="s">
        <v>427</v>
      </c>
      <c r="J376">
        <v>-5.0586077999999999</v>
      </c>
      <c r="K376" t="s">
        <v>440</v>
      </c>
      <c r="L376" t="s">
        <v>384</v>
      </c>
      <c r="M376">
        <v>4.1785183859599999E-2</v>
      </c>
      <c r="N376">
        <v>0.21137485712242099</v>
      </c>
      <c r="O376">
        <v>30169.468000000001</v>
      </c>
      <c r="P376">
        <v>4.8744250000000003E-6</v>
      </c>
      <c r="Q376">
        <v>0.29411799999999999</v>
      </c>
      <c r="R376" s="61">
        <v>6.2169150227132229E-2</v>
      </c>
      <c r="S376" t="s">
        <v>343</v>
      </c>
      <c r="T376" t="s">
        <v>435</v>
      </c>
      <c r="U376" t="s">
        <v>425</v>
      </c>
      <c r="V376" t="s">
        <v>81</v>
      </c>
      <c r="W376">
        <v>111.133</v>
      </c>
      <c r="X376">
        <v>1.027287859172453</v>
      </c>
      <c r="Y376">
        <v>114.1655816534122</v>
      </c>
      <c r="Z376">
        <v>625.54</v>
      </c>
      <c r="AA376">
        <v>1</v>
      </c>
      <c r="AB376">
        <v>71.4151379474755</v>
      </c>
      <c r="AC376">
        <v>0.92730000000000001</v>
      </c>
      <c r="AD376" s="63">
        <v>66.222999999999999</v>
      </c>
      <c r="AE376">
        <v>8.9176000000000002</v>
      </c>
      <c r="AF376">
        <v>9.1609422129562699</v>
      </c>
      <c r="AG376">
        <v>1</v>
      </c>
      <c r="AH376">
        <v>5730.5357918926647</v>
      </c>
      <c r="AI376">
        <v>1.094557195571956</v>
      </c>
      <c r="AJ376" s="63">
        <v>6272.3991999999998</v>
      </c>
      <c r="AK376" s="61">
        <v>389.94972814934403</v>
      </c>
      <c r="AL376" t="s">
        <v>346</v>
      </c>
      <c r="AM376" t="s">
        <v>436</v>
      </c>
      <c r="AN376" t="s">
        <v>425</v>
      </c>
      <c r="AO376" t="s">
        <v>81</v>
      </c>
      <c r="AP376">
        <v>111.133</v>
      </c>
      <c r="AQ376">
        <v>1.0368587857491129</v>
      </c>
      <c r="AR376">
        <v>115.2292274366562</v>
      </c>
      <c r="AS376">
        <v>652.41</v>
      </c>
      <c r="AT376">
        <v>1</v>
      </c>
      <c r="AU376">
        <v>75.17670027194886</v>
      </c>
      <c r="AV376">
        <v>0.90990000000000004</v>
      </c>
      <c r="AW376" s="63">
        <v>68.403000000000006</v>
      </c>
      <c r="AX376">
        <v>8.9176000000000002</v>
      </c>
      <c r="AY376">
        <v>1</v>
      </c>
      <c r="AZ376">
        <v>6032.3733035653786</v>
      </c>
      <c r="BA376">
        <v>1.053620848708487</v>
      </c>
      <c r="BB376" s="63">
        <v>6355.8343000000004</v>
      </c>
      <c r="BC376" s="61">
        <v>395.13681741545992</v>
      </c>
    </row>
    <row r="377" spans="1:55" x14ac:dyDescent="0.25">
      <c r="A377">
        <v>77229</v>
      </c>
      <c r="B377" t="s">
        <v>139</v>
      </c>
      <c r="C377">
        <v>2018</v>
      </c>
      <c r="D377">
        <v>7</v>
      </c>
      <c r="E377" t="s">
        <v>100</v>
      </c>
      <c r="F377" t="s">
        <v>426</v>
      </c>
      <c r="G377" t="s">
        <v>84</v>
      </c>
      <c r="H377" t="s">
        <v>59</v>
      </c>
      <c r="I377" t="s">
        <v>427</v>
      </c>
      <c r="J377">
        <v>-5.0586077999999999</v>
      </c>
      <c r="K377" t="s">
        <v>440</v>
      </c>
      <c r="L377" t="s">
        <v>385</v>
      </c>
      <c r="M377">
        <v>0.43497567483749999</v>
      </c>
      <c r="N377">
        <v>2.2003713428529439</v>
      </c>
      <c r="O377">
        <v>30169.468000000001</v>
      </c>
      <c r="P377">
        <v>4.8744250000000003E-6</v>
      </c>
      <c r="Q377">
        <v>0.29411799999999999</v>
      </c>
      <c r="R377" s="61">
        <v>0.64716881861722231</v>
      </c>
      <c r="S377" t="s">
        <v>343</v>
      </c>
      <c r="T377" t="s">
        <v>435</v>
      </c>
      <c r="U377" t="s">
        <v>425</v>
      </c>
      <c r="V377" t="s">
        <v>27</v>
      </c>
      <c r="W377">
        <v>111.133</v>
      </c>
      <c r="X377">
        <v>1.027287859172453</v>
      </c>
      <c r="Y377">
        <v>114.1655816534122</v>
      </c>
      <c r="Z377">
        <v>625.54</v>
      </c>
      <c r="AA377">
        <v>1</v>
      </c>
      <c r="AB377">
        <v>71.4151379474755</v>
      </c>
      <c r="AC377">
        <v>0.95599999999999996</v>
      </c>
      <c r="AD377" s="63">
        <v>68.272999999999996</v>
      </c>
      <c r="AE377">
        <v>8.9176000000000002</v>
      </c>
      <c r="AF377">
        <v>9.1609422129562699</v>
      </c>
      <c r="AG377">
        <v>1</v>
      </c>
      <c r="AH377">
        <v>5730.5357918926647</v>
      </c>
      <c r="AI377">
        <v>1.0027686628383921</v>
      </c>
      <c r="AJ377" s="63">
        <v>5746.4017000000003</v>
      </c>
      <c r="AK377" s="61">
        <v>3718.891999488998</v>
      </c>
      <c r="AL377" t="s">
        <v>346</v>
      </c>
      <c r="AM377" t="s">
        <v>436</v>
      </c>
      <c r="AN377" t="s">
        <v>425</v>
      </c>
      <c r="AO377" t="s">
        <v>27</v>
      </c>
      <c r="AP377">
        <v>111.133</v>
      </c>
      <c r="AQ377">
        <v>1.0368587857491129</v>
      </c>
      <c r="AR377">
        <v>115.2292274366562</v>
      </c>
      <c r="AS377">
        <v>652.41</v>
      </c>
      <c r="AT377">
        <v>1</v>
      </c>
      <c r="AU377">
        <v>75.17670027194886</v>
      </c>
      <c r="AV377">
        <v>0.93979999999999997</v>
      </c>
      <c r="AW377" s="63">
        <v>70.650999999999996</v>
      </c>
      <c r="AX377">
        <v>8.9176000000000002</v>
      </c>
      <c r="AY377">
        <v>1</v>
      </c>
      <c r="AZ377">
        <v>6032.3733035653786</v>
      </c>
      <c r="BA377">
        <v>0.95477850697292876</v>
      </c>
      <c r="BB377" s="63">
        <v>5759.5803999999998</v>
      </c>
      <c r="BC377" s="61">
        <v>3727.4208431989091</v>
      </c>
    </row>
    <row r="378" spans="1:55" x14ac:dyDescent="0.25">
      <c r="A378">
        <v>77231</v>
      </c>
      <c r="B378" t="s">
        <v>139</v>
      </c>
      <c r="C378">
        <v>2018</v>
      </c>
      <c r="D378">
        <v>7</v>
      </c>
      <c r="E378" t="s">
        <v>100</v>
      </c>
      <c r="F378" t="s">
        <v>426</v>
      </c>
      <c r="G378" t="s">
        <v>84</v>
      </c>
      <c r="H378" t="s">
        <v>59</v>
      </c>
      <c r="I378" t="s">
        <v>427</v>
      </c>
      <c r="J378">
        <v>-5.0586077999999999</v>
      </c>
      <c r="K378" t="s">
        <v>440</v>
      </c>
      <c r="L378" t="s">
        <v>451</v>
      </c>
      <c r="M378">
        <v>1.7625750762999999E-3</v>
      </c>
      <c r="N378">
        <v>8.9161760343638534E-3</v>
      </c>
      <c r="O378">
        <v>30169.468000000001</v>
      </c>
      <c r="P378">
        <v>4.8744250000000003E-6</v>
      </c>
      <c r="Q378">
        <v>0.29411799999999999</v>
      </c>
      <c r="R378" s="61">
        <v>2.6224078628750281E-3</v>
      </c>
      <c r="S378" t="s">
        <v>343</v>
      </c>
      <c r="T378" t="s">
        <v>435</v>
      </c>
      <c r="U378" t="s">
        <v>425</v>
      </c>
      <c r="V378" t="s">
        <v>91</v>
      </c>
      <c r="W378">
        <v>111.133</v>
      </c>
      <c r="X378">
        <v>1.027287859172453</v>
      </c>
      <c r="Y378">
        <v>114.1655816534122</v>
      </c>
      <c r="Z378">
        <v>625.54</v>
      </c>
      <c r="AA378">
        <v>1</v>
      </c>
      <c r="AB378">
        <v>71.4151379474755</v>
      </c>
      <c r="AC378">
        <v>1.0056</v>
      </c>
      <c r="AD378" s="63">
        <v>71.814999999999998</v>
      </c>
      <c r="AE378">
        <v>8.9176000000000002</v>
      </c>
      <c r="AF378">
        <v>9.1609422129562699</v>
      </c>
      <c r="AG378">
        <v>1</v>
      </c>
      <c r="AH378">
        <v>5730.5357918926647</v>
      </c>
      <c r="AI378">
        <v>0.98408824677860207</v>
      </c>
      <c r="AJ378" s="63">
        <v>5639.3528999999999</v>
      </c>
      <c r="AK378" s="61">
        <v>14.78868338648709</v>
      </c>
      <c r="AL378" t="s">
        <v>346</v>
      </c>
      <c r="AM378" t="s">
        <v>436</v>
      </c>
      <c r="AN378" t="s">
        <v>425</v>
      </c>
      <c r="AO378" t="s">
        <v>91</v>
      </c>
      <c r="AP378">
        <v>111.133</v>
      </c>
      <c r="AQ378">
        <v>1.0368587857491129</v>
      </c>
      <c r="AR378">
        <v>115.2292274366562</v>
      </c>
      <c r="AS378">
        <v>652.41</v>
      </c>
      <c r="AT378">
        <v>1</v>
      </c>
      <c r="AU378">
        <v>75.17670027194886</v>
      </c>
      <c r="AV378">
        <v>0.99250000000000005</v>
      </c>
      <c r="AW378" s="63">
        <v>74.613</v>
      </c>
      <c r="AX378">
        <v>8.9176000000000002</v>
      </c>
      <c r="AY378">
        <v>1</v>
      </c>
      <c r="AZ378">
        <v>6032.3733035653786</v>
      </c>
      <c r="BA378">
        <v>0.96573604060913698</v>
      </c>
      <c r="BB378" s="63">
        <v>5825.6803</v>
      </c>
      <c r="BC378" s="61">
        <v>15.27730982531615</v>
      </c>
    </row>
    <row r="379" spans="1:55" x14ac:dyDescent="0.25">
      <c r="A379">
        <v>77233</v>
      </c>
      <c r="B379" t="s">
        <v>139</v>
      </c>
      <c r="C379">
        <v>2018</v>
      </c>
      <c r="D379">
        <v>7</v>
      </c>
      <c r="E379" t="s">
        <v>100</v>
      </c>
      <c r="F379" t="s">
        <v>426</v>
      </c>
      <c r="G379" t="s">
        <v>84</v>
      </c>
      <c r="H379" t="s">
        <v>59</v>
      </c>
      <c r="I379" t="s">
        <v>427</v>
      </c>
      <c r="J379">
        <v>-5.0586077999999999</v>
      </c>
      <c r="K379" t="s">
        <v>440</v>
      </c>
      <c r="L379" t="s">
        <v>452</v>
      </c>
      <c r="M379">
        <v>1.4858046103299999E-3</v>
      </c>
      <c r="N379">
        <v>7.5161027955650273E-3</v>
      </c>
      <c r="O379">
        <v>30169.468000000001</v>
      </c>
      <c r="P379">
        <v>4.8744250000000003E-6</v>
      </c>
      <c r="Q379">
        <v>0.29411799999999999</v>
      </c>
      <c r="R379" s="61">
        <v>2.2106211220259951E-3</v>
      </c>
      <c r="S379" t="s">
        <v>343</v>
      </c>
      <c r="T379" t="s">
        <v>435</v>
      </c>
      <c r="U379" t="s">
        <v>425</v>
      </c>
      <c r="V379" t="s">
        <v>28</v>
      </c>
      <c r="W379">
        <v>111.133</v>
      </c>
      <c r="X379">
        <v>1.027287859172453</v>
      </c>
      <c r="Y379">
        <v>114.1655816534122</v>
      </c>
      <c r="Z379">
        <v>625.54</v>
      </c>
      <c r="AA379">
        <v>1</v>
      </c>
      <c r="AB379">
        <v>71.4151379474755</v>
      </c>
      <c r="AC379">
        <v>1.0064</v>
      </c>
      <c r="AD379" s="63">
        <v>71.872</v>
      </c>
      <c r="AE379">
        <v>8.9176000000000002</v>
      </c>
      <c r="AF379">
        <v>9.1609422129562699</v>
      </c>
      <c r="AG379">
        <v>1</v>
      </c>
      <c r="AH379">
        <v>5730.5357918926647</v>
      </c>
      <c r="AI379">
        <v>0.98887576294546164</v>
      </c>
      <c r="AJ379" s="63">
        <v>5666.7879999999996</v>
      </c>
      <c r="AK379" s="61">
        <v>12.527121246843439</v>
      </c>
      <c r="AL379" t="s">
        <v>346</v>
      </c>
      <c r="AM379" t="s">
        <v>436</v>
      </c>
      <c r="AN379" t="s">
        <v>425</v>
      </c>
      <c r="AO379" t="s">
        <v>28</v>
      </c>
      <c r="AP379">
        <v>111.133</v>
      </c>
      <c r="AQ379">
        <v>1.0368587857491129</v>
      </c>
      <c r="AR379">
        <v>115.2292274366562</v>
      </c>
      <c r="AS379">
        <v>652.41</v>
      </c>
      <c r="AT379">
        <v>1</v>
      </c>
      <c r="AU379">
        <v>75.17670027194886</v>
      </c>
      <c r="AV379">
        <v>0.99760000000000004</v>
      </c>
      <c r="AW379" s="63">
        <v>74.995999999999995</v>
      </c>
      <c r="AX379">
        <v>8.9176000000000002</v>
      </c>
      <c r="AY379">
        <v>1</v>
      </c>
      <c r="AZ379">
        <v>6032.3733035653786</v>
      </c>
      <c r="BA379">
        <v>0.96062216971844849</v>
      </c>
      <c r="BB379" s="63">
        <v>5794.8315000000002</v>
      </c>
      <c r="BC379" s="61">
        <v>12.81017691248158</v>
      </c>
    </row>
    <row r="380" spans="1:55" x14ac:dyDescent="0.25">
      <c r="A380">
        <v>82855</v>
      </c>
      <c r="B380" t="s">
        <v>140</v>
      </c>
      <c r="C380">
        <v>2018</v>
      </c>
      <c r="D380">
        <v>8</v>
      </c>
      <c r="E380" t="s">
        <v>100</v>
      </c>
      <c r="F380" t="s">
        <v>426</v>
      </c>
      <c r="G380" t="s">
        <v>84</v>
      </c>
      <c r="H380" t="s">
        <v>381</v>
      </c>
      <c r="I380" t="s">
        <v>427</v>
      </c>
      <c r="J380">
        <v>-9.5779341900000006</v>
      </c>
      <c r="K380" t="s">
        <v>440</v>
      </c>
      <c r="L380" t="s">
        <v>450</v>
      </c>
      <c r="M380">
        <v>0.15011157993331001</v>
      </c>
      <c r="N380">
        <v>1.4377588340870111</v>
      </c>
      <c r="O380">
        <v>30169.468000000001</v>
      </c>
      <c r="P380">
        <v>4.8744250000000003E-6</v>
      </c>
      <c r="Q380">
        <v>0.29411799999999999</v>
      </c>
      <c r="R380" s="61">
        <v>0.42287075276400338</v>
      </c>
      <c r="S380" t="s">
        <v>343</v>
      </c>
      <c r="T380" t="s">
        <v>435</v>
      </c>
      <c r="U380" t="s">
        <v>425</v>
      </c>
      <c r="V380" t="s">
        <v>26</v>
      </c>
      <c r="W380">
        <v>111.133</v>
      </c>
      <c r="X380">
        <v>1.027287859172453</v>
      </c>
      <c r="Y380">
        <v>114.1655816534122</v>
      </c>
      <c r="Z380">
        <v>625.54</v>
      </c>
      <c r="AA380">
        <v>1</v>
      </c>
      <c r="AB380">
        <v>71.4151379474755</v>
      </c>
      <c r="AC380">
        <v>0.97960000000000003</v>
      </c>
      <c r="AD380" s="63">
        <v>69.957999999999998</v>
      </c>
      <c r="AE380">
        <v>8.9176000000000002</v>
      </c>
      <c r="AF380">
        <v>9.1609422129562699</v>
      </c>
      <c r="AG380">
        <v>1</v>
      </c>
      <c r="AH380">
        <v>5730.5357918926647</v>
      </c>
      <c r="AI380">
        <v>0.98541811328241247</v>
      </c>
      <c r="AJ380" s="63">
        <v>5646.9737999999998</v>
      </c>
      <c r="AK380" s="61">
        <v>2387.9400616446051</v>
      </c>
      <c r="AL380" t="s">
        <v>346</v>
      </c>
      <c r="AM380" t="s">
        <v>436</v>
      </c>
      <c r="AN380" t="s">
        <v>425</v>
      </c>
      <c r="AO380" t="s">
        <v>26</v>
      </c>
      <c r="AP380">
        <v>111.133</v>
      </c>
      <c r="AQ380">
        <v>1.0368587857491129</v>
      </c>
      <c r="AR380">
        <v>115.2292274366562</v>
      </c>
      <c r="AS380">
        <v>656.25</v>
      </c>
      <c r="AT380">
        <v>1</v>
      </c>
      <c r="AU380">
        <v>75.619180505305636</v>
      </c>
      <c r="AV380">
        <v>0.96209999999999996</v>
      </c>
      <c r="AW380" s="63">
        <v>72.753</v>
      </c>
      <c r="AX380">
        <v>8.9176000000000002</v>
      </c>
      <c r="AY380">
        <v>1</v>
      </c>
      <c r="AZ380">
        <v>6067.879064491317</v>
      </c>
      <c r="BA380">
        <v>0.95992461065370505</v>
      </c>
      <c r="BB380" s="63">
        <v>5824.7064</v>
      </c>
      <c r="BC380" s="61">
        <v>2463.0979799973079</v>
      </c>
    </row>
    <row r="381" spans="1:55" x14ac:dyDescent="0.25">
      <c r="A381">
        <v>82857</v>
      </c>
      <c r="B381" t="s">
        <v>140</v>
      </c>
      <c r="C381">
        <v>2018</v>
      </c>
      <c r="D381">
        <v>8</v>
      </c>
      <c r="E381" t="s">
        <v>100</v>
      </c>
      <c r="F381" t="s">
        <v>426</v>
      </c>
      <c r="G381" t="s">
        <v>84</v>
      </c>
      <c r="H381" t="s">
        <v>381</v>
      </c>
      <c r="I381" t="s">
        <v>427</v>
      </c>
      <c r="J381">
        <v>-9.5779341900000006</v>
      </c>
      <c r="K381" t="s">
        <v>440</v>
      </c>
      <c r="L381" t="s">
        <v>384</v>
      </c>
      <c r="M381">
        <v>4.5811354346740003E-2</v>
      </c>
      <c r="N381">
        <v>0.43877813718820319</v>
      </c>
      <c r="O381">
        <v>30169.468000000001</v>
      </c>
      <c r="P381">
        <v>4.8744250000000003E-6</v>
      </c>
      <c r="Q381">
        <v>0.29411799999999999</v>
      </c>
      <c r="R381" s="61">
        <v>0.12905254815351991</v>
      </c>
      <c r="S381" t="s">
        <v>343</v>
      </c>
      <c r="T381" t="s">
        <v>435</v>
      </c>
      <c r="U381" t="s">
        <v>425</v>
      </c>
      <c r="V381" t="s">
        <v>81</v>
      </c>
      <c r="W381">
        <v>111.133</v>
      </c>
      <c r="X381">
        <v>1.027287859172453</v>
      </c>
      <c r="Y381">
        <v>114.1655816534122</v>
      </c>
      <c r="Z381">
        <v>625.54</v>
      </c>
      <c r="AA381">
        <v>1</v>
      </c>
      <c r="AB381">
        <v>71.4151379474755</v>
      </c>
      <c r="AC381">
        <v>0.92730000000000001</v>
      </c>
      <c r="AD381" s="63">
        <v>66.222999999999999</v>
      </c>
      <c r="AE381">
        <v>8.9176000000000002</v>
      </c>
      <c r="AF381">
        <v>9.1609422129562699</v>
      </c>
      <c r="AG381">
        <v>1</v>
      </c>
      <c r="AH381">
        <v>5730.5357918926647</v>
      </c>
      <c r="AI381">
        <v>1.094557195571956</v>
      </c>
      <c r="AJ381" s="63">
        <v>6272.3991999999998</v>
      </c>
      <c r="AK381" s="61">
        <v>809.46909979609995</v>
      </c>
      <c r="AL381" t="s">
        <v>346</v>
      </c>
      <c r="AM381" t="s">
        <v>436</v>
      </c>
      <c r="AN381" t="s">
        <v>425</v>
      </c>
      <c r="AO381" t="s">
        <v>81</v>
      </c>
      <c r="AP381">
        <v>111.133</v>
      </c>
      <c r="AQ381">
        <v>1.0368587857491129</v>
      </c>
      <c r="AR381">
        <v>115.2292274366562</v>
      </c>
      <c r="AS381">
        <v>656.25</v>
      </c>
      <c r="AT381">
        <v>1</v>
      </c>
      <c r="AU381">
        <v>75.619180505305636</v>
      </c>
      <c r="AV381">
        <v>0.90990000000000004</v>
      </c>
      <c r="AW381" s="63">
        <v>68.805999999999997</v>
      </c>
      <c r="AX381">
        <v>8.9176000000000002</v>
      </c>
      <c r="AY381">
        <v>1</v>
      </c>
      <c r="AZ381">
        <v>6067.879064491317</v>
      </c>
      <c r="BA381">
        <v>1.053620848708487</v>
      </c>
      <c r="BB381" s="63">
        <v>6393.2439000000004</v>
      </c>
      <c r="BC381" s="61">
        <v>825.0644162619476</v>
      </c>
    </row>
    <row r="382" spans="1:55" x14ac:dyDescent="0.25">
      <c r="A382">
        <v>82859</v>
      </c>
      <c r="B382" t="s">
        <v>140</v>
      </c>
      <c r="C382">
        <v>2018</v>
      </c>
      <c r="D382">
        <v>8</v>
      </c>
      <c r="E382" t="s">
        <v>100</v>
      </c>
      <c r="F382" t="s">
        <v>426</v>
      </c>
      <c r="G382" t="s">
        <v>84</v>
      </c>
      <c r="H382" t="s">
        <v>381</v>
      </c>
      <c r="I382" t="s">
        <v>427</v>
      </c>
      <c r="J382">
        <v>-9.5779341900000006</v>
      </c>
      <c r="K382" t="s">
        <v>440</v>
      </c>
      <c r="L382" t="s">
        <v>385</v>
      </c>
      <c r="M382">
        <v>0.43232641346992001</v>
      </c>
      <c r="N382">
        <v>4.1407939377607024</v>
      </c>
      <c r="O382">
        <v>30169.468000000001</v>
      </c>
      <c r="P382">
        <v>4.8744250000000003E-6</v>
      </c>
      <c r="Q382">
        <v>0.29411799999999999</v>
      </c>
      <c r="R382" s="61">
        <v>1.2178820313863019</v>
      </c>
      <c r="S382" t="s">
        <v>343</v>
      </c>
      <c r="T382" t="s">
        <v>435</v>
      </c>
      <c r="U382" t="s">
        <v>425</v>
      </c>
      <c r="V382" t="s">
        <v>27</v>
      </c>
      <c r="W382">
        <v>111.133</v>
      </c>
      <c r="X382">
        <v>1.027287859172453</v>
      </c>
      <c r="Y382">
        <v>114.1655816534122</v>
      </c>
      <c r="Z382">
        <v>625.54</v>
      </c>
      <c r="AA382">
        <v>1</v>
      </c>
      <c r="AB382">
        <v>71.4151379474755</v>
      </c>
      <c r="AC382">
        <v>0.95599999999999996</v>
      </c>
      <c r="AD382" s="63">
        <v>68.272999999999996</v>
      </c>
      <c r="AE382">
        <v>8.9176000000000002</v>
      </c>
      <c r="AF382">
        <v>9.1609422129562699</v>
      </c>
      <c r="AG382">
        <v>1</v>
      </c>
      <c r="AH382">
        <v>5730.5357918926647</v>
      </c>
      <c r="AI382">
        <v>1.0027686628383921</v>
      </c>
      <c r="AJ382" s="63">
        <v>5746.4017000000003</v>
      </c>
      <c r="AK382" s="61">
        <v>6998.4393755577003</v>
      </c>
      <c r="AL382" t="s">
        <v>346</v>
      </c>
      <c r="AM382" t="s">
        <v>436</v>
      </c>
      <c r="AN382" t="s">
        <v>425</v>
      </c>
      <c r="AO382" t="s">
        <v>27</v>
      </c>
      <c r="AP382">
        <v>111.133</v>
      </c>
      <c r="AQ382">
        <v>1.0368587857491129</v>
      </c>
      <c r="AR382">
        <v>115.2292274366562</v>
      </c>
      <c r="AS382">
        <v>656.25</v>
      </c>
      <c r="AT382">
        <v>1</v>
      </c>
      <c r="AU382">
        <v>75.619180505305636</v>
      </c>
      <c r="AV382">
        <v>0.93979999999999997</v>
      </c>
      <c r="AW382" s="63">
        <v>71.066999999999993</v>
      </c>
      <c r="AX382">
        <v>8.9176000000000002</v>
      </c>
      <c r="AY382">
        <v>1</v>
      </c>
      <c r="AZ382">
        <v>6067.879064491317</v>
      </c>
      <c r="BA382">
        <v>0.95477850697292876</v>
      </c>
      <c r="BB382" s="63">
        <v>5793.4804999999997</v>
      </c>
      <c r="BC382" s="61">
        <v>7055.7758001369293</v>
      </c>
    </row>
    <row r="383" spans="1:55" x14ac:dyDescent="0.25">
      <c r="A383">
        <v>82861</v>
      </c>
      <c r="B383" t="s">
        <v>140</v>
      </c>
      <c r="C383">
        <v>2018</v>
      </c>
      <c r="D383">
        <v>8</v>
      </c>
      <c r="E383" t="s">
        <v>100</v>
      </c>
      <c r="F383" t="s">
        <v>426</v>
      </c>
      <c r="G383" t="s">
        <v>84</v>
      </c>
      <c r="H383" t="s">
        <v>381</v>
      </c>
      <c r="I383" t="s">
        <v>427</v>
      </c>
      <c r="J383">
        <v>-9.5779341900000006</v>
      </c>
      <c r="K383" t="s">
        <v>440</v>
      </c>
      <c r="L383" t="s">
        <v>451</v>
      </c>
      <c r="M383">
        <v>1.6825115802299999E-3</v>
      </c>
      <c r="N383">
        <v>1.611498519304165E-2</v>
      </c>
      <c r="O383">
        <v>30169.468000000001</v>
      </c>
      <c r="P383">
        <v>4.8744250000000003E-6</v>
      </c>
      <c r="Q383">
        <v>0.29411799999999999</v>
      </c>
      <c r="R383" s="61">
        <v>4.7397072150070236E-3</v>
      </c>
      <c r="S383" t="s">
        <v>343</v>
      </c>
      <c r="T383" t="s">
        <v>435</v>
      </c>
      <c r="U383" t="s">
        <v>425</v>
      </c>
      <c r="V383" t="s">
        <v>91</v>
      </c>
      <c r="W383">
        <v>111.133</v>
      </c>
      <c r="X383">
        <v>1.027287859172453</v>
      </c>
      <c r="Y383">
        <v>114.1655816534122</v>
      </c>
      <c r="Z383">
        <v>625.54</v>
      </c>
      <c r="AA383">
        <v>1</v>
      </c>
      <c r="AB383">
        <v>71.4151379474755</v>
      </c>
      <c r="AC383">
        <v>1.0056</v>
      </c>
      <c r="AD383" s="63">
        <v>71.814999999999998</v>
      </c>
      <c r="AE383">
        <v>8.9176000000000002</v>
      </c>
      <c r="AF383">
        <v>9.1609422129562699</v>
      </c>
      <c r="AG383">
        <v>1</v>
      </c>
      <c r="AH383">
        <v>5730.5357918926647</v>
      </c>
      <c r="AI383">
        <v>0.98408824677860207</v>
      </c>
      <c r="AJ383" s="63">
        <v>5639.3528999999999</v>
      </c>
      <c r="AK383" s="61">
        <v>26.72888162810078</v>
      </c>
      <c r="AL383" t="s">
        <v>346</v>
      </c>
      <c r="AM383" t="s">
        <v>436</v>
      </c>
      <c r="AN383" t="s">
        <v>425</v>
      </c>
      <c r="AO383" t="s">
        <v>91</v>
      </c>
      <c r="AP383">
        <v>111.133</v>
      </c>
      <c r="AQ383">
        <v>1.0368587857491129</v>
      </c>
      <c r="AR383">
        <v>115.2292274366562</v>
      </c>
      <c r="AS383">
        <v>656.25</v>
      </c>
      <c r="AT383">
        <v>1</v>
      </c>
      <c r="AU383">
        <v>75.619180505305636</v>
      </c>
      <c r="AV383">
        <v>0.99250000000000005</v>
      </c>
      <c r="AW383" s="63">
        <v>75.052000000000007</v>
      </c>
      <c r="AX383">
        <v>8.9176000000000002</v>
      </c>
      <c r="AY383">
        <v>1</v>
      </c>
      <c r="AZ383">
        <v>6067.879064491317</v>
      </c>
      <c r="BA383">
        <v>0.96573604060913698</v>
      </c>
      <c r="BB383" s="63">
        <v>5859.9695000000002</v>
      </c>
      <c r="BC383" s="61">
        <v>27.7745397188711</v>
      </c>
    </row>
    <row r="384" spans="1:55" x14ac:dyDescent="0.25">
      <c r="A384">
        <v>82863</v>
      </c>
      <c r="B384" t="s">
        <v>140</v>
      </c>
      <c r="C384">
        <v>2018</v>
      </c>
      <c r="D384">
        <v>8</v>
      </c>
      <c r="E384" t="s">
        <v>100</v>
      </c>
      <c r="F384" t="s">
        <v>426</v>
      </c>
      <c r="G384" t="s">
        <v>84</v>
      </c>
      <c r="H384" t="s">
        <v>381</v>
      </c>
      <c r="I384" t="s">
        <v>427</v>
      </c>
      <c r="J384">
        <v>-9.5779341900000006</v>
      </c>
      <c r="K384" t="s">
        <v>440</v>
      </c>
      <c r="L384" t="s">
        <v>452</v>
      </c>
      <c r="M384">
        <v>1.53682162831E-3</v>
      </c>
      <c r="N384">
        <v>1.4719576421088469E-2</v>
      </c>
      <c r="O384">
        <v>30169.468000000001</v>
      </c>
      <c r="P384">
        <v>4.8744250000000003E-6</v>
      </c>
      <c r="Q384">
        <v>0.29411799999999999</v>
      </c>
      <c r="R384" s="61">
        <v>4.3292923778176983E-3</v>
      </c>
      <c r="S384" t="s">
        <v>343</v>
      </c>
      <c r="T384" t="s">
        <v>435</v>
      </c>
      <c r="U384" t="s">
        <v>425</v>
      </c>
      <c r="V384" t="s">
        <v>28</v>
      </c>
      <c r="W384">
        <v>111.133</v>
      </c>
      <c r="X384">
        <v>1.027287859172453</v>
      </c>
      <c r="Y384">
        <v>114.1655816534122</v>
      </c>
      <c r="Z384">
        <v>625.54</v>
      </c>
      <c r="AA384">
        <v>1</v>
      </c>
      <c r="AB384">
        <v>71.4151379474755</v>
      </c>
      <c r="AC384">
        <v>1.0064</v>
      </c>
      <c r="AD384" s="63">
        <v>71.872</v>
      </c>
      <c r="AE384">
        <v>8.9176000000000002</v>
      </c>
      <c r="AF384">
        <v>9.1609422129562699</v>
      </c>
      <c r="AG384">
        <v>1</v>
      </c>
      <c r="AH384">
        <v>5730.5357918926647</v>
      </c>
      <c r="AI384">
        <v>0.98887576294546164</v>
      </c>
      <c r="AJ384" s="63">
        <v>5666.7879999999996</v>
      </c>
      <c r="AK384" s="61">
        <v>24.533182095108799</v>
      </c>
      <c r="AL384" t="s">
        <v>346</v>
      </c>
      <c r="AM384" t="s">
        <v>436</v>
      </c>
      <c r="AN384" t="s">
        <v>425</v>
      </c>
      <c r="AO384" t="s">
        <v>28</v>
      </c>
      <c r="AP384">
        <v>111.133</v>
      </c>
      <c r="AQ384">
        <v>1.0368587857491129</v>
      </c>
      <c r="AR384">
        <v>115.2292274366562</v>
      </c>
      <c r="AS384">
        <v>656.25</v>
      </c>
      <c r="AT384">
        <v>1</v>
      </c>
      <c r="AU384">
        <v>75.619180505305636</v>
      </c>
      <c r="AV384">
        <v>0.99760000000000004</v>
      </c>
      <c r="AW384" s="63">
        <v>75.438000000000002</v>
      </c>
      <c r="AX384">
        <v>8.9176000000000002</v>
      </c>
      <c r="AY384">
        <v>1</v>
      </c>
      <c r="AZ384">
        <v>6067.879064491317</v>
      </c>
      <c r="BA384">
        <v>0.96062216971844849</v>
      </c>
      <c r="BB384" s="63">
        <v>5828.9391999999998</v>
      </c>
      <c r="BC384" s="61">
        <v>25.235182049322791</v>
      </c>
    </row>
    <row r="385" spans="1:55" x14ac:dyDescent="0.25">
      <c r="A385">
        <v>82865</v>
      </c>
      <c r="B385" t="s">
        <v>140</v>
      </c>
      <c r="C385">
        <v>2018</v>
      </c>
      <c r="D385">
        <v>8</v>
      </c>
      <c r="E385" t="s">
        <v>100</v>
      </c>
      <c r="F385" t="s">
        <v>426</v>
      </c>
      <c r="G385" t="s">
        <v>84</v>
      </c>
      <c r="H385" t="s">
        <v>87</v>
      </c>
      <c r="I385" t="s">
        <v>427</v>
      </c>
      <c r="J385">
        <v>-1.76002901</v>
      </c>
      <c r="K385" t="s">
        <v>440</v>
      </c>
      <c r="L385" t="s">
        <v>450</v>
      </c>
      <c r="M385">
        <v>0.26601384014995</v>
      </c>
      <c r="N385">
        <v>0.46819207513056599</v>
      </c>
      <c r="O385">
        <v>30169.468000000001</v>
      </c>
      <c r="P385">
        <v>4.8744250000000003E-6</v>
      </c>
      <c r="Q385">
        <v>0.29411799999999999</v>
      </c>
      <c r="R385" s="61">
        <v>0.1377037167532518</v>
      </c>
      <c r="S385" t="s">
        <v>343</v>
      </c>
      <c r="T385" t="s">
        <v>435</v>
      </c>
      <c r="U385" t="s">
        <v>425</v>
      </c>
      <c r="V385" t="s">
        <v>26</v>
      </c>
      <c r="W385">
        <v>111.133</v>
      </c>
      <c r="X385">
        <v>1.027287859172453</v>
      </c>
      <c r="Y385">
        <v>114.1655816534122</v>
      </c>
      <c r="Z385">
        <v>625.54</v>
      </c>
      <c r="AA385">
        <v>1</v>
      </c>
      <c r="AB385">
        <v>71.4151379474755</v>
      </c>
      <c r="AC385">
        <v>0.97960000000000003</v>
      </c>
      <c r="AD385" s="63">
        <v>69.957999999999998</v>
      </c>
      <c r="AE385">
        <v>8.9176000000000002</v>
      </c>
      <c r="AF385">
        <v>9.1609422129562699</v>
      </c>
      <c r="AG385">
        <v>1</v>
      </c>
      <c r="AH385">
        <v>5730.5357918926647</v>
      </c>
      <c r="AI385">
        <v>0.98541811328241247</v>
      </c>
      <c r="AJ385" s="63">
        <v>5646.9737999999998</v>
      </c>
      <c r="AK385" s="61">
        <v>777.60928066823408</v>
      </c>
      <c r="AL385" t="s">
        <v>346</v>
      </c>
      <c r="AM385" t="s">
        <v>436</v>
      </c>
      <c r="AN385" t="s">
        <v>425</v>
      </c>
      <c r="AO385" t="s">
        <v>26</v>
      </c>
      <c r="AP385">
        <v>111.133</v>
      </c>
      <c r="AQ385">
        <v>1.0368587857491129</v>
      </c>
      <c r="AR385">
        <v>115.2292274366562</v>
      </c>
      <c r="AS385">
        <v>656.25</v>
      </c>
      <c r="AT385">
        <v>1</v>
      </c>
      <c r="AU385">
        <v>75.619180505305636</v>
      </c>
      <c r="AV385">
        <v>0.96209999999999996</v>
      </c>
      <c r="AW385" s="63">
        <v>72.753</v>
      </c>
      <c r="AX385">
        <v>8.9176000000000002</v>
      </c>
      <c r="AY385">
        <v>1</v>
      </c>
      <c r="AZ385">
        <v>6067.879064491317</v>
      </c>
      <c r="BA385">
        <v>0.95992461065370505</v>
      </c>
      <c r="BB385" s="63">
        <v>5824.7064</v>
      </c>
      <c r="BC385" s="61">
        <v>802.08372027645316</v>
      </c>
    </row>
    <row r="386" spans="1:55" x14ac:dyDescent="0.25">
      <c r="A386">
        <v>82867</v>
      </c>
      <c r="B386" t="s">
        <v>140</v>
      </c>
      <c r="C386">
        <v>2018</v>
      </c>
      <c r="D386">
        <v>8</v>
      </c>
      <c r="E386" t="s">
        <v>100</v>
      </c>
      <c r="F386" t="s">
        <v>426</v>
      </c>
      <c r="G386" t="s">
        <v>84</v>
      </c>
      <c r="H386" t="s">
        <v>87</v>
      </c>
      <c r="I386" t="s">
        <v>427</v>
      </c>
      <c r="J386">
        <v>-1.76002901</v>
      </c>
      <c r="K386" t="s">
        <v>440</v>
      </c>
      <c r="L386" t="s">
        <v>384</v>
      </c>
      <c r="M386">
        <v>3.9509559941419997E-2</v>
      </c>
      <c r="N386">
        <v>6.9537971580883512E-2</v>
      </c>
      <c r="O386">
        <v>30169.468000000001</v>
      </c>
      <c r="P386">
        <v>4.8744250000000003E-6</v>
      </c>
      <c r="Q386">
        <v>0.29411799999999999</v>
      </c>
      <c r="R386" s="61">
        <v>2.0452369125426299E-2</v>
      </c>
      <c r="S386" t="s">
        <v>343</v>
      </c>
      <c r="T386" t="s">
        <v>435</v>
      </c>
      <c r="U386" t="s">
        <v>425</v>
      </c>
      <c r="V386" t="s">
        <v>81</v>
      </c>
      <c r="W386">
        <v>111.133</v>
      </c>
      <c r="X386">
        <v>1.027287859172453</v>
      </c>
      <c r="Y386">
        <v>114.1655816534122</v>
      </c>
      <c r="Z386">
        <v>625.54</v>
      </c>
      <c r="AA386">
        <v>1</v>
      </c>
      <c r="AB386">
        <v>71.4151379474755</v>
      </c>
      <c r="AC386">
        <v>0.92730000000000001</v>
      </c>
      <c r="AD386" s="63">
        <v>66.222999999999999</v>
      </c>
      <c r="AE386">
        <v>8.9176000000000002</v>
      </c>
      <c r="AF386">
        <v>9.1609422129562699</v>
      </c>
      <c r="AG386">
        <v>1</v>
      </c>
      <c r="AH386">
        <v>5730.5357918926647</v>
      </c>
      <c r="AI386">
        <v>1.094557195571956</v>
      </c>
      <c r="AJ386" s="63">
        <v>6272.3991999999998</v>
      </c>
      <c r="AK386" s="61">
        <v>128.2854237404286</v>
      </c>
      <c r="AL386" t="s">
        <v>346</v>
      </c>
      <c r="AM386" t="s">
        <v>436</v>
      </c>
      <c r="AN386" t="s">
        <v>425</v>
      </c>
      <c r="AO386" t="s">
        <v>81</v>
      </c>
      <c r="AP386">
        <v>111.133</v>
      </c>
      <c r="AQ386">
        <v>1.0368587857491129</v>
      </c>
      <c r="AR386">
        <v>115.2292274366562</v>
      </c>
      <c r="AS386">
        <v>656.25</v>
      </c>
      <c r="AT386">
        <v>1</v>
      </c>
      <c r="AU386">
        <v>75.619180505305636</v>
      </c>
      <c r="AV386">
        <v>0.90990000000000004</v>
      </c>
      <c r="AW386" s="63">
        <v>68.805999999999997</v>
      </c>
      <c r="AX386">
        <v>8.9176000000000002</v>
      </c>
      <c r="AY386">
        <v>1</v>
      </c>
      <c r="AZ386">
        <v>6067.879064491317</v>
      </c>
      <c r="BA386">
        <v>1.053620848708487</v>
      </c>
      <c r="BB386" s="63">
        <v>6393.2439000000004</v>
      </c>
      <c r="BC386" s="61">
        <v>130.75698415168</v>
      </c>
    </row>
    <row r="387" spans="1:55" x14ac:dyDescent="0.25">
      <c r="A387">
        <v>82869</v>
      </c>
      <c r="B387" t="s">
        <v>140</v>
      </c>
      <c r="C387">
        <v>2018</v>
      </c>
      <c r="D387">
        <v>8</v>
      </c>
      <c r="E387" t="s">
        <v>100</v>
      </c>
      <c r="F387" t="s">
        <v>426</v>
      </c>
      <c r="G387" t="s">
        <v>84</v>
      </c>
      <c r="H387" t="s">
        <v>87</v>
      </c>
      <c r="I387" t="s">
        <v>427</v>
      </c>
      <c r="J387">
        <v>-1.76002901</v>
      </c>
      <c r="K387" t="s">
        <v>440</v>
      </c>
      <c r="L387" t="s">
        <v>385</v>
      </c>
      <c r="M387">
        <v>0.39737542925016001</v>
      </c>
      <c r="N387">
        <v>0.69939228245289031</v>
      </c>
      <c r="O387">
        <v>30169.468000000001</v>
      </c>
      <c r="P387">
        <v>4.8744250000000003E-6</v>
      </c>
      <c r="Q387">
        <v>0.29411799999999999</v>
      </c>
      <c r="R387" s="61">
        <v>0.20570385933047919</v>
      </c>
      <c r="S387" t="s">
        <v>343</v>
      </c>
      <c r="T387" t="s">
        <v>435</v>
      </c>
      <c r="U387" t="s">
        <v>425</v>
      </c>
      <c r="V387" t="s">
        <v>27</v>
      </c>
      <c r="W387">
        <v>111.133</v>
      </c>
      <c r="X387">
        <v>1.027287859172453</v>
      </c>
      <c r="Y387">
        <v>114.1655816534122</v>
      </c>
      <c r="Z387">
        <v>625.54</v>
      </c>
      <c r="AA387">
        <v>1</v>
      </c>
      <c r="AB387">
        <v>71.4151379474755</v>
      </c>
      <c r="AC387">
        <v>0.95599999999999996</v>
      </c>
      <c r="AD387" s="63">
        <v>68.272999999999996</v>
      </c>
      <c r="AE387">
        <v>8.9176000000000002</v>
      </c>
      <c r="AF387">
        <v>9.1609422129562699</v>
      </c>
      <c r="AG387">
        <v>1</v>
      </c>
      <c r="AH387">
        <v>5730.5357918926647</v>
      </c>
      <c r="AI387">
        <v>1.0027686628383921</v>
      </c>
      <c r="AJ387" s="63">
        <v>5746.4017000000003</v>
      </c>
      <c r="AK387" s="61">
        <v>1182.0570069532271</v>
      </c>
      <c r="AL387" t="s">
        <v>346</v>
      </c>
      <c r="AM387" t="s">
        <v>436</v>
      </c>
      <c r="AN387" t="s">
        <v>425</v>
      </c>
      <c r="AO387" t="s">
        <v>27</v>
      </c>
      <c r="AP387">
        <v>111.133</v>
      </c>
      <c r="AQ387">
        <v>1.0368587857491129</v>
      </c>
      <c r="AR387">
        <v>115.2292274366562</v>
      </c>
      <c r="AS387">
        <v>656.25</v>
      </c>
      <c r="AT387">
        <v>1</v>
      </c>
      <c r="AU387">
        <v>75.619180505305636</v>
      </c>
      <c r="AV387">
        <v>0.93979999999999997</v>
      </c>
      <c r="AW387" s="63">
        <v>71.066999999999993</v>
      </c>
      <c r="AX387">
        <v>8.9176000000000002</v>
      </c>
      <c r="AY387">
        <v>1</v>
      </c>
      <c r="AZ387">
        <v>6067.879064491317</v>
      </c>
      <c r="BA387">
        <v>0.95477850697292876</v>
      </c>
      <c r="BB387" s="63">
        <v>5793.4804999999997</v>
      </c>
      <c r="BC387" s="61">
        <v>1191.741297805874</v>
      </c>
    </row>
    <row r="388" spans="1:55" x14ac:dyDescent="0.25">
      <c r="A388">
        <v>82871</v>
      </c>
      <c r="B388" t="s">
        <v>140</v>
      </c>
      <c r="C388">
        <v>2018</v>
      </c>
      <c r="D388">
        <v>8</v>
      </c>
      <c r="E388" t="s">
        <v>100</v>
      </c>
      <c r="F388" t="s">
        <v>426</v>
      </c>
      <c r="G388" t="s">
        <v>84</v>
      </c>
      <c r="H388" t="s">
        <v>87</v>
      </c>
      <c r="I388" t="s">
        <v>427</v>
      </c>
      <c r="J388">
        <v>-1.76002901</v>
      </c>
      <c r="K388" t="s">
        <v>440</v>
      </c>
      <c r="L388" t="s">
        <v>452</v>
      </c>
      <c r="M388">
        <v>8.4248020759000004E-4</v>
      </c>
      <c r="N388">
        <v>1.482789603825304E-3</v>
      </c>
      <c r="O388">
        <v>30169.468000000001</v>
      </c>
      <c r="P388">
        <v>4.8744250000000003E-6</v>
      </c>
      <c r="Q388">
        <v>0.29411799999999999</v>
      </c>
      <c r="R388" s="61">
        <v>4.3611511269789078E-4</v>
      </c>
      <c r="S388" t="s">
        <v>343</v>
      </c>
      <c r="T388" t="s">
        <v>435</v>
      </c>
      <c r="U388" t="s">
        <v>425</v>
      </c>
      <c r="V388" t="s">
        <v>28</v>
      </c>
      <c r="W388">
        <v>111.133</v>
      </c>
      <c r="X388">
        <v>1.027287859172453</v>
      </c>
      <c r="Y388">
        <v>114.1655816534122</v>
      </c>
      <c r="Z388">
        <v>625.54</v>
      </c>
      <c r="AA388">
        <v>1</v>
      </c>
      <c r="AB388">
        <v>71.4151379474755</v>
      </c>
      <c r="AC388">
        <v>1.0064</v>
      </c>
      <c r="AD388" s="63">
        <v>71.872</v>
      </c>
      <c r="AE388">
        <v>8.9176000000000002</v>
      </c>
      <c r="AF388">
        <v>9.1609422129562699</v>
      </c>
      <c r="AG388">
        <v>1</v>
      </c>
      <c r="AH388">
        <v>5730.5357918926647</v>
      </c>
      <c r="AI388">
        <v>0.98887576294546164</v>
      </c>
      <c r="AJ388" s="63">
        <v>5666.7879999999996</v>
      </c>
      <c r="AK388" s="61">
        <v>2.4713718872550552</v>
      </c>
      <c r="AL388" t="s">
        <v>346</v>
      </c>
      <c r="AM388" t="s">
        <v>436</v>
      </c>
      <c r="AN388" t="s">
        <v>425</v>
      </c>
      <c r="AO388" t="s">
        <v>28</v>
      </c>
      <c r="AP388">
        <v>111.133</v>
      </c>
      <c r="AQ388">
        <v>1.0368587857491129</v>
      </c>
      <c r="AR388">
        <v>115.2292274366562</v>
      </c>
      <c r="AS388">
        <v>656.25</v>
      </c>
      <c r="AT388">
        <v>1</v>
      </c>
      <c r="AU388">
        <v>75.619180505305636</v>
      </c>
      <c r="AV388">
        <v>0.99760000000000004</v>
      </c>
      <c r="AW388" s="63">
        <v>75.438000000000002</v>
      </c>
      <c r="AX388">
        <v>8.9176000000000002</v>
      </c>
      <c r="AY388">
        <v>1</v>
      </c>
      <c r="AZ388">
        <v>6067.879064491317</v>
      </c>
      <c r="BA388">
        <v>0.96062216971844849</v>
      </c>
      <c r="BB388" s="63">
        <v>5828.9391999999998</v>
      </c>
      <c r="BC388" s="61">
        <v>2.5420884761171529</v>
      </c>
    </row>
    <row r="389" spans="1:55" x14ac:dyDescent="0.25">
      <c r="A389">
        <v>82873</v>
      </c>
      <c r="B389" t="s">
        <v>140</v>
      </c>
      <c r="C389">
        <v>2018</v>
      </c>
      <c r="D389">
        <v>8</v>
      </c>
      <c r="E389" t="s">
        <v>100</v>
      </c>
      <c r="F389" t="s">
        <v>426</v>
      </c>
      <c r="G389" t="s">
        <v>84</v>
      </c>
      <c r="H389" t="s">
        <v>59</v>
      </c>
      <c r="I389" t="s">
        <v>427</v>
      </c>
      <c r="J389">
        <v>-5.0607741099999997</v>
      </c>
      <c r="K389" t="s">
        <v>440</v>
      </c>
      <c r="L389" t="s">
        <v>450</v>
      </c>
      <c r="M389">
        <v>0.15931709696460999</v>
      </c>
      <c r="N389">
        <v>0.80626783946325076</v>
      </c>
      <c r="O389">
        <v>30169.468000000001</v>
      </c>
      <c r="P389">
        <v>4.8744250000000003E-6</v>
      </c>
      <c r="Q389">
        <v>0.29411799999999999</v>
      </c>
      <c r="R389" s="61">
        <v>0.23713788440725239</v>
      </c>
      <c r="S389" t="s">
        <v>343</v>
      </c>
      <c r="T389" t="s">
        <v>435</v>
      </c>
      <c r="U389" t="s">
        <v>425</v>
      </c>
      <c r="V389" t="s">
        <v>26</v>
      </c>
      <c r="W389">
        <v>111.133</v>
      </c>
      <c r="X389">
        <v>1.027287859172453</v>
      </c>
      <c r="Y389">
        <v>114.1655816534122</v>
      </c>
      <c r="Z389">
        <v>625.54</v>
      </c>
      <c r="AA389">
        <v>1</v>
      </c>
      <c r="AB389">
        <v>71.4151379474755</v>
      </c>
      <c r="AC389">
        <v>0.97960000000000003</v>
      </c>
      <c r="AD389" s="63">
        <v>69.957999999999998</v>
      </c>
      <c r="AE389">
        <v>8.9176000000000002</v>
      </c>
      <c r="AF389">
        <v>9.1609422129562699</v>
      </c>
      <c r="AG389">
        <v>1</v>
      </c>
      <c r="AH389">
        <v>5730.5357918926647</v>
      </c>
      <c r="AI389">
        <v>0.98541811328241247</v>
      </c>
      <c r="AJ389" s="63">
        <v>5646.9737999999998</v>
      </c>
      <c r="AK389" s="61">
        <v>1339.111420235183</v>
      </c>
      <c r="AL389" t="s">
        <v>346</v>
      </c>
      <c r="AM389" t="s">
        <v>436</v>
      </c>
      <c r="AN389" t="s">
        <v>425</v>
      </c>
      <c r="AO389" t="s">
        <v>26</v>
      </c>
      <c r="AP389">
        <v>111.133</v>
      </c>
      <c r="AQ389">
        <v>1.0368587857491129</v>
      </c>
      <c r="AR389">
        <v>115.2292274366562</v>
      </c>
      <c r="AS389">
        <v>656.25</v>
      </c>
      <c r="AT389">
        <v>1</v>
      </c>
      <c r="AU389">
        <v>75.619180505305636</v>
      </c>
      <c r="AV389">
        <v>0.96209999999999996</v>
      </c>
      <c r="AW389" s="63">
        <v>72.753</v>
      </c>
      <c r="AX389">
        <v>8.9176000000000002</v>
      </c>
      <c r="AY389">
        <v>1</v>
      </c>
      <c r="AZ389">
        <v>6067.879064491317</v>
      </c>
      <c r="BA389">
        <v>0.95992461065370505</v>
      </c>
      <c r="BB389" s="63">
        <v>5824.7064</v>
      </c>
      <c r="BC389" s="61">
        <v>1381.2585529893829</v>
      </c>
    </row>
    <row r="390" spans="1:55" x14ac:dyDescent="0.25">
      <c r="A390">
        <v>82875</v>
      </c>
      <c r="B390" t="s">
        <v>140</v>
      </c>
      <c r="C390">
        <v>2018</v>
      </c>
      <c r="D390">
        <v>8</v>
      </c>
      <c r="E390" t="s">
        <v>100</v>
      </c>
      <c r="F390" t="s">
        <v>426</v>
      </c>
      <c r="G390" t="s">
        <v>84</v>
      </c>
      <c r="H390" t="s">
        <v>59</v>
      </c>
      <c r="I390" t="s">
        <v>427</v>
      </c>
      <c r="J390">
        <v>-5.0607741099999997</v>
      </c>
      <c r="K390" t="s">
        <v>440</v>
      </c>
      <c r="L390" t="s">
        <v>384</v>
      </c>
      <c r="M390">
        <v>4.1785183859599999E-2</v>
      </c>
      <c r="N390">
        <v>0.21146537662268691</v>
      </c>
      <c r="O390">
        <v>30169.468000000001</v>
      </c>
      <c r="P390">
        <v>4.8744250000000003E-6</v>
      </c>
      <c r="Q390">
        <v>0.29411799999999999</v>
      </c>
      <c r="R390" s="61">
        <v>6.2195773641511437E-2</v>
      </c>
      <c r="S390" t="s">
        <v>343</v>
      </c>
      <c r="T390" t="s">
        <v>435</v>
      </c>
      <c r="U390" t="s">
        <v>425</v>
      </c>
      <c r="V390" t="s">
        <v>81</v>
      </c>
      <c r="W390">
        <v>111.133</v>
      </c>
      <c r="X390">
        <v>1.027287859172453</v>
      </c>
      <c r="Y390">
        <v>114.1655816534122</v>
      </c>
      <c r="Z390">
        <v>625.54</v>
      </c>
      <c r="AA390">
        <v>1</v>
      </c>
      <c r="AB390">
        <v>71.4151379474755</v>
      </c>
      <c r="AC390">
        <v>0.92730000000000001</v>
      </c>
      <c r="AD390" s="63">
        <v>66.222999999999999</v>
      </c>
      <c r="AE390">
        <v>8.9176000000000002</v>
      </c>
      <c r="AF390">
        <v>9.1609422129562699</v>
      </c>
      <c r="AG390">
        <v>1</v>
      </c>
      <c r="AH390">
        <v>5730.5357918926647</v>
      </c>
      <c r="AI390">
        <v>1.094557195571956</v>
      </c>
      <c r="AJ390" s="63">
        <v>6272.3991999999998</v>
      </c>
      <c r="AK390" s="61">
        <v>390.11672083239739</v>
      </c>
      <c r="AL390" t="s">
        <v>346</v>
      </c>
      <c r="AM390" t="s">
        <v>436</v>
      </c>
      <c r="AN390" t="s">
        <v>425</v>
      </c>
      <c r="AO390" t="s">
        <v>81</v>
      </c>
      <c r="AP390">
        <v>111.133</v>
      </c>
      <c r="AQ390">
        <v>1.0368587857491129</v>
      </c>
      <c r="AR390">
        <v>115.2292274366562</v>
      </c>
      <c r="AS390">
        <v>656.25</v>
      </c>
      <c r="AT390">
        <v>1</v>
      </c>
      <c r="AU390">
        <v>75.619180505305636</v>
      </c>
      <c r="AV390">
        <v>0.90990000000000004</v>
      </c>
      <c r="AW390" s="63">
        <v>68.805999999999997</v>
      </c>
      <c r="AX390">
        <v>8.9176000000000002</v>
      </c>
      <c r="AY390">
        <v>1</v>
      </c>
      <c r="AZ390">
        <v>6067.879064491317</v>
      </c>
      <c r="BA390">
        <v>1.053620848708487</v>
      </c>
      <c r="BB390" s="63">
        <v>6393.2439000000004</v>
      </c>
      <c r="BC390" s="61">
        <v>397.63275043937381</v>
      </c>
    </row>
    <row r="391" spans="1:55" x14ac:dyDescent="0.25">
      <c r="A391">
        <v>82877</v>
      </c>
      <c r="B391" t="s">
        <v>140</v>
      </c>
      <c r="C391">
        <v>2018</v>
      </c>
      <c r="D391">
        <v>8</v>
      </c>
      <c r="E391" t="s">
        <v>100</v>
      </c>
      <c r="F391" t="s">
        <v>426</v>
      </c>
      <c r="G391" t="s">
        <v>84</v>
      </c>
      <c r="H391" t="s">
        <v>59</v>
      </c>
      <c r="I391" t="s">
        <v>427</v>
      </c>
      <c r="J391">
        <v>-5.0607741099999997</v>
      </c>
      <c r="K391" t="s">
        <v>440</v>
      </c>
      <c r="L391" t="s">
        <v>385</v>
      </c>
      <c r="M391">
        <v>0.43497567483749999</v>
      </c>
      <c r="N391">
        <v>2.2013136333271568</v>
      </c>
      <c r="O391">
        <v>30169.468000000001</v>
      </c>
      <c r="P391">
        <v>4.8744250000000003E-6</v>
      </c>
      <c r="Q391">
        <v>0.29411799999999999</v>
      </c>
      <c r="R391" s="61">
        <v>0.64744596320691683</v>
      </c>
      <c r="S391" t="s">
        <v>343</v>
      </c>
      <c r="T391" t="s">
        <v>435</v>
      </c>
      <c r="U391" t="s">
        <v>425</v>
      </c>
      <c r="V391" t="s">
        <v>27</v>
      </c>
      <c r="W391">
        <v>111.133</v>
      </c>
      <c r="X391">
        <v>1.027287859172453</v>
      </c>
      <c r="Y391">
        <v>114.1655816534122</v>
      </c>
      <c r="Z391">
        <v>625.54</v>
      </c>
      <c r="AA391">
        <v>1</v>
      </c>
      <c r="AB391">
        <v>71.4151379474755</v>
      </c>
      <c r="AC391">
        <v>0.95599999999999996</v>
      </c>
      <c r="AD391" s="63">
        <v>68.272999999999996</v>
      </c>
      <c r="AE391">
        <v>8.9176000000000002</v>
      </c>
      <c r="AF391">
        <v>9.1609422129562699</v>
      </c>
      <c r="AG391">
        <v>1</v>
      </c>
      <c r="AH391">
        <v>5730.5357918926647</v>
      </c>
      <c r="AI391">
        <v>1.0027686628383921</v>
      </c>
      <c r="AJ391" s="63">
        <v>5746.4017000000003</v>
      </c>
      <c r="AK391" s="61">
        <v>3720.4845836303639</v>
      </c>
      <c r="AL391" t="s">
        <v>346</v>
      </c>
      <c r="AM391" t="s">
        <v>436</v>
      </c>
      <c r="AN391" t="s">
        <v>425</v>
      </c>
      <c r="AO391" t="s">
        <v>27</v>
      </c>
      <c r="AP391">
        <v>111.133</v>
      </c>
      <c r="AQ391">
        <v>1.0368587857491129</v>
      </c>
      <c r="AR391">
        <v>115.2292274366562</v>
      </c>
      <c r="AS391">
        <v>656.25</v>
      </c>
      <c r="AT391">
        <v>1</v>
      </c>
      <c r="AU391">
        <v>75.619180505305636</v>
      </c>
      <c r="AV391">
        <v>0.93979999999999997</v>
      </c>
      <c r="AW391" s="63">
        <v>71.066999999999993</v>
      </c>
      <c r="AX391">
        <v>8.9176000000000002</v>
      </c>
      <c r="AY391">
        <v>1</v>
      </c>
      <c r="AZ391">
        <v>6067.879064491317</v>
      </c>
      <c r="BA391">
        <v>0.95477850697292876</v>
      </c>
      <c r="BB391" s="63">
        <v>5793.4804999999997</v>
      </c>
      <c r="BC391" s="61">
        <v>3750.9655626429899</v>
      </c>
    </row>
    <row r="392" spans="1:55" x14ac:dyDescent="0.25">
      <c r="A392">
        <v>82879</v>
      </c>
      <c r="B392" t="s">
        <v>140</v>
      </c>
      <c r="C392">
        <v>2018</v>
      </c>
      <c r="D392">
        <v>8</v>
      </c>
      <c r="E392" t="s">
        <v>100</v>
      </c>
      <c r="F392" t="s">
        <v>426</v>
      </c>
      <c r="G392" t="s">
        <v>84</v>
      </c>
      <c r="H392" t="s">
        <v>59</v>
      </c>
      <c r="I392" t="s">
        <v>427</v>
      </c>
      <c r="J392">
        <v>-5.0607741099999997</v>
      </c>
      <c r="K392" t="s">
        <v>440</v>
      </c>
      <c r="L392" t="s">
        <v>451</v>
      </c>
      <c r="M392">
        <v>1.7625750762999999E-3</v>
      </c>
      <c r="N392">
        <v>8.9199943115700498E-3</v>
      </c>
      <c r="O392">
        <v>30169.468000000001</v>
      </c>
      <c r="P392">
        <v>4.8744250000000003E-6</v>
      </c>
      <c r="Q392">
        <v>0.29411799999999999</v>
      </c>
      <c r="R392" s="61">
        <v>2.6235308869303601E-3</v>
      </c>
      <c r="S392" t="s">
        <v>343</v>
      </c>
      <c r="T392" t="s">
        <v>435</v>
      </c>
      <c r="U392" t="s">
        <v>425</v>
      </c>
      <c r="V392" t="s">
        <v>91</v>
      </c>
      <c r="W392">
        <v>111.133</v>
      </c>
      <c r="X392">
        <v>1.027287859172453</v>
      </c>
      <c r="Y392">
        <v>114.1655816534122</v>
      </c>
      <c r="Z392">
        <v>625.54</v>
      </c>
      <c r="AA392">
        <v>1</v>
      </c>
      <c r="AB392">
        <v>71.4151379474755</v>
      </c>
      <c r="AC392">
        <v>1.0056</v>
      </c>
      <c r="AD392" s="63">
        <v>71.814999999999998</v>
      </c>
      <c r="AE392">
        <v>8.9176000000000002</v>
      </c>
      <c r="AF392">
        <v>9.1609422129562699</v>
      </c>
      <c r="AG392">
        <v>1</v>
      </c>
      <c r="AH392">
        <v>5730.5357918926647</v>
      </c>
      <c r="AI392">
        <v>0.98408824677860207</v>
      </c>
      <c r="AJ392" s="63">
        <v>5639.3528999999999</v>
      </c>
      <c r="AK392" s="61">
        <v>14.7950165154503</v>
      </c>
      <c r="AL392" t="s">
        <v>346</v>
      </c>
      <c r="AM392" t="s">
        <v>436</v>
      </c>
      <c r="AN392" t="s">
        <v>425</v>
      </c>
      <c r="AO392" t="s">
        <v>91</v>
      </c>
      <c r="AP392">
        <v>111.133</v>
      </c>
      <c r="AQ392">
        <v>1.0368587857491129</v>
      </c>
      <c r="AR392">
        <v>115.2292274366562</v>
      </c>
      <c r="AS392">
        <v>656.25</v>
      </c>
      <c r="AT392">
        <v>1</v>
      </c>
      <c r="AU392">
        <v>75.619180505305636</v>
      </c>
      <c r="AV392">
        <v>0.99250000000000005</v>
      </c>
      <c r="AW392" s="63">
        <v>75.052000000000007</v>
      </c>
      <c r="AX392">
        <v>8.9176000000000002</v>
      </c>
      <c r="AY392">
        <v>1</v>
      </c>
      <c r="AZ392">
        <v>6067.879064491317</v>
      </c>
      <c r="BA392">
        <v>0.96573604060913698</v>
      </c>
      <c r="BB392" s="63">
        <v>5859.9695000000002</v>
      </c>
      <c r="BC392" s="61">
        <v>15.37381097971986</v>
      </c>
    </row>
    <row r="393" spans="1:55" x14ac:dyDescent="0.25">
      <c r="A393">
        <v>82881</v>
      </c>
      <c r="B393" t="s">
        <v>140</v>
      </c>
      <c r="C393">
        <v>2018</v>
      </c>
      <c r="D393">
        <v>8</v>
      </c>
      <c r="E393" t="s">
        <v>100</v>
      </c>
      <c r="F393" t="s">
        <v>426</v>
      </c>
      <c r="G393" t="s">
        <v>84</v>
      </c>
      <c r="H393" t="s">
        <v>59</v>
      </c>
      <c r="I393" t="s">
        <v>427</v>
      </c>
      <c r="J393">
        <v>-5.0607741099999997</v>
      </c>
      <c r="K393" t="s">
        <v>440</v>
      </c>
      <c r="L393" t="s">
        <v>452</v>
      </c>
      <c r="M393">
        <v>1.4858046103299999E-3</v>
      </c>
      <c r="N393">
        <v>7.5193215032120187E-3</v>
      </c>
      <c r="O393">
        <v>30169.468000000001</v>
      </c>
      <c r="P393">
        <v>4.8744250000000003E-6</v>
      </c>
      <c r="Q393">
        <v>0.29411799999999999</v>
      </c>
      <c r="R393" s="61">
        <v>2.2115678018817119E-3</v>
      </c>
      <c r="S393" t="s">
        <v>343</v>
      </c>
      <c r="T393" t="s">
        <v>435</v>
      </c>
      <c r="U393" t="s">
        <v>425</v>
      </c>
      <c r="V393" t="s">
        <v>28</v>
      </c>
      <c r="W393">
        <v>111.133</v>
      </c>
      <c r="X393">
        <v>1.027287859172453</v>
      </c>
      <c r="Y393">
        <v>114.1655816534122</v>
      </c>
      <c r="Z393">
        <v>625.54</v>
      </c>
      <c r="AA393">
        <v>1</v>
      </c>
      <c r="AB393">
        <v>71.4151379474755</v>
      </c>
      <c r="AC393">
        <v>1.0064</v>
      </c>
      <c r="AD393" s="63">
        <v>71.872</v>
      </c>
      <c r="AE393">
        <v>8.9176000000000002</v>
      </c>
      <c r="AF393">
        <v>9.1609422129562699</v>
      </c>
      <c r="AG393">
        <v>1</v>
      </c>
      <c r="AH393">
        <v>5730.5357918926647</v>
      </c>
      <c r="AI393">
        <v>0.98887576294546164</v>
      </c>
      <c r="AJ393" s="63">
        <v>5666.7879999999996</v>
      </c>
      <c r="AK393" s="61">
        <v>12.532485880889659</v>
      </c>
      <c r="AL393" t="s">
        <v>346</v>
      </c>
      <c r="AM393" t="s">
        <v>436</v>
      </c>
      <c r="AN393" t="s">
        <v>425</v>
      </c>
      <c r="AO393" t="s">
        <v>28</v>
      </c>
      <c r="AP393">
        <v>111.133</v>
      </c>
      <c r="AQ393">
        <v>1.0368587857491129</v>
      </c>
      <c r="AR393">
        <v>115.2292274366562</v>
      </c>
      <c r="AS393">
        <v>656.25</v>
      </c>
      <c r="AT393">
        <v>1</v>
      </c>
      <c r="AU393">
        <v>75.619180505305636</v>
      </c>
      <c r="AV393">
        <v>0.99760000000000004</v>
      </c>
      <c r="AW393" s="63">
        <v>75.438000000000002</v>
      </c>
      <c r="AX393">
        <v>8.9176000000000002</v>
      </c>
      <c r="AY393">
        <v>1</v>
      </c>
      <c r="AZ393">
        <v>6067.879064491317</v>
      </c>
      <c r="BA393">
        <v>0.96062216971844849</v>
      </c>
      <c r="BB393" s="63">
        <v>5828.9391999999998</v>
      </c>
      <c r="BC393" s="61">
        <v>12.89109425384615</v>
      </c>
    </row>
    <row r="394" spans="1:55" x14ac:dyDescent="0.25">
      <c r="A394">
        <v>88503</v>
      </c>
      <c r="B394" t="s">
        <v>113</v>
      </c>
      <c r="C394">
        <v>2018</v>
      </c>
      <c r="D394">
        <v>9</v>
      </c>
      <c r="E394" t="s">
        <v>100</v>
      </c>
      <c r="F394" t="s">
        <v>426</v>
      </c>
      <c r="G394" t="s">
        <v>84</v>
      </c>
      <c r="H394" t="s">
        <v>381</v>
      </c>
      <c r="I394" t="s">
        <v>427</v>
      </c>
      <c r="J394">
        <v>-9.5507299999999997</v>
      </c>
      <c r="K394" t="s">
        <v>440</v>
      </c>
      <c r="L394" t="s">
        <v>450</v>
      </c>
      <c r="M394">
        <v>0.15011157993331001</v>
      </c>
      <c r="N394">
        <v>1.433675169816462</v>
      </c>
      <c r="O394">
        <v>30169.468000000001</v>
      </c>
      <c r="P394">
        <v>4.8744250000000003E-6</v>
      </c>
      <c r="Q394">
        <v>0.29411799999999999</v>
      </c>
      <c r="R394" s="61">
        <v>0.4216696735960781</v>
      </c>
      <c r="S394" t="s">
        <v>346</v>
      </c>
      <c r="T394" t="s">
        <v>436</v>
      </c>
      <c r="U394" t="s">
        <v>425</v>
      </c>
      <c r="V394" t="s">
        <v>26</v>
      </c>
      <c r="W394">
        <v>111.133</v>
      </c>
      <c r="X394">
        <v>1.0368587857491129</v>
      </c>
      <c r="Y394">
        <v>115.2292274366562</v>
      </c>
      <c r="Z394">
        <v>603.45000000000005</v>
      </c>
      <c r="AA394">
        <v>1</v>
      </c>
      <c r="AB394">
        <v>69.535077296650186</v>
      </c>
      <c r="AC394">
        <v>0.96209999999999996</v>
      </c>
      <c r="AD394" s="63">
        <v>66.900000000000006</v>
      </c>
      <c r="AE394">
        <v>8.9176000000000002</v>
      </c>
      <c r="AF394">
        <v>9.2462919077962926</v>
      </c>
      <c r="AG394">
        <v>1</v>
      </c>
      <c r="AH394">
        <v>5579.6748517596734</v>
      </c>
      <c r="AI394">
        <v>0.95992461065370505</v>
      </c>
      <c r="AJ394" s="63">
        <v>5356.0672000000004</v>
      </c>
      <c r="AK394" s="61">
        <v>2258.4911079826602</v>
      </c>
      <c r="AL394" t="s">
        <v>346</v>
      </c>
      <c r="AM394" t="s">
        <v>436</v>
      </c>
      <c r="AN394" t="s">
        <v>425</v>
      </c>
      <c r="AO394" t="s">
        <v>26</v>
      </c>
      <c r="AP394">
        <v>111.133</v>
      </c>
      <c r="AQ394">
        <v>1.0368587857491129</v>
      </c>
      <c r="AR394">
        <v>115.2292274366562</v>
      </c>
      <c r="AS394">
        <v>603.45000000000005</v>
      </c>
      <c r="AT394">
        <v>1</v>
      </c>
      <c r="AU394">
        <v>69.535077296650186</v>
      </c>
      <c r="AV394">
        <v>0.96209999999999996</v>
      </c>
      <c r="AW394" s="63">
        <v>66.900000000000006</v>
      </c>
      <c r="AX394">
        <v>8.9176000000000002</v>
      </c>
      <c r="AY394">
        <v>1</v>
      </c>
      <c r="AZ394">
        <v>5579.6748517596734</v>
      </c>
      <c r="BA394">
        <v>0.95992461065370505</v>
      </c>
      <c r="BB394" s="63">
        <v>5356.0672000000004</v>
      </c>
      <c r="BC394" s="61">
        <v>2258.4911079826602</v>
      </c>
    </row>
    <row r="395" spans="1:55" x14ac:dyDescent="0.25">
      <c r="A395">
        <v>88505</v>
      </c>
      <c r="B395" t="s">
        <v>113</v>
      </c>
      <c r="C395">
        <v>2018</v>
      </c>
      <c r="D395">
        <v>9</v>
      </c>
      <c r="E395" t="s">
        <v>100</v>
      </c>
      <c r="F395" t="s">
        <v>426</v>
      </c>
      <c r="G395" t="s">
        <v>84</v>
      </c>
      <c r="H395" t="s">
        <v>381</v>
      </c>
      <c r="I395" t="s">
        <v>427</v>
      </c>
      <c r="J395">
        <v>-9.5507299999999997</v>
      </c>
      <c r="K395" t="s">
        <v>440</v>
      </c>
      <c r="L395" t="s">
        <v>384</v>
      </c>
      <c r="M395">
        <v>4.5811354346740003E-2</v>
      </c>
      <c r="N395">
        <v>0.43753187630004009</v>
      </c>
      <c r="O395">
        <v>30169.468000000001</v>
      </c>
      <c r="P395">
        <v>4.8744250000000003E-6</v>
      </c>
      <c r="Q395">
        <v>0.29411799999999999</v>
      </c>
      <c r="R395" s="61">
        <v>0.12868600039361519</v>
      </c>
      <c r="S395" t="s">
        <v>346</v>
      </c>
      <c r="T395" t="s">
        <v>436</v>
      </c>
      <c r="U395" t="s">
        <v>425</v>
      </c>
      <c r="V395" t="s">
        <v>81</v>
      </c>
      <c r="W395">
        <v>111.133</v>
      </c>
      <c r="X395">
        <v>1.0368587857491129</v>
      </c>
      <c r="Y395">
        <v>115.2292274366562</v>
      </c>
      <c r="Z395">
        <v>603.45000000000005</v>
      </c>
      <c r="AA395">
        <v>1</v>
      </c>
      <c r="AB395">
        <v>69.535077296650186</v>
      </c>
      <c r="AC395">
        <v>0.90990000000000004</v>
      </c>
      <c r="AD395" s="63">
        <v>63.27</v>
      </c>
      <c r="AE395">
        <v>8.9176000000000002</v>
      </c>
      <c r="AF395">
        <v>9.2462919077962926</v>
      </c>
      <c r="AG395">
        <v>1</v>
      </c>
      <c r="AH395">
        <v>5579.6748517596734</v>
      </c>
      <c r="AI395">
        <v>1.053620848708487</v>
      </c>
      <c r="AJ395" s="63">
        <v>5878.8617999999997</v>
      </c>
      <c r="AK395" s="61">
        <v>756.52721190880925</v>
      </c>
      <c r="AL395" t="s">
        <v>346</v>
      </c>
      <c r="AM395" t="s">
        <v>436</v>
      </c>
      <c r="AN395" t="s">
        <v>425</v>
      </c>
      <c r="AO395" t="s">
        <v>81</v>
      </c>
      <c r="AP395">
        <v>111.133</v>
      </c>
      <c r="AQ395">
        <v>1.0368587857491129</v>
      </c>
      <c r="AR395">
        <v>115.2292274366562</v>
      </c>
      <c r="AS395">
        <v>603.45000000000005</v>
      </c>
      <c r="AT395">
        <v>1</v>
      </c>
      <c r="AU395">
        <v>69.535077296650186</v>
      </c>
      <c r="AV395">
        <v>0.90990000000000004</v>
      </c>
      <c r="AW395" s="63">
        <v>63.27</v>
      </c>
      <c r="AX395">
        <v>8.9176000000000002</v>
      </c>
      <c r="AY395">
        <v>1</v>
      </c>
      <c r="AZ395">
        <v>5579.6748517596734</v>
      </c>
      <c r="BA395">
        <v>1.053620848708487</v>
      </c>
      <c r="BB395" s="63">
        <v>5878.8617999999997</v>
      </c>
      <c r="BC395" s="61">
        <v>756.52721190880925</v>
      </c>
    </row>
    <row r="396" spans="1:55" x14ac:dyDescent="0.25">
      <c r="A396">
        <v>88507</v>
      </c>
      <c r="B396" t="s">
        <v>113</v>
      </c>
      <c r="C396">
        <v>2018</v>
      </c>
      <c r="D396">
        <v>9</v>
      </c>
      <c r="E396" t="s">
        <v>100</v>
      </c>
      <c r="F396" t="s">
        <v>426</v>
      </c>
      <c r="G396" t="s">
        <v>84</v>
      </c>
      <c r="H396" t="s">
        <v>381</v>
      </c>
      <c r="I396" t="s">
        <v>427</v>
      </c>
      <c r="J396">
        <v>-9.5507299999999997</v>
      </c>
      <c r="K396" t="s">
        <v>440</v>
      </c>
      <c r="L396" t="s">
        <v>385</v>
      </c>
      <c r="M396">
        <v>0.43232641346992001</v>
      </c>
      <c r="N396">
        <v>4.1290328469195687</v>
      </c>
      <c r="O396">
        <v>30169.468000000001</v>
      </c>
      <c r="P396">
        <v>4.8744250000000003E-6</v>
      </c>
      <c r="Q396">
        <v>0.29411799999999999</v>
      </c>
      <c r="R396" s="61">
        <v>1.2144228828702901</v>
      </c>
      <c r="S396" t="s">
        <v>346</v>
      </c>
      <c r="T396" t="s">
        <v>436</v>
      </c>
      <c r="U396" t="s">
        <v>425</v>
      </c>
      <c r="V396" t="s">
        <v>27</v>
      </c>
      <c r="W396">
        <v>111.133</v>
      </c>
      <c r="X396">
        <v>1.0368587857491129</v>
      </c>
      <c r="Y396">
        <v>115.2292274366562</v>
      </c>
      <c r="Z396">
        <v>603.45000000000005</v>
      </c>
      <c r="AA396">
        <v>1</v>
      </c>
      <c r="AB396">
        <v>69.535077296650186</v>
      </c>
      <c r="AC396">
        <v>0.93979999999999997</v>
      </c>
      <c r="AD396" s="63">
        <v>65.349000000000004</v>
      </c>
      <c r="AE396">
        <v>8.9176000000000002</v>
      </c>
      <c r="AF396">
        <v>9.2462919077962926</v>
      </c>
      <c r="AG396">
        <v>1</v>
      </c>
      <c r="AH396">
        <v>5579.6748517596734</v>
      </c>
      <c r="AI396">
        <v>0.95477850697292876</v>
      </c>
      <c r="AJ396" s="63">
        <v>5327.3536000000004</v>
      </c>
      <c r="AK396" s="61">
        <v>6469.6601169814166</v>
      </c>
      <c r="AL396" t="s">
        <v>346</v>
      </c>
      <c r="AM396" t="s">
        <v>436</v>
      </c>
      <c r="AN396" t="s">
        <v>425</v>
      </c>
      <c r="AO396" t="s">
        <v>27</v>
      </c>
      <c r="AP396">
        <v>111.133</v>
      </c>
      <c r="AQ396">
        <v>1.0368587857491129</v>
      </c>
      <c r="AR396">
        <v>115.2292274366562</v>
      </c>
      <c r="AS396">
        <v>603.45000000000005</v>
      </c>
      <c r="AT396">
        <v>1</v>
      </c>
      <c r="AU396">
        <v>69.535077296650186</v>
      </c>
      <c r="AV396">
        <v>0.93979999999999997</v>
      </c>
      <c r="AW396" s="63">
        <v>65.349000000000004</v>
      </c>
      <c r="AX396">
        <v>8.9176000000000002</v>
      </c>
      <c r="AY396">
        <v>1</v>
      </c>
      <c r="AZ396">
        <v>5579.6748517596734</v>
      </c>
      <c r="BA396">
        <v>0.95477850697292876</v>
      </c>
      <c r="BB396" s="63">
        <v>5327.3536000000004</v>
      </c>
      <c r="BC396" s="61">
        <v>6469.6601169814166</v>
      </c>
    </row>
    <row r="397" spans="1:55" x14ac:dyDescent="0.25">
      <c r="A397">
        <v>88509</v>
      </c>
      <c r="B397" t="s">
        <v>113</v>
      </c>
      <c r="C397">
        <v>2018</v>
      </c>
      <c r="D397">
        <v>9</v>
      </c>
      <c r="E397" t="s">
        <v>100</v>
      </c>
      <c r="F397" t="s">
        <v>426</v>
      </c>
      <c r="G397" t="s">
        <v>84</v>
      </c>
      <c r="H397" t="s">
        <v>381</v>
      </c>
      <c r="I397" t="s">
        <v>427</v>
      </c>
      <c r="J397">
        <v>-9.5507299999999997</v>
      </c>
      <c r="K397" t="s">
        <v>440</v>
      </c>
      <c r="L397" t="s">
        <v>451</v>
      </c>
      <c r="M397">
        <v>1.6825115802299999E-3</v>
      </c>
      <c r="N397">
        <v>1.6069213824650069E-2</v>
      </c>
      <c r="O397">
        <v>30169.468000000001</v>
      </c>
      <c r="P397">
        <v>4.8744250000000003E-6</v>
      </c>
      <c r="Q397">
        <v>0.29411799999999999</v>
      </c>
      <c r="R397" s="61">
        <v>4.7262450316784277E-3</v>
      </c>
      <c r="S397" t="s">
        <v>346</v>
      </c>
      <c r="T397" t="s">
        <v>436</v>
      </c>
      <c r="U397" t="s">
        <v>425</v>
      </c>
      <c r="V397" t="s">
        <v>91</v>
      </c>
      <c r="W397">
        <v>111.133</v>
      </c>
      <c r="X397">
        <v>1.0368587857491129</v>
      </c>
      <c r="Y397">
        <v>115.2292274366562</v>
      </c>
      <c r="Z397">
        <v>603.45000000000005</v>
      </c>
      <c r="AA397">
        <v>1</v>
      </c>
      <c r="AB397">
        <v>69.535077296650186</v>
      </c>
      <c r="AC397">
        <v>0.99250000000000005</v>
      </c>
      <c r="AD397" s="63">
        <v>69.013999999999996</v>
      </c>
      <c r="AE397">
        <v>8.9176000000000002</v>
      </c>
      <c r="AF397">
        <v>9.2462919077962926</v>
      </c>
      <c r="AG397">
        <v>1</v>
      </c>
      <c r="AH397">
        <v>5579.6748517596734</v>
      </c>
      <c r="AI397">
        <v>0.96573604060913698</v>
      </c>
      <c r="AJ397" s="63">
        <v>5388.4930999999997</v>
      </c>
      <c r="AK397" s="61">
        <v>25.467338742108488</v>
      </c>
      <c r="AL397" t="s">
        <v>346</v>
      </c>
      <c r="AM397" t="s">
        <v>436</v>
      </c>
      <c r="AN397" t="s">
        <v>425</v>
      </c>
      <c r="AO397" t="s">
        <v>91</v>
      </c>
      <c r="AP397">
        <v>111.133</v>
      </c>
      <c r="AQ397">
        <v>1.0368587857491129</v>
      </c>
      <c r="AR397">
        <v>115.2292274366562</v>
      </c>
      <c r="AS397">
        <v>603.45000000000005</v>
      </c>
      <c r="AT397">
        <v>1</v>
      </c>
      <c r="AU397">
        <v>69.535077296650186</v>
      </c>
      <c r="AV397">
        <v>0.99250000000000005</v>
      </c>
      <c r="AW397" s="63">
        <v>69.013999999999996</v>
      </c>
      <c r="AX397">
        <v>8.9176000000000002</v>
      </c>
      <c r="AY397">
        <v>1</v>
      </c>
      <c r="AZ397">
        <v>5579.6748517596734</v>
      </c>
      <c r="BA397">
        <v>0.96573604060913698</v>
      </c>
      <c r="BB397" s="63">
        <v>5388.4930999999997</v>
      </c>
      <c r="BC397" s="61">
        <v>25.467338742108488</v>
      </c>
    </row>
    <row r="398" spans="1:55" x14ac:dyDescent="0.25">
      <c r="A398">
        <v>88511</v>
      </c>
      <c r="B398" t="s">
        <v>113</v>
      </c>
      <c r="C398">
        <v>2018</v>
      </c>
      <c r="D398">
        <v>9</v>
      </c>
      <c r="E398" t="s">
        <v>100</v>
      </c>
      <c r="F398" t="s">
        <v>426</v>
      </c>
      <c r="G398" t="s">
        <v>84</v>
      </c>
      <c r="H398" t="s">
        <v>381</v>
      </c>
      <c r="I398" t="s">
        <v>427</v>
      </c>
      <c r="J398">
        <v>-9.5507299999999997</v>
      </c>
      <c r="K398" t="s">
        <v>440</v>
      </c>
      <c r="L398" t="s">
        <v>452</v>
      </c>
      <c r="M398">
        <v>1.53682162831E-3</v>
      </c>
      <c r="N398">
        <v>1.4677768430149171E-2</v>
      </c>
      <c r="O398">
        <v>30169.468000000001</v>
      </c>
      <c r="P398">
        <v>4.8744250000000003E-6</v>
      </c>
      <c r="Q398">
        <v>0.29411799999999999</v>
      </c>
      <c r="R398" s="61">
        <v>4.3169958951386122E-3</v>
      </c>
      <c r="S398" t="s">
        <v>346</v>
      </c>
      <c r="T398" t="s">
        <v>436</v>
      </c>
      <c r="U398" t="s">
        <v>425</v>
      </c>
      <c r="V398" t="s">
        <v>28</v>
      </c>
      <c r="W398">
        <v>111.133</v>
      </c>
      <c r="X398">
        <v>1.0368587857491129</v>
      </c>
      <c r="Y398">
        <v>115.2292274366562</v>
      </c>
      <c r="Z398">
        <v>603.45000000000005</v>
      </c>
      <c r="AA398">
        <v>1</v>
      </c>
      <c r="AB398">
        <v>69.535077296650186</v>
      </c>
      <c r="AC398">
        <v>0.99760000000000004</v>
      </c>
      <c r="AD398" s="63">
        <v>69.367999999999995</v>
      </c>
      <c r="AE398">
        <v>8.9176000000000002</v>
      </c>
      <c r="AF398">
        <v>9.2462919077962926</v>
      </c>
      <c r="AG398">
        <v>1</v>
      </c>
      <c r="AH398">
        <v>5579.6748517596734</v>
      </c>
      <c r="AI398">
        <v>0.96062216971844849</v>
      </c>
      <c r="AJ398" s="63">
        <v>5359.9593999999997</v>
      </c>
      <c r="AK398" s="61">
        <v>23.13892272790962</v>
      </c>
      <c r="AL398" t="s">
        <v>346</v>
      </c>
      <c r="AM398" t="s">
        <v>436</v>
      </c>
      <c r="AN398" t="s">
        <v>425</v>
      </c>
      <c r="AO398" t="s">
        <v>28</v>
      </c>
      <c r="AP398">
        <v>111.133</v>
      </c>
      <c r="AQ398">
        <v>1.0368587857491129</v>
      </c>
      <c r="AR398">
        <v>115.2292274366562</v>
      </c>
      <c r="AS398">
        <v>603.45000000000005</v>
      </c>
      <c r="AT398">
        <v>1</v>
      </c>
      <c r="AU398">
        <v>69.535077296650186</v>
      </c>
      <c r="AV398">
        <v>0.99760000000000004</v>
      </c>
      <c r="AW398" s="63">
        <v>69.367999999999995</v>
      </c>
      <c r="AX398">
        <v>8.9176000000000002</v>
      </c>
      <c r="AY398">
        <v>1</v>
      </c>
      <c r="AZ398">
        <v>5579.6748517596734</v>
      </c>
      <c r="BA398">
        <v>0.96062216971844849</v>
      </c>
      <c r="BB398" s="63">
        <v>5359.9593999999997</v>
      </c>
      <c r="BC398" s="61">
        <v>23.13892272790962</v>
      </c>
    </row>
    <row r="399" spans="1:55" x14ac:dyDescent="0.25">
      <c r="A399">
        <v>88513</v>
      </c>
      <c r="B399" t="s">
        <v>113</v>
      </c>
      <c r="C399">
        <v>2018</v>
      </c>
      <c r="D399">
        <v>9</v>
      </c>
      <c r="E399" t="s">
        <v>100</v>
      </c>
      <c r="F399" t="s">
        <v>426</v>
      </c>
      <c r="G399" t="s">
        <v>84</v>
      </c>
      <c r="H399" t="s">
        <v>87</v>
      </c>
      <c r="I399" t="s">
        <v>427</v>
      </c>
      <c r="J399">
        <v>-1.7550300000000001</v>
      </c>
      <c r="K399" t="s">
        <v>440</v>
      </c>
      <c r="L399" t="s">
        <v>450</v>
      </c>
      <c r="M399">
        <v>0.26601384014995</v>
      </c>
      <c r="N399">
        <v>0.46686226987836671</v>
      </c>
      <c r="O399">
        <v>30169.468000000001</v>
      </c>
      <c r="P399">
        <v>4.8744250000000003E-6</v>
      </c>
      <c r="Q399">
        <v>0.29411799999999999</v>
      </c>
      <c r="R399" s="61">
        <v>0.13731259709208549</v>
      </c>
      <c r="S399" t="s">
        <v>346</v>
      </c>
      <c r="T399" t="s">
        <v>436</v>
      </c>
      <c r="U399" t="s">
        <v>425</v>
      </c>
      <c r="V399" t="s">
        <v>26</v>
      </c>
      <c r="W399">
        <v>111.133</v>
      </c>
      <c r="X399">
        <v>1.0368587857491129</v>
      </c>
      <c r="Y399">
        <v>115.2292274366562</v>
      </c>
      <c r="Z399">
        <v>603.45000000000005</v>
      </c>
      <c r="AA399">
        <v>1</v>
      </c>
      <c r="AB399">
        <v>69.535077296650186</v>
      </c>
      <c r="AC399">
        <v>0.96209999999999996</v>
      </c>
      <c r="AD399" s="63">
        <v>66.900000000000006</v>
      </c>
      <c r="AE399">
        <v>8.9176000000000002</v>
      </c>
      <c r="AF399">
        <v>9.2462919077962926</v>
      </c>
      <c r="AG399">
        <v>1</v>
      </c>
      <c r="AH399">
        <v>5579.6748517596734</v>
      </c>
      <c r="AI399">
        <v>0.95992461065370505</v>
      </c>
      <c r="AJ399" s="63">
        <v>5356.0672000000004</v>
      </c>
      <c r="AK399" s="61">
        <v>735.45549743173433</v>
      </c>
      <c r="AL399" t="s">
        <v>346</v>
      </c>
      <c r="AM399" t="s">
        <v>436</v>
      </c>
      <c r="AN399" t="s">
        <v>425</v>
      </c>
      <c r="AO399" t="s">
        <v>26</v>
      </c>
      <c r="AP399">
        <v>111.133</v>
      </c>
      <c r="AQ399">
        <v>1.0368587857491129</v>
      </c>
      <c r="AR399">
        <v>115.2292274366562</v>
      </c>
      <c r="AS399">
        <v>603.45000000000005</v>
      </c>
      <c r="AT399">
        <v>1</v>
      </c>
      <c r="AU399">
        <v>69.535077296650186</v>
      </c>
      <c r="AV399">
        <v>0.96209999999999996</v>
      </c>
      <c r="AW399" s="63">
        <v>66.900000000000006</v>
      </c>
      <c r="AX399">
        <v>8.9176000000000002</v>
      </c>
      <c r="AY399">
        <v>1</v>
      </c>
      <c r="AZ399">
        <v>5579.6748517596734</v>
      </c>
      <c r="BA399">
        <v>0.95992461065370505</v>
      </c>
      <c r="BB399" s="63">
        <v>5356.0672000000004</v>
      </c>
      <c r="BC399" s="61">
        <v>735.45549743173433</v>
      </c>
    </row>
    <row r="400" spans="1:55" x14ac:dyDescent="0.25">
      <c r="A400">
        <v>88515</v>
      </c>
      <c r="B400" t="s">
        <v>113</v>
      </c>
      <c r="C400">
        <v>2018</v>
      </c>
      <c r="D400">
        <v>9</v>
      </c>
      <c r="E400" t="s">
        <v>100</v>
      </c>
      <c r="F400" t="s">
        <v>426</v>
      </c>
      <c r="G400" t="s">
        <v>84</v>
      </c>
      <c r="H400" t="s">
        <v>87</v>
      </c>
      <c r="I400" t="s">
        <v>427</v>
      </c>
      <c r="J400">
        <v>-1.7550300000000001</v>
      </c>
      <c r="K400" t="s">
        <v>440</v>
      </c>
      <c r="L400" t="s">
        <v>384</v>
      </c>
      <c r="M400">
        <v>3.9509559941419997E-2</v>
      </c>
      <c r="N400">
        <v>6.9340462983990339E-2</v>
      </c>
      <c r="O400">
        <v>30169.468000000001</v>
      </c>
      <c r="P400">
        <v>4.8744250000000003E-6</v>
      </c>
      <c r="Q400">
        <v>0.29411799999999999</v>
      </c>
      <c r="R400" s="61">
        <v>2.039427829192527E-2</v>
      </c>
      <c r="S400" t="s">
        <v>346</v>
      </c>
      <c r="T400" t="s">
        <v>436</v>
      </c>
      <c r="U400" t="s">
        <v>425</v>
      </c>
      <c r="V400" t="s">
        <v>81</v>
      </c>
      <c r="W400">
        <v>111.133</v>
      </c>
      <c r="X400">
        <v>1.0368587857491129</v>
      </c>
      <c r="Y400">
        <v>115.2292274366562</v>
      </c>
      <c r="Z400">
        <v>603.45000000000005</v>
      </c>
      <c r="AA400">
        <v>1</v>
      </c>
      <c r="AB400">
        <v>69.535077296650186</v>
      </c>
      <c r="AC400">
        <v>0.90990000000000004</v>
      </c>
      <c r="AD400" s="63">
        <v>63.27</v>
      </c>
      <c r="AE400">
        <v>8.9176000000000002</v>
      </c>
      <c r="AF400">
        <v>9.2462919077962926</v>
      </c>
      <c r="AG400">
        <v>1</v>
      </c>
      <c r="AH400">
        <v>5579.6748517596734</v>
      </c>
      <c r="AI400">
        <v>1.053620848708487</v>
      </c>
      <c r="AJ400" s="63">
        <v>5878.8617999999997</v>
      </c>
      <c r="AK400" s="61">
        <v>119.89514358896869</v>
      </c>
      <c r="AL400" t="s">
        <v>346</v>
      </c>
      <c r="AM400" t="s">
        <v>436</v>
      </c>
      <c r="AN400" t="s">
        <v>425</v>
      </c>
      <c r="AO400" t="s">
        <v>81</v>
      </c>
      <c r="AP400">
        <v>111.133</v>
      </c>
      <c r="AQ400">
        <v>1.0368587857491129</v>
      </c>
      <c r="AR400">
        <v>115.2292274366562</v>
      </c>
      <c r="AS400">
        <v>603.45000000000005</v>
      </c>
      <c r="AT400">
        <v>1</v>
      </c>
      <c r="AU400">
        <v>69.535077296650186</v>
      </c>
      <c r="AV400">
        <v>0.90990000000000004</v>
      </c>
      <c r="AW400" s="63">
        <v>63.27</v>
      </c>
      <c r="AX400">
        <v>8.9176000000000002</v>
      </c>
      <c r="AY400">
        <v>1</v>
      </c>
      <c r="AZ400">
        <v>5579.6748517596734</v>
      </c>
      <c r="BA400">
        <v>1.053620848708487</v>
      </c>
      <c r="BB400" s="63">
        <v>5878.8617999999997</v>
      </c>
      <c r="BC400" s="61">
        <v>119.89514358896869</v>
      </c>
    </row>
    <row r="401" spans="1:55" x14ac:dyDescent="0.25">
      <c r="A401">
        <v>88517</v>
      </c>
      <c r="B401" t="s">
        <v>113</v>
      </c>
      <c r="C401">
        <v>2018</v>
      </c>
      <c r="D401">
        <v>9</v>
      </c>
      <c r="E401" t="s">
        <v>100</v>
      </c>
      <c r="F401" t="s">
        <v>426</v>
      </c>
      <c r="G401" t="s">
        <v>84</v>
      </c>
      <c r="H401" t="s">
        <v>87</v>
      </c>
      <c r="I401" t="s">
        <v>427</v>
      </c>
      <c r="J401">
        <v>-1.7550300000000001</v>
      </c>
      <c r="K401" t="s">
        <v>440</v>
      </c>
      <c r="L401" t="s">
        <v>385</v>
      </c>
      <c r="M401">
        <v>0.39737542925016001</v>
      </c>
      <c r="N401">
        <v>0.69740579959690829</v>
      </c>
      <c r="O401">
        <v>30169.468000000001</v>
      </c>
      <c r="P401">
        <v>4.8744250000000003E-6</v>
      </c>
      <c r="Q401">
        <v>0.29411799999999999</v>
      </c>
      <c r="R401" s="61">
        <v>0.2051195989658435</v>
      </c>
      <c r="S401" t="s">
        <v>346</v>
      </c>
      <c r="T401" t="s">
        <v>436</v>
      </c>
      <c r="U401" t="s">
        <v>425</v>
      </c>
      <c r="V401" t="s">
        <v>27</v>
      </c>
      <c r="W401">
        <v>111.133</v>
      </c>
      <c r="X401">
        <v>1.0368587857491129</v>
      </c>
      <c r="Y401">
        <v>115.2292274366562</v>
      </c>
      <c r="Z401">
        <v>603.45000000000005</v>
      </c>
      <c r="AA401">
        <v>1</v>
      </c>
      <c r="AB401">
        <v>69.535077296650186</v>
      </c>
      <c r="AC401">
        <v>0.93979999999999997</v>
      </c>
      <c r="AD401" s="63">
        <v>65.349000000000004</v>
      </c>
      <c r="AE401">
        <v>8.9176000000000002</v>
      </c>
      <c r="AF401">
        <v>9.2462919077962926</v>
      </c>
      <c r="AG401">
        <v>1</v>
      </c>
      <c r="AH401">
        <v>5579.6748517596734</v>
      </c>
      <c r="AI401">
        <v>0.95477850697292876</v>
      </c>
      <c r="AJ401" s="63">
        <v>5327.3536000000004</v>
      </c>
      <c r="AK401" s="61">
        <v>1092.744633981242</v>
      </c>
      <c r="AL401" t="s">
        <v>346</v>
      </c>
      <c r="AM401" t="s">
        <v>436</v>
      </c>
      <c r="AN401" t="s">
        <v>425</v>
      </c>
      <c r="AO401" t="s">
        <v>27</v>
      </c>
      <c r="AP401">
        <v>111.133</v>
      </c>
      <c r="AQ401">
        <v>1.0368587857491129</v>
      </c>
      <c r="AR401">
        <v>115.2292274366562</v>
      </c>
      <c r="AS401">
        <v>603.45000000000005</v>
      </c>
      <c r="AT401">
        <v>1</v>
      </c>
      <c r="AU401">
        <v>69.535077296650186</v>
      </c>
      <c r="AV401">
        <v>0.93979999999999997</v>
      </c>
      <c r="AW401" s="63">
        <v>65.349000000000004</v>
      </c>
      <c r="AX401">
        <v>8.9176000000000002</v>
      </c>
      <c r="AY401">
        <v>1</v>
      </c>
      <c r="AZ401">
        <v>5579.6748517596734</v>
      </c>
      <c r="BA401">
        <v>0.95477850697292876</v>
      </c>
      <c r="BB401" s="63">
        <v>5327.3536000000004</v>
      </c>
      <c r="BC401" s="61">
        <v>1092.744633981242</v>
      </c>
    </row>
    <row r="402" spans="1:55" x14ac:dyDescent="0.25">
      <c r="A402">
        <v>88519</v>
      </c>
      <c r="B402" t="s">
        <v>113</v>
      </c>
      <c r="C402">
        <v>2018</v>
      </c>
      <c r="D402">
        <v>9</v>
      </c>
      <c r="E402" t="s">
        <v>100</v>
      </c>
      <c r="F402" t="s">
        <v>426</v>
      </c>
      <c r="G402" t="s">
        <v>84</v>
      </c>
      <c r="H402" t="s">
        <v>87</v>
      </c>
      <c r="I402" t="s">
        <v>427</v>
      </c>
      <c r="J402">
        <v>-1.7550300000000001</v>
      </c>
      <c r="K402" t="s">
        <v>440</v>
      </c>
      <c r="L402" t="s">
        <v>452</v>
      </c>
      <c r="M402">
        <v>8.4248020759000004E-4</v>
      </c>
      <c r="N402">
        <v>1.478578038726678E-3</v>
      </c>
      <c r="O402">
        <v>30169.468000000001</v>
      </c>
      <c r="P402">
        <v>4.8744250000000003E-6</v>
      </c>
      <c r="Q402">
        <v>0.29411799999999999</v>
      </c>
      <c r="R402" s="61">
        <v>4.3487641559421302E-4</v>
      </c>
      <c r="S402" t="s">
        <v>346</v>
      </c>
      <c r="T402" t="s">
        <v>436</v>
      </c>
      <c r="U402" t="s">
        <v>425</v>
      </c>
      <c r="V402" t="s">
        <v>28</v>
      </c>
      <c r="W402">
        <v>111.133</v>
      </c>
      <c r="X402">
        <v>1.0368587857491129</v>
      </c>
      <c r="Y402">
        <v>115.2292274366562</v>
      </c>
      <c r="Z402">
        <v>603.45000000000005</v>
      </c>
      <c r="AA402">
        <v>1</v>
      </c>
      <c r="AB402">
        <v>69.535077296650186</v>
      </c>
      <c r="AC402">
        <v>0.99760000000000004</v>
      </c>
      <c r="AD402" s="63">
        <v>69.367999999999995</v>
      </c>
      <c r="AE402">
        <v>8.9176000000000002</v>
      </c>
      <c r="AF402">
        <v>9.2462919077962926</v>
      </c>
      <c r="AG402">
        <v>1</v>
      </c>
      <c r="AH402">
        <v>5579.6748517596734</v>
      </c>
      <c r="AI402">
        <v>0.96062216971844849</v>
      </c>
      <c r="AJ402" s="63">
        <v>5359.9593999999997</v>
      </c>
      <c r="AK402" s="61">
        <v>2.3309199316025082</v>
      </c>
      <c r="AL402" t="s">
        <v>346</v>
      </c>
      <c r="AM402" t="s">
        <v>436</v>
      </c>
      <c r="AN402" t="s">
        <v>425</v>
      </c>
      <c r="AO402" t="s">
        <v>28</v>
      </c>
      <c r="AP402">
        <v>111.133</v>
      </c>
      <c r="AQ402">
        <v>1.0368587857491129</v>
      </c>
      <c r="AR402">
        <v>115.2292274366562</v>
      </c>
      <c r="AS402">
        <v>603.45000000000005</v>
      </c>
      <c r="AT402">
        <v>1</v>
      </c>
      <c r="AU402">
        <v>69.535077296650186</v>
      </c>
      <c r="AV402">
        <v>0.99760000000000004</v>
      </c>
      <c r="AW402" s="63">
        <v>69.367999999999995</v>
      </c>
      <c r="AX402">
        <v>8.9176000000000002</v>
      </c>
      <c r="AY402">
        <v>1</v>
      </c>
      <c r="AZ402">
        <v>5579.6748517596734</v>
      </c>
      <c r="BA402">
        <v>0.96062216971844849</v>
      </c>
      <c r="BB402" s="63">
        <v>5359.9593999999997</v>
      </c>
      <c r="BC402" s="61">
        <v>2.3309199316025082</v>
      </c>
    </row>
    <row r="403" spans="1:55" x14ac:dyDescent="0.25">
      <c r="A403">
        <v>88521</v>
      </c>
      <c r="B403" t="s">
        <v>113</v>
      </c>
      <c r="C403">
        <v>2018</v>
      </c>
      <c r="D403">
        <v>9</v>
      </c>
      <c r="E403" t="s">
        <v>100</v>
      </c>
      <c r="F403" t="s">
        <v>426</v>
      </c>
      <c r="G403" t="s">
        <v>84</v>
      </c>
      <c r="H403" t="s">
        <v>59</v>
      </c>
      <c r="I403" t="s">
        <v>427</v>
      </c>
      <c r="J403">
        <v>-5.0464000000000002</v>
      </c>
      <c r="K403" t="s">
        <v>440</v>
      </c>
      <c r="L403" t="s">
        <v>450</v>
      </c>
      <c r="M403">
        <v>0.15931709696460999</v>
      </c>
      <c r="N403">
        <v>0.80397779812220793</v>
      </c>
      <c r="O403">
        <v>30169.468000000001</v>
      </c>
      <c r="P403">
        <v>4.8744250000000003E-6</v>
      </c>
      <c r="Q403">
        <v>0.29411799999999999</v>
      </c>
      <c r="R403" s="61">
        <v>0.23646434202810751</v>
      </c>
      <c r="S403" t="s">
        <v>346</v>
      </c>
      <c r="T403" t="s">
        <v>436</v>
      </c>
      <c r="U403" t="s">
        <v>425</v>
      </c>
      <c r="V403" t="s">
        <v>26</v>
      </c>
      <c r="W403">
        <v>111.133</v>
      </c>
      <c r="X403">
        <v>1.0368587857491129</v>
      </c>
      <c r="Y403">
        <v>115.2292274366562</v>
      </c>
      <c r="Z403">
        <v>603.45000000000005</v>
      </c>
      <c r="AA403">
        <v>1</v>
      </c>
      <c r="AB403">
        <v>69.535077296650186</v>
      </c>
      <c r="AC403">
        <v>0.96209999999999996</v>
      </c>
      <c r="AD403" s="63">
        <v>66.900000000000006</v>
      </c>
      <c r="AE403">
        <v>8.9176000000000002</v>
      </c>
      <c r="AF403">
        <v>9.2462919077962926</v>
      </c>
      <c r="AG403">
        <v>1</v>
      </c>
      <c r="AH403">
        <v>5579.6748517596734</v>
      </c>
      <c r="AI403">
        <v>0.95992461065370505</v>
      </c>
      <c r="AJ403" s="63">
        <v>5356.0672000000004</v>
      </c>
      <c r="AK403" s="61">
        <v>1266.5189063063281</v>
      </c>
      <c r="AL403" t="s">
        <v>346</v>
      </c>
      <c r="AM403" t="s">
        <v>436</v>
      </c>
      <c r="AN403" t="s">
        <v>425</v>
      </c>
      <c r="AO403" t="s">
        <v>26</v>
      </c>
      <c r="AP403">
        <v>111.133</v>
      </c>
      <c r="AQ403">
        <v>1.0368587857491129</v>
      </c>
      <c r="AR403">
        <v>115.2292274366562</v>
      </c>
      <c r="AS403">
        <v>603.45000000000005</v>
      </c>
      <c r="AT403">
        <v>1</v>
      </c>
      <c r="AU403">
        <v>69.535077296650186</v>
      </c>
      <c r="AV403">
        <v>0.96209999999999996</v>
      </c>
      <c r="AW403" s="63">
        <v>66.900000000000006</v>
      </c>
      <c r="AX403">
        <v>8.9176000000000002</v>
      </c>
      <c r="AY403">
        <v>1</v>
      </c>
      <c r="AZ403">
        <v>5579.6748517596734</v>
      </c>
      <c r="BA403">
        <v>0.95992461065370505</v>
      </c>
      <c r="BB403" s="63">
        <v>5356.0672000000004</v>
      </c>
      <c r="BC403" s="61">
        <v>1266.5189063063281</v>
      </c>
    </row>
    <row r="404" spans="1:55" x14ac:dyDescent="0.25">
      <c r="A404">
        <v>88523</v>
      </c>
      <c r="B404" t="s">
        <v>113</v>
      </c>
      <c r="C404">
        <v>2018</v>
      </c>
      <c r="D404">
        <v>9</v>
      </c>
      <c r="E404" t="s">
        <v>100</v>
      </c>
      <c r="F404" t="s">
        <v>426</v>
      </c>
      <c r="G404" t="s">
        <v>84</v>
      </c>
      <c r="H404" t="s">
        <v>59</v>
      </c>
      <c r="I404" t="s">
        <v>427</v>
      </c>
      <c r="J404">
        <v>-5.0464000000000002</v>
      </c>
      <c r="K404" t="s">
        <v>440</v>
      </c>
      <c r="L404" t="s">
        <v>384</v>
      </c>
      <c r="M404">
        <v>4.1785183859599999E-2</v>
      </c>
      <c r="N404">
        <v>0.21086475182908551</v>
      </c>
      <c r="O404">
        <v>30169.468000000001</v>
      </c>
      <c r="P404">
        <v>4.8744250000000003E-6</v>
      </c>
      <c r="Q404">
        <v>0.29411799999999999</v>
      </c>
      <c r="R404" s="61">
        <v>6.2019119078466953E-2</v>
      </c>
      <c r="S404" t="s">
        <v>346</v>
      </c>
      <c r="T404" t="s">
        <v>436</v>
      </c>
      <c r="U404" t="s">
        <v>425</v>
      </c>
      <c r="V404" t="s">
        <v>81</v>
      </c>
      <c r="W404">
        <v>111.133</v>
      </c>
      <c r="X404">
        <v>1.0368587857491129</v>
      </c>
      <c r="Y404">
        <v>115.2292274366562</v>
      </c>
      <c r="Z404">
        <v>603.45000000000005</v>
      </c>
      <c r="AA404">
        <v>1</v>
      </c>
      <c r="AB404">
        <v>69.535077296650186</v>
      </c>
      <c r="AC404">
        <v>0.90990000000000004</v>
      </c>
      <c r="AD404" s="63">
        <v>63.27</v>
      </c>
      <c r="AE404">
        <v>8.9176000000000002</v>
      </c>
      <c r="AF404">
        <v>9.2462919077962926</v>
      </c>
      <c r="AG404">
        <v>1</v>
      </c>
      <c r="AH404">
        <v>5579.6748517596734</v>
      </c>
      <c r="AI404">
        <v>1.053620848708487</v>
      </c>
      <c r="AJ404" s="63">
        <v>5878.8617999999997</v>
      </c>
      <c r="AK404" s="61">
        <v>364.60183002005061</v>
      </c>
      <c r="AL404" t="s">
        <v>346</v>
      </c>
      <c r="AM404" t="s">
        <v>436</v>
      </c>
      <c r="AN404" t="s">
        <v>425</v>
      </c>
      <c r="AO404" t="s">
        <v>81</v>
      </c>
      <c r="AP404">
        <v>111.133</v>
      </c>
      <c r="AQ404">
        <v>1.0368587857491129</v>
      </c>
      <c r="AR404">
        <v>115.2292274366562</v>
      </c>
      <c r="AS404">
        <v>603.45000000000005</v>
      </c>
      <c r="AT404">
        <v>1</v>
      </c>
      <c r="AU404">
        <v>69.535077296650186</v>
      </c>
      <c r="AV404">
        <v>0.90990000000000004</v>
      </c>
      <c r="AW404" s="63">
        <v>63.27</v>
      </c>
      <c r="AX404">
        <v>8.9176000000000002</v>
      </c>
      <c r="AY404">
        <v>1</v>
      </c>
      <c r="AZ404">
        <v>5579.6748517596734</v>
      </c>
      <c r="BA404">
        <v>1.053620848708487</v>
      </c>
      <c r="BB404" s="63">
        <v>5878.8617999999997</v>
      </c>
      <c r="BC404" s="61">
        <v>364.60183002005061</v>
      </c>
    </row>
    <row r="405" spans="1:55" x14ac:dyDescent="0.25">
      <c r="A405">
        <v>88525</v>
      </c>
      <c r="B405" t="s">
        <v>113</v>
      </c>
      <c r="C405">
        <v>2018</v>
      </c>
      <c r="D405">
        <v>9</v>
      </c>
      <c r="E405" t="s">
        <v>100</v>
      </c>
      <c r="F405" t="s">
        <v>426</v>
      </c>
      <c r="G405" t="s">
        <v>84</v>
      </c>
      <c r="H405" t="s">
        <v>59</v>
      </c>
      <c r="I405" t="s">
        <v>427</v>
      </c>
      <c r="J405">
        <v>-5.0464000000000002</v>
      </c>
      <c r="K405" t="s">
        <v>440</v>
      </c>
      <c r="L405" t="s">
        <v>385</v>
      </c>
      <c r="M405">
        <v>0.43497567483749999</v>
      </c>
      <c r="N405">
        <v>2.1950612454999598</v>
      </c>
      <c r="O405">
        <v>30169.468000000001</v>
      </c>
      <c r="P405">
        <v>4.8744250000000003E-6</v>
      </c>
      <c r="Q405">
        <v>0.29411799999999999</v>
      </c>
      <c r="R405" s="61">
        <v>0.64560702340395715</v>
      </c>
      <c r="S405" t="s">
        <v>346</v>
      </c>
      <c r="T405" t="s">
        <v>436</v>
      </c>
      <c r="U405" t="s">
        <v>425</v>
      </c>
      <c r="V405" t="s">
        <v>27</v>
      </c>
      <c r="W405">
        <v>111.133</v>
      </c>
      <c r="X405">
        <v>1.0368587857491129</v>
      </c>
      <c r="Y405">
        <v>115.2292274366562</v>
      </c>
      <c r="Z405">
        <v>603.45000000000005</v>
      </c>
      <c r="AA405">
        <v>1</v>
      </c>
      <c r="AB405">
        <v>69.535077296650186</v>
      </c>
      <c r="AC405">
        <v>0.93979999999999997</v>
      </c>
      <c r="AD405" s="63">
        <v>65.349000000000004</v>
      </c>
      <c r="AE405">
        <v>8.9176000000000002</v>
      </c>
      <c r="AF405">
        <v>9.2462919077962926</v>
      </c>
      <c r="AG405">
        <v>1</v>
      </c>
      <c r="AH405">
        <v>5579.6748517596734</v>
      </c>
      <c r="AI405">
        <v>0.95477850697292876</v>
      </c>
      <c r="AJ405" s="63">
        <v>5327.3536000000004</v>
      </c>
      <c r="AK405" s="61">
        <v>3439.3769003163561</v>
      </c>
      <c r="AL405" t="s">
        <v>346</v>
      </c>
      <c r="AM405" t="s">
        <v>436</v>
      </c>
      <c r="AN405" t="s">
        <v>425</v>
      </c>
      <c r="AO405" t="s">
        <v>27</v>
      </c>
      <c r="AP405">
        <v>111.133</v>
      </c>
      <c r="AQ405">
        <v>1.0368587857491129</v>
      </c>
      <c r="AR405">
        <v>115.2292274366562</v>
      </c>
      <c r="AS405">
        <v>603.45000000000005</v>
      </c>
      <c r="AT405">
        <v>1</v>
      </c>
      <c r="AU405">
        <v>69.535077296650186</v>
      </c>
      <c r="AV405">
        <v>0.93979999999999997</v>
      </c>
      <c r="AW405" s="63">
        <v>65.349000000000004</v>
      </c>
      <c r="AX405">
        <v>8.9176000000000002</v>
      </c>
      <c r="AY405">
        <v>1</v>
      </c>
      <c r="AZ405">
        <v>5579.6748517596734</v>
      </c>
      <c r="BA405">
        <v>0.95477850697292876</v>
      </c>
      <c r="BB405" s="63">
        <v>5327.3536000000004</v>
      </c>
      <c r="BC405" s="61">
        <v>3439.3769003163561</v>
      </c>
    </row>
    <row r="406" spans="1:55" x14ac:dyDescent="0.25">
      <c r="A406">
        <v>88527</v>
      </c>
      <c r="B406" t="s">
        <v>113</v>
      </c>
      <c r="C406">
        <v>2018</v>
      </c>
      <c r="D406">
        <v>9</v>
      </c>
      <c r="E406" t="s">
        <v>100</v>
      </c>
      <c r="F406" t="s">
        <v>426</v>
      </c>
      <c r="G406" t="s">
        <v>84</v>
      </c>
      <c r="H406" t="s">
        <v>59</v>
      </c>
      <c r="I406" t="s">
        <v>427</v>
      </c>
      <c r="J406">
        <v>-5.0464000000000002</v>
      </c>
      <c r="K406" t="s">
        <v>440</v>
      </c>
      <c r="L406" t="s">
        <v>451</v>
      </c>
      <c r="M406">
        <v>1.7625750762999999E-3</v>
      </c>
      <c r="N406">
        <v>8.8946588650403204E-3</v>
      </c>
      <c r="O406">
        <v>30169.468000000001</v>
      </c>
      <c r="P406">
        <v>4.8744250000000003E-6</v>
      </c>
      <c r="Q406">
        <v>0.29411799999999999</v>
      </c>
      <c r="R406" s="61">
        <v>2.6160792760679288E-3</v>
      </c>
      <c r="S406" t="s">
        <v>346</v>
      </c>
      <c r="T406" t="s">
        <v>436</v>
      </c>
      <c r="U406" t="s">
        <v>425</v>
      </c>
      <c r="V406" t="s">
        <v>91</v>
      </c>
      <c r="W406">
        <v>111.133</v>
      </c>
      <c r="X406">
        <v>1.0368587857491129</v>
      </c>
      <c r="Y406">
        <v>115.2292274366562</v>
      </c>
      <c r="Z406">
        <v>603.45000000000005</v>
      </c>
      <c r="AA406">
        <v>1</v>
      </c>
      <c r="AB406">
        <v>69.535077296650186</v>
      </c>
      <c r="AC406">
        <v>0.99250000000000005</v>
      </c>
      <c r="AD406" s="63">
        <v>69.013999999999996</v>
      </c>
      <c r="AE406">
        <v>8.9176000000000002</v>
      </c>
      <c r="AF406">
        <v>9.2462919077962926</v>
      </c>
      <c r="AG406">
        <v>1</v>
      </c>
      <c r="AH406">
        <v>5579.6748517596734</v>
      </c>
      <c r="AI406">
        <v>0.96573604060913698</v>
      </c>
      <c r="AJ406" s="63">
        <v>5388.4930999999997</v>
      </c>
      <c r="AK406" s="61">
        <v>14.09672512814503</v>
      </c>
      <c r="AL406" t="s">
        <v>346</v>
      </c>
      <c r="AM406" t="s">
        <v>436</v>
      </c>
      <c r="AN406" t="s">
        <v>425</v>
      </c>
      <c r="AO406" t="s">
        <v>91</v>
      </c>
      <c r="AP406">
        <v>111.133</v>
      </c>
      <c r="AQ406">
        <v>1.0368587857491129</v>
      </c>
      <c r="AR406">
        <v>115.2292274366562</v>
      </c>
      <c r="AS406">
        <v>603.45000000000005</v>
      </c>
      <c r="AT406">
        <v>1</v>
      </c>
      <c r="AU406">
        <v>69.535077296650186</v>
      </c>
      <c r="AV406">
        <v>0.99250000000000005</v>
      </c>
      <c r="AW406" s="63">
        <v>69.013999999999996</v>
      </c>
      <c r="AX406">
        <v>8.9176000000000002</v>
      </c>
      <c r="AY406">
        <v>1</v>
      </c>
      <c r="AZ406">
        <v>5579.6748517596734</v>
      </c>
      <c r="BA406">
        <v>0.96573604060913698</v>
      </c>
      <c r="BB406" s="63">
        <v>5388.4930999999997</v>
      </c>
      <c r="BC406" s="61">
        <v>14.09672512814503</v>
      </c>
    </row>
    <row r="407" spans="1:55" x14ac:dyDescent="0.25">
      <c r="A407">
        <v>88529</v>
      </c>
      <c r="B407" t="s">
        <v>113</v>
      </c>
      <c r="C407">
        <v>2018</v>
      </c>
      <c r="D407">
        <v>9</v>
      </c>
      <c r="E407" t="s">
        <v>100</v>
      </c>
      <c r="F407" t="s">
        <v>426</v>
      </c>
      <c r="G407" t="s">
        <v>84</v>
      </c>
      <c r="H407" t="s">
        <v>59</v>
      </c>
      <c r="I407" t="s">
        <v>427</v>
      </c>
      <c r="J407">
        <v>-5.0464000000000002</v>
      </c>
      <c r="K407" t="s">
        <v>440</v>
      </c>
      <c r="L407" t="s">
        <v>452</v>
      </c>
      <c r="M407">
        <v>1.4858046103299999E-3</v>
      </c>
      <c r="N407">
        <v>7.4979643855693119E-3</v>
      </c>
      <c r="O407">
        <v>30169.468000000001</v>
      </c>
      <c r="P407">
        <v>4.8744250000000003E-6</v>
      </c>
      <c r="Q407">
        <v>0.29411799999999999</v>
      </c>
      <c r="R407" s="61">
        <v>2.2052862891548748E-3</v>
      </c>
      <c r="S407" t="s">
        <v>346</v>
      </c>
      <c r="T407" t="s">
        <v>436</v>
      </c>
      <c r="U407" t="s">
        <v>425</v>
      </c>
      <c r="V407" t="s">
        <v>28</v>
      </c>
      <c r="W407">
        <v>111.133</v>
      </c>
      <c r="X407">
        <v>1.0368587857491129</v>
      </c>
      <c r="Y407">
        <v>115.2292274366562</v>
      </c>
      <c r="Z407">
        <v>603.45000000000005</v>
      </c>
      <c r="AA407">
        <v>1</v>
      </c>
      <c r="AB407">
        <v>69.535077296650186</v>
      </c>
      <c r="AC407">
        <v>0.99760000000000004</v>
      </c>
      <c r="AD407" s="63">
        <v>69.367999999999995</v>
      </c>
      <c r="AE407">
        <v>8.9176000000000002</v>
      </c>
      <c r="AF407">
        <v>9.2462919077962926</v>
      </c>
      <c r="AG407">
        <v>1</v>
      </c>
      <c r="AH407">
        <v>5579.6748517596734</v>
      </c>
      <c r="AI407">
        <v>0.96062216971844849</v>
      </c>
      <c r="AJ407" s="63">
        <v>5359.9593999999997</v>
      </c>
      <c r="AK407" s="61">
        <v>11.820244975246791</v>
      </c>
      <c r="AL407" t="s">
        <v>346</v>
      </c>
      <c r="AM407" t="s">
        <v>436</v>
      </c>
      <c r="AN407" t="s">
        <v>425</v>
      </c>
      <c r="AO407" t="s">
        <v>28</v>
      </c>
      <c r="AP407">
        <v>111.133</v>
      </c>
      <c r="AQ407">
        <v>1.0368587857491129</v>
      </c>
      <c r="AR407">
        <v>115.2292274366562</v>
      </c>
      <c r="AS407">
        <v>603.45000000000005</v>
      </c>
      <c r="AT407">
        <v>1</v>
      </c>
      <c r="AU407">
        <v>69.535077296650186</v>
      </c>
      <c r="AV407">
        <v>0.99760000000000004</v>
      </c>
      <c r="AW407" s="63">
        <v>69.367999999999995</v>
      </c>
      <c r="AX407">
        <v>8.9176000000000002</v>
      </c>
      <c r="AY407">
        <v>1</v>
      </c>
      <c r="AZ407">
        <v>5579.6748517596734</v>
      </c>
      <c r="BA407">
        <v>0.96062216971844849</v>
      </c>
      <c r="BB407" s="63">
        <v>5359.9593999999997</v>
      </c>
      <c r="BC407" s="61">
        <v>11.820244975246791</v>
      </c>
    </row>
    <row r="408" spans="1:55" x14ac:dyDescent="0.25">
      <c r="A408">
        <v>93741</v>
      </c>
      <c r="B408" t="s">
        <v>114</v>
      </c>
      <c r="C408">
        <v>2018</v>
      </c>
      <c r="D408">
        <v>10</v>
      </c>
      <c r="E408" t="s">
        <v>100</v>
      </c>
      <c r="F408" t="s">
        <v>426</v>
      </c>
      <c r="G408" t="s">
        <v>84</v>
      </c>
      <c r="H408" t="s">
        <v>381</v>
      </c>
      <c r="I408" t="s">
        <v>427</v>
      </c>
      <c r="J408">
        <v>-9.5507299999999997</v>
      </c>
      <c r="K408" t="s">
        <v>440</v>
      </c>
      <c r="L408" t="s">
        <v>450</v>
      </c>
      <c r="M408">
        <v>0.15011157993331001</v>
      </c>
      <c r="N408">
        <v>1.433675169816462</v>
      </c>
      <c r="O408">
        <v>30169.468000000001</v>
      </c>
      <c r="P408">
        <v>4.8744250000000003E-6</v>
      </c>
      <c r="Q408">
        <v>0.29411799999999999</v>
      </c>
      <c r="R408" s="61">
        <v>0.4216696735960781</v>
      </c>
      <c r="S408" t="s">
        <v>346</v>
      </c>
      <c r="T408" t="s">
        <v>436</v>
      </c>
      <c r="U408" t="s">
        <v>425</v>
      </c>
      <c r="V408" t="s">
        <v>26</v>
      </c>
      <c r="W408">
        <v>111.133</v>
      </c>
      <c r="X408">
        <v>1.0368587857491129</v>
      </c>
      <c r="Y408">
        <v>115.2292274366562</v>
      </c>
      <c r="Z408">
        <v>603.45000000000005</v>
      </c>
      <c r="AA408">
        <v>1</v>
      </c>
      <c r="AB408">
        <v>69.535077296650186</v>
      </c>
      <c r="AC408">
        <v>0.96209999999999996</v>
      </c>
      <c r="AD408" s="63">
        <v>66.900000000000006</v>
      </c>
      <c r="AE408">
        <v>8.9176000000000002</v>
      </c>
      <c r="AF408">
        <v>9.2462919077962926</v>
      </c>
      <c r="AG408">
        <v>1</v>
      </c>
      <c r="AH408">
        <v>5579.6748517596734</v>
      </c>
      <c r="AI408">
        <v>0.95992461065370505</v>
      </c>
      <c r="AJ408" s="63">
        <v>5356.0672000000004</v>
      </c>
      <c r="AK408" s="61">
        <v>2258.4911079826602</v>
      </c>
      <c r="AL408" t="s">
        <v>346</v>
      </c>
      <c r="AM408" t="s">
        <v>436</v>
      </c>
      <c r="AN408" t="s">
        <v>425</v>
      </c>
      <c r="AO408" t="s">
        <v>26</v>
      </c>
      <c r="AP408">
        <v>111.133</v>
      </c>
      <c r="AQ408">
        <v>1.0368587857491129</v>
      </c>
      <c r="AR408">
        <v>115.2292274366562</v>
      </c>
      <c r="AS408">
        <v>603.45000000000005</v>
      </c>
      <c r="AT408">
        <v>1</v>
      </c>
      <c r="AU408">
        <v>69.535077296650186</v>
      </c>
      <c r="AV408">
        <v>0.96209999999999996</v>
      </c>
      <c r="AW408" s="63">
        <v>66.900000000000006</v>
      </c>
      <c r="AX408">
        <v>8.9176000000000002</v>
      </c>
      <c r="AY408">
        <v>1</v>
      </c>
      <c r="AZ408">
        <v>5579.6748517596734</v>
      </c>
      <c r="BA408">
        <v>0.95992461065370505</v>
      </c>
      <c r="BB408" s="63">
        <v>5356.0672000000004</v>
      </c>
      <c r="BC408" s="61">
        <v>2258.4911079826602</v>
      </c>
    </row>
    <row r="409" spans="1:55" x14ac:dyDescent="0.25">
      <c r="A409">
        <v>93743</v>
      </c>
      <c r="B409" t="s">
        <v>114</v>
      </c>
      <c r="C409">
        <v>2018</v>
      </c>
      <c r="D409">
        <v>10</v>
      </c>
      <c r="E409" t="s">
        <v>100</v>
      </c>
      <c r="F409" t="s">
        <v>426</v>
      </c>
      <c r="G409" t="s">
        <v>84</v>
      </c>
      <c r="H409" t="s">
        <v>381</v>
      </c>
      <c r="I409" t="s">
        <v>427</v>
      </c>
      <c r="J409">
        <v>-9.5507299999999997</v>
      </c>
      <c r="K409" t="s">
        <v>440</v>
      </c>
      <c r="L409" t="s">
        <v>384</v>
      </c>
      <c r="M409">
        <v>4.5811354346740003E-2</v>
      </c>
      <c r="N409">
        <v>0.43753187630004009</v>
      </c>
      <c r="O409">
        <v>30169.468000000001</v>
      </c>
      <c r="P409">
        <v>4.8744250000000003E-6</v>
      </c>
      <c r="Q409">
        <v>0.29411799999999999</v>
      </c>
      <c r="R409" s="61">
        <v>0.12868600039361519</v>
      </c>
      <c r="S409" t="s">
        <v>346</v>
      </c>
      <c r="T409" t="s">
        <v>436</v>
      </c>
      <c r="U409" t="s">
        <v>425</v>
      </c>
      <c r="V409" t="s">
        <v>81</v>
      </c>
      <c r="W409">
        <v>111.133</v>
      </c>
      <c r="X409">
        <v>1.0368587857491129</v>
      </c>
      <c r="Y409">
        <v>115.2292274366562</v>
      </c>
      <c r="Z409">
        <v>603.45000000000005</v>
      </c>
      <c r="AA409">
        <v>1</v>
      </c>
      <c r="AB409">
        <v>69.535077296650186</v>
      </c>
      <c r="AC409">
        <v>0.90990000000000004</v>
      </c>
      <c r="AD409" s="63">
        <v>63.27</v>
      </c>
      <c r="AE409">
        <v>8.9176000000000002</v>
      </c>
      <c r="AF409">
        <v>9.2462919077962926</v>
      </c>
      <c r="AG409">
        <v>1</v>
      </c>
      <c r="AH409">
        <v>5579.6748517596734</v>
      </c>
      <c r="AI409">
        <v>1.053620848708487</v>
      </c>
      <c r="AJ409" s="63">
        <v>5878.8617999999997</v>
      </c>
      <c r="AK409" s="61">
        <v>756.52721190880925</v>
      </c>
      <c r="AL409" t="s">
        <v>346</v>
      </c>
      <c r="AM409" t="s">
        <v>436</v>
      </c>
      <c r="AN409" t="s">
        <v>425</v>
      </c>
      <c r="AO409" t="s">
        <v>81</v>
      </c>
      <c r="AP409">
        <v>111.133</v>
      </c>
      <c r="AQ409">
        <v>1.0368587857491129</v>
      </c>
      <c r="AR409">
        <v>115.2292274366562</v>
      </c>
      <c r="AS409">
        <v>603.45000000000005</v>
      </c>
      <c r="AT409">
        <v>1</v>
      </c>
      <c r="AU409">
        <v>69.535077296650186</v>
      </c>
      <c r="AV409">
        <v>0.90990000000000004</v>
      </c>
      <c r="AW409" s="63">
        <v>63.27</v>
      </c>
      <c r="AX409">
        <v>8.9176000000000002</v>
      </c>
      <c r="AY409">
        <v>1</v>
      </c>
      <c r="AZ409">
        <v>5579.6748517596734</v>
      </c>
      <c r="BA409">
        <v>1.053620848708487</v>
      </c>
      <c r="BB409" s="63">
        <v>5878.8617999999997</v>
      </c>
      <c r="BC409" s="61">
        <v>756.52721190880925</v>
      </c>
    </row>
    <row r="410" spans="1:55" x14ac:dyDescent="0.25">
      <c r="A410">
        <v>93745</v>
      </c>
      <c r="B410" t="s">
        <v>114</v>
      </c>
      <c r="C410">
        <v>2018</v>
      </c>
      <c r="D410">
        <v>10</v>
      </c>
      <c r="E410" t="s">
        <v>100</v>
      </c>
      <c r="F410" t="s">
        <v>426</v>
      </c>
      <c r="G410" t="s">
        <v>84</v>
      </c>
      <c r="H410" t="s">
        <v>381</v>
      </c>
      <c r="I410" t="s">
        <v>427</v>
      </c>
      <c r="J410">
        <v>-9.5507299999999997</v>
      </c>
      <c r="K410" t="s">
        <v>440</v>
      </c>
      <c r="L410" t="s">
        <v>385</v>
      </c>
      <c r="M410">
        <v>0.43232641346992001</v>
      </c>
      <c r="N410">
        <v>4.1290328469195687</v>
      </c>
      <c r="O410">
        <v>30169.468000000001</v>
      </c>
      <c r="P410">
        <v>4.8744250000000003E-6</v>
      </c>
      <c r="Q410">
        <v>0.29411799999999999</v>
      </c>
      <c r="R410" s="61">
        <v>1.2144228828702901</v>
      </c>
      <c r="S410" t="s">
        <v>346</v>
      </c>
      <c r="T410" t="s">
        <v>436</v>
      </c>
      <c r="U410" t="s">
        <v>425</v>
      </c>
      <c r="V410" t="s">
        <v>27</v>
      </c>
      <c r="W410">
        <v>111.133</v>
      </c>
      <c r="X410">
        <v>1.0368587857491129</v>
      </c>
      <c r="Y410">
        <v>115.2292274366562</v>
      </c>
      <c r="Z410">
        <v>603.45000000000005</v>
      </c>
      <c r="AA410">
        <v>1</v>
      </c>
      <c r="AB410">
        <v>69.535077296650186</v>
      </c>
      <c r="AC410">
        <v>0.93979999999999997</v>
      </c>
      <c r="AD410" s="63">
        <v>65.349000000000004</v>
      </c>
      <c r="AE410">
        <v>8.9176000000000002</v>
      </c>
      <c r="AF410">
        <v>9.2462919077962926</v>
      </c>
      <c r="AG410">
        <v>1</v>
      </c>
      <c r="AH410">
        <v>5579.6748517596734</v>
      </c>
      <c r="AI410">
        <v>0.95477850697292876</v>
      </c>
      <c r="AJ410" s="63">
        <v>5327.3536000000004</v>
      </c>
      <c r="AK410" s="61">
        <v>6469.6601169814166</v>
      </c>
      <c r="AL410" t="s">
        <v>346</v>
      </c>
      <c r="AM410" t="s">
        <v>436</v>
      </c>
      <c r="AN410" t="s">
        <v>425</v>
      </c>
      <c r="AO410" t="s">
        <v>27</v>
      </c>
      <c r="AP410">
        <v>111.133</v>
      </c>
      <c r="AQ410">
        <v>1.0368587857491129</v>
      </c>
      <c r="AR410">
        <v>115.2292274366562</v>
      </c>
      <c r="AS410">
        <v>603.45000000000005</v>
      </c>
      <c r="AT410">
        <v>1</v>
      </c>
      <c r="AU410">
        <v>69.535077296650186</v>
      </c>
      <c r="AV410">
        <v>0.93979999999999997</v>
      </c>
      <c r="AW410" s="63">
        <v>65.349000000000004</v>
      </c>
      <c r="AX410">
        <v>8.9176000000000002</v>
      </c>
      <c r="AY410">
        <v>1</v>
      </c>
      <c r="AZ410">
        <v>5579.6748517596734</v>
      </c>
      <c r="BA410">
        <v>0.95477850697292876</v>
      </c>
      <c r="BB410" s="63">
        <v>5327.3536000000004</v>
      </c>
      <c r="BC410" s="61">
        <v>6469.6601169814166</v>
      </c>
    </row>
    <row r="411" spans="1:55" x14ac:dyDescent="0.25">
      <c r="A411">
        <v>93747</v>
      </c>
      <c r="B411" t="s">
        <v>114</v>
      </c>
      <c r="C411">
        <v>2018</v>
      </c>
      <c r="D411">
        <v>10</v>
      </c>
      <c r="E411" t="s">
        <v>100</v>
      </c>
      <c r="F411" t="s">
        <v>426</v>
      </c>
      <c r="G411" t="s">
        <v>84</v>
      </c>
      <c r="H411" t="s">
        <v>381</v>
      </c>
      <c r="I411" t="s">
        <v>427</v>
      </c>
      <c r="J411">
        <v>-9.5507299999999997</v>
      </c>
      <c r="K411" t="s">
        <v>440</v>
      </c>
      <c r="L411" t="s">
        <v>451</v>
      </c>
      <c r="M411">
        <v>1.6825115802299999E-3</v>
      </c>
      <c r="N411">
        <v>1.6069213824650069E-2</v>
      </c>
      <c r="O411">
        <v>30169.468000000001</v>
      </c>
      <c r="P411">
        <v>4.8744250000000003E-6</v>
      </c>
      <c r="Q411">
        <v>0.29411799999999999</v>
      </c>
      <c r="R411" s="61">
        <v>4.7262450316784277E-3</v>
      </c>
      <c r="S411" t="s">
        <v>346</v>
      </c>
      <c r="T411" t="s">
        <v>436</v>
      </c>
      <c r="U411" t="s">
        <v>425</v>
      </c>
      <c r="V411" t="s">
        <v>91</v>
      </c>
      <c r="W411">
        <v>111.133</v>
      </c>
      <c r="X411">
        <v>1.0368587857491129</v>
      </c>
      <c r="Y411">
        <v>115.2292274366562</v>
      </c>
      <c r="Z411">
        <v>603.45000000000005</v>
      </c>
      <c r="AA411">
        <v>1</v>
      </c>
      <c r="AB411">
        <v>69.535077296650186</v>
      </c>
      <c r="AC411">
        <v>0.99250000000000005</v>
      </c>
      <c r="AD411" s="63">
        <v>69.013999999999996</v>
      </c>
      <c r="AE411">
        <v>8.9176000000000002</v>
      </c>
      <c r="AF411">
        <v>9.2462919077962926</v>
      </c>
      <c r="AG411">
        <v>1</v>
      </c>
      <c r="AH411">
        <v>5579.6748517596734</v>
      </c>
      <c r="AI411">
        <v>0.96573604060913698</v>
      </c>
      <c r="AJ411" s="63">
        <v>5388.4930999999997</v>
      </c>
      <c r="AK411" s="61">
        <v>25.467338742108488</v>
      </c>
      <c r="AL411" t="s">
        <v>346</v>
      </c>
      <c r="AM411" t="s">
        <v>436</v>
      </c>
      <c r="AN411" t="s">
        <v>425</v>
      </c>
      <c r="AO411" t="s">
        <v>91</v>
      </c>
      <c r="AP411">
        <v>111.133</v>
      </c>
      <c r="AQ411">
        <v>1.0368587857491129</v>
      </c>
      <c r="AR411">
        <v>115.2292274366562</v>
      </c>
      <c r="AS411">
        <v>603.45000000000005</v>
      </c>
      <c r="AT411">
        <v>1</v>
      </c>
      <c r="AU411">
        <v>69.535077296650186</v>
      </c>
      <c r="AV411">
        <v>0.99250000000000005</v>
      </c>
      <c r="AW411" s="63">
        <v>69.013999999999996</v>
      </c>
      <c r="AX411">
        <v>8.9176000000000002</v>
      </c>
      <c r="AY411">
        <v>1</v>
      </c>
      <c r="AZ411">
        <v>5579.6748517596734</v>
      </c>
      <c r="BA411">
        <v>0.96573604060913698</v>
      </c>
      <c r="BB411" s="63">
        <v>5388.4930999999997</v>
      </c>
      <c r="BC411" s="61">
        <v>25.467338742108488</v>
      </c>
    </row>
    <row r="412" spans="1:55" x14ac:dyDescent="0.25">
      <c r="A412">
        <v>93749</v>
      </c>
      <c r="B412" t="s">
        <v>114</v>
      </c>
      <c r="C412">
        <v>2018</v>
      </c>
      <c r="D412">
        <v>10</v>
      </c>
      <c r="E412" t="s">
        <v>100</v>
      </c>
      <c r="F412" t="s">
        <v>426</v>
      </c>
      <c r="G412" t="s">
        <v>84</v>
      </c>
      <c r="H412" t="s">
        <v>381</v>
      </c>
      <c r="I412" t="s">
        <v>427</v>
      </c>
      <c r="J412">
        <v>-9.5507299999999997</v>
      </c>
      <c r="K412" t="s">
        <v>440</v>
      </c>
      <c r="L412" t="s">
        <v>452</v>
      </c>
      <c r="M412">
        <v>1.53682162831E-3</v>
      </c>
      <c r="N412">
        <v>1.4677768430149171E-2</v>
      </c>
      <c r="O412">
        <v>30169.468000000001</v>
      </c>
      <c r="P412">
        <v>4.8744250000000003E-6</v>
      </c>
      <c r="Q412">
        <v>0.29411799999999999</v>
      </c>
      <c r="R412" s="61">
        <v>4.3169958951386122E-3</v>
      </c>
      <c r="S412" t="s">
        <v>346</v>
      </c>
      <c r="T412" t="s">
        <v>436</v>
      </c>
      <c r="U412" t="s">
        <v>425</v>
      </c>
      <c r="V412" t="s">
        <v>28</v>
      </c>
      <c r="W412">
        <v>111.133</v>
      </c>
      <c r="X412">
        <v>1.0368587857491129</v>
      </c>
      <c r="Y412">
        <v>115.2292274366562</v>
      </c>
      <c r="Z412">
        <v>603.45000000000005</v>
      </c>
      <c r="AA412">
        <v>1</v>
      </c>
      <c r="AB412">
        <v>69.535077296650186</v>
      </c>
      <c r="AC412">
        <v>0.99760000000000004</v>
      </c>
      <c r="AD412" s="63">
        <v>69.367999999999995</v>
      </c>
      <c r="AE412">
        <v>8.9176000000000002</v>
      </c>
      <c r="AF412">
        <v>9.2462919077962926</v>
      </c>
      <c r="AG412">
        <v>1</v>
      </c>
      <c r="AH412">
        <v>5579.6748517596734</v>
      </c>
      <c r="AI412">
        <v>0.96062216971844849</v>
      </c>
      <c r="AJ412" s="63">
        <v>5359.9593999999997</v>
      </c>
      <c r="AK412" s="61">
        <v>23.13892272790962</v>
      </c>
      <c r="AL412" t="s">
        <v>346</v>
      </c>
      <c r="AM412" t="s">
        <v>436</v>
      </c>
      <c r="AN412" t="s">
        <v>425</v>
      </c>
      <c r="AO412" t="s">
        <v>28</v>
      </c>
      <c r="AP412">
        <v>111.133</v>
      </c>
      <c r="AQ412">
        <v>1.0368587857491129</v>
      </c>
      <c r="AR412">
        <v>115.2292274366562</v>
      </c>
      <c r="AS412">
        <v>603.45000000000005</v>
      </c>
      <c r="AT412">
        <v>1</v>
      </c>
      <c r="AU412">
        <v>69.535077296650186</v>
      </c>
      <c r="AV412">
        <v>0.99760000000000004</v>
      </c>
      <c r="AW412" s="63">
        <v>69.367999999999995</v>
      </c>
      <c r="AX412">
        <v>8.9176000000000002</v>
      </c>
      <c r="AY412">
        <v>1</v>
      </c>
      <c r="AZ412">
        <v>5579.6748517596734</v>
      </c>
      <c r="BA412">
        <v>0.96062216971844849</v>
      </c>
      <c r="BB412" s="63">
        <v>5359.9593999999997</v>
      </c>
      <c r="BC412" s="61">
        <v>23.13892272790962</v>
      </c>
    </row>
    <row r="413" spans="1:55" x14ac:dyDescent="0.25">
      <c r="A413">
        <v>93751</v>
      </c>
      <c r="B413" t="s">
        <v>114</v>
      </c>
      <c r="C413">
        <v>2018</v>
      </c>
      <c r="D413">
        <v>10</v>
      </c>
      <c r="E413" t="s">
        <v>100</v>
      </c>
      <c r="F413" t="s">
        <v>426</v>
      </c>
      <c r="G413" t="s">
        <v>84</v>
      </c>
      <c r="H413" t="s">
        <v>87</v>
      </c>
      <c r="I413" t="s">
        <v>427</v>
      </c>
      <c r="J413">
        <v>-1.7550300000000001</v>
      </c>
      <c r="K413" t="s">
        <v>440</v>
      </c>
      <c r="L413" t="s">
        <v>450</v>
      </c>
      <c r="M413">
        <v>0.26601384014995</v>
      </c>
      <c r="N413">
        <v>0.46686226987836671</v>
      </c>
      <c r="O413">
        <v>30169.468000000001</v>
      </c>
      <c r="P413">
        <v>4.8744250000000003E-6</v>
      </c>
      <c r="Q413">
        <v>0.29411799999999999</v>
      </c>
      <c r="R413" s="61">
        <v>0.13731259709208549</v>
      </c>
      <c r="S413" t="s">
        <v>346</v>
      </c>
      <c r="T413" t="s">
        <v>436</v>
      </c>
      <c r="U413" t="s">
        <v>425</v>
      </c>
      <c r="V413" t="s">
        <v>26</v>
      </c>
      <c r="W413">
        <v>111.133</v>
      </c>
      <c r="X413">
        <v>1.0368587857491129</v>
      </c>
      <c r="Y413">
        <v>115.2292274366562</v>
      </c>
      <c r="Z413">
        <v>603.45000000000005</v>
      </c>
      <c r="AA413">
        <v>1</v>
      </c>
      <c r="AB413">
        <v>69.535077296650186</v>
      </c>
      <c r="AC413">
        <v>0.96209999999999996</v>
      </c>
      <c r="AD413" s="63">
        <v>66.900000000000006</v>
      </c>
      <c r="AE413">
        <v>8.9176000000000002</v>
      </c>
      <c r="AF413">
        <v>9.2462919077962926</v>
      </c>
      <c r="AG413">
        <v>1</v>
      </c>
      <c r="AH413">
        <v>5579.6748517596734</v>
      </c>
      <c r="AI413">
        <v>0.95992461065370505</v>
      </c>
      <c r="AJ413" s="63">
        <v>5356.0672000000004</v>
      </c>
      <c r="AK413" s="61">
        <v>735.45549743173433</v>
      </c>
      <c r="AL413" t="s">
        <v>346</v>
      </c>
      <c r="AM413" t="s">
        <v>436</v>
      </c>
      <c r="AN413" t="s">
        <v>425</v>
      </c>
      <c r="AO413" t="s">
        <v>26</v>
      </c>
      <c r="AP413">
        <v>111.133</v>
      </c>
      <c r="AQ413">
        <v>1.0368587857491129</v>
      </c>
      <c r="AR413">
        <v>115.2292274366562</v>
      </c>
      <c r="AS413">
        <v>603.45000000000005</v>
      </c>
      <c r="AT413">
        <v>1</v>
      </c>
      <c r="AU413">
        <v>69.535077296650186</v>
      </c>
      <c r="AV413">
        <v>0.96209999999999996</v>
      </c>
      <c r="AW413" s="63">
        <v>66.900000000000006</v>
      </c>
      <c r="AX413">
        <v>8.9176000000000002</v>
      </c>
      <c r="AY413">
        <v>1</v>
      </c>
      <c r="AZ413">
        <v>5579.6748517596734</v>
      </c>
      <c r="BA413">
        <v>0.95992461065370505</v>
      </c>
      <c r="BB413" s="63">
        <v>5356.0672000000004</v>
      </c>
      <c r="BC413" s="61">
        <v>735.45549743173433</v>
      </c>
    </row>
    <row r="414" spans="1:55" x14ac:dyDescent="0.25">
      <c r="A414">
        <v>93753</v>
      </c>
      <c r="B414" t="s">
        <v>114</v>
      </c>
      <c r="C414">
        <v>2018</v>
      </c>
      <c r="D414">
        <v>10</v>
      </c>
      <c r="E414" t="s">
        <v>100</v>
      </c>
      <c r="F414" t="s">
        <v>426</v>
      </c>
      <c r="G414" t="s">
        <v>84</v>
      </c>
      <c r="H414" t="s">
        <v>87</v>
      </c>
      <c r="I414" t="s">
        <v>427</v>
      </c>
      <c r="J414">
        <v>-1.7550300000000001</v>
      </c>
      <c r="K414" t="s">
        <v>440</v>
      </c>
      <c r="L414" t="s">
        <v>384</v>
      </c>
      <c r="M414">
        <v>3.9509559941419997E-2</v>
      </c>
      <c r="N414">
        <v>6.9340462983990339E-2</v>
      </c>
      <c r="O414">
        <v>30169.468000000001</v>
      </c>
      <c r="P414">
        <v>4.8744250000000003E-6</v>
      </c>
      <c r="Q414">
        <v>0.29411799999999999</v>
      </c>
      <c r="R414" s="61">
        <v>2.039427829192527E-2</v>
      </c>
      <c r="S414" t="s">
        <v>346</v>
      </c>
      <c r="T414" t="s">
        <v>436</v>
      </c>
      <c r="U414" t="s">
        <v>425</v>
      </c>
      <c r="V414" t="s">
        <v>81</v>
      </c>
      <c r="W414">
        <v>111.133</v>
      </c>
      <c r="X414">
        <v>1.0368587857491129</v>
      </c>
      <c r="Y414">
        <v>115.2292274366562</v>
      </c>
      <c r="Z414">
        <v>603.45000000000005</v>
      </c>
      <c r="AA414">
        <v>1</v>
      </c>
      <c r="AB414">
        <v>69.535077296650186</v>
      </c>
      <c r="AC414">
        <v>0.90990000000000004</v>
      </c>
      <c r="AD414" s="63">
        <v>63.27</v>
      </c>
      <c r="AE414">
        <v>8.9176000000000002</v>
      </c>
      <c r="AF414">
        <v>9.2462919077962926</v>
      </c>
      <c r="AG414">
        <v>1</v>
      </c>
      <c r="AH414">
        <v>5579.6748517596734</v>
      </c>
      <c r="AI414">
        <v>1.053620848708487</v>
      </c>
      <c r="AJ414" s="63">
        <v>5878.8617999999997</v>
      </c>
      <c r="AK414" s="61">
        <v>119.89514358896869</v>
      </c>
      <c r="AL414" t="s">
        <v>346</v>
      </c>
      <c r="AM414" t="s">
        <v>436</v>
      </c>
      <c r="AN414" t="s">
        <v>425</v>
      </c>
      <c r="AO414" t="s">
        <v>81</v>
      </c>
      <c r="AP414">
        <v>111.133</v>
      </c>
      <c r="AQ414">
        <v>1.0368587857491129</v>
      </c>
      <c r="AR414">
        <v>115.2292274366562</v>
      </c>
      <c r="AS414">
        <v>603.45000000000005</v>
      </c>
      <c r="AT414">
        <v>1</v>
      </c>
      <c r="AU414">
        <v>69.535077296650186</v>
      </c>
      <c r="AV414">
        <v>0.90990000000000004</v>
      </c>
      <c r="AW414" s="63">
        <v>63.27</v>
      </c>
      <c r="AX414">
        <v>8.9176000000000002</v>
      </c>
      <c r="AY414">
        <v>1</v>
      </c>
      <c r="AZ414">
        <v>5579.6748517596734</v>
      </c>
      <c r="BA414">
        <v>1.053620848708487</v>
      </c>
      <c r="BB414" s="63">
        <v>5878.8617999999997</v>
      </c>
      <c r="BC414" s="61">
        <v>119.89514358896869</v>
      </c>
    </row>
    <row r="415" spans="1:55" x14ac:dyDescent="0.25">
      <c r="A415">
        <v>93755</v>
      </c>
      <c r="B415" t="s">
        <v>114</v>
      </c>
      <c r="C415">
        <v>2018</v>
      </c>
      <c r="D415">
        <v>10</v>
      </c>
      <c r="E415" t="s">
        <v>100</v>
      </c>
      <c r="F415" t="s">
        <v>426</v>
      </c>
      <c r="G415" t="s">
        <v>84</v>
      </c>
      <c r="H415" t="s">
        <v>87</v>
      </c>
      <c r="I415" t="s">
        <v>427</v>
      </c>
      <c r="J415">
        <v>-1.7550300000000001</v>
      </c>
      <c r="K415" t="s">
        <v>440</v>
      </c>
      <c r="L415" t="s">
        <v>385</v>
      </c>
      <c r="M415">
        <v>0.39737542925016001</v>
      </c>
      <c r="N415">
        <v>0.69740579959690829</v>
      </c>
      <c r="O415">
        <v>30169.468000000001</v>
      </c>
      <c r="P415">
        <v>4.8744250000000003E-6</v>
      </c>
      <c r="Q415">
        <v>0.29411799999999999</v>
      </c>
      <c r="R415" s="61">
        <v>0.2051195989658435</v>
      </c>
      <c r="S415" t="s">
        <v>346</v>
      </c>
      <c r="T415" t="s">
        <v>436</v>
      </c>
      <c r="U415" t="s">
        <v>425</v>
      </c>
      <c r="V415" t="s">
        <v>27</v>
      </c>
      <c r="W415">
        <v>111.133</v>
      </c>
      <c r="X415">
        <v>1.0368587857491129</v>
      </c>
      <c r="Y415">
        <v>115.2292274366562</v>
      </c>
      <c r="Z415">
        <v>603.45000000000005</v>
      </c>
      <c r="AA415">
        <v>1</v>
      </c>
      <c r="AB415">
        <v>69.535077296650186</v>
      </c>
      <c r="AC415">
        <v>0.93979999999999997</v>
      </c>
      <c r="AD415" s="63">
        <v>65.349000000000004</v>
      </c>
      <c r="AE415">
        <v>8.9176000000000002</v>
      </c>
      <c r="AF415">
        <v>9.2462919077962926</v>
      </c>
      <c r="AG415">
        <v>1</v>
      </c>
      <c r="AH415">
        <v>5579.6748517596734</v>
      </c>
      <c r="AI415">
        <v>0.95477850697292876</v>
      </c>
      <c r="AJ415" s="63">
        <v>5327.3536000000004</v>
      </c>
      <c r="AK415" s="61">
        <v>1092.744633981242</v>
      </c>
      <c r="AL415" t="s">
        <v>346</v>
      </c>
      <c r="AM415" t="s">
        <v>436</v>
      </c>
      <c r="AN415" t="s">
        <v>425</v>
      </c>
      <c r="AO415" t="s">
        <v>27</v>
      </c>
      <c r="AP415">
        <v>111.133</v>
      </c>
      <c r="AQ415">
        <v>1.0368587857491129</v>
      </c>
      <c r="AR415">
        <v>115.2292274366562</v>
      </c>
      <c r="AS415">
        <v>603.45000000000005</v>
      </c>
      <c r="AT415">
        <v>1</v>
      </c>
      <c r="AU415">
        <v>69.535077296650186</v>
      </c>
      <c r="AV415">
        <v>0.93979999999999997</v>
      </c>
      <c r="AW415" s="63">
        <v>65.349000000000004</v>
      </c>
      <c r="AX415">
        <v>8.9176000000000002</v>
      </c>
      <c r="AY415">
        <v>1</v>
      </c>
      <c r="AZ415">
        <v>5579.6748517596734</v>
      </c>
      <c r="BA415">
        <v>0.95477850697292876</v>
      </c>
      <c r="BB415" s="63">
        <v>5327.3536000000004</v>
      </c>
      <c r="BC415" s="61">
        <v>1092.744633981242</v>
      </c>
    </row>
    <row r="416" spans="1:55" x14ac:dyDescent="0.25">
      <c r="A416">
        <v>93757</v>
      </c>
      <c r="B416" t="s">
        <v>114</v>
      </c>
      <c r="C416">
        <v>2018</v>
      </c>
      <c r="D416">
        <v>10</v>
      </c>
      <c r="E416" t="s">
        <v>100</v>
      </c>
      <c r="F416" t="s">
        <v>426</v>
      </c>
      <c r="G416" t="s">
        <v>84</v>
      </c>
      <c r="H416" t="s">
        <v>87</v>
      </c>
      <c r="I416" t="s">
        <v>427</v>
      </c>
      <c r="J416">
        <v>-1.7550300000000001</v>
      </c>
      <c r="K416" t="s">
        <v>440</v>
      </c>
      <c r="L416" t="s">
        <v>452</v>
      </c>
      <c r="M416">
        <v>8.4248020759000004E-4</v>
      </c>
      <c r="N416">
        <v>1.478578038726678E-3</v>
      </c>
      <c r="O416">
        <v>30169.468000000001</v>
      </c>
      <c r="P416">
        <v>4.8744250000000003E-6</v>
      </c>
      <c r="Q416">
        <v>0.29411799999999999</v>
      </c>
      <c r="R416" s="61">
        <v>4.3487641559421302E-4</v>
      </c>
      <c r="S416" t="s">
        <v>346</v>
      </c>
      <c r="T416" t="s">
        <v>436</v>
      </c>
      <c r="U416" t="s">
        <v>425</v>
      </c>
      <c r="V416" t="s">
        <v>28</v>
      </c>
      <c r="W416">
        <v>111.133</v>
      </c>
      <c r="X416">
        <v>1.0368587857491129</v>
      </c>
      <c r="Y416">
        <v>115.2292274366562</v>
      </c>
      <c r="Z416">
        <v>603.45000000000005</v>
      </c>
      <c r="AA416">
        <v>1</v>
      </c>
      <c r="AB416">
        <v>69.535077296650186</v>
      </c>
      <c r="AC416">
        <v>0.99760000000000004</v>
      </c>
      <c r="AD416" s="63">
        <v>69.367999999999995</v>
      </c>
      <c r="AE416">
        <v>8.9176000000000002</v>
      </c>
      <c r="AF416">
        <v>9.2462919077962926</v>
      </c>
      <c r="AG416">
        <v>1</v>
      </c>
      <c r="AH416">
        <v>5579.6748517596734</v>
      </c>
      <c r="AI416">
        <v>0.96062216971844849</v>
      </c>
      <c r="AJ416" s="63">
        <v>5359.9593999999997</v>
      </c>
      <c r="AK416" s="61">
        <v>2.3309199316025082</v>
      </c>
      <c r="AL416" t="s">
        <v>346</v>
      </c>
      <c r="AM416" t="s">
        <v>436</v>
      </c>
      <c r="AN416" t="s">
        <v>425</v>
      </c>
      <c r="AO416" t="s">
        <v>28</v>
      </c>
      <c r="AP416">
        <v>111.133</v>
      </c>
      <c r="AQ416">
        <v>1.0368587857491129</v>
      </c>
      <c r="AR416">
        <v>115.2292274366562</v>
      </c>
      <c r="AS416">
        <v>603.45000000000005</v>
      </c>
      <c r="AT416">
        <v>1</v>
      </c>
      <c r="AU416">
        <v>69.535077296650186</v>
      </c>
      <c r="AV416">
        <v>0.99760000000000004</v>
      </c>
      <c r="AW416" s="63">
        <v>69.367999999999995</v>
      </c>
      <c r="AX416">
        <v>8.9176000000000002</v>
      </c>
      <c r="AY416">
        <v>1</v>
      </c>
      <c r="AZ416">
        <v>5579.6748517596734</v>
      </c>
      <c r="BA416">
        <v>0.96062216971844849</v>
      </c>
      <c r="BB416" s="63">
        <v>5359.9593999999997</v>
      </c>
      <c r="BC416" s="61">
        <v>2.3309199316025082</v>
      </c>
    </row>
    <row r="417" spans="1:55" x14ac:dyDescent="0.25">
      <c r="A417">
        <v>93759</v>
      </c>
      <c r="B417" t="s">
        <v>114</v>
      </c>
      <c r="C417">
        <v>2018</v>
      </c>
      <c r="D417">
        <v>10</v>
      </c>
      <c r="E417" t="s">
        <v>100</v>
      </c>
      <c r="F417" t="s">
        <v>426</v>
      </c>
      <c r="G417" t="s">
        <v>84</v>
      </c>
      <c r="H417" t="s">
        <v>59</v>
      </c>
      <c r="I417" t="s">
        <v>427</v>
      </c>
      <c r="J417">
        <v>-5.0464000000000002</v>
      </c>
      <c r="K417" t="s">
        <v>440</v>
      </c>
      <c r="L417" t="s">
        <v>450</v>
      </c>
      <c r="M417">
        <v>0.15931709696460999</v>
      </c>
      <c r="N417">
        <v>0.80397779812220793</v>
      </c>
      <c r="O417">
        <v>30169.468000000001</v>
      </c>
      <c r="P417">
        <v>4.8744250000000003E-6</v>
      </c>
      <c r="Q417">
        <v>0.29411799999999999</v>
      </c>
      <c r="R417" s="61">
        <v>0.23646434202810751</v>
      </c>
      <c r="S417" t="s">
        <v>346</v>
      </c>
      <c r="T417" t="s">
        <v>436</v>
      </c>
      <c r="U417" t="s">
        <v>425</v>
      </c>
      <c r="V417" t="s">
        <v>26</v>
      </c>
      <c r="W417">
        <v>111.133</v>
      </c>
      <c r="X417">
        <v>1.0368587857491129</v>
      </c>
      <c r="Y417">
        <v>115.2292274366562</v>
      </c>
      <c r="Z417">
        <v>603.45000000000005</v>
      </c>
      <c r="AA417">
        <v>1</v>
      </c>
      <c r="AB417">
        <v>69.535077296650186</v>
      </c>
      <c r="AC417">
        <v>0.96209999999999996</v>
      </c>
      <c r="AD417" s="63">
        <v>66.900000000000006</v>
      </c>
      <c r="AE417">
        <v>8.9176000000000002</v>
      </c>
      <c r="AF417">
        <v>9.2462919077962926</v>
      </c>
      <c r="AG417">
        <v>1</v>
      </c>
      <c r="AH417">
        <v>5579.6748517596734</v>
      </c>
      <c r="AI417">
        <v>0.95992461065370505</v>
      </c>
      <c r="AJ417" s="63">
        <v>5356.0672000000004</v>
      </c>
      <c r="AK417" s="61">
        <v>1266.5189063063281</v>
      </c>
      <c r="AL417" t="s">
        <v>346</v>
      </c>
      <c r="AM417" t="s">
        <v>436</v>
      </c>
      <c r="AN417" t="s">
        <v>425</v>
      </c>
      <c r="AO417" t="s">
        <v>26</v>
      </c>
      <c r="AP417">
        <v>111.133</v>
      </c>
      <c r="AQ417">
        <v>1.0368587857491129</v>
      </c>
      <c r="AR417">
        <v>115.2292274366562</v>
      </c>
      <c r="AS417">
        <v>603.45000000000005</v>
      </c>
      <c r="AT417">
        <v>1</v>
      </c>
      <c r="AU417">
        <v>69.535077296650186</v>
      </c>
      <c r="AV417">
        <v>0.96209999999999996</v>
      </c>
      <c r="AW417" s="63">
        <v>66.900000000000006</v>
      </c>
      <c r="AX417">
        <v>8.9176000000000002</v>
      </c>
      <c r="AY417">
        <v>1</v>
      </c>
      <c r="AZ417">
        <v>5579.6748517596734</v>
      </c>
      <c r="BA417">
        <v>0.95992461065370505</v>
      </c>
      <c r="BB417" s="63">
        <v>5356.0672000000004</v>
      </c>
      <c r="BC417" s="61">
        <v>1266.5189063063281</v>
      </c>
    </row>
    <row r="418" spans="1:55" x14ac:dyDescent="0.25">
      <c r="A418">
        <v>93761</v>
      </c>
      <c r="B418" t="s">
        <v>114</v>
      </c>
      <c r="C418">
        <v>2018</v>
      </c>
      <c r="D418">
        <v>10</v>
      </c>
      <c r="E418" t="s">
        <v>100</v>
      </c>
      <c r="F418" t="s">
        <v>426</v>
      </c>
      <c r="G418" t="s">
        <v>84</v>
      </c>
      <c r="H418" t="s">
        <v>59</v>
      </c>
      <c r="I418" t="s">
        <v>427</v>
      </c>
      <c r="J418">
        <v>-5.0464000000000002</v>
      </c>
      <c r="K418" t="s">
        <v>440</v>
      </c>
      <c r="L418" t="s">
        <v>384</v>
      </c>
      <c r="M418">
        <v>4.1785183859599999E-2</v>
      </c>
      <c r="N418">
        <v>0.21086475182908551</v>
      </c>
      <c r="O418">
        <v>30169.468000000001</v>
      </c>
      <c r="P418">
        <v>4.8744250000000003E-6</v>
      </c>
      <c r="Q418">
        <v>0.29411799999999999</v>
      </c>
      <c r="R418" s="61">
        <v>6.2019119078466953E-2</v>
      </c>
      <c r="S418" t="s">
        <v>346</v>
      </c>
      <c r="T418" t="s">
        <v>436</v>
      </c>
      <c r="U418" t="s">
        <v>425</v>
      </c>
      <c r="V418" t="s">
        <v>81</v>
      </c>
      <c r="W418">
        <v>111.133</v>
      </c>
      <c r="X418">
        <v>1.0368587857491129</v>
      </c>
      <c r="Y418">
        <v>115.2292274366562</v>
      </c>
      <c r="Z418">
        <v>603.45000000000005</v>
      </c>
      <c r="AA418">
        <v>1</v>
      </c>
      <c r="AB418">
        <v>69.535077296650186</v>
      </c>
      <c r="AC418">
        <v>0.90990000000000004</v>
      </c>
      <c r="AD418" s="63">
        <v>63.27</v>
      </c>
      <c r="AE418">
        <v>8.9176000000000002</v>
      </c>
      <c r="AF418">
        <v>9.2462919077962926</v>
      </c>
      <c r="AG418">
        <v>1</v>
      </c>
      <c r="AH418">
        <v>5579.6748517596734</v>
      </c>
      <c r="AI418">
        <v>1.053620848708487</v>
      </c>
      <c r="AJ418" s="63">
        <v>5878.8617999999997</v>
      </c>
      <c r="AK418" s="61">
        <v>364.60183002005061</v>
      </c>
      <c r="AL418" t="s">
        <v>346</v>
      </c>
      <c r="AM418" t="s">
        <v>436</v>
      </c>
      <c r="AN418" t="s">
        <v>425</v>
      </c>
      <c r="AO418" t="s">
        <v>81</v>
      </c>
      <c r="AP418">
        <v>111.133</v>
      </c>
      <c r="AQ418">
        <v>1.0368587857491129</v>
      </c>
      <c r="AR418">
        <v>115.2292274366562</v>
      </c>
      <c r="AS418">
        <v>603.45000000000005</v>
      </c>
      <c r="AT418">
        <v>1</v>
      </c>
      <c r="AU418">
        <v>69.535077296650186</v>
      </c>
      <c r="AV418">
        <v>0.90990000000000004</v>
      </c>
      <c r="AW418" s="63">
        <v>63.27</v>
      </c>
      <c r="AX418">
        <v>8.9176000000000002</v>
      </c>
      <c r="AY418">
        <v>1</v>
      </c>
      <c r="AZ418">
        <v>5579.6748517596734</v>
      </c>
      <c r="BA418">
        <v>1.053620848708487</v>
      </c>
      <c r="BB418" s="63">
        <v>5878.8617999999997</v>
      </c>
      <c r="BC418" s="61">
        <v>364.60183002005061</v>
      </c>
    </row>
    <row r="419" spans="1:55" x14ac:dyDescent="0.25">
      <c r="A419">
        <v>93763</v>
      </c>
      <c r="B419" t="s">
        <v>114</v>
      </c>
      <c r="C419">
        <v>2018</v>
      </c>
      <c r="D419">
        <v>10</v>
      </c>
      <c r="E419" t="s">
        <v>100</v>
      </c>
      <c r="F419" t="s">
        <v>426</v>
      </c>
      <c r="G419" t="s">
        <v>84</v>
      </c>
      <c r="H419" t="s">
        <v>59</v>
      </c>
      <c r="I419" t="s">
        <v>427</v>
      </c>
      <c r="J419">
        <v>-5.0464000000000002</v>
      </c>
      <c r="K419" t="s">
        <v>440</v>
      </c>
      <c r="L419" t="s">
        <v>385</v>
      </c>
      <c r="M419">
        <v>0.43497567483749999</v>
      </c>
      <c r="N419">
        <v>2.1950612454999598</v>
      </c>
      <c r="O419">
        <v>30169.468000000001</v>
      </c>
      <c r="P419">
        <v>4.8744250000000003E-6</v>
      </c>
      <c r="Q419">
        <v>0.29411799999999999</v>
      </c>
      <c r="R419" s="61">
        <v>0.64560702340395715</v>
      </c>
      <c r="S419" t="s">
        <v>346</v>
      </c>
      <c r="T419" t="s">
        <v>436</v>
      </c>
      <c r="U419" t="s">
        <v>425</v>
      </c>
      <c r="V419" t="s">
        <v>27</v>
      </c>
      <c r="W419">
        <v>111.133</v>
      </c>
      <c r="X419">
        <v>1.0368587857491129</v>
      </c>
      <c r="Y419">
        <v>115.2292274366562</v>
      </c>
      <c r="Z419">
        <v>603.45000000000005</v>
      </c>
      <c r="AA419">
        <v>1</v>
      </c>
      <c r="AB419">
        <v>69.535077296650186</v>
      </c>
      <c r="AC419">
        <v>0.93979999999999997</v>
      </c>
      <c r="AD419" s="63">
        <v>65.349000000000004</v>
      </c>
      <c r="AE419">
        <v>8.9176000000000002</v>
      </c>
      <c r="AF419">
        <v>9.2462919077962926</v>
      </c>
      <c r="AG419">
        <v>1</v>
      </c>
      <c r="AH419">
        <v>5579.6748517596734</v>
      </c>
      <c r="AI419">
        <v>0.95477850697292876</v>
      </c>
      <c r="AJ419" s="63">
        <v>5327.3536000000004</v>
      </c>
      <c r="AK419" s="61">
        <v>3439.3769003163561</v>
      </c>
      <c r="AL419" t="s">
        <v>346</v>
      </c>
      <c r="AM419" t="s">
        <v>436</v>
      </c>
      <c r="AN419" t="s">
        <v>425</v>
      </c>
      <c r="AO419" t="s">
        <v>27</v>
      </c>
      <c r="AP419">
        <v>111.133</v>
      </c>
      <c r="AQ419">
        <v>1.0368587857491129</v>
      </c>
      <c r="AR419">
        <v>115.2292274366562</v>
      </c>
      <c r="AS419">
        <v>603.45000000000005</v>
      </c>
      <c r="AT419">
        <v>1</v>
      </c>
      <c r="AU419">
        <v>69.535077296650186</v>
      </c>
      <c r="AV419">
        <v>0.93979999999999997</v>
      </c>
      <c r="AW419" s="63">
        <v>65.349000000000004</v>
      </c>
      <c r="AX419">
        <v>8.9176000000000002</v>
      </c>
      <c r="AY419">
        <v>1</v>
      </c>
      <c r="AZ419">
        <v>5579.6748517596734</v>
      </c>
      <c r="BA419">
        <v>0.95477850697292876</v>
      </c>
      <c r="BB419" s="63">
        <v>5327.3536000000004</v>
      </c>
      <c r="BC419" s="61">
        <v>3439.3769003163561</v>
      </c>
    </row>
    <row r="420" spans="1:55" x14ac:dyDescent="0.25">
      <c r="A420">
        <v>93765</v>
      </c>
      <c r="B420" t="s">
        <v>114</v>
      </c>
      <c r="C420">
        <v>2018</v>
      </c>
      <c r="D420">
        <v>10</v>
      </c>
      <c r="E420" t="s">
        <v>100</v>
      </c>
      <c r="F420" t="s">
        <v>426</v>
      </c>
      <c r="G420" t="s">
        <v>84</v>
      </c>
      <c r="H420" t="s">
        <v>59</v>
      </c>
      <c r="I420" t="s">
        <v>427</v>
      </c>
      <c r="J420">
        <v>-5.0464000000000002</v>
      </c>
      <c r="K420" t="s">
        <v>440</v>
      </c>
      <c r="L420" t="s">
        <v>451</v>
      </c>
      <c r="M420">
        <v>1.7625750762999999E-3</v>
      </c>
      <c r="N420">
        <v>8.8946588650403204E-3</v>
      </c>
      <c r="O420">
        <v>30169.468000000001</v>
      </c>
      <c r="P420">
        <v>4.8744250000000003E-6</v>
      </c>
      <c r="Q420">
        <v>0.29411799999999999</v>
      </c>
      <c r="R420" s="61">
        <v>2.6160792760679288E-3</v>
      </c>
      <c r="S420" t="s">
        <v>346</v>
      </c>
      <c r="T420" t="s">
        <v>436</v>
      </c>
      <c r="U420" t="s">
        <v>425</v>
      </c>
      <c r="V420" t="s">
        <v>91</v>
      </c>
      <c r="W420">
        <v>111.133</v>
      </c>
      <c r="X420">
        <v>1.0368587857491129</v>
      </c>
      <c r="Y420">
        <v>115.2292274366562</v>
      </c>
      <c r="Z420">
        <v>603.45000000000005</v>
      </c>
      <c r="AA420">
        <v>1</v>
      </c>
      <c r="AB420">
        <v>69.535077296650186</v>
      </c>
      <c r="AC420">
        <v>0.99250000000000005</v>
      </c>
      <c r="AD420" s="63">
        <v>69.013999999999996</v>
      </c>
      <c r="AE420">
        <v>8.9176000000000002</v>
      </c>
      <c r="AF420">
        <v>9.2462919077962926</v>
      </c>
      <c r="AG420">
        <v>1</v>
      </c>
      <c r="AH420">
        <v>5579.6748517596734</v>
      </c>
      <c r="AI420">
        <v>0.96573604060913698</v>
      </c>
      <c r="AJ420" s="63">
        <v>5388.4930999999997</v>
      </c>
      <c r="AK420" s="61">
        <v>14.09672512814503</v>
      </c>
      <c r="AL420" t="s">
        <v>346</v>
      </c>
      <c r="AM420" t="s">
        <v>436</v>
      </c>
      <c r="AN420" t="s">
        <v>425</v>
      </c>
      <c r="AO420" t="s">
        <v>91</v>
      </c>
      <c r="AP420">
        <v>111.133</v>
      </c>
      <c r="AQ420">
        <v>1.0368587857491129</v>
      </c>
      <c r="AR420">
        <v>115.2292274366562</v>
      </c>
      <c r="AS420">
        <v>603.45000000000005</v>
      </c>
      <c r="AT420">
        <v>1</v>
      </c>
      <c r="AU420">
        <v>69.535077296650186</v>
      </c>
      <c r="AV420">
        <v>0.99250000000000005</v>
      </c>
      <c r="AW420" s="63">
        <v>69.013999999999996</v>
      </c>
      <c r="AX420">
        <v>8.9176000000000002</v>
      </c>
      <c r="AY420">
        <v>1</v>
      </c>
      <c r="AZ420">
        <v>5579.6748517596734</v>
      </c>
      <c r="BA420">
        <v>0.96573604060913698</v>
      </c>
      <c r="BB420" s="63">
        <v>5388.4930999999997</v>
      </c>
      <c r="BC420" s="61">
        <v>14.09672512814503</v>
      </c>
    </row>
    <row r="421" spans="1:55" x14ac:dyDescent="0.25">
      <c r="A421">
        <v>93767</v>
      </c>
      <c r="B421" t="s">
        <v>114</v>
      </c>
      <c r="C421">
        <v>2018</v>
      </c>
      <c r="D421">
        <v>10</v>
      </c>
      <c r="E421" t="s">
        <v>100</v>
      </c>
      <c r="F421" t="s">
        <v>426</v>
      </c>
      <c r="G421" t="s">
        <v>84</v>
      </c>
      <c r="H421" t="s">
        <v>59</v>
      </c>
      <c r="I421" t="s">
        <v>427</v>
      </c>
      <c r="J421">
        <v>-5.0464000000000002</v>
      </c>
      <c r="K421" t="s">
        <v>440</v>
      </c>
      <c r="L421" t="s">
        <v>452</v>
      </c>
      <c r="M421">
        <v>1.4858046103299999E-3</v>
      </c>
      <c r="N421">
        <v>7.4979643855693119E-3</v>
      </c>
      <c r="O421">
        <v>30169.468000000001</v>
      </c>
      <c r="P421">
        <v>4.8744250000000003E-6</v>
      </c>
      <c r="Q421">
        <v>0.29411799999999999</v>
      </c>
      <c r="R421" s="61">
        <v>2.2052862891548748E-3</v>
      </c>
      <c r="S421" t="s">
        <v>346</v>
      </c>
      <c r="T421" t="s">
        <v>436</v>
      </c>
      <c r="U421" t="s">
        <v>425</v>
      </c>
      <c r="V421" t="s">
        <v>28</v>
      </c>
      <c r="W421">
        <v>111.133</v>
      </c>
      <c r="X421">
        <v>1.0368587857491129</v>
      </c>
      <c r="Y421">
        <v>115.2292274366562</v>
      </c>
      <c r="Z421">
        <v>603.45000000000005</v>
      </c>
      <c r="AA421">
        <v>1</v>
      </c>
      <c r="AB421">
        <v>69.535077296650186</v>
      </c>
      <c r="AC421">
        <v>0.99760000000000004</v>
      </c>
      <c r="AD421" s="63">
        <v>69.367999999999995</v>
      </c>
      <c r="AE421">
        <v>8.9176000000000002</v>
      </c>
      <c r="AF421">
        <v>9.2462919077962926</v>
      </c>
      <c r="AG421">
        <v>1</v>
      </c>
      <c r="AH421">
        <v>5579.6748517596734</v>
      </c>
      <c r="AI421">
        <v>0.96062216971844849</v>
      </c>
      <c r="AJ421" s="63">
        <v>5359.9593999999997</v>
      </c>
      <c r="AK421" s="61">
        <v>11.820244975246791</v>
      </c>
      <c r="AL421" t="s">
        <v>346</v>
      </c>
      <c r="AM421" t="s">
        <v>436</v>
      </c>
      <c r="AN421" t="s">
        <v>425</v>
      </c>
      <c r="AO421" t="s">
        <v>28</v>
      </c>
      <c r="AP421">
        <v>111.133</v>
      </c>
      <c r="AQ421">
        <v>1.0368587857491129</v>
      </c>
      <c r="AR421">
        <v>115.2292274366562</v>
      </c>
      <c r="AS421">
        <v>603.45000000000005</v>
      </c>
      <c r="AT421">
        <v>1</v>
      </c>
      <c r="AU421">
        <v>69.535077296650186</v>
      </c>
      <c r="AV421">
        <v>0.99760000000000004</v>
      </c>
      <c r="AW421" s="63">
        <v>69.367999999999995</v>
      </c>
      <c r="AX421">
        <v>8.9176000000000002</v>
      </c>
      <c r="AY421">
        <v>1</v>
      </c>
      <c r="AZ421">
        <v>5579.6748517596734</v>
      </c>
      <c r="BA421">
        <v>0.96062216971844849</v>
      </c>
      <c r="BB421" s="63">
        <v>5359.9593999999997</v>
      </c>
      <c r="BC421" s="61">
        <v>11.820244975246791</v>
      </c>
    </row>
    <row r="422" spans="1:55" x14ac:dyDescent="0.25">
      <c r="A422">
        <v>98979</v>
      </c>
      <c r="B422" t="s">
        <v>115</v>
      </c>
      <c r="C422">
        <v>2018</v>
      </c>
      <c r="D422">
        <v>11</v>
      </c>
      <c r="E422" t="s">
        <v>100</v>
      </c>
      <c r="F422" t="s">
        <v>426</v>
      </c>
      <c r="G422" t="s">
        <v>84</v>
      </c>
      <c r="H422" t="s">
        <v>381</v>
      </c>
      <c r="I422" t="s">
        <v>427</v>
      </c>
      <c r="J422">
        <v>-9.5779341900000006</v>
      </c>
      <c r="K422" t="s">
        <v>440</v>
      </c>
      <c r="L422" t="s">
        <v>450</v>
      </c>
      <c r="M422">
        <v>0.15011157993331001</v>
      </c>
      <c r="N422">
        <v>1.4377588340870111</v>
      </c>
      <c r="O422">
        <v>30169.468000000001</v>
      </c>
      <c r="P422">
        <v>4.8744250000000003E-6</v>
      </c>
      <c r="Q422">
        <v>0.29411799999999999</v>
      </c>
      <c r="R422" s="61">
        <v>0.42287075276400338</v>
      </c>
      <c r="S422" t="s">
        <v>346</v>
      </c>
      <c r="T422" t="s">
        <v>436</v>
      </c>
      <c r="U422" t="s">
        <v>425</v>
      </c>
      <c r="V422" t="s">
        <v>26</v>
      </c>
      <c r="W422">
        <v>111.133</v>
      </c>
      <c r="X422">
        <v>1.0368587857491129</v>
      </c>
      <c r="Y422">
        <v>115.2292274366562</v>
      </c>
      <c r="Z422">
        <v>603.45000000000005</v>
      </c>
      <c r="AA422">
        <v>1</v>
      </c>
      <c r="AB422">
        <v>69.535077296650186</v>
      </c>
      <c r="AC422">
        <v>0.96209999999999996</v>
      </c>
      <c r="AD422" s="63">
        <v>66.900000000000006</v>
      </c>
      <c r="AE422">
        <v>8.9176000000000002</v>
      </c>
      <c r="AF422">
        <v>9.2462919077962926</v>
      </c>
      <c r="AG422">
        <v>1</v>
      </c>
      <c r="AH422">
        <v>5579.6748517596734</v>
      </c>
      <c r="AI422">
        <v>0.95992461065370505</v>
      </c>
      <c r="AJ422" s="63">
        <v>5356.0672000000004</v>
      </c>
      <c r="AK422" s="61">
        <v>2264.9241687185881</v>
      </c>
      <c r="AL422" t="s">
        <v>346</v>
      </c>
      <c r="AM422" t="s">
        <v>436</v>
      </c>
      <c r="AN422" t="s">
        <v>425</v>
      </c>
      <c r="AO422" t="s">
        <v>26</v>
      </c>
      <c r="AP422">
        <v>111.133</v>
      </c>
      <c r="AQ422">
        <v>1.0368587857491129</v>
      </c>
      <c r="AR422">
        <v>115.2292274366562</v>
      </c>
      <c r="AS422">
        <v>603.45000000000005</v>
      </c>
      <c r="AT422">
        <v>1</v>
      </c>
      <c r="AU422">
        <v>69.535077296650186</v>
      </c>
      <c r="AV422">
        <v>0.96209999999999996</v>
      </c>
      <c r="AW422" s="63">
        <v>66.900000000000006</v>
      </c>
      <c r="AX422">
        <v>8.9176000000000002</v>
      </c>
      <c r="AY422">
        <v>1</v>
      </c>
      <c r="AZ422">
        <v>5579.6748517596734</v>
      </c>
      <c r="BA422">
        <v>0.95992461065370505</v>
      </c>
      <c r="BB422" s="63">
        <v>5356.0672000000004</v>
      </c>
      <c r="BC422" s="61">
        <v>2264.9241687185881</v>
      </c>
    </row>
    <row r="423" spans="1:55" x14ac:dyDescent="0.25">
      <c r="A423">
        <v>98981</v>
      </c>
      <c r="B423" t="s">
        <v>115</v>
      </c>
      <c r="C423">
        <v>2018</v>
      </c>
      <c r="D423">
        <v>11</v>
      </c>
      <c r="E423" t="s">
        <v>100</v>
      </c>
      <c r="F423" t="s">
        <v>426</v>
      </c>
      <c r="G423" t="s">
        <v>84</v>
      </c>
      <c r="H423" t="s">
        <v>381</v>
      </c>
      <c r="I423" t="s">
        <v>427</v>
      </c>
      <c r="J423">
        <v>-9.5779341900000006</v>
      </c>
      <c r="K423" t="s">
        <v>440</v>
      </c>
      <c r="L423" t="s">
        <v>384</v>
      </c>
      <c r="M423">
        <v>4.5811354346740003E-2</v>
      </c>
      <c r="N423">
        <v>0.43877813718820319</v>
      </c>
      <c r="O423">
        <v>30169.468000000001</v>
      </c>
      <c r="P423">
        <v>4.8744250000000003E-6</v>
      </c>
      <c r="Q423">
        <v>0.29411799999999999</v>
      </c>
      <c r="R423" s="61">
        <v>0.12905254815351991</v>
      </c>
      <c r="S423" t="s">
        <v>346</v>
      </c>
      <c r="T423" t="s">
        <v>436</v>
      </c>
      <c r="U423" t="s">
        <v>425</v>
      </c>
      <c r="V423" t="s">
        <v>81</v>
      </c>
      <c r="W423">
        <v>111.133</v>
      </c>
      <c r="X423">
        <v>1.0368587857491129</v>
      </c>
      <c r="Y423">
        <v>115.2292274366562</v>
      </c>
      <c r="Z423">
        <v>603.45000000000005</v>
      </c>
      <c r="AA423">
        <v>1</v>
      </c>
      <c r="AB423">
        <v>69.535077296650186</v>
      </c>
      <c r="AC423">
        <v>0.90990000000000004</v>
      </c>
      <c r="AD423" s="63">
        <v>63.27</v>
      </c>
      <c r="AE423">
        <v>8.9176000000000002</v>
      </c>
      <c r="AF423">
        <v>9.2462919077962926</v>
      </c>
      <c r="AG423">
        <v>1</v>
      </c>
      <c r="AH423">
        <v>5579.6748517596734</v>
      </c>
      <c r="AI423">
        <v>1.053620848708487</v>
      </c>
      <c r="AJ423" s="63">
        <v>5878.8617999999997</v>
      </c>
      <c r="AK423" s="61">
        <v>758.68209553238887</v>
      </c>
      <c r="AL423" t="s">
        <v>346</v>
      </c>
      <c r="AM423" t="s">
        <v>436</v>
      </c>
      <c r="AN423" t="s">
        <v>425</v>
      </c>
      <c r="AO423" t="s">
        <v>81</v>
      </c>
      <c r="AP423">
        <v>111.133</v>
      </c>
      <c r="AQ423">
        <v>1.0368587857491129</v>
      </c>
      <c r="AR423">
        <v>115.2292274366562</v>
      </c>
      <c r="AS423">
        <v>603.45000000000005</v>
      </c>
      <c r="AT423">
        <v>1</v>
      </c>
      <c r="AU423">
        <v>69.535077296650186</v>
      </c>
      <c r="AV423">
        <v>0.90990000000000004</v>
      </c>
      <c r="AW423" s="63">
        <v>63.27</v>
      </c>
      <c r="AX423">
        <v>8.9176000000000002</v>
      </c>
      <c r="AY423">
        <v>1</v>
      </c>
      <c r="AZ423">
        <v>5579.6748517596734</v>
      </c>
      <c r="BA423">
        <v>1.053620848708487</v>
      </c>
      <c r="BB423" s="63">
        <v>5878.8617999999997</v>
      </c>
      <c r="BC423" s="61">
        <v>758.68209553238887</v>
      </c>
    </row>
    <row r="424" spans="1:55" x14ac:dyDescent="0.25">
      <c r="A424">
        <v>98983</v>
      </c>
      <c r="B424" t="s">
        <v>115</v>
      </c>
      <c r="C424">
        <v>2018</v>
      </c>
      <c r="D424">
        <v>11</v>
      </c>
      <c r="E424" t="s">
        <v>100</v>
      </c>
      <c r="F424" t="s">
        <v>426</v>
      </c>
      <c r="G424" t="s">
        <v>84</v>
      </c>
      <c r="H424" t="s">
        <v>381</v>
      </c>
      <c r="I424" t="s">
        <v>427</v>
      </c>
      <c r="J424">
        <v>-9.5779341900000006</v>
      </c>
      <c r="K424" t="s">
        <v>440</v>
      </c>
      <c r="L424" t="s">
        <v>385</v>
      </c>
      <c r="M424">
        <v>0.43232641346992001</v>
      </c>
      <c r="N424">
        <v>4.1407939377607024</v>
      </c>
      <c r="O424">
        <v>30169.468000000001</v>
      </c>
      <c r="P424">
        <v>4.8744250000000003E-6</v>
      </c>
      <c r="Q424">
        <v>0.29411799999999999</v>
      </c>
      <c r="R424" s="61">
        <v>1.2178820313863019</v>
      </c>
      <c r="S424" t="s">
        <v>346</v>
      </c>
      <c r="T424" t="s">
        <v>436</v>
      </c>
      <c r="U424" t="s">
        <v>425</v>
      </c>
      <c r="V424" t="s">
        <v>27</v>
      </c>
      <c r="W424">
        <v>111.133</v>
      </c>
      <c r="X424">
        <v>1.0368587857491129</v>
      </c>
      <c r="Y424">
        <v>115.2292274366562</v>
      </c>
      <c r="Z424">
        <v>603.45000000000005</v>
      </c>
      <c r="AA424">
        <v>1</v>
      </c>
      <c r="AB424">
        <v>69.535077296650186</v>
      </c>
      <c r="AC424">
        <v>0.93979999999999997</v>
      </c>
      <c r="AD424" s="63">
        <v>65.349000000000004</v>
      </c>
      <c r="AE424">
        <v>8.9176000000000002</v>
      </c>
      <c r="AF424">
        <v>9.2462919077962926</v>
      </c>
      <c r="AG424">
        <v>1</v>
      </c>
      <c r="AH424">
        <v>5579.6748517596734</v>
      </c>
      <c r="AI424">
        <v>0.95477850697292876</v>
      </c>
      <c r="AJ424" s="63">
        <v>5327.3536000000004</v>
      </c>
      <c r="AK424" s="61">
        <v>6488.0882242811304</v>
      </c>
      <c r="AL424" t="s">
        <v>346</v>
      </c>
      <c r="AM424" t="s">
        <v>436</v>
      </c>
      <c r="AN424" t="s">
        <v>425</v>
      </c>
      <c r="AO424" t="s">
        <v>27</v>
      </c>
      <c r="AP424">
        <v>111.133</v>
      </c>
      <c r="AQ424">
        <v>1.0368587857491129</v>
      </c>
      <c r="AR424">
        <v>115.2292274366562</v>
      </c>
      <c r="AS424">
        <v>603.45000000000005</v>
      </c>
      <c r="AT424">
        <v>1</v>
      </c>
      <c r="AU424">
        <v>69.535077296650186</v>
      </c>
      <c r="AV424">
        <v>0.93979999999999997</v>
      </c>
      <c r="AW424" s="63">
        <v>65.349000000000004</v>
      </c>
      <c r="AX424">
        <v>8.9176000000000002</v>
      </c>
      <c r="AY424">
        <v>1</v>
      </c>
      <c r="AZ424">
        <v>5579.6748517596734</v>
      </c>
      <c r="BA424">
        <v>0.95477850697292876</v>
      </c>
      <c r="BB424" s="63">
        <v>5327.3536000000004</v>
      </c>
      <c r="BC424" s="61">
        <v>6488.0882242811304</v>
      </c>
    </row>
    <row r="425" spans="1:55" x14ac:dyDescent="0.25">
      <c r="A425">
        <v>98985</v>
      </c>
      <c r="B425" t="s">
        <v>115</v>
      </c>
      <c r="C425">
        <v>2018</v>
      </c>
      <c r="D425">
        <v>11</v>
      </c>
      <c r="E425" t="s">
        <v>100</v>
      </c>
      <c r="F425" t="s">
        <v>426</v>
      </c>
      <c r="G425" t="s">
        <v>84</v>
      </c>
      <c r="H425" t="s">
        <v>381</v>
      </c>
      <c r="I425" t="s">
        <v>427</v>
      </c>
      <c r="J425">
        <v>-9.5779341900000006</v>
      </c>
      <c r="K425" t="s">
        <v>440</v>
      </c>
      <c r="L425" t="s">
        <v>451</v>
      </c>
      <c r="M425">
        <v>1.6825115802299999E-3</v>
      </c>
      <c r="N425">
        <v>1.611498519304165E-2</v>
      </c>
      <c r="O425">
        <v>30169.468000000001</v>
      </c>
      <c r="P425">
        <v>4.8744250000000003E-6</v>
      </c>
      <c r="Q425">
        <v>0.29411799999999999</v>
      </c>
      <c r="R425" s="61">
        <v>4.7397072150070236E-3</v>
      </c>
      <c r="S425" t="s">
        <v>346</v>
      </c>
      <c r="T425" t="s">
        <v>436</v>
      </c>
      <c r="U425" t="s">
        <v>425</v>
      </c>
      <c r="V425" t="s">
        <v>91</v>
      </c>
      <c r="W425">
        <v>111.133</v>
      </c>
      <c r="X425">
        <v>1.0368587857491129</v>
      </c>
      <c r="Y425">
        <v>115.2292274366562</v>
      </c>
      <c r="Z425">
        <v>603.45000000000005</v>
      </c>
      <c r="AA425">
        <v>1</v>
      </c>
      <c r="AB425">
        <v>69.535077296650186</v>
      </c>
      <c r="AC425">
        <v>0.99250000000000005</v>
      </c>
      <c r="AD425" s="63">
        <v>69.013999999999996</v>
      </c>
      <c r="AE425">
        <v>8.9176000000000002</v>
      </c>
      <c r="AF425">
        <v>9.2462919077962926</v>
      </c>
      <c r="AG425">
        <v>1</v>
      </c>
      <c r="AH425">
        <v>5579.6748517596734</v>
      </c>
      <c r="AI425">
        <v>0.96573604060913698</v>
      </c>
      <c r="AJ425" s="63">
        <v>5388.4930999999997</v>
      </c>
      <c r="AK425" s="61">
        <v>25.539879624085561</v>
      </c>
      <c r="AL425" t="s">
        <v>346</v>
      </c>
      <c r="AM425" t="s">
        <v>436</v>
      </c>
      <c r="AN425" t="s">
        <v>425</v>
      </c>
      <c r="AO425" t="s">
        <v>91</v>
      </c>
      <c r="AP425">
        <v>111.133</v>
      </c>
      <c r="AQ425">
        <v>1.0368587857491129</v>
      </c>
      <c r="AR425">
        <v>115.2292274366562</v>
      </c>
      <c r="AS425">
        <v>603.45000000000005</v>
      </c>
      <c r="AT425">
        <v>1</v>
      </c>
      <c r="AU425">
        <v>69.535077296650186</v>
      </c>
      <c r="AV425">
        <v>0.99250000000000005</v>
      </c>
      <c r="AW425" s="63">
        <v>69.013999999999996</v>
      </c>
      <c r="AX425">
        <v>8.9176000000000002</v>
      </c>
      <c r="AY425">
        <v>1</v>
      </c>
      <c r="AZ425">
        <v>5579.6748517596734</v>
      </c>
      <c r="BA425">
        <v>0.96573604060913698</v>
      </c>
      <c r="BB425" s="63">
        <v>5388.4930999999997</v>
      </c>
      <c r="BC425" s="61">
        <v>25.539879624085561</v>
      </c>
    </row>
    <row r="426" spans="1:55" x14ac:dyDescent="0.25">
      <c r="A426">
        <v>98987</v>
      </c>
      <c r="B426" t="s">
        <v>115</v>
      </c>
      <c r="C426">
        <v>2018</v>
      </c>
      <c r="D426">
        <v>11</v>
      </c>
      <c r="E426" t="s">
        <v>100</v>
      </c>
      <c r="F426" t="s">
        <v>426</v>
      </c>
      <c r="G426" t="s">
        <v>84</v>
      </c>
      <c r="H426" t="s">
        <v>381</v>
      </c>
      <c r="I426" t="s">
        <v>427</v>
      </c>
      <c r="J426">
        <v>-9.5779341900000006</v>
      </c>
      <c r="K426" t="s">
        <v>440</v>
      </c>
      <c r="L426" t="s">
        <v>452</v>
      </c>
      <c r="M426">
        <v>1.53682162831E-3</v>
      </c>
      <c r="N426">
        <v>1.4719576421088469E-2</v>
      </c>
      <c r="O426">
        <v>30169.468000000001</v>
      </c>
      <c r="P426">
        <v>4.8744250000000003E-6</v>
      </c>
      <c r="Q426">
        <v>0.29411799999999999</v>
      </c>
      <c r="R426" s="61">
        <v>4.3292923778176983E-3</v>
      </c>
      <c r="S426" t="s">
        <v>346</v>
      </c>
      <c r="T426" t="s">
        <v>436</v>
      </c>
      <c r="U426" t="s">
        <v>425</v>
      </c>
      <c r="V426" t="s">
        <v>28</v>
      </c>
      <c r="W426">
        <v>111.133</v>
      </c>
      <c r="X426">
        <v>1.0368587857491129</v>
      </c>
      <c r="Y426">
        <v>115.2292274366562</v>
      </c>
      <c r="Z426">
        <v>603.45000000000005</v>
      </c>
      <c r="AA426">
        <v>1</v>
      </c>
      <c r="AB426">
        <v>69.535077296650186</v>
      </c>
      <c r="AC426">
        <v>0.99760000000000004</v>
      </c>
      <c r="AD426" s="63">
        <v>69.367999999999995</v>
      </c>
      <c r="AE426">
        <v>8.9176000000000002</v>
      </c>
      <c r="AF426">
        <v>9.2462919077962926</v>
      </c>
      <c r="AG426">
        <v>1</v>
      </c>
      <c r="AH426">
        <v>5579.6748517596734</v>
      </c>
      <c r="AI426">
        <v>0.96062216971844849</v>
      </c>
      <c r="AJ426" s="63">
        <v>5359.9593999999997</v>
      </c>
      <c r="AK426" s="61">
        <v>23.20483137583232</v>
      </c>
      <c r="AL426" t="s">
        <v>346</v>
      </c>
      <c r="AM426" t="s">
        <v>436</v>
      </c>
      <c r="AN426" t="s">
        <v>425</v>
      </c>
      <c r="AO426" t="s">
        <v>28</v>
      </c>
      <c r="AP426">
        <v>111.133</v>
      </c>
      <c r="AQ426">
        <v>1.0368587857491129</v>
      </c>
      <c r="AR426">
        <v>115.2292274366562</v>
      </c>
      <c r="AS426">
        <v>603.45000000000005</v>
      </c>
      <c r="AT426">
        <v>1</v>
      </c>
      <c r="AU426">
        <v>69.535077296650186</v>
      </c>
      <c r="AV426">
        <v>0.99760000000000004</v>
      </c>
      <c r="AW426" s="63">
        <v>69.367999999999995</v>
      </c>
      <c r="AX426">
        <v>8.9176000000000002</v>
      </c>
      <c r="AY426">
        <v>1</v>
      </c>
      <c r="AZ426">
        <v>5579.6748517596734</v>
      </c>
      <c r="BA426">
        <v>0.96062216971844849</v>
      </c>
      <c r="BB426" s="63">
        <v>5359.9593999999997</v>
      </c>
      <c r="BC426" s="61">
        <v>23.20483137583232</v>
      </c>
    </row>
    <row r="427" spans="1:55" x14ac:dyDescent="0.25">
      <c r="A427">
        <v>98989</v>
      </c>
      <c r="B427" t="s">
        <v>115</v>
      </c>
      <c r="C427">
        <v>2018</v>
      </c>
      <c r="D427">
        <v>11</v>
      </c>
      <c r="E427" t="s">
        <v>100</v>
      </c>
      <c r="F427" t="s">
        <v>426</v>
      </c>
      <c r="G427" t="s">
        <v>84</v>
      </c>
      <c r="H427" t="s">
        <v>87</v>
      </c>
      <c r="I427" t="s">
        <v>427</v>
      </c>
      <c r="J427">
        <v>-1.76002901</v>
      </c>
      <c r="K427" t="s">
        <v>440</v>
      </c>
      <c r="L427" t="s">
        <v>450</v>
      </c>
      <c r="M427">
        <v>0.26601384014995</v>
      </c>
      <c r="N427">
        <v>0.46819207513056599</v>
      </c>
      <c r="O427">
        <v>30169.468000000001</v>
      </c>
      <c r="P427">
        <v>4.8744250000000003E-6</v>
      </c>
      <c r="Q427">
        <v>0.29411799999999999</v>
      </c>
      <c r="R427" s="61">
        <v>0.1377037167532518</v>
      </c>
      <c r="S427" t="s">
        <v>346</v>
      </c>
      <c r="T427" t="s">
        <v>436</v>
      </c>
      <c r="U427" t="s">
        <v>425</v>
      </c>
      <c r="V427" t="s">
        <v>26</v>
      </c>
      <c r="W427">
        <v>111.133</v>
      </c>
      <c r="X427">
        <v>1.0368587857491129</v>
      </c>
      <c r="Y427">
        <v>115.2292274366562</v>
      </c>
      <c r="Z427">
        <v>603.45000000000005</v>
      </c>
      <c r="AA427">
        <v>1</v>
      </c>
      <c r="AB427">
        <v>69.535077296650186</v>
      </c>
      <c r="AC427">
        <v>0.96209999999999996</v>
      </c>
      <c r="AD427" s="63">
        <v>66.900000000000006</v>
      </c>
      <c r="AE427">
        <v>8.9176000000000002</v>
      </c>
      <c r="AF427">
        <v>9.2462919077962926</v>
      </c>
      <c r="AG427">
        <v>1</v>
      </c>
      <c r="AH427">
        <v>5579.6748517596734</v>
      </c>
      <c r="AI427">
        <v>0.95992461065370505</v>
      </c>
      <c r="AJ427" s="63">
        <v>5356.0672000000004</v>
      </c>
      <c r="AK427" s="61">
        <v>737.55036062018269</v>
      </c>
      <c r="AL427" t="s">
        <v>346</v>
      </c>
      <c r="AM427" t="s">
        <v>436</v>
      </c>
      <c r="AN427" t="s">
        <v>425</v>
      </c>
      <c r="AO427" t="s">
        <v>26</v>
      </c>
      <c r="AP427">
        <v>111.133</v>
      </c>
      <c r="AQ427">
        <v>1.0368587857491129</v>
      </c>
      <c r="AR427">
        <v>115.2292274366562</v>
      </c>
      <c r="AS427">
        <v>603.45000000000005</v>
      </c>
      <c r="AT427">
        <v>1</v>
      </c>
      <c r="AU427">
        <v>69.535077296650186</v>
      </c>
      <c r="AV427">
        <v>0.96209999999999996</v>
      </c>
      <c r="AW427" s="63">
        <v>66.900000000000006</v>
      </c>
      <c r="AX427">
        <v>8.9176000000000002</v>
      </c>
      <c r="AY427">
        <v>1</v>
      </c>
      <c r="AZ427">
        <v>5579.6748517596734</v>
      </c>
      <c r="BA427">
        <v>0.95992461065370505</v>
      </c>
      <c r="BB427" s="63">
        <v>5356.0672000000004</v>
      </c>
      <c r="BC427" s="61">
        <v>737.55036062018269</v>
      </c>
    </row>
    <row r="428" spans="1:55" x14ac:dyDescent="0.25">
      <c r="A428">
        <v>98991</v>
      </c>
      <c r="B428" t="s">
        <v>115</v>
      </c>
      <c r="C428">
        <v>2018</v>
      </c>
      <c r="D428">
        <v>11</v>
      </c>
      <c r="E428" t="s">
        <v>100</v>
      </c>
      <c r="F428" t="s">
        <v>426</v>
      </c>
      <c r="G428" t="s">
        <v>84</v>
      </c>
      <c r="H428" t="s">
        <v>87</v>
      </c>
      <c r="I428" t="s">
        <v>427</v>
      </c>
      <c r="J428">
        <v>-1.76002901</v>
      </c>
      <c r="K428" t="s">
        <v>440</v>
      </c>
      <c r="L428" t="s">
        <v>384</v>
      </c>
      <c r="M428">
        <v>3.9509559941419997E-2</v>
      </c>
      <c r="N428">
        <v>6.9537971580883512E-2</v>
      </c>
      <c r="O428">
        <v>30169.468000000001</v>
      </c>
      <c r="P428">
        <v>4.8744250000000003E-6</v>
      </c>
      <c r="Q428">
        <v>0.29411799999999999</v>
      </c>
      <c r="R428" s="61">
        <v>2.0452369125426299E-2</v>
      </c>
      <c r="S428" t="s">
        <v>346</v>
      </c>
      <c r="T428" t="s">
        <v>436</v>
      </c>
      <c r="U428" t="s">
        <v>425</v>
      </c>
      <c r="V428" t="s">
        <v>81</v>
      </c>
      <c r="W428">
        <v>111.133</v>
      </c>
      <c r="X428">
        <v>1.0368587857491129</v>
      </c>
      <c r="Y428">
        <v>115.2292274366562</v>
      </c>
      <c r="Z428">
        <v>603.45000000000005</v>
      </c>
      <c r="AA428">
        <v>1</v>
      </c>
      <c r="AB428">
        <v>69.535077296650186</v>
      </c>
      <c r="AC428">
        <v>0.90990000000000004</v>
      </c>
      <c r="AD428" s="63">
        <v>63.27</v>
      </c>
      <c r="AE428">
        <v>8.9176000000000002</v>
      </c>
      <c r="AF428">
        <v>9.2462919077962926</v>
      </c>
      <c r="AG428">
        <v>1</v>
      </c>
      <c r="AH428">
        <v>5579.6748517596734</v>
      </c>
      <c r="AI428">
        <v>1.053620848708487</v>
      </c>
      <c r="AJ428" s="63">
        <v>5878.8617999999997</v>
      </c>
      <c r="AK428" s="61">
        <v>120.23665157096799</v>
      </c>
      <c r="AL428" t="s">
        <v>346</v>
      </c>
      <c r="AM428" t="s">
        <v>436</v>
      </c>
      <c r="AN428" t="s">
        <v>425</v>
      </c>
      <c r="AO428" t="s">
        <v>81</v>
      </c>
      <c r="AP428">
        <v>111.133</v>
      </c>
      <c r="AQ428">
        <v>1.0368587857491129</v>
      </c>
      <c r="AR428">
        <v>115.2292274366562</v>
      </c>
      <c r="AS428">
        <v>603.45000000000005</v>
      </c>
      <c r="AT428">
        <v>1</v>
      </c>
      <c r="AU428">
        <v>69.535077296650186</v>
      </c>
      <c r="AV428">
        <v>0.90990000000000004</v>
      </c>
      <c r="AW428" s="63">
        <v>63.27</v>
      </c>
      <c r="AX428">
        <v>8.9176000000000002</v>
      </c>
      <c r="AY428">
        <v>1</v>
      </c>
      <c r="AZ428">
        <v>5579.6748517596734</v>
      </c>
      <c r="BA428">
        <v>1.053620848708487</v>
      </c>
      <c r="BB428" s="63">
        <v>5878.8617999999997</v>
      </c>
      <c r="BC428" s="61">
        <v>120.23665157096799</v>
      </c>
    </row>
    <row r="429" spans="1:55" x14ac:dyDescent="0.25">
      <c r="A429">
        <v>98993</v>
      </c>
      <c r="B429" t="s">
        <v>115</v>
      </c>
      <c r="C429">
        <v>2018</v>
      </c>
      <c r="D429">
        <v>11</v>
      </c>
      <c r="E429" t="s">
        <v>100</v>
      </c>
      <c r="F429" t="s">
        <v>426</v>
      </c>
      <c r="G429" t="s">
        <v>84</v>
      </c>
      <c r="H429" t="s">
        <v>87</v>
      </c>
      <c r="I429" t="s">
        <v>427</v>
      </c>
      <c r="J429">
        <v>-1.76002901</v>
      </c>
      <c r="K429" t="s">
        <v>440</v>
      </c>
      <c r="L429" t="s">
        <v>385</v>
      </c>
      <c r="M429">
        <v>0.39737542925016001</v>
      </c>
      <c r="N429">
        <v>0.69939228245289031</v>
      </c>
      <c r="O429">
        <v>30169.468000000001</v>
      </c>
      <c r="P429">
        <v>4.8744250000000003E-6</v>
      </c>
      <c r="Q429">
        <v>0.29411799999999999</v>
      </c>
      <c r="R429" s="61">
        <v>0.20570385933047919</v>
      </c>
      <c r="S429" t="s">
        <v>346</v>
      </c>
      <c r="T429" t="s">
        <v>436</v>
      </c>
      <c r="U429" t="s">
        <v>425</v>
      </c>
      <c r="V429" t="s">
        <v>27</v>
      </c>
      <c r="W429">
        <v>111.133</v>
      </c>
      <c r="X429">
        <v>1.0368587857491129</v>
      </c>
      <c r="Y429">
        <v>115.2292274366562</v>
      </c>
      <c r="Z429">
        <v>603.45000000000005</v>
      </c>
      <c r="AA429">
        <v>1</v>
      </c>
      <c r="AB429">
        <v>69.535077296650186</v>
      </c>
      <c r="AC429">
        <v>0.93979999999999997</v>
      </c>
      <c r="AD429" s="63">
        <v>65.349000000000004</v>
      </c>
      <c r="AE429">
        <v>8.9176000000000002</v>
      </c>
      <c r="AF429">
        <v>9.2462919077962926</v>
      </c>
      <c r="AG429">
        <v>1</v>
      </c>
      <c r="AH429">
        <v>5579.6748517596734</v>
      </c>
      <c r="AI429">
        <v>0.95477850697292876</v>
      </c>
      <c r="AJ429" s="63">
        <v>5327.3536000000004</v>
      </c>
      <c r="AK429" s="61">
        <v>1095.8571955381219</v>
      </c>
      <c r="AL429" t="s">
        <v>346</v>
      </c>
      <c r="AM429" t="s">
        <v>436</v>
      </c>
      <c r="AN429" t="s">
        <v>425</v>
      </c>
      <c r="AO429" t="s">
        <v>27</v>
      </c>
      <c r="AP429">
        <v>111.133</v>
      </c>
      <c r="AQ429">
        <v>1.0368587857491129</v>
      </c>
      <c r="AR429">
        <v>115.2292274366562</v>
      </c>
      <c r="AS429">
        <v>603.45000000000005</v>
      </c>
      <c r="AT429">
        <v>1</v>
      </c>
      <c r="AU429">
        <v>69.535077296650186</v>
      </c>
      <c r="AV429">
        <v>0.93979999999999997</v>
      </c>
      <c r="AW429" s="63">
        <v>65.349000000000004</v>
      </c>
      <c r="AX429">
        <v>8.9176000000000002</v>
      </c>
      <c r="AY429">
        <v>1</v>
      </c>
      <c r="AZ429">
        <v>5579.6748517596734</v>
      </c>
      <c r="BA429">
        <v>0.95477850697292876</v>
      </c>
      <c r="BB429" s="63">
        <v>5327.3536000000004</v>
      </c>
      <c r="BC429" s="61">
        <v>1095.8571955381219</v>
      </c>
    </row>
    <row r="430" spans="1:55" x14ac:dyDescent="0.25">
      <c r="A430">
        <v>98995</v>
      </c>
      <c r="B430" t="s">
        <v>115</v>
      </c>
      <c r="C430">
        <v>2018</v>
      </c>
      <c r="D430">
        <v>11</v>
      </c>
      <c r="E430" t="s">
        <v>100</v>
      </c>
      <c r="F430" t="s">
        <v>426</v>
      </c>
      <c r="G430" t="s">
        <v>84</v>
      </c>
      <c r="H430" t="s">
        <v>87</v>
      </c>
      <c r="I430" t="s">
        <v>427</v>
      </c>
      <c r="J430">
        <v>-1.76002901</v>
      </c>
      <c r="K430" t="s">
        <v>440</v>
      </c>
      <c r="L430" t="s">
        <v>452</v>
      </c>
      <c r="M430">
        <v>8.4248020759000004E-4</v>
      </c>
      <c r="N430">
        <v>1.482789603825304E-3</v>
      </c>
      <c r="O430">
        <v>30169.468000000001</v>
      </c>
      <c r="P430">
        <v>4.8744250000000003E-6</v>
      </c>
      <c r="Q430">
        <v>0.29411799999999999</v>
      </c>
      <c r="R430" s="61">
        <v>4.3611511269789078E-4</v>
      </c>
      <c r="S430" t="s">
        <v>346</v>
      </c>
      <c r="T430" t="s">
        <v>436</v>
      </c>
      <c r="U430" t="s">
        <v>425</v>
      </c>
      <c r="V430" t="s">
        <v>28</v>
      </c>
      <c r="W430">
        <v>111.133</v>
      </c>
      <c r="X430">
        <v>1.0368587857491129</v>
      </c>
      <c r="Y430">
        <v>115.2292274366562</v>
      </c>
      <c r="Z430">
        <v>603.45000000000005</v>
      </c>
      <c r="AA430">
        <v>1</v>
      </c>
      <c r="AB430">
        <v>69.535077296650186</v>
      </c>
      <c r="AC430">
        <v>0.99760000000000004</v>
      </c>
      <c r="AD430" s="63">
        <v>69.367999999999995</v>
      </c>
      <c r="AE430">
        <v>8.9176000000000002</v>
      </c>
      <c r="AF430">
        <v>9.2462919077962926</v>
      </c>
      <c r="AG430">
        <v>1</v>
      </c>
      <c r="AH430">
        <v>5579.6748517596734</v>
      </c>
      <c r="AI430">
        <v>0.96062216971844849</v>
      </c>
      <c r="AJ430" s="63">
        <v>5359.9593999999997</v>
      </c>
      <c r="AK430" s="61">
        <v>2.3375592977871191</v>
      </c>
      <c r="AL430" t="s">
        <v>346</v>
      </c>
      <c r="AM430" t="s">
        <v>436</v>
      </c>
      <c r="AN430" t="s">
        <v>425</v>
      </c>
      <c r="AO430" t="s">
        <v>28</v>
      </c>
      <c r="AP430">
        <v>111.133</v>
      </c>
      <c r="AQ430">
        <v>1.0368587857491129</v>
      </c>
      <c r="AR430">
        <v>115.2292274366562</v>
      </c>
      <c r="AS430">
        <v>603.45000000000005</v>
      </c>
      <c r="AT430">
        <v>1</v>
      </c>
      <c r="AU430">
        <v>69.535077296650186</v>
      </c>
      <c r="AV430">
        <v>0.99760000000000004</v>
      </c>
      <c r="AW430" s="63">
        <v>69.367999999999995</v>
      </c>
      <c r="AX430">
        <v>8.9176000000000002</v>
      </c>
      <c r="AY430">
        <v>1</v>
      </c>
      <c r="AZ430">
        <v>5579.6748517596734</v>
      </c>
      <c r="BA430">
        <v>0.96062216971844849</v>
      </c>
      <c r="BB430" s="63">
        <v>5359.9593999999997</v>
      </c>
      <c r="BC430" s="61">
        <v>2.3375592977871191</v>
      </c>
    </row>
    <row r="431" spans="1:55" x14ac:dyDescent="0.25">
      <c r="A431">
        <v>98997</v>
      </c>
      <c r="B431" t="s">
        <v>115</v>
      </c>
      <c r="C431">
        <v>2018</v>
      </c>
      <c r="D431">
        <v>11</v>
      </c>
      <c r="E431" t="s">
        <v>100</v>
      </c>
      <c r="F431" t="s">
        <v>426</v>
      </c>
      <c r="G431" t="s">
        <v>84</v>
      </c>
      <c r="H431" t="s">
        <v>59</v>
      </c>
      <c r="I431" t="s">
        <v>427</v>
      </c>
      <c r="J431">
        <v>-5.0607741099999997</v>
      </c>
      <c r="K431" t="s">
        <v>440</v>
      </c>
      <c r="L431" t="s">
        <v>450</v>
      </c>
      <c r="M431">
        <v>0.15931709696460999</v>
      </c>
      <c r="N431">
        <v>0.80626783946325076</v>
      </c>
      <c r="O431">
        <v>30169.468000000001</v>
      </c>
      <c r="P431">
        <v>4.8744250000000003E-6</v>
      </c>
      <c r="Q431">
        <v>0.29411799999999999</v>
      </c>
      <c r="R431" s="61">
        <v>0.23713788440725239</v>
      </c>
      <c r="S431" t="s">
        <v>346</v>
      </c>
      <c r="T431" t="s">
        <v>436</v>
      </c>
      <c r="U431" t="s">
        <v>425</v>
      </c>
      <c r="V431" t="s">
        <v>26</v>
      </c>
      <c r="W431">
        <v>111.133</v>
      </c>
      <c r="X431">
        <v>1.0368587857491129</v>
      </c>
      <c r="Y431">
        <v>115.2292274366562</v>
      </c>
      <c r="Z431">
        <v>603.45000000000005</v>
      </c>
      <c r="AA431">
        <v>1</v>
      </c>
      <c r="AB431">
        <v>69.535077296650186</v>
      </c>
      <c r="AC431">
        <v>0.96209999999999996</v>
      </c>
      <c r="AD431" s="63">
        <v>66.900000000000006</v>
      </c>
      <c r="AE431">
        <v>8.9176000000000002</v>
      </c>
      <c r="AF431">
        <v>9.2462919077962926</v>
      </c>
      <c r="AG431">
        <v>1</v>
      </c>
      <c r="AH431">
        <v>5579.6748517596734</v>
      </c>
      <c r="AI431">
        <v>0.95992461065370505</v>
      </c>
      <c r="AJ431" s="63">
        <v>5356.0672000000004</v>
      </c>
      <c r="AK431" s="61">
        <v>1270.126444551076</v>
      </c>
      <c r="AL431" t="s">
        <v>346</v>
      </c>
      <c r="AM431" t="s">
        <v>436</v>
      </c>
      <c r="AN431" t="s">
        <v>425</v>
      </c>
      <c r="AO431" t="s">
        <v>26</v>
      </c>
      <c r="AP431">
        <v>111.133</v>
      </c>
      <c r="AQ431">
        <v>1.0368587857491129</v>
      </c>
      <c r="AR431">
        <v>115.2292274366562</v>
      </c>
      <c r="AS431">
        <v>603.45000000000005</v>
      </c>
      <c r="AT431">
        <v>1</v>
      </c>
      <c r="AU431">
        <v>69.535077296650186</v>
      </c>
      <c r="AV431">
        <v>0.96209999999999996</v>
      </c>
      <c r="AW431" s="63">
        <v>66.900000000000006</v>
      </c>
      <c r="AX431">
        <v>8.9176000000000002</v>
      </c>
      <c r="AY431">
        <v>1</v>
      </c>
      <c r="AZ431">
        <v>5579.6748517596734</v>
      </c>
      <c r="BA431">
        <v>0.95992461065370505</v>
      </c>
      <c r="BB431" s="63">
        <v>5356.0672000000004</v>
      </c>
      <c r="BC431" s="61">
        <v>1270.126444551076</v>
      </c>
    </row>
    <row r="432" spans="1:55" x14ac:dyDescent="0.25">
      <c r="A432">
        <v>98999</v>
      </c>
      <c r="B432" t="s">
        <v>115</v>
      </c>
      <c r="C432">
        <v>2018</v>
      </c>
      <c r="D432">
        <v>11</v>
      </c>
      <c r="E432" t="s">
        <v>100</v>
      </c>
      <c r="F432" t="s">
        <v>426</v>
      </c>
      <c r="G432" t="s">
        <v>84</v>
      </c>
      <c r="H432" t="s">
        <v>59</v>
      </c>
      <c r="I432" t="s">
        <v>427</v>
      </c>
      <c r="J432">
        <v>-5.0607741099999997</v>
      </c>
      <c r="K432" t="s">
        <v>440</v>
      </c>
      <c r="L432" t="s">
        <v>384</v>
      </c>
      <c r="M432">
        <v>4.1785183859599999E-2</v>
      </c>
      <c r="N432">
        <v>0.21146537662268691</v>
      </c>
      <c r="O432">
        <v>30169.468000000001</v>
      </c>
      <c r="P432">
        <v>4.8744250000000003E-6</v>
      </c>
      <c r="Q432">
        <v>0.29411799999999999</v>
      </c>
      <c r="R432" s="61">
        <v>6.2195773641511437E-2</v>
      </c>
      <c r="S432" t="s">
        <v>346</v>
      </c>
      <c r="T432" t="s">
        <v>436</v>
      </c>
      <c r="U432" t="s">
        <v>425</v>
      </c>
      <c r="V432" t="s">
        <v>81</v>
      </c>
      <c r="W432">
        <v>111.133</v>
      </c>
      <c r="X432">
        <v>1.0368587857491129</v>
      </c>
      <c r="Y432">
        <v>115.2292274366562</v>
      </c>
      <c r="Z432">
        <v>603.45000000000005</v>
      </c>
      <c r="AA432">
        <v>1</v>
      </c>
      <c r="AB432">
        <v>69.535077296650186</v>
      </c>
      <c r="AC432">
        <v>0.90990000000000004</v>
      </c>
      <c r="AD432" s="63">
        <v>63.27</v>
      </c>
      <c r="AE432">
        <v>8.9176000000000002</v>
      </c>
      <c r="AF432">
        <v>9.2462919077962926</v>
      </c>
      <c r="AG432">
        <v>1</v>
      </c>
      <c r="AH432">
        <v>5579.6748517596734</v>
      </c>
      <c r="AI432">
        <v>1.053620848708487</v>
      </c>
      <c r="AJ432" s="63">
        <v>5878.8617999999997</v>
      </c>
      <c r="AK432" s="61">
        <v>365.64035778252838</v>
      </c>
      <c r="AL432" t="s">
        <v>346</v>
      </c>
      <c r="AM432" t="s">
        <v>436</v>
      </c>
      <c r="AN432" t="s">
        <v>425</v>
      </c>
      <c r="AO432" t="s">
        <v>81</v>
      </c>
      <c r="AP432">
        <v>111.133</v>
      </c>
      <c r="AQ432">
        <v>1.0368587857491129</v>
      </c>
      <c r="AR432">
        <v>115.2292274366562</v>
      </c>
      <c r="AS432">
        <v>603.45000000000005</v>
      </c>
      <c r="AT432">
        <v>1</v>
      </c>
      <c r="AU432">
        <v>69.535077296650186</v>
      </c>
      <c r="AV432">
        <v>0.90990000000000004</v>
      </c>
      <c r="AW432" s="63">
        <v>63.27</v>
      </c>
      <c r="AX432">
        <v>8.9176000000000002</v>
      </c>
      <c r="AY432">
        <v>1</v>
      </c>
      <c r="AZ432">
        <v>5579.6748517596734</v>
      </c>
      <c r="BA432">
        <v>1.053620848708487</v>
      </c>
      <c r="BB432" s="63">
        <v>5878.8617999999997</v>
      </c>
      <c r="BC432" s="61">
        <v>365.64035778252838</v>
      </c>
    </row>
    <row r="433" spans="1:55" x14ac:dyDescent="0.25">
      <c r="A433">
        <v>99001</v>
      </c>
      <c r="B433" t="s">
        <v>115</v>
      </c>
      <c r="C433">
        <v>2018</v>
      </c>
      <c r="D433">
        <v>11</v>
      </c>
      <c r="E433" t="s">
        <v>100</v>
      </c>
      <c r="F433" t="s">
        <v>426</v>
      </c>
      <c r="G433" t="s">
        <v>84</v>
      </c>
      <c r="H433" t="s">
        <v>59</v>
      </c>
      <c r="I433" t="s">
        <v>427</v>
      </c>
      <c r="J433">
        <v>-5.0607741099999997</v>
      </c>
      <c r="K433" t="s">
        <v>440</v>
      </c>
      <c r="L433" t="s">
        <v>385</v>
      </c>
      <c r="M433">
        <v>0.43497567483749999</v>
      </c>
      <c r="N433">
        <v>2.2013136333271568</v>
      </c>
      <c r="O433">
        <v>30169.468000000001</v>
      </c>
      <c r="P433">
        <v>4.8744250000000003E-6</v>
      </c>
      <c r="Q433">
        <v>0.29411799999999999</v>
      </c>
      <c r="R433" s="61">
        <v>0.64744596320691683</v>
      </c>
      <c r="S433" t="s">
        <v>346</v>
      </c>
      <c r="T433" t="s">
        <v>436</v>
      </c>
      <c r="U433" t="s">
        <v>425</v>
      </c>
      <c r="V433" t="s">
        <v>27</v>
      </c>
      <c r="W433">
        <v>111.133</v>
      </c>
      <c r="X433">
        <v>1.0368587857491129</v>
      </c>
      <c r="Y433">
        <v>115.2292274366562</v>
      </c>
      <c r="Z433">
        <v>603.45000000000005</v>
      </c>
      <c r="AA433">
        <v>1</v>
      </c>
      <c r="AB433">
        <v>69.535077296650186</v>
      </c>
      <c r="AC433">
        <v>0.93979999999999997</v>
      </c>
      <c r="AD433" s="63">
        <v>65.349000000000004</v>
      </c>
      <c r="AE433">
        <v>8.9176000000000002</v>
      </c>
      <c r="AF433">
        <v>9.2462919077962926</v>
      </c>
      <c r="AG433">
        <v>1</v>
      </c>
      <c r="AH433">
        <v>5579.6748517596734</v>
      </c>
      <c r="AI433">
        <v>0.95477850697292876</v>
      </c>
      <c r="AJ433" s="63">
        <v>5327.3536000000004</v>
      </c>
      <c r="AK433" s="61">
        <v>3449.1735828958358</v>
      </c>
      <c r="AL433" t="s">
        <v>346</v>
      </c>
      <c r="AM433" t="s">
        <v>436</v>
      </c>
      <c r="AN433" t="s">
        <v>425</v>
      </c>
      <c r="AO433" t="s">
        <v>27</v>
      </c>
      <c r="AP433">
        <v>111.133</v>
      </c>
      <c r="AQ433">
        <v>1.0368587857491129</v>
      </c>
      <c r="AR433">
        <v>115.2292274366562</v>
      </c>
      <c r="AS433">
        <v>603.45000000000005</v>
      </c>
      <c r="AT433">
        <v>1</v>
      </c>
      <c r="AU433">
        <v>69.535077296650186</v>
      </c>
      <c r="AV433">
        <v>0.93979999999999997</v>
      </c>
      <c r="AW433" s="63">
        <v>65.349000000000004</v>
      </c>
      <c r="AX433">
        <v>8.9176000000000002</v>
      </c>
      <c r="AY433">
        <v>1</v>
      </c>
      <c r="AZ433">
        <v>5579.6748517596734</v>
      </c>
      <c r="BA433">
        <v>0.95477850697292876</v>
      </c>
      <c r="BB433" s="63">
        <v>5327.3536000000004</v>
      </c>
      <c r="BC433" s="61">
        <v>3449.1735828958358</v>
      </c>
    </row>
    <row r="434" spans="1:55" x14ac:dyDescent="0.25">
      <c r="A434">
        <v>99003</v>
      </c>
      <c r="B434" t="s">
        <v>115</v>
      </c>
      <c r="C434">
        <v>2018</v>
      </c>
      <c r="D434">
        <v>11</v>
      </c>
      <c r="E434" t="s">
        <v>100</v>
      </c>
      <c r="F434" t="s">
        <v>426</v>
      </c>
      <c r="G434" t="s">
        <v>84</v>
      </c>
      <c r="H434" t="s">
        <v>59</v>
      </c>
      <c r="I434" t="s">
        <v>427</v>
      </c>
      <c r="J434">
        <v>-5.0607741099999997</v>
      </c>
      <c r="K434" t="s">
        <v>440</v>
      </c>
      <c r="L434" t="s">
        <v>451</v>
      </c>
      <c r="M434">
        <v>1.7625750762999999E-3</v>
      </c>
      <c r="N434">
        <v>8.9199943115700498E-3</v>
      </c>
      <c r="O434">
        <v>30169.468000000001</v>
      </c>
      <c r="P434">
        <v>4.8744250000000003E-6</v>
      </c>
      <c r="Q434">
        <v>0.29411799999999999</v>
      </c>
      <c r="R434" s="61">
        <v>2.6235308869303601E-3</v>
      </c>
      <c r="S434" t="s">
        <v>346</v>
      </c>
      <c r="T434" t="s">
        <v>436</v>
      </c>
      <c r="U434" t="s">
        <v>425</v>
      </c>
      <c r="V434" t="s">
        <v>91</v>
      </c>
      <c r="W434">
        <v>111.133</v>
      </c>
      <c r="X434">
        <v>1.0368587857491129</v>
      </c>
      <c r="Y434">
        <v>115.2292274366562</v>
      </c>
      <c r="Z434">
        <v>603.45000000000005</v>
      </c>
      <c r="AA434">
        <v>1</v>
      </c>
      <c r="AB434">
        <v>69.535077296650186</v>
      </c>
      <c r="AC434">
        <v>0.99250000000000005</v>
      </c>
      <c r="AD434" s="63">
        <v>69.013999999999996</v>
      </c>
      <c r="AE434">
        <v>8.9176000000000002</v>
      </c>
      <c r="AF434">
        <v>9.2462919077962926</v>
      </c>
      <c r="AG434">
        <v>1</v>
      </c>
      <c r="AH434">
        <v>5579.6748517596734</v>
      </c>
      <c r="AI434">
        <v>0.96573604060913698</v>
      </c>
      <c r="AJ434" s="63">
        <v>5388.4930999999997</v>
      </c>
      <c r="AK434" s="61">
        <v>14.13687808186112</v>
      </c>
      <c r="AL434" t="s">
        <v>346</v>
      </c>
      <c r="AM434" t="s">
        <v>436</v>
      </c>
      <c r="AN434" t="s">
        <v>425</v>
      </c>
      <c r="AO434" t="s">
        <v>91</v>
      </c>
      <c r="AP434">
        <v>111.133</v>
      </c>
      <c r="AQ434">
        <v>1.0368587857491129</v>
      </c>
      <c r="AR434">
        <v>115.2292274366562</v>
      </c>
      <c r="AS434">
        <v>603.45000000000005</v>
      </c>
      <c r="AT434">
        <v>1</v>
      </c>
      <c r="AU434">
        <v>69.535077296650186</v>
      </c>
      <c r="AV434">
        <v>0.99250000000000005</v>
      </c>
      <c r="AW434" s="63">
        <v>69.013999999999996</v>
      </c>
      <c r="AX434">
        <v>8.9176000000000002</v>
      </c>
      <c r="AY434">
        <v>1</v>
      </c>
      <c r="AZ434">
        <v>5579.6748517596734</v>
      </c>
      <c r="BA434">
        <v>0.96573604060913698</v>
      </c>
      <c r="BB434" s="63">
        <v>5388.4930999999997</v>
      </c>
      <c r="BC434" s="61">
        <v>14.13687808186112</v>
      </c>
    </row>
    <row r="435" spans="1:55" x14ac:dyDescent="0.25">
      <c r="A435">
        <v>99005</v>
      </c>
      <c r="B435" t="s">
        <v>115</v>
      </c>
      <c r="C435">
        <v>2018</v>
      </c>
      <c r="D435">
        <v>11</v>
      </c>
      <c r="E435" t="s">
        <v>100</v>
      </c>
      <c r="F435" t="s">
        <v>426</v>
      </c>
      <c r="G435" t="s">
        <v>84</v>
      </c>
      <c r="H435" t="s">
        <v>59</v>
      </c>
      <c r="I435" t="s">
        <v>427</v>
      </c>
      <c r="J435">
        <v>-5.0607741099999997</v>
      </c>
      <c r="K435" t="s">
        <v>440</v>
      </c>
      <c r="L435" t="s">
        <v>452</v>
      </c>
      <c r="M435">
        <v>1.4858046103299999E-3</v>
      </c>
      <c r="N435">
        <v>7.5193215032120187E-3</v>
      </c>
      <c r="O435">
        <v>30169.468000000001</v>
      </c>
      <c r="P435">
        <v>4.8744250000000003E-6</v>
      </c>
      <c r="Q435">
        <v>0.29411799999999999</v>
      </c>
      <c r="R435" s="61">
        <v>2.2115678018817119E-3</v>
      </c>
      <c r="S435" t="s">
        <v>346</v>
      </c>
      <c r="T435" t="s">
        <v>436</v>
      </c>
      <c r="U435" t="s">
        <v>425</v>
      </c>
      <c r="V435" t="s">
        <v>28</v>
      </c>
      <c r="W435">
        <v>111.133</v>
      </c>
      <c r="X435">
        <v>1.0368587857491129</v>
      </c>
      <c r="Y435">
        <v>115.2292274366562</v>
      </c>
      <c r="Z435">
        <v>603.45000000000005</v>
      </c>
      <c r="AA435">
        <v>1</v>
      </c>
      <c r="AB435">
        <v>69.535077296650186</v>
      </c>
      <c r="AC435">
        <v>0.99760000000000004</v>
      </c>
      <c r="AD435" s="63">
        <v>69.367999999999995</v>
      </c>
      <c r="AE435">
        <v>8.9176000000000002</v>
      </c>
      <c r="AF435">
        <v>9.2462919077962926</v>
      </c>
      <c r="AG435">
        <v>1</v>
      </c>
      <c r="AH435">
        <v>5579.6748517596734</v>
      </c>
      <c r="AI435">
        <v>0.96062216971844849</v>
      </c>
      <c r="AJ435" s="63">
        <v>5359.9593999999997</v>
      </c>
      <c r="AK435" s="61">
        <v>11.85391362843322</v>
      </c>
      <c r="AL435" t="s">
        <v>346</v>
      </c>
      <c r="AM435" t="s">
        <v>436</v>
      </c>
      <c r="AN435" t="s">
        <v>425</v>
      </c>
      <c r="AO435" t="s">
        <v>28</v>
      </c>
      <c r="AP435">
        <v>111.133</v>
      </c>
      <c r="AQ435">
        <v>1.0368587857491129</v>
      </c>
      <c r="AR435">
        <v>115.2292274366562</v>
      </c>
      <c r="AS435">
        <v>603.45000000000005</v>
      </c>
      <c r="AT435">
        <v>1</v>
      </c>
      <c r="AU435">
        <v>69.535077296650186</v>
      </c>
      <c r="AV435">
        <v>0.99760000000000004</v>
      </c>
      <c r="AW435" s="63">
        <v>69.367999999999995</v>
      </c>
      <c r="AX435">
        <v>8.9176000000000002</v>
      </c>
      <c r="AY435">
        <v>1</v>
      </c>
      <c r="AZ435">
        <v>5579.6748517596734</v>
      </c>
      <c r="BA435">
        <v>0.96062216971844849</v>
      </c>
      <c r="BB435" s="63">
        <v>5359.9593999999997</v>
      </c>
      <c r="BC435" s="61">
        <v>11.85391362843322</v>
      </c>
    </row>
    <row r="436" spans="1:55" x14ac:dyDescent="0.25">
      <c r="A436">
        <v>103803</v>
      </c>
      <c r="B436" t="s">
        <v>116</v>
      </c>
      <c r="C436">
        <v>2018</v>
      </c>
      <c r="D436">
        <v>12</v>
      </c>
      <c r="E436" t="s">
        <v>100</v>
      </c>
      <c r="F436" t="s">
        <v>426</v>
      </c>
      <c r="G436" t="s">
        <v>84</v>
      </c>
      <c r="H436" t="s">
        <v>381</v>
      </c>
      <c r="I436" t="s">
        <v>427</v>
      </c>
      <c r="J436">
        <v>-9.5779341900000006</v>
      </c>
      <c r="K436" t="s">
        <v>440</v>
      </c>
      <c r="L436" t="s">
        <v>450</v>
      </c>
      <c r="M436">
        <v>0.15011157993331001</v>
      </c>
      <c r="N436">
        <v>1.4377588340870111</v>
      </c>
      <c r="O436">
        <v>30169.468000000001</v>
      </c>
      <c r="P436">
        <v>4.8744250000000003E-6</v>
      </c>
      <c r="Q436">
        <v>0.29411799999999999</v>
      </c>
      <c r="R436" s="61">
        <v>0.42287075276400338</v>
      </c>
      <c r="S436" t="s">
        <v>346</v>
      </c>
      <c r="T436" t="s">
        <v>436</v>
      </c>
      <c r="U436" t="s">
        <v>425</v>
      </c>
      <c r="V436" t="s">
        <v>26</v>
      </c>
      <c r="W436">
        <v>111.133</v>
      </c>
      <c r="X436">
        <v>1.0368587857491129</v>
      </c>
      <c r="Y436">
        <v>115.2292274366562</v>
      </c>
      <c r="Z436">
        <v>603.45000000000005</v>
      </c>
      <c r="AA436">
        <v>1</v>
      </c>
      <c r="AB436">
        <v>69.535077296650186</v>
      </c>
      <c r="AC436">
        <v>0.96209999999999996</v>
      </c>
      <c r="AD436" s="63">
        <v>66.900000000000006</v>
      </c>
      <c r="AE436">
        <v>8.9176000000000002</v>
      </c>
      <c r="AF436">
        <v>9.2462919077962926</v>
      </c>
      <c r="AG436">
        <v>1</v>
      </c>
      <c r="AH436">
        <v>5579.6748517596734</v>
      </c>
      <c r="AI436">
        <v>0.95992461065370505</v>
      </c>
      <c r="AJ436" s="63">
        <v>5356.0672000000004</v>
      </c>
      <c r="AK436" s="61">
        <v>2264.9241687185881</v>
      </c>
      <c r="AL436" t="s">
        <v>346</v>
      </c>
      <c r="AM436" t="s">
        <v>436</v>
      </c>
      <c r="AN436" t="s">
        <v>425</v>
      </c>
      <c r="AO436" t="s">
        <v>26</v>
      </c>
      <c r="AP436">
        <v>111.133</v>
      </c>
      <c r="AQ436">
        <v>1.0368587857491129</v>
      </c>
      <c r="AR436">
        <v>115.2292274366562</v>
      </c>
      <c r="AS436">
        <v>603.45000000000005</v>
      </c>
      <c r="AT436">
        <v>1</v>
      </c>
      <c r="AU436">
        <v>69.535077296650186</v>
      </c>
      <c r="AV436">
        <v>0.96209999999999996</v>
      </c>
      <c r="AW436" s="63">
        <v>66.900000000000006</v>
      </c>
      <c r="AX436">
        <v>8.9176000000000002</v>
      </c>
      <c r="AY436">
        <v>1</v>
      </c>
      <c r="AZ436">
        <v>5579.6748517596734</v>
      </c>
      <c r="BA436">
        <v>0.95992461065370505</v>
      </c>
      <c r="BB436" s="63">
        <v>5356.0672000000004</v>
      </c>
      <c r="BC436" s="61">
        <v>2264.9241687185881</v>
      </c>
    </row>
    <row r="437" spans="1:55" x14ac:dyDescent="0.25">
      <c r="A437">
        <v>103805</v>
      </c>
      <c r="B437" t="s">
        <v>116</v>
      </c>
      <c r="C437">
        <v>2018</v>
      </c>
      <c r="D437">
        <v>12</v>
      </c>
      <c r="E437" t="s">
        <v>100</v>
      </c>
      <c r="F437" t="s">
        <v>426</v>
      </c>
      <c r="G437" t="s">
        <v>84</v>
      </c>
      <c r="H437" t="s">
        <v>381</v>
      </c>
      <c r="I437" t="s">
        <v>427</v>
      </c>
      <c r="J437">
        <v>-9.5779341900000006</v>
      </c>
      <c r="K437" t="s">
        <v>440</v>
      </c>
      <c r="L437" t="s">
        <v>384</v>
      </c>
      <c r="M437">
        <v>4.5811354346740003E-2</v>
      </c>
      <c r="N437">
        <v>0.43877813718820319</v>
      </c>
      <c r="O437">
        <v>30169.468000000001</v>
      </c>
      <c r="P437">
        <v>4.8744250000000003E-6</v>
      </c>
      <c r="Q437">
        <v>0.29411799999999999</v>
      </c>
      <c r="R437" s="61">
        <v>0.12905254815351991</v>
      </c>
      <c r="S437" t="s">
        <v>346</v>
      </c>
      <c r="T437" t="s">
        <v>436</v>
      </c>
      <c r="U437" t="s">
        <v>425</v>
      </c>
      <c r="V437" t="s">
        <v>81</v>
      </c>
      <c r="W437">
        <v>111.133</v>
      </c>
      <c r="X437">
        <v>1.0368587857491129</v>
      </c>
      <c r="Y437">
        <v>115.2292274366562</v>
      </c>
      <c r="Z437">
        <v>603.45000000000005</v>
      </c>
      <c r="AA437">
        <v>1</v>
      </c>
      <c r="AB437">
        <v>69.535077296650186</v>
      </c>
      <c r="AC437">
        <v>0.90990000000000004</v>
      </c>
      <c r="AD437" s="63">
        <v>63.27</v>
      </c>
      <c r="AE437">
        <v>8.9176000000000002</v>
      </c>
      <c r="AF437">
        <v>9.2462919077962926</v>
      </c>
      <c r="AG437">
        <v>1</v>
      </c>
      <c r="AH437">
        <v>5579.6748517596734</v>
      </c>
      <c r="AI437">
        <v>1.053620848708487</v>
      </c>
      <c r="AJ437" s="63">
        <v>5878.8617999999997</v>
      </c>
      <c r="AK437" s="61">
        <v>758.68209553238887</v>
      </c>
      <c r="AL437" t="s">
        <v>346</v>
      </c>
      <c r="AM437" t="s">
        <v>436</v>
      </c>
      <c r="AN437" t="s">
        <v>425</v>
      </c>
      <c r="AO437" t="s">
        <v>81</v>
      </c>
      <c r="AP437">
        <v>111.133</v>
      </c>
      <c r="AQ437">
        <v>1.0368587857491129</v>
      </c>
      <c r="AR437">
        <v>115.2292274366562</v>
      </c>
      <c r="AS437">
        <v>603.45000000000005</v>
      </c>
      <c r="AT437">
        <v>1</v>
      </c>
      <c r="AU437">
        <v>69.535077296650186</v>
      </c>
      <c r="AV437">
        <v>0.90990000000000004</v>
      </c>
      <c r="AW437" s="63">
        <v>63.27</v>
      </c>
      <c r="AX437">
        <v>8.9176000000000002</v>
      </c>
      <c r="AY437">
        <v>1</v>
      </c>
      <c r="AZ437">
        <v>5579.6748517596734</v>
      </c>
      <c r="BA437">
        <v>1.053620848708487</v>
      </c>
      <c r="BB437" s="63">
        <v>5878.8617999999997</v>
      </c>
      <c r="BC437" s="61">
        <v>758.68209553238887</v>
      </c>
    </row>
    <row r="438" spans="1:55" x14ac:dyDescent="0.25">
      <c r="A438">
        <v>103807</v>
      </c>
      <c r="B438" t="s">
        <v>116</v>
      </c>
      <c r="C438">
        <v>2018</v>
      </c>
      <c r="D438">
        <v>12</v>
      </c>
      <c r="E438" t="s">
        <v>100</v>
      </c>
      <c r="F438" t="s">
        <v>426</v>
      </c>
      <c r="G438" t="s">
        <v>84</v>
      </c>
      <c r="H438" t="s">
        <v>381</v>
      </c>
      <c r="I438" t="s">
        <v>427</v>
      </c>
      <c r="J438">
        <v>-9.5779341900000006</v>
      </c>
      <c r="K438" t="s">
        <v>440</v>
      </c>
      <c r="L438" t="s">
        <v>385</v>
      </c>
      <c r="M438">
        <v>0.43232641346992001</v>
      </c>
      <c r="N438">
        <v>4.1407939377607024</v>
      </c>
      <c r="O438">
        <v>30169.468000000001</v>
      </c>
      <c r="P438">
        <v>4.8744250000000003E-6</v>
      </c>
      <c r="Q438">
        <v>0.29411799999999999</v>
      </c>
      <c r="R438" s="61">
        <v>1.2178820313863019</v>
      </c>
      <c r="S438" t="s">
        <v>346</v>
      </c>
      <c r="T438" t="s">
        <v>436</v>
      </c>
      <c r="U438" t="s">
        <v>425</v>
      </c>
      <c r="V438" t="s">
        <v>27</v>
      </c>
      <c r="W438">
        <v>111.133</v>
      </c>
      <c r="X438">
        <v>1.0368587857491129</v>
      </c>
      <c r="Y438">
        <v>115.2292274366562</v>
      </c>
      <c r="Z438">
        <v>603.45000000000005</v>
      </c>
      <c r="AA438">
        <v>1</v>
      </c>
      <c r="AB438">
        <v>69.535077296650186</v>
      </c>
      <c r="AC438">
        <v>0.93979999999999997</v>
      </c>
      <c r="AD438" s="63">
        <v>65.349000000000004</v>
      </c>
      <c r="AE438">
        <v>8.9176000000000002</v>
      </c>
      <c r="AF438">
        <v>9.2462919077962926</v>
      </c>
      <c r="AG438">
        <v>1</v>
      </c>
      <c r="AH438">
        <v>5579.6748517596734</v>
      </c>
      <c r="AI438">
        <v>0.95477850697292876</v>
      </c>
      <c r="AJ438" s="63">
        <v>5327.3536000000004</v>
      </c>
      <c r="AK438" s="61">
        <v>6488.0882242811304</v>
      </c>
      <c r="AL438" t="s">
        <v>346</v>
      </c>
      <c r="AM438" t="s">
        <v>436</v>
      </c>
      <c r="AN438" t="s">
        <v>425</v>
      </c>
      <c r="AO438" t="s">
        <v>27</v>
      </c>
      <c r="AP438">
        <v>111.133</v>
      </c>
      <c r="AQ438">
        <v>1.0368587857491129</v>
      </c>
      <c r="AR438">
        <v>115.2292274366562</v>
      </c>
      <c r="AS438">
        <v>603.45000000000005</v>
      </c>
      <c r="AT438">
        <v>1</v>
      </c>
      <c r="AU438">
        <v>69.535077296650186</v>
      </c>
      <c r="AV438">
        <v>0.93979999999999997</v>
      </c>
      <c r="AW438" s="63">
        <v>65.349000000000004</v>
      </c>
      <c r="AX438">
        <v>8.9176000000000002</v>
      </c>
      <c r="AY438">
        <v>1</v>
      </c>
      <c r="AZ438">
        <v>5579.6748517596734</v>
      </c>
      <c r="BA438">
        <v>0.95477850697292876</v>
      </c>
      <c r="BB438" s="63">
        <v>5327.3536000000004</v>
      </c>
      <c r="BC438" s="61">
        <v>6488.0882242811304</v>
      </c>
    </row>
    <row r="439" spans="1:55" x14ac:dyDescent="0.25">
      <c r="A439">
        <v>103809</v>
      </c>
      <c r="B439" t="s">
        <v>116</v>
      </c>
      <c r="C439">
        <v>2018</v>
      </c>
      <c r="D439">
        <v>12</v>
      </c>
      <c r="E439" t="s">
        <v>100</v>
      </c>
      <c r="F439" t="s">
        <v>426</v>
      </c>
      <c r="G439" t="s">
        <v>84</v>
      </c>
      <c r="H439" t="s">
        <v>381</v>
      </c>
      <c r="I439" t="s">
        <v>427</v>
      </c>
      <c r="J439">
        <v>-9.5779341900000006</v>
      </c>
      <c r="K439" t="s">
        <v>440</v>
      </c>
      <c r="L439" t="s">
        <v>451</v>
      </c>
      <c r="M439">
        <v>1.6825115802299999E-3</v>
      </c>
      <c r="N439">
        <v>1.611498519304165E-2</v>
      </c>
      <c r="O439">
        <v>30169.468000000001</v>
      </c>
      <c r="P439">
        <v>4.8744250000000003E-6</v>
      </c>
      <c r="Q439">
        <v>0.29411799999999999</v>
      </c>
      <c r="R439" s="61">
        <v>4.7397072150070236E-3</v>
      </c>
      <c r="S439" t="s">
        <v>346</v>
      </c>
      <c r="T439" t="s">
        <v>436</v>
      </c>
      <c r="U439" t="s">
        <v>425</v>
      </c>
      <c r="V439" t="s">
        <v>91</v>
      </c>
      <c r="W439">
        <v>111.133</v>
      </c>
      <c r="X439">
        <v>1.0368587857491129</v>
      </c>
      <c r="Y439">
        <v>115.2292274366562</v>
      </c>
      <c r="Z439">
        <v>603.45000000000005</v>
      </c>
      <c r="AA439">
        <v>1</v>
      </c>
      <c r="AB439">
        <v>69.535077296650186</v>
      </c>
      <c r="AC439">
        <v>0.99250000000000005</v>
      </c>
      <c r="AD439" s="63">
        <v>69.013999999999996</v>
      </c>
      <c r="AE439">
        <v>8.9176000000000002</v>
      </c>
      <c r="AF439">
        <v>9.2462919077962926</v>
      </c>
      <c r="AG439">
        <v>1</v>
      </c>
      <c r="AH439">
        <v>5579.6748517596734</v>
      </c>
      <c r="AI439">
        <v>0.96573604060913698</v>
      </c>
      <c r="AJ439" s="63">
        <v>5388.4930999999997</v>
      </c>
      <c r="AK439" s="61">
        <v>25.539879624085561</v>
      </c>
      <c r="AL439" t="s">
        <v>346</v>
      </c>
      <c r="AM439" t="s">
        <v>436</v>
      </c>
      <c r="AN439" t="s">
        <v>425</v>
      </c>
      <c r="AO439" t="s">
        <v>91</v>
      </c>
      <c r="AP439">
        <v>111.133</v>
      </c>
      <c r="AQ439">
        <v>1.0368587857491129</v>
      </c>
      <c r="AR439">
        <v>115.2292274366562</v>
      </c>
      <c r="AS439">
        <v>603.45000000000005</v>
      </c>
      <c r="AT439">
        <v>1</v>
      </c>
      <c r="AU439">
        <v>69.535077296650186</v>
      </c>
      <c r="AV439">
        <v>0.99250000000000005</v>
      </c>
      <c r="AW439" s="63">
        <v>69.013999999999996</v>
      </c>
      <c r="AX439">
        <v>8.9176000000000002</v>
      </c>
      <c r="AY439">
        <v>1</v>
      </c>
      <c r="AZ439">
        <v>5579.6748517596734</v>
      </c>
      <c r="BA439">
        <v>0.96573604060913698</v>
      </c>
      <c r="BB439" s="63">
        <v>5388.4930999999997</v>
      </c>
      <c r="BC439" s="61">
        <v>25.539879624085561</v>
      </c>
    </row>
    <row r="440" spans="1:55" x14ac:dyDescent="0.25">
      <c r="A440">
        <v>103811</v>
      </c>
      <c r="B440" t="s">
        <v>116</v>
      </c>
      <c r="C440">
        <v>2018</v>
      </c>
      <c r="D440">
        <v>12</v>
      </c>
      <c r="E440" t="s">
        <v>100</v>
      </c>
      <c r="F440" t="s">
        <v>426</v>
      </c>
      <c r="G440" t="s">
        <v>84</v>
      </c>
      <c r="H440" t="s">
        <v>381</v>
      </c>
      <c r="I440" t="s">
        <v>427</v>
      </c>
      <c r="J440">
        <v>-9.5779341900000006</v>
      </c>
      <c r="K440" t="s">
        <v>440</v>
      </c>
      <c r="L440" t="s">
        <v>452</v>
      </c>
      <c r="M440">
        <v>1.53682162831E-3</v>
      </c>
      <c r="N440">
        <v>1.4719576421088469E-2</v>
      </c>
      <c r="O440">
        <v>30169.468000000001</v>
      </c>
      <c r="P440">
        <v>4.8744250000000003E-6</v>
      </c>
      <c r="Q440">
        <v>0.29411799999999999</v>
      </c>
      <c r="R440" s="61">
        <v>4.3292923778176983E-3</v>
      </c>
      <c r="S440" t="s">
        <v>346</v>
      </c>
      <c r="T440" t="s">
        <v>436</v>
      </c>
      <c r="U440" t="s">
        <v>425</v>
      </c>
      <c r="V440" t="s">
        <v>28</v>
      </c>
      <c r="W440">
        <v>111.133</v>
      </c>
      <c r="X440">
        <v>1.0368587857491129</v>
      </c>
      <c r="Y440">
        <v>115.2292274366562</v>
      </c>
      <c r="Z440">
        <v>603.45000000000005</v>
      </c>
      <c r="AA440">
        <v>1</v>
      </c>
      <c r="AB440">
        <v>69.535077296650186</v>
      </c>
      <c r="AC440">
        <v>0.99760000000000004</v>
      </c>
      <c r="AD440" s="63">
        <v>69.367999999999995</v>
      </c>
      <c r="AE440">
        <v>8.9176000000000002</v>
      </c>
      <c r="AF440">
        <v>9.2462919077962926</v>
      </c>
      <c r="AG440">
        <v>1</v>
      </c>
      <c r="AH440">
        <v>5579.6748517596734</v>
      </c>
      <c r="AI440">
        <v>0.96062216971844849</v>
      </c>
      <c r="AJ440" s="63">
        <v>5359.9593999999997</v>
      </c>
      <c r="AK440" s="61">
        <v>23.20483137583232</v>
      </c>
      <c r="AL440" t="s">
        <v>346</v>
      </c>
      <c r="AM440" t="s">
        <v>436</v>
      </c>
      <c r="AN440" t="s">
        <v>425</v>
      </c>
      <c r="AO440" t="s">
        <v>28</v>
      </c>
      <c r="AP440">
        <v>111.133</v>
      </c>
      <c r="AQ440">
        <v>1.0368587857491129</v>
      </c>
      <c r="AR440">
        <v>115.2292274366562</v>
      </c>
      <c r="AS440">
        <v>603.45000000000005</v>
      </c>
      <c r="AT440">
        <v>1</v>
      </c>
      <c r="AU440">
        <v>69.535077296650186</v>
      </c>
      <c r="AV440">
        <v>0.99760000000000004</v>
      </c>
      <c r="AW440" s="63">
        <v>69.367999999999995</v>
      </c>
      <c r="AX440">
        <v>8.9176000000000002</v>
      </c>
      <c r="AY440">
        <v>1</v>
      </c>
      <c r="AZ440">
        <v>5579.6748517596734</v>
      </c>
      <c r="BA440">
        <v>0.96062216971844849</v>
      </c>
      <c r="BB440" s="63">
        <v>5359.9593999999997</v>
      </c>
      <c r="BC440" s="61">
        <v>23.20483137583232</v>
      </c>
    </row>
    <row r="441" spans="1:55" x14ac:dyDescent="0.25">
      <c r="A441">
        <v>103813</v>
      </c>
      <c r="B441" t="s">
        <v>116</v>
      </c>
      <c r="C441">
        <v>2018</v>
      </c>
      <c r="D441">
        <v>12</v>
      </c>
      <c r="E441" t="s">
        <v>100</v>
      </c>
      <c r="F441" t="s">
        <v>426</v>
      </c>
      <c r="G441" t="s">
        <v>84</v>
      </c>
      <c r="H441" t="s">
        <v>87</v>
      </c>
      <c r="I441" t="s">
        <v>427</v>
      </c>
      <c r="J441">
        <v>-1.76002901</v>
      </c>
      <c r="K441" t="s">
        <v>440</v>
      </c>
      <c r="L441" t="s">
        <v>450</v>
      </c>
      <c r="M441">
        <v>0.26601384014995</v>
      </c>
      <c r="N441">
        <v>0.46819207513056599</v>
      </c>
      <c r="O441">
        <v>30169.468000000001</v>
      </c>
      <c r="P441">
        <v>4.8744250000000003E-6</v>
      </c>
      <c r="Q441">
        <v>0.29411799999999999</v>
      </c>
      <c r="R441" s="61">
        <v>0.1377037167532518</v>
      </c>
      <c r="S441" t="s">
        <v>346</v>
      </c>
      <c r="T441" t="s">
        <v>436</v>
      </c>
      <c r="U441" t="s">
        <v>425</v>
      </c>
      <c r="V441" t="s">
        <v>26</v>
      </c>
      <c r="W441">
        <v>111.133</v>
      </c>
      <c r="X441">
        <v>1.0368587857491129</v>
      </c>
      <c r="Y441">
        <v>115.2292274366562</v>
      </c>
      <c r="Z441">
        <v>603.45000000000005</v>
      </c>
      <c r="AA441">
        <v>1</v>
      </c>
      <c r="AB441">
        <v>69.535077296650186</v>
      </c>
      <c r="AC441">
        <v>0.96209999999999996</v>
      </c>
      <c r="AD441" s="63">
        <v>66.900000000000006</v>
      </c>
      <c r="AE441">
        <v>8.9176000000000002</v>
      </c>
      <c r="AF441">
        <v>9.2462919077962926</v>
      </c>
      <c r="AG441">
        <v>1</v>
      </c>
      <c r="AH441">
        <v>5579.6748517596734</v>
      </c>
      <c r="AI441">
        <v>0.95992461065370505</v>
      </c>
      <c r="AJ441" s="63">
        <v>5356.0672000000004</v>
      </c>
      <c r="AK441" s="61">
        <v>737.55036062018269</v>
      </c>
      <c r="AL441" t="s">
        <v>346</v>
      </c>
      <c r="AM441" t="s">
        <v>436</v>
      </c>
      <c r="AN441" t="s">
        <v>425</v>
      </c>
      <c r="AO441" t="s">
        <v>26</v>
      </c>
      <c r="AP441">
        <v>111.133</v>
      </c>
      <c r="AQ441">
        <v>1.0368587857491129</v>
      </c>
      <c r="AR441">
        <v>115.2292274366562</v>
      </c>
      <c r="AS441">
        <v>603.45000000000005</v>
      </c>
      <c r="AT441">
        <v>1</v>
      </c>
      <c r="AU441">
        <v>69.535077296650186</v>
      </c>
      <c r="AV441">
        <v>0.96209999999999996</v>
      </c>
      <c r="AW441" s="63">
        <v>66.900000000000006</v>
      </c>
      <c r="AX441">
        <v>8.9176000000000002</v>
      </c>
      <c r="AY441">
        <v>1</v>
      </c>
      <c r="AZ441">
        <v>5579.6748517596734</v>
      </c>
      <c r="BA441">
        <v>0.95992461065370505</v>
      </c>
      <c r="BB441" s="63">
        <v>5356.0672000000004</v>
      </c>
      <c r="BC441" s="61">
        <v>737.55036062018269</v>
      </c>
    </row>
    <row r="442" spans="1:55" x14ac:dyDescent="0.25">
      <c r="A442">
        <v>103815</v>
      </c>
      <c r="B442" t="s">
        <v>116</v>
      </c>
      <c r="C442">
        <v>2018</v>
      </c>
      <c r="D442">
        <v>12</v>
      </c>
      <c r="E442" t="s">
        <v>100</v>
      </c>
      <c r="F442" t="s">
        <v>426</v>
      </c>
      <c r="G442" t="s">
        <v>84</v>
      </c>
      <c r="H442" t="s">
        <v>87</v>
      </c>
      <c r="I442" t="s">
        <v>427</v>
      </c>
      <c r="J442">
        <v>-1.76002901</v>
      </c>
      <c r="K442" t="s">
        <v>440</v>
      </c>
      <c r="L442" t="s">
        <v>384</v>
      </c>
      <c r="M442">
        <v>3.9509559941419997E-2</v>
      </c>
      <c r="N442">
        <v>6.9537971580883512E-2</v>
      </c>
      <c r="O442">
        <v>30169.468000000001</v>
      </c>
      <c r="P442">
        <v>4.8744250000000003E-6</v>
      </c>
      <c r="Q442">
        <v>0.29411799999999999</v>
      </c>
      <c r="R442" s="61">
        <v>2.0452369125426299E-2</v>
      </c>
      <c r="S442" t="s">
        <v>346</v>
      </c>
      <c r="T442" t="s">
        <v>436</v>
      </c>
      <c r="U442" t="s">
        <v>425</v>
      </c>
      <c r="V442" t="s">
        <v>81</v>
      </c>
      <c r="W442">
        <v>111.133</v>
      </c>
      <c r="X442">
        <v>1.0368587857491129</v>
      </c>
      <c r="Y442">
        <v>115.2292274366562</v>
      </c>
      <c r="Z442">
        <v>603.45000000000005</v>
      </c>
      <c r="AA442">
        <v>1</v>
      </c>
      <c r="AB442">
        <v>69.535077296650186</v>
      </c>
      <c r="AC442">
        <v>0.90990000000000004</v>
      </c>
      <c r="AD442" s="63">
        <v>63.27</v>
      </c>
      <c r="AE442">
        <v>8.9176000000000002</v>
      </c>
      <c r="AF442">
        <v>9.2462919077962926</v>
      </c>
      <c r="AG442">
        <v>1</v>
      </c>
      <c r="AH442">
        <v>5579.6748517596734</v>
      </c>
      <c r="AI442">
        <v>1.053620848708487</v>
      </c>
      <c r="AJ442" s="63">
        <v>5878.8617999999997</v>
      </c>
      <c r="AK442" s="61">
        <v>120.23665157096799</v>
      </c>
      <c r="AL442" t="s">
        <v>346</v>
      </c>
      <c r="AM442" t="s">
        <v>436</v>
      </c>
      <c r="AN442" t="s">
        <v>425</v>
      </c>
      <c r="AO442" t="s">
        <v>81</v>
      </c>
      <c r="AP442">
        <v>111.133</v>
      </c>
      <c r="AQ442">
        <v>1.0368587857491129</v>
      </c>
      <c r="AR442">
        <v>115.2292274366562</v>
      </c>
      <c r="AS442">
        <v>603.45000000000005</v>
      </c>
      <c r="AT442">
        <v>1</v>
      </c>
      <c r="AU442">
        <v>69.535077296650186</v>
      </c>
      <c r="AV442">
        <v>0.90990000000000004</v>
      </c>
      <c r="AW442" s="63">
        <v>63.27</v>
      </c>
      <c r="AX442">
        <v>8.9176000000000002</v>
      </c>
      <c r="AY442">
        <v>1</v>
      </c>
      <c r="AZ442">
        <v>5579.6748517596734</v>
      </c>
      <c r="BA442">
        <v>1.053620848708487</v>
      </c>
      <c r="BB442" s="63">
        <v>5878.8617999999997</v>
      </c>
      <c r="BC442" s="61">
        <v>120.23665157096799</v>
      </c>
    </row>
    <row r="443" spans="1:55" x14ac:dyDescent="0.25">
      <c r="A443">
        <v>103817</v>
      </c>
      <c r="B443" t="s">
        <v>116</v>
      </c>
      <c r="C443">
        <v>2018</v>
      </c>
      <c r="D443">
        <v>12</v>
      </c>
      <c r="E443" t="s">
        <v>100</v>
      </c>
      <c r="F443" t="s">
        <v>426</v>
      </c>
      <c r="G443" t="s">
        <v>84</v>
      </c>
      <c r="H443" t="s">
        <v>87</v>
      </c>
      <c r="I443" t="s">
        <v>427</v>
      </c>
      <c r="J443">
        <v>-1.76002901</v>
      </c>
      <c r="K443" t="s">
        <v>440</v>
      </c>
      <c r="L443" t="s">
        <v>385</v>
      </c>
      <c r="M443">
        <v>0.39737542925016001</v>
      </c>
      <c r="N443">
        <v>0.69939228245289031</v>
      </c>
      <c r="O443">
        <v>30169.468000000001</v>
      </c>
      <c r="P443">
        <v>4.8744250000000003E-6</v>
      </c>
      <c r="Q443">
        <v>0.29411799999999999</v>
      </c>
      <c r="R443" s="61">
        <v>0.20570385933047919</v>
      </c>
      <c r="S443" t="s">
        <v>346</v>
      </c>
      <c r="T443" t="s">
        <v>436</v>
      </c>
      <c r="U443" t="s">
        <v>425</v>
      </c>
      <c r="V443" t="s">
        <v>27</v>
      </c>
      <c r="W443">
        <v>111.133</v>
      </c>
      <c r="X443">
        <v>1.0368587857491129</v>
      </c>
      <c r="Y443">
        <v>115.2292274366562</v>
      </c>
      <c r="Z443">
        <v>603.45000000000005</v>
      </c>
      <c r="AA443">
        <v>1</v>
      </c>
      <c r="AB443">
        <v>69.535077296650186</v>
      </c>
      <c r="AC443">
        <v>0.93979999999999997</v>
      </c>
      <c r="AD443" s="63">
        <v>65.349000000000004</v>
      </c>
      <c r="AE443">
        <v>8.9176000000000002</v>
      </c>
      <c r="AF443">
        <v>9.2462919077962926</v>
      </c>
      <c r="AG443">
        <v>1</v>
      </c>
      <c r="AH443">
        <v>5579.6748517596734</v>
      </c>
      <c r="AI443">
        <v>0.95477850697292876</v>
      </c>
      <c r="AJ443" s="63">
        <v>5327.3536000000004</v>
      </c>
      <c r="AK443" s="61">
        <v>1095.8571955381219</v>
      </c>
      <c r="AL443" t="s">
        <v>346</v>
      </c>
      <c r="AM443" t="s">
        <v>436</v>
      </c>
      <c r="AN443" t="s">
        <v>425</v>
      </c>
      <c r="AO443" t="s">
        <v>27</v>
      </c>
      <c r="AP443">
        <v>111.133</v>
      </c>
      <c r="AQ443">
        <v>1.0368587857491129</v>
      </c>
      <c r="AR443">
        <v>115.2292274366562</v>
      </c>
      <c r="AS443">
        <v>603.45000000000005</v>
      </c>
      <c r="AT443">
        <v>1</v>
      </c>
      <c r="AU443">
        <v>69.535077296650186</v>
      </c>
      <c r="AV443">
        <v>0.93979999999999997</v>
      </c>
      <c r="AW443" s="63">
        <v>65.349000000000004</v>
      </c>
      <c r="AX443">
        <v>8.9176000000000002</v>
      </c>
      <c r="AY443">
        <v>1</v>
      </c>
      <c r="AZ443">
        <v>5579.6748517596734</v>
      </c>
      <c r="BA443">
        <v>0.95477850697292876</v>
      </c>
      <c r="BB443" s="63">
        <v>5327.3536000000004</v>
      </c>
      <c r="BC443" s="61">
        <v>1095.8571955381219</v>
      </c>
    </row>
    <row r="444" spans="1:55" x14ac:dyDescent="0.25">
      <c r="A444">
        <v>103819</v>
      </c>
      <c r="B444" t="s">
        <v>116</v>
      </c>
      <c r="C444">
        <v>2018</v>
      </c>
      <c r="D444">
        <v>12</v>
      </c>
      <c r="E444" t="s">
        <v>100</v>
      </c>
      <c r="F444" t="s">
        <v>426</v>
      </c>
      <c r="G444" t="s">
        <v>84</v>
      </c>
      <c r="H444" t="s">
        <v>87</v>
      </c>
      <c r="I444" t="s">
        <v>427</v>
      </c>
      <c r="J444">
        <v>-1.76002901</v>
      </c>
      <c r="K444" t="s">
        <v>440</v>
      </c>
      <c r="L444" t="s">
        <v>452</v>
      </c>
      <c r="M444">
        <v>8.4248020759000004E-4</v>
      </c>
      <c r="N444">
        <v>1.482789603825304E-3</v>
      </c>
      <c r="O444">
        <v>30169.468000000001</v>
      </c>
      <c r="P444">
        <v>4.8744250000000003E-6</v>
      </c>
      <c r="Q444">
        <v>0.29411799999999999</v>
      </c>
      <c r="R444" s="61">
        <v>4.3611511269789078E-4</v>
      </c>
      <c r="S444" t="s">
        <v>346</v>
      </c>
      <c r="T444" t="s">
        <v>436</v>
      </c>
      <c r="U444" t="s">
        <v>425</v>
      </c>
      <c r="V444" t="s">
        <v>28</v>
      </c>
      <c r="W444">
        <v>111.133</v>
      </c>
      <c r="X444">
        <v>1.0368587857491129</v>
      </c>
      <c r="Y444">
        <v>115.2292274366562</v>
      </c>
      <c r="Z444">
        <v>603.45000000000005</v>
      </c>
      <c r="AA444">
        <v>1</v>
      </c>
      <c r="AB444">
        <v>69.535077296650186</v>
      </c>
      <c r="AC444">
        <v>0.99760000000000004</v>
      </c>
      <c r="AD444" s="63">
        <v>69.367999999999995</v>
      </c>
      <c r="AE444">
        <v>8.9176000000000002</v>
      </c>
      <c r="AF444">
        <v>9.2462919077962926</v>
      </c>
      <c r="AG444">
        <v>1</v>
      </c>
      <c r="AH444">
        <v>5579.6748517596734</v>
      </c>
      <c r="AI444">
        <v>0.96062216971844849</v>
      </c>
      <c r="AJ444" s="63">
        <v>5359.9593999999997</v>
      </c>
      <c r="AK444" s="61">
        <v>2.3375592977871191</v>
      </c>
      <c r="AL444" t="s">
        <v>346</v>
      </c>
      <c r="AM444" t="s">
        <v>436</v>
      </c>
      <c r="AN444" t="s">
        <v>425</v>
      </c>
      <c r="AO444" t="s">
        <v>28</v>
      </c>
      <c r="AP444">
        <v>111.133</v>
      </c>
      <c r="AQ444">
        <v>1.0368587857491129</v>
      </c>
      <c r="AR444">
        <v>115.2292274366562</v>
      </c>
      <c r="AS444">
        <v>603.45000000000005</v>
      </c>
      <c r="AT444">
        <v>1</v>
      </c>
      <c r="AU444">
        <v>69.535077296650186</v>
      </c>
      <c r="AV444">
        <v>0.99760000000000004</v>
      </c>
      <c r="AW444" s="63">
        <v>69.367999999999995</v>
      </c>
      <c r="AX444">
        <v>8.9176000000000002</v>
      </c>
      <c r="AY444">
        <v>1</v>
      </c>
      <c r="AZ444">
        <v>5579.6748517596734</v>
      </c>
      <c r="BA444">
        <v>0.96062216971844849</v>
      </c>
      <c r="BB444" s="63">
        <v>5359.9593999999997</v>
      </c>
      <c r="BC444" s="61">
        <v>2.3375592977871191</v>
      </c>
    </row>
    <row r="445" spans="1:55" x14ac:dyDescent="0.25">
      <c r="A445">
        <v>103821</v>
      </c>
      <c r="B445" t="s">
        <v>116</v>
      </c>
      <c r="C445">
        <v>2018</v>
      </c>
      <c r="D445">
        <v>12</v>
      </c>
      <c r="E445" t="s">
        <v>100</v>
      </c>
      <c r="F445" t="s">
        <v>426</v>
      </c>
      <c r="G445" t="s">
        <v>84</v>
      </c>
      <c r="H445" t="s">
        <v>59</v>
      </c>
      <c r="I445" t="s">
        <v>427</v>
      </c>
      <c r="J445">
        <v>-5.0607741099999997</v>
      </c>
      <c r="K445" t="s">
        <v>440</v>
      </c>
      <c r="L445" t="s">
        <v>450</v>
      </c>
      <c r="M445">
        <v>0.15931709696460999</v>
      </c>
      <c r="N445">
        <v>0.80626783946325076</v>
      </c>
      <c r="O445">
        <v>30169.468000000001</v>
      </c>
      <c r="P445">
        <v>4.8744250000000003E-6</v>
      </c>
      <c r="Q445">
        <v>0.29411799999999999</v>
      </c>
      <c r="R445" s="61">
        <v>0.23713788440725239</v>
      </c>
      <c r="S445" t="s">
        <v>346</v>
      </c>
      <c r="T445" t="s">
        <v>436</v>
      </c>
      <c r="U445" t="s">
        <v>425</v>
      </c>
      <c r="V445" t="s">
        <v>26</v>
      </c>
      <c r="W445">
        <v>111.133</v>
      </c>
      <c r="X445">
        <v>1.0368587857491129</v>
      </c>
      <c r="Y445">
        <v>115.2292274366562</v>
      </c>
      <c r="Z445">
        <v>603.45000000000005</v>
      </c>
      <c r="AA445">
        <v>1</v>
      </c>
      <c r="AB445">
        <v>69.535077296650186</v>
      </c>
      <c r="AC445">
        <v>0.96209999999999996</v>
      </c>
      <c r="AD445" s="63">
        <v>66.900000000000006</v>
      </c>
      <c r="AE445">
        <v>8.9176000000000002</v>
      </c>
      <c r="AF445">
        <v>9.2462919077962926</v>
      </c>
      <c r="AG445">
        <v>1</v>
      </c>
      <c r="AH445">
        <v>5579.6748517596734</v>
      </c>
      <c r="AI445">
        <v>0.95992461065370505</v>
      </c>
      <c r="AJ445" s="63">
        <v>5356.0672000000004</v>
      </c>
      <c r="AK445" s="61">
        <v>1270.126444551076</v>
      </c>
      <c r="AL445" t="s">
        <v>346</v>
      </c>
      <c r="AM445" t="s">
        <v>436</v>
      </c>
      <c r="AN445" t="s">
        <v>425</v>
      </c>
      <c r="AO445" t="s">
        <v>26</v>
      </c>
      <c r="AP445">
        <v>111.133</v>
      </c>
      <c r="AQ445">
        <v>1.0368587857491129</v>
      </c>
      <c r="AR445">
        <v>115.2292274366562</v>
      </c>
      <c r="AS445">
        <v>603.45000000000005</v>
      </c>
      <c r="AT445">
        <v>1</v>
      </c>
      <c r="AU445">
        <v>69.535077296650186</v>
      </c>
      <c r="AV445">
        <v>0.96209999999999996</v>
      </c>
      <c r="AW445" s="63">
        <v>66.900000000000006</v>
      </c>
      <c r="AX445">
        <v>8.9176000000000002</v>
      </c>
      <c r="AY445">
        <v>1</v>
      </c>
      <c r="AZ445">
        <v>5579.6748517596734</v>
      </c>
      <c r="BA445">
        <v>0.95992461065370505</v>
      </c>
      <c r="BB445" s="63">
        <v>5356.0672000000004</v>
      </c>
      <c r="BC445" s="61">
        <v>1270.126444551076</v>
      </c>
    </row>
    <row r="446" spans="1:55" x14ac:dyDescent="0.25">
      <c r="A446">
        <v>103823</v>
      </c>
      <c r="B446" t="s">
        <v>116</v>
      </c>
      <c r="C446">
        <v>2018</v>
      </c>
      <c r="D446">
        <v>12</v>
      </c>
      <c r="E446" t="s">
        <v>100</v>
      </c>
      <c r="F446" t="s">
        <v>426</v>
      </c>
      <c r="G446" t="s">
        <v>84</v>
      </c>
      <c r="H446" t="s">
        <v>59</v>
      </c>
      <c r="I446" t="s">
        <v>427</v>
      </c>
      <c r="J446">
        <v>-5.0607741099999997</v>
      </c>
      <c r="K446" t="s">
        <v>440</v>
      </c>
      <c r="L446" t="s">
        <v>384</v>
      </c>
      <c r="M446">
        <v>4.1785183859599999E-2</v>
      </c>
      <c r="N446">
        <v>0.21146537662268691</v>
      </c>
      <c r="O446">
        <v>30169.468000000001</v>
      </c>
      <c r="P446">
        <v>4.8744250000000003E-6</v>
      </c>
      <c r="Q446">
        <v>0.29411799999999999</v>
      </c>
      <c r="R446" s="61">
        <v>6.2195773641511437E-2</v>
      </c>
      <c r="S446" t="s">
        <v>346</v>
      </c>
      <c r="T446" t="s">
        <v>436</v>
      </c>
      <c r="U446" t="s">
        <v>425</v>
      </c>
      <c r="V446" t="s">
        <v>81</v>
      </c>
      <c r="W446">
        <v>111.133</v>
      </c>
      <c r="X446">
        <v>1.0368587857491129</v>
      </c>
      <c r="Y446">
        <v>115.2292274366562</v>
      </c>
      <c r="Z446">
        <v>603.45000000000005</v>
      </c>
      <c r="AA446">
        <v>1</v>
      </c>
      <c r="AB446">
        <v>69.535077296650186</v>
      </c>
      <c r="AC446">
        <v>0.90990000000000004</v>
      </c>
      <c r="AD446" s="63">
        <v>63.27</v>
      </c>
      <c r="AE446">
        <v>8.9176000000000002</v>
      </c>
      <c r="AF446">
        <v>9.2462919077962926</v>
      </c>
      <c r="AG446">
        <v>1</v>
      </c>
      <c r="AH446">
        <v>5579.6748517596734</v>
      </c>
      <c r="AI446">
        <v>1.053620848708487</v>
      </c>
      <c r="AJ446" s="63">
        <v>5878.8617999999997</v>
      </c>
      <c r="AK446" s="61">
        <v>365.64035778252838</v>
      </c>
      <c r="AL446" t="s">
        <v>346</v>
      </c>
      <c r="AM446" t="s">
        <v>436</v>
      </c>
      <c r="AN446" t="s">
        <v>425</v>
      </c>
      <c r="AO446" t="s">
        <v>81</v>
      </c>
      <c r="AP446">
        <v>111.133</v>
      </c>
      <c r="AQ446">
        <v>1.0368587857491129</v>
      </c>
      <c r="AR446">
        <v>115.2292274366562</v>
      </c>
      <c r="AS446">
        <v>603.45000000000005</v>
      </c>
      <c r="AT446">
        <v>1</v>
      </c>
      <c r="AU446">
        <v>69.535077296650186</v>
      </c>
      <c r="AV446">
        <v>0.90990000000000004</v>
      </c>
      <c r="AW446" s="63">
        <v>63.27</v>
      </c>
      <c r="AX446">
        <v>8.9176000000000002</v>
      </c>
      <c r="AY446">
        <v>1</v>
      </c>
      <c r="AZ446">
        <v>5579.6748517596734</v>
      </c>
      <c r="BA446">
        <v>1.053620848708487</v>
      </c>
      <c r="BB446" s="63">
        <v>5878.8617999999997</v>
      </c>
      <c r="BC446" s="61">
        <v>365.64035778252838</v>
      </c>
    </row>
    <row r="447" spans="1:55" x14ac:dyDescent="0.25">
      <c r="A447">
        <v>103825</v>
      </c>
      <c r="B447" t="s">
        <v>116</v>
      </c>
      <c r="C447">
        <v>2018</v>
      </c>
      <c r="D447">
        <v>12</v>
      </c>
      <c r="E447" t="s">
        <v>100</v>
      </c>
      <c r="F447" t="s">
        <v>426</v>
      </c>
      <c r="G447" t="s">
        <v>84</v>
      </c>
      <c r="H447" t="s">
        <v>59</v>
      </c>
      <c r="I447" t="s">
        <v>427</v>
      </c>
      <c r="J447">
        <v>-5.0607741099999997</v>
      </c>
      <c r="K447" t="s">
        <v>440</v>
      </c>
      <c r="L447" t="s">
        <v>385</v>
      </c>
      <c r="M447">
        <v>0.43497567483749999</v>
      </c>
      <c r="N447">
        <v>2.2013136333271568</v>
      </c>
      <c r="O447">
        <v>30169.468000000001</v>
      </c>
      <c r="P447">
        <v>4.8744250000000003E-6</v>
      </c>
      <c r="Q447">
        <v>0.29411799999999999</v>
      </c>
      <c r="R447" s="61">
        <v>0.64744596320691683</v>
      </c>
      <c r="S447" t="s">
        <v>346</v>
      </c>
      <c r="T447" t="s">
        <v>436</v>
      </c>
      <c r="U447" t="s">
        <v>425</v>
      </c>
      <c r="V447" t="s">
        <v>27</v>
      </c>
      <c r="W447">
        <v>111.133</v>
      </c>
      <c r="X447">
        <v>1.0368587857491129</v>
      </c>
      <c r="Y447">
        <v>115.2292274366562</v>
      </c>
      <c r="Z447">
        <v>603.45000000000005</v>
      </c>
      <c r="AA447">
        <v>1</v>
      </c>
      <c r="AB447">
        <v>69.535077296650186</v>
      </c>
      <c r="AC447">
        <v>0.93979999999999997</v>
      </c>
      <c r="AD447" s="63">
        <v>65.349000000000004</v>
      </c>
      <c r="AE447">
        <v>8.9176000000000002</v>
      </c>
      <c r="AF447">
        <v>9.2462919077962926</v>
      </c>
      <c r="AG447">
        <v>1</v>
      </c>
      <c r="AH447">
        <v>5579.6748517596734</v>
      </c>
      <c r="AI447">
        <v>0.95477850697292876</v>
      </c>
      <c r="AJ447" s="63">
        <v>5327.3536000000004</v>
      </c>
      <c r="AK447" s="61">
        <v>3449.1735828958358</v>
      </c>
      <c r="AL447" t="s">
        <v>346</v>
      </c>
      <c r="AM447" t="s">
        <v>436</v>
      </c>
      <c r="AN447" t="s">
        <v>425</v>
      </c>
      <c r="AO447" t="s">
        <v>27</v>
      </c>
      <c r="AP447">
        <v>111.133</v>
      </c>
      <c r="AQ447">
        <v>1.0368587857491129</v>
      </c>
      <c r="AR447">
        <v>115.2292274366562</v>
      </c>
      <c r="AS447">
        <v>603.45000000000005</v>
      </c>
      <c r="AT447">
        <v>1</v>
      </c>
      <c r="AU447">
        <v>69.535077296650186</v>
      </c>
      <c r="AV447">
        <v>0.93979999999999997</v>
      </c>
      <c r="AW447" s="63">
        <v>65.349000000000004</v>
      </c>
      <c r="AX447">
        <v>8.9176000000000002</v>
      </c>
      <c r="AY447">
        <v>1</v>
      </c>
      <c r="AZ447">
        <v>5579.6748517596734</v>
      </c>
      <c r="BA447">
        <v>0.95477850697292876</v>
      </c>
      <c r="BB447" s="63">
        <v>5327.3536000000004</v>
      </c>
      <c r="BC447" s="61">
        <v>3449.1735828958358</v>
      </c>
    </row>
    <row r="448" spans="1:55" x14ac:dyDescent="0.25">
      <c r="A448">
        <v>103827</v>
      </c>
      <c r="B448" t="s">
        <v>116</v>
      </c>
      <c r="C448">
        <v>2018</v>
      </c>
      <c r="D448">
        <v>12</v>
      </c>
      <c r="E448" t="s">
        <v>100</v>
      </c>
      <c r="F448" t="s">
        <v>426</v>
      </c>
      <c r="G448" t="s">
        <v>84</v>
      </c>
      <c r="H448" t="s">
        <v>59</v>
      </c>
      <c r="I448" t="s">
        <v>427</v>
      </c>
      <c r="J448">
        <v>-5.0607741099999997</v>
      </c>
      <c r="K448" t="s">
        <v>440</v>
      </c>
      <c r="L448" t="s">
        <v>451</v>
      </c>
      <c r="M448">
        <v>1.7625750762999999E-3</v>
      </c>
      <c r="N448">
        <v>8.9199943115700498E-3</v>
      </c>
      <c r="O448">
        <v>30169.468000000001</v>
      </c>
      <c r="P448">
        <v>4.8744250000000003E-6</v>
      </c>
      <c r="Q448">
        <v>0.29411799999999999</v>
      </c>
      <c r="R448" s="61">
        <v>2.6235308869303601E-3</v>
      </c>
      <c r="S448" t="s">
        <v>346</v>
      </c>
      <c r="T448" t="s">
        <v>436</v>
      </c>
      <c r="U448" t="s">
        <v>425</v>
      </c>
      <c r="V448" t="s">
        <v>91</v>
      </c>
      <c r="W448">
        <v>111.133</v>
      </c>
      <c r="X448">
        <v>1.0368587857491129</v>
      </c>
      <c r="Y448">
        <v>115.2292274366562</v>
      </c>
      <c r="Z448">
        <v>603.45000000000005</v>
      </c>
      <c r="AA448">
        <v>1</v>
      </c>
      <c r="AB448">
        <v>69.535077296650186</v>
      </c>
      <c r="AC448">
        <v>0.99250000000000005</v>
      </c>
      <c r="AD448" s="63">
        <v>69.013999999999996</v>
      </c>
      <c r="AE448">
        <v>8.9176000000000002</v>
      </c>
      <c r="AF448">
        <v>9.2462919077962926</v>
      </c>
      <c r="AG448">
        <v>1</v>
      </c>
      <c r="AH448">
        <v>5579.6748517596734</v>
      </c>
      <c r="AI448">
        <v>0.96573604060913698</v>
      </c>
      <c r="AJ448" s="63">
        <v>5388.4930999999997</v>
      </c>
      <c r="AK448" s="61">
        <v>14.13687808186112</v>
      </c>
      <c r="AL448" t="s">
        <v>346</v>
      </c>
      <c r="AM448" t="s">
        <v>436</v>
      </c>
      <c r="AN448" t="s">
        <v>425</v>
      </c>
      <c r="AO448" t="s">
        <v>91</v>
      </c>
      <c r="AP448">
        <v>111.133</v>
      </c>
      <c r="AQ448">
        <v>1.0368587857491129</v>
      </c>
      <c r="AR448">
        <v>115.2292274366562</v>
      </c>
      <c r="AS448">
        <v>603.45000000000005</v>
      </c>
      <c r="AT448">
        <v>1</v>
      </c>
      <c r="AU448">
        <v>69.535077296650186</v>
      </c>
      <c r="AV448">
        <v>0.99250000000000005</v>
      </c>
      <c r="AW448" s="63">
        <v>69.013999999999996</v>
      </c>
      <c r="AX448">
        <v>8.9176000000000002</v>
      </c>
      <c r="AY448">
        <v>1</v>
      </c>
      <c r="AZ448">
        <v>5579.6748517596734</v>
      </c>
      <c r="BA448">
        <v>0.96573604060913698</v>
      </c>
      <c r="BB448" s="63">
        <v>5388.4930999999997</v>
      </c>
      <c r="BC448" s="61">
        <v>14.13687808186112</v>
      </c>
    </row>
    <row r="449" spans="1:55" x14ac:dyDescent="0.25">
      <c r="A449">
        <v>103829</v>
      </c>
      <c r="B449" t="s">
        <v>116</v>
      </c>
      <c r="C449">
        <v>2018</v>
      </c>
      <c r="D449">
        <v>12</v>
      </c>
      <c r="E449" t="s">
        <v>100</v>
      </c>
      <c r="F449" t="s">
        <v>426</v>
      </c>
      <c r="G449" t="s">
        <v>84</v>
      </c>
      <c r="H449" t="s">
        <v>59</v>
      </c>
      <c r="I449" t="s">
        <v>427</v>
      </c>
      <c r="J449">
        <v>-5.0607741099999997</v>
      </c>
      <c r="K449" t="s">
        <v>440</v>
      </c>
      <c r="L449" t="s">
        <v>452</v>
      </c>
      <c r="M449">
        <v>1.4858046103299999E-3</v>
      </c>
      <c r="N449">
        <v>7.5193215032120187E-3</v>
      </c>
      <c r="O449">
        <v>30169.468000000001</v>
      </c>
      <c r="P449">
        <v>4.8744250000000003E-6</v>
      </c>
      <c r="Q449">
        <v>0.29411799999999999</v>
      </c>
      <c r="R449" s="61">
        <v>2.2115678018817119E-3</v>
      </c>
      <c r="S449" t="s">
        <v>346</v>
      </c>
      <c r="T449" t="s">
        <v>436</v>
      </c>
      <c r="U449" t="s">
        <v>425</v>
      </c>
      <c r="V449" t="s">
        <v>28</v>
      </c>
      <c r="W449">
        <v>111.133</v>
      </c>
      <c r="X449">
        <v>1.0368587857491129</v>
      </c>
      <c r="Y449">
        <v>115.2292274366562</v>
      </c>
      <c r="Z449">
        <v>603.45000000000005</v>
      </c>
      <c r="AA449">
        <v>1</v>
      </c>
      <c r="AB449">
        <v>69.535077296650186</v>
      </c>
      <c r="AC449">
        <v>0.99760000000000004</v>
      </c>
      <c r="AD449" s="63">
        <v>69.367999999999995</v>
      </c>
      <c r="AE449">
        <v>8.9176000000000002</v>
      </c>
      <c r="AF449">
        <v>9.2462919077962926</v>
      </c>
      <c r="AG449">
        <v>1</v>
      </c>
      <c r="AH449">
        <v>5579.6748517596734</v>
      </c>
      <c r="AI449">
        <v>0.96062216971844849</v>
      </c>
      <c r="AJ449" s="63">
        <v>5359.9593999999997</v>
      </c>
      <c r="AK449" s="61">
        <v>11.85391362843322</v>
      </c>
      <c r="AL449" t="s">
        <v>346</v>
      </c>
      <c r="AM449" t="s">
        <v>436</v>
      </c>
      <c r="AN449" t="s">
        <v>425</v>
      </c>
      <c r="AO449" t="s">
        <v>28</v>
      </c>
      <c r="AP449">
        <v>111.133</v>
      </c>
      <c r="AQ449">
        <v>1.0368587857491129</v>
      </c>
      <c r="AR449">
        <v>115.2292274366562</v>
      </c>
      <c r="AS449">
        <v>603.45000000000005</v>
      </c>
      <c r="AT449">
        <v>1</v>
      </c>
      <c r="AU449">
        <v>69.535077296650186</v>
      </c>
      <c r="AV449">
        <v>0.99760000000000004</v>
      </c>
      <c r="AW449" s="63">
        <v>69.367999999999995</v>
      </c>
      <c r="AX449">
        <v>8.9176000000000002</v>
      </c>
      <c r="AY449">
        <v>1</v>
      </c>
      <c r="AZ449">
        <v>5579.6748517596734</v>
      </c>
      <c r="BA449">
        <v>0.96062216971844849</v>
      </c>
      <c r="BB449" s="63">
        <v>5359.9593999999997</v>
      </c>
      <c r="BC449" s="61">
        <v>11.85391362843322</v>
      </c>
    </row>
    <row r="450" spans="1:55" x14ac:dyDescent="0.25">
      <c r="A450">
        <v>109451</v>
      </c>
      <c r="B450" t="s">
        <v>145</v>
      </c>
      <c r="C450">
        <v>2019</v>
      </c>
      <c r="D450">
        <v>1</v>
      </c>
      <c r="E450" t="s">
        <v>51</v>
      </c>
      <c r="F450" t="s">
        <v>426</v>
      </c>
      <c r="G450" t="s">
        <v>84</v>
      </c>
      <c r="H450" t="s">
        <v>381</v>
      </c>
      <c r="I450" t="s">
        <v>427</v>
      </c>
      <c r="J450">
        <v>-14.5014614</v>
      </c>
      <c r="K450" t="s">
        <v>440</v>
      </c>
      <c r="L450" t="s">
        <v>450</v>
      </c>
      <c r="M450">
        <v>0.15011157993331001</v>
      </c>
      <c r="N450">
        <v>2.1768372816899291</v>
      </c>
      <c r="O450">
        <v>28410.399000000001</v>
      </c>
      <c r="P450">
        <v>2.51417E-6</v>
      </c>
      <c r="Q450">
        <v>0.14285700000000001</v>
      </c>
      <c r="R450" s="61">
        <v>0.31097644355037818</v>
      </c>
      <c r="S450" t="s">
        <v>346</v>
      </c>
      <c r="T450" t="s">
        <v>436</v>
      </c>
      <c r="U450" t="s">
        <v>425</v>
      </c>
      <c r="V450" t="s">
        <v>26</v>
      </c>
      <c r="W450">
        <v>111.133</v>
      </c>
      <c r="X450">
        <v>1.0368587857491129</v>
      </c>
      <c r="Y450">
        <v>115.2292274366562</v>
      </c>
      <c r="Z450">
        <v>603.45000000000005</v>
      </c>
      <c r="AA450">
        <v>1</v>
      </c>
      <c r="AB450">
        <v>69.535077296650186</v>
      </c>
      <c r="AC450">
        <v>0.96209999999999996</v>
      </c>
      <c r="AD450" s="63">
        <v>66.900000000000006</v>
      </c>
      <c r="AE450">
        <v>8.9176000000000002</v>
      </c>
      <c r="AF450">
        <v>9.2462919077962926</v>
      </c>
      <c r="AG450">
        <v>1</v>
      </c>
      <c r="AH450">
        <v>5579.6748517596734</v>
      </c>
      <c r="AI450">
        <v>0.95992461065370505</v>
      </c>
      <c r="AJ450" s="63">
        <v>5356.0672000000004</v>
      </c>
      <c r="AK450" s="61">
        <v>1665.610729272832</v>
      </c>
      <c r="AL450" t="s">
        <v>347</v>
      </c>
      <c r="AM450" t="s">
        <v>437</v>
      </c>
      <c r="AN450" t="s">
        <v>425</v>
      </c>
      <c r="AO450" t="s">
        <v>26</v>
      </c>
      <c r="AP450">
        <v>111.133</v>
      </c>
      <c r="AQ450">
        <v>1.0541007448257309</v>
      </c>
      <c r="AR450">
        <v>117.145378074718</v>
      </c>
      <c r="AS450">
        <v>640.82000000000005</v>
      </c>
      <c r="AT450">
        <v>1</v>
      </c>
      <c r="AU450">
        <v>75.069101177840764</v>
      </c>
      <c r="AV450">
        <v>0.99109999999999998</v>
      </c>
      <c r="AW450" s="63">
        <v>74.400999999999996</v>
      </c>
      <c r="AX450">
        <v>8.9176000000000002</v>
      </c>
      <c r="AY450">
        <v>1</v>
      </c>
      <c r="AZ450">
        <v>6023.7392733347688</v>
      </c>
      <c r="BA450">
        <v>0.9830373970836227</v>
      </c>
      <c r="BB450" s="63">
        <v>5921.5609999999997</v>
      </c>
      <c r="BC450" s="61">
        <v>1841.4659800466211</v>
      </c>
    </row>
    <row r="451" spans="1:55" x14ac:dyDescent="0.25">
      <c r="A451">
        <v>109453</v>
      </c>
      <c r="B451" t="s">
        <v>145</v>
      </c>
      <c r="C451">
        <v>2019</v>
      </c>
      <c r="D451">
        <v>1</v>
      </c>
      <c r="E451" t="s">
        <v>51</v>
      </c>
      <c r="F451" t="s">
        <v>426</v>
      </c>
      <c r="G451" t="s">
        <v>84</v>
      </c>
      <c r="H451" t="s">
        <v>381</v>
      </c>
      <c r="I451" t="s">
        <v>427</v>
      </c>
      <c r="J451">
        <v>-14.5014614</v>
      </c>
      <c r="K451" t="s">
        <v>440</v>
      </c>
      <c r="L451" t="s">
        <v>384</v>
      </c>
      <c r="M451">
        <v>4.5811354346740003E-2</v>
      </c>
      <c r="N451">
        <v>0.66433158661707437</v>
      </c>
      <c r="O451">
        <v>28410.399000000001</v>
      </c>
      <c r="P451">
        <v>2.51417E-6</v>
      </c>
      <c r="Q451">
        <v>0.14285700000000001</v>
      </c>
      <c r="R451" s="61">
        <v>9.4904417469355407E-2</v>
      </c>
      <c r="S451" t="s">
        <v>346</v>
      </c>
      <c r="T451" t="s">
        <v>436</v>
      </c>
      <c r="U451" t="s">
        <v>425</v>
      </c>
      <c r="V451" t="s">
        <v>81</v>
      </c>
      <c r="W451">
        <v>111.133</v>
      </c>
      <c r="X451">
        <v>1.0368587857491129</v>
      </c>
      <c r="Y451">
        <v>115.2292274366562</v>
      </c>
      <c r="Z451">
        <v>603.45000000000005</v>
      </c>
      <c r="AA451">
        <v>1</v>
      </c>
      <c r="AB451">
        <v>69.535077296650186</v>
      </c>
      <c r="AC451">
        <v>0.90990000000000004</v>
      </c>
      <c r="AD451" s="63">
        <v>63.27</v>
      </c>
      <c r="AE451">
        <v>8.9176000000000002</v>
      </c>
      <c r="AF451">
        <v>9.2462919077962926</v>
      </c>
      <c r="AG451">
        <v>1</v>
      </c>
      <c r="AH451">
        <v>5579.6748517596734</v>
      </c>
      <c r="AI451">
        <v>1.053620848708487</v>
      </c>
      <c r="AJ451" s="63">
        <v>5878.8617999999997</v>
      </c>
      <c r="AK451" s="61">
        <v>557.92995451184618</v>
      </c>
      <c r="AL451" t="s">
        <v>347</v>
      </c>
      <c r="AM451" t="s">
        <v>437</v>
      </c>
      <c r="AN451" t="s">
        <v>425</v>
      </c>
      <c r="AO451" t="s">
        <v>81</v>
      </c>
      <c r="AP451">
        <v>111.133</v>
      </c>
      <c r="AQ451">
        <v>1.0541007448257309</v>
      </c>
      <c r="AR451">
        <v>117.145378074718</v>
      </c>
      <c r="AS451">
        <v>640.82000000000005</v>
      </c>
      <c r="AT451">
        <v>1</v>
      </c>
      <c r="AU451">
        <v>75.069101177840764</v>
      </c>
      <c r="AV451">
        <v>0.93830000000000002</v>
      </c>
      <c r="AW451" s="63">
        <v>70.436999999999998</v>
      </c>
      <c r="AX451">
        <v>8.9176000000000002</v>
      </c>
      <c r="AY451">
        <v>1</v>
      </c>
      <c r="AZ451">
        <v>6023.7392733347688</v>
      </c>
      <c r="BA451">
        <v>1.098016605166052</v>
      </c>
      <c r="BB451" s="63">
        <v>6614.1656999999996</v>
      </c>
      <c r="BC451" s="61">
        <v>627.71354280429125</v>
      </c>
    </row>
    <row r="452" spans="1:55" x14ac:dyDescent="0.25">
      <c r="A452">
        <v>109455</v>
      </c>
      <c r="B452" t="s">
        <v>145</v>
      </c>
      <c r="C452">
        <v>2019</v>
      </c>
      <c r="D452">
        <v>1</v>
      </c>
      <c r="E452" t="s">
        <v>51</v>
      </c>
      <c r="F452" t="s">
        <v>426</v>
      </c>
      <c r="G452" t="s">
        <v>84</v>
      </c>
      <c r="H452" t="s">
        <v>381</v>
      </c>
      <c r="I452" t="s">
        <v>427</v>
      </c>
      <c r="J452">
        <v>-14.5014614</v>
      </c>
      <c r="K452" t="s">
        <v>440</v>
      </c>
      <c r="L452" t="s">
        <v>385</v>
      </c>
      <c r="M452">
        <v>0.43232641346992001</v>
      </c>
      <c r="N452">
        <v>6.269364795965247</v>
      </c>
      <c r="O452">
        <v>28410.399000000001</v>
      </c>
      <c r="P452">
        <v>2.51417E-6</v>
      </c>
      <c r="Q452">
        <v>0.14285700000000001</v>
      </c>
      <c r="R452" s="61">
        <v>0.89562264665720737</v>
      </c>
      <c r="S452" t="s">
        <v>346</v>
      </c>
      <c r="T452" t="s">
        <v>436</v>
      </c>
      <c r="U452" t="s">
        <v>425</v>
      </c>
      <c r="V452" t="s">
        <v>27</v>
      </c>
      <c r="W452">
        <v>111.133</v>
      </c>
      <c r="X452">
        <v>1.0368587857491129</v>
      </c>
      <c r="Y452">
        <v>115.2292274366562</v>
      </c>
      <c r="Z452">
        <v>603.45000000000005</v>
      </c>
      <c r="AA452">
        <v>1</v>
      </c>
      <c r="AB452">
        <v>69.535077296650186</v>
      </c>
      <c r="AC452">
        <v>0.93979999999999997</v>
      </c>
      <c r="AD452" s="63">
        <v>65.349000000000004</v>
      </c>
      <c r="AE452">
        <v>8.9176000000000002</v>
      </c>
      <c r="AF452">
        <v>9.2462919077962926</v>
      </c>
      <c r="AG452">
        <v>1</v>
      </c>
      <c r="AH452">
        <v>5579.6748517596734</v>
      </c>
      <c r="AI452">
        <v>0.95477850697292876</v>
      </c>
      <c r="AJ452" s="63">
        <v>5327.3536000000004</v>
      </c>
      <c r="AK452" s="61">
        <v>4771.2985309108017</v>
      </c>
      <c r="AL452" t="s">
        <v>347</v>
      </c>
      <c r="AM452" t="s">
        <v>437</v>
      </c>
      <c r="AN452" t="s">
        <v>425</v>
      </c>
      <c r="AO452" t="s">
        <v>27</v>
      </c>
      <c r="AP452">
        <v>111.133</v>
      </c>
      <c r="AQ452">
        <v>1.0541007448257309</v>
      </c>
      <c r="AR452">
        <v>117.145378074718</v>
      </c>
      <c r="AS452">
        <v>640.82000000000005</v>
      </c>
      <c r="AT452">
        <v>1</v>
      </c>
      <c r="AU452">
        <v>75.069101177840764</v>
      </c>
      <c r="AV452">
        <v>0.95889999999999997</v>
      </c>
      <c r="AW452" s="63">
        <v>71.983999999999995</v>
      </c>
      <c r="AX452">
        <v>8.9176000000000002</v>
      </c>
      <c r="AY452">
        <v>1</v>
      </c>
      <c r="AZ452">
        <v>6023.7392733347688</v>
      </c>
      <c r="BA452">
        <v>0.99097621000820357</v>
      </c>
      <c r="BB452" s="63">
        <v>5969.3823000000002</v>
      </c>
      <c r="BC452" s="61">
        <v>5346.3139744346881</v>
      </c>
    </row>
    <row r="453" spans="1:55" x14ac:dyDescent="0.25">
      <c r="A453">
        <v>109457</v>
      </c>
      <c r="B453" t="s">
        <v>145</v>
      </c>
      <c r="C453">
        <v>2019</v>
      </c>
      <c r="D453">
        <v>1</v>
      </c>
      <c r="E453" t="s">
        <v>51</v>
      </c>
      <c r="F453" t="s">
        <v>426</v>
      </c>
      <c r="G453" t="s">
        <v>84</v>
      </c>
      <c r="H453" t="s">
        <v>381</v>
      </c>
      <c r="I453" t="s">
        <v>427</v>
      </c>
      <c r="J453">
        <v>-14.5014614</v>
      </c>
      <c r="K453" t="s">
        <v>440</v>
      </c>
      <c r="L453" t="s">
        <v>451</v>
      </c>
      <c r="M453">
        <v>1.6825115802299999E-3</v>
      </c>
      <c r="N453">
        <v>2.4398876731207952E-2</v>
      </c>
      <c r="O453">
        <v>28410.399000000001</v>
      </c>
      <c r="P453">
        <v>2.51417E-6</v>
      </c>
      <c r="Q453">
        <v>0.14285700000000001</v>
      </c>
      <c r="R453" s="61">
        <v>3.4855503331901751E-3</v>
      </c>
      <c r="S453" t="s">
        <v>346</v>
      </c>
      <c r="T453" t="s">
        <v>436</v>
      </c>
      <c r="U453" t="s">
        <v>425</v>
      </c>
      <c r="V453" t="s">
        <v>91</v>
      </c>
      <c r="W453">
        <v>111.133</v>
      </c>
      <c r="X453">
        <v>1.0368587857491129</v>
      </c>
      <c r="Y453">
        <v>115.2292274366562</v>
      </c>
      <c r="Z453">
        <v>603.45000000000005</v>
      </c>
      <c r="AA453">
        <v>1</v>
      </c>
      <c r="AB453">
        <v>69.535077296650186</v>
      </c>
      <c r="AC453">
        <v>0.99250000000000005</v>
      </c>
      <c r="AD453" s="63">
        <v>69.013999999999996</v>
      </c>
      <c r="AE453">
        <v>8.9176000000000002</v>
      </c>
      <c r="AF453">
        <v>9.2462919077962926</v>
      </c>
      <c r="AG453">
        <v>1</v>
      </c>
      <c r="AH453">
        <v>5579.6748517596734</v>
      </c>
      <c r="AI453">
        <v>0.96573604060913698</v>
      </c>
      <c r="AJ453" s="63">
        <v>5388.4930999999997</v>
      </c>
      <c r="AK453" s="61">
        <v>18.781863920097951</v>
      </c>
      <c r="AL453" t="s">
        <v>347</v>
      </c>
      <c r="AM453" t="s">
        <v>437</v>
      </c>
      <c r="AN453" t="s">
        <v>425</v>
      </c>
      <c r="AO453" t="s">
        <v>91</v>
      </c>
      <c r="AP453">
        <v>111.133</v>
      </c>
      <c r="AQ453">
        <v>1.0541007448257309</v>
      </c>
      <c r="AR453">
        <v>117.145378074718</v>
      </c>
      <c r="AS453">
        <v>640.82000000000005</v>
      </c>
      <c r="AT453">
        <v>1</v>
      </c>
      <c r="AU453">
        <v>75.069101177840764</v>
      </c>
      <c r="AV453">
        <v>1.0088999999999999</v>
      </c>
      <c r="AW453" s="63">
        <v>75.736999999999995</v>
      </c>
      <c r="AX453">
        <v>8.9176000000000002</v>
      </c>
      <c r="AY453">
        <v>1</v>
      </c>
      <c r="AZ453">
        <v>6023.7392733347688</v>
      </c>
      <c r="BA453">
        <v>0.99316673174541203</v>
      </c>
      <c r="BB453" s="63">
        <v>5982.5774000000001</v>
      </c>
      <c r="BC453" s="61">
        <v>20.852574649906011</v>
      </c>
    </row>
    <row r="454" spans="1:55" x14ac:dyDescent="0.25">
      <c r="A454">
        <v>109459</v>
      </c>
      <c r="B454" t="s">
        <v>145</v>
      </c>
      <c r="C454">
        <v>2019</v>
      </c>
      <c r="D454">
        <v>1</v>
      </c>
      <c r="E454" t="s">
        <v>51</v>
      </c>
      <c r="F454" t="s">
        <v>426</v>
      </c>
      <c r="G454" t="s">
        <v>84</v>
      </c>
      <c r="H454" t="s">
        <v>381</v>
      </c>
      <c r="I454" t="s">
        <v>427</v>
      </c>
      <c r="J454">
        <v>-14.5014614</v>
      </c>
      <c r="K454" t="s">
        <v>440</v>
      </c>
      <c r="L454" t="s">
        <v>452</v>
      </c>
      <c r="M454">
        <v>1.53682162831E-3</v>
      </c>
      <c r="N454">
        <v>2.228615951746624E-2</v>
      </c>
      <c r="O454">
        <v>28410.399000000001</v>
      </c>
      <c r="P454">
        <v>2.51417E-6</v>
      </c>
      <c r="Q454">
        <v>0.14285700000000001</v>
      </c>
      <c r="R454" s="61">
        <v>3.183733890186675E-3</v>
      </c>
      <c r="S454" t="s">
        <v>346</v>
      </c>
      <c r="T454" t="s">
        <v>436</v>
      </c>
      <c r="U454" t="s">
        <v>425</v>
      </c>
      <c r="V454" t="s">
        <v>28</v>
      </c>
      <c r="W454">
        <v>111.133</v>
      </c>
      <c r="X454">
        <v>1.0368587857491129</v>
      </c>
      <c r="Y454">
        <v>115.2292274366562</v>
      </c>
      <c r="Z454">
        <v>603.45000000000005</v>
      </c>
      <c r="AA454">
        <v>1</v>
      </c>
      <c r="AB454">
        <v>69.535077296650186</v>
      </c>
      <c r="AC454">
        <v>0.99760000000000004</v>
      </c>
      <c r="AD454" s="63">
        <v>69.367999999999995</v>
      </c>
      <c r="AE454">
        <v>8.9176000000000002</v>
      </c>
      <c r="AF454">
        <v>9.2462919077962926</v>
      </c>
      <c r="AG454">
        <v>1</v>
      </c>
      <c r="AH454">
        <v>5579.6748517596734</v>
      </c>
      <c r="AI454">
        <v>0.96062216971844849</v>
      </c>
      <c r="AJ454" s="63">
        <v>5359.9593999999997</v>
      </c>
      <c r="AK454" s="61">
        <v>17.064684391804629</v>
      </c>
      <c r="AL454" t="s">
        <v>347</v>
      </c>
      <c r="AM454" t="s">
        <v>437</v>
      </c>
      <c r="AN454" t="s">
        <v>425</v>
      </c>
      <c r="AO454" t="s">
        <v>28</v>
      </c>
      <c r="AP454">
        <v>111.133</v>
      </c>
      <c r="AQ454">
        <v>1.0541007448257309</v>
      </c>
      <c r="AR454">
        <v>117.145378074718</v>
      </c>
      <c r="AS454">
        <v>640.82000000000005</v>
      </c>
      <c r="AT454">
        <v>1</v>
      </c>
      <c r="AU454">
        <v>75.069101177840764</v>
      </c>
      <c r="AV454">
        <v>1.0073000000000001</v>
      </c>
      <c r="AW454" s="63">
        <v>75.617000000000004</v>
      </c>
      <c r="AX454">
        <v>8.9176000000000002</v>
      </c>
      <c r="AY454">
        <v>1</v>
      </c>
      <c r="AZ454">
        <v>6023.7392733347688</v>
      </c>
      <c r="BA454">
        <v>0.99399488088206345</v>
      </c>
      <c r="BB454" s="63">
        <v>5987.5659999999998</v>
      </c>
      <c r="BC454" s="61">
        <v>19.062816793929461</v>
      </c>
    </row>
    <row r="455" spans="1:55" x14ac:dyDescent="0.25">
      <c r="A455">
        <v>109461</v>
      </c>
      <c r="B455" t="s">
        <v>145</v>
      </c>
      <c r="C455">
        <v>2019</v>
      </c>
      <c r="D455">
        <v>1</v>
      </c>
      <c r="E455" t="s">
        <v>51</v>
      </c>
      <c r="F455" t="s">
        <v>426</v>
      </c>
      <c r="G455" t="s">
        <v>84</v>
      </c>
      <c r="H455" t="s">
        <v>87</v>
      </c>
      <c r="I455" t="s">
        <v>427</v>
      </c>
      <c r="J455">
        <v>-2.8894547099999999</v>
      </c>
      <c r="K455" t="s">
        <v>440</v>
      </c>
      <c r="L455" t="s">
        <v>450</v>
      </c>
      <c r="M455">
        <v>0.26601384014995</v>
      </c>
      <c r="N455">
        <v>0.76863494270599686</v>
      </c>
      <c r="O455">
        <v>28410.399000000001</v>
      </c>
      <c r="P455">
        <v>2.51417E-6</v>
      </c>
      <c r="Q455">
        <v>0.14285700000000001</v>
      </c>
      <c r="R455" s="61">
        <v>0.1098048820101506</v>
      </c>
      <c r="S455" t="s">
        <v>346</v>
      </c>
      <c r="T455" t="s">
        <v>436</v>
      </c>
      <c r="U455" t="s">
        <v>425</v>
      </c>
      <c r="V455" t="s">
        <v>26</v>
      </c>
      <c r="W455">
        <v>111.133</v>
      </c>
      <c r="X455">
        <v>1.0368587857491129</v>
      </c>
      <c r="Y455">
        <v>115.2292274366562</v>
      </c>
      <c r="Z455">
        <v>603.45000000000005</v>
      </c>
      <c r="AA455">
        <v>1</v>
      </c>
      <c r="AB455">
        <v>69.535077296650186</v>
      </c>
      <c r="AC455">
        <v>0.96209999999999996</v>
      </c>
      <c r="AD455" s="63">
        <v>66.900000000000006</v>
      </c>
      <c r="AE455">
        <v>8.9176000000000002</v>
      </c>
      <c r="AF455">
        <v>9.2462919077962926</v>
      </c>
      <c r="AG455">
        <v>1</v>
      </c>
      <c r="AH455">
        <v>5579.6748517596734</v>
      </c>
      <c r="AI455">
        <v>0.95992461065370505</v>
      </c>
      <c r="AJ455" s="63">
        <v>5356.0672000000004</v>
      </c>
      <c r="AK455" s="61">
        <v>588.12232693443775</v>
      </c>
      <c r="AL455" t="s">
        <v>347</v>
      </c>
      <c r="AM455" t="s">
        <v>437</v>
      </c>
      <c r="AN455" t="s">
        <v>425</v>
      </c>
      <c r="AO455" t="s">
        <v>26</v>
      </c>
      <c r="AP455">
        <v>111.133</v>
      </c>
      <c r="AQ455">
        <v>1.0541007448257309</v>
      </c>
      <c r="AR455">
        <v>117.145378074718</v>
      </c>
      <c r="AS455">
        <v>640.82000000000005</v>
      </c>
      <c r="AT455">
        <v>1</v>
      </c>
      <c r="AU455">
        <v>75.069101177840764</v>
      </c>
      <c r="AV455">
        <v>0.99109999999999998</v>
      </c>
      <c r="AW455" s="63">
        <v>74.400999999999996</v>
      </c>
      <c r="AX455">
        <v>8.9176000000000002</v>
      </c>
      <c r="AY455">
        <v>1</v>
      </c>
      <c r="AZ455">
        <v>6023.7392733347688</v>
      </c>
      <c r="BA455">
        <v>0.9830373970836227</v>
      </c>
      <c r="BB455" s="63">
        <v>5921.5609999999997</v>
      </c>
      <c r="BC455" s="61">
        <v>650.21630692090946</v>
      </c>
    </row>
    <row r="456" spans="1:55" x14ac:dyDescent="0.25">
      <c r="A456">
        <v>109463</v>
      </c>
      <c r="B456" t="s">
        <v>145</v>
      </c>
      <c r="C456">
        <v>2019</v>
      </c>
      <c r="D456">
        <v>1</v>
      </c>
      <c r="E456" t="s">
        <v>51</v>
      </c>
      <c r="F456" t="s">
        <v>426</v>
      </c>
      <c r="G456" t="s">
        <v>84</v>
      </c>
      <c r="H456" t="s">
        <v>87</v>
      </c>
      <c r="I456" t="s">
        <v>427</v>
      </c>
      <c r="J456">
        <v>-2.8894547099999999</v>
      </c>
      <c r="K456" t="s">
        <v>440</v>
      </c>
      <c r="L456" t="s">
        <v>384</v>
      </c>
      <c r="M456">
        <v>3.9509559941419997E-2</v>
      </c>
      <c r="N456">
        <v>0.1141610839676389</v>
      </c>
      <c r="O456">
        <v>28410.399000000001</v>
      </c>
      <c r="P456">
        <v>2.51417E-6</v>
      </c>
      <c r="Q456">
        <v>0.14285700000000001</v>
      </c>
      <c r="R456" s="61">
        <v>1.6308709972364992E-2</v>
      </c>
      <c r="S456" t="s">
        <v>346</v>
      </c>
      <c r="T456" t="s">
        <v>436</v>
      </c>
      <c r="U456" t="s">
        <v>425</v>
      </c>
      <c r="V456" t="s">
        <v>81</v>
      </c>
      <c r="W456">
        <v>111.133</v>
      </c>
      <c r="X456">
        <v>1.0368587857491129</v>
      </c>
      <c r="Y456">
        <v>115.2292274366562</v>
      </c>
      <c r="Z456">
        <v>603.45000000000005</v>
      </c>
      <c r="AA456">
        <v>1</v>
      </c>
      <c r="AB456">
        <v>69.535077296650186</v>
      </c>
      <c r="AC456">
        <v>0.90990000000000004</v>
      </c>
      <c r="AD456" s="63">
        <v>63.27</v>
      </c>
      <c r="AE456">
        <v>8.9176000000000002</v>
      </c>
      <c r="AF456">
        <v>9.2462919077962926</v>
      </c>
      <c r="AG456">
        <v>1</v>
      </c>
      <c r="AH456">
        <v>5579.6748517596734</v>
      </c>
      <c r="AI456">
        <v>1.053620848708487</v>
      </c>
      <c r="AJ456" s="63">
        <v>5878.8617999999997</v>
      </c>
      <c r="AK456" s="61">
        <v>95.876652063815584</v>
      </c>
      <c r="AL456" t="s">
        <v>347</v>
      </c>
      <c r="AM456" t="s">
        <v>437</v>
      </c>
      <c r="AN456" t="s">
        <v>425</v>
      </c>
      <c r="AO456" t="s">
        <v>81</v>
      </c>
      <c r="AP456">
        <v>111.133</v>
      </c>
      <c r="AQ456">
        <v>1.0541007448257309</v>
      </c>
      <c r="AR456">
        <v>117.145378074718</v>
      </c>
      <c r="AS456">
        <v>640.82000000000005</v>
      </c>
      <c r="AT456">
        <v>1</v>
      </c>
      <c r="AU456">
        <v>75.069101177840764</v>
      </c>
      <c r="AV456">
        <v>0.93830000000000002</v>
      </c>
      <c r="AW456" s="63">
        <v>70.436999999999998</v>
      </c>
      <c r="AX456">
        <v>8.9176000000000002</v>
      </c>
      <c r="AY456">
        <v>1</v>
      </c>
      <c r="AZ456">
        <v>6023.7392733347688</v>
      </c>
      <c r="BA456">
        <v>1.098016605166052</v>
      </c>
      <c r="BB456" s="63">
        <v>6614.1656999999996</v>
      </c>
      <c r="BC456" s="61">
        <v>107.8685101104644</v>
      </c>
    </row>
    <row r="457" spans="1:55" x14ac:dyDescent="0.25">
      <c r="A457">
        <v>109465</v>
      </c>
      <c r="B457" t="s">
        <v>145</v>
      </c>
      <c r="C457">
        <v>2019</v>
      </c>
      <c r="D457">
        <v>1</v>
      </c>
      <c r="E457" t="s">
        <v>51</v>
      </c>
      <c r="F457" t="s">
        <v>426</v>
      </c>
      <c r="G457" t="s">
        <v>84</v>
      </c>
      <c r="H457" t="s">
        <v>87</v>
      </c>
      <c r="I457" t="s">
        <v>427</v>
      </c>
      <c r="J457">
        <v>-2.8894547099999999</v>
      </c>
      <c r="K457" t="s">
        <v>440</v>
      </c>
      <c r="L457" t="s">
        <v>385</v>
      </c>
      <c r="M457">
        <v>0.39737542925016001</v>
      </c>
      <c r="N457">
        <v>1.148198304728413</v>
      </c>
      <c r="O457">
        <v>28410.399000000001</v>
      </c>
      <c r="P457">
        <v>2.51417E-6</v>
      </c>
      <c r="Q457">
        <v>0.14285700000000001</v>
      </c>
      <c r="R457" s="61">
        <v>0.1640281652185869</v>
      </c>
      <c r="S457" t="s">
        <v>346</v>
      </c>
      <c r="T457" t="s">
        <v>436</v>
      </c>
      <c r="U457" t="s">
        <v>425</v>
      </c>
      <c r="V457" t="s">
        <v>27</v>
      </c>
      <c r="W457">
        <v>111.133</v>
      </c>
      <c r="X457">
        <v>1.0368587857491129</v>
      </c>
      <c r="Y457">
        <v>115.2292274366562</v>
      </c>
      <c r="Z457">
        <v>603.45000000000005</v>
      </c>
      <c r="AA457">
        <v>1</v>
      </c>
      <c r="AB457">
        <v>69.535077296650186</v>
      </c>
      <c r="AC457">
        <v>0.93979999999999997</v>
      </c>
      <c r="AD457" s="63">
        <v>65.349000000000004</v>
      </c>
      <c r="AE457">
        <v>8.9176000000000002</v>
      </c>
      <c r="AF457">
        <v>9.2462919077962926</v>
      </c>
      <c r="AG457">
        <v>1</v>
      </c>
      <c r="AH457">
        <v>5579.6748517596734</v>
      </c>
      <c r="AI457">
        <v>0.95477850697292876</v>
      </c>
      <c r="AJ457" s="63">
        <v>5327.3536000000004</v>
      </c>
      <c r="AK457" s="61">
        <v>873.83603647863379</v>
      </c>
      <c r="AL457" t="s">
        <v>347</v>
      </c>
      <c r="AM457" t="s">
        <v>437</v>
      </c>
      <c r="AN457" t="s">
        <v>425</v>
      </c>
      <c r="AO457" t="s">
        <v>27</v>
      </c>
      <c r="AP457">
        <v>111.133</v>
      </c>
      <c r="AQ457">
        <v>1.0541007448257309</v>
      </c>
      <c r="AR457">
        <v>117.145378074718</v>
      </c>
      <c r="AS457">
        <v>640.82000000000005</v>
      </c>
      <c r="AT457">
        <v>1</v>
      </c>
      <c r="AU457">
        <v>75.069101177840764</v>
      </c>
      <c r="AV457">
        <v>0.95889999999999997</v>
      </c>
      <c r="AW457" s="63">
        <v>71.983999999999995</v>
      </c>
      <c r="AX457">
        <v>8.9176000000000002</v>
      </c>
      <c r="AY457">
        <v>1</v>
      </c>
      <c r="AZ457">
        <v>6023.7392733347688</v>
      </c>
      <c r="BA457">
        <v>0.99097621000820357</v>
      </c>
      <c r="BB457" s="63">
        <v>5969.3823000000002</v>
      </c>
      <c r="BC457" s="61">
        <v>979.14682615730828</v>
      </c>
    </row>
    <row r="458" spans="1:55" x14ac:dyDescent="0.25">
      <c r="A458">
        <v>109467</v>
      </c>
      <c r="B458" t="s">
        <v>145</v>
      </c>
      <c r="C458">
        <v>2019</v>
      </c>
      <c r="D458">
        <v>1</v>
      </c>
      <c r="E458" t="s">
        <v>51</v>
      </c>
      <c r="F458" t="s">
        <v>426</v>
      </c>
      <c r="G458" t="s">
        <v>84</v>
      </c>
      <c r="H458" t="s">
        <v>87</v>
      </c>
      <c r="I458" t="s">
        <v>427</v>
      </c>
      <c r="J458">
        <v>-2.8894547099999999</v>
      </c>
      <c r="K458" t="s">
        <v>440</v>
      </c>
      <c r="L458" t="s">
        <v>452</v>
      </c>
      <c r="M458">
        <v>8.4248020759000004E-4</v>
      </c>
      <c r="N458">
        <v>2.4343084018743221E-3</v>
      </c>
      <c r="O458">
        <v>28410.399000000001</v>
      </c>
      <c r="P458">
        <v>2.51417E-6</v>
      </c>
      <c r="Q458">
        <v>0.14285700000000001</v>
      </c>
      <c r="R458" s="61">
        <v>3.4775799536655998E-4</v>
      </c>
      <c r="S458" t="s">
        <v>346</v>
      </c>
      <c r="T458" t="s">
        <v>436</v>
      </c>
      <c r="U458" t="s">
        <v>425</v>
      </c>
      <c r="V458" t="s">
        <v>28</v>
      </c>
      <c r="W458">
        <v>111.133</v>
      </c>
      <c r="X458">
        <v>1.0368587857491129</v>
      </c>
      <c r="Y458">
        <v>115.2292274366562</v>
      </c>
      <c r="Z458">
        <v>603.45000000000005</v>
      </c>
      <c r="AA458">
        <v>1</v>
      </c>
      <c r="AB458">
        <v>69.535077296650186</v>
      </c>
      <c r="AC458">
        <v>0.99760000000000004</v>
      </c>
      <c r="AD458" s="63">
        <v>69.367999999999995</v>
      </c>
      <c r="AE458">
        <v>8.9176000000000002</v>
      </c>
      <c r="AF458">
        <v>9.2462919077962926</v>
      </c>
      <c r="AG458">
        <v>1</v>
      </c>
      <c r="AH458">
        <v>5579.6748517596734</v>
      </c>
      <c r="AI458">
        <v>0.96062216971844849</v>
      </c>
      <c r="AJ458" s="63">
        <v>5359.9593999999997</v>
      </c>
      <c r="AK458" s="61">
        <v>1.86396873619015</v>
      </c>
      <c r="AL458" t="s">
        <v>347</v>
      </c>
      <c r="AM458" t="s">
        <v>437</v>
      </c>
      <c r="AN458" t="s">
        <v>425</v>
      </c>
      <c r="AO458" t="s">
        <v>28</v>
      </c>
      <c r="AP458">
        <v>111.133</v>
      </c>
      <c r="AQ458">
        <v>1.0541007448257309</v>
      </c>
      <c r="AR458">
        <v>117.145378074718</v>
      </c>
      <c r="AS458">
        <v>640.82000000000005</v>
      </c>
      <c r="AT458">
        <v>1</v>
      </c>
      <c r="AU458">
        <v>75.069101177840764</v>
      </c>
      <c r="AV458">
        <v>1.0073000000000001</v>
      </c>
      <c r="AW458" s="63">
        <v>75.617000000000004</v>
      </c>
      <c r="AX458">
        <v>8.9176000000000002</v>
      </c>
      <c r="AY458">
        <v>1</v>
      </c>
      <c r="AZ458">
        <v>6023.7392733347688</v>
      </c>
      <c r="BA458">
        <v>0.99399488088206345</v>
      </c>
      <c r="BB458" s="63">
        <v>5987.5659999999998</v>
      </c>
      <c r="BC458" s="61">
        <v>2.0822239492849719</v>
      </c>
    </row>
    <row r="459" spans="1:55" x14ac:dyDescent="0.25">
      <c r="A459">
        <v>109469</v>
      </c>
      <c r="B459" t="s">
        <v>145</v>
      </c>
      <c r="C459">
        <v>2019</v>
      </c>
      <c r="D459">
        <v>1</v>
      </c>
      <c r="E459" t="s">
        <v>51</v>
      </c>
      <c r="F459" t="s">
        <v>426</v>
      </c>
      <c r="G459" t="s">
        <v>84</v>
      </c>
      <c r="H459" t="s">
        <v>59</v>
      </c>
      <c r="I459" t="s">
        <v>427</v>
      </c>
      <c r="J459">
        <v>-6.8711334500000003</v>
      </c>
      <c r="K459" t="s">
        <v>440</v>
      </c>
      <c r="L459" t="s">
        <v>450</v>
      </c>
      <c r="M459">
        <v>0.15931709696460999</v>
      </c>
      <c r="N459">
        <v>1.0946890348876179</v>
      </c>
      <c r="O459">
        <v>28410.399000000001</v>
      </c>
      <c r="P459">
        <v>2.51417E-6</v>
      </c>
      <c r="Q459">
        <v>0.14285700000000001</v>
      </c>
      <c r="R459" s="61">
        <v>0.15638399145694051</v>
      </c>
      <c r="S459" t="s">
        <v>346</v>
      </c>
      <c r="T459" t="s">
        <v>436</v>
      </c>
      <c r="U459" t="s">
        <v>425</v>
      </c>
      <c r="V459" t="s">
        <v>26</v>
      </c>
      <c r="W459">
        <v>111.133</v>
      </c>
      <c r="X459">
        <v>1.0368587857491129</v>
      </c>
      <c r="Y459">
        <v>115.2292274366562</v>
      </c>
      <c r="Z459">
        <v>603.45000000000005</v>
      </c>
      <c r="AA459">
        <v>1</v>
      </c>
      <c r="AB459">
        <v>69.535077296650186</v>
      </c>
      <c r="AC459">
        <v>0.96209999999999996</v>
      </c>
      <c r="AD459" s="63">
        <v>66.900000000000006</v>
      </c>
      <c r="AE459">
        <v>8.9176000000000002</v>
      </c>
      <c r="AF459">
        <v>9.2462919077962926</v>
      </c>
      <c r="AG459">
        <v>1</v>
      </c>
      <c r="AH459">
        <v>5579.6748517596734</v>
      </c>
      <c r="AI459">
        <v>0.95992461065370505</v>
      </c>
      <c r="AJ459" s="63">
        <v>5356.0672000000004</v>
      </c>
      <c r="AK459" s="61">
        <v>837.60316724759923</v>
      </c>
      <c r="AL459" t="s">
        <v>347</v>
      </c>
      <c r="AM459" t="s">
        <v>437</v>
      </c>
      <c r="AN459" t="s">
        <v>425</v>
      </c>
      <c r="AO459" t="s">
        <v>26</v>
      </c>
      <c r="AP459">
        <v>111.133</v>
      </c>
      <c r="AQ459">
        <v>1.0541007448257309</v>
      </c>
      <c r="AR459">
        <v>117.145378074718</v>
      </c>
      <c r="AS459">
        <v>640.82000000000005</v>
      </c>
      <c r="AT459">
        <v>1</v>
      </c>
      <c r="AU459">
        <v>75.069101177840764</v>
      </c>
      <c r="AV459">
        <v>0.99109999999999998</v>
      </c>
      <c r="AW459" s="63">
        <v>74.400999999999996</v>
      </c>
      <c r="AX459">
        <v>8.9176000000000002</v>
      </c>
      <c r="AY459">
        <v>1</v>
      </c>
      <c r="AZ459">
        <v>6023.7392733347688</v>
      </c>
      <c r="BA459">
        <v>0.9830373970836227</v>
      </c>
      <c r="BB459" s="63">
        <v>5921.5609999999997</v>
      </c>
      <c r="BC459" s="61">
        <v>926.03734483575192</v>
      </c>
    </row>
    <row r="460" spans="1:55" x14ac:dyDescent="0.25">
      <c r="A460">
        <v>109471</v>
      </c>
      <c r="B460" t="s">
        <v>145</v>
      </c>
      <c r="C460">
        <v>2019</v>
      </c>
      <c r="D460">
        <v>1</v>
      </c>
      <c r="E460" t="s">
        <v>51</v>
      </c>
      <c r="F460" t="s">
        <v>426</v>
      </c>
      <c r="G460" t="s">
        <v>84</v>
      </c>
      <c r="H460" t="s">
        <v>59</v>
      </c>
      <c r="I460" t="s">
        <v>427</v>
      </c>
      <c r="J460">
        <v>-6.8711334500000003</v>
      </c>
      <c r="K460" t="s">
        <v>440</v>
      </c>
      <c r="L460" t="s">
        <v>384</v>
      </c>
      <c r="M460">
        <v>4.1785183859599999E-2</v>
      </c>
      <c r="N460">
        <v>0.2871115747359374</v>
      </c>
      <c r="O460">
        <v>28410.399000000001</v>
      </c>
      <c r="P460">
        <v>2.51417E-6</v>
      </c>
      <c r="Q460">
        <v>0.14285700000000001</v>
      </c>
      <c r="R460" s="61">
        <v>4.101589823205181E-2</v>
      </c>
      <c r="S460" t="s">
        <v>346</v>
      </c>
      <c r="T460" t="s">
        <v>436</v>
      </c>
      <c r="U460" t="s">
        <v>425</v>
      </c>
      <c r="V460" t="s">
        <v>81</v>
      </c>
      <c r="W460">
        <v>111.133</v>
      </c>
      <c r="X460">
        <v>1.0368587857491129</v>
      </c>
      <c r="Y460">
        <v>115.2292274366562</v>
      </c>
      <c r="Z460">
        <v>603.45000000000005</v>
      </c>
      <c r="AA460">
        <v>1</v>
      </c>
      <c r="AB460">
        <v>69.535077296650186</v>
      </c>
      <c r="AC460">
        <v>0.90990000000000004</v>
      </c>
      <c r="AD460" s="63">
        <v>63.27</v>
      </c>
      <c r="AE460">
        <v>8.9176000000000002</v>
      </c>
      <c r="AF460">
        <v>9.2462919077962926</v>
      </c>
      <c r="AG460">
        <v>1</v>
      </c>
      <c r="AH460">
        <v>5579.6748517596734</v>
      </c>
      <c r="AI460">
        <v>1.053620848708487</v>
      </c>
      <c r="AJ460" s="63">
        <v>5878.8617999999997</v>
      </c>
      <c r="AK460" s="61">
        <v>241.1267973090969</v>
      </c>
      <c r="AL460" t="s">
        <v>347</v>
      </c>
      <c r="AM460" t="s">
        <v>437</v>
      </c>
      <c r="AN460" t="s">
        <v>425</v>
      </c>
      <c r="AO460" t="s">
        <v>81</v>
      </c>
      <c r="AP460">
        <v>111.133</v>
      </c>
      <c r="AQ460">
        <v>1.0541007448257309</v>
      </c>
      <c r="AR460">
        <v>117.145378074718</v>
      </c>
      <c r="AS460">
        <v>640.82000000000005</v>
      </c>
      <c r="AT460">
        <v>1</v>
      </c>
      <c r="AU460">
        <v>75.069101177840764</v>
      </c>
      <c r="AV460">
        <v>0.93830000000000002</v>
      </c>
      <c r="AW460" s="63">
        <v>70.436999999999998</v>
      </c>
      <c r="AX460">
        <v>8.9176000000000002</v>
      </c>
      <c r="AY460">
        <v>1</v>
      </c>
      <c r="AZ460">
        <v>6023.7392733347688</v>
      </c>
      <c r="BA460">
        <v>1.098016605166052</v>
      </c>
      <c r="BB460" s="63">
        <v>6614.1656999999996</v>
      </c>
      <c r="BC460" s="61">
        <v>271.2859472411277</v>
      </c>
    </row>
    <row r="461" spans="1:55" x14ac:dyDescent="0.25">
      <c r="A461">
        <v>109473</v>
      </c>
      <c r="B461" t="s">
        <v>145</v>
      </c>
      <c r="C461">
        <v>2019</v>
      </c>
      <c r="D461">
        <v>1</v>
      </c>
      <c r="E461" t="s">
        <v>51</v>
      </c>
      <c r="F461" t="s">
        <v>426</v>
      </c>
      <c r="G461" t="s">
        <v>84</v>
      </c>
      <c r="H461" t="s">
        <v>59</v>
      </c>
      <c r="I461" t="s">
        <v>427</v>
      </c>
      <c r="J461">
        <v>-6.8711334500000003</v>
      </c>
      <c r="K461" t="s">
        <v>440</v>
      </c>
      <c r="L461" t="s">
        <v>385</v>
      </c>
      <c r="M461">
        <v>0.43497567483749999</v>
      </c>
      <c r="N461">
        <v>2.988775911434201</v>
      </c>
      <c r="O461">
        <v>28410.399000000001</v>
      </c>
      <c r="P461">
        <v>2.51417E-6</v>
      </c>
      <c r="Q461">
        <v>0.14285700000000001</v>
      </c>
      <c r="R461" s="61">
        <v>0.42696756037975581</v>
      </c>
      <c r="S461" t="s">
        <v>346</v>
      </c>
      <c r="T461" t="s">
        <v>436</v>
      </c>
      <c r="U461" t="s">
        <v>425</v>
      </c>
      <c r="V461" t="s">
        <v>27</v>
      </c>
      <c r="W461">
        <v>111.133</v>
      </c>
      <c r="X461">
        <v>1.0368587857491129</v>
      </c>
      <c r="Y461">
        <v>115.2292274366562</v>
      </c>
      <c r="Z461">
        <v>603.45000000000005</v>
      </c>
      <c r="AA461">
        <v>1</v>
      </c>
      <c r="AB461">
        <v>69.535077296650186</v>
      </c>
      <c r="AC461">
        <v>0.93979999999999997</v>
      </c>
      <c r="AD461" s="63">
        <v>65.349000000000004</v>
      </c>
      <c r="AE461">
        <v>8.9176000000000002</v>
      </c>
      <c r="AF461">
        <v>9.2462919077962926</v>
      </c>
      <c r="AG461">
        <v>1</v>
      </c>
      <c r="AH461">
        <v>5579.6748517596734</v>
      </c>
      <c r="AI461">
        <v>0.95477850697292876</v>
      </c>
      <c r="AJ461" s="63">
        <v>5327.3536000000004</v>
      </c>
      <c r="AK461" s="61">
        <v>2274.607169872309</v>
      </c>
      <c r="AL461" t="s">
        <v>347</v>
      </c>
      <c r="AM461" t="s">
        <v>437</v>
      </c>
      <c r="AN461" t="s">
        <v>425</v>
      </c>
      <c r="AO461" t="s">
        <v>27</v>
      </c>
      <c r="AP461">
        <v>111.133</v>
      </c>
      <c r="AQ461">
        <v>1.0541007448257309</v>
      </c>
      <c r="AR461">
        <v>117.145378074718</v>
      </c>
      <c r="AS461">
        <v>640.82000000000005</v>
      </c>
      <c r="AT461">
        <v>1</v>
      </c>
      <c r="AU461">
        <v>75.069101177840764</v>
      </c>
      <c r="AV461">
        <v>0.95889999999999997</v>
      </c>
      <c r="AW461" s="63">
        <v>71.983999999999995</v>
      </c>
      <c r="AX461">
        <v>8.9176000000000002</v>
      </c>
      <c r="AY461">
        <v>1</v>
      </c>
      <c r="AZ461">
        <v>6023.7392733347688</v>
      </c>
      <c r="BA461">
        <v>0.99097621000820357</v>
      </c>
      <c r="BB461" s="63">
        <v>5969.3823000000002</v>
      </c>
      <c r="BC461" s="61">
        <v>2548.7325976050952</v>
      </c>
    </row>
    <row r="462" spans="1:55" x14ac:dyDescent="0.25">
      <c r="A462">
        <v>109475</v>
      </c>
      <c r="B462" t="s">
        <v>145</v>
      </c>
      <c r="C462">
        <v>2019</v>
      </c>
      <c r="D462">
        <v>1</v>
      </c>
      <c r="E462" t="s">
        <v>51</v>
      </c>
      <c r="F462" t="s">
        <v>426</v>
      </c>
      <c r="G462" t="s">
        <v>84</v>
      </c>
      <c r="H462" t="s">
        <v>59</v>
      </c>
      <c r="I462" t="s">
        <v>427</v>
      </c>
      <c r="J462">
        <v>-6.8711334500000003</v>
      </c>
      <c r="K462" t="s">
        <v>440</v>
      </c>
      <c r="L462" t="s">
        <v>451</v>
      </c>
      <c r="M462">
        <v>1.7625750762999999E-3</v>
      </c>
      <c r="N462">
        <v>1.2110888573499561E-2</v>
      </c>
      <c r="O462">
        <v>28410.399000000001</v>
      </c>
      <c r="P462">
        <v>2.51417E-6</v>
      </c>
      <c r="Q462">
        <v>0.14285700000000001</v>
      </c>
      <c r="R462" s="61">
        <v>1.730125208944427E-3</v>
      </c>
      <c r="S462" t="s">
        <v>346</v>
      </c>
      <c r="T462" t="s">
        <v>436</v>
      </c>
      <c r="U462" t="s">
        <v>425</v>
      </c>
      <c r="V462" t="s">
        <v>91</v>
      </c>
      <c r="W462">
        <v>111.133</v>
      </c>
      <c r="X462">
        <v>1.0368587857491129</v>
      </c>
      <c r="Y462">
        <v>115.2292274366562</v>
      </c>
      <c r="Z462">
        <v>603.45000000000005</v>
      </c>
      <c r="AA462">
        <v>1</v>
      </c>
      <c r="AB462">
        <v>69.535077296650186</v>
      </c>
      <c r="AC462">
        <v>0.99250000000000005</v>
      </c>
      <c r="AD462" s="63">
        <v>69.013999999999996</v>
      </c>
      <c r="AE462">
        <v>8.9176000000000002</v>
      </c>
      <c r="AF462">
        <v>9.2462919077962926</v>
      </c>
      <c r="AG462">
        <v>1</v>
      </c>
      <c r="AH462">
        <v>5579.6748517596734</v>
      </c>
      <c r="AI462">
        <v>0.96573604060913698</v>
      </c>
      <c r="AJ462" s="63">
        <v>5388.4930999999997</v>
      </c>
      <c r="AK462" s="61">
        <v>9.322767750533103</v>
      </c>
      <c r="AL462" t="s">
        <v>347</v>
      </c>
      <c r="AM462" t="s">
        <v>437</v>
      </c>
      <c r="AN462" t="s">
        <v>425</v>
      </c>
      <c r="AO462" t="s">
        <v>91</v>
      </c>
      <c r="AP462">
        <v>111.133</v>
      </c>
      <c r="AQ462">
        <v>1.0541007448257309</v>
      </c>
      <c r="AR462">
        <v>117.145378074718</v>
      </c>
      <c r="AS462">
        <v>640.82000000000005</v>
      </c>
      <c r="AT462">
        <v>1</v>
      </c>
      <c r="AU462">
        <v>75.069101177840764</v>
      </c>
      <c r="AV462">
        <v>1.0088999999999999</v>
      </c>
      <c r="AW462" s="63">
        <v>75.736999999999995</v>
      </c>
      <c r="AX462">
        <v>8.9176000000000002</v>
      </c>
      <c r="AY462">
        <v>1</v>
      </c>
      <c r="AZ462">
        <v>6023.7392733347688</v>
      </c>
      <c r="BA462">
        <v>0.99316673174541203</v>
      </c>
      <c r="BB462" s="63">
        <v>5982.5774000000001</v>
      </c>
      <c r="BC462" s="61">
        <v>10.35060797420121</v>
      </c>
    </row>
    <row r="463" spans="1:55" x14ac:dyDescent="0.25">
      <c r="A463">
        <v>109477</v>
      </c>
      <c r="B463" t="s">
        <v>145</v>
      </c>
      <c r="C463">
        <v>2019</v>
      </c>
      <c r="D463">
        <v>1</v>
      </c>
      <c r="E463" t="s">
        <v>51</v>
      </c>
      <c r="F463" t="s">
        <v>426</v>
      </c>
      <c r="G463" t="s">
        <v>84</v>
      </c>
      <c r="H463" t="s">
        <v>59</v>
      </c>
      <c r="I463" t="s">
        <v>427</v>
      </c>
      <c r="J463">
        <v>-6.8711334500000003</v>
      </c>
      <c r="K463" t="s">
        <v>440</v>
      </c>
      <c r="L463" t="s">
        <v>452</v>
      </c>
      <c r="M463">
        <v>1.4858046103299999E-3</v>
      </c>
      <c r="N463">
        <v>1.020916176545085E-2</v>
      </c>
      <c r="O463">
        <v>28410.399000000001</v>
      </c>
      <c r="P463">
        <v>2.51417E-6</v>
      </c>
      <c r="Q463">
        <v>0.14285700000000001</v>
      </c>
      <c r="R463" s="61">
        <v>1.4584502223270121E-3</v>
      </c>
      <c r="S463" t="s">
        <v>346</v>
      </c>
      <c r="T463" t="s">
        <v>436</v>
      </c>
      <c r="U463" t="s">
        <v>425</v>
      </c>
      <c r="V463" t="s">
        <v>28</v>
      </c>
      <c r="W463">
        <v>111.133</v>
      </c>
      <c r="X463">
        <v>1.0368587857491129</v>
      </c>
      <c r="Y463">
        <v>115.2292274366562</v>
      </c>
      <c r="Z463">
        <v>603.45000000000005</v>
      </c>
      <c r="AA463">
        <v>1</v>
      </c>
      <c r="AB463">
        <v>69.535077296650186</v>
      </c>
      <c r="AC463">
        <v>0.99760000000000004</v>
      </c>
      <c r="AD463" s="63">
        <v>69.367999999999995</v>
      </c>
      <c r="AE463">
        <v>8.9176000000000002</v>
      </c>
      <c r="AF463">
        <v>9.2462919077962926</v>
      </c>
      <c r="AG463">
        <v>1</v>
      </c>
      <c r="AH463">
        <v>5579.6748517596734</v>
      </c>
      <c r="AI463">
        <v>0.96062216971844849</v>
      </c>
      <c r="AJ463" s="63">
        <v>5359.9593999999997</v>
      </c>
      <c r="AK463" s="61">
        <v>7.8172339785937552</v>
      </c>
      <c r="AL463" t="s">
        <v>347</v>
      </c>
      <c r="AM463" t="s">
        <v>437</v>
      </c>
      <c r="AN463" t="s">
        <v>425</v>
      </c>
      <c r="AO463" t="s">
        <v>28</v>
      </c>
      <c r="AP463">
        <v>111.133</v>
      </c>
      <c r="AQ463">
        <v>1.0541007448257309</v>
      </c>
      <c r="AR463">
        <v>117.145378074718</v>
      </c>
      <c r="AS463">
        <v>640.82000000000005</v>
      </c>
      <c r="AT463">
        <v>1</v>
      </c>
      <c r="AU463">
        <v>75.069101177840764</v>
      </c>
      <c r="AV463">
        <v>1.0073000000000001</v>
      </c>
      <c r="AW463" s="63">
        <v>75.617000000000004</v>
      </c>
      <c r="AX463">
        <v>8.9176000000000002</v>
      </c>
      <c r="AY463">
        <v>1</v>
      </c>
      <c r="AZ463">
        <v>6023.7392733347688</v>
      </c>
      <c r="BA463">
        <v>0.99399488088206345</v>
      </c>
      <c r="BB463" s="63">
        <v>5987.5659999999998</v>
      </c>
      <c r="BC463" s="61">
        <v>8.7325669638976553</v>
      </c>
    </row>
    <row r="464" spans="1:55" x14ac:dyDescent="0.25">
      <c r="A464">
        <v>116339</v>
      </c>
      <c r="B464" t="s">
        <v>147</v>
      </c>
      <c r="C464">
        <v>2019</v>
      </c>
      <c r="D464">
        <v>2</v>
      </c>
      <c r="E464" t="s">
        <v>51</v>
      </c>
      <c r="F464" t="s">
        <v>426</v>
      </c>
      <c r="G464" t="s">
        <v>84</v>
      </c>
      <c r="H464" t="s">
        <v>381</v>
      </c>
      <c r="I464" t="s">
        <v>427</v>
      </c>
      <c r="J464">
        <v>-14.47972981</v>
      </c>
      <c r="K464" t="s">
        <v>440</v>
      </c>
      <c r="L464" t="s">
        <v>450</v>
      </c>
      <c r="M464">
        <v>0.15011157993331001</v>
      </c>
      <c r="N464">
        <v>2.1735751184675922</v>
      </c>
      <c r="O464">
        <v>28410.399000000001</v>
      </c>
      <c r="P464">
        <v>2.51417E-6</v>
      </c>
      <c r="Q464">
        <v>0.14285700000000001</v>
      </c>
      <c r="R464" s="61">
        <v>0.31051042069892482</v>
      </c>
      <c r="S464" t="s">
        <v>346</v>
      </c>
      <c r="T464" t="s">
        <v>436</v>
      </c>
      <c r="U464" t="s">
        <v>425</v>
      </c>
      <c r="V464" t="s">
        <v>26</v>
      </c>
      <c r="W464">
        <v>111.133</v>
      </c>
      <c r="X464">
        <v>1.0368587857491129</v>
      </c>
      <c r="Y464">
        <v>115.2292274366562</v>
      </c>
      <c r="Z464">
        <v>603.45000000000005</v>
      </c>
      <c r="AA464">
        <v>1</v>
      </c>
      <c r="AB464">
        <v>69.535077296650186</v>
      </c>
      <c r="AC464">
        <v>0.96209999999999996</v>
      </c>
      <c r="AD464" s="63">
        <v>66.900000000000006</v>
      </c>
      <c r="AE464">
        <v>8.9176000000000002</v>
      </c>
      <c r="AF464">
        <v>9.2462919077962926</v>
      </c>
      <c r="AG464">
        <v>1</v>
      </c>
      <c r="AH464">
        <v>5579.6748517596734</v>
      </c>
      <c r="AI464">
        <v>0.95992461065370505</v>
      </c>
      <c r="AJ464" s="63">
        <v>5356.0672000000004</v>
      </c>
      <c r="AK464" s="61">
        <v>1663.1146795637119</v>
      </c>
      <c r="AL464" t="s">
        <v>347</v>
      </c>
      <c r="AM464" t="s">
        <v>437</v>
      </c>
      <c r="AN464" t="s">
        <v>425</v>
      </c>
      <c r="AO464" t="s">
        <v>26</v>
      </c>
      <c r="AP464">
        <v>111.133</v>
      </c>
      <c r="AQ464">
        <v>1.0541007448257309</v>
      </c>
      <c r="AR464">
        <v>117.145378074718</v>
      </c>
      <c r="AS464">
        <v>640.82000000000005</v>
      </c>
      <c r="AT464">
        <v>1</v>
      </c>
      <c r="AU464">
        <v>75.069101177840764</v>
      </c>
      <c r="AV464">
        <v>0.99109999999999998</v>
      </c>
      <c r="AW464" s="63">
        <v>74.400999999999996</v>
      </c>
      <c r="AX464">
        <v>8.9176000000000002</v>
      </c>
      <c r="AY464">
        <v>1</v>
      </c>
      <c r="AZ464">
        <v>6023.7392733347688</v>
      </c>
      <c r="BA464">
        <v>0.9830373970836227</v>
      </c>
      <c r="BB464" s="63">
        <v>5921.5609999999997</v>
      </c>
      <c r="BC464" s="61">
        <v>1838.706397304346</v>
      </c>
    </row>
    <row r="465" spans="1:55" x14ac:dyDescent="0.25">
      <c r="A465">
        <v>116341</v>
      </c>
      <c r="B465" t="s">
        <v>147</v>
      </c>
      <c r="C465">
        <v>2019</v>
      </c>
      <c r="D465">
        <v>2</v>
      </c>
      <c r="E465" t="s">
        <v>51</v>
      </c>
      <c r="F465" t="s">
        <v>426</v>
      </c>
      <c r="G465" t="s">
        <v>84</v>
      </c>
      <c r="H465" t="s">
        <v>381</v>
      </c>
      <c r="I465" t="s">
        <v>427</v>
      </c>
      <c r="J465">
        <v>-14.47972981</v>
      </c>
      <c r="K465" t="s">
        <v>440</v>
      </c>
      <c r="L465" t="s">
        <v>384</v>
      </c>
      <c r="M465">
        <v>4.5811354346740003E-2</v>
      </c>
      <c r="N465">
        <v>0.66333603307362488</v>
      </c>
      <c r="O465">
        <v>28410.399000000001</v>
      </c>
      <c r="P465">
        <v>2.51417E-6</v>
      </c>
      <c r="Q465">
        <v>0.14285700000000001</v>
      </c>
      <c r="R465" s="61">
        <v>9.4762195676798833E-2</v>
      </c>
      <c r="S465" t="s">
        <v>346</v>
      </c>
      <c r="T465" t="s">
        <v>436</v>
      </c>
      <c r="U465" t="s">
        <v>425</v>
      </c>
      <c r="V465" t="s">
        <v>81</v>
      </c>
      <c r="W465">
        <v>111.133</v>
      </c>
      <c r="X465">
        <v>1.0368587857491129</v>
      </c>
      <c r="Y465">
        <v>115.2292274366562</v>
      </c>
      <c r="Z465">
        <v>603.45000000000005</v>
      </c>
      <c r="AA465">
        <v>1</v>
      </c>
      <c r="AB465">
        <v>69.535077296650186</v>
      </c>
      <c r="AC465">
        <v>0.90990000000000004</v>
      </c>
      <c r="AD465" s="63">
        <v>63.27</v>
      </c>
      <c r="AE465">
        <v>8.9176000000000002</v>
      </c>
      <c r="AF465">
        <v>9.2462919077962926</v>
      </c>
      <c r="AG465">
        <v>1</v>
      </c>
      <c r="AH465">
        <v>5579.6748517596734</v>
      </c>
      <c r="AI465">
        <v>1.053620848708487</v>
      </c>
      <c r="AJ465" s="63">
        <v>5878.8617999999997</v>
      </c>
      <c r="AK465" s="61">
        <v>557.09385224845778</v>
      </c>
      <c r="AL465" t="s">
        <v>347</v>
      </c>
      <c r="AM465" t="s">
        <v>437</v>
      </c>
      <c r="AN465" t="s">
        <v>425</v>
      </c>
      <c r="AO465" t="s">
        <v>81</v>
      </c>
      <c r="AP465">
        <v>111.133</v>
      </c>
      <c r="AQ465">
        <v>1.0541007448257309</v>
      </c>
      <c r="AR465">
        <v>117.145378074718</v>
      </c>
      <c r="AS465">
        <v>640.82000000000005</v>
      </c>
      <c r="AT465">
        <v>1</v>
      </c>
      <c r="AU465">
        <v>75.069101177840764</v>
      </c>
      <c r="AV465">
        <v>0.93830000000000002</v>
      </c>
      <c r="AW465" s="63">
        <v>70.436999999999998</v>
      </c>
      <c r="AX465">
        <v>8.9176000000000002</v>
      </c>
      <c r="AY465">
        <v>1</v>
      </c>
      <c r="AZ465">
        <v>6023.7392733347688</v>
      </c>
      <c r="BA465">
        <v>1.098016605166052</v>
      </c>
      <c r="BB465" s="63">
        <v>6614.1656999999996</v>
      </c>
      <c r="BC465" s="61">
        <v>626.77286430217112</v>
      </c>
    </row>
    <row r="466" spans="1:55" x14ac:dyDescent="0.25">
      <c r="A466">
        <v>116343</v>
      </c>
      <c r="B466" t="s">
        <v>147</v>
      </c>
      <c r="C466">
        <v>2019</v>
      </c>
      <c r="D466">
        <v>2</v>
      </c>
      <c r="E466" t="s">
        <v>51</v>
      </c>
      <c r="F466" t="s">
        <v>426</v>
      </c>
      <c r="G466" t="s">
        <v>84</v>
      </c>
      <c r="H466" t="s">
        <v>381</v>
      </c>
      <c r="I466" t="s">
        <v>427</v>
      </c>
      <c r="J466">
        <v>-14.47972981</v>
      </c>
      <c r="K466" t="s">
        <v>440</v>
      </c>
      <c r="L466" t="s">
        <v>385</v>
      </c>
      <c r="M466">
        <v>0.43232641346992001</v>
      </c>
      <c r="N466">
        <v>6.2599696558521849</v>
      </c>
      <c r="O466">
        <v>28410.399000000001</v>
      </c>
      <c r="P466">
        <v>2.51417E-6</v>
      </c>
      <c r="Q466">
        <v>0.14285700000000001</v>
      </c>
      <c r="R466" s="61">
        <v>0.89428048512607561</v>
      </c>
      <c r="S466" t="s">
        <v>346</v>
      </c>
      <c r="T466" t="s">
        <v>436</v>
      </c>
      <c r="U466" t="s">
        <v>425</v>
      </c>
      <c r="V466" t="s">
        <v>27</v>
      </c>
      <c r="W466">
        <v>111.133</v>
      </c>
      <c r="X466">
        <v>1.0368587857491129</v>
      </c>
      <c r="Y466">
        <v>115.2292274366562</v>
      </c>
      <c r="Z466">
        <v>603.45000000000005</v>
      </c>
      <c r="AA466">
        <v>1</v>
      </c>
      <c r="AB466">
        <v>69.535077296650186</v>
      </c>
      <c r="AC466">
        <v>0.93979999999999997</v>
      </c>
      <c r="AD466" s="63">
        <v>65.349000000000004</v>
      </c>
      <c r="AE466">
        <v>8.9176000000000002</v>
      </c>
      <c r="AF466">
        <v>9.2462919077962926</v>
      </c>
      <c r="AG466">
        <v>1</v>
      </c>
      <c r="AH466">
        <v>5579.6748517596734</v>
      </c>
      <c r="AI466">
        <v>0.95477850697292876</v>
      </c>
      <c r="AJ466" s="63">
        <v>5327.3536000000004</v>
      </c>
      <c r="AK466" s="61">
        <v>4764.1483618461452</v>
      </c>
      <c r="AL466" t="s">
        <v>347</v>
      </c>
      <c r="AM466" t="s">
        <v>437</v>
      </c>
      <c r="AN466" t="s">
        <v>425</v>
      </c>
      <c r="AO466" t="s">
        <v>27</v>
      </c>
      <c r="AP466">
        <v>111.133</v>
      </c>
      <c r="AQ466">
        <v>1.0541007448257309</v>
      </c>
      <c r="AR466">
        <v>117.145378074718</v>
      </c>
      <c r="AS466">
        <v>640.82000000000005</v>
      </c>
      <c r="AT466">
        <v>1</v>
      </c>
      <c r="AU466">
        <v>75.069101177840764</v>
      </c>
      <c r="AV466">
        <v>0.95889999999999997</v>
      </c>
      <c r="AW466" s="63">
        <v>71.983999999999995</v>
      </c>
      <c r="AX466">
        <v>8.9176000000000002</v>
      </c>
      <c r="AY466">
        <v>1</v>
      </c>
      <c r="AZ466">
        <v>6023.7392733347688</v>
      </c>
      <c r="BA466">
        <v>0.99097621000820357</v>
      </c>
      <c r="BB466" s="63">
        <v>5969.3823000000002</v>
      </c>
      <c r="BC466" s="61">
        <v>5338.3020991470094</v>
      </c>
    </row>
    <row r="467" spans="1:55" x14ac:dyDescent="0.25">
      <c r="A467">
        <v>116345</v>
      </c>
      <c r="B467" t="s">
        <v>147</v>
      </c>
      <c r="C467">
        <v>2019</v>
      </c>
      <c r="D467">
        <v>2</v>
      </c>
      <c r="E467" t="s">
        <v>51</v>
      </c>
      <c r="F467" t="s">
        <v>426</v>
      </c>
      <c r="G467" t="s">
        <v>84</v>
      </c>
      <c r="H467" t="s">
        <v>381</v>
      </c>
      <c r="I467" t="s">
        <v>427</v>
      </c>
      <c r="J467">
        <v>-14.47972981</v>
      </c>
      <c r="K467" t="s">
        <v>440</v>
      </c>
      <c r="L467" t="s">
        <v>451</v>
      </c>
      <c r="M467">
        <v>1.6825115802299999E-3</v>
      </c>
      <c r="N467">
        <v>2.4362313080351559E-2</v>
      </c>
      <c r="O467">
        <v>28410.399000000001</v>
      </c>
      <c r="P467">
        <v>2.51417E-6</v>
      </c>
      <c r="Q467">
        <v>0.14285700000000001</v>
      </c>
      <c r="R467" s="61">
        <v>3.480326959719783E-3</v>
      </c>
      <c r="S467" t="s">
        <v>346</v>
      </c>
      <c r="T467" t="s">
        <v>436</v>
      </c>
      <c r="U467" t="s">
        <v>425</v>
      </c>
      <c r="V467" t="s">
        <v>91</v>
      </c>
      <c r="W467">
        <v>111.133</v>
      </c>
      <c r="X467">
        <v>1.0368587857491129</v>
      </c>
      <c r="Y467">
        <v>115.2292274366562</v>
      </c>
      <c r="Z467">
        <v>603.45000000000005</v>
      </c>
      <c r="AA467">
        <v>1</v>
      </c>
      <c r="AB467">
        <v>69.535077296650186</v>
      </c>
      <c r="AC467">
        <v>0.99250000000000005</v>
      </c>
      <c r="AD467" s="63">
        <v>69.013999999999996</v>
      </c>
      <c r="AE467">
        <v>8.9176000000000002</v>
      </c>
      <c r="AF467">
        <v>9.2462919077962926</v>
      </c>
      <c r="AG467">
        <v>1</v>
      </c>
      <c r="AH467">
        <v>5579.6748517596734</v>
      </c>
      <c r="AI467">
        <v>0.96573604060913698</v>
      </c>
      <c r="AJ467" s="63">
        <v>5388.4930999999997</v>
      </c>
      <c r="AK467" s="61">
        <v>18.753717808194029</v>
      </c>
      <c r="AL467" t="s">
        <v>347</v>
      </c>
      <c r="AM467" t="s">
        <v>437</v>
      </c>
      <c r="AN467" t="s">
        <v>425</v>
      </c>
      <c r="AO467" t="s">
        <v>91</v>
      </c>
      <c r="AP467">
        <v>111.133</v>
      </c>
      <c r="AQ467">
        <v>1.0541007448257309</v>
      </c>
      <c r="AR467">
        <v>117.145378074718</v>
      </c>
      <c r="AS467">
        <v>640.82000000000005</v>
      </c>
      <c r="AT467">
        <v>1</v>
      </c>
      <c r="AU467">
        <v>75.069101177840764</v>
      </c>
      <c r="AV467">
        <v>1.0088999999999999</v>
      </c>
      <c r="AW467" s="63">
        <v>75.736999999999995</v>
      </c>
      <c r="AX467">
        <v>8.9176000000000002</v>
      </c>
      <c r="AY467">
        <v>1</v>
      </c>
      <c r="AZ467">
        <v>6023.7392733347688</v>
      </c>
      <c r="BA467">
        <v>0.99316673174541203</v>
      </c>
      <c r="BB467" s="63">
        <v>5982.5774000000001</v>
      </c>
      <c r="BC467" s="61">
        <v>20.82132541383028</v>
      </c>
    </row>
    <row r="468" spans="1:55" x14ac:dyDescent="0.25">
      <c r="A468">
        <v>116347</v>
      </c>
      <c r="B468" t="s">
        <v>147</v>
      </c>
      <c r="C468">
        <v>2019</v>
      </c>
      <c r="D468">
        <v>2</v>
      </c>
      <c r="E468" t="s">
        <v>51</v>
      </c>
      <c r="F468" t="s">
        <v>426</v>
      </c>
      <c r="G468" t="s">
        <v>84</v>
      </c>
      <c r="H468" t="s">
        <v>381</v>
      </c>
      <c r="I468" t="s">
        <v>427</v>
      </c>
      <c r="J468">
        <v>-14.47972981</v>
      </c>
      <c r="K468" t="s">
        <v>440</v>
      </c>
      <c r="L468" t="s">
        <v>452</v>
      </c>
      <c r="M468">
        <v>1.53682162831E-3</v>
      </c>
      <c r="N468">
        <v>2.225276194082763E-2</v>
      </c>
      <c r="O468">
        <v>28410.399000000001</v>
      </c>
      <c r="P468">
        <v>2.51417E-6</v>
      </c>
      <c r="Q468">
        <v>0.14285700000000001</v>
      </c>
      <c r="R468" s="61">
        <v>3.178962812580813E-3</v>
      </c>
      <c r="S468" t="s">
        <v>346</v>
      </c>
      <c r="T468" t="s">
        <v>436</v>
      </c>
      <c r="U468" t="s">
        <v>425</v>
      </c>
      <c r="V468" t="s">
        <v>28</v>
      </c>
      <c r="W468">
        <v>111.133</v>
      </c>
      <c r="X468">
        <v>1.0368587857491129</v>
      </c>
      <c r="Y468">
        <v>115.2292274366562</v>
      </c>
      <c r="Z468">
        <v>603.45000000000005</v>
      </c>
      <c r="AA468">
        <v>1</v>
      </c>
      <c r="AB468">
        <v>69.535077296650186</v>
      </c>
      <c r="AC468">
        <v>0.99760000000000004</v>
      </c>
      <c r="AD468" s="63">
        <v>69.367999999999995</v>
      </c>
      <c r="AE468">
        <v>8.9176000000000002</v>
      </c>
      <c r="AF468">
        <v>9.2462919077962926</v>
      </c>
      <c r="AG468">
        <v>1</v>
      </c>
      <c r="AH468">
        <v>5579.6748517596734</v>
      </c>
      <c r="AI468">
        <v>0.96062216971844849</v>
      </c>
      <c r="AJ468" s="63">
        <v>5359.9593999999997</v>
      </c>
      <c r="AK468" s="61">
        <v>17.03911160954296</v>
      </c>
      <c r="AL468" t="s">
        <v>347</v>
      </c>
      <c r="AM468" t="s">
        <v>437</v>
      </c>
      <c r="AN468" t="s">
        <v>425</v>
      </c>
      <c r="AO468" t="s">
        <v>28</v>
      </c>
      <c r="AP468">
        <v>111.133</v>
      </c>
      <c r="AQ468">
        <v>1.0541007448257309</v>
      </c>
      <c r="AR468">
        <v>117.145378074718</v>
      </c>
      <c r="AS468">
        <v>640.82000000000005</v>
      </c>
      <c r="AT468">
        <v>1</v>
      </c>
      <c r="AU468">
        <v>75.069101177840764</v>
      </c>
      <c r="AV468">
        <v>1.0073000000000001</v>
      </c>
      <c r="AW468" s="63">
        <v>75.617000000000004</v>
      </c>
      <c r="AX468">
        <v>8.9176000000000002</v>
      </c>
      <c r="AY468">
        <v>1</v>
      </c>
      <c r="AZ468">
        <v>6023.7392733347688</v>
      </c>
      <c r="BA468">
        <v>0.99399488088206345</v>
      </c>
      <c r="BB468" s="63">
        <v>5987.5659999999998</v>
      </c>
      <c r="BC468" s="61">
        <v>19.03424965187325</v>
      </c>
    </row>
    <row r="469" spans="1:55" x14ac:dyDescent="0.25">
      <c r="A469">
        <v>116349</v>
      </c>
      <c r="B469" t="s">
        <v>147</v>
      </c>
      <c r="C469">
        <v>2019</v>
      </c>
      <c r="D469">
        <v>2</v>
      </c>
      <c r="E469" t="s">
        <v>51</v>
      </c>
      <c r="F469" t="s">
        <v>426</v>
      </c>
      <c r="G469" t="s">
        <v>84</v>
      </c>
      <c r="H469" t="s">
        <v>87</v>
      </c>
      <c r="I469" t="s">
        <v>427</v>
      </c>
      <c r="J469">
        <v>-2.8894547099999999</v>
      </c>
      <c r="K469" t="s">
        <v>440</v>
      </c>
      <c r="L469" t="s">
        <v>450</v>
      </c>
      <c r="M469">
        <v>0.26601384014995</v>
      </c>
      <c r="N469">
        <v>0.76863494270599675</v>
      </c>
      <c r="O469">
        <v>28410.399000000001</v>
      </c>
      <c r="P469">
        <v>2.51417E-6</v>
      </c>
      <c r="Q469">
        <v>0.14285700000000001</v>
      </c>
      <c r="R469" s="61">
        <v>0.1098048820101506</v>
      </c>
      <c r="S469" t="s">
        <v>346</v>
      </c>
      <c r="T469" t="s">
        <v>436</v>
      </c>
      <c r="U469" t="s">
        <v>425</v>
      </c>
      <c r="V469" t="s">
        <v>26</v>
      </c>
      <c r="W469">
        <v>111.133</v>
      </c>
      <c r="X469">
        <v>1.0368587857491129</v>
      </c>
      <c r="Y469">
        <v>115.2292274366562</v>
      </c>
      <c r="Z469">
        <v>603.45000000000005</v>
      </c>
      <c r="AA469">
        <v>1</v>
      </c>
      <c r="AB469">
        <v>69.535077296650186</v>
      </c>
      <c r="AC469">
        <v>0.96209999999999996</v>
      </c>
      <c r="AD469" s="63">
        <v>66.900000000000006</v>
      </c>
      <c r="AE469">
        <v>8.9176000000000002</v>
      </c>
      <c r="AF469">
        <v>9.2462919077962926</v>
      </c>
      <c r="AG469">
        <v>1</v>
      </c>
      <c r="AH469">
        <v>5579.6748517596734</v>
      </c>
      <c r="AI469">
        <v>0.95992461065370505</v>
      </c>
      <c r="AJ469" s="63">
        <v>5356.0672000000004</v>
      </c>
      <c r="AK469" s="61">
        <v>588.12232693443764</v>
      </c>
      <c r="AL469" t="s">
        <v>347</v>
      </c>
      <c r="AM469" t="s">
        <v>437</v>
      </c>
      <c r="AN469" t="s">
        <v>425</v>
      </c>
      <c r="AO469" t="s">
        <v>26</v>
      </c>
      <c r="AP469">
        <v>111.133</v>
      </c>
      <c r="AQ469">
        <v>1.0541007448257309</v>
      </c>
      <c r="AR469">
        <v>117.145378074718</v>
      </c>
      <c r="AS469">
        <v>640.82000000000005</v>
      </c>
      <c r="AT469">
        <v>1</v>
      </c>
      <c r="AU469">
        <v>75.069101177840764</v>
      </c>
      <c r="AV469">
        <v>0.99109999999999998</v>
      </c>
      <c r="AW469" s="63">
        <v>74.400999999999996</v>
      </c>
      <c r="AX469">
        <v>8.9176000000000002</v>
      </c>
      <c r="AY469">
        <v>1</v>
      </c>
      <c r="AZ469">
        <v>6023.7392733347688</v>
      </c>
      <c r="BA469">
        <v>0.9830373970836227</v>
      </c>
      <c r="BB469" s="63">
        <v>5921.5609999999997</v>
      </c>
      <c r="BC469" s="61">
        <v>650.21630692090923</v>
      </c>
    </row>
    <row r="470" spans="1:55" x14ac:dyDescent="0.25">
      <c r="A470">
        <v>116351</v>
      </c>
      <c r="B470" t="s">
        <v>147</v>
      </c>
      <c r="C470">
        <v>2019</v>
      </c>
      <c r="D470">
        <v>2</v>
      </c>
      <c r="E470" t="s">
        <v>51</v>
      </c>
      <c r="F470" t="s">
        <v>426</v>
      </c>
      <c r="G470" t="s">
        <v>84</v>
      </c>
      <c r="H470" t="s">
        <v>87</v>
      </c>
      <c r="I470" t="s">
        <v>427</v>
      </c>
      <c r="J470">
        <v>-2.8894547099999999</v>
      </c>
      <c r="K470" t="s">
        <v>440</v>
      </c>
      <c r="L470" t="s">
        <v>384</v>
      </c>
      <c r="M470">
        <v>3.9509559941419997E-2</v>
      </c>
      <c r="N470">
        <v>0.1141610839676389</v>
      </c>
      <c r="O470">
        <v>28410.399000000001</v>
      </c>
      <c r="P470">
        <v>2.51417E-6</v>
      </c>
      <c r="Q470">
        <v>0.14285700000000001</v>
      </c>
      <c r="R470" s="61">
        <v>1.6308709972364981E-2</v>
      </c>
      <c r="S470" t="s">
        <v>346</v>
      </c>
      <c r="T470" t="s">
        <v>436</v>
      </c>
      <c r="U470" t="s">
        <v>425</v>
      </c>
      <c r="V470" t="s">
        <v>81</v>
      </c>
      <c r="W470">
        <v>111.133</v>
      </c>
      <c r="X470">
        <v>1.0368587857491129</v>
      </c>
      <c r="Y470">
        <v>115.2292274366562</v>
      </c>
      <c r="Z470">
        <v>603.45000000000005</v>
      </c>
      <c r="AA470">
        <v>1</v>
      </c>
      <c r="AB470">
        <v>69.535077296650186</v>
      </c>
      <c r="AC470">
        <v>0.90990000000000004</v>
      </c>
      <c r="AD470" s="63">
        <v>63.27</v>
      </c>
      <c r="AE470">
        <v>8.9176000000000002</v>
      </c>
      <c r="AF470">
        <v>9.2462919077962926</v>
      </c>
      <c r="AG470">
        <v>1</v>
      </c>
      <c r="AH470">
        <v>5579.6748517596734</v>
      </c>
      <c r="AI470">
        <v>1.053620848708487</v>
      </c>
      <c r="AJ470" s="63">
        <v>5878.8617999999997</v>
      </c>
      <c r="AK470" s="61">
        <v>95.876652063815555</v>
      </c>
      <c r="AL470" t="s">
        <v>347</v>
      </c>
      <c r="AM470" t="s">
        <v>437</v>
      </c>
      <c r="AN470" t="s">
        <v>425</v>
      </c>
      <c r="AO470" t="s">
        <v>81</v>
      </c>
      <c r="AP470">
        <v>111.133</v>
      </c>
      <c r="AQ470">
        <v>1.0541007448257309</v>
      </c>
      <c r="AR470">
        <v>117.145378074718</v>
      </c>
      <c r="AS470">
        <v>640.82000000000005</v>
      </c>
      <c r="AT470">
        <v>1</v>
      </c>
      <c r="AU470">
        <v>75.069101177840764</v>
      </c>
      <c r="AV470">
        <v>0.93830000000000002</v>
      </c>
      <c r="AW470" s="63">
        <v>70.436999999999998</v>
      </c>
      <c r="AX470">
        <v>8.9176000000000002</v>
      </c>
      <c r="AY470">
        <v>1</v>
      </c>
      <c r="AZ470">
        <v>6023.7392733347688</v>
      </c>
      <c r="BA470">
        <v>1.098016605166052</v>
      </c>
      <c r="BB470" s="63">
        <v>6614.1656999999996</v>
      </c>
      <c r="BC470" s="61">
        <v>107.8685101104644</v>
      </c>
    </row>
    <row r="471" spans="1:55" x14ac:dyDescent="0.25">
      <c r="A471">
        <v>116353</v>
      </c>
      <c r="B471" t="s">
        <v>147</v>
      </c>
      <c r="C471">
        <v>2019</v>
      </c>
      <c r="D471">
        <v>2</v>
      </c>
      <c r="E471" t="s">
        <v>51</v>
      </c>
      <c r="F471" t="s">
        <v>426</v>
      </c>
      <c r="G471" t="s">
        <v>84</v>
      </c>
      <c r="H471" t="s">
        <v>87</v>
      </c>
      <c r="I471" t="s">
        <v>427</v>
      </c>
      <c r="J471">
        <v>-2.8894547099999999</v>
      </c>
      <c r="K471" t="s">
        <v>440</v>
      </c>
      <c r="L471" t="s">
        <v>385</v>
      </c>
      <c r="M471">
        <v>0.39737542925016001</v>
      </c>
      <c r="N471">
        <v>1.148198304728413</v>
      </c>
      <c r="O471">
        <v>28410.399000000001</v>
      </c>
      <c r="P471">
        <v>2.51417E-6</v>
      </c>
      <c r="Q471">
        <v>0.14285700000000001</v>
      </c>
      <c r="R471" s="61">
        <v>0.1640281652185869</v>
      </c>
      <c r="S471" t="s">
        <v>346</v>
      </c>
      <c r="T471" t="s">
        <v>436</v>
      </c>
      <c r="U471" t="s">
        <v>425</v>
      </c>
      <c r="V471" t="s">
        <v>27</v>
      </c>
      <c r="W471">
        <v>111.133</v>
      </c>
      <c r="X471">
        <v>1.0368587857491129</v>
      </c>
      <c r="Y471">
        <v>115.2292274366562</v>
      </c>
      <c r="Z471">
        <v>603.45000000000005</v>
      </c>
      <c r="AA471">
        <v>1</v>
      </c>
      <c r="AB471">
        <v>69.535077296650186</v>
      </c>
      <c r="AC471">
        <v>0.93979999999999997</v>
      </c>
      <c r="AD471" s="63">
        <v>65.349000000000004</v>
      </c>
      <c r="AE471">
        <v>8.9176000000000002</v>
      </c>
      <c r="AF471">
        <v>9.2462919077962926</v>
      </c>
      <c r="AG471">
        <v>1</v>
      </c>
      <c r="AH471">
        <v>5579.6748517596734</v>
      </c>
      <c r="AI471">
        <v>0.95477850697292876</v>
      </c>
      <c r="AJ471" s="63">
        <v>5327.3536000000004</v>
      </c>
      <c r="AK471" s="61">
        <v>873.83603647863367</v>
      </c>
      <c r="AL471" t="s">
        <v>347</v>
      </c>
      <c r="AM471" t="s">
        <v>437</v>
      </c>
      <c r="AN471" t="s">
        <v>425</v>
      </c>
      <c r="AO471" t="s">
        <v>27</v>
      </c>
      <c r="AP471">
        <v>111.133</v>
      </c>
      <c r="AQ471">
        <v>1.0541007448257309</v>
      </c>
      <c r="AR471">
        <v>117.145378074718</v>
      </c>
      <c r="AS471">
        <v>640.82000000000005</v>
      </c>
      <c r="AT471">
        <v>1</v>
      </c>
      <c r="AU471">
        <v>75.069101177840764</v>
      </c>
      <c r="AV471">
        <v>0.95889999999999997</v>
      </c>
      <c r="AW471" s="63">
        <v>71.983999999999995</v>
      </c>
      <c r="AX471">
        <v>8.9176000000000002</v>
      </c>
      <c r="AY471">
        <v>1</v>
      </c>
      <c r="AZ471">
        <v>6023.7392733347688</v>
      </c>
      <c r="BA471">
        <v>0.99097621000820357</v>
      </c>
      <c r="BB471" s="63">
        <v>5969.3823000000002</v>
      </c>
      <c r="BC471" s="61">
        <v>979.14682615730817</v>
      </c>
    </row>
    <row r="472" spans="1:55" x14ac:dyDescent="0.25">
      <c r="A472">
        <v>116355</v>
      </c>
      <c r="B472" t="s">
        <v>147</v>
      </c>
      <c r="C472">
        <v>2019</v>
      </c>
      <c r="D472">
        <v>2</v>
      </c>
      <c r="E472" t="s">
        <v>51</v>
      </c>
      <c r="F472" t="s">
        <v>426</v>
      </c>
      <c r="G472" t="s">
        <v>84</v>
      </c>
      <c r="H472" t="s">
        <v>87</v>
      </c>
      <c r="I472" t="s">
        <v>427</v>
      </c>
      <c r="J472">
        <v>-2.8894547099999999</v>
      </c>
      <c r="K472" t="s">
        <v>440</v>
      </c>
      <c r="L472" t="s">
        <v>452</v>
      </c>
      <c r="M472">
        <v>8.4248020759000004E-4</v>
      </c>
      <c r="N472">
        <v>2.4343084018743212E-3</v>
      </c>
      <c r="O472">
        <v>28410.399000000001</v>
      </c>
      <c r="P472">
        <v>2.51417E-6</v>
      </c>
      <c r="Q472">
        <v>0.14285700000000001</v>
      </c>
      <c r="R472" s="61">
        <v>3.4775799536655992E-4</v>
      </c>
      <c r="S472" t="s">
        <v>346</v>
      </c>
      <c r="T472" t="s">
        <v>436</v>
      </c>
      <c r="U472" t="s">
        <v>425</v>
      </c>
      <c r="V472" t="s">
        <v>28</v>
      </c>
      <c r="W472">
        <v>111.133</v>
      </c>
      <c r="X472">
        <v>1.0368587857491129</v>
      </c>
      <c r="Y472">
        <v>115.2292274366562</v>
      </c>
      <c r="Z472">
        <v>603.45000000000005</v>
      </c>
      <c r="AA472">
        <v>1</v>
      </c>
      <c r="AB472">
        <v>69.535077296650186</v>
      </c>
      <c r="AC472">
        <v>0.99760000000000004</v>
      </c>
      <c r="AD472" s="63">
        <v>69.367999999999995</v>
      </c>
      <c r="AE472">
        <v>8.9176000000000002</v>
      </c>
      <c r="AF472">
        <v>9.2462919077962926</v>
      </c>
      <c r="AG472">
        <v>1</v>
      </c>
      <c r="AH472">
        <v>5579.6748517596734</v>
      </c>
      <c r="AI472">
        <v>0.96062216971844849</v>
      </c>
      <c r="AJ472" s="63">
        <v>5359.9593999999997</v>
      </c>
      <c r="AK472" s="61">
        <v>1.8639687361901489</v>
      </c>
      <c r="AL472" t="s">
        <v>347</v>
      </c>
      <c r="AM472" t="s">
        <v>437</v>
      </c>
      <c r="AN472" t="s">
        <v>425</v>
      </c>
      <c r="AO472" t="s">
        <v>28</v>
      </c>
      <c r="AP472">
        <v>111.133</v>
      </c>
      <c r="AQ472">
        <v>1.0541007448257309</v>
      </c>
      <c r="AR472">
        <v>117.145378074718</v>
      </c>
      <c r="AS472">
        <v>640.82000000000005</v>
      </c>
      <c r="AT472">
        <v>1</v>
      </c>
      <c r="AU472">
        <v>75.069101177840764</v>
      </c>
      <c r="AV472">
        <v>1.0073000000000001</v>
      </c>
      <c r="AW472" s="63">
        <v>75.617000000000004</v>
      </c>
      <c r="AX472">
        <v>8.9176000000000002</v>
      </c>
      <c r="AY472">
        <v>1</v>
      </c>
      <c r="AZ472">
        <v>6023.7392733347688</v>
      </c>
      <c r="BA472">
        <v>0.99399488088206345</v>
      </c>
      <c r="BB472" s="63">
        <v>5987.5659999999998</v>
      </c>
      <c r="BC472" s="61">
        <v>2.082223949284971</v>
      </c>
    </row>
    <row r="473" spans="1:55" x14ac:dyDescent="0.25">
      <c r="A473">
        <v>116357</v>
      </c>
      <c r="B473" t="s">
        <v>147</v>
      </c>
      <c r="C473">
        <v>2019</v>
      </c>
      <c r="D473">
        <v>2</v>
      </c>
      <c r="E473" t="s">
        <v>51</v>
      </c>
      <c r="F473" t="s">
        <v>426</v>
      </c>
      <c r="G473" t="s">
        <v>84</v>
      </c>
      <c r="H473" t="s">
        <v>59</v>
      </c>
      <c r="I473" t="s">
        <v>427</v>
      </c>
      <c r="J473">
        <v>-6.8711334500000003</v>
      </c>
      <c r="K473" t="s">
        <v>440</v>
      </c>
      <c r="L473" t="s">
        <v>450</v>
      </c>
      <c r="M473">
        <v>0.15931709696460999</v>
      </c>
      <c r="N473">
        <v>1.0946890348876179</v>
      </c>
      <c r="O473">
        <v>28410.399000000001</v>
      </c>
      <c r="P473">
        <v>2.51417E-6</v>
      </c>
      <c r="Q473">
        <v>0.14285700000000001</v>
      </c>
      <c r="R473" s="61">
        <v>0.15638399145694051</v>
      </c>
      <c r="S473" t="s">
        <v>346</v>
      </c>
      <c r="T473" t="s">
        <v>436</v>
      </c>
      <c r="U473" t="s">
        <v>425</v>
      </c>
      <c r="V473" t="s">
        <v>26</v>
      </c>
      <c r="W473">
        <v>111.133</v>
      </c>
      <c r="X473">
        <v>1.0368587857491129</v>
      </c>
      <c r="Y473">
        <v>115.2292274366562</v>
      </c>
      <c r="Z473">
        <v>603.45000000000005</v>
      </c>
      <c r="AA473">
        <v>1</v>
      </c>
      <c r="AB473">
        <v>69.535077296650186</v>
      </c>
      <c r="AC473">
        <v>0.96209999999999996</v>
      </c>
      <c r="AD473" s="63">
        <v>66.900000000000006</v>
      </c>
      <c r="AE473">
        <v>8.9176000000000002</v>
      </c>
      <c r="AF473">
        <v>9.2462919077962926</v>
      </c>
      <c r="AG473">
        <v>1</v>
      </c>
      <c r="AH473">
        <v>5579.6748517596734</v>
      </c>
      <c r="AI473">
        <v>0.95992461065370505</v>
      </c>
      <c r="AJ473" s="63">
        <v>5356.0672000000004</v>
      </c>
      <c r="AK473" s="61">
        <v>837.60316724759912</v>
      </c>
      <c r="AL473" t="s">
        <v>347</v>
      </c>
      <c r="AM473" t="s">
        <v>437</v>
      </c>
      <c r="AN473" t="s">
        <v>425</v>
      </c>
      <c r="AO473" t="s">
        <v>26</v>
      </c>
      <c r="AP473">
        <v>111.133</v>
      </c>
      <c r="AQ473">
        <v>1.0541007448257309</v>
      </c>
      <c r="AR473">
        <v>117.145378074718</v>
      </c>
      <c r="AS473">
        <v>640.82000000000005</v>
      </c>
      <c r="AT473">
        <v>1</v>
      </c>
      <c r="AU473">
        <v>75.069101177840764</v>
      </c>
      <c r="AV473">
        <v>0.99109999999999998</v>
      </c>
      <c r="AW473" s="63">
        <v>74.400999999999996</v>
      </c>
      <c r="AX473">
        <v>8.9176000000000002</v>
      </c>
      <c r="AY473">
        <v>1</v>
      </c>
      <c r="AZ473">
        <v>6023.7392733347688</v>
      </c>
      <c r="BA473">
        <v>0.9830373970836227</v>
      </c>
      <c r="BB473" s="63">
        <v>5921.5609999999997</v>
      </c>
      <c r="BC473" s="61">
        <v>926.0373448357517</v>
      </c>
    </row>
    <row r="474" spans="1:55" x14ac:dyDescent="0.25">
      <c r="A474">
        <v>116359</v>
      </c>
      <c r="B474" t="s">
        <v>147</v>
      </c>
      <c r="C474">
        <v>2019</v>
      </c>
      <c r="D474">
        <v>2</v>
      </c>
      <c r="E474" t="s">
        <v>51</v>
      </c>
      <c r="F474" t="s">
        <v>426</v>
      </c>
      <c r="G474" t="s">
        <v>84</v>
      </c>
      <c r="H474" t="s">
        <v>59</v>
      </c>
      <c r="I474" t="s">
        <v>427</v>
      </c>
      <c r="J474">
        <v>-6.8711334500000003</v>
      </c>
      <c r="K474" t="s">
        <v>440</v>
      </c>
      <c r="L474" t="s">
        <v>384</v>
      </c>
      <c r="M474">
        <v>4.1785183859599999E-2</v>
      </c>
      <c r="N474">
        <v>0.28711157473593729</v>
      </c>
      <c r="O474">
        <v>28410.399000000001</v>
      </c>
      <c r="P474">
        <v>2.51417E-6</v>
      </c>
      <c r="Q474">
        <v>0.14285700000000001</v>
      </c>
      <c r="R474" s="61">
        <v>4.1015898232051803E-2</v>
      </c>
      <c r="S474" t="s">
        <v>346</v>
      </c>
      <c r="T474" t="s">
        <v>436</v>
      </c>
      <c r="U474" t="s">
        <v>425</v>
      </c>
      <c r="V474" t="s">
        <v>81</v>
      </c>
      <c r="W474">
        <v>111.133</v>
      </c>
      <c r="X474">
        <v>1.0368587857491129</v>
      </c>
      <c r="Y474">
        <v>115.2292274366562</v>
      </c>
      <c r="Z474">
        <v>603.45000000000005</v>
      </c>
      <c r="AA474">
        <v>1</v>
      </c>
      <c r="AB474">
        <v>69.535077296650186</v>
      </c>
      <c r="AC474">
        <v>0.90990000000000004</v>
      </c>
      <c r="AD474" s="63">
        <v>63.27</v>
      </c>
      <c r="AE474">
        <v>8.9176000000000002</v>
      </c>
      <c r="AF474">
        <v>9.2462919077962926</v>
      </c>
      <c r="AG474">
        <v>1</v>
      </c>
      <c r="AH474">
        <v>5579.6748517596734</v>
      </c>
      <c r="AI474">
        <v>1.053620848708487</v>
      </c>
      <c r="AJ474" s="63">
        <v>5878.8617999999997</v>
      </c>
      <c r="AK474" s="61">
        <v>241.12679730909679</v>
      </c>
      <c r="AL474" t="s">
        <v>347</v>
      </c>
      <c r="AM474" t="s">
        <v>437</v>
      </c>
      <c r="AN474" t="s">
        <v>425</v>
      </c>
      <c r="AO474" t="s">
        <v>81</v>
      </c>
      <c r="AP474">
        <v>111.133</v>
      </c>
      <c r="AQ474">
        <v>1.0541007448257309</v>
      </c>
      <c r="AR474">
        <v>117.145378074718</v>
      </c>
      <c r="AS474">
        <v>640.82000000000005</v>
      </c>
      <c r="AT474">
        <v>1</v>
      </c>
      <c r="AU474">
        <v>75.069101177840764</v>
      </c>
      <c r="AV474">
        <v>0.93830000000000002</v>
      </c>
      <c r="AW474" s="63">
        <v>70.436999999999998</v>
      </c>
      <c r="AX474">
        <v>8.9176000000000002</v>
      </c>
      <c r="AY474">
        <v>1</v>
      </c>
      <c r="AZ474">
        <v>6023.7392733347688</v>
      </c>
      <c r="BA474">
        <v>1.098016605166052</v>
      </c>
      <c r="BB474" s="63">
        <v>6614.1656999999996</v>
      </c>
      <c r="BC474" s="61">
        <v>271.28594724112759</v>
      </c>
    </row>
    <row r="475" spans="1:55" x14ac:dyDescent="0.25">
      <c r="A475">
        <v>116361</v>
      </c>
      <c r="B475" t="s">
        <v>147</v>
      </c>
      <c r="C475">
        <v>2019</v>
      </c>
      <c r="D475">
        <v>2</v>
      </c>
      <c r="E475" t="s">
        <v>51</v>
      </c>
      <c r="F475" t="s">
        <v>426</v>
      </c>
      <c r="G475" t="s">
        <v>84</v>
      </c>
      <c r="H475" t="s">
        <v>59</v>
      </c>
      <c r="I475" t="s">
        <v>427</v>
      </c>
      <c r="J475">
        <v>-6.8711334500000003</v>
      </c>
      <c r="K475" t="s">
        <v>440</v>
      </c>
      <c r="L475" t="s">
        <v>385</v>
      </c>
      <c r="M475">
        <v>0.43497567483749999</v>
      </c>
      <c r="N475">
        <v>2.988775911434201</v>
      </c>
      <c r="O475">
        <v>28410.399000000001</v>
      </c>
      <c r="P475">
        <v>2.51417E-6</v>
      </c>
      <c r="Q475">
        <v>0.14285700000000001</v>
      </c>
      <c r="R475" s="61">
        <v>0.4269675603797557</v>
      </c>
      <c r="S475" t="s">
        <v>346</v>
      </c>
      <c r="T475" t="s">
        <v>436</v>
      </c>
      <c r="U475" t="s">
        <v>425</v>
      </c>
      <c r="V475" t="s">
        <v>27</v>
      </c>
      <c r="W475">
        <v>111.133</v>
      </c>
      <c r="X475">
        <v>1.0368587857491129</v>
      </c>
      <c r="Y475">
        <v>115.2292274366562</v>
      </c>
      <c r="Z475">
        <v>603.45000000000005</v>
      </c>
      <c r="AA475">
        <v>1</v>
      </c>
      <c r="AB475">
        <v>69.535077296650186</v>
      </c>
      <c r="AC475">
        <v>0.93979999999999997</v>
      </c>
      <c r="AD475" s="63">
        <v>65.349000000000004</v>
      </c>
      <c r="AE475">
        <v>8.9176000000000002</v>
      </c>
      <c r="AF475">
        <v>9.2462919077962926</v>
      </c>
      <c r="AG475">
        <v>1</v>
      </c>
      <c r="AH475">
        <v>5579.6748517596734</v>
      </c>
      <c r="AI475">
        <v>0.95477850697292876</v>
      </c>
      <c r="AJ475" s="63">
        <v>5327.3536000000004</v>
      </c>
      <c r="AK475" s="61">
        <v>2274.607169872309</v>
      </c>
      <c r="AL475" t="s">
        <v>347</v>
      </c>
      <c r="AM475" t="s">
        <v>437</v>
      </c>
      <c r="AN475" t="s">
        <v>425</v>
      </c>
      <c r="AO475" t="s">
        <v>27</v>
      </c>
      <c r="AP475">
        <v>111.133</v>
      </c>
      <c r="AQ475">
        <v>1.0541007448257309</v>
      </c>
      <c r="AR475">
        <v>117.145378074718</v>
      </c>
      <c r="AS475">
        <v>640.82000000000005</v>
      </c>
      <c r="AT475">
        <v>1</v>
      </c>
      <c r="AU475">
        <v>75.069101177840764</v>
      </c>
      <c r="AV475">
        <v>0.95889999999999997</v>
      </c>
      <c r="AW475" s="63">
        <v>71.983999999999995</v>
      </c>
      <c r="AX475">
        <v>8.9176000000000002</v>
      </c>
      <c r="AY475">
        <v>1</v>
      </c>
      <c r="AZ475">
        <v>6023.7392733347688</v>
      </c>
      <c r="BA475">
        <v>0.99097621000820357</v>
      </c>
      <c r="BB475" s="63">
        <v>5969.3823000000002</v>
      </c>
      <c r="BC475" s="61">
        <v>2548.7325976050952</v>
      </c>
    </row>
    <row r="476" spans="1:55" x14ac:dyDescent="0.25">
      <c r="A476">
        <v>116363</v>
      </c>
      <c r="B476" t="s">
        <v>147</v>
      </c>
      <c r="C476">
        <v>2019</v>
      </c>
      <c r="D476">
        <v>2</v>
      </c>
      <c r="E476" t="s">
        <v>51</v>
      </c>
      <c r="F476" t="s">
        <v>426</v>
      </c>
      <c r="G476" t="s">
        <v>84</v>
      </c>
      <c r="H476" t="s">
        <v>59</v>
      </c>
      <c r="I476" t="s">
        <v>427</v>
      </c>
      <c r="J476">
        <v>-6.8711334500000003</v>
      </c>
      <c r="K476" t="s">
        <v>440</v>
      </c>
      <c r="L476" t="s">
        <v>451</v>
      </c>
      <c r="M476">
        <v>1.7625750762999999E-3</v>
      </c>
      <c r="N476">
        <v>1.2110888573499561E-2</v>
      </c>
      <c r="O476">
        <v>28410.399000000001</v>
      </c>
      <c r="P476">
        <v>2.51417E-6</v>
      </c>
      <c r="Q476">
        <v>0.14285700000000001</v>
      </c>
      <c r="R476" s="61">
        <v>1.730125208944427E-3</v>
      </c>
      <c r="S476" t="s">
        <v>346</v>
      </c>
      <c r="T476" t="s">
        <v>436</v>
      </c>
      <c r="U476" t="s">
        <v>425</v>
      </c>
      <c r="V476" t="s">
        <v>91</v>
      </c>
      <c r="W476">
        <v>111.133</v>
      </c>
      <c r="X476">
        <v>1.0368587857491129</v>
      </c>
      <c r="Y476">
        <v>115.2292274366562</v>
      </c>
      <c r="Z476">
        <v>603.45000000000005</v>
      </c>
      <c r="AA476">
        <v>1</v>
      </c>
      <c r="AB476">
        <v>69.535077296650186</v>
      </c>
      <c r="AC476">
        <v>0.99250000000000005</v>
      </c>
      <c r="AD476" s="63">
        <v>69.013999999999996</v>
      </c>
      <c r="AE476">
        <v>8.9176000000000002</v>
      </c>
      <c r="AF476">
        <v>9.2462919077962926</v>
      </c>
      <c r="AG476">
        <v>1</v>
      </c>
      <c r="AH476">
        <v>5579.6748517596734</v>
      </c>
      <c r="AI476">
        <v>0.96573604060913698</v>
      </c>
      <c r="AJ476" s="63">
        <v>5388.4930999999997</v>
      </c>
      <c r="AK476" s="61">
        <v>9.3227677505330995</v>
      </c>
      <c r="AL476" t="s">
        <v>347</v>
      </c>
      <c r="AM476" t="s">
        <v>437</v>
      </c>
      <c r="AN476" t="s">
        <v>425</v>
      </c>
      <c r="AO476" t="s">
        <v>91</v>
      </c>
      <c r="AP476">
        <v>111.133</v>
      </c>
      <c r="AQ476">
        <v>1.0541007448257309</v>
      </c>
      <c r="AR476">
        <v>117.145378074718</v>
      </c>
      <c r="AS476">
        <v>640.82000000000005</v>
      </c>
      <c r="AT476">
        <v>1</v>
      </c>
      <c r="AU476">
        <v>75.069101177840764</v>
      </c>
      <c r="AV476">
        <v>1.0088999999999999</v>
      </c>
      <c r="AW476" s="63">
        <v>75.736999999999995</v>
      </c>
      <c r="AX476">
        <v>8.9176000000000002</v>
      </c>
      <c r="AY476">
        <v>1</v>
      </c>
      <c r="AZ476">
        <v>6023.7392733347688</v>
      </c>
      <c r="BA476">
        <v>0.99316673174541203</v>
      </c>
      <c r="BB476" s="63">
        <v>5982.5774000000001</v>
      </c>
      <c r="BC476" s="61">
        <v>10.35060797420121</v>
      </c>
    </row>
    <row r="477" spans="1:55" x14ac:dyDescent="0.25">
      <c r="A477">
        <v>116365</v>
      </c>
      <c r="B477" t="s">
        <v>147</v>
      </c>
      <c r="C477">
        <v>2019</v>
      </c>
      <c r="D477">
        <v>2</v>
      </c>
      <c r="E477" t="s">
        <v>51</v>
      </c>
      <c r="F477" t="s">
        <v>426</v>
      </c>
      <c r="G477" t="s">
        <v>84</v>
      </c>
      <c r="H477" t="s">
        <v>59</v>
      </c>
      <c r="I477" t="s">
        <v>427</v>
      </c>
      <c r="J477">
        <v>-6.8711334500000003</v>
      </c>
      <c r="K477" t="s">
        <v>440</v>
      </c>
      <c r="L477" t="s">
        <v>452</v>
      </c>
      <c r="M477">
        <v>1.4858046103299999E-3</v>
      </c>
      <c r="N477">
        <v>1.0209161765450839E-2</v>
      </c>
      <c r="O477">
        <v>28410.399000000001</v>
      </c>
      <c r="P477">
        <v>2.51417E-6</v>
      </c>
      <c r="Q477">
        <v>0.14285700000000001</v>
      </c>
      <c r="R477" s="61">
        <v>1.458450222327011E-3</v>
      </c>
      <c r="S477" t="s">
        <v>346</v>
      </c>
      <c r="T477" t="s">
        <v>436</v>
      </c>
      <c r="U477" t="s">
        <v>425</v>
      </c>
      <c r="V477" t="s">
        <v>28</v>
      </c>
      <c r="W477">
        <v>111.133</v>
      </c>
      <c r="X477">
        <v>1.0368587857491129</v>
      </c>
      <c r="Y477">
        <v>115.2292274366562</v>
      </c>
      <c r="Z477">
        <v>603.45000000000005</v>
      </c>
      <c r="AA477">
        <v>1</v>
      </c>
      <c r="AB477">
        <v>69.535077296650186</v>
      </c>
      <c r="AC477">
        <v>0.99760000000000004</v>
      </c>
      <c r="AD477" s="63">
        <v>69.367999999999995</v>
      </c>
      <c r="AE477">
        <v>8.9176000000000002</v>
      </c>
      <c r="AF477">
        <v>9.2462919077962926</v>
      </c>
      <c r="AG477">
        <v>1</v>
      </c>
      <c r="AH477">
        <v>5579.6748517596734</v>
      </c>
      <c r="AI477">
        <v>0.96062216971844849</v>
      </c>
      <c r="AJ477" s="63">
        <v>5359.9593999999997</v>
      </c>
      <c r="AK477" s="61">
        <v>7.8172339785937526</v>
      </c>
      <c r="AL477" t="s">
        <v>347</v>
      </c>
      <c r="AM477" t="s">
        <v>437</v>
      </c>
      <c r="AN477" t="s">
        <v>425</v>
      </c>
      <c r="AO477" t="s">
        <v>28</v>
      </c>
      <c r="AP477">
        <v>111.133</v>
      </c>
      <c r="AQ477">
        <v>1.0541007448257309</v>
      </c>
      <c r="AR477">
        <v>117.145378074718</v>
      </c>
      <c r="AS477">
        <v>640.82000000000005</v>
      </c>
      <c r="AT477">
        <v>1</v>
      </c>
      <c r="AU477">
        <v>75.069101177840764</v>
      </c>
      <c r="AV477">
        <v>1.0073000000000001</v>
      </c>
      <c r="AW477" s="63">
        <v>75.617000000000004</v>
      </c>
      <c r="AX477">
        <v>8.9176000000000002</v>
      </c>
      <c r="AY477">
        <v>1</v>
      </c>
      <c r="AZ477">
        <v>6023.7392733347688</v>
      </c>
      <c r="BA477">
        <v>0.99399488088206345</v>
      </c>
      <c r="BB477" s="63">
        <v>5987.5659999999998</v>
      </c>
      <c r="BC477" s="61">
        <v>8.7325669638976535</v>
      </c>
    </row>
    <row r="478" spans="1:55" x14ac:dyDescent="0.25">
      <c r="A478">
        <v>123212</v>
      </c>
      <c r="B478" t="s">
        <v>149</v>
      </c>
      <c r="C478">
        <v>2019</v>
      </c>
      <c r="D478">
        <v>3</v>
      </c>
      <c r="E478" t="s">
        <v>51</v>
      </c>
      <c r="F478" t="s">
        <v>426</v>
      </c>
      <c r="G478" t="s">
        <v>84</v>
      </c>
      <c r="H478" t="s">
        <v>381</v>
      </c>
      <c r="I478" t="s">
        <v>427</v>
      </c>
      <c r="J478">
        <v>-14.47972981</v>
      </c>
      <c r="K478" t="s">
        <v>440</v>
      </c>
      <c r="L478" t="s">
        <v>450</v>
      </c>
      <c r="M478">
        <v>0.15011157993331001</v>
      </c>
      <c r="N478">
        <v>2.1735751184675922</v>
      </c>
      <c r="O478">
        <v>28410.399000000001</v>
      </c>
      <c r="P478">
        <v>2.51417E-6</v>
      </c>
      <c r="Q478">
        <v>0.14285700000000001</v>
      </c>
      <c r="R478" s="61">
        <v>0.31051042069892482</v>
      </c>
      <c r="S478" t="s">
        <v>346</v>
      </c>
      <c r="T478" t="s">
        <v>436</v>
      </c>
      <c r="U478" t="s">
        <v>425</v>
      </c>
      <c r="V478" t="s">
        <v>26</v>
      </c>
      <c r="W478">
        <v>111.133</v>
      </c>
      <c r="X478">
        <v>1.0368587857491129</v>
      </c>
      <c r="Y478">
        <v>115.2292274366562</v>
      </c>
      <c r="Z478">
        <v>603.45000000000005</v>
      </c>
      <c r="AA478">
        <v>1</v>
      </c>
      <c r="AB478">
        <v>69.535077296650186</v>
      </c>
      <c r="AC478">
        <v>0.96209999999999996</v>
      </c>
      <c r="AD478" s="63">
        <v>66.900000000000006</v>
      </c>
      <c r="AE478">
        <v>8.9176000000000002</v>
      </c>
      <c r="AF478">
        <v>9.2462919077962926</v>
      </c>
      <c r="AG478">
        <v>1</v>
      </c>
      <c r="AH478">
        <v>5579.6748517596734</v>
      </c>
      <c r="AI478">
        <v>0.95992461065370505</v>
      </c>
      <c r="AJ478" s="63">
        <v>5356.0672000000004</v>
      </c>
      <c r="AK478" s="61">
        <v>1663.1146795637119</v>
      </c>
      <c r="AL478" t="s">
        <v>347</v>
      </c>
      <c r="AM478" t="s">
        <v>437</v>
      </c>
      <c r="AN478" t="s">
        <v>425</v>
      </c>
      <c r="AO478" t="s">
        <v>26</v>
      </c>
      <c r="AP478">
        <v>111.133</v>
      </c>
      <c r="AQ478">
        <v>1.0541007448257309</v>
      </c>
      <c r="AR478">
        <v>117.145378074718</v>
      </c>
      <c r="AS478">
        <v>640.82000000000005</v>
      </c>
      <c r="AT478">
        <v>1</v>
      </c>
      <c r="AU478">
        <v>75.069101177840764</v>
      </c>
      <c r="AV478">
        <v>0.99109999999999998</v>
      </c>
      <c r="AW478" s="63">
        <v>74.400999999999996</v>
      </c>
      <c r="AX478">
        <v>8.9176000000000002</v>
      </c>
      <c r="AY478">
        <v>1</v>
      </c>
      <c r="AZ478">
        <v>6023.7392733347688</v>
      </c>
      <c r="BA478">
        <v>0.9830373970836227</v>
      </c>
      <c r="BB478" s="63">
        <v>5921.5609999999997</v>
      </c>
      <c r="BC478" s="61">
        <v>1838.706397304346</v>
      </c>
    </row>
    <row r="479" spans="1:55" x14ac:dyDescent="0.25">
      <c r="A479">
        <v>123214</v>
      </c>
      <c r="B479" t="s">
        <v>149</v>
      </c>
      <c r="C479">
        <v>2019</v>
      </c>
      <c r="D479">
        <v>3</v>
      </c>
      <c r="E479" t="s">
        <v>51</v>
      </c>
      <c r="F479" t="s">
        <v>426</v>
      </c>
      <c r="G479" t="s">
        <v>84</v>
      </c>
      <c r="H479" t="s">
        <v>381</v>
      </c>
      <c r="I479" t="s">
        <v>427</v>
      </c>
      <c r="J479">
        <v>-14.47972981</v>
      </c>
      <c r="K479" t="s">
        <v>440</v>
      </c>
      <c r="L479" t="s">
        <v>384</v>
      </c>
      <c r="M479">
        <v>4.5811354346740003E-2</v>
      </c>
      <c r="N479">
        <v>0.66333603307362488</v>
      </c>
      <c r="O479">
        <v>28410.399000000001</v>
      </c>
      <c r="P479">
        <v>2.51417E-6</v>
      </c>
      <c r="Q479">
        <v>0.14285700000000001</v>
      </c>
      <c r="R479" s="61">
        <v>9.4762195676798833E-2</v>
      </c>
      <c r="S479" t="s">
        <v>346</v>
      </c>
      <c r="T479" t="s">
        <v>436</v>
      </c>
      <c r="U479" t="s">
        <v>425</v>
      </c>
      <c r="V479" t="s">
        <v>81</v>
      </c>
      <c r="W479">
        <v>111.133</v>
      </c>
      <c r="X479">
        <v>1.0368587857491129</v>
      </c>
      <c r="Y479">
        <v>115.2292274366562</v>
      </c>
      <c r="Z479">
        <v>603.45000000000005</v>
      </c>
      <c r="AA479">
        <v>1</v>
      </c>
      <c r="AB479">
        <v>69.535077296650186</v>
      </c>
      <c r="AC479">
        <v>0.90990000000000004</v>
      </c>
      <c r="AD479" s="63">
        <v>63.27</v>
      </c>
      <c r="AE479">
        <v>8.9176000000000002</v>
      </c>
      <c r="AF479">
        <v>9.2462919077962926</v>
      </c>
      <c r="AG479">
        <v>1</v>
      </c>
      <c r="AH479">
        <v>5579.6748517596734</v>
      </c>
      <c r="AI479">
        <v>1.053620848708487</v>
      </c>
      <c r="AJ479" s="63">
        <v>5878.8617999999997</v>
      </c>
      <c r="AK479" s="61">
        <v>557.09385224845778</v>
      </c>
      <c r="AL479" t="s">
        <v>347</v>
      </c>
      <c r="AM479" t="s">
        <v>437</v>
      </c>
      <c r="AN479" t="s">
        <v>425</v>
      </c>
      <c r="AO479" t="s">
        <v>81</v>
      </c>
      <c r="AP479">
        <v>111.133</v>
      </c>
      <c r="AQ479">
        <v>1.0541007448257309</v>
      </c>
      <c r="AR479">
        <v>117.145378074718</v>
      </c>
      <c r="AS479">
        <v>640.82000000000005</v>
      </c>
      <c r="AT479">
        <v>1</v>
      </c>
      <c r="AU479">
        <v>75.069101177840764</v>
      </c>
      <c r="AV479">
        <v>0.93830000000000002</v>
      </c>
      <c r="AW479" s="63">
        <v>70.436999999999998</v>
      </c>
      <c r="AX479">
        <v>8.9176000000000002</v>
      </c>
      <c r="AY479">
        <v>1</v>
      </c>
      <c r="AZ479">
        <v>6023.7392733347688</v>
      </c>
      <c r="BA479">
        <v>1.098016605166052</v>
      </c>
      <c r="BB479" s="63">
        <v>6614.1656999999996</v>
      </c>
      <c r="BC479" s="61">
        <v>626.77286430217112</v>
      </c>
    </row>
    <row r="480" spans="1:55" x14ac:dyDescent="0.25">
      <c r="A480">
        <v>123216</v>
      </c>
      <c r="B480" t="s">
        <v>149</v>
      </c>
      <c r="C480">
        <v>2019</v>
      </c>
      <c r="D480">
        <v>3</v>
      </c>
      <c r="E480" t="s">
        <v>51</v>
      </c>
      <c r="F480" t="s">
        <v>426</v>
      </c>
      <c r="G480" t="s">
        <v>84</v>
      </c>
      <c r="H480" t="s">
        <v>381</v>
      </c>
      <c r="I480" t="s">
        <v>427</v>
      </c>
      <c r="J480">
        <v>-14.47972981</v>
      </c>
      <c r="K480" t="s">
        <v>440</v>
      </c>
      <c r="L480" t="s">
        <v>385</v>
      </c>
      <c r="M480">
        <v>0.43232641346992001</v>
      </c>
      <c r="N480">
        <v>6.2599696558521849</v>
      </c>
      <c r="O480">
        <v>28410.399000000001</v>
      </c>
      <c r="P480">
        <v>2.51417E-6</v>
      </c>
      <c r="Q480">
        <v>0.14285700000000001</v>
      </c>
      <c r="R480" s="61">
        <v>0.89428048512607561</v>
      </c>
      <c r="S480" t="s">
        <v>346</v>
      </c>
      <c r="T480" t="s">
        <v>436</v>
      </c>
      <c r="U480" t="s">
        <v>425</v>
      </c>
      <c r="V480" t="s">
        <v>27</v>
      </c>
      <c r="W480">
        <v>111.133</v>
      </c>
      <c r="X480">
        <v>1.0368587857491129</v>
      </c>
      <c r="Y480">
        <v>115.2292274366562</v>
      </c>
      <c r="Z480">
        <v>603.45000000000005</v>
      </c>
      <c r="AA480">
        <v>1</v>
      </c>
      <c r="AB480">
        <v>69.535077296650186</v>
      </c>
      <c r="AC480">
        <v>0.93979999999999997</v>
      </c>
      <c r="AD480" s="63">
        <v>65.349000000000004</v>
      </c>
      <c r="AE480">
        <v>8.9176000000000002</v>
      </c>
      <c r="AF480">
        <v>9.2462919077962926</v>
      </c>
      <c r="AG480">
        <v>1</v>
      </c>
      <c r="AH480">
        <v>5579.6748517596734</v>
      </c>
      <c r="AI480">
        <v>0.95477850697292876</v>
      </c>
      <c r="AJ480" s="63">
        <v>5327.3536000000004</v>
      </c>
      <c r="AK480" s="61">
        <v>4764.1483618461452</v>
      </c>
      <c r="AL480" t="s">
        <v>347</v>
      </c>
      <c r="AM480" t="s">
        <v>437</v>
      </c>
      <c r="AN480" t="s">
        <v>425</v>
      </c>
      <c r="AO480" t="s">
        <v>27</v>
      </c>
      <c r="AP480">
        <v>111.133</v>
      </c>
      <c r="AQ480">
        <v>1.0541007448257309</v>
      </c>
      <c r="AR480">
        <v>117.145378074718</v>
      </c>
      <c r="AS480">
        <v>640.82000000000005</v>
      </c>
      <c r="AT480">
        <v>1</v>
      </c>
      <c r="AU480">
        <v>75.069101177840764</v>
      </c>
      <c r="AV480">
        <v>0.95889999999999997</v>
      </c>
      <c r="AW480" s="63">
        <v>71.983999999999995</v>
      </c>
      <c r="AX480">
        <v>8.9176000000000002</v>
      </c>
      <c r="AY480">
        <v>1</v>
      </c>
      <c r="AZ480">
        <v>6023.7392733347688</v>
      </c>
      <c r="BA480">
        <v>0.99097621000820357</v>
      </c>
      <c r="BB480" s="63">
        <v>5969.3823000000002</v>
      </c>
      <c r="BC480" s="61">
        <v>5338.3020991470094</v>
      </c>
    </row>
    <row r="481" spans="1:55" x14ac:dyDescent="0.25">
      <c r="A481">
        <v>123218</v>
      </c>
      <c r="B481" t="s">
        <v>149</v>
      </c>
      <c r="C481">
        <v>2019</v>
      </c>
      <c r="D481">
        <v>3</v>
      </c>
      <c r="E481" t="s">
        <v>51</v>
      </c>
      <c r="F481" t="s">
        <v>426</v>
      </c>
      <c r="G481" t="s">
        <v>84</v>
      </c>
      <c r="H481" t="s">
        <v>381</v>
      </c>
      <c r="I481" t="s">
        <v>427</v>
      </c>
      <c r="J481">
        <v>-14.47972981</v>
      </c>
      <c r="K481" t="s">
        <v>440</v>
      </c>
      <c r="L481" t="s">
        <v>451</v>
      </c>
      <c r="M481">
        <v>1.6825115802299999E-3</v>
      </c>
      <c r="N481">
        <v>2.4362313080351559E-2</v>
      </c>
      <c r="O481">
        <v>28410.399000000001</v>
      </c>
      <c r="P481">
        <v>2.51417E-6</v>
      </c>
      <c r="Q481">
        <v>0.14285700000000001</v>
      </c>
      <c r="R481" s="61">
        <v>3.480326959719783E-3</v>
      </c>
      <c r="S481" t="s">
        <v>346</v>
      </c>
      <c r="T481" t="s">
        <v>436</v>
      </c>
      <c r="U481" t="s">
        <v>425</v>
      </c>
      <c r="V481" t="s">
        <v>91</v>
      </c>
      <c r="W481">
        <v>111.133</v>
      </c>
      <c r="X481">
        <v>1.0368587857491129</v>
      </c>
      <c r="Y481">
        <v>115.2292274366562</v>
      </c>
      <c r="Z481">
        <v>603.45000000000005</v>
      </c>
      <c r="AA481">
        <v>1</v>
      </c>
      <c r="AB481">
        <v>69.535077296650186</v>
      </c>
      <c r="AC481">
        <v>0.99250000000000005</v>
      </c>
      <c r="AD481" s="63">
        <v>69.013999999999996</v>
      </c>
      <c r="AE481">
        <v>8.9176000000000002</v>
      </c>
      <c r="AF481">
        <v>9.2462919077962926</v>
      </c>
      <c r="AG481">
        <v>1</v>
      </c>
      <c r="AH481">
        <v>5579.6748517596734</v>
      </c>
      <c r="AI481">
        <v>0.96573604060913698</v>
      </c>
      <c r="AJ481" s="63">
        <v>5388.4930999999997</v>
      </c>
      <c r="AK481" s="61">
        <v>18.753717808194029</v>
      </c>
      <c r="AL481" t="s">
        <v>347</v>
      </c>
      <c r="AM481" t="s">
        <v>437</v>
      </c>
      <c r="AN481" t="s">
        <v>425</v>
      </c>
      <c r="AO481" t="s">
        <v>91</v>
      </c>
      <c r="AP481">
        <v>111.133</v>
      </c>
      <c r="AQ481">
        <v>1.0541007448257309</v>
      </c>
      <c r="AR481">
        <v>117.145378074718</v>
      </c>
      <c r="AS481">
        <v>640.82000000000005</v>
      </c>
      <c r="AT481">
        <v>1</v>
      </c>
      <c r="AU481">
        <v>75.069101177840764</v>
      </c>
      <c r="AV481">
        <v>1.0088999999999999</v>
      </c>
      <c r="AW481" s="63">
        <v>75.736999999999995</v>
      </c>
      <c r="AX481">
        <v>8.9176000000000002</v>
      </c>
      <c r="AY481">
        <v>1</v>
      </c>
      <c r="AZ481">
        <v>6023.7392733347688</v>
      </c>
      <c r="BA481">
        <v>0.99316673174541203</v>
      </c>
      <c r="BB481" s="63">
        <v>5982.5774000000001</v>
      </c>
      <c r="BC481" s="61">
        <v>20.82132541383028</v>
      </c>
    </row>
    <row r="482" spans="1:55" x14ac:dyDescent="0.25">
      <c r="A482">
        <v>123220</v>
      </c>
      <c r="B482" t="s">
        <v>149</v>
      </c>
      <c r="C482">
        <v>2019</v>
      </c>
      <c r="D482">
        <v>3</v>
      </c>
      <c r="E482" t="s">
        <v>51</v>
      </c>
      <c r="F482" t="s">
        <v>426</v>
      </c>
      <c r="G482" t="s">
        <v>84</v>
      </c>
      <c r="H482" t="s">
        <v>381</v>
      </c>
      <c r="I482" t="s">
        <v>427</v>
      </c>
      <c r="J482">
        <v>-14.47972981</v>
      </c>
      <c r="K482" t="s">
        <v>440</v>
      </c>
      <c r="L482" t="s">
        <v>452</v>
      </c>
      <c r="M482">
        <v>1.53682162831E-3</v>
      </c>
      <c r="N482">
        <v>2.225276194082763E-2</v>
      </c>
      <c r="O482">
        <v>28410.399000000001</v>
      </c>
      <c r="P482">
        <v>2.51417E-6</v>
      </c>
      <c r="Q482">
        <v>0.14285700000000001</v>
      </c>
      <c r="R482" s="61">
        <v>3.178962812580813E-3</v>
      </c>
      <c r="S482" t="s">
        <v>346</v>
      </c>
      <c r="T482" t="s">
        <v>436</v>
      </c>
      <c r="U482" t="s">
        <v>425</v>
      </c>
      <c r="V482" t="s">
        <v>28</v>
      </c>
      <c r="W482">
        <v>111.133</v>
      </c>
      <c r="X482">
        <v>1.0368587857491129</v>
      </c>
      <c r="Y482">
        <v>115.2292274366562</v>
      </c>
      <c r="Z482">
        <v>603.45000000000005</v>
      </c>
      <c r="AA482">
        <v>1</v>
      </c>
      <c r="AB482">
        <v>69.535077296650186</v>
      </c>
      <c r="AC482">
        <v>0.99760000000000004</v>
      </c>
      <c r="AD482" s="63">
        <v>69.367999999999995</v>
      </c>
      <c r="AE482">
        <v>8.9176000000000002</v>
      </c>
      <c r="AF482">
        <v>9.2462919077962926</v>
      </c>
      <c r="AG482">
        <v>1</v>
      </c>
      <c r="AH482">
        <v>5579.6748517596734</v>
      </c>
      <c r="AI482">
        <v>0.96062216971844849</v>
      </c>
      <c r="AJ482" s="63">
        <v>5359.9593999999997</v>
      </c>
      <c r="AK482" s="61">
        <v>17.03911160954296</v>
      </c>
      <c r="AL482" t="s">
        <v>347</v>
      </c>
      <c r="AM482" t="s">
        <v>437</v>
      </c>
      <c r="AN482" t="s">
        <v>425</v>
      </c>
      <c r="AO482" t="s">
        <v>28</v>
      </c>
      <c r="AP482">
        <v>111.133</v>
      </c>
      <c r="AQ482">
        <v>1.0541007448257309</v>
      </c>
      <c r="AR482">
        <v>117.145378074718</v>
      </c>
      <c r="AS482">
        <v>640.82000000000005</v>
      </c>
      <c r="AT482">
        <v>1</v>
      </c>
      <c r="AU482">
        <v>75.069101177840764</v>
      </c>
      <c r="AV482">
        <v>1.0073000000000001</v>
      </c>
      <c r="AW482" s="63">
        <v>75.617000000000004</v>
      </c>
      <c r="AX482">
        <v>8.9176000000000002</v>
      </c>
      <c r="AY482">
        <v>1</v>
      </c>
      <c r="AZ482">
        <v>6023.7392733347688</v>
      </c>
      <c r="BA482">
        <v>0.99399488088206345</v>
      </c>
      <c r="BB482" s="63">
        <v>5987.5659999999998</v>
      </c>
      <c r="BC482" s="61">
        <v>19.03424965187325</v>
      </c>
    </row>
    <row r="483" spans="1:55" x14ac:dyDescent="0.25">
      <c r="A483">
        <v>123222</v>
      </c>
      <c r="B483" t="s">
        <v>149</v>
      </c>
      <c r="C483">
        <v>2019</v>
      </c>
      <c r="D483">
        <v>3</v>
      </c>
      <c r="E483" t="s">
        <v>51</v>
      </c>
      <c r="F483" t="s">
        <v>426</v>
      </c>
      <c r="G483" t="s">
        <v>84</v>
      </c>
      <c r="H483" t="s">
        <v>87</v>
      </c>
      <c r="I483" t="s">
        <v>427</v>
      </c>
      <c r="J483">
        <v>-2.8894547099999999</v>
      </c>
      <c r="K483" t="s">
        <v>440</v>
      </c>
      <c r="L483" t="s">
        <v>450</v>
      </c>
      <c r="M483">
        <v>0.26601384014995</v>
      </c>
      <c r="N483">
        <v>0.76863494270599675</v>
      </c>
      <c r="O483">
        <v>28410.399000000001</v>
      </c>
      <c r="P483">
        <v>2.51417E-6</v>
      </c>
      <c r="Q483">
        <v>0.14285700000000001</v>
      </c>
      <c r="R483" s="61">
        <v>0.1098048820101506</v>
      </c>
      <c r="S483" t="s">
        <v>346</v>
      </c>
      <c r="T483" t="s">
        <v>436</v>
      </c>
      <c r="U483" t="s">
        <v>425</v>
      </c>
      <c r="V483" t="s">
        <v>26</v>
      </c>
      <c r="W483">
        <v>111.133</v>
      </c>
      <c r="X483">
        <v>1.0368587857491129</v>
      </c>
      <c r="Y483">
        <v>115.2292274366562</v>
      </c>
      <c r="Z483">
        <v>603.45000000000005</v>
      </c>
      <c r="AA483">
        <v>1</v>
      </c>
      <c r="AB483">
        <v>69.535077296650186</v>
      </c>
      <c r="AC483">
        <v>0.96209999999999996</v>
      </c>
      <c r="AD483" s="63">
        <v>66.900000000000006</v>
      </c>
      <c r="AE483">
        <v>8.9176000000000002</v>
      </c>
      <c r="AF483">
        <v>9.2462919077962926</v>
      </c>
      <c r="AG483">
        <v>1</v>
      </c>
      <c r="AH483">
        <v>5579.6748517596734</v>
      </c>
      <c r="AI483">
        <v>0.95992461065370505</v>
      </c>
      <c r="AJ483" s="63">
        <v>5356.0672000000004</v>
      </c>
      <c r="AK483" s="61">
        <v>588.12232693443764</v>
      </c>
      <c r="AL483" t="s">
        <v>347</v>
      </c>
      <c r="AM483" t="s">
        <v>437</v>
      </c>
      <c r="AN483" t="s">
        <v>425</v>
      </c>
      <c r="AO483" t="s">
        <v>26</v>
      </c>
      <c r="AP483">
        <v>111.133</v>
      </c>
      <c r="AQ483">
        <v>1.0541007448257309</v>
      </c>
      <c r="AR483">
        <v>117.145378074718</v>
      </c>
      <c r="AS483">
        <v>640.82000000000005</v>
      </c>
      <c r="AT483">
        <v>1</v>
      </c>
      <c r="AU483">
        <v>75.069101177840764</v>
      </c>
      <c r="AV483">
        <v>0.99109999999999998</v>
      </c>
      <c r="AW483" s="63">
        <v>74.400999999999996</v>
      </c>
      <c r="AX483">
        <v>8.9176000000000002</v>
      </c>
      <c r="AY483">
        <v>1</v>
      </c>
      <c r="AZ483">
        <v>6023.7392733347688</v>
      </c>
      <c r="BA483">
        <v>0.9830373970836227</v>
      </c>
      <c r="BB483" s="63">
        <v>5921.5609999999997</v>
      </c>
      <c r="BC483" s="61">
        <v>650.21630692090923</v>
      </c>
    </row>
    <row r="484" spans="1:55" x14ac:dyDescent="0.25">
      <c r="A484">
        <v>123224</v>
      </c>
      <c r="B484" t="s">
        <v>149</v>
      </c>
      <c r="C484">
        <v>2019</v>
      </c>
      <c r="D484">
        <v>3</v>
      </c>
      <c r="E484" t="s">
        <v>51</v>
      </c>
      <c r="F484" t="s">
        <v>426</v>
      </c>
      <c r="G484" t="s">
        <v>84</v>
      </c>
      <c r="H484" t="s">
        <v>87</v>
      </c>
      <c r="I484" t="s">
        <v>427</v>
      </c>
      <c r="J484">
        <v>-2.8894547099999999</v>
      </c>
      <c r="K484" t="s">
        <v>440</v>
      </c>
      <c r="L484" t="s">
        <v>384</v>
      </c>
      <c r="M484">
        <v>3.9509559941419997E-2</v>
      </c>
      <c r="N484">
        <v>0.1141610839676389</v>
      </c>
      <c r="O484">
        <v>28410.399000000001</v>
      </c>
      <c r="P484">
        <v>2.51417E-6</v>
      </c>
      <c r="Q484">
        <v>0.14285700000000001</v>
      </c>
      <c r="R484" s="61">
        <v>1.6308709972364981E-2</v>
      </c>
      <c r="S484" t="s">
        <v>346</v>
      </c>
      <c r="T484" t="s">
        <v>436</v>
      </c>
      <c r="U484" t="s">
        <v>425</v>
      </c>
      <c r="V484" t="s">
        <v>81</v>
      </c>
      <c r="W484">
        <v>111.133</v>
      </c>
      <c r="X484">
        <v>1.0368587857491129</v>
      </c>
      <c r="Y484">
        <v>115.2292274366562</v>
      </c>
      <c r="Z484">
        <v>603.45000000000005</v>
      </c>
      <c r="AA484">
        <v>1</v>
      </c>
      <c r="AB484">
        <v>69.535077296650186</v>
      </c>
      <c r="AC484">
        <v>0.90990000000000004</v>
      </c>
      <c r="AD484" s="63">
        <v>63.27</v>
      </c>
      <c r="AE484">
        <v>8.9176000000000002</v>
      </c>
      <c r="AF484">
        <v>9.2462919077962926</v>
      </c>
      <c r="AG484">
        <v>1</v>
      </c>
      <c r="AH484">
        <v>5579.6748517596734</v>
      </c>
      <c r="AI484">
        <v>1.053620848708487</v>
      </c>
      <c r="AJ484" s="63">
        <v>5878.8617999999997</v>
      </c>
      <c r="AK484" s="61">
        <v>95.876652063815555</v>
      </c>
      <c r="AL484" t="s">
        <v>347</v>
      </c>
      <c r="AM484" t="s">
        <v>437</v>
      </c>
      <c r="AN484" t="s">
        <v>425</v>
      </c>
      <c r="AO484" t="s">
        <v>81</v>
      </c>
      <c r="AP484">
        <v>111.133</v>
      </c>
      <c r="AQ484">
        <v>1.0541007448257309</v>
      </c>
      <c r="AR484">
        <v>117.145378074718</v>
      </c>
      <c r="AS484">
        <v>640.82000000000005</v>
      </c>
      <c r="AT484">
        <v>1</v>
      </c>
      <c r="AU484">
        <v>75.069101177840764</v>
      </c>
      <c r="AV484">
        <v>0.93830000000000002</v>
      </c>
      <c r="AW484" s="63">
        <v>70.436999999999998</v>
      </c>
      <c r="AX484">
        <v>8.9176000000000002</v>
      </c>
      <c r="AY484">
        <v>1</v>
      </c>
      <c r="AZ484">
        <v>6023.7392733347688</v>
      </c>
      <c r="BA484">
        <v>1.098016605166052</v>
      </c>
      <c r="BB484" s="63">
        <v>6614.1656999999996</v>
      </c>
      <c r="BC484" s="61">
        <v>107.8685101104644</v>
      </c>
    </row>
    <row r="485" spans="1:55" x14ac:dyDescent="0.25">
      <c r="A485">
        <v>123226</v>
      </c>
      <c r="B485" t="s">
        <v>149</v>
      </c>
      <c r="C485">
        <v>2019</v>
      </c>
      <c r="D485">
        <v>3</v>
      </c>
      <c r="E485" t="s">
        <v>51</v>
      </c>
      <c r="F485" t="s">
        <v>426</v>
      </c>
      <c r="G485" t="s">
        <v>84</v>
      </c>
      <c r="H485" t="s">
        <v>87</v>
      </c>
      <c r="I485" t="s">
        <v>427</v>
      </c>
      <c r="J485">
        <v>-2.8894547099999999</v>
      </c>
      <c r="K485" t="s">
        <v>440</v>
      </c>
      <c r="L485" t="s">
        <v>385</v>
      </c>
      <c r="M485">
        <v>0.39737542925016001</v>
      </c>
      <c r="N485">
        <v>1.148198304728413</v>
      </c>
      <c r="O485">
        <v>28410.399000000001</v>
      </c>
      <c r="P485">
        <v>2.51417E-6</v>
      </c>
      <c r="Q485">
        <v>0.14285700000000001</v>
      </c>
      <c r="R485" s="61">
        <v>0.1640281652185869</v>
      </c>
      <c r="S485" t="s">
        <v>346</v>
      </c>
      <c r="T485" t="s">
        <v>436</v>
      </c>
      <c r="U485" t="s">
        <v>425</v>
      </c>
      <c r="V485" t="s">
        <v>27</v>
      </c>
      <c r="W485">
        <v>111.133</v>
      </c>
      <c r="X485">
        <v>1.0368587857491129</v>
      </c>
      <c r="Y485">
        <v>115.2292274366562</v>
      </c>
      <c r="Z485">
        <v>603.45000000000005</v>
      </c>
      <c r="AA485">
        <v>1</v>
      </c>
      <c r="AB485">
        <v>69.535077296650186</v>
      </c>
      <c r="AC485">
        <v>0.93979999999999997</v>
      </c>
      <c r="AD485" s="63">
        <v>65.349000000000004</v>
      </c>
      <c r="AE485">
        <v>8.9176000000000002</v>
      </c>
      <c r="AF485">
        <v>9.2462919077962926</v>
      </c>
      <c r="AG485">
        <v>1</v>
      </c>
      <c r="AH485">
        <v>5579.6748517596734</v>
      </c>
      <c r="AI485">
        <v>0.95477850697292876</v>
      </c>
      <c r="AJ485" s="63">
        <v>5327.3536000000004</v>
      </c>
      <c r="AK485" s="61">
        <v>873.83603647863367</v>
      </c>
      <c r="AL485" t="s">
        <v>347</v>
      </c>
      <c r="AM485" t="s">
        <v>437</v>
      </c>
      <c r="AN485" t="s">
        <v>425</v>
      </c>
      <c r="AO485" t="s">
        <v>27</v>
      </c>
      <c r="AP485">
        <v>111.133</v>
      </c>
      <c r="AQ485">
        <v>1.0541007448257309</v>
      </c>
      <c r="AR485">
        <v>117.145378074718</v>
      </c>
      <c r="AS485">
        <v>640.82000000000005</v>
      </c>
      <c r="AT485">
        <v>1</v>
      </c>
      <c r="AU485">
        <v>75.069101177840764</v>
      </c>
      <c r="AV485">
        <v>0.95889999999999997</v>
      </c>
      <c r="AW485" s="63">
        <v>71.983999999999995</v>
      </c>
      <c r="AX485">
        <v>8.9176000000000002</v>
      </c>
      <c r="AY485">
        <v>1</v>
      </c>
      <c r="AZ485">
        <v>6023.7392733347688</v>
      </c>
      <c r="BA485">
        <v>0.99097621000820357</v>
      </c>
      <c r="BB485" s="63">
        <v>5969.3823000000002</v>
      </c>
      <c r="BC485" s="61">
        <v>979.14682615730817</v>
      </c>
    </row>
    <row r="486" spans="1:55" x14ac:dyDescent="0.25">
      <c r="A486">
        <v>123228</v>
      </c>
      <c r="B486" t="s">
        <v>149</v>
      </c>
      <c r="C486">
        <v>2019</v>
      </c>
      <c r="D486">
        <v>3</v>
      </c>
      <c r="E486" t="s">
        <v>51</v>
      </c>
      <c r="F486" t="s">
        <v>426</v>
      </c>
      <c r="G486" t="s">
        <v>84</v>
      </c>
      <c r="H486" t="s">
        <v>87</v>
      </c>
      <c r="I486" t="s">
        <v>427</v>
      </c>
      <c r="J486">
        <v>-2.8894547099999999</v>
      </c>
      <c r="K486" t="s">
        <v>440</v>
      </c>
      <c r="L486" t="s">
        <v>452</v>
      </c>
      <c r="M486">
        <v>8.4248020759000004E-4</v>
      </c>
      <c r="N486">
        <v>2.4343084018743212E-3</v>
      </c>
      <c r="O486">
        <v>28410.399000000001</v>
      </c>
      <c r="P486">
        <v>2.51417E-6</v>
      </c>
      <c r="Q486">
        <v>0.14285700000000001</v>
      </c>
      <c r="R486" s="61">
        <v>3.4775799536655992E-4</v>
      </c>
      <c r="S486" t="s">
        <v>346</v>
      </c>
      <c r="T486" t="s">
        <v>436</v>
      </c>
      <c r="U486" t="s">
        <v>425</v>
      </c>
      <c r="V486" t="s">
        <v>28</v>
      </c>
      <c r="W486">
        <v>111.133</v>
      </c>
      <c r="X486">
        <v>1.0368587857491129</v>
      </c>
      <c r="Y486">
        <v>115.2292274366562</v>
      </c>
      <c r="Z486">
        <v>603.45000000000005</v>
      </c>
      <c r="AA486">
        <v>1</v>
      </c>
      <c r="AB486">
        <v>69.535077296650186</v>
      </c>
      <c r="AC486">
        <v>0.99760000000000004</v>
      </c>
      <c r="AD486" s="63">
        <v>69.367999999999995</v>
      </c>
      <c r="AE486">
        <v>8.9176000000000002</v>
      </c>
      <c r="AF486">
        <v>9.2462919077962926</v>
      </c>
      <c r="AG486">
        <v>1</v>
      </c>
      <c r="AH486">
        <v>5579.6748517596734</v>
      </c>
      <c r="AI486">
        <v>0.96062216971844849</v>
      </c>
      <c r="AJ486" s="63">
        <v>5359.9593999999997</v>
      </c>
      <c r="AK486" s="61">
        <v>1.8639687361901489</v>
      </c>
      <c r="AL486" t="s">
        <v>347</v>
      </c>
      <c r="AM486" t="s">
        <v>437</v>
      </c>
      <c r="AN486" t="s">
        <v>425</v>
      </c>
      <c r="AO486" t="s">
        <v>28</v>
      </c>
      <c r="AP486">
        <v>111.133</v>
      </c>
      <c r="AQ486">
        <v>1.0541007448257309</v>
      </c>
      <c r="AR486">
        <v>117.145378074718</v>
      </c>
      <c r="AS486">
        <v>640.82000000000005</v>
      </c>
      <c r="AT486">
        <v>1</v>
      </c>
      <c r="AU486">
        <v>75.069101177840764</v>
      </c>
      <c r="AV486">
        <v>1.0073000000000001</v>
      </c>
      <c r="AW486" s="63">
        <v>75.617000000000004</v>
      </c>
      <c r="AX486">
        <v>8.9176000000000002</v>
      </c>
      <c r="AY486">
        <v>1</v>
      </c>
      <c r="AZ486">
        <v>6023.7392733347688</v>
      </c>
      <c r="BA486">
        <v>0.99399488088206345</v>
      </c>
      <c r="BB486" s="63">
        <v>5987.5659999999998</v>
      </c>
      <c r="BC486" s="61">
        <v>2.082223949284971</v>
      </c>
    </row>
    <row r="487" spans="1:55" x14ac:dyDescent="0.25">
      <c r="A487">
        <v>123230</v>
      </c>
      <c r="B487" t="s">
        <v>149</v>
      </c>
      <c r="C487">
        <v>2019</v>
      </c>
      <c r="D487">
        <v>3</v>
      </c>
      <c r="E487" t="s">
        <v>51</v>
      </c>
      <c r="F487" t="s">
        <v>426</v>
      </c>
      <c r="G487" t="s">
        <v>84</v>
      </c>
      <c r="H487" t="s">
        <v>59</v>
      </c>
      <c r="I487" t="s">
        <v>427</v>
      </c>
      <c r="J487">
        <v>-6.8711334500000003</v>
      </c>
      <c r="K487" t="s">
        <v>440</v>
      </c>
      <c r="L487" t="s">
        <v>450</v>
      </c>
      <c r="M487">
        <v>0.15931709696460999</v>
      </c>
      <c r="N487">
        <v>1.0946890348876179</v>
      </c>
      <c r="O487">
        <v>28410.399000000001</v>
      </c>
      <c r="P487">
        <v>2.51417E-6</v>
      </c>
      <c r="Q487">
        <v>0.14285700000000001</v>
      </c>
      <c r="R487" s="61">
        <v>0.15638399145694051</v>
      </c>
      <c r="S487" t="s">
        <v>346</v>
      </c>
      <c r="T487" t="s">
        <v>436</v>
      </c>
      <c r="U487" t="s">
        <v>425</v>
      </c>
      <c r="V487" t="s">
        <v>26</v>
      </c>
      <c r="W487">
        <v>111.133</v>
      </c>
      <c r="X487">
        <v>1.0368587857491129</v>
      </c>
      <c r="Y487">
        <v>115.2292274366562</v>
      </c>
      <c r="Z487">
        <v>603.45000000000005</v>
      </c>
      <c r="AA487">
        <v>1</v>
      </c>
      <c r="AB487">
        <v>69.535077296650186</v>
      </c>
      <c r="AC487">
        <v>0.96209999999999996</v>
      </c>
      <c r="AD487" s="63">
        <v>66.900000000000006</v>
      </c>
      <c r="AE487">
        <v>8.9176000000000002</v>
      </c>
      <c r="AF487">
        <v>9.2462919077962926</v>
      </c>
      <c r="AG487">
        <v>1</v>
      </c>
      <c r="AH487">
        <v>5579.6748517596734</v>
      </c>
      <c r="AI487">
        <v>0.95992461065370505</v>
      </c>
      <c r="AJ487" s="63">
        <v>5356.0672000000004</v>
      </c>
      <c r="AK487" s="61">
        <v>837.60316724759912</v>
      </c>
      <c r="AL487" t="s">
        <v>347</v>
      </c>
      <c r="AM487" t="s">
        <v>437</v>
      </c>
      <c r="AN487" t="s">
        <v>425</v>
      </c>
      <c r="AO487" t="s">
        <v>26</v>
      </c>
      <c r="AP487">
        <v>111.133</v>
      </c>
      <c r="AQ487">
        <v>1.0541007448257309</v>
      </c>
      <c r="AR487">
        <v>117.145378074718</v>
      </c>
      <c r="AS487">
        <v>640.82000000000005</v>
      </c>
      <c r="AT487">
        <v>1</v>
      </c>
      <c r="AU487">
        <v>75.069101177840764</v>
      </c>
      <c r="AV487">
        <v>0.99109999999999998</v>
      </c>
      <c r="AW487" s="63">
        <v>74.400999999999996</v>
      </c>
      <c r="AX487">
        <v>8.9176000000000002</v>
      </c>
      <c r="AY487">
        <v>1</v>
      </c>
      <c r="AZ487">
        <v>6023.7392733347688</v>
      </c>
      <c r="BA487">
        <v>0.9830373970836227</v>
      </c>
      <c r="BB487" s="63">
        <v>5921.5609999999997</v>
      </c>
      <c r="BC487" s="61">
        <v>926.0373448357517</v>
      </c>
    </row>
    <row r="488" spans="1:55" x14ac:dyDescent="0.25">
      <c r="A488">
        <v>123232</v>
      </c>
      <c r="B488" t="s">
        <v>149</v>
      </c>
      <c r="C488">
        <v>2019</v>
      </c>
      <c r="D488">
        <v>3</v>
      </c>
      <c r="E488" t="s">
        <v>51</v>
      </c>
      <c r="F488" t="s">
        <v>426</v>
      </c>
      <c r="G488" t="s">
        <v>84</v>
      </c>
      <c r="H488" t="s">
        <v>59</v>
      </c>
      <c r="I488" t="s">
        <v>427</v>
      </c>
      <c r="J488">
        <v>-6.8711334500000003</v>
      </c>
      <c r="K488" t="s">
        <v>440</v>
      </c>
      <c r="L488" t="s">
        <v>384</v>
      </c>
      <c r="M488">
        <v>4.1785183859599999E-2</v>
      </c>
      <c r="N488">
        <v>0.28711157473593729</v>
      </c>
      <c r="O488">
        <v>28410.399000000001</v>
      </c>
      <c r="P488">
        <v>2.51417E-6</v>
      </c>
      <c r="Q488">
        <v>0.14285700000000001</v>
      </c>
      <c r="R488" s="61">
        <v>4.1015898232051803E-2</v>
      </c>
      <c r="S488" t="s">
        <v>346</v>
      </c>
      <c r="T488" t="s">
        <v>436</v>
      </c>
      <c r="U488" t="s">
        <v>425</v>
      </c>
      <c r="V488" t="s">
        <v>81</v>
      </c>
      <c r="W488">
        <v>111.133</v>
      </c>
      <c r="X488">
        <v>1.0368587857491129</v>
      </c>
      <c r="Y488">
        <v>115.2292274366562</v>
      </c>
      <c r="Z488">
        <v>603.45000000000005</v>
      </c>
      <c r="AA488">
        <v>1</v>
      </c>
      <c r="AB488">
        <v>69.535077296650186</v>
      </c>
      <c r="AC488">
        <v>0.90990000000000004</v>
      </c>
      <c r="AD488" s="63">
        <v>63.27</v>
      </c>
      <c r="AE488">
        <v>8.9176000000000002</v>
      </c>
      <c r="AF488">
        <v>9.2462919077962926</v>
      </c>
      <c r="AG488">
        <v>1</v>
      </c>
      <c r="AH488">
        <v>5579.6748517596734</v>
      </c>
      <c r="AI488">
        <v>1.053620848708487</v>
      </c>
      <c r="AJ488" s="63">
        <v>5878.8617999999997</v>
      </c>
      <c r="AK488" s="61">
        <v>241.12679730909679</v>
      </c>
      <c r="AL488" t="s">
        <v>347</v>
      </c>
      <c r="AM488" t="s">
        <v>437</v>
      </c>
      <c r="AN488" t="s">
        <v>425</v>
      </c>
      <c r="AO488" t="s">
        <v>81</v>
      </c>
      <c r="AP488">
        <v>111.133</v>
      </c>
      <c r="AQ488">
        <v>1.0541007448257309</v>
      </c>
      <c r="AR488">
        <v>117.145378074718</v>
      </c>
      <c r="AS488">
        <v>640.82000000000005</v>
      </c>
      <c r="AT488">
        <v>1</v>
      </c>
      <c r="AU488">
        <v>75.069101177840764</v>
      </c>
      <c r="AV488">
        <v>0.93830000000000002</v>
      </c>
      <c r="AW488" s="63">
        <v>70.436999999999998</v>
      </c>
      <c r="AX488">
        <v>8.9176000000000002</v>
      </c>
      <c r="AY488">
        <v>1</v>
      </c>
      <c r="AZ488">
        <v>6023.7392733347688</v>
      </c>
      <c r="BA488">
        <v>1.098016605166052</v>
      </c>
      <c r="BB488" s="63">
        <v>6614.1656999999996</v>
      </c>
      <c r="BC488" s="61">
        <v>271.28594724112759</v>
      </c>
    </row>
    <row r="489" spans="1:55" x14ac:dyDescent="0.25">
      <c r="A489">
        <v>123234</v>
      </c>
      <c r="B489" t="s">
        <v>149</v>
      </c>
      <c r="C489">
        <v>2019</v>
      </c>
      <c r="D489">
        <v>3</v>
      </c>
      <c r="E489" t="s">
        <v>51</v>
      </c>
      <c r="F489" t="s">
        <v>426</v>
      </c>
      <c r="G489" t="s">
        <v>84</v>
      </c>
      <c r="H489" t="s">
        <v>59</v>
      </c>
      <c r="I489" t="s">
        <v>427</v>
      </c>
      <c r="J489">
        <v>-6.8711334500000003</v>
      </c>
      <c r="K489" t="s">
        <v>440</v>
      </c>
      <c r="L489" t="s">
        <v>385</v>
      </c>
      <c r="M489">
        <v>0.43497567483749999</v>
      </c>
      <c r="N489">
        <v>2.988775911434201</v>
      </c>
      <c r="O489">
        <v>28410.399000000001</v>
      </c>
      <c r="P489">
        <v>2.51417E-6</v>
      </c>
      <c r="Q489">
        <v>0.14285700000000001</v>
      </c>
      <c r="R489" s="61">
        <v>0.4269675603797557</v>
      </c>
      <c r="S489" t="s">
        <v>346</v>
      </c>
      <c r="T489" t="s">
        <v>436</v>
      </c>
      <c r="U489" t="s">
        <v>425</v>
      </c>
      <c r="V489" t="s">
        <v>27</v>
      </c>
      <c r="W489">
        <v>111.133</v>
      </c>
      <c r="X489">
        <v>1.0368587857491129</v>
      </c>
      <c r="Y489">
        <v>115.2292274366562</v>
      </c>
      <c r="Z489">
        <v>603.45000000000005</v>
      </c>
      <c r="AA489">
        <v>1</v>
      </c>
      <c r="AB489">
        <v>69.535077296650186</v>
      </c>
      <c r="AC489">
        <v>0.93979999999999997</v>
      </c>
      <c r="AD489" s="63">
        <v>65.349000000000004</v>
      </c>
      <c r="AE489">
        <v>8.9176000000000002</v>
      </c>
      <c r="AF489">
        <v>9.2462919077962926</v>
      </c>
      <c r="AG489">
        <v>1</v>
      </c>
      <c r="AH489">
        <v>5579.6748517596734</v>
      </c>
      <c r="AI489">
        <v>0.95477850697292876</v>
      </c>
      <c r="AJ489" s="63">
        <v>5327.3536000000004</v>
      </c>
      <c r="AK489" s="61">
        <v>2274.607169872309</v>
      </c>
      <c r="AL489" t="s">
        <v>347</v>
      </c>
      <c r="AM489" t="s">
        <v>437</v>
      </c>
      <c r="AN489" t="s">
        <v>425</v>
      </c>
      <c r="AO489" t="s">
        <v>27</v>
      </c>
      <c r="AP489">
        <v>111.133</v>
      </c>
      <c r="AQ489">
        <v>1.0541007448257309</v>
      </c>
      <c r="AR489">
        <v>117.145378074718</v>
      </c>
      <c r="AS489">
        <v>640.82000000000005</v>
      </c>
      <c r="AT489">
        <v>1</v>
      </c>
      <c r="AU489">
        <v>75.069101177840764</v>
      </c>
      <c r="AV489">
        <v>0.95889999999999997</v>
      </c>
      <c r="AW489" s="63">
        <v>71.983999999999995</v>
      </c>
      <c r="AX489">
        <v>8.9176000000000002</v>
      </c>
      <c r="AY489">
        <v>1</v>
      </c>
      <c r="AZ489">
        <v>6023.7392733347688</v>
      </c>
      <c r="BA489">
        <v>0.99097621000820357</v>
      </c>
      <c r="BB489" s="63">
        <v>5969.3823000000002</v>
      </c>
      <c r="BC489" s="61">
        <v>2548.7325976050952</v>
      </c>
    </row>
    <row r="490" spans="1:55" x14ac:dyDescent="0.25">
      <c r="A490">
        <v>123236</v>
      </c>
      <c r="B490" t="s">
        <v>149</v>
      </c>
      <c r="C490">
        <v>2019</v>
      </c>
      <c r="D490">
        <v>3</v>
      </c>
      <c r="E490" t="s">
        <v>51</v>
      </c>
      <c r="F490" t="s">
        <v>426</v>
      </c>
      <c r="G490" t="s">
        <v>84</v>
      </c>
      <c r="H490" t="s">
        <v>59</v>
      </c>
      <c r="I490" t="s">
        <v>427</v>
      </c>
      <c r="J490">
        <v>-6.8711334500000003</v>
      </c>
      <c r="K490" t="s">
        <v>440</v>
      </c>
      <c r="L490" t="s">
        <v>451</v>
      </c>
      <c r="M490">
        <v>1.7625750762999999E-3</v>
      </c>
      <c r="N490">
        <v>1.2110888573499561E-2</v>
      </c>
      <c r="O490">
        <v>28410.399000000001</v>
      </c>
      <c r="P490">
        <v>2.51417E-6</v>
      </c>
      <c r="Q490">
        <v>0.14285700000000001</v>
      </c>
      <c r="R490" s="61">
        <v>1.730125208944427E-3</v>
      </c>
      <c r="S490" t="s">
        <v>346</v>
      </c>
      <c r="T490" t="s">
        <v>436</v>
      </c>
      <c r="U490" t="s">
        <v>425</v>
      </c>
      <c r="V490" t="s">
        <v>91</v>
      </c>
      <c r="W490">
        <v>111.133</v>
      </c>
      <c r="X490">
        <v>1.0368587857491129</v>
      </c>
      <c r="Y490">
        <v>115.2292274366562</v>
      </c>
      <c r="Z490">
        <v>603.45000000000005</v>
      </c>
      <c r="AA490">
        <v>1</v>
      </c>
      <c r="AB490">
        <v>69.535077296650186</v>
      </c>
      <c r="AC490">
        <v>0.99250000000000005</v>
      </c>
      <c r="AD490" s="63">
        <v>69.013999999999996</v>
      </c>
      <c r="AE490">
        <v>8.9176000000000002</v>
      </c>
      <c r="AF490">
        <v>9.2462919077962926</v>
      </c>
      <c r="AG490">
        <v>1</v>
      </c>
      <c r="AH490">
        <v>5579.6748517596734</v>
      </c>
      <c r="AI490">
        <v>0.96573604060913698</v>
      </c>
      <c r="AJ490" s="63">
        <v>5388.4930999999997</v>
      </c>
      <c r="AK490" s="61">
        <v>9.3227677505330995</v>
      </c>
      <c r="AL490" t="s">
        <v>347</v>
      </c>
      <c r="AM490" t="s">
        <v>437</v>
      </c>
      <c r="AN490" t="s">
        <v>425</v>
      </c>
      <c r="AO490" t="s">
        <v>91</v>
      </c>
      <c r="AP490">
        <v>111.133</v>
      </c>
      <c r="AQ490">
        <v>1.0541007448257309</v>
      </c>
      <c r="AR490">
        <v>117.145378074718</v>
      </c>
      <c r="AS490">
        <v>640.82000000000005</v>
      </c>
      <c r="AT490">
        <v>1</v>
      </c>
      <c r="AU490">
        <v>75.069101177840764</v>
      </c>
      <c r="AV490">
        <v>1.0088999999999999</v>
      </c>
      <c r="AW490" s="63">
        <v>75.736999999999995</v>
      </c>
      <c r="AX490">
        <v>8.9176000000000002</v>
      </c>
      <c r="AY490">
        <v>1</v>
      </c>
      <c r="AZ490">
        <v>6023.7392733347688</v>
      </c>
      <c r="BA490">
        <v>0.99316673174541203</v>
      </c>
      <c r="BB490" s="63">
        <v>5982.5774000000001</v>
      </c>
      <c r="BC490" s="61">
        <v>10.35060797420121</v>
      </c>
    </row>
    <row r="491" spans="1:55" x14ac:dyDescent="0.25">
      <c r="A491">
        <v>123238</v>
      </c>
      <c r="B491" t="s">
        <v>149</v>
      </c>
      <c r="C491">
        <v>2019</v>
      </c>
      <c r="D491">
        <v>3</v>
      </c>
      <c r="E491" t="s">
        <v>51</v>
      </c>
      <c r="F491" t="s">
        <v>426</v>
      </c>
      <c r="G491" t="s">
        <v>84</v>
      </c>
      <c r="H491" t="s">
        <v>59</v>
      </c>
      <c r="I491" t="s">
        <v>427</v>
      </c>
      <c r="J491">
        <v>-6.8711334500000003</v>
      </c>
      <c r="K491" t="s">
        <v>440</v>
      </c>
      <c r="L491" t="s">
        <v>452</v>
      </c>
      <c r="M491">
        <v>1.4858046103299999E-3</v>
      </c>
      <c r="N491">
        <v>1.0209161765450839E-2</v>
      </c>
      <c r="O491">
        <v>28410.399000000001</v>
      </c>
      <c r="P491">
        <v>2.51417E-6</v>
      </c>
      <c r="Q491">
        <v>0.14285700000000001</v>
      </c>
      <c r="R491" s="61">
        <v>1.458450222327011E-3</v>
      </c>
      <c r="S491" t="s">
        <v>346</v>
      </c>
      <c r="T491" t="s">
        <v>436</v>
      </c>
      <c r="U491" t="s">
        <v>425</v>
      </c>
      <c r="V491" t="s">
        <v>28</v>
      </c>
      <c r="W491">
        <v>111.133</v>
      </c>
      <c r="X491">
        <v>1.0368587857491129</v>
      </c>
      <c r="Y491">
        <v>115.2292274366562</v>
      </c>
      <c r="Z491">
        <v>603.45000000000005</v>
      </c>
      <c r="AA491">
        <v>1</v>
      </c>
      <c r="AB491">
        <v>69.535077296650186</v>
      </c>
      <c r="AC491">
        <v>0.99760000000000004</v>
      </c>
      <c r="AD491" s="63">
        <v>69.367999999999995</v>
      </c>
      <c r="AE491">
        <v>8.9176000000000002</v>
      </c>
      <c r="AF491">
        <v>9.2462919077962926</v>
      </c>
      <c r="AG491">
        <v>1</v>
      </c>
      <c r="AH491">
        <v>5579.6748517596734</v>
      </c>
      <c r="AI491">
        <v>0.96062216971844849</v>
      </c>
      <c r="AJ491" s="63">
        <v>5359.9593999999997</v>
      </c>
      <c r="AK491" s="61">
        <v>7.8172339785937526</v>
      </c>
      <c r="AL491" t="s">
        <v>347</v>
      </c>
      <c r="AM491" t="s">
        <v>437</v>
      </c>
      <c r="AN491" t="s">
        <v>425</v>
      </c>
      <c r="AO491" t="s">
        <v>28</v>
      </c>
      <c r="AP491">
        <v>111.133</v>
      </c>
      <c r="AQ491">
        <v>1.0541007448257309</v>
      </c>
      <c r="AR491">
        <v>117.145378074718</v>
      </c>
      <c r="AS491">
        <v>640.82000000000005</v>
      </c>
      <c r="AT491">
        <v>1</v>
      </c>
      <c r="AU491">
        <v>75.069101177840764</v>
      </c>
      <c r="AV491">
        <v>1.0073000000000001</v>
      </c>
      <c r="AW491" s="63">
        <v>75.617000000000004</v>
      </c>
      <c r="AX491">
        <v>8.9176000000000002</v>
      </c>
      <c r="AY491">
        <v>1</v>
      </c>
      <c r="AZ491">
        <v>6023.7392733347688</v>
      </c>
      <c r="BA491">
        <v>0.99399488088206345</v>
      </c>
      <c r="BB491" s="63">
        <v>5987.5659999999998</v>
      </c>
      <c r="BC491" s="61">
        <v>8.7325669638976535</v>
      </c>
    </row>
    <row r="492" spans="1:55" x14ac:dyDescent="0.25">
      <c r="A492">
        <v>130085</v>
      </c>
      <c r="B492" t="s">
        <v>150</v>
      </c>
      <c r="C492">
        <v>2019</v>
      </c>
      <c r="D492">
        <v>4</v>
      </c>
      <c r="E492" t="s">
        <v>51</v>
      </c>
      <c r="F492" t="s">
        <v>426</v>
      </c>
      <c r="G492" t="s">
        <v>84</v>
      </c>
      <c r="H492" t="s">
        <v>381</v>
      </c>
      <c r="I492" t="s">
        <v>427</v>
      </c>
      <c r="J492">
        <v>-13.3024606</v>
      </c>
      <c r="K492" t="s">
        <v>440</v>
      </c>
      <c r="L492" t="s">
        <v>450</v>
      </c>
      <c r="M492">
        <v>0.15011157993331001</v>
      </c>
      <c r="N492">
        <v>1.996853378259037</v>
      </c>
      <c r="O492">
        <v>28410.399000000001</v>
      </c>
      <c r="P492">
        <v>2.51417E-6</v>
      </c>
      <c r="Q492">
        <v>0.14285700000000001</v>
      </c>
      <c r="R492" s="61">
        <v>0.28526448305795132</v>
      </c>
      <c r="S492" t="s">
        <v>347</v>
      </c>
      <c r="T492" t="s">
        <v>437</v>
      </c>
      <c r="U492" t="s">
        <v>425</v>
      </c>
      <c r="V492" t="s">
        <v>26</v>
      </c>
      <c r="W492">
        <v>111.133</v>
      </c>
      <c r="X492">
        <v>1.0541007448257309</v>
      </c>
      <c r="Y492">
        <v>117.145378074718</v>
      </c>
      <c r="Z492">
        <v>640.82000000000005</v>
      </c>
      <c r="AA492">
        <v>1</v>
      </c>
      <c r="AB492">
        <v>75.069101177840764</v>
      </c>
      <c r="AC492">
        <v>0.99109999999999998</v>
      </c>
      <c r="AD492" s="63">
        <v>74.400999999999996</v>
      </c>
      <c r="AE492">
        <v>8.9176000000000002</v>
      </c>
      <c r="AF492">
        <v>9.4000488020579382</v>
      </c>
      <c r="AG492">
        <v>1</v>
      </c>
      <c r="AH492">
        <v>6023.7392733347688</v>
      </c>
      <c r="AI492">
        <v>0.9830373970836227</v>
      </c>
      <c r="AJ492" s="63">
        <v>5921.5609999999997</v>
      </c>
      <c r="AK492" s="61">
        <v>1689.2110375611251</v>
      </c>
      <c r="AL492" t="s">
        <v>347</v>
      </c>
      <c r="AM492" t="s">
        <v>437</v>
      </c>
      <c r="AN492" t="s">
        <v>425</v>
      </c>
      <c r="AO492" t="s">
        <v>26</v>
      </c>
      <c r="AP492">
        <v>111.133</v>
      </c>
      <c r="AQ492">
        <v>1.0541007448257309</v>
      </c>
      <c r="AR492">
        <v>117.145378074718</v>
      </c>
      <c r="AS492">
        <v>640.82000000000005</v>
      </c>
      <c r="AT492">
        <v>1</v>
      </c>
      <c r="AU492">
        <v>75.069101177840764</v>
      </c>
      <c r="AV492">
        <v>0.99109999999999998</v>
      </c>
      <c r="AW492" s="63">
        <v>74.400999999999996</v>
      </c>
      <c r="AX492">
        <v>8.9176000000000002</v>
      </c>
      <c r="AY492">
        <v>1</v>
      </c>
      <c r="AZ492">
        <v>6023.7392733347688</v>
      </c>
      <c r="BA492">
        <v>0.9830373970836227</v>
      </c>
      <c r="BB492" s="63">
        <v>5921.5609999999997</v>
      </c>
      <c r="BC492" s="61">
        <v>1689.2110375611251</v>
      </c>
    </row>
    <row r="493" spans="1:55" x14ac:dyDescent="0.25">
      <c r="A493">
        <v>130087</v>
      </c>
      <c r="B493" t="s">
        <v>150</v>
      </c>
      <c r="C493">
        <v>2019</v>
      </c>
      <c r="D493">
        <v>4</v>
      </c>
      <c r="E493" t="s">
        <v>51</v>
      </c>
      <c r="F493" t="s">
        <v>426</v>
      </c>
      <c r="G493" t="s">
        <v>84</v>
      </c>
      <c r="H493" t="s">
        <v>381</v>
      </c>
      <c r="I493" t="s">
        <v>427</v>
      </c>
      <c r="J493">
        <v>-13.3024606</v>
      </c>
      <c r="K493" t="s">
        <v>440</v>
      </c>
      <c r="L493" t="s">
        <v>384</v>
      </c>
      <c r="M493">
        <v>4.5811354346740003E-2</v>
      </c>
      <c r="N493">
        <v>0.60940373641094669</v>
      </c>
      <c r="O493">
        <v>28410.399000000001</v>
      </c>
      <c r="P493">
        <v>2.51417E-6</v>
      </c>
      <c r="Q493">
        <v>0.14285700000000001</v>
      </c>
      <c r="R493" s="61">
        <v>8.7057589572458613E-2</v>
      </c>
      <c r="S493" t="s">
        <v>347</v>
      </c>
      <c r="T493" t="s">
        <v>437</v>
      </c>
      <c r="U493" t="s">
        <v>425</v>
      </c>
      <c r="V493" t="s">
        <v>81</v>
      </c>
      <c r="W493">
        <v>111.133</v>
      </c>
      <c r="X493">
        <v>1.0541007448257309</v>
      </c>
      <c r="Y493">
        <v>117.145378074718</v>
      </c>
      <c r="Z493">
        <v>640.82000000000005</v>
      </c>
      <c r="AA493">
        <v>1</v>
      </c>
      <c r="AB493">
        <v>75.069101177840764</v>
      </c>
      <c r="AC493">
        <v>0.93830000000000002</v>
      </c>
      <c r="AD493" s="63">
        <v>70.436999999999998</v>
      </c>
      <c r="AE493">
        <v>8.9176000000000002</v>
      </c>
      <c r="AF493">
        <v>9.4000488020579382</v>
      </c>
      <c r="AG493">
        <v>1</v>
      </c>
      <c r="AH493">
        <v>6023.7392733347688</v>
      </c>
      <c r="AI493">
        <v>1.098016605166052</v>
      </c>
      <c r="AJ493" s="63">
        <v>6614.1656999999996</v>
      </c>
      <c r="AK493" s="61">
        <v>575.81332287483337</v>
      </c>
      <c r="AL493" t="s">
        <v>347</v>
      </c>
      <c r="AM493" t="s">
        <v>437</v>
      </c>
      <c r="AN493" t="s">
        <v>425</v>
      </c>
      <c r="AO493" t="s">
        <v>81</v>
      </c>
      <c r="AP493">
        <v>111.133</v>
      </c>
      <c r="AQ493">
        <v>1.0541007448257309</v>
      </c>
      <c r="AR493">
        <v>117.145378074718</v>
      </c>
      <c r="AS493">
        <v>640.82000000000005</v>
      </c>
      <c r="AT493">
        <v>1</v>
      </c>
      <c r="AU493">
        <v>75.069101177840764</v>
      </c>
      <c r="AV493">
        <v>0.93830000000000002</v>
      </c>
      <c r="AW493" s="63">
        <v>70.436999999999998</v>
      </c>
      <c r="AX493">
        <v>8.9176000000000002</v>
      </c>
      <c r="AY493">
        <v>1</v>
      </c>
      <c r="AZ493">
        <v>6023.7392733347688</v>
      </c>
      <c r="BA493">
        <v>1.098016605166052</v>
      </c>
      <c r="BB493" s="63">
        <v>6614.1656999999996</v>
      </c>
      <c r="BC493" s="61">
        <v>575.81332287483337</v>
      </c>
    </row>
    <row r="494" spans="1:55" x14ac:dyDescent="0.25">
      <c r="A494">
        <v>130089</v>
      </c>
      <c r="B494" t="s">
        <v>150</v>
      </c>
      <c r="C494">
        <v>2019</v>
      </c>
      <c r="D494">
        <v>4</v>
      </c>
      <c r="E494" t="s">
        <v>51</v>
      </c>
      <c r="F494" t="s">
        <v>426</v>
      </c>
      <c r="G494" t="s">
        <v>84</v>
      </c>
      <c r="H494" t="s">
        <v>381</v>
      </c>
      <c r="I494" t="s">
        <v>427</v>
      </c>
      <c r="J494">
        <v>-13.3024606</v>
      </c>
      <c r="K494" t="s">
        <v>440</v>
      </c>
      <c r="L494" t="s">
        <v>385</v>
      </c>
      <c r="M494">
        <v>0.43232641346992001</v>
      </c>
      <c r="N494">
        <v>5.7510050832291393</v>
      </c>
      <c r="O494">
        <v>28410.399000000001</v>
      </c>
      <c r="P494">
        <v>2.51417E-6</v>
      </c>
      <c r="Q494">
        <v>0.14285700000000001</v>
      </c>
      <c r="R494" s="61">
        <v>0.82157133317486519</v>
      </c>
      <c r="S494" t="s">
        <v>347</v>
      </c>
      <c r="T494" t="s">
        <v>437</v>
      </c>
      <c r="U494" t="s">
        <v>425</v>
      </c>
      <c r="V494" t="s">
        <v>27</v>
      </c>
      <c r="W494">
        <v>111.133</v>
      </c>
      <c r="X494">
        <v>1.0541007448257309</v>
      </c>
      <c r="Y494">
        <v>117.145378074718</v>
      </c>
      <c r="Z494">
        <v>640.82000000000005</v>
      </c>
      <c r="AA494">
        <v>1</v>
      </c>
      <c r="AB494">
        <v>75.069101177840764</v>
      </c>
      <c r="AC494">
        <v>0.95889999999999997</v>
      </c>
      <c r="AD494" s="63">
        <v>71.983999999999995</v>
      </c>
      <c r="AE494">
        <v>8.9176000000000002</v>
      </c>
      <c r="AF494">
        <v>9.4000488020579382</v>
      </c>
      <c r="AG494">
        <v>1</v>
      </c>
      <c r="AH494">
        <v>6023.7392733347688</v>
      </c>
      <c r="AI494">
        <v>0.99097621000820357</v>
      </c>
      <c r="AJ494" s="63">
        <v>5969.3823000000002</v>
      </c>
      <c r="AK494" s="61">
        <v>4904.2733744414436</v>
      </c>
      <c r="AL494" t="s">
        <v>347</v>
      </c>
      <c r="AM494" t="s">
        <v>437</v>
      </c>
      <c r="AN494" t="s">
        <v>425</v>
      </c>
      <c r="AO494" t="s">
        <v>27</v>
      </c>
      <c r="AP494">
        <v>111.133</v>
      </c>
      <c r="AQ494">
        <v>1.0541007448257309</v>
      </c>
      <c r="AR494">
        <v>117.145378074718</v>
      </c>
      <c r="AS494">
        <v>640.82000000000005</v>
      </c>
      <c r="AT494">
        <v>1</v>
      </c>
      <c r="AU494">
        <v>75.069101177840764</v>
      </c>
      <c r="AV494">
        <v>0.95889999999999997</v>
      </c>
      <c r="AW494" s="63">
        <v>71.983999999999995</v>
      </c>
      <c r="AX494">
        <v>8.9176000000000002</v>
      </c>
      <c r="AY494">
        <v>1</v>
      </c>
      <c r="AZ494">
        <v>6023.7392733347688</v>
      </c>
      <c r="BA494">
        <v>0.99097621000820357</v>
      </c>
      <c r="BB494" s="63">
        <v>5969.3823000000002</v>
      </c>
      <c r="BC494" s="61">
        <v>4904.2733744414436</v>
      </c>
    </row>
    <row r="495" spans="1:55" x14ac:dyDescent="0.25">
      <c r="A495">
        <v>130091</v>
      </c>
      <c r="B495" t="s">
        <v>150</v>
      </c>
      <c r="C495">
        <v>2019</v>
      </c>
      <c r="D495">
        <v>4</v>
      </c>
      <c r="E495" t="s">
        <v>51</v>
      </c>
      <c r="F495" t="s">
        <v>426</v>
      </c>
      <c r="G495" t="s">
        <v>84</v>
      </c>
      <c r="H495" t="s">
        <v>381</v>
      </c>
      <c r="I495" t="s">
        <v>427</v>
      </c>
      <c r="J495">
        <v>-13.3024606</v>
      </c>
      <c r="K495" t="s">
        <v>440</v>
      </c>
      <c r="L495" t="s">
        <v>451</v>
      </c>
      <c r="M495">
        <v>1.6825115802299999E-3</v>
      </c>
      <c r="N495">
        <v>2.238154401169351E-2</v>
      </c>
      <c r="O495">
        <v>28410.399000000001</v>
      </c>
      <c r="P495">
        <v>2.51417E-6</v>
      </c>
      <c r="Q495">
        <v>0.14285700000000001</v>
      </c>
      <c r="R495" s="61">
        <v>3.1973602328785001E-3</v>
      </c>
      <c r="S495" t="s">
        <v>347</v>
      </c>
      <c r="T495" t="s">
        <v>437</v>
      </c>
      <c r="U495" t="s">
        <v>425</v>
      </c>
      <c r="V495" t="s">
        <v>91</v>
      </c>
      <c r="W495">
        <v>111.133</v>
      </c>
      <c r="X495">
        <v>1.0541007448257309</v>
      </c>
      <c r="Y495">
        <v>117.145378074718</v>
      </c>
      <c r="Z495">
        <v>640.82000000000005</v>
      </c>
      <c r="AA495">
        <v>1</v>
      </c>
      <c r="AB495">
        <v>75.069101177840764</v>
      </c>
      <c r="AC495">
        <v>1.0088999999999999</v>
      </c>
      <c r="AD495" s="63">
        <v>75.736999999999995</v>
      </c>
      <c r="AE495">
        <v>8.9176000000000002</v>
      </c>
      <c r="AF495">
        <v>9.4000488020579382</v>
      </c>
      <c r="AG495">
        <v>1</v>
      </c>
      <c r="AH495">
        <v>6023.7392733347688</v>
      </c>
      <c r="AI495">
        <v>0.99316673174541203</v>
      </c>
      <c r="AJ495" s="63">
        <v>5982.5774000000001</v>
      </c>
      <c r="AK495" s="61">
        <v>19.128455068877649</v>
      </c>
      <c r="AL495" t="s">
        <v>347</v>
      </c>
      <c r="AM495" t="s">
        <v>437</v>
      </c>
      <c r="AN495" t="s">
        <v>425</v>
      </c>
      <c r="AO495" t="s">
        <v>91</v>
      </c>
      <c r="AP495">
        <v>111.133</v>
      </c>
      <c r="AQ495">
        <v>1.0541007448257309</v>
      </c>
      <c r="AR495">
        <v>117.145378074718</v>
      </c>
      <c r="AS495">
        <v>640.82000000000005</v>
      </c>
      <c r="AT495">
        <v>1</v>
      </c>
      <c r="AU495">
        <v>75.069101177840764</v>
      </c>
      <c r="AV495">
        <v>1.0088999999999999</v>
      </c>
      <c r="AW495" s="63">
        <v>75.736999999999995</v>
      </c>
      <c r="AX495">
        <v>8.9176000000000002</v>
      </c>
      <c r="AY495">
        <v>1</v>
      </c>
      <c r="AZ495">
        <v>6023.7392733347688</v>
      </c>
      <c r="BA495">
        <v>0.99316673174541203</v>
      </c>
      <c r="BB495" s="63">
        <v>5982.5774000000001</v>
      </c>
      <c r="BC495" s="61">
        <v>19.128455068877649</v>
      </c>
    </row>
    <row r="496" spans="1:55" x14ac:dyDescent="0.25">
      <c r="A496">
        <v>130093</v>
      </c>
      <c r="B496" t="s">
        <v>150</v>
      </c>
      <c r="C496">
        <v>2019</v>
      </c>
      <c r="D496">
        <v>4</v>
      </c>
      <c r="E496" t="s">
        <v>51</v>
      </c>
      <c r="F496" t="s">
        <v>426</v>
      </c>
      <c r="G496" t="s">
        <v>84</v>
      </c>
      <c r="H496" t="s">
        <v>381</v>
      </c>
      <c r="I496" t="s">
        <v>427</v>
      </c>
      <c r="J496">
        <v>-13.3024606</v>
      </c>
      <c r="K496" t="s">
        <v>440</v>
      </c>
      <c r="L496" t="s">
        <v>452</v>
      </c>
      <c r="M496">
        <v>1.53682162831E-3</v>
      </c>
      <c r="N496">
        <v>2.0443509165886841E-2</v>
      </c>
      <c r="O496">
        <v>28410.399000000001</v>
      </c>
      <c r="P496">
        <v>2.51417E-6</v>
      </c>
      <c r="Q496">
        <v>0.14285700000000001</v>
      </c>
      <c r="R496" s="61">
        <v>2.9204983889110961E-3</v>
      </c>
      <c r="S496" t="s">
        <v>347</v>
      </c>
      <c r="T496" t="s">
        <v>437</v>
      </c>
      <c r="U496" t="s">
        <v>425</v>
      </c>
      <c r="V496" t="s">
        <v>28</v>
      </c>
      <c r="W496">
        <v>111.133</v>
      </c>
      <c r="X496">
        <v>1.0541007448257309</v>
      </c>
      <c r="Y496">
        <v>117.145378074718</v>
      </c>
      <c r="Z496">
        <v>640.82000000000005</v>
      </c>
      <c r="AA496">
        <v>1</v>
      </c>
      <c r="AB496">
        <v>75.069101177840764</v>
      </c>
      <c r="AC496">
        <v>1.0073000000000001</v>
      </c>
      <c r="AD496" s="63">
        <v>75.617000000000004</v>
      </c>
      <c r="AE496">
        <v>8.9176000000000002</v>
      </c>
      <c r="AF496">
        <v>9.4000488020579382</v>
      </c>
      <c r="AG496">
        <v>1</v>
      </c>
      <c r="AH496">
        <v>6023.7392733347688</v>
      </c>
      <c r="AI496">
        <v>0.99399488088206345</v>
      </c>
      <c r="AJ496" s="63">
        <v>5987.5659999999998</v>
      </c>
      <c r="AK496" s="61">
        <v>17.48667685649886</v>
      </c>
      <c r="AL496" t="s">
        <v>347</v>
      </c>
      <c r="AM496" t="s">
        <v>437</v>
      </c>
      <c r="AN496" t="s">
        <v>425</v>
      </c>
      <c r="AO496" t="s">
        <v>28</v>
      </c>
      <c r="AP496">
        <v>111.133</v>
      </c>
      <c r="AQ496">
        <v>1.0541007448257309</v>
      </c>
      <c r="AR496">
        <v>117.145378074718</v>
      </c>
      <c r="AS496">
        <v>640.82000000000005</v>
      </c>
      <c r="AT496">
        <v>1</v>
      </c>
      <c r="AU496">
        <v>75.069101177840764</v>
      </c>
      <c r="AV496">
        <v>1.0073000000000001</v>
      </c>
      <c r="AW496" s="63">
        <v>75.617000000000004</v>
      </c>
      <c r="AX496">
        <v>8.9176000000000002</v>
      </c>
      <c r="AY496">
        <v>1</v>
      </c>
      <c r="AZ496">
        <v>6023.7392733347688</v>
      </c>
      <c r="BA496">
        <v>0.99399488088206345</v>
      </c>
      <c r="BB496" s="63">
        <v>5987.5659999999998</v>
      </c>
      <c r="BC496" s="61">
        <v>17.48667685649886</v>
      </c>
    </row>
    <row r="497" spans="1:55" x14ac:dyDescent="0.25">
      <c r="A497">
        <v>130095</v>
      </c>
      <c r="B497" t="s">
        <v>150</v>
      </c>
      <c r="C497">
        <v>2019</v>
      </c>
      <c r="D497">
        <v>4</v>
      </c>
      <c r="E497" t="s">
        <v>51</v>
      </c>
      <c r="F497" t="s">
        <v>426</v>
      </c>
      <c r="G497" t="s">
        <v>84</v>
      </c>
      <c r="H497" t="s">
        <v>87</v>
      </c>
      <c r="I497" t="s">
        <v>427</v>
      </c>
      <c r="J497">
        <v>-2.6545286400000001</v>
      </c>
      <c r="K497" t="s">
        <v>440</v>
      </c>
      <c r="L497" t="s">
        <v>450</v>
      </c>
      <c r="M497">
        <v>0.26601384014995</v>
      </c>
      <c r="N497">
        <v>0.70614135621524232</v>
      </c>
      <c r="O497">
        <v>28410.399000000001</v>
      </c>
      <c r="P497">
        <v>2.51417E-6</v>
      </c>
      <c r="Q497">
        <v>0.14285700000000001</v>
      </c>
      <c r="R497" s="61">
        <v>0.10087723572484091</v>
      </c>
      <c r="S497" t="s">
        <v>347</v>
      </c>
      <c r="T497" t="s">
        <v>437</v>
      </c>
      <c r="U497" t="s">
        <v>425</v>
      </c>
      <c r="V497" t="s">
        <v>26</v>
      </c>
      <c r="W497">
        <v>111.133</v>
      </c>
      <c r="X497">
        <v>1.0541007448257309</v>
      </c>
      <c r="Y497">
        <v>117.145378074718</v>
      </c>
      <c r="Z497">
        <v>640.82000000000005</v>
      </c>
      <c r="AA497">
        <v>1</v>
      </c>
      <c r="AB497">
        <v>75.069101177840764</v>
      </c>
      <c r="AC497">
        <v>0.99109999999999998</v>
      </c>
      <c r="AD497" s="63">
        <v>74.400999999999996</v>
      </c>
      <c r="AE497">
        <v>8.9176000000000002</v>
      </c>
      <c r="AF497">
        <v>9.4000488020579382</v>
      </c>
      <c r="AG497">
        <v>1</v>
      </c>
      <c r="AH497">
        <v>6023.7392733347688</v>
      </c>
      <c r="AI497">
        <v>0.9830373970836227</v>
      </c>
      <c r="AJ497" s="63">
        <v>5921.5609999999997</v>
      </c>
      <c r="AK497" s="61">
        <v>597.35070485602444</v>
      </c>
      <c r="AL497" t="s">
        <v>347</v>
      </c>
      <c r="AM497" t="s">
        <v>437</v>
      </c>
      <c r="AN497" t="s">
        <v>425</v>
      </c>
      <c r="AO497" t="s">
        <v>26</v>
      </c>
      <c r="AP497">
        <v>111.133</v>
      </c>
      <c r="AQ497">
        <v>1.0541007448257309</v>
      </c>
      <c r="AR497">
        <v>117.145378074718</v>
      </c>
      <c r="AS497">
        <v>640.82000000000005</v>
      </c>
      <c r="AT497">
        <v>1</v>
      </c>
      <c r="AU497">
        <v>75.069101177840764</v>
      </c>
      <c r="AV497">
        <v>0.99109999999999998</v>
      </c>
      <c r="AW497" s="63">
        <v>74.400999999999996</v>
      </c>
      <c r="AX497">
        <v>8.9176000000000002</v>
      </c>
      <c r="AY497">
        <v>1</v>
      </c>
      <c r="AZ497">
        <v>6023.7392733347688</v>
      </c>
      <c r="BA497">
        <v>0.9830373970836227</v>
      </c>
      <c r="BB497" s="63">
        <v>5921.5609999999997</v>
      </c>
      <c r="BC497" s="61">
        <v>597.35070485602444</v>
      </c>
    </row>
    <row r="498" spans="1:55" x14ac:dyDescent="0.25">
      <c r="A498">
        <v>130097</v>
      </c>
      <c r="B498" t="s">
        <v>150</v>
      </c>
      <c r="C498">
        <v>2019</v>
      </c>
      <c r="D498">
        <v>4</v>
      </c>
      <c r="E498" t="s">
        <v>51</v>
      </c>
      <c r="F498" t="s">
        <v>426</v>
      </c>
      <c r="G498" t="s">
        <v>84</v>
      </c>
      <c r="H498" t="s">
        <v>87</v>
      </c>
      <c r="I498" t="s">
        <v>427</v>
      </c>
      <c r="J498">
        <v>-2.6545286400000001</v>
      </c>
      <c r="K498" t="s">
        <v>440</v>
      </c>
      <c r="L498" t="s">
        <v>384</v>
      </c>
      <c r="M498">
        <v>3.9509559941419997E-2</v>
      </c>
      <c r="N498">
        <v>0.1048792582550407</v>
      </c>
      <c r="O498">
        <v>28410.399000000001</v>
      </c>
      <c r="P498">
        <v>2.51417E-6</v>
      </c>
      <c r="Q498">
        <v>0.14285700000000001</v>
      </c>
      <c r="R498" s="61">
        <v>1.498273619654036E-2</v>
      </c>
      <c r="S498" t="s">
        <v>347</v>
      </c>
      <c r="T498" t="s">
        <v>437</v>
      </c>
      <c r="U498" t="s">
        <v>425</v>
      </c>
      <c r="V498" t="s">
        <v>81</v>
      </c>
      <c r="W498">
        <v>111.133</v>
      </c>
      <c r="X498">
        <v>1.0541007448257309</v>
      </c>
      <c r="Y498">
        <v>117.145378074718</v>
      </c>
      <c r="Z498">
        <v>640.82000000000005</v>
      </c>
      <c r="AA498">
        <v>1</v>
      </c>
      <c r="AB498">
        <v>75.069101177840764</v>
      </c>
      <c r="AC498">
        <v>0.93830000000000002</v>
      </c>
      <c r="AD498" s="63">
        <v>70.436999999999998</v>
      </c>
      <c r="AE498">
        <v>8.9176000000000002</v>
      </c>
      <c r="AF498">
        <v>9.4000488020579382</v>
      </c>
      <c r="AG498">
        <v>1</v>
      </c>
      <c r="AH498">
        <v>6023.7392733347688</v>
      </c>
      <c r="AI498">
        <v>1.098016605166052</v>
      </c>
      <c r="AJ498" s="63">
        <v>6614.1656999999996</v>
      </c>
      <c r="AK498" s="61">
        <v>99.098299843305668</v>
      </c>
      <c r="AL498" t="s">
        <v>347</v>
      </c>
      <c r="AM498" t="s">
        <v>437</v>
      </c>
      <c r="AN498" t="s">
        <v>425</v>
      </c>
      <c r="AO498" t="s">
        <v>81</v>
      </c>
      <c r="AP498">
        <v>111.133</v>
      </c>
      <c r="AQ498">
        <v>1.0541007448257309</v>
      </c>
      <c r="AR498">
        <v>117.145378074718</v>
      </c>
      <c r="AS498">
        <v>640.82000000000005</v>
      </c>
      <c r="AT498">
        <v>1</v>
      </c>
      <c r="AU498">
        <v>75.069101177840764</v>
      </c>
      <c r="AV498">
        <v>0.93830000000000002</v>
      </c>
      <c r="AW498" s="63">
        <v>70.436999999999998</v>
      </c>
      <c r="AX498">
        <v>8.9176000000000002</v>
      </c>
      <c r="AY498">
        <v>1</v>
      </c>
      <c r="AZ498">
        <v>6023.7392733347688</v>
      </c>
      <c r="BA498">
        <v>1.098016605166052</v>
      </c>
      <c r="BB498" s="63">
        <v>6614.1656999999996</v>
      </c>
      <c r="BC498" s="61">
        <v>99.098299843305668</v>
      </c>
    </row>
    <row r="499" spans="1:55" x14ac:dyDescent="0.25">
      <c r="A499">
        <v>130099</v>
      </c>
      <c r="B499" t="s">
        <v>150</v>
      </c>
      <c r="C499">
        <v>2019</v>
      </c>
      <c r="D499">
        <v>4</v>
      </c>
      <c r="E499" t="s">
        <v>51</v>
      </c>
      <c r="F499" t="s">
        <v>426</v>
      </c>
      <c r="G499" t="s">
        <v>84</v>
      </c>
      <c r="H499" t="s">
        <v>87</v>
      </c>
      <c r="I499" t="s">
        <v>427</v>
      </c>
      <c r="J499">
        <v>-2.6545286400000001</v>
      </c>
      <c r="K499" t="s">
        <v>440</v>
      </c>
      <c r="L499" t="s">
        <v>385</v>
      </c>
      <c r="M499">
        <v>0.39737542925016001</v>
      </c>
      <c r="N499">
        <v>1.0548444561348691</v>
      </c>
      <c r="O499">
        <v>28410.399000000001</v>
      </c>
      <c r="P499">
        <v>2.51417E-6</v>
      </c>
      <c r="Q499">
        <v>0.14285700000000001</v>
      </c>
      <c r="R499" s="61">
        <v>0.150691914470059</v>
      </c>
      <c r="S499" t="s">
        <v>347</v>
      </c>
      <c r="T499" t="s">
        <v>437</v>
      </c>
      <c r="U499" t="s">
        <v>425</v>
      </c>
      <c r="V499" t="s">
        <v>27</v>
      </c>
      <c r="W499">
        <v>111.133</v>
      </c>
      <c r="X499">
        <v>1.0541007448257309</v>
      </c>
      <c r="Y499">
        <v>117.145378074718</v>
      </c>
      <c r="Z499">
        <v>640.82000000000005</v>
      </c>
      <c r="AA499">
        <v>1</v>
      </c>
      <c r="AB499">
        <v>75.069101177840764</v>
      </c>
      <c r="AC499">
        <v>0.95889999999999997</v>
      </c>
      <c r="AD499" s="63">
        <v>71.983999999999995</v>
      </c>
      <c r="AE499">
        <v>8.9176000000000002</v>
      </c>
      <c r="AF499">
        <v>9.4000488020579382</v>
      </c>
      <c r="AG499">
        <v>1</v>
      </c>
      <c r="AH499">
        <v>6023.7392733347688</v>
      </c>
      <c r="AI499">
        <v>0.99097621000820357</v>
      </c>
      <c r="AJ499" s="63">
        <v>5969.3823000000002</v>
      </c>
      <c r="AK499" s="61">
        <v>899.53764699068427</v>
      </c>
      <c r="AL499" t="s">
        <v>347</v>
      </c>
      <c r="AM499" t="s">
        <v>437</v>
      </c>
      <c r="AN499" t="s">
        <v>425</v>
      </c>
      <c r="AO499" t="s">
        <v>27</v>
      </c>
      <c r="AP499">
        <v>111.133</v>
      </c>
      <c r="AQ499">
        <v>1.0541007448257309</v>
      </c>
      <c r="AR499">
        <v>117.145378074718</v>
      </c>
      <c r="AS499">
        <v>640.82000000000005</v>
      </c>
      <c r="AT499">
        <v>1</v>
      </c>
      <c r="AU499">
        <v>75.069101177840764</v>
      </c>
      <c r="AV499">
        <v>0.95889999999999997</v>
      </c>
      <c r="AW499" s="63">
        <v>71.983999999999995</v>
      </c>
      <c r="AX499">
        <v>8.9176000000000002</v>
      </c>
      <c r="AY499">
        <v>1</v>
      </c>
      <c r="AZ499">
        <v>6023.7392733347688</v>
      </c>
      <c r="BA499">
        <v>0.99097621000820357</v>
      </c>
      <c r="BB499" s="63">
        <v>5969.3823000000002</v>
      </c>
      <c r="BC499" s="61">
        <v>899.53764699068427</v>
      </c>
    </row>
    <row r="500" spans="1:55" x14ac:dyDescent="0.25">
      <c r="A500">
        <v>130101</v>
      </c>
      <c r="B500" t="s">
        <v>150</v>
      </c>
      <c r="C500">
        <v>2019</v>
      </c>
      <c r="D500">
        <v>4</v>
      </c>
      <c r="E500" t="s">
        <v>51</v>
      </c>
      <c r="F500" t="s">
        <v>426</v>
      </c>
      <c r="G500" t="s">
        <v>84</v>
      </c>
      <c r="H500" t="s">
        <v>87</v>
      </c>
      <c r="I500" t="s">
        <v>427</v>
      </c>
      <c r="J500">
        <v>-2.6545286400000001</v>
      </c>
      <c r="K500" t="s">
        <v>440</v>
      </c>
      <c r="L500" t="s">
        <v>452</v>
      </c>
      <c r="M500">
        <v>8.4248020759000004E-4</v>
      </c>
      <c r="N500">
        <v>2.2363878361996319E-3</v>
      </c>
      <c r="O500">
        <v>28410.399000000001</v>
      </c>
      <c r="P500">
        <v>2.51417E-6</v>
      </c>
      <c r="Q500">
        <v>0.14285700000000001</v>
      </c>
      <c r="R500" s="61">
        <v>3.1948365711597092E-4</v>
      </c>
      <c r="S500" t="s">
        <v>347</v>
      </c>
      <c r="T500" t="s">
        <v>437</v>
      </c>
      <c r="U500" t="s">
        <v>425</v>
      </c>
      <c r="V500" t="s">
        <v>28</v>
      </c>
      <c r="W500">
        <v>111.133</v>
      </c>
      <c r="X500">
        <v>1.0541007448257309</v>
      </c>
      <c r="Y500">
        <v>117.145378074718</v>
      </c>
      <c r="Z500">
        <v>640.82000000000005</v>
      </c>
      <c r="AA500">
        <v>1</v>
      </c>
      <c r="AB500">
        <v>75.069101177840764</v>
      </c>
      <c r="AC500">
        <v>1.0073000000000001</v>
      </c>
      <c r="AD500" s="63">
        <v>75.617000000000004</v>
      </c>
      <c r="AE500">
        <v>8.9176000000000002</v>
      </c>
      <c r="AF500">
        <v>9.4000488020579382</v>
      </c>
      <c r="AG500">
        <v>1</v>
      </c>
      <c r="AH500">
        <v>6023.7392733347688</v>
      </c>
      <c r="AI500">
        <v>0.99399488088206345</v>
      </c>
      <c r="AJ500" s="63">
        <v>5987.5659999999998</v>
      </c>
      <c r="AK500" s="61">
        <v>1.912929482903245</v>
      </c>
      <c r="AL500" t="s">
        <v>347</v>
      </c>
      <c r="AM500" t="s">
        <v>437</v>
      </c>
      <c r="AN500" t="s">
        <v>425</v>
      </c>
      <c r="AO500" t="s">
        <v>28</v>
      </c>
      <c r="AP500">
        <v>111.133</v>
      </c>
      <c r="AQ500">
        <v>1.0541007448257309</v>
      </c>
      <c r="AR500">
        <v>117.145378074718</v>
      </c>
      <c r="AS500">
        <v>640.82000000000005</v>
      </c>
      <c r="AT500">
        <v>1</v>
      </c>
      <c r="AU500">
        <v>75.069101177840764</v>
      </c>
      <c r="AV500">
        <v>1.0073000000000001</v>
      </c>
      <c r="AW500" s="63">
        <v>75.617000000000004</v>
      </c>
      <c r="AX500">
        <v>8.9176000000000002</v>
      </c>
      <c r="AY500">
        <v>1</v>
      </c>
      <c r="AZ500">
        <v>6023.7392733347688</v>
      </c>
      <c r="BA500">
        <v>0.99399488088206345</v>
      </c>
      <c r="BB500" s="63">
        <v>5987.5659999999998</v>
      </c>
      <c r="BC500" s="61">
        <v>1.912929482903245</v>
      </c>
    </row>
    <row r="501" spans="1:55" x14ac:dyDescent="0.25">
      <c r="A501">
        <v>130103</v>
      </c>
      <c r="B501" t="s">
        <v>150</v>
      </c>
      <c r="C501">
        <v>2019</v>
      </c>
      <c r="D501">
        <v>4</v>
      </c>
      <c r="E501" t="s">
        <v>51</v>
      </c>
      <c r="F501" t="s">
        <v>426</v>
      </c>
      <c r="G501" t="s">
        <v>84</v>
      </c>
      <c r="H501" t="s">
        <v>59</v>
      </c>
      <c r="I501" t="s">
        <v>427</v>
      </c>
      <c r="J501">
        <v>-6.3124784299999996</v>
      </c>
      <c r="K501" t="s">
        <v>440</v>
      </c>
      <c r="L501" t="s">
        <v>450</v>
      </c>
      <c r="M501">
        <v>0.15931709696460999</v>
      </c>
      <c r="N501">
        <v>1.0056857381582409</v>
      </c>
      <c r="O501">
        <v>28410.399000000001</v>
      </c>
      <c r="P501">
        <v>2.51417E-6</v>
      </c>
      <c r="Q501">
        <v>0.14285700000000001</v>
      </c>
      <c r="R501" s="61">
        <v>0.14366924749607179</v>
      </c>
      <c r="S501" t="s">
        <v>347</v>
      </c>
      <c r="T501" t="s">
        <v>437</v>
      </c>
      <c r="U501" t="s">
        <v>425</v>
      </c>
      <c r="V501" t="s">
        <v>26</v>
      </c>
      <c r="W501">
        <v>111.133</v>
      </c>
      <c r="X501">
        <v>1.0541007448257309</v>
      </c>
      <c r="Y501">
        <v>117.145378074718</v>
      </c>
      <c r="Z501">
        <v>640.82000000000005</v>
      </c>
      <c r="AA501">
        <v>1</v>
      </c>
      <c r="AB501">
        <v>75.069101177840764</v>
      </c>
      <c r="AC501">
        <v>0.99109999999999998</v>
      </c>
      <c r="AD501" s="63">
        <v>74.400999999999996</v>
      </c>
      <c r="AE501">
        <v>8.9176000000000002</v>
      </c>
      <c r="AF501">
        <v>9.4000488020579382</v>
      </c>
      <c r="AG501">
        <v>1</v>
      </c>
      <c r="AH501">
        <v>6023.7392733347688</v>
      </c>
      <c r="AI501">
        <v>0.9830373970836227</v>
      </c>
      <c r="AJ501" s="63">
        <v>5921.5609999999997</v>
      </c>
      <c r="AK501" s="61">
        <v>850.7462128720864</v>
      </c>
      <c r="AL501" t="s">
        <v>347</v>
      </c>
      <c r="AM501" t="s">
        <v>437</v>
      </c>
      <c r="AN501" t="s">
        <v>425</v>
      </c>
      <c r="AO501" t="s">
        <v>26</v>
      </c>
      <c r="AP501">
        <v>111.133</v>
      </c>
      <c r="AQ501">
        <v>1.0541007448257309</v>
      </c>
      <c r="AR501">
        <v>117.145378074718</v>
      </c>
      <c r="AS501">
        <v>640.82000000000005</v>
      </c>
      <c r="AT501">
        <v>1</v>
      </c>
      <c r="AU501">
        <v>75.069101177840764</v>
      </c>
      <c r="AV501">
        <v>0.99109999999999998</v>
      </c>
      <c r="AW501" s="63">
        <v>74.400999999999996</v>
      </c>
      <c r="AX501">
        <v>8.9176000000000002</v>
      </c>
      <c r="AY501">
        <v>1</v>
      </c>
      <c r="AZ501">
        <v>6023.7392733347688</v>
      </c>
      <c r="BA501">
        <v>0.9830373970836227</v>
      </c>
      <c r="BB501" s="63">
        <v>5921.5609999999997</v>
      </c>
      <c r="BC501" s="61">
        <v>850.7462128720864</v>
      </c>
    </row>
    <row r="502" spans="1:55" x14ac:dyDescent="0.25">
      <c r="A502">
        <v>130105</v>
      </c>
      <c r="B502" t="s">
        <v>150</v>
      </c>
      <c r="C502">
        <v>2019</v>
      </c>
      <c r="D502">
        <v>4</v>
      </c>
      <c r="E502" t="s">
        <v>51</v>
      </c>
      <c r="F502" t="s">
        <v>426</v>
      </c>
      <c r="G502" t="s">
        <v>84</v>
      </c>
      <c r="H502" t="s">
        <v>59</v>
      </c>
      <c r="I502" t="s">
        <v>427</v>
      </c>
      <c r="J502">
        <v>-6.3124784299999996</v>
      </c>
      <c r="K502" t="s">
        <v>440</v>
      </c>
      <c r="L502" t="s">
        <v>384</v>
      </c>
      <c r="M502">
        <v>4.1785183859599999E-2</v>
      </c>
      <c r="N502">
        <v>0.26376807181751738</v>
      </c>
      <c r="O502">
        <v>28410.399000000001</v>
      </c>
      <c r="P502">
        <v>2.51417E-6</v>
      </c>
      <c r="Q502">
        <v>0.14285700000000001</v>
      </c>
      <c r="R502" s="61">
        <v>3.7681115435635078E-2</v>
      </c>
      <c r="S502" t="s">
        <v>347</v>
      </c>
      <c r="T502" t="s">
        <v>437</v>
      </c>
      <c r="U502" t="s">
        <v>425</v>
      </c>
      <c r="V502" t="s">
        <v>81</v>
      </c>
      <c r="W502">
        <v>111.133</v>
      </c>
      <c r="X502">
        <v>1.0541007448257309</v>
      </c>
      <c r="Y502">
        <v>117.145378074718</v>
      </c>
      <c r="Z502">
        <v>640.82000000000005</v>
      </c>
      <c r="AA502">
        <v>1</v>
      </c>
      <c r="AB502">
        <v>75.069101177840764</v>
      </c>
      <c r="AC502">
        <v>0.93830000000000002</v>
      </c>
      <c r="AD502" s="63">
        <v>70.436999999999998</v>
      </c>
      <c r="AE502">
        <v>8.9176000000000002</v>
      </c>
      <c r="AF502">
        <v>9.4000488020579382</v>
      </c>
      <c r="AG502">
        <v>1</v>
      </c>
      <c r="AH502">
        <v>6023.7392733347688</v>
      </c>
      <c r="AI502">
        <v>1.098016605166052</v>
      </c>
      <c r="AJ502" s="63">
        <v>6614.1656999999996</v>
      </c>
      <c r="AK502" s="61">
        <v>249.2291412521181</v>
      </c>
      <c r="AL502" t="s">
        <v>347</v>
      </c>
      <c r="AM502" t="s">
        <v>437</v>
      </c>
      <c r="AN502" t="s">
        <v>425</v>
      </c>
      <c r="AO502" t="s">
        <v>81</v>
      </c>
      <c r="AP502">
        <v>111.133</v>
      </c>
      <c r="AQ502">
        <v>1.0541007448257309</v>
      </c>
      <c r="AR502">
        <v>117.145378074718</v>
      </c>
      <c r="AS502">
        <v>640.82000000000005</v>
      </c>
      <c r="AT502">
        <v>1</v>
      </c>
      <c r="AU502">
        <v>75.069101177840764</v>
      </c>
      <c r="AV502">
        <v>0.93830000000000002</v>
      </c>
      <c r="AW502" s="63">
        <v>70.436999999999998</v>
      </c>
      <c r="AX502">
        <v>8.9176000000000002</v>
      </c>
      <c r="AY502">
        <v>1</v>
      </c>
      <c r="AZ502">
        <v>6023.7392733347688</v>
      </c>
      <c r="BA502">
        <v>1.098016605166052</v>
      </c>
      <c r="BB502" s="63">
        <v>6614.1656999999996</v>
      </c>
      <c r="BC502" s="61">
        <v>249.2291412521181</v>
      </c>
    </row>
    <row r="503" spans="1:55" x14ac:dyDescent="0.25">
      <c r="A503">
        <v>130107</v>
      </c>
      <c r="B503" t="s">
        <v>150</v>
      </c>
      <c r="C503">
        <v>2019</v>
      </c>
      <c r="D503">
        <v>4</v>
      </c>
      <c r="E503" t="s">
        <v>51</v>
      </c>
      <c r="F503" t="s">
        <v>426</v>
      </c>
      <c r="G503" t="s">
        <v>84</v>
      </c>
      <c r="H503" t="s">
        <v>59</v>
      </c>
      <c r="I503" t="s">
        <v>427</v>
      </c>
      <c r="J503">
        <v>-6.3124784299999996</v>
      </c>
      <c r="K503" t="s">
        <v>440</v>
      </c>
      <c r="L503" t="s">
        <v>385</v>
      </c>
      <c r="M503">
        <v>0.43497567483749999</v>
      </c>
      <c r="N503">
        <v>2.7457745650926779</v>
      </c>
      <c r="O503">
        <v>28410.399000000001</v>
      </c>
      <c r="P503">
        <v>2.51417E-6</v>
      </c>
      <c r="Q503">
        <v>0.14285700000000001</v>
      </c>
      <c r="R503" s="61">
        <v>0.3922531170454448</v>
      </c>
      <c r="S503" t="s">
        <v>347</v>
      </c>
      <c r="T503" t="s">
        <v>437</v>
      </c>
      <c r="U503" t="s">
        <v>425</v>
      </c>
      <c r="V503" t="s">
        <v>27</v>
      </c>
      <c r="W503">
        <v>111.133</v>
      </c>
      <c r="X503">
        <v>1.0541007448257309</v>
      </c>
      <c r="Y503">
        <v>117.145378074718</v>
      </c>
      <c r="Z503">
        <v>640.82000000000005</v>
      </c>
      <c r="AA503">
        <v>1</v>
      </c>
      <c r="AB503">
        <v>75.069101177840764</v>
      </c>
      <c r="AC503">
        <v>0.95889999999999997</v>
      </c>
      <c r="AD503" s="63">
        <v>71.983999999999995</v>
      </c>
      <c r="AE503">
        <v>8.9176000000000002</v>
      </c>
      <c r="AF503">
        <v>9.4000488020579382</v>
      </c>
      <c r="AG503">
        <v>1</v>
      </c>
      <c r="AH503">
        <v>6023.7392733347688</v>
      </c>
      <c r="AI503">
        <v>0.99097621000820357</v>
      </c>
      <c r="AJ503" s="63">
        <v>5969.3823000000002</v>
      </c>
      <c r="AK503" s="61">
        <v>2341.508814010906</v>
      </c>
      <c r="AL503" t="s">
        <v>347</v>
      </c>
      <c r="AM503" t="s">
        <v>437</v>
      </c>
      <c r="AN503" t="s">
        <v>425</v>
      </c>
      <c r="AO503" t="s">
        <v>27</v>
      </c>
      <c r="AP503">
        <v>111.133</v>
      </c>
      <c r="AQ503">
        <v>1.0541007448257309</v>
      </c>
      <c r="AR503">
        <v>117.145378074718</v>
      </c>
      <c r="AS503">
        <v>640.82000000000005</v>
      </c>
      <c r="AT503">
        <v>1</v>
      </c>
      <c r="AU503">
        <v>75.069101177840764</v>
      </c>
      <c r="AV503">
        <v>0.95889999999999997</v>
      </c>
      <c r="AW503" s="63">
        <v>71.983999999999995</v>
      </c>
      <c r="AX503">
        <v>8.9176000000000002</v>
      </c>
      <c r="AY503">
        <v>1</v>
      </c>
      <c r="AZ503">
        <v>6023.7392733347688</v>
      </c>
      <c r="BA503">
        <v>0.99097621000820357</v>
      </c>
      <c r="BB503" s="63">
        <v>5969.3823000000002</v>
      </c>
      <c r="BC503" s="61">
        <v>2341.508814010906</v>
      </c>
    </row>
    <row r="504" spans="1:55" x14ac:dyDescent="0.25">
      <c r="A504">
        <v>130109</v>
      </c>
      <c r="B504" t="s">
        <v>150</v>
      </c>
      <c r="C504">
        <v>2019</v>
      </c>
      <c r="D504">
        <v>4</v>
      </c>
      <c r="E504" t="s">
        <v>51</v>
      </c>
      <c r="F504" t="s">
        <v>426</v>
      </c>
      <c r="G504" t="s">
        <v>84</v>
      </c>
      <c r="H504" t="s">
        <v>59</v>
      </c>
      <c r="I504" t="s">
        <v>427</v>
      </c>
      <c r="J504">
        <v>-6.3124784299999996</v>
      </c>
      <c r="K504" t="s">
        <v>440</v>
      </c>
      <c r="L504" t="s">
        <v>451</v>
      </c>
      <c r="M504">
        <v>1.7625750762999999E-3</v>
      </c>
      <c r="N504">
        <v>1.112621715082996E-2</v>
      </c>
      <c r="O504">
        <v>28410.399000000001</v>
      </c>
      <c r="P504">
        <v>2.51417E-6</v>
      </c>
      <c r="Q504">
        <v>0.14285700000000001</v>
      </c>
      <c r="R504" s="61">
        <v>1.5894580035161151E-3</v>
      </c>
      <c r="S504" t="s">
        <v>347</v>
      </c>
      <c r="T504" t="s">
        <v>437</v>
      </c>
      <c r="U504" t="s">
        <v>425</v>
      </c>
      <c r="V504" t="s">
        <v>91</v>
      </c>
      <c r="W504">
        <v>111.133</v>
      </c>
      <c r="X504">
        <v>1.0541007448257309</v>
      </c>
      <c r="Y504">
        <v>117.145378074718</v>
      </c>
      <c r="Z504">
        <v>640.82000000000005</v>
      </c>
      <c r="AA504">
        <v>1</v>
      </c>
      <c r="AB504">
        <v>75.069101177840764</v>
      </c>
      <c r="AC504">
        <v>1.0088999999999999</v>
      </c>
      <c r="AD504" s="63">
        <v>75.736999999999995</v>
      </c>
      <c r="AE504">
        <v>8.9176000000000002</v>
      </c>
      <c r="AF504">
        <v>9.4000488020579382</v>
      </c>
      <c r="AG504">
        <v>1</v>
      </c>
      <c r="AH504">
        <v>6023.7392733347688</v>
      </c>
      <c r="AI504">
        <v>0.99316673174541203</v>
      </c>
      <c r="AJ504" s="63">
        <v>5982.5774000000001</v>
      </c>
      <c r="AK504" s="61">
        <v>9.5090555300846304</v>
      </c>
      <c r="AL504" t="s">
        <v>347</v>
      </c>
      <c r="AM504" t="s">
        <v>437</v>
      </c>
      <c r="AN504" t="s">
        <v>425</v>
      </c>
      <c r="AO504" t="s">
        <v>91</v>
      </c>
      <c r="AP504">
        <v>111.133</v>
      </c>
      <c r="AQ504">
        <v>1.0541007448257309</v>
      </c>
      <c r="AR504">
        <v>117.145378074718</v>
      </c>
      <c r="AS504">
        <v>640.82000000000005</v>
      </c>
      <c r="AT504">
        <v>1</v>
      </c>
      <c r="AU504">
        <v>75.069101177840764</v>
      </c>
      <c r="AV504">
        <v>1.0088999999999999</v>
      </c>
      <c r="AW504" s="63">
        <v>75.736999999999995</v>
      </c>
      <c r="AX504">
        <v>8.9176000000000002</v>
      </c>
      <c r="AY504">
        <v>1</v>
      </c>
      <c r="AZ504">
        <v>6023.7392733347688</v>
      </c>
      <c r="BA504">
        <v>0.99316673174541203</v>
      </c>
      <c r="BB504" s="63">
        <v>5982.5774000000001</v>
      </c>
      <c r="BC504" s="61">
        <v>9.5090555300846304</v>
      </c>
    </row>
    <row r="505" spans="1:55" x14ac:dyDescent="0.25">
      <c r="A505">
        <v>130111</v>
      </c>
      <c r="B505" t="s">
        <v>150</v>
      </c>
      <c r="C505">
        <v>2019</v>
      </c>
      <c r="D505">
        <v>4</v>
      </c>
      <c r="E505" t="s">
        <v>51</v>
      </c>
      <c r="F505" t="s">
        <v>426</v>
      </c>
      <c r="G505" t="s">
        <v>84</v>
      </c>
      <c r="H505" t="s">
        <v>59</v>
      </c>
      <c r="I505" t="s">
        <v>427</v>
      </c>
      <c r="J505">
        <v>-6.3124784299999996</v>
      </c>
      <c r="K505" t="s">
        <v>440</v>
      </c>
      <c r="L505" t="s">
        <v>452</v>
      </c>
      <c r="M505">
        <v>1.4858046103299999E-3</v>
      </c>
      <c r="N505">
        <v>9.3791095542656664E-3</v>
      </c>
      <c r="O505">
        <v>28410.399000000001</v>
      </c>
      <c r="P505">
        <v>2.51417E-6</v>
      </c>
      <c r="Q505">
        <v>0.14285700000000001</v>
      </c>
      <c r="R505" s="61">
        <v>1.3398714535937299E-3</v>
      </c>
      <c r="S505" t="s">
        <v>347</v>
      </c>
      <c r="T505" t="s">
        <v>437</v>
      </c>
      <c r="U505" t="s">
        <v>425</v>
      </c>
      <c r="V505" t="s">
        <v>28</v>
      </c>
      <c r="W505">
        <v>111.133</v>
      </c>
      <c r="X505">
        <v>1.0541007448257309</v>
      </c>
      <c r="Y505">
        <v>117.145378074718</v>
      </c>
      <c r="Z505">
        <v>640.82000000000005</v>
      </c>
      <c r="AA505">
        <v>1</v>
      </c>
      <c r="AB505">
        <v>75.069101177840764</v>
      </c>
      <c r="AC505">
        <v>1.0073000000000001</v>
      </c>
      <c r="AD505" s="63">
        <v>75.617000000000004</v>
      </c>
      <c r="AE505">
        <v>8.9176000000000002</v>
      </c>
      <c r="AF505">
        <v>9.4000488020579382</v>
      </c>
      <c r="AG505">
        <v>1</v>
      </c>
      <c r="AH505">
        <v>6023.7392733347688</v>
      </c>
      <c r="AI505">
        <v>0.99399488088206345</v>
      </c>
      <c r="AJ505" s="63">
        <v>5987.5659999999998</v>
      </c>
      <c r="AK505" s="61">
        <v>8.0225687599083972</v>
      </c>
      <c r="AL505" t="s">
        <v>347</v>
      </c>
      <c r="AM505" t="s">
        <v>437</v>
      </c>
      <c r="AN505" t="s">
        <v>425</v>
      </c>
      <c r="AO505" t="s">
        <v>28</v>
      </c>
      <c r="AP505">
        <v>111.133</v>
      </c>
      <c r="AQ505">
        <v>1.0541007448257309</v>
      </c>
      <c r="AR505">
        <v>117.145378074718</v>
      </c>
      <c r="AS505">
        <v>640.82000000000005</v>
      </c>
      <c r="AT505">
        <v>1</v>
      </c>
      <c r="AU505">
        <v>75.069101177840764</v>
      </c>
      <c r="AV505">
        <v>1.0073000000000001</v>
      </c>
      <c r="AW505" s="63">
        <v>75.617000000000004</v>
      </c>
      <c r="AX505">
        <v>8.9176000000000002</v>
      </c>
      <c r="AY505">
        <v>1</v>
      </c>
      <c r="AZ505">
        <v>6023.7392733347688</v>
      </c>
      <c r="BA505">
        <v>0.99399488088206345</v>
      </c>
      <c r="BB505" s="63">
        <v>5987.5659999999998</v>
      </c>
      <c r="BC505" s="61">
        <v>8.0225687599083972</v>
      </c>
    </row>
    <row r="506" spans="1:55" x14ac:dyDescent="0.25">
      <c r="A506">
        <v>137267</v>
      </c>
      <c r="B506" t="s">
        <v>152</v>
      </c>
      <c r="C506">
        <v>2019</v>
      </c>
      <c r="D506">
        <v>5</v>
      </c>
      <c r="E506" t="s">
        <v>51</v>
      </c>
      <c r="F506" t="s">
        <v>426</v>
      </c>
      <c r="G506" t="s">
        <v>84</v>
      </c>
      <c r="H506" t="s">
        <v>381</v>
      </c>
      <c r="I506" t="s">
        <v>427</v>
      </c>
      <c r="J506">
        <v>-13.3024606</v>
      </c>
      <c r="K506" t="s">
        <v>440</v>
      </c>
      <c r="L506" t="s">
        <v>450</v>
      </c>
      <c r="M506">
        <v>0.15011157993331001</v>
      </c>
      <c r="N506">
        <v>1.9968533782590381</v>
      </c>
      <c r="O506">
        <v>28410.399000000001</v>
      </c>
      <c r="P506">
        <v>2.51417E-6</v>
      </c>
      <c r="Q506">
        <v>0.14285700000000001</v>
      </c>
      <c r="R506" s="61">
        <v>0.28526448305795138</v>
      </c>
      <c r="S506" t="s">
        <v>347</v>
      </c>
      <c r="T506" t="s">
        <v>437</v>
      </c>
      <c r="U506" t="s">
        <v>425</v>
      </c>
      <c r="V506" t="s">
        <v>26</v>
      </c>
      <c r="W506">
        <v>111.133</v>
      </c>
      <c r="X506">
        <v>1.0541007448257309</v>
      </c>
      <c r="Y506">
        <v>117.145378074718</v>
      </c>
      <c r="Z506">
        <v>640.82000000000005</v>
      </c>
      <c r="AA506">
        <v>1</v>
      </c>
      <c r="AB506">
        <v>75.069101177840764</v>
      </c>
      <c r="AC506">
        <v>0.99109999999999998</v>
      </c>
      <c r="AD506" s="63">
        <v>74.400999999999996</v>
      </c>
      <c r="AE506">
        <v>8.9176000000000002</v>
      </c>
      <c r="AF506">
        <v>9.4000488020579382</v>
      </c>
      <c r="AG506">
        <v>1</v>
      </c>
      <c r="AH506">
        <v>6023.7392733347688</v>
      </c>
      <c r="AI506">
        <v>0.9830373970836227</v>
      </c>
      <c r="AJ506" s="63">
        <v>5921.5609999999997</v>
      </c>
      <c r="AK506" s="61">
        <v>1689.211037561126</v>
      </c>
      <c r="AL506" t="s">
        <v>347</v>
      </c>
      <c r="AM506" t="s">
        <v>437</v>
      </c>
      <c r="AN506" t="s">
        <v>425</v>
      </c>
      <c r="AO506" t="s">
        <v>26</v>
      </c>
      <c r="AP506">
        <v>111.133</v>
      </c>
      <c r="AQ506">
        <v>1.0541007448257309</v>
      </c>
      <c r="AR506">
        <v>117.145378074718</v>
      </c>
      <c r="AS506">
        <v>640.82000000000005</v>
      </c>
      <c r="AT506">
        <v>1</v>
      </c>
      <c r="AU506">
        <v>75.069101177840764</v>
      </c>
      <c r="AV506">
        <v>0.99109999999999998</v>
      </c>
      <c r="AW506" s="63">
        <v>74.400999999999996</v>
      </c>
      <c r="AX506">
        <v>8.9176000000000002</v>
      </c>
      <c r="AY506">
        <v>1</v>
      </c>
      <c r="AZ506">
        <v>6023.7392733347688</v>
      </c>
      <c r="BA506">
        <v>0.9830373970836227</v>
      </c>
      <c r="BB506" s="63">
        <v>5921.5609999999997</v>
      </c>
      <c r="BC506" s="61">
        <v>1689.211037561126</v>
      </c>
    </row>
    <row r="507" spans="1:55" x14ac:dyDescent="0.25">
      <c r="A507">
        <v>137269</v>
      </c>
      <c r="B507" t="s">
        <v>152</v>
      </c>
      <c r="C507">
        <v>2019</v>
      </c>
      <c r="D507">
        <v>5</v>
      </c>
      <c r="E507" t="s">
        <v>51</v>
      </c>
      <c r="F507" t="s">
        <v>426</v>
      </c>
      <c r="G507" t="s">
        <v>84</v>
      </c>
      <c r="H507" t="s">
        <v>381</v>
      </c>
      <c r="I507" t="s">
        <v>427</v>
      </c>
      <c r="J507">
        <v>-13.3024606</v>
      </c>
      <c r="K507" t="s">
        <v>440</v>
      </c>
      <c r="L507" t="s">
        <v>384</v>
      </c>
      <c r="M507">
        <v>4.5811354346740003E-2</v>
      </c>
      <c r="N507">
        <v>0.60940373641094681</v>
      </c>
      <c r="O507">
        <v>28410.399000000001</v>
      </c>
      <c r="P507">
        <v>2.51417E-6</v>
      </c>
      <c r="Q507">
        <v>0.14285700000000001</v>
      </c>
      <c r="R507" s="61">
        <v>8.7057589572458641E-2</v>
      </c>
      <c r="S507" t="s">
        <v>347</v>
      </c>
      <c r="T507" t="s">
        <v>437</v>
      </c>
      <c r="U507" t="s">
        <v>425</v>
      </c>
      <c r="V507" t="s">
        <v>81</v>
      </c>
      <c r="W507">
        <v>111.133</v>
      </c>
      <c r="X507">
        <v>1.0541007448257309</v>
      </c>
      <c r="Y507">
        <v>117.145378074718</v>
      </c>
      <c r="Z507">
        <v>640.82000000000005</v>
      </c>
      <c r="AA507">
        <v>1</v>
      </c>
      <c r="AB507">
        <v>75.069101177840764</v>
      </c>
      <c r="AC507">
        <v>0.93830000000000002</v>
      </c>
      <c r="AD507" s="63">
        <v>70.436999999999998</v>
      </c>
      <c r="AE507">
        <v>8.9176000000000002</v>
      </c>
      <c r="AF507">
        <v>9.4000488020579382</v>
      </c>
      <c r="AG507">
        <v>1</v>
      </c>
      <c r="AH507">
        <v>6023.7392733347688</v>
      </c>
      <c r="AI507">
        <v>1.098016605166052</v>
      </c>
      <c r="AJ507" s="63">
        <v>6614.1656999999996</v>
      </c>
      <c r="AK507" s="61">
        <v>575.8133228748336</v>
      </c>
      <c r="AL507" t="s">
        <v>347</v>
      </c>
      <c r="AM507" t="s">
        <v>437</v>
      </c>
      <c r="AN507" t="s">
        <v>425</v>
      </c>
      <c r="AO507" t="s">
        <v>81</v>
      </c>
      <c r="AP507">
        <v>111.133</v>
      </c>
      <c r="AQ507">
        <v>1.0541007448257309</v>
      </c>
      <c r="AR507">
        <v>117.145378074718</v>
      </c>
      <c r="AS507">
        <v>640.82000000000005</v>
      </c>
      <c r="AT507">
        <v>1</v>
      </c>
      <c r="AU507">
        <v>75.069101177840764</v>
      </c>
      <c r="AV507">
        <v>0.93830000000000002</v>
      </c>
      <c r="AW507" s="63">
        <v>70.436999999999998</v>
      </c>
      <c r="AX507">
        <v>8.9176000000000002</v>
      </c>
      <c r="AY507">
        <v>1</v>
      </c>
      <c r="AZ507">
        <v>6023.7392733347688</v>
      </c>
      <c r="BA507">
        <v>1.098016605166052</v>
      </c>
      <c r="BB507" s="63">
        <v>6614.1656999999996</v>
      </c>
      <c r="BC507" s="61">
        <v>575.8133228748336</v>
      </c>
    </row>
    <row r="508" spans="1:55" x14ac:dyDescent="0.25">
      <c r="A508">
        <v>137271</v>
      </c>
      <c r="B508" t="s">
        <v>152</v>
      </c>
      <c r="C508">
        <v>2019</v>
      </c>
      <c r="D508">
        <v>5</v>
      </c>
      <c r="E508" t="s">
        <v>51</v>
      </c>
      <c r="F508" t="s">
        <v>426</v>
      </c>
      <c r="G508" t="s">
        <v>84</v>
      </c>
      <c r="H508" t="s">
        <v>381</v>
      </c>
      <c r="I508" t="s">
        <v>427</v>
      </c>
      <c r="J508">
        <v>-13.3024606</v>
      </c>
      <c r="K508" t="s">
        <v>440</v>
      </c>
      <c r="L508" t="s">
        <v>385</v>
      </c>
      <c r="M508">
        <v>0.43232641346992001</v>
      </c>
      <c r="N508">
        <v>5.7510050832291411</v>
      </c>
      <c r="O508">
        <v>28410.399000000001</v>
      </c>
      <c r="P508">
        <v>2.51417E-6</v>
      </c>
      <c r="Q508">
        <v>0.14285700000000001</v>
      </c>
      <c r="R508" s="61">
        <v>0.82157133317486553</v>
      </c>
      <c r="S508" t="s">
        <v>347</v>
      </c>
      <c r="T508" t="s">
        <v>437</v>
      </c>
      <c r="U508" t="s">
        <v>425</v>
      </c>
      <c r="V508" t="s">
        <v>27</v>
      </c>
      <c r="W508">
        <v>111.133</v>
      </c>
      <c r="X508">
        <v>1.0541007448257309</v>
      </c>
      <c r="Y508">
        <v>117.145378074718</v>
      </c>
      <c r="Z508">
        <v>640.82000000000005</v>
      </c>
      <c r="AA508">
        <v>1</v>
      </c>
      <c r="AB508">
        <v>75.069101177840764</v>
      </c>
      <c r="AC508">
        <v>0.95889999999999997</v>
      </c>
      <c r="AD508" s="63">
        <v>71.983999999999995</v>
      </c>
      <c r="AE508">
        <v>8.9176000000000002</v>
      </c>
      <c r="AF508">
        <v>9.4000488020579382</v>
      </c>
      <c r="AG508">
        <v>1</v>
      </c>
      <c r="AH508">
        <v>6023.7392733347688</v>
      </c>
      <c r="AI508">
        <v>0.99097621000820357</v>
      </c>
      <c r="AJ508" s="63">
        <v>5969.3823000000002</v>
      </c>
      <c r="AK508" s="61">
        <v>4904.2733744414454</v>
      </c>
      <c r="AL508" t="s">
        <v>347</v>
      </c>
      <c r="AM508" t="s">
        <v>437</v>
      </c>
      <c r="AN508" t="s">
        <v>425</v>
      </c>
      <c r="AO508" t="s">
        <v>27</v>
      </c>
      <c r="AP508">
        <v>111.133</v>
      </c>
      <c r="AQ508">
        <v>1.0541007448257309</v>
      </c>
      <c r="AR508">
        <v>117.145378074718</v>
      </c>
      <c r="AS508">
        <v>640.82000000000005</v>
      </c>
      <c r="AT508">
        <v>1</v>
      </c>
      <c r="AU508">
        <v>75.069101177840764</v>
      </c>
      <c r="AV508">
        <v>0.95889999999999997</v>
      </c>
      <c r="AW508" s="63">
        <v>71.983999999999995</v>
      </c>
      <c r="AX508">
        <v>8.9176000000000002</v>
      </c>
      <c r="AY508">
        <v>1</v>
      </c>
      <c r="AZ508">
        <v>6023.7392733347688</v>
      </c>
      <c r="BA508">
        <v>0.99097621000820357</v>
      </c>
      <c r="BB508" s="63">
        <v>5969.3823000000002</v>
      </c>
      <c r="BC508" s="61">
        <v>4904.2733744414454</v>
      </c>
    </row>
    <row r="509" spans="1:55" x14ac:dyDescent="0.25">
      <c r="A509">
        <v>137273</v>
      </c>
      <c r="B509" t="s">
        <v>152</v>
      </c>
      <c r="C509">
        <v>2019</v>
      </c>
      <c r="D509">
        <v>5</v>
      </c>
      <c r="E509" t="s">
        <v>51</v>
      </c>
      <c r="F509" t="s">
        <v>426</v>
      </c>
      <c r="G509" t="s">
        <v>84</v>
      </c>
      <c r="H509" t="s">
        <v>381</v>
      </c>
      <c r="I509" t="s">
        <v>427</v>
      </c>
      <c r="J509">
        <v>-13.3024606</v>
      </c>
      <c r="K509" t="s">
        <v>440</v>
      </c>
      <c r="L509" t="s">
        <v>451</v>
      </c>
      <c r="M509">
        <v>1.6825115802299999E-3</v>
      </c>
      <c r="N509">
        <v>2.2381544011693521E-2</v>
      </c>
      <c r="O509">
        <v>28410.399000000001</v>
      </c>
      <c r="P509">
        <v>2.51417E-6</v>
      </c>
      <c r="Q509">
        <v>0.14285700000000001</v>
      </c>
      <c r="R509" s="61">
        <v>3.197360232878501E-3</v>
      </c>
      <c r="S509" t="s">
        <v>347</v>
      </c>
      <c r="T509" t="s">
        <v>437</v>
      </c>
      <c r="U509" t="s">
        <v>425</v>
      </c>
      <c r="V509" t="s">
        <v>91</v>
      </c>
      <c r="W509">
        <v>111.133</v>
      </c>
      <c r="X509">
        <v>1.0541007448257309</v>
      </c>
      <c r="Y509">
        <v>117.145378074718</v>
      </c>
      <c r="Z509">
        <v>640.82000000000005</v>
      </c>
      <c r="AA509">
        <v>1</v>
      </c>
      <c r="AB509">
        <v>75.069101177840764</v>
      </c>
      <c r="AC509">
        <v>1.0088999999999999</v>
      </c>
      <c r="AD509" s="63">
        <v>75.736999999999995</v>
      </c>
      <c r="AE509">
        <v>8.9176000000000002</v>
      </c>
      <c r="AF509">
        <v>9.4000488020579382</v>
      </c>
      <c r="AG509">
        <v>1</v>
      </c>
      <c r="AH509">
        <v>6023.7392733347688</v>
      </c>
      <c r="AI509">
        <v>0.99316673174541203</v>
      </c>
      <c r="AJ509" s="63">
        <v>5982.5774000000001</v>
      </c>
      <c r="AK509" s="61">
        <v>19.12845506887766</v>
      </c>
      <c r="AL509" t="s">
        <v>347</v>
      </c>
      <c r="AM509" t="s">
        <v>437</v>
      </c>
      <c r="AN509" t="s">
        <v>425</v>
      </c>
      <c r="AO509" t="s">
        <v>91</v>
      </c>
      <c r="AP509">
        <v>111.133</v>
      </c>
      <c r="AQ509">
        <v>1.0541007448257309</v>
      </c>
      <c r="AR509">
        <v>117.145378074718</v>
      </c>
      <c r="AS509">
        <v>640.82000000000005</v>
      </c>
      <c r="AT509">
        <v>1</v>
      </c>
      <c r="AU509">
        <v>75.069101177840764</v>
      </c>
      <c r="AV509">
        <v>1.0088999999999999</v>
      </c>
      <c r="AW509" s="63">
        <v>75.736999999999995</v>
      </c>
      <c r="AX509">
        <v>8.9176000000000002</v>
      </c>
      <c r="AY509">
        <v>1</v>
      </c>
      <c r="AZ509">
        <v>6023.7392733347688</v>
      </c>
      <c r="BA509">
        <v>0.99316673174541203</v>
      </c>
      <c r="BB509" s="63">
        <v>5982.5774000000001</v>
      </c>
      <c r="BC509" s="61">
        <v>19.12845506887766</v>
      </c>
    </row>
    <row r="510" spans="1:55" x14ac:dyDescent="0.25">
      <c r="A510">
        <v>137275</v>
      </c>
      <c r="B510" t="s">
        <v>152</v>
      </c>
      <c r="C510">
        <v>2019</v>
      </c>
      <c r="D510">
        <v>5</v>
      </c>
      <c r="E510" t="s">
        <v>51</v>
      </c>
      <c r="F510" t="s">
        <v>426</v>
      </c>
      <c r="G510" t="s">
        <v>84</v>
      </c>
      <c r="H510" t="s">
        <v>381</v>
      </c>
      <c r="I510" t="s">
        <v>427</v>
      </c>
      <c r="J510">
        <v>-13.3024606</v>
      </c>
      <c r="K510" t="s">
        <v>440</v>
      </c>
      <c r="L510" t="s">
        <v>452</v>
      </c>
      <c r="M510">
        <v>1.53682162831E-3</v>
      </c>
      <c r="N510">
        <v>2.0443509165886841E-2</v>
      </c>
      <c r="O510">
        <v>28410.399000000001</v>
      </c>
      <c r="P510">
        <v>2.51417E-6</v>
      </c>
      <c r="Q510">
        <v>0.14285700000000001</v>
      </c>
      <c r="R510" s="61">
        <v>2.920498388911097E-3</v>
      </c>
      <c r="S510" t="s">
        <v>347</v>
      </c>
      <c r="T510" t="s">
        <v>437</v>
      </c>
      <c r="U510" t="s">
        <v>425</v>
      </c>
      <c r="V510" t="s">
        <v>28</v>
      </c>
      <c r="W510">
        <v>111.133</v>
      </c>
      <c r="X510">
        <v>1.0541007448257309</v>
      </c>
      <c r="Y510">
        <v>117.145378074718</v>
      </c>
      <c r="Z510">
        <v>640.82000000000005</v>
      </c>
      <c r="AA510">
        <v>1</v>
      </c>
      <c r="AB510">
        <v>75.069101177840764</v>
      </c>
      <c r="AC510">
        <v>1.0073000000000001</v>
      </c>
      <c r="AD510" s="63">
        <v>75.617000000000004</v>
      </c>
      <c r="AE510">
        <v>8.9176000000000002</v>
      </c>
      <c r="AF510">
        <v>9.4000488020579382</v>
      </c>
      <c r="AG510">
        <v>1</v>
      </c>
      <c r="AH510">
        <v>6023.7392733347688</v>
      </c>
      <c r="AI510">
        <v>0.99399488088206345</v>
      </c>
      <c r="AJ510" s="63">
        <v>5987.5659999999998</v>
      </c>
      <c r="AK510" s="61">
        <v>17.48667685649886</v>
      </c>
      <c r="AL510" t="s">
        <v>347</v>
      </c>
      <c r="AM510" t="s">
        <v>437</v>
      </c>
      <c r="AN510" t="s">
        <v>425</v>
      </c>
      <c r="AO510" t="s">
        <v>28</v>
      </c>
      <c r="AP510">
        <v>111.133</v>
      </c>
      <c r="AQ510">
        <v>1.0541007448257309</v>
      </c>
      <c r="AR510">
        <v>117.145378074718</v>
      </c>
      <c r="AS510">
        <v>640.82000000000005</v>
      </c>
      <c r="AT510">
        <v>1</v>
      </c>
      <c r="AU510">
        <v>75.069101177840764</v>
      </c>
      <c r="AV510">
        <v>1.0073000000000001</v>
      </c>
      <c r="AW510" s="63">
        <v>75.617000000000004</v>
      </c>
      <c r="AX510">
        <v>8.9176000000000002</v>
      </c>
      <c r="AY510">
        <v>1</v>
      </c>
      <c r="AZ510">
        <v>6023.7392733347688</v>
      </c>
      <c r="BA510">
        <v>0.99399488088206345</v>
      </c>
      <c r="BB510" s="63">
        <v>5987.5659999999998</v>
      </c>
      <c r="BC510" s="61">
        <v>17.48667685649886</v>
      </c>
    </row>
    <row r="511" spans="1:55" x14ac:dyDescent="0.25">
      <c r="A511">
        <v>137277</v>
      </c>
      <c r="B511" t="s">
        <v>152</v>
      </c>
      <c r="C511">
        <v>2019</v>
      </c>
      <c r="D511">
        <v>5</v>
      </c>
      <c r="E511" t="s">
        <v>51</v>
      </c>
      <c r="F511" t="s">
        <v>426</v>
      </c>
      <c r="G511" t="s">
        <v>84</v>
      </c>
      <c r="H511" t="s">
        <v>87</v>
      </c>
      <c r="I511" t="s">
        <v>427</v>
      </c>
      <c r="J511">
        <v>-2.6545286400000001</v>
      </c>
      <c r="K511" t="s">
        <v>440</v>
      </c>
      <c r="L511" t="s">
        <v>450</v>
      </c>
      <c r="M511">
        <v>0.26601384014995</v>
      </c>
      <c r="N511">
        <v>0.70614135621524243</v>
      </c>
      <c r="O511">
        <v>28410.399000000001</v>
      </c>
      <c r="P511">
        <v>2.51417E-6</v>
      </c>
      <c r="Q511">
        <v>0.14285700000000001</v>
      </c>
      <c r="R511" s="61">
        <v>0.10087723572484091</v>
      </c>
      <c r="S511" t="s">
        <v>347</v>
      </c>
      <c r="T511" t="s">
        <v>437</v>
      </c>
      <c r="U511" t="s">
        <v>425</v>
      </c>
      <c r="V511" t="s">
        <v>26</v>
      </c>
      <c r="W511">
        <v>111.133</v>
      </c>
      <c r="X511">
        <v>1.0541007448257309</v>
      </c>
      <c r="Y511">
        <v>117.145378074718</v>
      </c>
      <c r="Z511">
        <v>640.82000000000005</v>
      </c>
      <c r="AA511">
        <v>1</v>
      </c>
      <c r="AB511">
        <v>75.069101177840764</v>
      </c>
      <c r="AC511">
        <v>0.99109999999999998</v>
      </c>
      <c r="AD511" s="63">
        <v>74.400999999999996</v>
      </c>
      <c r="AE511">
        <v>8.9176000000000002</v>
      </c>
      <c r="AF511">
        <v>9.4000488020579382</v>
      </c>
      <c r="AG511">
        <v>1</v>
      </c>
      <c r="AH511">
        <v>6023.7392733347688</v>
      </c>
      <c r="AI511">
        <v>0.9830373970836227</v>
      </c>
      <c r="AJ511" s="63">
        <v>5921.5609999999997</v>
      </c>
      <c r="AK511" s="61">
        <v>597.35070485602455</v>
      </c>
      <c r="AL511" t="s">
        <v>347</v>
      </c>
      <c r="AM511" t="s">
        <v>437</v>
      </c>
      <c r="AN511" t="s">
        <v>425</v>
      </c>
      <c r="AO511" t="s">
        <v>26</v>
      </c>
      <c r="AP511">
        <v>111.133</v>
      </c>
      <c r="AQ511">
        <v>1.0541007448257309</v>
      </c>
      <c r="AR511">
        <v>117.145378074718</v>
      </c>
      <c r="AS511">
        <v>640.82000000000005</v>
      </c>
      <c r="AT511">
        <v>1</v>
      </c>
      <c r="AU511">
        <v>75.069101177840764</v>
      </c>
      <c r="AV511">
        <v>0.99109999999999998</v>
      </c>
      <c r="AW511" s="63">
        <v>74.400999999999996</v>
      </c>
      <c r="AX511">
        <v>8.9176000000000002</v>
      </c>
      <c r="AY511">
        <v>1</v>
      </c>
      <c r="AZ511">
        <v>6023.7392733347688</v>
      </c>
      <c r="BA511">
        <v>0.9830373970836227</v>
      </c>
      <c r="BB511" s="63">
        <v>5921.5609999999997</v>
      </c>
      <c r="BC511" s="61">
        <v>597.35070485602455</v>
      </c>
    </row>
    <row r="512" spans="1:55" x14ac:dyDescent="0.25">
      <c r="A512">
        <v>137279</v>
      </c>
      <c r="B512" t="s">
        <v>152</v>
      </c>
      <c r="C512">
        <v>2019</v>
      </c>
      <c r="D512">
        <v>5</v>
      </c>
      <c r="E512" t="s">
        <v>51</v>
      </c>
      <c r="F512" t="s">
        <v>426</v>
      </c>
      <c r="G512" t="s">
        <v>84</v>
      </c>
      <c r="H512" t="s">
        <v>87</v>
      </c>
      <c r="I512" t="s">
        <v>427</v>
      </c>
      <c r="J512">
        <v>-2.6545286400000001</v>
      </c>
      <c r="K512" t="s">
        <v>440</v>
      </c>
      <c r="L512" t="s">
        <v>384</v>
      </c>
      <c r="M512">
        <v>3.9509559941419997E-2</v>
      </c>
      <c r="N512">
        <v>0.1048792582550407</v>
      </c>
      <c r="O512">
        <v>28410.399000000001</v>
      </c>
      <c r="P512">
        <v>2.51417E-6</v>
      </c>
      <c r="Q512">
        <v>0.14285700000000001</v>
      </c>
      <c r="R512" s="61">
        <v>1.498273619654036E-2</v>
      </c>
      <c r="S512" t="s">
        <v>347</v>
      </c>
      <c r="T512" t="s">
        <v>437</v>
      </c>
      <c r="U512" t="s">
        <v>425</v>
      </c>
      <c r="V512" t="s">
        <v>81</v>
      </c>
      <c r="W512">
        <v>111.133</v>
      </c>
      <c r="X512">
        <v>1.0541007448257309</v>
      </c>
      <c r="Y512">
        <v>117.145378074718</v>
      </c>
      <c r="Z512">
        <v>640.82000000000005</v>
      </c>
      <c r="AA512">
        <v>1</v>
      </c>
      <c r="AB512">
        <v>75.069101177840764</v>
      </c>
      <c r="AC512">
        <v>0.93830000000000002</v>
      </c>
      <c r="AD512" s="63">
        <v>70.436999999999998</v>
      </c>
      <c r="AE512">
        <v>8.9176000000000002</v>
      </c>
      <c r="AF512">
        <v>9.4000488020579382</v>
      </c>
      <c r="AG512">
        <v>1</v>
      </c>
      <c r="AH512">
        <v>6023.7392733347688</v>
      </c>
      <c r="AI512">
        <v>1.098016605166052</v>
      </c>
      <c r="AJ512" s="63">
        <v>6614.1656999999996</v>
      </c>
      <c r="AK512" s="61">
        <v>99.098299843305682</v>
      </c>
      <c r="AL512" t="s">
        <v>347</v>
      </c>
      <c r="AM512" t="s">
        <v>437</v>
      </c>
      <c r="AN512" t="s">
        <v>425</v>
      </c>
      <c r="AO512" t="s">
        <v>81</v>
      </c>
      <c r="AP512">
        <v>111.133</v>
      </c>
      <c r="AQ512">
        <v>1.0541007448257309</v>
      </c>
      <c r="AR512">
        <v>117.145378074718</v>
      </c>
      <c r="AS512">
        <v>640.82000000000005</v>
      </c>
      <c r="AT512">
        <v>1</v>
      </c>
      <c r="AU512">
        <v>75.069101177840764</v>
      </c>
      <c r="AV512">
        <v>0.93830000000000002</v>
      </c>
      <c r="AW512" s="63">
        <v>70.436999999999998</v>
      </c>
      <c r="AX512">
        <v>8.9176000000000002</v>
      </c>
      <c r="AY512">
        <v>1</v>
      </c>
      <c r="AZ512">
        <v>6023.7392733347688</v>
      </c>
      <c r="BA512">
        <v>1.098016605166052</v>
      </c>
      <c r="BB512" s="63">
        <v>6614.1656999999996</v>
      </c>
      <c r="BC512" s="61">
        <v>99.098299843305682</v>
      </c>
    </row>
    <row r="513" spans="1:55" x14ac:dyDescent="0.25">
      <c r="A513">
        <v>137281</v>
      </c>
      <c r="B513" t="s">
        <v>152</v>
      </c>
      <c r="C513">
        <v>2019</v>
      </c>
      <c r="D513">
        <v>5</v>
      </c>
      <c r="E513" t="s">
        <v>51</v>
      </c>
      <c r="F513" t="s">
        <v>426</v>
      </c>
      <c r="G513" t="s">
        <v>84</v>
      </c>
      <c r="H513" t="s">
        <v>87</v>
      </c>
      <c r="I513" t="s">
        <v>427</v>
      </c>
      <c r="J513">
        <v>-2.6545286400000001</v>
      </c>
      <c r="K513" t="s">
        <v>440</v>
      </c>
      <c r="L513" t="s">
        <v>385</v>
      </c>
      <c r="M513">
        <v>0.39737542925016001</v>
      </c>
      <c r="N513">
        <v>1.05484445613487</v>
      </c>
      <c r="O513">
        <v>28410.399000000001</v>
      </c>
      <c r="P513">
        <v>2.51417E-6</v>
      </c>
      <c r="Q513">
        <v>0.14285700000000001</v>
      </c>
      <c r="R513" s="61">
        <v>0.15069191447005911</v>
      </c>
      <c r="S513" t="s">
        <v>347</v>
      </c>
      <c r="T513" t="s">
        <v>437</v>
      </c>
      <c r="U513" t="s">
        <v>425</v>
      </c>
      <c r="V513" t="s">
        <v>27</v>
      </c>
      <c r="W513">
        <v>111.133</v>
      </c>
      <c r="X513">
        <v>1.0541007448257309</v>
      </c>
      <c r="Y513">
        <v>117.145378074718</v>
      </c>
      <c r="Z513">
        <v>640.82000000000005</v>
      </c>
      <c r="AA513">
        <v>1</v>
      </c>
      <c r="AB513">
        <v>75.069101177840764</v>
      </c>
      <c r="AC513">
        <v>0.95889999999999997</v>
      </c>
      <c r="AD513" s="63">
        <v>71.983999999999995</v>
      </c>
      <c r="AE513">
        <v>8.9176000000000002</v>
      </c>
      <c r="AF513">
        <v>9.4000488020579382</v>
      </c>
      <c r="AG513">
        <v>1</v>
      </c>
      <c r="AH513">
        <v>6023.7392733347688</v>
      </c>
      <c r="AI513">
        <v>0.99097621000820357</v>
      </c>
      <c r="AJ513" s="63">
        <v>5969.3823000000002</v>
      </c>
      <c r="AK513" s="61">
        <v>899.53764699068449</v>
      </c>
      <c r="AL513" t="s">
        <v>347</v>
      </c>
      <c r="AM513" t="s">
        <v>437</v>
      </c>
      <c r="AN513" t="s">
        <v>425</v>
      </c>
      <c r="AO513" t="s">
        <v>27</v>
      </c>
      <c r="AP513">
        <v>111.133</v>
      </c>
      <c r="AQ513">
        <v>1.0541007448257309</v>
      </c>
      <c r="AR513">
        <v>117.145378074718</v>
      </c>
      <c r="AS513">
        <v>640.82000000000005</v>
      </c>
      <c r="AT513">
        <v>1</v>
      </c>
      <c r="AU513">
        <v>75.069101177840764</v>
      </c>
      <c r="AV513">
        <v>0.95889999999999997</v>
      </c>
      <c r="AW513" s="63">
        <v>71.983999999999995</v>
      </c>
      <c r="AX513">
        <v>8.9176000000000002</v>
      </c>
      <c r="AY513">
        <v>1</v>
      </c>
      <c r="AZ513">
        <v>6023.7392733347688</v>
      </c>
      <c r="BA513">
        <v>0.99097621000820357</v>
      </c>
      <c r="BB513" s="63">
        <v>5969.3823000000002</v>
      </c>
      <c r="BC513" s="61">
        <v>899.53764699068449</v>
      </c>
    </row>
    <row r="514" spans="1:55" x14ac:dyDescent="0.25">
      <c r="A514">
        <v>137283</v>
      </c>
      <c r="B514" t="s">
        <v>152</v>
      </c>
      <c r="C514">
        <v>2019</v>
      </c>
      <c r="D514">
        <v>5</v>
      </c>
      <c r="E514" t="s">
        <v>51</v>
      </c>
      <c r="F514" t="s">
        <v>426</v>
      </c>
      <c r="G514" t="s">
        <v>84</v>
      </c>
      <c r="H514" t="s">
        <v>87</v>
      </c>
      <c r="I514" t="s">
        <v>427</v>
      </c>
      <c r="J514">
        <v>-2.6545286400000001</v>
      </c>
      <c r="K514" t="s">
        <v>440</v>
      </c>
      <c r="L514" t="s">
        <v>452</v>
      </c>
      <c r="M514">
        <v>8.4248020759000004E-4</v>
      </c>
      <c r="N514">
        <v>2.2363878361996328E-3</v>
      </c>
      <c r="O514">
        <v>28410.399000000001</v>
      </c>
      <c r="P514">
        <v>2.51417E-6</v>
      </c>
      <c r="Q514">
        <v>0.14285700000000001</v>
      </c>
      <c r="R514" s="61">
        <v>3.1948365711597097E-4</v>
      </c>
      <c r="S514" t="s">
        <v>347</v>
      </c>
      <c r="T514" t="s">
        <v>437</v>
      </c>
      <c r="U514" t="s">
        <v>425</v>
      </c>
      <c r="V514" t="s">
        <v>28</v>
      </c>
      <c r="W514">
        <v>111.133</v>
      </c>
      <c r="X514">
        <v>1.0541007448257309</v>
      </c>
      <c r="Y514">
        <v>117.145378074718</v>
      </c>
      <c r="Z514">
        <v>640.82000000000005</v>
      </c>
      <c r="AA514">
        <v>1</v>
      </c>
      <c r="AB514">
        <v>75.069101177840764</v>
      </c>
      <c r="AC514">
        <v>1.0073000000000001</v>
      </c>
      <c r="AD514" s="63">
        <v>75.617000000000004</v>
      </c>
      <c r="AE514">
        <v>8.9176000000000002</v>
      </c>
      <c r="AF514">
        <v>9.4000488020579382</v>
      </c>
      <c r="AG514">
        <v>1</v>
      </c>
      <c r="AH514">
        <v>6023.7392733347688</v>
      </c>
      <c r="AI514">
        <v>0.99399488088206345</v>
      </c>
      <c r="AJ514" s="63">
        <v>5987.5659999999998</v>
      </c>
      <c r="AK514" s="61">
        <v>1.9129294829032459</v>
      </c>
      <c r="AL514" t="s">
        <v>347</v>
      </c>
      <c r="AM514" t="s">
        <v>437</v>
      </c>
      <c r="AN514" t="s">
        <v>425</v>
      </c>
      <c r="AO514" t="s">
        <v>28</v>
      </c>
      <c r="AP514">
        <v>111.133</v>
      </c>
      <c r="AQ514">
        <v>1.0541007448257309</v>
      </c>
      <c r="AR514">
        <v>117.145378074718</v>
      </c>
      <c r="AS514">
        <v>640.82000000000005</v>
      </c>
      <c r="AT514">
        <v>1</v>
      </c>
      <c r="AU514">
        <v>75.069101177840764</v>
      </c>
      <c r="AV514">
        <v>1.0073000000000001</v>
      </c>
      <c r="AW514" s="63">
        <v>75.617000000000004</v>
      </c>
      <c r="AX514">
        <v>8.9176000000000002</v>
      </c>
      <c r="AY514">
        <v>1</v>
      </c>
      <c r="AZ514">
        <v>6023.7392733347688</v>
      </c>
      <c r="BA514">
        <v>0.99399488088206345</v>
      </c>
      <c r="BB514" s="63">
        <v>5987.5659999999998</v>
      </c>
      <c r="BC514" s="61">
        <v>1.9129294829032459</v>
      </c>
    </row>
    <row r="515" spans="1:55" x14ac:dyDescent="0.25">
      <c r="A515">
        <v>137285</v>
      </c>
      <c r="B515" t="s">
        <v>152</v>
      </c>
      <c r="C515">
        <v>2019</v>
      </c>
      <c r="D515">
        <v>5</v>
      </c>
      <c r="E515" t="s">
        <v>51</v>
      </c>
      <c r="F515" t="s">
        <v>426</v>
      </c>
      <c r="G515" t="s">
        <v>84</v>
      </c>
      <c r="H515" t="s">
        <v>59</v>
      </c>
      <c r="I515" t="s">
        <v>427</v>
      </c>
      <c r="J515">
        <v>-6.3124784299999996</v>
      </c>
      <c r="K515" t="s">
        <v>440</v>
      </c>
      <c r="L515" t="s">
        <v>450</v>
      </c>
      <c r="M515">
        <v>0.15931709696460999</v>
      </c>
      <c r="N515">
        <v>1.0056857381582409</v>
      </c>
      <c r="O515">
        <v>28410.399000000001</v>
      </c>
      <c r="P515">
        <v>2.51417E-6</v>
      </c>
      <c r="Q515">
        <v>0.14285700000000001</v>
      </c>
      <c r="R515" s="61">
        <v>0.14366924749607179</v>
      </c>
      <c r="S515" t="s">
        <v>347</v>
      </c>
      <c r="T515" t="s">
        <v>437</v>
      </c>
      <c r="U515" t="s">
        <v>425</v>
      </c>
      <c r="V515" t="s">
        <v>26</v>
      </c>
      <c r="W515">
        <v>111.133</v>
      </c>
      <c r="X515">
        <v>1.0541007448257309</v>
      </c>
      <c r="Y515">
        <v>117.145378074718</v>
      </c>
      <c r="Z515">
        <v>640.82000000000005</v>
      </c>
      <c r="AA515">
        <v>1</v>
      </c>
      <c r="AB515">
        <v>75.069101177840764</v>
      </c>
      <c r="AC515">
        <v>0.99109999999999998</v>
      </c>
      <c r="AD515" s="63">
        <v>74.400999999999996</v>
      </c>
      <c r="AE515">
        <v>8.9176000000000002</v>
      </c>
      <c r="AF515">
        <v>9.4000488020579382</v>
      </c>
      <c r="AG515">
        <v>1</v>
      </c>
      <c r="AH515">
        <v>6023.7392733347688</v>
      </c>
      <c r="AI515">
        <v>0.9830373970836227</v>
      </c>
      <c r="AJ515" s="63">
        <v>5921.5609999999997</v>
      </c>
      <c r="AK515" s="61">
        <v>850.74621287208652</v>
      </c>
      <c r="AL515" t="s">
        <v>347</v>
      </c>
      <c r="AM515" t="s">
        <v>437</v>
      </c>
      <c r="AN515" t="s">
        <v>425</v>
      </c>
      <c r="AO515" t="s">
        <v>26</v>
      </c>
      <c r="AP515">
        <v>111.133</v>
      </c>
      <c r="AQ515">
        <v>1.0541007448257309</v>
      </c>
      <c r="AR515">
        <v>117.145378074718</v>
      </c>
      <c r="AS515">
        <v>640.82000000000005</v>
      </c>
      <c r="AT515">
        <v>1</v>
      </c>
      <c r="AU515">
        <v>75.069101177840764</v>
      </c>
      <c r="AV515">
        <v>0.99109999999999998</v>
      </c>
      <c r="AW515" s="63">
        <v>74.400999999999996</v>
      </c>
      <c r="AX515">
        <v>8.9176000000000002</v>
      </c>
      <c r="AY515">
        <v>1</v>
      </c>
      <c r="AZ515">
        <v>6023.7392733347688</v>
      </c>
      <c r="BA515">
        <v>0.9830373970836227</v>
      </c>
      <c r="BB515" s="63">
        <v>5921.5609999999997</v>
      </c>
      <c r="BC515" s="61">
        <v>850.74621287208652</v>
      </c>
    </row>
    <row r="516" spans="1:55" x14ac:dyDescent="0.25">
      <c r="A516">
        <v>137287</v>
      </c>
      <c r="B516" t="s">
        <v>152</v>
      </c>
      <c r="C516">
        <v>2019</v>
      </c>
      <c r="D516">
        <v>5</v>
      </c>
      <c r="E516" t="s">
        <v>51</v>
      </c>
      <c r="F516" t="s">
        <v>426</v>
      </c>
      <c r="G516" t="s">
        <v>84</v>
      </c>
      <c r="H516" t="s">
        <v>59</v>
      </c>
      <c r="I516" t="s">
        <v>427</v>
      </c>
      <c r="J516">
        <v>-6.3124784299999996</v>
      </c>
      <c r="K516" t="s">
        <v>440</v>
      </c>
      <c r="L516" t="s">
        <v>384</v>
      </c>
      <c r="M516">
        <v>4.1785183859599999E-2</v>
      </c>
      <c r="N516">
        <v>0.26376807181751738</v>
      </c>
      <c r="O516">
        <v>28410.399000000001</v>
      </c>
      <c r="P516">
        <v>2.51417E-6</v>
      </c>
      <c r="Q516">
        <v>0.14285700000000001</v>
      </c>
      <c r="R516" s="61">
        <v>3.7681115435635092E-2</v>
      </c>
      <c r="S516" t="s">
        <v>347</v>
      </c>
      <c r="T516" t="s">
        <v>437</v>
      </c>
      <c r="U516" t="s">
        <v>425</v>
      </c>
      <c r="V516" t="s">
        <v>81</v>
      </c>
      <c r="W516">
        <v>111.133</v>
      </c>
      <c r="X516">
        <v>1.0541007448257309</v>
      </c>
      <c r="Y516">
        <v>117.145378074718</v>
      </c>
      <c r="Z516">
        <v>640.82000000000005</v>
      </c>
      <c r="AA516">
        <v>1</v>
      </c>
      <c r="AB516">
        <v>75.069101177840764</v>
      </c>
      <c r="AC516">
        <v>0.93830000000000002</v>
      </c>
      <c r="AD516" s="63">
        <v>70.436999999999998</v>
      </c>
      <c r="AE516">
        <v>8.9176000000000002</v>
      </c>
      <c r="AF516">
        <v>9.4000488020579382</v>
      </c>
      <c r="AG516">
        <v>1</v>
      </c>
      <c r="AH516">
        <v>6023.7392733347688</v>
      </c>
      <c r="AI516">
        <v>1.098016605166052</v>
      </c>
      <c r="AJ516" s="63">
        <v>6614.1656999999996</v>
      </c>
      <c r="AK516" s="61">
        <v>249.22914125211821</v>
      </c>
      <c r="AL516" t="s">
        <v>347</v>
      </c>
      <c r="AM516" t="s">
        <v>437</v>
      </c>
      <c r="AN516" t="s">
        <v>425</v>
      </c>
      <c r="AO516" t="s">
        <v>81</v>
      </c>
      <c r="AP516">
        <v>111.133</v>
      </c>
      <c r="AQ516">
        <v>1.0541007448257309</v>
      </c>
      <c r="AR516">
        <v>117.145378074718</v>
      </c>
      <c r="AS516">
        <v>640.82000000000005</v>
      </c>
      <c r="AT516">
        <v>1</v>
      </c>
      <c r="AU516">
        <v>75.069101177840764</v>
      </c>
      <c r="AV516">
        <v>0.93830000000000002</v>
      </c>
      <c r="AW516" s="63">
        <v>70.436999999999998</v>
      </c>
      <c r="AX516">
        <v>8.9176000000000002</v>
      </c>
      <c r="AY516">
        <v>1</v>
      </c>
      <c r="AZ516">
        <v>6023.7392733347688</v>
      </c>
      <c r="BA516">
        <v>1.098016605166052</v>
      </c>
      <c r="BB516" s="63">
        <v>6614.1656999999996</v>
      </c>
      <c r="BC516" s="61">
        <v>249.22914125211821</v>
      </c>
    </row>
    <row r="517" spans="1:55" x14ac:dyDescent="0.25">
      <c r="A517">
        <v>137289</v>
      </c>
      <c r="B517" t="s">
        <v>152</v>
      </c>
      <c r="C517">
        <v>2019</v>
      </c>
      <c r="D517">
        <v>5</v>
      </c>
      <c r="E517" t="s">
        <v>51</v>
      </c>
      <c r="F517" t="s">
        <v>426</v>
      </c>
      <c r="G517" t="s">
        <v>84</v>
      </c>
      <c r="H517" t="s">
        <v>59</v>
      </c>
      <c r="I517" t="s">
        <v>427</v>
      </c>
      <c r="J517">
        <v>-6.3124784299999996</v>
      </c>
      <c r="K517" t="s">
        <v>440</v>
      </c>
      <c r="L517" t="s">
        <v>385</v>
      </c>
      <c r="M517">
        <v>0.43497567483749999</v>
      </c>
      <c r="N517">
        <v>2.7457745650926788</v>
      </c>
      <c r="O517">
        <v>28410.399000000001</v>
      </c>
      <c r="P517">
        <v>2.51417E-6</v>
      </c>
      <c r="Q517">
        <v>0.14285700000000001</v>
      </c>
      <c r="R517" s="61">
        <v>0.39225311704544491</v>
      </c>
      <c r="S517" t="s">
        <v>347</v>
      </c>
      <c r="T517" t="s">
        <v>437</v>
      </c>
      <c r="U517" t="s">
        <v>425</v>
      </c>
      <c r="V517" t="s">
        <v>27</v>
      </c>
      <c r="W517">
        <v>111.133</v>
      </c>
      <c r="X517">
        <v>1.0541007448257309</v>
      </c>
      <c r="Y517">
        <v>117.145378074718</v>
      </c>
      <c r="Z517">
        <v>640.82000000000005</v>
      </c>
      <c r="AA517">
        <v>1</v>
      </c>
      <c r="AB517">
        <v>75.069101177840764</v>
      </c>
      <c r="AC517">
        <v>0.95889999999999997</v>
      </c>
      <c r="AD517" s="63">
        <v>71.983999999999995</v>
      </c>
      <c r="AE517">
        <v>8.9176000000000002</v>
      </c>
      <c r="AF517">
        <v>9.4000488020579382</v>
      </c>
      <c r="AG517">
        <v>1</v>
      </c>
      <c r="AH517">
        <v>6023.7392733347688</v>
      </c>
      <c r="AI517">
        <v>0.99097621000820357</v>
      </c>
      <c r="AJ517" s="63">
        <v>5969.3823000000002</v>
      </c>
      <c r="AK517" s="61">
        <v>2341.5088140109069</v>
      </c>
      <c r="AL517" t="s">
        <v>347</v>
      </c>
      <c r="AM517" t="s">
        <v>437</v>
      </c>
      <c r="AN517" t="s">
        <v>425</v>
      </c>
      <c r="AO517" t="s">
        <v>27</v>
      </c>
      <c r="AP517">
        <v>111.133</v>
      </c>
      <c r="AQ517">
        <v>1.0541007448257309</v>
      </c>
      <c r="AR517">
        <v>117.145378074718</v>
      </c>
      <c r="AS517">
        <v>640.82000000000005</v>
      </c>
      <c r="AT517">
        <v>1</v>
      </c>
      <c r="AU517">
        <v>75.069101177840764</v>
      </c>
      <c r="AV517">
        <v>0.95889999999999997</v>
      </c>
      <c r="AW517" s="63">
        <v>71.983999999999995</v>
      </c>
      <c r="AX517">
        <v>8.9176000000000002</v>
      </c>
      <c r="AY517">
        <v>1</v>
      </c>
      <c r="AZ517">
        <v>6023.7392733347688</v>
      </c>
      <c r="BA517">
        <v>0.99097621000820357</v>
      </c>
      <c r="BB517" s="63">
        <v>5969.3823000000002</v>
      </c>
      <c r="BC517" s="61">
        <v>2341.5088140109069</v>
      </c>
    </row>
    <row r="518" spans="1:55" x14ac:dyDescent="0.25">
      <c r="A518">
        <v>137291</v>
      </c>
      <c r="B518" t="s">
        <v>152</v>
      </c>
      <c r="C518">
        <v>2019</v>
      </c>
      <c r="D518">
        <v>5</v>
      </c>
      <c r="E518" t="s">
        <v>51</v>
      </c>
      <c r="F518" t="s">
        <v>426</v>
      </c>
      <c r="G518" t="s">
        <v>84</v>
      </c>
      <c r="H518" t="s">
        <v>59</v>
      </c>
      <c r="I518" t="s">
        <v>427</v>
      </c>
      <c r="J518">
        <v>-6.3124784299999996</v>
      </c>
      <c r="K518" t="s">
        <v>440</v>
      </c>
      <c r="L518" t="s">
        <v>451</v>
      </c>
      <c r="M518">
        <v>1.7625750762999999E-3</v>
      </c>
      <c r="N518">
        <v>1.112621715082996E-2</v>
      </c>
      <c r="O518">
        <v>28410.399000000001</v>
      </c>
      <c r="P518">
        <v>2.51417E-6</v>
      </c>
      <c r="Q518">
        <v>0.14285700000000001</v>
      </c>
      <c r="R518" s="61">
        <v>1.5894580035161151E-3</v>
      </c>
      <c r="S518" t="s">
        <v>347</v>
      </c>
      <c r="T518" t="s">
        <v>437</v>
      </c>
      <c r="U518" t="s">
        <v>425</v>
      </c>
      <c r="V518" t="s">
        <v>91</v>
      </c>
      <c r="W518">
        <v>111.133</v>
      </c>
      <c r="X518">
        <v>1.0541007448257309</v>
      </c>
      <c r="Y518">
        <v>117.145378074718</v>
      </c>
      <c r="Z518">
        <v>640.82000000000005</v>
      </c>
      <c r="AA518">
        <v>1</v>
      </c>
      <c r="AB518">
        <v>75.069101177840764</v>
      </c>
      <c r="AC518">
        <v>1.0088999999999999</v>
      </c>
      <c r="AD518" s="63">
        <v>75.736999999999995</v>
      </c>
      <c r="AE518">
        <v>8.9176000000000002</v>
      </c>
      <c r="AF518">
        <v>9.4000488020579382</v>
      </c>
      <c r="AG518">
        <v>1</v>
      </c>
      <c r="AH518">
        <v>6023.7392733347688</v>
      </c>
      <c r="AI518">
        <v>0.99316673174541203</v>
      </c>
      <c r="AJ518" s="63">
        <v>5982.5774000000001</v>
      </c>
      <c r="AK518" s="61">
        <v>9.5090555300846322</v>
      </c>
      <c r="AL518" t="s">
        <v>347</v>
      </c>
      <c r="AM518" t="s">
        <v>437</v>
      </c>
      <c r="AN518" t="s">
        <v>425</v>
      </c>
      <c r="AO518" t="s">
        <v>91</v>
      </c>
      <c r="AP518">
        <v>111.133</v>
      </c>
      <c r="AQ518">
        <v>1.0541007448257309</v>
      </c>
      <c r="AR518">
        <v>117.145378074718</v>
      </c>
      <c r="AS518">
        <v>640.82000000000005</v>
      </c>
      <c r="AT518">
        <v>1</v>
      </c>
      <c r="AU518">
        <v>75.069101177840764</v>
      </c>
      <c r="AV518">
        <v>1.0088999999999999</v>
      </c>
      <c r="AW518" s="63">
        <v>75.736999999999995</v>
      </c>
      <c r="AX518">
        <v>8.9176000000000002</v>
      </c>
      <c r="AY518">
        <v>1</v>
      </c>
      <c r="AZ518">
        <v>6023.7392733347688</v>
      </c>
      <c r="BA518">
        <v>0.99316673174541203</v>
      </c>
      <c r="BB518" s="63">
        <v>5982.5774000000001</v>
      </c>
      <c r="BC518" s="61">
        <v>9.5090555300846322</v>
      </c>
    </row>
    <row r="519" spans="1:55" x14ac:dyDescent="0.25">
      <c r="A519">
        <v>137293</v>
      </c>
      <c r="B519" t="s">
        <v>152</v>
      </c>
      <c r="C519">
        <v>2019</v>
      </c>
      <c r="D519">
        <v>5</v>
      </c>
      <c r="E519" t="s">
        <v>51</v>
      </c>
      <c r="F519" t="s">
        <v>426</v>
      </c>
      <c r="G519" t="s">
        <v>84</v>
      </c>
      <c r="H519" t="s">
        <v>59</v>
      </c>
      <c r="I519" t="s">
        <v>427</v>
      </c>
      <c r="J519">
        <v>-6.3124784299999996</v>
      </c>
      <c r="K519" t="s">
        <v>440</v>
      </c>
      <c r="L519" t="s">
        <v>452</v>
      </c>
      <c r="M519">
        <v>1.4858046103299999E-3</v>
      </c>
      <c r="N519">
        <v>9.3791095542656681E-3</v>
      </c>
      <c r="O519">
        <v>28410.399000000001</v>
      </c>
      <c r="P519">
        <v>2.51417E-6</v>
      </c>
      <c r="Q519">
        <v>0.14285700000000001</v>
      </c>
      <c r="R519" s="61">
        <v>1.339871453593731E-3</v>
      </c>
      <c r="S519" t="s">
        <v>347</v>
      </c>
      <c r="T519" t="s">
        <v>437</v>
      </c>
      <c r="U519" t="s">
        <v>425</v>
      </c>
      <c r="V519" t="s">
        <v>28</v>
      </c>
      <c r="W519">
        <v>111.133</v>
      </c>
      <c r="X519">
        <v>1.0541007448257309</v>
      </c>
      <c r="Y519">
        <v>117.145378074718</v>
      </c>
      <c r="Z519">
        <v>640.82000000000005</v>
      </c>
      <c r="AA519">
        <v>1</v>
      </c>
      <c r="AB519">
        <v>75.069101177840764</v>
      </c>
      <c r="AC519">
        <v>1.0073000000000001</v>
      </c>
      <c r="AD519" s="63">
        <v>75.617000000000004</v>
      </c>
      <c r="AE519">
        <v>8.9176000000000002</v>
      </c>
      <c r="AF519">
        <v>9.4000488020579382</v>
      </c>
      <c r="AG519">
        <v>1</v>
      </c>
      <c r="AH519">
        <v>6023.7392733347688</v>
      </c>
      <c r="AI519">
        <v>0.99399488088206345</v>
      </c>
      <c r="AJ519" s="63">
        <v>5987.5659999999998</v>
      </c>
      <c r="AK519" s="61">
        <v>8.022568759908399</v>
      </c>
      <c r="AL519" t="s">
        <v>347</v>
      </c>
      <c r="AM519" t="s">
        <v>437</v>
      </c>
      <c r="AN519" t="s">
        <v>425</v>
      </c>
      <c r="AO519" t="s">
        <v>28</v>
      </c>
      <c r="AP519">
        <v>111.133</v>
      </c>
      <c r="AQ519">
        <v>1.0541007448257309</v>
      </c>
      <c r="AR519">
        <v>117.145378074718</v>
      </c>
      <c r="AS519">
        <v>640.82000000000005</v>
      </c>
      <c r="AT519">
        <v>1</v>
      </c>
      <c r="AU519">
        <v>75.069101177840764</v>
      </c>
      <c r="AV519">
        <v>1.0073000000000001</v>
      </c>
      <c r="AW519" s="63">
        <v>75.617000000000004</v>
      </c>
      <c r="AX519">
        <v>8.9176000000000002</v>
      </c>
      <c r="AY519">
        <v>1</v>
      </c>
      <c r="AZ519">
        <v>6023.7392733347688</v>
      </c>
      <c r="BA519">
        <v>0.99399488088206345</v>
      </c>
      <c r="BB519" s="63">
        <v>5987.5659999999998</v>
      </c>
      <c r="BC519" s="61">
        <v>8.022568759908399</v>
      </c>
    </row>
    <row r="520" spans="1:55" x14ac:dyDescent="0.25">
      <c r="A520">
        <v>144449</v>
      </c>
      <c r="B520" t="s">
        <v>153</v>
      </c>
      <c r="C520">
        <v>2019</v>
      </c>
      <c r="D520">
        <v>6</v>
      </c>
      <c r="E520" t="s">
        <v>51</v>
      </c>
      <c r="F520" t="s">
        <v>426</v>
      </c>
      <c r="G520" t="s">
        <v>84</v>
      </c>
      <c r="H520" t="s">
        <v>381</v>
      </c>
      <c r="I520" t="s">
        <v>427</v>
      </c>
      <c r="J520">
        <v>-13.3024606</v>
      </c>
      <c r="K520" t="s">
        <v>440</v>
      </c>
      <c r="L520" t="s">
        <v>450</v>
      </c>
      <c r="M520">
        <v>0.15011157993331001</v>
      </c>
      <c r="N520">
        <v>1.9968533782590381</v>
      </c>
      <c r="O520">
        <v>28410.399000000001</v>
      </c>
      <c r="P520">
        <v>2.51417E-6</v>
      </c>
      <c r="Q520">
        <v>0.14285700000000001</v>
      </c>
      <c r="R520" s="61">
        <v>0.28526448305795138</v>
      </c>
      <c r="S520" t="s">
        <v>347</v>
      </c>
      <c r="T520" t="s">
        <v>437</v>
      </c>
      <c r="U520" t="s">
        <v>425</v>
      </c>
      <c r="V520" t="s">
        <v>26</v>
      </c>
      <c r="W520">
        <v>111.133</v>
      </c>
      <c r="X520">
        <v>1.0541007448257309</v>
      </c>
      <c r="Y520">
        <v>117.145378074718</v>
      </c>
      <c r="Z520">
        <v>640.82000000000005</v>
      </c>
      <c r="AA520">
        <v>1</v>
      </c>
      <c r="AB520">
        <v>75.069101177840764</v>
      </c>
      <c r="AC520">
        <v>0.99109999999999998</v>
      </c>
      <c r="AD520" s="63">
        <v>74.400999999999996</v>
      </c>
      <c r="AE520">
        <v>8.9176000000000002</v>
      </c>
      <c r="AF520">
        <v>9.4000488020579382</v>
      </c>
      <c r="AG520">
        <v>1</v>
      </c>
      <c r="AH520">
        <v>6023.7392733347688</v>
      </c>
      <c r="AI520">
        <v>0.9830373970836227</v>
      </c>
      <c r="AJ520" s="63">
        <v>5921.5609999999997</v>
      </c>
      <c r="AK520" s="61">
        <v>1689.211037561126</v>
      </c>
      <c r="AL520" t="s">
        <v>347</v>
      </c>
      <c r="AM520" t="s">
        <v>437</v>
      </c>
      <c r="AN520" t="s">
        <v>425</v>
      </c>
      <c r="AO520" t="s">
        <v>26</v>
      </c>
      <c r="AP520">
        <v>111.133</v>
      </c>
      <c r="AQ520">
        <v>1.0541007448257309</v>
      </c>
      <c r="AR520">
        <v>117.145378074718</v>
      </c>
      <c r="AS520">
        <v>640.82000000000005</v>
      </c>
      <c r="AT520">
        <v>1</v>
      </c>
      <c r="AU520">
        <v>75.069101177840764</v>
      </c>
      <c r="AV520">
        <v>0.99109999999999998</v>
      </c>
      <c r="AW520" s="63">
        <v>74.400999999999996</v>
      </c>
      <c r="AX520">
        <v>8.9176000000000002</v>
      </c>
      <c r="AY520">
        <v>1</v>
      </c>
      <c r="AZ520">
        <v>6023.7392733347688</v>
      </c>
      <c r="BA520">
        <v>0.9830373970836227</v>
      </c>
      <c r="BB520" s="63">
        <v>5921.5609999999997</v>
      </c>
      <c r="BC520" s="61">
        <v>1689.211037561126</v>
      </c>
    </row>
    <row r="521" spans="1:55" x14ac:dyDescent="0.25">
      <c r="A521">
        <v>144451</v>
      </c>
      <c r="B521" t="s">
        <v>153</v>
      </c>
      <c r="C521">
        <v>2019</v>
      </c>
      <c r="D521">
        <v>6</v>
      </c>
      <c r="E521" t="s">
        <v>51</v>
      </c>
      <c r="F521" t="s">
        <v>426</v>
      </c>
      <c r="G521" t="s">
        <v>84</v>
      </c>
      <c r="H521" t="s">
        <v>381</v>
      </c>
      <c r="I521" t="s">
        <v>427</v>
      </c>
      <c r="J521">
        <v>-13.3024606</v>
      </c>
      <c r="K521" t="s">
        <v>440</v>
      </c>
      <c r="L521" t="s">
        <v>384</v>
      </c>
      <c r="M521">
        <v>4.5811354346740003E-2</v>
      </c>
      <c r="N521">
        <v>0.60940373641094681</v>
      </c>
      <c r="O521">
        <v>28410.399000000001</v>
      </c>
      <c r="P521">
        <v>2.51417E-6</v>
      </c>
      <c r="Q521">
        <v>0.14285700000000001</v>
      </c>
      <c r="R521" s="61">
        <v>8.7057589572458641E-2</v>
      </c>
      <c r="S521" t="s">
        <v>347</v>
      </c>
      <c r="T521" t="s">
        <v>437</v>
      </c>
      <c r="U521" t="s">
        <v>425</v>
      </c>
      <c r="V521" t="s">
        <v>81</v>
      </c>
      <c r="W521">
        <v>111.133</v>
      </c>
      <c r="X521">
        <v>1.0541007448257309</v>
      </c>
      <c r="Y521">
        <v>117.145378074718</v>
      </c>
      <c r="Z521">
        <v>640.82000000000005</v>
      </c>
      <c r="AA521">
        <v>1</v>
      </c>
      <c r="AB521">
        <v>75.069101177840764</v>
      </c>
      <c r="AC521">
        <v>0.93830000000000002</v>
      </c>
      <c r="AD521" s="63">
        <v>70.436999999999998</v>
      </c>
      <c r="AE521">
        <v>8.9176000000000002</v>
      </c>
      <c r="AF521">
        <v>9.4000488020579382</v>
      </c>
      <c r="AG521">
        <v>1</v>
      </c>
      <c r="AH521">
        <v>6023.7392733347688</v>
      </c>
      <c r="AI521">
        <v>1.098016605166052</v>
      </c>
      <c r="AJ521" s="63">
        <v>6614.1656999999996</v>
      </c>
      <c r="AK521" s="61">
        <v>575.8133228748336</v>
      </c>
      <c r="AL521" t="s">
        <v>347</v>
      </c>
      <c r="AM521" t="s">
        <v>437</v>
      </c>
      <c r="AN521" t="s">
        <v>425</v>
      </c>
      <c r="AO521" t="s">
        <v>81</v>
      </c>
      <c r="AP521">
        <v>111.133</v>
      </c>
      <c r="AQ521">
        <v>1.0541007448257309</v>
      </c>
      <c r="AR521">
        <v>117.145378074718</v>
      </c>
      <c r="AS521">
        <v>640.82000000000005</v>
      </c>
      <c r="AT521">
        <v>1</v>
      </c>
      <c r="AU521">
        <v>75.069101177840764</v>
      </c>
      <c r="AV521">
        <v>0.93830000000000002</v>
      </c>
      <c r="AW521" s="63">
        <v>70.436999999999998</v>
      </c>
      <c r="AX521">
        <v>8.9176000000000002</v>
      </c>
      <c r="AY521">
        <v>1</v>
      </c>
      <c r="AZ521">
        <v>6023.7392733347688</v>
      </c>
      <c r="BA521">
        <v>1.098016605166052</v>
      </c>
      <c r="BB521" s="63">
        <v>6614.1656999999996</v>
      </c>
      <c r="BC521" s="61">
        <v>575.8133228748336</v>
      </c>
    </row>
    <row r="522" spans="1:55" x14ac:dyDescent="0.25">
      <c r="A522">
        <v>144453</v>
      </c>
      <c r="B522" t="s">
        <v>153</v>
      </c>
      <c r="C522">
        <v>2019</v>
      </c>
      <c r="D522">
        <v>6</v>
      </c>
      <c r="E522" t="s">
        <v>51</v>
      </c>
      <c r="F522" t="s">
        <v>426</v>
      </c>
      <c r="G522" t="s">
        <v>84</v>
      </c>
      <c r="H522" t="s">
        <v>381</v>
      </c>
      <c r="I522" t="s">
        <v>427</v>
      </c>
      <c r="J522">
        <v>-13.3024606</v>
      </c>
      <c r="K522" t="s">
        <v>440</v>
      </c>
      <c r="L522" t="s">
        <v>385</v>
      </c>
      <c r="M522">
        <v>0.43232641346992001</v>
      </c>
      <c r="N522">
        <v>5.7510050832291411</v>
      </c>
      <c r="O522">
        <v>28410.399000000001</v>
      </c>
      <c r="P522">
        <v>2.51417E-6</v>
      </c>
      <c r="Q522">
        <v>0.14285700000000001</v>
      </c>
      <c r="R522" s="61">
        <v>0.82157133317486553</v>
      </c>
      <c r="S522" t="s">
        <v>347</v>
      </c>
      <c r="T522" t="s">
        <v>437</v>
      </c>
      <c r="U522" t="s">
        <v>425</v>
      </c>
      <c r="V522" t="s">
        <v>27</v>
      </c>
      <c r="W522">
        <v>111.133</v>
      </c>
      <c r="X522">
        <v>1.0541007448257309</v>
      </c>
      <c r="Y522">
        <v>117.145378074718</v>
      </c>
      <c r="Z522">
        <v>640.82000000000005</v>
      </c>
      <c r="AA522">
        <v>1</v>
      </c>
      <c r="AB522">
        <v>75.069101177840764</v>
      </c>
      <c r="AC522">
        <v>0.95889999999999997</v>
      </c>
      <c r="AD522" s="63">
        <v>71.983999999999995</v>
      </c>
      <c r="AE522">
        <v>8.9176000000000002</v>
      </c>
      <c r="AF522">
        <v>9.4000488020579382</v>
      </c>
      <c r="AG522">
        <v>1</v>
      </c>
      <c r="AH522">
        <v>6023.7392733347688</v>
      </c>
      <c r="AI522">
        <v>0.99097621000820357</v>
      </c>
      <c r="AJ522" s="63">
        <v>5969.3823000000002</v>
      </c>
      <c r="AK522" s="61">
        <v>4904.2733744414454</v>
      </c>
      <c r="AL522" t="s">
        <v>347</v>
      </c>
      <c r="AM522" t="s">
        <v>437</v>
      </c>
      <c r="AN522" t="s">
        <v>425</v>
      </c>
      <c r="AO522" t="s">
        <v>27</v>
      </c>
      <c r="AP522">
        <v>111.133</v>
      </c>
      <c r="AQ522">
        <v>1.0541007448257309</v>
      </c>
      <c r="AR522">
        <v>117.145378074718</v>
      </c>
      <c r="AS522">
        <v>640.82000000000005</v>
      </c>
      <c r="AT522">
        <v>1</v>
      </c>
      <c r="AU522">
        <v>75.069101177840764</v>
      </c>
      <c r="AV522">
        <v>0.95889999999999997</v>
      </c>
      <c r="AW522" s="63">
        <v>71.983999999999995</v>
      </c>
      <c r="AX522">
        <v>8.9176000000000002</v>
      </c>
      <c r="AY522">
        <v>1</v>
      </c>
      <c r="AZ522">
        <v>6023.7392733347688</v>
      </c>
      <c r="BA522">
        <v>0.99097621000820357</v>
      </c>
      <c r="BB522" s="63">
        <v>5969.3823000000002</v>
      </c>
      <c r="BC522" s="61">
        <v>4904.2733744414454</v>
      </c>
    </row>
    <row r="523" spans="1:55" x14ac:dyDescent="0.25">
      <c r="A523">
        <v>144455</v>
      </c>
      <c r="B523" t="s">
        <v>153</v>
      </c>
      <c r="C523">
        <v>2019</v>
      </c>
      <c r="D523">
        <v>6</v>
      </c>
      <c r="E523" t="s">
        <v>51</v>
      </c>
      <c r="F523" t="s">
        <v>426</v>
      </c>
      <c r="G523" t="s">
        <v>84</v>
      </c>
      <c r="H523" t="s">
        <v>381</v>
      </c>
      <c r="I523" t="s">
        <v>427</v>
      </c>
      <c r="J523">
        <v>-13.3024606</v>
      </c>
      <c r="K523" t="s">
        <v>440</v>
      </c>
      <c r="L523" t="s">
        <v>451</v>
      </c>
      <c r="M523">
        <v>1.6825115802299999E-3</v>
      </c>
      <c r="N523">
        <v>2.2381544011693521E-2</v>
      </c>
      <c r="O523">
        <v>28410.399000000001</v>
      </c>
      <c r="P523">
        <v>2.51417E-6</v>
      </c>
      <c r="Q523">
        <v>0.14285700000000001</v>
      </c>
      <c r="R523" s="61">
        <v>3.197360232878501E-3</v>
      </c>
      <c r="S523" t="s">
        <v>347</v>
      </c>
      <c r="T523" t="s">
        <v>437</v>
      </c>
      <c r="U523" t="s">
        <v>425</v>
      </c>
      <c r="V523" t="s">
        <v>91</v>
      </c>
      <c r="W523">
        <v>111.133</v>
      </c>
      <c r="X523">
        <v>1.0541007448257309</v>
      </c>
      <c r="Y523">
        <v>117.145378074718</v>
      </c>
      <c r="Z523">
        <v>640.82000000000005</v>
      </c>
      <c r="AA523">
        <v>1</v>
      </c>
      <c r="AB523">
        <v>75.069101177840764</v>
      </c>
      <c r="AC523">
        <v>1.0088999999999999</v>
      </c>
      <c r="AD523" s="63">
        <v>75.736999999999995</v>
      </c>
      <c r="AE523">
        <v>8.9176000000000002</v>
      </c>
      <c r="AF523">
        <v>9.4000488020579382</v>
      </c>
      <c r="AG523">
        <v>1</v>
      </c>
      <c r="AH523">
        <v>6023.7392733347688</v>
      </c>
      <c r="AI523">
        <v>0.99316673174541203</v>
      </c>
      <c r="AJ523" s="63">
        <v>5982.5774000000001</v>
      </c>
      <c r="AK523" s="61">
        <v>19.12845506887766</v>
      </c>
      <c r="AL523" t="s">
        <v>347</v>
      </c>
      <c r="AM523" t="s">
        <v>437</v>
      </c>
      <c r="AN523" t="s">
        <v>425</v>
      </c>
      <c r="AO523" t="s">
        <v>91</v>
      </c>
      <c r="AP523">
        <v>111.133</v>
      </c>
      <c r="AQ523">
        <v>1.0541007448257309</v>
      </c>
      <c r="AR523">
        <v>117.145378074718</v>
      </c>
      <c r="AS523">
        <v>640.82000000000005</v>
      </c>
      <c r="AT523">
        <v>1</v>
      </c>
      <c r="AU523">
        <v>75.069101177840764</v>
      </c>
      <c r="AV523">
        <v>1.0088999999999999</v>
      </c>
      <c r="AW523" s="63">
        <v>75.736999999999995</v>
      </c>
      <c r="AX523">
        <v>8.9176000000000002</v>
      </c>
      <c r="AY523">
        <v>1</v>
      </c>
      <c r="AZ523">
        <v>6023.7392733347688</v>
      </c>
      <c r="BA523">
        <v>0.99316673174541203</v>
      </c>
      <c r="BB523" s="63">
        <v>5982.5774000000001</v>
      </c>
      <c r="BC523" s="61">
        <v>19.12845506887766</v>
      </c>
    </row>
    <row r="524" spans="1:55" x14ac:dyDescent="0.25">
      <c r="A524">
        <v>144457</v>
      </c>
      <c r="B524" t="s">
        <v>153</v>
      </c>
      <c r="C524">
        <v>2019</v>
      </c>
      <c r="D524">
        <v>6</v>
      </c>
      <c r="E524" t="s">
        <v>51</v>
      </c>
      <c r="F524" t="s">
        <v>426</v>
      </c>
      <c r="G524" t="s">
        <v>84</v>
      </c>
      <c r="H524" t="s">
        <v>381</v>
      </c>
      <c r="I524" t="s">
        <v>427</v>
      </c>
      <c r="J524">
        <v>-13.3024606</v>
      </c>
      <c r="K524" t="s">
        <v>440</v>
      </c>
      <c r="L524" t="s">
        <v>452</v>
      </c>
      <c r="M524">
        <v>1.53682162831E-3</v>
      </c>
      <c r="N524">
        <v>2.0443509165886841E-2</v>
      </c>
      <c r="O524">
        <v>28410.399000000001</v>
      </c>
      <c r="P524">
        <v>2.51417E-6</v>
      </c>
      <c r="Q524">
        <v>0.14285700000000001</v>
      </c>
      <c r="R524" s="61">
        <v>2.920498388911097E-3</v>
      </c>
      <c r="S524" t="s">
        <v>347</v>
      </c>
      <c r="T524" t="s">
        <v>437</v>
      </c>
      <c r="U524" t="s">
        <v>425</v>
      </c>
      <c r="V524" t="s">
        <v>28</v>
      </c>
      <c r="W524">
        <v>111.133</v>
      </c>
      <c r="X524">
        <v>1.0541007448257309</v>
      </c>
      <c r="Y524">
        <v>117.145378074718</v>
      </c>
      <c r="Z524">
        <v>640.82000000000005</v>
      </c>
      <c r="AA524">
        <v>1</v>
      </c>
      <c r="AB524">
        <v>75.069101177840764</v>
      </c>
      <c r="AC524">
        <v>1.0073000000000001</v>
      </c>
      <c r="AD524" s="63">
        <v>75.617000000000004</v>
      </c>
      <c r="AE524">
        <v>8.9176000000000002</v>
      </c>
      <c r="AF524">
        <v>9.4000488020579382</v>
      </c>
      <c r="AG524">
        <v>1</v>
      </c>
      <c r="AH524">
        <v>6023.7392733347688</v>
      </c>
      <c r="AI524">
        <v>0.99399488088206345</v>
      </c>
      <c r="AJ524" s="63">
        <v>5987.5659999999998</v>
      </c>
      <c r="AK524" s="61">
        <v>17.48667685649886</v>
      </c>
      <c r="AL524" t="s">
        <v>347</v>
      </c>
      <c r="AM524" t="s">
        <v>437</v>
      </c>
      <c r="AN524" t="s">
        <v>425</v>
      </c>
      <c r="AO524" t="s">
        <v>28</v>
      </c>
      <c r="AP524">
        <v>111.133</v>
      </c>
      <c r="AQ524">
        <v>1.0541007448257309</v>
      </c>
      <c r="AR524">
        <v>117.145378074718</v>
      </c>
      <c r="AS524">
        <v>640.82000000000005</v>
      </c>
      <c r="AT524">
        <v>1</v>
      </c>
      <c r="AU524">
        <v>75.069101177840764</v>
      </c>
      <c r="AV524">
        <v>1.0073000000000001</v>
      </c>
      <c r="AW524" s="63">
        <v>75.617000000000004</v>
      </c>
      <c r="AX524">
        <v>8.9176000000000002</v>
      </c>
      <c r="AY524">
        <v>1</v>
      </c>
      <c r="AZ524">
        <v>6023.7392733347688</v>
      </c>
      <c r="BA524">
        <v>0.99399488088206345</v>
      </c>
      <c r="BB524" s="63">
        <v>5987.5659999999998</v>
      </c>
      <c r="BC524" s="61">
        <v>17.48667685649886</v>
      </c>
    </row>
    <row r="525" spans="1:55" x14ac:dyDescent="0.25">
      <c r="A525">
        <v>144459</v>
      </c>
      <c r="B525" t="s">
        <v>153</v>
      </c>
      <c r="C525">
        <v>2019</v>
      </c>
      <c r="D525">
        <v>6</v>
      </c>
      <c r="E525" t="s">
        <v>51</v>
      </c>
      <c r="F525" t="s">
        <v>426</v>
      </c>
      <c r="G525" t="s">
        <v>84</v>
      </c>
      <c r="H525" t="s">
        <v>87</v>
      </c>
      <c r="I525" t="s">
        <v>427</v>
      </c>
      <c r="J525">
        <v>-2.6545286400000001</v>
      </c>
      <c r="K525" t="s">
        <v>440</v>
      </c>
      <c r="L525" t="s">
        <v>450</v>
      </c>
      <c r="M525">
        <v>0.26601384014995</v>
      </c>
      <c r="N525">
        <v>0.70614135621524243</v>
      </c>
      <c r="O525">
        <v>28410.399000000001</v>
      </c>
      <c r="P525">
        <v>2.51417E-6</v>
      </c>
      <c r="Q525">
        <v>0.14285700000000001</v>
      </c>
      <c r="R525" s="61">
        <v>0.10087723572484091</v>
      </c>
      <c r="S525" t="s">
        <v>347</v>
      </c>
      <c r="T525" t="s">
        <v>437</v>
      </c>
      <c r="U525" t="s">
        <v>425</v>
      </c>
      <c r="V525" t="s">
        <v>26</v>
      </c>
      <c r="W525">
        <v>111.133</v>
      </c>
      <c r="X525">
        <v>1.0541007448257309</v>
      </c>
      <c r="Y525">
        <v>117.145378074718</v>
      </c>
      <c r="Z525">
        <v>640.82000000000005</v>
      </c>
      <c r="AA525">
        <v>1</v>
      </c>
      <c r="AB525">
        <v>75.069101177840764</v>
      </c>
      <c r="AC525">
        <v>0.99109999999999998</v>
      </c>
      <c r="AD525" s="63">
        <v>74.400999999999996</v>
      </c>
      <c r="AE525">
        <v>8.9176000000000002</v>
      </c>
      <c r="AF525">
        <v>9.4000488020579382</v>
      </c>
      <c r="AG525">
        <v>1</v>
      </c>
      <c r="AH525">
        <v>6023.7392733347688</v>
      </c>
      <c r="AI525">
        <v>0.9830373970836227</v>
      </c>
      <c r="AJ525" s="63">
        <v>5921.5609999999997</v>
      </c>
      <c r="AK525" s="61">
        <v>597.35070485602455</v>
      </c>
      <c r="AL525" t="s">
        <v>347</v>
      </c>
      <c r="AM525" t="s">
        <v>437</v>
      </c>
      <c r="AN525" t="s">
        <v>425</v>
      </c>
      <c r="AO525" t="s">
        <v>26</v>
      </c>
      <c r="AP525">
        <v>111.133</v>
      </c>
      <c r="AQ525">
        <v>1.0541007448257309</v>
      </c>
      <c r="AR525">
        <v>117.145378074718</v>
      </c>
      <c r="AS525">
        <v>640.82000000000005</v>
      </c>
      <c r="AT525">
        <v>1</v>
      </c>
      <c r="AU525">
        <v>75.069101177840764</v>
      </c>
      <c r="AV525">
        <v>0.99109999999999998</v>
      </c>
      <c r="AW525" s="63">
        <v>74.400999999999996</v>
      </c>
      <c r="AX525">
        <v>8.9176000000000002</v>
      </c>
      <c r="AY525">
        <v>1</v>
      </c>
      <c r="AZ525">
        <v>6023.7392733347688</v>
      </c>
      <c r="BA525">
        <v>0.9830373970836227</v>
      </c>
      <c r="BB525" s="63">
        <v>5921.5609999999997</v>
      </c>
      <c r="BC525" s="61">
        <v>597.35070485602455</v>
      </c>
    </row>
    <row r="526" spans="1:55" x14ac:dyDescent="0.25">
      <c r="A526">
        <v>144461</v>
      </c>
      <c r="B526" t="s">
        <v>153</v>
      </c>
      <c r="C526">
        <v>2019</v>
      </c>
      <c r="D526">
        <v>6</v>
      </c>
      <c r="E526" t="s">
        <v>51</v>
      </c>
      <c r="F526" t="s">
        <v>426</v>
      </c>
      <c r="G526" t="s">
        <v>84</v>
      </c>
      <c r="H526" t="s">
        <v>87</v>
      </c>
      <c r="I526" t="s">
        <v>427</v>
      </c>
      <c r="J526">
        <v>-2.6545286400000001</v>
      </c>
      <c r="K526" t="s">
        <v>440</v>
      </c>
      <c r="L526" t="s">
        <v>384</v>
      </c>
      <c r="M526">
        <v>3.9509559941419997E-2</v>
      </c>
      <c r="N526">
        <v>0.1048792582550407</v>
      </c>
      <c r="O526">
        <v>28410.399000000001</v>
      </c>
      <c r="P526">
        <v>2.51417E-6</v>
      </c>
      <c r="Q526">
        <v>0.14285700000000001</v>
      </c>
      <c r="R526" s="61">
        <v>1.498273619654036E-2</v>
      </c>
      <c r="S526" t="s">
        <v>347</v>
      </c>
      <c r="T526" t="s">
        <v>437</v>
      </c>
      <c r="U526" t="s">
        <v>425</v>
      </c>
      <c r="V526" t="s">
        <v>81</v>
      </c>
      <c r="W526">
        <v>111.133</v>
      </c>
      <c r="X526">
        <v>1.0541007448257309</v>
      </c>
      <c r="Y526">
        <v>117.145378074718</v>
      </c>
      <c r="Z526">
        <v>640.82000000000005</v>
      </c>
      <c r="AA526">
        <v>1</v>
      </c>
      <c r="AB526">
        <v>75.069101177840764</v>
      </c>
      <c r="AC526">
        <v>0.93830000000000002</v>
      </c>
      <c r="AD526" s="63">
        <v>70.436999999999998</v>
      </c>
      <c r="AE526">
        <v>8.9176000000000002</v>
      </c>
      <c r="AF526">
        <v>9.4000488020579382</v>
      </c>
      <c r="AG526">
        <v>1</v>
      </c>
      <c r="AH526">
        <v>6023.7392733347688</v>
      </c>
      <c r="AI526">
        <v>1.098016605166052</v>
      </c>
      <c r="AJ526" s="63">
        <v>6614.1656999999996</v>
      </c>
      <c r="AK526" s="61">
        <v>99.098299843305682</v>
      </c>
      <c r="AL526" t="s">
        <v>347</v>
      </c>
      <c r="AM526" t="s">
        <v>437</v>
      </c>
      <c r="AN526" t="s">
        <v>425</v>
      </c>
      <c r="AO526" t="s">
        <v>81</v>
      </c>
      <c r="AP526">
        <v>111.133</v>
      </c>
      <c r="AQ526">
        <v>1.0541007448257309</v>
      </c>
      <c r="AR526">
        <v>117.145378074718</v>
      </c>
      <c r="AS526">
        <v>640.82000000000005</v>
      </c>
      <c r="AT526">
        <v>1</v>
      </c>
      <c r="AU526">
        <v>75.069101177840764</v>
      </c>
      <c r="AV526">
        <v>0.93830000000000002</v>
      </c>
      <c r="AW526" s="63">
        <v>70.436999999999998</v>
      </c>
      <c r="AX526">
        <v>8.9176000000000002</v>
      </c>
      <c r="AY526">
        <v>1</v>
      </c>
      <c r="AZ526">
        <v>6023.7392733347688</v>
      </c>
      <c r="BA526">
        <v>1.098016605166052</v>
      </c>
      <c r="BB526" s="63">
        <v>6614.1656999999996</v>
      </c>
      <c r="BC526" s="61">
        <v>99.098299843305682</v>
      </c>
    </row>
    <row r="527" spans="1:55" x14ac:dyDescent="0.25">
      <c r="A527">
        <v>144463</v>
      </c>
      <c r="B527" t="s">
        <v>153</v>
      </c>
      <c r="C527">
        <v>2019</v>
      </c>
      <c r="D527">
        <v>6</v>
      </c>
      <c r="E527" t="s">
        <v>51</v>
      </c>
      <c r="F527" t="s">
        <v>426</v>
      </c>
      <c r="G527" t="s">
        <v>84</v>
      </c>
      <c r="H527" t="s">
        <v>87</v>
      </c>
      <c r="I527" t="s">
        <v>427</v>
      </c>
      <c r="J527">
        <v>-2.6545286400000001</v>
      </c>
      <c r="K527" t="s">
        <v>440</v>
      </c>
      <c r="L527" t="s">
        <v>385</v>
      </c>
      <c r="M527">
        <v>0.39737542925016001</v>
      </c>
      <c r="N527">
        <v>1.05484445613487</v>
      </c>
      <c r="O527">
        <v>28410.399000000001</v>
      </c>
      <c r="P527">
        <v>2.51417E-6</v>
      </c>
      <c r="Q527">
        <v>0.14285700000000001</v>
      </c>
      <c r="R527" s="61">
        <v>0.15069191447005911</v>
      </c>
      <c r="S527" t="s">
        <v>347</v>
      </c>
      <c r="T527" t="s">
        <v>437</v>
      </c>
      <c r="U527" t="s">
        <v>425</v>
      </c>
      <c r="V527" t="s">
        <v>27</v>
      </c>
      <c r="W527">
        <v>111.133</v>
      </c>
      <c r="X527">
        <v>1.0541007448257309</v>
      </c>
      <c r="Y527">
        <v>117.145378074718</v>
      </c>
      <c r="Z527">
        <v>640.82000000000005</v>
      </c>
      <c r="AA527">
        <v>1</v>
      </c>
      <c r="AB527">
        <v>75.069101177840764</v>
      </c>
      <c r="AC527">
        <v>0.95889999999999997</v>
      </c>
      <c r="AD527" s="63">
        <v>71.983999999999995</v>
      </c>
      <c r="AE527">
        <v>8.9176000000000002</v>
      </c>
      <c r="AF527">
        <v>9.4000488020579382</v>
      </c>
      <c r="AG527">
        <v>1</v>
      </c>
      <c r="AH527">
        <v>6023.7392733347688</v>
      </c>
      <c r="AI527">
        <v>0.99097621000820357</v>
      </c>
      <c r="AJ527" s="63">
        <v>5969.3823000000002</v>
      </c>
      <c r="AK527" s="61">
        <v>899.53764699068449</v>
      </c>
      <c r="AL527" t="s">
        <v>347</v>
      </c>
      <c r="AM527" t="s">
        <v>437</v>
      </c>
      <c r="AN527" t="s">
        <v>425</v>
      </c>
      <c r="AO527" t="s">
        <v>27</v>
      </c>
      <c r="AP527">
        <v>111.133</v>
      </c>
      <c r="AQ527">
        <v>1.0541007448257309</v>
      </c>
      <c r="AR527">
        <v>117.145378074718</v>
      </c>
      <c r="AS527">
        <v>640.82000000000005</v>
      </c>
      <c r="AT527">
        <v>1</v>
      </c>
      <c r="AU527">
        <v>75.069101177840764</v>
      </c>
      <c r="AV527">
        <v>0.95889999999999997</v>
      </c>
      <c r="AW527" s="63">
        <v>71.983999999999995</v>
      </c>
      <c r="AX527">
        <v>8.9176000000000002</v>
      </c>
      <c r="AY527">
        <v>1</v>
      </c>
      <c r="AZ527">
        <v>6023.7392733347688</v>
      </c>
      <c r="BA527">
        <v>0.99097621000820357</v>
      </c>
      <c r="BB527" s="63">
        <v>5969.3823000000002</v>
      </c>
      <c r="BC527" s="61">
        <v>899.53764699068449</v>
      </c>
    </row>
    <row r="528" spans="1:55" x14ac:dyDescent="0.25">
      <c r="A528">
        <v>144465</v>
      </c>
      <c r="B528" t="s">
        <v>153</v>
      </c>
      <c r="C528">
        <v>2019</v>
      </c>
      <c r="D528">
        <v>6</v>
      </c>
      <c r="E528" t="s">
        <v>51</v>
      </c>
      <c r="F528" t="s">
        <v>426</v>
      </c>
      <c r="G528" t="s">
        <v>84</v>
      </c>
      <c r="H528" t="s">
        <v>87</v>
      </c>
      <c r="I528" t="s">
        <v>427</v>
      </c>
      <c r="J528">
        <v>-2.6545286400000001</v>
      </c>
      <c r="K528" t="s">
        <v>440</v>
      </c>
      <c r="L528" t="s">
        <v>452</v>
      </c>
      <c r="M528">
        <v>8.4248020759000004E-4</v>
      </c>
      <c r="N528">
        <v>2.2363878361996328E-3</v>
      </c>
      <c r="O528">
        <v>28410.399000000001</v>
      </c>
      <c r="P528">
        <v>2.51417E-6</v>
      </c>
      <c r="Q528">
        <v>0.14285700000000001</v>
      </c>
      <c r="R528" s="61">
        <v>3.1948365711597097E-4</v>
      </c>
      <c r="S528" t="s">
        <v>347</v>
      </c>
      <c r="T528" t="s">
        <v>437</v>
      </c>
      <c r="U528" t="s">
        <v>425</v>
      </c>
      <c r="V528" t="s">
        <v>28</v>
      </c>
      <c r="W528">
        <v>111.133</v>
      </c>
      <c r="X528">
        <v>1.0541007448257309</v>
      </c>
      <c r="Y528">
        <v>117.145378074718</v>
      </c>
      <c r="Z528">
        <v>640.82000000000005</v>
      </c>
      <c r="AA528">
        <v>1</v>
      </c>
      <c r="AB528">
        <v>75.069101177840764</v>
      </c>
      <c r="AC528">
        <v>1.0073000000000001</v>
      </c>
      <c r="AD528" s="63">
        <v>75.617000000000004</v>
      </c>
      <c r="AE528">
        <v>8.9176000000000002</v>
      </c>
      <c r="AF528">
        <v>9.4000488020579382</v>
      </c>
      <c r="AG528">
        <v>1</v>
      </c>
      <c r="AH528">
        <v>6023.7392733347688</v>
      </c>
      <c r="AI528">
        <v>0.99399488088206345</v>
      </c>
      <c r="AJ528" s="63">
        <v>5987.5659999999998</v>
      </c>
      <c r="AK528" s="61">
        <v>1.9129294829032459</v>
      </c>
      <c r="AL528" t="s">
        <v>347</v>
      </c>
      <c r="AM528" t="s">
        <v>437</v>
      </c>
      <c r="AN528" t="s">
        <v>425</v>
      </c>
      <c r="AO528" t="s">
        <v>28</v>
      </c>
      <c r="AP528">
        <v>111.133</v>
      </c>
      <c r="AQ528">
        <v>1.0541007448257309</v>
      </c>
      <c r="AR528">
        <v>117.145378074718</v>
      </c>
      <c r="AS528">
        <v>640.82000000000005</v>
      </c>
      <c r="AT528">
        <v>1</v>
      </c>
      <c r="AU528">
        <v>75.069101177840764</v>
      </c>
      <c r="AV528">
        <v>1.0073000000000001</v>
      </c>
      <c r="AW528" s="63">
        <v>75.617000000000004</v>
      </c>
      <c r="AX528">
        <v>8.9176000000000002</v>
      </c>
      <c r="AY528">
        <v>1</v>
      </c>
      <c r="AZ528">
        <v>6023.7392733347688</v>
      </c>
      <c r="BA528">
        <v>0.99399488088206345</v>
      </c>
      <c r="BB528" s="63">
        <v>5987.5659999999998</v>
      </c>
      <c r="BC528" s="61">
        <v>1.9129294829032459</v>
      </c>
    </row>
    <row r="529" spans="1:55" x14ac:dyDescent="0.25">
      <c r="A529">
        <v>144467</v>
      </c>
      <c r="B529" t="s">
        <v>153</v>
      </c>
      <c r="C529">
        <v>2019</v>
      </c>
      <c r="D529">
        <v>6</v>
      </c>
      <c r="E529" t="s">
        <v>51</v>
      </c>
      <c r="F529" t="s">
        <v>426</v>
      </c>
      <c r="G529" t="s">
        <v>84</v>
      </c>
      <c r="H529" t="s">
        <v>59</v>
      </c>
      <c r="I529" t="s">
        <v>427</v>
      </c>
      <c r="J529">
        <v>-6.3124784299999996</v>
      </c>
      <c r="K529" t="s">
        <v>440</v>
      </c>
      <c r="L529" t="s">
        <v>450</v>
      </c>
      <c r="M529">
        <v>0.15931709696460999</v>
      </c>
      <c r="N529">
        <v>1.0056857381582409</v>
      </c>
      <c r="O529">
        <v>28410.399000000001</v>
      </c>
      <c r="P529">
        <v>2.51417E-6</v>
      </c>
      <c r="Q529">
        <v>0.14285700000000001</v>
      </c>
      <c r="R529" s="61">
        <v>0.14366924749607179</v>
      </c>
      <c r="S529" t="s">
        <v>347</v>
      </c>
      <c r="T529" t="s">
        <v>437</v>
      </c>
      <c r="U529" t="s">
        <v>425</v>
      </c>
      <c r="V529" t="s">
        <v>26</v>
      </c>
      <c r="W529">
        <v>111.133</v>
      </c>
      <c r="X529">
        <v>1.0541007448257309</v>
      </c>
      <c r="Y529">
        <v>117.145378074718</v>
      </c>
      <c r="Z529">
        <v>640.82000000000005</v>
      </c>
      <c r="AA529">
        <v>1</v>
      </c>
      <c r="AB529">
        <v>75.069101177840764</v>
      </c>
      <c r="AC529">
        <v>0.99109999999999998</v>
      </c>
      <c r="AD529" s="63">
        <v>74.400999999999996</v>
      </c>
      <c r="AE529">
        <v>8.9176000000000002</v>
      </c>
      <c r="AF529">
        <v>9.4000488020579382</v>
      </c>
      <c r="AG529">
        <v>1</v>
      </c>
      <c r="AH529">
        <v>6023.7392733347688</v>
      </c>
      <c r="AI529">
        <v>0.9830373970836227</v>
      </c>
      <c r="AJ529" s="63">
        <v>5921.5609999999997</v>
      </c>
      <c r="AK529" s="61">
        <v>850.74621287208652</v>
      </c>
      <c r="AL529" t="s">
        <v>347</v>
      </c>
      <c r="AM529" t="s">
        <v>437</v>
      </c>
      <c r="AN529" t="s">
        <v>425</v>
      </c>
      <c r="AO529" t="s">
        <v>26</v>
      </c>
      <c r="AP529">
        <v>111.133</v>
      </c>
      <c r="AQ529">
        <v>1.0541007448257309</v>
      </c>
      <c r="AR529">
        <v>117.145378074718</v>
      </c>
      <c r="AS529">
        <v>640.82000000000005</v>
      </c>
      <c r="AT529">
        <v>1</v>
      </c>
      <c r="AU529">
        <v>75.069101177840764</v>
      </c>
      <c r="AV529">
        <v>0.99109999999999998</v>
      </c>
      <c r="AW529" s="63">
        <v>74.400999999999996</v>
      </c>
      <c r="AX529">
        <v>8.9176000000000002</v>
      </c>
      <c r="AY529">
        <v>1</v>
      </c>
      <c r="AZ529">
        <v>6023.7392733347688</v>
      </c>
      <c r="BA529">
        <v>0.9830373970836227</v>
      </c>
      <c r="BB529" s="63">
        <v>5921.5609999999997</v>
      </c>
      <c r="BC529" s="61">
        <v>850.74621287208652</v>
      </c>
    </row>
    <row r="530" spans="1:55" x14ac:dyDescent="0.25">
      <c r="A530">
        <v>144469</v>
      </c>
      <c r="B530" t="s">
        <v>153</v>
      </c>
      <c r="C530">
        <v>2019</v>
      </c>
      <c r="D530">
        <v>6</v>
      </c>
      <c r="E530" t="s">
        <v>51</v>
      </c>
      <c r="F530" t="s">
        <v>426</v>
      </c>
      <c r="G530" t="s">
        <v>84</v>
      </c>
      <c r="H530" t="s">
        <v>59</v>
      </c>
      <c r="I530" t="s">
        <v>427</v>
      </c>
      <c r="J530">
        <v>-6.3124784299999996</v>
      </c>
      <c r="K530" t="s">
        <v>440</v>
      </c>
      <c r="L530" t="s">
        <v>384</v>
      </c>
      <c r="M530">
        <v>4.1785183859599999E-2</v>
      </c>
      <c r="N530">
        <v>0.26376807181751738</v>
      </c>
      <c r="O530">
        <v>28410.399000000001</v>
      </c>
      <c r="P530">
        <v>2.51417E-6</v>
      </c>
      <c r="Q530">
        <v>0.14285700000000001</v>
      </c>
      <c r="R530" s="61">
        <v>3.7681115435635092E-2</v>
      </c>
      <c r="S530" t="s">
        <v>347</v>
      </c>
      <c r="T530" t="s">
        <v>437</v>
      </c>
      <c r="U530" t="s">
        <v>425</v>
      </c>
      <c r="V530" t="s">
        <v>81</v>
      </c>
      <c r="W530">
        <v>111.133</v>
      </c>
      <c r="X530">
        <v>1.0541007448257309</v>
      </c>
      <c r="Y530">
        <v>117.145378074718</v>
      </c>
      <c r="Z530">
        <v>640.82000000000005</v>
      </c>
      <c r="AA530">
        <v>1</v>
      </c>
      <c r="AB530">
        <v>75.069101177840764</v>
      </c>
      <c r="AC530">
        <v>0.93830000000000002</v>
      </c>
      <c r="AD530" s="63">
        <v>70.436999999999998</v>
      </c>
      <c r="AE530">
        <v>8.9176000000000002</v>
      </c>
      <c r="AF530">
        <v>9.4000488020579382</v>
      </c>
      <c r="AG530">
        <v>1</v>
      </c>
      <c r="AH530">
        <v>6023.7392733347688</v>
      </c>
      <c r="AI530">
        <v>1.098016605166052</v>
      </c>
      <c r="AJ530" s="63">
        <v>6614.1656999999996</v>
      </c>
      <c r="AK530" s="61">
        <v>249.22914125211821</v>
      </c>
      <c r="AL530" t="s">
        <v>347</v>
      </c>
      <c r="AM530" t="s">
        <v>437</v>
      </c>
      <c r="AN530" t="s">
        <v>425</v>
      </c>
      <c r="AO530" t="s">
        <v>81</v>
      </c>
      <c r="AP530">
        <v>111.133</v>
      </c>
      <c r="AQ530">
        <v>1.0541007448257309</v>
      </c>
      <c r="AR530">
        <v>117.145378074718</v>
      </c>
      <c r="AS530">
        <v>640.82000000000005</v>
      </c>
      <c r="AT530">
        <v>1</v>
      </c>
      <c r="AU530">
        <v>75.069101177840764</v>
      </c>
      <c r="AV530">
        <v>0.93830000000000002</v>
      </c>
      <c r="AW530" s="63">
        <v>70.436999999999998</v>
      </c>
      <c r="AX530">
        <v>8.9176000000000002</v>
      </c>
      <c r="AY530">
        <v>1</v>
      </c>
      <c r="AZ530">
        <v>6023.7392733347688</v>
      </c>
      <c r="BA530">
        <v>1.098016605166052</v>
      </c>
      <c r="BB530" s="63">
        <v>6614.1656999999996</v>
      </c>
      <c r="BC530" s="61">
        <v>249.22914125211821</v>
      </c>
    </row>
    <row r="531" spans="1:55" x14ac:dyDescent="0.25">
      <c r="A531">
        <v>144471</v>
      </c>
      <c r="B531" t="s">
        <v>153</v>
      </c>
      <c r="C531">
        <v>2019</v>
      </c>
      <c r="D531">
        <v>6</v>
      </c>
      <c r="E531" t="s">
        <v>51</v>
      </c>
      <c r="F531" t="s">
        <v>426</v>
      </c>
      <c r="G531" t="s">
        <v>84</v>
      </c>
      <c r="H531" t="s">
        <v>59</v>
      </c>
      <c r="I531" t="s">
        <v>427</v>
      </c>
      <c r="J531">
        <v>-6.3124784299999996</v>
      </c>
      <c r="K531" t="s">
        <v>440</v>
      </c>
      <c r="L531" t="s">
        <v>385</v>
      </c>
      <c r="M531">
        <v>0.43497567483749999</v>
      </c>
      <c r="N531">
        <v>2.7457745650926788</v>
      </c>
      <c r="O531">
        <v>28410.399000000001</v>
      </c>
      <c r="P531">
        <v>2.51417E-6</v>
      </c>
      <c r="Q531">
        <v>0.14285700000000001</v>
      </c>
      <c r="R531" s="61">
        <v>0.39225311704544491</v>
      </c>
      <c r="S531" t="s">
        <v>347</v>
      </c>
      <c r="T531" t="s">
        <v>437</v>
      </c>
      <c r="U531" t="s">
        <v>425</v>
      </c>
      <c r="V531" t="s">
        <v>27</v>
      </c>
      <c r="W531">
        <v>111.133</v>
      </c>
      <c r="X531">
        <v>1.0541007448257309</v>
      </c>
      <c r="Y531">
        <v>117.145378074718</v>
      </c>
      <c r="Z531">
        <v>640.82000000000005</v>
      </c>
      <c r="AA531">
        <v>1</v>
      </c>
      <c r="AB531">
        <v>75.069101177840764</v>
      </c>
      <c r="AC531">
        <v>0.95889999999999997</v>
      </c>
      <c r="AD531" s="63">
        <v>71.983999999999995</v>
      </c>
      <c r="AE531">
        <v>8.9176000000000002</v>
      </c>
      <c r="AF531">
        <v>9.4000488020579382</v>
      </c>
      <c r="AG531">
        <v>1</v>
      </c>
      <c r="AH531">
        <v>6023.7392733347688</v>
      </c>
      <c r="AI531">
        <v>0.99097621000820357</v>
      </c>
      <c r="AJ531" s="63">
        <v>5969.3823000000002</v>
      </c>
      <c r="AK531" s="61">
        <v>2341.5088140109069</v>
      </c>
      <c r="AL531" t="s">
        <v>347</v>
      </c>
      <c r="AM531" t="s">
        <v>437</v>
      </c>
      <c r="AN531" t="s">
        <v>425</v>
      </c>
      <c r="AO531" t="s">
        <v>27</v>
      </c>
      <c r="AP531">
        <v>111.133</v>
      </c>
      <c r="AQ531">
        <v>1.0541007448257309</v>
      </c>
      <c r="AR531">
        <v>117.145378074718</v>
      </c>
      <c r="AS531">
        <v>640.82000000000005</v>
      </c>
      <c r="AT531">
        <v>1</v>
      </c>
      <c r="AU531">
        <v>75.069101177840764</v>
      </c>
      <c r="AV531">
        <v>0.95889999999999997</v>
      </c>
      <c r="AW531" s="63">
        <v>71.983999999999995</v>
      </c>
      <c r="AX531">
        <v>8.9176000000000002</v>
      </c>
      <c r="AY531">
        <v>1</v>
      </c>
      <c r="AZ531">
        <v>6023.7392733347688</v>
      </c>
      <c r="BA531">
        <v>0.99097621000820357</v>
      </c>
      <c r="BB531" s="63">
        <v>5969.3823000000002</v>
      </c>
      <c r="BC531" s="61">
        <v>2341.5088140109069</v>
      </c>
    </row>
    <row r="532" spans="1:55" x14ac:dyDescent="0.25">
      <c r="A532">
        <v>144473</v>
      </c>
      <c r="B532" t="s">
        <v>153</v>
      </c>
      <c r="C532">
        <v>2019</v>
      </c>
      <c r="D532">
        <v>6</v>
      </c>
      <c r="E532" t="s">
        <v>51</v>
      </c>
      <c r="F532" t="s">
        <v>426</v>
      </c>
      <c r="G532" t="s">
        <v>84</v>
      </c>
      <c r="H532" t="s">
        <v>59</v>
      </c>
      <c r="I532" t="s">
        <v>427</v>
      </c>
      <c r="J532">
        <v>-6.3124784299999996</v>
      </c>
      <c r="K532" t="s">
        <v>440</v>
      </c>
      <c r="L532" t="s">
        <v>451</v>
      </c>
      <c r="M532">
        <v>1.7625750762999999E-3</v>
      </c>
      <c r="N532">
        <v>1.112621715082996E-2</v>
      </c>
      <c r="O532">
        <v>28410.399000000001</v>
      </c>
      <c r="P532">
        <v>2.51417E-6</v>
      </c>
      <c r="Q532">
        <v>0.14285700000000001</v>
      </c>
      <c r="R532" s="61">
        <v>1.5894580035161151E-3</v>
      </c>
      <c r="S532" t="s">
        <v>347</v>
      </c>
      <c r="T532" t="s">
        <v>437</v>
      </c>
      <c r="U532" t="s">
        <v>425</v>
      </c>
      <c r="V532" t="s">
        <v>91</v>
      </c>
      <c r="W532">
        <v>111.133</v>
      </c>
      <c r="X532">
        <v>1.0541007448257309</v>
      </c>
      <c r="Y532">
        <v>117.145378074718</v>
      </c>
      <c r="Z532">
        <v>640.82000000000005</v>
      </c>
      <c r="AA532">
        <v>1</v>
      </c>
      <c r="AB532">
        <v>75.069101177840764</v>
      </c>
      <c r="AC532">
        <v>1.0088999999999999</v>
      </c>
      <c r="AD532" s="63">
        <v>75.736999999999995</v>
      </c>
      <c r="AE532">
        <v>8.9176000000000002</v>
      </c>
      <c r="AF532">
        <v>9.4000488020579382</v>
      </c>
      <c r="AG532">
        <v>1</v>
      </c>
      <c r="AH532">
        <v>6023.7392733347688</v>
      </c>
      <c r="AI532">
        <v>0.99316673174541203</v>
      </c>
      <c r="AJ532" s="63">
        <v>5982.5774000000001</v>
      </c>
      <c r="AK532" s="61">
        <v>9.5090555300846322</v>
      </c>
      <c r="AL532" t="s">
        <v>347</v>
      </c>
      <c r="AM532" t="s">
        <v>437</v>
      </c>
      <c r="AN532" t="s">
        <v>425</v>
      </c>
      <c r="AO532" t="s">
        <v>91</v>
      </c>
      <c r="AP532">
        <v>111.133</v>
      </c>
      <c r="AQ532">
        <v>1.0541007448257309</v>
      </c>
      <c r="AR532">
        <v>117.145378074718</v>
      </c>
      <c r="AS532">
        <v>640.82000000000005</v>
      </c>
      <c r="AT532">
        <v>1</v>
      </c>
      <c r="AU532">
        <v>75.069101177840764</v>
      </c>
      <c r="AV532">
        <v>1.0088999999999999</v>
      </c>
      <c r="AW532" s="63">
        <v>75.736999999999995</v>
      </c>
      <c r="AX532">
        <v>8.9176000000000002</v>
      </c>
      <c r="AY532">
        <v>1</v>
      </c>
      <c r="AZ532">
        <v>6023.7392733347688</v>
      </c>
      <c r="BA532">
        <v>0.99316673174541203</v>
      </c>
      <c r="BB532" s="63">
        <v>5982.5774000000001</v>
      </c>
      <c r="BC532" s="61">
        <v>9.5090555300846322</v>
      </c>
    </row>
    <row r="533" spans="1:55" x14ac:dyDescent="0.25">
      <c r="A533">
        <v>144475</v>
      </c>
      <c r="B533" t="s">
        <v>153</v>
      </c>
      <c r="C533">
        <v>2019</v>
      </c>
      <c r="D533">
        <v>6</v>
      </c>
      <c r="E533" t="s">
        <v>51</v>
      </c>
      <c r="F533" t="s">
        <v>426</v>
      </c>
      <c r="G533" t="s">
        <v>84</v>
      </c>
      <c r="H533" t="s">
        <v>59</v>
      </c>
      <c r="I533" t="s">
        <v>427</v>
      </c>
      <c r="J533">
        <v>-6.3124784299999996</v>
      </c>
      <c r="K533" t="s">
        <v>440</v>
      </c>
      <c r="L533" t="s">
        <v>452</v>
      </c>
      <c r="M533">
        <v>1.4858046103299999E-3</v>
      </c>
      <c r="N533">
        <v>9.3791095542656681E-3</v>
      </c>
      <c r="O533">
        <v>28410.399000000001</v>
      </c>
      <c r="P533">
        <v>2.51417E-6</v>
      </c>
      <c r="Q533">
        <v>0.14285700000000001</v>
      </c>
      <c r="R533" s="61">
        <v>1.339871453593731E-3</v>
      </c>
      <c r="S533" t="s">
        <v>347</v>
      </c>
      <c r="T533" t="s">
        <v>437</v>
      </c>
      <c r="U533" t="s">
        <v>425</v>
      </c>
      <c r="V533" t="s">
        <v>28</v>
      </c>
      <c r="W533">
        <v>111.133</v>
      </c>
      <c r="X533">
        <v>1.0541007448257309</v>
      </c>
      <c r="Y533">
        <v>117.145378074718</v>
      </c>
      <c r="Z533">
        <v>640.82000000000005</v>
      </c>
      <c r="AA533">
        <v>1</v>
      </c>
      <c r="AB533">
        <v>75.069101177840764</v>
      </c>
      <c r="AC533">
        <v>1.0073000000000001</v>
      </c>
      <c r="AD533" s="63">
        <v>75.617000000000004</v>
      </c>
      <c r="AE533">
        <v>8.9176000000000002</v>
      </c>
      <c r="AF533">
        <v>9.4000488020579382</v>
      </c>
      <c r="AG533">
        <v>1</v>
      </c>
      <c r="AH533">
        <v>6023.7392733347688</v>
      </c>
      <c r="AI533">
        <v>0.99399488088206345</v>
      </c>
      <c r="AJ533" s="63">
        <v>5987.5659999999998</v>
      </c>
      <c r="AK533" s="61">
        <v>8.022568759908399</v>
      </c>
      <c r="AL533" t="s">
        <v>347</v>
      </c>
      <c r="AM533" t="s">
        <v>437</v>
      </c>
      <c r="AN533" t="s">
        <v>425</v>
      </c>
      <c r="AO533" t="s">
        <v>28</v>
      </c>
      <c r="AP533">
        <v>111.133</v>
      </c>
      <c r="AQ533">
        <v>1.0541007448257309</v>
      </c>
      <c r="AR533">
        <v>117.145378074718</v>
      </c>
      <c r="AS533">
        <v>640.82000000000005</v>
      </c>
      <c r="AT533">
        <v>1</v>
      </c>
      <c r="AU533">
        <v>75.069101177840764</v>
      </c>
      <c r="AV533">
        <v>1.0073000000000001</v>
      </c>
      <c r="AW533" s="63">
        <v>75.617000000000004</v>
      </c>
      <c r="AX533">
        <v>8.9176000000000002</v>
      </c>
      <c r="AY533">
        <v>1</v>
      </c>
      <c r="AZ533">
        <v>6023.7392733347688</v>
      </c>
      <c r="BA533">
        <v>0.99399488088206345</v>
      </c>
      <c r="BB533" s="63">
        <v>5987.5659999999998</v>
      </c>
      <c r="BC533" s="61">
        <v>8.022568759908399</v>
      </c>
    </row>
    <row r="534" spans="1:55" x14ac:dyDescent="0.25">
      <c r="A534">
        <v>151631</v>
      </c>
      <c r="B534" t="s">
        <v>146</v>
      </c>
      <c r="C534">
        <v>2019</v>
      </c>
      <c r="D534">
        <v>7</v>
      </c>
      <c r="E534" t="s">
        <v>51</v>
      </c>
      <c r="F534" t="s">
        <v>426</v>
      </c>
      <c r="G534" t="s">
        <v>84</v>
      </c>
      <c r="H534" t="s">
        <v>381</v>
      </c>
      <c r="I534" t="s">
        <v>427</v>
      </c>
      <c r="J534">
        <v>-13.3024606</v>
      </c>
      <c r="K534" t="s">
        <v>440</v>
      </c>
      <c r="L534" t="s">
        <v>450</v>
      </c>
      <c r="M534">
        <v>0.15011157993331001</v>
      </c>
      <c r="N534">
        <v>1.996853378259037</v>
      </c>
      <c r="O534">
        <v>28410.399000000001</v>
      </c>
      <c r="P534">
        <v>2.51417E-6</v>
      </c>
      <c r="Q534">
        <v>0.14285700000000001</v>
      </c>
      <c r="R534" s="61">
        <v>0.28526448305795132</v>
      </c>
      <c r="S534" t="s">
        <v>347</v>
      </c>
      <c r="T534" t="s">
        <v>437</v>
      </c>
      <c r="U534" t="s">
        <v>425</v>
      </c>
      <c r="V534" t="s">
        <v>26</v>
      </c>
      <c r="W534">
        <v>111.133</v>
      </c>
      <c r="X534">
        <v>1.0541007448257309</v>
      </c>
      <c r="Y534">
        <v>117.145378074718</v>
      </c>
      <c r="Z534">
        <v>640.82000000000005</v>
      </c>
      <c r="AA534">
        <v>1</v>
      </c>
      <c r="AB534">
        <v>75.069101177840764</v>
      </c>
      <c r="AC534">
        <v>0.99109999999999998</v>
      </c>
      <c r="AD534" s="63">
        <v>74.400999999999996</v>
      </c>
      <c r="AE534">
        <v>8.9176000000000002</v>
      </c>
      <c r="AF534">
        <v>9.4000488020579382</v>
      </c>
      <c r="AG534">
        <v>1</v>
      </c>
      <c r="AH534">
        <v>6023.7392733347688</v>
      </c>
      <c r="AI534">
        <v>0.9830373970836227</v>
      </c>
      <c r="AJ534" s="63">
        <v>5921.5609999999997</v>
      </c>
      <c r="AK534" s="61">
        <v>1689.2110375611251</v>
      </c>
      <c r="AL534" t="s">
        <v>347</v>
      </c>
      <c r="AM534" t="s">
        <v>437</v>
      </c>
      <c r="AN534" t="s">
        <v>425</v>
      </c>
      <c r="AO534" t="s">
        <v>26</v>
      </c>
      <c r="AP534">
        <v>111.133</v>
      </c>
      <c r="AQ534">
        <v>1.0541007448257309</v>
      </c>
      <c r="AR534">
        <v>117.145378074718</v>
      </c>
      <c r="AS534">
        <v>640.82000000000005</v>
      </c>
      <c r="AT534">
        <v>1</v>
      </c>
      <c r="AU534">
        <v>75.069101177840764</v>
      </c>
      <c r="AV534">
        <v>0.99109999999999998</v>
      </c>
      <c r="AW534" s="63">
        <v>74.400999999999996</v>
      </c>
      <c r="AX534">
        <v>8.9176000000000002</v>
      </c>
      <c r="AY534">
        <v>1</v>
      </c>
      <c r="AZ534">
        <v>6023.7392733347688</v>
      </c>
      <c r="BA534">
        <v>0.9830373970836227</v>
      </c>
      <c r="BB534" s="63">
        <v>5921.5609999999997</v>
      </c>
      <c r="BC534" s="61">
        <v>1689.2110375611251</v>
      </c>
    </row>
    <row r="535" spans="1:55" x14ac:dyDescent="0.25">
      <c r="A535">
        <v>151633</v>
      </c>
      <c r="B535" t="s">
        <v>146</v>
      </c>
      <c r="C535">
        <v>2019</v>
      </c>
      <c r="D535">
        <v>7</v>
      </c>
      <c r="E535" t="s">
        <v>51</v>
      </c>
      <c r="F535" t="s">
        <v>426</v>
      </c>
      <c r="G535" t="s">
        <v>84</v>
      </c>
      <c r="H535" t="s">
        <v>381</v>
      </c>
      <c r="I535" t="s">
        <v>427</v>
      </c>
      <c r="J535">
        <v>-13.3024606</v>
      </c>
      <c r="K535" t="s">
        <v>440</v>
      </c>
      <c r="L535" t="s">
        <v>384</v>
      </c>
      <c r="M535">
        <v>4.5811354346740003E-2</v>
      </c>
      <c r="N535">
        <v>0.60940373641094669</v>
      </c>
      <c r="O535">
        <v>28410.399000000001</v>
      </c>
      <c r="P535">
        <v>2.51417E-6</v>
      </c>
      <c r="Q535">
        <v>0.14285700000000001</v>
      </c>
      <c r="R535" s="61">
        <v>8.7057589572458613E-2</v>
      </c>
      <c r="S535" t="s">
        <v>347</v>
      </c>
      <c r="T535" t="s">
        <v>437</v>
      </c>
      <c r="U535" t="s">
        <v>425</v>
      </c>
      <c r="V535" t="s">
        <v>81</v>
      </c>
      <c r="W535">
        <v>111.133</v>
      </c>
      <c r="X535">
        <v>1.0541007448257309</v>
      </c>
      <c r="Y535">
        <v>117.145378074718</v>
      </c>
      <c r="Z535">
        <v>640.82000000000005</v>
      </c>
      <c r="AA535">
        <v>1</v>
      </c>
      <c r="AB535">
        <v>75.069101177840764</v>
      </c>
      <c r="AC535">
        <v>0.93830000000000002</v>
      </c>
      <c r="AD535" s="63">
        <v>70.436999999999998</v>
      </c>
      <c r="AE535">
        <v>8.9176000000000002</v>
      </c>
      <c r="AF535">
        <v>9.4000488020579382</v>
      </c>
      <c r="AG535">
        <v>1</v>
      </c>
      <c r="AH535">
        <v>6023.7392733347688</v>
      </c>
      <c r="AI535">
        <v>1.098016605166052</v>
      </c>
      <c r="AJ535" s="63">
        <v>6614.1656999999996</v>
      </c>
      <c r="AK535" s="61">
        <v>575.81332287483337</v>
      </c>
      <c r="AL535" t="s">
        <v>347</v>
      </c>
      <c r="AM535" t="s">
        <v>437</v>
      </c>
      <c r="AN535" t="s">
        <v>425</v>
      </c>
      <c r="AO535" t="s">
        <v>81</v>
      </c>
      <c r="AP535">
        <v>111.133</v>
      </c>
      <c r="AQ535">
        <v>1.0541007448257309</v>
      </c>
      <c r="AR535">
        <v>117.145378074718</v>
      </c>
      <c r="AS535">
        <v>640.82000000000005</v>
      </c>
      <c r="AT535">
        <v>1</v>
      </c>
      <c r="AU535">
        <v>75.069101177840764</v>
      </c>
      <c r="AV535">
        <v>0.93830000000000002</v>
      </c>
      <c r="AW535" s="63">
        <v>70.436999999999998</v>
      </c>
      <c r="AX535">
        <v>8.9176000000000002</v>
      </c>
      <c r="AY535">
        <v>1</v>
      </c>
      <c r="AZ535">
        <v>6023.7392733347688</v>
      </c>
      <c r="BA535">
        <v>1.098016605166052</v>
      </c>
      <c r="BB535" s="63">
        <v>6614.1656999999996</v>
      </c>
      <c r="BC535" s="61">
        <v>575.81332287483337</v>
      </c>
    </row>
    <row r="536" spans="1:55" x14ac:dyDescent="0.25">
      <c r="A536">
        <v>151635</v>
      </c>
      <c r="B536" t="s">
        <v>146</v>
      </c>
      <c r="C536">
        <v>2019</v>
      </c>
      <c r="D536">
        <v>7</v>
      </c>
      <c r="E536" t="s">
        <v>51</v>
      </c>
      <c r="F536" t="s">
        <v>426</v>
      </c>
      <c r="G536" t="s">
        <v>84</v>
      </c>
      <c r="H536" t="s">
        <v>381</v>
      </c>
      <c r="I536" t="s">
        <v>427</v>
      </c>
      <c r="J536">
        <v>-13.3024606</v>
      </c>
      <c r="K536" t="s">
        <v>440</v>
      </c>
      <c r="L536" t="s">
        <v>385</v>
      </c>
      <c r="M536">
        <v>0.43232641346992001</v>
      </c>
      <c r="N536">
        <v>5.7510050832291393</v>
      </c>
      <c r="O536">
        <v>28410.399000000001</v>
      </c>
      <c r="P536">
        <v>2.51417E-6</v>
      </c>
      <c r="Q536">
        <v>0.14285700000000001</v>
      </c>
      <c r="R536" s="61">
        <v>0.82157133317486519</v>
      </c>
      <c r="S536" t="s">
        <v>347</v>
      </c>
      <c r="T536" t="s">
        <v>437</v>
      </c>
      <c r="U536" t="s">
        <v>425</v>
      </c>
      <c r="V536" t="s">
        <v>27</v>
      </c>
      <c r="W536">
        <v>111.133</v>
      </c>
      <c r="X536">
        <v>1.0541007448257309</v>
      </c>
      <c r="Y536">
        <v>117.145378074718</v>
      </c>
      <c r="Z536">
        <v>640.82000000000005</v>
      </c>
      <c r="AA536">
        <v>1</v>
      </c>
      <c r="AB536">
        <v>75.069101177840764</v>
      </c>
      <c r="AC536">
        <v>0.95889999999999997</v>
      </c>
      <c r="AD536" s="63">
        <v>71.983999999999995</v>
      </c>
      <c r="AE536">
        <v>8.9176000000000002</v>
      </c>
      <c r="AF536">
        <v>9.4000488020579382</v>
      </c>
      <c r="AG536">
        <v>1</v>
      </c>
      <c r="AH536">
        <v>6023.7392733347688</v>
      </c>
      <c r="AI536">
        <v>0.99097621000820357</v>
      </c>
      <c r="AJ536" s="63">
        <v>5969.3823000000002</v>
      </c>
      <c r="AK536" s="61">
        <v>4904.2733744414436</v>
      </c>
      <c r="AL536" t="s">
        <v>347</v>
      </c>
      <c r="AM536" t="s">
        <v>437</v>
      </c>
      <c r="AN536" t="s">
        <v>425</v>
      </c>
      <c r="AO536" t="s">
        <v>27</v>
      </c>
      <c r="AP536">
        <v>111.133</v>
      </c>
      <c r="AQ536">
        <v>1.0541007448257309</v>
      </c>
      <c r="AR536">
        <v>117.145378074718</v>
      </c>
      <c r="AS536">
        <v>640.82000000000005</v>
      </c>
      <c r="AT536">
        <v>1</v>
      </c>
      <c r="AU536">
        <v>75.069101177840764</v>
      </c>
      <c r="AV536">
        <v>0.95889999999999997</v>
      </c>
      <c r="AW536" s="63">
        <v>71.983999999999995</v>
      </c>
      <c r="AX536">
        <v>8.9176000000000002</v>
      </c>
      <c r="AY536">
        <v>1</v>
      </c>
      <c r="AZ536">
        <v>6023.7392733347688</v>
      </c>
      <c r="BA536">
        <v>0.99097621000820357</v>
      </c>
      <c r="BB536" s="63">
        <v>5969.3823000000002</v>
      </c>
      <c r="BC536" s="61">
        <v>4904.2733744414436</v>
      </c>
    </row>
    <row r="537" spans="1:55" x14ac:dyDescent="0.25">
      <c r="A537">
        <v>151637</v>
      </c>
      <c r="B537" t="s">
        <v>146</v>
      </c>
      <c r="C537">
        <v>2019</v>
      </c>
      <c r="D537">
        <v>7</v>
      </c>
      <c r="E537" t="s">
        <v>51</v>
      </c>
      <c r="F537" t="s">
        <v>426</v>
      </c>
      <c r="G537" t="s">
        <v>84</v>
      </c>
      <c r="H537" t="s">
        <v>381</v>
      </c>
      <c r="I537" t="s">
        <v>427</v>
      </c>
      <c r="J537">
        <v>-13.3024606</v>
      </c>
      <c r="K537" t="s">
        <v>440</v>
      </c>
      <c r="L537" t="s">
        <v>451</v>
      </c>
      <c r="M537">
        <v>1.6825115802299999E-3</v>
      </c>
      <c r="N537">
        <v>2.238154401169351E-2</v>
      </c>
      <c r="O537">
        <v>28410.399000000001</v>
      </c>
      <c r="P537">
        <v>2.51417E-6</v>
      </c>
      <c r="Q537">
        <v>0.14285700000000001</v>
      </c>
      <c r="R537" s="61">
        <v>3.1973602328785001E-3</v>
      </c>
      <c r="S537" t="s">
        <v>347</v>
      </c>
      <c r="T537" t="s">
        <v>437</v>
      </c>
      <c r="U537" t="s">
        <v>425</v>
      </c>
      <c r="V537" t="s">
        <v>91</v>
      </c>
      <c r="W537">
        <v>111.133</v>
      </c>
      <c r="X537">
        <v>1.0541007448257309</v>
      </c>
      <c r="Y537">
        <v>117.145378074718</v>
      </c>
      <c r="Z537">
        <v>640.82000000000005</v>
      </c>
      <c r="AA537">
        <v>1</v>
      </c>
      <c r="AB537">
        <v>75.069101177840764</v>
      </c>
      <c r="AC537">
        <v>1.0088999999999999</v>
      </c>
      <c r="AD537" s="63">
        <v>75.736999999999995</v>
      </c>
      <c r="AE537">
        <v>8.9176000000000002</v>
      </c>
      <c r="AF537">
        <v>9.4000488020579382</v>
      </c>
      <c r="AG537">
        <v>1</v>
      </c>
      <c r="AH537">
        <v>6023.7392733347688</v>
      </c>
      <c r="AI537">
        <v>0.99316673174541203</v>
      </c>
      <c r="AJ537" s="63">
        <v>5982.5774000000001</v>
      </c>
      <c r="AK537" s="61">
        <v>19.128455068877649</v>
      </c>
      <c r="AL537" t="s">
        <v>347</v>
      </c>
      <c r="AM537" t="s">
        <v>437</v>
      </c>
      <c r="AN537" t="s">
        <v>425</v>
      </c>
      <c r="AO537" t="s">
        <v>91</v>
      </c>
      <c r="AP537">
        <v>111.133</v>
      </c>
      <c r="AQ537">
        <v>1.0541007448257309</v>
      </c>
      <c r="AR537">
        <v>117.145378074718</v>
      </c>
      <c r="AS537">
        <v>640.82000000000005</v>
      </c>
      <c r="AT537">
        <v>1</v>
      </c>
      <c r="AU537">
        <v>75.069101177840764</v>
      </c>
      <c r="AV537">
        <v>1.0088999999999999</v>
      </c>
      <c r="AW537" s="63">
        <v>75.736999999999995</v>
      </c>
      <c r="AX537">
        <v>8.9176000000000002</v>
      </c>
      <c r="AY537">
        <v>1</v>
      </c>
      <c r="AZ537">
        <v>6023.7392733347688</v>
      </c>
      <c r="BA537">
        <v>0.99316673174541203</v>
      </c>
      <c r="BB537" s="63">
        <v>5982.5774000000001</v>
      </c>
      <c r="BC537" s="61">
        <v>19.128455068877649</v>
      </c>
    </row>
    <row r="538" spans="1:55" x14ac:dyDescent="0.25">
      <c r="A538">
        <v>151639</v>
      </c>
      <c r="B538" t="s">
        <v>146</v>
      </c>
      <c r="C538">
        <v>2019</v>
      </c>
      <c r="D538">
        <v>7</v>
      </c>
      <c r="E538" t="s">
        <v>51</v>
      </c>
      <c r="F538" t="s">
        <v>426</v>
      </c>
      <c r="G538" t="s">
        <v>84</v>
      </c>
      <c r="H538" t="s">
        <v>381</v>
      </c>
      <c r="I538" t="s">
        <v>427</v>
      </c>
      <c r="J538">
        <v>-13.3024606</v>
      </c>
      <c r="K538" t="s">
        <v>440</v>
      </c>
      <c r="L538" t="s">
        <v>452</v>
      </c>
      <c r="M538">
        <v>1.53682162831E-3</v>
      </c>
      <c r="N538">
        <v>2.0443509165886841E-2</v>
      </c>
      <c r="O538">
        <v>28410.399000000001</v>
      </c>
      <c r="P538">
        <v>2.51417E-6</v>
      </c>
      <c r="Q538">
        <v>0.14285700000000001</v>
      </c>
      <c r="R538" s="61">
        <v>2.9204983889110961E-3</v>
      </c>
      <c r="S538" t="s">
        <v>347</v>
      </c>
      <c r="T538" t="s">
        <v>437</v>
      </c>
      <c r="U538" t="s">
        <v>425</v>
      </c>
      <c r="V538" t="s">
        <v>28</v>
      </c>
      <c r="W538">
        <v>111.133</v>
      </c>
      <c r="X538">
        <v>1.0541007448257309</v>
      </c>
      <c r="Y538">
        <v>117.145378074718</v>
      </c>
      <c r="Z538">
        <v>640.82000000000005</v>
      </c>
      <c r="AA538">
        <v>1</v>
      </c>
      <c r="AB538">
        <v>75.069101177840764</v>
      </c>
      <c r="AC538">
        <v>1.0073000000000001</v>
      </c>
      <c r="AD538" s="63">
        <v>75.617000000000004</v>
      </c>
      <c r="AE538">
        <v>8.9176000000000002</v>
      </c>
      <c r="AF538">
        <v>9.4000488020579382</v>
      </c>
      <c r="AG538">
        <v>1</v>
      </c>
      <c r="AH538">
        <v>6023.7392733347688</v>
      </c>
      <c r="AI538">
        <v>0.99399488088206345</v>
      </c>
      <c r="AJ538" s="63">
        <v>5987.5659999999998</v>
      </c>
      <c r="AK538" s="61">
        <v>17.48667685649886</v>
      </c>
      <c r="AL538" t="s">
        <v>347</v>
      </c>
      <c r="AM538" t="s">
        <v>437</v>
      </c>
      <c r="AN538" t="s">
        <v>425</v>
      </c>
      <c r="AO538" t="s">
        <v>28</v>
      </c>
      <c r="AP538">
        <v>111.133</v>
      </c>
      <c r="AQ538">
        <v>1.0541007448257309</v>
      </c>
      <c r="AR538">
        <v>117.145378074718</v>
      </c>
      <c r="AS538">
        <v>640.82000000000005</v>
      </c>
      <c r="AT538">
        <v>1</v>
      </c>
      <c r="AU538">
        <v>75.069101177840764</v>
      </c>
      <c r="AV538">
        <v>1.0073000000000001</v>
      </c>
      <c r="AW538" s="63">
        <v>75.617000000000004</v>
      </c>
      <c r="AX538">
        <v>8.9176000000000002</v>
      </c>
      <c r="AY538">
        <v>1</v>
      </c>
      <c r="AZ538">
        <v>6023.7392733347688</v>
      </c>
      <c r="BA538">
        <v>0.99399488088206345</v>
      </c>
      <c r="BB538" s="63">
        <v>5987.5659999999998</v>
      </c>
      <c r="BC538" s="61">
        <v>17.48667685649886</v>
      </c>
    </row>
    <row r="539" spans="1:55" x14ac:dyDescent="0.25">
      <c r="A539">
        <v>151641</v>
      </c>
      <c r="B539" t="s">
        <v>146</v>
      </c>
      <c r="C539">
        <v>2019</v>
      </c>
      <c r="D539">
        <v>7</v>
      </c>
      <c r="E539" t="s">
        <v>51</v>
      </c>
      <c r="F539" t="s">
        <v>426</v>
      </c>
      <c r="G539" t="s">
        <v>84</v>
      </c>
      <c r="H539" t="s">
        <v>87</v>
      </c>
      <c r="I539" t="s">
        <v>427</v>
      </c>
      <c r="J539">
        <v>-2.6545286400000001</v>
      </c>
      <c r="K539" t="s">
        <v>440</v>
      </c>
      <c r="L539" t="s">
        <v>450</v>
      </c>
      <c r="M539">
        <v>0.26601384014995</v>
      </c>
      <c r="N539">
        <v>0.70614135621524232</v>
      </c>
      <c r="O539">
        <v>28410.399000000001</v>
      </c>
      <c r="P539">
        <v>2.51417E-6</v>
      </c>
      <c r="Q539">
        <v>0.14285700000000001</v>
      </c>
      <c r="R539" s="61">
        <v>0.10087723572484091</v>
      </c>
      <c r="S539" t="s">
        <v>347</v>
      </c>
      <c r="T539" t="s">
        <v>437</v>
      </c>
      <c r="U539" t="s">
        <v>425</v>
      </c>
      <c r="V539" t="s">
        <v>26</v>
      </c>
      <c r="W539">
        <v>111.133</v>
      </c>
      <c r="X539">
        <v>1.0541007448257309</v>
      </c>
      <c r="Y539">
        <v>117.145378074718</v>
      </c>
      <c r="Z539">
        <v>640.82000000000005</v>
      </c>
      <c r="AA539">
        <v>1</v>
      </c>
      <c r="AB539">
        <v>75.069101177840764</v>
      </c>
      <c r="AC539">
        <v>0.99109999999999998</v>
      </c>
      <c r="AD539" s="63">
        <v>74.400999999999996</v>
      </c>
      <c r="AE539">
        <v>8.9176000000000002</v>
      </c>
      <c r="AF539">
        <v>9.4000488020579382</v>
      </c>
      <c r="AG539">
        <v>1</v>
      </c>
      <c r="AH539">
        <v>6023.7392733347688</v>
      </c>
      <c r="AI539">
        <v>0.9830373970836227</v>
      </c>
      <c r="AJ539" s="63">
        <v>5921.5609999999997</v>
      </c>
      <c r="AK539" s="61">
        <v>597.35070485602444</v>
      </c>
      <c r="AL539" t="s">
        <v>347</v>
      </c>
      <c r="AM539" t="s">
        <v>437</v>
      </c>
      <c r="AN539" t="s">
        <v>425</v>
      </c>
      <c r="AO539" t="s">
        <v>26</v>
      </c>
      <c r="AP539">
        <v>111.133</v>
      </c>
      <c r="AQ539">
        <v>1.0541007448257309</v>
      </c>
      <c r="AR539">
        <v>117.145378074718</v>
      </c>
      <c r="AS539">
        <v>640.82000000000005</v>
      </c>
      <c r="AT539">
        <v>1</v>
      </c>
      <c r="AU539">
        <v>75.069101177840764</v>
      </c>
      <c r="AV539">
        <v>0.99109999999999998</v>
      </c>
      <c r="AW539" s="63">
        <v>74.400999999999996</v>
      </c>
      <c r="AX539">
        <v>8.9176000000000002</v>
      </c>
      <c r="AY539">
        <v>1</v>
      </c>
      <c r="AZ539">
        <v>6023.7392733347688</v>
      </c>
      <c r="BA539">
        <v>0.9830373970836227</v>
      </c>
      <c r="BB539" s="63">
        <v>5921.5609999999997</v>
      </c>
      <c r="BC539" s="61">
        <v>597.35070485602444</v>
      </c>
    </row>
    <row r="540" spans="1:55" x14ac:dyDescent="0.25">
      <c r="A540">
        <v>151643</v>
      </c>
      <c r="B540" t="s">
        <v>146</v>
      </c>
      <c r="C540">
        <v>2019</v>
      </c>
      <c r="D540">
        <v>7</v>
      </c>
      <c r="E540" t="s">
        <v>51</v>
      </c>
      <c r="F540" t="s">
        <v>426</v>
      </c>
      <c r="G540" t="s">
        <v>84</v>
      </c>
      <c r="H540" t="s">
        <v>87</v>
      </c>
      <c r="I540" t="s">
        <v>427</v>
      </c>
      <c r="J540">
        <v>-2.6545286400000001</v>
      </c>
      <c r="K540" t="s">
        <v>440</v>
      </c>
      <c r="L540" t="s">
        <v>384</v>
      </c>
      <c r="M540">
        <v>3.9509559941419997E-2</v>
      </c>
      <c r="N540">
        <v>0.1048792582550407</v>
      </c>
      <c r="O540">
        <v>28410.399000000001</v>
      </c>
      <c r="P540">
        <v>2.51417E-6</v>
      </c>
      <c r="Q540">
        <v>0.14285700000000001</v>
      </c>
      <c r="R540" s="61">
        <v>1.498273619654036E-2</v>
      </c>
      <c r="S540" t="s">
        <v>347</v>
      </c>
      <c r="T540" t="s">
        <v>437</v>
      </c>
      <c r="U540" t="s">
        <v>425</v>
      </c>
      <c r="V540" t="s">
        <v>81</v>
      </c>
      <c r="W540">
        <v>111.133</v>
      </c>
      <c r="X540">
        <v>1.0541007448257309</v>
      </c>
      <c r="Y540">
        <v>117.145378074718</v>
      </c>
      <c r="Z540">
        <v>640.82000000000005</v>
      </c>
      <c r="AA540">
        <v>1</v>
      </c>
      <c r="AB540">
        <v>75.069101177840764</v>
      </c>
      <c r="AC540">
        <v>0.93830000000000002</v>
      </c>
      <c r="AD540" s="63">
        <v>70.436999999999998</v>
      </c>
      <c r="AE540">
        <v>8.9176000000000002</v>
      </c>
      <c r="AF540">
        <v>9.4000488020579382</v>
      </c>
      <c r="AG540">
        <v>1</v>
      </c>
      <c r="AH540">
        <v>6023.7392733347688</v>
      </c>
      <c r="AI540">
        <v>1.098016605166052</v>
      </c>
      <c r="AJ540" s="63">
        <v>6614.1656999999996</v>
      </c>
      <c r="AK540" s="61">
        <v>99.098299843305668</v>
      </c>
      <c r="AL540" t="s">
        <v>347</v>
      </c>
      <c r="AM540" t="s">
        <v>437</v>
      </c>
      <c r="AN540" t="s">
        <v>425</v>
      </c>
      <c r="AO540" t="s">
        <v>81</v>
      </c>
      <c r="AP540">
        <v>111.133</v>
      </c>
      <c r="AQ540">
        <v>1.0541007448257309</v>
      </c>
      <c r="AR540">
        <v>117.145378074718</v>
      </c>
      <c r="AS540">
        <v>640.82000000000005</v>
      </c>
      <c r="AT540">
        <v>1</v>
      </c>
      <c r="AU540">
        <v>75.069101177840764</v>
      </c>
      <c r="AV540">
        <v>0.93830000000000002</v>
      </c>
      <c r="AW540" s="63">
        <v>70.436999999999998</v>
      </c>
      <c r="AX540">
        <v>8.9176000000000002</v>
      </c>
      <c r="AY540">
        <v>1</v>
      </c>
      <c r="AZ540">
        <v>6023.7392733347688</v>
      </c>
      <c r="BA540">
        <v>1.098016605166052</v>
      </c>
      <c r="BB540" s="63">
        <v>6614.1656999999996</v>
      </c>
      <c r="BC540" s="61">
        <v>99.098299843305668</v>
      </c>
    </row>
    <row r="541" spans="1:55" x14ac:dyDescent="0.25">
      <c r="A541">
        <v>151645</v>
      </c>
      <c r="B541" t="s">
        <v>146</v>
      </c>
      <c r="C541">
        <v>2019</v>
      </c>
      <c r="D541">
        <v>7</v>
      </c>
      <c r="E541" t="s">
        <v>51</v>
      </c>
      <c r="F541" t="s">
        <v>426</v>
      </c>
      <c r="G541" t="s">
        <v>84</v>
      </c>
      <c r="H541" t="s">
        <v>87</v>
      </c>
      <c r="I541" t="s">
        <v>427</v>
      </c>
      <c r="J541">
        <v>-2.6545286400000001</v>
      </c>
      <c r="K541" t="s">
        <v>440</v>
      </c>
      <c r="L541" t="s">
        <v>385</v>
      </c>
      <c r="M541">
        <v>0.39737542925016001</v>
      </c>
      <c r="N541">
        <v>1.0548444561348691</v>
      </c>
      <c r="O541">
        <v>28410.399000000001</v>
      </c>
      <c r="P541">
        <v>2.51417E-6</v>
      </c>
      <c r="Q541">
        <v>0.14285700000000001</v>
      </c>
      <c r="R541" s="61">
        <v>0.150691914470059</v>
      </c>
      <c r="S541" t="s">
        <v>347</v>
      </c>
      <c r="T541" t="s">
        <v>437</v>
      </c>
      <c r="U541" t="s">
        <v>425</v>
      </c>
      <c r="V541" t="s">
        <v>27</v>
      </c>
      <c r="W541">
        <v>111.133</v>
      </c>
      <c r="X541">
        <v>1.0541007448257309</v>
      </c>
      <c r="Y541">
        <v>117.145378074718</v>
      </c>
      <c r="Z541">
        <v>640.82000000000005</v>
      </c>
      <c r="AA541">
        <v>1</v>
      </c>
      <c r="AB541">
        <v>75.069101177840764</v>
      </c>
      <c r="AC541">
        <v>0.95889999999999997</v>
      </c>
      <c r="AD541" s="63">
        <v>71.983999999999995</v>
      </c>
      <c r="AE541">
        <v>8.9176000000000002</v>
      </c>
      <c r="AF541">
        <v>9.4000488020579382</v>
      </c>
      <c r="AG541">
        <v>1</v>
      </c>
      <c r="AH541">
        <v>6023.7392733347688</v>
      </c>
      <c r="AI541">
        <v>0.99097621000820357</v>
      </c>
      <c r="AJ541" s="63">
        <v>5969.3823000000002</v>
      </c>
      <c r="AK541" s="61">
        <v>899.53764699068427</v>
      </c>
      <c r="AL541" t="s">
        <v>347</v>
      </c>
      <c r="AM541" t="s">
        <v>437</v>
      </c>
      <c r="AN541" t="s">
        <v>425</v>
      </c>
      <c r="AO541" t="s">
        <v>27</v>
      </c>
      <c r="AP541">
        <v>111.133</v>
      </c>
      <c r="AQ541">
        <v>1.0541007448257309</v>
      </c>
      <c r="AR541">
        <v>117.145378074718</v>
      </c>
      <c r="AS541">
        <v>640.82000000000005</v>
      </c>
      <c r="AT541">
        <v>1</v>
      </c>
      <c r="AU541">
        <v>75.069101177840764</v>
      </c>
      <c r="AV541">
        <v>0.95889999999999997</v>
      </c>
      <c r="AW541" s="63">
        <v>71.983999999999995</v>
      </c>
      <c r="AX541">
        <v>8.9176000000000002</v>
      </c>
      <c r="AY541">
        <v>1</v>
      </c>
      <c r="AZ541">
        <v>6023.7392733347688</v>
      </c>
      <c r="BA541">
        <v>0.99097621000820357</v>
      </c>
      <c r="BB541" s="63">
        <v>5969.3823000000002</v>
      </c>
      <c r="BC541" s="61">
        <v>899.53764699068427</v>
      </c>
    </row>
    <row r="542" spans="1:55" x14ac:dyDescent="0.25">
      <c r="A542">
        <v>151647</v>
      </c>
      <c r="B542" t="s">
        <v>146</v>
      </c>
      <c r="C542">
        <v>2019</v>
      </c>
      <c r="D542">
        <v>7</v>
      </c>
      <c r="E542" t="s">
        <v>51</v>
      </c>
      <c r="F542" t="s">
        <v>426</v>
      </c>
      <c r="G542" t="s">
        <v>84</v>
      </c>
      <c r="H542" t="s">
        <v>87</v>
      </c>
      <c r="I542" t="s">
        <v>427</v>
      </c>
      <c r="J542">
        <v>-2.6545286400000001</v>
      </c>
      <c r="K542" t="s">
        <v>440</v>
      </c>
      <c r="L542" t="s">
        <v>452</v>
      </c>
      <c r="M542">
        <v>8.4248020759000004E-4</v>
      </c>
      <c r="N542">
        <v>2.2363878361996319E-3</v>
      </c>
      <c r="O542">
        <v>28410.399000000001</v>
      </c>
      <c r="P542">
        <v>2.51417E-6</v>
      </c>
      <c r="Q542">
        <v>0.14285700000000001</v>
      </c>
      <c r="R542" s="61">
        <v>3.1948365711597092E-4</v>
      </c>
      <c r="S542" t="s">
        <v>347</v>
      </c>
      <c r="T542" t="s">
        <v>437</v>
      </c>
      <c r="U542" t="s">
        <v>425</v>
      </c>
      <c r="V542" t="s">
        <v>28</v>
      </c>
      <c r="W542">
        <v>111.133</v>
      </c>
      <c r="X542">
        <v>1.0541007448257309</v>
      </c>
      <c r="Y542">
        <v>117.145378074718</v>
      </c>
      <c r="Z542">
        <v>640.82000000000005</v>
      </c>
      <c r="AA542">
        <v>1</v>
      </c>
      <c r="AB542">
        <v>75.069101177840764</v>
      </c>
      <c r="AC542">
        <v>1.0073000000000001</v>
      </c>
      <c r="AD542" s="63">
        <v>75.617000000000004</v>
      </c>
      <c r="AE542">
        <v>8.9176000000000002</v>
      </c>
      <c r="AF542">
        <v>9.4000488020579382</v>
      </c>
      <c r="AG542">
        <v>1</v>
      </c>
      <c r="AH542">
        <v>6023.7392733347688</v>
      </c>
      <c r="AI542">
        <v>0.99399488088206345</v>
      </c>
      <c r="AJ542" s="63">
        <v>5987.5659999999998</v>
      </c>
      <c r="AK542" s="61">
        <v>1.912929482903245</v>
      </c>
      <c r="AL542" t="s">
        <v>347</v>
      </c>
      <c r="AM542" t="s">
        <v>437</v>
      </c>
      <c r="AN542" t="s">
        <v>425</v>
      </c>
      <c r="AO542" t="s">
        <v>28</v>
      </c>
      <c r="AP542">
        <v>111.133</v>
      </c>
      <c r="AQ542">
        <v>1.0541007448257309</v>
      </c>
      <c r="AR542">
        <v>117.145378074718</v>
      </c>
      <c r="AS542">
        <v>640.82000000000005</v>
      </c>
      <c r="AT542">
        <v>1</v>
      </c>
      <c r="AU542">
        <v>75.069101177840764</v>
      </c>
      <c r="AV542">
        <v>1.0073000000000001</v>
      </c>
      <c r="AW542" s="63">
        <v>75.617000000000004</v>
      </c>
      <c r="AX542">
        <v>8.9176000000000002</v>
      </c>
      <c r="AY542">
        <v>1</v>
      </c>
      <c r="AZ542">
        <v>6023.7392733347688</v>
      </c>
      <c r="BA542">
        <v>0.99399488088206345</v>
      </c>
      <c r="BB542" s="63">
        <v>5987.5659999999998</v>
      </c>
      <c r="BC542" s="61">
        <v>1.912929482903245</v>
      </c>
    </row>
    <row r="543" spans="1:55" x14ac:dyDescent="0.25">
      <c r="A543">
        <v>151649</v>
      </c>
      <c r="B543" t="s">
        <v>146</v>
      </c>
      <c r="C543">
        <v>2019</v>
      </c>
      <c r="D543">
        <v>7</v>
      </c>
      <c r="E543" t="s">
        <v>51</v>
      </c>
      <c r="F543" t="s">
        <v>426</v>
      </c>
      <c r="G543" t="s">
        <v>84</v>
      </c>
      <c r="H543" t="s">
        <v>59</v>
      </c>
      <c r="I543" t="s">
        <v>427</v>
      </c>
      <c r="J543">
        <v>-6.3124784299999996</v>
      </c>
      <c r="K543" t="s">
        <v>440</v>
      </c>
      <c r="L543" t="s">
        <v>450</v>
      </c>
      <c r="M543">
        <v>0.15931709696460999</v>
      </c>
      <c r="N543">
        <v>1.0056857381582409</v>
      </c>
      <c r="O543">
        <v>28410.399000000001</v>
      </c>
      <c r="P543">
        <v>2.51417E-6</v>
      </c>
      <c r="Q543">
        <v>0.14285700000000001</v>
      </c>
      <c r="R543" s="61">
        <v>0.14366924749607179</v>
      </c>
      <c r="S543" t="s">
        <v>347</v>
      </c>
      <c r="T543" t="s">
        <v>437</v>
      </c>
      <c r="U543" t="s">
        <v>425</v>
      </c>
      <c r="V543" t="s">
        <v>26</v>
      </c>
      <c r="W543">
        <v>111.133</v>
      </c>
      <c r="X543">
        <v>1.0541007448257309</v>
      </c>
      <c r="Y543">
        <v>117.145378074718</v>
      </c>
      <c r="Z543">
        <v>640.82000000000005</v>
      </c>
      <c r="AA543">
        <v>1</v>
      </c>
      <c r="AB543">
        <v>75.069101177840764</v>
      </c>
      <c r="AC543">
        <v>0.99109999999999998</v>
      </c>
      <c r="AD543" s="63">
        <v>74.400999999999996</v>
      </c>
      <c r="AE543">
        <v>8.9176000000000002</v>
      </c>
      <c r="AF543">
        <v>9.4000488020579382</v>
      </c>
      <c r="AG543">
        <v>1</v>
      </c>
      <c r="AH543">
        <v>6023.7392733347688</v>
      </c>
      <c r="AI543">
        <v>0.9830373970836227</v>
      </c>
      <c r="AJ543" s="63">
        <v>5921.5609999999997</v>
      </c>
      <c r="AK543" s="61">
        <v>850.7462128720864</v>
      </c>
      <c r="AL543" t="s">
        <v>347</v>
      </c>
      <c r="AM543" t="s">
        <v>437</v>
      </c>
      <c r="AN543" t="s">
        <v>425</v>
      </c>
      <c r="AO543" t="s">
        <v>26</v>
      </c>
      <c r="AP543">
        <v>111.133</v>
      </c>
      <c r="AQ543">
        <v>1.0541007448257309</v>
      </c>
      <c r="AR543">
        <v>117.145378074718</v>
      </c>
      <c r="AS543">
        <v>640.82000000000005</v>
      </c>
      <c r="AT543">
        <v>1</v>
      </c>
      <c r="AU543">
        <v>75.069101177840764</v>
      </c>
      <c r="AV543">
        <v>0.99109999999999998</v>
      </c>
      <c r="AW543" s="63">
        <v>74.400999999999996</v>
      </c>
      <c r="AX543">
        <v>8.9176000000000002</v>
      </c>
      <c r="AY543">
        <v>1</v>
      </c>
      <c r="AZ543">
        <v>6023.7392733347688</v>
      </c>
      <c r="BA543">
        <v>0.9830373970836227</v>
      </c>
      <c r="BB543" s="63">
        <v>5921.5609999999997</v>
      </c>
      <c r="BC543" s="61">
        <v>850.7462128720864</v>
      </c>
    </row>
    <row r="544" spans="1:55" x14ac:dyDescent="0.25">
      <c r="A544">
        <v>151651</v>
      </c>
      <c r="B544" t="s">
        <v>146</v>
      </c>
      <c r="C544">
        <v>2019</v>
      </c>
      <c r="D544">
        <v>7</v>
      </c>
      <c r="E544" t="s">
        <v>51</v>
      </c>
      <c r="F544" t="s">
        <v>426</v>
      </c>
      <c r="G544" t="s">
        <v>84</v>
      </c>
      <c r="H544" t="s">
        <v>59</v>
      </c>
      <c r="I544" t="s">
        <v>427</v>
      </c>
      <c r="J544">
        <v>-6.3124784299999996</v>
      </c>
      <c r="K544" t="s">
        <v>440</v>
      </c>
      <c r="L544" t="s">
        <v>384</v>
      </c>
      <c r="M544">
        <v>4.1785183859599999E-2</v>
      </c>
      <c r="N544">
        <v>0.26376807181751738</v>
      </c>
      <c r="O544">
        <v>28410.399000000001</v>
      </c>
      <c r="P544">
        <v>2.51417E-6</v>
      </c>
      <c r="Q544">
        <v>0.14285700000000001</v>
      </c>
      <c r="R544" s="61">
        <v>3.7681115435635078E-2</v>
      </c>
      <c r="S544" t="s">
        <v>347</v>
      </c>
      <c r="T544" t="s">
        <v>437</v>
      </c>
      <c r="U544" t="s">
        <v>425</v>
      </c>
      <c r="V544" t="s">
        <v>81</v>
      </c>
      <c r="W544">
        <v>111.133</v>
      </c>
      <c r="X544">
        <v>1.0541007448257309</v>
      </c>
      <c r="Y544">
        <v>117.145378074718</v>
      </c>
      <c r="Z544">
        <v>640.82000000000005</v>
      </c>
      <c r="AA544">
        <v>1</v>
      </c>
      <c r="AB544">
        <v>75.069101177840764</v>
      </c>
      <c r="AC544">
        <v>0.93830000000000002</v>
      </c>
      <c r="AD544" s="63">
        <v>70.436999999999998</v>
      </c>
      <c r="AE544">
        <v>8.9176000000000002</v>
      </c>
      <c r="AF544">
        <v>9.4000488020579382</v>
      </c>
      <c r="AG544">
        <v>1</v>
      </c>
      <c r="AH544">
        <v>6023.7392733347688</v>
      </c>
      <c r="AI544">
        <v>1.098016605166052</v>
      </c>
      <c r="AJ544" s="63">
        <v>6614.1656999999996</v>
      </c>
      <c r="AK544" s="61">
        <v>249.2291412521181</v>
      </c>
      <c r="AL544" t="s">
        <v>347</v>
      </c>
      <c r="AM544" t="s">
        <v>437</v>
      </c>
      <c r="AN544" t="s">
        <v>425</v>
      </c>
      <c r="AO544" t="s">
        <v>81</v>
      </c>
      <c r="AP544">
        <v>111.133</v>
      </c>
      <c r="AQ544">
        <v>1.0541007448257309</v>
      </c>
      <c r="AR544">
        <v>117.145378074718</v>
      </c>
      <c r="AS544">
        <v>640.82000000000005</v>
      </c>
      <c r="AT544">
        <v>1</v>
      </c>
      <c r="AU544">
        <v>75.069101177840764</v>
      </c>
      <c r="AV544">
        <v>0.93830000000000002</v>
      </c>
      <c r="AW544" s="63">
        <v>70.436999999999998</v>
      </c>
      <c r="AX544">
        <v>8.9176000000000002</v>
      </c>
      <c r="AY544">
        <v>1</v>
      </c>
      <c r="AZ544">
        <v>6023.7392733347688</v>
      </c>
      <c r="BA544">
        <v>1.098016605166052</v>
      </c>
      <c r="BB544" s="63">
        <v>6614.1656999999996</v>
      </c>
      <c r="BC544" s="61">
        <v>249.2291412521181</v>
      </c>
    </row>
    <row r="545" spans="1:55" x14ac:dyDescent="0.25">
      <c r="A545">
        <v>151653</v>
      </c>
      <c r="B545" t="s">
        <v>146</v>
      </c>
      <c r="C545">
        <v>2019</v>
      </c>
      <c r="D545">
        <v>7</v>
      </c>
      <c r="E545" t="s">
        <v>51</v>
      </c>
      <c r="F545" t="s">
        <v>426</v>
      </c>
      <c r="G545" t="s">
        <v>84</v>
      </c>
      <c r="H545" t="s">
        <v>59</v>
      </c>
      <c r="I545" t="s">
        <v>427</v>
      </c>
      <c r="J545">
        <v>-6.3124784299999996</v>
      </c>
      <c r="K545" t="s">
        <v>440</v>
      </c>
      <c r="L545" t="s">
        <v>385</v>
      </c>
      <c r="M545">
        <v>0.43497567483749999</v>
      </c>
      <c r="N545">
        <v>2.7457745650926779</v>
      </c>
      <c r="O545">
        <v>28410.399000000001</v>
      </c>
      <c r="P545">
        <v>2.51417E-6</v>
      </c>
      <c r="Q545">
        <v>0.14285700000000001</v>
      </c>
      <c r="R545" s="61">
        <v>0.3922531170454448</v>
      </c>
      <c r="S545" t="s">
        <v>347</v>
      </c>
      <c r="T545" t="s">
        <v>437</v>
      </c>
      <c r="U545" t="s">
        <v>425</v>
      </c>
      <c r="V545" t="s">
        <v>27</v>
      </c>
      <c r="W545">
        <v>111.133</v>
      </c>
      <c r="X545">
        <v>1.0541007448257309</v>
      </c>
      <c r="Y545">
        <v>117.145378074718</v>
      </c>
      <c r="Z545">
        <v>640.82000000000005</v>
      </c>
      <c r="AA545">
        <v>1</v>
      </c>
      <c r="AB545">
        <v>75.069101177840764</v>
      </c>
      <c r="AC545">
        <v>0.95889999999999997</v>
      </c>
      <c r="AD545" s="63">
        <v>71.983999999999995</v>
      </c>
      <c r="AE545">
        <v>8.9176000000000002</v>
      </c>
      <c r="AF545">
        <v>9.4000488020579382</v>
      </c>
      <c r="AG545">
        <v>1</v>
      </c>
      <c r="AH545">
        <v>6023.7392733347688</v>
      </c>
      <c r="AI545">
        <v>0.99097621000820357</v>
      </c>
      <c r="AJ545" s="63">
        <v>5969.3823000000002</v>
      </c>
      <c r="AK545" s="61">
        <v>2341.508814010906</v>
      </c>
      <c r="AL545" t="s">
        <v>347</v>
      </c>
      <c r="AM545" t="s">
        <v>437</v>
      </c>
      <c r="AN545" t="s">
        <v>425</v>
      </c>
      <c r="AO545" t="s">
        <v>27</v>
      </c>
      <c r="AP545">
        <v>111.133</v>
      </c>
      <c r="AQ545">
        <v>1.0541007448257309</v>
      </c>
      <c r="AR545">
        <v>117.145378074718</v>
      </c>
      <c r="AS545">
        <v>640.82000000000005</v>
      </c>
      <c r="AT545">
        <v>1</v>
      </c>
      <c r="AU545">
        <v>75.069101177840764</v>
      </c>
      <c r="AV545">
        <v>0.95889999999999997</v>
      </c>
      <c r="AW545" s="63">
        <v>71.983999999999995</v>
      </c>
      <c r="AX545">
        <v>8.9176000000000002</v>
      </c>
      <c r="AY545">
        <v>1</v>
      </c>
      <c r="AZ545">
        <v>6023.7392733347688</v>
      </c>
      <c r="BA545">
        <v>0.99097621000820357</v>
      </c>
      <c r="BB545" s="63">
        <v>5969.3823000000002</v>
      </c>
      <c r="BC545" s="61">
        <v>2341.508814010906</v>
      </c>
    </row>
    <row r="546" spans="1:55" x14ac:dyDescent="0.25">
      <c r="A546">
        <v>151655</v>
      </c>
      <c r="B546" t="s">
        <v>146</v>
      </c>
      <c r="C546">
        <v>2019</v>
      </c>
      <c r="D546">
        <v>7</v>
      </c>
      <c r="E546" t="s">
        <v>51</v>
      </c>
      <c r="F546" t="s">
        <v>426</v>
      </c>
      <c r="G546" t="s">
        <v>84</v>
      </c>
      <c r="H546" t="s">
        <v>59</v>
      </c>
      <c r="I546" t="s">
        <v>427</v>
      </c>
      <c r="J546">
        <v>-6.3124784299999996</v>
      </c>
      <c r="K546" t="s">
        <v>440</v>
      </c>
      <c r="L546" t="s">
        <v>451</v>
      </c>
      <c r="M546">
        <v>1.7625750762999999E-3</v>
      </c>
      <c r="N546">
        <v>1.112621715082996E-2</v>
      </c>
      <c r="O546">
        <v>28410.399000000001</v>
      </c>
      <c r="P546">
        <v>2.51417E-6</v>
      </c>
      <c r="Q546">
        <v>0.14285700000000001</v>
      </c>
      <c r="R546" s="61">
        <v>1.5894580035161151E-3</v>
      </c>
      <c r="S546" t="s">
        <v>347</v>
      </c>
      <c r="T546" t="s">
        <v>437</v>
      </c>
      <c r="U546" t="s">
        <v>425</v>
      </c>
      <c r="V546" t="s">
        <v>91</v>
      </c>
      <c r="W546">
        <v>111.133</v>
      </c>
      <c r="X546">
        <v>1.0541007448257309</v>
      </c>
      <c r="Y546">
        <v>117.145378074718</v>
      </c>
      <c r="Z546">
        <v>640.82000000000005</v>
      </c>
      <c r="AA546">
        <v>1</v>
      </c>
      <c r="AB546">
        <v>75.069101177840764</v>
      </c>
      <c r="AC546">
        <v>1.0088999999999999</v>
      </c>
      <c r="AD546" s="63">
        <v>75.736999999999995</v>
      </c>
      <c r="AE546">
        <v>8.9176000000000002</v>
      </c>
      <c r="AF546">
        <v>9.4000488020579382</v>
      </c>
      <c r="AG546">
        <v>1</v>
      </c>
      <c r="AH546">
        <v>6023.7392733347688</v>
      </c>
      <c r="AI546">
        <v>0.99316673174541203</v>
      </c>
      <c r="AJ546" s="63">
        <v>5982.5774000000001</v>
      </c>
      <c r="AK546" s="61">
        <v>9.5090555300846304</v>
      </c>
      <c r="AL546" t="s">
        <v>347</v>
      </c>
      <c r="AM546" t="s">
        <v>437</v>
      </c>
      <c r="AN546" t="s">
        <v>425</v>
      </c>
      <c r="AO546" t="s">
        <v>91</v>
      </c>
      <c r="AP546">
        <v>111.133</v>
      </c>
      <c r="AQ546">
        <v>1.0541007448257309</v>
      </c>
      <c r="AR546">
        <v>117.145378074718</v>
      </c>
      <c r="AS546">
        <v>640.82000000000005</v>
      </c>
      <c r="AT546">
        <v>1</v>
      </c>
      <c r="AU546">
        <v>75.069101177840764</v>
      </c>
      <c r="AV546">
        <v>1.0088999999999999</v>
      </c>
      <c r="AW546" s="63">
        <v>75.736999999999995</v>
      </c>
      <c r="AX546">
        <v>8.9176000000000002</v>
      </c>
      <c r="AY546">
        <v>1</v>
      </c>
      <c r="AZ546">
        <v>6023.7392733347688</v>
      </c>
      <c r="BA546">
        <v>0.99316673174541203</v>
      </c>
      <c r="BB546" s="63">
        <v>5982.5774000000001</v>
      </c>
      <c r="BC546" s="61">
        <v>9.5090555300846304</v>
      </c>
    </row>
    <row r="547" spans="1:55" x14ac:dyDescent="0.25">
      <c r="A547">
        <v>151657</v>
      </c>
      <c r="B547" t="s">
        <v>146</v>
      </c>
      <c r="C547">
        <v>2019</v>
      </c>
      <c r="D547">
        <v>7</v>
      </c>
      <c r="E547" t="s">
        <v>51</v>
      </c>
      <c r="F547" t="s">
        <v>426</v>
      </c>
      <c r="G547" t="s">
        <v>84</v>
      </c>
      <c r="H547" t="s">
        <v>59</v>
      </c>
      <c r="I547" t="s">
        <v>427</v>
      </c>
      <c r="J547">
        <v>-6.3124784299999996</v>
      </c>
      <c r="K547" t="s">
        <v>440</v>
      </c>
      <c r="L547" t="s">
        <v>452</v>
      </c>
      <c r="M547">
        <v>1.4858046103299999E-3</v>
      </c>
      <c r="N547">
        <v>9.3791095542656664E-3</v>
      </c>
      <c r="O547">
        <v>28410.399000000001</v>
      </c>
      <c r="P547">
        <v>2.51417E-6</v>
      </c>
      <c r="Q547">
        <v>0.14285700000000001</v>
      </c>
      <c r="R547" s="61">
        <v>1.3398714535937299E-3</v>
      </c>
      <c r="S547" t="s">
        <v>347</v>
      </c>
      <c r="T547" t="s">
        <v>437</v>
      </c>
      <c r="U547" t="s">
        <v>425</v>
      </c>
      <c r="V547" t="s">
        <v>28</v>
      </c>
      <c r="W547">
        <v>111.133</v>
      </c>
      <c r="X547">
        <v>1.0541007448257309</v>
      </c>
      <c r="Y547">
        <v>117.145378074718</v>
      </c>
      <c r="Z547">
        <v>640.82000000000005</v>
      </c>
      <c r="AA547">
        <v>1</v>
      </c>
      <c r="AB547">
        <v>75.069101177840764</v>
      </c>
      <c r="AC547">
        <v>1.0073000000000001</v>
      </c>
      <c r="AD547" s="63">
        <v>75.617000000000004</v>
      </c>
      <c r="AE547">
        <v>8.9176000000000002</v>
      </c>
      <c r="AF547">
        <v>9.4000488020579382</v>
      </c>
      <c r="AG547">
        <v>1</v>
      </c>
      <c r="AH547">
        <v>6023.7392733347688</v>
      </c>
      <c r="AI547">
        <v>0.99399488088206345</v>
      </c>
      <c r="AJ547" s="63">
        <v>5987.5659999999998</v>
      </c>
      <c r="AK547" s="61">
        <v>8.0225687599083972</v>
      </c>
      <c r="AL547" t="s">
        <v>347</v>
      </c>
      <c r="AM547" t="s">
        <v>437</v>
      </c>
      <c r="AN547" t="s">
        <v>425</v>
      </c>
      <c r="AO547" t="s">
        <v>28</v>
      </c>
      <c r="AP547">
        <v>111.133</v>
      </c>
      <c r="AQ547">
        <v>1.0541007448257309</v>
      </c>
      <c r="AR547">
        <v>117.145378074718</v>
      </c>
      <c r="AS547">
        <v>640.82000000000005</v>
      </c>
      <c r="AT547">
        <v>1</v>
      </c>
      <c r="AU547">
        <v>75.069101177840764</v>
      </c>
      <c r="AV547">
        <v>1.0073000000000001</v>
      </c>
      <c r="AW547" s="63">
        <v>75.617000000000004</v>
      </c>
      <c r="AX547">
        <v>8.9176000000000002</v>
      </c>
      <c r="AY547">
        <v>1</v>
      </c>
      <c r="AZ547">
        <v>6023.7392733347688</v>
      </c>
      <c r="BA547">
        <v>0.99399488088206345</v>
      </c>
      <c r="BB547" s="63">
        <v>5987.5659999999998</v>
      </c>
      <c r="BC547" s="61">
        <v>8.0225687599083972</v>
      </c>
    </row>
    <row r="548" spans="1:55" x14ac:dyDescent="0.25">
      <c r="A548">
        <v>158821</v>
      </c>
      <c r="B548" t="s">
        <v>151</v>
      </c>
      <c r="C548">
        <v>2019</v>
      </c>
      <c r="D548">
        <v>8</v>
      </c>
      <c r="E548" t="s">
        <v>51</v>
      </c>
      <c r="F548" t="s">
        <v>426</v>
      </c>
      <c r="G548" t="s">
        <v>84</v>
      </c>
      <c r="H548" t="s">
        <v>381</v>
      </c>
      <c r="I548" t="s">
        <v>427</v>
      </c>
      <c r="J548">
        <v>-13.3024606</v>
      </c>
      <c r="K548" t="s">
        <v>440</v>
      </c>
      <c r="L548" t="s">
        <v>450</v>
      </c>
      <c r="M548">
        <v>0.15011157993331001</v>
      </c>
      <c r="N548">
        <v>1.9968533782590381</v>
      </c>
      <c r="O548">
        <v>28410.399000000001</v>
      </c>
      <c r="P548">
        <v>2.51417E-6</v>
      </c>
      <c r="Q548">
        <v>0.14285700000000001</v>
      </c>
      <c r="R548" s="61">
        <v>0.28526448305795138</v>
      </c>
      <c r="S548" t="s">
        <v>347</v>
      </c>
      <c r="T548" t="s">
        <v>437</v>
      </c>
      <c r="U548" t="s">
        <v>425</v>
      </c>
      <c r="V548" t="s">
        <v>26</v>
      </c>
      <c r="W548">
        <v>111.133</v>
      </c>
      <c r="X548">
        <v>1.0541007448257309</v>
      </c>
      <c r="Y548">
        <v>117.145378074718</v>
      </c>
      <c r="Z548">
        <v>640.82000000000005</v>
      </c>
      <c r="AA548">
        <v>1</v>
      </c>
      <c r="AB548">
        <v>75.069101177840764</v>
      </c>
      <c r="AC548">
        <v>0.99109999999999998</v>
      </c>
      <c r="AD548" s="63">
        <v>74.400999999999996</v>
      </c>
      <c r="AE548">
        <v>8.9176000000000002</v>
      </c>
      <c r="AF548">
        <v>9.4000488020579382</v>
      </c>
      <c r="AG548">
        <v>1</v>
      </c>
      <c r="AH548">
        <v>6023.7392733347688</v>
      </c>
      <c r="AI548">
        <v>0.9830373970836227</v>
      </c>
      <c r="AJ548" s="63">
        <v>5921.5609999999997</v>
      </c>
      <c r="AK548" s="61">
        <v>1689.211037561126</v>
      </c>
      <c r="AL548" t="s">
        <v>347</v>
      </c>
      <c r="AM548" t="s">
        <v>437</v>
      </c>
      <c r="AN548" t="s">
        <v>425</v>
      </c>
      <c r="AO548" t="s">
        <v>26</v>
      </c>
      <c r="AP548">
        <v>111.133</v>
      </c>
      <c r="AQ548">
        <v>1.0541007448257309</v>
      </c>
      <c r="AR548">
        <v>117.145378074718</v>
      </c>
      <c r="AS548">
        <v>640.82000000000005</v>
      </c>
      <c r="AT548">
        <v>1</v>
      </c>
      <c r="AU548">
        <v>75.069101177840764</v>
      </c>
      <c r="AV548">
        <v>0.99109999999999998</v>
      </c>
      <c r="AW548" s="63">
        <v>74.400999999999996</v>
      </c>
      <c r="AX548">
        <v>8.9176000000000002</v>
      </c>
      <c r="AY548">
        <v>1</v>
      </c>
      <c r="AZ548">
        <v>6023.7392733347688</v>
      </c>
      <c r="BA548">
        <v>0.9830373970836227</v>
      </c>
      <c r="BB548" s="63">
        <v>5921.5609999999997</v>
      </c>
      <c r="BC548" s="61">
        <v>1689.211037561126</v>
      </c>
    </row>
    <row r="549" spans="1:55" x14ac:dyDescent="0.25">
      <c r="A549">
        <v>158823</v>
      </c>
      <c r="B549" t="s">
        <v>151</v>
      </c>
      <c r="C549">
        <v>2019</v>
      </c>
      <c r="D549">
        <v>8</v>
      </c>
      <c r="E549" t="s">
        <v>51</v>
      </c>
      <c r="F549" t="s">
        <v>426</v>
      </c>
      <c r="G549" t="s">
        <v>84</v>
      </c>
      <c r="H549" t="s">
        <v>381</v>
      </c>
      <c r="I549" t="s">
        <v>427</v>
      </c>
      <c r="J549">
        <v>-13.3024606</v>
      </c>
      <c r="K549" t="s">
        <v>440</v>
      </c>
      <c r="L549" t="s">
        <v>384</v>
      </c>
      <c r="M549">
        <v>4.5811354346740003E-2</v>
      </c>
      <c r="N549">
        <v>0.60940373641094692</v>
      </c>
      <c r="O549">
        <v>28410.399000000001</v>
      </c>
      <c r="P549">
        <v>2.51417E-6</v>
      </c>
      <c r="Q549">
        <v>0.14285700000000001</v>
      </c>
      <c r="R549" s="61">
        <v>8.7057589572458655E-2</v>
      </c>
      <c r="S549" t="s">
        <v>347</v>
      </c>
      <c r="T549" t="s">
        <v>437</v>
      </c>
      <c r="U549" t="s">
        <v>425</v>
      </c>
      <c r="V549" t="s">
        <v>81</v>
      </c>
      <c r="W549">
        <v>111.133</v>
      </c>
      <c r="X549">
        <v>1.0541007448257309</v>
      </c>
      <c r="Y549">
        <v>117.145378074718</v>
      </c>
      <c r="Z549">
        <v>640.82000000000005</v>
      </c>
      <c r="AA549">
        <v>1</v>
      </c>
      <c r="AB549">
        <v>75.069101177840764</v>
      </c>
      <c r="AC549">
        <v>0.93830000000000002</v>
      </c>
      <c r="AD549" s="63">
        <v>70.436999999999998</v>
      </c>
      <c r="AE549">
        <v>8.9176000000000002</v>
      </c>
      <c r="AF549">
        <v>9.4000488020579382</v>
      </c>
      <c r="AG549">
        <v>1</v>
      </c>
      <c r="AH549">
        <v>6023.7392733347688</v>
      </c>
      <c r="AI549">
        <v>1.098016605166052</v>
      </c>
      <c r="AJ549" s="63">
        <v>6614.1656999999996</v>
      </c>
      <c r="AK549" s="61">
        <v>575.81332287483372</v>
      </c>
      <c r="AL549" t="s">
        <v>347</v>
      </c>
      <c r="AM549" t="s">
        <v>437</v>
      </c>
      <c r="AN549" t="s">
        <v>425</v>
      </c>
      <c r="AO549" t="s">
        <v>81</v>
      </c>
      <c r="AP549">
        <v>111.133</v>
      </c>
      <c r="AQ549">
        <v>1.0541007448257309</v>
      </c>
      <c r="AR549">
        <v>117.145378074718</v>
      </c>
      <c r="AS549">
        <v>640.82000000000005</v>
      </c>
      <c r="AT549">
        <v>1</v>
      </c>
      <c r="AU549">
        <v>75.069101177840764</v>
      </c>
      <c r="AV549">
        <v>0.93830000000000002</v>
      </c>
      <c r="AW549" s="63">
        <v>70.436999999999998</v>
      </c>
      <c r="AX549">
        <v>8.9176000000000002</v>
      </c>
      <c r="AY549">
        <v>1</v>
      </c>
      <c r="AZ549">
        <v>6023.7392733347688</v>
      </c>
      <c r="BA549">
        <v>1.098016605166052</v>
      </c>
      <c r="BB549" s="63">
        <v>6614.1656999999996</v>
      </c>
      <c r="BC549" s="61">
        <v>575.81332287483372</v>
      </c>
    </row>
    <row r="550" spans="1:55" x14ac:dyDescent="0.25">
      <c r="A550">
        <v>158825</v>
      </c>
      <c r="B550" t="s">
        <v>151</v>
      </c>
      <c r="C550">
        <v>2019</v>
      </c>
      <c r="D550">
        <v>8</v>
      </c>
      <c r="E550" t="s">
        <v>51</v>
      </c>
      <c r="F550" t="s">
        <v>426</v>
      </c>
      <c r="G550" t="s">
        <v>84</v>
      </c>
      <c r="H550" t="s">
        <v>381</v>
      </c>
      <c r="I550" t="s">
        <v>427</v>
      </c>
      <c r="J550">
        <v>-13.3024606</v>
      </c>
      <c r="K550" t="s">
        <v>440</v>
      </c>
      <c r="L550" t="s">
        <v>385</v>
      </c>
      <c r="M550">
        <v>0.43232641346992001</v>
      </c>
      <c r="N550">
        <v>5.7510050832291419</v>
      </c>
      <c r="O550">
        <v>28410.399000000001</v>
      </c>
      <c r="P550">
        <v>2.51417E-6</v>
      </c>
      <c r="Q550">
        <v>0.14285700000000001</v>
      </c>
      <c r="R550" s="61">
        <v>0.82157133317486564</v>
      </c>
      <c r="S550" t="s">
        <v>347</v>
      </c>
      <c r="T550" t="s">
        <v>437</v>
      </c>
      <c r="U550" t="s">
        <v>425</v>
      </c>
      <c r="V550" t="s">
        <v>27</v>
      </c>
      <c r="W550">
        <v>111.133</v>
      </c>
      <c r="X550">
        <v>1.0541007448257309</v>
      </c>
      <c r="Y550">
        <v>117.145378074718</v>
      </c>
      <c r="Z550">
        <v>640.82000000000005</v>
      </c>
      <c r="AA550">
        <v>1</v>
      </c>
      <c r="AB550">
        <v>75.069101177840764</v>
      </c>
      <c r="AC550">
        <v>0.95889999999999997</v>
      </c>
      <c r="AD550" s="63">
        <v>71.983999999999995</v>
      </c>
      <c r="AE550">
        <v>8.9176000000000002</v>
      </c>
      <c r="AF550">
        <v>9.4000488020579382</v>
      </c>
      <c r="AG550">
        <v>1</v>
      </c>
      <c r="AH550">
        <v>6023.7392733347688</v>
      </c>
      <c r="AI550">
        <v>0.99097621000820357</v>
      </c>
      <c r="AJ550" s="63">
        <v>5969.3823000000002</v>
      </c>
      <c r="AK550" s="61">
        <v>4904.2733744414463</v>
      </c>
      <c r="AL550" t="s">
        <v>347</v>
      </c>
      <c r="AM550" t="s">
        <v>437</v>
      </c>
      <c r="AN550" t="s">
        <v>425</v>
      </c>
      <c r="AO550" t="s">
        <v>27</v>
      </c>
      <c r="AP550">
        <v>111.133</v>
      </c>
      <c r="AQ550">
        <v>1.0541007448257309</v>
      </c>
      <c r="AR550">
        <v>117.145378074718</v>
      </c>
      <c r="AS550">
        <v>640.82000000000005</v>
      </c>
      <c r="AT550">
        <v>1</v>
      </c>
      <c r="AU550">
        <v>75.069101177840764</v>
      </c>
      <c r="AV550">
        <v>0.95889999999999997</v>
      </c>
      <c r="AW550" s="63">
        <v>71.983999999999995</v>
      </c>
      <c r="AX550">
        <v>8.9176000000000002</v>
      </c>
      <c r="AY550">
        <v>1</v>
      </c>
      <c r="AZ550">
        <v>6023.7392733347688</v>
      </c>
      <c r="BA550">
        <v>0.99097621000820357</v>
      </c>
      <c r="BB550" s="63">
        <v>5969.3823000000002</v>
      </c>
      <c r="BC550" s="61">
        <v>4904.2733744414463</v>
      </c>
    </row>
    <row r="551" spans="1:55" x14ac:dyDescent="0.25">
      <c r="A551">
        <v>158827</v>
      </c>
      <c r="B551" t="s">
        <v>151</v>
      </c>
      <c r="C551">
        <v>2019</v>
      </c>
      <c r="D551">
        <v>8</v>
      </c>
      <c r="E551" t="s">
        <v>51</v>
      </c>
      <c r="F551" t="s">
        <v>426</v>
      </c>
      <c r="G551" t="s">
        <v>84</v>
      </c>
      <c r="H551" t="s">
        <v>381</v>
      </c>
      <c r="I551" t="s">
        <v>427</v>
      </c>
      <c r="J551">
        <v>-13.3024606</v>
      </c>
      <c r="K551" t="s">
        <v>440</v>
      </c>
      <c r="L551" t="s">
        <v>451</v>
      </c>
      <c r="M551">
        <v>1.6825115802299999E-3</v>
      </c>
      <c r="N551">
        <v>2.2381544011693521E-2</v>
      </c>
      <c r="O551">
        <v>28410.399000000001</v>
      </c>
      <c r="P551">
        <v>2.51417E-6</v>
      </c>
      <c r="Q551">
        <v>0.14285700000000001</v>
      </c>
      <c r="R551" s="61">
        <v>3.197360232878501E-3</v>
      </c>
      <c r="S551" t="s">
        <v>347</v>
      </c>
      <c r="T551" t="s">
        <v>437</v>
      </c>
      <c r="U551" t="s">
        <v>425</v>
      </c>
      <c r="V551" t="s">
        <v>91</v>
      </c>
      <c r="W551">
        <v>111.133</v>
      </c>
      <c r="X551">
        <v>1.0541007448257309</v>
      </c>
      <c r="Y551">
        <v>117.145378074718</v>
      </c>
      <c r="Z551">
        <v>640.82000000000005</v>
      </c>
      <c r="AA551">
        <v>1</v>
      </c>
      <c r="AB551">
        <v>75.069101177840764</v>
      </c>
      <c r="AC551">
        <v>1.0088999999999999</v>
      </c>
      <c r="AD551" s="63">
        <v>75.736999999999995</v>
      </c>
      <c r="AE551">
        <v>8.9176000000000002</v>
      </c>
      <c r="AF551">
        <v>9.4000488020579382</v>
      </c>
      <c r="AG551">
        <v>1</v>
      </c>
      <c r="AH551">
        <v>6023.7392733347688</v>
      </c>
      <c r="AI551">
        <v>0.99316673174541203</v>
      </c>
      <c r="AJ551" s="63">
        <v>5982.5774000000001</v>
      </c>
      <c r="AK551" s="61">
        <v>19.12845506887766</v>
      </c>
      <c r="AL551" t="s">
        <v>347</v>
      </c>
      <c r="AM551" t="s">
        <v>437</v>
      </c>
      <c r="AN551" t="s">
        <v>425</v>
      </c>
      <c r="AO551" t="s">
        <v>91</v>
      </c>
      <c r="AP551">
        <v>111.133</v>
      </c>
      <c r="AQ551">
        <v>1.0541007448257309</v>
      </c>
      <c r="AR551">
        <v>117.145378074718</v>
      </c>
      <c r="AS551">
        <v>640.82000000000005</v>
      </c>
      <c r="AT551">
        <v>1</v>
      </c>
      <c r="AU551">
        <v>75.069101177840764</v>
      </c>
      <c r="AV551">
        <v>1.0088999999999999</v>
      </c>
      <c r="AW551" s="63">
        <v>75.736999999999995</v>
      </c>
      <c r="AX551">
        <v>8.9176000000000002</v>
      </c>
      <c r="AY551">
        <v>1</v>
      </c>
      <c r="AZ551">
        <v>6023.7392733347688</v>
      </c>
      <c r="BA551">
        <v>0.99316673174541203</v>
      </c>
      <c r="BB551" s="63">
        <v>5982.5774000000001</v>
      </c>
      <c r="BC551" s="61">
        <v>19.12845506887766</v>
      </c>
    </row>
    <row r="552" spans="1:55" x14ac:dyDescent="0.25">
      <c r="A552">
        <v>158829</v>
      </c>
      <c r="B552" t="s">
        <v>151</v>
      </c>
      <c r="C552">
        <v>2019</v>
      </c>
      <c r="D552">
        <v>8</v>
      </c>
      <c r="E552" t="s">
        <v>51</v>
      </c>
      <c r="F552" t="s">
        <v>426</v>
      </c>
      <c r="G552" t="s">
        <v>84</v>
      </c>
      <c r="H552" t="s">
        <v>381</v>
      </c>
      <c r="I552" t="s">
        <v>427</v>
      </c>
      <c r="J552">
        <v>-13.3024606</v>
      </c>
      <c r="K552" t="s">
        <v>440</v>
      </c>
      <c r="L552" t="s">
        <v>452</v>
      </c>
      <c r="M552">
        <v>1.53682162831E-3</v>
      </c>
      <c r="N552">
        <v>2.0443509165886851E-2</v>
      </c>
      <c r="O552">
        <v>28410.399000000001</v>
      </c>
      <c r="P552">
        <v>2.51417E-6</v>
      </c>
      <c r="Q552">
        <v>0.14285700000000001</v>
      </c>
      <c r="R552" s="61">
        <v>2.9204983889110979E-3</v>
      </c>
      <c r="S552" t="s">
        <v>347</v>
      </c>
      <c r="T552" t="s">
        <v>437</v>
      </c>
      <c r="U552" t="s">
        <v>425</v>
      </c>
      <c r="V552" t="s">
        <v>28</v>
      </c>
      <c r="W552">
        <v>111.133</v>
      </c>
      <c r="X552">
        <v>1.0541007448257309</v>
      </c>
      <c r="Y552">
        <v>117.145378074718</v>
      </c>
      <c r="Z552">
        <v>640.82000000000005</v>
      </c>
      <c r="AA552">
        <v>1</v>
      </c>
      <c r="AB552">
        <v>75.069101177840764</v>
      </c>
      <c r="AC552">
        <v>1.0073000000000001</v>
      </c>
      <c r="AD552" s="63">
        <v>75.617000000000004</v>
      </c>
      <c r="AE552">
        <v>8.9176000000000002</v>
      </c>
      <c r="AF552">
        <v>9.4000488020579382</v>
      </c>
      <c r="AG552">
        <v>1</v>
      </c>
      <c r="AH552">
        <v>6023.7392733347688</v>
      </c>
      <c r="AI552">
        <v>0.99399488088206345</v>
      </c>
      <c r="AJ552" s="63">
        <v>5987.5659999999998</v>
      </c>
      <c r="AK552" s="61">
        <v>17.486676856498871</v>
      </c>
      <c r="AL552" t="s">
        <v>347</v>
      </c>
      <c r="AM552" t="s">
        <v>437</v>
      </c>
      <c r="AN552" t="s">
        <v>425</v>
      </c>
      <c r="AO552" t="s">
        <v>28</v>
      </c>
      <c r="AP552">
        <v>111.133</v>
      </c>
      <c r="AQ552">
        <v>1.0541007448257309</v>
      </c>
      <c r="AR552">
        <v>117.145378074718</v>
      </c>
      <c r="AS552">
        <v>640.82000000000005</v>
      </c>
      <c r="AT552">
        <v>1</v>
      </c>
      <c r="AU552">
        <v>75.069101177840764</v>
      </c>
      <c r="AV552">
        <v>1.0073000000000001</v>
      </c>
      <c r="AW552" s="63">
        <v>75.617000000000004</v>
      </c>
      <c r="AX552">
        <v>8.9176000000000002</v>
      </c>
      <c r="AY552">
        <v>1</v>
      </c>
      <c r="AZ552">
        <v>6023.7392733347688</v>
      </c>
      <c r="BA552">
        <v>0.99399488088206345</v>
      </c>
      <c r="BB552" s="63">
        <v>5987.5659999999998</v>
      </c>
      <c r="BC552" s="61">
        <v>17.486676856498871</v>
      </c>
    </row>
    <row r="553" spans="1:55" x14ac:dyDescent="0.25">
      <c r="A553">
        <v>158831</v>
      </c>
      <c r="B553" t="s">
        <v>151</v>
      </c>
      <c r="C553">
        <v>2019</v>
      </c>
      <c r="D553">
        <v>8</v>
      </c>
      <c r="E553" t="s">
        <v>51</v>
      </c>
      <c r="F553" t="s">
        <v>426</v>
      </c>
      <c r="G553" t="s">
        <v>84</v>
      </c>
      <c r="H553" t="s">
        <v>87</v>
      </c>
      <c r="I553" t="s">
        <v>427</v>
      </c>
      <c r="J553">
        <v>-2.6545286400000001</v>
      </c>
      <c r="K553" t="s">
        <v>440</v>
      </c>
      <c r="L553" t="s">
        <v>450</v>
      </c>
      <c r="M553">
        <v>0.26601384014995</v>
      </c>
      <c r="N553">
        <v>0.70614135621524254</v>
      </c>
      <c r="O553">
        <v>28410.399000000001</v>
      </c>
      <c r="P553">
        <v>2.51417E-6</v>
      </c>
      <c r="Q553">
        <v>0.14285700000000001</v>
      </c>
      <c r="R553" s="61">
        <v>0.10087723572484091</v>
      </c>
      <c r="S553" t="s">
        <v>347</v>
      </c>
      <c r="T553" t="s">
        <v>437</v>
      </c>
      <c r="U553" t="s">
        <v>425</v>
      </c>
      <c r="V553" t="s">
        <v>26</v>
      </c>
      <c r="W553">
        <v>111.133</v>
      </c>
      <c r="X553">
        <v>1.0541007448257309</v>
      </c>
      <c r="Y553">
        <v>117.145378074718</v>
      </c>
      <c r="Z553">
        <v>640.82000000000005</v>
      </c>
      <c r="AA553">
        <v>1</v>
      </c>
      <c r="AB553">
        <v>75.069101177840764</v>
      </c>
      <c r="AC553">
        <v>0.99109999999999998</v>
      </c>
      <c r="AD553" s="63">
        <v>74.400999999999996</v>
      </c>
      <c r="AE553">
        <v>8.9176000000000002</v>
      </c>
      <c r="AF553">
        <v>9.4000488020579382</v>
      </c>
      <c r="AG553">
        <v>1</v>
      </c>
      <c r="AH553">
        <v>6023.7392733347688</v>
      </c>
      <c r="AI553">
        <v>0.9830373970836227</v>
      </c>
      <c r="AJ553" s="63">
        <v>5921.5609999999997</v>
      </c>
      <c r="AK553" s="61">
        <v>597.35070485602466</v>
      </c>
      <c r="AL553" t="s">
        <v>347</v>
      </c>
      <c r="AM553" t="s">
        <v>437</v>
      </c>
      <c r="AN553" t="s">
        <v>425</v>
      </c>
      <c r="AO553" t="s">
        <v>26</v>
      </c>
      <c r="AP553">
        <v>111.133</v>
      </c>
      <c r="AQ553">
        <v>1.0541007448257309</v>
      </c>
      <c r="AR553">
        <v>117.145378074718</v>
      </c>
      <c r="AS553">
        <v>640.82000000000005</v>
      </c>
      <c r="AT553">
        <v>1</v>
      </c>
      <c r="AU553">
        <v>75.069101177840764</v>
      </c>
      <c r="AV553">
        <v>0.99109999999999998</v>
      </c>
      <c r="AW553" s="63">
        <v>74.400999999999996</v>
      </c>
      <c r="AX553">
        <v>8.9176000000000002</v>
      </c>
      <c r="AY553">
        <v>1</v>
      </c>
      <c r="AZ553">
        <v>6023.7392733347688</v>
      </c>
      <c r="BA553">
        <v>0.9830373970836227</v>
      </c>
      <c r="BB553" s="63">
        <v>5921.5609999999997</v>
      </c>
      <c r="BC553" s="61">
        <v>597.35070485602466</v>
      </c>
    </row>
    <row r="554" spans="1:55" x14ac:dyDescent="0.25">
      <c r="A554">
        <v>158833</v>
      </c>
      <c r="B554" t="s">
        <v>151</v>
      </c>
      <c r="C554">
        <v>2019</v>
      </c>
      <c r="D554">
        <v>8</v>
      </c>
      <c r="E554" t="s">
        <v>51</v>
      </c>
      <c r="F554" t="s">
        <v>426</v>
      </c>
      <c r="G554" t="s">
        <v>84</v>
      </c>
      <c r="H554" t="s">
        <v>87</v>
      </c>
      <c r="I554" t="s">
        <v>427</v>
      </c>
      <c r="J554">
        <v>-2.6545286400000001</v>
      </c>
      <c r="K554" t="s">
        <v>440</v>
      </c>
      <c r="L554" t="s">
        <v>384</v>
      </c>
      <c r="M554">
        <v>3.9509559941419997E-2</v>
      </c>
      <c r="N554">
        <v>0.1048792582550408</v>
      </c>
      <c r="O554">
        <v>28410.399000000001</v>
      </c>
      <c r="P554">
        <v>2.51417E-6</v>
      </c>
      <c r="Q554">
        <v>0.14285700000000001</v>
      </c>
      <c r="R554" s="61">
        <v>1.498273619654036E-2</v>
      </c>
      <c r="S554" t="s">
        <v>347</v>
      </c>
      <c r="T554" t="s">
        <v>437</v>
      </c>
      <c r="U554" t="s">
        <v>425</v>
      </c>
      <c r="V554" t="s">
        <v>81</v>
      </c>
      <c r="W554">
        <v>111.133</v>
      </c>
      <c r="X554">
        <v>1.0541007448257309</v>
      </c>
      <c r="Y554">
        <v>117.145378074718</v>
      </c>
      <c r="Z554">
        <v>640.82000000000005</v>
      </c>
      <c r="AA554">
        <v>1</v>
      </c>
      <c r="AB554">
        <v>75.069101177840764</v>
      </c>
      <c r="AC554">
        <v>0.93830000000000002</v>
      </c>
      <c r="AD554" s="63">
        <v>70.436999999999998</v>
      </c>
      <c r="AE554">
        <v>8.9176000000000002</v>
      </c>
      <c r="AF554">
        <v>9.4000488020579382</v>
      </c>
      <c r="AG554">
        <v>1</v>
      </c>
      <c r="AH554">
        <v>6023.7392733347688</v>
      </c>
      <c r="AI554">
        <v>1.098016605166052</v>
      </c>
      <c r="AJ554" s="63">
        <v>6614.1656999999996</v>
      </c>
      <c r="AK554" s="61">
        <v>99.098299843305696</v>
      </c>
      <c r="AL554" t="s">
        <v>347</v>
      </c>
      <c r="AM554" t="s">
        <v>437</v>
      </c>
      <c r="AN554" t="s">
        <v>425</v>
      </c>
      <c r="AO554" t="s">
        <v>81</v>
      </c>
      <c r="AP554">
        <v>111.133</v>
      </c>
      <c r="AQ554">
        <v>1.0541007448257309</v>
      </c>
      <c r="AR554">
        <v>117.145378074718</v>
      </c>
      <c r="AS554">
        <v>640.82000000000005</v>
      </c>
      <c r="AT554">
        <v>1</v>
      </c>
      <c r="AU554">
        <v>75.069101177840764</v>
      </c>
      <c r="AV554">
        <v>0.93830000000000002</v>
      </c>
      <c r="AW554" s="63">
        <v>70.436999999999998</v>
      </c>
      <c r="AX554">
        <v>8.9176000000000002</v>
      </c>
      <c r="AY554">
        <v>1</v>
      </c>
      <c r="AZ554">
        <v>6023.7392733347688</v>
      </c>
      <c r="BA554">
        <v>1.098016605166052</v>
      </c>
      <c r="BB554" s="63">
        <v>6614.1656999999996</v>
      </c>
      <c r="BC554" s="61">
        <v>99.098299843305696</v>
      </c>
    </row>
    <row r="555" spans="1:55" x14ac:dyDescent="0.25">
      <c r="A555">
        <v>158835</v>
      </c>
      <c r="B555" t="s">
        <v>151</v>
      </c>
      <c r="C555">
        <v>2019</v>
      </c>
      <c r="D555">
        <v>8</v>
      </c>
      <c r="E555" t="s">
        <v>51</v>
      </c>
      <c r="F555" t="s">
        <v>426</v>
      </c>
      <c r="G555" t="s">
        <v>84</v>
      </c>
      <c r="H555" t="s">
        <v>87</v>
      </c>
      <c r="I555" t="s">
        <v>427</v>
      </c>
      <c r="J555">
        <v>-2.6545286400000001</v>
      </c>
      <c r="K555" t="s">
        <v>440</v>
      </c>
      <c r="L555" t="s">
        <v>385</v>
      </c>
      <c r="M555">
        <v>0.39737542925016001</v>
      </c>
      <c r="N555">
        <v>1.05484445613487</v>
      </c>
      <c r="O555">
        <v>28410.399000000001</v>
      </c>
      <c r="P555">
        <v>2.51417E-6</v>
      </c>
      <c r="Q555">
        <v>0.14285700000000001</v>
      </c>
      <c r="R555" s="61">
        <v>0.15069191447005911</v>
      </c>
      <c r="S555" t="s">
        <v>347</v>
      </c>
      <c r="T555" t="s">
        <v>437</v>
      </c>
      <c r="U555" t="s">
        <v>425</v>
      </c>
      <c r="V555" t="s">
        <v>27</v>
      </c>
      <c r="W555">
        <v>111.133</v>
      </c>
      <c r="X555">
        <v>1.0541007448257309</v>
      </c>
      <c r="Y555">
        <v>117.145378074718</v>
      </c>
      <c r="Z555">
        <v>640.82000000000005</v>
      </c>
      <c r="AA555">
        <v>1</v>
      </c>
      <c r="AB555">
        <v>75.069101177840764</v>
      </c>
      <c r="AC555">
        <v>0.95889999999999997</v>
      </c>
      <c r="AD555" s="63">
        <v>71.983999999999995</v>
      </c>
      <c r="AE555">
        <v>8.9176000000000002</v>
      </c>
      <c r="AF555">
        <v>9.4000488020579382</v>
      </c>
      <c r="AG555">
        <v>1</v>
      </c>
      <c r="AH555">
        <v>6023.7392733347688</v>
      </c>
      <c r="AI555">
        <v>0.99097621000820357</v>
      </c>
      <c r="AJ555" s="63">
        <v>5969.3823000000002</v>
      </c>
      <c r="AK555" s="61">
        <v>899.53764699068483</v>
      </c>
      <c r="AL555" t="s">
        <v>347</v>
      </c>
      <c r="AM555" t="s">
        <v>437</v>
      </c>
      <c r="AN555" t="s">
        <v>425</v>
      </c>
      <c r="AO555" t="s">
        <v>27</v>
      </c>
      <c r="AP555">
        <v>111.133</v>
      </c>
      <c r="AQ555">
        <v>1.0541007448257309</v>
      </c>
      <c r="AR555">
        <v>117.145378074718</v>
      </c>
      <c r="AS555">
        <v>640.82000000000005</v>
      </c>
      <c r="AT555">
        <v>1</v>
      </c>
      <c r="AU555">
        <v>75.069101177840764</v>
      </c>
      <c r="AV555">
        <v>0.95889999999999997</v>
      </c>
      <c r="AW555" s="63">
        <v>71.983999999999995</v>
      </c>
      <c r="AX555">
        <v>8.9176000000000002</v>
      </c>
      <c r="AY555">
        <v>1</v>
      </c>
      <c r="AZ555">
        <v>6023.7392733347688</v>
      </c>
      <c r="BA555">
        <v>0.99097621000820357</v>
      </c>
      <c r="BB555" s="63">
        <v>5969.3823000000002</v>
      </c>
      <c r="BC555" s="61">
        <v>899.53764699068483</v>
      </c>
    </row>
    <row r="556" spans="1:55" x14ac:dyDescent="0.25">
      <c r="A556">
        <v>158837</v>
      </c>
      <c r="B556" t="s">
        <v>151</v>
      </c>
      <c r="C556">
        <v>2019</v>
      </c>
      <c r="D556">
        <v>8</v>
      </c>
      <c r="E556" t="s">
        <v>51</v>
      </c>
      <c r="F556" t="s">
        <v>426</v>
      </c>
      <c r="G556" t="s">
        <v>84</v>
      </c>
      <c r="H556" t="s">
        <v>87</v>
      </c>
      <c r="I556" t="s">
        <v>427</v>
      </c>
      <c r="J556">
        <v>-2.6545286400000001</v>
      </c>
      <c r="K556" t="s">
        <v>440</v>
      </c>
      <c r="L556" t="s">
        <v>452</v>
      </c>
      <c r="M556">
        <v>8.4248020759000004E-4</v>
      </c>
      <c r="N556">
        <v>2.2363878361996328E-3</v>
      </c>
      <c r="O556">
        <v>28410.399000000001</v>
      </c>
      <c r="P556">
        <v>2.51417E-6</v>
      </c>
      <c r="Q556">
        <v>0.14285700000000001</v>
      </c>
      <c r="R556" s="61">
        <v>3.1948365711597097E-4</v>
      </c>
      <c r="S556" t="s">
        <v>347</v>
      </c>
      <c r="T556" t="s">
        <v>437</v>
      </c>
      <c r="U556" t="s">
        <v>425</v>
      </c>
      <c r="V556" t="s">
        <v>28</v>
      </c>
      <c r="W556">
        <v>111.133</v>
      </c>
      <c r="X556">
        <v>1.0541007448257309</v>
      </c>
      <c r="Y556">
        <v>117.145378074718</v>
      </c>
      <c r="Z556">
        <v>640.82000000000005</v>
      </c>
      <c r="AA556">
        <v>1</v>
      </c>
      <c r="AB556">
        <v>75.069101177840764</v>
      </c>
      <c r="AC556">
        <v>1.0073000000000001</v>
      </c>
      <c r="AD556" s="63">
        <v>75.617000000000004</v>
      </c>
      <c r="AE556">
        <v>8.9176000000000002</v>
      </c>
      <c r="AF556">
        <v>9.4000488020579382</v>
      </c>
      <c r="AG556">
        <v>1</v>
      </c>
      <c r="AH556">
        <v>6023.7392733347688</v>
      </c>
      <c r="AI556">
        <v>0.99399488088206345</v>
      </c>
      <c r="AJ556" s="63">
        <v>5987.5659999999998</v>
      </c>
      <c r="AK556" s="61">
        <v>1.9129294829032459</v>
      </c>
      <c r="AL556" t="s">
        <v>347</v>
      </c>
      <c r="AM556" t="s">
        <v>437</v>
      </c>
      <c r="AN556" t="s">
        <v>425</v>
      </c>
      <c r="AO556" t="s">
        <v>28</v>
      </c>
      <c r="AP556">
        <v>111.133</v>
      </c>
      <c r="AQ556">
        <v>1.0541007448257309</v>
      </c>
      <c r="AR556">
        <v>117.145378074718</v>
      </c>
      <c r="AS556">
        <v>640.82000000000005</v>
      </c>
      <c r="AT556">
        <v>1</v>
      </c>
      <c r="AU556">
        <v>75.069101177840764</v>
      </c>
      <c r="AV556">
        <v>1.0073000000000001</v>
      </c>
      <c r="AW556" s="63">
        <v>75.617000000000004</v>
      </c>
      <c r="AX556">
        <v>8.9176000000000002</v>
      </c>
      <c r="AY556">
        <v>1</v>
      </c>
      <c r="AZ556">
        <v>6023.7392733347688</v>
      </c>
      <c r="BA556">
        <v>0.99399488088206345</v>
      </c>
      <c r="BB556" s="63">
        <v>5987.5659999999998</v>
      </c>
      <c r="BC556" s="61">
        <v>1.9129294829032459</v>
      </c>
    </row>
    <row r="557" spans="1:55" x14ac:dyDescent="0.25">
      <c r="A557">
        <v>158839</v>
      </c>
      <c r="B557" t="s">
        <v>151</v>
      </c>
      <c r="C557">
        <v>2019</v>
      </c>
      <c r="D557">
        <v>8</v>
      </c>
      <c r="E557" t="s">
        <v>51</v>
      </c>
      <c r="F557" t="s">
        <v>426</v>
      </c>
      <c r="G557" t="s">
        <v>84</v>
      </c>
      <c r="H557" t="s">
        <v>59</v>
      </c>
      <c r="I557" t="s">
        <v>427</v>
      </c>
      <c r="J557">
        <v>-6.3124784299999996</v>
      </c>
      <c r="K557" t="s">
        <v>440</v>
      </c>
      <c r="L557" t="s">
        <v>450</v>
      </c>
      <c r="M557">
        <v>0.15931709696460999</v>
      </c>
      <c r="N557">
        <v>1.0056857381582409</v>
      </c>
      <c r="O557">
        <v>28410.399000000001</v>
      </c>
      <c r="P557">
        <v>2.51417E-6</v>
      </c>
      <c r="Q557">
        <v>0.14285700000000001</v>
      </c>
      <c r="R557" s="61">
        <v>0.14366924749607179</v>
      </c>
      <c r="S557" t="s">
        <v>347</v>
      </c>
      <c r="T557" t="s">
        <v>437</v>
      </c>
      <c r="U557" t="s">
        <v>425</v>
      </c>
      <c r="V557" t="s">
        <v>26</v>
      </c>
      <c r="W557">
        <v>111.133</v>
      </c>
      <c r="X557">
        <v>1.0541007448257309</v>
      </c>
      <c r="Y557">
        <v>117.145378074718</v>
      </c>
      <c r="Z557">
        <v>640.82000000000005</v>
      </c>
      <c r="AA557">
        <v>1</v>
      </c>
      <c r="AB557">
        <v>75.069101177840764</v>
      </c>
      <c r="AC557">
        <v>0.99109999999999998</v>
      </c>
      <c r="AD557" s="63">
        <v>74.400999999999996</v>
      </c>
      <c r="AE557">
        <v>8.9176000000000002</v>
      </c>
      <c r="AF557">
        <v>9.4000488020579382</v>
      </c>
      <c r="AG557">
        <v>1</v>
      </c>
      <c r="AH557">
        <v>6023.7392733347688</v>
      </c>
      <c r="AI557">
        <v>0.9830373970836227</v>
      </c>
      <c r="AJ557" s="63">
        <v>5921.5609999999997</v>
      </c>
      <c r="AK557" s="61">
        <v>850.74621287208652</v>
      </c>
      <c r="AL557" t="s">
        <v>347</v>
      </c>
      <c r="AM557" t="s">
        <v>437</v>
      </c>
      <c r="AN557" t="s">
        <v>425</v>
      </c>
      <c r="AO557" t="s">
        <v>26</v>
      </c>
      <c r="AP557">
        <v>111.133</v>
      </c>
      <c r="AQ557">
        <v>1.0541007448257309</v>
      </c>
      <c r="AR557">
        <v>117.145378074718</v>
      </c>
      <c r="AS557">
        <v>640.82000000000005</v>
      </c>
      <c r="AT557">
        <v>1</v>
      </c>
      <c r="AU557">
        <v>75.069101177840764</v>
      </c>
      <c r="AV557">
        <v>0.99109999999999998</v>
      </c>
      <c r="AW557" s="63">
        <v>74.400999999999996</v>
      </c>
      <c r="AX557">
        <v>8.9176000000000002</v>
      </c>
      <c r="AY557">
        <v>1</v>
      </c>
      <c r="AZ557">
        <v>6023.7392733347688</v>
      </c>
      <c r="BA557">
        <v>0.9830373970836227</v>
      </c>
      <c r="BB557" s="63">
        <v>5921.5609999999997</v>
      </c>
      <c r="BC557" s="61">
        <v>850.74621287208652</v>
      </c>
    </row>
    <row r="558" spans="1:55" x14ac:dyDescent="0.25">
      <c r="A558">
        <v>158841</v>
      </c>
      <c r="B558" t="s">
        <v>151</v>
      </c>
      <c r="C558">
        <v>2019</v>
      </c>
      <c r="D558">
        <v>8</v>
      </c>
      <c r="E558" t="s">
        <v>51</v>
      </c>
      <c r="F558" t="s">
        <v>426</v>
      </c>
      <c r="G558" t="s">
        <v>84</v>
      </c>
      <c r="H558" t="s">
        <v>59</v>
      </c>
      <c r="I558" t="s">
        <v>427</v>
      </c>
      <c r="J558">
        <v>-6.3124784299999996</v>
      </c>
      <c r="K558" t="s">
        <v>440</v>
      </c>
      <c r="L558" t="s">
        <v>384</v>
      </c>
      <c r="M558">
        <v>4.1785183859599999E-2</v>
      </c>
      <c r="N558">
        <v>0.26376807181751738</v>
      </c>
      <c r="O558">
        <v>28410.399000000001</v>
      </c>
      <c r="P558">
        <v>2.51417E-6</v>
      </c>
      <c r="Q558">
        <v>0.14285700000000001</v>
      </c>
      <c r="R558" s="61">
        <v>3.7681115435635092E-2</v>
      </c>
      <c r="S558" t="s">
        <v>347</v>
      </c>
      <c r="T558" t="s">
        <v>437</v>
      </c>
      <c r="U558" t="s">
        <v>425</v>
      </c>
      <c r="V558" t="s">
        <v>81</v>
      </c>
      <c r="W558">
        <v>111.133</v>
      </c>
      <c r="X558">
        <v>1.0541007448257309</v>
      </c>
      <c r="Y558">
        <v>117.145378074718</v>
      </c>
      <c r="Z558">
        <v>640.82000000000005</v>
      </c>
      <c r="AA558">
        <v>1</v>
      </c>
      <c r="AB558">
        <v>75.069101177840764</v>
      </c>
      <c r="AC558">
        <v>0.93830000000000002</v>
      </c>
      <c r="AD558" s="63">
        <v>70.436999999999998</v>
      </c>
      <c r="AE558">
        <v>8.9176000000000002</v>
      </c>
      <c r="AF558">
        <v>9.4000488020579382</v>
      </c>
      <c r="AG558">
        <v>1</v>
      </c>
      <c r="AH558">
        <v>6023.7392733347688</v>
      </c>
      <c r="AI558">
        <v>1.098016605166052</v>
      </c>
      <c r="AJ558" s="63">
        <v>6614.1656999999996</v>
      </c>
      <c r="AK558" s="61">
        <v>249.22914125211821</v>
      </c>
      <c r="AL558" t="s">
        <v>347</v>
      </c>
      <c r="AM558" t="s">
        <v>437</v>
      </c>
      <c r="AN558" t="s">
        <v>425</v>
      </c>
      <c r="AO558" t="s">
        <v>81</v>
      </c>
      <c r="AP558">
        <v>111.133</v>
      </c>
      <c r="AQ558">
        <v>1.0541007448257309</v>
      </c>
      <c r="AR558">
        <v>117.145378074718</v>
      </c>
      <c r="AS558">
        <v>640.82000000000005</v>
      </c>
      <c r="AT558">
        <v>1</v>
      </c>
      <c r="AU558">
        <v>75.069101177840764</v>
      </c>
      <c r="AV558">
        <v>0.93830000000000002</v>
      </c>
      <c r="AW558" s="63">
        <v>70.436999999999998</v>
      </c>
      <c r="AX558">
        <v>8.9176000000000002</v>
      </c>
      <c r="AY558">
        <v>1</v>
      </c>
      <c r="AZ558">
        <v>6023.7392733347688</v>
      </c>
      <c r="BA558">
        <v>1.098016605166052</v>
      </c>
      <c r="BB558" s="63">
        <v>6614.1656999999996</v>
      </c>
      <c r="BC558" s="61">
        <v>249.22914125211821</v>
      </c>
    </row>
    <row r="559" spans="1:55" x14ac:dyDescent="0.25">
      <c r="A559">
        <v>158843</v>
      </c>
      <c r="B559" t="s">
        <v>151</v>
      </c>
      <c r="C559">
        <v>2019</v>
      </c>
      <c r="D559">
        <v>8</v>
      </c>
      <c r="E559" t="s">
        <v>51</v>
      </c>
      <c r="F559" t="s">
        <v>426</v>
      </c>
      <c r="G559" t="s">
        <v>84</v>
      </c>
      <c r="H559" t="s">
        <v>59</v>
      </c>
      <c r="I559" t="s">
        <v>427</v>
      </c>
      <c r="J559">
        <v>-6.3124784299999996</v>
      </c>
      <c r="K559" t="s">
        <v>440</v>
      </c>
      <c r="L559" t="s">
        <v>385</v>
      </c>
      <c r="M559">
        <v>0.43497567483749999</v>
      </c>
      <c r="N559">
        <v>2.7457745650926788</v>
      </c>
      <c r="O559">
        <v>28410.399000000001</v>
      </c>
      <c r="P559">
        <v>2.51417E-6</v>
      </c>
      <c r="Q559">
        <v>0.14285700000000001</v>
      </c>
      <c r="R559" s="61">
        <v>0.39225311704544491</v>
      </c>
      <c r="S559" t="s">
        <v>347</v>
      </c>
      <c r="T559" t="s">
        <v>437</v>
      </c>
      <c r="U559" t="s">
        <v>425</v>
      </c>
      <c r="V559" t="s">
        <v>27</v>
      </c>
      <c r="W559">
        <v>111.133</v>
      </c>
      <c r="X559">
        <v>1.0541007448257309</v>
      </c>
      <c r="Y559">
        <v>117.145378074718</v>
      </c>
      <c r="Z559">
        <v>640.82000000000005</v>
      </c>
      <c r="AA559">
        <v>1</v>
      </c>
      <c r="AB559">
        <v>75.069101177840764</v>
      </c>
      <c r="AC559">
        <v>0.95889999999999997</v>
      </c>
      <c r="AD559" s="63">
        <v>71.983999999999995</v>
      </c>
      <c r="AE559">
        <v>8.9176000000000002</v>
      </c>
      <c r="AF559">
        <v>9.4000488020579382</v>
      </c>
      <c r="AG559">
        <v>1</v>
      </c>
      <c r="AH559">
        <v>6023.7392733347688</v>
      </c>
      <c r="AI559">
        <v>0.99097621000820357</v>
      </c>
      <c r="AJ559" s="63">
        <v>5969.3823000000002</v>
      </c>
      <c r="AK559" s="61">
        <v>2341.5088140109069</v>
      </c>
      <c r="AL559" t="s">
        <v>347</v>
      </c>
      <c r="AM559" t="s">
        <v>437</v>
      </c>
      <c r="AN559" t="s">
        <v>425</v>
      </c>
      <c r="AO559" t="s">
        <v>27</v>
      </c>
      <c r="AP559">
        <v>111.133</v>
      </c>
      <c r="AQ559">
        <v>1.0541007448257309</v>
      </c>
      <c r="AR559">
        <v>117.145378074718</v>
      </c>
      <c r="AS559">
        <v>640.82000000000005</v>
      </c>
      <c r="AT559">
        <v>1</v>
      </c>
      <c r="AU559">
        <v>75.069101177840764</v>
      </c>
      <c r="AV559">
        <v>0.95889999999999997</v>
      </c>
      <c r="AW559" s="63">
        <v>71.983999999999995</v>
      </c>
      <c r="AX559">
        <v>8.9176000000000002</v>
      </c>
      <c r="AY559">
        <v>1</v>
      </c>
      <c r="AZ559">
        <v>6023.7392733347688</v>
      </c>
      <c r="BA559">
        <v>0.99097621000820357</v>
      </c>
      <c r="BB559" s="63">
        <v>5969.3823000000002</v>
      </c>
      <c r="BC559" s="61">
        <v>2341.5088140109069</v>
      </c>
    </row>
    <row r="560" spans="1:55" x14ac:dyDescent="0.25">
      <c r="A560">
        <v>158845</v>
      </c>
      <c r="B560" t="s">
        <v>151</v>
      </c>
      <c r="C560">
        <v>2019</v>
      </c>
      <c r="D560">
        <v>8</v>
      </c>
      <c r="E560" t="s">
        <v>51</v>
      </c>
      <c r="F560" t="s">
        <v>426</v>
      </c>
      <c r="G560" t="s">
        <v>84</v>
      </c>
      <c r="H560" t="s">
        <v>59</v>
      </c>
      <c r="I560" t="s">
        <v>427</v>
      </c>
      <c r="J560">
        <v>-6.3124784299999996</v>
      </c>
      <c r="K560" t="s">
        <v>440</v>
      </c>
      <c r="L560" t="s">
        <v>451</v>
      </c>
      <c r="M560">
        <v>1.7625750762999999E-3</v>
      </c>
      <c r="N560">
        <v>1.112621715082996E-2</v>
      </c>
      <c r="O560">
        <v>28410.399000000001</v>
      </c>
      <c r="P560">
        <v>2.51417E-6</v>
      </c>
      <c r="Q560">
        <v>0.14285700000000001</v>
      </c>
      <c r="R560" s="61">
        <v>1.589458003516116E-3</v>
      </c>
      <c r="S560" t="s">
        <v>347</v>
      </c>
      <c r="T560" t="s">
        <v>437</v>
      </c>
      <c r="U560" t="s">
        <v>425</v>
      </c>
      <c r="V560" t="s">
        <v>91</v>
      </c>
      <c r="W560">
        <v>111.133</v>
      </c>
      <c r="X560">
        <v>1.0541007448257309</v>
      </c>
      <c r="Y560">
        <v>117.145378074718</v>
      </c>
      <c r="Z560">
        <v>640.82000000000005</v>
      </c>
      <c r="AA560">
        <v>1</v>
      </c>
      <c r="AB560">
        <v>75.069101177840764</v>
      </c>
      <c r="AC560">
        <v>1.0088999999999999</v>
      </c>
      <c r="AD560" s="63">
        <v>75.736999999999995</v>
      </c>
      <c r="AE560">
        <v>8.9176000000000002</v>
      </c>
      <c r="AF560">
        <v>9.4000488020579382</v>
      </c>
      <c r="AG560">
        <v>1</v>
      </c>
      <c r="AH560">
        <v>6023.7392733347688</v>
      </c>
      <c r="AI560">
        <v>0.99316673174541203</v>
      </c>
      <c r="AJ560" s="63">
        <v>5982.5774000000001</v>
      </c>
      <c r="AK560" s="61">
        <v>9.509055530084634</v>
      </c>
      <c r="AL560" t="s">
        <v>347</v>
      </c>
      <c r="AM560" t="s">
        <v>437</v>
      </c>
      <c r="AN560" t="s">
        <v>425</v>
      </c>
      <c r="AO560" t="s">
        <v>91</v>
      </c>
      <c r="AP560">
        <v>111.133</v>
      </c>
      <c r="AQ560">
        <v>1.0541007448257309</v>
      </c>
      <c r="AR560">
        <v>117.145378074718</v>
      </c>
      <c r="AS560">
        <v>640.82000000000005</v>
      </c>
      <c r="AT560">
        <v>1</v>
      </c>
      <c r="AU560">
        <v>75.069101177840764</v>
      </c>
      <c r="AV560">
        <v>1.0088999999999999</v>
      </c>
      <c r="AW560" s="63">
        <v>75.736999999999995</v>
      </c>
      <c r="AX560">
        <v>8.9176000000000002</v>
      </c>
      <c r="AY560">
        <v>1</v>
      </c>
      <c r="AZ560">
        <v>6023.7392733347688</v>
      </c>
      <c r="BA560">
        <v>0.99316673174541203</v>
      </c>
      <c r="BB560" s="63">
        <v>5982.5774000000001</v>
      </c>
      <c r="BC560" s="61">
        <v>9.509055530084634</v>
      </c>
    </row>
    <row r="561" spans="1:55" x14ac:dyDescent="0.25">
      <c r="A561">
        <v>158847</v>
      </c>
      <c r="B561" t="s">
        <v>151</v>
      </c>
      <c r="C561">
        <v>2019</v>
      </c>
      <c r="D561">
        <v>8</v>
      </c>
      <c r="E561" t="s">
        <v>51</v>
      </c>
      <c r="F561" t="s">
        <v>426</v>
      </c>
      <c r="G561" t="s">
        <v>84</v>
      </c>
      <c r="H561" t="s">
        <v>59</v>
      </c>
      <c r="I561" t="s">
        <v>427</v>
      </c>
      <c r="J561">
        <v>-6.3124784299999996</v>
      </c>
      <c r="K561" t="s">
        <v>440</v>
      </c>
      <c r="L561" t="s">
        <v>452</v>
      </c>
      <c r="M561">
        <v>1.4858046103299999E-3</v>
      </c>
      <c r="N561">
        <v>9.3791095542656681E-3</v>
      </c>
      <c r="O561">
        <v>28410.399000000001</v>
      </c>
      <c r="P561">
        <v>2.51417E-6</v>
      </c>
      <c r="Q561">
        <v>0.14285700000000001</v>
      </c>
      <c r="R561" s="61">
        <v>1.339871453593731E-3</v>
      </c>
      <c r="S561" t="s">
        <v>347</v>
      </c>
      <c r="T561" t="s">
        <v>437</v>
      </c>
      <c r="U561" t="s">
        <v>425</v>
      </c>
      <c r="V561" t="s">
        <v>28</v>
      </c>
      <c r="W561">
        <v>111.133</v>
      </c>
      <c r="X561">
        <v>1.0541007448257309</v>
      </c>
      <c r="Y561">
        <v>117.145378074718</v>
      </c>
      <c r="Z561">
        <v>640.82000000000005</v>
      </c>
      <c r="AA561">
        <v>1</v>
      </c>
      <c r="AB561">
        <v>75.069101177840764</v>
      </c>
      <c r="AC561">
        <v>1.0073000000000001</v>
      </c>
      <c r="AD561" s="63">
        <v>75.617000000000004</v>
      </c>
      <c r="AE561">
        <v>8.9176000000000002</v>
      </c>
      <c r="AF561">
        <v>9.4000488020579382</v>
      </c>
      <c r="AG561">
        <v>1</v>
      </c>
      <c r="AH561">
        <v>6023.7392733347688</v>
      </c>
      <c r="AI561">
        <v>0.99399488088206345</v>
      </c>
      <c r="AJ561" s="63">
        <v>5987.5659999999998</v>
      </c>
      <c r="AK561" s="61">
        <v>8.022568759908399</v>
      </c>
      <c r="AL561" t="s">
        <v>347</v>
      </c>
      <c r="AM561" t="s">
        <v>437</v>
      </c>
      <c r="AN561" t="s">
        <v>425</v>
      </c>
      <c r="AO561" t="s">
        <v>28</v>
      </c>
      <c r="AP561">
        <v>111.133</v>
      </c>
      <c r="AQ561">
        <v>1.0541007448257309</v>
      </c>
      <c r="AR561">
        <v>117.145378074718</v>
      </c>
      <c r="AS561">
        <v>640.82000000000005</v>
      </c>
      <c r="AT561">
        <v>1</v>
      </c>
      <c r="AU561">
        <v>75.069101177840764</v>
      </c>
      <c r="AV561">
        <v>1.0073000000000001</v>
      </c>
      <c r="AW561" s="63">
        <v>75.617000000000004</v>
      </c>
      <c r="AX561">
        <v>8.9176000000000002</v>
      </c>
      <c r="AY561">
        <v>1</v>
      </c>
      <c r="AZ561">
        <v>6023.7392733347688</v>
      </c>
      <c r="BA561">
        <v>0.99399488088206345</v>
      </c>
      <c r="BB561" s="63">
        <v>5987.5659999999998</v>
      </c>
      <c r="BC561" s="61">
        <v>8.022568759908399</v>
      </c>
    </row>
    <row r="562" spans="1:55" x14ac:dyDescent="0.25">
      <c r="A562">
        <v>166011</v>
      </c>
      <c r="B562" t="s">
        <v>154</v>
      </c>
      <c r="C562">
        <v>2019</v>
      </c>
      <c r="D562">
        <v>9</v>
      </c>
      <c r="E562" t="s">
        <v>51</v>
      </c>
      <c r="F562" t="s">
        <v>426</v>
      </c>
      <c r="G562" t="s">
        <v>84</v>
      </c>
      <c r="H562" t="s">
        <v>381</v>
      </c>
      <c r="I562" t="s">
        <v>427</v>
      </c>
      <c r="J562">
        <v>-13.3024606</v>
      </c>
      <c r="K562" t="s">
        <v>440</v>
      </c>
      <c r="L562" t="s">
        <v>450</v>
      </c>
      <c r="M562">
        <v>0.15011157993331001</v>
      </c>
      <c r="N562">
        <v>1.9968533782590381</v>
      </c>
      <c r="O562">
        <v>28410.399000000001</v>
      </c>
      <c r="P562">
        <v>2.51417E-6</v>
      </c>
      <c r="Q562">
        <v>0.14285700000000001</v>
      </c>
      <c r="R562" s="61">
        <v>0.28526448305795138</v>
      </c>
      <c r="S562" t="s">
        <v>347</v>
      </c>
      <c r="T562" t="s">
        <v>437</v>
      </c>
      <c r="U562" t="s">
        <v>425</v>
      </c>
      <c r="V562" t="s">
        <v>26</v>
      </c>
      <c r="W562">
        <v>111.133</v>
      </c>
      <c r="X562">
        <v>1.0541007448257309</v>
      </c>
      <c r="Y562">
        <v>117.145378074718</v>
      </c>
      <c r="Z562">
        <v>640.82000000000005</v>
      </c>
      <c r="AA562">
        <v>1</v>
      </c>
      <c r="AB562">
        <v>75.069101177840764</v>
      </c>
      <c r="AC562">
        <v>0.99109999999999998</v>
      </c>
      <c r="AD562" s="63">
        <v>74.400999999999996</v>
      </c>
      <c r="AE562">
        <v>8.9176000000000002</v>
      </c>
      <c r="AF562">
        <v>9.4000488020579382</v>
      </c>
      <c r="AG562">
        <v>1</v>
      </c>
      <c r="AH562">
        <v>6023.7392733347688</v>
      </c>
      <c r="AI562">
        <v>0.9830373970836227</v>
      </c>
      <c r="AJ562" s="63">
        <v>5921.5609999999997</v>
      </c>
      <c r="AK562" s="61">
        <v>1689.211037561126</v>
      </c>
      <c r="AL562" t="s">
        <v>347</v>
      </c>
      <c r="AM562" t="s">
        <v>437</v>
      </c>
      <c r="AN562" t="s">
        <v>425</v>
      </c>
      <c r="AO562" t="s">
        <v>26</v>
      </c>
      <c r="AP562">
        <v>111.133</v>
      </c>
      <c r="AQ562">
        <v>1.0541007448257309</v>
      </c>
      <c r="AR562">
        <v>117.145378074718</v>
      </c>
      <c r="AS562">
        <v>640.82000000000005</v>
      </c>
      <c r="AT562">
        <v>1</v>
      </c>
      <c r="AU562">
        <v>75.069101177840764</v>
      </c>
      <c r="AV562">
        <v>0.99109999999999998</v>
      </c>
      <c r="AW562" s="63">
        <v>74.400999999999996</v>
      </c>
      <c r="AX562">
        <v>8.9176000000000002</v>
      </c>
      <c r="AY562">
        <v>1</v>
      </c>
      <c r="AZ562">
        <v>6023.7392733347688</v>
      </c>
      <c r="BA562">
        <v>0.9830373970836227</v>
      </c>
      <c r="BB562" s="63">
        <v>5921.5609999999997</v>
      </c>
      <c r="BC562" s="61">
        <v>1689.211037561126</v>
      </c>
    </row>
    <row r="563" spans="1:55" x14ac:dyDescent="0.25">
      <c r="A563">
        <v>166013</v>
      </c>
      <c r="B563" t="s">
        <v>154</v>
      </c>
      <c r="C563">
        <v>2019</v>
      </c>
      <c r="D563">
        <v>9</v>
      </c>
      <c r="E563" t="s">
        <v>51</v>
      </c>
      <c r="F563" t="s">
        <v>426</v>
      </c>
      <c r="G563" t="s">
        <v>84</v>
      </c>
      <c r="H563" t="s">
        <v>381</v>
      </c>
      <c r="I563" t="s">
        <v>427</v>
      </c>
      <c r="J563">
        <v>-13.3024606</v>
      </c>
      <c r="K563" t="s">
        <v>440</v>
      </c>
      <c r="L563" t="s">
        <v>384</v>
      </c>
      <c r="M563">
        <v>4.5811354346740003E-2</v>
      </c>
      <c r="N563">
        <v>0.60940373641094681</v>
      </c>
      <c r="O563">
        <v>28410.399000000001</v>
      </c>
      <c r="P563">
        <v>2.51417E-6</v>
      </c>
      <c r="Q563">
        <v>0.14285700000000001</v>
      </c>
      <c r="R563" s="61">
        <v>8.7057589572458641E-2</v>
      </c>
      <c r="S563" t="s">
        <v>347</v>
      </c>
      <c r="T563" t="s">
        <v>437</v>
      </c>
      <c r="U563" t="s">
        <v>425</v>
      </c>
      <c r="V563" t="s">
        <v>81</v>
      </c>
      <c r="W563">
        <v>111.133</v>
      </c>
      <c r="X563">
        <v>1.0541007448257309</v>
      </c>
      <c r="Y563">
        <v>117.145378074718</v>
      </c>
      <c r="Z563">
        <v>640.82000000000005</v>
      </c>
      <c r="AA563">
        <v>1</v>
      </c>
      <c r="AB563">
        <v>75.069101177840764</v>
      </c>
      <c r="AC563">
        <v>0.93830000000000002</v>
      </c>
      <c r="AD563" s="63">
        <v>70.436999999999998</v>
      </c>
      <c r="AE563">
        <v>8.9176000000000002</v>
      </c>
      <c r="AF563">
        <v>9.4000488020579382</v>
      </c>
      <c r="AG563">
        <v>1</v>
      </c>
      <c r="AH563">
        <v>6023.7392733347688</v>
      </c>
      <c r="AI563">
        <v>1.098016605166052</v>
      </c>
      <c r="AJ563" s="63">
        <v>6614.1656999999996</v>
      </c>
      <c r="AK563" s="61">
        <v>575.8133228748336</v>
      </c>
      <c r="AL563" t="s">
        <v>347</v>
      </c>
      <c r="AM563" t="s">
        <v>437</v>
      </c>
      <c r="AN563" t="s">
        <v>425</v>
      </c>
      <c r="AO563" t="s">
        <v>81</v>
      </c>
      <c r="AP563">
        <v>111.133</v>
      </c>
      <c r="AQ563">
        <v>1.0541007448257309</v>
      </c>
      <c r="AR563">
        <v>117.145378074718</v>
      </c>
      <c r="AS563">
        <v>640.82000000000005</v>
      </c>
      <c r="AT563">
        <v>1</v>
      </c>
      <c r="AU563">
        <v>75.069101177840764</v>
      </c>
      <c r="AV563">
        <v>0.93830000000000002</v>
      </c>
      <c r="AW563" s="63">
        <v>70.436999999999998</v>
      </c>
      <c r="AX563">
        <v>8.9176000000000002</v>
      </c>
      <c r="AY563">
        <v>1</v>
      </c>
      <c r="AZ563">
        <v>6023.7392733347688</v>
      </c>
      <c r="BA563">
        <v>1.098016605166052</v>
      </c>
      <c r="BB563" s="63">
        <v>6614.1656999999996</v>
      </c>
      <c r="BC563" s="61">
        <v>575.8133228748336</v>
      </c>
    </row>
    <row r="564" spans="1:55" x14ac:dyDescent="0.25">
      <c r="A564">
        <v>166015</v>
      </c>
      <c r="B564" t="s">
        <v>154</v>
      </c>
      <c r="C564">
        <v>2019</v>
      </c>
      <c r="D564">
        <v>9</v>
      </c>
      <c r="E564" t="s">
        <v>51</v>
      </c>
      <c r="F564" t="s">
        <v>426</v>
      </c>
      <c r="G564" t="s">
        <v>84</v>
      </c>
      <c r="H564" t="s">
        <v>381</v>
      </c>
      <c r="I564" t="s">
        <v>427</v>
      </c>
      <c r="J564">
        <v>-13.3024606</v>
      </c>
      <c r="K564" t="s">
        <v>440</v>
      </c>
      <c r="L564" t="s">
        <v>385</v>
      </c>
      <c r="M564">
        <v>0.43232641346992001</v>
      </c>
      <c r="N564">
        <v>5.7510050832291411</v>
      </c>
      <c r="O564">
        <v>28410.399000000001</v>
      </c>
      <c r="P564">
        <v>2.51417E-6</v>
      </c>
      <c r="Q564">
        <v>0.14285700000000001</v>
      </c>
      <c r="R564" s="61">
        <v>0.82157133317486553</v>
      </c>
      <c r="S564" t="s">
        <v>347</v>
      </c>
      <c r="T564" t="s">
        <v>437</v>
      </c>
      <c r="U564" t="s">
        <v>425</v>
      </c>
      <c r="V564" t="s">
        <v>27</v>
      </c>
      <c r="W564">
        <v>111.133</v>
      </c>
      <c r="X564">
        <v>1.0541007448257309</v>
      </c>
      <c r="Y564">
        <v>117.145378074718</v>
      </c>
      <c r="Z564">
        <v>640.82000000000005</v>
      </c>
      <c r="AA564">
        <v>1</v>
      </c>
      <c r="AB564">
        <v>75.069101177840764</v>
      </c>
      <c r="AC564">
        <v>0.95889999999999997</v>
      </c>
      <c r="AD564" s="63">
        <v>71.983999999999995</v>
      </c>
      <c r="AE564">
        <v>8.9176000000000002</v>
      </c>
      <c r="AF564">
        <v>9.4000488020579382</v>
      </c>
      <c r="AG564">
        <v>1</v>
      </c>
      <c r="AH564">
        <v>6023.7392733347688</v>
      </c>
      <c r="AI564">
        <v>0.99097621000820357</v>
      </c>
      <c r="AJ564" s="63">
        <v>5969.3823000000002</v>
      </c>
      <c r="AK564" s="61">
        <v>4904.2733744414454</v>
      </c>
      <c r="AL564" t="s">
        <v>347</v>
      </c>
      <c r="AM564" t="s">
        <v>437</v>
      </c>
      <c r="AN564" t="s">
        <v>425</v>
      </c>
      <c r="AO564" t="s">
        <v>27</v>
      </c>
      <c r="AP564">
        <v>111.133</v>
      </c>
      <c r="AQ564">
        <v>1.0541007448257309</v>
      </c>
      <c r="AR564">
        <v>117.145378074718</v>
      </c>
      <c r="AS564">
        <v>640.82000000000005</v>
      </c>
      <c r="AT564">
        <v>1</v>
      </c>
      <c r="AU564">
        <v>75.069101177840764</v>
      </c>
      <c r="AV564">
        <v>0.95889999999999997</v>
      </c>
      <c r="AW564" s="63">
        <v>71.983999999999995</v>
      </c>
      <c r="AX564">
        <v>8.9176000000000002</v>
      </c>
      <c r="AY564">
        <v>1</v>
      </c>
      <c r="AZ564">
        <v>6023.7392733347688</v>
      </c>
      <c r="BA564">
        <v>0.99097621000820357</v>
      </c>
      <c r="BB564" s="63">
        <v>5969.3823000000002</v>
      </c>
      <c r="BC564" s="61">
        <v>4904.2733744414454</v>
      </c>
    </row>
    <row r="565" spans="1:55" x14ac:dyDescent="0.25">
      <c r="A565">
        <v>166017</v>
      </c>
      <c r="B565" t="s">
        <v>154</v>
      </c>
      <c r="C565">
        <v>2019</v>
      </c>
      <c r="D565">
        <v>9</v>
      </c>
      <c r="E565" t="s">
        <v>51</v>
      </c>
      <c r="F565" t="s">
        <v>426</v>
      </c>
      <c r="G565" t="s">
        <v>84</v>
      </c>
      <c r="H565" t="s">
        <v>381</v>
      </c>
      <c r="I565" t="s">
        <v>427</v>
      </c>
      <c r="J565">
        <v>-13.3024606</v>
      </c>
      <c r="K565" t="s">
        <v>440</v>
      </c>
      <c r="L565" t="s">
        <v>451</v>
      </c>
      <c r="M565">
        <v>1.6825115802299999E-3</v>
      </c>
      <c r="N565">
        <v>2.2381544011693521E-2</v>
      </c>
      <c r="O565">
        <v>28410.399000000001</v>
      </c>
      <c r="P565">
        <v>2.51417E-6</v>
      </c>
      <c r="Q565">
        <v>0.14285700000000001</v>
      </c>
      <c r="R565" s="61">
        <v>3.197360232878501E-3</v>
      </c>
      <c r="S565" t="s">
        <v>347</v>
      </c>
      <c r="T565" t="s">
        <v>437</v>
      </c>
      <c r="U565" t="s">
        <v>425</v>
      </c>
      <c r="V565" t="s">
        <v>91</v>
      </c>
      <c r="W565">
        <v>111.133</v>
      </c>
      <c r="X565">
        <v>1.0541007448257309</v>
      </c>
      <c r="Y565">
        <v>117.145378074718</v>
      </c>
      <c r="Z565">
        <v>640.82000000000005</v>
      </c>
      <c r="AA565">
        <v>1</v>
      </c>
      <c r="AB565">
        <v>75.069101177840764</v>
      </c>
      <c r="AC565">
        <v>1.0088999999999999</v>
      </c>
      <c r="AD565" s="63">
        <v>75.736999999999995</v>
      </c>
      <c r="AE565">
        <v>8.9176000000000002</v>
      </c>
      <c r="AF565">
        <v>9.4000488020579382</v>
      </c>
      <c r="AG565">
        <v>1</v>
      </c>
      <c r="AH565">
        <v>6023.7392733347688</v>
      </c>
      <c r="AI565">
        <v>0.99316673174541203</v>
      </c>
      <c r="AJ565" s="63">
        <v>5982.5774000000001</v>
      </c>
      <c r="AK565" s="61">
        <v>19.12845506887766</v>
      </c>
      <c r="AL565" t="s">
        <v>347</v>
      </c>
      <c r="AM565" t="s">
        <v>437</v>
      </c>
      <c r="AN565" t="s">
        <v>425</v>
      </c>
      <c r="AO565" t="s">
        <v>91</v>
      </c>
      <c r="AP565">
        <v>111.133</v>
      </c>
      <c r="AQ565">
        <v>1.0541007448257309</v>
      </c>
      <c r="AR565">
        <v>117.145378074718</v>
      </c>
      <c r="AS565">
        <v>640.82000000000005</v>
      </c>
      <c r="AT565">
        <v>1</v>
      </c>
      <c r="AU565">
        <v>75.069101177840764</v>
      </c>
      <c r="AV565">
        <v>1.0088999999999999</v>
      </c>
      <c r="AW565" s="63">
        <v>75.736999999999995</v>
      </c>
      <c r="AX565">
        <v>8.9176000000000002</v>
      </c>
      <c r="AY565">
        <v>1</v>
      </c>
      <c r="AZ565">
        <v>6023.7392733347688</v>
      </c>
      <c r="BA565">
        <v>0.99316673174541203</v>
      </c>
      <c r="BB565" s="63">
        <v>5982.5774000000001</v>
      </c>
      <c r="BC565" s="61">
        <v>19.12845506887766</v>
      </c>
    </row>
    <row r="566" spans="1:55" x14ac:dyDescent="0.25">
      <c r="A566">
        <v>166019</v>
      </c>
      <c r="B566" t="s">
        <v>154</v>
      </c>
      <c r="C566">
        <v>2019</v>
      </c>
      <c r="D566">
        <v>9</v>
      </c>
      <c r="E566" t="s">
        <v>51</v>
      </c>
      <c r="F566" t="s">
        <v>426</v>
      </c>
      <c r="G566" t="s">
        <v>84</v>
      </c>
      <c r="H566" t="s">
        <v>381</v>
      </c>
      <c r="I566" t="s">
        <v>427</v>
      </c>
      <c r="J566">
        <v>-13.3024606</v>
      </c>
      <c r="K566" t="s">
        <v>440</v>
      </c>
      <c r="L566" t="s">
        <v>452</v>
      </c>
      <c r="M566">
        <v>1.53682162831E-3</v>
      </c>
      <c r="N566">
        <v>2.0443509165886841E-2</v>
      </c>
      <c r="O566">
        <v>28410.399000000001</v>
      </c>
      <c r="P566">
        <v>2.51417E-6</v>
      </c>
      <c r="Q566">
        <v>0.14285700000000001</v>
      </c>
      <c r="R566" s="61">
        <v>2.920498388911097E-3</v>
      </c>
      <c r="S566" t="s">
        <v>347</v>
      </c>
      <c r="T566" t="s">
        <v>437</v>
      </c>
      <c r="U566" t="s">
        <v>425</v>
      </c>
      <c r="V566" t="s">
        <v>28</v>
      </c>
      <c r="W566">
        <v>111.133</v>
      </c>
      <c r="X566">
        <v>1.0541007448257309</v>
      </c>
      <c r="Y566">
        <v>117.145378074718</v>
      </c>
      <c r="Z566">
        <v>640.82000000000005</v>
      </c>
      <c r="AA566">
        <v>1</v>
      </c>
      <c r="AB566">
        <v>75.069101177840764</v>
      </c>
      <c r="AC566">
        <v>1.0073000000000001</v>
      </c>
      <c r="AD566" s="63">
        <v>75.617000000000004</v>
      </c>
      <c r="AE566">
        <v>8.9176000000000002</v>
      </c>
      <c r="AF566">
        <v>9.4000488020579382</v>
      </c>
      <c r="AG566">
        <v>1</v>
      </c>
      <c r="AH566">
        <v>6023.7392733347688</v>
      </c>
      <c r="AI566">
        <v>0.99399488088206345</v>
      </c>
      <c r="AJ566" s="63">
        <v>5987.5659999999998</v>
      </c>
      <c r="AK566" s="61">
        <v>17.48667685649886</v>
      </c>
      <c r="AL566" t="s">
        <v>347</v>
      </c>
      <c r="AM566" t="s">
        <v>437</v>
      </c>
      <c r="AN566" t="s">
        <v>425</v>
      </c>
      <c r="AO566" t="s">
        <v>28</v>
      </c>
      <c r="AP566">
        <v>111.133</v>
      </c>
      <c r="AQ566">
        <v>1.0541007448257309</v>
      </c>
      <c r="AR566">
        <v>117.145378074718</v>
      </c>
      <c r="AS566">
        <v>640.82000000000005</v>
      </c>
      <c r="AT566">
        <v>1</v>
      </c>
      <c r="AU566">
        <v>75.069101177840764</v>
      </c>
      <c r="AV566">
        <v>1.0073000000000001</v>
      </c>
      <c r="AW566" s="63">
        <v>75.617000000000004</v>
      </c>
      <c r="AX566">
        <v>8.9176000000000002</v>
      </c>
      <c r="AY566">
        <v>1</v>
      </c>
      <c r="AZ566">
        <v>6023.7392733347688</v>
      </c>
      <c r="BA566">
        <v>0.99399488088206345</v>
      </c>
      <c r="BB566" s="63">
        <v>5987.5659999999998</v>
      </c>
      <c r="BC566" s="61">
        <v>17.48667685649886</v>
      </c>
    </row>
    <row r="567" spans="1:55" x14ac:dyDescent="0.25">
      <c r="A567">
        <v>166021</v>
      </c>
      <c r="B567" t="s">
        <v>154</v>
      </c>
      <c r="C567">
        <v>2019</v>
      </c>
      <c r="D567">
        <v>9</v>
      </c>
      <c r="E567" t="s">
        <v>51</v>
      </c>
      <c r="F567" t="s">
        <v>426</v>
      </c>
      <c r="G567" t="s">
        <v>84</v>
      </c>
      <c r="H567" t="s">
        <v>87</v>
      </c>
      <c r="I567" t="s">
        <v>427</v>
      </c>
      <c r="J567">
        <v>-2.6545286400000001</v>
      </c>
      <c r="K567" t="s">
        <v>440</v>
      </c>
      <c r="L567" t="s">
        <v>450</v>
      </c>
      <c r="M567">
        <v>0.26601384014995</v>
      </c>
      <c r="N567">
        <v>0.70614135621524243</v>
      </c>
      <c r="O567">
        <v>28410.399000000001</v>
      </c>
      <c r="P567">
        <v>2.51417E-6</v>
      </c>
      <c r="Q567">
        <v>0.14285700000000001</v>
      </c>
      <c r="R567" s="61">
        <v>0.10087723572484091</v>
      </c>
      <c r="S567" t="s">
        <v>347</v>
      </c>
      <c r="T567" t="s">
        <v>437</v>
      </c>
      <c r="U567" t="s">
        <v>425</v>
      </c>
      <c r="V567" t="s">
        <v>26</v>
      </c>
      <c r="W567">
        <v>111.133</v>
      </c>
      <c r="X567">
        <v>1.0541007448257309</v>
      </c>
      <c r="Y567">
        <v>117.145378074718</v>
      </c>
      <c r="Z567">
        <v>640.82000000000005</v>
      </c>
      <c r="AA567">
        <v>1</v>
      </c>
      <c r="AB567">
        <v>75.069101177840764</v>
      </c>
      <c r="AC567">
        <v>0.99109999999999998</v>
      </c>
      <c r="AD567" s="63">
        <v>74.400999999999996</v>
      </c>
      <c r="AE567">
        <v>8.9176000000000002</v>
      </c>
      <c r="AF567">
        <v>9.4000488020579382</v>
      </c>
      <c r="AG567">
        <v>1</v>
      </c>
      <c r="AH567">
        <v>6023.7392733347688</v>
      </c>
      <c r="AI567">
        <v>0.9830373970836227</v>
      </c>
      <c r="AJ567" s="63">
        <v>5921.5609999999997</v>
      </c>
      <c r="AK567" s="61">
        <v>597.35070485602455</v>
      </c>
      <c r="AL567" t="s">
        <v>347</v>
      </c>
      <c r="AM567" t="s">
        <v>437</v>
      </c>
      <c r="AN567" t="s">
        <v>425</v>
      </c>
      <c r="AO567" t="s">
        <v>26</v>
      </c>
      <c r="AP567">
        <v>111.133</v>
      </c>
      <c r="AQ567">
        <v>1.0541007448257309</v>
      </c>
      <c r="AR567">
        <v>117.145378074718</v>
      </c>
      <c r="AS567">
        <v>640.82000000000005</v>
      </c>
      <c r="AT567">
        <v>1</v>
      </c>
      <c r="AU567">
        <v>75.069101177840764</v>
      </c>
      <c r="AV567">
        <v>0.99109999999999998</v>
      </c>
      <c r="AW567" s="63">
        <v>74.400999999999996</v>
      </c>
      <c r="AX567">
        <v>8.9176000000000002</v>
      </c>
      <c r="AY567">
        <v>1</v>
      </c>
      <c r="AZ567">
        <v>6023.7392733347688</v>
      </c>
      <c r="BA567">
        <v>0.9830373970836227</v>
      </c>
      <c r="BB567" s="63">
        <v>5921.5609999999997</v>
      </c>
      <c r="BC567" s="61">
        <v>597.35070485602455</v>
      </c>
    </row>
    <row r="568" spans="1:55" x14ac:dyDescent="0.25">
      <c r="A568">
        <v>166023</v>
      </c>
      <c r="B568" t="s">
        <v>154</v>
      </c>
      <c r="C568">
        <v>2019</v>
      </c>
      <c r="D568">
        <v>9</v>
      </c>
      <c r="E568" t="s">
        <v>51</v>
      </c>
      <c r="F568" t="s">
        <v>426</v>
      </c>
      <c r="G568" t="s">
        <v>84</v>
      </c>
      <c r="H568" t="s">
        <v>87</v>
      </c>
      <c r="I568" t="s">
        <v>427</v>
      </c>
      <c r="J568">
        <v>-2.6545286400000001</v>
      </c>
      <c r="K568" t="s">
        <v>440</v>
      </c>
      <c r="L568" t="s">
        <v>384</v>
      </c>
      <c r="M568">
        <v>3.9509559941419997E-2</v>
      </c>
      <c r="N568">
        <v>0.1048792582550407</v>
      </c>
      <c r="O568">
        <v>28410.399000000001</v>
      </c>
      <c r="P568">
        <v>2.51417E-6</v>
      </c>
      <c r="Q568">
        <v>0.14285700000000001</v>
      </c>
      <c r="R568" s="61">
        <v>1.498273619654036E-2</v>
      </c>
      <c r="S568" t="s">
        <v>347</v>
      </c>
      <c r="T568" t="s">
        <v>437</v>
      </c>
      <c r="U568" t="s">
        <v>425</v>
      </c>
      <c r="V568" t="s">
        <v>81</v>
      </c>
      <c r="W568">
        <v>111.133</v>
      </c>
      <c r="X568">
        <v>1.0541007448257309</v>
      </c>
      <c r="Y568">
        <v>117.145378074718</v>
      </c>
      <c r="Z568">
        <v>640.82000000000005</v>
      </c>
      <c r="AA568">
        <v>1</v>
      </c>
      <c r="AB568">
        <v>75.069101177840764</v>
      </c>
      <c r="AC568">
        <v>0.93830000000000002</v>
      </c>
      <c r="AD568" s="63">
        <v>70.436999999999998</v>
      </c>
      <c r="AE568">
        <v>8.9176000000000002</v>
      </c>
      <c r="AF568">
        <v>9.4000488020579382</v>
      </c>
      <c r="AG568">
        <v>1</v>
      </c>
      <c r="AH568">
        <v>6023.7392733347688</v>
      </c>
      <c r="AI568">
        <v>1.098016605166052</v>
      </c>
      <c r="AJ568" s="63">
        <v>6614.1656999999996</v>
      </c>
      <c r="AK568" s="61">
        <v>99.098299843305682</v>
      </c>
      <c r="AL568" t="s">
        <v>347</v>
      </c>
      <c r="AM568" t="s">
        <v>437</v>
      </c>
      <c r="AN568" t="s">
        <v>425</v>
      </c>
      <c r="AO568" t="s">
        <v>81</v>
      </c>
      <c r="AP568">
        <v>111.133</v>
      </c>
      <c r="AQ568">
        <v>1.0541007448257309</v>
      </c>
      <c r="AR568">
        <v>117.145378074718</v>
      </c>
      <c r="AS568">
        <v>640.82000000000005</v>
      </c>
      <c r="AT568">
        <v>1</v>
      </c>
      <c r="AU568">
        <v>75.069101177840764</v>
      </c>
      <c r="AV568">
        <v>0.93830000000000002</v>
      </c>
      <c r="AW568" s="63">
        <v>70.436999999999998</v>
      </c>
      <c r="AX568">
        <v>8.9176000000000002</v>
      </c>
      <c r="AY568">
        <v>1</v>
      </c>
      <c r="AZ568">
        <v>6023.7392733347688</v>
      </c>
      <c r="BA568">
        <v>1.098016605166052</v>
      </c>
      <c r="BB568" s="63">
        <v>6614.1656999999996</v>
      </c>
      <c r="BC568" s="61">
        <v>99.098299843305682</v>
      </c>
    </row>
    <row r="569" spans="1:55" x14ac:dyDescent="0.25">
      <c r="A569">
        <v>166025</v>
      </c>
      <c r="B569" t="s">
        <v>154</v>
      </c>
      <c r="C569">
        <v>2019</v>
      </c>
      <c r="D569">
        <v>9</v>
      </c>
      <c r="E569" t="s">
        <v>51</v>
      </c>
      <c r="F569" t="s">
        <v>426</v>
      </c>
      <c r="G569" t="s">
        <v>84</v>
      </c>
      <c r="H569" t="s">
        <v>87</v>
      </c>
      <c r="I569" t="s">
        <v>427</v>
      </c>
      <c r="J569">
        <v>-2.6545286400000001</v>
      </c>
      <c r="K569" t="s">
        <v>440</v>
      </c>
      <c r="L569" t="s">
        <v>385</v>
      </c>
      <c r="M569">
        <v>0.39737542925016001</v>
      </c>
      <c r="N569">
        <v>1.05484445613487</v>
      </c>
      <c r="O569">
        <v>28410.399000000001</v>
      </c>
      <c r="P569">
        <v>2.51417E-6</v>
      </c>
      <c r="Q569">
        <v>0.14285700000000001</v>
      </c>
      <c r="R569" s="61">
        <v>0.15069191447005911</v>
      </c>
      <c r="S569" t="s">
        <v>347</v>
      </c>
      <c r="T569" t="s">
        <v>437</v>
      </c>
      <c r="U569" t="s">
        <v>425</v>
      </c>
      <c r="V569" t="s">
        <v>27</v>
      </c>
      <c r="W569">
        <v>111.133</v>
      </c>
      <c r="X569">
        <v>1.0541007448257309</v>
      </c>
      <c r="Y569">
        <v>117.145378074718</v>
      </c>
      <c r="Z569">
        <v>640.82000000000005</v>
      </c>
      <c r="AA569">
        <v>1</v>
      </c>
      <c r="AB569">
        <v>75.069101177840764</v>
      </c>
      <c r="AC569">
        <v>0.95889999999999997</v>
      </c>
      <c r="AD569" s="63">
        <v>71.983999999999995</v>
      </c>
      <c r="AE569">
        <v>8.9176000000000002</v>
      </c>
      <c r="AF569">
        <v>9.4000488020579382</v>
      </c>
      <c r="AG569">
        <v>1</v>
      </c>
      <c r="AH569">
        <v>6023.7392733347688</v>
      </c>
      <c r="AI569">
        <v>0.99097621000820357</v>
      </c>
      <c r="AJ569" s="63">
        <v>5969.3823000000002</v>
      </c>
      <c r="AK569" s="61">
        <v>899.53764699068449</v>
      </c>
      <c r="AL569" t="s">
        <v>347</v>
      </c>
      <c r="AM569" t="s">
        <v>437</v>
      </c>
      <c r="AN569" t="s">
        <v>425</v>
      </c>
      <c r="AO569" t="s">
        <v>27</v>
      </c>
      <c r="AP569">
        <v>111.133</v>
      </c>
      <c r="AQ569">
        <v>1.0541007448257309</v>
      </c>
      <c r="AR569">
        <v>117.145378074718</v>
      </c>
      <c r="AS569">
        <v>640.82000000000005</v>
      </c>
      <c r="AT569">
        <v>1</v>
      </c>
      <c r="AU569">
        <v>75.069101177840764</v>
      </c>
      <c r="AV569">
        <v>0.95889999999999997</v>
      </c>
      <c r="AW569" s="63">
        <v>71.983999999999995</v>
      </c>
      <c r="AX569">
        <v>8.9176000000000002</v>
      </c>
      <c r="AY569">
        <v>1</v>
      </c>
      <c r="AZ569">
        <v>6023.7392733347688</v>
      </c>
      <c r="BA569">
        <v>0.99097621000820357</v>
      </c>
      <c r="BB569" s="63">
        <v>5969.3823000000002</v>
      </c>
      <c r="BC569" s="61">
        <v>899.53764699068449</v>
      </c>
    </row>
    <row r="570" spans="1:55" x14ac:dyDescent="0.25">
      <c r="A570">
        <v>166027</v>
      </c>
      <c r="B570" t="s">
        <v>154</v>
      </c>
      <c r="C570">
        <v>2019</v>
      </c>
      <c r="D570">
        <v>9</v>
      </c>
      <c r="E570" t="s">
        <v>51</v>
      </c>
      <c r="F570" t="s">
        <v>426</v>
      </c>
      <c r="G570" t="s">
        <v>84</v>
      </c>
      <c r="H570" t="s">
        <v>87</v>
      </c>
      <c r="I570" t="s">
        <v>427</v>
      </c>
      <c r="J570">
        <v>-2.6545286400000001</v>
      </c>
      <c r="K570" t="s">
        <v>440</v>
      </c>
      <c r="L570" t="s">
        <v>452</v>
      </c>
      <c r="M570">
        <v>8.4248020759000004E-4</v>
      </c>
      <c r="N570">
        <v>2.2363878361996328E-3</v>
      </c>
      <c r="O570">
        <v>28410.399000000001</v>
      </c>
      <c r="P570">
        <v>2.51417E-6</v>
      </c>
      <c r="Q570">
        <v>0.14285700000000001</v>
      </c>
      <c r="R570" s="61">
        <v>3.1948365711597097E-4</v>
      </c>
      <c r="S570" t="s">
        <v>347</v>
      </c>
      <c r="T570" t="s">
        <v>437</v>
      </c>
      <c r="U570" t="s">
        <v>425</v>
      </c>
      <c r="V570" t="s">
        <v>28</v>
      </c>
      <c r="W570">
        <v>111.133</v>
      </c>
      <c r="X570">
        <v>1.0541007448257309</v>
      </c>
      <c r="Y570">
        <v>117.145378074718</v>
      </c>
      <c r="Z570">
        <v>640.82000000000005</v>
      </c>
      <c r="AA570">
        <v>1</v>
      </c>
      <c r="AB570">
        <v>75.069101177840764</v>
      </c>
      <c r="AC570">
        <v>1.0073000000000001</v>
      </c>
      <c r="AD570" s="63">
        <v>75.617000000000004</v>
      </c>
      <c r="AE570">
        <v>8.9176000000000002</v>
      </c>
      <c r="AF570">
        <v>9.4000488020579382</v>
      </c>
      <c r="AG570">
        <v>1</v>
      </c>
      <c r="AH570">
        <v>6023.7392733347688</v>
      </c>
      <c r="AI570">
        <v>0.99399488088206345</v>
      </c>
      <c r="AJ570" s="63">
        <v>5987.5659999999998</v>
      </c>
      <c r="AK570" s="61">
        <v>1.9129294829032459</v>
      </c>
      <c r="AL570" t="s">
        <v>347</v>
      </c>
      <c r="AM570" t="s">
        <v>437</v>
      </c>
      <c r="AN570" t="s">
        <v>425</v>
      </c>
      <c r="AO570" t="s">
        <v>28</v>
      </c>
      <c r="AP570">
        <v>111.133</v>
      </c>
      <c r="AQ570">
        <v>1.0541007448257309</v>
      </c>
      <c r="AR570">
        <v>117.145378074718</v>
      </c>
      <c r="AS570">
        <v>640.82000000000005</v>
      </c>
      <c r="AT570">
        <v>1</v>
      </c>
      <c r="AU570">
        <v>75.069101177840764</v>
      </c>
      <c r="AV570">
        <v>1.0073000000000001</v>
      </c>
      <c r="AW570" s="63">
        <v>75.617000000000004</v>
      </c>
      <c r="AX570">
        <v>8.9176000000000002</v>
      </c>
      <c r="AY570">
        <v>1</v>
      </c>
      <c r="AZ570">
        <v>6023.7392733347688</v>
      </c>
      <c r="BA570">
        <v>0.99399488088206345</v>
      </c>
      <c r="BB570" s="63">
        <v>5987.5659999999998</v>
      </c>
      <c r="BC570" s="61">
        <v>1.9129294829032459</v>
      </c>
    </row>
    <row r="571" spans="1:55" x14ac:dyDescent="0.25">
      <c r="A571">
        <v>166029</v>
      </c>
      <c r="B571" t="s">
        <v>154</v>
      </c>
      <c r="C571">
        <v>2019</v>
      </c>
      <c r="D571">
        <v>9</v>
      </c>
      <c r="E571" t="s">
        <v>51</v>
      </c>
      <c r="F571" t="s">
        <v>426</v>
      </c>
      <c r="G571" t="s">
        <v>84</v>
      </c>
      <c r="H571" t="s">
        <v>59</v>
      </c>
      <c r="I571" t="s">
        <v>427</v>
      </c>
      <c r="J571">
        <v>-6.3124784299999996</v>
      </c>
      <c r="K571" t="s">
        <v>440</v>
      </c>
      <c r="L571" t="s">
        <v>450</v>
      </c>
      <c r="M571">
        <v>0.15931709696460999</v>
      </c>
      <c r="N571">
        <v>1.0056857381582409</v>
      </c>
      <c r="O571">
        <v>28410.399000000001</v>
      </c>
      <c r="P571">
        <v>2.51417E-6</v>
      </c>
      <c r="Q571">
        <v>0.14285700000000001</v>
      </c>
      <c r="R571" s="61">
        <v>0.14366924749607179</v>
      </c>
      <c r="S571" t="s">
        <v>347</v>
      </c>
      <c r="T571" t="s">
        <v>437</v>
      </c>
      <c r="U571" t="s">
        <v>425</v>
      </c>
      <c r="V571" t="s">
        <v>26</v>
      </c>
      <c r="W571">
        <v>111.133</v>
      </c>
      <c r="X571">
        <v>1.0541007448257309</v>
      </c>
      <c r="Y571">
        <v>117.145378074718</v>
      </c>
      <c r="Z571">
        <v>640.82000000000005</v>
      </c>
      <c r="AA571">
        <v>1</v>
      </c>
      <c r="AB571">
        <v>75.069101177840764</v>
      </c>
      <c r="AC571">
        <v>0.99109999999999998</v>
      </c>
      <c r="AD571" s="63">
        <v>74.400999999999996</v>
      </c>
      <c r="AE571">
        <v>8.9176000000000002</v>
      </c>
      <c r="AF571">
        <v>9.4000488020579382</v>
      </c>
      <c r="AG571">
        <v>1</v>
      </c>
      <c r="AH571">
        <v>6023.7392733347688</v>
      </c>
      <c r="AI571">
        <v>0.9830373970836227</v>
      </c>
      <c r="AJ571" s="63">
        <v>5921.5609999999997</v>
      </c>
      <c r="AK571" s="61">
        <v>850.74621287208652</v>
      </c>
      <c r="AL571" t="s">
        <v>347</v>
      </c>
      <c r="AM571" t="s">
        <v>437</v>
      </c>
      <c r="AN571" t="s">
        <v>425</v>
      </c>
      <c r="AO571" t="s">
        <v>26</v>
      </c>
      <c r="AP571">
        <v>111.133</v>
      </c>
      <c r="AQ571">
        <v>1.0541007448257309</v>
      </c>
      <c r="AR571">
        <v>117.145378074718</v>
      </c>
      <c r="AS571">
        <v>640.82000000000005</v>
      </c>
      <c r="AT571">
        <v>1</v>
      </c>
      <c r="AU571">
        <v>75.069101177840764</v>
      </c>
      <c r="AV571">
        <v>0.99109999999999998</v>
      </c>
      <c r="AW571" s="63">
        <v>74.400999999999996</v>
      </c>
      <c r="AX571">
        <v>8.9176000000000002</v>
      </c>
      <c r="AY571">
        <v>1</v>
      </c>
      <c r="AZ571">
        <v>6023.7392733347688</v>
      </c>
      <c r="BA571">
        <v>0.9830373970836227</v>
      </c>
      <c r="BB571" s="63">
        <v>5921.5609999999997</v>
      </c>
      <c r="BC571" s="61">
        <v>850.74621287208652</v>
      </c>
    </row>
    <row r="572" spans="1:55" x14ac:dyDescent="0.25">
      <c r="A572">
        <v>166031</v>
      </c>
      <c r="B572" t="s">
        <v>154</v>
      </c>
      <c r="C572">
        <v>2019</v>
      </c>
      <c r="D572">
        <v>9</v>
      </c>
      <c r="E572" t="s">
        <v>51</v>
      </c>
      <c r="F572" t="s">
        <v>426</v>
      </c>
      <c r="G572" t="s">
        <v>84</v>
      </c>
      <c r="H572" t="s">
        <v>59</v>
      </c>
      <c r="I572" t="s">
        <v>427</v>
      </c>
      <c r="J572">
        <v>-6.3124784299999996</v>
      </c>
      <c r="K572" t="s">
        <v>440</v>
      </c>
      <c r="L572" t="s">
        <v>384</v>
      </c>
      <c r="M572">
        <v>4.1785183859599999E-2</v>
      </c>
      <c r="N572">
        <v>0.26376807181751738</v>
      </c>
      <c r="O572">
        <v>28410.399000000001</v>
      </c>
      <c r="P572">
        <v>2.51417E-6</v>
      </c>
      <c r="Q572">
        <v>0.14285700000000001</v>
      </c>
      <c r="R572" s="61">
        <v>3.7681115435635092E-2</v>
      </c>
      <c r="S572" t="s">
        <v>347</v>
      </c>
      <c r="T572" t="s">
        <v>437</v>
      </c>
      <c r="U572" t="s">
        <v>425</v>
      </c>
      <c r="V572" t="s">
        <v>81</v>
      </c>
      <c r="W572">
        <v>111.133</v>
      </c>
      <c r="X572">
        <v>1.0541007448257309</v>
      </c>
      <c r="Y572">
        <v>117.145378074718</v>
      </c>
      <c r="Z572">
        <v>640.82000000000005</v>
      </c>
      <c r="AA572">
        <v>1</v>
      </c>
      <c r="AB572">
        <v>75.069101177840764</v>
      </c>
      <c r="AC572">
        <v>0.93830000000000002</v>
      </c>
      <c r="AD572" s="63">
        <v>70.436999999999998</v>
      </c>
      <c r="AE572">
        <v>8.9176000000000002</v>
      </c>
      <c r="AF572">
        <v>9.4000488020579382</v>
      </c>
      <c r="AG572">
        <v>1</v>
      </c>
      <c r="AH572">
        <v>6023.7392733347688</v>
      </c>
      <c r="AI572">
        <v>1.098016605166052</v>
      </c>
      <c r="AJ572" s="63">
        <v>6614.1656999999996</v>
      </c>
      <c r="AK572" s="61">
        <v>249.22914125211821</v>
      </c>
      <c r="AL572" t="s">
        <v>347</v>
      </c>
      <c r="AM572" t="s">
        <v>437</v>
      </c>
      <c r="AN572" t="s">
        <v>425</v>
      </c>
      <c r="AO572" t="s">
        <v>81</v>
      </c>
      <c r="AP572">
        <v>111.133</v>
      </c>
      <c r="AQ572">
        <v>1.0541007448257309</v>
      </c>
      <c r="AR572">
        <v>117.145378074718</v>
      </c>
      <c r="AS572">
        <v>640.82000000000005</v>
      </c>
      <c r="AT572">
        <v>1</v>
      </c>
      <c r="AU572">
        <v>75.069101177840764</v>
      </c>
      <c r="AV572">
        <v>0.93830000000000002</v>
      </c>
      <c r="AW572" s="63">
        <v>70.436999999999998</v>
      </c>
      <c r="AX572">
        <v>8.9176000000000002</v>
      </c>
      <c r="AY572">
        <v>1</v>
      </c>
      <c r="AZ572">
        <v>6023.7392733347688</v>
      </c>
      <c r="BA572">
        <v>1.098016605166052</v>
      </c>
      <c r="BB572" s="63">
        <v>6614.1656999999996</v>
      </c>
      <c r="BC572" s="61">
        <v>249.22914125211821</v>
      </c>
    </row>
    <row r="573" spans="1:55" x14ac:dyDescent="0.25">
      <c r="A573">
        <v>166033</v>
      </c>
      <c r="B573" t="s">
        <v>154</v>
      </c>
      <c r="C573">
        <v>2019</v>
      </c>
      <c r="D573">
        <v>9</v>
      </c>
      <c r="E573" t="s">
        <v>51</v>
      </c>
      <c r="F573" t="s">
        <v>426</v>
      </c>
      <c r="G573" t="s">
        <v>84</v>
      </c>
      <c r="H573" t="s">
        <v>59</v>
      </c>
      <c r="I573" t="s">
        <v>427</v>
      </c>
      <c r="J573">
        <v>-6.3124784299999996</v>
      </c>
      <c r="K573" t="s">
        <v>440</v>
      </c>
      <c r="L573" t="s">
        <v>385</v>
      </c>
      <c r="M573">
        <v>0.43497567483749999</v>
      </c>
      <c r="N573">
        <v>2.7457745650926788</v>
      </c>
      <c r="O573">
        <v>28410.399000000001</v>
      </c>
      <c r="P573">
        <v>2.51417E-6</v>
      </c>
      <c r="Q573">
        <v>0.14285700000000001</v>
      </c>
      <c r="R573" s="61">
        <v>0.39225311704544491</v>
      </c>
      <c r="S573" t="s">
        <v>347</v>
      </c>
      <c r="T573" t="s">
        <v>437</v>
      </c>
      <c r="U573" t="s">
        <v>425</v>
      </c>
      <c r="V573" t="s">
        <v>27</v>
      </c>
      <c r="W573">
        <v>111.133</v>
      </c>
      <c r="X573">
        <v>1.0541007448257309</v>
      </c>
      <c r="Y573">
        <v>117.145378074718</v>
      </c>
      <c r="Z573">
        <v>640.82000000000005</v>
      </c>
      <c r="AA573">
        <v>1</v>
      </c>
      <c r="AB573">
        <v>75.069101177840764</v>
      </c>
      <c r="AC573">
        <v>0.95889999999999997</v>
      </c>
      <c r="AD573" s="63">
        <v>71.983999999999995</v>
      </c>
      <c r="AE573">
        <v>8.9176000000000002</v>
      </c>
      <c r="AF573">
        <v>9.4000488020579382</v>
      </c>
      <c r="AG573">
        <v>1</v>
      </c>
      <c r="AH573">
        <v>6023.7392733347688</v>
      </c>
      <c r="AI573">
        <v>0.99097621000820357</v>
      </c>
      <c r="AJ573" s="63">
        <v>5969.3823000000002</v>
      </c>
      <c r="AK573" s="61">
        <v>2341.5088140109069</v>
      </c>
      <c r="AL573" t="s">
        <v>347</v>
      </c>
      <c r="AM573" t="s">
        <v>437</v>
      </c>
      <c r="AN573" t="s">
        <v>425</v>
      </c>
      <c r="AO573" t="s">
        <v>27</v>
      </c>
      <c r="AP573">
        <v>111.133</v>
      </c>
      <c r="AQ573">
        <v>1.0541007448257309</v>
      </c>
      <c r="AR573">
        <v>117.145378074718</v>
      </c>
      <c r="AS573">
        <v>640.82000000000005</v>
      </c>
      <c r="AT573">
        <v>1</v>
      </c>
      <c r="AU573">
        <v>75.069101177840764</v>
      </c>
      <c r="AV573">
        <v>0.95889999999999997</v>
      </c>
      <c r="AW573" s="63">
        <v>71.983999999999995</v>
      </c>
      <c r="AX573">
        <v>8.9176000000000002</v>
      </c>
      <c r="AY573">
        <v>1</v>
      </c>
      <c r="AZ573">
        <v>6023.7392733347688</v>
      </c>
      <c r="BA573">
        <v>0.99097621000820357</v>
      </c>
      <c r="BB573" s="63">
        <v>5969.3823000000002</v>
      </c>
      <c r="BC573" s="61">
        <v>2341.5088140109069</v>
      </c>
    </row>
    <row r="574" spans="1:55" x14ac:dyDescent="0.25">
      <c r="A574">
        <v>166035</v>
      </c>
      <c r="B574" t="s">
        <v>154</v>
      </c>
      <c r="C574">
        <v>2019</v>
      </c>
      <c r="D574">
        <v>9</v>
      </c>
      <c r="E574" t="s">
        <v>51</v>
      </c>
      <c r="F574" t="s">
        <v>426</v>
      </c>
      <c r="G574" t="s">
        <v>84</v>
      </c>
      <c r="H574" t="s">
        <v>59</v>
      </c>
      <c r="I574" t="s">
        <v>427</v>
      </c>
      <c r="J574">
        <v>-6.3124784299999996</v>
      </c>
      <c r="K574" t="s">
        <v>440</v>
      </c>
      <c r="L574" t="s">
        <v>451</v>
      </c>
      <c r="M574">
        <v>1.7625750762999999E-3</v>
      </c>
      <c r="N574">
        <v>1.112621715082996E-2</v>
      </c>
      <c r="O574">
        <v>28410.399000000001</v>
      </c>
      <c r="P574">
        <v>2.51417E-6</v>
      </c>
      <c r="Q574">
        <v>0.14285700000000001</v>
      </c>
      <c r="R574" s="61">
        <v>1.5894580035161151E-3</v>
      </c>
      <c r="S574" t="s">
        <v>347</v>
      </c>
      <c r="T574" t="s">
        <v>437</v>
      </c>
      <c r="U574" t="s">
        <v>425</v>
      </c>
      <c r="V574" t="s">
        <v>91</v>
      </c>
      <c r="W574">
        <v>111.133</v>
      </c>
      <c r="X574">
        <v>1.0541007448257309</v>
      </c>
      <c r="Y574">
        <v>117.145378074718</v>
      </c>
      <c r="Z574">
        <v>640.82000000000005</v>
      </c>
      <c r="AA574">
        <v>1</v>
      </c>
      <c r="AB574">
        <v>75.069101177840764</v>
      </c>
      <c r="AC574">
        <v>1.0088999999999999</v>
      </c>
      <c r="AD574" s="63">
        <v>75.736999999999995</v>
      </c>
      <c r="AE574">
        <v>8.9176000000000002</v>
      </c>
      <c r="AF574">
        <v>9.4000488020579382</v>
      </c>
      <c r="AG574">
        <v>1</v>
      </c>
      <c r="AH574">
        <v>6023.7392733347688</v>
      </c>
      <c r="AI574">
        <v>0.99316673174541203</v>
      </c>
      <c r="AJ574" s="63">
        <v>5982.5774000000001</v>
      </c>
      <c r="AK574" s="61">
        <v>9.5090555300846322</v>
      </c>
      <c r="AL574" t="s">
        <v>347</v>
      </c>
      <c r="AM574" t="s">
        <v>437</v>
      </c>
      <c r="AN574" t="s">
        <v>425</v>
      </c>
      <c r="AO574" t="s">
        <v>91</v>
      </c>
      <c r="AP574">
        <v>111.133</v>
      </c>
      <c r="AQ574">
        <v>1.0541007448257309</v>
      </c>
      <c r="AR574">
        <v>117.145378074718</v>
      </c>
      <c r="AS574">
        <v>640.82000000000005</v>
      </c>
      <c r="AT574">
        <v>1</v>
      </c>
      <c r="AU574">
        <v>75.069101177840764</v>
      </c>
      <c r="AV574">
        <v>1.0088999999999999</v>
      </c>
      <c r="AW574" s="63">
        <v>75.736999999999995</v>
      </c>
      <c r="AX574">
        <v>8.9176000000000002</v>
      </c>
      <c r="AY574">
        <v>1</v>
      </c>
      <c r="AZ574">
        <v>6023.7392733347688</v>
      </c>
      <c r="BA574">
        <v>0.99316673174541203</v>
      </c>
      <c r="BB574" s="63">
        <v>5982.5774000000001</v>
      </c>
      <c r="BC574" s="61">
        <v>9.5090555300846322</v>
      </c>
    </row>
    <row r="575" spans="1:55" x14ac:dyDescent="0.25">
      <c r="A575">
        <v>166037</v>
      </c>
      <c r="B575" t="s">
        <v>154</v>
      </c>
      <c r="C575">
        <v>2019</v>
      </c>
      <c r="D575">
        <v>9</v>
      </c>
      <c r="E575" t="s">
        <v>51</v>
      </c>
      <c r="F575" t="s">
        <v>426</v>
      </c>
      <c r="G575" t="s">
        <v>84</v>
      </c>
      <c r="H575" t="s">
        <v>59</v>
      </c>
      <c r="I575" t="s">
        <v>427</v>
      </c>
      <c r="J575">
        <v>-6.3124784299999996</v>
      </c>
      <c r="K575" t="s">
        <v>440</v>
      </c>
      <c r="L575" t="s">
        <v>452</v>
      </c>
      <c r="M575">
        <v>1.4858046103299999E-3</v>
      </c>
      <c r="N575">
        <v>9.3791095542656681E-3</v>
      </c>
      <c r="O575">
        <v>28410.399000000001</v>
      </c>
      <c r="P575">
        <v>2.51417E-6</v>
      </c>
      <c r="Q575">
        <v>0.14285700000000001</v>
      </c>
      <c r="R575" s="61">
        <v>1.339871453593731E-3</v>
      </c>
      <c r="S575" t="s">
        <v>347</v>
      </c>
      <c r="T575" t="s">
        <v>437</v>
      </c>
      <c r="U575" t="s">
        <v>425</v>
      </c>
      <c r="V575" t="s">
        <v>28</v>
      </c>
      <c r="W575">
        <v>111.133</v>
      </c>
      <c r="X575">
        <v>1.0541007448257309</v>
      </c>
      <c r="Y575">
        <v>117.145378074718</v>
      </c>
      <c r="Z575">
        <v>640.82000000000005</v>
      </c>
      <c r="AA575">
        <v>1</v>
      </c>
      <c r="AB575">
        <v>75.069101177840764</v>
      </c>
      <c r="AC575">
        <v>1.0073000000000001</v>
      </c>
      <c r="AD575" s="63">
        <v>75.617000000000004</v>
      </c>
      <c r="AE575">
        <v>8.9176000000000002</v>
      </c>
      <c r="AF575">
        <v>9.4000488020579382</v>
      </c>
      <c r="AG575">
        <v>1</v>
      </c>
      <c r="AH575">
        <v>6023.7392733347688</v>
      </c>
      <c r="AI575">
        <v>0.99399488088206345</v>
      </c>
      <c r="AJ575" s="63">
        <v>5987.5659999999998</v>
      </c>
      <c r="AK575" s="61">
        <v>8.022568759908399</v>
      </c>
      <c r="AL575" t="s">
        <v>347</v>
      </c>
      <c r="AM575" t="s">
        <v>437</v>
      </c>
      <c r="AN575" t="s">
        <v>425</v>
      </c>
      <c r="AO575" t="s">
        <v>28</v>
      </c>
      <c r="AP575">
        <v>111.133</v>
      </c>
      <c r="AQ575">
        <v>1.0541007448257309</v>
      </c>
      <c r="AR575">
        <v>117.145378074718</v>
      </c>
      <c r="AS575">
        <v>640.82000000000005</v>
      </c>
      <c r="AT575">
        <v>1</v>
      </c>
      <c r="AU575">
        <v>75.069101177840764</v>
      </c>
      <c r="AV575">
        <v>1.0073000000000001</v>
      </c>
      <c r="AW575" s="63">
        <v>75.617000000000004</v>
      </c>
      <c r="AX575">
        <v>8.9176000000000002</v>
      </c>
      <c r="AY575">
        <v>1</v>
      </c>
      <c r="AZ575">
        <v>6023.7392733347688</v>
      </c>
      <c r="BA575">
        <v>0.99399488088206345</v>
      </c>
      <c r="BB575" s="63">
        <v>5987.5659999999998</v>
      </c>
      <c r="BC575" s="61">
        <v>8.022568759908399</v>
      </c>
    </row>
    <row r="576" spans="1:55" x14ac:dyDescent="0.25">
      <c r="A576">
        <v>173201</v>
      </c>
      <c r="B576" t="s">
        <v>156</v>
      </c>
      <c r="C576">
        <v>2019</v>
      </c>
      <c r="D576">
        <v>10</v>
      </c>
      <c r="E576" t="s">
        <v>51</v>
      </c>
      <c r="F576" t="s">
        <v>426</v>
      </c>
      <c r="G576" t="s">
        <v>84</v>
      </c>
      <c r="H576" t="s">
        <v>381</v>
      </c>
      <c r="I576" t="s">
        <v>427</v>
      </c>
      <c r="J576">
        <v>-12.780785310000001</v>
      </c>
      <c r="K576" t="s">
        <v>440</v>
      </c>
      <c r="L576" t="s">
        <v>450</v>
      </c>
      <c r="M576">
        <v>0.15011157993331001</v>
      </c>
      <c r="N576">
        <v>1.918543876318541</v>
      </c>
      <c r="O576">
        <v>28410.399000000001</v>
      </c>
      <c r="P576">
        <v>2.51417E-6</v>
      </c>
      <c r="Q576">
        <v>0.14285700000000001</v>
      </c>
      <c r="R576" s="61">
        <v>0.27407742253923778</v>
      </c>
      <c r="S576" t="s">
        <v>347</v>
      </c>
      <c r="T576" t="s">
        <v>437</v>
      </c>
      <c r="U576" t="s">
        <v>425</v>
      </c>
      <c r="V576" t="s">
        <v>26</v>
      </c>
      <c r="W576">
        <v>111.133</v>
      </c>
      <c r="X576">
        <v>1.0541007448257309</v>
      </c>
      <c r="Y576">
        <v>117.145378074718</v>
      </c>
      <c r="Z576">
        <v>640.82000000000005</v>
      </c>
      <c r="AA576">
        <v>1</v>
      </c>
      <c r="AB576">
        <v>75.069101177840764</v>
      </c>
      <c r="AC576">
        <v>0.99109999999999998</v>
      </c>
      <c r="AD576" s="63">
        <v>74.400999999999996</v>
      </c>
      <c r="AE576">
        <v>8.9176000000000002</v>
      </c>
      <c r="AF576">
        <v>9.4000488020579382</v>
      </c>
      <c r="AG576">
        <v>1</v>
      </c>
      <c r="AH576">
        <v>6023.7392733347688</v>
      </c>
      <c r="AI576">
        <v>0.9830373970836227</v>
      </c>
      <c r="AJ576" s="63">
        <v>5921.5609999999997</v>
      </c>
      <c r="AK576" s="61">
        <v>1622.966176288872</v>
      </c>
      <c r="AL576" t="s">
        <v>347</v>
      </c>
      <c r="AM576" t="s">
        <v>437</v>
      </c>
      <c r="AN576" t="s">
        <v>425</v>
      </c>
      <c r="AO576" t="s">
        <v>26</v>
      </c>
      <c r="AP576">
        <v>111.133</v>
      </c>
      <c r="AQ576">
        <v>1.0541007448257309</v>
      </c>
      <c r="AR576">
        <v>117.145378074718</v>
      </c>
      <c r="AS576">
        <v>640.82000000000005</v>
      </c>
      <c r="AT576">
        <v>1</v>
      </c>
      <c r="AU576">
        <v>75.069101177840764</v>
      </c>
      <c r="AV576">
        <v>0.99109999999999998</v>
      </c>
      <c r="AW576" s="63">
        <v>74.400999999999996</v>
      </c>
      <c r="AX576">
        <v>8.9176000000000002</v>
      </c>
      <c r="AY576">
        <v>1</v>
      </c>
      <c r="AZ576">
        <v>6023.7392733347688</v>
      </c>
      <c r="BA576">
        <v>0.9830373970836227</v>
      </c>
      <c r="BB576" s="63">
        <v>5921.5609999999997</v>
      </c>
      <c r="BC576" s="61">
        <v>1622.966176288872</v>
      </c>
    </row>
    <row r="577" spans="1:55" x14ac:dyDescent="0.25">
      <c r="A577">
        <v>173203</v>
      </c>
      <c r="B577" t="s">
        <v>156</v>
      </c>
      <c r="C577">
        <v>2019</v>
      </c>
      <c r="D577">
        <v>10</v>
      </c>
      <c r="E577" t="s">
        <v>51</v>
      </c>
      <c r="F577" t="s">
        <v>426</v>
      </c>
      <c r="G577" t="s">
        <v>84</v>
      </c>
      <c r="H577" t="s">
        <v>381</v>
      </c>
      <c r="I577" t="s">
        <v>427</v>
      </c>
      <c r="J577">
        <v>-12.780785310000001</v>
      </c>
      <c r="K577" t="s">
        <v>440</v>
      </c>
      <c r="L577" t="s">
        <v>384</v>
      </c>
      <c r="M577">
        <v>4.5811354346740003E-2</v>
      </c>
      <c r="N577">
        <v>0.58550508486316744</v>
      </c>
      <c r="O577">
        <v>28410.399000000001</v>
      </c>
      <c r="P577">
        <v>2.51417E-6</v>
      </c>
      <c r="Q577">
        <v>0.14285700000000001</v>
      </c>
      <c r="R577" s="61">
        <v>8.3643499908297517E-2</v>
      </c>
      <c r="S577" t="s">
        <v>347</v>
      </c>
      <c r="T577" t="s">
        <v>437</v>
      </c>
      <c r="U577" t="s">
        <v>425</v>
      </c>
      <c r="V577" t="s">
        <v>81</v>
      </c>
      <c r="W577">
        <v>111.133</v>
      </c>
      <c r="X577">
        <v>1.0541007448257309</v>
      </c>
      <c r="Y577">
        <v>117.145378074718</v>
      </c>
      <c r="Z577">
        <v>640.82000000000005</v>
      </c>
      <c r="AA577">
        <v>1</v>
      </c>
      <c r="AB577">
        <v>75.069101177840764</v>
      </c>
      <c r="AC577">
        <v>0.93830000000000002</v>
      </c>
      <c r="AD577" s="63">
        <v>70.436999999999998</v>
      </c>
      <c r="AE577">
        <v>8.9176000000000002</v>
      </c>
      <c r="AF577">
        <v>9.4000488020579382</v>
      </c>
      <c r="AG577">
        <v>1</v>
      </c>
      <c r="AH577">
        <v>6023.7392733347688</v>
      </c>
      <c r="AI577">
        <v>1.098016605166052</v>
      </c>
      <c r="AJ577" s="63">
        <v>6614.1656999999996</v>
      </c>
      <c r="AK577" s="61">
        <v>553.23196812141452</v>
      </c>
      <c r="AL577" t="s">
        <v>347</v>
      </c>
      <c r="AM577" t="s">
        <v>437</v>
      </c>
      <c r="AN577" t="s">
        <v>425</v>
      </c>
      <c r="AO577" t="s">
        <v>81</v>
      </c>
      <c r="AP577">
        <v>111.133</v>
      </c>
      <c r="AQ577">
        <v>1.0541007448257309</v>
      </c>
      <c r="AR577">
        <v>117.145378074718</v>
      </c>
      <c r="AS577">
        <v>640.82000000000005</v>
      </c>
      <c r="AT577">
        <v>1</v>
      </c>
      <c r="AU577">
        <v>75.069101177840764</v>
      </c>
      <c r="AV577">
        <v>0.93830000000000002</v>
      </c>
      <c r="AW577" s="63">
        <v>70.436999999999998</v>
      </c>
      <c r="AX577">
        <v>8.9176000000000002</v>
      </c>
      <c r="AY577">
        <v>1</v>
      </c>
      <c r="AZ577">
        <v>6023.7392733347688</v>
      </c>
      <c r="BA577">
        <v>1.098016605166052</v>
      </c>
      <c r="BB577" s="63">
        <v>6614.1656999999996</v>
      </c>
      <c r="BC577" s="61">
        <v>553.23196812141452</v>
      </c>
    </row>
    <row r="578" spans="1:55" x14ac:dyDescent="0.25">
      <c r="A578">
        <v>173205</v>
      </c>
      <c r="B578" t="s">
        <v>156</v>
      </c>
      <c r="C578">
        <v>2019</v>
      </c>
      <c r="D578">
        <v>10</v>
      </c>
      <c r="E578" t="s">
        <v>51</v>
      </c>
      <c r="F578" t="s">
        <v>426</v>
      </c>
      <c r="G578" t="s">
        <v>84</v>
      </c>
      <c r="H578" t="s">
        <v>381</v>
      </c>
      <c r="I578" t="s">
        <v>427</v>
      </c>
      <c r="J578">
        <v>-12.780785310000001</v>
      </c>
      <c r="K578" t="s">
        <v>440</v>
      </c>
      <c r="L578" t="s">
        <v>385</v>
      </c>
      <c r="M578">
        <v>0.43232641346992001</v>
      </c>
      <c r="N578">
        <v>5.5254710762618471</v>
      </c>
      <c r="O578">
        <v>28410.399000000001</v>
      </c>
      <c r="P578">
        <v>2.51417E-6</v>
      </c>
      <c r="Q578">
        <v>0.14285700000000001</v>
      </c>
      <c r="R578" s="61">
        <v>0.78935222154153872</v>
      </c>
      <c r="S578" t="s">
        <v>347</v>
      </c>
      <c r="T578" t="s">
        <v>437</v>
      </c>
      <c r="U578" t="s">
        <v>425</v>
      </c>
      <c r="V578" t="s">
        <v>27</v>
      </c>
      <c r="W578">
        <v>111.133</v>
      </c>
      <c r="X578">
        <v>1.0541007448257309</v>
      </c>
      <c r="Y578">
        <v>117.145378074718</v>
      </c>
      <c r="Z578">
        <v>640.82000000000005</v>
      </c>
      <c r="AA578">
        <v>1</v>
      </c>
      <c r="AB578">
        <v>75.069101177840764</v>
      </c>
      <c r="AC578">
        <v>0.95889999999999997</v>
      </c>
      <c r="AD578" s="63">
        <v>71.983999999999995</v>
      </c>
      <c r="AE578">
        <v>8.9176000000000002</v>
      </c>
      <c r="AF578">
        <v>9.4000488020579382</v>
      </c>
      <c r="AG578">
        <v>1</v>
      </c>
      <c r="AH578">
        <v>6023.7392733347688</v>
      </c>
      <c r="AI578">
        <v>0.99097621000820357</v>
      </c>
      <c r="AJ578" s="63">
        <v>5969.3823000000002</v>
      </c>
      <c r="AK578" s="61">
        <v>4711.9451797357406</v>
      </c>
      <c r="AL578" t="s">
        <v>347</v>
      </c>
      <c r="AM578" t="s">
        <v>437</v>
      </c>
      <c r="AN578" t="s">
        <v>425</v>
      </c>
      <c r="AO578" t="s">
        <v>27</v>
      </c>
      <c r="AP578">
        <v>111.133</v>
      </c>
      <c r="AQ578">
        <v>1.0541007448257309</v>
      </c>
      <c r="AR578">
        <v>117.145378074718</v>
      </c>
      <c r="AS578">
        <v>640.82000000000005</v>
      </c>
      <c r="AT578">
        <v>1</v>
      </c>
      <c r="AU578">
        <v>75.069101177840764</v>
      </c>
      <c r="AV578">
        <v>0.95889999999999997</v>
      </c>
      <c r="AW578" s="63">
        <v>71.983999999999995</v>
      </c>
      <c r="AX578">
        <v>8.9176000000000002</v>
      </c>
      <c r="AY578">
        <v>1</v>
      </c>
      <c r="AZ578">
        <v>6023.7392733347688</v>
      </c>
      <c r="BA578">
        <v>0.99097621000820357</v>
      </c>
      <c r="BB578" s="63">
        <v>5969.3823000000002</v>
      </c>
      <c r="BC578" s="61">
        <v>4711.9451797357406</v>
      </c>
    </row>
    <row r="579" spans="1:55" x14ac:dyDescent="0.25">
      <c r="A579">
        <v>173207</v>
      </c>
      <c r="B579" t="s">
        <v>156</v>
      </c>
      <c r="C579">
        <v>2019</v>
      </c>
      <c r="D579">
        <v>10</v>
      </c>
      <c r="E579" t="s">
        <v>51</v>
      </c>
      <c r="F579" t="s">
        <v>426</v>
      </c>
      <c r="G579" t="s">
        <v>84</v>
      </c>
      <c r="H579" t="s">
        <v>381</v>
      </c>
      <c r="I579" t="s">
        <v>427</v>
      </c>
      <c r="J579">
        <v>-12.780785310000001</v>
      </c>
      <c r="K579" t="s">
        <v>440</v>
      </c>
      <c r="L579" t="s">
        <v>451</v>
      </c>
      <c r="M579">
        <v>1.6825115802299999E-3</v>
      </c>
      <c r="N579">
        <v>2.150381929574912E-2</v>
      </c>
      <c r="O579">
        <v>28410.399000000001</v>
      </c>
      <c r="P579">
        <v>2.51417E-6</v>
      </c>
      <c r="Q579">
        <v>0.14285700000000001</v>
      </c>
      <c r="R579" s="61">
        <v>3.0719711131328318E-3</v>
      </c>
      <c r="S579" t="s">
        <v>347</v>
      </c>
      <c r="T579" t="s">
        <v>437</v>
      </c>
      <c r="U579" t="s">
        <v>425</v>
      </c>
      <c r="V579" t="s">
        <v>91</v>
      </c>
      <c r="W579">
        <v>111.133</v>
      </c>
      <c r="X579">
        <v>1.0541007448257309</v>
      </c>
      <c r="Y579">
        <v>117.145378074718</v>
      </c>
      <c r="Z579">
        <v>640.82000000000005</v>
      </c>
      <c r="AA579">
        <v>1</v>
      </c>
      <c r="AB579">
        <v>75.069101177840764</v>
      </c>
      <c r="AC579">
        <v>1.0088999999999999</v>
      </c>
      <c r="AD579" s="63">
        <v>75.736999999999995</v>
      </c>
      <c r="AE579">
        <v>8.9176000000000002</v>
      </c>
      <c r="AF579">
        <v>9.4000488020579382</v>
      </c>
      <c r="AG579">
        <v>1</v>
      </c>
      <c r="AH579">
        <v>6023.7392733347688</v>
      </c>
      <c r="AI579">
        <v>0.99316673174541203</v>
      </c>
      <c r="AJ579" s="63">
        <v>5982.5774000000001</v>
      </c>
      <c r="AK579" s="61">
        <v>18.37830495488133</v>
      </c>
      <c r="AL579" t="s">
        <v>347</v>
      </c>
      <c r="AM579" t="s">
        <v>437</v>
      </c>
      <c r="AN579" t="s">
        <v>425</v>
      </c>
      <c r="AO579" t="s">
        <v>91</v>
      </c>
      <c r="AP579">
        <v>111.133</v>
      </c>
      <c r="AQ579">
        <v>1.0541007448257309</v>
      </c>
      <c r="AR579">
        <v>117.145378074718</v>
      </c>
      <c r="AS579">
        <v>640.82000000000005</v>
      </c>
      <c r="AT579">
        <v>1</v>
      </c>
      <c r="AU579">
        <v>75.069101177840764</v>
      </c>
      <c r="AV579">
        <v>1.0088999999999999</v>
      </c>
      <c r="AW579" s="63">
        <v>75.736999999999995</v>
      </c>
      <c r="AX579">
        <v>8.9176000000000002</v>
      </c>
      <c r="AY579">
        <v>1</v>
      </c>
      <c r="AZ579">
        <v>6023.7392733347688</v>
      </c>
      <c r="BA579">
        <v>0.99316673174541203</v>
      </c>
      <c r="BB579" s="63">
        <v>5982.5774000000001</v>
      </c>
      <c r="BC579" s="61">
        <v>18.37830495488133</v>
      </c>
    </row>
    <row r="580" spans="1:55" x14ac:dyDescent="0.25">
      <c r="A580">
        <v>173209</v>
      </c>
      <c r="B580" t="s">
        <v>156</v>
      </c>
      <c r="C580">
        <v>2019</v>
      </c>
      <c r="D580">
        <v>10</v>
      </c>
      <c r="E580" t="s">
        <v>51</v>
      </c>
      <c r="F580" t="s">
        <v>426</v>
      </c>
      <c r="G580" t="s">
        <v>84</v>
      </c>
      <c r="H580" t="s">
        <v>381</v>
      </c>
      <c r="I580" t="s">
        <v>427</v>
      </c>
      <c r="J580">
        <v>-12.780785310000001</v>
      </c>
      <c r="K580" t="s">
        <v>440</v>
      </c>
      <c r="L580" t="s">
        <v>452</v>
      </c>
      <c r="M580">
        <v>1.53682162831E-3</v>
      </c>
      <c r="N580">
        <v>1.96417872978084E-2</v>
      </c>
      <c r="O580">
        <v>28410.399000000001</v>
      </c>
      <c r="P580">
        <v>2.51417E-6</v>
      </c>
      <c r="Q580">
        <v>0.14285700000000001</v>
      </c>
      <c r="R580" s="61">
        <v>2.8059668080030152E-3</v>
      </c>
      <c r="S580" t="s">
        <v>347</v>
      </c>
      <c r="T580" t="s">
        <v>437</v>
      </c>
      <c r="U580" t="s">
        <v>425</v>
      </c>
      <c r="V580" t="s">
        <v>28</v>
      </c>
      <c r="W580">
        <v>111.133</v>
      </c>
      <c r="X580">
        <v>1.0541007448257309</v>
      </c>
      <c r="Y580">
        <v>117.145378074718</v>
      </c>
      <c r="Z580">
        <v>640.82000000000005</v>
      </c>
      <c r="AA580">
        <v>1</v>
      </c>
      <c r="AB580">
        <v>75.069101177840764</v>
      </c>
      <c r="AC580">
        <v>1.0073000000000001</v>
      </c>
      <c r="AD580" s="63">
        <v>75.617000000000004</v>
      </c>
      <c r="AE580">
        <v>8.9176000000000002</v>
      </c>
      <c r="AF580">
        <v>9.4000488020579382</v>
      </c>
      <c r="AG580">
        <v>1</v>
      </c>
      <c r="AH580">
        <v>6023.7392733347688</v>
      </c>
      <c r="AI580">
        <v>0.99399488088206345</v>
      </c>
      <c r="AJ580" s="63">
        <v>5987.5659999999998</v>
      </c>
      <c r="AK580" s="61">
        <v>16.800911456727381</v>
      </c>
      <c r="AL580" t="s">
        <v>347</v>
      </c>
      <c r="AM580" t="s">
        <v>437</v>
      </c>
      <c r="AN580" t="s">
        <v>425</v>
      </c>
      <c r="AO580" t="s">
        <v>28</v>
      </c>
      <c r="AP580">
        <v>111.133</v>
      </c>
      <c r="AQ580">
        <v>1.0541007448257309</v>
      </c>
      <c r="AR580">
        <v>117.145378074718</v>
      </c>
      <c r="AS580">
        <v>640.82000000000005</v>
      </c>
      <c r="AT580">
        <v>1</v>
      </c>
      <c r="AU580">
        <v>75.069101177840764</v>
      </c>
      <c r="AV580">
        <v>1.0073000000000001</v>
      </c>
      <c r="AW580" s="63">
        <v>75.617000000000004</v>
      </c>
      <c r="AX580">
        <v>8.9176000000000002</v>
      </c>
      <c r="AY580">
        <v>1</v>
      </c>
      <c r="AZ580">
        <v>6023.7392733347688</v>
      </c>
      <c r="BA580">
        <v>0.99399488088206345</v>
      </c>
      <c r="BB580" s="63">
        <v>5987.5659999999998</v>
      </c>
      <c r="BC580" s="61">
        <v>16.800911456727381</v>
      </c>
    </row>
    <row r="581" spans="1:55" x14ac:dyDescent="0.25">
      <c r="A581">
        <v>173211</v>
      </c>
      <c r="B581" t="s">
        <v>156</v>
      </c>
      <c r="C581">
        <v>2019</v>
      </c>
      <c r="D581">
        <v>10</v>
      </c>
      <c r="E581" t="s">
        <v>51</v>
      </c>
      <c r="F581" t="s">
        <v>426</v>
      </c>
      <c r="G581" t="s">
        <v>84</v>
      </c>
      <c r="H581" t="s">
        <v>87</v>
      </c>
      <c r="I581" t="s">
        <v>427</v>
      </c>
      <c r="J581">
        <v>-2.5502972900000001</v>
      </c>
      <c r="K581" t="s">
        <v>440</v>
      </c>
      <c r="L581" t="s">
        <v>450</v>
      </c>
      <c r="M581">
        <v>0.26601384014995</v>
      </c>
      <c r="N581">
        <v>0.67841437582859199</v>
      </c>
      <c r="O581">
        <v>28410.399000000001</v>
      </c>
      <c r="P581">
        <v>2.51417E-6</v>
      </c>
      <c r="Q581">
        <v>0.14285700000000001</v>
      </c>
      <c r="R581" s="61">
        <v>9.6916242487745177E-2</v>
      </c>
      <c r="S581" t="s">
        <v>347</v>
      </c>
      <c r="T581" t="s">
        <v>437</v>
      </c>
      <c r="U581" t="s">
        <v>425</v>
      </c>
      <c r="V581" t="s">
        <v>26</v>
      </c>
      <c r="W581">
        <v>111.133</v>
      </c>
      <c r="X581">
        <v>1.0541007448257309</v>
      </c>
      <c r="Y581">
        <v>117.145378074718</v>
      </c>
      <c r="Z581">
        <v>640.82000000000005</v>
      </c>
      <c r="AA581">
        <v>1</v>
      </c>
      <c r="AB581">
        <v>75.069101177840764</v>
      </c>
      <c r="AC581">
        <v>0.99109999999999998</v>
      </c>
      <c r="AD581" s="63">
        <v>74.400999999999996</v>
      </c>
      <c r="AE581">
        <v>8.9176000000000002</v>
      </c>
      <c r="AF581">
        <v>9.4000488020579382</v>
      </c>
      <c r="AG581">
        <v>1</v>
      </c>
      <c r="AH581">
        <v>6023.7392733347688</v>
      </c>
      <c r="AI581">
        <v>0.9830373970836227</v>
      </c>
      <c r="AJ581" s="63">
        <v>5921.5609999999997</v>
      </c>
      <c r="AK581" s="61">
        <v>573.8954417819748</v>
      </c>
      <c r="AL581" t="s">
        <v>347</v>
      </c>
      <c r="AM581" t="s">
        <v>437</v>
      </c>
      <c r="AN581" t="s">
        <v>425</v>
      </c>
      <c r="AO581" t="s">
        <v>26</v>
      </c>
      <c r="AP581">
        <v>111.133</v>
      </c>
      <c r="AQ581">
        <v>1.0541007448257309</v>
      </c>
      <c r="AR581">
        <v>117.145378074718</v>
      </c>
      <c r="AS581">
        <v>640.82000000000005</v>
      </c>
      <c r="AT581">
        <v>1</v>
      </c>
      <c r="AU581">
        <v>75.069101177840764</v>
      </c>
      <c r="AV581">
        <v>0.99109999999999998</v>
      </c>
      <c r="AW581" s="63">
        <v>74.400999999999996</v>
      </c>
      <c r="AX581">
        <v>8.9176000000000002</v>
      </c>
      <c r="AY581">
        <v>1</v>
      </c>
      <c r="AZ581">
        <v>6023.7392733347688</v>
      </c>
      <c r="BA581">
        <v>0.9830373970836227</v>
      </c>
      <c r="BB581" s="63">
        <v>5921.5609999999997</v>
      </c>
      <c r="BC581" s="61">
        <v>573.8954417819748</v>
      </c>
    </row>
    <row r="582" spans="1:55" x14ac:dyDescent="0.25">
      <c r="A582">
        <v>173213</v>
      </c>
      <c r="B582" t="s">
        <v>156</v>
      </c>
      <c r="C582">
        <v>2019</v>
      </c>
      <c r="D582">
        <v>10</v>
      </c>
      <c r="E582" t="s">
        <v>51</v>
      </c>
      <c r="F582" t="s">
        <v>426</v>
      </c>
      <c r="G582" t="s">
        <v>84</v>
      </c>
      <c r="H582" t="s">
        <v>87</v>
      </c>
      <c r="I582" t="s">
        <v>427</v>
      </c>
      <c r="J582">
        <v>-2.5502972900000001</v>
      </c>
      <c r="K582" t="s">
        <v>440</v>
      </c>
      <c r="L582" t="s">
        <v>384</v>
      </c>
      <c r="M582">
        <v>3.9509559941419997E-2</v>
      </c>
      <c r="N582">
        <v>0.1007611236761653</v>
      </c>
      <c r="O582">
        <v>28410.399000000001</v>
      </c>
      <c r="P582">
        <v>2.51417E-6</v>
      </c>
      <c r="Q582">
        <v>0.14285700000000001</v>
      </c>
      <c r="R582" s="61">
        <v>1.439443184500595E-2</v>
      </c>
      <c r="S582" t="s">
        <v>347</v>
      </c>
      <c r="T582" t="s">
        <v>437</v>
      </c>
      <c r="U582" t="s">
        <v>425</v>
      </c>
      <c r="V582" t="s">
        <v>81</v>
      </c>
      <c r="W582">
        <v>111.133</v>
      </c>
      <c r="X582">
        <v>1.0541007448257309</v>
      </c>
      <c r="Y582">
        <v>117.145378074718</v>
      </c>
      <c r="Z582">
        <v>640.82000000000005</v>
      </c>
      <c r="AA582">
        <v>1</v>
      </c>
      <c r="AB582">
        <v>75.069101177840764</v>
      </c>
      <c r="AC582">
        <v>0.93830000000000002</v>
      </c>
      <c r="AD582" s="63">
        <v>70.436999999999998</v>
      </c>
      <c r="AE582">
        <v>8.9176000000000002</v>
      </c>
      <c r="AF582">
        <v>9.4000488020579382</v>
      </c>
      <c r="AG582">
        <v>1</v>
      </c>
      <c r="AH582">
        <v>6023.7392733347688</v>
      </c>
      <c r="AI582">
        <v>1.098016605166052</v>
      </c>
      <c r="AJ582" s="63">
        <v>6614.1656999999996</v>
      </c>
      <c r="AK582" s="61">
        <v>95.207157380226093</v>
      </c>
      <c r="AL582" t="s">
        <v>347</v>
      </c>
      <c r="AM582" t="s">
        <v>437</v>
      </c>
      <c r="AN582" t="s">
        <v>425</v>
      </c>
      <c r="AO582" t="s">
        <v>81</v>
      </c>
      <c r="AP582">
        <v>111.133</v>
      </c>
      <c r="AQ582">
        <v>1.0541007448257309</v>
      </c>
      <c r="AR582">
        <v>117.145378074718</v>
      </c>
      <c r="AS582">
        <v>640.82000000000005</v>
      </c>
      <c r="AT582">
        <v>1</v>
      </c>
      <c r="AU582">
        <v>75.069101177840764</v>
      </c>
      <c r="AV582">
        <v>0.93830000000000002</v>
      </c>
      <c r="AW582" s="63">
        <v>70.436999999999998</v>
      </c>
      <c r="AX582">
        <v>8.9176000000000002</v>
      </c>
      <c r="AY582">
        <v>1</v>
      </c>
      <c r="AZ582">
        <v>6023.7392733347688</v>
      </c>
      <c r="BA582">
        <v>1.098016605166052</v>
      </c>
      <c r="BB582" s="63">
        <v>6614.1656999999996</v>
      </c>
      <c r="BC582" s="61">
        <v>95.207157380226093</v>
      </c>
    </row>
    <row r="583" spans="1:55" x14ac:dyDescent="0.25">
      <c r="A583">
        <v>173215</v>
      </c>
      <c r="B583" t="s">
        <v>156</v>
      </c>
      <c r="C583">
        <v>2019</v>
      </c>
      <c r="D583">
        <v>10</v>
      </c>
      <c r="E583" t="s">
        <v>51</v>
      </c>
      <c r="F583" t="s">
        <v>426</v>
      </c>
      <c r="G583" t="s">
        <v>84</v>
      </c>
      <c r="H583" t="s">
        <v>87</v>
      </c>
      <c r="I583" t="s">
        <v>427</v>
      </c>
      <c r="J583">
        <v>-2.5502972900000001</v>
      </c>
      <c r="K583" t="s">
        <v>440</v>
      </c>
      <c r="L583" t="s">
        <v>385</v>
      </c>
      <c r="M583">
        <v>0.39737542925016001</v>
      </c>
      <c r="N583">
        <v>1.013425480615606</v>
      </c>
      <c r="O583">
        <v>28410.399000000001</v>
      </c>
      <c r="P583">
        <v>2.51417E-6</v>
      </c>
      <c r="Q583">
        <v>0.14285700000000001</v>
      </c>
      <c r="R583" s="61">
        <v>0.14477492388430371</v>
      </c>
      <c r="S583" t="s">
        <v>347</v>
      </c>
      <c r="T583" t="s">
        <v>437</v>
      </c>
      <c r="U583" t="s">
        <v>425</v>
      </c>
      <c r="V583" t="s">
        <v>27</v>
      </c>
      <c r="W583">
        <v>111.133</v>
      </c>
      <c r="X583">
        <v>1.0541007448257309</v>
      </c>
      <c r="Y583">
        <v>117.145378074718</v>
      </c>
      <c r="Z583">
        <v>640.82000000000005</v>
      </c>
      <c r="AA583">
        <v>1</v>
      </c>
      <c r="AB583">
        <v>75.069101177840764</v>
      </c>
      <c r="AC583">
        <v>0.95889999999999997</v>
      </c>
      <c r="AD583" s="63">
        <v>71.983999999999995</v>
      </c>
      <c r="AE583">
        <v>8.9176000000000002</v>
      </c>
      <c r="AF583">
        <v>9.4000488020579382</v>
      </c>
      <c r="AG583">
        <v>1</v>
      </c>
      <c r="AH583">
        <v>6023.7392733347688</v>
      </c>
      <c r="AI583">
        <v>0.99097621000820357</v>
      </c>
      <c r="AJ583" s="63">
        <v>5969.3823000000002</v>
      </c>
      <c r="AK583" s="61">
        <v>864.21686811880954</v>
      </c>
      <c r="AL583" t="s">
        <v>347</v>
      </c>
      <c r="AM583" t="s">
        <v>437</v>
      </c>
      <c r="AN583" t="s">
        <v>425</v>
      </c>
      <c r="AO583" t="s">
        <v>27</v>
      </c>
      <c r="AP583">
        <v>111.133</v>
      </c>
      <c r="AQ583">
        <v>1.0541007448257309</v>
      </c>
      <c r="AR583">
        <v>117.145378074718</v>
      </c>
      <c r="AS583">
        <v>640.82000000000005</v>
      </c>
      <c r="AT583">
        <v>1</v>
      </c>
      <c r="AU583">
        <v>75.069101177840764</v>
      </c>
      <c r="AV583">
        <v>0.95889999999999997</v>
      </c>
      <c r="AW583" s="63">
        <v>71.983999999999995</v>
      </c>
      <c r="AX583">
        <v>8.9176000000000002</v>
      </c>
      <c r="AY583">
        <v>1</v>
      </c>
      <c r="AZ583">
        <v>6023.7392733347688</v>
      </c>
      <c r="BA583">
        <v>0.99097621000820357</v>
      </c>
      <c r="BB583" s="63">
        <v>5969.3823000000002</v>
      </c>
      <c r="BC583" s="61">
        <v>864.21686811880954</v>
      </c>
    </row>
    <row r="584" spans="1:55" x14ac:dyDescent="0.25">
      <c r="A584">
        <v>173217</v>
      </c>
      <c r="B584" t="s">
        <v>156</v>
      </c>
      <c r="C584">
        <v>2019</v>
      </c>
      <c r="D584">
        <v>10</v>
      </c>
      <c r="E584" t="s">
        <v>51</v>
      </c>
      <c r="F584" t="s">
        <v>426</v>
      </c>
      <c r="G584" t="s">
        <v>84</v>
      </c>
      <c r="H584" t="s">
        <v>87</v>
      </c>
      <c r="I584" t="s">
        <v>427</v>
      </c>
      <c r="J584">
        <v>-2.5502972900000001</v>
      </c>
      <c r="K584" t="s">
        <v>440</v>
      </c>
      <c r="L584" t="s">
        <v>452</v>
      </c>
      <c r="M584">
        <v>8.4248020759000004E-4</v>
      </c>
      <c r="N584">
        <v>2.1485749909024802E-3</v>
      </c>
      <c r="O584">
        <v>28410.399000000001</v>
      </c>
      <c r="P584">
        <v>2.51417E-6</v>
      </c>
      <c r="Q584">
        <v>0.14285700000000001</v>
      </c>
      <c r="R584" s="61">
        <v>3.0693897747535557E-4</v>
      </c>
      <c r="S584" t="s">
        <v>347</v>
      </c>
      <c r="T584" t="s">
        <v>437</v>
      </c>
      <c r="U584" t="s">
        <v>425</v>
      </c>
      <c r="V584" t="s">
        <v>28</v>
      </c>
      <c r="W584">
        <v>111.133</v>
      </c>
      <c r="X584">
        <v>1.0541007448257309</v>
      </c>
      <c r="Y584">
        <v>117.145378074718</v>
      </c>
      <c r="Z584">
        <v>640.82000000000005</v>
      </c>
      <c r="AA584">
        <v>1</v>
      </c>
      <c r="AB584">
        <v>75.069101177840764</v>
      </c>
      <c r="AC584">
        <v>1.0073000000000001</v>
      </c>
      <c r="AD584" s="63">
        <v>75.617000000000004</v>
      </c>
      <c r="AE584">
        <v>8.9176000000000002</v>
      </c>
      <c r="AF584">
        <v>9.4000488020579382</v>
      </c>
      <c r="AG584">
        <v>1</v>
      </c>
      <c r="AH584">
        <v>6023.7392733347688</v>
      </c>
      <c r="AI584">
        <v>0.99399488088206345</v>
      </c>
      <c r="AJ584" s="63">
        <v>5987.5659999999998</v>
      </c>
      <c r="AK584" s="61">
        <v>1.837817385606205</v>
      </c>
      <c r="AL584" t="s">
        <v>347</v>
      </c>
      <c r="AM584" t="s">
        <v>437</v>
      </c>
      <c r="AN584" t="s">
        <v>425</v>
      </c>
      <c r="AO584" t="s">
        <v>28</v>
      </c>
      <c r="AP584">
        <v>111.133</v>
      </c>
      <c r="AQ584">
        <v>1.0541007448257309</v>
      </c>
      <c r="AR584">
        <v>117.145378074718</v>
      </c>
      <c r="AS584">
        <v>640.82000000000005</v>
      </c>
      <c r="AT584">
        <v>1</v>
      </c>
      <c r="AU584">
        <v>75.069101177840764</v>
      </c>
      <c r="AV584">
        <v>1.0073000000000001</v>
      </c>
      <c r="AW584" s="63">
        <v>75.617000000000004</v>
      </c>
      <c r="AX584">
        <v>8.9176000000000002</v>
      </c>
      <c r="AY584">
        <v>1</v>
      </c>
      <c r="AZ584">
        <v>6023.7392733347688</v>
      </c>
      <c r="BA584">
        <v>0.99399488088206345</v>
      </c>
      <c r="BB584" s="63">
        <v>5987.5659999999998</v>
      </c>
      <c r="BC584" s="61">
        <v>1.837817385606205</v>
      </c>
    </row>
    <row r="585" spans="1:55" x14ac:dyDescent="0.25">
      <c r="A585">
        <v>173219</v>
      </c>
      <c r="B585" t="s">
        <v>156</v>
      </c>
      <c r="C585">
        <v>2019</v>
      </c>
      <c r="D585">
        <v>10</v>
      </c>
      <c r="E585" t="s">
        <v>51</v>
      </c>
      <c r="F585" t="s">
        <v>426</v>
      </c>
      <c r="G585" t="s">
        <v>84</v>
      </c>
      <c r="H585" t="s">
        <v>59</v>
      </c>
      <c r="I585" t="s">
        <v>427</v>
      </c>
      <c r="J585">
        <v>-6.0651234499999997</v>
      </c>
      <c r="K585" t="s">
        <v>440</v>
      </c>
      <c r="L585" t="s">
        <v>450</v>
      </c>
      <c r="M585">
        <v>0.15931709696460999</v>
      </c>
      <c r="N585">
        <v>0.96627786030549434</v>
      </c>
      <c r="O585">
        <v>28410.399000000001</v>
      </c>
      <c r="P585">
        <v>2.51417E-6</v>
      </c>
      <c r="Q585">
        <v>0.14285700000000001</v>
      </c>
      <c r="R585" s="61">
        <v>0.138039556289662</v>
      </c>
      <c r="S585" t="s">
        <v>347</v>
      </c>
      <c r="T585" t="s">
        <v>437</v>
      </c>
      <c r="U585" t="s">
        <v>425</v>
      </c>
      <c r="V585" t="s">
        <v>26</v>
      </c>
      <c r="W585">
        <v>111.133</v>
      </c>
      <c r="X585">
        <v>1.0541007448257309</v>
      </c>
      <c r="Y585">
        <v>117.145378074718</v>
      </c>
      <c r="Z585">
        <v>640.82000000000005</v>
      </c>
      <c r="AA585">
        <v>1</v>
      </c>
      <c r="AB585">
        <v>75.069101177840764</v>
      </c>
      <c r="AC585">
        <v>0.99109999999999998</v>
      </c>
      <c r="AD585" s="63">
        <v>74.400999999999996</v>
      </c>
      <c r="AE585">
        <v>8.9176000000000002</v>
      </c>
      <c r="AF585">
        <v>9.4000488020579382</v>
      </c>
      <c r="AG585">
        <v>1</v>
      </c>
      <c r="AH585">
        <v>6023.7392733347688</v>
      </c>
      <c r="AI585">
        <v>0.9830373970836227</v>
      </c>
      <c r="AJ585" s="63">
        <v>5921.5609999999997</v>
      </c>
      <c r="AK585" s="61">
        <v>817.40965298216736</v>
      </c>
      <c r="AL585" t="s">
        <v>347</v>
      </c>
      <c r="AM585" t="s">
        <v>437</v>
      </c>
      <c r="AN585" t="s">
        <v>425</v>
      </c>
      <c r="AO585" t="s">
        <v>26</v>
      </c>
      <c r="AP585">
        <v>111.133</v>
      </c>
      <c r="AQ585">
        <v>1.0541007448257309</v>
      </c>
      <c r="AR585">
        <v>117.145378074718</v>
      </c>
      <c r="AS585">
        <v>640.82000000000005</v>
      </c>
      <c r="AT585">
        <v>1</v>
      </c>
      <c r="AU585">
        <v>75.069101177840764</v>
      </c>
      <c r="AV585">
        <v>0.99109999999999998</v>
      </c>
      <c r="AW585" s="63">
        <v>74.400999999999996</v>
      </c>
      <c r="AX585">
        <v>8.9176000000000002</v>
      </c>
      <c r="AY585">
        <v>1</v>
      </c>
      <c r="AZ585">
        <v>6023.7392733347688</v>
      </c>
      <c r="BA585">
        <v>0.9830373970836227</v>
      </c>
      <c r="BB585" s="63">
        <v>5921.5609999999997</v>
      </c>
      <c r="BC585" s="61">
        <v>817.40965298216736</v>
      </c>
    </row>
    <row r="586" spans="1:55" x14ac:dyDescent="0.25">
      <c r="A586">
        <v>173221</v>
      </c>
      <c r="B586" t="s">
        <v>156</v>
      </c>
      <c r="C586">
        <v>2019</v>
      </c>
      <c r="D586">
        <v>10</v>
      </c>
      <c r="E586" t="s">
        <v>51</v>
      </c>
      <c r="F586" t="s">
        <v>426</v>
      </c>
      <c r="G586" t="s">
        <v>84</v>
      </c>
      <c r="H586" t="s">
        <v>59</v>
      </c>
      <c r="I586" t="s">
        <v>427</v>
      </c>
      <c r="J586">
        <v>-6.0651234499999997</v>
      </c>
      <c r="K586" t="s">
        <v>440</v>
      </c>
      <c r="L586" t="s">
        <v>384</v>
      </c>
      <c r="M586">
        <v>4.1785183859599999E-2</v>
      </c>
      <c r="N586">
        <v>0.25343229836340131</v>
      </c>
      <c r="O586">
        <v>28410.399000000001</v>
      </c>
      <c r="P586">
        <v>2.51417E-6</v>
      </c>
      <c r="Q586">
        <v>0.14285700000000001</v>
      </c>
      <c r="R586" s="61">
        <v>3.6204577847300419E-2</v>
      </c>
      <c r="S586" t="s">
        <v>347</v>
      </c>
      <c r="T586" t="s">
        <v>437</v>
      </c>
      <c r="U586" t="s">
        <v>425</v>
      </c>
      <c r="V586" t="s">
        <v>81</v>
      </c>
      <c r="W586">
        <v>111.133</v>
      </c>
      <c r="X586">
        <v>1.0541007448257309</v>
      </c>
      <c r="Y586">
        <v>117.145378074718</v>
      </c>
      <c r="Z586">
        <v>640.82000000000005</v>
      </c>
      <c r="AA586">
        <v>1</v>
      </c>
      <c r="AB586">
        <v>75.069101177840764</v>
      </c>
      <c r="AC586">
        <v>0.93830000000000002</v>
      </c>
      <c r="AD586" s="63">
        <v>70.436999999999998</v>
      </c>
      <c r="AE586">
        <v>8.9176000000000002</v>
      </c>
      <c r="AF586">
        <v>9.4000488020579382</v>
      </c>
      <c r="AG586">
        <v>1</v>
      </c>
      <c r="AH586">
        <v>6023.7392733347688</v>
      </c>
      <c r="AI586">
        <v>1.098016605166052</v>
      </c>
      <c r="AJ586" s="63">
        <v>6614.1656999999996</v>
      </c>
      <c r="AK586" s="61">
        <v>239.46307698059431</v>
      </c>
      <c r="AL586" t="s">
        <v>347</v>
      </c>
      <c r="AM586" t="s">
        <v>437</v>
      </c>
      <c r="AN586" t="s">
        <v>425</v>
      </c>
      <c r="AO586" t="s">
        <v>81</v>
      </c>
      <c r="AP586">
        <v>111.133</v>
      </c>
      <c r="AQ586">
        <v>1.0541007448257309</v>
      </c>
      <c r="AR586">
        <v>117.145378074718</v>
      </c>
      <c r="AS586">
        <v>640.82000000000005</v>
      </c>
      <c r="AT586">
        <v>1</v>
      </c>
      <c r="AU586">
        <v>75.069101177840764</v>
      </c>
      <c r="AV586">
        <v>0.93830000000000002</v>
      </c>
      <c r="AW586" s="63">
        <v>70.436999999999998</v>
      </c>
      <c r="AX586">
        <v>8.9176000000000002</v>
      </c>
      <c r="AY586">
        <v>1</v>
      </c>
      <c r="AZ586">
        <v>6023.7392733347688</v>
      </c>
      <c r="BA586">
        <v>1.098016605166052</v>
      </c>
      <c r="BB586" s="63">
        <v>6614.1656999999996</v>
      </c>
      <c r="BC586" s="61">
        <v>239.46307698059431</v>
      </c>
    </row>
    <row r="587" spans="1:55" x14ac:dyDescent="0.25">
      <c r="A587">
        <v>173223</v>
      </c>
      <c r="B587" t="s">
        <v>156</v>
      </c>
      <c r="C587">
        <v>2019</v>
      </c>
      <c r="D587">
        <v>10</v>
      </c>
      <c r="E587" t="s">
        <v>51</v>
      </c>
      <c r="F587" t="s">
        <v>426</v>
      </c>
      <c r="G587" t="s">
        <v>84</v>
      </c>
      <c r="H587" t="s">
        <v>59</v>
      </c>
      <c r="I587" t="s">
        <v>427</v>
      </c>
      <c r="J587">
        <v>-6.0651234499999997</v>
      </c>
      <c r="K587" t="s">
        <v>440</v>
      </c>
      <c r="L587" t="s">
        <v>385</v>
      </c>
      <c r="M587">
        <v>0.43497567483749999</v>
      </c>
      <c r="N587">
        <v>2.6381811643246502</v>
      </c>
      <c r="O587">
        <v>28410.399000000001</v>
      </c>
      <c r="P587">
        <v>2.51417E-6</v>
      </c>
      <c r="Q587">
        <v>0.14285700000000001</v>
      </c>
      <c r="R587" s="61">
        <v>0.37688264659192661</v>
      </c>
      <c r="S587" t="s">
        <v>347</v>
      </c>
      <c r="T587" t="s">
        <v>437</v>
      </c>
      <c r="U587" t="s">
        <v>425</v>
      </c>
      <c r="V587" t="s">
        <v>27</v>
      </c>
      <c r="W587">
        <v>111.133</v>
      </c>
      <c r="X587">
        <v>1.0541007448257309</v>
      </c>
      <c r="Y587">
        <v>117.145378074718</v>
      </c>
      <c r="Z587">
        <v>640.82000000000005</v>
      </c>
      <c r="AA587">
        <v>1</v>
      </c>
      <c r="AB587">
        <v>75.069101177840764</v>
      </c>
      <c r="AC587">
        <v>0.95889999999999997</v>
      </c>
      <c r="AD587" s="63">
        <v>71.983999999999995</v>
      </c>
      <c r="AE587">
        <v>8.9176000000000002</v>
      </c>
      <c r="AF587">
        <v>9.4000488020579382</v>
      </c>
      <c r="AG587">
        <v>1</v>
      </c>
      <c r="AH587">
        <v>6023.7392733347688</v>
      </c>
      <c r="AI587">
        <v>0.99097621000820357</v>
      </c>
      <c r="AJ587" s="63">
        <v>5969.3823000000002</v>
      </c>
      <c r="AK587" s="61">
        <v>2249.756599743002</v>
      </c>
      <c r="AL587" t="s">
        <v>347</v>
      </c>
      <c r="AM587" t="s">
        <v>437</v>
      </c>
      <c r="AN587" t="s">
        <v>425</v>
      </c>
      <c r="AO587" t="s">
        <v>27</v>
      </c>
      <c r="AP587">
        <v>111.133</v>
      </c>
      <c r="AQ587">
        <v>1.0541007448257309</v>
      </c>
      <c r="AR587">
        <v>117.145378074718</v>
      </c>
      <c r="AS587">
        <v>640.82000000000005</v>
      </c>
      <c r="AT587">
        <v>1</v>
      </c>
      <c r="AU587">
        <v>75.069101177840764</v>
      </c>
      <c r="AV587">
        <v>0.95889999999999997</v>
      </c>
      <c r="AW587" s="63">
        <v>71.983999999999995</v>
      </c>
      <c r="AX587">
        <v>8.9176000000000002</v>
      </c>
      <c r="AY587">
        <v>1</v>
      </c>
      <c r="AZ587">
        <v>6023.7392733347688</v>
      </c>
      <c r="BA587">
        <v>0.99097621000820357</v>
      </c>
      <c r="BB587" s="63">
        <v>5969.3823000000002</v>
      </c>
      <c r="BC587" s="61">
        <v>2249.756599743002</v>
      </c>
    </row>
    <row r="588" spans="1:55" x14ac:dyDescent="0.25">
      <c r="A588">
        <v>173225</v>
      </c>
      <c r="B588" t="s">
        <v>156</v>
      </c>
      <c r="C588">
        <v>2019</v>
      </c>
      <c r="D588">
        <v>10</v>
      </c>
      <c r="E588" t="s">
        <v>51</v>
      </c>
      <c r="F588" t="s">
        <v>426</v>
      </c>
      <c r="G588" t="s">
        <v>84</v>
      </c>
      <c r="H588" t="s">
        <v>59</v>
      </c>
      <c r="I588" t="s">
        <v>427</v>
      </c>
      <c r="J588">
        <v>-6.0651234499999997</v>
      </c>
      <c r="K588" t="s">
        <v>440</v>
      </c>
      <c r="L588" t="s">
        <v>451</v>
      </c>
      <c r="M588">
        <v>1.7625750762999999E-3</v>
      </c>
      <c r="N588">
        <v>1.069023542233691E-2</v>
      </c>
      <c r="O588">
        <v>28410.399000000001</v>
      </c>
      <c r="P588">
        <v>2.51417E-6</v>
      </c>
      <c r="Q588">
        <v>0.14285700000000001</v>
      </c>
      <c r="R588" s="61">
        <v>1.527174961728783E-3</v>
      </c>
      <c r="S588" t="s">
        <v>347</v>
      </c>
      <c r="T588" t="s">
        <v>437</v>
      </c>
      <c r="U588" t="s">
        <v>425</v>
      </c>
      <c r="V588" t="s">
        <v>91</v>
      </c>
      <c r="W588">
        <v>111.133</v>
      </c>
      <c r="X588">
        <v>1.0541007448257309</v>
      </c>
      <c r="Y588">
        <v>117.145378074718</v>
      </c>
      <c r="Z588">
        <v>640.82000000000005</v>
      </c>
      <c r="AA588">
        <v>1</v>
      </c>
      <c r="AB588">
        <v>75.069101177840764</v>
      </c>
      <c r="AC588">
        <v>1.0088999999999999</v>
      </c>
      <c r="AD588" s="63">
        <v>75.736999999999995</v>
      </c>
      <c r="AE588">
        <v>8.9176000000000002</v>
      </c>
      <c r="AF588">
        <v>9.4000488020579382</v>
      </c>
      <c r="AG588">
        <v>1</v>
      </c>
      <c r="AH588">
        <v>6023.7392733347688</v>
      </c>
      <c r="AI588">
        <v>0.99316673174541203</v>
      </c>
      <c r="AJ588" s="63">
        <v>5982.5774000000001</v>
      </c>
      <c r="AK588" s="61">
        <v>9.1364424118844845</v>
      </c>
      <c r="AL588" t="s">
        <v>347</v>
      </c>
      <c r="AM588" t="s">
        <v>437</v>
      </c>
      <c r="AN588" t="s">
        <v>425</v>
      </c>
      <c r="AO588" t="s">
        <v>91</v>
      </c>
      <c r="AP588">
        <v>111.133</v>
      </c>
      <c r="AQ588">
        <v>1.0541007448257309</v>
      </c>
      <c r="AR588">
        <v>117.145378074718</v>
      </c>
      <c r="AS588">
        <v>640.82000000000005</v>
      </c>
      <c r="AT588">
        <v>1</v>
      </c>
      <c r="AU588">
        <v>75.069101177840764</v>
      </c>
      <c r="AV588">
        <v>1.0088999999999999</v>
      </c>
      <c r="AW588" s="63">
        <v>75.736999999999995</v>
      </c>
      <c r="AX588">
        <v>8.9176000000000002</v>
      </c>
      <c r="AY588">
        <v>1</v>
      </c>
      <c r="AZ588">
        <v>6023.7392733347688</v>
      </c>
      <c r="BA588">
        <v>0.99316673174541203</v>
      </c>
      <c r="BB588" s="63">
        <v>5982.5774000000001</v>
      </c>
      <c r="BC588" s="61">
        <v>9.1364424118844845</v>
      </c>
    </row>
    <row r="589" spans="1:55" x14ac:dyDescent="0.25">
      <c r="A589">
        <v>173227</v>
      </c>
      <c r="B589" t="s">
        <v>156</v>
      </c>
      <c r="C589">
        <v>2019</v>
      </c>
      <c r="D589">
        <v>10</v>
      </c>
      <c r="E589" t="s">
        <v>51</v>
      </c>
      <c r="F589" t="s">
        <v>426</v>
      </c>
      <c r="G589" t="s">
        <v>84</v>
      </c>
      <c r="H589" t="s">
        <v>59</v>
      </c>
      <c r="I589" t="s">
        <v>427</v>
      </c>
      <c r="J589">
        <v>-6.0651234499999997</v>
      </c>
      <c r="K589" t="s">
        <v>440</v>
      </c>
      <c r="L589" t="s">
        <v>452</v>
      </c>
      <c r="M589">
        <v>1.4858046103299999E-3</v>
      </c>
      <c r="N589">
        <v>9.011588379749547E-3</v>
      </c>
      <c r="O589">
        <v>28410.399000000001</v>
      </c>
      <c r="P589">
        <v>2.51417E-6</v>
      </c>
      <c r="Q589">
        <v>0.14285700000000001</v>
      </c>
      <c r="R589" s="61">
        <v>1.2873684811658809E-3</v>
      </c>
      <c r="S589" t="s">
        <v>347</v>
      </c>
      <c r="T589" t="s">
        <v>437</v>
      </c>
      <c r="U589" t="s">
        <v>425</v>
      </c>
      <c r="V589" t="s">
        <v>28</v>
      </c>
      <c r="W589">
        <v>111.133</v>
      </c>
      <c r="X589">
        <v>1.0541007448257309</v>
      </c>
      <c r="Y589">
        <v>117.145378074718</v>
      </c>
      <c r="Z589">
        <v>640.82000000000005</v>
      </c>
      <c r="AA589">
        <v>1</v>
      </c>
      <c r="AB589">
        <v>75.069101177840764</v>
      </c>
      <c r="AC589">
        <v>1.0073000000000001</v>
      </c>
      <c r="AD589" s="63">
        <v>75.617000000000004</v>
      </c>
      <c r="AE589">
        <v>8.9176000000000002</v>
      </c>
      <c r="AF589">
        <v>9.4000488020579382</v>
      </c>
      <c r="AG589">
        <v>1</v>
      </c>
      <c r="AH589">
        <v>6023.7392733347688</v>
      </c>
      <c r="AI589">
        <v>0.99399488088206345</v>
      </c>
      <c r="AJ589" s="63">
        <v>5987.5659999999998</v>
      </c>
      <c r="AK589" s="61">
        <v>7.7082037473004696</v>
      </c>
      <c r="AL589" t="s">
        <v>347</v>
      </c>
      <c r="AM589" t="s">
        <v>437</v>
      </c>
      <c r="AN589" t="s">
        <v>425</v>
      </c>
      <c r="AO589" t="s">
        <v>28</v>
      </c>
      <c r="AP589">
        <v>111.133</v>
      </c>
      <c r="AQ589">
        <v>1.0541007448257309</v>
      </c>
      <c r="AR589">
        <v>117.145378074718</v>
      </c>
      <c r="AS589">
        <v>640.82000000000005</v>
      </c>
      <c r="AT589">
        <v>1</v>
      </c>
      <c r="AU589">
        <v>75.069101177840764</v>
      </c>
      <c r="AV589">
        <v>1.0073000000000001</v>
      </c>
      <c r="AW589" s="63">
        <v>75.617000000000004</v>
      </c>
      <c r="AX589">
        <v>8.9176000000000002</v>
      </c>
      <c r="AY589">
        <v>1</v>
      </c>
      <c r="AZ589">
        <v>6023.7392733347688</v>
      </c>
      <c r="BA589">
        <v>0.99399488088206345</v>
      </c>
      <c r="BB589" s="63">
        <v>5987.5659999999998</v>
      </c>
      <c r="BC589" s="61">
        <v>7.7082037473004696</v>
      </c>
    </row>
    <row r="590" spans="1:55" x14ac:dyDescent="0.25">
      <c r="A590">
        <v>180391</v>
      </c>
      <c r="B590" t="s">
        <v>155</v>
      </c>
      <c r="C590">
        <v>2019</v>
      </c>
      <c r="D590">
        <v>11</v>
      </c>
      <c r="E590" t="s">
        <v>51</v>
      </c>
      <c r="F590" t="s">
        <v>426</v>
      </c>
      <c r="G590" t="s">
        <v>84</v>
      </c>
      <c r="H590" t="s">
        <v>381</v>
      </c>
      <c r="I590" t="s">
        <v>427</v>
      </c>
      <c r="J590">
        <v>-12.7766368</v>
      </c>
      <c r="K590" t="s">
        <v>440</v>
      </c>
      <c r="L590" t="s">
        <v>450</v>
      </c>
      <c r="M590">
        <v>0.15011157993331001</v>
      </c>
      <c r="N590">
        <v>1.9179211367404849</v>
      </c>
      <c r="O590">
        <v>28410.399000000001</v>
      </c>
      <c r="P590">
        <v>2.51417E-6</v>
      </c>
      <c r="Q590">
        <v>0.14285700000000001</v>
      </c>
      <c r="R590" s="61">
        <v>0.27398845983133552</v>
      </c>
      <c r="S590" t="s">
        <v>347</v>
      </c>
      <c r="T590" t="s">
        <v>437</v>
      </c>
      <c r="U590" t="s">
        <v>425</v>
      </c>
      <c r="V590" t="s">
        <v>26</v>
      </c>
      <c r="W590">
        <v>111.133</v>
      </c>
      <c r="X590">
        <v>1.0541007448257309</v>
      </c>
      <c r="Y590">
        <v>117.145378074718</v>
      </c>
      <c r="Z590">
        <v>640.82000000000005</v>
      </c>
      <c r="AA590">
        <v>1</v>
      </c>
      <c r="AB590">
        <v>75.069101177840764</v>
      </c>
      <c r="AC590">
        <v>0.99109999999999998</v>
      </c>
      <c r="AD590" s="63">
        <v>74.400999999999996</v>
      </c>
      <c r="AE590">
        <v>8.9176000000000002</v>
      </c>
      <c r="AF590">
        <v>9.4000488020579382</v>
      </c>
      <c r="AG590">
        <v>1</v>
      </c>
      <c r="AH590">
        <v>6023.7392733347688</v>
      </c>
      <c r="AI590">
        <v>0.9830373970836227</v>
      </c>
      <c r="AJ590" s="63">
        <v>5921.5609999999997</v>
      </c>
      <c r="AK590" s="61">
        <v>1622.439378187303</v>
      </c>
      <c r="AL590" t="s">
        <v>347</v>
      </c>
      <c r="AM590" t="s">
        <v>437</v>
      </c>
      <c r="AN590" t="s">
        <v>425</v>
      </c>
      <c r="AO590" t="s">
        <v>26</v>
      </c>
      <c r="AP590">
        <v>111.133</v>
      </c>
      <c r="AQ590">
        <v>1.0541007448257309</v>
      </c>
      <c r="AR590">
        <v>117.145378074718</v>
      </c>
      <c r="AS590">
        <v>640.82000000000005</v>
      </c>
      <c r="AT590">
        <v>1</v>
      </c>
      <c r="AU590">
        <v>75.069101177840764</v>
      </c>
      <c r="AV590">
        <v>0.99109999999999998</v>
      </c>
      <c r="AW590" s="63">
        <v>74.400999999999996</v>
      </c>
      <c r="AX590">
        <v>8.9176000000000002</v>
      </c>
      <c r="AY590">
        <v>1</v>
      </c>
      <c r="AZ590">
        <v>6023.7392733347688</v>
      </c>
      <c r="BA590">
        <v>0.9830373970836227</v>
      </c>
      <c r="BB590" s="63">
        <v>5921.5609999999997</v>
      </c>
      <c r="BC590" s="61">
        <v>1622.439378187303</v>
      </c>
    </row>
    <row r="591" spans="1:55" x14ac:dyDescent="0.25">
      <c r="A591">
        <v>180393</v>
      </c>
      <c r="B591" t="s">
        <v>155</v>
      </c>
      <c r="C591">
        <v>2019</v>
      </c>
      <c r="D591">
        <v>11</v>
      </c>
      <c r="E591" t="s">
        <v>51</v>
      </c>
      <c r="F591" t="s">
        <v>426</v>
      </c>
      <c r="G591" t="s">
        <v>84</v>
      </c>
      <c r="H591" t="s">
        <v>381</v>
      </c>
      <c r="I591" t="s">
        <v>427</v>
      </c>
      <c r="J591">
        <v>-12.7766368</v>
      </c>
      <c r="K591" t="s">
        <v>440</v>
      </c>
      <c r="L591" t="s">
        <v>384</v>
      </c>
      <c r="M591">
        <v>4.5811354346740003E-2</v>
      </c>
      <c r="N591">
        <v>0.58531503594429823</v>
      </c>
      <c r="O591">
        <v>28410.399000000001</v>
      </c>
      <c r="P591">
        <v>2.51417E-6</v>
      </c>
      <c r="Q591">
        <v>0.14285700000000001</v>
      </c>
      <c r="R591" s="61">
        <v>8.3616350089894625E-2</v>
      </c>
      <c r="S591" t="s">
        <v>347</v>
      </c>
      <c r="T591" t="s">
        <v>437</v>
      </c>
      <c r="U591" t="s">
        <v>425</v>
      </c>
      <c r="V591" t="s">
        <v>81</v>
      </c>
      <c r="W591">
        <v>111.133</v>
      </c>
      <c r="X591">
        <v>1.0541007448257309</v>
      </c>
      <c r="Y591">
        <v>117.145378074718</v>
      </c>
      <c r="Z591">
        <v>640.82000000000005</v>
      </c>
      <c r="AA591">
        <v>1</v>
      </c>
      <c r="AB591">
        <v>75.069101177840764</v>
      </c>
      <c r="AC591">
        <v>0.93830000000000002</v>
      </c>
      <c r="AD591" s="63">
        <v>70.436999999999998</v>
      </c>
      <c r="AE591">
        <v>8.9176000000000002</v>
      </c>
      <c r="AF591">
        <v>9.4000488020579382</v>
      </c>
      <c r="AG591">
        <v>1</v>
      </c>
      <c r="AH591">
        <v>6023.7392733347688</v>
      </c>
      <c r="AI591">
        <v>1.098016605166052</v>
      </c>
      <c r="AJ591" s="63">
        <v>6614.1656999999996</v>
      </c>
      <c r="AK591" s="61">
        <v>553.05239472377286</v>
      </c>
      <c r="AL591" t="s">
        <v>347</v>
      </c>
      <c r="AM591" t="s">
        <v>437</v>
      </c>
      <c r="AN591" t="s">
        <v>425</v>
      </c>
      <c r="AO591" t="s">
        <v>81</v>
      </c>
      <c r="AP591">
        <v>111.133</v>
      </c>
      <c r="AQ591">
        <v>1.0541007448257309</v>
      </c>
      <c r="AR591">
        <v>117.145378074718</v>
      </c>
      <c r="AS591">
        <v>640.82000000000005</v>
      </c>
      <c r="AT591">
        <v>1</v>
      </c>
      <c r="AU591">
        <v>75.069101177840764</v>
      </c>
      <c r="AV591">
        <v>0.93830000000000002</v>
      </c>
      <c r="AW591" s="63">
        <v>70.436999999999998</v>
      </c>
      <c r="AX591">
        <v>8.9176000000000002</v>
      </c>
      <c r="AY591">
        <v>1</v>
      </c>
      <c r="AZ591">
        <v>6023.7392733347688</v>
      </c>
      <c r="BA591">
        <v>1.098016605166052</v>
      </c>
      <c r="BB591" s="63">
        <v>6614.1656999999996</v>
      </c>
      <c r="BC591" s="61">
        <v>553.05239472377286</v>
      </c>
    </row>
    <row r="592" spans="1:55" x14ac:dyDescent="0.25">
      <c r="A592">
        <v>180395</v>
      </c>
      <c r="B592" t="s">
        <v>155</v>
      </c>
      <c r="C592">
        <v>2019</v>
      </c>
      <c r="D592">
        <v>11</v>
      </c>
      <c r="E592" t="s">
        <v>51</v>
      </c>
      <c r="F592" t="s">
        <v>426</v>
      </c>
      <c r="G592" t="s">
        <v>84</v>
      </c>
      <c r="H592" t="s">
        <v>381</v>
      </c>
      <c r="I592" t="s">
        <v>427</v>
      </c>
      <c r="J592">
        <v>-12.7766368</v>
      </c>
      <c r="K592" t="s">
        <v>440</v>
      </c>
      <c r="L592" t="s">
        <v>385</v>
      </c>
      <c r="M592">
        <v>0.43232641346992001</v>
      </c>
      <c r="N592">
        <v>5.5236775652720462</v>
      </c>
      <c r="O592">
        <v>28410.399000000001</v>
      </c>
      <c r="P592">
        <v>2.51417E-6</v>
      </c>
      <c r="Q592">
        <v>0.14285700000000001</v>
      </c>
      <c r="R592" s="61">
        <v>0.78909600594206875</v>
      </c>
      <c r="S592" t="s">
        <v>347</v>
      </c>
      <c r="T592" t="s">
        <v>437</v>
      </c>
      <c r="U592" t="s">
        <v>425</v>
      </c>
      <c r="V592" t="s">
        <v>27</v>
      </c>
      <c r="W592">
        <v>111.133</v>
      </c>
      <c r="X592">
        <v>1.0541007448257309</v>
      </c>
      <c r="Y592">
        <v>117.145378074718</v>
      </c>
      <c r="Z592">
        <v>640.82000000000005</v>
      </c>
      <c r="AA592">
        <v>1</v>
      </c>
      <c r="AB592">
        <v>75.069101177840764</v>
      </c>
      <c r="AC592">
        <v>0.95889999999999997</v>
      </c>
      <c r="AD592" s="63">
        <v>71.983999999999995</v>
      </c>
      <c r="AE592">
        <v>8.9176000000000002</v>
      </c>
      <c r="AF592">
        <v>9.4000488020579382</v>
      </c>
      <c r="AG592">
        <v>1</v>
      </c>
      <c r="AH592">
        <v>6023.7392733347688</v>
      </c>
      <c r="AI592">
        <v>0.99097621000820357</v>
      </c>
      <c r="AJ592" s="63">
        <v>5969.3823000000002</v>
      </c>
      <c r="AK592" s="61">
        <v>4710.4157308712802</v>
      </c>
      <c r="AL592" t="s">
        <v>347</v>
      </c>
      <c r="AM592" t="s">
        <v>437</v>
      </c>
      <c r="AN592" t="s">
        <v>425</v>
      </c>
      <c r="AO592" t="s">
        <v>27</v>
      </c>
      <c r="AP592">
        <v>111.133</v>
      </c>
      <c r="AQ592">
        <v>1.0541007448257309</v>
      </c>
      <c r="AR592">
        <v>117.145378074718</v>
      </c>
      <c r="AS592">
        <v>640.82000000000005</v>
      </c>
      <c r="AT592">
        <v>1</v>
      </c>
      <c r="AU592">
        <v>75.069101177840764</v>
      </c>
      <c r="AV592">
        <v>0.95889999999999997</v>
      </c>
      <c r="AW592" s="63">
        <v>71.983999999999995</v>
      </c>
      <c r="AX592">
        <v>8.9176000000000002</v>
      </c>
      <c r="AY592">
        <v>1</v>
      </c>
      <c r="AZ592">
        <v>6023.7392733347688</v>
      </c>
      <c r="BA592">
        <v>0.99097621000820357</v>
      </c>
      <c r="BB592" s="63">
        <v>5969.3823000000002</v>
      </c>
      <c r="BC592" s="61">
        <v>4710.4157308712802</v>
      </c>
    </row>
    <row r="593" spans="1:55" x14ac:dyDescent="0.25">
      <c r="A593">
        <v>180397</v>
      </c>
      <c r="B593" t="s">
        <v>155</v>
      </c>
      <c r="C593">
        <v>2019</v>
      </c>
      <c r="D593">
        <v>11</v>
      </c>
      <c r="E593" t="s">
        <v>51</v>
      </c>
      <c r="F593" t="s">
        <v>426</v>
      </c>
      <c r="G593" t="s">
        <v>84</v>
      </c>
      <c r="H593" t="s">
        <v>381</v>
      </c>
      <c r="I593" t="s">
        <v>427</v>
      </c>
      <c r="J593">
        <v>-12.7766368</v>
      </c>
      <c r="K593" t="s">
        <v>440</v>
      </c>
      <c r="L593" t="s">
        <v>451</v>
      </c>
      <c r="M593">
        <v>1.6825115802299999E-3</v>
      </c>
      <c r="N593">
        <v>2.1496839377530871E-2</v>
      </c>
      <c r="O593">
        <v>28410.399000000001</v>
      </c>
      <c r="P593">
        <v>2.51417E-6</v>
      </c>
      <c r="Q593">
        <v>0.14285700000000001</v>
      </c>
      <c r="R593" s="61">
        <v>3.0709739829559279E-3</v>
      </c>
      <c r="S593" t="s">
        <v>347</v>
      </c>
      <c r="T593" t="s">
        <v>437</v>
      </c>
      <c r="U593" t="s">
        <v>425</v>
      </c>
      <c r="V593" t="s">
        <v>91</v>
      </c>
      <c r="W593">
        <v>111.133</v>
      </c>
      <c r="X593">
        <v>1.0541007448257309</v>
      </c>
      <c r="Y593">
        <v>117.145378074718</v>
      </c>
      <c r="Z593">
        <v>640.82000000000005</v>
      </c>
      <c r="AA593">
        <v>1</v>
      </c>
      <c r="AB593">
        <v>75.069101177840764</v>
      </c>
      <c r="AC593">
        <v>1.0088999999999999</v>
      </c>
      <c r="AD593" s="63">
        <v>75.736999999999995</v>
      </c>
      <c r="AE593">
        <v>8.9176000000000002</v>
      </c>
      <c r="AF593">
        <v>9.4000488020579382</v>
      </c>
      <c r="AG593">
        <v>1</v>
      </c>
      <c r="AH593">
        <v>6023.7392733347688</v>
      </c>
      <c r="AI593">
        <v>0.99316673174541203</v>
      </c>
      <c r="AJ593" s="63">
        <v>5982.5774000000001</v>
      </c>
      <c r="AK593" s="61">
        <v>18.372339546420118</v>
      </c>
      <c r="AL593" t="s">
        <v>347</v>
      </c>
      <c r="AM593" t="s">
        <v>437</v>
      </c>
      <c r="AN593" t="s">
        <v>425</v>
      </c>
      <c r="AO593" t="s">
        <v>91</v>
      </c>
      <c r="AP593">
        <v>111.133</v>
      </c>
      <c r="AQ593">
        <v>1.0541007448257309</v>
      </c>
      <c r="AR593">
        <v>117.145378074718</v>
      </c>
      <c r="AS593">
        <v>640.82000000000005</v>
      </c>
      <c r="AT593">
        <v>1</v>
      </c>
      <c r="AU593">
        <v>75.069101177840764</v>
      </c>
      <c r="AV593">
        <v>1.0088999999999999</v>
      </c>
      <c r="AW593" s="63">
        <v>75.736999999999995</v>
      </c>
      <c r="AX593">
        <v>8.9176000000000002</v>
      </c>
      <c r="AY593">
        <v>1</v>
      </c>
      <c r="AZ593">
        <v>6023.7392733347688</v>
      </c>
      <c r="BA593">
        <v>0.99316673174541203</v>
      </c>
      <c r="BB593" s="63">
        <v>5982.5774000000001</v>
      </c>
      <c r="BC593" s="61">
        <v>18.372339546420118</v>
      </c>
    </row>
    <row r="594" spans="1:55" x14ac:dyDescent="0.25">
      <c r="A594">
        <v>180399</v>
      </c>
      <c r="B594" t="s">
        <v>155</v>
      </c>
      <c r="C594">
        <v>2019</v>
      </c>
      <c r="D594">
        <v>11</v>
      </c>
      <c r="E594" t="s">
        <v>51</v>
      </c>
      <c r="F594" t="s">
        <v>426</v>
      </c>
      <c r="G594" t="s">
        <v>84</v>
      </c>
      <c r="H594" t="s">
        <v>381</v>
      </c>
      <c r="I594" t="s">
        <v>427</v>
      </c>
      <c r="J594">
        <v>-12.7766368</v>
      </c>
      <c r="K594" t="s">
        <v>440</v>
      </c>
      <c r="L594" t="s">
        <v>452</v>
      </c>
      <c r="M594">
        <v>1.53682162831E-3</v>
      </c>
      <c r="N594">
        <v>1.9635411775994659E-2</v>
      </c>
      <c r="O594">
        <v>28410.399000000001</v>
      </c>
      <c r="P594">
        <v>2.51417E-6</v>
      </c>
      <c r="Q594">
        <v>0.14285700000000001</v>
      </c>
      <c r="R594" s="61">
        <v>2.805056020083269E-3</v>
      </c>
      <c r="S594" t="s">
        <v>347</v>
      </c>
      <c r="T594" t="s">
        <v>437</v>
      </c>
      <c r="U594" t="s">
        <v>425</v>
      </c>
      <c r="V594" t="s">
        <v>28</v>
      </c>
      <c r="W594">
        <v>111.133</v>
      </c>
      <c r="X594">
        <v>1.0541007448257309</v>
      </c>
      <c r="Y594">
        <v>117.145378074718</v>
      </c>
      <c r="Z594">
        <v>640.82000000000005</v>
      </c>
      <c r="AA594">
        <v>1</v>
      </c>
      <c r="AB594">
        <v>75.069101177840764</v>
      </c>
      <c r="AC594">
        <v>1.0073000000000001</v>
      </c>
      <c r="AD594" s="63">
        <v>75.617000000000004</v>
      </c>
      <c r="AE594">
        <v>8.9176000000000002</v>
      </c>
      <c r="AF594">
        <v>9.4000488020579382</v>
      </c>
      <c r="AG594">
        <v>1</v>
      </c>
      <c r="AH594">
        <v>6023.7392733347688</v>
      </c>
      <c r="AI594">
        <v>0.99399488088206345</v>
      </c>
      <c r="AJ594" s="63">
        <v>5987.5659999999998</v>
      </c>
      <c r="AK594" s="61">
        <v>16.7954580539459</v>
      </c>
      <c r="AL594" t="s">
        <v>347</v>
      </c>
      <c r="AM594" t="s">
        <v>437</v>
      </c>
      <c r="AN594" t="s">
        <v>425</v>
      </c>
      <c r="AO594" t="s">
        <v>28</v>
      </c>
      <c r="AP594">
        <v>111.133</v>
      </c>
      <c r="AQ594">
        <v>1.0541007448257309</v>
      </c>
      <c r="AR594">
        <v>117.145378074718</v>
      </c>
      <c r="AS594">
        <v>640.82000000000005</v>
      </c>
      <c r="AT594">
        <v>1</v>
      </c>
      <c r="AU594">
        <v>75.069101177840764</v>
      </c>
      <c r="AV594">
        <v>1.0073000000000001</v>
      </c>
      <c r="AW594" s="63">
        <v>75.617000000000004</v>
      </c>
      <c r="AX594">
        <v>8.9176000000000002</v>
      </c>
      <c r="AY594">
        <v>1</v>
      </c>
      <c r="AZ594">
        <v>6023.7392733347688</v>
      </c>
      <c r="BA594">
        <v>0.99399488088206345</v>
      </c>
      <c r="BB594" s="63">
        <v>5987.5659999999998</v>
      </c>
      <c r="BC594" s="61">
        <v>16.7954580539459</v>
      </c>
    </row>
    <row r="595" spans="1:55" x14ac:dyDescent="0.25">
      <c r="A595">
        <v>180401</v>
      </c>
      <c r="B595" t="s">
        <v>155</v>
      </c>
      <c r="C595">
        <v>2019</v>
      </c>
      <c r="D595">
        <v>11</v>
      </c>
      <c r="E595" t="s">
        <v>51</v>
      </c>
      <c r="F595" t="s">
        <v>426</v>
      </c>
      <c r="G595" t="s">
        <v>84</v>
      </c>
      <c r="H595" t="s">
        <v>87</v>
      </c>
      <c r="I595" t="s">
        <v>427</v>
      </c>
      <c r="J595">
        <v>-2.5502972900000001</v>
      </c>
      <c r="K595" t="s">
        <v>440</v>
      </c>
      <c r="L595" t="s">
        <v>450</v>
      </c>
      <c r="M595">
        <v>0.26601384014995</v>
      </c>
      <c r="N595">
        <v>0.67841437582859188</v>
      </c>
      <c r="O595">
        <v>28410.399000000001</v>
      </c>
      <c r="P595">
        <v>2.51417E-6</v>
      </c>
      <c r="Q595">
        <v>0.14285700000000001</v>
      </c>
      <c r="R595" s="61">
        <v>9.6916242487745163E-2</v>
      </c>
      <c r="S595" t="s">
        <v>347</v>
      </c>
      <c r="T595" t="s">
        <v>437</v>
      </c>
      <c r="U595" t="s">
        <v>425</v>
      </c>
      <c r="V595" t="s">
        <v>26</v>
      </c>
      <c r="W595">
        <v>111.133</v>
      </c>
      <c r="X595">
        <v>1.0541007448257309</v>
      </c>
      <c r="Y595">
        <v>117.145378074718</v>
      </c>
      <c r="Z595">
        <v>640.82000000000005</v>
      </c>
      <c r="AA595">
        <v>1</v>
      </c>
      <c r="AB595">
        <v>75.069101177840764</v>
      </c>
      <c r="AC595">
        <v>0.99109999999999998</v>
      </c>
      <c r="AD595" s="63">
        <v>74.400999999999996</v>
      </c>
      <c r="AE595">
        <v>8.9176000000000002</v>
      </c>
      <c r="AF595">
        <v>9.4000488020579382</v>
      </c>
      <c r="AG595">
        <v>1</v>
      </c>
      <c r="AH595">
        <v>6023.7392733347688</v>
      </c>
      <c r="AI595">
        <v>0.9830373970836227</v>
      </c>
      <c r="AJ595" s="63">
        <v>5921.5609999999997</v>
      </c>
      <c r="AK595" s="61">
        <v>573.89544178197468</v>
      </c>
      <c r="AL595" t="s">
        <v>347</v>
      </c>
      <c r="AM595" t="s">
        <v>437</v>
      </c>
      <c r="AN595" t="s">
        <v>425</v>
      </c>
      <c r="AO595" t="s">
        <v>26</v>
      </c>
      <c r="AP595">
        <v>111.133</v>
      </c>
      <c r="AQ595">
        <v>1.0541007448257309</v>
      </c>
      <c r="AR595">
        <v>117.145378074718</v>
      </c>
      <c r="AS595">
        <v>640.82000000000005</v>
      </c>
      <c r="AT595">
        <v>1</v>
      </c>
      <c r="AU595">
        <v>75.069101177840764</v>
      </c>
      <c r="AV595">
        <v>0.99109999999999998</v>
      </c>
      <c r="AW595" s="63">
        <v>74.400999999999996</v>
      </c>
      <c r="AX595">
        <v>8.9176000000000002</v>
      </c>
      <c r="AY595">
        <v>1</v>
      </c>
      <c r="AZ595">
        <v>6023.7392733347688</v>
      </c>
      <c r="BA595">
        <v>0.9830373970836227</v>
      </c>
      <c r="BB595" s="63">
        <v>5921.5609999999997</v>
      </c>
      <c r="BC595" s="61">
        <v>573.89544178197468</v>
      </c>
    </row>
    <row r="596" spans="1:55" x14ac:dyDescent="0.25">
      <c r="A596">
        <v>180403</v>
      </c>
      <c r="B596" t="s">
        <v>155</v>
      </c>
      <c r="C596">
        <v>2019</v>
      </c>
      <c r="D596">
        <v>11</v>
      </c>
      <c r="E596" t="s">
        <v>51</v>
      </c>
      <c r="F596" t="s">
        <v>426</v>
      </c>
      <c r="G596" t="s">
        <v>84</v>
      </c>
      <c r="H596" t="s">
        <v>87</v>
      </c>
      <c r="I596" t="s">
        <v>427</v>
      </c>
      <c r="J596">
        <v>-2.5502972900000001</v>
      </c>
      <c r="K596" t="s">
        <v>440</v>
      </c>
      <c r="L596" t="s">
        <v>384</v>
      </c>
      <c r="M596">
        <v>3.9509559941419997E-2</v>
      </c>
      <c r="N596">
        <v>0.1007611236761653</v>
      </c>
      <c r="O596">
        <v>28410.399000000001</v>
      </c>
      <c r="P596">
        <v>2.51417E-6</v>
      </c>
      <c r="Q596">
        <v>0.14285700000000001</v>
      </c>
      <c r="R596" s="61">
        <v>1.439443184500595E-2</v>
      </c>
      <c r="S596" t="s">
        <v>347</v>
      </c>
      <c r="T596" t="s">
        <v>437</v>
      </c>
      <c r="U596" t="s">
        <v>425</v>
      </c>
      <c r="V596" t="s">
        <v>81</v>
      </c>
      <c r="W596">
        <v>111.133</v>
      </c>
      <c r="X596">
        <v>1.0541007448257309</v>
      </c>
      <c r="Y596">
        <v>117.145378074718</v>
      </c>
      <c r="Z596">
        <v>640.82000000000005</v>
      </c>
      <c r="AA596">
        <v>1</v>
      </c>
      <c r="AB596">
        <v>75.069101177840764</v>
      </c>
      <c r="AC596">
        <v>0.93830000000000002</v>
      </c>
      <c r="AD596" s="63">
        <v>70.436999999999998</v>
      </c>
      <c r="AE596">
        <v>8.9176000000000002</v>
      </c>
      <c r="AF596">
        <v>9.4000488020579382</v>
      </c>
      <c r="AG596">
        <v>1</v>
      </c>
      <c r="AH596">
        <v>6023.7392733347688</v>
      </c>
      <c r="AI596">
        <v>1.098016605166052</v>
      </c>
      <c r="AJ596" s="63">
        <v>6614.1656999999996</v>
      </c>
      <c r="AK596" s="61">
        <v>95.207157380226079</v>
      </c>
      <c r="AL596" t="s">
        <v>347</v>
      </c>
      <c r="AM596" t="s">
        <v>437</v>
      </c>
      <c r="AN596" t="s">
        <v>425</v>
      </c>
      <c r="AO596" t="s">
        <v>81</v>
      </c>
      <c r="AP596">
        <v>111.133</v>
      </c>
      <c r="AQ596">
        <v>1.0541007448257309</v>
      </c>
      <c r="AR596">
        <v>117.145378074718</v>
      </c>
      <c r="AS596">
        <v>640.82000000000005</v>
      </c>
      <c r="AT596">
        <v>1</v>
      </c>
      <c r="AU596">
        <v>75.069101177840764</v>
      </c>
      <c r="AV596">
        <v>0.93830000000000002</v>
      </c>
      <c r="AW596" s="63">
        <v>70.436999999999998</v>
      </c>
      <c r="AX596">
        <v>8.9176000000000002</v>
      </c>
      <c r="AY596">
        <v>1</v>
      </c>
      <c r="AZ596">
        <v>6023.7392733347688</v>
      </c>
      <c r="BA596">
        <v>1.098016605166052</v>
      </c>
      <c r="BB596" s="63">
        <v>6614.1656999999996</v>
      </c>
      <c r="BC596" s="61">
        <v>95.207157380226079</v>
      </c>
    </row>
    <row r="597" spans="1:55" x14ac:dyDescent="0.25">
      <c r="A597">
        <v>180405</v>
      </c>
      <c r="B597" t="s">
        <v>155</v>
      </c>
      <c r="C597">
        <v>2019</v>
      </c>
      <c r="D597">
        <v>11</v>
      </c>
      <c r="E597" t="s">
        <v>51</v>
      </c>
      <c r="F597" t="s">
        <v>426</v>
      </c>
      <c r="G597" t="s">
        <v>84</v>
      </c>
      <c r="H597" t="s">
        <v>87</v>
      </c>
      <c r="I597" t="s">
        <v>427</v>
      </c>
      <c r="J597">
        <v>-2.5502972900000001</v>
      </c>
      <c r="K597" t="s">
        <v>440</v>
      </c>
      <c r="L597" t="s">
        <v>385</v>
      </c>
      <c r="M597">
        <v>0.39737542925016001</v>
      </c>
      <c r="N597">
        <v>1.013425480615606</v>
      </c>
      <c r="O597">
        <v>28410.399000000001</v>
      </c>
      <c r="P597">
        <v>2.51417E-6</v>
      </c>
      <c r="Q597">
        <v>0.14285700000000001</v>
      </c>
      <c r="R597" s="61">
        <v>0.1447749238843036</v>
      </c>
      <c r="S597" t="s">
        <v>347</v>
      </c>
      <c r="T597" t="s">
        <v>437</v>
      </c>
      <c r="U597" t="s">
        <v>425</v>
      </c>
      <c r="V597" t="s">
        <v>27</v>
      </c>
      <c r="W597">
        <v>111.133</v>
      </c>
      <c r="X597">
        <v>1.0541007448257309</v>
      </c>
      <c r="Y597">
        <v>117.145378074718</v>
      </c>
      <c r="Z597">
        <v>640.82000000000005</v>
      </c>
      <c r="AA597">
        <v>1</v>
      </c>
      <c r="AB597">
        <v>75.069101177840764</v>
      </c>
      <c r="AC597">
        <v>0.95889999999999997</v>
      </c>
      <c r="AD597" s="63">
        <v>71.983999999999995</v>
      </c>
      <c r="AE597">
        <v>8.9176000000000002</v>
      </c>
      <c r="AF597">
        <v>9.4000488020579382</v>
      </c>
      <c r="AG597">
        <v>1</v>
      </c>
      <c r="AH597">
        <v>6023.7392733347688</v>
      </c>
      <c r="AI597">
        <v>0.99097621000820357</v>
      </c>
      <c r="AJ597" s="63">
        <v>5969.3823000000002</v>
      </c>
      <c r="AK597" s="61">
        <v>864.21686811880932</v>
      </c>
      <c r="AL597" t="s">
        <v>347</v>
      </c>
      <c r="AM597" t="s">
        <v>437</v>
      </c>
      <c r="AN597" t="s">
        <v>425</v>
      </c>
      <c r="AO597" t="s">
        <v>27</v>
      </c>
      <c r="AP597">
        <v>111.133</v>
      </c>
      <c r="AQ597">
        <v>1.0541007448257309</v>
      </c>
      <c r="AR597">
        <v>117.145378074718</v>
      </c>
      <c r="AS597">
        <v>640.82000000000005</v>
      </c>
      <c r="AT597">
        <v>1</v>
      </c>
      <c r="AU597">
        <v>75.069101177840764</v>
      </c>
      <c r="AV597">
        <v>0.95889999999999997</v>
      </c>
      <c r="AW597" s="63">
        <v>71.983999999999995</v>
      </c>
      <c r="AX597">
        <v>8.9176000000000002</v>
      </c>
      <c r="AY597">
        <v>1</v>
      </c>
      <c r="AZ597">
        <v>6023.7392733347688</v>
      </c>
      <c r="BA597">
        <v>0.99097621000820357</v>
      </c>
      <c r="BB597" s="63">
        <v>5969.3823000000002</v>
      </c>
      <c r="BC597" s="61">
        <v>864.21686811880932</v>
      </c>
    </row>
    <row r="598" spans="1:55" x14ac:dyDescent="0.25">
      <c r="A598">
        <v>180407</v>
      </c>
      <c r="B598" t="s">
        <v>155</v>
      </c>
      <c r="C598">
        <v>2019</v>
      </c>
      <c r="D598">
        <v>11</v>
      </c>
      <c r="E598" t="s">
        <v>51</v>
      </c>
      <c r="F598" t="s">
        <v>426</v>
      </c>
      <c r="G598" t="s">
        <v>84</v>
      </c>
      <c r="H598" t="s">
        <v>87</v>
      </c>
      <c r="I598" t="s">
        <v>427</v>
      </c>
      <c r="J598">
        <v>-2.5502972900000001</v>
      </c>
      <c r="K598" t="s">
        <v>440</v>
      </c>
      <c r="L598" t="s">
        <v>452</v>
      </c>
      <c r="M598">
        <v>8.4248020759000004E-4</v>
      </c>
      <c r="N598">
        <v>2.1485749909024789E-3</v>
      </c>
      <c r="O598">
        <v>28410.399000000001</v>
      </c>
      <c r="P598">
        <v>2.51417E-6</v>
      </c>
      <c r="Q598">
        <v>0.14285700000000001</v>
      </c>
      <c r="R598" s="61">
        <v>3.0693897747535552E-4</v>
      </c>
      <c r="S598" t="s">
        <v>347</v>
      </c>
      <c r="T598" t="s">
        <v>437</v>
      </c>
      <c r="U598" t="s">
        <v>425</v>
      </c>
      <c r="V598" t="s">
        <v>28</v>
      </c>
      <c r="W598">
        <v>111.133</v>
      </c>
      <c r="X598">
        <v>1.0541007448257309</v>
      </c>
      <c r="Y598">
        <v>117.145378074718</v>
      </c>
      <c r="Z598">
        <v>640.82000000000005</v>
      </c>
      <c r="AA598">
        <v>1</v>
      </c>
      <c r="AB598">
        <v>75.069101177840764</v>
      </c>
      <c r="AC598">
        <v>1.0073000000000001</v>
      </c>
      <c r="AD598" s="63">
        <v>75.617000000000004</v>
      </c>
      <c r="AE598">
        <v>8.9176000000000002</v>
      </c>
      <c r="AF598">
        <v>9.4000488020579382</v>
      </c>
      <c r="AG598">
        <v>1</v>
      </c>
      <c r="AH598">
        <v>6023.7392733347688</v>
      </c>
      <c r="AI598">
        <v>0.99399488088206345</v>
      </c>
      <c r="AJ598" s="63">
        <v>5987.5659999999998</v>
      </c>
      <c r="AK598" s="61">
        <v>1.837817385606205</v>
      </c>
      <c r="AL598" t="s">
        <v>347</v>
      </c>
      <c r="AM598" t="s">
        <v>437</v>
      </c>
      <c r="AN598" t="s">
        <v>425</v>
      </c>
      <c r="AO598" t="s">
        <v>28</v>
      </c>
      <c r="AP598">
        <v>111.133</v>
      </c>
      <c r="AQ598">
        <v>1.0541007448257309</v>
      </c>
      <c r="AR598">
        <v>117.145378074718</v>
      </c>
      <c r="AS598">
        <v>640.82000000000005</v>
      </c>
      <c r="AT598">
        <v>1</v>
      </c>
      <c r="AU598">
        <v>75.069101177840764</v>
      </c>
      <c r="AV598">
        <v>1.0073000000000001</v>
      </c>
      <c r="AW598" s="63">
        <v>75.617000000000004</v>
      </c>
      <c r="AX598">
        <v>8.9176000000000002</v>
      </c>
      <c r="AY598">
        <v>1</v>
      </c>
      <c r="AZ598">
        <v>6023.7392733347688</v>
      </c>
      <c r="BA598">
        <v>0.99399488088206345</v>
      </c>
      <c r="BB598" s="63">
        <v>5987.5659999999998</v>
      </c>
      <c r="BC598" s="61">
        <v>1.837817385606205</v>
      </c>
    </row>
    <row r="599" spans="1:55" x14ac:dyDescent="0.25">
      <c r="A599">
        <v>180409</v>
      </c>
      <c r="B599" t="s">
        <v>155</v>
      </c>
      <c r="C599">
        <v>2019</v>
      </c>
      <c r="D599">
        <v>11</v>
      </c>
      <c r="E599" t="s">
        <v>51</v>
      </c>
      <c r="F599" t="s">
        <v>426</v>
      </c>
      <c r="G599" t="s">
        <v>84</v>
      </c>
      <c r="H599" t="s">
        <v>59</v>
      </c>
      <c r="I599" t="s">
        <v>427</v>
      </c>
      <c r="J599">
        <v>-6.0651234499999997</v>
      </c>
      <c r="K599" t="s">
        <v>440</v>
      </c>
      <c r="L599" t="s">
        <v>450</v>
      </c>
      <c r="M599">
        <v>0.15931709696460999</v>
      </c>
      <c r="N599">
        <v>0.96627786030549423</v>
      </c>
      <c r="O599">
        <v>28410.399000000001</v>
      </c>
      <c r="P599">
        <v>2.51417E-6</v>
      </c>
      <c r="Q599">
        <v>0.14285700000000001</v>
      </c>
      <c r="R599" s="61">
        <v>0.138039556289662</v>
      </c>
      <c r="S599" t="s">
        <v>347</v>
      </c>
      <c r="T599" t="s">
        <v>437</v>
      </c>
      <c r="U599" t="s">
        <v>425</v>
      </c>
      <c r="V599" t="s">
        <v>26</v>
      </c>
      <c r="W599">
        <v>111.133</v>
      </c>
      <c r="X599">
        <v>1.0541007448257309</v>
      </c>
      <c r="Y599">
        <v>117.145378074718</v>
      </c>
      <c r="Z599">
        <v>640.82000000000005</v>
      </c>
      <c r="AA599">
        <v>1</v>
      </c>
      <c r="AB599">
        <v>75.069101177840764</v>
      </c>
      <c r="AC599">
        <v>0.99109999999999998</v>
      </c>
      <c r="AD599" s="63">
        <v>74.400999999999996</v>
      </c>
      <c r="AE599">
        <v>8.9176000000000002</v>
      </c>
      <c r="AF599">
        <v>9.4000488020579382</v>
      </c>
      <c r="AG599">
        <v>1</v>
      </c>
      <c r="AH599">
        <v>6023.7392733347688</v>
      </c>
      <c r="AI599">
        <v>0.9830373970836227</v>
      </c>
      <c r="AJ599" s="63">
        <v>5921.5609999999997</v>
      </c>
      <c r="AK599" s="61">
        <v>817.40965298216713</v>
      </c>
      <c r="AL599" t="s">
        <v>347</v>
      </c>
      <c r="AM599" t="s">
        <v>437</v>
      </c>
      <c r="AN599" t="s">
        <v>425</v>
      </c>
      <c r="AO599" t="s">
        <v>26</v>
      </c>
      <c r="AP599">
        <v>111.133</v>
      </c>
      <c r="AQ599">
        <v>1.0541007448257309</v>
      </c>
      <c r="AR599">
        <v>117.145378074718</v>
      </c>
      <c r="AS599">
        <v>640.82000000000005</v>
      </c>
      <c r="AT599">
        <v>1</v>
      </c>
      <c r="AU599">
        <v>75.069101177840764</v>
      </c>
      <c r="AV599">
        <v>0.99109999999999998</v>
      </c>
      <c r="AW599" s="63">
        <v>74.400999999999996</v>
      </c>
      <c r="AX599">
        <v>8.9176000000000002</v>
      </c>
      <c r="AY599">
        <v>1</v>
      </c>
      <c r="AZ599">
        <v>6023.7392733347688</v>
      </c>
      <c r="BA599">
        <v>0.9830373970836227</v>
      </c>
      <c r="BB599" s="63">
        <v>5921.5609999999997</v>
      </c>
      <c r="BC599" s="61">
        <v>817.40965298216713</v>
      </c>
    </row>
    <row r="600" spans="1:55" x14ac:dyDescent="0.25">
      <c r="A600">
        <v>180411</v>
      </c>
      <c r="B600" t="s">
        <v>155</v>
      </c>
      <c r="C600">
        <v>2019</v>
      </c>
      <c r="D600">
        <v>11</v>
      </c>
      <c r="E600" t="s">
        <v>51</v>
      </c>
      <c r="F600" t="s">
        <v>426</v>
      </c>
      <c r="G600" t="s">
        <v>84</v>
      </c>
      <c r="H600" t="s">
        <v>59</v>
      </c>
      <c r="I600" t="s">
        <v>427</v>
      </c>
      <c r="J600">
        <v>-6.0651234499999997</v>
      </c>
      <c r="K600" t="s">
        <v>440</v>
      </c>
      <c r="L600" t="s">
        <v>384</v>
      </c>
      <c r="M600">
        <v>4.1785183859599999E-2</v>
      </c>
      <c r="N600">
        <v>0.2534322983634012</v>
      </c>
      <c r="O600">
        <v>28410.399000000001</v>
      </c>
      <c r="P600">
        <v>2.51417E-6</v>
      </c>
      <c r="Q600">
        <v>0.14285700000000001</v>
      </c>
      <c r="R600" s="61">
        <v>3.6204577847300412E-2</v>
      </c>
      <c r="S600" t="s">
        <v>347</v>
      </c>
      <c r="T600" t="s">
        <v>437</v>
      </c>
      <c r="U600" t="s">
        <v>425</v>
      </c>
      <c r="V600" t="s">
        <v>81</v>
      </c>
      <c r="W600">
        <v>111.133</v>
      </c>
      <c r="X600">
        <v>1.0541007448257309</v>
      </c>
      <c r="Y600">
        <v>117.145378074718</v>
      </c>
      <c r="Z600">
        <v>640.82000000000005</v>
      </c>
      <c r="AA600">
        <v>1</v>
      </c>
      <c r="AB600">
        <v>75.069101177840764</v>
      </c>
      <c r="AC600">
        <v>0.93830000000000002</v>
      </c>
      <c r="AD600" s="63">
        <v>70.436999999999998</v>
      </c>
      <c r="AE600">
        <v>8.9176000000000002</v>
      </c>
      <c r="AF600">
        <v>9.4000488020579382</v>
      </c>
      <c r="AG600">
        <v>1</v>
      </c>
      <c r="AH600">
        <v>6023.7392733347688</v>
      </c>
      <c r="AI600">
        <v>1.098016605166052</v>
      </c>
      <c r="AJ600" s="63">
        <v>6614.1656999999996</v>
      </c>
      <c r="AK600" s="61">
        <v>239.4630769805942</v>
      </c>
      <c r="AL600" t="s">
        <v>347</v>
      </c>
      <c r="AM600" t="s">
        <v>437</v>
      </c>
      <c r="AN600" t="s">
        <v>425</v>
      </c>
      <c r="AO600" t="s">
        <v>81</v>
      </c>
      <c r="AP600">
        <v>111.133</v>
      </c>
      <c r="AQ600">
        <v>1.0541007448257309</v>
      </c>
      <c r="AR600">
        <v>117.145378074718</v>
      </c>
      <c r="AS600">
        <v>640.82000000000005</v>
      </c>
      <c r="AT600">
        <v>1</v>
      </c>
      <c r="AU600">
        <v>75.069101177840764</v>
      </c>
      <c r="AV600">
        <v>0.93830000000000002</v>
      </c>
      <c r="AW600" s="63">
        <v>70.436999999999998</v>
      </c>
      <c r="AX600">
        <v>8.9176000000000002</v>
      </c>
      <c r="AY600">
        <v>1</v>
      </c>
      <c r="AZ600">
        <v>6023.7392733347688</v>
      </c>
      <c r="BA600">
        <v>1.098016605166052</v>
      </c>
      <c r="BB600" s="63">
        <v>6614.1656999999996</v>
      </c>
      <c r="BC600" s="61">
        <v>239.4630769805942</v>
      </c>
    </row>
    <row r="601" spans="1:55" x14ac:dyDescent="0.25">
      <c r="A601">
        <v>180413</v>
      </c>
      <c r="B601" t="s">
        <v>155</v>
      </c>
      <c r="C601">
        <v>2019</v>
      </c>
      <c r="D601">
        <v>11</v>
      </c>
      <c r="E601" t="s">
        <v>51</v>
      </c>
      <c r="F601" t="s">
        <v>426</v>
      </c>
      <c r="G601" t="s">
        <v>84</v>
      </c>
      <c r="H601" t="s">
        <v>59</v>
      </c>
      <c r="I601" t="s">
        <v>427</v>
      </c>
      <c r="J601">
        <v>-6.0651234499999997</v>
      </c>
      <c r="K601" t="s">
        <v>440</v>
      </c>
      <c r="L601" t="s">
        <v>385</v>
      </c>
      <c r="M601">
        <v>0.43497567483749999</v>
      </c>
      <c r="N601">
        <v>2.6381811643246502</v>
      </c>
      <c r="O601">
        <v>28410.399000000001</v>
      </c>
      <c r="P601">
        <v>2.51417E-6</v>
      </c>
      <c r="Q601">
        <v>0.14285700000000001</v>
      </c>
      <c r="R601" s="61">
        <v>0.37688264659192661</v>
      </c>
      <c r="S601" t="s">
        <v>347</v>
      </c>
      <c r="T601" t="s">
        <v>437</v>
      </c>
      <c r="U601" t="s">
        <v>425</v>
      </c>
      <c r="V601" t="s">
        <v>27</v>
      </c>
      <c r="W601">
        <v>111.133</v>
      </c>
      <c r="X601">
        <v>1.0541007448257309</v>
      </c>
      <c r="Y601">
        <v>117.145378074718</v>
      </c>
      <c r="Z601">
        <v>640.82000000000005</v>
      </c>
      <c r="AA601">
        <v>1</v>
      </c>
      <c r="AB601">
        <v>75.069101177840764</v>
      </c>
      <c r="AC601">
        <v>0.95889999999999997</v>
      </c>
      <c r="AD601" s="63">
        <v>71.983999999999995</v>
      </c>
      <c r="AE601">
        <v>8.9176000000000002</v>
      </c>
      <c r="AF601">
        <v>9.4000488020579382</v>
      </c>
      <c r="AG601">
        <v>1</v>
      </c>
      <c r="AH601">
        <v>6023.7392733347688</v>
      </c>
      <c r="AI601">
        <v>0.99097621000820357</v>
      </c>
      <c r="AJ601" s="63">
        <v>5969.3823000000002</v>
      </c>
      <c r="AK601" s="61">
        <v>2249.756599743002</v>
      </c>
      <c r="AL601" t="s">
        <v>347</v>
      </c>
      <c r="AM601" t="s">
        <v>437</v>
      </c>
      <c r="AN601" t="s">
        <v>425</v>
      </c>
      <c r="AO601" t="s">
        <v>27</v>
      </c>
      <c r="AP601">
        <v>111.133</v>
      </c>
      <c r="AQ601">
        <v>1.0541007448257309</v>
      </c>
      <c r="AR601">
        <v>117.145378074718</v>
      </c>
      <c r="AS601">
        <v>640.82000000000005</v>
      </c>
      <c r="AT601">
        <v>1</v>
      </c>
      <c r="AU601">
        <v>75.069101177840764</v>
      </c>
      <c r="AV601">
        <v>0.95889999999999997</v>
      </c>
      <c r="AW601" s="63">
        <v>71.983999999999995</v>
      </c>
      <c r="AX601">
        <v>8.9176000000000002</v>
      </c>
      <c r="AY601">
        <v>1</v>
      </c>
      <c r="AZ601">
        <v>6023.7392733347688</v>
      </c>
      <c r="BA601">
        <v>0.99097621000820357</v>
      </c>
      <c r="BB601" s="63">
        <v>5969.3823000000002</v>
      </c>
      <c r="BC601" s="61">
        <v>2249.756599743002</v>
      </c>
    </row>
    <row r="602" spans="1:55" x14ac:dyDescent="0.25">
      <c r="A602">
        <v>180415</v>
      </c>
      <c r="B602" t="s">
        <v>155</v>
      </c>
      <c r="C602">
        <v>2019</v>
      </c>
      <c r="D602">
        <v>11</v>
      </c>
      <c r="E602" t="s">
        <v>51</v>
      </c>
      <c r="F602" t="s">
        <v>426</v>
      </c>
      <c r="G602" t="s">
        <v>84</v>
      </c>
      <c r="H602" t="s">
        <v>59</v>
      </c>
      <c r="I602" t="s">
        <v>427</v>
      </c>
      <c r="J602">
        <v>-6.0651234499999997</v>
      </c>
      <c r="K602" t="s">
        <v>440</v>
      </c>
      <c r="L602" t="s">
        <v>451</v>
      </c>
      <c r="M602">
        <v>1.7625750762999999E-3</v>
      </c>
      <c r="N602">
        <v>1.0690235422336899E-2</v>
      </c>
      <c r="O602">
        <v>28410.399000000001</v>
      </c>
      <c r="P602">
        <v>2.51417E-6</v>
      </c>
      <c r="Q602">
        <v>0.14285700000000001</v>
      </c>
      <c r="R602" s="61">
        <v>1.527174961728783E-3</v>
      </c>
      <c r="S602" t="s">
        <v>347</v>
      </c>
      <c r="T602" t="s">
        <v>437</v>
      </c>
      <c r="U602" t="s">
        <v>425</v>
      </c>
      <c r="V602" t="s">
        <v>91</v>
      </c>
      <c r="W602">
        <v>111.133</v>
      </c>
      <c r="X602">
        <v>1.0541007448257309</v>
      </c>
      <c r="Y602">
        <v>117.145378074718</v>
      </c>
      <c r="Z602">
        <v>640.82000000000005</v>
      </c>
      <c r="AA602">
        <v>1</v>
      </c>
      <c r="AB602">
        <v>75.069101177840764</v>
      </c>
      <c r="AC602">
        <v>1.0088999999999999</v>
      </c>
      <c r="AD602" s="63">
        <v>75.736999999999995</v>
      </c>
      <c r="AE602">
        <v>8.9176000000000002</v>
      </c>
      <c r="AF602">
        <v>9.4000488020579382</v>
      </c>
      <c r="AG602">
        <v>1</v>
      </c>
      <c r="AH602">
        <v>6023.7392733347688</v>
      </c>
      <c r="AI602">
        <v>0.99316673174541203</v>
      </c>
      <c r="AJ602" s="63">
        <v>5982.5774000000001</v>
      </c>
      <c r="AK602" s="61">
        <v>9.1364424118844845</v>
      </c>
      <c r="AL602" t="s">
        <v>347</v>
      </c>
      <c r="AM602" t="s">
        <v>437</v>
      </c>
      <c r="AN602" t="s">
        <v>425</v>
      </c>
      <c r="AO602" t="s">
        <v>91</v>
      </c>
      <c r="AP602">
        <v>111.133</v>
      </c>
      <c r="AQ602">
        <v>1.0541007448257309</v>
      </c>
      <c r="AR602">
        <v>117.145378074718</v>
      </c>
      <c r="AS602">
        <v>640.82000000000005</v>
      </c>
      <c r="AT602">
        <v>1</v>
      </c>
      <c r="AU602">
        <v>75.069101177840764</v>
      </c>
      <c r="AV602">
        <v>1.0088999999999999</v>
      </c>
      <c r="AW602" s="63">
        <v>75.736999999999995</v>
      </c>
      <c r="AX602">
        <v>8.9176000000000002</v>
      </c>
      <c r="AY602">
        <v>1</v>
      </c>
      <c r="AZ602">
        <v>6023.7392733347688</v>
      </c>
      <c r="BA602">
        <v>0.99316673174541203</v>
      </c>
      <c r="BB602" s="63">
        <v>5982.5774000000001</v>
      </c>
      <c r="BC602" s="61">
        <v>9.1364424118844845</v>
      </c>
    </row>
    <row r="603" spans="1:55" x14ac:dyDescent="0.25">
      <c r="A603">
        <v>180417</v>
      </c>
      <c r="B603" t="s">
        <v>155</v>
      </c>
      <c r="C603">
        <v>2019</v>
      </c>
      <c r="D603">
        <v>11</v>
      </c>
      <c r="E603" t="s">
        <v>51</v>
      </c>
      <c r="F603" t="s">
        <v>426</v>
      </c>
      <c r="G603" t="s">
        <v>84</v>
      </c>
      <c r="H603" t="s">
        <v>59</v>
      </c>
      <c r="I603" t="s">
        <v>427</v>
      </c>
      <c r="J603">
        <v>-6.0651234499999997</v>
      </c>
      <c r="K603" t="s">
        <v>440</v>
      </c>
      <c r="L603" t="s">
        <v>452</v>
      </c>
      <c r="M603">
        <v>1.4858046103299999E-3</v>
      </c>
      <c r="N603">
        <v>9.0115883797495452E-3</v>
      </c>
      <c r="O603">
        <v>28410.399000000001</v>
      </c>
      <c r="P603">
        <v>2.51417E-6</v>
      </c>
      <c r="Q603">
        <v>0.14285700000000001</v>
      </c>
      <c r="R603" s="61">
        <v>1.2873684811658809E-3</v>
      </c>
      <c r="S603" t="s">
        <v>347</v>
      </c>
      <c r="T603" t="s">
        <v>437</v>
      </c>
      <c r="U603" t="s">
        <v>425</v>
      </c>
      <c r="V603" t="s">
        <v>28</v>
      </c>
      <c r="W603">
        <v>111.133</v>
      </c>
      <c r="X603">
        <v>1.0541007448257309</v>
      </c>
      <c r="Y603">
        <v>117.145378074718</v>
      </c>
      <c r="Z603">
        <v>640.82000000000005</v>
      </c>
      <c r="AA603">
        <v>1</v>
      </c>
      <c r="AB603">
        <v>75.069101177840764</v>
      </c>
      <c r="AC603">
        <v>1.0073000000000001</v>
      </c>
      <c r="AD603" s="63">
        <v>75.617000000000004</v>
      </c>
      <c r="AE603">
        <v>8.9176000000000002</v>
      </c>
      <c r="AF603">
        <v>9.4000488020579382</v>
      </c>
      <c r="AG603">
        <v>1</v>
      </c>
      <c r="AH603">
        <v>6023.7392733347688</v>
      </c>
      <c r="AI603">
        <v>0.99399488088206345</v>
      </c>
      <c r="AJ603" s="63">
        <v>5987.5659999999998</v>
      </c>
      <c r="AK603" s="61">
        <v>7.7082037473004688</v>
      </c>
      <c r="AL603" t="s">
        <v>347</v>
      </c>
      <c r="AM603" t="s">
        <v>437</v>
      </c>
      <c r="AN603" t="s">
        <v>425</v>
      </c>
      <c r="AO603" t="s">
        <v>28</v>
      </c>
      <c r="AP603">
        <v>111.133</v>
      </c>
      <c r="AQ603">
        <v>1.0541007448257309</v>
      </c>
      <c r="AR603">
        <v>117.145378074718</v>
      </c>
      <c r="AS603">
        <v>640.82000000000005</v>
      </c>
      <c r="AT603">
        <v>1</v>
      </c>
      <c r="AU603">
        <v>75.069101177840764</v>
      </c>
      <c r="AV603">
        <v>1.0073000000000001</v>
      </c>
      <c r="AW603" s="63">
        <v>75.617000000000004</v>
      </c>
      <c r="AX603">
        <v>8.9176000000000002</v>
      </c>
      <c r="AY603">
        <v>1</v>
      </c>
      <c r="AZ603">
        <v>6023.7392733347688</v>
      </c>
      <c r="BA603">
        <v>0.99399488088206345</v>
      </c>
      <c r="BB603" s="63">
        <v>5987.5659999999998</v>
      </c>
      <c r="BC603" s="61">
        <v>7.7082037473004688</v>
      </c>
    </row>
    <row r="604" spans="1:55" x14ac:dyDescent="0.25">
      <c r="A604">
        <v>187581</v>
      </c>
      <c r="B604" t="s">
        <v>148</v>
      </c>
      <c r="C604">
        <v>2019</v>
      </c>
      <c r="D604">
        <v>12</v>
      </c>
      <c r="E604" t="s">
        <v>51</v>
      </c>
      <c r="F604" t="s">
        <v>426</v>
      </c>
      <c r="G604" t="s">
        <v>84</v>
      </c>
      <c r="H604" t="s">
        <v>381</v>
      </c>
      <c r="I604" t="s">
        <v>427</v>
      </c>
      <c r="J604">
        <v>-12.7766368</v>
      </c>
      <c r="K604" t="s">
        <v>440</v>
      </c>
      <c r="L604" t="s">
        <v>450</v>
      </c>
      <c r="M604">
        <v>0.15011157993331001</v>
      </c>
      <c r="N604">
        <v>1.9179211367404849</v>
      </c>
      <c r="O604">
        <v>28410.399000000001</v>
      </c>
      <c r="P604">
        <v>2.51417E-6</v>
      </c>
      <c r="Q604">
        <v>0.14285700000000001</v>
      </c>
      <c r="R604" s="61">
        <v>0.27398845983133552</v>
      </c>
      <c r="S604" t="s">
        <v>347</v>
      </c>
      <c r="T604" t="s">
        <v>437</v>
      </c>
      <c r="U604" t="s">
        <v>425</v>
      </c>
      <c r="V604" t="s">
        <v>26</v>
      </c>
      <c r="W604">
        <v>111.133</v>
      </c>
      <c r="X604">
        <v>1.0541007448257309</v>
      </c>
      <c r="Y604">
        <v>117.145378074718</v>
      </c>
      <c r="Z604">
        <v>640.82000000000005</v>
      </c>
      <c r="AA604">
        <v>1</v>
      </c>
      <c r="AB604">
        <v>75.069101177840764</v>
      </c>
      <c r="AC604">
        <v>0.99109999999999998</v>
      </c>
      <c r="AD604" s="63">
        <v>74.400999999999996</v>
      </c>
      <c r="AE604">
        <v>8.9176000000000002</v>
      </c>
      <c r="AF604">
        <v>9.4000488020579382</v>
      </c>
      <c r="AG604">
        <v>1</v>
      </c>
      <c r="AH604">
        <v>6023.7392733347688</v>
      </c>
      <c r="AI604">
        <v>0.9830373970836227</v>
      </c>
      <c r="AJ604" s="63">
        <v>5921.5609999999997</v>
      </c>
      <c r="AK604" s="61">
        <v>1622.439378187303</v>
      </c>
      <c r="AL604" t="s">
        <v>347</v>
      </c>
      <c r="AM604" t="s">
        <v>437</v>
      </c>
      <c r="AN604" t="s">
        <v>425</v>
      </c>
      <c r="AO604" t="s">
        <v>26</v>
      </c>
      <c r="AP604">
        <v>111.133</v>
      </c>
      <c r="AQ604">
        <v>1.0541007448257309</v>
      </c>
      <c r="AR604">
        <v>117.145378074718</v>
      </c>
      <c r="AS604">
        <v>640.82000000000005</v>
      </c>
      <c r="AT604">
        <v>1</v>
      </c>
      <c r="AU604">
        <v>75.069101177840764</v>
      </c>
      <c r="AV604">
        <v>0.99109999999999998</v>
      </c>
      <c r="AW604" s="63">
        <v>74.400999999999996</v>
      </c>
      <c r="AX604">
        <v>8.9176000000000002</v>
      </c>
      <c r="AY604">
        <v>1</v>
      </c>
      <c r="AZ604">
        <v>6023.7392733347688</v>
      </c>
      <c r="BA604">
        <v>0.9830373970836227</v>
      </c>
      <c r="BB604" s="63">
        <v>5921.5609999999997</v>
      </c>
      <c r="BC604" s="61">
        <v>1622.439378187303</v>
      </c>
    </row>
    <row r="605" spans="1:55" x14ac:dyDescent="0.25">
      <c r="A605">
        <v>187583</v>
      </c>
      <c r="B605" t="s">
        <v>148</v>
      </c>
      <c r="C605">
        <v>2019</v>
      </c>
      <c r="D605">
        <v>12</v>
      </c>
      <c r="E605" t="s">
        <v>51</v>
      </c>
      <c r="F605" t="s">
        <v>426</v>
      </c>
      <c r="G605" t="s">
        <v>84</v>
      </c>
      <c r="H605" t="s">
        <v>381</v>
      </c>
      <c r="I605" t="s">
        <v>427</v>
      </c>
      <c r="J605">
        <v>-12.7766368</v>
      </c>
      <c r="K605" t="s">
        <v>440</v>
      </c>
      <c r="L605" t="s">
        <v>384</v>
      </c>
      <c r="M605">
        <v>4.5811354346740003E-2</v>
      </c>
      <c r="N605">
        <v>0.58531503594429823</v>
      </c>
      <c r="O605">
        <v>28410.399000000001</v>
      </c>
      <c r="P605">
        <v>2.51417E-6</v>
      </c>
      <c r="Q605">
        <v>0.14285700000000001</v>
      </c>
      <c r="R605" s="61">
        <v>8.3616350089894625E-2</v>
      </c>
      <c r="S605" t="s">
        <v>347</v>
      </c>
      <c r="T605" t="s">
        <v>437</v>
      </c>
      <c r="U605" t="s">
        <v>425</v>
      </c>
      <c r="V605" t="s">
        <v>81</v>
      </c>
      <c r="W605">
        <v>111.133</v>
      </c>
      <c r="X605">
        <v>1.0541007448257309</v>
      </c>
      <c r="Y605">
        <v>117.145378074718</v>
      </c>
      <c r="Z605">
        <v>640.82000000000005</v>
      </c>
      <c r="AA605">
        <v>1</v>
      </c>
      <c r="AB605">
        <v>75.069101177840764</v>
      </c>
      <c r="AC605">
        <v>0.93830000000000002</v>
      </c>
      <c r="AD605" s="63">
        <v>70.436999999999998</v>
      </c>
      <c r="AE605">
        <v>8.9176000000000002</v>
      </c>
      <c r="AF605">
        <v>9.4000488020579382</v>
      </c>
      <c r="AG605">
        <v>1</v>
      </c>
      <c r="AH605">
        <v>6023.7392733347688</v>
      </c>
      <c r="AI605">
        <v>1.098016605166052</v>
      </c>
      <c r="AJ605" s="63">
        <v>6614.1656999999996</v>
      </c>
      <c r="AK605" s="61">
        <v>553.05239472377286</v>
      </c>
      <c r="AL605" t="s">
        <v>347</v>
      </c>
      <c r="AM605" t="s">
        <v>437</v>
      </c>
      <c r="AN605" t="s">
        <v>425</v>
      </c>
      <c r="AO605" t="s">
        <v>81</v>
      </c>
      <c r="AP605">
        <v>111.133</v>
      </c>
      <c r="AQ605">
        <v>1.0541007448257309</v>
      </c>
      <c r="AR605">
        <v>117.145378074718</v>
      </c>
      <c r="AS605">
        <v>640.82000000000005</v>
      </c>
      <c r="AT605">
        <v>1</v>
      </c>
      <c r="AU605">
        <v>75.069101177840764</v>
      </c>
      <c r="AV605">
        <v>0.93830000000000002</v>
      </c>
      <c r="AW605" s="63">
        <v>70.436999999999998</v>
      </c>
      <c r="AX605">
        <v>8.9176000000000002</v>
      </c>
      <c r="AY605">
        <v>1</v>
      </c>
      <c r="AZ605">
        <v>6023.7392733347688</v>
      </c>
      <c r="BA605">
        <v>1.098016605166052</v>
      </c>
      <c r="BB605" s="63">
        <v>6614.1656999999996</v>
      </c>
      <c r="BC605" s="61">
        <v>553.05239472377286</v>
      </c>
    </row>
    <row r="606" spans="1:55" x14ac:dyDescent="0.25">
      <c r="A606">
        <v>187585</v>
      </c>
      <c r="B606" t="s">
        <v>148</v>
      </c>
      <c r="C606">
        <v>2019</v>
      </c>
      <c r="D606">
        <v>12</v>
      </c>
      <c r="E606" t="s">
        <v>51</v>
      </c>
      <c r="F606" t="s">
        <v>426</v>
      </c>
      <c r="G606" t="s">
        <v>84</v>
      </c>
      <c r="H606" t="s">
        <v>381</v>
      </c>
      <c r="I606" t="s">
        <v>427</v>
      </c>
      <c r="J606">
        <v>-12.7766368</v>
      </c>
      <c r="K606" t="s">
        <v>440</v>
      </c>
      <c r="L606" t="s">
        <v>385</v>
      </c>
      <c r="M606">
        <v>0.43232641346992001</v>
      </c>
      <c r="N606">
        <v>5.5236775652720462</v>
      </c>
      <c r="O606">
        <v>28410.399000000001</v>
      </c>
      <c r="P606">
        <v>2.51417E-6</v>
      </c>
      <c r="Q606">
        <v>0.14285700000000001</v>
      </c>
      <c r="R606" s="61">
        <v>0.78909600594206875</v>
      </c>
      <c r="S606" t="s">
        <v>347</v>
      </c>
      <c r="T606" t="s">
        <v>437</v>
      </c>
      <c r="U606" t="s">
        <v>425</v>
      </c>
      <c r="V606" t="s">
        <v>27</v>
      </c>
      <c r="W606">
        <v>111.133</v>
      </c>
      <c r="X606">
        <v>1.0541007448257309</v>
      </c>
      <c r="Y606">
        <v>117.145378074718</v>
      </c>
      <c r="Z606">
        <v>640.82000000000005</v>
      </c>
      <c r="AA606">
        <v>1</v>
      </c>
      <c r="AB606">
        <v>75.069101177840764</v>
      </c>
      <c r="AC606">
        <v>0.95889999999999997</v>
      </c>
      <c r="AD606" s="63">
        <v>71.983999999999995</v>
      </c>
      <c r="AE606">
        <v>8.9176000000000002</v>
      </c>
      <c r="AF606">
        <v>9.4000488020579382</v>
      </c>
      <c r="AG606">
        <v>1</v>
      </c>
      <c r="AH606">
        <v>6023.7392733347688</v>
      </c>
      <c r="AI606">
        <v>0.99097621000820357</v>
      </c>
      <c r="AJ606" s="63">
        <v>5969.3823000000002</v>
      </c>
      <c r="AK606" s="61">
        <v>4710.4157308712802</v>
      </c>
      <c r="AL606" t="s">
        <v>347</v>
      </c>
      <c r="AM606" t="s">
        <v>437</v>
      </c>
      <c r="AN606" t="s">
        <v>425</v>
      </c>
      <c r="AO606" t="s">
        <v>27</v>
      </c>
      <c r="AP606">
        <v>111.133</v>
      </c>
      <c r="AQ606">
        <v>1.0541007448257309</v>
      </c>
      <c r="AR606">
        <v>117.145378074718</v>
      </c>
      <c r="AS606">
        <v>640.82000000000005</v>
      </c>
      <c r="AT606">
        <v>1</v>
      </c>
      <c r="AU606">
        <v>75.069101177840764</v>
      </c>
      <c r="AV606">
        <v>0.95889999999999997</v>
      </c>
      <c r="AW606" s="63">
        <v>71.983999999999995</v>
      </c>
      <c r="AX606">
        <v>8.9176000000000002</v>
      </c>
      <c r="AY606">
        <v>1</v>
      </c>
      <c r="AZ606">
        <v>6023.7392733347688</v>
      </c>
      <c r="BA606">
        <v>0.99097621000820357</v>
      </c>
      <c r="BB606" s="63">
        <v>5969.3823000000002</v>
      </c>
      <c r="BC606" s="61">
        <v>4710.4157308712802</v>
      </c>
    </row>
    <row r="607" spans="1:55" x14ac:dyDescent="0.25">
      <c r="A607">
        <v>187587</v>
      </c>
      <c r="B607" t="s">
        <v>148</v>
      </c>
      <c r="C607">
        <v>2019</v>
      </c>
      <c r="D607">
        <v>12</v>
      </c>
      <c r="E607" t="s">
        <v>51</v>
      </c>
      <c r="F607" t="s">
        <v>426</v>
      </c>
      <c r="G607" t="s">
        <v>84</v>
      </c>
      <c r="H607" t="s">
        <v>381</v>
      </c>
      <c r="I607" t="s">
        <v>427</v>
      </c>
      <c r="J607">
        <v>-12.7766368</v>
      </c>
      <c r="K607" t="s">
        <v>440</v>
      </c>
      <c r="L607" t="s">
        <v>451</v>
      </c>
      <c r="M607">
        <v>1.6825115802299999E-3</v>
      </c>
      <c r="N607">
        <v>2.1496839377530871E-2</v>
      </c>
      <c r="O607">
        <v>28410.399000000001</v>
      </c>
      <c r="P607">
        <v>2.51417E-6</v>
      </c>
      <c r="Q607">
        <v>0.14285700000000001</v>
      </c>
      <c r="R607" s="61">
        <v>3.0709739829559279E-3</v>
      </c>
      <c r="S607" t="s">
        <v>347</v>
      </c>
      <c r="T607" t="s">
        <v>437</v>
      </c>
      <c r="U607" t="s">
        <v>425</v>
      </c>
      <c r="V607" t="s">
        <v>91</v>
      </c>
      <c r="W607">
        <v>111.133</v>
      </c>
      <c r="X607">
        <v>1.0541007448257309</v>
      </c>
      <c r="Y607">
        <v>117.145378074718</v>
      </c>
      <c r="Z607">
        <v>640.82000000000005</v>
      </c>
      <c r="AA607">
        <v>1</v>
      </c>
      <c r="AB607">
        <v>75.069101177840764</v>
      </c>
      <c r="AC607">
        <v>1.0088999999999999</v>
      </c>
      <c r="AD607" s="63">
        <v>75.736999999999995</v>
      </c>
      <c r="AE607">
        <v>8.9176000000000002</v>
      </c>
      <c r="AF607">
        <v>9.4000488020579382</v>
      </c>
      <c r="AG607">
        <v>1</v>
      </c>
      <c r="AH607">
        <v>6023.7392733347688</v>
      </c>
      <c r="AI607">
        <v>0.99316673174541203</v>
      </c>
      <c r="AJ607" s="63">
        <v>5982.5774000000001</v>
      </c>
      <c r="AK607" s="61">
        <v>18.372339546420118</v>
      </c>
      <c r="AL607" t="s">
        <v>347</v>
      </c>
      <c r="AM607" t="s">
        <v>437</v>
      </c>
      <c r="AN607" t="s">
        <v>425</v>
      </c>
      <c r="AO607" t="s">
        <v>91</v>
      </c>
      <c r="AP607">
        <v>111.133</v>
      </c>
      <c r="AQ607">
        <v>1.0541007448257309</v>
      </c>
      <c r="AR607">
        <v>117.145378074718</v>
      </c>
      <c r="AS607">
        <v>640.82000000000005</v>
      </c>
      <c r="AT607">
        <v>1</v>
      </c>
      <c r="AU607">
        <v>75.069101177840764</v>
      </c>
      <c r="AV607">
        <v>1.0088999999999999</v>
      </c>
      <c r="AW607" s="63">
        <v>75.736999999999995</v>
      </c>
      <c r="AX607">
        <v>8.9176000000000002</v>
      </c>
      <c r="AY607">
        <v>1</v>
      </c>
      <c r="AZ607">
        <v>6023.7392733347688</v>
      </c>
      <c r="BA607">
        <v>0.99316673174541203</v>
      </c>
      <c r="BB607" s="63">
        <v>5982.5774000000001</v>
      </c>
      <c r="BC607" s="61">
        <v>18.372339546420118</v>
      </c>
    </row>
    <row r="608" spans="1:55" x14ac:dyDescent="0.25">
      <c r="A608">
        <v>187589</v>
      </c>
      <c r="B608" t="s">
        <v>148</v>
      </c>
      <c r="C608">
        <v>2019</v>
      </c>
      <c r="D608">
        <v>12</v>
      </c>
      <c r="E608" t="s">
        <v>51</v>
      </c>
      <c r="F608" t="s">
        <v>426</v>
      </c>
      <c r="G608" t="s">
        <v>84</v>
      </c>
      <c r="H608" t="s">
        <v>381</v>
      </c>
      <c r="I608" t="s">
        <v>427</v>
      </c>
      <c r="J608">
        <v>-12.7766368</v>
      </c>
      <c r="K608" t="s">
        <v>440</v>
      </c>
      <c r="L608" t="s">
        <v>452</v>
      </c>
      <c r="M608">
        <v>1.53682162831E-3</v>
      </c>
      <c r="N608">
        <v>1.9635411775994659E-2</v>
      </c>
      <c r="O608">
        <v>28410.399000000001</v>
      </c>
      <c r="P608">
        <v>2.51417E-6</v>
      </c>
      <c r="Q608">
        <v>0.14285700000000001</v>
      </c>
      <c r="R608" s="61">
        <v>2.805056020083269E-3</v>
      </c>
      <c r="S608" t="s">
        <v>347</v>
      </c>
      <c r="T608" t="s">
        <v>437</v>
      </c>
      <c r="U608" t="s">
        <v>425</v>
      </c>
      <c r="V608" t="s">
        <v>28</v>
      </c>
      <c r="W608">
        <v>111.133</v>
      </c>
      <c r="X608">
        <v>1.0541007448257309</v>
      </c>
      <c r="Y608">
        <v>117.145378074718</v>
      </c>
      <c r="Z608">
        <v>640.82000000000005</v>
      </c>
      <c r="AA608">
        <v>1</v>
      </c>
      <c r="AB608">
        <v>75.069101177840764</v>
      </c>
      <c r="AC608">
        <v>1.0073000000000001</v>
      </c>
      <c r="AD608" s="63">
        <v>75.617000000000004</v>
      </c>
      <c r="AE608">
        <v>8.9176000000000002</v>
      </c>
      <c r="AF608">
        <v>9.4000488020579382</v>
      </c>
      <c r="AG608">
        <v>1</v>
      </c>
      <c r="AH608">
        <v>6023.7392733347688</v>
      </c>
      <c r="AI608">
        <v>0.99399488088206345</v>
      </c>
      <c r="AJ608" s="63">
        <v>5987.5659999999998</v>
      </c>
      <c r="AK608" s="61">
        <v>16.7954580539459</v>
      </c>
      <c r="AL608" t="s">
        <v>347</v>
      </c>
      <c r="AM608" t="s">
        <v>437</v>
      </c>
      <c r="AN608" t="s">
        <v>425</v>
      </c>
      <c r="AO608" t="s">
        <v>28</v>
      </c>
      <c r="AP608">
        <v>111.133</v>
      </c>
      <c r="AQ608">
        <v>1.0541007448257309</v>
      </c>
      <c r="AR608">
        <v>117.145378074718</v>
      </c>
      <c r="AS608">
        <v>640.82000000000005</v>
      </c>
      <c r="AT608">
        <v>1</v>
      </c>
      <c r="AU608">
        <v>75.069101177840764</v>
      </c>
      <c r="AV608">
        <v>1.0073000000000001</v>
      </c>
      <c r="AW608" s="63">
        <v>75.617000000000004</v>
      </c>
      <c r="AX608">
        <v>8.9176000000000002</v>
      </c>
      <c r="AY608">
        <v>1</v>
      </c>
      <c r="AZ608">
        <v>6023.7392733347688</v>
      </c>
      <c r="BA608">
        <v>0.99399488088206345</v>
      </c>
      <c r="BB608" s="63">
        <v>5987.5659999999998</v>
      </c>
      <c r="BC608" s="61">
        <v>16.7954580539459</v>
      </c>
    </row>
    <row r="609" spans="1:55" x14ac:dyDescent="0.25">
      <c r="A609">
        <v>187591</v>
      </c>
      <c r="B609" t="s">
        <v>148</v>
      </c>
      <c r="C609">
        <v>2019</v>
      </c>
      <c r="D609">
        <v>12</v>
      </c>
      <c r="E609" t="s">
        <v>51</v>
      </c>
      <c r="F609" t="s">
        <v>426</v>
      </c>
      <c r="G609" t="s">
        <v>84</v>
      </c>
      <c r="H609" t="s">
        <v>87</v>
      </c>
      <c r="I609" t="s">
        <v>427</v>
      </c>
      <c r="J609">
        <v>-2.5502972900000001</v>
      </c>
      <c r="K609" t="s">
        <v>440</v>
      </c>
      <c r="L609" t="s">
        <v>450</v>
      </c>
      <c r="M609">
        <v>0.26601384014995</v>
      </c>
      <c r="N609">
        <v>0.67841437582859188</v>
      </c>
      <c r="O609">
        <v>28410.399000000001</v>
      </c>
      <c r="P609">
        <v>2.51417E-6</v>
      </c>
      <c r="Q609">
        <v>0.14285700000000001</v>
      </c>
      <c r="R609" s="61">
        <v>9.6916242487745163E-2</v>
      </c>
      <c r="S609" t="s">
        <v>347</v>
      </c>
      <c r="T609" t="s">
        <v>437</v>
      </c>
      <c r="U609" t="s">
        <v>425</v>
      </c>
      <c r="V609" t="s">
        <v>26</v>
      </c>
      <c r="W609">
        <v>111.133</v>
      </c>
      <c r="X609">
        <v>1.0541007448257309</v>
      </c>
      <c r="Y609">
        <v>117.145378074718</v>
      </c>
      <c r="Z609">
        <v>640.82000000000005</v>
      </c>
      <c r="AA609">
        <v>1</v>
      </c>
      <c r="AB609">
        <v>75.069101177840764</v>
      </c>
      <c r="AC609">
        <v>0.99109999999999998</v>
      </c>
      <c r="AD609" s="63">
        <v>74.400999999999996</v>
      </c>
      <c r="AE609">
        <v>8.9176000000000002</v>
      </c>
      <c r="AF609">
        <v>9.4000488020579382</v>
      </c>
      <c r="AG609">
        <v>1</v>
      </c>
      <c r="AH609">
        <v>6023.7392733347688</v>
      </c>
      <c r="AI609">
        <v>0.9830373970836227</v>
      </c>
      <c r="AJ609" s="63">
        <v>5921.5609999999997</v>
      </c>
      <c r="AK609" s="61">
        <v>573.89544178197468</v>
      </c>
      <c r="AL609" t="s">
        <v>347</v>
      </c>
      <c r="AM609" t="s">
        <v>437</v>
      </c>
      <c r="AN609" t="s">
        <v>425</v>
      </c>
      <c r="AO609" t="s">
        <v>26</v>
      </c>
      <c r="AP609">
        <v>111.133</v>
      </c>
      <c r="AQ609">
        <v>1.0541007448257309</v>
      </c>
      <c r="AR609">
        <v>117.145378074718</v>
      </c>
      <c r="AS609">
        <v>640.82000000000005</v>
      </c>
      <c r="AT609">
        <v>1</v>
      </c>
      <c r="AU609">
        <v>75.069101177840764</v>
      </c>
      <c r="AV609">
        <v>0.99109999999999998</v>
      </c>
      <c r="AW609" s="63">
        <v>74.400999999999996</v>
      </c>
      <c r="AX609">
        <v>8.9176000000000002</v>
      </c>
      <c r="AY609">
        <v>1</v>
      </c>
      <c r="AZ609">
        <v>6023.7392733347688</v>
      </c>
      <c r="BA609">
        <v>0.9830373970836227</v>
      </c>
      <c r="BB609" s="63">
        <v>5921.5609999999997</v>
      </c>
      <c r="BC609" s="61">
        <v>573.89544178197468</v>
      </c>
    </row>
    <row r="610" spans="1:55" x14ac:dyDescent="0.25">
      <c r="A610">
        <v>187593</v>
      </c>
      <c r="B610" t="s">
        <v>148</v>
      </c>
      <c r="C610">
        <v>2019</v>
      </c>
      <c r="D610">
        <v>12</v>
      </c>
      <c r="E610" t="s">
        <v>51</v>
      </c>
      <c r="F610" t="s">
        <v>426</v>
      </c>
      <c r="G610" t="s">
        <v>84</v>
      </c>
      <c r="H610" t="s">
        <v>87</v>
      </c>
      <c r="I610" t="s">
        <v>427</v>
      </c>
      <c r="J610">
        <v>-2.5502972900000001</v>
      </c>
      <c r="K610" t="s">
        <v>440</v>
      </c>
      <c r="L610" t="s">
        <v>384</v>
      </c>
      <c r="M610">
        <v>3.9509559941419997E-2</v>
      </c>
      <c r="N610">
        <v>0.1007611236761653</v>
      </c>
      <c r="O610">
        <v>28410.399000000001</v>
      </c>
      <c r="P610">
        <v>2.51417E-6</v>
      </c>
      <c r="Q610">
        <v>0.14285700000000001</v>
      </c>
      <c r="R610" s="61">
        <v>1.439443184500595E-2</v>
      </c>
      <c r="S610" t="s">
        <v>347</v>
      </c>
      <c r="T610" t="s">
        <v>437</v>
      </c>
      <c r="U610" t="s">
        <v>425</v>
      </c>
      <c r="V610" t="s">
        <v>81</v>
      </c>
      <c r="W610">
        <v>111.133</v>
      </c>
      <c r="X610">
        <v>1.0541007448257309</v>
      </c>
      <c r="Y610">
        <v>117.145378074718</v>
      </c>
      <c r="Z610">
        <v>640.82000000000005</v>
      </c>
      <c r="AA610">
        <v>1</v>
      </c>
      <c r="AB610">
        <v>75.069101177840764</v>
      </c>
      <c r="AC610">
        <v>0.93830000000000002</v>
      </c>
      <c r="AD610" s="63">
        <v>70.436999999999998</v>
      </c>
      <c r="AE610">
        <v>8.9176000000000002</v>
      </c>
      <c r="AF610">
        <v>9.4000488020579382</v>
      </c>
      <c r="AG610">
        <v>1</v>
      </c>
      <c r="AH610">
        <v>6023.7392733347688</v>
      </c>
      <c r="AI610">
        <v>1.098016605166052</v>
      </c>
      <c r="AJ610" s="63">
        <v>6614.1656999999996</v>
      </c>
      <c r="AK610" s="61">
        <v>95.207157380226079</v>
      </c>
      <c r="AL610" t="s">
        <v>347</v>
      </c>
      <c r="AM610" t="s">
        <v>437</v>
      </c>
      <c r="AN610" t="s">
        <v>425</v>
      </c>
      <c r="AO610" t="s">
        <v>81</v>
      </c>
      <c r="AP610">
        <v>111.133</v>
      </c>
      <c r="AQ610">
        <v>1.0541007448257309</v>
      </c>
      <c r="AR610">
        <v>117.145378074718</v>
      </c>
      <c r="AS610">
        <v>640.82000000000005</v>
      </c>
      <c r="AT610">
        <v>1</v>
      </c>
      <c r="AU610">
        <v>75.069101177840764</v>
      </c>
      <c r="AV610">
        <v>0.93830000000000002</v>
      </c>
      <c r="AW610" s="63">
        <v>70.436999999999998</v>
      </c>
      <c r="AX610">
        <v>8.9176000000000002</v>
      </c>
      <c r="AY610">
        <v>1</v>
      </c>
      <c r="AZ610">
        <v>6023.7392733347688</v>
      </c>
      <c r="BA610">
        <v>1.098016605166052</v>
      </c>
      <c r="BB610" s="63">
        <v>6614.1656999999996</v>
      </c>
      <c r="BC610" s="61">
        <v>95.207157380226079</v>
      </c>
    </row>
    <row r="611" spans="1:55" x14ac:dyDescent="0.25">
      <c r="A611">
        <v>187595</v>
      </c>
      <c r="B611" t="s">
        <v>148</v>
      </c>
      <c r="C611">
        <v>2019</v>
      </c>
      <c r="D611">
        <v>12</v>
      </c>
      <c r="E611" t="s">
        <v>51</v>
      </c>
      <c r="F611" t="s">
        <v>426</v>
      </c>
      <c r="G611" t="s">
        <v>84</v>
      </c>
      <c r="H611" t="s">
        <v>87</v>
      </c>
      <c r="I611" t="s">
        <v>427</v>
      </c>
      <c r="J611">
        <v>-2.5502972900000001</v>
      </c>
      <c r="K611" t="s">
        <v>440</v>
      </c>
      <c r="L611" t="s">
        <v>385</v>
      </c>
      <c r="M611">
        <v>0.39737542925016001</v>
      </c>
      <c r="N611">
        <v>1.013425480615606</v>
      </c>
      <c r="O611">
        <v>28410.399000000001</v>
      </c>
      <c r="P611">
        <v>2.51417E-6</v>
      </c>
      <c r="Q611">
        <v>0.14285700000000001</v>
      </c>
      <c r="R611" s="61">
        <v>0.1447749238843036</v>
      </c>
      <c r="S611" t="s">
        <v>347</v>
      </c>
      <c r="T611" t="s">
        <v>437</v>
      </c>
      <c r="U611" t="s">
        <v>425</v>
      </c>
      <c r="V611" t="s">
        <v>27</v>
      </c>
      <c r="W611">
        <v>111.133</v>
      </c>
      <c r="X611">
        <v>1.0541007448257309</v>
      </c>
      <c r="Y611">
        <v>117.145378074718</v>
      </c>
      <c r="Z611">
        <v>640.82000000000005</v>
      </c>
      <c r="AA611">
        <v>1</v>
      </c>
      <c r="AB611">
        <v>75.069101177840764</v>
      </c>
      <c r="AC611">
        <v>0.95889999999999997</v>
      </c>
      <c r="AD611" s="63">
        <v>71.983999999999995</v>
      </c>
      <c r="AE611">
        <v>8.9176000000000002</v>
      </c>
      <c r="AF611">
        <v>9.4000488020579382</v>
      </c>
      <c r="AG611">
        <v>1</v>
      </c>
      <c r="AH611">
        <v>6023.7392733347688</v>
      </c>
      <c r="AI611">
        <v>0.99097621000820357</v>
      </c>
      <c r="AJ611" s="63">
        <v>5969.3823000000002</v>
      </c>
      <c r="AK611" s="61">
        <v>864.21686811880932</v>
      </c>
      <c r="AL611" t="s">
        <v>347</v>
      </c>
      <c r="AM611" t="s">
        <v>437</v>
      </c>
      <c r="AN611" t="s">
        <v>425</v>
      </c>
      <c r="AO611" t="s">
        <v>27</v>
      </c>
      <c r="AP611">
        <v>111.133</v>
      </c>
      <c r="AQ611">
        <v>1.0541007448257309</v>
      </c>
      <c r="AR611">
        <v>117.145378074718</v>
      </c>
      <c r="AS611">
        <v>640.82000000000005</v>
      </c>
      <c r="AT611">
        <v>1</v>
      </c>
      <c r="AU611">
        <v>75.069101177840764</v>
      </c>
      <c r="AV611">
        <v>0.95889999999999997</v>
      </c>
      <c r="AW611" s="63">
        <v>71.983999999999995</v>
      </c>
      <c r="AX611">
        <v>8.9176000000000002</v>
      </c>
      <c r="AY611">
        <v>1</v>
      </c>
      <c r="AZ611">
        <v>6023.7392733347688</v>
      </c>
      <c r="BA611">
        <v>0.99097621000820357</v>
      </c>
      <c r="BB611" s="63">
        <v>5969.3823000000002</v>
      </c>
      <c r="BC611" s="61">
        <v>864.21686811880932</v>
      </c>
    </row>
    <row r="612" spans="1:55" x14ac:dyDescent="0.25">
      <c r="A612">
        <v>187597</v>
      </c>
      <c r="B612" t="s">
        <v>148</v>
      </c>
      <c r="C612">
        <v>2019</v>
      </c>
      <c r="D612">
        <v>12</v>
      </c>
      <c r="E612" t="s">
        <v>51</v>
      </c>
      <c r="F612" t="s">
        <v>426</v>
      </c>
      <c r="G612" t="s">
        <v>84</v>
      </c>
      <c r="H612" t="s">
        <v>87</v>
      </c>
      <c r="I612" t="s">
        <v>427</v>
      </c>
      <c r="J612">
        <v>-2.5502972900000001</v>
      </c>
      <c r="K612" t="s">
        <v>440</v>
      </c>
      <c r="L612" t="s">
        <v>452</v>
      </c>
      <c r="M612">
        <v>8.4248020759000004E-4</v>
      </c>
      <c r="N612">
        <v>2.1485749909024789E-3</v>
      </c>
      <c r="O612">
        <v>28410.399000000001</v>
      </c>
      <c r="P612">
        <v>2.51417E-6</v>
      </c>
      <c r="Q612">
        <v>0.14285700000000001</v>
      </c>
      <c r="R612" s="61">
        <v>3.0693897747535552E-4</v>
      </c>
      <c r="S612" t="s">
        <v>347</v>
      </c>
      <c r="T612" t="s">
        <v>437</v>
      </c>
      <c r="U612" t="s">
        <v>425</v>
      </c>
      <c r="V612" t="s">
        <v>28</v>
      </c>
      <c r="W612">
        <v>111.133</v>
      </c>
      <c r="X612">
        <v>1.0541007448257309</v>
      </c>
      <c r="Y612">
        <v>117.145378074718</v>
      </c>
      <c r="Z612">
        <v>640.82000000000005</v>
      </c>
      <c r="AA612">
        <v>1</v>
      </c>
      <c r="AB612">
        <v>75.069101177840764</v>
      </c>
      <c r="AC612">
        <v>1.0073000000000001</v>
      </c>
      <c r="AD612" s="63">
        <v>75.617000000000004</v>
      </c>
      <c r="AE612">
        <v>8.9176000000000002</v>
      </c>
      <c r="AF612">
        <v>9.4000488020579382</v>
      </c>
      <c r="AG612">
        <v>1</v>
      </c>
      <c r="AH612">
        <v>6023.7392733347688</v>
      </c>
      <c r="AI612">
        <v>0.99399488088206345</v>
      </c>
      <c r="AJ612" s="63">
        <v>5987.5659999999998</v>
      </c>
      <c r="AK612" s="61">
        <v>1.837817385606205</v>
      </c>
      <c r="AL612" t="s">
        <v>347</v>
      </c>
      <c r="AM612" t="s">
        <v>437</v>
      </c>
      <c r="AN612" t="s">
        <v>425</v>
      </c>
      <c r="AO612" t="s">
        <v>28</v>
      </c>
      <c r="AP612">
        <v>111.133</v>
      </c>
      <c r="AQ612">
        <v>1.0541007448257309</v>
      </c>
      <c r="AR612">
        <v>117.145378074718</v>
      </c>
      <c r="AS612">
        <v>640.82000000000005</v>
      </c>
      <c r="AT612">
        <v>1</v>
      </c>
      <c r="AU612">
        <v>75.069101177840764</v>
      </c>
      <c r="AV612">
        <v>1.0073000000000001</v>
      </c>
      <c r="AW612" s="63">
        <v>75.617000000000004</v>
      </c>
      <c r="AX612">
        <v>8.9176000000000002</v>
      </c>
      <c r="AY612">
        <v>1</v>
      </c>
      <c r="AZ612">
        <v>6023.7392733347688</v>
      </c>
      <c r="BA612">
        <v>0.99399488088206345</v>
      </c>
      <c r="BB612" s="63">
        <v>5987.5659999999998</v>
      </c>
      <c r="BC612" s="61">
        <v>1.837817385606205</v>
      </c>
    </row>
    <row r="613" spans="1:55" x14ac:dyDescent="0.25">
      <c r="A613">
        <v>187599</v>
      </c>
      <c r="B613" t="s">
        <v>148</v>
      </c>
      <c r="C613">
        <v>2019</v>
      </c>
      <c r="D613">
        <v>12</v>
      </c>
      <c r="E613" t="s">
        <v>51</v>
      </c>
      <c r="F613" t="s">
        <v>426</v>
      </c>
      <c r="G613" t="s">
        <v>84</v>
      </c>
      <c r="H613" t="s">
        <v>59</v>
      </c>
      <c r="I613" t="s">
        <v>427</v>
      </c>
      <c r="J613">
        <v>-6.0651234499999997</v>
      </c>
      <c r="K613" t="s">
        <v>440</v>
      </c>
      <c r="L613" t="s">
        <v>450</v>
      </c>
      <c r="M613">
        <v>0.15931709696460999</v>
      </c>
      <c r="N613">
        <v>0.96627786030549423</v>
      </c>
      <c r="O613">
        <v>28410.399000000001</v>
      </c>
      <c r="P613">
        <v>2.51417E-6</v>
      </c>
      <c r="Q613">
        <v>0.14285700000000001</v>
      </c>
      <c r="R613" s="61">
        <v>0.138039556289662</v>
      </c>
      <c r="S613" t="s">
        <v>347</v>
      </c>
      <c r="T613" t="s">
        <v>437</v>
      </c>
      <c r="U613" t="s">
        <v>425</v>
      </c>
      <c r="V613" t="s">
        <v>26</v>
      </c>
      <c r="W613">
        <v>111.133</v>
      </c>
      <c r="X613">
        <v>1.0541007448257309</v>
      </c>
      <c r="Y613">
        <v>117.145378074718</v>
      </c>
      <c r="Z613">
        <v>640.82000000000005</v>
      </c>
      <c r="AA613">
        <v>1</v>
      </c>
      <c r="AB613">
        <v>75.069101177840764</v>
      </c>
      <c r="AC613">
        <v>0.99109999999999998</v>
      </c>
      <c r="AD613" s="63">
        <v>74.400999999999996</v>
      </c>
      <c r="AE613">
        <v>8.9176000000000002</v>
      </c>
      <c r="AF613">
        <v>9.4000488020579382</v>
      </c>
      <c r="AG613">
        <v>1</v>
      </c>
      <c r="AH613">
        <v>6023.7392733347688</v>
      </c>
      <c r="AI613">
        <v>0.9830373970836227</v>
      </c>
      <c r="AJ613" s="63">
        <v>5921.5609999999997</v>
      </c>
      <c r="AK613" s="61">
        <v>817.40965298216713</v>
      </c>
      <c r="AL613" t="s">
        <v>347</v>
      </c>
      <c r="AM613" t="s">
        <v>437</v>
      </c>
      <c r="AN613" t="s">
        <v>425</v>
      </c>
      <c r="AO613" t="s">
        <v>26</v>
      </c>
      <c r="AP613">
        <v>111.133</v>
      </c>
      <c r="AQ613">
        <v>1.0541007448257309</v>
      </c>
      <c r="AR613">
        <v>117.145378074718</v>
      </c>
      <c r="AS613">
        <v>640.82000000000005</v>
      </c>
      <c r="AT613">
        <v>1</v>
      </c>
      <c r="AU613">
        <v>75.069101177840764</v>
      </c>
      <c r="AV613">
        <v>0.99109999999999998</v>
      </c>
      <c r="AW613" s="63">
        <v>74.400999999999996</v>
      </c>
      <c r="AX613">
        <v>8.9176000000000002</v>
      </c>
      <c r="AY613">
        <v>1</v>
      </c>
      <c r="AZ613">
        <v>6023.7392733347688</v>
      </c>
      <c r="BA613">
        <v>0.9830373970836227</v>
      </c>
      <c r="BB613" s="63">
        <v>5921.5609999999997</v>
      </c>
      <c r="BC613" s="61">
        <v>817.40965298216713</v>
      </c>
    </row>
    <row r="614" spans="1:55" x14ac:dyDescent="0.25">
      <c r="A614">
        <v>187601</v>
      </c>
      <c r="B614" t="s">
        <v>148</v>
      </c>
      <c r="C614">
        <v>2019</v>
      </c>
      <c r="D614">
        <v>12</v>
      </c>
      <c r="E614" t="s">
        <v>51</v>
      </c>
      <c r="F614" t="s">
        <v>426</v>
      </c>
      <c r="G614" t="s">
        <v>84</v>
      </c>
      <c r="H614" t="s">
        <v>59</v>
      </c>
      <c r="I614" t="s">
        <v>427</v>
      </c>
      <c r="J614">
        <v>-6.0651234499999997</v>
      </c>
      <c r="K614" t="s">
        <v>440</v>
      </c>
      <c r="L614" t="s">
        <v>384</v>
      </c>
      <c r="M614">
        <v>4.1785183859599999E-2</v>
      </c>
      <c r="N614">
        <v>0.2534322983634012</v>
      </c>
      <c r="O614">
        <v>28410.399000000001</v>
      </c>
      <c r="P614">
        <v>2.51417E-6</v>
      </c>
      <c r="Q614">
        <v>0.14285700000000001</v>
      </c>
      <c r="R614" s="61">
        <v>3.6204577847300412E-2</v>
      </c>
      <c r="S614" t="s">
        <v>347</v>
      </c>
      <c r="T614" t="s">
        <v>437</v>
      </c>
      <c r="U614" t="s">
        <v>425</v>
      </c>
      <c r="V614" t="s">
        <v>81</v>
      </c>
      <c r="W614">
        <v>111.133</v>
      </c>
      <c r="X614">
        <v>1.0541007448257309</v>
      </c>
      <c r="Y614">
        <v>117.145378074718</v>
      </c>
      <c r="Z614">
        <v>640.82000000000005</v>
      </c>
      <c r="AA614">
        <v>1</v>
      </c>
      <c r="AB614">
        <v>75.069101177840764</v>
      </c>
      <c r="AC614">
        <v>0.93830000000000002</v>
      </c>
      <c r="AD614" s="63">
        <v>70.436999999999998</v>
      </c>
      <c r="AE614">
        <v>8.9176000000000002</v>
      </c>
      <c r="AF614">
        <v>9.4000488020579382</v>
      </c>
      <c r="AG614">
        <v>1</v>
      </c>
      <c r="AH614">
        <v>6023.7392733347688</v>
      </c>
      <c r="AI614">
        <v>1.098016605166052</v>
      </c>
      <c r="AJ614" s="63">
        <v>6614.1656999999996</v>
      </c>
      <c r="AK614" s="61">
        <v>239.4630769805942</v>
      </c>
      <c r="AL614" t="s">
        <v>347</v>
      </c>
      <c r="AM614" t="s">
        <v>437</v>
      </c>
      <c r="AN614" t="s">
        <v>425</v>
      </c>
      <c r="AO614" t="s">
        <v>81</v>
      </c>
      <c r="AP614">
        <v>111.133</v>
      </c>
      <c r="AQ614">
        <v>1.0541007448257309</v>
      </c>
      <c r="AR614">
        <v>117.145378074718</v>
      </c>
      <c r="AS614">
        <v>640.82000000000005</v>
      </c>
      <c r="AT614">
        <v>1</v>
      </c>
      <c r="AU614">
        <v>75.069101177840764</v>
      </c>
      <c r="AV614">
        <v>0.93830000000000002</v>
      </c>
      <c r="AW614" s="63">
        <v>70.436999999999998</v>
      </c>
      <c r="AX614">
        <v>8.9176000000000002</v>
      </c>
      <c r="AY614">
        <v>1</v>
      </c>
      <c r="AZ614">
        <v>6023.7392733347688</v>
      </c>
      <c r="BA614">
        <v>1.098016605166052</v>
      </c>
      <c r="BB614" s="63">
        <v>6614.1656999999996</v>
      </c>
      <c r="BC614" s="61">
        <v>239.4630769805942</v>
      </c>
    </row>
    <row r="615" spans="1:55" x14ac:dyDescent="0.25">
      <c r="A615">
        <v>187603</v>
      </c>
      <c r="B615" t="s">
        <v>148</v>
      </c>
      <c r="C615">
        <v>2019</v>
      </c>
      <c r="D615">
        <v>12</v>
      </c>
      <c r="E615" t="s">
        <v>51</v>
      </c>
      <c r="F615" t="s">
        <v>426</v>
      </c>
      <c r="G615" t="s">
        <v>84</v>
      </c>
      <c r="H615" t="s">
        <v>59</v>
      </c>
      <c r="I615" t="s">
        <v>427</v>
      </c>
      <c r="J615">
        <v>-6.0651234499999997</v>
      </c>
      <c r="K615" t="s">
        <v>440</v>
      </c>
      <c r="L615" t="s">
        <v>385</v>
      </c>
      <c r="M615">
        <v>0.43497567483749999</v>
      </c>
      <c r="N615">
        <v>2.6381811643246502</v>
      </c>
      <c r="O615">
        <v>28410.399000000001</v>
      </c>
      <c r="P615">
        <v>2.51417E-6</v>
      </c>
      <c r="Q615">
        <v>0.14285700000000001</v>
      </c>
      <c r="R615" s="61">
        <v>0.37688264659192661</v>
      </c>
      <c r="S615" t="s">
        <v>347</v>
      </c>
      <c r="T615" t="s">
        <v>437</v>
      </c>
      <c r="U615" t="s">
        <v>425</v>
      </c>
      <c r="V615" t="s">
        <v>27</v>
      </c>
      <c r="W615">
        <v>111.133</v>
      </c>
      <c r="X615">
        <v>1.0541007448257309</v>
      </c>
      <c r="Y615">
        <v>117.145378074718</v>
      </c>
      <c r="Z615">
        <v>640.82000000000005</v>
      </c>
      <c r="AA615">
        <v>1</v>
      </c>
      <c r="AB615">
        <v>75.069101177840764</v>
      </c>
      <c r="AC615">
        <v>0.95889999999999997</v>
      </c>
      <c r="AD615" s="63">
        <v>71.983999999999995</v>
      </c>
      <c r="AE615">
        <v>8.9176000000000002</v>
      </c>
      <c r="AF615">
        <v>9.4000488020579382</v>
      </c>
      <c r="AG615">
        <v>1</v>
      </c>
      <c r="AH615">
        <v>6023.7392733347688</v>
      </c>
      <c r="AI615">
        <v>0.99097621000820357</v>
      </c>
      <c r="AJ615" s="63">
        <v>5969.3823000000002</v>
      </c>
      <c r="AK615" s="61">
        <v>2249.756599743002</v>
      </c>
      <c r="AL615" t="s">
        <v>347</v>
      </c>
      <c r="AM615" t="s">
        <v>437</v>
      </c>
      <c r="AN615" t="s">
        <v>425</v>
      </c>
      <c r="AO615" t="s">
        <v>27</v>
      </c>
      <c r="AP615">
        <v>111.133</v>
      </c>
      <c r="AQ615">
        <v>1.0541007448257309</v>
      </c>
      <c r="AR615">
        <v>117.145378074718</v>
      </c>
      <c r="AS615">
        <v>640.82000000000005</v>
      </c>
      <c r="AT615">
        <v>1</v>
      </c>
      <c r="AU615">
        <v>75.069101177840764</v>
      </c>
      <c r="AV615">
        <v>0.95889999999999997</v>
      </c>
      <c r="AW615" s="63">
        <v>71.983999999999995</v>
      </c>
      <c r="AX615">
        <v>8.9176000000000002</v>
      </c>
      <c r="AY615">
        <v>1</v>
      </c>
      <c r="AZ615">
        <v>6023.7392733347688</v>
      </c>
      <c r="BA615">
        <v>0.99097621000820357</v>
      </c>
      <c r="BB615" s="63">
        <v>5969.3823000000002</v>
      </c>
      <c r="BC615" s="61">
        <v>2249.756599743002</v>
      </c>
    </row>
    <row r="616" spans="1:55" x14ac:dyDescent="0.25">
      <c r="A616">
        <v>187605</v>
      </c>
      <c r="B616" t="s">
        <v>148</v>
      </c>
      <c r="C616">
        <v>2019</v>
      </c>
      <c r="D616">
        <v>12</v>
      </c>
      <c r="E616" t="s">
        <v>51</v>
      </c>
      <c r="F616" t="s">
        <v>426</v>
      </c>
      <c r="G616" t="s">
        <v>84</v>
      </c>
      <c r="H616" t="s">
        <v>59</v>
      </c>
      <c r="I616" t="s">
        <v>427</v>
      </c>
      <c r="J616">
        <v>-6.0651234499999997</v>
      </c>
      <c r="K616" t="s">
        <v>440</v>
      </c>
      <c r="L616" t="s">
        <v>451</v>
      </c>
      <c r="M616">
        <v>1.7625750762999999E-3</v>
      </c>
      <c r="N616">
        <v>1.0690235422336899E-2</v>
      </c>
      <c r="O616">
        <v>28410.399000000001</v>
      </c>
      <c r="P616">
        <v>2.51417E-6</v>
      </c>
      <c r="Q616">
        <v>0.14285700000000001</v>
      </c>
      <c r="R616" s="61">
        <v>1.527174961728783E-3</v>
      </c>
      <c r="S616" t="s">
        <v>347</v>
      </c>
      <c r="T616" t="s">
        <v>437</v>
      </c>
      <c r="U616" t="s">
        <v>425</v>
      </c>
      <c r="V616" t="s">
        <v>91</v>
      </c>
      <c r="W616">
        <v>111.133</v>
      </c>
      <c r="X616">
        <v>1.0541007448257309</v>
      </c>
      <c r="Y616">
        <v>117.145378074718</v>
      </c>
      <c r="Z616">
        <v>640.82000000000005</v>
      </c>
      <c r="AA616">
        <v>1</v>
      </c>
      <c r="AB616">
        <v>75.069101177840764</v>
      </c>
      <c r="AC616">
        <v>1.0088999999999999</v>
      </c>
      <c r="AD616" s="63">
        <v>75.736999999999995</v>
      </c>
      <c r="AE616">
        <v>8.9176000000000002</v>
      </c>
      <c r="AF616">
        <v>9.4000488020579382</v>
      </c>
      <c r="AG616">
        <v>1</v>
      </c>
      <c r="AH616">
        <v>6023.7392733347688</v>
      </c>
      <c r="AI616">
        <v>0.99316673174541203</v>
      </c>
      <c r="AJ616" s="63">
        <v>5982.5774000000001</v>
      </c>
      <c r="AK616" s="61">
        <v>9.1364424118844845</v>
      </c>
      <c r="AL616" t="s">
        <v>347</v>
      </c>
      <c r="AM616" t="s">
        <v>437</v>
      </c>
      <c r="AN616" t="s">
        <v>425</v>
      </c>
      <c r="AO616" t="s">
        <v>91</v>
      </c>
      <c r="AP616">
        <v>111.133</v>
      </c>
      <c r="AQ616">
        <v>1.0541007448257309</v>
      </c>
      <c r="AR616">
        <v>117.145378074718</v>
      </c>
      <c r="AS616">
        <v>640.82000000000005</v>
      </c>
      <c r="AT616">
        <v>1</v>
      </c>
      <c r="AU616">
        <v>75.069101177840764</v>
      </c>
      <c r="AV616">
        <v>1.0088999999999999</v>
      </c>
      <c r="AW616" s="63">
        <v>75.736999999999995</v>
      </c>
      <c r="AX616">
        <v>8.9176000000000002</v>
      </c>
      <c r="AY616">
        <v>1</v>
      </c>
      <c r="AZ616">
        <v>6023.7392733347688</v>
      </c>
      <c r="BA616">
        <v>0.99316673174541203</v>
      </c>
      <c r="BB616" s="63">
        <v>5982.5774000000001</v>
      </c>
      <c r="BC616" s="61">
        <v>9.1364424118844845</v>
      </c>
    </row>
    <row r="617" spans="1:55" x14ac:dyDescent="0.25">
      <c r="A617">
        <v>187607</v>
      </c>
      <c r="B617" t="s">
        <v>148</v>
      </c>
      <c r="C617">
        <v>2019</v>
      </c>
      <c r="D617">
        <v>12</v>
      </c>
      <c r="E617" t="s">
        <v>51</v>
      </c>
      <c r="F617" t="s">
        <v>426</v>
      </c>
      <c r="G617" t="s">
        <v>84</v>
      </c>
      <c r="H617" t="s">
        <v>59</v>
      </c>
      <c r="I617" t="s">
        <v>427</v>
      </c>
      <c r="J617">
        <v>-6.0651234499999997</v>
      </c>
      <c r="K617" t="s">
        <v>440</v>
      </c>
      <c r="L617" t="s">
        <v>452</v>
      </c>
      <c r="M617">
        <v>1.4858046103299999E-3</v>
      </c>
      <c r="N617">
        <v>9.0115883797495452E-3</v>
      </c>
      <c r="O617">
        <v>28410.399000000001</v>
      </c>
      <c r="P617">
        <v>2.51417E-6</v>
      </c>
      <c r="Q617">
        <v>0.14285700000000001</v>
      </c>
      <c r="R617" s="61">
        <v>1.2873684811658809E-3</v>
      </c>
      <c r="S617" t="s">
        <v>347</v>
      </c>
      <c r="T617" t="s">
        <v>437</v>
      </c>
      <c r="U617" t="s">
        <v>425</v>
      </c>
      <c r="V617" t="s">
        <v>28</v>
      </c>
      <c r="W617">
        <v>111.133</v>
      </c>
      <c r="X617">
        <v>1.0541007448257309</v>
      </c>
      <c r="Y617">
        <v>117.145378074718</v>
      </c>
      <c r="Z617">
        <v>640.82000000000005</v>
      </c>
      <c r="AA617">
        <v>1</v>
      </c>
      <c r="AB617">
        <v>75.069101177840764</v>
      </c>
      <c r="AC617">
        <v>1.0073000000000001</v>
      </c>
      <c r="AD617" s="63">
        <v>75.617000000000004</v>
      </c>
      <c r="AE617">
        <v>8.9176000000000002</v>
      </c>
      <c r="AF617">
        <v>9.4000488020579382</v>
      </c>
      <c r="AG617">
        <v>1</v>
      </c>
      <c r="AH617">
        <v>6023.7392733347688</v>
      </c>
      <c r="AI617">
        <v>0.99399488088206345</v>
      </c>
      <c r="AJ617" s="63">
        <v>5987.5659999999998</v>
      </c>
      <c r="AK617" s="61">
        <v>7.7082037473004688</v>
      </c>
      <c r="AL617" t="s">
        <v>347</v>
      </c>
      <c r="AM617" t="s">
        <v>437</v>
      </c>
      <c r="AN617" t="s">
        <v>425</v>
      </c>
      <c r="AO617" t="s">
        <v>28</v>
      </c>
      <c r="AP617">
        <v>111.133</v>
      </c>
      <c r="AQ617">
        <v>1.0541007448257309</v>
      </c>
      <c r="AR617">
        <v>117.145378074718</v>
      </c>
      <c r="AS617">
        <v>640.82000000000005</v>
      </c>
      <c r="AT617">
        <v>1</v>
      </c>
      <c r="AU617">
        <v>75.069101177840764</v>
      </c>
      <c r="AV617">
        <v>1.0073000000000001</v>
      </c>
      <c r="AW617" s="63">
        <v>75.617000000000004</v>
      </c>
      <c r="AX617">
        <v>8.9176000000000002</v>
      </c>
      <c r="AY617">
        <v>1</v>
      </c>
      <c r="AZ617">
        <v>6023.7392733347688</v>
      </c>
      <c r="BA617">
        <v>0.99399488088206345</v>
      </c>
      <c r="BB617" s="63">
        <v>5987.5659999999998</v>
      </c>
      <c r="BC617" s="61">
        <v>7.7082037473004688</v>
      </c>
    </row>
    <row r="618" spans="1:55" x14ac:dyDescent="0.25">
      <c r="A618">
        <v>194771</v>
      </c>
      <c r="B618" t="s">
        <v>197</v>
      </c>
      <c r="C618">
        <v>2020</v>
      </c>
      <c r="D618">
        <v>1</v>
      </c>
      <c r="E618" t="s">
        <v>100</v>
      </c>
      <c r="F618" t="s">
        <v>426</v>
      </c>
      <c r="G618" t="s">
        <v>84</v>
      </c>
      <c r="H618" t="s">
        <v>381</v>
      </c>
      <c r="I618" t="s">
        <v>427</v>
      </c>
      <c r="J618">
        <v>-32.004159540000003</v>
      </c>
      <c r="K618" t="s">
        <v>440</v>
      </c>
      <c r="L618" t="s">
        <v>450</v>
      </c>
      <c r="M618">
        <v>0.15011157993331001</v>
      </c>
      <c r="N618">
        <v>4.8041949533081789</v>
      </c>
      <c r="O618">
        <v>47588.953000000001</v>
      </c>
      <c r="P618">
        <v>1.500949E-6</v>
      </c>
      <c r="Q618">
        <v>0.14285700000000001</v>
      </c>
      <c r="R618" s="61">
        <v>0.68631287844474653</v>
      </c>
      <c r="S618" t="s">
        <v>347</v>
      </c>
      <c r="T618" t="s">
        <v>437</v>
      </c>
      <c r="U618" t="s">
        <v>425</v>
      </c>
      <c r="V618" t="s">
        <v>26</v>
      </c>
      <c r="W618">
        <v>111.133</v>
      </c>
      <c r="X618">
        <v>1.0541007448257309</v>
      </c>
      <c r="Y618">
        <v>117.145378074718</v>
      </c>
      <c r="Z618">
        <v>640.82000000000005</v>
      </c>
      <c r="AA618">
        <v>1</v>
      </c>
      <c r="AB618">
        <v>75.069101177840764</v>
      </c>
      <c r="AC618">
        <v>0.99109999999999998</v>
      </c>
      <c r="AD618" s="63">
        <v>74.400999999999996</v>
      </c>
      <c r="AE618">
        <v>8.9176000000000002</v>
      </c>
      <c r="AF618">
        <v>9.4000488020579382</v>
      </c>
      <c r="AG618">
        <v>1</v>
      </c>
      <c r="AH618">
        <v>6023.7392733347688</v>
      </c>
      <c r="AI618">
        <v>0.9830373970836227</v>
      </c>
      <c r="AJ618" s="63">
        <v>5921.5609999999997</v>
      </c>
      <c r="AK618" s="61">
        <v>4064.043574796151</v>
      </c>
      <c r="AL618" t="s">
        <v>348</v>
      </c>
      <c r="AM618" t="s">
        <v>438</v>
      </c>
      <c r="AN618" t="s">
        <v>425</v>
      </c>
      <c r="AO618" t="s">
        <v>26</v>
      </c>
      <c r="AP618">
        <v>111.133</v>
      </c>
      <c r="AQ618">
        <v>1.0727760310708341</v>
      </c>
      <c r="AR618">
        <v>119.22081866099499</v>
      </c>
      <c r="AS618">
        <v>694.38</v>
      </c>
      <c r="AT618">
        <v>0.875</v>
      </c>
      <c r="AU618">
        <v>72.436483054094012</v>
      </c>
      <c r="AV618">
        <v>0.98270000000000002</v>
      </c>
      <c r="AW618" s="63">
        <v>71.183000000000007</v>
      </c>
      <c r="AX618">
        <v>8.9176000000000002</v>
      </c>
      <c r="AY618">
        <v>0.91300000000000003</v>
      </c>
      <c r="AZ618">
        <v>6064.9193587765631</v>
      </c>
      <c r="BA618">
        <v>0.99365142346989388</v>
      </c>
      <c r="BB618" s="63">
        <v>6026.4157999999998</v>
      </c>
      <c r="BC618" s="61">
        <v>4136.0067744029002</v>
      </c>
    </row>
    <row r="619" spans="1:55" x14ac:dyDescent="0.25">
      <c r="A619">
        <v>194773</v>
      </c>
      <c r="B619" t="s">
        <v>197</v>
      </c>
      <c r="C619">
        <v>2020</v>
      </c>
      <c r="D619">
        <v>1</v>
      </c>
      <c r="E619" t="s">
        <v>100</v>
      </c>
      <c r="F619" t="s">
        <v>426</v>
      </c>
      <c r="G619" t="s">
        <v>84</v>
      </c>
      <c r="H619" t="s">
        <v>381</v>
      </c>
      <c r="I619" t="s">
        <v>427</v>
      </c>
      <c r="J619">
        <v>-32.004159540000003</v>
      </c>
      <c r="K619" t="s">
        <v>440</v>
      </c>
      <c r="L619" t="s">
        <v>384</v>
      </c>
      <c r="M619">
        <v>4.5811354346740003E-2</v>
      </c>
      <c r="N619">
        <v>1.466153893354522</v>
      </c>
      <c r="O619">
        <v>47588.953000000001</v>
      </c>
      <c r="P619">
        <v>1.500949E-6</v>
      </c>
      <c r="Q619">
        <v>0.14285700000000001</v>
      </c>
      <c r="R619" s="61">
        <v>0.20945034674294699</v>
      </c>
      <c r="S619" t="s">
        <v>347</v>
      </c>
      <c r="T619" t="s">
        <v>437</v>
      </c>
      <c r="U619" t="s">
        <v>425</v>
      </c>
      <c r="V619" t="s">
        <v>81</v>
      </c>
      <c r="W619">
        <v>111.133</v>
      </c>
      <c r="X619">
        <v>1.0541007448257309</v>
      </c>
      <c r="Y619">
        <v>117.145378074718</v>
      </c>
      <c r="Z619">
        <v>640.82000000000005</v>
      </c>
      <c r="AA619">
        <v>1</v>
      </c>
      <c r="AB619">
        <v>75.069101177840764</v>
      </c>
      <c r="AC619">
        <v>0.93830000000000002</v>
      </c>
      <c r="AD619" s="63">
        <v>70.436999999999998</v>
      </c>
      <c r="AE619">
        <v>8.9176000000000002</v>
      </c>
      <c r="AF619">
        <v>9.4000488020579382</v>
      </c>
      <c r="AG619">
        <v>1</v>
      </c>
      <c r="AH619">
        <v>6023.7392733347688</v>
      </c>
      <c r="AI619">
        <v>1.098016605166052</v>
      </c>
      <c r="AJ619" s="63">
        <v>6614.1656999999996</v>
      </c>
      <c r="AK619" s="61">
        <v>1385.3392992803069</v>
      </c>
      <c r="AL619" t="s">
        <v>348</v>
      </c>
      <c r="AM619" t="s">
        <v>438</v>
      </c>
      <c r="AN619" t="s">
        <v>425</v>
      </c>
      <c r="AO619" t="s">
        <v>81</v>
      </c>
      <c r="AP619">
        <v>111.133</v>
      </c>
      <c r="AQ619">
        <v>1.0727760310708341</v>
      </c>
      <c r="AR619">
        <v>119.22081866099499</v>
      </c>
      <c r="AS619">
        <v>694.38</v>
      </c>
      <c r="AT619">
        <v>0.875</v>
      </c>
      <c r="AU619">
        <v>72.436483054094012</v>
      </c>
      <c r="AV619">
        <v>0.93500000000000005</v>
      </c>
      <c r="AW619" s="63">
        <v>67.727999999999994</v>
      </c>
      <c r="AX619">
        <v>8.9176000000000002</v>
      </c>
      <c r="AY619">
        <v>0.91300000000000003</v>
      </c>
      <c r="AZ619">
        <v>6064.9193587765631</v>
      </c>
      <c r="BA619">
        <v>1.096171586715867</v>
      </c>
      <c r="BB619" s="63">
        <v>6648.1922999999997</v>
      </c>
      <c r="BC619" s="61">
        <v>1392.4661824487901</v>
      </c>
    </row>
    <row r="620" spans="1:55" x14ac:dyDescent="0.25">
      <c r="A620">
        <v>194775</v>
      </c>
      <c r="B620" t="s">
        <v>197</v>
      </c>
      <c r="C620">
        <v>2020</v>
      </c>
      <c r="D620">
        <v>1</v>
      </c>
      <c r="E620" t="s">
        <v>100</v>
      </c>
      <c r="F620" t="s">
        <v>426</v>
      </c>
      <c r="G620" t="s">
        <v>84</v>
      </c>
      <c r="H620" t="s">
        <v>381</v>
      </c>
      <c r="I620" t="s">
        <v>427</v>
      </c>
      <c r="J620">
        <v>-32.004159540000003</v>
      </c>
      <c r="K620" t="s">
        <v>440</v>
      </c>
      <c r="L620" t="s">
        <v>385</v>
      </c>
      <c r="M620">
        <v>0.43232641346992001</v>
      </c>
      <c r="N620">
        <v>13.836243510972</v>
      </c>
      <c r="O620">
        <v>47588.953000000001</v>
      </c>
      <c r="P620">
        <v>1.500949E-6</v>
      </c>
      <c r="Q620">
        <v>0.14285700000000001</v>
      </c>
      <c r="R620" s="61">
        <v>1.976604239246927</v>
      </c>
      <c r="S620" t="s">
        <v>347</v>
      </c>
      <c r="T620" t="s">
        <v>437</v>
      </c>
      <c r="U620" t="s">
        <v>425</v>
      </c>
      <c r="V620" t="s">
        <v>27</v>
      </c>
      <c r="W620">
        <v>111.133</v>
      </c>
      <c r="X620">
        <v>1.0541007448257309</v>
      </c>
      <c r="Y620">
        <v>117.145378074718</v>
      </c>
      <c r="Z620">
        <v>640.82000000000005</v>
      </c>
      <c r="AA620">
        <v>1</v>
      </c>
      <c r="AB620">
        <v>75.069101177840764</v>
      </c>
      <c r="AC620">
        <v>0.95889999999999997</v>
      </c>
      <c r="AD620" s="63">
        <v>71.983999999999995</v>
      </c>
      <c r="AE620">
        <v>8.9176000000000002</v>
      </c>
      <c r="AF620">
        <v>9.4000488020579382</v>
      </c>
      <c r="AG620">
        <v>1</v>
      </c>
      <c r="AH620">
        <v>6023.7392733347688</v>
      </c>
      <c r="AI620">
        <v>0.99097621000820357</v>
      </c>
      <c r="AJ620" s="63">
        <v>5969.3823000000002</v>
      </c>
      <c r="AK620" s="61">
        <v>11799.106359865569</v>
      </c>
      <c r="AL620" t="s">
        <v>348</v>
      </c>
      <c r="AM620" t="s">
        <v>438</v>
      </c>
      <c r="AN620" t="s">
        <v>425</v>
      </c>
      <c r="AO620" t="s">
        <v>27</v>
      </c>
      <c r="AP620">
        <v>111.133</v>
      </c>
      <c r="AQ620">
        <v>1.0727760310708341</v>
      </c>
      <c r="AR620">
        <v>119.22081866099499</v>
      </c>
      <c r="AS620">
        <v>694.38</v>
      </c>
      <c r="AT620">
        <v>0.875</v>
      </c>
      <c r="AU620">
        <v>72.436483054094012</v>
      </c>
      <c r="AV620">
        <v>0.95369999999999999</v>
      </c>
      <c r="AW620" s="63">
        <v>69.082999999999998</v>
      </c>
      <c r="AX620">
        <v>8.9176000000000002</v>
      </c>
      <c r="AY620">
        <v>0.91300000000000003</v>
      </c>
      <c r="AZ620">
        <v>6064.9193587765631</v>
      </c>
      <c r="BA620">
        <v>1.007895816242822</v>
      </c>
      <c r="BB620" s="63">
        <v>6112.8068000000003</v>
      </c>
      <c r="BC620" s="61">
        <v>12082.599834577441</v>
      </c>
    </row>
    <row r="621" spans="1:55" x14ac:dyDescent="0.25">
      <c r="A621">
        <v>194777</v>
      </c>
      <c r="B621" t="s">
        <v>197</v>
      </c>
      <c r="C621">
        <v>2020</v>
      </c>
      <c r="D621">
        <v>1</v>
      </c>
      <c r="E621" t="s">
        <v>100</v>
      </c>
      <c r="F621" t="s">
        <v>426</v>
      </c>
      <c r="G621" t="s">
        <v>84</v>
      </c>
      <c r="H621" t="s">
        <v>381</v>
      </c>
      <c r="I621" t="s">
        <v>427</v>
      </c>
      <c r="J621">
        <v>-32.004159540000003</v>
      </c>
      <c r="K621" t="s">
        <v>440</v>
      </c>
      <c r="L621" t="s">
        <v>451</v>
      </c>
      <c r="M621">
        <v>1.6825115802299999E-3</v>
      </c>
      <c r="N621">
        <v>5.3847369045177028E-2</v>
      </c>
      <c r="O621">
        <v>47588.953000000001</v>
      </c>
      <c r="P621">
        <v>1.500949E-6</v>
      </c>
      <c r="Q621">
        <v>0.14285700000000001</v>
      </c>
      <c r="R621" s="61">
        <v>7.6924735996868566E-3</v>
      </c>
      <c r="S621" t="s">
        <v>347</v>
      </c>
      <c r="T621" t="s">
        <v>437</v>
      </c>
      <c r="U621" t="s">
        <v>425</v>
      </c>
      <c r="V621" t="s">
        <v>91</v>
      </c>
      <c r="W621">
        <v>111.133</v>
      </c>
      <c r="X621">
        <v>1.0541007448257309</v>
      </c>
      <c r="Y621">
        <v>117.145378074718</v>
      </c>
      <c r="Z621">
        <v>640.82000000000005</v>
      </c>
      <c r="AA621">
        <v>1</v>
      </c>
      <c r="AB621">
        <v>75.069101177840764</v>
      </c>
      <c r="AC621">
        <v>1.0088999999999999</v>
      </c>
      <c r="AD621" s="63">
        <v>75.736999999999995</v>
      </c>
      <c r="AE621">
        <v>8.9176000000000002</v>
      </c>
      <c r="AF621">
        <v>9.4000488020579382</v>
      </c>
      <c r="AG621">
        <v>1</v>
      </c>
      <c r="AH621">
        <v>6023.7392733347688</v>
      </c>
      <c r="AI621">
        <v>0.99316673174541203</v>
      </c>
      <c r="AJ621" s="63">
        <v>5982.5774000000001</v>
      </c>
      <c r="AK621" s="61">
        <v>46.020818707583238</v>
      </c>
      <c r="AL621" t="s">
        <v>348</v>
      </c>
      <c r="AM621" t="s">
        <v>438</v>
      </c>
      <c r="AN621" t="s">
        <v>425</v>
      </c>
      <c r="AO621" t="s">
        <v>91</v>
      </c>
      <c r="AP621">
        <v>111.133</v>
      </c>
      <c r="AQ621">
        <v>1.0727760310708341</v>
      </c>
      <c r="AR621">
        <v>119.22081866099499</v>
      </c>
      <c r="AS621">
        <v>694.38</v>
      </c>
      <c r="AT621">
        <v>0.875</v>
      </c>
      <c r="AU621">
        <v>72.436483054094012</v>
      </c>
      <c r="AV621">
        <v>1.0179</v>
      </c>
      <c r="AW621" s="63">
        <v>73.733000000000004</v>
      </c>
      <c r="AX621">
        <v>8.9176000000000002</v>
      </c>
      <c r="AY621">
        <v>0.91300000000000003</v>
      </c>
      <c r="AZ621">
        <v>6064.9193587765631</v>
      </c>
      <c r="BA621">
        <v>0.98975009761811794</v>
      </c>
      <c r="BB621" s="63">
        <v>6002.7545</v>
      </c>
      <c r="BC621" s="61">
        <v>46.17603051665148</v>
      </c>
    </row>
    <row r="622" spans="1:55" x14ac:dyDescent="0.25">
      <c r="A622">
        <v>194779</v>
      </c>
      <c r="B622" t="s">
        <v>197</v>
      </c>
      <c r="C622">
        <v>2020</v>
      </c>
      <c r="D622">
        <v>1</v>
      </c>
      <c r="E622" t="s">
        <v>100</v>
      </c>
      <c r="F622" t="s">
        <v>426</v>
      </c>
      <c r="G622" t="s">
        <v>84</v>
      </c>
      <c r="H622" t="s">
        <v>381</v>
      </c>
      <c r="I622" t="s">
        <v>427</v>
      </c>
      <c r="J622">
        <v>-32.004159540000003</v>
      </c>
      <c r="K622" t="s">
        <v>440</v>
      </c>
      <c r="L622" t="s">
        <v>452</v>
      </c>
      <c r="M622">
        <v>1.53682162831E-3</v>
      </c>
      <c r="N622">
        <v>4.9184684580242818E-2</v>
      </c>
      <c r="O622">
        <v>47588.953000000001</v>
      </c>
      <c r="P622">
        <v>1.500949E-6</v>
      </c>
      <c r="Q622">
        <v>0.14285700000000001</v>
      </c>
      <c r="R622" s="61">
        <v>7.0263764850797489E-3</v>
      </c>
      <c r="S622" t="s">
        <v>347</v>
      </c>
      <c r="T622" t="s">
        <v>437</v>
      </c>
      <c r="U622" t="s">
        <v>425</v>
      </c>
      <c r="V622" t="s">
        <v>28</v>
      </c>
      <c r="W622">
        <v>111.133</v>
      </c>
      <c r="X622">
        <v>1.0541007448257309</v>
      </c>
      <c r="Y622">
        <v>117.145378074718</v>
      </c>
      <c r="Z622">
        <v>640.82000000000005</v>
      </c>
      <c r="AA622">
        <v>1</v>
      </c>
      <c r="AB622">
        <v>75.069101177840764</v>
      </c>
      <c r="AC622">
        <v>1.0073000000000001</v>
      </c>
      <c r="AD622" s="63">
        <v>75.617000000000004</v>
      </c>
      <c r="AE622">
        <v>8.9176000000000002</v>
      </c>
      <c r="AF622">
        <v>9.4000488020579382</v>
      </c>
      <c r="AG622">
        <v>1</v>
      </c>
      <c r="AH622">
        <v>6023.7392733347688</v>
      </c>
      <c r="AI622">
        <v>0.99399488088206345</v>
      </c>
      <c r="AJ622" s="63">
        <v>5987.5659999999998</v>
      </c>
      <c r="AK622" s="61">
        <v>42.070892945263012</v>
      </c>
      <c r="AL622" t="s">
        <v>348</v>
      </c>
      <c r="AM622" t="s">
        <v>438</v>
      </c>
      <c r="AN622" t="s">
        <v>425</v>
      </c>
      <c r="AO622" t="s">
        <v>28</v>
      </c>
      <c r="AP622">
        <v>111.133</v>
      </c>
      <c r="AQ622">
        <v>1.0727760310708341</v>
      </c>
      <c r="AR622">
        <v>119.22081866099499</v>
      </c>
      <c r="AS622">
        <v>694.38</v>
      </c>
      <c r="AT622">
        <v>0.875</v>
      </c>
      <c r="AU622">
        <v>72.436483054094012</v>
      </c>
      <c r="AV622">
        <v>0.99250000000000005</v>
      </c>
      <c r="AW622" s="63">
        <v>71.893000000000001</v>
      </c>
      <c r="AX622">
        <v>8.9176000000000002</v>
      </c>
      <c r="AY622">
        <v>0.91300000000000003</v>
      </c>
      <c r="AZ622">
        <v>6064.9193587765631</v>
      </c>
      <c r="BA622">
        <v>0.93847214018507585</v>
      </c>
      <c r="BB622" s="63">
        <v>5691.7578999999996</v>
      </c>
      <c r="BC622" s="61">
        <v>39.992433867326888</v>
      </c>
    </row>
    <row r="623" spans="1:55" x14ac:dyDescent="0.25">
      <c r="A623">
        <v>194781</v>
      </c>
      <c r="B623" t="s">
        <v>197</v>
      </c>
      <c r="C623">
        <v>2020</v>
      </c>
      <c r="D623">
        <v>1</v>
      </c>
      <c r="E623" t="s">
        <v>100</v>
      </c>
      <c r="F623" t="s">
        <v>426</v>
      </c>
      <c r="G623" t="s">
        <v>84</v>
      </c>
      <c r="H623" t="s">
        <v>87</v>
      </c>
      <c r="I623" t="s">
        <v>427</v>
      </c>
      <c r="J623">
        <v>-6.2812062099999997</v>
      </c>
      <c r="K623" t="s">
        <v>440</v>
      </c>
      <c r="L623" t="s">
        <v>450</v>
      </c>
      <c r="M623">
        <v>0.26601384014995</v>
      </c>
      <c r="N623">
        <v>1.6708877840747089</v>
      </c>
      <c r="O623">
        <v>47588.953000000001</v>
      </c>
      <c r="P623">
        <v>1.500949E-6</v>
      </c>
      <c r="Q623">
        <v>0.14285700000000001</v>
      </c>
      <c r="R623" s="61">
        <v>0.23869801616956071</v>
      </c>
      <c r="S623" t="s">
        <v>347</v>
      </c>
      <c r="T623" t="s">
        <v>437</v>
      </c>
      <c r="U623" t="s">
        <v>425</v>
      </c>
      <c r="V623" t="s">
        <v>26</v>
      </c>
      <c r="W623">
        <v>111.133</v>
      </c>
      <c r="X623">
        <v>1.0541007448257309</v>
      </c>
      <c r="Y623">
        <v>117.145378074718</v>
      </c>
      <c r="Z623">
        <v>640.82000000000005</v>
      </c>
      <c r="AA623">
        <v>1</v>
      </c>
      <c r="AB623">
        <v>75.069101177840764</v>
      </c>
      <c r="AC623">
        <v>0.99109999999999998</v>
      </c>
      <c r="AD623" s="63">
        <v>74.400999999999996</v>
      </c>
      <c r="AE623">
        <v>8.9176000000000002</v>
      </c>
      <c r="AF623">
        <v>9.4000488020579382</v>
      </c>
      <c r="AG623">
        <v>1</v>
      </c>
      <c r="AH623">
        <v>6023.7392733347688</v>
      </c>
      <c r="AI623">
        <v>0.9830373970836227</v>
      </c>
      <c r="AJ623" s="63">
        <v>5921.5609999999997</v>
      </c>
      <c r="AK623" s="61">
        <v>1413.4648633270399</v>
      </c>
      <c r="AL623" t="s">
        <v>348</v>
      </c>
      <c r="AM623" t="s">
        <v>438</v>
      </c>
      <c r="AN623" t="s">
        <v>425</v>
      </c>
      <c r="AO623" t="s">
        <v>26</v>
      </c>
      <c r="AP623">
        <v>111.133</v>
      </c>
      <c r="AQ623">
        <v>1.0727760310708341</v>
      </c>
      <c r="AR623">
        <v>119.22081866099499</v>
      </c>
      <c r="AS623">
        <v>694.38</v>
      </c>
      <c r="AT623">
        <v>0.875</v>
      </c>
      <c r="AU623">
        <v>72.436483054094012</v>
      </c>
      <c r="AV623">
        <v>0.98270000000000002</v>
      </c>
      <c r="AW623" s="63">
        <v>71.183000000000007</v>
      </c>
      <c r="AX623">
        <v>8.9176000000000002</v>
      </c>
      <c r="AY623">
        <v>0.91300000000000003</v>
      </c>
      <c r="AZ623">
        <v>6064.9193587765631</v>
      </c>
      <c r="BA623">
        <v>0.99365142346989388</v>
      </c>
      <c r="BB623" s="63">
        <v>6026.4157999999998</v>
      </c>
      <c r="BC623" s="61">
        <v>1438.4934960728961</v>
      </c>
    </row>
    <row r="624" spans="1:55" x14ac:dyDescent="0.25">
      <c r="A624">
        <v>194783</v>
      </c>
      <c r="B624" t="s">
        <v>197</v>
      </c>
      <c r="C624">
        <v>2020</v>
      </c>
      <c r="D624">
        <v>1</v>
      </c>
      <c r="E624" t="s">
        <v>100</v>
      </c>
      <c r="F624" t="s">
        <v>426</v>
      </c>
      <c r="G624" t="s">
        <v>84</v>
      </c>
      <c r="H624" t="s">
        <v>87</v>
      </c>
      <c r="I624" t="s">
        <v>427</v>
      </c>
      <c r="J624">
        <v>-6.2812062099999997</v>
      </c>
      <c r="K624" t="s">
        <v>440</v>
      </c>
      <c r="L624" t="s">
        <v>384</v>
      </c>
      <c r="M624">
        <v>3.9509559941419997E-2</v>
      </c>
      <c r="N624">
        <v>0.2481676931661653</v>
      </c>
      <c r="O624">
        <v>47588.953000000001</v>
      </c>
      <c r="P624">
        <v>1.500949E-6</v>
      </c>
      <c r="Q624">
        <v>0.14285700000000001</v>
      </c>
      <c r="R624" s="61">
        <v>3.5452492142638882E-2</v>
      </c>
      <c r="S624" t="s">
        <v>347</v>
      </c>
      <c r="T624" t="s">
        <v>437</v>
      </c>
      <c r="U624" t="s">
        <v>425</v>
      </c>
      <c r="V624" t="s">
        <v>81</v>
      </c>
      <c r="W624">
        <v>111.133</v>
      </c>
      <c r="X624">
        <v>1.0541007448257309</v>
      </c>
      <c r="Y624">
        <v>117.145378074718</v>
      </c>
      <c r="Z624">
        <v>640.82000000000005</v>
      </c>
      <c r="AA624">
        <v>1</v>
      </c>
      <c r="AB624">
        <v>75.069101177840764</v>
      </c>
      <c r="AC624">
        <v>0.93830000000000002</v>
      </c>
      <c r="AD624" s="63">
        <v>70.436999999999998</v>
      </c>
      <c r="AE624">
        <v>8.9176000000000002</v>
      </c>
      <c r="AF624">
        <v>9.4000488020579382</v>
      </c>
      <c r="AG624">
        <v>1</v>
      </c>
      <c r="AH624">
        <v>6023.7392733347688</v>
      </c>
      <c r="AI624">
        <v>1.098016605166052</v>
      </c>
      <c r="AJ624" s="63">
        <v>6614.1656999999996</v>
      </c>
      <c r="AK624" s="61">
        <v>234.4886575093615</v>
      </c>
      <c r="AL624" t="s">
        <v>348</v>
      </c>
      <c r="AM624" t="s">
        <v>438</v>
      </c>
      <c r="AN624" t="s">
        <v>425</v>
      </c>
      <c r="AO624" t="s">
        <v>81</v>
      </c>
      <c r="AP624">
        <v>111.133</v>
      </c>
      <c r="AQ624">
        <v>1.0727760310708341</v>
      </c>
      <c r="AR624">
        <v>119.22081866099499</v>
      </c>
      <c r="AS624">
        <v>694.38</v>
      </c>
      <c r="AT624">
        <v>0.875</v>
      </c>
      <c r="AU624">
        <v>72.436483054094012</v>
      </c>
      <c r="AV624">
        <v>0.93500000000000005</v>
      </c>
      <c r="AW624" s="63">
        <v>67.727999999999994</v>
      </c>
      <c r="AX624">
        <v>8.9176000000000002</v>
      </c>
      <c r="AY624">
        <v>0.91300000000000003</v>
      </c>
      <c r="AZ624">
        <v>6064.9193587765631</v>
      </c>
      <c r="BA624">
        <v>1.096171586715867</v>
      </c>
      <c r="BB624" s="63">
        <v>6648.1922999999997</v>
      </c>
      <c r="BC624" s="61">
        <v>235.69498527850229</v>
      </c>
    </row>
    <row r="625" spans="1:55" x14ac:dyDescent="0.25">
      <c r="A625">
        <v>194785</v>
      </c>
      <c r="B625" t="s">
        <v>197</v>
      </c>
      <c r="C625">
        <v>2020</v>
      </c>
      <c r="D625">
        <v>1</v>
      </c>
      <c r="E625" t="s">
        <v>100</v>
      </c>
      <c r="F625" t="s">
        <v>426</v>
      </c>
      <c r="G625" t="s">
        <v>84</v>
      </c>
      <c r="H625" t="s">
        <v>87</v>
      </c>
      <c r="I625" t="s">
        <v>427</v>
      </c>
      <c r="J625">
        <v>-6.2812062099999997</v>
      </c>
      <c r="K625" t="s">
        <v>440</v>
      </c>
      <c r="L625" t="s">
        <v>385</v>
      </c>
      <c r="M625">
        <v>0.39737542925016001</v>
      </c>
      <c r="N625">
        <v>2.4959970129797049</v>
      </c>
      <c r="O625">
        <v>47588.953000000001</v>
      </c>
      <c r="P625">
        <v>1.500949E-6</v>
      </c>
      <c r="Q625">
        <v>0.14285700000000001</v>
      </c>
      <c r="R625" s="61">
        <v>0.35657064528324178</v>
      </c>
      <c r="S625" t="s">
        <v>347</v>
      </c>
      <c r="T625" t="s">
        <v>437</v>
      </c>
      <c r="U625" t="s">
        <v>425</v>
      </c>
      <c r="V625" t="s">
        <v>27</v>
      </c>
      <c r="W625">
        <v>111.133</v>
      </c>
      <c r="X625">
        <v>1.0541007448257309</v>
      </c>
      <c r="Y625">
        <v>117.145378074718</v>
      </c>
      <c r="Z625">
        <v>640.82000000000005</v>
      </c>
      <c r="AA625">
        <v>1</v>
      </c>
      <c r="AB625">
        <v>75.069101177840764</v>
      </c>
      <c r="AC625">
        <v>0.95889999999999997</v>
      </c>
      <c r="AD625" s="63">
        <v>71.983999999999995</v>
      </c>
      <c r="AE625">
        <v>8.9176000000000002</v>
      </c>
      <c r="AF625">
        <v>9.4000488020579382</v>
      </c>
      <c r="AG625">
        <v>1</v>
      </c>
      <c r="AH625">
        <v>6023.7392733347688</v>
      </c>
      <c r="AI625">
        <v>0.99097621000820357</v>
      </c>
      <c r="AJ625" s="63">
        <v>5969.3823000000002</v>
      </c>
      <c r="AK625" s="61">
        <v>2128.5064986533621</v>
      </c>
      <c r="AL625" t="s">
        <v>348</v>
      </c>
      <c r="AM625" t="s">
        <v>438</v>
      </c>
      <c r="AN625" t="s">
        <v>425</v>
      </c>
      <c r="AO625" t="s">
        <v>27</v>
      </c>
      <c r="AP625">
        <v>111.133</v>
      </c>
      <c r="AQ625">
        <v>1.0727760310708341</v>
      </c>
      <c r="AR625">
        <v>119.22081866099499</v>
      </c>
      <c r="AS625">
        <v>694.38</v>
      </c>
      <c r="AT625">
        <v>0.875</v>
      </c>
      <c r="AU625">
        <v>72.436483054094012</v>
      </c>
      <c r="AV625">
        <v>0.95369999999999999</v>
      </c>
      <c r="AW625" s="63">
        <v>69.082999999999998</v>
      </c>
      <c r="AX625">
        <v>8.9176000000000002</v>
      </c>
      <c r="AY625">
        <v>0.91300000000000003</v>
      </c>
      <c r="AZ625">
        <v>6064.9193587765631</v>
      </c>
      <c r="BA625">
        <v>1.007895816242822</v>
      </c>
      <c r="BB625" s="63">
        <v>6112.8068000000003</v>
      </c>
      <c r="BC625" s="61">
        <v>2179.6474651677891</v>
      </c>
    </row>
    <row r="626" spans="1:55" x14ac:dyDescent="0.25">
      <c r="A626">
        <v>194787</v>
      </c>
      <c r="B626" t="s">
        <v>197</v>
      </c>
      <c r="C626">
        <v>2020</v>
      </c>
      <c r="D626">
        <v>1</v>
      </c>
      <c r="E626" t="s">
        <v>100</v>
      </c>
      <c r="F626" t="s">
        <v>426</v>
      </c>
      <c r="G626" t="s">
        <v>84</v>
      </c>
      <c r="H626" t="s">
        <v>87</v>
      </c>
      <c r="I626" t="s">
        <v>427</v>
      </c>
      <c r="J626">
        <v>-6.2812062099999997</v>
      </c>
      <c r="K626" t="s">
        <v>440</v>
      </c>
      <c r="L626" t="s">
        <v>452</v>
      </c>
      <c r="M626">
        <v>8.4248020759000004E-4</v>
      </c>
      <c r="N626">
        <v>5.291791909749325E-3</v>
      </c>
      <c r="O626">
        <v>47588.953000000001</v>
      </c>
      <c r="P626">
        <v>1.500949E-6</v>
      </c>
      <c r="Q626">
        <v>0.14285700000000001</v>
      </c>
      <c r="R626" s="61">
        <v>7.5596951685105935E-4</v>
      </c>
      <c r="S626" t="s">
        <v>347</v>
      </c>
      <c r="T626" t="s">
        <v>437</v>
      </c>
      <c r="U626" t="s">
        <v>425</v>
      </c>
      <c r="V626" t="s">
        <v>28</v>
      </c>
      <c r="W626">
        <v>111.133</v>
      </c>
      <c r="X626">
        <v>1.0541007448257309</v>
      </c>
      <c r="Y626">
        <v>117.145378074718</v>
      </c>
      <c r="Z626">
        <v>640.82000000000005</v>
      </c>
      <c r="AA626">
        <v>1</v>
      </c>
      <c r="AB626">
        <v>75.069101177840764</v>
      </c>
      <c r="AC626">
        <v>1.0073000000000001</v>
      </c>
      <c r="AD626" s="63">
        <v>75.617000000000004</v>
      </c>
      <c r="AE626">
        <v>8.9176000000000002</v>
      </c>
      <c r="AF626">
        <v>9.4000488020579382</v>
      </c>
      <c r="AG626">
        <v>1</v>
      </c>
      <c r="AH626">
        <v>6023.7392733347688</v>
      </c>
      <c r="AI626">
        <v>0.99399488088206345</v>
      </c>
      <c r="AJ626" s="63">
        <v>5987.5659999999998</v>
      </c>
      <c r="AK626" s="61">
        <v>4.5264173761338302</v>
      </c>
      <c r="AL626" t="s">
        <v>348</v>
      </c>
      <c r="AM626" t="s">
        <v>438</v>
      </c>
      <c r="AN626" t="s">
        <v>425</v>
      </c>
      <c r="AO626" t="s">
        <v>28</v>
      </c>
      <c r="AP626">
        <v>111.133</v>
      </c>
      <c r="AQ626">
        <v>1.0727760310708341</v>
      </c>
      <c r="AR626">
        <v>119.22081866099499</v>
      </c>
      <c r="AS626">
        <v>694.38</v>
      </c>
      <c r="AT626">
        <v>0.875</v>
      </c>
      <c r="AU626">
        <v>72.436483054094012</v>
      </c>
      <c r="AV626">
        <v>0.99250000000000005</v>
      </c>
      <c r="AW626" s="63">
        <v>71.893000000000001</v>
      </c>
      <c r="AX626">
        <v>8.9176000000000002</v>
      </c>
      <c r="AY626">
        <v>0.91300000000000003</v>
      </c>
      <c r="AZ626">
        <v>6064.9193587765631</v>
      </c>
      <c r="BA626">
        <v>0.93847214018507585</v>
      </c>
      <c r="BB626" s="63">
        <v>5691.7578999999996</v>
      </c>
      <c r="BC626" s="61">
        <v>4.3027954696961999</v>
      </c>
    </row>
    <row r="627" spans="1:55" x14ac:dyDescent="0.25">
      <c r="A627">
        <v>194789</v>
      </c>
      <c r="B627" t="s">
        <v>197</v>
      </c>
      <c r="C627">
        <v>2020</v>
      </c>
      <c r="D627">
        <v>1</v>
      </c>
      <c r="E627" t="s">
        <v>100</v>
      </c>
      <c r="F627" t="s">
        <v>426</v>
      </c>
      <c r="G627" t="s">
        <v>84</v>
      </c>
      <c r="H627" t="s">
        <v>59</v>
      </c>
      <c r="I627" t="s">
        <v>427</v>
      </c>
      <c r="J627">
        <v>-17.42913326</v>
      </c>
      <c r="K627" t="s">
        <v>440</v>
      </c>
      <c r="L627" t="s">
        <v>450</v>
      </c>
      <c r="M627">
        <v>0.15931709696460999</v>
      </c>
      <c r="N627">
        <v>2.7767589135339281</v>
      </c>
      <c r="O627">
        <v>47588.953000000001</v>
      </c>
      <c r="P627">
        <v>1.500949E-6</v>
      </c>
      <c r="Q627">
        <v>0.14285700000000001</v>
      </c>
      <c r="R627" s="61">
        <v>0.39667944811071643</v>
      </c>
      <c r="S627" t="s">
        <v>347</v>
      </c>
      <c r="T627" t="s">
        <v>437</v>
      </c>
      <c r="U627" t="s">
        <v>425</v>
      </c>
      <c r="V627" t="s">
        <v>26</v>
      </c>
      <c r="W627">
        <v>111.133</v>
      </c>
      <c r="X627">
        <v>1.0541007448257309</v>
      </c>
      <c r="Y627">
        <v>117.145378074718</v>
      </c>
      <c r="Z627">
        <v>640.82000000000005</v>
      </c>
      <c r="AA627">
        <v>1</v>
      </c>
      <c r="AB627">
        <v>75.069101177840764</v>
      </c>
      <c r="AC627">
        <v>0.99109999999999998</v>
      </c>
      <c r="AD627" s="63">
        <v>74.400999999999996</v>
      </c>
      <c r="AE627">
        <v>8.9176000000000002</v>
      </c>
      <c r="AF627">
        <v>9.4000488020579382</v>
      </c>
      <c r="AG627">
        <v>1</v>
      </c>
      <c r="AH627">
        <v>6023.7392733347688</v>
      </c>
      <c r="AI627">
        <v>0.9830373970836227</v>
      </c>
      <c r="AJ627" s="63">
        <v>5921.5609999999997</v>
      </c>
      <c r="AK627" s="61">
        <v>2348.9615494339419</v>
      </c>
      <c r="AL627" t="s">
        <v>348</v>
      </c>
      <c r="AM627" t="s">
        <v>438</v>
      </c>
      <c r="AN627" t="s">
        <v>425</v>
      </c>
      <c r="AO627" t="s">
        <v>26</v>
      </c>
      <c r="AP627">
        <v>111.133</v>
      </c>
      <c r="AQ627">
        <v>1.0727760310708341</v>
      </c>
      <c r="AR627">
        <v>119.22081866099499</v>
      </c>
      <c r="AS627">
        <v>694.38</v>
      </c>
      <c r="AT627">
        <v>0.875</v>
      </c>
      <c r="AU627">
        <v>72.436483054094012</v>
      </c>
      <c r="AV627">
        <v>0.98270000000000002</v>
      </c>
      <c r="AW627" s="63">
        <v>71.183000000000007</v>
      </c>
      <c r="AX627">
        <v>8.9176000000000002</v>
      </c>
      <c r="AY627">
        <v>0.91300000000000003</v>
      </c>
      <c r="AZ627">
        <v>6064.9193587765631</v>
      </c>
      <c r="BA627">
        <v>0.99365142346989388</v>
      </c>
      <c r="BB627" s="63">
        <v>6026.4157999999998</v>
      </c>
      <c r="BC627" s="61">
        <v>2390.5552936297022</v>
      </c>
    </row>
    <row r="628" spans="1:55" x14ac:dyDescent="0.25">
      <c r="A628">
        <v>194791</v>
      </c>
      <c r="B628" t="s">
        <v>197</v>
      </c>
      <c r="C628">
        <v>2020</v>
      </c>
      <c r="D628">
        <v>1</v>
      </c>
      <c r="E628" t="s">
        <v>100</v>
      </c>
      <c r="F628" t="s">
        <v>426</v>
      </c>
      <c r="G628" t="s">
        <v>84</v>
      </c>
      <c r="H628" t="s">
        <v>59</v>
      </c>
      <c r="I628" t="s">
        <v>427</v>
      </c>
      <c r="J628">
        <v>-17.42913326</v>
      </c>
      <c r="K628" t="s">
        <v>440</v>
      </c>
      <c r="L628" t="s">
        <v>384</v>
      </c>
      <c r="M628">
        <v>4.1785183859599999E-2</v>
      </c>
      <c r="N628">
        <v>0.72827953776719978</v>
      </c>
      <c r="O628">
        <v>47588.953000000001</v>
      </c>
      <c r="P628">
        <v>1.500949E-6</v>
      </c>
      <c r="Q628">
        <v>0.14285700000000001</v>
      </c>
      <c r="R628" s="61">
        <v>0.10403982992680889</v>
      </c>
      <c r="S628" t="s">
        <v>347</v>
      </c>
      <c r="T628" t="s">
        <v>437</v>
      </c>
      <c r="U628" t="s">
        <v>425</v>
      </c>
      <c r="V628" t="s">
        <v>81</v>
      </c>
      <c r="W628">
        <v>111.133</v>
      </c>
      <c r="X628">
        <v>1.0541007448257309</v>
      </c>
      <c r="Y628">
        <v>117.145378074718</v>
      </c>
      <c r="Z628">
        <v>640.82000000000005</v>
      </c>
      <c r="AA628">
        <v>1</v>
      </c>
      <c r="AB628">
        <v>75.069101177840764</v>
      </c>
      <c r="AC628">
        <v>0.93830000000000002</v>
      </c>
      <c r="AD628" s="63">
        <v>70.436999999999998</v>
      </c>
      <c r="AE628">
        <v>8.9176000000000002</v>
      </c>
      <c r="AF628">
        <v>9.4000488020579382</v>
      </c>
      <c r="AG628">
        <v>1</v>
      </c>
      <c r="AH628">
        <v>6023.7392733347688</v>
      </c>
      <c r="AI628">
        <v>1.098016605166052</v>
      </c>
      <c r="AJ628" s="63">
        <v>6614.1656999999996</v>
      </c>
      <c r="AK628" s="61">
        <v>688.13667453573271</v>
      </c>
      <c r="AL628" t="s">
        <v>348</v>
      </c>
      <c r="AM628" t="s">
        <v>438</v>
      </c>
      <c r="AN628" t="s">
        <v>425</v>
      </c>
      <c r="AO628" t="s">
        <v>81</v>
      </c>
      <c r="AP628">
        <v>111.133</v>
      </c>
      <c r="AQ628">
        <v>1.0727760310708341</v>
      </c>
      <c r="AR628">
        <v>119.22081866099499</v>
      </c>
      <c r="AS628">
        <v>694.38</v>
      </c>
      <c r="AT628">
        <v>0.875</v>
      </c>
      <c r="AU628">
        <v>72.436483054094012</v>
      </c>
      <c r="AV628">
        <v>0.93500000000000005</v>
      </c>
      <c r="AW628" s="63">
        <v>67.727999999999994</v>
      </c>
      <c r="AX628">
        <v>8.9176000000000002</v>
      </c>
      <c r="AY628">
        <v>0.91300000000000003</v>
      </c>
      <c r="AZ628">
        <v>6064.9193587765631</v>
      </c>
      <c r="BA628">
        <v>1.096171586715867</v>
      </c>
      <c r="BB628" s="63">
        <v>6648.1922999999997</v>
      </c>
      <c r="BC628" s="61">
        <v>691.67679621272021</v>
      </c>
    </row>
    <row r="629" spans="1:55" x14ac:dyDescent="0.25">
      <c r="A629">
        <v>194793</v>
      </c>
      <c r="B629" t="s">
        <v>197</v>
      </c>
      <c r="C629">
        <v>2020</v>
      </c>
      <c r="D629">
        <v>1</v>
      </c>
      <c r="E629" t="s">
        <v>100</v>
      </c>
      <c r="F629" t="s">
        <v>426</v>
      </c>
      <c r="G629" t="s">
        <v>84</v>
      </c>
      <c r="H629" t="s">
        <v>59</v>
      </c>
      <c r="I629" t="s">
        <v>427</v>
      </c>
      <c r="J629">
        <v>-17.42913326</v>
      </c>
      <c r="K629" t="s">
        <v>440</v>
      </c>
      <c r="L629" t="s">
        <v>385</v>
      </c>
      <c r="M629">
        <v>0.43497567483749999</v>
      </c>
      <c r="N629">
        <v>7.581249001441221</v>
      </c>
      <c r="O629">
        <v>47588.953000000001</v>
      </c>
      <c r="P629">
        <v>1.500949E-6</v>
      </c>
      <c r="Q629">
        <v>0.14285700000000001</v>
      </c>
      <c r="R629" s="61">
        <v>1.083034488598889</v>
      </c>
      <c r="S629" t="s">
        <v>347</v>
      </c>
      <c r="T629" t="s">
        <v>437</v>
      </c>
      <c r="U629" t="s">
        <v>425</v>
      </c>
      <c r="V629" t="s">
        <v>27</v>
      </c>
      <c r="W629">
        <v>111.133</v>
      </c>
      <c r="X629">
        <v>1.0541007448257309</v>
      </c>
      <c r="Y629">
        <v>117.145378074718</v>
      </c>
      <c r="Z629">
        <v>640.82000000000005</v>
      </c>
      <c r="AA629">
        <v>1</v>
      </c>
      <c r="AB629">
        <v>75.069101177840764</v>
      </c>
      <c r="AC629">
        <v>0.95889999999999997</v>
      </c>
      <c r="AD629" s="63">
        <v>71.983999999999995</v>
      </c>
      <c r="AE629">
        <v>8.9176000000000002</v>
      </c>
      <c r="AF629">
        <v>9.4000488020579382</v>
      </c>
      <c r="AG629">
        <v>1</v>
      </c>
      <c r="AH629">
        <v>6023.7392733347688</v>
      </c>
      <c r="AI629">
        <v>0.99097621000820357</v>
      </c>
      <c r="AJ629" s="63">
        <v>5969.3823000000002</v>
      </c>
      <c r="AK629" s="61">
        <v>6465.0469065317566</v>
      </c>
      <c r="AL629" t="s">
        <v>348</v>
      </c>
      <c r="AM629" t="s">
        <v>438</v>
      </c>
      <c r="AN629" t="s">
        <v>425</v>
      </c>
      <c r="AO629" t="s">
        <v>27</v>
      </c>
      <c r="AP629">
        <v>111.133</v>
      </c>
      <c r="AQ629">
        <v>1.0727760310708341</v>
      </c>
      <c r="AR629">
        <v>119.22081866099499</v>
      </c>
      <c r="AS629">
        <v>694.38</v>
      </c>
      <c r="AT629">
        <v>0.875</v>
      </c>
      <c r="AU629">
        <v>72.436483054094012</v>
      </c>
      <c r="AV629">
        <v>0.95369999999999999</v>
      </c>
      <c r="AW629" s="63">
        <v>69.082999999999998</v>
      </c>
      <c r="AX629">
        <v>8.9176000000000002</v>
      </c>
      <c r="AY629">
        <v>0.91300000000000003</v>
      </c>
      <c r="AZ629">
        <v>6064.9193587765631</v>
      </c>
      <c r="BA629">
        <v>1.007895816242822</v>
      </c>
      <c r="BB629" s="63">
        <v>6112.8068000000003</v>
      </c>
      <c r="BC629" s="61">
        <v>6620.380586541808</v>
      </c>
    </row>
    <row r="630" spans="1:55" x14ac:dyDescent="0.25">
      <c r="A630">
        <v>194795</v>
      </c>
      <c r="B630" t="s">
        <v>197</v>
      </c>
      <c r="C630">
        <v>2020</v>
      </c>
      <c r="D630">
        <v>1</v>
      </c>
      <c r="E630" t="s">
        <v>100</v>
      </c>
      <c r="F630" t="s">
        <v>426</v>
      </c>
      <c r="G630" t="s">
        <v>84</v>
      </c>
      <c r="H630" t="s">
        <v>59</v>
      </c>
      <c r="I630" t="s">
        <v>427</v>
      </c>
      <c r="J630">
        <v>-17.42913326</v>
      </c>
      <c r="K630" t="s">
        <v>440</v>
      </c>
      <c r="L630" t="s">
        <v>451</v>
      </c>
      <c r="M630">
        <v>1.7625750762999999E-3</v>
      </c>
      <c r="N630">
        <v>3.0720155884939041E-2</v>
      </c>
      <c r="O630">
        <v>47588.953000000001</v>
      </c>
      <c r="P630">
        <v>1.500949E-6</v>
      </c>
      <c r="Q630">
        <v>0.14285700000000001</v>
      </c>
      <c r="R630" s="61">
        <v>4.3885893092547373E-3</v>
      </c>
      <c r="S630" t="s">
        <v>347</v>
      </c>
      <c r="T630" t="s">
        <v>437</v>
      </c>
      <c r="U630" t="s">
        <v>425</v>
      </c>
      <c r="V630" t="s">
        <v>91</v>
      </c>
      <c r="W630">
        <v>111.133</v>
      </c>
      <c r="X630">
        <v>1.0541007448257309</v>
      </c>
      <c r="Y630">
        <v>117.145378074718</v>
      </c>
      <c r="Z630">
        <v>640.82000000000005</v>
      </c>
      <c r="AA630">
        <v>1</v>
      </c>
      <c r="AB630">
        <v>75.069101177840764</v>
      </c>
      <c r="AC630">
        <v>1.0088999999999999</v>
      </c>
      <c r="AD630" s="63">
        <v>75.736999999999995</v>
      </c>
      <c r="AE630">
        <v>8.9176000000000002</v>
      </c>
      <c r="AF630">
        <v>9.4000488020579382</v>
      </c>
      <c r="AG630">
        <v>1</v>
      </c>
      <c r="AH630">
        <v>6023.7392733347688</v>
      </c>
      <c r="AI630">
        <v>0.99316673174541203</v>
      </c>
      <c r="AJ630" s="63">
        <v>5982.5774000000001</v>
      </c>
      <c r="AK630" s="61">
        <v>26.255075219428999</v>
      </c>
      <c r="AL630" t="s">
        <v>348</v>
      </c>
      <c r="AM630" t="s">
        <v>438</v>
      </c>
      <c r="AN630" t="s">
        <v>425</v>
      </c>
      <c r="AO630" t="s">
        <v>91</v>
      </c>
      <c r="AP630">
        <v>111.133</v>
      </c>
      <c r="AQ630">
        <v>1.0727760310708341</v>
      </c>
      <c r="AR630">
        <v>119.22081866099499</v>
      </c>
      <c r="AS630">
        <v>694.38</v>
      </c>
      <c r="AT630">
        <v>0.875</v>
      </c>
      <c r="AU630">
        <v>72.436483054094012</v>
      </c>
      <c r="AV630">
        <v>1.0179</v>
      </c>
      <c r="AW630" s="63">
        <v>73.733000000000004</v>
      </c>
      <c r="AX630">
        <v>8.9176000000000002</v>
      </c>
      <c r="AY630">
        <v>0.91300000000000003</v>
      </c>
      <c r="AZ630">
        <v>6064.9193587765631</v>
      </c>
      <c r="BA630">
        <v>0.98975009761811794</v>
      </c>
      <c r="BB630" s="63">
        <v>6002.7545</v>
      </c>
      <c r="BC630" s="61">
        <v>26.343624224780761</v>
      </c>
    </row>
    <row r="631" spans="1:55" x14ac:dyDescent="0.25">
      <c r="A631">
        <v>194797</v>
      </c>
      <c r="B631" t="s">
        <v>197</v>
      </c>
      <c r="C631">
        <v>2020</v>
      </c>
      <c r="D631">
        <v>1</v>
      </c>
      <c r="E631" t="s">
        <v>100</v>
      </c>
      <c r="F631" t="s">
        <v>426</v>
      </c>
      <c r="G631" t="s">
        <v>84</v>
      </c>
      <c r="H631" t="s">
        <v>59</v>
      </c>
      <c r="I631" t="s">
        <v>427</v>
      </c>
      <c r="J631">
        <v>-17.42913326</v>
      </c>
      <c r="K631" t="s">
        <v>440</v>
      </c>
      <c r="L631" t="s">
        <v>452</v>
      </c>
      <c r="M631">
        <v>1.4858046103299999E-3</v>
      </c>
      <c r="N631">
        <v>2.589628655121742E-2</v>
      </c>
      <c r="O631">
        <v>47588.953000000001</v>
      </c>
      <c r="P631">
        <v>1.500949E-6</v>
      </c>
      <c r="Q631">
        <v>0.14285700000000001</v>
      </c>
      <c r="R631" s="61">
        <v>3.6994658078472681E-3</v>
      </c>
      <c r="S631" t="s">
        <v>347</v>
      </c>
      <c r="T631" t="s">
        <v>437</v>
      </c>
      <c r="U631" t="s">
        <v>425</v>
      </c>
      <c r="V631" t="s">
        <v>28</v>
      </c>
      <c r="W631">
        <v>111.133</v>
      </c>
      <c r="X631">
        <v>1.0541007448257309</v>
      </c>
      <c r="Y631">
        <v>117.145378074718</v>
      </c>
      <c r="Z631">
        <v>640.82000000000005</v>
      </c>
      <c r="AA631">
        <v>1</v>
      </c>
      <c r="AB631">
        <v>75.069101177840764</v>
      </c>
      <c r="AC631">
        <v>1.0073000000000001</v>
      </c>
      <c r="AD631" s="63">
        <v>75.617000000000004</v>
      </c>
      <c r="AE631">
        <v>8.9176000000000002</v>
      </c>
      <c r="AF631">
        <v>9.4000488020579382</v>
      </c>
      <c r="AG631">
        <v>1</v>
      </c>
      <c r="AH631">
        <v>6023.7392733347688</v>
      </c>
      <c r="AI631">
        <v>0.99399488088206345</v>
      </c>
      <c r="AJ631" s="63">
        <v>5987.5659999999998</v>
      </c>
      <c r="AK631" s="61">
        <v>22.150795689228829</v>
      </c>
      <c r="AL631" t="s">
        <v>348</v>
      </c>
      <c r="AM631" t="s">
        <v>438</v>
      </c>
      <c r="AN631" t="s">
        <v>425</v>
      </c>
      <c r="AO631" t="s">
        <v>28</v>
      </c>
      <c r="AP631">
        <v>111.133</v>
      </c>
      <c r="AQ631">
        <v>1.0727760310708341</v>
      </c>
      <c r="AR631">
        <v>119.22081866099499</v>
      </c>
      <c r="AS631">
        <v>694.38</v>
      </c>
      <c r="AT631">
        <v>0.875</v>
      </c>
      <c r="AU631">
        <v>72.436483054094012</v>
      </c>
      <c r="AV631">
        <v>0.99250000000000005</v>
      </c>
      <c r="AW631" s="63">
        <v>71.893000000000001</v>
      </c>
      <c r="AX631">
        <v>8.9176000000000002</v>
      </c>
      <c r="AY631">
        <v>0.91300000000000003</v>
      </c>
      <c r="AZ631">
        <v>6064.9193587765631</v>
      </c>
      <c r="BA631">
        <v>0.93847214018507585</v>
      </c>
      <c r="BB631" s="63">
        <v>5691.7578999999996</v>
      </c>
      <c r="BC631" s="61">
        <v>21.056463737594569</v>
      </c>
    </row>
    <row r="632" spans="1:55" x14ac:dyDescent="0.25">
      <c r="A632">
        <v>202031</v>
      </c>
      <c r="B632" t="s">
        <v>201</v>
      </c>
      <c r="C632">
        <v>2020</v>
      </c>
      <c r="D632">
        <v>2</v>
      </c>
      <c r="E632" t="s">
        <v>100</v>
      </c>
      <c r="F632" t="s">
        <v>426</v>
      </c>
      <c r="G632" t="s">
        <v>84</v>
      </c>
      <c r="H632" t="s">
        <v>381</v>
      </c>
      <c r="I632" t="s">
        <v>427</v>
      </c>
      <c r="J632">
        <v>-32.004116019999998</v>
      </c>
      <c r="K632" t="s">
        <v>440</v>
      </c>
      <c r="L632" t="s">
        <v>450</v>
      </c>
      <c r="M632">
        <v>0.15011157993331001</v>
      </c>
      <c r="N632">
        <v>4.8041884206151462</v>
      </c>
      <c r="O632">
        <v>47588.953000000001</v>
      </c>
      <c r="P632">
        <v>1.500949E-6</v>
      </c>
      <c r="Q632">
        <v>0.14285700000000001</v>
      </c>
      <c r="R632" s="61">
        <v>0.686311945203818</v>
      </c>
      <c r="S632" t="s">
        <v>347</v>
      </c>
      <c r="T632" t="s">
        <v>437</v>
      </c>
      <c r="U632" t="s">
        <v>425</v>
      </c>
      <c r="V632" t="s">
        <v>26</v>
      </c>
      <c r="W632">
        <v>111.133</v>
      </c>
      <c r="X632">
        <v>1.0541007448257309</v>
      </c>
      <c r="Y632">
        <v>117.145378074718</v>
      </c>
      <c r="Z632">
        <v>640.82000000000005</v>
      </c>
      <c r="AA632">
        <v>1</v>
      </c>
      <c r="AB632">
        <v>75.069101177840764</v>
      </c>
      <c r="AC632">
        <v>0.99109999999999998</v>
      </c>
      <c r="AD632" s="63">
        <v>74.400999999999996</v>
      </c>
      <c r="AE632">
        <v>8.9176000000000002</v>
      </c>
      <c r="AF632">
        <v>9.4000488020579382</v>
      </c>
      <c r="AG632">
        <v>1</v>
      </c>
      <c r="AH632">
        <v>6023.7392733347688</v>
      </c>
      <c r="AI632">
        <v>0.9830373970836227</v>
      </c>
      <c r="AJ632" s="63">
        <v>5921.5609999999997</v>
      </c>
      <c r="AK632" s="61">
        <v>4064.038048553065</v>
      </c>
      <c r="AL632" t="s">
        <v>348</v>
      </c>
      <c r="AM632" t="s">
        <v>438</v>
      </c>
      <c r="AN632" t="s">
        <v>425</v>
      </c>
      <c r="AO632" t="s">
        <v>26</v>
      </c>
      <c r="AP632">
        <v>111.133</v>
      </c>
      <c r="AQ632">
        <v>1.0727760310708341</v>
      </c>
      <c r="AR632">
        <v>119.22081866099499</v>
      </c>
      <c r="AS632">
        <v>694.38</v>
      </c>
      <c r="AT632">
        <v>0.875</v>
      </c>
      <c r="AU632">
        <v>72.436483054094012</v>
      </c>
      <c r="AV632">
        <v>0.98270000000000002</v>
      </c>
      <c r="AW632" s="63">
        <v>71.183000000000007</v>
      </c>
      <c r="AX632">
        <v>8.9176000000000002</v>
      </c>
      <c r="AY632">
        <v>0.91300000000000003</v>
      </c>
      <c r="AZ632">
        <v>6064.9193587765631</v>
      </c>
      <c r="BA632">
        <v>0.99365142346989388</v>
      </c>
      <c r="BB632" s="63">
        <v>6026.4157999999998</v>
      </c>
      <c r="BC632" s="61">
        <v>4136.0011503050227</v>
      </c>
    </row>
    <row r="633" spans="1:55" x14ac:dyDescent="0.25">
      <c r="A633">
        <v>202033</v>
      </c>
      <c r="B633" t="s">
        <v>201</v>
      </c>
      <c r="C633">
        <v>2020</v>
      </c>
      <c r="D633">
        <v>2</v>
      </c>
      <c r="E633" t="s">
        <v>100</v>
      </c>
      <c r="F633" t="s">
        <v>426</v>
      </c>
      <c r="G633" t="s">
        <v>84</v>
      </c>
      <c r="H633" t="s">
        <v>381</v>
      </c>
      <c r="I633" t="s">
        <v>427</v>
      </c>
      <c r="J633">
        <v>-32.004116019999998</v>
      </c>
      <c r="K633" t="s">
        <v>440</v>
      </c>
      <c r="L633" t="s">
        <v>384</v>
      </c>
      <c r="M633">
        <v>4.5811354346740003E-2</v>
      </c>
      <c r="N633">
        <v>1.466151899694103</v>
      </c>
      <c r="O633">
        <v>47588.953000000001</v>
      </c>
      <c r="P633">
        <v>1.500949E-6</v>
      </c>
      <c r="Q633">
        <v>0.14285700000000001</v>
      </c>
      <c r="R633" s="61">
        <v>0.2094500619346005</v>
      </c>
      <c r="S633" t="s">
        <v>347</v>
      </c>
      <c r="T633" t="s">
        <v>437</v>
      </c>
      <c r="U633" t="s">
        <v>425</v>
      </c>
      <c r="V633" t="s">
        <v>81</v>
      </c>
      <c r="W633">
        <v>111.133</v>
      </c>
      <c r="X633">
        <v>1.0541007448257309</v>
      </c>
      <c r="Y633">
        <v>117.145378074718</v>
      </c>
      <c r="Z633">
        <v>640.82000000000005</v>
      </c>
      <c r="AA633">
        <v>1</v>
      </c>
      <c r="AB633">
        <v>75.069101177840764</v>
      </c>
      <c r="AC633">
        <v>0.93830000000000002</v>
      </c>
      <c r="AD633" s="63">
        <v>70.436999999999998</v>
      </c>
      <c r="AE633">
        <v>8.9176000000000002</v>
      </c>
      <c r="AF633">
        <v>9.4000488020579382</v>
      </c>
      <c r="AG633">
        <v>1</v>
      </c>
      <c r="AH633">
        <v>6023.7392733347688</v>
      </c>
      <c r="AI633">
        <v>1.098016605166052</v>
      </c>
      <c r="AJ633" s="63">
        <v>6614.1656999999996</v>
      </c>
      <c r="AK633" s="61">
        <v>1385.3374155107099</v>
      </c>
      <c r="AL633" t="s">
        <v>348</v>
      </c>
      <c r="AM633" t="s">
        <v>438</v>
      </c>
      <c r="AN633" t="s">
        <v>425</v>
      </c>
      <c r="AO633" t="s">
        <v>81</v>
      </c>
      <c r="AP633">
        <v>111.133</v>
      </c>
      <c r="AQ633">
        <v>1.0727760310708341</v>
      </c>
      <c r="AR633">
        <v>119.22081866099499</v>
      </c>
      <c r="AS633">
        <v>694.38</v>
      </c>
      <c r="AT633">
        <v>0.875</v>
      </c>
      <c r="AU633">
        <v>72.436483054094012</v>
      </c>
      <c r="AV633">
        <v>0.93500000000000005</v>
      </c>
      <c r="AW633" s="63">
        <v>67.727999999999994</v>
      </c>
      <c r="AX633">
        <v>8.9176000000000002</v>
      </c>
      <c r="AY633">
        <v>0.91300000000000003</v>
      </c>
      <c r="AZ633">
        <v>6064.9193587765631</v>
      </c>
      <c r="BA633">
        <v>1.096171586715867</v>
      </c>
      <c r="BB633" s="63">
        <v>6648.1922999999997</v>
      </c>
      <c r="BC633" s="61">
        <v>1392.4642889881341</v>
      </c>
    </row>
    <row r="634" spans="1:55" x14ac:dyDescent="0.25">
      <c r="A634">
        <v>202035</v>
      </c>
      <c r="B634" t="s">
        <v>201</v>
      </c>
      <c r="C634">
        <v>2020</v>
      </c>
      <c r="D634">
        <v>2</v>
      </c>
      <c r="E634" t="s">
        <v>100</v>
      </c>
      <c r="F634" t="s">
        <v>426</v>
      </c>
      <c r="G634" t="s">
        <v>84</v>
      </c>
      <c r="H634" t="s">
        <v>381</v>
      </c>
      <c r="I634" t="s">
        <v>427</v>
      </c>
      <c r="J634">
        <v>-32.004116019999998</v>
      </c>
      <c r="K634" t="s">
        <v>440</v>
      </c>
      <c r="L634" t="s">
        <v>385</v>
      </c>
      <c r="M634">
        <v>0.43232641346992001</v>
      </c>
      <c r="N634">
        <v>13.836224696595711</v>
      </c>
      <c r="O634">
        <v>47588.953000000001</v>
      </c>
      <c r="P634">
        <v>1.500949E-6</v>
      </c>
      <c r="Q634">
        <v>0.14285700000000001</v>
      </c>
      <c r="R634" s="61">
        <v>1.976601551481574</v>
      </c>
      <c r="S634" t="s">
        <v>347</v>
      </c>
      <c r="T634" t="s">
        <v>437</v>
      </c>
      <c r="U634" t="s">
        <v>425</v>
      </c>
      <c r="V634" t="s">
        <v>27</v>
      </c>
      <c r="W634">
        <v>111.133</v>
      </c>
      <c r="X634">
        <v>1.0541007448257309</v>
      </c>
      <c r="Y634">
        <v>117.145378074718</v>
      </c>
      <c r="Z634">
        <v>640.82000000000005</v>
      </c>
      <c r="AA634">
        <v>1</v>
      </c>
      <c r="AB634">
        <v>75.069101177840764</v>
      </c>
      <c r="AC634">
        <v>0.95889999999999997</v>
      </c>
      <c r="AD634" s="63">
        <v>71.983999999999995</v>
      </c>
      <c r="AE634">
        <v>8.9176000000000002</v>
      </c>
      <c r="AF634">
        <v>9.4000488020579382</v>
      </c>
      <c r="AG634">
        <v>1</v>
      </c>
      <c r="AH634">
        <v>6023.7392733347688</v>
      </c>
      <c r="AI634">
        <v>0.99097621000820357</v>
      </c>
      <c r="AJ634" s="63">
        <v>5969.3823000000002</v>
      </c>
      <c r="AK634" s="61">
        <v>11799.090315566649</v>
      </c>
      <c r="AL634" t="s">
        <v>348</v>
      </c>
      <c r="AM634" t="s">
        <v>438</v>
      </c>
      <c r="AN634" t="s">
        <v>425</v>
      </c>
      <c r="AO634" t="s">
        <v>27</v>
      </c>
      <c r="AP634">
        <v>111.133</v>
      </c>
      <c r="AQ634">
        <v>1.0727760310708341</v>
      </c>
      <c r="AR634">
        <v>119.22081866099499</v>
      </c>
      <c r="AS634">
        <v>694.38</v>
      </c>
      <c r="AT634">
        <v>0.875</v>
      </c>
      <c r="AU634">
        <v>72.436483054094012</v>
      </c>
      <c r="AV634">
        <v>0.95369999999999999</v>
      </c>
      <c r="AW634" s="63">
        <v>69.082999999999998</v>
      </c>
      <c r="AX634">
        <v>8.9176000000000002</v>
      </c>
      <c r="AY634">
        <v>0.91300000000000003</v>
      </c>
      <c r="AZ634">
        <v>6064.9193587765631</v>
      </c>
      <c r="BA634">
        <v>1.007895816242822</v>
      </c>
      <c r="BB634" s="63">
        <v>6112.8068000000003</v>
      </c>
      <c r="BC634" s="61">
        <v>12082.583404787119</v>
      </c>
    </row>
    <row r="635" spans="1:55" x14ac:dyDescent="0.25">
      <c r="A635">
        <v>202037</v>
      </c>
      <c r="B635" t="s">
        <v>201</v>
      </c>
      <c r="C635">
        <v>2020</v>
      </c>
      <c r="D635">
        <v>2</v>
      </c>
      <c r="E635" t="s">
        <v>100</v>
      </c>
      <c r="F635" t="s">
        <v>426</v>
      </c>
      <c r="G635" t="s">
        <v>84</v>
      </c>
      <c r="H635" t="s">
        <v>381</v>
      </c>
      <c r="I635" t="s">
        <v>427</v>
      </c>
      <c r="J635">
        <v>-32.004116019999998</v>
      </c>
      <c r="K635" t="s">
        <v>440</v>
      </c>
      <c r="L635" t="s">
        <v>451</v>
      </c>
      <c r="M635">
        <v>1.6825115802299999E-3</v>
      </c>
      <c r="N635">
        <v>5.3847295824099202E-2</v>
      </c>
      <c r="O635">
        <v>47588.953000000001</v>
      </c>
      <c r="P635">
        <v>1.500949E-6</v>
      </c>
      <c r="Q635">
        <v>0.14285700000000001</v>
      </c>
      <c r="R635" s="61">
        <v>7.6924631395433396E-3</v>
      </c>
      <c r="S635" t="s">
        <v>347</v>
      </c>
      <c r="T635" t="s">
        <v>437</v>
      </c>
      <c r="U635" t="s">
        <v>425</v>
      </c>
      <c r="V635" t="s">
        <v>91</v>
      </c>
      <c r="W635">
        <v>111.133</v>
      </c>
      <c r="X635">
        <v>1.0541007448257309</v>
      </c>
      <c r="Y635">
        <v>117.145378074718</v>
      </c>
      <c r="Z635">
        <v>640.82000000000005</v>
      </c>
      <c r="AA635">
        <v>1</v>
      </c>
      <c r="AB635">
        <v>75.069101177840764</v>
      </c>
      <c r="AC635">
        <v>1.0088999999999999</v>
      </c>
      <c r="AD635" s="63">
        <v>75.736999999999995</v>
      </c>
      <c r="AE635">
        <v>8.9176000000000002</v>
      </c>
      <c r="AF635">
        <v>9.4000488020579382</v>
      </c>
      <c r="AG635">
        <v>1</v>
      </c>
      <c r="AH635">
        <v>6023.7392733347688</v>
      </c>
      <c r="AI635">
        <v>0.99316673174541203</v>
      </c>
      <c r="AJ635" s="63">
        <v>5982.5774000000001</v>
      </c>
      <c r="AK635" s="61">
        <v>46.020756128965033</v>
      </c>
      <c r="AL635" t="s">
        <v>348</v>
      </c>
      <c r="AM635" t="s">
        <v>438</v>
      </c>
      <c r="AN635" t="s">
        <v>425</v>
      </c>
      <c r="AO635" t="s">
        <v>91</v>
      </c>
      <c r="AP635">
        <v>111.133</v>
      </c>
      <c r="AQ635">
        <v>1.0727760310708341</v>
      </c>
      <c r="AR635">
        <v>119.22081866099499</v>
      </c>
      <c r="AS635">
        <v>694.38</v>
      </c>
      <c r="AT635">
        <v>0.875</v>
      </c>
      <c r="AU635">
        <v>72.436483054094012</v>
      </c>
      <c r="AV635">
        <v>1.0179</v>
      </c>
      <c r="AW635" s="63">
        <v>73.733000000000004</v>
      </c>
      <c r="AX635">
        <v>8.9176000000000002</v>
      </c>
      <c r="AY635">
        <v>0.91300000000000003</v>
      </c>
      <c r="AZ635">
        <v>6064.9193587765631</v>
      </c>
      <c r="BA635">
        <v>0.98975009761811794</v>
      </c>
      <c r="BB635" s="63">
        <v>6002.7545</v>
      </c>
      <c r="BC635" s="61">
        <v>46.175967726977909</v>
      </c>
    </row>
    <row r="636" spans="1:55" x14ac:dyDescent="0.25">
      <c r="A636">
        <v>202039</v>
      </c>
      <c r="B636" t="s">
        <v>201</v>
      </c>
      <c r="C636">
        <v>2020</v>
      </c>
      <c r="D636">
        <v>2</v>
      </c>
      <c r="E636" t="s">
        <v>100</v>
      </c>
      <c r="F636" t="s">
        <v>426</v>
      </c>
      <c r="G636" t="s">
        <v>84</v>
      </c>
      <c r="H636" t="s">
        <v>381</v>
      </c>
      <c r="I636" t="s">
        <v>427</v>
      </c>
      <c r="J636">
        <v>-32.004116019999998</v>
      </c>
      <c r="K636" t="s">
        <v>440</v>
      </c>
      <c r="L636" t="s">
        <v>452</v>
      </c>
      <c r="M636">
        <v>1.53682162831E-3</v>
      </c>
      <c r="N636">
        <v>4.9184617699433567E-2</v>
      </c>
      <c r="O636">
        <v>47588.953000000001</v>
      </c>
      <c r="P636">
        <v>1.500949E-6</v>
      </c>
      <c r="Q636">
        <v>0.14285700000000001</v>
      </c>
      <c r="R636" s="61">
        <v>7.0263669306879816E-3</v>
      </c>
      <c r="S636" t="s">
        <v>347</v>
      </c>
      <c r="T636" t="s">
        <v>437</v>
      </c>
      <c r="U636" t="s">
        <v>425</v>
      </c>
      <c r="V636" t="s">
        <v>28</v>
      </c>
      <c r="W636">
        <v>111.133</v>
      </c>
      <c r="X636">
        <v>1.0541007448257309</v>
      </c>
      <c r="Y636">
        <v>117.145378074718</v>
      </c>
      <c r="Z636">
        <v>640.82000000000005</v>
      </c>
      <c r="AA636">
        <v>1</v>
      </c>
      <c r="AB636">
        <v>75.069101177840764</v>
      </c>
      <c r="AC636">
        <v>1.0073000000000001</v>
      </c>
      <c r="AD636" s="63">
        <v>75.617000000000004</v>
      </c>
      <c r="AE636">
        <v>8.9176000000000002</v>
      </c>
      <c r="AF636">
        <v>9.4000488020579382</v>
      </c>
      <c r="AG636">
        <v>1</v>
      </c>
      <c r="AH636">
        <v>6023.7392733347688</v>
      </c>
      <c r="AI636">
        <v>0.99399488088206345</v>
      </c>
      <c r="AJ636" s="63">
        <v>5987.5659999999998</v>
      </c>
      <c r="AK636" s="61">
        <v>42.070835737711711</v>
      </c>
      <c r="AL636" t="s">
        <v>348</v>
      </c>
      <c r="AM636" t="s">
        <v>438</v>
      </c>
      <c r="AN636" t="s">
        <v>425</v>
      </c>
      <c r="AO636" t="s">
        <v>28</v>
      </c>
      <c r="AP636">
        <v>111.133</v>
      </c>
      <c r="AQ636">
        <v>1.0727760310708341</v>
      </c>
      <c r="AR636">
        <v>119.22081866099499</v>
      </c>
      <c r="AS636">
        <v>694.38</v>
      </c>
      <c r="AT636">
        <v>0.875</v>
      </c>
      <c r="AU636">
        <v>72.436483054094012</v>
      </c>
      <c r="AV636">
        <v>0.99250000000000005</v>
      </c>
      <c r="AW636" s="63">
        <v>71.893000000000001</v>
      </c>
      <c r="AX636">
        <v>8.9176000000000002</v>
      </c>
      <c r="AY636">
        <v>0.91300000000000003</v>
      </c>
      <c r="AZ636">
        <v>6064.9193587765631</v>
      </c>
      <c r="BA636">
        <v>0.93847214018507585</v>
      </c>
      <c r="BB636" s="63">
        <v>5691.7578999999996</v>
      </c>
      <c r="BC636" s="61">
        <v>39.992379486042068</v>
      </c>
    </row>
    <row r="637" spans="1:55" x14ac:dyDescent="0.25">
      <c r="A637">
        <v>202041</v>
      </c>
      <c r="B637" t="s">
        <v>201</v>
      </c>
      <c r="C637">
        <v>2020</v>
      </c>
      <c r="D637">
        <v>2</v>
      </c>
      <c r="E637" t="s">
        <v>100</v>
      </c>
      <c r="F637" t="s">
        <v>426</v>
      </c>
      <c r="G637" t="s">
        <v>84</v>
      </c>
      <c r="H637" t="s">
        <v>87</v>
      </c>
      <c r="I637" t="s">
        <v>427</v>
      </c>
      <c r="J637">
        <v>-5.8835884299999996</v>
      </c>
      <c r="K637" t="s">
        <v>440</v>
      </c>
      <c r="L637" t="s">
        <v>450</v>
      </c>
      <c r="M637">
        <v>0.26601384014995</v>
      </c>
      <c r="N637">
        <v>1.5651159516404789</v>
      </c>
      <c r="O637">
        <v>47588.953000000001</v>
      </c>
      <c r="P637">
        <v>1.500949E-6</v>
      </c>
      <c r="Q637">
        <v>0.14285700000000001</v>
      </c>
      <c r="R637" s="61">
        <v>0.22358776950350401</v>
      </c>
      <c r="S637" t="s">
        <v>347</v>
      </c>
      <c r="T637" t="s">
        <v>437</v>
      </c>
      <c r="U637" t="s">
        <v>425</v>
      </c>
      <c r="V637" t="s">
        <v>26</v>
      </c>
      <c r="W637">
        <v>111.133</v>
      </c>
      <c r="X637">
        <v>1.0541007448257309</v>
      </c>
      <c r="Y637">
        <v>117.145378074718</v>
      </c>
      <c r="Z637">
        <v>640.82000000000005</v>
      </c>
      <c r="AA637">
        <v>1</v>
      </c>
      <c r="AB637">
        <v>75.069101177840764</v>
      </c>
      <c r="AC637">
        <v>0.99109999999999998</v>
      </c>
      <c r="AD637" s="63">
        <v>74.400999999999996</v>
      </c>
      <c r="AE637">
        <v>8.9176000000000002</v>
      </c>
      <c r="AF637">
        <v>9.4000488020579382</v>
      </c>
      <c r="AG637">
        <v>1</v>
      </c>
      <c r="AH637">
        <v>6023.7392733347688</v>
      </c>
      <c r="AI637">
        <v>0.9830373970836227</v>
      </c>
      <c r="AJ637" s="63">
        <v>5921.5609999999997</v>
      </c>
      <c r="AK637" s="61">
        <v>1323.988615968939</v>
      </c>
      <c r="AL637" t="s">
        <v>348</v>
      </c>
      <c r="AM637" t="s">
        <v>438</v>
      </c>
      <c r="AN637" t="s">
        <v>425</v>
      </c>
      <c r="AO637" t="s">
        <v>26</v>
      </c>
      <c r="AP637">
        <v>111.133</v>
      </c>
      <c r="AQ637">
        <v>1.0727760310708341</v>
      </c>
      <c r="AR637">
        <v>119.22081866099499</v>
      </c>
      <c r="AS637">
        <v>694.38</v>
      </c>
      <c r="AT637">
        <v>0.875</v>
      </c>
      <c r="AU637">
        <v>72.436483054094012</v>
      </c>
      <c r="AV637">
        <v>0.98270000000000002</v>
      </c>
      <c r="AW637" s="63">
        <v>71.183000000000007</v>
      </c>
      <c r="AX637">
        <v>8.9176000000000002</v>
      </c>
      <c r="AY637">
        <v>0.91300000000000003</v>
      </c>
      <c r="AZ637">
        <v>6064.9193587765631</v>
      </c>
      <c r="BA637">
        <v>0.99365142346989388</v>
      </c>
      <c r="BB637" s="63">
        <v>6026.4157999999998</v>
      </c>
      <c r="BC637" s="61">
        <v>1347.432866822674</v>
      </c>
    </row>
    <row r="638" spans="1:55" x14ac:dyDescent="0.25">
      <c r="A638">
        <v>202043</v>
      </c>
      <c r="B638" t="s">
        <v>201</v>
      </c>
      <c r="C638">
        <v>2020</v>
      </c>
      <c r="D638">
        <v>2</v>
      </c>
      <c r="E638" t="s">
        <v>100</v>
      </c>
      <c r="F638" t="s">
        <v>426</v>
      </c>
      <c r="G638" t="s">
        <v>84</v>
      </c>
      <c r="H638" t="s">
        <v>87</v>
      </c>
      <c r="I638" t="s">
        <v>427</v>
      </c>
      <c r="J638">
        <v>-5.8835884299999996</v>
      </c>
      <c r="K638" t="s">
        <v>440</v>
      </c>
      <c r="L638" t="s">
        <v>384</v>
      </c>
      <c r="M638">
        <v>3.9509559941419997E-2</v>
      </c>
      <c r="N638">
        <v>0.2324579896736014</v>
      </c>
      <c r="O638">
        <v>47588.953000000001</v>
      </c>
      <c r="P638">
        <v>1.500949E-6</v>
      </c>
      <c r="Q638">
        <v>0.14285700000000001</v>
      </c>
      <c r="R638" s="61">
        <v>3.3208251030801668E-2</v>
      </c>
      <c r="S638" t="s">
        <v>347</v>
      </c>
      <c r="T638" t="s">
        <v>437</v>
      </c>
      <c r="U638" t="s">
        <v>425</v>
      </c>
      <c r="V638" t="s">
        <v>81</v>
      </c>
      <c r="W638">
        <v>111.133</v>
      </c>
      <c r="X638">
        <v>1.0541007448257309</v>
      </c>
      <c r="Y638">
        <v>117.145378074718</v>
      </c>
      <c r="Z638">
        <v>640.82000000000005</v>
      </c>
      <c r="AA638">
        <v>1</v>
      </c>
      <c r="AB638">
        <v>75.069101177840764</v>
      </c>
      <c r="AC638">
        <v>0.93830000000000002</v>
      </c>
      <c r="AD638" s="63">
        <v>70.436999999999998</v>
      </c>
      <c r="AE638">
        <v>8.9176000000000002</v>
      </c>
      <c r="AF638">
        <v>9.4000488020579382</v>
      </c>
      <c r="AG638">
        <v>1</v>
      </c>
      <c r="AH638">
        <v>6023.7392733347688</v>
      </c>
      <c r="AI638">
        <v>1.098016605166052</v>
      </c>
      <c r="AJ638" s="63">
        <v>6614.1656999999996</v>
      </c>
      <c r="AK638" s="61">
        <v>219.6448749249181</v>
      </c>
      <c r="AL638" t="s">
        <v>348</v>
      </c>
      <c r="AM638" t="s">
        <v>438</v>
      </c>
      <c r="AN638" t="s">
        <v>425</v>
      </c>
      <c r="AO638" t="s">
        <v>81</v>
      </c>
      <c r="AP638">
        <v>111.133</v>
      </c>
      <c r="AQ638">
        <v>1.0727760310708341</v>
      </c>
      <c r="AR638">
        <v>119.22081866099499</v>
      </c>
      <c r="AS638">
        <v>694.38</v>
      </c>
      <c r="AT638">
        <v>0.875</v>
      </c>
      <c r="AU638">
        <v>72.436483054094012</v>
      </c>
      <c r="AV638">
        <v>0.93500000000000005</v>
      </c>
      <c r="AW638" s="63">
        <v>67.727999999999994</v>
      </c>
      <c r="AX638">
        <v>8.9176000000000002</v>
      </c>
      <c r="AY638">
        <v>0.91300000000000003</v>
      </c>
      <c r="AZ638">
        <v>6064.9193587765631</v>
      </c>
      <c r="BA638">
        <v>1.096171586715867</v>
      </c>
      <c r="BB638" s="63">
        <v>6648.1922999999997</v>
      </c>
      <c r="BC638" s="61">
        <v>220.77483879944279</v>
      </c>
    </row>
    <row r="639" spans="1:55" x14ac:dyDescent="0.25">
      <c r="A639">
        <v>202045</v>
      </c>
      <c r="B639" t="s">
        <v>201</v>
      </c>
      <c r="C639">
        <v>2020</v>
      </c>
      <c r="D639">
        <v>2</v>
      </c>
      <c r="E639" t="s">
        <v>100</v>
      </c>
      <c r="F639" t="s">
        <v>426</v>
      </c>
      <c r="G639" t="s">
        <v>84</v>
      </c>
      <c r="H639" t="s">
        <v>87</v>
      </c>
      <c r="I639" t="s">
        <v>427</v>
      </c>
      <c r="J639">
        <v>-5.8835884299999996</v>
      </c>
      <c r="K639" t="s">
        <v>440</v>
      </c>
      <c r="L639" t="s">
        <v>385</v>
      </c>
      <c r="M639">
        <v>0.39737542925016001</v>
      </c>
      <c r="N639">
        <v>2.3379934771770752</v>
      </c>
      <c r="O639">
        <v>47588.953000000001</v>
      </c>
      <c r="P639">
        <v>1.500949E-6</v>
      </c>
      <c r="Q639">
        <v>0.14285700000000001</v>
      </c>
      <c r="R639" s="61">
        <v>0.33399873416908538</v>
      </c>
      <c r="S639" t="s">
        <v>347</v>
      </c>
      <c r="T639" t="s">
        <v>437</v>
      </c>
      <c r="U639" t="s">
        <v>425</v>
      </c>
      <c r="V639" t="s">
        <v>27</v>
      </c>
      <c r="W639">
        <v>111.133</v>
      </c>
      <c r="X639">
        <v>1.0541007448257309</v>
      </c>
      <c r="Y639">
        <v>117.145378074718</v>
      </c>
      <c r="Z639">
        <v>640.82000000000005</v>
      </c>
      <c r="AA639">
        <v>1</v>
      </c>
      <c r="AB639">
        <v>75.069101177840764</v>
      </c>
      <c r="AC639">
        <v>0.95889999999999997</v>
      </c>
      <c r="AD639" s="63">
        <v>71.983999999999995</v>
      </c>
      <c r="AE639">
        <v>8.9176000000000002</v>
      </c>
      <c r="AF639">
        <v>9.4000488020579382</v>
      </c>
      <c r="AG639">
        <v>1</v>
      </c>
      <c r="AH639">
        <v>6023.7392733347688</v>
      </c>
      <c r="AI639">
        <v>0.99097621000820357</v>
      </c>
      <c r="AJ639" s="63">
        <v>5969.3823000000002</v>
      </c>
      <c r="AK639" s="61">
        <v>1993.7661319713441</v>
      </c>
      <c r="AL639" t="s">
        <v>348</v>
      </c>
      <c r="AM639" t="s">
        <v>438</v>
      </c>
      <c r="AN639" t="s">
        <v>425</v>
      </c>
      <c r="AO639" t="s">
        <v>27</v>
      </c>
      <c r="AP639">
        <v>111.133</v>
      </c>
      <c r="AQ639">
        <v>1.0727760310708341</v>
      </c>
      <c r="AR639">
        <v>119.22081866099499</v>
      </c>
      <c r="AS639">
        <v>694.38</v>
      </c>
      <c r="AT639">
        <v>0.875</v>
      </c>
      <c r="AU639">
        <v>72.436483054094012</v>
      </c>
      <c r="AV639">
        <v>0.95369999999999999</v>
      </c>
      <c r="AW639" s="63">
        <v>69.082999999999998</v>
      </c>
      <c r="AX639">
        <v>8.9176000000000002</v>
      </c>
      <c r="AY639">
        <v>0.91300000000000003</v>
      </c>
      <c r="AZ639">
        <v>6064.9193587765631</v>
      </c>
      <c r="BA639">
        <v>1.007895816242822</v>
      </c>
      <c r="BB639" s="63">
        <v>6112.8068000000003</v>
      </c>
      <c r="BC639" s="61">
        <v>2041.6697334201781</v>
      </c>
    </row>
    <row r="640" spans="1:55" x14ac:dyDescent="0.25">
      <c r="A640">
        <v>202047</v>
      </c>
      <c r="B640" t="s">
        <v>201</v>
      </c>
      <c r="C640">
        <v>2020</v>
      </c>
      <c r="D640">
        <v>2</v>
      </c>
      <c r="E640" t="s">
        <v>100</v>
      </c>
      <c r="F640" t="s">
        <v>426</v>
      </c>
      <c r="G640" t="s">
        <v>84</v>
      </c>
      <c r="H640" t="s">
        <v>87</v>
      </c>
      <c r="I640" t="s">
        <v>427</v>
      </c>
      <c r="J640">
        <v>-5.8835884299999996</v>
      </c>
      <c r="K640" t="s">
        <v>440</v>
      </c>
      <c r="L640" t="s">
        <v>452</v>
      </c>
      <c r="M640">
        <v>8.4248020759000004E-4</v>
      </c>
      <c r="N640">
        <v>4.956806800342487E-3</v>
      </c>
      <c r="O640">
        <v>47588.953000000001</v>
      </c>
      <c r="P640">
        <v>1.500949E-6</v>
      </c>
      <c r="Q640">
        <v>0.14285700000000001</v>
      </c>
      <c r="R640" s="61">
        <v>7.0811454907652668E-4</v>
      </c>
      <c r="S640" t="s">
        <v>347</v>
      </c>
      <c r="T640" t="s">
        <v>437</v>
      </c>
      <c r="U640" t="s">
        <v>425</v>
      </c>
      <c r="V640" t="s">
        <v>28</v>
      </c>
      <c r="W640">
        <v>111.133</v>
      </c>
      <c r="X640">
        <v>1.0541007448257309</v>
      </c>
      <c r="Y640">
        <v>117.145378074718</v>
      </c>
      <c r="Z640">
        <v>640.82000000000005</v>
      </c>
      <c r="AA640">
        <v>1</v>
      </c>
      <c r="AB640">
        <v>75.069101177840764</v>
      </c>
      <c r="AC640">
        <v>1.0073000000000001</v>
      </c>
      <c r="AD640" s="63">
        <v>75.617000000000004</v>
      </c>
      <c r="AE640">
        <v>8.9176000000000002</v>
      </c>
      <c r="AF640">
        <v>9.4000488020579382</v>
      </c>
      <c r="AG640">
        <v>1</v>
      </c>
      <c r="AH640">
        <v>6023.7392733347688</v>
      </c>
      <c r="AI640">
        <v>0.99399488088206345</v>
      </c>
      <c r="AJ640" s="63">
        <v>5987.5659999999998</v>
      </c>
      <c r="AK640" s="61">
        <v>4.2398825981559423</v>
      </c>
      <c r="AL640" t="s">
        <v>348</v>
      </c>
      <c r="AM640" t="s">
        <v>438</v>
      </c>
      <c r="AN640" t="s">
        <v>425</v>
      </c>
      <c r="AO640" t="s">
        <v>28</v>
      </c>
      <c r="AP640">
        <v>111.133</v>
      </c>
      <c r="AQ640">
        <v>1.0727760310708341</v>
      </c>
      <c r="AR640">
        <v>119.22081866099499</v>
      </c>
      <c r="AS640">
        <v>694.38</v>
      </c>
      <c r="AT640">
        <v>0.875</v>
      </c>
      <c r="AU640">
        <v>72.436483054094012</v>
      </c>
      <c r="AV640">
        <v>0.99250000000000005</v>
      </c>
      <c r="AW640" s="63">
        <v>71.893000000000001</v>
      </c>
      <c r="AX640">
        <v>8.9176000000000002</v>
      </c>
      <c r="AY640">
        <v>0.91300000000000003</v>
      </c>
      <c r="AZ640">
        <v>6064.9193587765631</v>
      </c>
      <c r="BA640">
        <v>0.93847214018507585</v>
      </c>
      <c r="BB640" s="63">
        <v>5691.7578999999996</v>
      </c>
      <c r="BC640" s="61">
        <v>4.0304165788112583</v>
      </c>
    </row>
    <row r="641" spans="1:55" x14ac:dyDescent="0.25">
      <c r="A641">
        <v>202049</v>
      </c>
      <c r="B641" t="s">
        <v>201</v>
      </c>
      <c r="C641">
        <v>2020</v>
      </c>
      <c r="D641">
        <v>2</v>
      </c>
      <c r="E641" t="s">
        <v>100</v>
      </c>
      <c r="F641" t="s">
        <v>426</v>
      </c>
      <c r="G641" t="s">
        <v>84</v>
      </c>
      <c r="H641" t="s">
        <v>59</v>
      </c>
      <c r="I641" t="s">
        <v>427</v>
      </c>
      <c r="J641">
        <v>-17.390262679999999</v>
      </c>
      <c r="K641" t="s">
        <v>440</v>
      </c>
      <c r="L641" t="s">
        <v>450</v>
      </c>
      <c r="M641">
        <v>0.15931709696460999</v>
      </c>
      <c r="N641">
        <v>2.7705661656409961</v>
      </c>
      <c r="O641">
        <v>47588.953000000001</v>
      </c>
      <c r="P641">
        <v>1.500949E-6</v>
      </c>
      <c r="Q641">
        <v>0.14285700000000001</v>
      </c>
      <c r="R641" s="61">
        <v>0.39579477072497582</v>
      </c>
      <c r="S641" t="s">
        <v>347</v>
      </c>
      <c r="T641" t="s">
        <v>437</v>
      </c>
      <c r="U641" t="s">
        <v>425</v>
      </c>
      <c r="V641" t="s">
        <v>26</v>
      </c>
      <c r="W641">
        <v>111.133</v>
      </c>
      <c r="X641">
        <v>1.0541007448257309</v>
      </c>
      <c r="Y641">
        <v>117.145378074718</v>
      </c>
      <c r="Z641">
        <v>640.82000000000005</v>
      </c>
      <c r="AA641">
        <v>1</v>
      </c>
      <c r="AB641">
        <v>75.069101177840764</v>
      </c>
      <c r="AC641">
        <v>0.99109999999999998</v>
      </c>
      <c r="AD641" s="63">
        <v>74.400999999999996</v>
      </c>
      <c r="AE641">
        <v>8.9176000000000002</v>
      </c>
      <c r="AF641">
        <v>9.4000488020579382</v>
      </c>
      <c r="AG641">
        <v>1</v>
      </c>
      <c r="AH641">
        <v>6023.7392733347688</v>
      </c>
      <c r="AI641">
        <v>0.9830373970836227</v>
      </c>
      <c r="AJ641" s="63">
        <v>5921.5609999999997</v>
      </c>
      <c r="AK641" s="61">
        <v>2343.7228783289579</v>
      </c>
      <c r="AL641" t="s">
        <v>348</v>
      </c>
      <c r="AM641" t="s">
        <v>438</v>
      </c>
      <c r="AN641" t="s">
        <v>425</v>
      </c>
      <c r="AO641" t="s">
        <v>26</v>
      </c>
      <c r="AP641">
        <v>111.133</v>
      </c>
      <c r="AQ641">
        <v>1.0727760310708341</v>
      </c>
      <c r="AR641">
        <v>119.22081866099499</v>
      </c>
      <c r="AS641">
        <v>694.38</v>
      </c>
      <c r="AT641">
        <v>0.875</v>
      </c>
      <c r="AU641">
        <v>72.436483054094012</v>
      </c>
      <c r="AV641">
        <v>0.98270000000000002</v>
      </c>
      <c r="AW641" s="63">
        <v>71.183000000000007</v>
      </c>
      <c r="AX641">
        <v>8.9176000000000002</v>
      </c>
      <c r="AY641">
        <v>0.91300000000000003</v>
      </c>
      <c r="AZ641">
        <v>6064.9193587765631</v>
      </c>
      <c r="BA641">
        <v>0.99365142346989388</v>
      </c>
      <c r="BB641" s="63">
        <v>6026.4157999999998</v>
      </c>
      <c r="BC641" s="61">
        <v>2385.2238598543709</v>
      </c>
    </row>
    <row r="642" spans="1:55" x14ac:dyDescent="0.25">
      <c r="A642">
        <v>202051</v>
      </c>
      <c r="B642" t="s">
        <v>201</v>
      </c>
      <c r="C642">
        <v>2020</v>
      </c>
      <c r="D642">
        <v>2</v>
      </c>
      <c r="E642" t="s">
        <v>100</v>
      </c>
      <c r="F642" t="s">
        <v>426</v>
      </c>
      <c r="G642" t="s">
        <v>84</v>
      </c>
      <c r="H642" t="s">
        <v>59</v>
      </c>
      <c r="I642" t="s">
        <v>427</v>
      </c>
      <c r="J642">
        <v>-17.390262679999999</v>
      </c>
      <c r="K642" t="s">
        <v>440</v>
      </c>
      <c r="L642" t="s">
        <v>384</v>
      </c>
      <c r="M642">
        <v>4.1785183859599999E-2</v>
      </c>
      <c r="N642">
        <v>0.72665532345352934</v>
      </c>
      <c r="O642">
        <v>47588.953000000001</v>
      </c>
      <c r="P642">
        <v>1.500949E-6</v>
      </c>
      <c r="Q642">
        <v>0.14285700000000001</v>
      </c>
      <c r="R642" s="61">
        <v>0.1038077995426008</v>
      </c>
      <c r="S642" t="s">
        <v>347</v>
      </c>
      <c r="T642" t="s">
        <v>437</v>
      </c>
      <c r="U642" t="s">
        <v>425</v>
      </c>
      <c r="V642" t="s">
        <v>81</v>
      </c>
      <c r="W642">
        <v>111.133</v>
      </c>
      <c r="X642">
        <v>1.0541007448257309</v>
      </c>
      <c r="Y642">
        <v>117.145378074718</v>
      </c>
      <c r="Z642">
        <v>640.82000000000005</v>
      </c>
      <c r="AA642">
        <v>1</v>
      </c>
      <c r="AB642">
        <v>75.069101177840764</v>
      </c>
      <c r="AC642">
        <v>0.93830000000000002</v>
      </c>
      <c r="AD642" s="63">
        <v>70.436999999999998</v>
      </c>
      <c r="AE642">
        <v>8.9176000000000002</v>
      </c>
      <c r="AF642">
        <v>9.4000488020579382</v>
      </c>
      <c r="AG642">
        <v>1</v>
      </c>
      <c r="AH642">
        <v>6023.7392733347688</v>
      </c>
      <c r="AI642">
        <v>1.098016605166052</v>
      </c>
      <c r="AJ642" s="63">
        <v>6614.1656999999996</v>
      </c>
      <c r="AK642" s="61">
        <v>686.60198712714612</v>
      </c>
      <c r="AL642" t="s">
        <v>348</v>
      </c>
      <c r="AM642" t="s">
        <v>438</v>
      </c>
      <c r="AN642" t="s">
        <v>425</v>
      </c>
      <c r="AO642" t="s">
        <v>81</v>
      </c>
      <c r="AP642">
        <v>111.133</v>
      </c>
      <c r="AQ642">
        <v>1.0727760310708341</v>
      </c>
      <c r="AR642">
        <v>119.22081866099499</v>
      </c>
      <c r="AS642">
        <v>694.38</v>
      </c>
      <c r="AT642">
        <v>0.875</v>
      </c>
      <c r="AU642">
        <v>72.436483054094012</v>
      </c>
      <c r="AV642">
        <v>0.93500000000000005</v>
      </c>
      <c r="AW642" s="63">
        <v>67.727999999999994</v>
      </c>
      <c r="AX642">
        <v>8.9176000000000002</v>
      </c>
      <c r="AY642">
        <v>0.91300000000000003</v>
      </c>
      <c r="AZ642">
        <v>6064.9193587765631</v>
      </c>
      <c r="BA642">
        <v>1.096171586715867</v>
      </c>
      <c r="BB642" s="63">
        <v>6648.1922999999997</v>
      </c>
      <c r="BC642" s="61">
        <v>690.13421359906238</v>
      </c>
    </row>
    <row r="643" spans="1:55" x14ac:dyDescent="0.25">
      <c r="A643">
        <v>202053</v>
      </c>
      <c r="B643" t="s">
        <v>201</v>
      </c>
      <c r="C643">
        <v>2020</v>
      </c>
      <c r="D643">
        <v>2</v>
      </c>
      <c r="E643" t="s">
        <v>100</v>
      </c>
      <c r="F643" t="s">
        <v>426</v>
      </c>
      <c r="G643" t="s">
        <v>84</v>
      </c>
      <c r="H643" t="s">
        <v>59</v>
      </c>
      <c r="I643" t="s">
        <v>427</v>
      </c>
      <c r="J643">
        <v>-17.390262679999999</v>
      </c>
      <c r="K643" t="s">
        <v>440</v>
      </c>
      <c r="L643" t="s">
        <v>385</v>
      </c>
      <c r="M643">
        <v>0.43497567483749999</v>
      </c>
      <c r="N643">
        <v>7.5643412448655081</v>
      </c>
      <c r="O643">
        <v>47588.953000000001</v>
      </c>
      <c r="P643">
        <v>1.500949E-6</v>
      </c>
      <c r="Q643">
        <v>0.14285700000000001</v>
      </c>
      <c r="R643" s="61">
        <v>1.0806190972177521</v>
      </c>
      <c r="S643" t="s">
        <v>347</v>
      </c>
      <c r="T643" t="s">
        <v>437</v>
      </c>
      <c r="U643" t="s">
        <v>425</v>
      </c>
      <c r="V643" t="s">
        <v>27</v>
      </c>
      <c r="W643">
        <v>111.133</v>
      </c>
      <c r="X643">
        <v>1.0541007448257309</v>
      </c>
      <c r="Y643">
        <v>117.145378074718</v>
      </c>
      <c r="Z643">
        <v>640.82000000000005</v>
      </c>
      <c r="AA643">
        <v>1</v>
      </c>
      <c r="AB643">
        <v>75.069101177840764</v>
      </c>
      <c r="AC643">
        <v>0.95889999999999997</v>
      </c>
      <c r="AD643" s="63">
        <v>71.983999999999995</v>
      </c>
      <c r="AE643">
        <v>8.9176000000000002</v>
      </c>
      <c r="AF643">
        <v>9.4000488020579382</v>
      </c>
      <c r="AG643">
        <v>1</v>
      </c>
      <c r="AH643">
        <v>6023.7392733347688</v>
      </c>
      <c r="AI643">
        <v>0.99097621000820357</v>
      </c>
      <c r="AJ643" s="63">
        <v>5969.3823000000002</v>
      </c>
      <c r="AK643" s="61">
        <v>6450.6285119736294</v>
      </c>
      <c r="AL643" t="s">
        <v>348</v>
      </c>
      <c r="AM643" t="s">
        <v>438</v>
      </c>
      <c r="AN643" t="s">
        <v>425</v>
      </c>
      <c r="AO643" t="s">
        <v>27</v>
      </c>
      <c r="AP643">
        <v>111.133</v>
      </c>
      <c r="AQ643">
        <v>1.0727760310708341</v>
      </c>
      <c r="AR643">
        <v>119.22081866099499</v>
      </c>
      <c r="AS643">
        <v>694.38</v>
      </c>
      <c r="AT643">
        <v>0.875</v>
      </c>
      <c r="AU643">
        <v>72.436483054094012</v>
      </c>
      <c r="AV643">
        <v>0.95369999999999999</v>
      </c>
      <c r="AW643" s="63">
        <v>69.082999999999998</v>
      </c>
      <c r="AX643">
        <v>8.9176000000000002</v>
      </c>
      <c r="AY643">
        <v>0.91300000000000003</v>
      </c>
      <c r="AZ643">
        <v>6064.9193587765631</v>
      </c>
      <c r="BA643">
        <v>1.007895816242822</v>
      </c>
      <c r="BB643" s="63">
        <v>6112.8068000000003</v>
      </c>
      <c r="BC643" s="61">
        <v>6605.6157656825362</v>
      </c>
    </row>
    <row r="644" spans="1:55" x14ac:dyDescent="0.25">
      <c r="A644">
        <v>202055</v>
      </c>
      <c r="B644" t="s">
        <v>201</v>
      </c>
      <c r="C644">
        <v>2020</v>
      </c>
      <c r="D644">
        <v>2</v>
      </c>
      <c r="E644" t="s">
        <v>100</v>
      </c>
      <c r="F644" t="s">
        <v>426</v>
      </c>
      <c r="G644" t="s">
        <v>84</v>
      </c>
      <c r="H644" t="s">
        <v>59</v>
      </c>
      <c r="I644" t="s">
        <v>427</v>
      </c>
      <c r="J644">
        <v>-17.390262679999999</v>
      </c>
      <c r="K644" t="s">
        <v>440</v>
      </c>
      <c r="L644" t="s">
        <v>451</v>
      </c>
      <c r="M644">
        <v>1.7625750762999999E-3</v>
      </c>
      <c r="N644">
        <v>3.065164357020413E-2</v>
      </c>
      <c r="O644">
        <v>47588.953000000001</v>
      </c>
      <c r="P644">
        <v>1.500949E-6</v>
      </c>
      <c r="Q644">
        <v>0.14285700000000001</v>
      </c>
      <c r="R644" s="61">
        <v>4.3788018455086517E-3</v>
      </c>
      <c r="S644" t="s">
        <v>347</v>
      </c>
      <c r="T644" t="s">
        <v>437</v>
      </c>
      <c r="U644" t="s">
        <v>425</v>
      </c>
      <c r="V644" t="s">
        <v>91</v>
      </c>
      <c r="W644">
        <v>111.133</v>
      </c>
      <c r="X644">
        <v>1.0541007448257309</v>
      </c>
      <c r="Y644">
        <v>117.145378074718</v>
      </c>
      <c r="Z644">
        <v>640.82000000000005</v>
      </c>
      <c r="AA644">
        <v>1</v>
      </c>
      <c r="AB644">
        <v>75.069101177840764</v>
      </c>
      <c r="AC644">
        <v>1.0088999999999999</v>
      </c>
      <c r="AD644" s="63">
        <v>75.736999999999995</v>
      </c>
      <c r="AE644">
        <v>8.9176000000000002</v>
      </c>
      <c r="AF644">
        <v>9.4000488020579382</v>
      </c>
      <c r="AG644">
        <v>1</v>
      </c>
      <c r="AH644">
        <v>6023.7392733347688</v>
      </c>
      <c r="AI644">
        <v>0.99316673174541203</v>
      </c>
      <c r="AJ644" s="63">
        <v>5982.5774000000001</v>
      </c>
      <c r="AK644" s="61">
        <v>26.196520960018351</v>
      </c>
      <c r="AL644" t="s">
        <v>348</v>
      </c>
      <c r="AM644" t="s">
        <v>438</v>
      </c>
      <c r="AN644" t="s">
        <v>425</v>
      </c>
      <c r="AO644" t="s">
        <v>91</v>
      </c>
      <c r="AP644">
        <v>111.133</v>
      </c>
      <c r="AQ644">
        <v>1.0727760310708341</v>
      </c>
      <c r="AR644">
        <v>119.22081866099499</v>
      </c>
      <c r="AS644">
        <v>694.38</v>
      </c>
      <c r="AT644">
        <v>0.875</v>
      </c>
      <c r="AU644">
        <v>72.436483054094012</v>
      </c>
      <c r="AV644">
        <v>1.0179</v>
      </c>
      <c r="AW644" s="63">
        <v>73.733000000000004</v>
      </c>
      <c r="AX644">
        <v>8.9176000000000002</v>
      </c>
      <c r="AY644">
        <v>0.91300000000000003</v>
      </c>
      <c r="AZ644">
        <v>6064.9193587765631</v>
      </c>
      <c r="BA644">
        <v>0.98975009761811794</v>
      </c>
      <c r="BB644" s="63">
        <v>6002.7545</v>
      </c>
      <c r="BC644" s="61">
        <v>26.284872482735359</v>
      </c>
    </row>
    <row r="645" spans="1:55" x14ac:dyDescent="0.25">
      <c r="A645">
        <v>202057</v>
      </c>
      <c r="B645" t="s">
        <v>201</v>
      </c>
      <c r="C645">
        <v>2020</v>
      </c>
      <c r="D645">
        <v>2</v>
      </c>
      <c r="E645" t="s">
        <v>100</v>
      </c>
      <c r="F645" t="s">
        <v>426</v>
      </c>
      <c r="G645" t="s">
        <v>84</v>
      </c>
      <c r="H645" t="s">
        <v>59</v>
      </c>
      <c r="I645" t="s">
        <v>427</v>
      </c>
      <c r="J645">
        <v>-17.390262679999999</v>
      </c>
      <c r="K645" t="s">
        <v>440</v>
      </c>
      <c r="L645" t="s">
        <v>452</v>
      </c>
      <c r="M645">
        <v>1.4858046103299999E-3</v>
      </c>
      <c r="N645">
        <v>2.5838532464900029E-2</v>
      </c>
      <c r="O645">
        <v>47588.953000000001</v>
      </c>
      <c r="P645">
        <v>1.500949E-6</v>
      </c>
      <c r="Q645">
        <v>0.14285700000000001</v>
      </c>
      <c r="R645" s="61">
        <v>3.691215232338224E-3</v>
      </c>
      <c r="S645" t="s">
        <v>347</v>
      </c>
      <c r="T645" t="s">
        <v>437</v>
      </c>
      <c r="U645" t="s">
        <v>425</v>
      </c>
      <c r="V645" t="s">
        <v>28</v>
      </c>
      <c r="W645">
        <v>111.133</v>
      </c>
      <c r="X645">
        <v>1.0541007448257309</v>
      </c>
      <c r="Y645">
        <v>117.145378074718</v>
      </c>
      <c r="Z645">
        <v>640.82000000000005</v>
      </c>
      <c r="AA645">
        <v>1</v>
      </c>
      <c r="AB645">
        <v>75.069101177840764</v>
      </c>
      <c r="AC645">
        <v>1.0073000000000001</v>
      </c>
      <c r="AD645" s="63">
        <v>75.617000000000004</v>
      </c>
      <c r="AE645">
        <v>8.9176000000000002</v>
      </c>
      <c r="AF645">
        <v>9.4000488020579382</v>
      </c>
      <c r="AG645">
        <v>1</v>
      </c>
      <c r="AH645">
        <v>6023.7392733347688</v>
      </c>
      <c r="AI645">
        <v>0.99399488088206345</v>
      </c>
      <c r="AJ645" s="63">
        <v>5987.5659999999998</v>
      </c>
      <c r="AK645" s="61">
        <v>22.10139482383045</v>
      </c>
      <c r="AL645" t="s">
        <v>348</v>
      </c>
      <c r="AM645" t="s">
        <v>438</v>
      </c>
      <c r="AN645" t="s">
        <v>425</v>
      </c>
      <c r="AO645" t="s">
        <v>28</v>
      </c>
      <c r="AP645">
        <v>111.133</v>
      </c>
      <c r="AQ645">
        <v>1.0727760310708341</v>
      </c>
      <c r="AR645">
        <v>119.22081866099499</v>
      </c>
      <c r="AS645">
        <v>694.38</v>
      </c>
      <c r="AT645">
        <v>0.875</v>
      </c>
      <c r="AU645">
        <v>72.436483054094012</v>
      </c>
      <c r="AV645">
        <v>0.99250000000000005</v>
      </c>
      <c r="AW645" s="63">
        <v>71.893000000000001</v>
      </c>
      <c r="AX645">
        <v>8.9176000000000002</v>
      </c>
      <c r="AY645">
        <v>0.91300000000000003</v>
      </c>
      <c r="AZ645">
        <v>6064.9193587765631</v>
      </c>
      <c r="BA645">
        <v>0.93847214018507585</v>
      </c>
      <c r="BB645" s="63">
        <v>5691.7578999999996</v>
      </c>
      <c r="BC645" s="61">
        <v>21.00950345926142</v>
      </c>
    </row>
    <row r="646" spans="1:55" x14ac:dyDescent="0.25">
      <c r="A646">
        <v>209291</v>
      </c>
      <c r="B646" t="s">
        <v>205</v>
      </c>
      <c r="C646">
        <v>2020</v>
      </c>
      <c r="D646">
        <v>3</v>
      </c>
      <c r="E646" t="s">
        <v>100</v>
      </c>
      <c r="F646" t="s">
        <v>426</v>
      </c>
      <c r="G646" t="s">
        <v>84</v>
      </c>
      <c r="H646" t="s">
        <v>381</v>
      </c>
      <c r="I646" t="s">
        <v>427</v>
      </c>
      <c r="J646">
        <v>-32.004116019999998</v>
      </c>
      <c r="K646" t="s">
        <v>440</v>
      </c>
      <c r="L646" t="s">
        <v>450</v>
      </c>
      <c r="M646">
        <v>0.15011157993331001</v>
      </c>
      <c r="N646">
        <v>4.8041884206151471</v>
      </c>
      <c r="O646">
        <v>47588.953000000001</v>
      </c>
      <c r="P646">
        <v>1.500949E-6</v>
      </c>
      <c r="Q646">
        <v>0.14285700000000001</v>
      </c>
      <c r="R646" s="61">
        <v>0.68631194520381811</v>
      </c>
      <c r="S646" t="s">
        <v>347</v>
      </c>
      <c r="T646" t="s">
        <v>437</v>
      </c>
      <c r="U646" t="s">
        <v>425</v>
      </c>
      <c r="V646" t="s">
        <v>26</v>
      </c>
      <c r="W646">
        <v>111.133</v>
      </c>
      <c r="X646">
        <v>1.0541007448257309</v>
      </c>
      <c r="Y646">
        <v>117.145378074718</v>
      </c>
      <c r="Z646">
        <v>640.82000000000005</v>
      </c>
      <c r="AA646">
        <v>1</v>
      </c>
      <c r="AB646">
        <v>75.069101177840764</v>
      </c>
      <c r="AC646">
        <v>0.99109999999999998</v>
      </c>
      <c r="AD646" s="63">
        <v>74.400999999999996</v>
      </c>
      <c r="AE646">
        <v>8.9176000000000002</v>
      </c>
      <c r="AF646">
        <v>9.4000488020579382</v>
      </c>
      <c r="AG646">
        <v>1</v>
      </c>
      <c r="AH646">
        <v>6023.7392733347688</v>
      </c>
      <c r="AI646">
        <v>0.9830373970836227</v>
      </c>
      <c r="AJ646" s="63">
        <v>5921.5609999999997</v>
      </c>
      <c r="AK646" s="61">
        <v>4064.0380485530659</v>
      </c>
      <c r="AL646" t="s">
        <v>348</v>
      </c>
      <c r="AM646" t="s">
        <v>438</v>
      </c>
      <c r="AN646" t="s">
        <v>425</v>
      </c>
      <c r="AO646" t="s">
        <v>26</v>
      </c>
      <c r="AP646">
        <v>111.133</v>
      </c>
      <c r="AQ646">
        <v>1.0727760310708341</v>
      </c>
      <c r="AR646">
        <v>119.22081866099499</v>
      </c>
      <c r="AS646">
        <v>694.38</v>
      </c>
      <c r="AT646">
        <v>0.875</v>
      </c>
      <c r="AU646">
        <v>72.436483054094012</v>
      </c>
      <c r="AV646">
        <v>0.98270000000000002</v>
      </c>
      <c r="AW646" s="63">
        <v>71.183000000000007</v>
      </c>
      <c r="AX646">
        <v>8.9176000000000002</v>
      </c>
      <c r="AY646">
        <v>0.91300000000000003</v>
      </c>
      <c r="AZ646">
        <v>6064.9193587765631</v>
      </c>
      <c r="BA646">
        <v>0.99365142346989388</v>
      </c>
      <c r="BB646" s="63">
        <v>6026.4157999999998</v>
      </c>
      <c r="BC646" s="61">
        <v>4136.0011503050237</v>
      </c>
    </row>
    <row r="647" spans="1:55" x14ac:dyDescent="0.25">
      <c r="A647">
        <v>209293</v>
      </c>
      <c r="B647" t="s">
        <v>205</v>
      </c>
      <c r="C647">
        <v>2020</v>
      </c>
      <c r="D647">
        <v>3</v>
      </c>
      <c r="E647" t="s">
        <v>100</v>
      </c>
      <c r="F647" t="s">
        <v>426</v>
      </c>
      <c r="G647" t="s">
        <v>84</v>
      </c>
      <c r="H647" t="s">
        <v>381</v>
      </c>
      <c r="I647" t="s">
        <v>427</v>
      </c>
      <c r="J647">
        <v>-32.004116019999998</v>
      </c>
      <c r="K647" t="s">
        <v>440</v>
      </c>
      <c r="L647" t="s">
        <v>384</v>
      </c>
      <c r="M647">
        <v>4.5811354346740003E-2</v>
      </c>
      <c r="N647">
        <v>1.466151899694103</v>
      </c>
      <c r="O647">
        <v>47588.953000000001</v>
      </c>
      <c r="P647">
        <v>1.500949E-6</v>
      </c>
      <c r="Q647">
        <v>0.14285700000000001</v>
      </c>
      <c r="R647" s="61">
        <v>0.2094500619346005</v>
      </c>
      <c r="S647" t="s">
        <v>347</v>
      </c>
      <c r="T647" t="s">
        <v>437</v>
      </c>
      <c r="U647" t="s">
        <v>425</v>
      </c>
      <c r="V647" t="s">
        <v>81</v>
      </c>
      <c r="W647">
        <v>111.133</v>
      </c>
      <c r="X647">
        <v>1.0541007448257309</v>
      </c>
      <c r="Y647">
        <v>117.145378074718</v>
      </c>
      <c r="Z647">
        <v>640.82000000000005</v>
      </c>
      <c r="AA647">
        <v>1</v>
      </c>
      <c r="AB647">
        <v>75.069101177840764</v>
      </c>
      <c r="AC647">
        <v>0.93830000000000002</v>
      </c>
      <c r="AD647" s="63">
        <v>70.436999999999998</v>
      </c>
      <c r="AE647">
        <v>8.9176000000000002</v>
      </c>
      <c r="AF647">
        <v>9.4000488020579382</v>
      </c>
      <c r="AG647">
        <v>1</v>
      </c>
      <c r="AH647">
        <v>6023.7392733347688</v>
      </c>
      <c r="AI647">
        <v>1.098016605166052</v>
      </c>
      <c r="AJ647" s="63">
        <v>6614.1656999999996</v>
      </c>
      <c r="AK647" s="61">
        <v>1385.3374155107099</v>
      </c>
      <c r="AL647" t="s">
        <v>348</v>
      </c>
      <c r="AM647" t="s">
        <v>438</v>
      </c>
      <c r="AN647" t="s">
        <v>425</v>
      </c>
      <c r="AO647" t="s">
        <v>81</v>
      </c>
      <c r="AP647">
        <v>111.133</v>
      </c>
      <c r="AQ647">
        <v>1.0727760310708341</v>
      </c>
      <c r="AR647">
        <v>119.22081866099499</v>
      </c>
      <c r="AS647">
        <v>694.38</v>
      </c>
      <c r="AT647">
        <v>0.875</v>
      </c>
      <c r="AU647">
        <v>72.436483054094012</v>
      </c>
      <c r="AV647">
        <v>0.93500000000000005</v>
      </c>
      <c r="AW647" s="63">
        <v>67.727999999999994</v>
      </c>
      <c r="AX647">
        <v>8.9176000000000002</v>
      </c>
      <c r="AY647">
        <v>0.91300000000000003</v>
      </c>
      <c r="AZ647">
        <v>6064.9193587765631</v>
      </c>
      <c r="BA647">
        <v>1.096171586715867</v>
      </c>
      <c r="BB647" s="63">
        <v>6648.1922999999997</v>
      </c>
      <c r="BC647" s="61">
        <v>1392.4642889881341</v>
      </c>
    </row>
    <row r="648" spans="1:55" x14ac:dyDescent="0.25">
      <c r="A648">
        <v>209295</v>
      </c>
      <c r="B648" t="s">
        <v>205</v>
      </c>
      <c r="C648">
        <v>2020</v>
      </c>
      <c r="D648">
        <v>3</v>
      </c>
      <c r="E648" t="s">
        <v>100</v>
      </c>
      <c r="F648" t="s">
        <v>426</v>
      </c>
      <c r="G648" t="s">
        <v>84</v>
      </c>
      <c r="H648" t="s">
        <v>381</v>
      </c>
      <c r="I648" t="s">
        <v>427</v>
      </c>
      <c r="J648">
        <v>-32.004116019999998</v>
      </c>
      <c r="K648" t="s">
        <v>440</v>
      </c>
      <c r="L648" t="s">
        <v>385</v>
      </c>
      <c r="M648">
        <v>0.43232641346992001</v>
      </c>
      <c r="N648">
        <v>13.836224696595719</v>
      </c>
      <c r="O648">
        <v>47588.953000000001</v>
      </c>
      <c r="P648">
        <v>1.500949E-6</v>
      </c>
      <c r="Q648">
        <v>0.14285700000000001</v>
      </c>
      <c r="R648" s="61">
        <v>1.9766015514815749</v>
      </c>
      <c r="S648" t="s">
        <v>347</v>
      </c>
      <c r="T648" t="s">
        <v>437</v>
      </c>
      <c r="U648" t="s">
        <v>425</v>
      </c>
      <c r="V648" t="s">
        <v>27</v>
      </c>
      <c r="W648">
        <v>111.133</v>
      </c>
      <c r="X648">
        <v>1.0541007448257309</v>
      </c>
      <c r="Y648">
        <v>117.145378074718</v>
      </c>
      <c r="Z648">
        <v>640.82000000000005</v>
      </c>
      <c r="AA648">
        <v>1</v>
      </c>
      <c r="AB648">
        <v>75.069101177840764</v>
      </c>
      <c r="AC648">
        <v>0.95889999999999997</v>
      </c>
      <c r="AD648" s="63">
        <v>71.983999999999995</v>
      </c>
      <c r="AE648">
        <v>8.9176000000000002</v>
      </c>
      <c r="AF648">
        <v>9.4000488020579382</v>
      </c>
      <c r="AG648">
        <v>1</v>
      </c>
      <c r="AH648">
        <v>6023.7392733347688</v>
      </c>
      <c r="AI648">
        <v>0.99097621000820357</v>
      </c>
      <c r="AJ648" s="63">
        <v>5969.3823000000002</v>
      </c>
      <c r="AK648" s="61">
        <v>11799.090315566649</v>
      </c>
      <c r="AL648" t="s">
        <v>348</v>
      </c>
      <c r="AM648" t="s">
        <v>438</v>
      </c>
      <c r="AN648" t="s">
        <v>425</v>
      </c>
      <c r="AO648" t="s">
        <v>27</v>
      </c>
      <c r="AP648">
        <v>111.133</v>
      </c>
      <c r="AQ648">
        <v>1.0727760310708341</v>
      </c>
      <c r="AR648">
        <v>119.22081866099499</v>
      </c>
      <c r="AS648">
        <v>694.38</v>
      </c>
      <c r="AT648">
        <v>0.875</v>
      </c>
      <c r="AU648">
        <v>72.436483054094012</v>
      </c>
      <c r="AV648">
        <v>0.95369999999999999</v>
      </c>
      <c r="AW648" s="63">
        <v>69.082999999999998</v>
      </c>
      <c r="AX648">
        <v>8.9176000000000002</v>
      </c>
      <c r="AY648">
        <v>0.91300000000000003</v>
      </c>
      <c r="AZ648">
        <v>6064.9193587765631</v>
      </c>
      <c r="BA648">
        <v>1.007895816242822</v>
      </c>
      <c r="BB648" s="63">
        <v>6112.8068000000003</v>
      </c>
      <c r="BC648" s="61">
        <v>12082.583404787119</v>
      </c>
    </row>
    <row r="649" spans="1:55" x14ac:dyDescent="0.25">
      <c r="A649">
        <v>209297</v>
      </c>
      <c r="B649" t="s">
        <v>205</v>
      </c>
      <c r="C649">
        <v>2020</v>
      </c>
      <c r="D649">
        <v>3</v>
      </c>
      <c r="E649" t="s">
        <v>100</v>
      </c>
      <c r="F649" t="s">
        <v>426</v>
      </c>
      <c r="G649" t="s">
        <v>84</v>
      </c>
      <c r="H649" t="s">
        <v>381</v>
      </c>
      <c r="I649" t="s">
        <v>427</v>
      </c>
      <c r="J649">
        <v>-32.004116019999998</v>
      </c>
      <c r="K649" t="s">
        <v>440</v>
      </c>
      <c r="L649" t="s">
        <v>451</v>
      </c>
      <c r="M649">
        <v>1.6825115802299999E-3</v>
      </c>
      <c r="N649">
        <v>5.3847295824099209E-2</v>
      </c>
      <c r="O649">
        <v>47588.953000000001</v>
      </c>
      <c r="P649">
        <v>1.500949E-6</v>
      </c>
      <c r="Q649">
        <v>0.14285700000000001</v>
      </c>
      <c r="R649" s="61">
        <v>7.6924631395433414E-3</v>
      </c>
      <c r="S649" t="s">
        <v>347</v>
      </c>
      <c r="T649" t="s">
        <v>437</v>
      </c>
      <c r="U649" t="s">
        <v>425</v>
      </c>
      <c r="V649" t="s">
        <v>91</v>
      </c>
      <c r="W649">
        <v>111.133</v>
      </c>
      <c r="X649">
        <v>1.0541007448257309</v>
      </c>
      <c r="Y649">
        <v>117.145378074718</v>
      </c>
      <c r="Z649">
        <v>640.82000000000005</v>
      </c>
      <c r="AA649">
        <v>1</v>
      </c>
      <c r="AB649">
        <v>75.069101177840764</v>
      </c>
      <c r="AC649">
        <v>1.0088999999999999</v>
      </c>
      <c r="AD649" s="63">
        <v>75.736999999999995</v>
      </c>
      <c r="AE649">
        <v>8.9176000000000002</v>
      </c>
      <c r="AF649">
        <v>9.4000488020579382</v>
      </c>
      <c r="AG649">
        <v>1</v>
      </c>
      <c r="AH649">
        <v>6023.7392733347688</v>
      </c>
      <c r="AI649">
        <v>0.99316673174541203</v>
      </c>
      <c r="AJ649" s="63">
        <v>5982.5774000000001</v>
      </c>
      <c r="AK649" s="61">
        <v>46.02075612896504</v>
      </c>
      <c r="AL649" t="s">
        <v>348</v>
      </c>
      <c r="AM649" t="s">
        <v>438</v>
      </c>
      <c r="AN649" t="s">
        <v>425</v>
      </c>
      <c r="AO649" t="s">
        <v>91</v>
      </c>
      <c r="AP649">
        <v>111.133</v>
      </c>
      <c r="AQ649">
        <v>1.0727760310708341</v>
      </c>
      <c r="AR649">
        <v>119.22081866099499</v>
      </c>
      <c r="AS649">
        <v>694.38</v>
      </c>
      <c r="AT649">
        <v>0.875</v>
      </c>
      <c r="AU649">
        <v>72.436483054094012</v>
      </c>
      <c r="AV649">
        <v>1.0179</v>
      </c>
      <c r="AW649" s="63">
        <v>73.733000000000004</v>
      </c>
      <c r="AX649">
        <v>8.9176000000000002</v>
      </c>
      <c r="AY649">
        <v>0.91300000000000003</v>
      </c>
      <c r="AZ649">
        <v>6064.9193587765631</v>
      </c>
      <c r="BA649">
        <v>0.98975009761811794</v>
      </c>
      <c r="BB649" s="63">
        <v>6002.7545</v>
      </c>
      <c r="BC649" s="61">
        <v>46.175967726977923</v>
      </c>
    </row>
    <row r="650" spans="1:55" x14ac:dyDescent="0.25">
      <c r="A650">
        <v>209299</v>
      </c>
      <c r="B650" t="s">
        <v>205</v>
      </c>
      <c r="C650">
        <v>2020</v>
      </c>
      <c r="D650">
        <v>3</v>
      </c>
      <c r="E650" t="s">
        <v>100</v>
      </c>
      <c r="F650" t="s">
        <v>426</v>
      </c>
      <c r="G650" t="s">
        <v>84</v>
      </c>
      <c r="H650" t="s">
        <v>381</v>
      </c>
      <c r="I650" t="s">
        <v>427</v>
      </c>
      <c r="J650">
        <v>-32.004116019999998</v>
      </c>
      <c r="K650" t="s">
        <v>440</v>
      </c>
      <c r="L650" t="s">
        <v>452</v>
      </c>
      <c r="M650">
        <v>1.53682162831E-3</v>
      </c>
      <c r="N650">
        <v>4.9184617699433567E-2</v>
      </c>
      <c r="O650">
        <v>47588.953000000001</v>
      </c>
      <c r="P650">
        <v>1.500949E-6</v>
      </c>
      <c r="Q650">
        <v>0.14285700000000001</v>
      </c>
      <c r="R650" s="61">
        <v>7.0263669306879816E-3</v>
      </c>
      <c r="S650" t="s">
        <v>347</v>
      </c>
      <c r="T650" t="s">
        <v>437</v>
      </c>
      <c r="U650" t="s">
        <v>425</v>
      </c>
      <c r="V650" t="s">
        <v>28</v>
      </c>
      <c r="W650">
        <v>111.133</v>
      </c>
      <c r="X650">
        <v>1.0541007448257309</v>
      </c>
      <c r="Y650">
        <v>117.145378074718</v>
      </c>
      <c r="Z650">
        <v>640.82000000000005</v>
      </c>
      <c r="AA650">
        <v>1</v>
      </c>
      <c r="AB650">
        <v>75.069101177840764</v>
      </c>
      <c r="AC650">
        <v>1.0073000000000001</v>
      </c>
      <c r="AD650" s="63">
        <v>75.617000000000004</v>
      </c>
      <c r="AE650">
        <v>8.9176000000000002</v>
      </c>
      <c r="AF650">
        <v>9.4000488020579382</v>
      </c>
      <c r="AG650">
        <v>1</v>
      </c>
      <c r="AH650">
        <v>6023.7392733347688</v>
      </c>
      <c r="AI650">
        <v>0.99399488088206345</v>
      </c>
      <c r="AJ650" s="63">
        <v>5987.5659999999998</v>
      </c>
      <c r="AK650" s="61">
        <v>42.070835737711718</v>
      </c>
      <c r="AL650" t="s">
        <v>348</v>
      </c>
      <c r="AM650" t="s">
        <v>438</v>
      </c>
      <c r="AN650" t="s">
        <v>425</v>
      </c>
      <c r="AO650" t="s">
        <v>28</v>
      </c>
      <c r="AP650">
        <v>111.133</v>
      </c>
      <c r="AQ650">
        <v>1.0727760310708341</v>
      </c>
      <c r="AR650">
        <v>119.22081866099499</v>
      </c>
      <c r="AS650">
        <v>694.38</v>
      </c>
      <c r="AT650">
        <v>0.875</v>
      </c>
      <c r="AU650">
        <v>72.436483054094012</v>
      </c>
      <c r="AV650">
        <v>0.99250000000000005</v>
      </c>
      <c r="AW650" s="63">
        <v>71.893000000000001</v>
      </c>
      <c r="AX650">
        <v>8.9176000000000002</v>
      </c>
      <c r="AY650">
        <v>0.91300000000000003</v>
      </c>
      <c r="AZ650">
        <v>6064.9193587765631</v>
      </c>
      <c r="BA650">
        <v>0.93847214018507585</v>
      </c>
      <c r="BB650" s="63">
        <v>5691.7578999999996</v>
      </c>
      <c r="BC650" s="61">
        <v>39.992379486042083</v>
      </c>
    </row>
    <row r="651" spans="1:55" x14ac:dyDescent="0.25">
      <c r="A651">
        <v>209301</v>
      </c>
      <c r="B651" t="s">
        <v>205</v>
      </c>
      <c r="C651">
        <v>2020</v>
      </c>
      <c r="D651">
        <v>3</v>
      </c>
      <c r="E651" t="s">
        <v>100</v>
      </c>
      <c r="F651" t="s">
        <v>426</v>
      </c>
      <c r="G651" t="s">
        <v>84</v>
      </c>
      <c r="H651" t="s">
        <v>87</v>
      </c>
      <c r="I651" t="s">
        <v>427</v>
      </c>
      <c r="J651">
        <v>-5.8835884299999996</v>
      </c>
      <c r="K651" t="s">
        <v>440</v>
      </c>
      <c r="L651" t="s">
        <v>450</v>
      </c>
      <c r="M651">
        <v>0.26601384014995</v>
      </c>
      <c r="N651">
        <v>1.56511595164048</v>
      </c>
      <c r="O651">
        <v>47588.953000000001</v>
      </c>
      <c r="P651">
        <v>1.500949E-6</v>
      </c>
      <c r="Q651">
        <v>0.14285700000000001</v>
      </c>
      <c r="R651" s="61">
        <v>0.22358776950350401</v>
      </c>
      <c r="S651" t="s">
        <v>347</v>
      </c>
      <c r="T651" t="s">
        <v>437</v>
      </c>
      <c r="U651" t="s">
        <v>425</v>
      </c>
      <c r="V651" t="s">
        <v>26</v>
      </c>
      <c r="W651">
        <v>111.133</v>
      </c>
      <c r="X651">
        <v>1.0541007448257309</v>
      </c>
      <c r="Y651">
        <v>117.145378074718</v>
      </c>
      <c r="Z651">
        <v>640.82000000000005</v>
      </c>
      <c r="AA651">
        <v>1</v>
      </c>
      <c r="AB651">
        <v>75.069101177840764</v>
      </c>
      <c r="AC651">
        <v>0.99109999999999998</v>
      </c>
      <c r="AD651" s="63">
        <v>74.400999999999996</v>
      </c>
      <c r="AE651">
        <v>8.9176000000000002</v>
      </c>
      <c r="AF651">
        <v>9.4000488020579382</v>
      </c>
      <c r="AG651">
        <v>1</v>
      </c>
      <c r="AH651">
        <v>6023.7392733347688</v>
      </c>
      <c r="AI651">
        <v>0.9830373970836227</v>
      </c>
      <c r="AJ651" s="63">
        <v>5921.5609999999997</v>
      </c>
      <c r="AK651" s="61">
        <v>1323.988615968939</v>
      </c>
      <c r="AL651" t="s">
        <v>348</v>
      </c>
      <c r="AM651" t="s">
        <v>438</v>
      </c>
      <c r="AN651" t="s">
        <v>425</v>
      </c>
      <c r="AO651" t="s">
        <v>26</v>
      </c>
      <c r="AP651">
        <v>111.133</v>
      </c>
      <c r="AQ651">
        <v>1.0727760310708341</v>
      </c>
      <c r="AR651">
        <v>119.22081866099499</v>
      </c>
      <c r="AS651">
        <v>694.38</v>
      </c>
      <c r="AT651">
        <v>0.875</v>
      </c>
      <c r="AU651">
        <v>72.436483054094012</v>
      </c>
      <c r="AV651">
        <v>0.98270000000000002</v>
      </c>
      <c r="AW651" s="63">
        <v>71.183000000000007</v>
      </c>
      <c r="AX651">
        <v>8.9176000000000002</v>
      </c>
      <c r="AY651">
        <v>0.91300000000000003</v>
      </c>
      <c r="AZ651">
        <v>6064.9193587765631</v>
      </c>
      <c r="BA651">
        <v>0.99365142346989388</v>
      </c>
      <c r="BB651" s="63">
        <v>6026.4157999999998</v>
      </c>
      <c r="BC651" s="61">
        <v>1347.4328668226749</v>
      </c>
    </row>
    <row r="652" spans="1:55" x14ac:dyDescent="0.25">
      <c r="A652">
        <v>209303</v>
      </c>
      <c r="B652" t="s">
        <v>205</v>
      </c>
      <c r="C652">
        <v>2020</v>
      </c>
      <c r="D652">
        <v>3</v>
      </c>
      <c r="E652" t="s">
        <v>100</v>
      </c>
      <c r="F652" t="s">
        <v>426</v>
      </c>
      <c r="G652" t="s">
        <v>84</v>
      </c>
      <c r="H652" t="s">
        <v>87</v>
      </c>
      <c r="I652" t="s">
        <v>427</v>
      </c>
      <c r="J652">
        <v>-5.8835884299999996</v>
      </c>
      <c r="K652" t="s">
        <v>440</v>
      </c>
      <c r="L652" t="s">
        <v>384</v>
      </c>
      <c r="M652">
        <v>3.9509559941419997E-2</v>
      </c>
      <c r="N652">
        <v>0.2324579896736014</v>
      </c>
      <c r="O652">
        <v>47588.953000000001</v>
      </c>
      <c r="P652">
        <v>1.500949E-6</v>
      </c>
      <c r="Q652">
        <v>0.14285700000000001</v>
      </c>
      <c r="R652" s="61">
        <v>3.3208251030801668E-2</v>
      </c>
      <c r="S652" t="s">
        <v>347</v>
      </c>
      <c r="T652" t="s">
        <v>437</v>
      </c>
      <c r="U652" t="s">
        <v>425</v>
      </c>
      <c r="V652" t="s">
        <v>81</v>
      </c>
      <c r="W652">
        <v>111.133</v>
      </c>
      <c r="X652">
        <v>1.0541007448257309</v>
      </c>
      <c r="Y652">
        <v>117.145378074718</v>
      </c>
      <c r="Z652">
        <v>640.82000000000005</v>
      </c>
      <c r="AA652">
        <v>1</v>
      </c>
      <c r="AB652">
        <v>75.069101177840764</v>
      </c>
      <c r="AC652">
        <v>0.93830000000000002</v>
      </c>
      <c r="AD652" s="63">
        <v>70.436999999999998</v>
      </c>
      <c r="AE652">
        <v>8.9176000000000002</v>
      </c>
      <c r="AF652">
        <v>9.4000488020579382</v>
      </c>
      <c r="AG652">
        <v>1</v>
      </c>
      <c r="AH652">
        <v>6023.7392733347688</v>
      </c>
      <c r="AI652">
        <v>1.098016605166052</v>
      </c>
      <c r="AJ652" s="63">
        <v>6614.1656999999996</v>
      </c>
      <c r="AK652" s="61">
        <v>219.6448749249181</v>
      </c>
      <c r="AL652" t="s">
        <v>348</v>
      </c>
      <c r="AM652" t="s">
        <v>438</v>
      </c>
      <c r="AN652" t="s">
        <v>425</v>
      </c>
      <c r="AO652" t="s">
        <v>81</v>
      </c>
      <c r="AP652">
        <v>111.133</v>
      </c>
      <c r="AQ652">
        <v>1.0727760310708341</v>
      </c>
      <c r="AR652">
        <v>119.22081866099499</v>
      </c>
      <c r="AS652">
        <v>694.38</v>
      </c>
      <c r="AT652">
        <v>0.875</v>
      </c>
      <c r="AU652">
        <v>72.436483054094012</v>
      </c>
      <c r="AV652">
        <v>0.93500000000000005</v>
      </c>
      <c r="AW652" s="63">
        <v>67.727999999999994</v>
      </c>
      <c r="AX652">
        <v>8.9176000000000002</v>
      </c>
      <c r="AY652">
        <v>0.91300000000000003</v>
      </c>
      <c r="AZ652">
        <v>6064.9193587765631</v>
      </c>
      <c r="BA652">
        <v>1.096171586715867</v>
      </c>
      <c r="BB652" s="63">
        <v>6648.1922999999997</v>
      </c>
      <c r="BC652" s="61">
        <v>220.77483879944279</v>
      </c>
    </row>
    <row r="653" spans="1:55" x14ac:dyDescent="0.25">
      <c r="A653">
        <v>209305</v>
      </c>
      <c r="B653" t="s">
        <v>205</v>
      </c>
      <c r="C653">
        <v>2020</v>
      </c>
      <c r="D653">
        <v>3</v>
      </c>
      <c r="E653" t="s">
        <v>100</v>
      </c>
      <c r="F653" t="s">
        <v>426</v>
      </c>
      <c r="G653" t="s">
        <v>84</v>
      </c>
      <c r="H653" t="s">
        <v>87</v>
      </c>
      <c r="I653" t="s">
        <v>427</v>
      </c>
      <c r="J653">
        <v>-5.8835884299999996</v>
      </c>
      <c r="K653" t="s">
        <v>440</v>
      </c>
      <c r="L653" t="s">
        <v>385</v>
      </c>
      <c r="M653">
        <v>0.39737542925016001</v>
      </c>
      <c r="N653">
        <v>2.3379934771770752</v>
      </c>
      <c r="O653">
        <v>47588.953000000001</v>
      </c>
      <c r="P653">
        <v>1.500949E-6</v>
      </c>
      <c r="Q653">
        <v>0.14285700000000001</v>
      </c>
      <c r="R653" s="61">
        <v>0.33399873416908538</v>
      </c>
      <c r="S653" t="s">
        <v>347</v>
      </c>
      <c r="T653" t="s">
        <v>437</v>
      </c>
      <c r="U653" t="s">
        <v>425</v>
      </c>
      <c r="V653" t="s">
        <v>27</v>
      </c>
      <c r="W653">
        <v>111.133</v>
      </c>
      <c r="X653">
        <v>1.0541007448257309</v>
      </c>
      <c r="Y653">
        <v>117.145378074718</v>
      </c>
      <c r="Z653">
        <v>640.82000000000005</v>
      </c>
      <c r="AA653">
        <v>1</v>
      </c>
      <c r="AB653">
        <v>75.069101177840764</v>
      </c>
      <c r="AC653">
        <v>0.95889999999999997</v>
      </c>
      <c r="AD653" s="63">
        <v>71.983999999999995</v>
      </c>
      <c r="AE653">
        <v>8.9176000000000002</v>
      </c>
      <c r="AF653">
        <v>9.4000488020579382</v>
      </c>
      <c r="AG653">
        <v>1</v>
      </c>
      <c r="AH653">
        <v>6023.7392733347688</v>
      </c>
      <c r="AI653">
        <v>0.99097621000820357</v>
      </c>
      <c r="AJ653" s="63">
        <v>5969.3823000000002</v>
      </c>
      <c r="AK653" s="61">
        <v>1993.7661319713441</v>
      </c>
      <c r="AL653" t="s">
        <v>348</v>
      </c>
      <c r="AM653" t="s">
        <v>438</v>
      </c>
      <c r="AN653" t="s">
        <v>425</v>
      </c>
      <c r="AO653" t="s">
        <v>27</v>
      </c>
      <c r="AP653">
        <v>111.133</v>
      </c>
      <c r="AQ653">
        <v>1.0727760310708341</v>
      </c>
      <c r="AR653">
        <v>119.22081866099499</v>
      </c>
      <c r="AS653">
        <v>694.38</v>
      </c>
      <c r="AT653">
        <v>0.875</v>
      </c>
      <c r="AU653">
        <v>72.436483054094012</v>
      </c>
      <c r="AV653">
        <v>0.95369999999999999</v>
      </c>
      <c r="AW653" s="63">
        <v>69.082999999999998</v>
      </c>
      <c r="AX653">
        <v>8.9176000000000002</v>
      </c>
      <c r="AY653">
        <v>0.91300000000000003</v>
      </c>
      <c r="AZ653">
        <v>6064.9193587765631</v>
      </c>
      <c r="BA653">
        <v>1.007895816242822</v>
      </c>
      <c r="BB653" s="63">
        <v>6112.8068000000003</v>
      </c>
      <c r="BC653" s="61">
        <v>2041.6697334201781</v>
      </c>
    </row>
    <row r="654" spans="1:55" x14ac:dyDescent="0.25">
      <c r="A654">
        <v>209307</v>
      </c>
      <c r="B654" t="s">
        <v>205</v>
      </c>
      <c r="C654">
        <v>2020</v>
      </c>
      <c r="D654">
        <v>3</v>
      </c>
      <c r="E654" t="s">
        <v>100</v>
      </c>
      <c r="F654" t="s">
        <v>426</v>
      </c>
      <c r="G654" t="s">
        <v>84</v>
      </c>
      <c r="H654" t="s">
        <v>87</v>
      </c>
      <c r="I654" t="s">
        <v>427</v>
      </c>
      <c r="J654">
        <v>-5.8835884299999996</v>
      </c>
      <c r="K654" t="s">
        <v>440</v>
      </c>
      <c r="L654" t="s">
        <v>452</v>
      </c>
      <c r="M654">
        <v>8.4248020759000004E-4</v>
      </c>
      <c r="N654">
        <v>4.9568068003424878E-3</v>
      </c>
      <c r="O654">
        <v>47588.953000000001</v>
      </c>
      <c r="P654">
        <v>1.500949E-6</v>
      </c>
      <c r="Q654">
        <v>0.14285700000000001</v>
      </c>
      <c r="R654" s="61">
        <v>7.0811454907652679E-4</v>
      </c>
      <c r="S654" t="s">
        <v>347</v>
      </c>
      <c r="T654" t="s">
        <v>437</v>
      </c>
      <c r="U654" t="s">
        <v>425</v>
      </c>
      <c r="V654" t="s">
        <v>28</v>
      </c>
      <c r="W654">
        <v>111.133</v>
      </c>
      <c r="X654">
        <v>1.0541007448257309</v>
      </c>
      <c r="Y654">
        <v>117.145378074718</v>
      </c>
      <c r="Z654">
        <v>640.82000000000005</v>
      </c>
      <c r="AA654">
        <v>1</v>
      </c>
      <c r="AB654">
        <v>75.069101177840764</v>
      </c>
      <c r="AC654">
        <v>1.0073000000000001</v>
      </c>
      <c r="AD654" s="63">
        <v>75.617000000000004</v>
      </c>
      <c r="AE654">
        <v>8.9176000000000002</v>
      </c>
      <c r="AF654">
        <v>9.4000488020579382</v>
      </c>
      <c r="AG654">
        <v>1</v>
      </c>
      <c r="AH654">
        <v>6023.7392733347688</v>
      </c>
      <c r="AI654">
        <v>0.99399488088206345</v>
      </c>
      <c r="AJ654" s="63">
        <v>5987.5659999999998</v>
      </c>
      <c r="AK654" s="61">
        <v>4.2398825981559431</v>
      </c>
      <c r="AL654" t="s">
        <v>348</v>
      </c>
      <c r="AM654" t="s">
        <v>438</v>
      </c>
      <c r="AN654" t="s">
        <v>425</v>
      </c>
      <c r="AO654" t="s">
        <v>28</v>
      </c>
      <c r="AP654">
        <v>111.133</v>
      </c>
      <c r="AQ654">
        <v>1.0727760310708341</v>
      </c>
      <c r="AR654">
        <v>119.22081866099499</v>
      </c>
      <c r="AS654">
        <v>694.38</v>
      </c>
      <c r="AT654">
        <v>0.875</v>
      </c>
      <c r="AU654">
        <v>72.436483054094012</v>
      </c>
      <c r="AV654">
        <v>0.99250000000000005</v>
      </c>
      <c r="AW654" s="63">
        <v>71.893000000000001</v>
      </c>
      <c r="AX654">
        <v>8.9176000000000002</v>
      </c>
      <c r="AY654">
        <v>0.91300000000000003</v>
      </c>
      <c r="AZ654">
        <v>6064.9193587765631</v>
      </c>
      <c r="BA654">
        <v>0.93847214018507585</v>
      </c>
      <c r="BB654" s="63">
        <v>5691.7578999999996</v>
      </c>
      <c r="BC654" s="61">
        <v>4.0304165788112591</v>
      </c>
    </row>
    <row r="655" spans="1:55" x14ac:dyDescent="0.25">
      <c r="A655">
        <v>209309</v>
      </c>
      <c r="B655" t="s">
        <v>205</v>
      </c>
      <c r="C655">
        <v>2020</v>
      </c>
      <c r="D655">
        <v>3</v>
      </c>
      <c r="E655" t="s">
        <v>100</v>
      </c>
      <c r="F655" t="s">
        <v>426</v>
      </c>
      <c r="G655" t="s">
        <v>84</v>
      </c>
      <c r="H655" t="s">
        <v>59</v>
      </c>
      <c r="I655" t="s">
        <v>427</v>
      </c>
      <c r="J655">
        <v>-17.390262679999999</v>
      </c>
      <c r="K655" t="s">
        <v>440</v>
      </c>
      <c r="L655" t="s">
        <v>450</v>
      </c>
      <c r="M655">
        <v>0.15931709696460999</v>
      </c>
      <c r="N655">
        <v>2.7705661656409961</v>
      </c>
      <c r="O655">
        <v>47588.953000000001</v>
      </c>
      <c r="P655">
        <v>1.500949E-6</v>
      </c>
      <c r="Q655">
        <v>0.14285700000000001</v>
      </c>
      <c r="R655" s="61">
        <v>0.39579477072497582</v>
      </c>
      <c r="S655" t="s">
        <v>347</v>
      </c>
      <c r="T655" t="s">
        <v>437</v>
      </c>
      <c r="U655" t="s">
        <v>425</v>
      </c>
      <c r="V655" t="s">
        <v>26</v>
      </c>
      <c r="W655">
        <v>111.133</v>
      </c>
      <c r="X655">
        <v>1.0541007448257309</v>
      </c>
      <c r="Y655">
        <v>117.145378074718</v>
      </c>
      <c r="Z655">
        <v>640.82000000000005</v>
      </c>
      <c r="AA655">
        <v>1</v>
      </c>
      <c r="AB655">
        <v>75.069101177840764</v>
      </c>
      <c r="AC655">
        <v>0.99109999999999998</v>
      </c>
      <c r="AD655" s="63">
        <v>74.400999999999996</v>
      </c>
      <c r="AE655">
        <v>8.9176000000000002</v>
      </c>
      <c r="AF655">
        <v>9.4000488020579382</v>
      </c>
      <c r="AG655">
        <v>1</v>
      </c>
      <c r="AH655">
        <v>6023.7392733347688</v>
      </c>
      <c r="AI655">
        <v>0.9830373970836227</v>
      </c>
      <c r="AJ655" s="63">
        <v>5921.5609999999997</v>
      </c>
      <c r="AK655" s="61">
        <v>2343.7228783289579</v>
      </c>
      <c r="AL655" t="s">
        <v>348</v>
      </c>
      <c r="AM655" t="s">
        <v>438</v>
      </c>
      <c r="AN655" t="s">
        <v>425</v>
      </c>
      <c r="AO655" t="s">
        <v>26</v>
      </c>
      <c r="AP655">
        <v>111.133</v>
      </c>
      <c r="AQ655">
        <v>1.0727760310708341</v>
      </c>
      <c r="AR655">
        <v>119.22081866099499</v>
      </c>
      <c r="AS655">
        <v>694.38</v>
      </c>
      <c r="AT655">
        <v>0.875</v>
      </c>
      <c r="AU655">
        <v>72.436483054094012</v>
      </c>
      <c r="AV655">
        <v>0.98270000000000002</v>
      </c>
      <c r="AW655" s="63">
        <v>71.183000000000007</v>
      </c>
      <c r="AX655">
        <v>8.9176000000000002</v>
      </c>
      <c r="AY655">
        <v>0.91300000000000003</v>
      </c>
      <c r="AZ655">
        <v>6064.9193587765631</v>
      </c>
      <c r="BA655">
        <v>0.99365142346989388</v>
      </c>
      <c r="BB655" s="63">
        <v>6026.4157999999998</v>
      </c>
      <c r="BC655" s="61">
        <v>2385.2238598543722</v>
      </c>
    </row>
    <row r="656" spans="1:55" x14ac:dyDescent="0.25">
      <c r="A656">
        <v>209311</v>
      </c>
      <c r="B656" t="s">
        <v>205</v>
      </c>
      <c r="C656">
        <v>2020</v>
      </c>
      <c r="D656">
        <v>3</v>
      </c>
      <c r="E656" t="s">
        <v>100</v>
      </c>
      <c r="F656" t="s">
        <v>426</v>
      </c>
      <c r="G656" t="s">
        <v>84</v>
      </c>
      <c r="H656" t="s">
        <v>59</v>
      </c>
      <c r="I656" t="s">
        <v>427</v>
      </c>
      <c r="J656">
        <v>-17.390262679999999</v>
      </c>
      <c r="K656" t="s">
        <v>440</v>
      </c>
      <c r="L656" t="s">
        <v>384</v>
      </c>
      <c r="M656">
        <v>4.1785183859599999E-2</v>
      </c>
      <c r="N656">
        <v>0.72665532345352957</v>
      </c>
      <c r="O656">
        <v>47588.953000000001</v>
      </c>
      <c r="P656">
        <v>1.500949E-6</v>
      </c>
      <c r="Q656">
        <v>0.14285700000000001</v>
      </c>
      <c r="R656" s="61">
        <v>0.1038077995426009</v>
      </c>
      <c r="S656" t="s">
        <v>347</v>
      </c>
      <c r="T656" t="s">
        <v>437</v>
      </c>
      <c r="U656" t="s">
        <v>425</v>
      </c>
      <c r="V656" t="s">
        <v>81</v>
      </c>
      <c r="W656">
        <v>111.133</v>
      </c>
      <c r="X656">
        <v>1.0541007448257309</v>
      </c>
      <c r="Y656">
        <v>117.145378074718</v>
      </c>
      <c r="Z656">
        <v>640.82000000000005</v>
      </c>
      <c r="AA656">
        <v>1</v>
      </c>
      <c r="AB656">
        <v>75.069101177840764</v>
      </c>
      <c r="AC656">
        <v>0.93830000000000002</v>
      </c>
      <c r="AD656" s="63">
        <v>70.436999999999998</v>
      </c>
      <c r="AE656">
        <v>8.9176000000000002</v>
      </c>
      <c r="AF656">
        <v>9.4000488020579382</v>
      </c>
      <c r="AG656">
        <v>1</v>
      </c>
      <c r="AH656">
        <v>6023.7392733347688</v>
      </c>
      <c r="AI656">
        <v>1.098016605166052</v>
      </c>
      <c r="AJ656" s="63">
        <v>6614.1656999999996</v>
      </c>
      <c r="AK656" s="61">
        <v>686.60198712714646</v>
      </c>
      <c r="AL656" t="s">
        <v>348</v>
      </c>
      <c r="AM656" t="s">
        <v>438</v>
      </c>
      <c r="AN656" t="s">
        <v>425</v>
      </c>
      <c r="AO656" t="s">
        <v>81</v>
      </c>
      <c r="AP656">
        <v>111.133</v>
      </c>
      <c r="AQ656">
        <v>1.0727760310708341</v>
      </c>
      <c r="AR656">
        <v>119.22081866099499</v>
      </c>
      <c r="AS656">
        <v>694.38</v>
      </c>
      <c r="AT656">
        <v>0.875</v>
      </c>
      <c r="AU656">
        <v>72.436483054094012</v>
      </c>
      <c r="AV656">
        <v>0.93500000000000005</v>
      </c>
      <c r="AW656" s="63">
        <v>67.727999999999994</v>
      </c>
      <c r="AX656">
        <v>8.9176000000000002</v>
      </c>
      <c r="AY656">
        <v>0.91300000000000003</v>
      </c>
      <c r="AZ656">
        <v>6064.9193587765631</v>
      </c>
      <c r="BA656">
        <v>1.096171586715867</v>
      </c>
      <c r="BB656" s="63">
        <v>6648.1922999999997</v>
      </c>
      <c r="BC656" s="61">
        <v>690.13421359906272</v>
      </c>
    </row>
    <row r="657" spans="1:55" x14ac:dyDescent="0.25">
      <c r="A657">
        <v>209313</v>
      </c>
      <c r="B657" t="s">
        <v>205</v>
      </c>
      <c r="C657">
        <v>2020</v>
      </c>
      <c r="D657">
        <v>3</v>
      </c>
      <c r="E657" t="s">
        <v>100</v>
      </c>
      <c r="F657" t="s">
        <v>426</v>
      </c>
      <c r="G657" t="s">
        <v>84</v>
      </c>
      <c r="H657" t="s">
        <v>59</v>
      </c>
      <c r="I657" t="s">
        <v>427</v>
      </c>
      <c r="J657">
        <v>-17.390262679999999</v>
      </c>
      <c r="K657" t="s">
        <v>440</v>
      </c>
      <c r="L657" t="s">
        <v>385</v>
      </c>
      <c r="M657">
        <v>0.43497567483749999</v>
      </c>
      <c r="N657">
        <v>7.5643412448655099</v>
      </c>
      <c r="O657">
        <v>47588.953000000001</v>
      </c>
      <c r="P657">
        <v>1.500949E-6</v>
      </c>
      <c r="Q657">
        <v>0.14285700000000001</v>
      </c>
      <c r="R657" s="61">
        <v>1.0806190972177521</v>
      </c>
      <c r="S657" t="s">
        <v>347</v>
      </c>
      <c r="T657" t="s">
        <v>437</v>
      </c>
      <c r="U657" t="s">
        <v>425</v>
      </c>
      <c r="V657" t="s">
        <v>27</v>
      </c>
      <c r="W657">
        <v>111.133</v>
      </c>
      <c r="X657">
        <v>1.0541007448257309</v>
      </c>
      <c r="Y657">
        <v>117.145378074718</v>
      </c>
      <c r="Z657">
        <v>640.82000000000005</v>
      </c>
      <c r="AA657">
        <v>1</v>
      </c>
      <c r="AB657">
        <v>75.069101177840764</v>
      </c>
      <c r="AC657">
        <v>0.95889999999999997</v>
      </c>
      <c r="AD657" s="63">
        <v>71.983999999999995</v>
      </c>
      <c r="AE657">
        <v>8.9176000000000002</v>
      </c>
      <c r="AF657">
        <v>9.4000488020579382</v>
      </c>
      <c r="AG657">
        <v>1</v>
      </c>
      <c r="AH657">
        <v>6023.7392733347688</v>
      </c>
      <c r="AI657">
        <v>0.99097621000820357</v>
      </c>
      <c r="AJ657" s="63">
        <v>5969.3823000000002</v>
      </c>
      <c r="AK657" s="61">
        <v>6450.6285119736303</v>
      </c>
      <c r="AL657" t="s">
        <v>348</v>
      </c>
      <c r="AM657" t="s">
        <v>438</v>
      </c>
      <c r="AN657" t="s">
        <v>425</v>
      </c>
      <c r="AO657" t="s">
        <v>27</v>
      </c>
      <c r="AP657">
        <v>111.133</v>
      </c>
      <c r="AQ657">
        <v>1.0727760310708341</v>
      </c>
      <c r="AR657">
        <v>119.22081866099499</v>
      </c>
      <c r="AS657">
        <v>694.38</v>
      </c>
      <c r="AT657">
        <v>0.875</v>
      </c>
      <c r="AU657">
        <v>72.436483054094012</v>
      </c>
      <c r="AV657">
        <v>0.95369999999999999</v>
      </c>
      <c r="AW657" s="63">
        <v>69.082999999999998</v>
      </c>
      <c r="AX657">
        <v>8.9176000000000002</v>
      </c>
      <c r="AY657">
        <v>0.91300000000000003</v>
      </c>
      <c r="AZ657">
        <v>6064.9193587765631</v>
      </c>
      <c r="BA657">
        <v>1.007895816242822</v>
      </c>
      <c r="BB657" s="63">
        <v>6112.8068000000003</v>
      </c>
      <c r="BC657" s="61">
        <v>6605.615765682538</v>
      </c>
    </row>
    <row r="658" spans="1:55" x14ac:dyDescent="0.25">
      <c r="A658">
        <v>209315</v>
      </c>
      <c r="B658" t="s">
        <v>205</v>
      </c>
      <c r="C658">
        <v>2020</v>
      </c>
      <c r="D658">
        <v>3</v>
      </c>
      <c r="E658" t="s">
        <v>100</v>
      </c>
      <c r="F658" t="s">
        <v>426</v>
      </c>
      <c r="G658" t="s">
        <v>84</v>
      </c>
      <c r="H658" t="s">
        <v>59</v>
      </c>
      <c r="I658" t="s">
        <v>427</v>
      </c>
      <c r="J658">
        <v>-17.390262679999999</v>
      </c>
      <c r="K658" t="s">
        <v>440</v>
      </c>
      <c r="L658" t="s">
        <v>451</v>
      </c>
      <c r="M658">
        <v>1.7625750762999999E-3</v>
      </c>
      <c r="N658">
        <v>3.065164357020414E-2</v>
      </c>
      <c r="O658">
        <v>47588.953000000001</v>
      </c>
      <c r="P658">
        <v>1.500949E-6</v>
      </c>
      <c r="Q658">
        <v>0.14285700000000001</v>
      </c>
      <c r="R658" s="61">
        <v>4.3788018455086534E-3</v>
      </c>
      <c r="S658" t="s">
        <v>347</v>
      </c>
      <c r="T658" t="s">
        <v>437</v>
      </c>
      <c r="U658" t="s">
        <v>425</v>
      </c>
      <c r="V658" t="s">
        <v>91</v>
      </c>
      <c r="W658">
        <v>111.133</v>
      </c>
      <c r="X658">
        <v>1.0541007448257309</v>
      </c>
      <c r="Y658">
        <v>117.145378074718</v>
      </c>
      <c r="Z658">
        <v>640.82000000000005</v>
      </c>
      <c r="AA658">
        <v>1</v>
      </c>
      <c r="AB658">
        <v>75.069101177840764</v>
      </c>
      <c r="AC658">
        <v>1.0088999999999999</v>
      </c>
      <c r="AD658" s="63">
        <v>75.736999999999995</v>
      </c>
      <c r="AE658">
        <v>8.9176000000000002</v>
      </c>
      <c r="AF658">
        <v>9.4000488020579382</v>
      </c>
      <c r="AG658">
        <v>1</v>
      </c>
      <c r="AH658">
        <v>6023.7392733347688</v>
      </c>
      <c r="AI658">
        <v>0.99316673174541203</v>
      </c>
      <c r="AJ658" s="63">
        <v>5982.5774000000001</v>
      </c>
      <c r="AK658" s="61">
        <v>26.196520960018361</v>
      </c>
      <c r="AL658" t="s">
        <v>348</v>
      </c>
      <c r="AM658" t="s">
        <v>438</v>
      </c>
      <c r="AN658" t="s">
        <v>425</v>
      </c>
      <c r="AO658" t="s">
        <v>91</v>
      </c>
      <c r="AP658">
        <v>111.133</v>
      </c>
      <c r="AQ658">
        <v>1.0727760310708341</v>
      </c>
      <c r="AR658">
        <v>119.22081866099499</v>
      </c>
      <c r="AS658">
        <v>694.38</v>
      </c>
      <c r="AT658">
        <v>0.875</v>
      </c>
      <c r="AU658">
        <v>72.436483054094012</v>
      </c>
      <c r="AV658">
        <v>1.0179</v>
      </c>
      <c r="AW658" s="63">
        <v>73.733000000000004</v>
      </c>
      <c r="AX658">
        <v>8.9176000000000002</v>
      </c>
      <c r="AY658">
        <v>0.91300000000000003</v>
      </c>
      <c r="AZ658">
        <v>6064.9193587765631</v>
      </c>
      <c r="BA658">
        <v>0.98975009761811794</v>
      </c>
      <c r="BB658" s="63">
        <v>6002.7545</v>
      </c>
      <c r="BC658" s="61">
        <v>26.28487248273537</v>
      </c>
    </row>
    <row r="659" spans="1:55" x14ac:dyDescent="0.25">
      <c r="A659">
        <v>209317</v>
      </c>
      <c r="B659" t="s">
        <v>205</v>
      </c>
      <c r="C659">
        <v>2020</v>
      </c>
      <c r="D659">
        <v>3</v>
      </c>
      <c r="E659" t="s">
        <v>100</v>
      </c>
      <c r="F659" t="s">
        <v>426</v>
      </c>
      <c r="G659" t="s">
        <v>84</v>
      </c>
      <c r="H659" t="s">
        <v>59</v>
      </c>
      <c r="I659" t="s">
        <v>427</v>
      </c>
      <c r="J659">
        <v>-17.390262679999999</v>
      </c>
      <c r="K659" t="s">
        <v>440</v>
      </c>
      <c r="L659" t="s">
        <v>452</v>
      </c>
      <c r="M659">
        <v>1.4858046103299999E-3</v>
      </c>
      <c r="N659">
        <v>2.5838532464900039E-2</v>
      </c>
      <c r="O659">
        <v>47588.953000000001</v>
      </c>
      <c r="P659">
        <v>1.500949E-6</v>
      </c>
      <c r="Q659">
        <v>0.14285700000000001</v>
      </c>
      <c r="R659" s="61">
        <v>3.6912152323382249E-3</v>
      </c>
      <c r="S659" t="s">
        <v>347</v>
      </c>
      <c r="T659" t="s">
        <v>437</v>
      </c>
      <c r="U659" t="s">
        <v>425</v>
      </c>
      <c r="V659" t="s">
        <v>28</v>
      </c>
      <c r="W659">
        <v>111.133</v>
      </c>
      <c r="X659">
        <v>1.0541007448257309</v>
      </c>
      <c r="Y659">
        <v>117.145378074718</v>
      </c>
      <c r="Z659">
        <v>640.82000000000005</v>
      </c>
      <c r="AA659">
        <v>1</v>
      </c>
      <c r="AB659">
        <v>75.069101177840764</v>
      </c>
      <c r="AC659">
        <v>1.0073000000000001</v>
      </c>
      <c r="AD659" s="63">
        <v>75.617000000000004</v>
      </c>
      <c r="AE659">
        <v>8.9176000000000002</v>
      </c>
      <c r="AF659">
        <v>9.4000488020579382</v>
      </c>
      <c r="AG659">
        <v>1</v>
      </c>
      <c r="AH659">
        <v>6023.7392733347688</v>
      </c>
      <c r="AI659">
        <v>0.99399488088206345</v>
      </c>
      <c r="AJ659" s="63">
        <v>5987.5659999999998</v>
      </c>
      <c r="AK659" s="61">
        <v>22.10139482383045</v>
      </c>
      <c r="AL659" t="s">
        <v>348</v>
      </c>
      <c r="AM659" t="s">
        <v>438</v>
      </c>
      <c r="AN659" t="s">
        <v>425</v>
      </c>
      <c r="AO659" t="s">
        <v>28</v>
      </c>
      <c r="AP659">
        <v>111.133</v>
      </c>
      <c r="AQ659">
        <v>1.0727760310708341</v>
      </c>
      <c r="AR659">
        <v>119.22081866099499</v>
      </c>
      <c r="AS659">
        <v>694.38</v>
      </c>
      <c r="AT659">
        <v>0.875</v>
      </c>
      <c r="AU659">
        <v>72.436483054094012</v>
      </c>
      <c r="AV659">
        <v>0.99250000000000005</v>
      </c>
      <c r="AW659" s="63">
        <v>71.893000000000001</v>
      </c>
      <c r="AX659">
        <v>8.9176000000000002</v>
      </c>
      <c r="AY659">
        <v>0.91300000000000003</v>
      </c>
      <c r="AZ659">
        <v>6064.9193587765631</v>
      </c>
      <c r="BA659">
        <v>0.93847214018507585</v>
      </c>
      <c r="BB659" s="63">
        <v>5691.7578999999996</v>
      </c>
      <c r="BC659" s="61">
        <v>21.00950345926142</v>
      </c>
    </row>
    <row r="660" spans="1:55" x14ac:dyDescent="0.25">
      <c r="A660">
        <v>216551</v>
      </c>
      <c r="B660" t="s">
        <v>209</v>
      </c>
      <c r="C660">
        <v>2020</v>
      </c>
      <c r="D660">
        <v>4</v>
      </c>
      <c r="E660" t="s">
        <v>100</v>
      </c>
      <c r="F660" t="s">
        <v>426</v>
      </c>
      <c r="G660" t="s">
        <v>84</v>
      </c>
      <c r="H660" t="s">
        <v>381</v>
      </c>
      <c r="I660" t="s">
        <v>427</v>
      </c>
      <c r="J660">
        <v>-32.004116019999998</v>
      </c>
      <c r="K660" t="s">
        <v>440</v>
      </c>
      <c r="L660" t="s">
        <v>450</v>
      </c>
      <c r="M660">
        <v>0.15011157993331001</v>
      </c>
      <c r="N660">
        <v>4.8041884206151462</v>
      </c>
      <c r="O660">
        <v>47588.953000000001</v>
      </c>
      <c r="P660">
        <v>1.500949E-6</v>
      </c>
      <c r="Q660">
        <v>0.14285700000000001</v>
      </c>
      <c r="R660" s="61">
        <v>0.686311945203818</v>
      </c>
      <c r="S660" t="s">
        <v>347</v>
      </c>
      <c r="T660" t="s">
        <v>437</v>
      </c>
      <c r="U660" t="s">
        <v>425</v>
      </c>
      <c r="V660" t="s">
        <v>26</v>
      </c>
      <c r="W660">
        <v>111.133</v>
      </c>
      <c r="X660">
        <v>1.0541007448257309</v>
      </c>
      <c r="Y660">
        <v>117.145378074718</v>
      </c>
      <c r="Z660">
        <v>640.82000000000005</v>
      </c>
      <c r="AA660">
        <v>1</v>
      </c>
      <c r="AB660">
        <v>75.069101177840764</v>
      </c>
      <c r="AC660">
        <v>0.99109999999999998</v>
      </c>
      <c r="AD660" s="63">
        <v>74.400999999999996</v>
      </c>
      <c r="AE660">
        <v>8.9176000000000002</v>
      </c>
      <c r="AF660">
        <v>9.4000488020579382</v>
      </c>
      <c r="AG660">
        <v>1</v>
      </c>
      <c r="AH660">
        <v>6023.7392733347688</v>
      </c>
      <c r="AI660">
        <v>0.9830373970836227</v>
      </c>
      <c r="AJ660" s="63">
        <v>5921.5609999999997</v>
      </c>
      <c r="AK660" s="61">
        <v>4064.038048553065</v>
      </c>
      <c r="AL660" t="s">
        <v>348</v>
      </c>
      <c r="AM660" t="s">
        <v>438</v>
      </c>
      <c r="AN660" t="s">
        <v>425</v>
      </c>
      <c r="AO660" t="s">
        <v>26</v>
      </c>
      <c r="AP660">
        <v>111.133</v>
      </c>
      <c r="AQ660">
        <v>1.0727760310708341</v>
      </c>
      <c r="AR660">
        <v>119.22081866099499</v>
      </c>
      <c r="AS660">
        <v>694.38</v>
      </c>
      <c r="AT660">
        <v>0.875</v>
      </c>
      <c r="AU660">
        <v>72.436483054094012</v>
      </c>
      <c r="AV660">
        <v>0.98270000000000002</v>
      </c>
      <c r="AW660" s="63">
        <v>71.183000000000007</v>
      </c>
      <c r="AX660">
        <v>8.9176000000000002</v>
      </c>
      <c r="AY660">
        <v>0.91300000000000003</v>
      </c>
      <c r="AZ660">
        <v>6064.9193587765631</v>
      </c>
      <c r="BA660">
        <v>0.99365142346989388</v>
      </c>
      <c r="BB660" s="63">
        <v>6026.4157999999998</v>
      </c>
      <c r="BC660" s="61">
        <v>4136.0011503050227</v>
      </c>
    </row>
    <row r="661" spans="1:55" x14ac:dyDescent="0.25">
      <c r="A661">
        <v>216553</v>
      </c>
      <c r="B661" t="s">
        <v>209</v>
      </c>
      <c r="C661">
        <v>2020</v>
      </c>
      <c r="D661">
        <v>4</v>
      </c>
      <c r="E661" t="s">
        <v>100</v>
      </c>
      <c r="F661" t="s">
        <v>426</v>
      </c>
      <c r="G661" t="s">
        <v>84</v>
      </c>
      <c r="H661" t="s">
        <v>381</v>
      </c>
      <c r="I661" t="s">
        <v>427</v>
      </c>
      <c r="J661">
        <v>-32.004116019999998</v>
      </c>
      <c r="K661" t="s">
        <v>440</v>
      </c>
      <c r="L661" t="s">
        <v>384</v>
      </c>
      <c r="M661">
        <v>4.5811354346740003E-2</v>
      </c>
      <c r="N661">
        <v>1.466151899694103</v>
      </c>
      <c r="O661">
        <v>47588.953000000001</v>
      </c>
      <c r="P661">
        <v>1.500949E-6</v>
      </c>
      <c r="Q661">
        <v>0.14285700000000001</v>
      </c>
      <c r="R661" s="61">
        <v>0.2094500619346005</v>
      </c>
      <c r="S661" t="s">
        <v>347</v>
      </c>
      <c r="T661" t="s">
        <v>437</v>
      </c>
      <c r="U661" t="s">
        <v>425</v>
      </c>
      <c r="V661" t="s">
        <v>81</v>
      </c>
      <c r="W661">
        <v>111.133</v>
      </c>
      <c r="X661">
        <v>1.0541007448257309</v>
      </c>
      <c r="Y661">
        <v>117.145378074718</v>
      </c>
      <c r="Z661">
        <v>640.82000000000005</v>
      </c>
      <c r="AA661">
        <v>1</v>
      </c>
      <c r="AB661">
        <v>75.069101177840764</v>
      </c>
      <c r="AC661">
        <v>0.93830000000000002</v>
      </c>
      <c r="AD661" s="63">
        <v>70.436999999999998</v>
      </c>
      <c r="AE661">
        <v>8.9176000000000002</v>
      </c>
      <c r="AF661">
        <v>9.4000488020579382</v>
      </c>
      <c r="AG661">
        <v>1</v>
      </c>
      <c r="AH661">
        <v>6023.7392733347688</v>
      </c>
      <c r="AI661">
        <v>1.098016605166052</v>
      </c>
      <c r="AJ661" s="63">
        <v>6614.1656999999996</v>
      </c>
      <c r="AK661" s="61">
        <v>1385.3374155107099</v>
      </c>
      <c r="AL661" t="s">
        <v>348</v>
      </c>
      <c r="AM661" t="s">
        <v>438</v>
      </c>
      <c r="AN661" t="s">
        <v>425</v>
      </c>
      <c r="AO661" t="s">
        <v>81</v>
      </c>
      <c r="AP661">
        <v>111.133</v>
      </c>
      <c r="AQ661">
        <v>1.0727760310708341</v>
      </c>
      <c r="AR661">
        <v>119.22081866099499</v>
      </c>
      <c r="AS661">
        <v>694.38</v>
      </c>
      <c r="AT661">
        <v>0.875</v>
      </c>
      <c r="AU661">
        <v>72.436483054094012</v>
      </c>
      <c r="AV661">
        <v>0.93500000000000005</v>
      </c>
      <c r="AW661" s="63">
        <v>67.727999999999994</v>
      </c>
      <c r="AX661">
        <v>8.9176000000000002</v>
      </c>
      <c r="AY661">
        <v>0.91300000000000003</v>
      </c>
      <c r="AZ661">
        <v>6064.9193587765631</v>
      </c>
      <c r="BA661">
        <v>1.096171586715867</v>
      </c>
      <c r="BB661" s="63">
        <v>6648.1922999999997</v>
      </c>
      <c r="BC661" s="61">
        <v>1392.4642889881341</v>
      </c>
    </row>
    <row r="662" spans="1:55" x14ac:dyDescent="0.25">
      <c r="A662">
        <v>216555</v>
      </c>
      <c r="B662" t="s">
        <v>209</v>
      </c>
      <c r="C662">
        <v>2020</v>
      </c>
      <c r="D662">
        <v>4</v>
      </c>
      <c r="E662" t="s">
        <v>100</v>
      </c>
      <c r="F662" t="s">
        <v>426</v>
      </c>
      <c r="G662" t="s">
        <v>84</v>
      </c>
      <c r="H662" t="s">
        <v>381</v>
      </c>
      <c r="I662" t="s">
        <v>427</v>
      </c>
      <c r="J662">
        <v>-32.004116019999998</v>
      </c>
      <c r="K662" t="s">
        <v>440</v>
      </c>
      <c r="L662" t="s">
        <v>385</v>
      </c>
      <c r="M662">
        <v>0.43232641346992001</v>
      </c>
      <c r="N662">
        <v>13.836224696595711</v>
      </c>
      <c r="O662">
        <v>47588.953000000001</v>
      </c>
      <c r="P662">
        <v>1.500949E-6</v>
      </c>
      <c r="Q662">
        <v>0.14285700000000001</v>
      </c>
      <c r="R662" s="61">
        <v>1.976601551481574</v>
      </c>
      <c r="S662" t="s">
        <v>347</v>
      </c>
      <c r="T662" t="s">
        <v>437</v>
      </c>
      <c r="U662" t="s">
        <v>425</v>
      </c>
      <c r="V662" t="s">
        <v>27</v>
      </c>
      <c r="W662">
        <v>111.133</v>
      </c>
      <c r="X662">
        <v>1.0541007448257309</v>
      </c>
      <c r="Y662">
        <v>117.145378074718</v>
      </c>
      <c r="Z662">
        <v>640.82000000000005</v>
      </c>
      <c r="AA662">
        <v>1</v>
      </c>
      <c r="AB662">
        <v>75.069101177840764</v>
      </c>
      <c r="AC662">
        <v>0.95889999999999997</v>
      </c>
      <c r="AD662" s="63">
        <v>71.983999999999995</v>
      </c>
      <c r="AE662">
        <v>8.9176000000000002</v>
      </c>
      <c r="AF662">
        <v>9.4000488020579382</v>
      </c>
      <c r="AG662">
        <v>1</v>
      </c>
      <c r="AH662">
        <v>6023.7392733347688</v>
      </c>
      <c r="AI662">
        <v>0.99097621000820357</v>
      </c>
      <c r="AJ662" s="63">
        <v>5969.3823000000002</v>
      </c>
      <c r="AK662" s="61">
        <v>11799.090315566649</v>
      </c>
      <c r="AL662" t="s">
        <v>348</v>
      </c>
      <c r="AM662" t="s">
        <v>438</v>
      </c>
      <c r="AN662" t="s">
        <v>425</v>
      </c>
      <c r="AO662" t="s">
        <v>27</v>
      </c>
      <c r="AP662">
        <v>111.133</v>
      </c>
      <c r="AQ662">
        <v>1.0727760310708341</v>
      </c>
      <c r="AR662">
        <v>119.22081866099499</v>
      </c>
      <c r="AS662">
        <v>694.38</v>
      </c>
      <c r="AT662">
        <v>0.875</v>
      </c>
      <c r="AU662">
        <v>72.436483054094012</v>
      </c>
      <c r="AV662">
        <v>0.95369999999999999</v>
      </c>
      <c r="AW662" s="63">
        <v>69.082999999999998</v>
      </c>
      <c r="AX662">
        <v>8.9176000000000002</v>
      </c>
      <c r="AY662">
        <v>0.91300000000000003</v>
      </c>
      <c r="AZ662">
        <v>6064.9193587765631</v>
      </c>
      <c r="BA662">
        <v>1.007895816242822</v>
      </c>
      <c r="BB662" s="63">
        <v>6112.8068000000003</v>
      </c>
      <c r="BC662" s="61">
        <v>12082.583404787119</v>
      </c>
    </row>
    <row r="663" spans="1:55" x14ac:dyDescent="0.25">
      <c r="A663">
        <v>216557</v>
      </c>
      <c r="B663" t="s">
        <v>209</v>
      </c>
      <c r="C663">
        <v>2020</v>
      </c>
      <c r="D663">
        <v>4</v>
      </c>
      <c r="E663" t="s">
        <v>100</v>
      </c>
      <c r="F663" t="s">
        <v>426</v>
      </c>
      <c r="G663" t="s">
        <v>84</v>
      </c>
      <c r="H663" t="s">
        <v>381</v>
      </c>
      <c r="I663" t="s">
        <v>427</v>
      </c>
      <c r="J663">
        <v>-32.004116019999998</v>
      </c>
      <c r="K663" t="s">
        <v>440</v>
      </c>
      <c r="L663" t="s">
        <v>451</v>
      </c>
      <c r="M663">
        <v>1.6825115802299999E-3</v>
      </c>
      <c r="N663">
        <v>5.3847295824099202E-2</v>
      </c>
      <c r="O663">
        <v>47588.953000000001</v>
      </c>
      <c r="P663">
        <v>1.500949E-6</v>
      </c>
      <c r="Q663">
        <v>0.14285700000000001</v>
      </c>
      <c r="R663" s="61">
        <v>7.6924631395433396E-3</v>
      </c>
      <c r="S663" t="s">
        <v>347</v>
      </c>
      <c r="T663" t="s">
        <v>437</v>
      </c>
      <c r="U663" t="s">
        <v>425</v>
      </c>
      <c r="V663" t="s">
        <v>91</v>
      </c>
      <c r="W663">
        <v>111.133</v>
      </c>
      <c r="X663">
        <v>1.0541007448257309</v>
      </c>
      <c r="Y663">
        <v>117.145378074718</v>
      </c>
      <c r="Z663">
        <v>640.82000000000005</v>
      </c>
      <c r="AA663">
        <v>1</v>
      </c>
      <c r="AB663">
        <v>75.069101177840764</v>
      </c>
      <c r="AC663">
        <v>1.0088999999999999</v>
      </c>
      <c r="AD663" s="63">
        <v>75.736999999999995</v>
      </c>
      <c r="AE663">
        <v>8.9176000000000002</v>
      </c>
      <c r="AF663">
        <v>9.4000488020579382</v>
      </c>
      <c r="AG663">
        <v>1</v>
      </c>
      <c r="AH663">
        <v>6023.7392733347688</v>
      </c>
      <c r="AI663">
        <v>0.99316673174541203</v>
      </c>
      <c r="AJ663" s="63">
        <v>5982.5774000000001</v>
      </c>
      <c r="AK663" s="61">
        <v>46.020756128965033</v>
      </c>
      <c r="AL663" t="s">
        <v>348</v>
      </c>
      <c r="AM663" t="s">
        <v>438</v>
      </c>
      <c r="AN663" t="s">
        <v>425</v>
      </c>
      <c r="AO663" t="s">
        <v>91</v>
      </c>
      <c r="AP663">
        <v>111.133</v>
      </c>
      <c r="AQ663">
        <v>1.0727760310708341</v>
      </c>
      <c r="AR663">
        <v>119.22081866099499</v>
      </c>
      <c r="AS663">
        <v>694.38</v>
      </c>
      <c r="AT663">
        <v>0.875</v>
      </c>
      <c r="AU663">
        <v>72.436483054094012</v>
      </c>
      <c r="AV663">
        <v>1.0179</v>
      </c>
      <c r="AW663" s="63">
        <v>73.733000000000004</v>
      </c>
      <c r="AX663">
        <v>8.9176000000000002</v>
      </c>
      <c r="AY663">
        <v>0.91300000000000003</v>
      </c>
      <c r="AZ663">
        <v>6064.9193587765631</v>
      </c>
      <c r="BA663">
        <v>0.98975009761811794</v>
      </c>
      <c r="BB663" s="63">
        <v>6002.7545</v>
      </c>
      <c r="BC663" s="61">
        <v>46.175967726977909</v>
      </c>
    </row>
    <row r="664" spans="1:55" x14ac:dyDescent="0.25">
      <c r="A664">
        <v>216559</v>
      </c>
      <c r="B664" t="s">
        <v>209</v>
      </c>
      <c r="C664">
        <v>2020</v>
      </c>
      <c r="D664">
        <v>4</v>
      </c>
      <c r="E664" t="s">
        <v>100</v>
      </c>
      <c r="F664" t="s">
        <v>426</v>
      </c>
      <c r="G664" t="s">
        <v>84</v>
      </c>
      <c r="H664" t="s">
        <v>381</v>
      </c>
      <c r="I664" t="s">
        <v>427</v>
      </c>
      <c r="J664">
        <v>-32.004116019999998</v>
      </c>
      <c r="K664" t="s">
        <v>440</v>
      </c>
      <c r="L664" t="s">
        <v>452</v>
      </c>
      <c r="M664">
        <v>1.53682162831E-3</v>
      </c>
      <c r="N664">
        <v>4.9184617699433567E-2</v>
      </c>
      <c r="O664">
        <v>47588.953000000001</v>
      </c>
      <c r="P664">
        <v>1.500949E-6</v>
      </c>
      <c r="Q664">
        <v>0.14285700000000001</v>
      </c>
      <c r="R664" s="61">
        <v>7.0263669306879816E-3</v>
      </c>
      <c r="S664" t="s">
        <v>347</v>
      </c>
      <c r="T664" t="s">
        <v>437</v>
      </c>
      <c r="U664" t="s">
        <v>425</v>
      </c>
      <c r="V664" t="s">
        <v>28</v>
      </c>
      <c r="W664">
        <v>111.133</v>
      </c>
      <c r="X664">
        <v>1.0541007448257309</v>
      </c>
      <c r="Y664">
        <v>117.145378074718</v>
      </c>
      <c r="Z664">
        <v>640.82000000000005</v>
      </c>
      <c r="AA664">
        <v>1</v>
      </c>
      <c r="AB664">
        <v>75.069101177840764</v>
      </c>
      <c r="AC664">
        <v>1.0073000000000001</v>
      </c>
      <c r="AD664" s="63">
        <v>75.617000000000004</v>
      </c>
      <c r="AE664">
        <v>8.9176000000000002</v>
      </c>
      <c r="AF664">
        <v>9.4000488020579382</v>
      </c>
      <c r="AG664">
        <v>1</v>
      </c>
      <c r="AH664">
        <v>6023.7392733347688</v>
      </c>
      <c r="AI664">
        <v>0.99399488088206345</v>
      </c>
      <c r="AJ664" s="63">
        <v>5987.5659999999998</v>
      </c>
      <c r="AK664" s="61">
        <v>42.070835737711711</v>
      </c>
      <c r="AL664" t="s">
        <v>348</v>
      </c>
      <c r="AM664" t="s">
        <v>438</v>
      </c>
      <c r="AN664" t="s">
        <v>425</v>
      </c>
      <c r="AO664" t="s">
        <v>28</v>
      </c>
      <c r="AP664">
        <v>111.133</v>
      </c>
      <c r="AQ664">
        <v>1.0727760310708341</v>
      </c>
      <c r="AR664">
        <v>119.22081866099499</v>
      </c>
      <c r="AS664">
        <v>694.38</v>
      </c>
      <c r="AT664">
        <v>0.875</v>
      </c>
      <c r="AU664">
        <v>72.436483054094012</v>
      </c>
      <c r="AV664">
        <v>0.99250000000000005</v>
      </c>
      <c r="AW664" s="63">
        <v>71.893000000000001</v>
      </c>
      <c r="AX664">
        <v>8.9176000000000002</v>
      </c>
      <c r="AY664">
        <v>0.91300000000000003</v>
      </c>
      <c r="AZ664">
        <v>6064.9193587765631</v>
      </c>
      <c r="BA664">
        <v>0.93847214018507585</v>
      </c>
      <c r="BB664" s="63">
        <v>5691.7578999999996</v>
      </c>
      <c r="BC664" s="61">
        <v>39.992379486042068</v>
      </c>
    </row>
    <row r="665" spans="1:55" x14ac:dyDescent="0.25">
      <c r="A665">
        <v>216561</v>
      </c>
      <c r="B665" t="s">
        <v>209</v>
      </c>
      <c r="C665">
        <v>2020</v>
      </c>
      <c r="D665">
        <v>4</v>
      </c>
      <c r="E665" t="s">
        <v>100</v>
      </c>
      <c r="F665" t="s">
        <v>426</v>
      </c>
      <c r="G665" t="s">
        <v>84</v>
      </c>
      <c r="H665" t="s">
        <v>87</v>
      </c>
      <c r="I665" t="s">
        <v>427</v>
      </c>
      <c r="J665">
        <v>-5.8835884299999996</v>
      </c>
      <c r="K665" t="s">
        <v>440</v>
      </c>
      <c r="L665" t="s">
        <v>450</v>
      </c>
      <c r="M665">
        <v>0.26601384014995</v>
      </c>
      <c r="N665">
        <v>1.5651159516404789</v>
      </c>
      <c r="O665">
        <v>47588.953000000001</v>
      </c>
      <c r="P665">
        <v>1.500949E-6</v>
      </c>
      <c r="Q665">
        <v>0.14285700000000001</v>
      </c>
      <c r="R665" s="61">
        <v>0.22358776950350401</v>
      </c>
      <c r="S665" t="s">
        <v>347</v>
      </c>
      <c r="T665" t="s">
        <v>437</v>
      </c>
      <c r="U665" t="s">
        <v>425</v>
      </c>
      <c r="V665" t="s">
        <v>26</v>
      </c>
      <c r="W665">
        <v>111.133</v>
      </c>
      <c r="X665">
        <v>1.0541007448257309</v>
      </c>
      <c r="Y665">
        <v>117.145378074718</v>
      </c>
      <c r="Z665">
        <v>640.82000000000005</v>
      </c>
      <c r="AA665">
        <v>1</v>
      </c>
      <c r="AB665">
        <v>75.069101177840764</v>
      </c>
      <c r="AC665">
        <v>0.99109999999999998</v>
      </c>
      <c r="AD665" s="63">
        <v>74.400999999999996</v>
      </c>
      <c r="AE665">
        <v>8.9176000000000002</v>
      </c>
      <c r="AF665">
        <v>9.4000488020579382</v>
      </c>
      <c r="AG665">
        <v>1</v>
      </c>
      <c r="AH665">
        <v>6023.7392733347688</v>
      </c>
      <c r="AI665">
        <v>0.9830373970836227</v>
      </c>
      <c r="AJ665" s="63">
        <v>5921.5609999999997</v>
      </c>
      <c r="AK665" s="61">
        <v>1323.9886159689379</v>
      </c>
      <c r="AL665" t="s">
        <v>348</v>
      </c>
      <c r="AM665" t="s">
        <v>438</v>
      </c>
      <c r="AN665" t="s">
        <v>425</v>
      </c>
      <c r="AO665" t="s">
        <v>26</v>
      </c>
      <c r="AP665">
        <v>111.133</v>
      </c>
      <c r="AQ665">
        <v>1.0727760310708341</v>
      </c>
      <c r="AR665">
        <v>119.22081866099499</v>
      </c>
      <c r="AS665">
        <v>694.38</v>
      </c>
      <c r="AT665">
        <v>0.875</v>
      </c>
      <c r="AU665">
        <v>72.436483054094012</v>
      </c>
      <c r="AV665">
        <v>0.98270000000000002</v>
      </c>
      <c r="AW665" s="63">
        <v>71.183000000000007</v>
      </c>
      <c r="AX665">
        <v>8.9176000000000002</v>
      </c>
      <c r="AY665">
        <v>0.91300000000000003</v>
      </c>
      <c r="AZ665">
        <v>6064.9193587765631</v>
      </c>
      <c r="BA665">
        <v>0.99365142346989388</v>
      </c>
      <c r="BB665" s="63">
        <v>6026.4157999999998</v>
      </c>
      <c r="BC665" s="61">
        <v>1347.432866822674</v>
      </c>
    </row>
    <row r="666" spans="1:55" x14ac:dyDescent="0.25">
      <c r="A666">
        <v>216563</v>
      </c>
      <c r="B666" t="s">
        <v>209</v>
      </c>
      <c r="C666">
        <v>2020</v>
      </c>
      <c r="D666">
        <v>4</v>
      </c>
      <c r="E666" t="s">
        <v>100</v>
      </c>
      <c r="F666" t="s">
        <v>426</v>
      </c>
      <c r="G666" t="s">
        <v>84</v>
      </c>
      <c r="H666" t="s">
        <v>87</v>
      </c>
      <c r="I666" t="s">
        <v>427</v>
      </c>
      <c r="J666">
        <v>-5.8835884299999996</v>
      </c>
      <c r="K666" t="s">
        <v>440</v>
      </c>
      <c r="L666" t="s">
        <v>384</v>
      </c>
      <c r="M666">
        <v>3.9509559941419997E-2</v>
      </c>
      <c r="N666">
        <v>0.23245798967360129</v>
      </c>
      <c r="O666">
        <v>47588.953000000001</v>
      </c>
      <c r="P666">
        <v>1.500949E-6</v>
      </c>
      <c r="Q666">
        <v>0.14285700000000001</v>
      </c>
      <c r="R666" s="61">
        <v>3.3208251030801668E-2</v>
      </c>
      <c r="S666" t="s">
        <v>347</v>
      </c>
      <c r="T666" t="s">
        <v>437</v>
      </c>
      <c r="U666" t="s">
        <v>425</v>
      </c>
      <c r="V666" t="s">
        <v>81</v>
      </c>
      <c r="W666">
        <v>111.133</v>
      </c>
      <c r="X666">
        <v>1.0541007448257309</v>
      </c>
      <c r="Y666">
        <v>117.145378074718</v>
      </c>
      <c r="Z666">
        <v>640.82000000000005</v>
      </c>
      <c r="AA666">
        <v>1</v>
      </c>
      <c r="AB666">
        <v>75.069101177840764</v>
      </c>
      <c r="AC666">
        <v>0.93830000000000002</v>
      </c>
      <c r="AD666" s="63">
        <v>70.436999999999998</v>
      </c>
      <c r="AE666">
        <v>8.9176000000000002</v>
      </c>
      <c r="AF666">
        <v>9.4000488020579382</v>
      </c>
      <c r="AG666">
        <v>1</v>
      </c>
      <c r="AH666">
        <v>6023.7392733347688</v>
      </c>
      <c r="AI666">
        <v>1.098016605166052</v>
      </c>
      <c r="AJ666" s="63">
        <v>6614.1656999999996</v>
      </c>
      <c r="AK666" s="61">
        <v>219.64487492491801</v>
      </c>
      <c r="AL666" t="s">
        <v>348</v>
      </c>
      <c r="AM666" t="s">
        <v>438</v>
      </c>
      <c r="AN666" t="s">
        <v>425</v>
      </c>
      <c r="AO666" t="s">
        <v>81</v>
      </c>
      <c r="AP666">
        <v>111.133</v>
      </c>
      <c r="AQ666">
        <v>1.0727760310708341</v>
      </c>
      <c r="AR666">
        <v>119.22081866099499</v>
      </c>
      <c r="AS666">
        <v>694.38</v>
      </c>
      <c r="AT666">
        <v>0.875</v>
      </c>
      <c r="AU666">
        <v>72.436483054094012</v>
      </c>
      <c r="AV666">
        <v>0.93500000000000005</v>
      </c>
      <c r="AW666" s="63">
        <v>67.727999999999994</v>
      </c>
      <c r="AX666">
        <v>8.9176000000000002</v>
      </c>
      <c r="AY666">
        <v>0.91300000000000003</v>
      </c>
      <c r="AZ666">
        <v>6064.9193587765631</v>
      </c>
      <c r="BA666">
        <v>1.096171586715867</v>
      </c>
      <c r="BB666" s="63">
        <v>6648.1922999999997</v>
      </c>
      <c r="BC666" s="61">
        <v>220.7748387994427</v>
      </c>
    </row>
    <row r="667" spans="1:55" x14ac:dyDescent="0.25">
      <c r="A667">
        <v>216565</v>
      </c>
      <c r="B667" t="s">
        <v>209</v>
      </c>
      <c r="C667">
        <v>2020</v>
      </c>
      <c r="D667">
        <v>4</v>
      </c>
      <c r="E667" t="s">
        <v>100</v>
      </c>
      <c r="F667" t="s">
        <v>426</v>
      </c>
      <c r="G667" t="s">
        <v>84</v>
      </c>
      <c r="H667" t="s">
        <v>87</v>
      </c>
      <c r="I667" t="s">
        <v>427</v>
      </c>
      <c r="J667">
        <v>-5.8835884299999996</v>
      </c>
      <c r="K667" t="s">
        <v>440</v>
      </c>
      <c r="L667" t="s">
        <v>385</v>
      </c>
      <c r="M667">
        <v>0.39737542925016001</v>
      </c>
      <c r="N667">
        <v>2.3379934771770738</v>
      </c>
      <c r="O667">
        <v>47588.953000000001</v>
      </c>
      <c r="P667">
        <v>1.500949E-6</v>
      </c>
      <c r="Q667">
        <v>0.14285700000000001</v>
      </c>
      <c r="R667" s="61">
        <v>0.33399873416908532</v>
      </c>
      <c r="S667" t="s">
        <v>347</v>
      </c>
      <c r="T667" t="s">
        <v>437</v>
      </c>
      <c r="U667" t="s">
        <v>425</v>
      </c>
      <c r="V667" t="s">
        <v>27</v>
      </c>
      <c r="W667">
        <v>111.133</v>
      </c>
      <c r="X667">
        <v>1.0541007448257309</v>
      </c>
      <c r="Y667">
        <v>117.145378074718</v>
      </c>
      <c r="Z667">
        <v>640.82000000000005</v>
      </c>
      <c r="AA667">
        <v>1</v>
      </c>
      <c r="AB667">
        <v>75.069101177840764</v>
      </c>
      <c r="AC667">
        <v>0.95889999999999997</v>
      </c>
      <c r="AD667" s="63">
        <v>71.983999999999995</v>
      </c>
      <c r="AE667">
        <v>8.9176000000000002</v>
      </c>
      <c r="AF667">
        <v>9.4000488020579382</v>
      </c>
      <c r="AG667">
        <v>1</v>
      </c>
      <c r="AH667">
        <v>6023.7392733347688</v>
      </c>
      <c r="AI667">
        <v>0.99097621000820357</v>
      </c>
      <c r="AJ667" s="63">
        <v>5969.3823000000002</v>
      </c>
      <c r="AK667" s="61">
        <v>1993.7661319713429</v>
      </c>
      <c r="AL667" t="s">
        <v>348</v>
      </c>
      <c r="AM667" t="s">
        <v>438</v>
      </c>
      <c r="AN667" t="s">
        <v>425</v>
      </c>
      <c r="AO667" t="s">
        <v>27</v>
      </c>
      <c r="AP667">
        <v>111.133</v>
      </c>
      <c r="AQ667">
        <v>1.0727760310708341</v>
      </c>
      <c r="AR667">
        <v>119.22081866099499</v>
      </c>
      <c r="AS667">
        <v>694.38</v>
      </c>
      <c r="AT667">
        <v>0.875</v>
      </c>
      <c r="AU667">
        <v>72.436483054094012</v>
      </c>
      <c r="AV667">
        <v>0.95369999999999999</v>
      </c>
      <c r="AW667" s="63">
        <v>69.082999999999998</v>
      </c>
      <c r="AX667">
        <v>8.9176000000000002</v>
      </c>
      <c r="AY667">
        <v>0.91300000000000003</v>
      </c>
      <c r="AZ667">
        <v>6064.9193587765631</v>
      </c>
      <c r="BA667">
        <v>1.007895816242822</v>
      </c>
      <c r="BB667" s="63">
        <v>6112.8068000000003</v>
      </c>
      <c r="BC667" s="61">
        <v>2041.669733420177</v>
      </c>
    </row>
    <row r="668" spans="1:55" x14ac:dyDescent="0.25">
      <c r="A668">
        <v>216567</v>
      </c>
      <c r="B668" t="s">
        <v>209</v>
      </c>
      <c r="C668">
        <v>2020</v>
      </c>
      <c r="D668">
        <v>4</v>
      </c>
      <c r="E668" t="s">
        <v>100</v>
      </c>
      <c r="F668" t="s">
        <v>426</v>
      </c>
      <c r="G668" t="s">
        <v>84</v>
      </c>
      <c r="H668" t="s">
        <v>87</v>
      </c>
      <c r="I668" t="s">
        <v>427</v>
      </c>
      <c r="J668">
        <v>-5.8835884299999996</v>
      </c>
      <c r="K668" t="s">
        <v>440</v>
      </c>
      <c r="L668" t="s">
        <v>452</v>
      </c>
      <c r="M668">
        <v>8.4248020759000004E-4</v>
      </c>
      <c r="N668">
        <v>4.9568068003424861E-3</v>
      </c>
      <c r="O668">
        <v>47588.953000000001</v>
      </c>
      <c r="P668">
        <v>1.500949E-6</v>
      </c>
      <c r="Q668">
        <v>0.14285700000000001</v>
      </c>
      <c r="R668" s="61">
        <v>7.0811454907652657E-4</v>
      </c>
      <c r="S668" t="s">
        <v>347</v>
      </c>
      <c r="T668" t="s">
        <v>437</v>
      </c>
      <c r="U668" t="s">
        <v>425</v>
      </c>
      <c r="V668" t="s">
        <v>28</v>
      </c>
      <c r="W668">
        <v>111.133</v>
      </c>
      <c r="X668">
        <v>1.0541007448257309</v>
      </c>
      <c r="Y668">
        <v>117.145378074718</v>
      </c>
      <c r="Z668">
        <v>640.82000000000005</v>
      </c>
      <c r="AA668">
        <v>1</v>
      </c>
      <c r="AB668">
        <v>75.069101177840764</v>
      </c>
      <c r="AC668">
        <v>1.0073000000000001</v>
      </c>
      <c r="AD668" s="63">
        <v>75.617000000000004</v>
      </c>
      <c r="AE668">
        <v>8.9176000000000002</v>
      </c>
      <c r="AF668">
        <v>9.4000488020579382</v>
      </c>
      <c r="AG668">
        <v>1</v>
      </c>
      <c r="AH668">
        <v>6023.7392733347688</v>
      </c>
      <c r="AI668">
        <v>0.99399488088206345</v>
      </c>
      <c r="AJ668" s="63">
        <v>5987.5659999999998</v>
      </c>
      <c r="AK668" s="61">
        <v>4.2398825981559414</v>
      </c>
      <c r="AL668" t="s">
        <v>348</v>
      </c>
      <c r="AM668" t="s">
        <v>438</v>
      </c>
      <c r="AN668" t="s">
        <v>425</v>
      </c>
      <c r="AO668" t="s">
        <v>28</v>
      </c>
      <c r="AP668">
        <v>111.133</v>
      </c>
      <c r="AQ668">
        <v>1.0727760310708341</v>
      </c>
      <c r="AR668">
        <v>119.22081866099499</v>
      </c>
      <c r="AS668">
        <v>694.38</v>
      </c>
      <c r="AT668">
        <v>0.875</v>
      </c>
      <c r="AU668">
        <v>72.436483054094012</v>
      </c>
      <c r="AV668">
        <v>0.99250000000000005</v>
      </c>
      <c r="AW668" s="63">
        <v>71.893000000000001</v>
      </c>
      <c r="AX668">
        <v>8.9176000000000002</v>
      </c>
      <c r="AY668">
        <v>0.91300000000000003</v>
      </c>
      <c r="AZ668">
        <v>6064.9193587765631</v>
      </c>
      <c r="BA668">
        <v>0.93847214018507585</v>
      </c>
      <c r="BB668" s="63">
        <v>5691.7578999999996</v>
      </c>
      <c r="BC668" s="61">
        <v>4.0304165788112574</v>
      </c>
    </row>
    <row r="669" spans="1:55" x14ac:dyDescent="0.25">
      <c r="A669">
        <v>216569</v>
      </c>
      <c r="B669" t="s">
        <v>209</v>
      </c>
      <c r="C669">
        <v>2020</v>
      </c>
      <c r="D669">
        <v>4</v>
      </c>
      <c r="E669" t="s">
        <v>100</v>
      </c>
      <c r="F669" t="s">
        <v>426</v>
      </c>
      <c r="G669" t="s">
        <v>84</v>
      </c>
      <c r="H669" t="s">
        <v>59</v>
      </c>
      <c r="I669" t="s">
        <v>427</v>
      </c>
      <c r="J669">
        <v>-17.390262679999999</v>
      </c>
      <c r="K669" t="s">
        <v>440</v>
      </c>
      <c r="L669" t="s">
        <v>450</v>
      </c>
      <c r="M669">
        <v>0.15931709696460999</v>
      </c>
      <c r="N669">
        <v>2.7705661656409948</v>
      </c>
      <c r="O669">
        <v>47588.953000000001</v>
      </c>
      <c r="P669">
        <v>1.500949E-6</v>
      </c>
      <c r="Q669">
        <v>0.14285700000000001</v>
      </c>
      <c r="R669" s="61">
        <v>0.3957947707249756</v>
      </c>
      <c r="S669" t="s">
        <v>347</v>
      </c>
      <c r="T669" t="s">
        <v>437</v>
      </c>
      <c r="U669" t="s">
        <v>425</v>
      </c>
      <c r="V669" t="s">
        <v>26</v>
      </c>
      <c r="W669">
        <v>111.133</v>
      </c>
      <c r="X669">
        <v>1.0541007448257309</v>
      </c>
      <c r="Y669">
        <v>117.145378074718</v>
      </c>
      <c r="Z669">
        <v>640.82000000000005</v>
      </c>
      <c r="AA669">
        <v>1</v>
      </c>
      <c r="AB669">
        <v>75.069101177840764</v>
      </c>
      <c r="AC669">
        <v>0.99109999999999998</v>
      </c>
      <c r="AD669" s="63">
        <v>74.400999999999996</v>
      </c>
      <c r="AE669">
        <v>8.9176000000000002</v>
      </c>
      <c r="AF669">
        <v>9.4000488020579382</v>
      </c>
      <c r="AG669">
        <v>1</v>
      </c>
      <c r="AH669">
        <v>6023.7392733347688</v>
      </c>
      <c r="AI669">
        <v>0.9830373970836227</v>
      </c>
      <c r="AJ669" s="63">
        <v>5921.5609999999997</v>
      </c>
      <c r="AK669" s="61">
        <v>2343.722878328957</v>
      </c>
      <c r="AL669" t="s">
        <v>348</v>
      </c>
      <c r="AM669" t="s">
        <v>438</v>
      </c>
      <c r="AN669" t="s">
        <v>425</v>
      </c>
      <c r="AO669" t="s">
        <v>26</v>
      </c>
      <c r="AP669">
        <v>111.133</v>
      </c>
      <c r="AQ669">
        <v>1.0727760310708341</v>
      </c>
      <c r="AR669">
        <v>119.22081866099499</v>
      </c>
      <c r="AS669">
        <v>694.38</v>
      </c>
      <c r="AT669">
        <v>0.875</v>
      </c>
      <c r="AU669">
        <v>72.436483054094012</v>
      </c>
      <c r="AV669">
        <v>0.98270000000000002</v>
      </c>
      <c r="AW669" s="63">
        <v>71.183000000000007</v>
      </c>
      <c r="AX669">
        <v>8.9176000000000002</v>
      </c>
      <c r="AY669">
        <v>0.91300000000000003</v>
      </c>
      <c r="AZ669">
        <v>6064.9193587765631</v>
      </c>
      <c r="BA669">
        <v>0.99365142346989388</v>
      </c>
      <c r="BB669" s="63">
        <v>6026.4157999999998</v>
      </c>
      <c r="BC669" s="61">
        <v>2385.2238598543699</v>
      </c>
    </row>
    <row r="670" spans="1:55" x14ac:dyDescent="0.25">
      <c r="A670">
        <v>216571</v>
      </c>
      <c r="B670" t="s">
        <v>209</v>
      </c>
      <c r="C670">
        <v>2020</v>
      </c>
      <c r="D670">
        <v>4</v>
      </c>
      <c r="E670" t="s">
        <v>100</v>
      </c>
      <c r="F670" t="s">
        <v>426</v>
      </c>
      <c r="G670" t="s">
        <v>84</v>
      </c>
      <c r="H670" t="s">
        <v>59</v>
      </c>
      <c r="I670" t="s">
        <v>427</v>
      </c>
      <c r="J670">
        <v>-17.390262679999999</v>
      </c>
      <c r="K670" t="s">
        <v>440</v>
      </c>
      <c r="L670" t="s">
        <v>384</v>
      </c>
      <c r="M670">
        <v>4.1785183859599999E-2</v>
      </c>
      <c r="N670">
        <v>0.72665532345352923</v>
      </c>
      <c r="O670">
        <v>47588.953000000001</v>
      </c>
      <c r="P670">
        <v>1.500949E-6</v>
      </c>
      <c r="Q670">
        <v>0.14285700000000001</v>
      </c>
      <c r="R670" s="61">
        <v>0.1038077995426008</v>
      </c>
      <c r="S670" t="s">
        <v>347</v>
      </c>
      <c r="T670" t="s">
        <v>437</v>
      </c>
      <c r="U670" t="s">
        <v>425</v>
      </c>
      <c r="V670" t="s">
        <v>81</v>
      </c>
      <c r="W670">
        <v>111.133</v>
      </c>
      <c r="X670">
        <v>1.0541007448257309</v>
      </c>
      <c r="Y670">
        <v>117.145378074718</v>
      </c>
      <c r="Z670">
        <v>640.82000000000005</v>
      </c>
      <c r="AA670">
        <v>1</v>
      </c>
      <c r="AB670">
        <v>75.069101177840764</v>
      </c>
      <c r="AC670">
        <v>0.93830000000000002</v>
      </c>
      <c r="AD670" s="63">
        <v>70.436999999999998</v>
      </c>
      <c r="AE670">
        <v>8.9176000000000002</v>
      </c>
      <c r="AF670">
        <v>9.4000488020579382</v>
      </c>
      <c r="AG670">
        <v>1</v>
      </c>
      <c r="AH670">
        <v>6023.7392733347688</v>
      </c>
      <c r="AI670">
        <v>1.098016605166052</v>
      </c>
      <c r="AJ670" s="63">
        <v>6614.1656999999996</v>
      </c>
      <c r="AK670" s="61">
        <v>686.60198712714612</v>
      </c>
      <c r="AL670" t="s">
        <v>348</v>
      </c>
      <c r="AM670" t="s">
        <v>438</v>
      </c>
      <c r="AN670" t="s">
        <v>425</v>
      </c>
      <c r="AO670" t="s">
        <v>81</v>
      </c>
      <c r="AP670">
        <v>111.133</v>
      </c>
      <c r="AQ670">
        <v>1.0727760310708341</v>
      </c>
      <c r="AR670">
        <v>119.22081866099499</v>
      </c>
      <c r="AS670">
        <v>694.38</v>
      </c>
      <c r="AT670">
        <v>0.875</v>
      </c>
      <c r="AU670">
        <v>72.436483054094012</v>
      </c>
      <c r="AV670">
        <v>0.93500000000000005</v>
      </c>
      <c r="AW670" s="63">
        <v>67.727999999999994</v>
      </c>
      <c r="AX670">
        <v>8.9176000000000002</v>
      </c>
      <c r="AY670">
        <v>0.91300000000000003</v>
      </c>
      <c r="AZ670">
        <v>6064.9193587765631</v>
      </c>
      <c r="BA670">
        <v>1.096171586715867</v>
      </c>
      <c r="BB670" s="63">
        <v>6648.1922999999997</v>
      </c>
      <c r="BC670" s="61">
        <v>690.13421359906238</v>
      </c>
    </row>
    <row r="671" spans="1:55" x14ac:dyDescent="0.25">
      <c r="A671">
        <v>216573</v>
      </c>
      <c r="B671" t="s">
        <v>209</v>
      </c>
      <c r="C671">
        <v>2020</v>
      </c>
      <c r="D671">
        <v>4</v>
      </c>
      <c r="E671" t="s">
        <v>100</v>
      </c>
      <c r="F671" t="s">
        <v>426</v>
      </c>
      <c r="G671" t="s">
        <v>84</v>
      </c>
      <c r="H671" t="s">
        <v>59</v>
      </c>
      <c r="I671" t="s">
        <v>427</v>
      </c>
      <c r="J671">
        <v>-17.390262679999999</v>
      </c>
      <c r="K671" t="s">
        <v>440</v>
      </c>
      <c r="L671" t="s">
        <v>385</v>
      </c>
      <c r="M671">
        <v>0.43497567483749999</v>
      </c>
      <c r="N671">
        <v>7.5643412448655063</v>
      </c>
      <c r="O671">
        <v>47588.953000000001</v>
      </c>
      <c r="P671">
        <v>1.500949E-6</v>
      </c>
      <c r="Q671">
        <v>0.14285700000000001</v>
      </c>
      <c r="R671" s="61">
        <v>1.0806190972177521</v>
      </c>
      <c r="S671" t="s">
        <v>347</v>
      </c>
      <c r="T671" t="s">
        <v>437</v>
      </c>
      <c r="U671" t="s">
        <v>425</v>
      </c>
      <c r="V671" t="s">
        <v>27</v>
      </c>
      <c r="W671">
        <v>111.133</v>
      </c>
      <c r="X671">
        <v>1.0541007448257309</v>
      </c>
      <c r="Y671">
        <v>117.145378074718</v>
      </c>
      <c r="Z671">
        <v>640.82000000000005</v>
      </c>
      <c r="AA671">
        <v>1</v>
      </c>
      <c r="AB671">
        <v>75.069101177840764</v>
      </c>
      <c r="AC671">
        <v>0.95889999999999997</v>
      </c>
      <c r="AD671" s="63">
        <v>71.983999999999995</v>
      </c>
      <c r="AE671">
        <v>8.9176000000000002</v>
      </c>
      <c r="AF671">
        <v>9.4000488020579382</v>
      </c>
      <c r="AG671">
        <v>1</v>
      </c>
      <c r="AH671">
        <v>6023.7392733347688</v>
      </c>
      <c r="AI671">
        <v>0.99097621000820357</v>
      </c>
      <c r="AJ671" s="63">
        <v>5969.3823000000002</v>
      </c>
      <c r="AK671" s="61">
        <v>6450.6285119736258</v>
      </c>
      <c r="AL671" t="s">
        <v>348</v>
      </c>
      <c r="AM671" t="s">
        <v>438</v>
      </c>
      <c r="AN671" t="s">
        <v>425</v>
      </c>
      <c r="AO671" t="s">
        <v>27</v>
      </c>
      <c r="AP671">
        <v>111.133</v>
      </c>
      <c r="AQ671">
        <v>1.0727760310708341</v>
      </c>
      <c r="AR671">
        <v>119.22081866099499</v>
      </c>
      <c r="AS671">
        <v>694.38</v>
      </c>
      <c r="AT671">
        <v>0.875</v>
      </c>
      <c r="AU671">
        <v>72.436483054094012</v>
      </c>
      <c r="AV671">
        <v>0.95369999999999999</v>
      </c>
      <c r="AW671" s="63">
        <v>69.082999999999998</v>
      </c>
      <c r="AX671">
        <v>8.9176000000000002</v>
      </c>
      <c r="AY671">
        <v>0.91300000000000003</v>
      </c>
      <c r="AZ671">
        <v>6064.9193587765631</v>
      </c>
      <c r="BA671">
        <v>1.007895816242822</v>
      </c>
      <c r="BB671" s="63">
        <v>6112.8068000000003</v>
      </c>
      <c r="BC671" s="61">
        <v>6605.6157656825326</v>
      </c>
    </row>
    <row r="672" spans="1:55" x14ac:dyDescent="0.25">
      <c r="A672">
        <v>216575</v>
      </c>
      <c r="B672" t="s">
        <v>209</v>
      </c>
      <c r="C672">
        <v>2020</v>
      </c>
      <c r="D672">
        <v>4</v>
      </c>
      <c r="E672" t="s">
        <v>100</v>
      </c>
      <c r="F672" t="s">
        <v>426</v>
      </c>
      <c r="G672" t="s">
        <v>84</v>
      </c>
      <c r="H672" t="s">
        <v>59</v>
      </c>
      <c r="I672" t="s">
        <v>427</v>
      </c>
      <c r="J672">
        <v>-17.390262679999999</v>
      </c>
      <c r="K672" t="s">
        <v>440</v>
      </c>
      <c r="L672" t="s">
        <v>451</v>
      </c>
      <c r="M672">
        <v>1.7625750762999999E-3</v>
      </c>
      <c r="N672">
        <v>3.0651643570204119E-2</v>
      </c>
      <c r="O672">
        <v>47588.953000000001</v>
      </c>
      <c r="P672">
        <v>1.500949E-6</v>
      </c>
      <c r="Q672">
        <v>0.14285700000000001</v>
      </c>
      <c r="R672" s="61">
        <v>4.3788018455086508E-3</v>
      </c>
      <c r="S672" t="s">
        <v>347</v>
      </c>
      <c r="T672" t="s">
        <v>437</v>
      </c>
      <c r="U672" t="s">
        <v>425</v>
      </c>
      <c r="V672" t="s">
        <v>91</v>
      </c>
      <c r="W672">
        <v>111.133</v>
      </c>
      <c r="X672">
        <v>1.0541007448257309</v>
      </c>
      <c r="Y672">
        <v>117.145378074718</v>
      </c>
      <c r="Z672">
        <v>640.82000000000005</v>
      </c>
      <c r="AA672">
        <v>1</v>
      </c>
      <c r="AB672">
        <v>75.069101177840764</v>
      </c>
      <c r="AC672">
        <v>1.0088999999999999</v>
      </c>
      <c r="AD672" s="63">
        <v>75.736999999999995</v>
      </c>
      <c r="AE672">
        <v>8.9176000000000002</v>
      </c>
      <c r="AF672">
        <v>9.4000488020579382</v>
      </c>
      <c r="AG672">
        <v>1</v>
      </c>
      <c r="AH672">
        <v>6023.7392733347688</v>
      </c>
      <c r="AI672">
        <v>0.99316673174541203</v>
      </c>
      <c r="AJ672" s="63">
        <v>5982.5774000000001</v>
      </c>
      <c r="AK672" s="61">
        <v>26.196520960018351</v>
      </c>
      <c r="AL672" t="s">
        <v>348</v>
      </c>
      <c r="AM672" t="s">
        <v>438</v>
      </c>
      <c r="AN672" t="s">
        <v>425</v>
      </c>
      <c r="AO672" t="s">
        <v>91</v>
      </c>
      <c r="AP672">
        <v>111.133</v>
      </c>
      <c r="AQ672">
        <v>1.0727760310708341</v>
      </c>
      <c r="AR672">
        <v>119.22081866099499</v>
      </c>
      <c r="AS672">
        <v>694.38</v>
      </c>
      <c r="AT672">
        <v>0.875</v>
      </c>
      <c r="AU672">
        <v>72.436483054094012</v>
      </c>
      <c r="AV672">
        <v>1.0179</v>
      </c>
      <c r="AW672" s="63">
        <v>73.733000000000004</v>
      </c>
      <c r="AX672">
        <v>8.9176000000000002</v>
      </c>
      <c r="AY672">
        <v>0.91300000000000003</v>
      </c>
      <c r="AZ672">
        <v>6064.9193587765631</v>
      </c>
      <c r="BA672">
        <v>0.98975009761811794</v>
      </c>
      <c r="BB672" s="63">
        <v>6002.7545</v>
      </c>
      <c r="BC672" s="61">
        <v>26.284872482735359</v>
      </c>
    </row>
    <row r="673" spans="1:55" x14ac:dyDescent="0.25">
      <c r="A673">
        <v>216577</v>
      </c>
      <c r="B673" t="s">
        <v>209</v>
      </c>
      <c r="C673">
        <v>2020</v>
      </c>
      <c r="D673">
        <v>4</v>
      </c>
      <c r="E673" t="s">
        <v>100</v>
      </c>
      <c r="F673" t="s">
        <v>426</v>
      </c>
      <c r="G673" t="s">
        <v>84</v>
      </c>
      <c r="H673" t="s">
        <v>59</v>
      </c>
      <c r="I673" t="s">
        <v>427</v>
      </c>
      <c r="J673">
        <v>-17.390262679999999</v>
      </c>
      <c r="K673" t="s">
        <v>440</v>
      </c>
      <c r="L673" t="s">
        <v>452</v>
      </c>
      <c r="M673">
        <v>1.4858046103299999E-3</v>
      </c>
      <c r="N673">
        <v>2.5838532464900029E-2</v>
      </c>
      <c r="O673">
        <v>47588.953000000001</v>
      </c>
      <c r="P673">
        <v>1.500949E-6</v>
      </c>
      <c r="Q673">
        <v>0.14285700000000001</v>
      </c>
      <c r="R673" s="61">
        <v>3.6912152323382232E-3</v>
      </c>
      <c r="S673" t="s">
        <v>347</v>
      </c>
      <c r="T673" t="s">
        <v>437</v>
      </c>
      <c r="U673" t="s">
        <v>425</v>
      </c>
      <c r="V673" t="s">
        <v>28</v>
      </c>
      <c r="W673">
        <v>111.133</v>
      </c>
      <c r="X673">
        <v>1.0541007448257309</v>
      </c>
      <c r="Y673">
        <v>117.145378074718</v>
      </c>
      <c r="Z673">
        <v>640.82000000000005</v>
      </c>
      <c r="AA673">
        <v>1</v>
      </c>
      <c r="AB673">
        <v>75.069101177840764</v>
      </c>
      <c r="AC673">
        <v>1.0073000000000001</v>
      </c>
      <c r="AD673" s="63">
        <v>75.617000000000004</v>
      </c>
      <c r="AE673">
        <v>8.9176000000000002</v>
      </c>
      <c r="AF673">
        <v>9.4000488020579382</v>
      </c>
      <c r="AG673">
        <v>1</v>
      </c>
      <c r="AH673">
        <v>6023.7392733347688</v>
      </c>
      <c r="AI673">
        <v>0.99399488088206345</v>
      </c>
      <c r="AJ673" s="63">
        <v>5987.5659999999998</v>
      </c>
      <c r="AK673" s="61">
        <v>22.10139482383045</v>
      </c>
      <c r="AL673" t="s">
        <v>348</v>
      </c>
      <c r="AM673" t="s">
        <v>438</v>
      </c>
      <c r="AN673" t="s">
        <v>425</v>
      </c>
      <c r="AO673" t="s">
        <v>28</v>
      </c>
      <c r="AP673">
        <v>111.133</v>
      </c>
      <c r="AQ673">
        <v>1.0727760310708341</v>
      </c>
      <c r="AR673">
        <v>119.22081866099499</v>
      </c>
      <c r="AS673">
        <v>694.38</v>
      </c>
      <c r="AT673">
        <v>0.875</v>
      </c>
      <c r="AU673">
        <v>72.436483054094012</v>
      </c>
      <c r="AV673">
        <v>0.99250000000000005</v>
      </c>
      <c r="AW673" s="63">
        <v>71.893000000000001</v>
      </c>
      <c r="AX673">
        <v>8.9176000000000002</v>
      </c>
      <c r="AY673">
        <v>0.91300000000000003</v>
      </c>
      <c r="AZ673">
        <v>6064.9193587765631</v>
      </c>
      <c r="BA673">
        <v>0.93847214018507585</v>
      </c>
      <c r="BB673" s="63">
        <v>5691.7578999999996</v>
      </c>
      <c r="BC673" s="61">
        <v>21.00950345926142</v>
      </c>
    </row>
    <row r="674" spans="1:55" x14ac:dyDescent="0.25">
      <c r="A674">
        <v>223796</v>
      </c>
      <c r="B674" t="s">
        <v>216</v>
      </c>
      <c r="C674">
        <v>2020</v>
      </c>
      <c r="D674">
        <v>5</v>
      </c>
      <c r="E674" t="s">
        <v>100</v>
      </c>
      <c r="F674" t="s">
        <v>426</v>
      </c>
      <c r="G674" t="s">
        <v>84</v>
      </c>
      <c r="H674" t="s">
        <v>381</v>
      </c>
      <c r="I674" t="s">
        <v>427</v>
      </c>
      <c r="J674">
        <v>-32.004116019999998</v>
      </c>
      <c r="K674" t="s">
        <v>440</v>
      </c>
      <c r="L674" t="s">
        <v>450</v>
      </c>
      <c r="M674">
        <v>0.15011157993331001</v>
      </c>
      <c r="N674">
        <v>4.8041884206151462</v>
      </c>
      <c r="O674">
        <v>47588.953000000001</v>
      </c>
      <c r="P674">
        <v>1.500949E-6</v>
      </c>
      <c r="Q674">
        <v>0.14285700000000001</v>
      </c>
      <c r="R674" s="61">
        <v>0.686311945203818</v>
      </c>
      <c r="S674" t="s">
        <v>347</v>
      </c>
      <c r="T674" t="s">
        <v>437</v>
      </c>
      <c r="U674" t="s">
        <v>425</v>
      </c>
      <c r="V674" t="s">
        <v>26</v>
      </c>
      <c r="W674">
        <v>111.133</v>
      </c>
      <c r="X674">
        <v>1.0541007448257309</v>
      </c>
      <c r="Y674">
        <v>117.145378074718</v>
      </c>
      <c r="Z674">
        <v>640.82000000000005</v>
      </c>
      <c r="AA674">
        <v>1</v>
      </c>
      <c r="AB674">
        <v>75.069101177840764</v>
      </c>
      <c r="AC674">
        <v>0.99109999999999998</v>
      </c>
      <c r="AD674" s="63">
        <v>74.400999999999996</v>
      </c>
      <c r="AE674">
        <v>8.9176000000000002</v>
      </c>
      <c r="AF674">
        <v>9.4000488020579382</v>
      </c>
      <c r="AG674">
        <v>1</v>
      </c>
      <c r="AH674">
        <v>6023.7392733347688</v>
      </c>
      <c r="AI674">
        <v>0.9830373970836227</v>
      </c>
      <c r="AJ674" s="63">
        <v>5921.5609999999997</v>
      </c>
      <c r="AK674" s="61">
        <v>4064.038048553065</v>
      </c>
      <c r="AL674" t="s">
        <v>348</v>
      </c>
      <c r="AM674" t="s">
        <v>438</v>
      </c>
      <c r="AN674" t="s">
        <v>425</v>
      </c>
      <c r="AO674" t="s">
        <v>26</v>
      </c>
      <c r="AP674">
        <v>111.133</v>
      </c>
      <c r="AQ674">
        <v>1.0727760310708341</v>
      </c>
      <c r="AR674">
        <v>119.22081866099499</v>
      </c>
      <c r="AS674">
        <v>694.38</v>
      </c>
      <c r="AT674">
        <v>0.875</v>
      </c>
      <c r="AU674">
        <v>72.436483054094012</v>
      </c>
      <c r="AV674">
        <v>0.98270000000000002</v>
      </c>
      <c r="AW674" s="63">
        <v>71.183000000000007</v>
      </c>
      <c r="AX674">
        <v>8.9176000000000002</v>
      </c>
      <c r="AY674">
        <v>0.91300000000000003</v>
      </c>
      <c r="AZ674">
        <v>6064.9193587765631</v>
      </c>
      <c r="BA674">
        <v>0.99365142346989388</v>
      </c>
      <c r="BB674" s="63">
        <v>6026.4157999999998</v>
      </c>
      <c r="BC674" s="61">
        <v>4136.0011503050227</v>
      </c>
    </row>
    <row r="675" spans="1:55" x14ac:dyDescent="0.25">
      <c r="A675">
        <v>223798</v>
      </c>
      <c r="B675" t="s">
        <v>216</v>
      </c>
      <c r="C675">
        <v>2020</v>
      </c>
      <c r="D675">
        <v>5</v>
      </c>
      <c r="E675" t="s">
        <v>100</v>
      </c>
      <c r="F675" t="s">
        <v>426</v>
      </c>
      <c r="G675" t="s">
        <v>84</v>
      </c>
      <c r="H675" t="s">
        <v>381</v>
      </c>
      <c r="I675" t="s">
        <v>427</v>
      </c>
      <c r="J675">
        <v>-32.004116019999998</v>
      </c>
      <c r="K675" t="s">
        <v>440</v>
      </c>
      <c r="L675" t="s">
        <v>384</v>
      </c>
      <c r="M675">
        <v>4.5811354346740003E-2</v>
      </c>
      <c r="N675">
        <v>1.466151899694103</v>
      </c>
      <c r="O675">
        <v>47588.953000000001</v>
      </c>
      <c r="P675">
        <v>1.500949E-6</v>
      </c>
      <c r="Q675">
        <v>0.14285700000000001</v>
      </c>
      <c r="R675" s="61">
        <v>0.2094500619346005</v>
      </c>
      <c r="S675" t="s">
        <v>347</v>
      </c>
      <c r="T675" t="s">
        <v>437</v>
      </c>
      <c r="U675" t="s">
        <v>425</v>
      </c>
      <c r="V675" t="s">
        <v>81</v>
      </c>
      <c r="W675">
        <v>111.133</v>
      </c>
      <c r="X675">
        <v>1.0541007448257309</v>
      </c>
      <c r="Y675">
        <v>117.145378074718</v>
      </c>
      <c r="Z675">
        <v>640.82000000000005</v>
      </c>
      <c r="AA675">
        <v>1</v>
      </c>
      <c r="AB675">
        <v>75.069101177840764</v>
      </c>
      <c r="AC675">
        <v>0.93830000000000002</v>
      </c>
      <c r="AD675" s="63">
        <v>70.436999999999998</v>
      </c>
      <c r="AE675">
        <v>8.9176000000000002</v>
      </c>
      <c r="AF675">
        <v>9.4000488020579382</v>
      </c>
      <c r="AG675">
        <v>1</v>
      </c>
      <c r="AH675">
        <v>6023.7392733347688</v>
      </c>
      <c r="AI675">
        <v>1.098016605166052</v>
      </c>
      <c r="AJ675" s="63">
        <v>6614.1656999999996</v>
      </c>
      <c r="AK675" s="61">
        <v>1385.3374155107099</v>
      </c>
      <c r="AL675" t="s">
        <v>348</v>
      </c>
      <c r="AM675" t="s">
        <v>438</v>
      </c>
      <c r="AN675" t="s">
        <v>425</v>
      </c>
      <c r="AO675" t="s">
        <v>81</v>
      </c>
      <c r="AP675">
        <v>111.133</v>
      </c>
      <c r="AQ675">
        <v>1.0727760310708341</v>
      </c>
      <c r="AR675">
        <v>119.22081866099499</v>
      </c>
      <c r="AS675">
        <v>694.38</v>
      </c>
      <c r="AT675">
        <v>0.875</v>
      </c>
      <c r="AU675">
        <v>72.436483054094012</v>
      </c>
      <c r="AV675">
        <v>0.93500000000000005</v>
      </c>
      <c r="AW675" s="63">
        <v>67.727999999999994</v>
      </c>
      <c r="AX675">
        <v>8.9176000000000002</v>
      </c>
      <c r="AY675">
        <v>0.91300000000000003</v>
      </c>
      <c r="AZ675">
        <v>6064.9193587765631</v>
      </c>
      <c r="BA675">
        <v>1.096171586715867</v>
      </c>
      <c r="BB675" s="63">
        <v>6648.1922999999997</v>
      </c>
      <c r="BC675" s="61">
        <v>1392.4642889881341</v>
      </c>
    </row>
    <row r="676" spans="1:55" x14ac:dyDescent="0.25">
      <c r="A676">
        <v>223800</v>
      </c>
      <c r="B676" t="s">
        <v>216</v>
      </c>
      <c r="C676">
        <v>2020</v>
      </c>
      <c r="D676">
        <v>5</v>
      </c>
      <c r="E676" t="s">
        <v>100</v>
      </c>
      <c r="F676" t="s">
        <v>426</v>
      </c>
      <c r="G676" t="s">
        <v>84</v>
      </c>
      <c r="H676" t="s">
        <v>381</v>
      </c>
      <c r="I676" t="s">
        <v>427</v>
      </c>
      <c r="J676">
        <v>-32.004116019999998</v>
      </c>
      <c r="K676" t="s">
        <v>440</v>
      </c>
      <c r="L676" t="s">
        <v>385</v>
      </c>
      <c r="M676">
        <v>0.43232641346992001</v>
      </c>
      <c r="N676">
        <v>13.836224696595711</v>
      </c>
      <c r="O676">
        <v>47588.953000000001</v>
      </c>
      <c r="P676">
        <v>1.500949E-6</v>
      </c>
      <c r="Q676">
        <v>0.14285700000000001</v>
      </c>
      <c r="R676" s="61">
        <v>1.976601551481574</v>
      </c>
      <c r="S676" t="s">
        <v>347</v>
      </c>
      <c r="T676" t="s">
        <v>437</v>
      </c>
      <c r="U676" t="s">
        <v>425</v>
      </c>
      <c r="V676" t="s">
        <v>27</v>
      </c>
      <c r="W676">
        <v>111.133</v>
      </c>
      <c r="X676">
        <v>1.0541007448257309</v>
      </c>
      <c r="Y676">
        <v>117.145378074718</v>
      </c>
      <c r="Z676">
        <v>640.82000000000005</v>
      </c>
      <c r="AA676">
        <v>1</v>
      </c>
      <c r="AB676">
        <v>75.069101177840764</v>
      </c>
      <c r="AC676">
        <v>0.95889999999999997</v>
      </c>
      <c r="AD676" s="63">
        <v>71.983999999999995</v>
      </c>
      <c r="AE676">
        <v>8.9176000000000002</v>
      </c>
      <c r="AF676">
        <v>9.4000488020579382</v>
      </c>
      <c r="AG676">
        <v>1</v>
      </c>
      <c r="AH676">
        <v>6023.7392733347688</v>
      </c>
      <c r="AI676">
        <v>0.99097621000820357</v>
      </c>
      <c r="AJ676" s="63">
        <v>5969.3823000000002</v>
      </c>
      <c r="AK676" s="61">
        <v>11799.090315566649</v>
      </c>
      <c r="AL676" t="s">
        <v>348</v>
      </c>
      <c r="AM676" t="s">
        <v>438</v>
      </c>
      <c r="AN676" t="s">
        <v>425</v>
      </c>
      <c r="AO676" t="s">
        <v>27</v>
      </c>
      <c r="AP676">
        <v>111.133</v>
      </c>
      <c r="AQ676">
        <v>1.0727760310708341</v>
      </c>
      <c r="AR676">
        <v>119.22081866099499</v>
      </c>
      <c r="AS676">
        <v>694.38</v>
      </c>
      <c r="AT676">
        <v>0.875</v>
      </c>
      <c r="AU676">
        <v>72.436483054094012</v>
      </c>
      <c r="AV676">
        <v>0.95369999999999999</v>
      </c>
      <c r="AW676" s="63">
        <v>69.082999999999998</v>
      </c>
      <c r="AX676">
        <v>8.9176000000000002</v>
      </c>
      <c r="AY676">
        <v>0.91300000000000003</v>
      </c>
      <c r="AZ676">
        <v>6064.9193587765631</v>
      </c>
      <c r="BA676">
        <v>1.007895816242822</v>
      </c>
      <c r="BB676" s="63">
        <v>6112.8068000000003</v>
      </c>
      <c r="BC676" s="61">
        <v>12082.583404787119</v>
      </c>
    </row>
    <row r="677" spans="1:55" x14ac:dyDescent="0.25">
      <c r="A677">
        <v>223802</v>
      </c>
      <c r="B677" t="s">
        <v>216</v>
      </c>
      <c r="C677">
        <v>2020</v>
      </c>
      <c r="D677">
        <v>5</v>
      </c>
      <c r="E677" t="s">
        <v>100</v>
      </c>
      <c r="F677" t="s">
        <v>426</v>
      </c>
      <c r="G677" t="s">
        <v>84</v>
      </c>
      <c r="H677" t="s">
        <v>381</v>
      </c>
      <c r="I677" t="s">
        <v>427</v>
      </c>
      <c r="J677">
        <v>-32.004116019999998</v>
      </c>
      <c r="K677" t="s">
        <v>440</v>
      </c>
      <c r="L677" t="s">
        <v>451</v>
      </c>
      <c r="M677">
        <v>1.6825115802299999E-3</v>
      </c>
      <c r="N677">
        <v>5.3847295824099202E-2</v>
      </c>
      <c r="O677">
        <v>47588.953000000001</v>
      </c>
      <c r="P677">
        <v>1.500949E-6</v>
      </c>
      <c r="Q677">
        <v>0.14285700000000001</v>
      </c>
      <c r="R677" s="61">
        <v>7.6924631395433396E-3</v>
      </c>
      <c r="S677" t="s">
        <v>347</v>
      </c>
      <c r="T677" t="s">
        <v>437</v>
      </c>
      <c r="U677" t="s">
        <v>425</v>
      </c>
      <c r="V677" t="s">
        <v>91</v>
      </c>
      <c r="W677">
        <v>111.133</v>
      </c>
      <c r="X677">
        <v>1.0541007448257309</v>
      </c>
      <c r="Y677">
        <v>117.145378074718</v>
      </c>
      <c r="Z677">
        <v>640.82000000000005</v>
      </c>
      <c r="AA677">
        <v>1</v>
      </c>
      <c r="AB677">
        <v>75.069101177840764</v>
      </c>
      <c r="AC677">
        <v>1.0088999999999999</v>
      </c>
      <c r="AD677" s="63">
        <v>75.736999999999995</v>
      </c>
      <c r="AE677">
        <v>8.9176000000000002</v>
      </c>
      <c r="AF677">
        <v>9.4000488020579382</v>
      </c>
      <c r="AG677">
        <v>1</v>
      </c>
      <c r="AH677">
        <v>6023.7392733347688</v>
      </c>
      <c r="AI677">
        <v>0.99316673174541203</v>
      </c>
      <c r="AJ677" s="63">
        <v>5982.5774000000001</v>
      </c>
      <c r="AK677" s="61">
        <v>46.020756128965033</v>
      </c>
      <c r="AL677" t="s">
        <v>348</v>
      </c>
      <c r="AM677" t="s">
        <v>438</v>
      </c>
      <c r="AN677" t="s">
        <v>425</v>
      </c>
      <c r="AO677" t="s">
        <v>91</v>
      </c>
      <c r="AP677">
        <v>111.133</v>
      </c>
      <c r="AQ677">
        <v>1.0727760310708341</v>
      </c>
      <c r="AR677">
        <v>119.22081866099499</v>
      </c>
      <c r="AS677">
        <v>694.38</v>
      </c>
      <c r="AT677">
        <v>0.875</v>
      </c>
      <c r="AU677">
        <v>72.436483054094012</v>
      </c>
      <c r="AV677">
        <v>1.0179</v>
      </c>
      <c r="AW677" s="63">
        <v>73.733000000000004</v>
      </c>
      <c r="AX677">
        <v>8.9176000000000002</v>
      </c>
      <c r="AY677">
        <v>0.91300000000000003</v>
      </c>
      <c r="AZ677">
        <v>6064.9193587765631</v>
      </c>
      <c r="BA677">
        <v>0.98975009761811794</v>
      </c>
      <c r="BB677" s="63">
        <v>6002.7545</v>
      </c>
      <c r="BC677" s="61">
        <v>46.175967726977909</v>
      </c>
    </row>
    <row r="678" spans="1:55" x14ac:dyDescent="0.25">
      <c r="A678">
        <v>223804</v>
      </c>
      <c r="B678" t="s">
        <v>216</v>
      </c>
      <c r="C678">
        <v>2020</v>
      </c>
      <c r="D678">
        <v>5</v>
      </c>
      <c r="E678" t="s">
        <v>100</v>
      </c>
      <c r="F678" t="s">
        <v>426</v>
      </c>
      <c r="G678" t="s">
        <v>84</v>
      </c>
      <c r="H678" t="s">
        <v>381</v>
      </c>
      <c r="I678" t="s">
        <v>427</v>
      </c>
      <c r="J678">
        <v>-32.004116019999998</v>
      </c>
      <c r="K678" t="s">
        <v>440</v>
      </c>
      <c r="L678" t="s">
        <v>452</v>
      </c>
      <c r="M678">
        <v>1.53682162831E-3</v>
      </c>
      <c r="N678">
        <v>4.9184617699433567E-2</v>
      </c>
      <c r="O678">
        <v>47588.953000000001</v>
      </c>
      <c r="P678">
        <v>1.500949E-6</v>
      </c>
      <c r="Q678">
        <v>0.14285700000000001</v>
      </c>
      <c r="R678" s="61">
        <v>7.0263669306879816E-3</v>
      </c>
      <c r="S678" t="s">
        <v>347</v>
      </c>
      <c r="T678" t="s">
        <v>437</v>
      </c>
      <c r="U678" t="s">
        <v>425</v>
      </c>
      <c r="V678" t="s">
        <v>28</v>
      </c>
      <c r="W678">
        <v>111.133</v>
      </c>
      <c r="X678">
        <v>1.0541007448257309</v>
      </c>
      <c r="Y678">
        <v>117.145378074718</v>
      </c>
      <c r="Z678">
        <v>640.82000000000005</v>
      </c>
      <c r="AA678">
        <v>1</v>
      </c>
      <c r="AB678">
        <v>75.069101177840764</v>
      </c>
      <c r="AC678">
        <v>1.0073000000000001</v>
      </c>
      <c r="AD678" s="63">
        <v>75.617000000000004</v>
      </c>
      <c r="AE678">
        <v>8.9176000000000002</v>
      </c>
      <c r="AF678">
        <v>9.4000488020579382</v>
      </c>
      <c r="AG678">
        <v>1</v>
      </c>
      <c r="AH678">
        <v>6023.7392733347688</v>
      </c>
      <c r="AI678">
        <v>0.99399488088206345</v>
      </c>
      <c r="AJ678" s="63">
        <v>5987.5659999999998</v>
      </c>
      <c r="AK678" s="61">
        <v>42.070835737711711</v>
      </c>
      <c r="AL678" t="s">
        <v>348</v>
      </c>
      <c r="AM678" t="s">
        <v>438</v>
      </c>
      <c r="AN678" t="s">
        <v>425</v>
      </c>
      <c r="AO678" t="s">
        <v>28</v>
      </c>
      <c r="AP678">
        <v>111.133</v>
      </c>
      <c r="AQ678">
        <v>1.0727760310708341</v>
      </c>
      <c r="AR678">
        <v>119.22081866099499</v>
      </c>
      <c r="AS678">
        <v>694.38</v>
      </c>
      <c r="AT678">
        <v>0.875</v>
      </c>
      <c r="AU678">
        <v>72.436483054094012</v>
      </c>
      <c r="AV678">
        <v>0.99250000000000005</v>
      </c>
      <c r="AW678" s="63">
        <v>71.893000000000001</v>
      </c>
      <c r="AX678">
        <v>8.9176000000000002</v>
      </c>
      <c r="AY678">
        <v>0.91300000000000003</v>
      </c>
      <c r="AZ678">
        <v>6064.9193587765631</v>
      </c>
      <c r="BA678">
        <v>0.93847214018507585</v>
      </c>
      <c r="BB678" s="63">
        <v>5691.7578999999996</v>
      </c>
      <c r="BC678" s="61">
        <v>39.992379486042068</v>
      </c>
    </row>
    <row r="679" spans="1:55" x14ac:dyDescent="0.25">
      <c r="A679">
        <v>223806</v>
      </c>
      <c r="B679" t="s">
        <v>216</v>
      </c>
      <c r="C679">
        <v>2020</v>
      </c>
      <c r="D679">
        <v>5</v>
      </c>
      <c r="E679" t="s">
        <v>100</v>
      </c>
      <c r="F679" t="s">
        <v>426</v>
      </c>
      <c r="G679" t="s">
        <v>84</v>
      </c>
      <c r="H679" t="s">
        <v>87</v>
      </c>
      <c r="I679" t="s">
        <v>427</v>
      </c>
      <c r="J679">
        <v>-5.8835884299999996</v>
      </c>
      <c r="K679" t="s">
        <v>440</v>
      </c>
      <c r="L679" t="s">
        <v>450</v>
      </c>
      <c r="M679">
        <v>0.26601384014995</v>
      </c>
      <c r="N679">
        <v>1.5651159516404789</v>
      </c>
      <c r="O679">
        <v>47588.953000000001</v>
      </c>
      <c r="P679">
        <v>1.500949E-6</v>
      </c>
      <c r="Q679">
        <v>0.14285700000000001</v>
      </c>
      <c r="R679" s="61">
        <v>0.22358776950350401</v>
      </c>
      <c r="S679" t="s">
        <v>347</v>
      </c>
      <c r="T679" t="s">
        <v>437</v>
      </c>
      <c r="U679" t="s">
        <v>425</v>
      </c>
      <c r="V679" t="s">
        <v>26</v>
      </c>
      <c r="W679">
        <v>111.133</v>
      </c>
      <c r="X679">
        <v>1.0541007448257309</v>
      </c>
      <c r="Y679">
        <v>117.145378074718</v>
      </c>
      <c r="Z679">
        <v>640.82000000000005</v>
      </c>
      <c r="AA679">
        <v>1</v>
      </c>
      <c r="AB679">
        <v>75.069101177840764</v>
      </c>
      <c r="AC679">
        <v>0.99109999999999998</v>
      </c>
      <c r="AD679" s="63">
        <v>74.400999999999996</v>
      </c>
      <c r="AE679">
        <v>8.9176000000000002</v>
      </c>
      <c r="AF679">
        <v>9.4000488020579382</v>
      </c>
      <c r="AG679">
        <v>1</v>
      </c>
      <c r="AH679">
        <v>6023.7392733347688</v>
      </c>
      <c r="AI679">
        <v>0.9830373970836227</v>
      </c>
      <c r="AJ679" s="63">
        <v>5921.5609999999997</v>
      </c>
      <c r="AK679" s="61">
        <v>1323.9886159689379</v>
      </c>
      <c r="AL679" t="s">
        <v>348</v>
      </c>
      <c r="AM679" t="s">
        <v>438</v>
      </c>
      <c r="AN679" t="s">
        <v>425</v>
      </c>
      <c r="AO679" t="s">
        <v>26</v>
      </c>
      <c r="AP679">
        <v>111.133</v>
      </c>
      <c r="AQ679">
        <v>1.0727760310708341</v>
      </c>
      <c r="AR679">
        <v>119.22081866099499</v>
      </c>
      <c r="AS679">
        <v>694.38</v>
      </c>
      <c r="AT679">
        <v>0.875</v>
      </c>
      <c r="AU679">
        <v>72.436483054094012</v>
      </c>
      <c r="AV679">
        <v>0.98270000000000002</v>
      </c>
      <c r="AW679" s="63">
        <v>71.183000000000007</v>
      </c>
      <c r="AX679">
        <v>8.9176000000000002</v>
      </c>
      <c r="AY679">
        <v>0.91300000000000003</v>
      </c>
      <c r="AZ679">
        <v>6064.9193587765631</v>
      </c>
      <c r="BA679">
        <v>0.99365142346989388</v>
      </c>
      <c r="BB679" s="63">
        <v>6026.4157999999998</v>
      </c>
      <c r="BC679" s="61">
        <v>1347.432866822674</v>
      </c>
    </row>
    <row r="680" spans="1:55" x14ac:dyDescent="0.25">
      <c r="A680">
        <v>223808</v>
      </c>
      <c r="B680" t="s">
        <v>216</v>
      </c>
      <c r="C680">
        <v>2020</v>
      </c>
      <c r="D680">
        <v>5</v>
      </c>
      <c r="E680" t="s">
        <v>100</v>
      </c>
      <c r="F680" t="s">
        <v>426</v>
      </c>
      <c r="G680" t="s">
        <v>84</v>
      </c>
      <c r="H680" t="s">
        <v>87</v>
      </c>
      <c r="I680" t="s">
        <v>427</v>
      </c>
      <c r="J680">
        <v>-5.8835884299999996</v>
      </c>
      <c r="K680" t="s">
        <v>440</v>
      </c>
      <c r="L680" t="s">
        <v>384</v>
      </c>
      <c r="M680">
        <v>3.9509559941419997E-2</v>
      </c>
      <c r="N680">
        <v>0.23245798967360129</v>
      </c>
      <c r="O680">
        <v>47588.953000000001</v>
      </c>
      <c r="P680">
        <v>1.500949E-6</v>
      </c>
      <c r="Q680">
        <v>0.14285700000000001</v>
      </c>
      <c r="R680" s="61">
        <v>3.3208251030801668E-2</v>
      </c>
      <c r="S680" t="s">
        <v>347</v>
      </c>
      <c r="T680" t="s">
        <v>437</v>
      </c>
      <c r="U680" t="s">
        <v>425</v>
      </c>
      <c r="V680" t="s">
        <v>81</v>
      </c>
      <c r="W680">
        <v>111.133</v>
      </c>
      <c r="X680">
        <v>1.0541007448257309</v>
      </c>
      <c r="Y680">
        <v>117.145378074718</v>
      </c>
      <c r="Z680">
        <v>640.82000000000005</v>
      </c>
      <c r="AA680">
        <v>1</v>
      </c>
      <c r="AB680">
        <v>75.069101177840764</v>
      </c>
      <c r="AC680">
        <v>0.93830000000000002</v>
      </c>
      <c r="AD680" s="63">
        <v>70.436999999999998</v>
      </c>
      <c r="AE680">
        <v>8.9176000000000002</v>
      </c>
      <c r="AF680">
        <v>9.4000488020579382</v>
      </c>
      <c r="AG680">
        <v>1</v>
      </c>
      <c r="AH680">
        <v>6023.7392733347688</v>
      </c>
      <c r="AI680">
        <v>1.098016605166052</v>
      </c>
      <c r="AJ680" s="63">
        <v>6614.1656999999996</v>
      </c>
      <c r="AK680" s="61">
        <v>219.64487492491801</v>
      </c>
      <c r="AL680" t="s">
        <v>348</v>
      </c>
      <c r="AM680" t="s">
        <v>438</v>
      </c>
      <c r="AN680" t="s">
        <v>425</v>
      </c>
      <c r="AO680" t="s">
        <v>81</v>
      </c>
      <c r="AP680">
        <v>111.133</v>
      </c>
      <c r="AQ680">
        <v>1.0727760310708341</v>
      </c>
      <c r="AR680">
        <v>119.22081866099499</v>
      </c>
      <c r="AS680">
        <v>694.38</v>
      </c>
      <c r="AT680">
        <v>0.875</v>
      </c>
      <c r="AU680">
        <v>72.436483054094012</v>
      </c>
      <c r="AV680">
        <v>0.93500000000000005</v>
      </c>
      <c r="AW680" s="63">
        <v>67.727999999999994</v>
      </c>
      <c r="AX680">
        <v>8.9176000000000002</v>
      </c>
      <c r="AY680">
        <v>0.91300000000000003</v>
      </c>
      <c r="AZ680">
        <v>6064.9193587765631</v>
      </c>
      <c r="BA680">
        <v>1.096171586715867</v>
      </c>
      <c r="BB680" s="63">
        <v>6648.1922999999997</v>
      </c>
      <c r="BC680" s="61">
        <v>220.7748387994427</v>
      </c>
    </row>
    <row r="681" spans="1:55" x14ac:dyDescent="0.25">
      <c r="A681">
        <v>223810</v>
      </c>
      <c r="B681" t="s">
        <v>216</v>
      </c>
      <c r="C681">
        <v>2020</v>
      </c>
      <c r="D681">
        <v>5</v>
      </c>
      <c r="E681" t="s">
        <v>100</v>
      </c>
      <c r="F681" t="s">
        <v>426</v>
      </c>
      <c r="G681" t="s">
        <v>84</v>
      </c>
      <c r="H681" t="s">
        <v>87</v>
      </c>
      <c r="I681" t="s">
        <v>427</v>
      </c>
      <c r="J681">
        <v>-5.8835884299999996</v>
      </c>
      <c r="K681" t="s">
        <v>440</v>
      </c>
      <c r="L681" t="s">
        <v>385</v>
      </c>
      <c r="M681">
        <v>0.39737542925016001</v>
      </c>
      <c r="N681">
        <v>2.3379934771770738</v>
      </c>
      <c r="O681">
        <v>47588.953000000001</v>
      </c>
      <c r="P681">
        <v>1.500949E-6</v>
      </c>
      <c r="Q681">
        <v>0.14285700000000001</v>
      </c>
      <c r="R681" s="61">
        <v>0.33399873416908532</v>
      </c>
      <c r="S681" t="s">
        <v>347</v>
      </c>
      <c r="T681" t="s">
        <v>437</v>
      </c>
      <c r="U681" t="s">
        <v>425</v>
      </c>
      <c r="V681" t="s">
        <v>27</v>
      </c>
      <c r="W681">
        <v>111.133</v>
      </c>
      <c r="X681">
        <v>1.0541007448257309</v>
      </c>
      <c r="Y681">
        <v>117.145378074718</v>
      </c>
      <c r="Z681">
        <v>640.82000000000005</v>
      </c>
      <c r="AA681">
        <v>1</v>
      </c>
      <c r="AB681">
        <v>75.069101177840764</v>
      </c>
      <c r="AC681">
        <v>0.95889999999999997</v>
      </c>
      <c r="AD681" s="63">
        <v>71.983999999999995</v>
      </c>
      <c r="AE681">
        <v>8.9176000000000002</v>
      </c>
      <c r="AF681">
        <v>9.4000488020579382</v>
      </c>
      <c r="AG681">
        <v>1</v>
      </c>
      <c r="AH681">
        <v>6023.7392733347688</v>
      </c>
      <c r="AI681">
        <v>0.99097621000820357</v>
      </c>
      <c r="AJ681" s="63">
        <v>5969.3823000000002</v>
      </c>
      <c r="AK681" s="61">
        <v>1993.7661319713429</v>
      </c>
      <c r="AL681" t="s">
        <v>348</v>
      </c>
      <c r="AM681" t="s">
        <v>438</v>
      </c>
      <c r="AN681" t="s">
        <v>425</v>
      </c>
      <c r="AO681" t="s">
        <v>27</v>
      </c>
      <c r="AP681">
        <v>111.133</v>
      </c>
      <c r="AQ681">
        <v>1.0727760310708341</v>
      </c>
      <c r="AR681">
        <v>119.22081866099499</v>
      </c>
      <c r="AS681">
        <v>694.38</v>
      </c>
      <c r="AT681">
        <v>0.875</v>
      </c>
      <c r="AU681">
        <v>72.436483054094012</v>
      </c>
      <c r="AV681">
        <v>0.95369999999999999</v>
      </c>
      <c r="AW681" s="63">
        <v>69.082999999999998</v>
      </c>
      <c r="AX681">
        <v>8.9176000000000002</v>
      </c>
      <c r="AY681">
        <v>0.91300000000000003</v>
      </c>
      <c r="AZ681">
        <v>6064.9193587765631</v>
      </c>
      <c r="BA681">
        <v>1.007895816242822</v>
      </c>
      <c r="BB681" s="63">
        <v>6112.8068000000003</v>
      </c>
      <c r="BC681" s="61">
        <v>2041.669733420177</v>
      </c>
    </row>
    <row r="682" spans="1:55" x14ac:dyDescent="0.25">
      <c r="A682">
        <v>223812</v>
      </c>
      <c r="B682" t="s">
        <v>216</v>
      </c>
      <c r="C682">
        <v>2020</v>
      </c>
      <c r="D682">
        <v>5</v>
      </c>
      <c r="E682" t="s">
        <v>100</v>
      </c>
      <c r="F682" t="s">
        <v>426</v>
      </c>
      <c r="G682" t="s">
        <v>84</v>
      </c>
      <c r="H682" t="s">
        <v>87</v>
      </c>
      <c r="I682" t="s">
        <v>427</v>
      </c>
      <c r="J682">
        <v>-5.8835884299999996</v>
      </c>
      <c r="K682" t="s">
        <v>440</v>
      </c>
      <c r="L682" t="s">
        <v>452</v>
      </c>
      <c r="M682">
        <v>8.4248020759000004E-4</v>
      </c>
      <c r="N682">
        <v>4.9568068003424861E-3</v>
      </c>
      <c r="O682">
        <v>47588.953000000001</v>
      </c>
      <c r="P682">
        <v>1.500949E-6</v>
      </c>
      <c r="Q682">
        <v>0.14285700000000001</v>
      </c>
      <c r="R682" s="61">
        <v>7.0811454907652657E-4</v>
      </c>
      <c r="S682" t="s">
        <v>347</v>
      </c>
      <c r="T682" t="s">
        <v>437</v>
      </c>
      <c r="U682" t="s">
        <v>425</v>
      </c>
      <c r="V682" t="s">
        <v>28</v>
      </c>
      <c r="W682">
        <v>111.133</v>
      </c>
      <c r="X682">
        <v>1.0541007448257309</v>
      </c>
      <c r="Y682">
        <v>117.145378074718</v>
      </c>
      <c r="Z682">
        <v>640.82000000000005</v>
      </c>
      <c r="AA682">
        <v>1</v>
      </c>
      <c r="AB682">
        <v>75.069101177840764</v>
      </c>
      <c r="AC682">
        <v>1.0073000000000001</v>
      </c>
      <c r="AD682" s="63">
        <v>75.617000000000004</v>
      </c>
      <c r="AE682">
        <v>8.9176000000000002</v>
      </c>
      <c r="AF682">
        <v>9.4000488020579382</v>
      </c>
      <c r="AG682">
        <v>1</v>
      </c>
      <c r="AH682">
        <v>6023.7392733347688</v>
      </c>
      <c r="AI682">
        <v>0.99399488088206345</v>
      </c>
      <c r="AJ682" s="63">
        <v>5987.5659999999998</v>
      </c>
      <c r="AK682" s="61">
        <v>4.2398825981559414</v>
      </c>
      <c r="AL682" t="s">
        <v>348</v>
      </c>
      <c r="AM682" t="s">
        <v>438</v>
      </c>
      <c r="AN682" t="s">
        <v>425</v>
      </c>
      <c r="AO682" t="s">
        <v>28</v>
      </c>
      <c r="AP682">
        <v>111.133</v>
      </c>
      <c r="AQ682">
        <v>1.0727760310708341</v>
      </c>
      <c r="AR682">
        <v>119.22081866099499</v>
      </c>
      <c r="AS682">
        <v>694.38</v>
      </c>
      <c r="AT682">
        <v>0.875</v>
      </c>
      <c r="AU682">
        <v>72.436483054094012</v>
      </c>
      <c r="AV682">
        <v>0.99250000000000005</v>
      </c>
      <c r="AW682" s="63">
        <v>71.893000000000001</v>
      </c>
      <c r="AX682">
        <v>8.9176000000000002</v>
      </c>
      <c r="AY682">
        <v>0.91300000000000003</v>
      </c>
      <c r="AZ682">
        <v>6064.9193587765631</v>
      </c>
      <c r="BA682">
        <v>0.93847214018507585</v>
      </c>
      <c r="BB682" s="63">
        <v>5691.7578999999996</v>
      </c>
      <c r="BC682" s="61">
        <v>4.0304165788112574</v>
      </c>
    </row>
    <row r="683" spans="1:55" x14ac:dyDescent="0.25">
      <c r="A683">
        <v>223814</v>
      </c>
      <c r="B683" t="s">
        <v>216</v>
      </c>
      <c r="C683">
        <v>2020</v>
      </c>
      <c r="D683">
        <v>5</v>
      </c>
      <c r="E683" t="s">
        <v>100</v>
      </c>
      <c r="F683" t="s">
        <v>426</v>
      </c>
      <c r="G683" t="s">
        <v>84</v>
      </c>
      <c r="H683" t="s">
        <v>59</v>
      </c>
      <c r="I683" t="s">
        <v>427</v>
      </c>
      <c r="J683">
        <v>-17.390262679999999</v>
      </c>
      <c r="K683" t="s">
        <v>440</v>
      </c>
      <c r="L683" t="s">
        <v>450</v>
      </c>
      <c r="M683">
        <v>0.15931709696460999</v>
      </c>
      <c r="N683">
        <v>2.7705661656409948</v>
      </c>
      <c r="O683">
        <v>47588.953000000001</v>
      </c>
      <c r="P683">
        <v>1.500949E-6</v>
      </c>
      <c r="Q683">
        <v>0.14285700000000001</v>
      </c>
      <c r="R683" s="61">
        <v>0.3957947707249756</v>
      </c>
      <c r="S683" t="s">
        <v>347</v>
      </c>
      <c r="T683" t="s">
        <v>437</v>
      </c>
      <c r="U683" t="s">
        <v>425</v>
      </c>
      <c r="V683" t="s">
        <v>26</v>
      </c>
      <c r="W683">
        <v>111.133</v>
      </c>
      <c r="X683">
        <v>1.0541007448257309</v>
      </c>
      <c r="Y683">
        <v>117.145378074718</v>
      </c>
      <c r="Z683">
        <v>640.82000000000005</v>
      </c>
      <c r="AA683">
        <v>1</v>
      </c>
      <c r="AB683">
        <v>75.069101177840764</v>
      </c>
      <c r="AC683">
        <v>0.99109999999999998</v>
      </c>
      <c r="AD683" s="63">
        <v>74.400999999999996</v>
      </c>
      <c r="AE683">
        <v>8.9176000000000002</v>
      </c>
      <c r="AF683">
        <v>9.4000488020579382</v>
      </c>
      <c r="AG683">
        <v>1</v>
      </c>
      <c r="AH683">
        <v>6023.7392733347688</v>
      </c>
      <c r="AI683">
        <v>0.9830373970836227</v>
      </c>
      <c r="AJ683" s="63">
        <v>5921.5609999999997</v>
      </c>
      <c r="AK683" s="61">
        <v>2343.722878328957</v>
      </c>
      <c r="AL683" t="s">
        <v>348</v>
      </c>
      <c r="AM683" t="s">
        <v>438</v>
      </c>
      <c r="AN683" t="s">
        <v>425</v>
      </c>
      <c r="AO683" t="s">
        <v>26</v>
      </c>
      <c r="AP683">
        <v>111.133</v>
      </c>
      <c r="AQ683">
        <v>1.0727760310708341</v>
      </c>
      <c r="AR683">
        <v>119.22081866099499</v>
      </c>
      <c r="AS683">
        <v>694.38</v>
      </c>
      <c r="AT683">
        <v>0.875</v>
      </c>
      <c r="AU683">
        <v>72.436483054094012</v>
      </c>
      <c r="AV683">
        <v>0.98270000000000002</v>
      </c>
      <c r="AW683" s="63">
        <v>71.183000000000007</v>
      </c>
      <c r="AX683">
        <v>8.9176000000000002</v>
      </c>
      <c r="AY683">
        <v>0.91300000000000003</v>
      </c>
      <c r="AZ683">
        <v>6064.9193587765631</v>
      </c>
      <c r="BA683">
        <v>0.99365142346989388</v>
      </c>
      <c r="BB683" s="63">
        <v>6026.4157999999998</v>
      </c>
      <c r="BC683" s="61">
        <v>2385.2238598543699</v>
      </c>
    </row>
    <row r="684" spans="1:55" x14ac:dyDescent="0.25">
      <c r="A684">
        <v>223816</v>
      </c>
      <c r="B684" t="s">
        <v>216</v>
      </c>
      <c r="C684">
        <v>2020</v>
      </c>
      <c r="D684">
        <v>5</v>
      </c>
      <c r="E684" t="s">
        <v>100</v>
      </c>
      <c r="F684" t="s">
        <v>426</v>
      </c>
      <c r="G684" t="s">
        <v>84</v>
      </c>
      <c r="H684" t="s">
        <v>59</v>
      </c>
      <c r="I684" t="s">
        <v>427</v>
      </c>
      <c r="J684">
        <v>-17.390262679999999</v>
      </c>
      <c r="K684" t="s">
        <v>440</v>
      </c>
      <c r="L684" t="s">
        <v>384</v>
      </c>
      <c r="M684">
        <v>4.1785183859599999E-2</v>
      </c>
      <c r="N684">
        <v>0.72665532345352923</v>
      </c>
      <c r="O684">
        <v>47588.953000000001</v>
      </c>
      <c r="P684">
        <v>1.500949E-6</v>
      </c>
      <c r="Q684">
        <v>0.14285700000000001</v>
      </c>
      <c r="R684" s="61">
        <v>0.1038077995426008</v>
      </c>
      <c r="S684" t="s">
        <v>347</v>
      </c>
      <c r="T684" t="s">
        <v>437</v>
      </c>
      <c r="U684" t="s">
        <v>425</v>
      </c>
      <c r="V684" t="s">
        <v>81</v>
      </c>
      <c r="W684">
        <v>111.133</v>
      </c>
      <c r="X684">
        <v>1.0541007448257309</v>
      </c>
      <c r="Y684">
        <v>117.145378074718</v>
      </c>
      <c r="Z684">
        <v>640.82000000000005</v>
      </c>
      <c r="AA684">
        <v>1</v>
      </c>
      <c r="AB684">
        <v>75.069101177840764</v>
      </c>
      <c r="AC684">
        <v>0.93830000000000002</v>
      </c>
      <c r="AD684" s="63">
        <v>70.436999999999998</v>
      </c>
      <c r="AE684">
        <v>8.9176000000000002</v>
      </c>
      <c r="AF684">
        <v>9.4000488020579382</v>
      </c>
      <c r="AG684">
        <v>1</v>
      </c>
      <c r="AH684">
        <v>6023.7392733347688</v>
      </c>
      <c r="AI684">
        <v>1.098016605166052</v>
      </c>
      <c r="AJ684" s="63">
        <v>6614.1656999999996</v>
      </c>
      <c r="AK684" s="61">
        <v>686.60198712714612</v>
      </c>
      <c r="AL684" t="s">
        <v>348</v>
      </c>
      <c r="AM684" t="s">
        <v>438</v>
      </c>
      <c r="AN684" t="s">
        <v>425</v>
      </c>
      <c r="AO684" t="s">
        <v>81</v>
      </c>
      <c r="AP684">
        <v>111.133</v>
      </c>
      <c r="AQ684">
        <v>1.0727760310708341</v>
      </c>
      <c r="AR684">
        <v>119.22081866099499</v>
      </c>
      <c r="AS684">
        <v>694.38</v>
      </c>
      <c r="AT684">
        <v>0.875</v>
      </c>
      <c r="AU684">
        <v>72.436483054094012</v>
      </c>
      <c r="AV684">
        <v>0.93500000000000005</v>
      </c>
      <c r="AW684" s="63">
        <v>67.727999999999994</v>
      </c>
      <c r="AX684">
        <v>8.9176000000000002</v>
      </c>
      <c r="AY684">
        <v>0.91300000000000003</v>
      </c>
      <c r="AZ684">
        <v>6064.9193587765631</v>
      </c>
      <c r="BA684">
        <v>1.096171586715867</v>
      </c>
      <c r="BB684" s="63">
        <v>6648.1922999999997</v>
      </c>
      <c r="BC684" s="61">
        <v>690.13421359906238</v>
      </c>
    </row>
    <row r="685" spans="1:55" x14ac:dyDescent="0.25">
      <c r="A685">
        <v>223818</v>
      </c>
      <c r="B685" t="s">
        <v>216</v>
      </c>
      <c r="C685">
        <v>2020</v>
      </c>
      <c r="D685">
        <v>5</v>
      </c>
      <c r="E685" t="s">
        <v>100</v>
      </c>
      <c r="F685" t="s">
        <v>426</v>
      </c>
      <c r="G685" t="s">
        <v>84</v>
      </c>
      <c r="H685" t="s">
        <v>59</v>
      </c>
      <c r="I685" t="s">
        <v>427</v>
      </c>
      <c r="J685">
        <v>-17.390262679999999</v>
      </c>
      <c r="K685" t="s">
        <v>440</v>
      </c>
      <c r="L685" t="s">
        <v>385</v>
      </c>
      <c r="M685">
        <v>0.43497567483749999</v>
      </c>
      <c r="N685">
        <v>7.5643412448655063</v>
      </c>
      <c r="O685">
        <v>47588.953000000001</v>
      </c>
      <c r="P685">
        <v>1.500949E-6</v>
      </c>
      <c r="Q685">
        <v>0.14285700000000001</v>
      </c>
      <c r="R685" s="61">
        <v>1.0806190972177521</v>
      </c>
      <c r="S685" t="s">
        <v>347</v>
      </c>
      <c r="T685" t="s">
        <v>437</v>
      </c>
      <c r="U685" t="s">
        <v>425</v>
      </c>
      <c r="V685" t="s">
        <v>27</v>
      </c>
      <c r="W685">
        <v>111.133</v>
      </c>
      <c r="X685">
        <v>1.0541007448257309</v>
      </c>
      <c r="Y685">
        <v>117.145378074718</v>
      </c>
      <c r="Z685">
        <v>640.82000000000005</v>
      </c>
      <c r="AA685">
        <v>1</v>
      </c>
      <c r="AB685">
        <v>75.069101177840764</v>
      </c>
      <c r="AC685">
        <v>0.95889999999999997</v>
      </c>
      <c r="AD685" s="63">
        <v>71.983999999999995</v>
      </c>
      <c r="AE685">
        <v>8.9176000000000002</v>
      </c>
      <c r="AF685">
        <v>9.4000488020579382</v>
      </c>
      <c r="AG685">
        <v>1</v>
      </c>
      <c r="AH685">
        <v>6023.7392733347688</v>
      </c>
      <c r="AI685">
        <v>0.99097621000820357</v>
      </c>
      <c r="AJ685" s="63">
        <v>5969.3823000000002</v>
      </c>
      <c r="AK685" s="61">
        <v>6450.6285119736258</v>
      </c>
      <c r="AL685" t="s">
        <v>348</v>
      </c>
      <c r="AM685" t="s">
        <v>438</v>
      </c>
      <c r="AN685" t="s">
        <v>425</v>
      </c>
      <c r="AO685" t="s">
        <v>27</v>
      </c>
      <c r="AP685">
        <v>111.133</v>
      </c>
      <c r="AQ685">
        <v>1.0727760310708341</v>
      </c>
      <c r="AR685">
        <v>119.22081866099499</v>
      </c>
      <c r="AS685">
        <v>694.38</v>
      </c>
      <c r="AT685">
        <v>0.875</v>
      </c>
      <c r="AU685">
        <v>72.436483054094012</v>
      </c>
      <c r="AV685">
        <v>0.95369999999999999</v>
      </c>
      <c r="AW685" s="63">
        <v>69.082999999999998</v>
      </c>
      <c r="AX685">
        <v>8.9176000000000002</v>
      </c>
      <c r="AY685">
        <v>0.91300000000000003</v>
      </c>
      <c r="AZ685">
        <v>6064.9193587765631</v>
      </c>
      <c r="BA685">
        <v>1.007895816242822</v>
      </c>
      <c r="BB685" s="63">
        <v>6112.8068000000003</v>
      </c>
      <c r="BC685" s="61">
        <v>6605.6157656825326</v>
      </c>
    </row>
    <row r="686" spans="1:55" x14ac:dyDescent="0.25">
      <c r="A686">
        <v>223820</v>
      </c>
      <c r="B686" t="s">
        <v>216</v>
      </c>
      <c r="C686">
        <v>2020</v>
      </c>
      <c r="D686">
        <v>5</v>
      </c>
      <c r="E686" t="s">
        <v>100</v>
      </c>
      <c r="F686" t="s">
        <v>426</v>
      </c>
      <c r="G686" t="s">
        <v>84</v>
      </c>
      <c r="H686" t="s">
        <v>59</v>
      </c>
      <c r="I686" t="s">
        <v>427</v>
      </c>
      <c r="J686">
        <v>-17.390262679999999</v>
      </c>
      <c r="K686" t="s">
        <v>440</v>
      </c>
      <c r="L686" t="s">
        <v>451</v>
      </c>
      <c r="M686">
        <v>1.7625750762999999E-3</v>
      </c>
      <c r="N686">
        <v>3.0651643570204119E-2</v>
      </c>
      <c r="O686">
        <v>47588.953000000001</v>
      </c>
      <c r="P686">
        <v>1.500949E-6</v>
      </c>
      <c r="Q686">
        <v>0.14285700000000001</v>
      </c>
      <c r="R686" s="61">
        <v>4.3788018455086508E-3</v>
      </c>
      <c r="S686" t="s">
        <v>347</v>
      </c>
      <c r="T686" t="s">
        <v>437</v>
      </c>
      <c r="U686" t="s">
        <v>425</v>
      </c>
      <c r="V686" t="s">
        <v>91</v>
      </c>
      <c r="W686">
        <v>111.133</v>
      </c>
      <c r="X686">
        <v>1.0541007448257309</v>
      </c>
      <c r="Y686">
        <v>117.145378074718</v>
      </c>
      <c r="Z686">
        <v>640.82000000000005</v>
      </c>
      <c r="AA686">
        <v>1</v>
      </c>
      <c r="AB686">
        <v>75.069101177840764</v>
      </c>
      <c r="AC686">
        <v>1.0088999999999999</v>
      </c>
      <c r="AD686" s="63">
        <v>75.736999999999995</v>
      </c>
      <c r="AE686">
        <v>8.9176000000000002</v>
      </c>
      <c r="AF686">
        <v>9.4000488020579382</v>
      </c>
      <c r="AG686">
        <v>1</v>
      </c>
      <c r="AH686">
        <v>6023.7392733347688</v>
      </c>
      <c r="AI686">
        <v>0.99316673174541203</v>
      </c>
      <c r="AJ686" s="63">
        <v>5982.5774000000001</v>
      </c>
      <c r="AK686" s="61">
        <v>26.196520960018351</v>
      </c>
      <c r="AL686" t="s">
        <v>348</v>
      </c>
      <c r="AM686" t="s">
        <v>438</v>
      </c>
      <c r="AN686" t="s">
        <v>425</v>
      </c>
      <c r="AO686" t="s">
        <v>91</v>
      </c>
      <c r="AP686">
        <v>111.133</v>
      </c>
      <c r="AQ686">
        <v>1.0727760310708341</v>
      </c>
      <c r="AR686">
        <v>119.22081866099499</v>
      </c>
      <c r="AS686">
        <v>694.38</v>
      </c>
      <c r="AT686">
        <v>0.875</v>
      </c>
      <c r="AU686">
        <v>72.436483054094012</v>
      </c>
      <c r="AV686">
        <v>1.0179</v>
      </c>
      <c r="AW686" s="63">
        <v>73.733000000000004</v>
      </c>
      <c r="AX686">
        <v>8.9176000000000002</v>
      </c>
      <c r="AY686">
        <v>0.91300000000000003</v>
      </c>
      <c r="AZ686">
        <v>6064.9193587765631</v>
      </c>
      <c r="BA686">
        <v>0.98975009761811794</v>
      </c>
      <c r="BB686" s="63">
        <v>6002.7545</v>
      </c>
      <c r="BC686" s="61">
        <v>26.284872482735359</v>
      </c>
    </row>
    <row r="687" spans="1:55" x14ac:dyDescent="0.25">
      <c r="A687">
        <v>223822</v>
      </c>
      <c r="B687" t="s">
        <v>216</v>
      </c>
      <c r="C687">
        <v>2020</v>
      </c>
      <c r="D687">
        <v>5</v>
      </c>
      <c r="E687" t="s">
        <v>100</v>
      </c>
      <c r="F687" t="s">
        <v>426</v>
      </c>
      <c r="G687" t="s">
        <v>84</v>
      </c>
      <c r="H687" t="s">
        <v>59</v>
      </c>
      <c r="I687" t="s">
        <v>427</v>
      </c>
      <c r="J687">
        <v>-17.390262679999999</v>
      </c>
      <c r="K687" t="s">
        <v>440</v>
      </c>
      <c r="L687" t="s">
        <v>452</v>
      </c>
      <c r="M687">
        <v>1.4858046103299999E-3</v>
      </c>
      <c r="N687">
        <v>2.5838532464900029E-2</v>
      </c>
      <c r="O687">
        <v>47588.953000000001</v>
      </c>
      <c r="P687">
        <v>1.500949E-6</v>
      </c>
      <c r="Q687">
        <v>0.14285700000000001</v>
      </c>
      <c r="R687" s="61">
        <v>3.6912152323382232E-3</v>
      </c>
      <c r="S687" t="s">
        <v>347</v>
      </c>
      <c r="T687" t="s">
        <v>437</v>
      </c>
      <c r="U687" t="s">
        <v>425</v>
      </c>
      <c r="V687" t="s">
        <v>28</v>
      </c>
      <c r="W687">
        <v>111.133</v>
      </c>
      <c r="X687">
        <v>1.0541007448257309</v>
      </c>
      <c r="Y687">
        <v>117.145378074718</v>
      </c>
      <c r="Z687">
        <v>640.82000000000005</v>
      </c>
      <c r="AA687">
        <v>1</v>
      </c>
      <c r="AB687">
        <v>75.069101177840764</v>
      </c>
      <c r="AC687">
        <v>1.0073000000000001</v>
      </c>
      <c r="AD687" s="63">
        <v>75.617000000000004</v>
      </c>
      <c r="AE687">
        <v>8.9176000000000002</v>
      </c>
      <c r="AF687">
        <v>9.4000488020579382</v>
      </c>
      <c r="AG687">
        <v>1</v>
      </c>
      <c r="AH687">
        <v>6023.7392733347688</v>
      </c>
      <c r="AI687">
        <v>0.99399488088206345</v>
      </c>
      <c r="AJ687" s="63">
        <v>5987.5659999999998</v>
      </c>
      <c r="AK687" s="61">
        <v>22.10139482383045</v>
      </c>
      <c r="AL687" t="s">
        <v>348</v>
      </c>
      <c r="AM687" t="s">
        <v>438</v>
      </c>
      <c r="AN687" t="s">
        <v>425</v>
      </c>
      <c r="AO687" t="s">
        <v>28</v>
      </c>
      <c r="AP687">
        <v>111.133</v>
      </c>
      <c r="AQ687">
        <v>1.0727760310708341</v>
      </c>
      <c r="AR687">
        <v>119.22081866099499</v>
      </c>
      <c r="AS687">
        <v>694.38</v>
      </c>
      <c r="AT687">
        <v>0.875</v>
      </c>
      <c r="AU687">
        <v>72.436483054094012</v>
      </c>
      <c r="AV687">
        <v>0.99250000000000005</v>
      </c>
      <c r="AW687" s="63">
        <v>71.893000000000001</v>
      </c>
      <c r="AX687">
        <v>8.9176000000000002</v>
      </c>
      <c r="AY687">
        <v>0.91300000000000003</v>
      </c>
      <c r="AZ687">
        <v>6064.9193587765631</v>
      </c>
      <c r="BA687">
        <v>0.93847214018507585</v>
      </c>
      <c r="BB687" s="63">
        <v>5691.7578999999996</v>
      </c>
      <c r="BC687" s="61">
        <v>21.00950345926142</v>
      </c>
    </row>
    <row r="688" spans="1:55" x14ac:dyDescent="0.25">
      <c r="A688">
        <v>231041</v>
      </c>
      <c r="B688" t="s">
        <v>223</v>
      </c>
      <c r="C688">
        <v>2020</v>
      </c>
      <c r="D688">
        <v>6</v>
      </c>
      <c r="E688" t="s">
        <v>100</v>
      </c>
      <c r="F688" t="s">
        <v>426</v>
      </c>
      <c r="G688" t="s">
        <v>84</v>
      </c>
      <c r="H688" t="s">
        <v>381</v>
      </c>
      <c r="I688" t="s">
        <v>427</v>
      </c>
      <c r="J688">
        <v>-32.004116019999998</v>
      </c>
      <c r="K688" t="s">
        <v>440</v>
      </c>
      <c r="L688" t="s">
        <v>450</v>
      </c>
      <c r="M688">
        <v>0.15011157993331001</v>
      </c>
      <c r="N688">
        <v>4.8041884206151462</v>
      </c>
      <c r="O688">
        <v>47588.953000000001</v>
      </c>
      <c r="P688">
        <v>1.500949E-6</v>
      </c>
      <c r="Q688">
        <v>0.14285700000000001</v>
      </c>
      <c r="R688" s="61">
        <v>0.686311945203818</v>
      </c>
      <c r="S688" t="s">
        <v>347</v>
      </c>
      <c r="T688" t="s">
        <v>437</v>
      </c>
      <c r="U688" t="s">
        <v>425</v>
      </c>
      <c r="V688" t="s">
        <v>26</v>
      </c>
      <c r="W688">
        <v>111.133</v>
      </c>
      <c r="X688">
        <v>1.0541007448257309</v>
      </c>
      <c r="Y688">
        <v>117.145378074718</v>
      </c>
      <c r="Z688">
        <v>640.82000000000005</v>
      </c>
      <c r="AA688">
        <v>1</v>
      </c>
      <c r="AB688">
        <v>75.069101177840764</v>
      </c>
      <c r="AC688">
        <v>0.99109999999999998</v>
      </c>
      <c r="AD688" s="63">
        <v>74.400999999999996</v>
      </c>
      <c r="AE688">
        <v>8.9176000000000002</v>
      </c>
      <c r="AF688">
        <v>9.4000488020579382</v>
      </c>
      <c r="AG688">
        <v>1</v>
      </c>
      <c r="AH688">
        <v>6023.7392733347688</v>
      </c>
      <c r="AI688">
        <v>0.9830373970836227</v>
      </c>
      <c r="AJ688" s="63">
        <v>5921.5609999999997</v>
      </c>
      <c r="AK688" s="61">
        <v>4064.038048553065</v>
      </c>
      <c r="AL688" t="s">
        <v>348</v>
      </c>
      <c r="AM688" t="s">
        <v>438</v>
      </c>
      <c r="AN688" t="s">
        <v>425</v>
      </c>
      <c r="AO688" t="s">
        <v>26</v>
      </c>
      <c r="AP688">
        <v>111.133</v>
      </c>
      <c r="AQ688">
        <v>1.0727760310708341</v>
      </c>
      <c r="AR688">
        <v>119.22081866099499</v>
      </c>
      <c r="AS688">
        <v>694.38</v>
      </c>
      <c r="AT688">
        <v>0.875</v>
      </c>
      <c r="AU688">
        <v>72.436483054094012</v>
      </c>
      <c r="AV688">
        <v>0.98270000000000002</v>
      </c>
      <c r="AW688" s="63">
        <v>71.183000000000007</v>
      </c>
      <c r="AX688">
        <v>8.9176000000000002</v>
      </c>
      <c r="AY688">
        <v>0.91300000000000003</v>
      </c>
      <c r="AZ688">
        <v>6064.9193587765631</v>
      </c>
      <c r="BA688">
        <v>0.99365142346989388</v>
      </c>
      <c r="BB688" s="63">
        <v>6026.4157999999998</v>
      </c>
      <c r="BC688" s="61">
        <v>4136.0011503050227</v>
      </c>
    </row>
    <row r="689" spans="1:55" x14ac:dyDescent="0.25">
      <c r="A689">
        <v>231043</v>
      </c>
      <c r="B689" t="s">
        <v>223</v>
      </c>
      <c r="C689">
        <v>2020</v>
      </c>
      <c r="D689">
        <v>6</v>
      </c>
      <c r="E689" t="s">
        <v>100</v>
      </c>
      <c r="F689" t="s">
        <v>426</v>
      </c>
      <c r="G689" t="s">
        <v>84</v>
      </c>
      <c r="H689" t="s">
        <v>381</v>
      </c>
      <c r="I689" t="s">
        <v>427</v>
      </c>
      <c r="J689">
        <v>-32.004116019999998</v>
      </c>
      <c r="K689" t="s">
        <v>440</v>
      </c>
      <c r="L689" t="s">
        <v>384</v>
      </c>
      <c r="M689">
        <v>4.5811354346740003E-2</v>
      </c>
      <c r="N689">
        <v>1.466151899694103</v>
      </c>
      <c r="O689">
        <v>47588.953000000001</v>
      </c>
      <c r="P689">
        <v>1.500949E-6</v>
      </c>
      <c r="Q689">
        <v>0.14285700000000001</v>
      </c>
      <c r="R689" s="61">
        <v>0.2094500619346005</v>
      </c>
      <c r="S689" t="s">
        <v>347</v>
      </c>
      <c r="T689" t="s">
        <v>437</v>
      </c>
      <c r="U689" t="s">
        <v>425</v>
      </c>
      <c r="V689" t="s">
        <v>81</v>
      </c>
      <c r="W689">
        <v>111.133</v>
      </c>
      <c r="X689">
        <v>1.0541007448257309</v>
      </c>
      <c r="Y689">
        <v>117.145378074718</v>
      </c>
      <c r="Z689">
        <v>640.82000000000005</v>
      </c>
      <c r="AA689">
        <v>1</v>
      </c>
      <c r="AB689">
        <v>75.069101177840764</v>
      </c>
      <c r="AC689">
        <v>0.93830000000000002</v>
      </c>
      <c r="AD689" s="63">
        <v>70.436999999999998</v>
      </c>
      <c r="AE689">
        <v>8.9176000000000002</v>
      </c>
      <c r="AF689">
        <v>9.4000488020579382</v>
      </c>
      <c r="AG689">
        <v>1</v>
      </c>
      <c r="AH689">
        <v>6023.7392733347688</v>
      </c>
      <c r="AI689">
        <v>1.098016605166052</v>
      </c>
      <c r="AJ689" s="63">
        <v>6614.1656999999996</v>
      </c>
      <c r="AK689" s="61">
        <v>1385.3374155107099</v>
      </c>
      <c r="AL689" t="s">
        <v>348</v>
      </c>
      <c r="AM689" t="s">
        <v>438</v>
      </c>
      <c r="AN689" t="s">
        <v>425</v>
      </c>
      <c r="AO689" t="s">
        <v>81</v>
      </c>
      <c r="AP689">
        <v>111.133</v>
      </c>
      <c r="AQ689">
        <v>1.0727760310708341</v>
      </c>
      <c r="AR689">
        <v>119.22081866099499</v>
      </c>
      <c r="AS689">
        <v>694.38</v>
      </c>
      <c r="AT689">
        <v>0.875</v>
      </c>
      <c r="AU689">
        <v>72.436483054094012</v>
      </c>
      <c r="AV689">
        <v>0.93500000000000005</v>
      </c>
      <c r="AW689" s="63">
        <v>67.727999999999994</v>
      </c>
      <c r="AX689">
        <v>8.9176000000000002</v>
      </c>
      <c r="AY689">
        <v>0.91300000000000003</v>
      </c>
      <c r="AZ689">
        <v>6064.9193587765631</v>
      </c>
      <c r="BA689">
        <v>1.096171586715867</v>
      </c>
      <c r="BB689" s="63">
        <v>6648.1922999999997</v>
      </c>
      <c r="BC689" s="61">
        <v>1392.4642889881341</v>
      </c>
    </row>
    <row r="690" spans="1:55" x14ac:dyDescent="0.25">
      <c r="A690">
        <v>231045</v>
      </c>
      <c r="B690" t="s">
        <v>223</v>
      </c>
      <c r="C690">
        <v>2020</v>
      </c>
      <c r="D690">
        <v>6</v>
      </c>
      <c r="E690" t="s">
        <v>100</v>
      </c>
      <c r="F690" t="s">
        <v>426</v>
      </c>
      <c r="G690" t="s">
        <v>84</v>
      </c>
      <c r="H690" t="s">
        <v>381</v>
      </c>
      <c r="I690" t="s">
        <v>427</v>
      </c>
      <c r="J690">
        <v>-32.004116019999998</v>
      </c>
      <c r="K690" t="s">
        <v>440</v>
      </c>
      <c r="L690" t="s">
        <v>385</v>
      </c>
      <c r="M690">
        <v>0.43232641346992001</v>
      </c>
      <c r="N690">
        <v>13.836224696595711</v>
      </c>
      <c r="O690">
        <v>47588.953000000001</v>
      </c>
      <c r="P690">
        <v>1.500949E-6</v>
      </c>
      <c r="Q690">
        <v>0.14285700000000001</v>
      </c>
      <c r="R690" s="61">
        <v>1.976601551481574</v>
      </c>
      <c r="S690" t="s">
        <v>347</v>
      </c>
      <c r="T690" t="s">
        <v>437</v>
      </c>
      <c r="U690" t="s">
        <v>425</v>
      </c>
      <c r="V690" t="s">
        <v>27</v>
      </c>
      <c r="W690">
        <v>111.133</v>
      </c>
      <c r="X690">
        <v>1.0541007448257309</v>
      </c>
      <c r="Y690">
        <v>117.145378074718</v>
      </c>
      <c r="Z690">
        <v>640.82000000000005</v>
      </c>
      <c r="AA690">
        <v>1</v>
      </c>
      <c r="AB690">
        <v>75.069101177840764</v>
      </c>
      <c r="AC690">
        <v>0.95889999999999997</v>
      </c>
      <c r="AD690" s="63">
        <v>71.983999999999995</v>
      </c>
      <c r="AE690">
        <v>8.9176000000000002</v>
      </c>
      <c r="AF690">
        <v>9.4000488020579382</v>
      </c>
      <c r="AG690">
        <v>1</v>
      </c>
      <c r="AH690">
        <v>6023.7392733347688</v>
      </c>
      <c r="AI690">
        <v>0.99097621000820357</v>
      </c>
      <c r="AJ690" s="63">
        <v>5969.3823000000002</v>
      </c>
      <c r="AK690" s="61">
        <v>11799.090315566649</v>
      </c>
      <c r="AL690" t="s">
        <v>348</v>
      </c>
      <c r="AM690" t="s">
        <v>438</v>
      </c>
      <c r="AN690" t="s">
        <v>425</v>
      </c>
      <c r="AO690" t="s">
        <v>27</v>
      </c>
      <c r="AP690">
        <v>111.133</v>
      </c>
      <c r="AQ690">
        <v>1.0727760310708341</v>
      </c>
      <c r="AR690">
        <v>119.22081866099499</v>
      </c>
      <c r="AS690">
        <v>694.38</v>
      </c>
      <c r="AT690">
        <v>0.875</v>
      </c>
      <c r="AU690">
        <v>72.436483054094012</v>
      </c>
      <c r="AV690">
        <v>0.95369999999999999</v>
      </c>
      <c r="AW690" s="63">
        <v>69.082999999999998</v>
      </c>
      <c r="AX690">
        <v>8.9176000000000002</v>
      </c>
      <c r="AY690">
        <v>0.91300000000000003</v>
      </c>
      <c r="AZ690">
        <v>6064.9193587765631</v>
      </c>
      <c r="BA690">
        <v>1.007895816242822</v>
      </c>
      <c r="BB690" s="63">
        <v>6112.8068000000003</v>
      </c>
      <c r="BC690" s="61">
        <v>12082.583404787119</v>
      </c>
    </row>
    <row r="691" spans="1:55" x14ac:dyDescent="0.25">
      <c r="A691">
        <v>231047</v>
      </c>
      <c r="B691" t="s">
        <v>223</v>
      </c>
      <c r="C691">
        <v>2020</v>
      </c>
      <c r="D691">
        <v>6</v>
      </c>
      <c r="E691" t="s">
        <v>100</v>
      </c>
      <c r="F691" t="s">
        <v>426</v>
      </c>
      <c r="G691" t="s">
        <v>84</v>
      </c>
      <c r="H691" t="s">
        <v>381</v>
      </c>
      <c r="I691" t="s">
        <v>427</v>
      </c>
      <c r="J691">
        <v>-32.004116019999998</v>
      </c>
      <c r="K691" t="s">
        <v>440</v>
      </c>
      <c r="L691" t="s">
        <v>451</v>
      </c>
      <c r="M691">
        <v>1.6825115802299999E-3</v>
      </c>
      <c r="N691">
        <v>5.3847295824099202E-2</v>
      </c>
      <c r="O691">
        <v>47588.953000000001</v>
      </c>
      <c r="P691">
        <v>1.500949E-6</v>
      </c>
      <c r="Q691">
        <v>0.14285700000000001</v>
      </c>
      <c r="R691" s="61">
        <v>7.6924631395433396E-3</v>
      </c>
      <c r="S691" t="s">
        <v>347</v>
      </c>
      <c r="T691" t="s">
        <v>437</v>
      </c>
      <c r="U691" t="s">
        <v>425</v>
      </c>
      <c r="V691" t="s">
        <v>91</v>
      </c>
      <c r="W691">
        <v>111.133</v>
      </c>
      <c r="X691">
        <v>1.0541007448257309</v>
      </c>
      <c r="Y691">
        <v>117.145378074718</v>
      </c>
      <c r="Z691">
        <v>640.82000000000005</v>
      </c>
      <c r="AA691">
        <v>1</v>
      </c>
      <c r="AB691">
        <v>75.069101177840764</v>
      </c>
      <c r="AC691">
        <v>1.0088999999999999</v>
      </c>
      <c r="AD691" s="63">
        <v>75.736999999999995</v>
      </c>
      <c r="AE691">
        <v>8.9176000000000002</v>
      </c>
      <c r="AF691">
        <v>9.4000488020579382</v>
      </c>
      <c r="AG691">
        <v>1</v>
      </c>
      <c r="AH691">
        <v>6023.7392733347688</v>
      </c>
      <c r="AI691">
        <v>0.99316673174541203</v>
      </c>
      <c r="AJ691" s="63">
        <v>5982.5774000000001</v>
      </c>
      <c r="AK691" s="61">
        <v>46.020756128965033</v>
      </c>
      <c r="AL691" t="s">
        <v>348</v>
      </c>
      <c r="AM691" t="s">
        <v>438</v>
      </c>
      <c r="AN691" t="s">
        <v>425</v>
      </c>
      <c r="AO691" t="s">
        <v>91</v>
      </c>
      <c r="AP691">
        <v>111.133</v>
      </c>
      <c r="AQ691">
        <v>1.0727760310708341</v>
      </c>
      <c r="AR691">
        <v>119.22081866099499</v>
      </c>
      <c r="AS691">
        <v>694.38</v>
      </c>
      <c r="AT691">
        <v>0.875</v>
      </c>
      <c r="AU691">
        <v>72.436483054094012</v>
      </c>
      <c r="AV691">
        <v>1.0179</v>
      </c>
      <c r="AW691" s="63">
        <v>73.733000000000004</v>
      </c>
      <c r="AX691">
        <v>8.9176000000000002</v>
      </c>
      <c r="AY691">
        <v>0.91300000000000003</v>
      </c>
      <c r="AZ691">
        <v>6064.9193587765631</v>
      </c>
      <c r="BA691">
        <v>0.98975009761811794</v>
      </c>
      <c r="BB691" s="63">
        <v>6002.7545</v>
      </c>
      <c r="BC691" s="61">
        <v>46.175967726977909</v>
      </c>
    </row>
    <row r="692" spans="1:55" x14ac:dyDescent="0.25">
      <c r="A692">
        <v>231049</v>
      </c>
      <c r="B692" t="s">
        <v>223</v>
      </c>
      <c r="C692">
        <v>2020</v>
      </c>
      <c r="D692">
        <v>6</v>
      </c>
      <c r="E692" t="s">
        <v>100</v>
      </c>
      <c r="F692" t="s">
        <v>426</v>
      </c>
      <c r="G692" t="s">
        <v>84</v>
      </c>
      <c r="H692" t="s">
        <v>381</v>
      </c>
      <c r="I692" t="s">
        <v>427</v>
      </c>
      <c r="J692">
        <v>-32.004116019999998</v>
      </c>
      <c r="K692" t="s">
        <v>440</v>
      </c>
      <c r="L692" t="s">
        <v>452</v>
      </c>
      <c r="M692">
        <v>1.53682162831E-3</v>
      </c>
      <c r="N692">
        <v>4.9184617699433567E-2</v>
      </c>
      <c r="O692">
        <v>47588.953000000001</v>
      </c>
      <c r="P692">
        <v>1.500949E-6</v>
      </c>
      <c r="Q692">
        <v>0.14285700000000001</v>
      </c>
      <c r="R692" s="61">
        <v>7.0263669306879816E-3</v>
      </c>
      <c r="S692" t="s">
        <v>347</v>
      </c>
      <c r="T692" t="s">
        <v>437</v>
      </c>
      <c r="U692" t="s">
        <v>425</v>
      </c>
      <c r="V692" t="s">
        <v>28</v>
      </c>
      <c r="W692">
        <v>111.133</v>
      </c>
      <c r="X692">
        <v>1.0541007448257309</v>
      </c>
      <c r="Y692">
        <v>117.145378074718</v>
      </c>
      <c r="Z692">
        <v>640.82000000000005</v>
      </c>
      <c r="AA692">
        <v>1</v>
      </c>
      <c r="AB692">
        <v>75.069101177840764</v>
      </c>
      <c r="AC692">
        <v>1.0073000000000001</v>
      </c>
      <c r="AD692" s="63">
        <v>75.617000000000004</v>
      </c>
      <c r="AE692">
        <v>8.9176000000000002</v>
      </c>
      <c r="AF692">
        <v>9.4000488020579382</v>
      </c>
      <c r="AG692">
        <v>1</v>
      </c>
      <c r="AH692">
        <v>6023.7392733347688</v>
      </c>
      <c r="AI692">
        <v>0.99399488088206345</v>
      </c>
      <c r="AJ692" s="63">
        <v>5987.5659999999998</v>
      </c>
      <c r="AK692" s="61">
        <v>42.070835737711711</v>
      </c>
      <c r="AL692" t="s">
        <v>348</v>
      </c>
      <c r="AM692" t="s">
        <v>438</v>
      </c>
      <c r="AN692" t="s">
        <v>425</v>
      </c>
      <c r="AO692" t="s">
        <v>28</v>
      </c>
      <c r="AP692">
        <v>111.133</v>
      </c>
      <c r="AQ692">
        <v>1.0727760310708341</v>
      </c>
      <c r="AR692">
        <v>119.22081866099499</v>
      </c>
      <c r="AS692">
        <v>694.38</v>
      </c>
      <c r="AT692">
        <v>0.875</v>
      </c>
      <c r="AU692">
        <v>72.436483054094012</v>
      </c>
      <c r="AV692">
        <v>0.99250000000000005</v>
      </c>
      <c r="AW692" s="63">
        <v>71.893000000000001</v>
      </c>
      <c r="AX692">
        <v>8.9176000000000002</v>
      </c>
      <c r="AY692">
        <v>0.91300000000000003</v>
      </c>
      <c r="AZ692">
        <v>6064.9193587765631</v>
      </c>
      <c r="BA692">
        <v>0.93847214018507585</v>
      </c>
      <c r="BB692" s="63">
        <v>5691.7578999999996</v>
      </c>
      <c r="BC692" s="61">
        <v>39.992379486042068</v>
      </c>
    </row>
    <row r="693" spans="1:55" x14ac:dyDescent="0.25">
      <c r="A693">
        <v>231051</v>
      </c>
      <c r="B693" t="s">
        <v>223</v>
      </c>
      <c r="C693">
        <v>2020</v>
      </c>
      <c r="D693">
        <v>6</v>
      </c>
      <c r="E693" t="s">
        <v>100</v>
      </c>
      <c r="F693" t="s">
        <v>426</v>
      </c>
      <c r="G693" t="s">
        <v>84</v>
      </c>
      <c r="H693" t="s">
        <v>87</v>
      </c>
      <c r="I693" t="s">
        <v>427</v>
      </c>
      <c r="J693">
        <v>-5.8835884299999996</v>
      </c>
      <c r="K693" t="s">
        <v>440</v>
      </c>
      <c r="L693" t="s">
        <v>450</v>
      </c>
      <c r="M693">
        <v>0.26601384014995</v>
      </c>
      <c r="N693">
        <v>1.5651159516404789</v>
      </c>
      <c r="O693">
        <v>47588.953000000001</v>
      </c>
      <c r="P693">
        <v>1.500949E-6</v>
      </c>
      <c r="Q693">
        <v>0.14285700000000001</v>
      </c>
      <c r="R693" s="61">
        <v>0.22358776950350401</v>
      </c>
      <c r="S693" t="s">
        <v>347</v>
      </c>
      <c r="T693" t="s">
        <v>437</v>
      </c>
      <c r="U693" t="s">
        <v>425</v>
      </c>
      <c r="V693" t="s">
        <v>26</v>
      </c>
      <c r="W693">
        <v>111.133</v>
      </c>
      <c r="X693">
        <v>1.0541007448257309</v>
      </c>
      <c r="Y693">
        <v>117.145378074718</v>
      </c>
      <c r="Z693">
        <v>640.82000000000005</v>
      </c>
      <c r="AA693">
        <v>1</v>
      </c>
      <c r="AB693">
        <v>75.069101177840764</v>
      </c>
      <c r="AC693">
        <v>0.99109999999999998</v>
      </c>
      <c r="AD693" s="63">
        <v>74.400999999999996</v>
      </c>
      <c r="AE693">
        <v>8.9176000000000002</v>
      </c>
      <c r="AF693">
        <v>9.4000488020579382</v>
      </c>
      <c r="AG693">
        <v>1</v>
      </c>
      <c r="AH693">
        <v>6023.7392733347688</v>
      </c>
      <c r="AI693">
        <v>0.9830373970836227</v>
      </c>
      <c r="AJ693" s="63">
        <v>5921.5609999999997</v>
      </c>
      <c r="AK693" s="61">
        <v>1323.9886159689379</v>
      </c>
      <c r="AL693" t="s">
        <v>348</v>
      </c>
      <c r="AM693" t="s">
        <v>438</v>
      </c>
      <c r="AN693" t="s">
        <v>425</v>
      </c>
      <c r="AO693" t="s">
        <v>26</v>
      </c>
      <c r="AP693">
        <v>111.133</v>
      </c>
      <c r="AQ693">
        <v>1.0727760310708341</v>
      </c>
      <c r="AR693">
        <v>119.22081866099499</v>
      </c>
      <c r="AS693">
        <v>694.38</v>
      </c>
      <c r="AT693">
        <v>0.875</v>
      </c>
      <c r="AU693">
        <v>72.436483054094012</v>
      </c>
      <c r="AV693">
        <v>0.98270000000000002</v>
      </c>
      <c r="AW693" s="63">
        <v>71.183000000000007</v>
      </c>
      <c r="AX693">
        <v>8.9176000000000002</v>
      </c>
      <c r="AY693">
        <v>0.91300000000000003</v>
      </c>
      <c r="AZ693">
        <v>6064.9193587765631</v>
      </c>
      <c r="BA693">
        <v>0.99365142346989388</v>
      </c>
      <c r="BB693" s="63">
        <v>6026.4157999999998</v>
      </c>
      <c r="BC693" s="61">
        <v>1347.432866822674</v>
      </c>
    </row>
    <row r="694" spans="1:55" x14ac:dyDescent="0.25">
      <c r="A694">
        <v>231053</v>
      </c>
      <c r="B694" t="s">
        <v>223</v>
      </c>
      <c r="C694">
        <v>2020</v>
      </c>
      <c r="D694">
        <v>6</v>
      </c>
      <c r="E694" t="s">
        <v>100</v>
      </c>
      <c r="F694" t="s">
        <v>426</v>
      </c>
      <c r="G694" t="s">
        <v>84</v>
      </c>
      <c r="H694" t="s">
        <v>87</v>
      </c>
      <c r="I694" t="s">
        <v>427</v>
      </c>
      <c r="J694">
        <v>-5.8835884299999996</v>
      </c>
      <c r="K694" t="s">
        <v>440</v>
      </c>
      <c r="L694" t="s">
        <v>384</v>
      </c>
      <c r="M694">
        <v>3.9509559941419997E-2</v>
      </c>
      <c r="N694">
        <v>0.23245798967360129</v>
      </c>
      <c r="O694">
        <v>47588.953000000001</v>
      </c>
      <c r="P694">
        <v>1.500949E-6</v>
      </c>
      <c r="Q694">
        <v>0.14285700000000001</v>
      </c>
      <c r="R694" s="61">
        <v>3.3208251030801668E-2</v>
      </c>
      <c r="S694" t="s">
        <v>347</v>
      </c>
      <c r="T694" t="s">
        <v>437</v>
      </c>
      <c r="U694" t="s">
        <v>425</v>
      </c>
      <c r="V694" t="s">
        <v>81</v>
      </c>
      <c r="W694">
        <v>111.133</v>
      </c>
      <c r="X694">
        <v>1.0541007448257309</v>
      </c>
      <c r="Y694">
        <v>117.145378074718</v>
      </c>
      <c r="Z694">
        <v>640.82000000000005</v>
      </c>
      <c r="AA694">
        <v>1</v>
      </c>
      <c r="AB694">
        <v>75.069101177840764</v>
      </c>
      <c r="AC694">
        <v>0.93830000000000002</v>
      </c>
      <c r="AD694" s="63">
        <v>70.436999999999998</v>
      </c>
      <c r="AE694">
        <v>8.9176000000000002</v>
      </c>
      <c r="AF694">
        <v>9.4000488020579382</v>
      </c>
      <c r="AG694">
        <v>1</v>
      </c>
      <c r="AH694">
        <v>6023.7392733347688</v>
      </c>
      <c r="AI694">
        <v>1.098016605166052</v>
      </c>
      <c r="AJ694" s="63">
        <v>6614.1656999999996</v>
      </c>
      <c r="AK694" s="61">
        <v>219.64487492491801</v>
      </c>
      <c r="AL694" t="s">
        <v>348</v>
      </c>
      <c r="AM694" t="s">
        <v>438</v>
      </c>
      <c r="AN694" t="s">
        <v>425</v>
      </c>
      <c r="AO694" t="s">
        <v>81</v>
      </c>
      <c r="AP694">
        <v>111.133</v>
      </c>
      <c r="AQ694">
        <v>1.0727760310708341</v>
      </c>
      <c r="AR694">
        <v>119.22081866099499</v>
      </c>
      <c r="AS694">
        <v>694.38</v>
      </c>
      <c r="AT694">
        <v>0.875</v>
      </c>
      <c r="AU694">
        <v>72.436483054094012</v>
      </c>
      <c r="AV694">
        <v>0.93500000000000005</v>
      </c>
      <c r="AW694" s="63">
        <v>67.727999999999994</v>
      </c>
      <c r="AX694">
        <v>8.9176000000000002</v>
      </c>
      <c r="AY694">
        <v>0.91300000000000003</v>
      </c>
      <c r="AZ694">
        <v>6064.9193587765631</v>
      </c>
      <c r="BA694">
        <v>1.096171586715867</v>
      </c>
      <c r="BB694" s="63">
        <v>6648.1922999999997</v>
      </c>
      <c r="BC694" s="61">
        <v>220.7748387994427</v>
      </c>
    </row>
    <row r="695" spans="1:55" x14ac:dyDescent="0.25">
      <c r="A695">
        <v>231055</v>
      </c>
      <c r="B695" t="s">
        <v>223</v>
      </c>
      <c r="C695">
        <v>2020</v>
      </c>
      <c r="D695">
        <v>6</v>
      </c>
      <c r="E695" t="s">
        <v>100</v>
      </c>
      <c r="F695" t="s">
        <v>426</v>
      </c>
      <c r="G695" t="s">
        <v>84</v>
      </c>
      <c r="H695" t="s">
        <v>87</v>
      </c>
      <c r="I695" t="s">
        <v>427</v>
      </c>
      <c r="J695">
        <v>-5.8835884299999996</v>
      </c>
      <c r="K695" t="s">
        <v>440</v>
      </c>
      <c r="L695" t="s">
        <v>385</v>
      </c>
      <c r="M695">
        <v>0.39737542925016001</v>
      </c>
      <c r="N695">
        <v>2.3379934771770738</v>
      </c>
      <c r="O695">
        <v>47588.953000000001</v>
      </c>
      <c r="P695">
        <v>1.500949E-6</v>
      </c>
      <c r="Q695">
        <v>0.14285700000000001</v>
      </c>
      <c r="R695" s="61">
        <v>0.33399873416908532</v>
      </c>
      <c r="S695" t="s">
        <v>347</v>
      </c>
      <c r="T695" t="s">
        <v>437</v>
      </c>
      <c r="U695" t="s">
        <v>425</v>
      </c>
      <c r="V695" t="s">
        <v>27</v>
      </c>
      <c r="W695">
        <v>111.133</v>
      </c>
      <c r="X695">
        <v>1.0541007448257309</v>
      </c>
      <c r="Y695">
        <v>117.145378074718</v>
      </c>
      <c r="Z695">
        <v>640.82000000000005</v>
      </c>
      <c r="AA695">
        <v>1</v>
      </c>
      <c r="AB695">
        <v>75.069101177840764</v>
      </c>
      <c r="AC695">
        <v>0.95889999999999997</v>
      </c>
      <c r="AD695" s="63">
        <v>71.983999999999995</v>
      </c>
      <c r="AE695">
        <v>8.9176000000000002</v>
      </c>
      <c r="AF695">
        <v>9.4000488020579382</v>
      </c>
      <c r="AG695">
        <v>1</v>
      </c>
      <c r="AH695">
        <v>6023.7392733347688</v>
      </c>
      <c r="AI695">
        <v>0.99097621000820357</v>
      </c>
      <c r="AJ695" s="63">
        <v>5969.3823000000002</v>
      </c>
      <c r="AK695" s="61">
        <v>1993.7661319713429</v>
      </c>
      <c r="AL695" t="s">
        <v>348</v>
      </c>
      <c r="AM695" t="s">
        <v>438</v>
      </c>
      <c r="AN695" t="s">
        <v>425</v>
      </c>
      <c r="AO695" t="s">
        <v>27</v>
      </c>
      <c r="AP695">
        <v>111.133</v>
      </c>
      <c r="AQ695">
        <v>1.0727760310708341</v>
      </c>
      <c r="AR695">
        <v>119.22081866099499</v>
      </c>
      <c r="AS695">
        <v>694.38</v>
      </c>
      <c r="AT695">
        <v>0.875</v>
      </c>
      <c r="AU695">
        <v>72.436483054094012</v>
      </c>
      <c r="AV695">
        <v>0.95369999999999999</v>
      </c>
      <c r="AW695" s="63">
        <v>69.082999999999998</v>
      </c>
      <c r="AX695">
        <v>8.9176000000000002</v>
      </c>
      <c r="AY695">
        <v>0.91300000000000003</v>
      </c>
      <c r="AZ695">
        <v>6064.9193587765631</v>
      </c>
      <c r="BA695">
        <v>1.007895816242822</v>
      </c>
      <c r="BB695" s="63">
        <v>6112.8068000000003</v>
      </c>
      <c r="BC695" s="61">
        <v>2041.669733420177</v>
      </c>
    </row>
    <row r="696" spans="1:55" x14ac:dyDescent="0.25">
      <c r="A696">
        <v>231057</v>
      </c>
      <c r="B696" t="s">
        <v>223</v>
      </c>
      <c r="C696">
        <v>2020</v>
      </c>
      <c r="D696">
        <v>6</v>
      </c>
      <c r="E696" t="s">
        <v>100</v>
      </c>
      <c r="F696" t="s">
        <v>426</v>
      </c>
      <c r="G696" t="s">
        <v>84</v>
      </c>
      <c r="H696" t="s">
        <v>87</v>
      </c>
      <c r="I696" t="s">
        <v>427</v>
      </c>
      <c r="J696">
        <v>-5.8835884299999996</v>
      </c>
      <c r="K696" t="s">
        <v>440</v>
      </c>
      <c r="L696" t="s">
        <v>452</v>
      </c>
      <c r="M696">
        <v>8.4248020759000004E-4</v>
      </c>
      <c r="N696">
        <v>4.9568068003424861E-3</v>
      </c>
      <c r="O696">
        <v>47588.953000000001</v>
      </c>
      <c r="P696">
        <v>1.500949E-6</v>
      </c>
      <c r="Q696">
        <v>0.14285700000000001</v>
      </c>
      <c r="R696" s="61">
        <v>7.0811454907652657E-4</v>
      </c>
      <c r="S696" t="s">
        <v>347</v>
      </c>
      <c r="T696" t="s">
        <v>437</v>
      </c>
      <c r="U696" t="s">
        <v>425</v>
      </c>
      <c r="V696" t="s">
        <v>28</v>
      </c>
      <c r="W696">
        <v>111.133</v>
      </c>
      <c r="X696">
        <v>1.0541007448257309</v>
      </c>
      <c r="Y696">
        <v>117.145378074718</v>
      </c>
      <c r="Z696">
        <v>640.82000000000005</v>
      </c>
      <c r="AA696">
        <v>1</v>
      </c>
      <c r="AB696">
        <v>75.069101177840764</v>
      </c>
      <c r="AC696">
        <v>1.0073000000000001</v>
      </c>
      <c r="AD696" s="63">
        <v>75.617000000000004</v>
      </c>
      <c r="AE696">
        <v>8.9176000000000002</v>
      </c>
      <c r="AF696">
        <v>9.4000488020579382</v>
      </c>
      <c r="AG696">
        <v>1</v>
      </c>
      <c r="AH696">
        <v>6023.7392733347688</v>
      </c>
      <c r="AI696">
        <v>0.99399488088206345</v>
      </c>
      <c r="AJ696" s="63">
        <v>5987.5659999999998</v>
      </c>
      <c r="AK696" s="61">
        <v>4.2398825981559414</v>
      </c>
      <c r="AL696" t="s">
        <v>348</v>
      </c>
      <c r="AM696" t="s">
        <v>438</v>
      </c>
      <c r="AN696" t="s">
        <v>425</v>
      </c>
      <c r="AO696" t="s">
        <v>28</v>
      </c>
      <c r="AP696">
        <v>111.133</v>
      </c>
      <c r="AQ696">
        <v>1.0727760310708341</v>
      </c>
      <c r="AR696">
        <v>119.22081866099499</v>
      </c>
      <c r="AS696">
        <v>694.38</v>
      </c>
      <c r="AT696">
        <v>0.875</v>
      </c>
      <c r="AU696">
        <v>72.436483054094012</v>
      </c>
      <c r="AV696">
        <v>0.99250000000000005</v>
      </c>
      <c r="AW696" s="63">
        <v>71.893000000000001</v>
      </c>
      <c r="AX696">
        <v>8.9176000000000002</v>
      </c>
      <c r="AY696">
        <v>0.91300000000000003</v>
      </c>
      <c r="AZ696">
        <v>6064.9193587765631</v>
      </c>
      <c r="BA696">
        <v>0.93847214018507585</v>
      </c>
      <c r="BB696" s="63">
        <v>5691.7578999999996</v>
      </c>
      <c r="BC696" s="61">
        <v>4.0304165788112574</v>
      </c>
    </row>
    <row r="697" spans="1:55" x14ac:dyDescent="0.25">
      <c r="A697">
        <v>231059</v>
      </c>
      <c r="B697" t="s">
        <v>223</v>
      </c>
      <c r="C697">
        <v>2020</v>
      </c>
      <c r="D697">
        <v>6</v>
      </c>
      <c r="E697" t="s">
        <v>100</v>
      </c>
      <c r="F697" t="s">
        <v>426</v>
      </c>
      <c r="G697" t="s">
        <v>84</v>
      </c>
      <c r="H697" t="s">
        <v>59</v>
      </c>
      <c r="I697" t="s">
        <v>427</v>
      </c>
      <c r="J697">
        <v>-17.390262679999999</v>
      </c>
      <c r="K697" t="s">
        <v>440</v>
      </c>
      <c r="L697" t="s">
        <v>450</v>
      </c>
      <c r="M697">
        <v>0.15931709696460999</v>
      </c>
      <c r="N697">
        <v>2.7705661656409948</v>
      </c>
      <c r="O697">
        <v>47588.953000000001</v>
      </c>
      <c r="P697">
        <v>1.500949E-6</v>
      </c>
      <c r="Q697">
        <v>0.14285700000000001</v>
      </c>
      <c r="R697" s="61">
        <v>0.3957947707249756</v>
      </c>
      <c r="S697" t="s">
        <v>347</v>
      </c>
      <c r="T697" t="s">
        <v>437</v>
      </c>
      <c r="U697" t="s">
        <v>425</v>
      </c>
      <c r="V697" t="s">
        <v>26</v>
      </c>
      <c r="W697">
        <v>111.133</v>
      </c>
      <c r="X697">
        <v>1.0541007448257309</v>
      </c>
      <c r="Y697">
        <v>117.145378074718</v>
      </c>
      <c r="Z697">
        <v>640.82000000000005</v>
      </c>
      <c r="AA697">
        <v>1</v>
      </c>
      <c r="AB697">
        <v>75.069101177840764</v>
      </c>
      <c r="AC697">
        <v>0.99109999999999998</v>
      </c>
      <c r="AD697" s="63">
        <v>74.400999999999996</v>
      </c>
      <c r="AE697">
        <v>8.9176000000000002</v>
      </c>
      <c r="AF697">
        <v>9.4000488020579382</v>
      </c>
      <c r="AG697">
        <v>1</v>
      </c>
      <c r="AH697">
        <v>6023.7392733347688</v>
      </c>
      <c r="AI697">
        <v>0.9830373970836227</v>
      </c>
      <c r="AJ697" s="63">
        <v>5921.5609999999997</v>
      </c>
      <c r="AK697" s="61">
        <v>2343.722878328957</v>
      </c>
      <c r="AL697" t="s">
        <v>348</v>
      </c>
      <c r="AM697" t="s">
        <v>438</v>
      </c>
      <c r="AN697" t="s">
        <v>425</v>
      </c>
      <c r="AO697" t="s">
        <v>26</v>
      </c>
      <c r="AP697">
        <v>111.133</v>
      </c>
      <c r="AQ697">
        <v>1.0727760310708341</v>
      </c>
      <c r="AR697">
        <v>119.22081866099499</v>
      </c>
      <c r="AS697">
        <v>694.38</v>
      </c>
      <c r="AT697">
        <v>0.875</v>
      </c>
      <c r="AU697">
        <v>72.436483054094012</v>
      </c>
      <c r="AV697">
        <v>0.98270000000000002</v>
      </c>
      <c r="AW697" s="63">
        <v>71.183000000000007</v>
      </c>
      <c r="AX697">
        <v>8.9176000000000002</v>
      </c>
      <c r="AY697">
        <v>0.91300000000000003</v>
      </c>
      <c r="AZ697">
        <v>6064.9193587765631</v>
      </c>
      <c r="BA697">
        <v>0.99365142346989388</v>
      </c>
      <c r="BB697" s="63">
        <v>6026.4157999999998</v>
      </c>
      <c r="BC697" s="61">
        <v>2385.2238598543699</v>
      </c>
    </row>
    <row r="698" spans="1:55" x14ac:dyDescent="0.25">
      <c r="A698">
        <v>231061</v>
      </c>
      <c r="B698" t="s">
        <v>223</v>
      </c>
      <c r="C698">
        <v>2020</v>
      </c>
      <c r="D698">
        <v>6</v>
      </c>
      <c r="E698" t="s">
        <v>100</v>
      </c>
      <c r="F698" t="s">
        <v>426</v>
      </c>
      <c r="G698" t="s">
        <v>84</v>
      </c>
      <c r="H698" t="s">
        <v>59</v>
      </c>
      <c r="I698" t="s">
        <v>427</v>
      </c>
      <c r="J698">
        <v>-17.390262679999999</v>
      </c>
      <c r="K698" t="s">
        <v>440</v>
      </c>
      <c r="L698" t="s">
        <v>384</v>
      </c>
      <c r="M698">
        <v>4.1785183859599999E-2</v>
      </c>
      <c r="N698">
        <v>0.72665532345352923</v>
      </c>
      <c r="O698">
        <v>47588.953000000001</v>
      </c>
      <c r="P698">
        <v>1.500949E-6</v>
      </c>
      <c r="Q698">
        <v>0.14285700000000001</v>
      </c>
      <c r="R698" s="61">
        <v>0.1038077995426008</v>
      </c>
      <c r="S698" t="s">
        <v>347</v>
      </c>
      <c r="T698" t="s">
        <v>437</v>
      </c>
      <c r="U698" t="s">
        <v>425</v>
      </c>
      <c r="V698" t="s">
        <v>81</v>
      </c>
      <c r="W698">
        <v>111.133</v>
      </c>
      <c r="X698">
        <v>1.0541007448257309</v>
      </c>
      <c r="Y698">
        <v>117.145378074718</v>
      </c>
      <c r="Z698">
        <v>640.82000000000005</v>
      </c>
      <c r="AA698">
        <v>1</v>
      </c>
      <c r="AB698">
        <v>75.069101177840764</v>
      </c>
      <c r="AC698">
        <v>0.93830000000000002</v>
      </c>
      <c r="AD698" s="63">
        <v>70.436999999999998</v>
      </c>
      <c r="AE698">
        <v>8.9176000000000002</v>
      </c>
      <c r="AF698">
        <v>9.4000488020579382</v>
      </c>
      <c r="AG698">
        <v>1</v>
      </c>
      <c r="AH698">
        <v>6023.7392733347688</v>
      </c>
      <c r="AI698">
        <v>1.098016605166052</v>
      </c>
      <c r="AJ698" s="63">
        <v>6614.1656999999996</v>
      </c>
      <c r="AK698" s="61">
        <v>686.60198712714612</v>
      </c>
      <c r="AL698" t="s">
        <v>348</v>
      </c>
      <c r="AM698" t="s">
        <v>438</v>
      </c>
      <c r="AN698" t="s">
        <v>425</v>
      </c>
      <c r="AO698" t="s">
        <v>81</v>
      </c>
      <c r="AP698">
        <v>111.133</v>
      </c>
      <c r="AQ698">
        <v>1.0727760310708341</v>
      </c>
      <c r="AR698">
        <v>119.22081866099499</v>
      </c>
      <c r="AS698">
        <v>694.38</v>
      </c>
      <c r="AT698">
        <v>0.875</v>
      </c>
      <c r="AU698">
        <v>72.436483054094012</v>
      </c>
      <c r="AV698">
        <v>0.93500000000000005</v>
      </c>
      <c r="AW698" s="63">
        <v>67.727999999999994</v>
      </c>
      <c r="AX698">
        <v>8.9176000000000002</v>
      </c>
      <c r="AY698">
        <v>0.91300000000000003</v>
      </c>
      <c r="AZ698">
        <v>6064.9193587765631</v>
      </c>
      <c r="BA698">
        <v>1.096171586715867</v>
      </c>
      <c r="BB698" s="63">
        <v>6648.1922999999997</v>
      </c>
      <c r="BC698" s="61">
        <v>690.13421359906238</v>
      </c>
    </row>
    <row r="699" spans="1:55" x14ac:dyDescent="0.25">
      <c r="A699">
        <v>231063</v>
      </c>
      <c r="B699" t="s">
        <v>223</v>
      </c>
      <c r="C699">
        <v>2020</v>
      </c>
      <c r="D699">
        <v>6</v>
      </c>
      <c r="E699" t="s">
        <v>100</v>
      </c>
      <c r="F699" t="s">
        <v>426</v>
      </c>
      <c r="G699" t="s">
        <v>84</v>
      </c>
      <c r="H699" t="s">
        <v>59</v>
      </c>
      <c r="I699" t="s">
        <v>427</v>
      </c>
      <c r="J699">
        <v>-17.390262679999999</v>
      </c>
      <c r="K699" t="s">
        <v>440</v>
      </c>
      <c r="L699" t="s">
        <v>385</v>
      </c>
      <c r="M699">
        <v>0.43497567483749999</v>
      </c>
      <c r="N699">
        <v>7.5643412448655063</v>
      </c>
      <c r="O699">
        <v>47588.953000000001</v>
      </c>
      <c r="P699">
        <v>1.500949E-6</v>
      </c>
      <c r="Q699">
        <v>0.14285700000000001</v>
      </c>
      <c r="R699" s="61">
        <v>1.0806190972177521</v>
      </c>
      <c r="S699" t="s">
        <v>347</v>
      </c>
      <c r="T699" t="s">
        <v>437</v>
      </c>
      <c r="U699" t="s">
        <v>425</v>
      </c>
      <c r="V699" t="s">
        <v>27</v>
      </c>
      <c r="W699">
        <v>111.133</v>
      </c>
      <c r="X699">
        <v>1.0541007448257309</v>
      </c>
      <c r="Y699">
        <v>117.145378074718</v>
      </c>
      <c r="Z699">
        <v>640.82000000000005</v>
      </c>
      <c r="AA699">
        <v>1</v>
      </c>
      <c r="AB699">
        <v>75.069101177840764</v>
      </c>
      <c r="AC699">
        <v>0.95889999999999997</v>
      </c>
      <c r="AD699" s="63">
        <v>71.983999999999995</v>
      </c>
      <c r="AE699">
        <v>8.9176000000000002</v>
      </c>
      <c r="AF699">
        <v>9.4000488020579382</v>
      </c>
      <c r="AG699">
        <v>1</v>
      </c>
      <c r="AH699">
        <v>6023.7392733347688</v>
      </c>
      <c r="AI699">
        <v>0.99097621000820357</v>
      </c>
      <c r="AJ699" s="63">
        <v>5969.3823000000002</v>
      </c>
      <c r="AK699" s="61">
        <v>6450.6285119736258</v>
      </c>
      <c r="AL699" t="s">
        <v>348</v>
      </c>
      <c r="AM699" t="s">
        <v>438</v>
      </c>
      <c r="AN699" t="s">
        <v>425</v>
      </c>
      <c r="AO699" t="s">
        <v>27</v>
      </c>
      <c r="AP699">
        <v>111.133</v>
      </c>
      <c r="AQ699">
        <v>1.0727760310708341</v>
      </c>
      <c r="AR699">
        <v>119.22081866099499</v>
      </c>
      <c r="AS699">
        <v>694.38</v>
      </c>
      <c r="AT699">
        <v>0.875</v>
      </c>
      <c r="AU699">
        <v>72.436483054094012</v>
      </c>
      <c r="AV699">
        <v>0.95369999999999999</v>
      </c>
      <c r="AW699" s="63">
        <v>69.082999999999998</v>
      </c>
      <c r="AX699">
        <v>8.9176000000000002</v>
      </c>
      <c r="AY699">
        <v>0.91300000000000003</v>
      </c>
      <c r="AZ699">
        <v>6064.9193587765631</v>
      </c>
      <c r="BA699">
        <v>1.007895816242822</v>
      </c>
      <c r="BB699" s="63">
        <v>6112.8068000000003</v>
      </c>
      <c r="BC699" s="61">
        <v>6605.6157656825326</v>
      </c>
    </row>
    <row r="700" spans="1:55" x14ac:dyDescent="0.25">
      <c r="A700">
        <v>231065</v>
      </c>
      <c r="B700" t="s">
        <v>223</v>
      </c>
      <c r="C700">
        <v>2020</v>
      </c>
      <c r="D700">
        <v>6</v>
      </c>
      <c r="E700" t="s">
        <v>100</v>
      </c>
      <c r="F700" t="s">
        <v>426</v>
      </c>
      <c r="G700" t="s">
        <v>84</v>
      </c>
      <c r="H700" t="s">
        <v>59</v>
      </c>
      <c r="I700" t="s">
        <v>427</v>
      </c>
      <c r="J700">
        <v>-17.390262679999999</v>
      </c>
      <c r="K700" t="s">
        <v>440</v>
      </c>
      <c r="L700" t="s">
        <v>451</v>
      </c>
      <c r="M700">
        <v>1.7625750762999999E-3</v>
      </c>
      <c r="N700">
        <v>3.0651643570204119E-2</v>
      </c>
      <c r="O700">
        <v>47588.953000000001</v>
      </c>
      <c r="P700">
        <v>1.500949E-6</v>
      </c>
      <c r="Q700">
        <v>0.14285700000000001</v>
      </c>
      <c r="R700" s="61">
        <v>4.3788018455086508E-3</v>
      </c>
      <c r="S700" t="s">
        <v>347</v>
      </c>
      <c r="T700" t="s">
        <v>437</v>
      </c>
      <c r="U700" t="s">
        <v>425</v>
      </c>
      <c r="V700" t="s">
        <v>91</v>
      </c>
      <c r="W700">
        <v>111.133</v>
      </c>
      <c r="X700">
        <v>1.0541007448257309</v>
      </c>
      <c r="Y700">
        <v>117.145378074718</v>
      </c>
      <c r="Z700">
        <v>640.82000000000005</v>
      </c>
      <c r="AA700">
        <v>1</v>
      </c>
      <c r="AB700">
        <v>75.069101177840764</v>
      </c>
      <c r="AC700">
        <v>1.0088999999999999</v>
      </c>
      <c r="AD700" s="63">
        <v>75.736999999999995</v>
      </c>
      <c r="AE700">
        <v>8.9176000000000002</v>
      </c>
      <c r="AF700">
        <v>9.4000488020579382</v>
      </c>
      <c r="AG700">
        <v>1</v>
      </c>
      <c r="AH700">
        <v>6023.7392733347688</v>
      </c>
      <c r="AI700">
        <v>0.99316673174541203</v>
      </c>
      <c r="AJ700" s="63">
        <v>5982.5774000000001</v>
      </c>
      <c r="AK700" s="61">
        <v>26.196520960018351</v>
      </c>
      <c r="AL700" t="s">
        <v>348</v>
      </c>
      <c r="AM700" t="s">
        <v>438</v>
      </c>
      <c r="AN700" t="s">
        <v>425</v>
      </c>
      <c r="AO700" t="s">
        <v>91</v>
      </c>
      <c r="AP700">
        <v>111.133</v>
      </c>
      <c r="AQ700">
        <v>1.0727760310708341</v>
      </c>
      <c r="AR700">
        <v>119.22081866099499</v>
      </c>
      <c r="AS700">
        <v>694.38</v>
      </c>
      <c r="AT700">
        <v>0.875</v>
      </c>
      <c r="AU700">
        <v>72.436483054094012</v>
      </c>
      <c r="AV700">
        <v>1.0179</v>
      </c>
      <c r="AW700" s="63">
        <v>73.733000000000004</v>
      </c>
      <c r="AX700">
        <v>8.9176000000000002</v>
      </c>
      <c r="AY700">
        <v>0.91300000000000003</v>
      </c>
      <c r="AZ700">
        <v>6064.9193587765631</v>
      </c>
      <c r="BA700">
        <v>0.98975009761811794</v>
      </c>
      <c r="BB700" s="63">
        <v>6002.7545</v>
      </c>
      <c r="BC700" s="61">
        <v>26.284872482735359</v>
      </c>
    </row>
    <row r="701" spans="1:55" x14ac:dyDescent="0.25">
      <c r="A701">
        <v>231067</v>
      </c>
      <c r="B701" t="s">
        <v>223</v>
      </c>
      <c r="C701">
        <v>2020</v>
      </c>
      <c r="D701">
        <v>6</v>
      </c>
      <c r="E701" t="s">
        <v>100</v>
      </c>
      <c r="F701" t="s">
        <v>426</v>
      </c>
      <c r="G701" t="s">
        <v>84</v>
      </c>
      <c r="H701" t="s">
        <v>59</v>
      </c>
      <c r="I701" t="s">
        <v>427</v>
      </c>
      <c r="J701">
        <v>-17.390262679999999</v>
      </c>
      <c r="K701" t="s">
        <v>440</v>
      </c>
      <c r="L701" t="s">
        <v>452</v>
      </c>
      <c r="M701">
        <v>1.4858046103299999E-3</v>
      </c>
      <c r="N701">
        <v>2.5838532464900029E-2</v>
      </c>
      <c r="O701">
        <v>47588.953000000001</v>
      </c>
      <c r="P701">
        <v>1.500949E-6</v>
      </c>
      <c r="Q701">
        <v>0.14285700000000001</v>
      </c>
      <c r="R701" s="61">
        <v>3.6912152323382232E-3</v>
      </c>
      <c r="S701" t="s">
        <v>347</v>
      </c>
      <c r="T701" t="s">
        <v>437</v>
      </c>
      <c r="U701" t="s">
        <v>425</v>
      </c>
      <c r="V701" t="s">
        <v>28</v>
      </c>
      <c r="W701">
        <v>111.133</v>
      </c>
      <c r="X701">
        <v>1.0541007448257309</v>
      </c>
      <c r="Y701">
        <v>117.145378074718</v>
      </c>
      <c r="Z701">
        <v>640.82000000000005</v>
      </c>
      <c r="AA701">
        <v>1</v>
      </c>
      <c r="AB701">
        <v>75.069101177840764</v>
      </c>
      <c r="AC701">
        <v>1.0073000000000001</v>
      </c>
      <c r="AD701" s="63">
        <v>75.617000000000004</v>
      </c>
      <c r="AE701">
        <v>8.9176000000000002</v>
      </c>
      <c r="AF701">
        <v>9.4000488020579382</v>
      </c>
      <c r="AG701">
        <v>1</v>
      </c>
      <c r="AH701">
        <v>6023.7392733347688</v>
      </c>
      <c r="AI701">
        <v>0.99399488088206345</v>
      </c>
      <c r="AJ701" s="63">
        <v>5987.5659999999998</v>
      </c>
      <c r="AK701" s="61">
        <v>22.10139482383045</v>
      </c>
      <c r="AL701" t="s">
        <v>348</v>
      </c>
      <c r="AM701" t="s">
        <v>438</v>
      </c>
      <c r="AN701" t="s">
        <v>425</v>
      </c>
      <c r="AO701" t="s">
        <v>28</v>
      </c>
      <c r="AP701">
        <v>111.133</v>
      </c>
      <c r="AQ701">
        <v>1.0727760310708341</v>
      </c>
      <c r="AR701">
        <v>119.22081866099499</v>
      </c>
      <c r="AS701">
        <v>694.38</v>
      </c>
      <c r="AT701">
        <v>0.875</v>
      </c>
      <c r="AU701">
        <v>72.436483054094012</v>
      </c>
      <c r="AV701">
        <v>0.99250000000000005</v>
      </c>
      <c r="AW701" s="63">
        <v>71.893000000000001</v>
      </c>
      <c r="AX701">
        <v>8.9176000000000002</v>
      </c>
      <c r="AY701">
        <v>0.91300000000000003</v>
      </c>
      <c r="AZ701">
        <v>6064.9193587765631</v>
      </c>
      <c r="BA701">
        <v>0.93847214018507585</v>
      </c>
      <c r="BB701" s="63">
        <v>5691.7578999999996</v>
      </c>
      <c r="BC701" s="61">
        <v>21.00950345926142</v>
      </c>
    </row>
    <row r="702" spans="1:55" x14ac:dyDescent="0.25">
      <c r="A702">
        <v>238286</v>
      </c>
      <c r="B702" t="s">
        <v>230</v>
      </c>
      <c r="C702">
        <v>2020</v>
      </c>
      <c r="D702">
        <v>7</v>
      </c>
      <c r="E702" t="s">
        <v>100</v>
      </c>
      <c r="F702" t="s">
        <v>426</v>
      </c>
      <c r="G702" t="s">
        <v>84</v>
      </c>
      <c r="H702" t="s">
        <v>381</v>
      </c>
      <c r="I702" t="s">
        <v>427</v>
      </c>
      <c r="J702">
        <v>-32.004116019999998</v>
      </c>
      <c r="K702" t="s">
        <v>440</v>
      </c>
      <c r="L702" t="s">
        <v>450</v>
      </c>
      <c r="M702">
        <v>0.15011157993331001</v>
      </c>
      <c r="N702">
        <v>4.8041884206151471</v>
      </c>
      <c r="O702">
        <v>47588.953000000001</v>
      </c>
      <c r="P702">
        <v>1.500949E-6</v>
      </c>
      <c r="Q702">
        <v>0.14285700000000001</v>
      </c>
      <c r="R702" s="61">
        <v>0.68631194520381811</v>
      </c>
      <c r="S702" t="s">
        <v>347</v>
      </c>
      <c r="T702" t="s">
        <v>437</v>
      </c>
      <c r="U702" t="s">
        <v>425</v>
      </c>
      <c r="V702" t="s">
        <v>26</v>
      </c>
      <c r="W702">
        <v>111.133</v>
      </c>
      <c r="X702">
        <v>1.0541007448257309</v>
      </c>
      <c r="Y702">
        <v>117.145378074718</v>
      </c>
      <c r="Z702">
        <v>640.82000000000005</v>
      </c>
      <c r="AA702">
        <v>1</v>
      </c>
      <c r="AB702">
        <v>75.069101177840764</v>
      </c>
      <c r="AC702">
        <v>0.99109999999999998</v>
      </c>
      <c r="AD702" s="63">
        <v>74.400999999999996</v>
      </c>
      <c r="AE702">
        <v>8.9176000000000002</v>
      </c>
      <c r="AF702">
        <v>9.4000488020579382</v>
      </c>
      <c r="AG702">
        <v>1</v>
      </c>
      <c r="AH702">
        <v>6023.7392733347688</v>
      </c>
      <c r="AI702">
        <v>0.9830373970836227</v>
      </c>
      <c r="AJ702" s="63">
        <v>5921.5609999999997</v>
      </c>
      <c r="AK702" s="61">
        <v>4064.0380485530659</v>
      </c>
      <c r="AL702" t="s">
        <v>349</v>
      </c>
      <c r="AM702" t="s">
        <v>439</v>
      </c>
      <c r="AN702" t="s">
        <v>425</v>
      </c>
      <c r="AO702" t="s">
        <v>26</v>
      </c>
      <c r="AP702">
        <v>111.133</v>
      </c>
      <c r="AQ702">
        <v>1.080821157758461</v>
      </c>
      <c r="AR702">
        <v>120.1148977251711</v>
      </c>
      <c r="AS702">
        <v>779.31</v>
      </c>
      <c r="AT702">
        <v>0.879</v>
      </c>
      <c r="AU702">
        <v>82.280325291712501</v>
      </c>
      <c r="AV702">
        <v>0.97599999999999998</v>
      </c>
      <c r="AW702" s="63">
        <v>80.305999999999997</v>
      </c>
      <c r="AX702">
        <v>8.9176000000000002</v>
      </c>
      <c r="AY702">
        <v>0.80400000000000005</v>
      </c>
      <c r="AZ702">
        <v>6039.0430235999738</v>
      </c>
      <c r="BA702">
        <v>0.99553615712726917</v>
      </c>
      <c r="BB702" s="63">
        <v>6012.0856999999996</v>
      </c>
      <c r="BC702" s="61">
        <v>4126.1662314990581</v>
      </c>
    </row>
    <row r="703" spans="1:55" x14ac:dyDescent="0.25">
      <c r="A703">
        <v>238288</v>
      </c>
      <c r="B703" t="s">
        <v>230</v>
      </c>
      <c r="C703">
        <v>2020</v>
      </c>
      <c r="D703">
        <v>7</v>
      </c>
      <c r="E703" t="s">
        <v>100</v>
      </c>
      <c r="F703" t="s">
        <v>426</v>
      </c>
      <c r="G703" t="s">
        <v>84</v>
      </c>
      <c r="H703" t="s">
        <v>381</v>
      </c>
      <c r="I703" t="s">
        <v>427</v>
      </c>
      <c r="J703">
        <v>-32.004116019999998</v>
      </c>
      <c r="K703" t="s">
        <v>440</v>
      </c>
      <c r="L703" t="s">
        <v>384</v>
      </c>
      <c r="M703">
        <v>4.5811354346740003E-2</v>
      </c>
      <c r="N703">
        <v>1.466151899694103</v>
      </c>
      <c r="O703">
        <v>47588.953000000001</v>
      </c>
      <c r="P703">
        <v>1.500949E-6</v>
      </c>
      <c r="Q703">
        <v>0.14285700000000001</v>
      </c>
      <c r="R703" s="61">
        <v>0.2094500619346005</v>
      </c>
      <c r="S703" t="s">
        <v>347</v>
      </c>
      <c r="T703" t="s">
        <v>437</v>
      </c>
      <c r="U703" t="s">
        <v>425</v>
      </c>
      <c r="V703" t="s">
        <v>81</v>
      </c>
      <c r="W703">
        <v>111.133</v>
      </c>
      <c r="X703">
        <v>1.0541007448257309</v>
      </c>
      <c r="Y703">
        <v>117.145378074718</v>
      </c>
      <c r="Z703">
        <v>640.82000000000005</v>
      </c>
      <c r="AA703">
        <v>1</v>
      </c>
      <c r="AB703">
        <v>75.069101177840764</v>
      </c>
      <c r="AC703">
        <v>0.93830000000000002</v>
      </c>
      <c r="AD703" s="63">
        <v>70.436999999999998</v>
      </c>
      <c r="AE703">
        <v>8.9176000000000002</v>
      </c>
      <c r="AF703">
        <v>9.4000488020579382</v>
      </c>
      <c r="AG703">
        <v>1</v>
      </c>
      <c r="AH703">
        <v>6023.7392733347688</v>
      </c>
      <c r="AI703">
        <v>1.098016605166052</v>
      </c>
      <c r="AJ703" s="63">
        <v>6614.1656999999996</v>
      </c>
      <c r="AK703" s="61">
        <v>1385.3374155107099</v>
      </c>
      <c r="AL703" t="s">
        <v>349</v>
      </c>
      <c r="AM703" t="s">
        <v>439</v>
      </c>
      <c r="AN703" t="s">
        <v>425</v>
      </c>
      <c r="AO703" t="s">
        <v>81</v>
      </c>
      <c r="AP703">
        <v>111.133</v>
      </c>
      <c r="AQ703">
        <v>1.080821157758461</v>
      </c>
      <c r="AR703">
        <v>120.1148977251711</v>
      </c>
      <c r="AS703">
        <v>779.31</v>
      </c>
      <c r="AT703">
        <v>0.879</v>
      </c>
      <c r="AU703">
        <v>82.280325291712501</v>
      </c>
      <c r="AV703">
        <v>0.93120000000000003</v>
      </c>
      <c r="AW703" s="63">
        <v>76.619</v>
      </c>
      <c r="AX703">
        <v>8.9176000000000002</v>
      </c>
      <c r="AY703">
        <v>0.80400000000000005</v>
      </c>
      <c r="AZ703">
        <v>6039.0430235999738</v>
      </c>
      <c r="BA703">
        <v>1.1187730627306269</v>
      </c>
      <c r="BB703" s="63">
        <v>6756.3186999999998</v>
      </c>
      <c r="BC703" s="61">
        <v>1415.1113701649001</v>
      </c>
    </row>
    <row r="704" spans="1:55" x14ac:dyDescent="0.25">
      <c r="A704">
        <v>238290</v>
      </c>
      <c r="B704" t="s">
        <v>230</v>
      </c>
      <c r="C704">
        <v>2020</v>
      </c>
      <c r="D704">
        <v>7</v>
      </c>
      <c r="E704" t="s">
        <v>100</v>
      </c>
      <c r="F704" t="s">
        <v>426</v>
      </c>
      <c r="G704" t="s">
        <v>84</v>
      </c>
      <c r="H704" t="s">
        <v>381</v>
      </c>
      <c r="I704" t="s">
        <v>427</v>
      </c>
      <c r="J704">
        <v>-32.004116019999998</v>
      </c>
      <c r="K704" t="s">
        <v>440</v>
      </c>
      <c r="L704" t="s">
        <v>385</v>
      </c>
      <c r="M704">
        <v>0.43232641346992001</v>
      </c>
      <c r="N704">
        <v>13.836224696595719</v>
      </c>
      <c r="O704">
        <v>47588.953000000001</v>
      </c>
      <c r="P704">
        <v>1.500949E-6</v>
      </c>
      <c r="Q704">
        <v>0.14285700000000001</v>
      </c>
      <c r="R704" s="61">
        <v>1.9766015514815749</v>
      </c>
      <c r="S704" t="s">
        <v>347</v>
      </c>
      <c r="T704" t="s">
        <v>437</v>
      </c>
      <c r="U704" t="s">
        <v>425</v>
      </c>
      <c r="V704" t="s">
        <v>27</v>
      </c>
      <c r="W704">
        <v>111.133</v>
      </c>
      <c r="X704">
        <v>1.0541007448257309</v>
      </c>
      <c r="Y704">
        <v>117.145378074718</v>
      </c>
      <c r="Z704">
        <v>640.82000000000005</v>
      </c>
      <c r="AA704">
        <v>1</v>
      </c>
      <c r="AB704">
        <v>75.069101177840764</v>
      </c>
      <c r="AC704">
        <v>0.95889999999999997</v>
      </c>
      <c r="AD704" s="63">
        <v>71.983999999999995</v>
      </c>
      <c r="AE704">
        <v>8.9176000000000002</v>
      </c>
      <c r="AF704">
        <v>9.4000488020579382</v>
      </c>
      <c r="AG704">
        <v>1</v>
      </c>
      <c r="AH704">
        <v>6023.7392733347688</v>
      </c>
      <c r="AI704">
        <v>0.99097621000820357</v>
      </c>
      <c r="AJ704" s="63">
        <v>5969.3823000000002</v>
      </c>
      <c r="AK704" s="61">
        <v>11799.090315566649</v>
      </c>
      <c r="AL704" t="s">
        <v>349</v>
      </c>
      <c r="AM704" t="s">
        <v>439</v>
      </c>
      <c r="AN704" t="s">
        <v>425</v>
      </c>
      <c r="AO704" t="s">
        <v>27</v>
      </c>
      <c r="AP704">
        <v>111.133</v>
      </c>
      <c r="AQ704">
        <v>1.080821157758461</v>
      </c>
      <c r="AR704">
        <v>120.1148977251711</v>
      </c>
      <c r="AS704">
        <v>779.31</v>
      </c>
      <c r="AT704">
        <v>0.879</v>
      </c>
      <c r="AU704">
        <v>82.280325291712501</v>
      </c>
      <c r="AV704">
        <v>0.93269999999999997</v>
      </c>
      <c r="AW704" s="63">
        <v>76.742999999999995</v>
      </c>
      <c r="AX704">
        <v>8.9176000000000002</v>
      </c>
      <c r="AY704">
        <v>0.80400000000000005</v>
      </c>
      <c r="AZ704">
        <v>6039.0430235999738</v>
      </c>
      <c r="BA704">
        <v>1.016406890894175</v>
      </c>
      <c r="BB704" s="63">
        <v>6138.1248999999998</v>
      </c>
      <c r="BC704" s="61">
        <v>12132.627200527681</v>
      </c>
    </row>
    <row r="705" spans="1:55" x14ac:dyDescent="0.25">
      <c r="A705">
        <v>238292</v>
      </c>
      <c r="B705" t="s">
        <v>230</v>
      </c>
      <c r="C705">
        <v>2020</v>
      </c>
      <c r="D705">
        <v>7</v>
      </c>
      <c r="E705" t="s">
        <v>100</v>
      </c>
      <c r="F705" t="s">
        <v>426</v>
      </c>
      <c r="G705" t="s">
        <v>84</v>
      </c>
      <c r="H705" t="s">
        <v>381</v>
      </c>
      <c r="I705" t="s">
        <v>427</v>
      </c>
      <c r="J705">
        <v>-32.004116019999998</v>
      </c>
      <c r="K705" t="s">
        <v>440</v>
      </c>
      <c r="L705" t="s">
        <v>451</v>
      </c>
      <c r="M705">
        <v>1.6825115802299999E-3</v>
      </c>
      <c r="N705">
        <v>5.3847295824099209E-2</v>
      </c>
      <c r="O705">
        <v>47588.953000000001</v>
      </c>
      <c r="P705">
        <v>1.500949E-6</v>
      </c>
      <c r="Q705">
        <v>0.14285700000000001</v>
      </c>
      <c r="R705" s="61">
        <v>7.6924631395433414E-3</v>
      </c>
      <c r="S705" t="s">
        <v>347</v>
      </c>
      <c r="T705" t="s">
        <v>437</v>
      </c>
      <c r="U705" t="s">
        <v>425</v>
      </c>
      <c r="V705" t="s">
        <v>91</v>
      </c>
      <c r="W705">
        <v>111.133</v>
      </c>
      <c r="X705">
        <v>1.0541007448257309</v>
      </c>
      <c r="Y705">
        <v>117.145378074718</v>
      </c>
      <c r="Z705">
        <v>640.82000000000005</v>
      </c>
      <c r="AA705">
        <v>1</v>
      </c>
      <c r="AB705">
        <v>75.069101177840764</v>
      </c>
      <c r="AC705">
        <v>1.0088999999999999</v>
      </c>
      <c r="AD705" s="63">
        <v>75.736999999999995</v>
      </c>
      <c r="AE705">
        <v>8.9176000000000002</v>
      </c>
      <c r="AF705">
        <v>9.4000488020579382</v>
      </c>
      <c r="AG705">
        <v>1</v>
      </c>
      <c r="AH705">
        <v>6023.7392733347688</v>
      </c>
      <c r="AI705">
        <v>0.99316673174541203</v>
      </c>
      <c r="AJ705" s="63">
        <v>5982.5774000000001</v>
      </c>
      <c r="AK705" s="61">
        <v>46.02075612896504</v>
      </c>
      <c r="AL705" t="s">
        <v>349</v>
      </c>
      <c r="AM705" t="s">
        <v>439</v>
      </c>
      <c r="AN705" t="s">
        <v>425</v>
      </c>
      <c r="AO705" t="s">
        <v>91</v>
      </c>
      <c r="AP705">
        <v>111.133</v>
      </c>
      <c r="AQ705">
        <v>1.080821157758461</v>
      </c>
      <c r="AR705">
        <v>120.1148977251711</v>
      </c>
      <c r="AS705">
        <v>779.31</v>
      </c>
      <c r="AT705">
        <v>0.879</v>
      </c>
      <c r="AU705">
        <v>82.280325291712501</v>
      </c>
      <c r="AV705">
        <v>0.9899</v>
      </c>
      <c r="AW705" s="63">
        <v>81.448999999999998</v>
      </c>
      <c r="AX705">
        <v>8.9176000000000002</v>
      </c>
      <c r="AY705">
        <v>0.80400000000000005</v>
      </c>
      <c r="AZ705">
        <v>6039.0430235999738</v>
      </c>
      <c r="BA705">
        <v>0.99199531433033972</v>
      </c>
      <c r="BB705" s="63">
        <v>5990.7024000000001</v>
      </c>
      <c r="BC705" s="61">
        <v>46.083257391973831</v>
      </c>
    </row>
    <row r="706" spans="1:55" x14ac:dyDescent="0.25">
      <c r="A706">
        <v>238294</v>
      </c>
      <c r="B706" t="s">
        <v>230</v>
      </c>
      <c r="C706">
        <v>2020</v>
      </c>
      <c r="D706">
        <v>7</v>
      </c>
      <c r="E706" t="s">
        <v>100</v>
      </c>
      <c r="F706" t="s">
        <v>426</v>
      </c>
      <c r="G706" t="s">
        <v>84</v>
      </c>
      <c r="H706" t="s">
        <v>381</v>
      </c>
      <c r="I706" t="s">
        <v>427</v>
      </c>
      <c r="J706">
        <v>-32.004116019999998</v>
      </c>
      <c r="K706" t="s">
        <v>440</v>
      </c>
      <c r="L706" t="s">
        <v>452</v>
      </c>
      <c r="M706">
        <v>1.53682162831E-3</v>
      </c>
      <c r="N706">
        <v>4.9184617699433567E-2</v>
      </c>
      <c r="O706">
        <v>47588.953000000001</v>
      </c>
      <c r="P706">
        <v>1.500949E-6</v>
      </c>
      <c r="Q706">
        <v>0.14285700000000001</v>
      </c>
      <c r="R706" s="61">
        <v>7.0263669306879816E-3</v>
      </c>
      <c r="S706" t="s">
        <v>347</v>
      </c>
      <c r="T706" t="s">
        <v>437</v>
      </c>
      <c r="U706" t="s">
        <v>425</v>
      </c>
      <c r="V706" t="s">
        <v>28</v>
      </c>
      <c r="W706">
        <v>111.133</v>
      </c>
      <c r="X706">
        <v>1.0541007448257309</v>
      </c>
      <c r="Y706">
        <v>117.145378074718</v>
      </c>
      <c r="Z706">
        <v>640.82000000000005</v>
      </c>
      <c r="AA706">
        <v>1</v>
      </c>
      <c r="AB706">
        <v>75.069101177840764</v>
      </c>
      <c r="AC706">
        <v>1.0073000000000001</v>
      </c>
      <c r="AD706" s="63">
        <v>75.617000000000004</v>
      </c>
      <c r="AE706">
        <v>8.9176000000000002</v>
      </c>
      <c r="AF706">
        <v>9.4000488020579382</v>
      </c>
      <c r="AG706">
        <v>1</v>
      </c>
      <c r="AH706">
        <v>6023.7392733347688</v>
      </c>
      <c r="AI706">
        <v>0.99399488088206345</v>
      </c>
      <c r="AJ706" s="63">
        <v>5987.5659999999998</v>
      </c>
      <c r="AK706" s="61">
        <v>42.070835737711718</v>
      </c>
      <c r="AL706" t="s">
        <v>349</v>
      </c>
      <c r="AM706" t="s">
        <v>439</v>
      </c>
      <c r="AN706" t="s">
        <v>425</v>
      </c>
      <c r="AO706" t="s">
        <v>28</v>
      </c>
      <c r="AP706">
        <v>111.133</v>
      </c>
      <c r="AQ706">
        <v>1.080821157758461</v>
      </c>
      <c r="AR706">
        <v>120.1148977251711</v>
      </c>
      <c r="AS706">
        <v>779.31</v>
      </c>
      <c r="AT706">
        <v>0.879</v>
      </c>
      <c r="AU706">
        <v>82.280325291712501</v>
      </c>
      <c r="AV706">
        <v>0.96379999999999999</v>
      </c>
      <c r="AW706" s="63">
        <v>79.302000000000007</v>
      </c>
      <c r="AX706">
        <v>8.9176000000000002</v>
      </c>
      <c r="AY706">
        <v>0.80400000000000005</v>
      </c>
      <c r="AZ706">
        <v>6039.0430235999738</v>
      </c>
      <c r="BA706">
        <v>0.93699547154951757</v>
      </c>
      <c r="BB706" s="63">
        <v>5658.5559999999996</v>
      </c>
      <c r="BC706" s="61">
        <v>39.759090753846067</v>
      </c>
    </row>
    <row r="707" spans="1:55" x14ac:dyDescent="0.25">
      <c r="A707">
        <v>238296</v>
      </c>
      <c r="B707" t="s">
        <v>230</v>
      </c>
      <c r="C707">
        <v>2020</v>
      </c>
      <c r="D707">
        <v>7</v>
      </c>
      <c r="E707" t="s">
        <v>100</v>
      </c>
      <c r="F707" t="s">
        <v>426</v>
      </c>
      <c r="G707" t="s">
        <v>84</v>
      </c>
      <c r="H707" t="s">
        <v>87</v>
      </c>
      <c r="I707" t="s">
        <v>427</v>
      </c>
      <c r="J707">
        <v>-5.8835884299999996</v>
      </c>
      <c r="K707" t="s">
        <v>440</v>
      </c>
      <c r="L707" t="s">
        <v>450</v>
      </c>
      <c r="M707">
        <v>0.26601384014995</v>
      </c>
      <c r="N707">
        <v>1.56511595164048</v>
      </c>
      <c r="O707">
        <v>47588.953000000001</v>
      </c>
      <c r="P707">
        <v>1.500949E-6</v>
      </c>
      <c r="Q707">
        <v>0.14285700000000001</v>
      </c>
      <c r="R707" s="61">
        <v>0.22358776950350401</v>
      </c>
      <c r="S707" t="s">
        <v>347</v>
      </c>
      <c r="T707" t="s">
        <v>437</v>
      </c>
      <c r="U707" t="s">
        <v>425</v>
      </c>
      <c r="V707" t="s">
        <v>26</v>
      </c>
      <c r="W707">
        <v>111.133</v>
      </c>
      <c r="X707">
        <v>1.0541007448257309</v>
      </c>
      <c r="Y707">
        <v>117.145378074718</v>
      </c>
      <c r="Z707">
        <v>640.82000000000005</v>
      </c>
      <c r="AA707">
        <v>1</v>
      </c>
      <c r="AB707">
        <v>75.069101177840764</v>
      </c>
      <c r="AC707">
        <v>0.99109999999999998</v>
      </c>
      <c r="AD707" s="63">
        <v>74.400999999999996</v>
      </c>
      <c r="AE707">
        <v>8.9176000000000002</v>
      </c>
      <c r="AF707">
        <v>9.4000488020579382</v>
      </c>
      <c r="AG707">
        <v>1</v>
      </c>
      <c r="AH707">
        <v>6023.7392733347688</v>
      </c>
      <c r="AI707">
        <v>0.9830373970836227</v>
      </c>
      <c r="AJ707" s="63">
        <v>5921.5609999999997</v>
      </c>
      <c r="AK707" s="61">
        <v>1323.988615968939</v>
      </c>
      <c r="AL707" t="s">
        <v>349</v>
      </c>
      <c r="AM707" t="s">
        <v>439</v>
      </c>
      <c r="AN707" t="s">
        <v>425</v>
      </c>
      <c r="AO707" t="s">
        <v>26</v>
      </c>
      <c r="AP707">
        <v>111.133</v>
      </c>
      <c r="AQ707">
        <v>1.080821157758461</v>
      </c>
      <c r="AR707">
        <v>120.1148977251711</v>
      </c>
      <c r="AS707">
        <v>779.31</v>
      </c>
      <c r="AT707">
        <v>0.879</v>
      </c>
      <c r="AU707">
        <v>82.280325291712501</v>
      </c>
      <c r="AV707">
        <v>0.97599999999999998</v>
      </c>
      <c r="AW707" s="63">
        <v>80.305999999999997</v>
      </c>
      <c r="AX707">
        <v>8.9176000000000002</v>
      </c>
      <c r="AY707">
        <v>0.80400000000000005</v>
      </c>
      <c r="AZ707">
        <v>6039.0430235999738</v>
      </c>
      <c r="BA707">
        <v>0.99553615712726917</v>
      </c>
      <c r="BB707" s="63">
        <v>6012.0856999999996</v>
      </c>
      <c r="BC707" s="61">
        <v>1344.2288317269119</v>
      </c>
    </row>
    <row r="708" spans="1:55" x14ac:dyDescent="0.25">
      <c r="A708">
        <v>238298</v>
      </c>
      <c r="B708" t="s">
        <v>230</v>
      </c>
      <c r="C708">
        <v>2020</v>
      </c>
      <c r="D708">
        <v>7</v>
      </c>
      <c r="E708" t="s">
        <v>100</v>
      </c>
      <c r="F708" t="s">
        <v>426</v>
      </c>
      <c r="G708" t="s">
        <v>84</v>
      </c>
      <c r="H708" t="s">
        <v>87</v>
      </c>
      <c r="I708" t="s">
        <v>427</v>
      </c>
      <c r="J708">
        <v>-5.8835884299999996</v>
      </c>
      <c r="K708" t="s">
        <v>440</v>
      </c>
      <c r="L708" t="s">
        <v>384</v>
      </c>
      <c r="M708">
        <v>3.9509559941419997E-2</v>
      </c>
      <c r="N708">
        <v>0.2324579896736014</v>
      </c>
      <c r="O708">
        <v>47588.953000000001</v>
      </c>
      <c r="P708">
        <v>1.500949E-6</v>
      </c>
      <c r="Q708">
        <v>0.14285700000000001</v>
      </c>
      <c r="R708" s="61">
        <v>3.3208251030801668E-2</v>
      </c>
      <c r="S708" t="s">
        <v>347</v>
      </c>
      <c r="T708" t="s">
        <v>437</v>
      </c>
      <c r="U708" t="s">
        <v>425</v>
      </c>
      <c r="V708" t="s">
        <v>81</v>
      </c>
      <c r="W708">
        <v>111.133</v>
      </c>
      <c r="X708">
        <v>1.0541007448257309</v>
      </c>
      <c r="Y708">
        <v>117.145378074718</v>
      </c>
      <c r="Z708">
        <v>640.82000000000005</v>
      </c>
      <c r="AA708">
        <v>1</v>
      </c>
      <c r="AB708">
        <v>75.069101177840764</v>
      </c>
      <c r="AC708">
        <v>0.93830000000000002</v>
      </c>
      <c r="AD708" s="63">
        <v>70.436999999999998</v>
      </c>
      <c r="AE708">
        <v>8.9176000000000002</v>
      </c>
      <c r="AF708">
        <v>9.4000488020579382</v>
      </c>
      <c r="AG708">
        <v>1</v>
      </c>
      <c r="AH708">
        <v>6023.7392733347688</v>
      </c>
      <c r="AI708">
        <v>1.098016605166052</v>
      </c>
      <c r="AJ708" s="63">
        <v>6614.1656999999996</v>
      </c>
      <c r="AK708" s="61">
        <v>219.6448749249181</v>
      </c>
      <c r="AL708" t="s">
        <v>349</v>
      </c>
      <c r="AM708" t="s">
        <v>439</v>
      </c>
      <c r="AN708" t="s">
        <v>425</v>
      </c>
      <c r="AO708" t="s">
        <v>81</v>
      </c>
      <c r="AP708">
        <v>111.133</v>
      </c>
      <c r="AQ708">
        <v>1.080821157758461</v>
      </c>
      <c r="AR708">
        <v>120.1148977251711</v>
      </c>
      <c r="AS708">
        <v>779.31</v>
      </c>
      <c r="AT708">
        <v>0.879</v>
      </c>
      <c r="AU708">
        <v>82.280325291712501</v>
      </c>
      <c r="AV708">
        <v>0.93120000000000003</v>
      </c>
      <c r="AW708" s="63">
        <v>76.619</v>
      </c>
      <c r="AX708">
        <v>8.9176000000000002</v>
      </c>
      <c r="AY708">
        <v>0.80400000000000005</v>
      </c>
      <c r="AZ708">
        <v>6039.0430235999738</v>
      </c>
      <c r="BA708">
        <v>1.1187730627306269</v>
      </c>
      <c r="BB708" s="63">
        <v>6756.3186999999998</v>
      </c>
      <c r="BC708" s="61">
        <v>224.36552743369961</v>
      </c>
    </row>
    <row r="709" spans="1:55" x14ac:dyDescent="0.25">
      <c r="A709">
        <v>238300</v>
      </c>
      <c r="B709" t="s">
        <v>230</v>
      </c>
      <c r="C709">
        <v>2020</v>
      </c>
      <c r="D709">
        <v>7</v>
      </c>
      <c r="E709" t="s">
        <v>100</v>
      </c>
      <c r="F709" t="s">
        <v>426</v>
      </c>
      <c r="G709" t="s">
        <v>84</v>
      </c>
      <c r="H709" t="s">
        <v>87</v>
      </c>
      <c r="I709" t="s">
        <v>427</v>
      </c>
      <c r="J709">
        <v>-5.8835884299999996</v>
      </c>
      <c r="K709" t="s">
        <v>440</v>
      </c>
      <c r="L709" t="s">
        <v>385</v>
      </c>
      <c r="M709">
        <v>0.39737542925016001</v>
      </c>
      <c r="N709">
        <v>2.3379934771770752</v>
      </c>
      <c r="O709">
        <v>47588.953000000001</v>
      </c>
      <c r="P709">
        <v>1.500949E-6</v>
      </c>
      <c r="Q709">
        <v>0.14285700000000001</v>
      </c>
      <c r="R709" s="61">
        <v>0.33399873416908538</v>
      </c>
      <c r="S709" t="s">
        <v>347</v>
      </c>
      <c r="T709" t="s">
        <v>437</v>
      </c>
      <c r="U709" t="s">
        <v>425</v>
      </c>
      <c r="V709" t="s">
        <v>27</v>
      </c>
      <c r="W709">
        <v>111.133</v>
      </c>
      <c r="X709">
        <v>1.0541007448257309</v>
      </c>
      <c r="Y709">
        <v>117.145378074718</v>
      </c>
      <c r="Z709">
        <v>640.82000000000005</v>
      </c>
      <c r="AA709">
        <v>1</v>
      </c>
      <c r="AB709">
        <v>75.069101177840764</v>
      </c>
      <c r="AC709">
        <v>0.95889999999999997</v>
      </c>
      <c r="AD709" s="63">
        <v>71.983999999999995</v>
      </c>
      <c r="AE709">
        <v>8.9176000000000002</v>
      </c>
      <c r="AF709">
        <v>9.4000488020579382</v>
      </c>
      <c r="AG709">
        <v>1</v>
      </c>
      <c r="AH709">
        <v>6023.7392733347688</v>
      </c>
      <c r="AI709">
        <v>0.99097621000820357</v>
      </c>
      <c r="AJ709" s="63">
        <v>5969.3823000000002</v>
      </c>
      <c r="AK709" s="61">
        <v>1993.7661319713441</v>
      </c>
      <c r="AL709" t="s">
        <v>349</v>
      </c>
      <c r="AM709" t="s">
        <v>439</v>
      </c>
      <c r="AN709" t="s">
        <v>425</v>
      </c>
      <c r="AO709" t="s">
        <v>27</v>
      </c>
      <c r="AP709">
        <v>111.133</v>
      </c>
      <c r="AQ709">
        <v>1.080821157758461</v>
      </c>
      <c r="AR709">
        <v>120.1148977251711</v>
      </c>
      <c r="AS709">
        <v>779.31</v>
      </c>
      <c r="AT709">
        <v>0.879</v>
      </c>
      <c r="AU709">
        <v>82.280325291712501</v>
      </c>
      <c r="AV709">
        <v>0.93269999999999997</v>
      </c>
      <c r="AW709" s="63">
        <v>76.742999999999995</v>
      </c>
      <c r="AX709">
        <v>8.9176000000000002</v>
      </c>
      <c r="AY709">
        <v>0.80400000000000005</v>
      </c>
      <c r="AZ709">
        <v>6039.0430235999738</v>
      </c>
      <c r="BA709">
        <v>1.016406890894175</v>
      </c>
      <c r="BB709" s="63">
        <v>6138.1248999999998</v>
      </c>
      <c r="BC709" s="61">
        <v>2050.1259467717441</v>
      </c>
    </row>
    <row r="710" spans="1:55" x14ac:dyDescent="0.25">
      <c r="A710">
        <v>238302</v>
      </c>
      <c r="B710" t="s">
        <v>230</v>
      </c>
      <c r="C710">
        <v>2020</v>
      </c>
      <c r="D710">
        <v>7</v>
      </c>
      <c r="E710" t="s">
        <v>100</v>
      </c>
      <c r="F710" t="s">
        <v>426</v>
      </c>
      <c r="G710" t="s">
        <v>84</v>
      </c>
      <c r="H710" t="s">
        <v>87</v>
      </c>
      <c r="I710" t="s">
        <v>427</v>
      </c>
      <c r="J710">
        <v>-5.8835884299999996</v>
      </c>
      <c r="K710" t="s">
        <v>440</v>
      </c>
      <c r="L710" t="s">
        <v>452</v>
      </c>
      <c r="M710">
        <v>8.4248020759000004E-4</v>
      </c>
      <c r="N710">
        <v>4.9568068003424878E-3</v>
      </c>
      <c r="O710">
        <v>47588.953000000001</v>
      </c>
      <c r="P710">
        <v>1.500949E-6</v>
      </c>
      <c r="Q710">
        <v>0.14285700000000001</v>
      </c>
      <c r="R710" s="61">
        <v>7.0811454907652679E-4</v>
      </c>
      <c r="S710" t="s">
        <v>347</v>
      </c>
      <c r="T710" t="s">
        <v>437</v>
      </c>
      <c r="U710" t="s">
        <v>425</v>
      </c>
      <c r="V710" t="s">
        <v>28</v>
      </c>
      <c r="W710">
        <v>111.133</v>
      </c>
      <c r="X710">
        <v>1.0541007448257309</v>
      </c>
      <c r="Y710">
        <v>117.145378074718</v>
      </c>
      <c r="Z710">
        <v>640.82000000000005</v>
      </c>
      <c r="AA710">
        <v>1</v>
      </c>
      <c r="AB710">
        <v>75.069101177840764</v>
      </c>
      <c r="AC710">
        <v>1.0073000000000001</v>
      </c>
      <c r="AD710" s="63">
        <v>75.617000000000004</v>
      </c>
      <c r="AE710">
        <v>8.9176000000000002</v>
      </c>
      <c r="AF710">
        <v>9.4000488020579382</v>
      </c>
      <c r="AG710">
        <v>1</v>
      </c>
      <c r="AH710">
        <v>6023.7392733347688</v>
      </c>
      <c r="AI710">
        <v>0.99399488088206345</v>
      </c>
      <c r="AJ710" s="63">
        <v>5987.5659999999998</v>
      </c>
      <c r="AK710" s="61">
        <v>4.2398825981559431</v>
      </c>
      <c r="AL710" t="s">
        <v>349</v>
      </c>
      <c r="AM710" t="s">
        <v>439</v>
      </c>
      <c r="AN710" t="s">
        <v>425</v>
      </c>
      <c r="AO710" t="s">
        <v>28</v>
      </c>
      <c r="AP710">
        <v>111.133</v>
      </c>
      <c r="AQ710">
        <v>1.080821157758461</v>
      </c>
      <c r="AR710">
        <v>120.1148977251711</v>
      </c>
      <c r="AS710">
        <v>779.31</v>
      </c>
      <c r="AT710">
        <v>0.879</v>
      </c>
      <c r="AU710">
        <v>82.280325291712501</v>
      </c>
      <c r="AV710">
        <v>0.96379999999999999</v>
      </c>
      <c r="AW710" s="63">
        <v>79.302000000000007</v>
      </c>
      <c r="AX710">
        <v>8.9176000000000002</v>
      </c>
      <c r="AY710">
        <v>0.80400000000000005</v>
      </c>
      <c r="AZ710">
        <v>6039.0430235999738</v>
      </c>
      <c r="BA710">
        <v>0.93699547154951757</v>
      </c>
      <c r="BB710" s="63">
        <v>5658.5559999999996</v>
      </c>
      <c r="BC710" s="61">
        <v>4.0069058303642748</v>
      </c>
    </row>
    <row r="711" spans="1:55" x14ac:dyDescent="0.25">
      <c r="A711">
        <v>238304</v>
      </c>
      <c r="B711" t="s">
        <v>230</v>
      </c>
      <c r="C711">
        <v>2020</v>
      </c>
      <c r="D711">
        <v>7</v>
      </c>
      <c r="E711" t="s">
        <v>100</v>
      </c>
      <c r="F711" t="s">
        <v>426</v>
      </c>
      <c r="G711" t="s">
        <v>84</v>
      </c>
      <c r="H711" t="s">
        <v>59</v>
      </c>
      <c r="I711" t="s">
        <v>427</v>
      </c>
      <c r="J711">
        <v>-17.390262679999999</v>
      </c>
      <c r="K711" t="s">
        <v>440</v>
      </c>
      <c r="L711" t="s">
        <v>450</v>
      </c>
      <c r="M711">
        <v>0.15931709696460999</v>
      </c>
      <c r="N711">
        <v>2.7705661656409961</v>
      </c>
      <c r="O711">
        <v>47588.953000000001</v>
      </c>
      <c r="P711">
        <v>1.500949E-6</v>
      </c>
      <c r="Q711">
        <v>0.14285700000000001</v>
      </c>
      <c r="R711" s="61">
        <v>0.39579477072497582</v>
      </c>
      <c r="S711" t="s">
        <v>347</v>
      </c>
      <c r="T711" t="s">
        <v>437</v>
      </c>
      <c r="U711" t="s">
        <v>425</v>
      </c>
      <c r="V711" t="s">
        <v>26</v>
      </c>
      <c r="W711">
        <v>111.133</v>
      </c>
      <c r="X711">
        <v>1.0541007448257309</v>
      </c>
      <c r="Y711">
        <v>117.145378074718</v>
      </c>
      <c r="Z711">
        <v>640.82000000000005</v>
      </c>
      <c r="AA711">
        <v>1</v>
      </c>
      <c r="AB711">
        <v>75.069101177840764</v>
      </c>
      <c r="AC711">
        <v>0.99109999999999998</v>
      </c>
      <c r="AD711" s="63">
        <v>74.400999999999996</v>
      </c>
      <c r="AE711">
        <v>8.9176000000000002</v>
      </c>
      <c r="AF711">
        <v>9.4000488020579382</v>
      </c>
      <c r="AG711">
        <v>1</v>
      </c>
      <c r="AH711">
        <v>6023.7392733347688</v>
      </c>
      <c r="AI711">
        <v>0.9830373970836227</v>
      </c>
      <c r="AJ711" s="63">
        <v>5921.5609999999997</v>
      </c>
      <c r="AK711" s="61">
        <v>2343.7228783289579</v>
      </c>
      <c r="AL711" t="s">
        <v>349</v>
      </c>
      <c r="AM711" t="s">
        <v>439</v>
      </c>
      <c r="AN711" t="s">
        <v>425</v>
      </c>
      <c r="AO711" t="s">
        <v>26</v>
      </c>
      <c r="AP711">
        <v>111.133</v>
      </c>
      <c r="AQ711">
        <v>1.080821157758461</v>
      </c>
      <c r="AR711">
        <v>120.1148977251711</v>
      </c>
      <c r="AS711">
        <v>779.31</v>
      </c>
      <c r="AT711">
        <v>0.879</v>
      </c>
      <c r="AU711">
        <v>82.280325291712501</v>
      </c>
      <c r="AV711">
        <v>0.97599999999999998</v>
      </c>
      <c r="AW711" s="63">
        <v>80.305999999999997</v>
      </c>
      <c r="AX711">
        <v>8.9176000000000002</v>
      </c>
      <c r="AY711">
        <v>0.80400000000000005</v>
      </c>
      <c r="AZ711">
        <v>6039.0430235999738</v>
      </c>
      <c r="BA711">
        <v>0.99553615712726917</v>
      </c>
      <c r="BB711" s="63">
        <v>6012.0856999999996</v>
      </c>
      <c r="BC711" s="61">
        <v>2379.552081210406</v>
      </c>
    </row>
    <row r="712" spans="1:55" x14ac:dyDescent="0.25">
      <c r="A712">
        <v>238306</v>
      </c>
      <c r="B712" t="s">
        <v>230</v>
      </c>
      <c r="C712">
        <v>2020</v>
      </c>
      <c r="D712">
        <v>7</v>
      </c>
      <c r="E712" t="s">
        <v>100</v>
      </c>
      <c r="F712" t="s">
        <v>426</v>
      </c>
      <c r="G712" t="s">
        <v>84</v>
      </c>
      <c r="H712" t="s">
        <v>59</v>
      </c>
      <c r="I712" t="s">
        <v>427</v>
      </c>
      <c r="J712">
        <v>-17.390262679999999</v>
      </c>
      <c r="K712" t="s">
        <v>440</v>
      </c>
      <c r="L712" t="s">
        <v>384</v>
      </c>
      <c r="M712">
        <v>4.1785183859599999E-2</v>
      </c>
      <c r="N712">
        <v>0.72665532345352957</v>
      </c>
      <c r="O712">
        <v>47588.953000000001</v>
      </c>
      <c r="P712">
        <v>1.500949E-6</v>
      </c>
      <c r="Q712">
        <v>0.14285700000000001</v>
      </c>
      <c r="R712" s="61">
        <v>0.1038077995426009</v>
      </c>
      <c r="S712" t="s">
        <v>347</v>
      </c>
      <c r="T712" t="s">
        <v>437</v>
      </c>
      <c r="U712" t="s">
        <v>425</v>
      </c>
      <c r="V712" t="s">
        <v>81</v>
      </c>
      <c r="W712">
        <v>111.133</v>
      </c>
      <c r="X712">
        <v>1.0541007448257309</v>
      </c>
      <c r="Y712">
        <v>117.145378074718</v>
      </c>
      <c r="Z712">
        <v>640.82000000000005</v>
      </c>
      <c r="AA712">
        <v>1</v>
      </c>
      <c r="AB712">
        <v>75.069101177840764</v>
      </c>
      <c r="AC712">
        <v>0.93830000000000002</v>
      </c>
      <c r="AD712" s="63">
        <v>70.436999999999998</v>
      </c>
      <c r="AE712">
        <v>8.9176000000000002</v>
      </c>
      <c r="AF712">
        <v>9.4000488020579382</v>
      </c>
      <c r="AG712">
        <v>1</v>
      </c>
      <c r="AH712">
        <v>6023.7392733347688</v>
      </c>
      <c r="AI712">
        <v>1.098016605166052</v>
      </c>
      <c r="AJ712" s="63">
        <v>6614.1656999999996</v>
      </c>
      <c r="AK712" s="61">
        <v>686.60198712714646</v>
      </c>
      <c r="AL712" t="s">
        <v>349</v>
      </c>
      <c r="AM712" t="s">
        <v>439</v>
      </c>
      <c r="AN712" t="s">
        <v>425</v>
      </c>
      <c r="AO712" t="s">
        <v>81</v>
      </c>
      <c r="AP712">
        <v>111.133</v>
      </c>
      <c r="AQ712">
        <v>1.080821157758461</v>
      </c>
      <c r="AR712">
        <v>120.1148977251711</v>
      </c>
      <c r="AS712">
        <v>779.31</v>
      </c>
      <c r="AT712">
        <v>0.879</v>
      </c>
      <c r="AU712">
        <v>82.280325291712501</v>
      </c>
      <c r="AV712">
        <v>0.93120000000000003</v>
      </c>
      <c r="AW712" s="63">
        <v>76.619</v>
      </c>
      <c r="AX712">
        <v>8.9176000000000002</v>
      </c>
      <c r="AY712">
        <v>0.80400000000000005</v>
      </c>
      <c r="AZ712">
        <v>6039.0430235999738</v>
      </c>
      <c r="BA712">
        <v>1.1187730627306269</v>
      </c>
      <c r="BB712" s="63">
        <v>6756.3186999999998</v>
      </c>
      <c r="BC712" s="61">
        <v>701.3585772555258</v>
      </c>
    </row>
    <row r="713" spans="1:55" x14ac:dyDescent="0.25">
      <c r="A713">
        <v>238308</v>
      </c>
      <c r="B713" t="s">
        <v>230</v>
      </c>
      <c r="C713">
        <v>2020</v>
      </c>
      <c r="D713">
        <v>7</v>
      </c>
      <c r="E713" t="s">
        <v>100</v>
      </c>
      <c r="F713" t="s">
        <v>426</v>
      </c>
      <c r="G713" t="s">
        <v>84</v>
      </c>
      <c r="H713" t="s">
        <v>59</v>
      </c>
      <c r="I713" t="s">
        <v>427</v>
      </c>
      <c r="J713">
        <v>-17.390262679999999</v>
      </c>
      <c r="K713" t="s">
        <v>440</v>
      </c>
      <c r="L713" t="s">
        <v>385</v>
      </c>
      <c r="M713">
        <v>0.43497567483749999</v>
      </c>
      <c r="N713">
        <v>7.5643412448655099</v>
      </c>
      <c r="O713">
        <v>47588.953000000001</v>
      </c>
      <c r="P713">
        <v>1.500949E-6</v>
      </c>
      <c r="Q713">
        <v>0.14285700000000001</v>
      </c>
      <c r="R713" s="61">
        <v>1.0806190972177521</v>
      </c>
      <c r="S713" t="s">
        <v>347</v>
      </c>
      <c r="T713" t="s">
        <v>437</v>
      </c>
      <c r="U713" t="s">
        <v>425</v>
      </c>
      <c r="V713" t="s">
        <v>27</v>
      </c>
      <c r="W713">
        <v>111.133</v>
      </c>
      <c r="X713">
        <v>1.0541007448257309</v>
      </c>
      <c r="Y713">
        <v>117.145378074718</v>
      </c>
      <c r="Z713">
        <v>640.82000000000005</v>
      </c>
      <c r="AA713">
        <v>1</v>
      </c>
      <c r="AB713">
        <v>75.069101177840764</v>
      </c>
      <c r="AC713">
        <v>0.95889999999999997</v>
      </c>
      <c r="AD713" s="63">
        <v>71.983999999999995</v>
      </c>
      <c r="AE713">
        <v>8.9176000000000002</v>
      </c>
      <c r="AF713">
        <v>9.4000488020579382</v>
      </c>
      <c r="AG713">
        <v>1</v>
      </c>
      <c r="AH713">
        <v>6023.7392733347688</v>
      </c>
      <c r="AI713">
        <v>0.99097621000820357</v>
      </c>
      <c r="AJ713" s="63">
        <v>5969.3823000000002</v>
      </c>
      <c r="AK713" s="61">
        <v>6450.6285119736303</v>
      </c>
      <c r="AL713" t="s">
        <v>349</v>
      </c>
      <c r="AM713" t="s">
        <v>439</v>
      </c>
      <c r="AN713" t="s">
        <v>425</v>
      </c>
      <c r="AO713" t="s">
        <v>27</v>
      </c>
      <c r="AP713">
        <v>111.133</v>
      </c>
      <c r="AQ713">
        <v>1.080821157758461</v>
      </c>
      <c r="AR713">
        <v>120.1148977251711</v>
      </c>
      <c r="AS713">
        <v>779.31</v>
      </c>
      <c r="AT713">
        <v>0.879</v>
      </c>
      <c r="AU713">
        <v>82.280325291712501</v>
      </c>
      <c r="AV713">
        <v>0.93269999999999997</v>
      </c>
      <c r="AW713" s="63">
        <v>76.742999999999995</v>
      </c>
      <c r="AX713">
        <v>8.9176000000000002</v>
      </c>
      <c r="AY713">
        <v>0.80400000000000005</v>
      </c>
      <c r="AZ713">
        <v>6039.0430235999738</v>
      </c>
      <c r="BA713">
        <v>1.016406890894175</v>
      </c>
      <c r="BB713" s="63">
        <v>6138.1248999999998</v>
      </c>
      <c r="BC713" s="61">
        <v>6632.9749880478057</v>
      </c>
    </row>
    <row r="714" spans="1:55" x14ac:dyDescent="0.25">
      <c r="A714">
        <v>238310</v>
      </c>
      <c r="B714" t="s">
        <v>230</v>
      </c>
      <c r="C714">
        <v>2020</v>
      </c>
      <c r="D714">
        <v>7</v>
      </c>
      <c r="E714" t="s">
        <v>100</v>
      </c>
      <c r="F714" t="s">
        <v>426</v>
      </c>
      <c r="G714" t="s">
        <v>84</v>
      </c>
      <c r="H714" t="s">
        <v>59</v>
      </c>
      <c r="I714" t="s">
        <v>427</v>
      </c>
      <c r="J714">
        <v>-17.390262679999999</v>
      </c>
      <c r="K714" t="s">
        <v>440</v>
      </c>
      <c r="L714" t="s">
        <v>451</v>
      </c>
      <c r="M714">
        <v>1.7625750762999999E-3</v>
      </c>
      <c r="N714">
        <v>3.065164357020414E-2</v>
      </c>
      <c r="O714">
        <v>47588.953000000001</v>
      </c>
      <c r="P714">
        <v>1.500949E-6</v>
      </c>
      <c r="Q714">
        <v>0.14285700000000001</v>
      </c>
      <c r="R714" s="61">
        <v>4.3788018455086534E-3</v>
      </c>
      <c r="S714" t="s">
        <v>347</v>
      </c>
      <c r="T714" t="s">
        <v>437</v>
      </c>
      <c r="U714" t="s">
        <v>425</v>
      </c>
      <c r="V714" t="s">
        <v>91</v>
      </c>
      <c r="W714">
        <v>111.133</v>
      </c>
      <c r="X714">
        <v>1.0541007448257309</v>
      </c>
      <c r="Y714">
        <v>117.145378074718</v>
      </c>
      <c r="Z714">
        <v>640.82000000000005</v>
      </c>
      <c r="AA714">
        <v>1</v>
      </c>
      <c r="AB714">
        <v>75.069101177840764</v>
      </c>
      <c r="AC714">
        <v>1.0088999999999999</v>
      </c>
      <c r="AD714" s="63">
        <v>75.736999999999995</v>
      </c>
      <c r="AE714">
        <v>8.9176000000000002</v>
      </c>
      <c r="AF714">
        <v>9.4000488020579382</v>
      </c>
      <c r="AG714">
        <v>1</v>
      </c>
      <c r="AH714">
        <v>6023.7392733347688</v>
      </c>
      <c r="AI714">
        <v>0.99316673174541203</v>
      </c>
      <c r="AJ714" s="63">
        <v>5982.5774000000001</v>
      </c>
      <c r="AK714" s="61">
        <v>26.196520960018361</v>
      </c>
      <c r="AL714" t="s">
        <v>349</v>
      </c>
      <c r="AM714" t="s">
        <v>439</v>
      </c>
      <c r="AN714" t="s">
        <v>425</v>
      </c>
      <c r="AO714" t="s">
        <v>91</v>
      </c>
      <c r="AP714">
        <v>111.133</v>
      </c>
      <c r="AQ714">
        <v>1.080821157758461</v>
      </c>
      <c r="AR714">
        <v>120.1148977251711</v>
      </c>
      <c r="AS714">
        <v>779.31</v>
      </c>
      <c r="AT714">
        <v>0.879</v>
      </c>
      <c r="AU714">
        <v>82.280325291712501</v>
      </c>
      <c r="AV714">
        <v>0.9899</v>
      </c>
      <c r="AW714" s="63">
        <v>81.448999999999998</v>
      </c>
      <c r="AX714">
        <v>8.9176000000000002</v>
      </c>
      <c r="AY714">
        <v>0.80400000000000005</v>
      </c>
      <c r="AZ714">
        <v>6039.0430235999738</v>
      </c>
      <c r="BA714">
        <v>0.99199531433033972</v>
      </c>
      <c r="BB714" s="63">
        <v>5990.7024000000001</v>
      </c>
      <c r="BC714" s="61">
        <v>26.23209872501311</v>
      </c>
    </row>
    <row r="715" spans="1:55" x14ac:dyDescent="0.25">
      <c r="A715">
        <v>238312</v>
      </c>
      <c r="B715" t="s">
        <v>230</v>
      </c>
      <c r="C715">
        <v>2020</v>
      </c>
      <c r="D715">
        <v>7</v>
      </c>
      <c r="E715" t="s">
        <v>100</v>
      </c>
      <c r="F715" t="s">
        <v>426</v>
      </c>
      <c r="G715" t="s">
        <v>84</v>
      </c>
      <c r="H715" t="s">
        <v>59</v>
      </c>
      <c r="I715" t="s">
        <v>427</v>
      </c>
      <c r="J715">
        <v>-17.390262679999999</v>
      </c>
      <c r="K715" t="s">
        <v>440</v>
      </c>
      <c r="L715" t="s">
        <v>452</v>
      </c>
      <c r="M715">
        <v>1.4858046103299999E-3</v>
      </c>
      <c r="N715">
        <v>2.5838532464900039E-2</v>
      </c>
      <c r="O715">
        <v>47588.953000000001</v>
      </c>
      <c r="P715">
        <v>1.500949E-6</v>
      </c>
      <c r="Q715">
        <v>0.14285700000000001</v>
      </c>
      <c r="R715" s="61">
        <v>3.6912152323382249E-3</v>
      </c>
      <c r="S715" t="s">
        <v>347</v>
      </c>
      <c r="T715" t="s">
        <v>437</v>
      </c>
      <c r="U715" t="s">
        <v>425</v>
      </c>
      <c r="V715" t="s">
        <v>28</v>
      </c>
      <c r="W715">
        <v>111.133</v>
      </c>
      <c r="X715">
        <v>1.0541007448257309</v>
      </c>
      <c r="Y715">
        <v>117.145378074718</v>
      </c>
      <c r="Z715">
        <v>640.82000000000005</v>
      </c>
      <c r="AA715">
        <v>1</v>
      </c>
      <c r="AB715">
        <v>75.069101177840764</v>
      </c>
      <c r="AC715">
        <v>1.0073000000000001</v>
      </c>
      <c r="AD715" s="63">
        <v>75.617000000000004</v>
      </c>
      <c r="AE715">
        <v>8.9176000000000002</v>
      </c>
      <c r="AF715">
        <v>9.4000488020579382</v>
      </c>
      <c r="AG715">
        <v>1</v>
      </c>
      <c r="AH715">
        <v>6023.7392733347688</v>
      </c>
      <c r="AI715">
        <v>0.99399488088206345</v>
      </c>
      <c r="AJ715" s="63">
        <v>5987.5659999999998</v>
      </c>
      <c r="AK715" s="61">
        <v>22.10139482383045</v>
      </c>
      <c r="AL715" t="s">
        <v>349</v>
      </c>
      <c r="AM715" t="s">
        <v>439</v>
      </c>
      <c r="AN715" t="s">
        <v>425</v>
      </c>
      <c r="AO715" t="s">
        <v>28</v>
      </c>
      <c r="AP715">
        <v>111.133</v>
      </c>
      <c r="AQ715">
        <v>1.080821157758461</v>
      </c>
      <c r="AR715">
        <v>120.1148977251711</v>
      </c>
      <c r="AS715">
        <v>779.31</v>
      </c>
      <c r="AT715">
        <v>0.879</v>
      </c>
      <c r="AU715">
        <v>82.280325291712501</v>
      </c>
      <c r="AV715">
        <v>0.96379999999999999</v>
      </c>
      <c r="AW715" s="63">
        <v>79.302000000000007</v>
      </c>
      <c r="AX715">
        <v>8.9176000000000002</v>
      </c>
      <c r="AY715">
        <v>0.80400000000000005</v>
      </c>
      <c r="AZ715">
        <v>6039.0430235999738</v>
      </c>
      <c r="BA715">
        <v>0.93699547154951757</v>
      </c>
      <c r="BB715" s="63">
        <v>5658.5559999999996</v>
      </c>
      <c r="BC715" s="61">
        <v>20.88694810023885</v>
      </c>
    </row>
    <row r="716" spans="1:55" x14ac:dyDescent="0.25">
      <c r="A716">
        <v>245531</v>
      </c>
      <c r="B716" t="s">
        <v>237</v>
      </c>
      <c r="C716">
        <v>2020</v>
      </c>
      <c r="D716">
        <v>8</v>
      </c>
      <c r="E716" t="s">
        <v>100</v>
      </c>
      <c r="F716" t="s">
        <v>426</v>
      </c>
      <c r="G716" t="s">
        <v>84</v>
      </c>
      <c r="H716" t="s">
        <v>381</v>
      </c>
      <c r="I716" t="s">
        <v>427</v>
      </c>
      <c r="J716">
        <v>-32.004116019999998</v>
      </c>
      <c r="K716" t="s">
        <v>440</v>
      </c>
      <c r="L716" t="s">
        <v>450</v>
      </c>
      <c r="M716">
        <v>0.15011157993331001</v>
      </c>
      <c r="N716">
        <v>4.8041884206151462</v>
      </c>
      <c r="O716">
        <v>47588.953000000001</v>
      </c>
      <c r="P716">
        <v>1.500949E-6</v>
      </c>
      <c r="Q716">
        <v>0.14285700000000001</v>
      </c>
      <c r="R716" s="61">
        <v>0.686311945203818</v>
      </c>
      <c r="S716" t="s">
        <v>347</v>
      </c>
      <c r="T716" t="s">
        <v>437</v>
      </c>
      <c r="U716" t="s">
        <v>425</v>
      </c>
      <c r="V716" t="s">
        <v>26</v>
      </c>
      <c r="W716">
        <v>111.133</v>
      </c>
      <c r="X716">
        <v>1.0541007448257309</v>
      </c>
      <c r="Y716">
        <v>117.145378074718</v>
      </c>
      <c r="Z716">
        <v>640.82000000000005</v>
      </c>
      <c r="AA716">
        <v>1</v>
      </c>
      <c r="AB716">
        <v>75.069101177840764</v>
      </c>
      <c r="AC716">
        <v>0.99109999999999998</v>
      </c>
      <c r="AD716" s="63">
        <v>74.400999999999996</v>
      </c>
      <c r="AE716">
        <v>8.9176000000000002</v>
      </c>
      <c r="AF716">
        <v>9.4000488020579382</v>
      </c>
      <c r="AG716">
        <v>1</v>
      </c>
      <c r="AH716">
        <v>6023.7392733347688</v>
      </c>
      <c r="AI716">
        <v>0.9830373970836227</v>
      </c>
      <c r="AJ716" s="63">
        <v>5921.5609999999997</v>
      </c>
      <c r="AK716" s="61">
        <v>4064.038048553065</v>
      </c>
      <c r="AL716" t="s">
        <v>349</v>
      </c>
      <c r="AM716" t="s">
        <v>439</v>
      </c>
      <c r="AN716" t="s">
        <v>425</v>
      </c>
      <c r="AO716" t="s">
        <v>26</v>
      </c>
      <c r="AP716">
        <v>111.133</v>
      </c>
      <c r="AQ716">
        <v>1.080821157758461</v>
      </c>
      <c r="AR716">
        <v>120.1148977251711</v>
      </c>
      <c r="AS716">
        <v>779.31</v>
      </c>
      <c r="AT716">
        <v>0.879</v>
      </c>
      <c r="AU716">
        <v>82.280325291712501</v>
      </c>
      <c r="AV716">
        <v>0.97599999999999998</v>
      </c>
      <c r="AW716" s="63">
        <v>80.305999999999997</v>
      </c>
      <c r="AX716">
        <v>8.9176000000000002</v>
      </c>
      <c r="AY716">
        <v>0.80400000000000005</v>
      </c>
      <c r="AZ716">
        <v>6039.0430235999738</v>
      </c>
      <c r="BA716">
        <v>0.99553615712726917</v>
      </c>
      <c r="BB716" s="63">
        <v>6012.0856999999996</v>
      </c>
      <c r="BC716" s="61">
        <v>4126.1662314990572</v>
      </c>
    </row>
    <row r="717" spans="1:55" x14ac:dyDescent="0.25">
      <c r="A717">
        <v>245533</v>
      </c>
      <c r="B717" t="s">
        <v>237</v>
      </c>
      <c r="C717">
        <v>2020</v>
      </c>
      <c r="D717">
        <v>8</v>
      </c>
      <c r="E717" t="s">
        <v>100</v>
      </c>
      <c r="F717" t="s">
        <v>426</v>
      </c>
      <c r="G717" t="s">
        <v>84</v>
      </c>
      <c r="H717" t="s">
        <v>381</v>
      </c>
      <c r="I717" t="s">
        <v>427</v>
      </c>
      <c r="J717">
        <v>-32.004116019999998</v>
      </c>
      <c r="K717" t="s">
        <v>440</v>
      </c>
      <c r="L717" t="s">
        <v>384</v>
      </c>
      <c r="M717">
        <v>4.5811354346740003E-2</v>
      </c>
      <c r="N717">
        <v>1.466151899694103</v>
      </c>
      <c r="O717">
        <v>47588.953000000001</v>
      </c>
      <c r="P717">
        <v>1.500949E-6</v>
      </c>
      <c r="Q717">
        <v>0.14285700000000001</v>
      </c>
      <c r="R717" s="61">
        <v>0.2094500619346005</v>
      </c>
      <c r="S717" t="s">
        <v>347</v>
      </c>
      <c r="T717" t="s">
        <v>437</v>
      </c>
      <c r="U717" t="s">
        <v>425</v>
      </c>
      <c r="V717" t="s">
        <v>81</v>
      </c>
      <c r="W717">
        <v>111.133</v>
      </c>
      <c r="X717">
        <v>1.0541007448257309</v>
      </c>
      <c r="Y717">
        <v>117.145378074718</v>
      </c>
      <c r="Z717">
        <v>640.82000000000005</v>
      </c>
      <c r="AA717">
        <v>1</v>
      </c>
      <c r="AB717">
        <v>75.069101177840764</v>
      </c>
      <c r="AC717">
        <v>0.93830000000000002</v>
      </c>
      <c r="AD717" s="63">
        <v>70.436999999999998</v>
      </c>
      <c r="AE717">
        <v>8.9176000000000002</v>
      </c>
      <c r="AF717">
        <v>9.4000488020579382</v>
      </c>
      <c r="AG717">
        <v>1</v>
      </c>
      <c r="AH717">
        <v>6023.7392733347688</v>
      </c>
      <c r="AI717">
        <v>1.098016605166052</v>
      </c>
      <c r="AJ717" s="63">
        <v>6614.1656999999996</v>
      </c>
      <c r="AK717" s="61">
        <v>1385.3374155107099</v>
      </c>
      <c r="AL717" t="s">
        <v>349</v>
      </c>
      <c r="AM717" t="s">
        <v>439</v>
      </c>
      <c r="AN717" t="s">
        <v>425</v>
      </c>
      <c r="AO717" t="s">
        <v>81</v>
      </c>
      <c r="AP717">
        <v>111.133</v>
      </c>
      <c r="AQ717">
        <v>1.080821157758461</v>
      </c>
      <c r="AR717">
        <v>120.1148977251711</v>
      </c>
      <c r="AS717">
        <v>779.31</v>
      </c>
      <c r="AT717">
        <v>0.879</v>
      </c>
      <c r="AU717">
        <v>82.280325291712501</v>
      </c>
      <c r="AV717">
        <v>0.93120000000000003</v>
      </c>
      <c r="AW717" s="63">
        <v>76.619</v>
      </c>
      <c r="AX717">
        <v>8.9176000000000002</v>
      </c>
      <c r="AY717">
        <v>0.80400000000000005</v>
      </c>
      <c r="AZ717">
        <v>6039.0430235999738</v>
      </c>
      <c r="BA717">
        <v>1.1187730627306269</v>
      </c>
      <c r="BB717" s="63">
        <v>6756.3186999999998</v>
      </c>
      <c r="BC717" s="61">
        <v>1415.111370164899</v>
      </c>
    </row>
    <row r="718" spans="1:55" x14ac:dyDescent="0.25">
      <c r="A718">
        <v>245535</v>
      </c>
      <c r="B718" t="s">
        <v>237</v>
      </c>
      <c r="C718">
        <v>2020</v>
      </c>
      <c r="D718">
        <v>8</v>
      </c>
      <c r="E718" t="s">
        <v>100</v>
      </c>
      <c r="F718" t="s">
        <v>426</v>
      </c>
      <c r="G718" t="s">
        <v>84</v>
      </c>
      <c r="H718" t="s">
        <v>381</v>
      </c>
      <c r="I718" t="s">
        <v>427</v>
      </c>
      <c r="J718">
        <v>-32.004116019999998</v>
      </c>
      <c r="K718" t="s">
        <v>440</v>
      </c>
      <c r="L718" t="s">
        <v>385</v>
      </c>
      <c r="M718">
        <v>0.43232641346992001</v>
      </c>
      <c r="N718">
        <v>13.836224696595711</v>
      </c>
      <c r="O718">
        <v>47588.953000000001</v>
      </c>
      <c r="P718">
        <v>1.500949E-6</v>
      </c>
      <c r="Q718">
        <v>0.14285700000000001</v>
      </c>
      <c r="R718" s="61">
        <v>1.976601551481574</v>
      </c>
      <c r="S718" t="s">
        <v>347</v>
      </c>
      <c r="T718" t="s">
        <v>437</v>
      </c>
      <c r="U718" t="s">
        <v>425</v>
      </c>
      <c r="V718" t="s">
        <v>27</v>
      </c>
      <c r="W718">
        <v>111.133</v>
      </c>
      <c r="X718">
        <v>1.0541007448257309</v>
      </c>
      <c r="Y718">
        <v>117.145378074718</v>
      </c>
      <c r="Z718">
        <v>640.82000000000005</v>
      </c>
      <c r="AA718">
        <v>1</v>
      </c>
      <c r="AB718">
        <v>75.069101177840764</v>
      </c>
      <c r="AC718">
        <v>0.95889999999999997</v>
      </c>
      <c r="AD718" s="63">
        <v>71.983999999999995</v>
      </c>
      <c r="AE718">
        <v>8.9176000000000002</v>
      </c>
      <c r="AF718">
        <v>9.4000488020579382</v>
      </c>
      <c r="AG718">
        <v>1</v>
      </c>
      <c r="AH718">
        <v>6023.7392733347688</v>
      </c>
      <c r="AI718">
        <v>0.99097621000820357</v>
      </c>
      <c r="AJ718" s="63">
        <v>5969.3823000000002</v>
      </c>
      <c r="AK718" s="61">
        <v>11799.090315566649</v>
      </c>
      <c r="AL718" t="s">
        <v>349</v>
      </c>
      <c r="AM718" t="s">
        <v>439</v>
      </c>
      <c r="AN718" t="s">
        <v>425</v>
      </c>
      <c r="AO718" t="s">
        <v>27</v>
      </c>
      <c r="AP718">
        <v>111.133</v>
      </c>
      <c r="AQ718">
        <v>1.080821157758461</v>
      </c>
      <c r="AR718">
        <v>120.1148977251711</v>
      </c>
      <c r="AS718">
        <v>779.31</v>
      </c>
      <c r="AT718">
        <v>0.879</v>
      </c>
      <c r="AU718">
        <v>82.280325291712501</v>
      </c>
      <c r="AV718">
        <v>0.93269999999999997</v>
      </c>
      <c r="AW718" s="63">
        <v>76.742999999999995</v>
      </c>
      <c r="AX718">
        <v>8.9176000000000002</v>
      </c>
      <c r="AY718">
        <v>0.80400000000000005</v>
      </c>
      <c r="AZ718">
        <v>6039.0430235999738</v>
      </c>
      <c r="BA718">
        <v>1.016406890894175</v>
      </c>
      <c r="BB718" s="63">
        <v>6138.1248999999998</v>
      </c>
      <c r="BC718" s="61">
        <v>12132.627200527681</v>
      </c>
    </row>
    <row r="719" spans="1:55" x14ac:dyDescent="0.25">
      <c r="A719">
        <v>245537</v>
      </c>
      <c r="B719" t="s">
        <v>237</v>
      </c>
      <c r="C719">
        <v>2020</v>
      </c>
      <c r="D719">
        <v>8</v>
      </c>
      <c r="E719" t="s">
        <v>100</v>
      </c>
      <c r="F719" t="s">
        <v>426</v>
      </c>
      <c r="G719" t="s">
        <v>84</v>
      </c>
      <c r="H719" t="s">
        <v>381</v>
      </c>
      <c r="I719" t="s">
        <v>427</v>
      </c>
      <c r="J719">
        <v>-32.004116019999998</v>
      </c>
      <c r="K719" t="s">
        <v>440</v>
      </c>
      <c r="L719" t="s">
        <v>451</v>
      </c>
      <c r="M719">
        <v>1.6825115802299999E-3</v>
      </c>
      <c r="N719">
        <v>5.3847295824099202E-2</v>
      </c>
      <c r="O719">
        <v>47588.953000000001</v>
      </c>
      <c r="P719">
        <v>1.500949E-6</v>
      </c>
      <c r="Q719">
        <v>0.14285700000000001</v>
      </c>
      <c r="R719" s="61">
        <v>7.6924631395433396E-3</v>
      </c>
      <c r="S719" t="s">
        <v>347</v>
      </c>
      <c r="T719" t="s">
        <v>437</v>
      </c>
      <c r="U719" t="s">
        <v>425</v>
      </c>
      <c r="V719" t="s">
        <v>91</v>
      </c>
      <c r="W719">
        <v>111.133</v>
      </c>
      <c r="X719">
        <v>1.0541007448257309</v>
      </c>
      <c r="Y719">
        <v>117.145378074718</v>
      </c>
      <c r="Z719">
        <v>640.82000000000005</v>
      </c>
      <c r="AA719">
        <v>1</v>
      </c>
      <c r="AB719">
        <v>75.069101177840764</v>
      </c>
      <c r="AC719">
        <v>1.0088999999999999</v>
      </c>
      <c r="AD719" s="63">
        <v>75.736999999999995</v>
      </c>
      <c r="AE719">
        <v>8.9176000000000002</v>
      </c>
      <c r="AF719">
        <v>9.4000488020579382</v>
      </c>
      <c r="AG719">
        <v>1</v>
      </c>
      <c r="AH719">
        <v>6023.7392733347688</v>
      </c>
      <c r="AI719">
        <v>0.99316673174541203</v>
      </c>
      <c r="AJ719" s="63">
        <v>5982.5774000000001</v>
      </c>
      <c r="AK719" s="61">
        <v>46.020756128965033</v>
      </c>
      <c r="AL719" t="s">
        <v>349</v>
      </c>
      <c r="AM719" t="s">
        <v>439</v>
      </c>
      <c r="AN719" t="s">
        <v>425</v>
      </c>
      <c r="AO719" t="s">
        <v>91</v>
      </c>
      <c r="AP719">
        <v>111.133</v>
      </c>
      <c r="AQ719">
        <v>1.080821157758461</v>
      </c>
      <c r="AR719">
        <v>120.1148977251711</v>
      </c>
      <c r="AS719">
        <v>779.31</v>
      </c>
      <c r="AT719">
        <v>0.879</v>
      </c>
      <c r="AU719">
        <v>82.280325291712501</v>
      </c>
      <c r="AV719">
        <v>0.9899</v>
      </c>
      <c r="AW719" s="63">
        <v>81.448999999999998</v>
      </c>
      <c r="AX719">
        <v>8.9176000000000002</v>
      </c>
      <c r="AY719">
        <v>0.80400000000000005</v>
      </c>
      <c r="AZ719">
        <v>6039.0430235999738</v>
      </c>
      <c r="BA719">
        <v>0.99199531433033972</v>
      </c>
      <c r="BB719" s="63">
        <v>5990.7024000000001</v>
      </c>
      <c r="BC719" s="61">
        <v>46.083257391973817</v>
      </c>
    </row>
    <row r="720" spans="1:55" x14ac:dyDescent="0.25">
      <c r="A720">
        <v>245539</v>
      </c>
      <c r="B720" t="s">
        <v>237</v>
      </c>
      <c r="C720">
        <v>2020</v>
      </c>
      <c r="D720">
        <v>8</v>
      </c>
      <c r="E720" t="s">
        <v>100</v>
      </c>
      <c r="F720" t="s">
        <v>426</v>
      </c>
      <c r="G720" t="s">
        <v>84</v>
      </c>
      <c r="H720" t="s">
        <v>381</v>
      </c>
      <c r="I720" t="s">
        <v>427</v>
      </c>
      <c r="J720">
        <v>-32.004116019999998</v>
      </c>
      <c r="K720" t="s">
        <v>440</v>
      </c>
      <c r="L720" t="s">
        <v>452</v>
      </c>
      <c r="M720">
        <v>1.53682162831E-3</v>
      </c>
      <c r="N720">
        <v>4.9184617699433567E-2</v>
      </c>
      <c r="O720">
        <v>47588.953000000001</v>
      </c>
      <c r="P720">
        <v>1.500949E-6</v>
      </c>
      <c r="Q720">
        <v>0.14285700000000001</v>
      </c>
      <c r="R720" s="61">
        <v>7.0263669306879816E-3</v>
      </c>
      <c r="S720" t="s">
        <v>347</v>
      </c>
      <c r="T720" t="s">
        <v>437</v>
      </c>
      <c r="U720" t="s">
        <v>425</v>
      </c>
      <c r="V720" t="s">
        <v>28</v>
      </c>
      <c r="W720">
        <v>111.133</v>
      </c>
      <c r="X720">
        <v>1.0541007448257309</v>
      </c>
      <c r="Y720">
        <v>117.145378074718</v>
      </c>
      <c r="Z720">
        <v>640.82000000000005</v>
      </c>
      <c r="AA720">
        <v>1</v>
      </c>
      <c r="AB720">
        <v>75.069101177840764</v>
      </c>
      <c r="AC720">
        <v>1.0073000000000001</v>
      </c>
      <c r="AD720" s="63">
        <v>75.617000000000004</v>
      </c>
      <c r="AE720">
        <v>8.9176000000000002</v>
      </c>
      <c r="AF720">
        <v>9.4000488020579382</v>
      </c>
      <c r="AG720">
        <v>1</v>
      </c>
      <c r="AH720">
        <v>6023.7392733347688</v>
      </c>
      <c r="AI720">
        <v>0.99399488088206345</v>
      </c>
      <c r="AJ720" s="63">
        <v>5987.5659999999998</v>
      </c>
      <c r="AK720" s="61">
        <v>42.070835737711711</v>
      </c>
      <c r="AL720" t="s">
        <v>349</v>
      </c>
      <c r="AM720" t="s">
        <v>439</v>
      </c>
      <c r="AN720" t="s">
        <v>425</v>
      </c>
      <c r="AO720" t="s">
        <v>28</v>
      </c>
      <c r="AP720">
        <v>111.133</v>
      </c>
      <c r="AQ720">
        <v>1.080821157758461</v>
      </c>
      <c r="AR720">
        <v>120.1148977251711</v>
      </c>
      <c r="AS720">
        <v>779.31</v>
      </c>
      <c r="AT720">
        <v>0.879</v>
      </c>
      <c r="AU720">
        <v>82.280325291712501</v>
      </c>
      <c r="AV720">
        <v>0.96379999999999999</v>
      </c>
      <c r="AW720" s="63">
        <v>79.302000000000007</v>
      </c>
      <c r="AX720">
        <v>8.9176000000000002</v>
      </c>
      <c r="AY720">
        <v>0.80400000000000005</v>
      </c>
      <c r="AZ720">
        <v>6039.0430235999738</v>
      </c>
      <c r="BA720">
        <v>0.93699547154951757</v>
      </c>
      <c r="BB720" s="63">
        <v>5658.5559999999996</v>
      </c>
      <c r="BC720" s="61">
        <v>39.75909075384606</v>
      </c>
    </row>
    <row r="721" spans="1:55" x14ac:dyDescent="0.25">
      <c r="A721">
        <v>245541</v>
      </c>
      <c r="B721" t="s">
        <v>237</v>
      </c>
      <c r="C721">
        <v>2020</v>
      </c>
      <c r="D721">
        <v>8</v>
      </c>
      <c r="E721" t="s">
        <v>100</v>
      </c>
      <c r="F721" t="s">
        <v>426</v>
      </c>
      <c r="G721" t="s">
        <v>84</v>
      </c>
      <c r="H721" t="s">
        <v>87</v>
      </c>
      <c r="I721" t="s">
        <v>427</v>
      </c>
      <c r="J721">
        <v>-5.8835884299999996</v>
      </c>
      <c r="K721" t="s">
        <v>440</v>
      </c>
      <c r="L721" t="s">
        <v>450</v>
      </c>
      <c r="M721">
        <v>0.26601384014995</v>
      </c>
      <c r="N721">
        <v>1.5651159516404789</v>
      </c>
      <c r="O721">
        <v>47588.953000000001</v>
      </c>
      <c r="P721">
        <v>1.500949E-6</v>
      </c>
      <c r="Q721">
        <v>0.14285700000000001</v>
      </c>
      <c r="R721" s="61">
        <v>0.22358776950350401</v>
      </c>
      <c r="S721" t="s">
        <v>347</v>
      </c>
      <c r="T721" t="s">
        <v>437</v>
      </c>
      <c r="U721" t="s">
        <v>425</v>
      </c>
      <c r="V721" t="s">
        <v>26</v>
      </c>
      <c r="W721">
        <v>111.133</v>
      </c>
      <c r="X721">
        <v>1.0541007448257309</v>
      </c>
      <c r="Y721">
        <v>117.145378074718</v>
      </c>
      <c r="Z721">
        <v>640.82000000000005</v>
      </c>
      <c r="AA721">
        <v>1</v>
      </c>
      <c r="AB721">
        <v>75.069101177840764</v>
      </c>
      <c r="AC721">
        <v>0.99109999999999998</v>
      </c>
      <c r="AD721" s="63">
        <v>74.400999999999996</v>
      </c>
      <c r="AE721">
        <v>8.9176000000000002</v>
      </c>
      <c r="AF721">
        <v>9.4000488020579382</v>
      </c>
      <c r="AG721">
        <v>1</v>
      </c>
      <c r="AH721">
        <v>6023.7392733347688</v>
      </c>
      <c r="AI721">
        <v>0.9830373970836227</v>
      </c>
      <c r="AJ721" s="63">
        <v>5921.5609999999997</v>
      </c>
      <c r="AK721" s="61">
        <v>1323.988615968939</v>
      </c>
      <c r="AL721" t="s">
        <v>349</v>
      </c>
      <c r="AM721" t="s">
        <v>439</v>
      </c>
      <c r="AN721" t="s">
        <v>425</v>
      </c>
      <c r="AO721" t="s">
        <v>26</v>
      </c>
      <c r="AP721">
        <v>111.133</v>
      </c>
      <c r="AQ721">
        <v>1.080821157758461</v>
      </c>
      <c r="AR721">
        <v>120.1148977251711</v>
      </c>
      <c r="AS721">
        <v>779.31</v>
      </c>
      <c r="AT721">
        <v>0.879</v>
      </c>
      <c r="AU721">
        <v>82.280325291712501</v>
      </c>
      <c r="AV721">
        <v>0.97599999999999998</v>
      </c>
      <c r="AW721" s="63">
        <v>80.305999999999997</v>
      </c>
      <c r="AX721">
        <v>8.9176000000000002</v>
      </c>
      <c r="AY721">
        <v>0.80400000000000005</v>
      </c>
      <c r="AZ721">
        <v>6039.0430235999738</v>
      </c>
      <c r="BA721">
        <v>0.99553615712726917</v>
      </c>
      <c r="BB721" s="63">
        <v>6012.0856999999996</v>
      </c>
      <c r="BC721" s="61">
        <v>1344.2288317269119</v>
      </c>
    </row>
    <row r="722" spans="1:55" x14ac:dyDescent="0.25">
      <c r="A722">
        <v>245543</v>
      </c>
      <c r="B722" t="s">
        <v>237</v>
      </c>
      <c r="C722">
        <v>2020</v>
      </c>
      <c r="D722">
        <v>8</v>
      </c>
      <c r="E722" t="s">
        <v>100</v>
      </c>
      <c r="F722" t="s">
        <v>426</v>
      </c>
      <c r="G722" t="s">
        <v>84</v>
      </c>
      <c r="H722" t="s">
        <v>87</v>
      </c>
      <c r="I722" t="s">
        <v>427</v>
      </c>
      <c r="J722">
        <v>-5.8835884299999996</v>
      </c>
      <c r="K722" t="s">
        <v>440</v>
      </c>
      <c r="L722" t="s">
        <v>384</v>
      </c>
      <c r="M722">
        <v>3.9509559941419997E-2</v>
      </c>
      <c r="N722">
        <v>0.2324579896736014</v>
      </c>
      <c r="O722">
        <v>47588.953000000001</v>
      </c>
      <c r="P722">
        <v>1.500949E-6</v>
      </c>
      <c r="Q722">
        <v>0.14285700000000001</v>
      </c>
      <c r="R722" s="61">
        <v>3.3208251030801668E-2</v>
      </c>
      <c r="S722" t="s">
        <v>347</v>
      </c>
      <c r="T722" t="s">
        <v>437</v>
      </c>
      <c r="U722" t="s">
        <v>425</v>
      </c>
      <c r="V722" t="s">
        <v>81</v>
      </c>
      <c r="W722">
        <v>111.133</v>
      </c>
      <c r="X722">
        <v>1.0541007448257309</v>
      </c>
      <c r="Y722">
        <v>117.145378074718</v>
      </c>
      <c r="Z722">
        <v>640.82000000000005</v>
      </c>
      <c r="AA722">
        <v>1</v>
      </c>
      <c r="AB722">
        <v>75.069101177840764</v>
      </c>
      <c r="AC722">
        <v>0.93830000000000002</v>
      </c>
      <c r="AD722" s="63">
        <v>70.436999999999998</v>
      </c>
      <c r="AE722">
        <v>8.9176000000000002</v>
      </c>
      <c r="AF722">
        <v>9.4000488020579382</v>
      </c>
      <c r="AG722">
        <v>1</v>
      </c>
      <c r="AH722">
        <v>6023.7392733347688</v>
      </c>
      <c r="AI722">
        <v>1.098016605166052</v>
      </c>
      <c r="AJ722" s="63">
        <v>6614.1656999999996</v>
      </c>
      <c r="AK722" s="61">
        <v>219.6448749249181</v>
      </c>
      <c r="AL722" t="s">
        <v>349</v>
      </c>
      <c r="AM722" t="s">
        <v>439</v>
      </c>
      <c r="AN722" t="s">
        <v>425</v>
      </c>
      <c r="AO722" t="s">
        <v>81</v>
      </c>
      <c r="AP722">
        <v>111.133</v>
      </c>
      <c r="AQ722">
        <v>1.080821157758461</v>
      </c>
      <c r="AR722">
        <v>120.1148977251711</v>
      </c>
      <c r="AS722">
        <v>779.31</v>
      </c>
      <c r="AT722">
        <v>0.879</v>
      </c>
      <c r="AU722">
        <v>82.280325291712501</v>
      </c>
      <c r="AV722">
        <v>0.93120000000000003</v>
      </c>
      <c r="AW722" s="63">
        <v>76.619</v>
      </c>
      <c r="AX722">
        <v>8.9176000000000002</v>
      </c>
      <c r="AY722">
        <v>0.80400000000000005</v>
      </c>
      <c r="AZ722">
        <v>6039.0430235999738</v>
      </c>
      <c r="BA722">
        <v>1.1187730627306269</v>
      </c>
      <c r="BB722" s="63">
        <v>6756.3186999999998</v>
      </c>
      <c r="BC722" s="61">
        <v>224.36552743369961</v>
      </c>
    </row>
    <row r="723" spans="1:55" x14ac:dyDescent="0.25">
      <c r="A723">
        <v>245545</v>
      </c>
      <c r="B723" t="s">
        <v>237</v>
      </c>
      <c r="C723">
        <v>2020</v>
      </c>
      <c r="D723">
        <v>8</v>
      </c>
      <c r="E723" t="s">
        <v>100</v>
      </c>
      <c r="F723" t="s">
        <v>426</v>
      </c>
      <c r="G723" t="s">
        <v>84</v>
      </c>
      <c r="H723" t="s">
        <v>87</v>
      </c>
      <c r="I723" t="s">
        <v>427</v>
      </c>
      <c r="J723">
        <v>-5.8835884299999996</v>
      </c>
      <c r="K723" t="s">
        <v>440</v>
      </c>
      <c r="L723" t="s">
        <v>385</v>
      </c>
      <c r="M723">
        <v>0.39737542925016001</v>
      </c>
      <c r="N723">
        <v>2.3379934771770752</v>
      </c>
      <c r="O723">
        <v>47588.953000000001</v>
      </c>
      <c r="P723">
        <v>1.500949E-6</v>
      </c>
      <c r="Q723">
        <v>0.14285700000000001</v>
      </c>
      <c r="R723" s="61">
        <v>0.33399873416908538</v>
      </c>
      <c r="S723" t="s">
        <v>347</v>
      </c>
      <c r="T723" t="s">
        <v>437</v>
      </c>
      <c r="U723" t="s">
        <v>425</v>
      </c>
      <c r="V723" t="s">
        <v>27</v>
      </c>
      <c r="W723">
        <v>111.133</v>
      </c>
      <c r="X723">
        <v>1.0541007448257309</v>
      </c>
      <c r="Y723">
        <v>117.145378074718</v>
      </c>
      <c r="Z723">
        <v>640.82000000000005</v>
      </c>
      <c r="AA723">
        <v>1</v>
      </c>
      <c r="AB723">
        <v>75.069101177840764</v>
      </c>
      <c r="AC723">
        <v>0.95889999999999997</v>
      </c>
      <c r="AD723" s="63">
        <v>71.983999999999995</v>
      </c>
      <c r="AE723">
        <v>8.9176000000000002</v>
      </c>
      <c r="AF723">
        <v>9.4000488020579382</v>
      </c>
      <c r="AG723">
        <v>1</v>
      </c>
      <c r="AH723">
        <v>6023.7392733347688</v>
      </c>
      <c r="AI723">
        <v>0.99097621000820357</v>
      </c>
      <c r="AJ723" s="63">
        <v>5969.3823000000002</v>
      </c>
      <c r="AK723" s="61">
        <v>1993.7661319713441</v>
      </c>
      <c r="AL723" t="s">
        <v>349</v>
      </c>
      <c r="AM723" t="s">
        <v>439</v>
      </c>
      <c r="AN723" t="s">
        <v>425</v>
      </c>
      <c r="AO723" t="s">
        <v>27</v>
      </c>
      <c r="AP723">
        <v>111.133</v>
      </c>
      <c r="AQ723">
        <v>1.080821157758461</v>
      </c>
      <c r="AR723">
        <v>120.1148977251711</v>
      </c>
      <c r="AS723">
        <v>779.31</v>
      </c>
      <c r="AT723">
        <v>0.879</v>
      </c>
      <c r="AU723">
        <v>82.280325291712501</v>
      </c>
      <c r="AV723">
        <v>0.93269999999999997</v>
      </c>
      <c r="AW723" s="63">
        <v>76.742999999999995</v>
      </c>
      <c r="AX723">
        <v>8.9176000000000002</v>
      </c>
      <c r="AY723">
        <v>0.80400000000000005</v>
      </c>
      <c r="AZ723">
        <v>6039.0430235999738</v>
      </c>
      <c r="BA723">
        <v>1.016406890894175</v>
      </c>
      <c r="BB723" s="63">
        <v>6138.1248999999998</v>
      </c>
      <c r="BC723" s="61">
        <v>2050.1259467717441</v>
      </c>
    </row>
    <row r="724" spans="1:55" x14ac:dyDescent="0.25">
      <c r="A724">
        <v>245547</v>
      </c>
      <c r="B724" t="s">
        <v>237</v>
      </c>
      <c r="C724">
        <v>2020</v>
      </c>
      <c r="D724">
        <v>8</v>
      </c>
      <c r="E724" t="s">
        <v>100</v>
      </c>
      <c r="F724" t="s">
        <v>426</v>
      </c>
      <c r="G724" t="s">
        <v>84</v>
      </c>
      <c r="H724" t="s">
        <v>87</v>
      </c>
      <c r="I724" t="s">
        <v>427</v>
      </c>
      <c r="J724">
        <v>-5.8835884299999996</v>
      </c>
      <c r="K724" t="s">
        <v>440</v>
      </c>
      <c r="L724" t="s">
        <v>452</v>
      </c>
      <c r="M724">
        <v>8.4248020759000004E-4</v>
      </c>
      <c r="N724">
        <v>4.956806800342487E-3</v>
      </c>
      <c r="O724">
        <v>47588.953000000001</v>
      </c>
      <c r="P724">
        <v>1.500949E-6</v>
      </c>
      <c r="Q724">
        <v>0.14285700000000001</v>
      </c>
      <c r="R724" s="61">
        <v>7.0811454907652668E-4</v>
      </c>
      <c r="S724" t="s">
        <v>347</v>
      </c>
      <c r="T724" t="s">
        <v>437</v>
      </c>
      <c r="U724" t="s">
        <v>425</v>
      </c>
      <c r="V724" t="s">
        <v>28</v>
      </c>
      <c r="W724">
        <v>111.133</v>
      </c>
      <c r="X724">
        <v>1.0541007448257309</v>
      </c>
      <c r="Y724">
        <v>117.145378074718</v>
      </c>
      <c r="Z724">
        <v>640.82000000000005</v>
      </c>
      <c r="AA724">
        <v>1</v>
      </c>
      <c r="AB724">
        <v>75.069101177840764</v>
      </c>
      <c r="AC724">
        <v>1.0073000000000001</v>
      </c>
      <c r="AD724" s="63">
        <v>75.617000000000004</v>
      </c>
      <c r="AE724">
        <v>8.9176000000000002</v>
      </c>
      <c r="AF724">
        <v>9.4000488020579382</v>
      </c>
      <c r="AG724">
        <v>1</v>
      </c>
      <c r="AH724">
        <v>6023.7392733347688</v>
      </c>
      <c r="AI724">
        <v>0.99399488088206345</v>
      </c>
      <c r="AJ724" s="63">
        <v>5987.5659999999998</v>
      </c>
      <c r="AK724" s="61">
        <v>4.2398825981559423</v>
      </c>
      <c r="AL724" t="s">
        <v>349</v>
      </c>
      <c r="AM724" t="s">
        <v>439</v>
      </c>
      <c r="AN724" t="s">
        <v>425</v>
      </c>
      <c r="AO724" t="s">
        <v>28</v>
      </c>
      <c r="AP724">
        <v>111.133</v>
      </c>
      <c r="AQ724">
        <v>1.080821157758461</v>
      </c>
      <c r="AR724">
        <v>120.1148977251711</v>
      </c>
      <c r="AS724">
        <v>779.31</v>
      </c>
      <c r="AT724">
        <v>0.879</v>
      </c>
      <c r="AU724">
        <v>82.280325291712501</v>
      </c>
      <c r="AV724">
        <v>0.96379999999999999</v>
      </c>
      <c r="AW724" s="63">
        <v>79.302000000000007</v>
      </c>
      <c r="AX724">
        <v>8.9176000000000002</v>
      </c>
      <c r="AY724">
        <v>0.80400000000000005</v>
      </c>
      <c r="AZ724">
        <v>6039.0430235999738</v>
      </c>
      <c r="BA724">
        <v>0.93699547154951757</v>
      </c>
      <c r="BB724" s="63">
        <v>5658.5559999999996</v>
      </c>
      <c r="BC724" s="61">
        <v>4.0069058303642739</v>
      </c>
    </row>
    <row r="725" spans="1:55" x14ac:dyDescent="0.25">
      <c r="A725">
        <v>245549</v>
      </c>
      <c r="B725" t="s">
        <v>237</v>
      </c>
      <c r="C725">
        <v>2020</v>
      </c>
      <c r="D725">
        <v>8</v>
      </c>
      <c r="E725" t="s">
        <v>100</v>
      </c>
      <c r="F725" t="s">
        <v>426</v>
      </c>
      <c r="G725" t="s">
        <v>84</v>
      </c>
      <c r="H725" t="s">
        <v>59</v>
      </c>
      <c r="I725" t="s">
        <v>427</v>
      </c>
      <c r="J725">
        <v>-17.390262679999999</v>
      </c>
      <c r="K725" t="s">
        <v>440</v>
      </c>
      <c r="L725" t="s">
        <v>450</v>
      </c>
      <c r="M725">
        <v>0.15931709696460999</v>
      </c>
      <c r="N725">
        <v>2.7705661656409961</v>
      </c>
      <c r="O725">
        <v>47588.953000000001</v>
      </c>
      <c r="P725">
        <v>1.500949E-6</v>
      </c>
      <c r="Q725">
        <v>0.14285700000000001</v>
      </c>
      <c r="R725" s="61">
        <v>0.39579477072497582</v>
      </c>
      <c r="S725" t="s">
        <v>347</v>
      </c>
      <c r="T725" t="s">
        <v>437</v>
      </c>
      <c r="U725" t="s">
        <v>425</v>
      </c>
      <c r="V725" t="s">
        <v>26</v>
      </c>
      <c r="W725">
        <v>111.133</v>
      </c>
      <c r="X725">
        <v>1.0541007448257309</v>
      </c>
      <c r="Y725">
        <v>117.145378074718</v>
      </c>
      <c r="Z725">
        <v>640.82000000000005</v>
      </c>
      <c r="AA725">
        <v>1</v>
      </c>
      <c r="AB725">
        <v>75.069101177840764</v>
      </c>
      <c r="AC725">
        <v>0.99109999999999998</v>
      </c>
      <c r="AD725" s="63">
        <v>74.400999999999996</v>
      </c>
      <c r="AE725">
        <v>8.9176000000000002</v>
      </c>
      <c r="AF725">
        <v>9.4000488020579382</v>
      </c>
      <c r="AG725">
        <v>1</v>
      </c>
      <c r="AH725">
        <v>6023.7392733347688</v>
      </c>
      <c r="AI725">
        <v>0.9830373970836227</v>
      </c>
      <c r="AJ725" s="63">
        <v>5921.5609999999997</v>
      </c>
      <c r="AK725" s="61">
        <v>2343.7228783289579</v>
      </c>
      <c r="AL725" t="s">
        <v>349</v>
      </c>
      <c r="AM725" t="s">
        <v>439</v>
      </c>
      <c r="AN725" t="s">
        <v>425</v>
      </c>
      <c r="AO725" t="s">
        <v>26</v>
      </c>
      <c r="AP725">
        <v>111.133</v>
      </c>
      <c r="AQ725">
        <v>1.080821157758461</v>
      </c>
      <c r="AR725">
        <v>120.1148977251711</v>
      </c>
      <c r="AS725">
        <v>779.31</v>
      </c>
      <c r="AT725">
        <v>0.879</v>
      </c>
      <c r="AU725">
        <v>82.280325291712501</v>
      </c>
      <c r="AV725">
        <v>0.97599999999999998</v>
      </c>
      <c r="AW725" s="63">
        <v>80.305999999999997</v>
      </c>
      <c r="AX725">
        <v>8.9176000000000002</v>
      </c>
      <c r="AY725">
        <v>0.80400000000000005</v>
      </c>
      <c r="AZ725">
        <v>6039.0430235999738</v>
      </c>
      <c r="BA725">
        <v>0.99553615712726917</v>
      </c>
      <c r="BB725" s="63">
        <v>6012.0856999999996</v>
      </c>
      <c r="BC725" s="61">
        <v>2379.552081210406</v>
      </c>
    </row>
    <row r="726" spans="1:55" x14ac:dyDescent="0.25">
      <c r="A726">
        <v>245551</v>
      </c>
      <c r="B726" t="s">
        <v>237</v>
      </c>
      <c r="C726">
        <v>2020</v>
      </c>
      <c r="D726">
        <v>8</v>
      </c>
      <c r="E726" t="s">
        <v>100</v>
      </c>
      <c r="F726" t="s">
        <v>426</v>
      </c>
      <c r="G726" t="s">
        <v>84</v>
      </c>
      <c r="H726" t="s">
        <v>59</v>
      </c>
      <c r="I726" t="s">
        <v>427</v>
      </c>
      <c r="J726">
        <v>-17.390262679999999</v>
      </c>
      <c r="K726" t="s">
        <v>440</v>
      </c>
      <c r="L726" t="s">
        <v>384</v>
      </c>
      <c r="M726">
        <v>4.1785183859599999E-2</v>
      </c>
      <c r="N726">
        <v>0.72665532345352934</v>
      </c>
      <c r="O726">
        <v>47588.953000000001</v>
      </c>
      <c r="P726">
        <v>1.500949E-6</v>
      </c>
      <c r="Q726">
        <v>0.14285700000000001</v>
      </c>
      <c r="R726" s="61">
        <v>0.1038077995426008</v>
      </c>
      <c r="S726" t="s">
        <v>347</v>
      </c>
      <c r="T726" t="s">
        <v>437</v>
      </c>
      <c r="U726" t="s">
        <v>425</v>
      </c>
      <c r="V726" t="s">
        <v>81</v>
      </c>
      <c r="W726">
        <v>111.133</v>
      </c>
      <c r="X726">
        <v>1.0541007448257309</v>
      </c>
      <c r="Y726">
        <v>117.145378074718</v>
      </c>
      <c r="Z726">
        <v>640.82000000000005</v>
      </c>
      <c r="AA726">
        <v>1</v>
      </c>
      <c r="AB726">
        <v>75.069101177840764</v>
      </c>
      <c r="AC726">
        <v>0.93830000000000002</v>
      </c>
      <c r="AD726" s="63">
        <v>70.436999999999998</v>
      </c>
      <c r="AE726">
        <v>8.9176000000000002</v>
      </c>
      <c r="AF726">
        <v>9.4000488020579382</v>
      </c>
      <c r="AG726">
        <v>1</v>
      </c>
      <c r="AH726">
        <v>6023.7392733347688</v>
      </c>
      <c r="AI726">
        <v>1.098016605166052</v>
      </c>
      <c r="AJ726" s="63">
        <v>6614.1656999999996</v>
      </c>
      <c r="AK726" s="61">
        <v>686.60198712714612</v>
      </c>
      <c r="AL726" t="s">
        <v>349</v>
      </c>
      <c r="AM726" t="s">
        <v>439</v>
      </c>
      <c r="AN726" t="s">
        <v>425</v>
      </c>
      <c r="AO726" t="s">
        <v>81</v>
      </c>
      <c r="AP726">
        <v>111.133</v>
      </c>
      <c r="AQ726">
        <v>1.080821157758461</v>
      </c>
      <c r="AR726">
        <v>120.1148977251711</v>
      </c>
      <c r="AS726">
        <v>779.31</v>
      </c>
      <c r="AT726">
        <v>0.879</v>
      </c>
      <c r="AU726">
        <v>82.280325291712501</v>
      </c>
      <c r="AV726">
        <v>0.93120000000000003</v>
      </c>
      <c r="AW726" s="63">
        <v>76.619</v>
      </c>
      <c r="AX726">
        <v>8.9176000000000002</v>
      </c>
      <c r="AY726">
        <v>0.80400000000000005</v>
      </c>
      <c r="AZ726">
        <v>6039.0430235999738</v>
      </c>
      <c r="BA726">
        <v>1.1187730627306269</v>
      </c>
      <c r="BB726" s="63">
        <v>6756.3186999999998</v>
      </c>
      <c r="BC726" s="61">
        <v>701.35857725552557</v>
      </c>
    </row>
    <row r="727" spans="1:55" x14ac:dyDescent="0.25">
      <c r="A727">
        <v>245553</v>
      </c>
      <c r="B727" t="s">
        <v>237</v>
      </c>
      <c r="C727">
        <v>2020</v>
      </c>
      <c r="D727">
        <v>8</v>
      </c>
      <c r="E727" t="s">
        <v>100</v>
      </c>
      <c r="F727" t="s">
        <v>426</v>
      </c>
      <c r="G727" t="s">
        <v>84</v>
      </c>
      <c r="H727" t="s">
        <v>59</v>
      </c>
      <c r="I727" t="s">
        <v>427</v>
      </c>
      <c r="J727">
        <v>-17.390262679999999</v>
      </c>
      <c r="K727" t="s">
        <v>440</v>
      </c>
      <c r="L727" t="s">
        <v>385</v>
      </c>
      <c r="M727">
        <v>0.43497567483749999</v>
      </c>
      <c r="N727">
        <v>7.5643412448655081</v>
      </c>
      <c r="O727">
        <v>47588.953000000001</v>
      </c>
      <c r="P727">
        <v>1.500949E-6</v>
      </c>
      <c r="Q727">
        <v>0.14285700000000001</v>
      </c>
      <c r="R727" s="61">
        <v>1.0806190972177521</v>
      </c>
      <c r="S727" t="s">
        <v>347</v>
      </c>
      <c r="T727" t="s">
        <v>437</v>
      </c>
      <c r="U727" t="s">
        <v>425</v>
      </c>
      <c r="V727" t="s">
        <v>27</v>
      </c>
      <c r="W727">
        <v>111.133</v>
      </c>
      <c r="X727">
        <v>1.0541007448257309</v>
      </c>
      <c r="Y727">
        <v>117.145378074718</v>
      </c>
      <c r="Z727">
        <v>640.82000000000005</v>
      </c>
      <c r="AA727">
        <v>1</v>
      </c>
      <c r="AB727">
        <v>75.069101177840764</v>
      </c>
      <c r="AC727">
        <v>0.95889999999999997</v>
      </c>
      <c r="AD727" s="63">
        <v>71.983999999999995</v>
      </c>
      <c r="AE727">
        <v>8.9176000000000002</v>
      </c>
      <c r="AF727">
        <v>9.4000488020579382</v>
      </c>
      <c r="AG727">
        <v>1</v>
      </c>
      <c r="AH727">
        <v>6023.7392733347688</v>
      </c>
      <c r="AI727">
        <v>0.99097621000820357</v>
      </c>
      <c r="AJ727" s="63">
        <v>5969.3823000000002</v>
      </c>
      <c r="AK727" s="61">
        <v>6450.6285119736294</v>
      </c>
      <c r="AL727" t="s">
        <v>349</v>
      </c>
      <c r="AM727" t="s">
        <v>439</v>
      </c>
      <c r="AN727" t="s">
        <v>425</v>
      </c>
      <c r="AO727" t="s">
        <v>27</v>
      </c>
      <c r="AP727">
        <v>111.133</v>
      </c>
      <c r="AQ727">
        <v>1.080821157758461</v>
      </c>
      <c r="AR727">
        <v>120.1148977251711</v>
      </c>
      <c r="AS727">
        <v>779.31</v>
      </c>
      <c r="AT727">
        <v>0.879</v>
      </c>
      <c r="AU727">
        <v>82.280325291712501</v>
      </c>
      <c r="AV727">
        <v>0.93269999999999997</v>
      </c>
      <c r="AW727" s="63">
        <v>76.742999999999995</v>
      </c>
      <c r="AX727">
        <v>8.9176000000000002</v>
      </c>
      <c r="AY727">
        <v>0.80400000000000005</v>
      </c>
      <c r="AZ727">
        <v>6039.0430235999738</v>
      </c>
      <c r="BA727">
        <v>1.016406890894175</v>
      </c>
      <c r="BB727" s="63">
        <v>6138.1248999999998</v>
      </c>
      <c r="BC727" s="61">
        <v>6632.9749880478048</v>
      </c>
    </row>
    <row r="728" spans="1:55" x14ac:dyDescent="0.25">
      <c r="A728">
        <v>245555</v>
      </c>
      <c r="B728" t="s">
        <v>237</v>
      </c>
      <c r="C728">
        <v>2020</v>
      </c>
      <c r="D728">
        <v>8</v>
      </c>
      <c r="E728" t="s">
        <v>100</v>
      </c>
      <c r="F728" t="s">
        <v>426</v>
      </c>
      <c r="G728" t="s">
        <v>84</v>
      </c>
      <c r="H728" t="s">
        <v>59</v>
      </c>
      <c r="I728" t="s">
        <v>427</v>
      </c>
      <c r="J728">
        <v>-17.390262679999999</v>
      </c>
      <c r="K728" t="s">
        <v>440</v>
      </c>
      <c r="L728" t="s">
        <v>451</v>
      </c>
      <c r="M728">
        <v>1.7625750762999999E-3</v>
      </c>
      <c r="N728">
        <v>3.065164357020413E-2</v>
      </c>
      <c r="O728">
        <v>47588.953000000001</v>
      </c>
      <c r="P728">
        <v>1.500949E-6</v>
      </c>
      <c r="Q728">
        <v>0.14285700000000001</v>
      </c>
      <c r="R728" s="61">
        <v>4.3788018455086517E-3</v>
      </c>
      <c r="S728" t="s">
        <v>347</v>
      </c>
      <c r="T728" t="s">
        <v>437</v>
      </c>
      <c r="U728" t="s">
        <v>425</v>
      </c>
      <c r="V728" t="s">
        <v>91</v>
      </c>
      <c r="W728">
        <v>111.133</v>
      </c>
      <c r="X728">
        <v>1.0541007448257309</v>
      </c>
      <c r="Y728">
        <v>117.145378074718</v>
      </c>
      <c r="Z728">
        <v>640.82000000000005</v>
      </c>
      <c r="AA728">
        <v>1</v>
      </c>
      <c r="AB728">
        <v>75.069101177840764</v>
      </c>
      <c r="AC728">
        <v>1.0088999999999999</v>
      </c>
      <c r="AD728" s="63">
        <v>75.736999999999995</v>
      </c>
      <c r="AE728">
        <v>8.9176000000000002</v>
      </c>
      <c r="AF728">
        <v>9.4000488020579382</v>
      </c>
      <c r="AG728">
        <v>1</v>
      </c>
      <c r="AH728">
        <v>6023.7392733347688</v>
      </c>
      <c r="AI728">
        <v>0.99316673174541203</v>
      </c>
      <c r="AJ728" s="63">
        <v>5982.5774000000001</v>
      </c>
      <c r="AK728" s="61">
        <v>26.196520960018351</v>
      </c>
      <c r="AL728" t="s">
        <v>349</v>
      </c>
      <c r="AM728" t="s">
        <v>439</v>
      </c>
      <c r="AN728" t="s">
        <v>425</v>
      </c>
      <c r="AO728" t="s">
        <v>91</v>
      </c>
      <c r="AP728">
        <v>111.133</v>
      </c>
      <c r="AQ728">
        <v>1.080821157758461</v>
      </c>
      <c r="AR728">
        <v>120.1148977251711</v>
      </c>
      <c r="AS728">
        <v>779.31</v>
      </c>
      <c r="AT728">
        <v>0.879</v>
      </c>
      <c r="AU728">
        <v>82.280325291712501</v>
      </c>
      <c r="AV728">
        <v>0.9899</v>
      </c>
      <c r="AW728" s="63">
        <v>81.448999999999998</v>
      </c>
      <c r="AX728">
        <v>8.9176000000000002</v>
      </c>
      <c r="AY728">
        <v>0.80400000000000005</v>
      </c>
      <c r="AZ728">
        <v>6039.0430235999738</v>
      </c>
      <c r="BA728">
        <v>0.99199531433033972</v>
      </c>
      <c r="BB728" s="63">
        <v>5990.7024000000001</v>
      </c>
      <c r="BC728" s="61">
        <v>26.23209872501311</v>
      </c>
    </row>
    <row r="729" spans="1:55" x14ac:dyDescent="0.25">
      <c r="A729">
        <v>245557</v>
      </c>
      <c r="B729" t="s">
        <v>237</v>
      </c>
      <c r="C729">
        <v>2020</v>
      </c>
      <c r="D729">
        <v>8</v>
      </c>
      <c r="E729" t="s">
        <v>100</v>
      </c>
      <c r="F729" t="s">
        <v>426</v>
      </c>
      <c r="G729" t="s">
        <v>84</v>
      </c>
      <c r="H729" t="s">
        <v>59</v>
      </c>
      <c r="I729" t="s">
        <v>427</v>
      </c>
      <c r="J729">
        <v>-17.390262679999999</v>
      </c>
      <c r="K729" t="s">
        <v>440</v>
      </c>
      <c r="L729" t="s">
        <v>452</v>
      </c>
      <c r="M729">
        <v>1.4858046103299999E-3</v>
      </c>
      <c r="N729">
        <v>2.5838532464900029E-2</v>
      </c>
      <c r="O729">
        <v>47588.953000000001</v>
      </c>
      <c r="P729">
        <v>1.500949E-6</v>
      </c>
      <c r="Q729">
        <v>0.14285700000000001</v>
      </c>
      <c r="R729" s="61">
        <v>3.691215232338224E-3</v>
      </c>
      <c r="S729" t="s">
        <v>347</v>
      </c>
      <c r="T729" t="s">
        <v>437</v>
      </c>
      <c r="U729" t="s">
        <v>425</v>
      </c>
      <c r="V729" t="s">
        <v>28</v>
      </c>
      <c r="W729">
        <v>111.133</v>
      </c>
      <c r="X729">
        <v>1.0541007448257309</v>
      </c>
      <c r="Y729">
        <v>117.145378074718</v>
      </c>
      <c r="Z729">
        <v>640.82000000000005</v>
      </c>
      <c r="AA729">
        <v>1</v>
      </c>
      <c r="AB729">
        <v>75.069101177840764</v>
      </c>
      <c r="AC729">
        <v>1.0073000000000001</v>
      </c>
      <c r="AD729" s="63">
        <v>75.617000000000004</v>
      </c>
      <c r="AE729">
        <v>8.9176000000000002</v>
      </c>
      <c r="AF729">
        <v>9.4000488020579382</v>
      </c>
      <c r="AG729">
        <v>1</v>
      </c>
      <c r="AH729">
        <v>6023.7392733347688</v>
      </c>
      <c r="AI729">
        <v>0.99399488088206345</v>
      </c>
      <c r="AJ729" s="63">
        <v>5987.5659999999998</v>
      </c>
      <c r="AK729" s="61">
        <v>22.10139482383045</v>
      </c>
      <c r="AL729" t="s">
        <v>349</v>
      </c>
      <c r="AM729" t="s">
        <v>439</v>
      </c>
      <c r="AN729" t="s">
        <v>425</v>
      </c>
      <c r="AO729" t="s">
        <v>28</v>
      </c>
      <c r="AP729">
        <v>111.133</v>
      </c>
      <c r="AQ729">
        <v>1.080821157758461</v>
      </c>
      <c r="AR729">
        <v>120.1148977251711</v>
      </c>
      <c r="AS729">
        <v>779.31</v>
      </c>
      <c r="AT729">
        <v>0.879</v>
      </c>
      <c r="AU729">
        <v>82.280325291712501</v>
      </c>
      <c r="AV729">
        <v>0.96379999999999999</v>
      </c>
      <c r="AW729" s="63">
        <v>79.302000000000007</v>
      </c>
      <c r="AX729">
        <v>8.9176000000000002</v>
      </c>
      <c r="AY729">
        <v>0.80400000000000005</v>
      </c>
      <c r="AZ729">
        <v>6039.0430235999738</v>
      </c>
      <c r="BA729">
        <v>0.93699547154951757</v>
      </c>
      <c r="BB729" s="63">
        <v>5658.5559999999996</v>
      </c>
      <c r="BC729" s="61">
        <v>20.88694810023885</v>
      </c>
    </row>
    <row r="730" spans="1:55" x14ac:dyDescent="0.25">
      <c r="A730">
        <v>252776</v>
      </c>
      <c r="B730" t="s">
        <v>244</v>
      </c>
      <c r="C730">
        <v>2020</v>
      </c>
      <c r="D730">
        <v>9</v>
      </c>
      <c r="E730" t="s">
        <v>100</v>
      </c>
      <c r="F730" t="s">
        <v>426</v>
      </c>
      <c r="G730" t="s">
        <v>84</v>
      </c>
      <c r="H730" t="s">
        <v>381</v>
      </c>
      <c r="I730" t="s">
        <v>427</v>
      </c>
      <c r="J730">
        <v>-32.004116019999998</v>
      </c>
      <c r="K730" t="s">
        <v>440</v>
      </c>
      <c r="L730" t="s">
        <v>450</v>
      </c>
      <c r="M730">
        <v>0.15011157993331001</v>
      </c>
      <c r="N730">
        <v>4.8041884206151471</v>
      </c>
      <c r="O730">
        <v>47588.953000000001</v>
      </c>
      <c r="P730">
        <v>1.500949E-6</v>
      </c>
      <c r="Q730">
        <v>0.14285700000000001</v>
      </c>
      <c r="R730" s="61">
        <v>0.68631194520381811</v>
      </c>
      <c r="S730" t="s">
        <v>347</v>
      </c>
      <c r="T730" t="s">
        <v>437</v>
      </c>
      <c r="U730" t="s">
        <v>425</v>
      </c>
      <c r="V730" t="s">
        <v>26</v>
      </c>
      <c r="W730">
        <v>111.133</v>
      </c>
      <c r="X730">
        <v>1.0541007448257309</v>
      </c>
      <c r="Y730">
        <v>117.145378074718</v>
      </c>
      <c r="Z730">
        <v>640.82000000000005</v>
      </c>
      <c r="AA730">
        <v>1</v>
      </c>
      <c r="AB730">
        <v>75.069101177840764</v>
      </c>
      <c r="AC730">
        <v>0.99109999999999998</v>
      </c>
      <c r="AD730" s="63">
        <v>74.400999999999996</v>
      </c>
      <c r="AE730">
        <v>8.9176000000000002</v>
      </c>
      <c r="AF730">
        <v>9.4000488020579382</v>
      </c>
      <c r="AG730">
        <v>1</v>
      </c>
      <c r="AH730">
        <v>6023.7392733347688</v>
      </c>
      <c r="AI730">
        <v>0.9830373970836227</v>
      </c>
      <c r="AJ730" s="63">
        <v>5921.5609999999997</v>
      </c>
      <c r="AK730" s="61">
        <v>4064.0380485530659</v>
      </c>
      <c r="AL730" t="s">
        <v>349</v>
      </c>
      <c r="AM730" t="s">
        <v>439</v>
      </c>
      <c r="AN730" t="s">
        <v>425</v>
      </c>
      <c r="AO730" t="s">
        <v>26</v>
      </c>
      <c r="AP730">
        <v>111.133</v>
      </c>
      <c r="AQ730">
        <v>1.080821157758461</v>
      </c>
      <c r="AR730">
        <v>120.1148977251711</v>
      </c>
      <c r="AS730">
        <v>779.31</v>
      </c>
      <c r="AT730">
        <v>0.879</v>
      </c>
      <c r="AU730">
        <v>82.280325291712501</v>
      </c>
      <c r="AV730">
        <v>0.97599999999999998</v>
      </c>
      <c r="AW730" s="63">
        <v>80.305999999999997</v>
      </c>
      <c r="AX730">
        <v>8.9176000000000002</v>
      </c>
      <c r="AY730">
        <v>0.80400000000000005</v>
      </c>
      <c r="AZ730">
        <v>6039.0430235999738</v>
      </c>
      <c r="BA730">
        <v>0.99553615712726917</v>
      </c>
      <c r="BB730" s="63">
        <v>6012.0856999999996</v>
      </c>
      <c r="BC730" s="61">
        <v>4126.1662314990581</v>
      </c>
    </row>
    <row r="731" spans="1:55" x14ac:dyDescent="0.25">
      <c r="A731">
        <v>252778</v>
      </c>
      <c r="B731" t="s">
        <v>244</v>
      </c>
      <c r="C731">
        <v>2020</v>
      </c>
      <c r="D731">
        <v>9</v>
      </c>
      <c r="E731" t="s">
        <v>100</v>
      </c>
      <c r="F731" t="s">
        <v>426</v>
      </c>
      <c r="G731" t="s">
        <v>84</v>
      </c>
      <c r="H731" t="s">
        <v>381</v>
      </c>
      <c r="I731" t="s">
        <v>427</v>
      </c>
      <c r="J731">
        <v>-32.004116019999998</v>
      </c>
      <c r="K731" t="s">
        <v>440</v>
      </c>
      <c r="L731" t="s">
        <v>384</v>
      </c>
      <c r="M731">
        <v>4.5811354346740003E-2</v>
      </c>
      <c r="N731">
        <v>1.466151899694103</v>
      </c>
      <c r="O731">
        <v>47588.953000000001</v>
      </c>
      <c r="P731">
        <v>1.500949E-6</v>
      </c>
      <c r="Q731">
        <v>0.14285700000000001</v>
      </c>
      <c r="R731" s="61">
        <v>0.2094500619346005</v>
      </c>
      <c r="S731" t="s">
        <v>347</v>
      </c>
      <c r="T731" t="s">
        <v>437</v>
      </c>
      <c r="U731" t="s">
        <v>425</v>
      </c>
      <c r="V731" t="s">
        <v>81</v>
      </c>
      <c r="W731">
        <v>111.133</v>
      </c>
      <c r="X731">
        <v>1.0541007448257309</v>
      </c>
      <c r="Y731">
        <v>117.145378074718</v>
      </c>
      <c r="Z731">
        <v>640.82000000000005</v>
      </c>
      <c r="AA731">
        <v>1</v>
      </c>
      <c r="AB731">
        <v>75.069101177840764</v>
      </c>
      <c r="AC731">
        <v>0.93830000000000002</v>
      </c>
      <c r="AD731" s="63">
        <v>70.436999999999998</v>
      </c>
      <c r="AE731">
        <v>8.9176000000000002</v>
      </c>
      <c r="AF731">
        <v>9.4000488020579382</v>
      </c>
      <c r="AG731">
        <v>1</v>
      </c>
      <c r="AH731">
        <v>6023.7392733347688</v>
      </c>
      <c r="AI731">
        <v>1.098016605166052</v>
      </c>
      <c r="AJ731" s="63">
        <v>6614.1656999999996</v>
      </c>
      <c r="AK731" s="61">
        <v>1385.3374155107099</v>
      </c>
      <c r="AL731" t="s">
        <v>349</v>
      </c>
      <c r="AM731" t="s">
        <v>439</v>
      </c>
      <c r="AN731" t="s">
        <v>425</v>
      </c>
      <c r="AO731" t="s">
        <v>81</v>
      </c>
      <c r="AP731">
        <v>111.133</v>
      </c>
      <c r="AQ731">
        <v>1.080821157758461</v>
      </c>
      <c r="AR731">
        <v>120.1148977251711</v>
      </c>
      <c r="AS731">
        <v>779.31</v>
      </c>
      <c r="AT731">
        <v>0.879</v>
      </c>
      <c r="AU731">
        <v>82.280325291712501</v>
      </c>
      <c r="AV731">
        <v>0.93120000000000003</v>
      </c>
      <c r="AW731" s="63">
        <v>76.619</v>
      </c>
      <c r="AX731">
        <v>8.9176000000000002</v>
      </c>
      <c r="AY731">
        <v>0.80400000000000005</v>
      </c>
      <c r="AZ731">
        <v>6039.0430235999738</v>
      </c>
      <c r="BA731">
        <v>1.1187730627306269</v>
      </c>
      <c r="BB731" s="63">
        <v>6756.3186999999998</v>
      </c>
      <c r="BC731" s="61">
        <v>1415.1113701649001</v>
      </c>
    </row>
    <row r="732" spans="1:55" x14ac:dyDescent="0.25">
      <c r="A732">
        <v>252780</v>
      </c>
      <c r="B732" t="s">
        <v>244</v>
      </c>
      <c r="C732">
        <v>2020</v>
      </c>
      <c r="D732">
        <v>9</v>
      </c>
      <c r="E732" t="s">
        <v>100</v>
      </c>
      <c r="F732" t="s">
        <v>426</v>
      </c>
      <c r="G732" t="s">
        <v>84</v>
      </c>
      <c r="H732" t="s">
        <v>381</v>
      </c>
      <c r="I732" t="s">
        <v>427</v>
      </c>
      <c r="J732">
        <v>-32.004116019999998</v>
      </c>
      <c r="K732" t="s">
        <v>440</v>
      </c>
      <c r="L732" t="s">
        <v>385</v>
      </c>
      <c r="M732">
        <v>0.43232641346992001</v>
      </c>
      <c r="N732">
        <v>13.836224696595719</v>
      </c>
      <c r="O732">
        <v>47588.953000000001</v>
      </c>
      <c r="P732">
        <v>1.500949E-6</v>
      </c>
      <c r="Q732">
        <v>0.14285700000000001</v>
      </c>
      <c r="R732" s="61">
        <v>1.9766015514815749</v>
      </c>
      <c r="S732" t="s">
        <v>347</v>
      </c>
      <c r="T732" t="s">
        <v>437</v>
      </c>
      <c r="U732" t="s">
        <v>425</v>
      </c>
      <c r="V732" t="s">
        <v>27</v>
      </c>
      <c r="W732">
        <v>111.133</v>
      </c>
      <c r="X732">
        <v>1.0541007448257309</v>
      </c>
      <c r="Y732">
        <v>117.145378074718</v>
      </c>
      <c r="Z732">
        <v>640.82000000000005</v>
      </c>
      <c r="AA732">
        <v>1</v>
      </c>
      <c r="AB732">
        <v>75.069101177840764</v>
      </c>
      <c r="AC732">
        <v>0.95889999999999997</v>
      </c>
      <c r="AD732" s="63">
        <v>71.983999999999995</v>
      </c>
      <c r="AE732">
        <v>8.9176000000000002</v>
      </c>
      <c r="AF732">
        <v>9.4000488020579382</v>
      </c>
      <c r="AG732">
        <v>1</v>
      </c>
      <c r="AH732">
        <v>6023.7392733347688</v>
      </c>
      <c r="AI732">
        <v>0.99097621000820357</v>
      </c>
      <c r="AJ732" s="63">
        <v>5969.3823000000002</v>
      </c>
      <c r="AK732" s="61">
        <v>11799.090315566649</v>
      </c>
      <c r="AL732" t="s">
        <v>349</v>
      </c>
      <c r="AM732" t="s">
        <v>439</v>
      </c>
      <c r="AN732" t="s">
        <v>425</v>
      </c>
      <c r="AO732" t="s">
        <v>27</v>
      </c>
      <c r="AP732">
        <v>111.133</v>
      </c>
      <c r="AQ732">
        <v>1.080821157758461</v>
      </c>
      <c r="AR732">
        <v>120.1148977251711</v>
      </c>
      <c r="AS732">
        <v>779.31</v>
      </c>
      <c r="AT732">
        <v>0.879</v>
      </c>
      <c r="AU732">
        <v>82.280325291712501</v>
      </c>
      <c r="AV732">
        <v>0.93269999999999997</v>
      </c>
      <c r="AW732" s="63">
        <v>76.742999999999995</v>
      </c>
      <c r="AX732">
        <v>8.9176000000000002</v>
      </c>
      <c r="AY732">
        <v>0.80400000000000005</v>
      </c>
      <c r="AZ732">
        <v>6039.0430235999738</v>
      </c>
      <c r="BA732">
        <v>1.016406890894175</v>
      </c>
      <c r="BB732" s="63">
        <v>6138.1248999999998</v>
      </c>
      <c r="BC732" s="61">
        <v>12132.627200527681</v>
      </c>
    </row>
    <row r="733" spans="1:55" x14ac:dyDescent="0.25">
      <c r="A733">
        <v>252782</v>
      </c>
      <c r="B733" t="s">
        <v>244</v>
      </c>
      <c r="C733">
        <v>2020</v>
      </c>
      <c r="D733">
        <v>9</v>
      </c>
      <c r="E733" t="s">
        <v>100</v>
      </c>
      <c r="F733" t="s">
        <v>426</v>
      </c>
      <c r="G733" t="s">
        <v>84</v>
      </c>
      <c r="H733" t="s">
        <v>381</v>
      </c>
      <c r="I733" t="s">
        <v>427</v>
      </c>
      <c r="J733">
        <v>-32.004116019999998</v>
      </c>
      <c r="K733" t="s">
        <v>440</v>
      </c>
      <c r="L733" t="s">
        <v>451</v>
      </c>
      <c r="M733">
        <v>1.6825115802299999E-3</v>
      </c>
      <c r="N733">
        <v>5.3847295824099209E-2</v>
      </c>
      <c r="O733">
        <v>47588.953000000001</v>
      </c>
      <c r="P733">
        <v>1.500949E-6</v>
      </c>
      <c r="Q733">
        <v>0.14285700000000001</v>
      </c>
      <c r="R733" s="61">
        <v>7.6924631395433414E-3</v>
      </c>
      <c r="S733" t="s">
        <v>347</v>
      </c>
      <c r="T733" t="s">
        <v>437</v>
      </c>
      <c r="U733" t="s">
        <v>425</v>
      </c>
      <c r="V733" t="s">
        <v>91</v>
      </c>
      <c r="W733">
        <v>111.133</v>
      </c>
      <c r="X733">
        <v>1.0541007448257309</v>
      </c>
      <c r="Y733">
        <v>117.145378074718</v>
      </c>
      <c r="Z733">
        <v>640.82000000000005</v>
      </c>
      <c r="AA733">
        <v>1</v>
      </c>
      <c r="AB733">
        <v>75.069101177840764</v>
      </c>
      <c r="AC733">
        <v>1.0088999999999999</v>
      </c>
      <c r="AD733" s="63">
        <v>75.736999999999995</v>
      </c>
      <c r="AE733">
        <v>8.9176000000000002</v>
      </c>
      <c r="AF733">
        <v>9.4000488020579382</v>
      </c>
      <c r="AG733">
        <v>1</v>
      </c>
      <c r="AH733">
        <v>6023.7392733347688</v>
      </c>
      <c r="AI733">
        <v>0.99316673174541203</v>
      </c>
      <c r="AJ733" s="63">
        <v>5982.5774000000001</v>
      </c>
      <c r="AK733" s="61">
        <v>46.02075612896504</v>
      </c>
      <c r="AL733" t="s">
        <v>349</v>
      </c>
      <c r="AM733" t="s">
        <v>439</v>
      </c>
      <c r="AN733" t="s">
        <v>425</v>
      </c>
      <c r="AO733" t="s">
        <v>91</v>
      </c>
      <c r="AP733">
        <v>111.133</v>
      </c>
      <c r="AQ733">
        <v>1.080821157758461</v>
      </c>
      <c r="AR733">
        <v>120.1148977251711</v>
      </c>
      <c r="AS733">
        <v>779.31</v>
      </c>
      <c r="AT733">
        <v>0.879</v>
      </c>
      <c r="AU733">
        <v>82.280325291712501</v>
      </c>
      <c r="AV733">
        <v>0.9899</v>
      </c>
      <c r="AW733" s="63">
        <v>81.448999999999998</v>
      </c>
      <c r="AX733">
        <v>8.9176000000000002</v>
      </c>
      <c r="AY733">
        <v>0.80400000000000005</v>
      </c>
      <c r="AZ733">
        <v>6039.0430235999738</v>
      </c>
      <c r="BA733">
        <v>0.99199531433033972</v>
      </c>
      <c r="BB733" s="63">
        <v>5990.7024000000001</v>
      </c>
      <c r="BC733" s="61">
        <v>46.083257391973831</v>
      </c>
    </row>
    <row r="734" spans="1:55" x14ac:dyDescent="0.25">
      <c r="A734">
        <v>252784</v>
      </c>
      <c r="B734" t="s">
        <v>244</v>
      </c>
      <c r="C734">
        <v>2020</v>
      </c>
      <c r="D734">
        <v>9</v>
      </c>
      <c r="E734" t="s">
        <v>100</v>
      </c>
      <c r="F734" t="s">
        <v>426</v>
      </c>
      <c r="G734" t="s">
        <v>84</v>
      </c>
      <c r="H734" t="s">
        <v>381</v>
      </c>
      <c r="I734" t="s">
        <v>427</v>
      </c>
      <c r="J734">
        <v>-32.004116019999998</v>
      </c>
      <c r="K734" t="s">
        <v>440</v>
      </c>
      <c r="L734" t="s">
        <v>452</v>
      </c>
      <c r="M734">
        <v>1.53682162831E-3</v>
      </c>
      <c r="N734">
        <v>4.9184617699433567E-2</v>
      </c>
      <c r="O734">
        <v>47588.953000000001</v>
      </c>
      <c r="P734">
        <v>1.500949E-6</v>
      </c>
      <c r="Q734">
        <v>0.14285700000000001</v>
      </c>
      <c r="R734" s="61">
        <v>7.0263669306879816E-3</v>
      </c>
      <c r="S734" t="s">
        <v>347</v>
      </c>
      <c r="T734" t="s">
        <v>437</v>
      </c>
      <c r="U734" t="s">
        <v>425</v>
      </c>
      <c r="V734" t="s">
        <v>28</v>
      </c>
      <c r="W734">
        <v>111.133</v>
      </c>
      <c r="X734">
        <v>1.0541007448257309</v>
      </c>
      <c r="Y734">
        <v>117.145378074718</v>
      </c>
      <c r="Z734">
        <v>640.82000000000005</v>
      </c>
      <c r="AA734">
        <v>1</v>
      </c>
      <c r="AB734">
        <v>75.069101177840764</v>
      </c>
      <c r="AC734">
        <v>1.0073000000000001</v>
      </c>
      <c r="AD734" s="63">
        <v>75.617000000000004</v>
      </c>
      <c r="AE734">
        <v>8.9176000000000002</v>
      </c>
      <c r="AF734">
        <v>9.4000488020579382</v>
      </c>
      <c r="AG734">
        <v>1</v>
      </c>
      <c r="AH734">
        <v>6023.7392733347688</v>
      </c>
      <c r="AI734">
        <v>0.99399488088206345</v>
      </c>
      <c r="AJ734" s="63">
        <v>5987.5659999999998</v>
      </c>
      <c r="AK734" s="61">
        <v>42.070835737711718</v>
      </c>
      <c r="AL734" t="s">
        <v>349</v>
      </c>
      <c r="AM734" t="s">
        <v>439</v>
      </c>
      <c r="AN734" t="s">
        <v>425</v>
      </c>
      <c r="AO734" t="s">
        <v>28</v>
      </c>
      <c r="AP734">
        <v>111.133</v>
      </c>
      <c r="AQ734">
        <v>1.080821157758461</v>
      </c>
      <c r="AR734">
        <v>120.1148977251711</v>
      </c>
      <c r="AS734">
        <v>779.31</v>
      </c>
      <c r="AT734">
        <v>0.879</v>
      </c>
      <c r="AU734">
        <v>82.280325291712501</v>
      </c>
      <c r="AV734">
        <v>0.96379999999999999</v>
      </c>
      <c r="AW734" s="63">
        <v>79.302000000000007</v>
      </c>
      <c r="AX734">
        <v>8.9176000000000002</v>
      </c>
      <c r="AY734">
        <v>0.80400000000000005</v>
      </c>
      <c r="AZ734">
        <v>6039.0430235999738</v>
      </c>
      <c r="BA734">
        <v>0.93699547154951757</v>
      </c>
      <c r="BB734" s="63">
        <v>5658.5559999999996</v>
      </c>
      <c r="BC734" s="61">
        <v>39.759090753846067</v>
      </c>
    </row>
    <row r="735" spans="1:55" x14ac:dyDescent="0.25">
      <c r="A735">
        <v>252786</v>
      </c>
      <c r="B735" t="s">
        <v>244</v>
      </c>
      <c r="C735">
        <v>2020</v>
      </c>
      <c r="D735">
        <v>9</v>
      </c>
      <c r="E735" t="s">
        <v>100</v>
      </c>
      <c r="F735" t="s">
        <v>426</v>
      </c>
      <c r="G735" t="s">
        <v>84</v>
      </c>
      <c r="H735" t="s">
        <v>87</v>
      </c>
      <c r="I735" t="s">
        <v>427</v>
      </c>
      <c r="J735">
        <v>-5.8835884299999996</v>
      </c>
      <c r="K735" t="s">
        <v>440</v>
      </c>
      <c r="L735" t="s">
        <v>450</v>
      </c>
      <c r="M735">
        <v>0.26601384014995</v>
      </c>
      <c r="N735">
        <v>1.56511595164048</v>
      </c>
      <c r="O735">
        <v>47588.953000000001</v>
      </c>
      <c r="P735">
        <v>1.500949E-6</v>
      </c>
      <c r="Q735">
        <v>0.14285700000000001</v>
      </c>
      <c r="R735" s="61">
        <v>0.22358776950350401</v>
      </c>
      <c r="S735" t="s">
        <v>347</v>
      </c>
      <c r="T735" t="s">
        <v>437</v>
      </c>
      <c r="U735" t="s">
        <v>425</v>
      </c>
      <c r="V735" t="s">
        <v>26</v>
      </c>
      <c r="W735">
        <v>111.133</v>
      </c>
      <c r="X735">
        <v>1.0541007448257309</v>
      </c>
      <c r="Y735">
        <v>117.145378074718</v>
      </c>
      <c r="Z735">
        <v>640.82000000000005</v>
      </c>
      <c r="AA735">
        <v>1</v>
      </c>
      <c r="AB735">
        <v>75.069101177840764</v>
      </c>
      <c r="AC735">
        <v>0.99109999999999998</v>
      </c>
      <c r="AD735" s="63">
        <v>74.400999999999996</v>
      </c>
      <c r="AE735">
        <v>8.9176000000000002</v>
      </c>
      <c r="AF735">
        <v>9.4000488020579382</v>
      </c>
      <c r="AG735">
        <v>1</v>
      </c>
      <c r="AH735">
        <v>6023.7392733347688</v>
      </c>
      <c r="AI735">
        <v>0.9830373970836227</v>
      </c>
      <c r="AJ735" s="63">
        <v>5921.5609999999997</v>
      </c>
      <c r="AK735" s="61">
        <v>1323.988615968939</v>
      </c>
      <c r="AL735" t="s">
        <v>349</v>
      </c>
      <c r="AM735" t="s">
        <v>439</v>
      </c>
      <c r="AN735" t="s">
        <v>425</v>
      </c>
      <c r="AO735" t="s">
        <v>26</v>
      </c>
      <c r="AP735">
        <v>111.133</v>
      </c>
      <c r="AQ735">
        <v>1.080821157758461</v>
      </c>
      <c r="AR735">
        <v>120.1148977251711</v>
      </c>
      <c r="AS735">
        <v>779.31</v>
      </c>
      <c r="AT735">
        <v>0.879</v>
      </c>
      <c r="AU735">
        <v>82.280325291712501</v>
      </c>
      <c r="AV735">
        <v>0.97599999999999998</v>
      </c>
      <c r="AW735" s="63">
        <v>80.305999999999997</v>
      </c>
      <c r="AX735">
        <v>8.9176000000000002</v>
      </c>
      <c r="AY735">
        <v>0.80400000000000005</v>
      </c>
      <c r="AZ735">
        <v>6039.0430235999738</v>
      </c>
      <c r="BA735">
        <v>0.99553615712726917</v>
      </c>
      <c r="BB735" s="63">
        <v>6012.0856999999996</v>
      </c>
      <c r="BC735" s="61">
        <v>1344.2288317269119</v>
      </c>
    </row>
    <row r="736" spans="1:55" x14ac:dyDescent="0.25">
      <c r="A736">
        <v>252788</v>
      </c>
      <c r="B736" t="s">
        <v>244</v>
      </c>
      <c r="C736">
        <v>2020</v>
      </c>
      <c r="D736">
        <v>9</v>
      </c>
      <c r="E736" t="s">
        <v>100</v>
      </c>
      <c r="F736" t="s">
        <v>426</v>
      </c>
      <c r="G736" t="s">
        <v>84</v>
      </c>
      <c r="H736" t="s">
        <v>87</v>
      </c>
      <c r="I736" t="s">
        <v>427</v>
      </c>
      <c r="J736">
        <v>-5.8835884299999996</v>
      </c>
      <c r="K736" t="s">
        <v>440</v>
      </c>
      <c r="L736" t="s">
        <v>384</v>
      </c>
      <c r="M736">
        <v>3.9509559941419997E-2</v>
      </c>
      <c r="N736">
        <v>0.2324579896736014</v>
      </c>
      <c r="O736">
        <v>47588.953000000001</v>
      </c>
      <c r="P736">
        <v>1.500949E-6</v>
      </c>
      <c r="Q736">
        <v>0.14285700000000001</v>
      </c>
      <c r="R736" s="61">
        <v>3.3208251030801668E-2</v>
      </c>
      <c r="S736" t="s">
        <v>347</v>
      </c>
      <c r="T736" t="s">
        <v>437</v>
      </c>
      <c r="U736" t="s">
        <v>425</v>
      </c>
      <c r="V736" t="s">
        <v>81</v>
      </c>
      <c r="W736">
        <v>111.133</v>
      </c>
      <c r="X736">
        <v>1.0541007448257309</v>
      </c>
      <c r="Y736">
        <v>117.145378074718</v>
      </c>
      <c r="Z736">
        <v>640.82000000000005</v>
      </c>
      <c r="AA736">
        <v>1</v>
      </c>
      <c r="AB736">
        <v>75.069101177840764</v>
      </c>
      <c r="AC736">
        <v>0.93830000000000002</v>
      </c>
      <c r="AD736" s="63">
        <v>70.436999999999998</v>
      </c>
      <c r="AE736">
        <v>8.9176000000000002</v>
      </c>
      <c r="AF736">
        <v>9.4000488020579382</v>
      </c>
      <c r="AG736">
        <v>1</v>
      </c>
      <c r="AH736">
        <v>6023.7392733347688</v>
      </c>
      <c r="AI736">
        <v>1.098016605166052</v>
      </c>
      <c r="AJ736" s="63">
        <v>6614.1656999999996</v>
      </c>
      <c r="AK736" s="61">
        <v>219.6448749249181</v>
      </c>
      <c r="AL736" t="s">
        <v>349</v>
      </c>
      <c r="AM736" t="s">
        <v>439</v>
      </c>
      <c r="AN736" t="s">
        <v>425</v>
      </c>
      <c r="AO736" t="s">
        <v>81</v>
      </c>
      <c r="AP736">
        <v>111.133</v>
      </c>
      <c r="AQ736">
        <v>1.080821157758461</v>
      </c>
      <c r="AR736">
        <v>120.1148977251711</v>
      </c>
      <c r="AS736">
        <v>779.31</v>
      </c>
      <c r="AT736">
        <v>0.879</v>
      </c>
      <c r="AU736">
        <v>82.280325291712501</v>
      </c>
      <c r="AV736">
        <v>0.93120000000000003</v>
      </c>
      <c r="AW736" s="63">
        <v>76.619</v>
      </c>
      <c r="AX736">
        <v>8.9176000000000002</v>
      </c>
      <c r="AY736">
        <v>0.80400000000000005</v>
      </c>
      <c r="AZ736">
        <v>6039.0430235999738</v>
      </c>
      <c r="BA736">
        <v>1.1187730627306269</v>
      </c>
      <c r="BB736" s="63">
        <v>6756.3186999999998</v>
      </c>
      <c r="BC736" s="61">
        <v>224.36552743369961</v>
      </c>
    </row>
    <row r="737" spans="1:55" x14ac:dyDescent="0.25">
      <c r="A737">
        <v>252790</v>
      </c>
      <c r="B737" t="s">
        <v>244</v>
      </c>
      <c r="C737">
        <v>2020</v>
      </c>
      <c r="D737">
        <v>9</v>
      </c>
      <c r="E737" t="s">
        <v>100</v>
      </c>
      <c r="F737" t="s">
        <v>426</v>
      </c>
      <c r="G737" t="s">
        <v>84</v>
      </c>
      <c r="H737" t="s">
        <v>87</v>
      </c>
      <c r="I737" t="s">
        <v>427</v>
      </c>
      <c r="J737">
        <v>-5.8835884299999996</v>
      </c>
      <c r="K737" t="s">
        <v>440</v>
      </c>
      <c r="L737" t="s">
        <v>385</v>
      </c>
      <c r="M737">
        <v>0.39737542925016001</v>
      </c>
      <c r="N737">
        <v>2.3379934771770752</v>
      </c>
      <c r="O737">
        <v>47588.953000000001</v>
      </c>
      <c r="P737">
        <v>1.500949E-6</v>
      </c>
      <c r="Q737">
        <v>0.14285700000000001</v>
      </c>
      <c r="R737" s="61">
        <v>0.33399873416908538</v>
      </c>
      <c r="S737" t="s">
        <v>347</v>
      </c>
      <c r="T737" t="s">
        <v>437</v>
      </c>
      <c r="U737" t="s">
        <v>425</v>
      </c>
      <c r="V737" t="s">
        <v>27</v>
      </c>
      <c r="W737">
        <v>111.133</v>
      </c>
      <c r="X737">
        <v>1.0541007448257309</v>
      </c>
      <c r="Y737">
        <v>117.145378074718</v>
      </c>
      <c r="Z737">
        <v>640.82000000000005</v>
      </c>
      <c r="AA737">
        <v>1</v>
      </c>
      <c r="AB737">
        <v>75.069101177840764</v>
      </c>
      <c r="AC737">
        <v>0.95889999999999997</v>
      </c>
      <c r="AD737" s="63">
        <v>71.983999999999995</v>
      </c>
      <c r="AE737">
        <v>8.9176000000000002</v>
      </c>
      <c r="AF737">
        <v>9.4000488020579382</v>
      </c>
      <c r="AG737">
        <v>1</v>
      </c>
      <c r="AH737">
        <v>6023.7392733347688</v>
      </c>
      <c r="AI737">
        <v>0.99097621000820357</v>
      </c>
      <c r="AJ737" s="63">
        <v>5969.3823000000002</v>
      </c>
      <c r="AK737" s="61">
        <v>1993.7661319713441</v>
      </c>
      <c r="AL737" t="s">
        <v>349</v>
      </c>
      <c r="AM737" t="s">
        <v>439</v>
      </c>
      <c r="AN737" t="s">
        <v>425</v>
      </c>
      <c r="AO737" t="s">
        <v>27</v>
      </c>
      <c r="AP737">
        <v>111.133</v>
      </c>
      <c r="AQ737">
        <v>1.080821157758461</v>
      </c>
      <c r="AR737">
        <v>120.1148977251711</v>
      </c>
      <c r="AS737">
        <v>779.31</v>
      </c>
      <c r="AT737">
        <v>0.879</v>
      </c>
      <c r="AU737">
        <v>82.280325291712501</v>
      </c>
      <c r="AV737">
        <v>0.93269999999999997</v>
      </c>
      <c r="AW737" s="63">
        <v>76.742999999999995</v>
      </c>
      <c r="AX737">
        <v>8.9176000000000002</v>
      </c>
      <c r="AY737">
        <v>0.80400000000000005</v>
      </c>
      <c r="AZ737">
        <v>6039.0430235999738</v>
      </c>
      <c r="BA737">
        <v>1.016406890894175</v>
      </c>
      <c r="BB737" s="63">
        <v>6138.1248999999998</v>
      </c>
      <c r="BC737" s="61">
        <v>2050.1259467717441</v>
      </c>
    </row>
    <row r="738" spans="1:55" x14ac:dyDescent="0.25">
      <c r="A738">
        <v>252792</v>
      </c>
      <c r="B738" t="s">
        <v>244</v>
      </c>
      <c r="C738">
        <v>2020</v>
      </c>
      <c r="D738">
        <v>9</v>
      </c>
      <c r="E738" t="s">
        <v>100</v>
      </c>
      <c r="F738" t="s">
        <v>426</v>
      </c>
      <c r="G738" t="s">
        <v>84</v>
      </c>
      <c r="H738" t="s">
        <v>87</v>
      </c>
      <c r="I738" t="s">
        <v>427</v>
      </c>
      <c r="J738">
        <v>-5.8835884299999996</v>
      </c>
      <c r="K738" t="s">
        <v>440</v>
      </c>
      <c r="L738" t="s">
        <v>452</v>
      </c>
      <c r="M738">
        <v>8.4248020759000004E-4</v>
      </c>
      <c r="N738">
        <v>4.9568068003424878E-3</v>
      </c>
      <c r="O738">
        <v>47588.953000000001</v>
      </c>
      <c r="P738">
        <v>1.500949E-6</v>
      </c>
      <c r="Q738">
        <v>0.14285700000000001</v>
      </c>
      <c r="R738" s="61">
        <v>7.0811454907652679E-4</v>
      </c>
      <c r="S738" t="s">
        <v>347</v>
      </c>
      <c r="T738" t="s">
        <v>437</v>
      </c>
      <c r="U738" t="s">
        <v>425</v>
      </c>
      <c r="V738" t="s">
        <v>28</v>
      </c>
      <c r="W738">
        <v>111.133</v>
      </c>
      <c r="X738">
        <v>1.0541007448257309</v>
      </c>
      <c r="Y738">
        <v>117.145378074718</v>
      </c>
      <c r="Z738">
        <v>640.82000000000005</v>
      </c>
      <c r="AA738">
        <v>1</v>
      </c>
      <c r="AB738">
        <v>75.069101177840764</v>
      </c>
      <c r="AC738">
        <v>1.0073000000000001</v>
      </c>
      <c r="AD738" s="63">
        <v>75.617000000000004</v>
      </c>
      <c r="AE738">
        <v>8.9176000000000002</v>
      </c>
      <c r="AF738">
        <v>9.4000488020579382</v>
      </c>
      <c r="AG738">
        <v>1</v>
      </c>
      <c r="AH738">
        <v>6023.7392733347688</v>
      </c>
      <c r="AI738">
        <v>0.99399488088206345</v>
      </c>
      <c r="AJ738" s="63">
        <v>5987.5659999999998</v>
      </c>
      <c r="AK738" s="61">
        <v>4.2398825981559431</v>
      </c>
      <c r="AL738" t="s">
        <v>349</v>
      </c>
      <c r="AM738" t="s">
        <v>439</v>
      </c>
      <c r="AN738" t="s">
        <v>425</v>
      </c>
      <c r="AO738" t="s">
        <v>28</v>
      </c>
      <c r="AP738">
        <v>111.133</v>
      </c>
      <c r="AQ738">
        <v>1.080821157758461</v>
      </c>
      <c r="AR738">
        <v>120.1148977251711</v>
      </c>
      <c r="AS738">
        <v>779.31</v>
      </c>
      <c r="AT738">
        <v>0.879</v>
      </c>
      <c r="AU738">
        <v>82.280325291712501</v>
      </c>
      <c r="AV738">
        <v>0.96379999999999999</v>
      </c>
      <c r="AW738" s="63">
        <v>79.302000000000007</v>
      </c>
      <c r="AX738">
        <v>8.9176000000000002</v>
      </c>
      <c r="AY738">
        <v>0.80400000000000005</v>
      </c>
      <c r="AZ738">
        <v>6039.0430235999738</v>
      </c>
      <c r="BA738">
        <v>0.93699547154951757</v>
      </c>
      <c r="BB738" s="63">
        <v>5658.5559999999996</v>
      </c>
      <c r="BC738" s="61">
        <v>4.0069058303642748</v>
      </c>
    </row>
    <row r="739" spans="1:55" x14ac:dyDescent="0.25">
      <c r="A739">
        <v>252794</v>
      </c>
      <c r="B739" t="s">
        <v>244</v>
      </c>
      <c r="C739">
        <v>2020</v>
      </c>
      <c r="D739">
        <v>9</v>
      </c>
      <c r="E739" t="s">
        <v>100</v>
      </c>
      <c r="F739" t="s">
        <v>426</v>
      </c>
      <c r="G739" t="s">
        <v>84</v>
      </c>
      <c r="H739" t="s">
        <v>59</v>
      </c>
      <c r="I739" t="s">
        <v>427</v>
      </c>
      <c r="J739">
        <v>-17.390262679999999</v>
      </c>
      <c r="K739" t="s">
        <v>440</v>
      </c>
      <c r="L739" t="s">
        <v>450</v>
      </c>
      <c r="M739">
        <v>0.15931709696460999</v>
      </c>
      <c r="N739">
        <v>2.7705661656409961</v>
      </c>
      <c r="O739">
        <v>47588.953000000001</v>
      </c>
      <c r="P739">
        <v>1.500949E-6</v>
      </c>
      <c r="Q739">
        <v>0.14285700000000001</v>
      </c>
      <c r="R739" s="61">
        <v>0.39579477072497582</v>
      </c>
      <c r="S739" t="s">
        <v>347</v>
      </c>
      <c r="T739" t="s">
        <v>437</v>
      </c>
      <c r="U739" t="s">
        <v>425</v>
      </c>
      <c r="V739" t="s">
        <v>26</v>
      </c>
      <c r="W739">
        <v>111.133</v>
      </c>
      <c r="X739">
        <v>1.0541007448257309</v>
      </c>
      <c r="Y739">
        <v>117.145378074718</v>
      </c>
      <c r="Z739">
        <v>640.82000000000005</v>
      </c>
      <c r="AA739">
        <v>1</v>
      </c>
      <c r="AB739">
        <v>75.069101177840764</v>
      </c>
      <c r="AC739">
        <v>0.99109999999999998</v>
      </c>
      <c r="AD739" s="63">
        <v>74.400999999999996</v>
      </c>
      <c r="AE739">
        <v>8.9176000000000002</v>
      </c>
      <c r="AF739">
        <v>9.4000488020579382</v>
      </c>
      <c r="AG739">
        <v>1</v>
      </c>
      <c r="AH739">
        <v>6023.7392733347688</v>
      </c>
      <c r="AI739">
        <v>0.9830373970836227</v>
      </c>
      <c r="AJ739" s="63">
        <v>5921.5609999999997</v>
      </c>
      <c r="AK739" s="61">
        <v>2343.7228783289579</v>
      </c>
      <c r="AL739" t="s">
        <v>349</v>
      </c>
      <c r="AM739" t="s">
        <v>439</v>
      </c>
      <c r="AN739" t="s">
        <v>425</v>
      </c>
      <c r="AO739" t="s">
        <v>26</v>
      </c>
      <c r="AP739">
        <v>111.133</v>
      </c>
      <c r="AQ739">
        <v>1.080821157758461</v>
      </c>
      <c r="AR739">
        <v>120.1148977251711</v>
      </c>
      <c r="AS739">
        <v>779.31</v>
      </c>
      <c r="AT739">
        <v>0.879</v>
      </c>
      <c r="AU739">
        <v>82.280325291712501</v>
      </c>
      <c r="AV739">
        <v>0.97599999999999998</v>
      </c>
      <c r="AW739" s="63">
        <v>80.305999999999997</v>
      </c>
      <c r="AX739">
        <v>8.9176000000000002</v>
      </c>
      <c r="AY739">
        <v>0.80400000000000005</v>
      </c>
      <c r="AZ739">
        <v>6039.0430235999738</v>
      </c>
      <c r="BA739">
        <v>0.99553615712726917</v>
      </c>
      <c r="BB739" s="63">
        <v>6012.0856999999996</v>
      </c>
      <c r="BC739" s="61">
        <v>2379.552081210406</v>
      </c>
    </row>
    <row r="740" spans="1:55" x14ac:dyDescent="0.25">
      <c r="A740">
        <v>252796</v>
      </c>
      <c r="B740" t="s">
        <v>244</v>
      </c>
      <c r="C740">
        <v>2020</v>
      </c>
      <c r="D740">
        <v>9</v>
      </c>
      <c r="E740" t="s">
        <v>100</v>
      </c>
      <c r="F740" t="s">
        <v>426</v>
      </c>
      <c r="G740" t="s">
        <v>84</v>
      </c>
      <c r="H740" t="s">
        <v>59</v>
      </c>
      <c r="I740" t="s">
        <v>427</v>
      </c>
      <c r="J740">
        <v>-17.390262679999999</v>
      </c>
      <c r="K740" t="s">
        <v>440</v>
      </c>
      <c r="L740" t="s">
        <v>384</v>
      </c>
      <c r="M740">
        <v>4.1785183859599999E-2</v>
      </c>
      <c r="N740">
        <v>0.72665532345352957</v>
      </c>
      <c r="O740">
        <v>47588.953000000001</v>
      </c>
      <c r="P740">
        <v>1.500949E-6</v>
      </c>
      <c r="Q740">
        <v>0.14285700000000001</v>
      </c>
      <c r="R740" s="61">
        <v>0.1038077995426009</v>
      </c>
      <c r="S740" t="s">
        <v>347</v>
      </c>
      <c r="T740" t="s">
        <v>437</v>
      </c>
      <c r="U740" t="s">
        <v>425</v>
      </c>
      <c r="V740" t="s">
        <v>81</v>
      </c>
      <c r="W740">
        <v>111.133</v>
      </c>
      <c r="X740">
        <v>1.0541007448257309</v>
      </c>
      <c r="Y740">
        <v>117.145378074718</v>
      </c>
      <c r="Z740">
        <v>640.82000000000005</v>
      </c>
      <c r="AA740">
        <v>1</v>
      </c>
      <c r="AB740">
        <v>75.069101177840764</v>
      </c>
      <c r="AC740">
        <v>0.93830000000000002</v>
      </c>
      <c r="AD740" s="63">
        <v>70.436999999999998</v>
      </c>
      <c r="AE740">
        <v>8.9176000000000002</v>
      </c>
      <c r="AF740">
        <v>9.4000488020579382</v>
      </c>
      <c r="AG740">
        <v>1</v>
      </c>
      <c r="AH740">
        <v>6023.7392733347688</v>
      </c>
      <c r="AI740">
        <v>1.098016605166052</v>
      </c>
      <c r="AJ740" s="63">
        <v>6614.1656999999996</v>
      </c>
      <c r="AK740" s="61">
        <v>686.60198712714646</v>
      </c>
      <c r="AL740" t="s">
        <v>349</v>
      </c>
      <c r="AM740" t="s">
        <v>439</v>
      </c>
      <c r="AN740" t="s">
        <v>425</v>
      </c>
      <c r="AO740" t="s">
        <v>81</v>
      </c>
      <c r="AP740">
        <v>111.133</v>
      </c>
      <c r="AQ740">
        <v>1.080821157758461</v>
      </c>
      <c r="AR740">
        <v>120.1148977251711</v>
      </c>
      <c r="AS740">
        <v>779.31</v>
      </c>
      <c r="AT740">
        <v>0.879</v>
      </c>
      <c r="AU740">
        <v>82.280325291712501</v>
      </c>
      <c r="AV740">
        <v>0.93120000000000003</v>
      </c>
      <c r="AW740" s="63">
        <v>76.619</v>
      </c>
      <c r="AX740">
        <v>8.9176000000000002</v>
      </c>
      <c r="AY740">
        <v>0.80400000000000005</v>
      </c>
      <c r="AZ740">
        <v>6039.0430235999738</v>
      </c>
      <c r="BA740">
        <v>1.1187730627306269</v>
      </c>
      <c r="BB740" s="63">
        <v>6756.3186999999998</v>
      </c>
      <c r="BC740" s="61">
        <v>701.3585772555258</v>
      </c>
    </row>
    <row r="741" spans="1:55" x14ac:dyDescent="0.25">
      <c r="A741">
        <v>252798</v>
      </c>
      <c r="B741" t="s">
        <v>244</v>
      </c>
      <c r="C741">
        <v>2020</v>
      </c>
      <c r="D741">
        <v>9</v>
      </c>
      <c r="E741" t="s">
        <v>100</v>
      </c>
      <c r="F741" t="s">
        <v>426</v>
      </c>
      <c r="G741" t="s">
        <v>84</v>
      </c>
      <c r="H741" t="s">
        <v>59</v>
      </c>
      <c r="I741" t="s">
        <v>427</v>
      </c>
      <c r="J741">
        <v>-17.390262679999999</v>
      </c>
      <c r="K741" t="s">
        <v>440</v>
      </c>
      <c r="L741" t="s">
        <v>385</v>
      </c>
      <c r="M741">
        <v>0.43497567483749999</v>
      </c>
      <c r="N741">
        <v>7.5643412448655099</v>
      </c>
      <c r="O741">
        <v>47588.953000000001</v>
      </c>
      <c r="P741">
        <v>1.500949E-6</v>
      </c>
      <c r="Q741">
        <v>0.14285700000000001</v>
      </c>
      <c r="R741" s="61">
        <v>1.0806190972177521</v>
      </c>
      <c r="S741" t="s">
        <v>347</v>
      </c>
      <c r="T741" t="s">
        <v>437</v>
      </c>
      <c r="U741" t="s">
        <v>425</v>
      </c>
      <c r="V741" t="s">
        <v>27</v>
      </c>
      <c r="W741">
        <v>111.133</v>
      </c>
      <c r="X741">
        <v>1.0541007448257309</v>
      </c>
      <c r="Y741">
        <v>117.145378074718</v>
      </c>
      <c r="Z741">
        <v>640.82000000000005</v>
      </c>
      <c r="AA741">
        <v>1</v>
      </c>
      <c r="AB741">
        <v>75.069101177840764</v>
      </c>
      <c r="AC741">
        <v>0.95889999999999997</v>
      </c>
      <c r="AD741" s="63">
        <v>71.983999999999995</v>
      </c>
      <c r="AE741">
        <v>8.9176000000000002</v>
      </c>
      <c r="AF741">
        <v>9.4000488020579382</v>
      </c>
      <c r="AG741">
        <v>1</v>
      </c>
      <c r="AH741">
        <v>6023.7392733347688</v>
      </c>
      <c r="AI741">
        <v>0.99097621000820357</v>
      </c>
      <c r="AJ741" s="63">
        <v>5969.3823000000002</v>
      </c>
      <c r="AK741" s="61">
        <v>6450.6285119736303</v>
      </c>
      <c r="AL741" t="s">
        <v>349</v>
      </c>
      <c r="AM741" t="s">
        <v>439</v>
      </c>
      <c r="AN741" t="s">
        <v>425</v>
      </c>
      <c r="AO741" t="s">
        <v>27</v>
      </c>
      <c r="AP741">
        <v>111.133</v>
      </c>
      <c r="AQ741">
        <v>1.080821157758461</v>
      </c>
      <c r="AR741">
        <v>120.1148977251711</v>
      </c>
      <c r="AS741">
        <v>779.31</v>
      </c>
      <c r="AT741">
        <v>0.879</v>
      </c>
      <c r="AU741">
        <v>82.280325291712501</v>
      </c>
      <c r="AV741">
        <v>0.93269999999999997</v>
      </c>
      <c r="AW741" s="63">
        <v>76.742999999999995</v>
      </c>
      <c r="AX741">
        <v>8.9176000000000002</v>
      </c>
      <c r="AY741">
        <v>0.80400000000000005</v>
      </c>
      <c r="AZ741">
        <v>6039.0430235999738</v>
      </c>
      <c r="BA741">
        <v>1.016406890894175</v>
      </c>
      <c r="BB741" s="63">
        <v>6138.1248999999998</v>
      </c>
      <c r="BC741" s="61">
        <v>6632.9749880478057</v>
      </c>
    </row>
    <row r="742" spans="1:55" x14ac:dyDescent="0.25">
      <c r="A742">
        <v>252800</v>
      </c>
      <c r="B742" t="s">
        <v>244</v>
      </c>
      <c r="C742">
        <v>2020</v>
      </c>
      <c r="D742">
        <v>9</v>
      </c>
      <c r="E742" t="s">
        <v>100</v>
      </c>
      <c r="F742" t="s">
        <v>426</v>
      </c>
      <c r="G742" t="s">
        <v>84</v>
      </c>
      <c r="H742" t="s">
        <v>59</v>
      </c>
      <c r="I742" t="s">
        <v>427</v>
      </c>
      <c r="J742">
        <v>-17.390262679999999</v>
      </c>
      <c r="K742" t="s">
        <v>440</v>
      </c>
      <c r="L742" t="s">
        <v>451</v>
      </c>
      <c r="M742">
        <v>1.7625750762999999E-3</v>
      </c>
      <c r="N742">
        <v>3.065164357020414E-2</v>
      </c>
      <c r="O742">
        <v>47588.953000000001</v>
      </c>
      <c r="P742">
        <v>1.500949E-6</v>
      </c>
      <c r="Q742">
        <v>0.14285700000000001</v>
      </c>
      <c r="R742" s="61">
        <v>4.3788018455086534E-3</v>
      </c>
      <c r="S742" t="s">
        <v>347</v>
      </c>
      <c r="T742" t="s">
        <v>437</v>
      </c>
      <c r="U742" t="s">
        <v>425</v>
      </c>
      <c r="V742" t="s">
        <v>91</v>
      </c>
      <c r="W742">
        <v>111.133</v>
      </c>
      <c r="X742">
        <v>1.0541007448257309</v>
      </c>
      <c r="Y742">
        <v>117.145378074718</v>
      </c>
      <c r="Z742">
        <v>640.82000000000005</v>
      </c>
      <c r="AA742">
        <v>1</v>
      </c>
      <c r="AB742">
        <v>75.069101177840764</v>
      </c>
      <c r="AC742">
        <v>1.0088999999999999</v>
      </c>
      <c r="AD742" s="63">
        <v>75.736999999999995</v>
      </c>
      <c r="AE742">
        <v>8.9176000000000002</v>
      </c>
      <c r="AF742">
        <v>9.4000488020579382</v>
      </c>
      <c r="AG742">
        <v>1</v>
      </c>
      <c r="AH742">
        <v>6023.7392733347688</v>
      </c>
      <c r="AI742">
        <v>0.99316673174541203</v>
      </c>
      <c r="AJ742" s="63">
        <v>5982.5774000000001</v>
      </c>
      <c r="AK742" s="61">
        <v>26.196520960018361</v>
      </c>
      <c r="AL742" t="s">
        <v>349</v>
      </c>
      <c r="AM742" t="s">
        <v>439</v>
      </c>
      <c r="AN742" t="s">
        <v>425</v>
      </c>
      <c r="AO742" t="s">
        <v>91</v>
      </c>
      <c r="AP742">
        <v>111.133</v>
      </c>
      <c r="AQ742">
        <v>1.080821157758461</v>
      </c>
      <c r="AR742">
        <v>120.1148977251711</v>
      </c>
      <c r="AS742">
        <v>779.31</v>
      </c>
      <c r="AT742">
        <v>0.879</v>
      </c>
      <c r="AU742">
        <v>82.280325291712501</v>
      </c>
      <c r="AV742">
        <v>0.9899</v>
      </c>
      <c r="AW742" s="63">
        <v>81.448999999999998</v>
      </c>
      <c r="AX742">
        <v>8.9176000000000002</v>
      </c>
      <c r="AY742">
        <v>0.80400000000000005</v>
      </c>
      <c r="AZ742">
        <v>6039.0430235999738</v>
      </c>
      <c r="BA742">
        <v>0.99199531433033972</v>
      </c>
      <c r="BB742" s="63">
        <v>5990.7024000000001</v>
      </c>
      <c r="BC742" s="61">
        <v>26.23209872501311</v>
      </c>
    </row>
    <row r="743" spans="1:55" x14ac:dyDescent="0.25">
      <c r="A743">
        <v>252802</v>
      </c>
      <c r="B743" t="s">
        <v>244</v>
      </c>
      <c r="C743">
        <v>2020</v>
      </c>
      <c r="D743">
        <v>9</v>
      </c>
      <c r="E743" t="s">
        <v>100</v>
      </c>
      <c r="F743" t="s">
        <v>426</v>
      </c>
      <c r="G743" t="s">
        <v>84</v>
      </c>
      <c r="H743" t="s">
        <v>59</v>
      </c>
      <c r="I743" t="s">
        <v>427</v>
      </c>
      <c r="J743">
        <v>-17.390262679999999</v>
      </c>
      <c r="K743" t="s">
        <v>440</v>
      </c>
      <c r="L743" t="s">
        <v>452</v>
      </c>
      <c r="M743">
        <v>1.4858046103299999E-3</v>
      </c>
      <c r="N743">
        <v>2.5838532464900039E-2</v>
      </c>
      <c r="O743">
        <v>47588.953000000001</v>
      </c>
      <c r="P743">
        <v>1.500949E-6</v>
      </c>
      <c r="Q743">
        <v>0.14285700000000001</v>
      </c>
      <c r="R743" s="61">
        <v>3.6912152323382249E-3</v>
      </c>
      <c r="S743" t="s">
        <v>347</v>
      </c>
      <c r="T743" t="s">
        <v>437</v>
      </c>
      <c r="U743" t="s">
        <v>425</v>
      </c>
      <c r="V743" t="s">
        <v>28</v>
      </c>
      <c r="W743">
        <v>111.133</v>
      </c>
      <c r="X743">
        <v>1.0541007448257309</v>
      </c>
      <c r="Y743">
        <v>117.145378074718</v>
      </c>
      <c r="Z743">
        <v>640.82000000000005</v>
      </c>
      <c r="AA743">
        <v>1</v>
      </c>
      <c r="AB743">
        <v>75.069101177840764</v>
      </c>
      <c r="AC743">
        <v>1.0073000000000001</v>
      </c>
      <c r="AD743" s="63">
        <v>75.617000000000004</v>
      </c>
      <c r="AE743">
        <v>8.9176000000000002</v>
      </c>
      <c r="AF743">
        <v>9.4000488020579382</v>
      </c>
      <c r="AG743">
        <v>1</v>
      </c>
      <c r="AH743">
        <v>6023.7392733347688</v>
      </c>
      <c r="AI743">
        <v>0.99399488088206345</v>
      </c>
      <c r="AJ743" s="63">
        <v>5987.5659999999998</v>
      </c>
      <c r="AK743" s="61">
        <v>22.10139482383045</v>
      </c>
      <c r="AL743" t="s">
        <v>349</v>
      </c>
      <c r="AM743" t="s">
        <v>439</v>
      </c>
      <c r="AN743" t="s">
        <v>425</v>
      </c>
      <c r="AO743" t="s">
        <v>28</v>
      </c>
      <c r="AP743">
        <v>111.133</v>
      </c>
      <c r="AQ743">
        <v>1.080821157758461</v>
      </c>
      <c r="AR743">
        <v>120.1148977251711</v>
      </c>
      <c r="AS743">
        <v>779.31</v>
      </c>
      <c r="AT743">
        <v>0.879</v>
      </c>
      <c r="AU743">
        <v>82.280325291712501</v>
      </c>
      <c r="AV743">
        <v>0.96379999999999999</v>
      </c>
      <c r="AW743" s="63">
        <v>79.302000000000007</v>
      </c>
      <c r="AX743">
        <v>8.9176000000000002</v>
      </c>
      <c r="AY743">
        <v>0.80400000000000005</v>
      </c>
      <c r="AZ743">
        <v>6039.0430235999738</v>
      </c>
      <c r="BA743">
        <v>0.93699547154951757</v>
      </c>
      <c r="BB743" s="63">
        <v>5658.5559999999996</v>
      </c>
      <c r="BC743" s="61">
        <v>20.88694810023885</v>
      </c>
    </row>
    <row r="744" spans="1:55" x14ac:dyDescent="0.25">
      <c r="A744">
        <v>260021</v>
      </c>
      <c r="B744" t="s">
        <v>453</v>
      </c>
      <c r="C744">
        <v>2020</v>
      </c>
      <c r="D744">
        <v>10</v>
      </c>
      <c r="E744" t="s">
        <v>100</v>
      </c>
      <c r="F744" t="s">
        <v>426</v>
      </c>
      <c r="G744" t="s">
        <v>84</v>
      </c>
      <c r="H744" t="s">
        <v>381</v>
      </c>
      <c r="I744" t="s">
        <v>427</v>
      </c>
      <c r="J744">
        <v>-32.004116019999998</v>
      </c>
      <c r="K744" t="s">
        <v>440</v>
      </c>
      <c r="L744" t="s">
        <v>450</v>
      </c>
      <c r="M744">
        <v>0.15011157993331001</v>
      </c>
      <c r="N744">
        <v>4.8041884206151462</v>
      </c>
      <c r="O744">
        <v>47588.953000000001</v>
      </c>
      <c r="P744">
        <v>1.500949E-6</v>
      </c>
      <c r="Q744">
        <v>0.14285700000000001</v>
      </c>
      <c r="R744" s="61">
        <v>0.686311945203818</v>
      </c>
      <c r="S744" t="s">
        <v>348</v>
      </c>
      <c r="T744" t="s">
        <v>438</v>
      </c>
      <c r="U744" t="s">
        <v>425</v>
      </c>
      <c r="V744" t="s">
        <v>26</v>
      </c>
      <c r="W744">
        <v>111.133</v>
      </c>
      <c r="X744">
        <v>1.0727760310708341</v>
      </c>
      <c r="Y744">
        <v>119.22081866099499</v>
      </c>
      <c r="Z744">
        <v>694.38</v>
      </c>
      <c r="AA744">
        <v>0.875</v>
      </c>
      <c r="AB744">
        <v>72.436483054094012</v>
      </c>
      <c r="AC744">
        <v>0.98270000000000002</v>
      </c>
      <c r="AD744" s="63">
        <v>71.183000000000007</v>
      </c>
      <c r="AE744">
        <v>8.9176000000000002</v>
      </c>
      <c r="AF744">
        <v>9.5665875346772715</v>
      </c>
      <c r="AG744">
        <v>0.91300000000000003</v>
      </c>
      <c r="AH744">
        <v>6064.9193587765631</v>
      </c>
      <c r="AI744">
        <v>0.99365142346989388</v>
      </c>
      <c r="AJ744" s="63">
        <v>6026.4157999999998</v>
      </c>
      <c r="AK744" s="61">
        <v>4136.0011503050227</v>
      </c>
      <c r="AL744" t="s">
        <v>349</v>
      </c>
      <c r="AM744" t="s">
        <v>439</v>
      </c>
      <c r="AN744" t="s">
        <v>425</v>
      </c>
      <c r="AO744" t="s">
        <v>26</v>
      </c>
      <c r="AP744">
        <v>111.133</v>
      </c>
      <c r="AQ744">
        <v>1.080821157758461</v>
      </c>
      <c r="AR744">
        <v>120.1148977251711</v>
      </c>
      <c r="AS744">
        <v>779.31</v>
      </c>
      <c r="AT744">
        <v>0.879</v>
      </c>
      <c r="AU744">
        <v>82.280325291712501</v>
      </c>
      <c r="AV744">
        <v>0.97599999999999998</v>
      </c>
      <c r="AW744" s="63">
        <v>80.305999999999997</v>
      </c>
      <c r="AX744">
        <v>8.9176000000000002</v>
      </c>
      <c r="AY744">
        <v>0.80400000000000005</v>
      </c>
      <c r="AZ744">
        <v>6039.0430235999738</v>
      </c>
      <c r="BA744">
        <v>0.99553615712726917</v>
      </c>
      <c r="BB744" s="63">
        <v>6012.0856999999996</v>
      </c>
      <c r="BC744" s="61">
        <v>4126.1662314990572</v>
      </c>
    </row>
    <row r="745" spans="1:55" x14ac:dyDescent="0.25">
      <c r="A745">
        <v>260023</v>
      </c>
      <c r="B745" t="s">
        <v>453</v>
      </c>
      <c r="C745">
        <v>2020</v>
      </c>
      <c r="D745">
        <v>10</v>
      </c>
      <c r="E745" t="s">
        <v>100</v>
      </c>
      <c r="F745" t="s">
        <v>426</v>
      </c>
      <c r="G745" t="s">
        <v>84</v>
      </c>
      <c r="H745" t="s">
        <v>381</v>
      </c>
      <c r="I745" t="s">
        <v>427</v>
      </c>
      <c r="J745">
        <v>-32.004116019999998</v>
      </c>
      <c r="K745" t="s">
        <v>440</v>
      </c>
      <c r="L745" t="s">
        <v>384</v>
      </c>
      <c r="M745">
        <v>4.5811354346740003E-2</v>
      </c>
      <c r="N745">
        <v>1.466151899694103</v>
      </c>
      <c r="O745">
        <v>47588.953000000001</v>
      </c>
      <c r="P745">
        <v>1.500949E-6</v>
      </c>
      <c r="Q745">
        <v>0.14285700000000001</v>
      </c>
      <c r="R745" s="61">
        <v>0.2094500619346005</v>
      </c>
      <c r="S745" t="s">
        <v>348</v>
      </c>
      <c r="T745" t="s">
        <v>438</v>
      </c>
      <c r="U745" t="s">
        <v>425</v>
      </c>
      <c r="V745" t="s">
        <v>81</v>
      </c>
      <c r="W745">
        <v>111.133</v>
      </c>
      <c r="X745">
        <v>1.0727760310708341</v>
      </c>
      <c r="Y745">
        <v>119.22081866099499</v>
      </c>
      <c r="Z745">
        <v>694.38</v>
      </c>
      <c r="AA745">
        <v>0.875</v>
      </c>
      <c r="AB745">
        <v>72.436483054094012</v>
      </c>
      <c r="AC745">
        <v>0.93500000000000005</v>
      </c>
      <c r="AD745" s="63">
        <v>67.727999999999994</v>
      </c>
      <c r="AE745">
        <v>8.9176000000000002</v>
      </c>
      <c r="AF745">
        <v>9.5665875346772715</v>
      </c>
      <c r="AG745">
        <v>0.91300000000000003</v>
      </c>
      <c r="AH745">
        <v>6064.9193587765631</v>
      </c>
      <c r="AI745">
        <v>1.096171586715867</v>
      </c>
      <c r="AJ745" s="63">
        <v>6648.1922999999997</v>
      </c>
      <c r="AK745" s="61">
        <v>1392.4642889881341</v>
      </c>
      <c r="AL745" t="s">
        <v>349</v>
      </c>
      <c r="AM745" t="s">
        <v>439</v>
      </c>
      <c r="AN745" t="s">
        <v>425</v>
      </c>
      <c r="AO745" t="s">
        <v>81</v>
      </c>
      <c r="AP745">
        <v>111.133</v>
      </c>
      <c r="AQ745">
        <v>1.080821157758461</v>
      </c>
      <c r="AR745">
        <v>120.1148977251711</v>
      </c>
      <c r="AS745">
        <v>779.31</v>
      </c>
      <c r="AT745">
        <v>0.879</v>
      </c>
      <c r="AU745">
        <v>82.280325291712501</v>
      </c>
      <c r="AV745">
        <v>0.93120000000000003</v>
      </c>
      <c r="AW745" s="63">
        <v>76.619</v>
      </c>
      <c r="AX745">
        <v>8.9176000000000002</v>
      </c>
      <c r="AY745">
        <v>0.80400000000000005</v>
      </c>
      <c r="AZ745">
        <v>6039.0430235999738</v>
      </c>
      <c r="BA745">
        <v>1.1187730627306269</v>
      </c>
      <c r="BB745" s="63">
        <v>6756.3186999999998</v>
      </c>
      <c r="BC745" s="61">
        <v>1415.111370164899</v>
      </c>
    </row>
    <row r="746" spans="1:55" x14ac:dyDescent="0.25">
      <c r="A746">
        <v>260025</v>
      </c>
      <c r="B746" t="s">
        <v>453</v>
      </c>
      <c r="C746">
        <v>2020</v>
      </c>
      <c r="D746">
        <v>10</v>
      </c>
      <c r="E746" t="s">
        <v>100</v>
      </c>
      <c r="F746" t="s">
        <v>426</v>
      </c>
      <c r="G746" t="s">
        <v>84</v>
      </c>
      <c r="H746" t="s">
        <v>381</v>
      </c>
      <c r="I746" t="s">
        <v>427</v>
      </c>
      <c r="J746">
        <v>-32.004116019999998</v>
      </c>
      <c r="K746" t="s">
        <v>440</v>
      </c>
      <c r="L746" t="s">
        <v>385</v>
      </c>
      <c r="M746">
        <v>0.43232641346992001</v>
      </c>
      <c r="N746">
        <v>13.836224696595711</v>
      </c>
      <c r="O746">
        <v>47588.953000000001</v>
      </c>
      <c r="P746">
        <v>1.500949E-6</v>
      </c>
      <c r="Q746">
        <v>0.14285700000000001</v>
      </c>
      <c r="R746" s="61">
        <v>1.976601551481574</v>
      </c>
      <c r="S746" t="s">
        <v>348</v>
      </c>
      <c r="T746" t="s">
        <v>438</v>
      </c>
      <c r="U746" t="s">
        <v>425</v>
      </c>
      <c r="V746" t="s">
        <v>27</v>
      </c>
      <c r="W746">
        <v>111.133</v>
      </c>
      <c r="X746">
        <v>1.0727760310708341</v>
      </c>
      <c r="Y746">
        <v>119.22081866099499</v>
      </c>
      <c r="Z746">
        <v>694.38</v>
      </c>
      <c r="AA746">
        <v>0.875</v>
      </c>
      <c r="AB746">
        <v>72.436483054094012</v>
      </c>
      <c r="AC746">
        <v>0.95369999999999999</v>
      </c>
      <c r="AD746" s="63">
        <v>69.082999999999998</v>
      </c>
      <c r="AE746">
        <v>8.9176000000000002</v>
      </c>
      <c r="AF746">
        <v>9.5665875346772715</v>
      </c>
      <c r="AG746">
        <v>0.91300000000000003</v>
      </c>
      <c r="AH746">
        <v>6064.9193587765631</v>
      </c>
      <c r="AI746">
        <v>1.007895816242822</v>
      </c>
      <c r="AJ746" s="63">
        <v>6112.8068000000003</v>
      </c>
      <c r="AK746" s="61">
        <v>12082.583404787119</v>
      </c>
      <c r="AL746" t="s">
        <v>349</v>
      </c>
      <c r="AM746" t="s">
        <v>439</v>
      </c>
      <c r="AN746" t="s">
        <v>425</v>
      </c>
      <c r="AO746" t="s">
        <v>27</v>
      </c>
      <c r="AP746">
        <v>111.133</v>
      </c>
      <c r="AQ746">
        <v>1.080821157758461</v>
      </c>
      <c r="AR746">
        <v>120.1148977251711</v>
      </c>
      <c r="AS746">
        <v>779.31</v>
      </c>
      <c r="AT746">
        <v>0.879</v>
      </c>
      <c r="AU746">
        <v>82.280325291712501</v>
      </c>
      <c r="AV746">
        <v>0.93269999999999997</v>
      </c>
      <c r="AW746" s="63">
        <v>76.742999999999995</v>
      </c>
      <c r="AX746">
        <v>8.9176000000000002</v>
      </c>
      <c r="AY746">
        <v>0.80400000000000005</v>
      </c>
      <c r="AZ746">
        <v>6039.0430235999738</v>
      </c>
      <c r="BA746">
        <v>1.016406890894175</v>
      </c>
      <c r="BB746" s="63">
        <v>6138.1248999999998</v>
      </c>
      <c r="BC746" s="61">
        <v>12132.627200527681</v>
      </c>
    </row>
    <row r="747" spans="1:55" x14ac:dyDescent="0.25">
      <c r="A747">
        <v>260027</v>
      </c>
      <c r="B747" t="s">
        <v>453</v>
      </c>
      <c r="C747">
        <v>2020</v>
      </c>
      <c r="D747">
        <v>10</v>
      </c>
      <c r="E747" t="s">
        <v>100</v>
      </c>
      <c r="F747" t="s">
        <v>426</v>
      </c>
      <c r="G747" t="s">
        <v>84</v>
      </c>
      <c r="H747" t="s">
        <v>381</v>
      </c>
      <c r="I747" t="s">
        <v>427</v>
      </c>
      <c r="J747">
        <v>-32.004116019999998</v>
      </c>
      <c r="K747" t="s">
        <v>440</v>
      </c>
      <c r="L747" t="s">
        <v>451</v>
      </c>
      <c r="M747">
        <v>1.6825115802299999E-3</v>
      </c>
      <c r="N747">
        <v>5.3847295824099202E-2</v>
      </c>
      <c r="O747">
        <v>47588.953000000001</v>
      </c>
      <c r="P747">
        <v>1.500949E-6</v>
      </c>
      <c r="Q747">
        <v>0.14285700000000001</v>
      </c>
      <c r="R747" s="61">
        <v>7.6924631395433396E-3</v>
      </c>
      <c r="S747" t="s">
        <v>348</v>
      </c>
      <c r="T747" t="s">
        <v>438</v>
      </c>
      <c r="U747" t="s">
        <v>425</v>
      </c>
      <c r="V747" t="s">
        <v>91</v>
      </c>
      <c r="W747">
        <v>111.133</v>
      </c>
      <c r="X747">
        <v>1.0727760310708341</v>
      </c>
      <c r="Y747">
        <v>119.22081866099499</v>
      </c>
      <c r="Z747">
        <v>694.38</v>
      </c>
      <c r="AA747">
        <v>0.875</v>
      </c>
      <c r="AB747">
        <v>72.436483054094012</v>
      </c>
      <c r="AC747">
        <v>1.0179</v>
      </c>
      <c r="AD747" s="63">
        <v>73.733000000000004</v>
      </c>
      <c r="AE747">
        <v>8.9176000000000002</v>
      </c>
      <c r="AF747">
        <v>9.5665875346772715</v>
      </c>
      <c r="AG747">
        <v>0.91300000000000003</v>
      </c>
      <c r="AH747">
        <v>6064.9193587765631</v>
      </c>
      <c r="AI747">
        <v>0.98975009761811794</v>
      </c>
      <c r="AJ747" s="63">
        <v>6002.7545</v>
      </c>
      <c r="AK747" s="61">
        <v>46.175967726977909</v>
      </c>
      <c r="AL747" t="s">
        <v>349</v>
      </c>
      <c r="AM747" t="s">
        <v>439</v>
      </c>
      <c r="AN747" t="s">
        <v>425</v>
      </c>
      <c r="AO747" t="s">
        <v>91</v>
      </c>
      <c r="AP747">
        <v>111.133</v>
      </c>
      <c r="AQ747">
        <v>1.080821157758461</v>
      </c>
      <c r="AR747">
        <v>120.1148977251711</v>
      </c>
      <c r="AS747">
        <v>779.31</v>
      </c>
      <c r="AT747">
        <v>0.879</v>
      </c>
      <c r="AU747">
        <v>82.280325291712501</v>
      </c>
      <c r="AV747">
        <v>0.9899</v>
      </c>
      <c r="AW747" s="63">
        <v>81.448999999999998</v>
      </c>
      <c r="AX747">
        <v>8.9176000000000002</v>
      </c>
      <c r="AY747">
        <v>0.80400000000000005</v>
      </c>
      <c r="AZ747">
        <v>6039.0430235999738</v>
      </c>
      <c r="BA747">
        <v>0.99199531433033972</v>
      </c>
      <c r="BB747" s="63">
        <v>5990.7024000000001</v>
      </c>
      <c r="BC747" s="61">
        <v>46.083257391973817</v>
      </c>
    </row>
    <row r="748" spans="1:55" x14ac:dyDescent="0.25">
      <c r="A748">
        <v>260029</v>
      </c>
      <c r="B748" t="s">
        <v>453</v>
      </c>
      <c r="C748">
        <v>2020</v>
      </c>
      <c r="D748">
        <v>10</v>
      </c>
      <c r="E748" t="s">
        <v>100</v>
      </c>
      <c r="F748" t="s">
        <v>426</v>
      </c>
      <c r="G748" t="s">
        <v>84</v>
      </c>
      <c r="H748" t="s">
        <v>381</v>
      </c>
      <c r="I748" t="s">
        <v>427</v>
      </c>
      <c r="J748">
        <v>-32.004116019999998</v>
      </c>
      <c r="K748" t="s">
        <v>440</v>
      </c>
      <c r="L748" t="s">
        <v>452</v>
      </c>
      <c r="M748">
        <v>1.53682162831E-3</v>
      </c>
      <c r="N748">
        <v>4.9184617699433567E-2</v>
      </c>
      <c r="O748">
        <v>47588.953000000001</v>
      </c>
      <c r="P748">
        <v>1.500949E-6</v>
      </c>
      <c r="Q748">
        <v>0.14285700000000001</v>
      </c>
      <c r="R748" s="61">
        <v>7.0263669306879816E-3</v>
      </c>
      <c r="S748" t="s">
        <v>348</v>
      </c>
      <c r="T748" t="s">
        <v>438</v>
      </c>
      <c r="U748" t="s">
        <v>425</v>
      </c>
      <c r="V748" t="s">
        <v>28</v>
      </c>
      <c r="W748">
        <v>111.133</v>
      </c>
      <c r="X748">
        <v>1.0727760310708341</v>
      </c>
      <c r="Y748">
        <v>119.22081866099499</v>
      </c>
      <c r="Z748">
        <v>694.38</v>
      </c>
      <c r="AA748">
        <v>0.875</v>
      </c>
      <c r="AB748">
        <v>72.436483054094012</v>
      </c>
      <c r="AC748">
        <v>0.99250000000000005</v>
      </c>
      <c r="AD748" s="63">
        <v>71.893000000000001</v>
      </c>
      <c r="AE748">
        <v>8.9176000000000002</v>
      </c>
      <c r="AF748">
        <v>9.5665875346772715</v>
      </c>
      <c r="AG748">
        <v>0.91300000000000003</v>
      </c>
      <c r="AH748">
        <v>6064.9193587765631</v>
      </c>
      <c r="AI748">
        <v>0.93847214018507585</v>
      </c>
      <c r="AJ748" s="63">
        <v>5691.7578999999996</v>
      </c>
      <c r="AK748" s="61">
        <v>39.992379486042068</v>
      </c>
      <c r="AL748" t="s">
        <v>349</v>
      </c>
      <c r="AM748" t="s">
        <v>439</v>
      </c>
      <c r="AN748" t="s">
        <v>425</v>
      </c>
      <c r="AO748" t="s">
        <v>28</v>
      </c>
      <c r="AP748">
        <v>111.133</v>
      </c>
      <c r="AQ748">
        <v>1.080821157758461</v>
      </c>
      <c r="AR748">
        <v>120.1148977251711</v>
      </c>
      <c r="AS748">
        <v>779.31</v>
      </c>
      <c r="AT748">
        <v>0.879</v>
      </c>
      <c r="AU748">
        <v>82.280325291712501</v>
      </c>
      <c r="AV748">
        <v>0.96379999999999999</v>
      </c>
      <c r="AW748" s="63">
        <v>79.302000000000007</v>
      </c>
      <c r="AX748">
        <v>8.9176000000000002</v>
      </c>
      <c r="AY748">
        <v>0.80400000000000005</v>
      </c>
      <c r="AZ748">
        <v>6039.0430235999738</v>
      </c>
      <c r="BA748">
        <v>0.93699547154951757</v>
      </c>
      <c r="BB748" s="63">
        <v>5658.5559999999996</v>
      </c>
      <c r="BC748" s="61">
        <v>39.75909075384606</v>
      </c>
    </row>
    <row r="749" spans="1:55" x14ac:dyDescent="0.25">
      <c r="A749">
        <v>260031</v>
      </c>
      <c r="B749" t="s">
        <v>453</v>
      </c>
      <c r="C749">
        <v>2020</v>
      </c>
      <c r="D749">
        <v>10</v>
      </c>
      <c r="E749" t="s">
        <v>100</v>
      </c>
      <c r="F749" t="s">
        <v>426</v>
      </c>
      <c r="G749" t="s">
        <v>84</v>
      </c>
      <c r="H749" t="s">
        <v>87</v>
      </c>
      <c r="I749" t="s">
        <v>427</v>
      </c>
      <c r="J749">
        <v>-5.8835884299999996</v>
      </c>
      <c r="K749" t="s">
        <v>440</v>
      </c>
      <c r="L749" t="s">
        <v>450</v>
      </c>
      <c r="M749">
        <v>0.26601384014995</v>
      </c>
      <c r="N749">
        <v>1.5651159516404789</v>
      </c>
      <c r="O749">
        <v>47588.953000000001</v>
      </c>
      <c r="P749">
        <v>1.500949E-6</v>
      </c>
      <c r="Q749">
        <v>0.14285700000000001</v>
      </c>
      <c r="R749" s="61">
        <v>0.22358776950350401</v>
      </c>
      <c r="S749" t="s">
        <v>348</v>
      </c>
      <c r="T749" t="s">
        <v>438</v>
      </c>
      <c r="U749" t="s">
        <v>425</v>
      </c>
      <c r="V749" t="s">
        <v>26</v>
      </c>
      <c r="W749">
        <v>111.133</v>
      </c>
      <c r="X749">
        <v>1.0727760310708341</v>
      </c>
      <c r="Y749">
        <v>119.22081866099499</v>
      </c>
      <c r="Z749">
        <v>694.38</v>
      </c>
      <c r="AA749">
        <v>0.875</v>
      </c>
      <c r="AB749">
        <v>72.436483054094012</v>
      </c>
      <c r="AC749">
        <v>0.98270000000000002</v>
      </c>
      <c r="AD749" s="63">
        <v>71.183000000000007</v>
      </c>
      <c r="AE749">
        <v>8.9176000000000002</v>
      </c>
      <c r="AF749">
        <v>9.5665875346772715</v>
      </c>
      <c r="AG749">
        <v>0.91300000000000003</v>
      </c>
      <c r="AH749">
        <v>6064.9193587765631</v>
      </c>
      <c r="AI749">
        <v>0.99365142346989388</v>
      </c>
      <c r="AJ749" s="63">
        <v>6026.4157999999998</v>
      </c>
      <c r="AK749" s="61">
        <v>1347.432866822674</v>
      </c>
      <c r="AL749" t="s">
        <v>349</v>
      </c>
      <c r="AM749" t="s">
        <v>439</v>
      </c>
      <c r="AN749" t="s">
        <v>425</v>
      </c>
      <c r="AO749" t="s">
        <v>26</v>
      </c>
      <c r="AP749">
        <v>111.133</v>
      </c>
      <c r="AQ749">
        <v>1.080821157758461</v>
      </c>
      <c r="AR749">
        <v>120.1148977251711</v>
      </c>
      <c r="AS749">
        <v>779.31</v>
      </c>
      <c r="AT749">
        <v>0.879</v>
      </c>
      <c r="AU749">
        <v>82.280325291712501</v>
      </c>
      <c r="AV749">
        <v>0.97599999999999998</v>
      </c>
      <c r="AW749" s="63">
        <v>80.305999999999997</v>
      </c>
      <c r="AX749">
        <v>8.9176000000000002</v>
      </c>
      <c r="AY749">
        <v>0.80400000000000005</v>
      </c>
      <c r="AZ749">
        <v>6039.0430235999738</v>
      </c>
      <c r="BA749">
        <v>0.99553615712726917</v>
      </c>
      <c r="BB749" s="63">
        <v>6012.0856999999996</v>
      </c>
      <c r="BC749" s="61">
        <v>1344.2288317269119</v>
      </c>
    </row>
    <row r="750" spans="1:55" x14ac:dyDescent="0.25">
      <c r="A750">
        <v>260033</v>
      </c>
      <c r="B750" t="s">
        <v>453</v>
      </c>
      <c r="C750">
        <v>2020</v>
      </c>
      <c r="D750">
        <v>10</v>
      </c>
      <c r="E750" t="s">
        <v>100</v>
      </c>
      <c r="F750" t="s">
        <v>426</v>
      </c>
      <c r="G750" t="s">
        <v>84</v>
      </c>
      <c r="H750" t="s">
        <v>87</v>
      </c>
      <c r="I750" t="s">
        <v>427</v>
      </c>
      <c r="J750">
        <v>-5.8835884299999996</v>
      </c>
      <c r="K750" t="s">
        <v>440</v>
      </c>
      <c r="L750" t="s">
        <v>384</v>
      </c>
      <c r="M750">
        <v>3.9509559941419997E-2</v>
      </c>
      <c r="N750">
        <v>0.2324579896736014</v>
      </c>
      <c r="O750">
        <v>47588.953000000001</v>
      </c>
      <c r="P750">
        <v>1.500949E-6</v>
      </c>
      <c r="Q750">
        <v>0.14285700000000001</v>
      </c>
      <c r="R750" s="61">
        <v>3.3208251030801668E-2</v>
      </c>
      <c r="S750" t="s">
        <v>348</v>
      </c>
      <c r="T750" t="s">
        <v>438</v>
      </c>
      <c r="U750" t="s">
        <v>425</v>
      </c>
      <c r="V750" t="s">
        <v>81</v>
      </c>
      <c r="W750">
        <v>111.133</v>
      </c>
      <c r="X750">
        <v>1.0727760310708341</v>
      </c>
      <c r="Y750">
        <v>119.22081866099499</v>
      </c>
      <c r="Z750">
        <v>694.38</v>
      </c>
      <c r="AA750">
        <v>0.875</v>
      </c>
      <c r="AB750">
        <v>72.436483054094012</v>
      </c>
      <c r="AC750">
        <v>0.93500000000000005</v>
      </c>
      <c r="AD750" s="63">
        <v>67.727999999999994</v>
      </c>
      <c r="AE750">
        <v>8.9176000000000002</v>
      </c>
      <c r="AF750">
        <v>9.5665875346772715</v>
      </c>
      <c r="AG750">
        <v>0.91300000000000003</v>
      </c>
      <c r="AH750">
        <v>6064.9193587765631</v>
      </c>
      <c r="AI750">
        <v>1.096171586715867</v>
      </c>
      <c r="AJ750" s="63">
        <v>6648.1922999999997</v>
      </c>
      <c r="AK750" s="61">
        <v>220.77483879944279</v>
      </c>
      <c r="AL750" t="s">
        <v>349</v>
      </c>
      <c r="AM750" t="s">
        <v>439</v>
      </c>
      <c r="AN750" t="s">
        <v>425</v>
      </c>
      <c r="AO750" t="s">
        <v>81</v>
      </c>
      <c r="AP750">
        <v>111.133</v>
      </c>
      <c r="AQ750">
        <v>1.080821157758461</v>
      </c>
      <c r="AR750">
        <v>120.1148977251711</v>
      </c>
      <c r="AS750">
        <v>779.31</v>
      </c>
      <c r="AT750">
        <v>0.879</v>
      </c>
      <c r="AU750">
        <v>82.280325291712501</v>
      </c>
      <c r="AV750">
        <v>0.93120000000000003</v>
      </c>
      <c r="AW750" s="63">
        <v>76.619</v>
      </c>
      <c r="AX750">
        <v>8.9176000000000002</v>
      </c>
      <c r="AY750">
        <v>0.80400000000000005</v>
      </c>
      <c r="AZ750">
        <v>6039.0430235999738</v>
      </c>
      <c r="BA750">
        <v>1.1187730627306269</v>
      </c>
      <c r="BB750" s="63">
        <v>6756.3186999999998</v>
      </c>
      <c r="BC750" s="61">
        <v>224.36552743369961</v>
      </c>
    </row>
    <row r="751" spans="1:55" x14ac:dyDescent="0.25">
      <c r="A751">
        <v>260035</v>
      </c>
      <c r="B751" t="s">
        <v>453</v>
      </c>
      <c r="C751">
        <v>2020</v>
      </c>
      <c r="D751">
        <v>10</v>
      </c>
      <c r="E751" t="s">
        <v>100</v>
      </c>
      <c r="F751" t="s">
        <v>426</v>
      </c>
      <c r="G751" t="s">
        <v>84</v>
      </c>
      <c r="H751" t="s">
        <v>87</v>
      </c>
      <c r="I751" t="s">
        <v>427</v>
      </c>
      <c r="J751">
        <v>-5.8835884299999996</v>
      </c>
      <c r="K751" t="s">
        <v>440</v>
      </c>
      <c r="L751" t="s">
        <v>385</v>
      </c>
      <c r="M751">
        <v>0.39737542925016001</v>
      </c>
      <c r="N751">
        <v>2.3379934771770752</v>
      </c>
      <c r="O751">
        <v>47588.953000000001</v>
      </c>
      <c r="P751">
        <v>1.500949E-6</v>
      </c>
      <c r="Q751">
        <v>0.14285700000000001</v>
      </c>
      <c r="R751" s="61">
        <v>0.33399873416908538</v>
      </c>
      <c r="S751" t="s">
        <v>348</v>
      </c>
      <c r="T751" t="s">
        <v>438</v>
      </c>
      <c r="U751" t="s">
        <v>425</v>
      </c>
      <c r="V751" t="s">
        <v>27</v>
      </c>
      <c r="W751">
        <v>111.133</v>
      </c>
      <c r="X751">
        <v>1.0727760310708341</v>
      </c>
      <c r="Y751">
        <v>119.22081866099499</v>
      </c>
      <c r="Z751">
        <v>694.38</v>
      </c>
      <c r="AA751">
        <v>0.875</v>
      </c>
      <c r="AB751">
        <v>72.436483054094012</v>
      </c>
      <c r="AC751">
        <v>0.95369999999999999</v>
      </c>
      <c r="AD751" s="63">
        <v>69.082999999999998</v>
      </c>
      <c r="AE751">
        <v>8.9176000000000002</v>
      </c>
      <c r="AF751">
        <v>9.5665875346772715</v>
      </c>
      <c r="AG751">
        <v>0.91300000000000003</v>
      </c>
      <c r="AH751">
        <v>6064.9193587765631</v>
      </c>
      <c r="AI751">
        <v>1.007895816242822</v>
      </c>
      <c r="AJ751" s="63">
        <v>6112.8068000000003</v>
      </c>
      <c r="AK751" s="61">
        <v>2041.6697334201781</v>
      </c>
      <c r="AL751" t="s">
        <v>349</v>
      </c>
      <c r="AM751" t="s">
        <v>439</v>
      </c>
      <c r="AN751" t="s">
        <v>425</v>
      </c>
      <c r="AO751" t="s">
        <v>27</v>
      </c>
      <c r="AP751">
        <v>111.133</v>
      </c>
      <c r="AQ751">
        <v>1.080821157758461</v>
      </c>
      <c r="AR751">
        <v>120.1148977251711</v>
      </c>
      <c r="AS751">
        <v>779.31</v>
      </c>
      <c r="AT751">
        <v>0.879</v>
      </c>
      <c r="AU751">
        <v>82.280325291712501</v>
      </c>
      <c r="AV751">
        <v>0.93269999999999997</v>
      </c>
      <c r="AW751" s="63">
        <v>76.742999999999995</v>
      </c>
      <c r="AX751">
        <v>8.9176000000000002</v>
      </c>
      <c r="AY751">
        <v>0.80400000000000005</v>
      </c>
      <c r="AZ751">
        <v>6039.0430235999738</v>
      </c>
      <c r="BA751">
        <v>1.016406890894175</v>
      </c>
      <c r="BB751" s="63">
        <v>6138.1248999999998</v>
      </c>
      <c r="BC751" s="61">
        <v>2050.1259467717441</v>
      </c>
    </row>
    <row r="752" spans="1:55" x14ac:dyDescent="0.25">
      <c r="A752">
        <v>260037</v>
      </c>
      <c r="B752" t="s">
        <v>453</v>
      </c>
      <c r="C752">
        <v>2020</v>
      </c>
      <c r="D752">
        <v>10</v>
      </c>
      <c r="E752" t="s">
        <v>100</v>
      </c>
      <c r="F752" t="s">
        <v>426</v>
      </c>
      <c r="G752" t="s">
        <v>84</v>
      </c>
      <c r="H752" t="s">
        <v>87</v>
      </c>
      <c r="I752" t="s">
        <v>427</v>
      </c>
      <c r="J752">
        <v>-5.8835884299999996</v>
      </c>
      <c r="K752" t="s">
        <v>440</v>
      </c>
      <c r="L752" t="s">
        <v>452</v>
      </c>
      <c r="M752">
        <v>8.4248020759000004E-4</v>
      </c>
      <c r="N752">
        <v>4.956806800342487E-3</v>
      </c>
      <c r="O752">
        <v>47588.953000000001</v>
      </c>
      <c r="P752">
        <v>1.500949E-6</v>
      </c>
      <c r="Q752">
        <v>0.14285700000000001</v>
      </c>
      <c r="R752" s="61">
        <v>7.0811454907652668E-4</v>
      </c>
      <c r="S752" t="s">
        <v>348</v>
      </c>
      <c r="T752" t="s">
        <v>438</v>
      </c>
      <c r="U752" t="s">
        <v>425</v>
      </c>
      <c r="V752" t="s">
        <v>28</v>
      </c>
      <c r="W752">
        <v>111.133</v>
      </c>
      <c r="X752">
        <v>1.0727760310708341</v>
      </c>
      <c r="Y752">
        <v>119.22081866099499</v>
      </c>
      <c r="Z752">
        <v>694.38</v>
      </c>
      <c r="AA752">
        <v>0.875</v>
      </c>
      <c r="AB752">
        <v>72.436483054094012</v>
      </c>
      <c r="AC752">
        <v>0.99250000000000005</v>
      </c>
      <c r="AD752" s="63">
        <v>71.893000000000001</v>
      </c>
      <c r="AE752">
        <v>8.9176000000000002</v>
      </c>
      <c r="AF752">
        <v>9.5665875346772715</v>
      </c>
      <c r="AG752">
        <v>0.91300000000000003</v>
      </c>
      <c r="AH752">
        <v>6064.9193587765631</v>
      </c>
      <c r="AI752">
        <v>0.93847214018507585</v>
      </c>
      <c r="AJ752" s="63">
        <v>5691.7578999999996</v>
      </c>
      <c r="AK752" s="61">
        <v>4.0304165788112583</v>
      </c>
      <c r="AL752" t="s">
        <v>349</v>
      </c>
      <c r="AM752" t="s">
        <v>439</v>
      </c>
      <c r="AN752" t="s">
        <v>425</v>
      </c>
      <c r="AO752" t="s">
        <v>28</v>
      </c>
      <c r="AP752">
        <v>111.133</v>
      </c>
      <c r="AQ752">
        <v>1.080821157758461</v>
      </c>
      <c r="AR752">
        <v>120.1148977251711</v>
      </c>
      <c r="AS752">
        <v>779.31</v>
      </c>
      <c r="AT752">
        <v>0.879</v>
      </c>
      <c r="AU752">
        <v>82.280325291712501</v>
      </c>
      <c r="AV752">
        <v>0.96379999999999999</v>
      </c>
      <c r="AW752" s="63">
        <v>79.302000000000007</v>
      </c>
      <c r="AX752">
        <v>8.9176000000000002</v>
      </c>
      <c r="AY752">
        <v>0.80400000000000005</v>
      </c>
      <c r="AZ752">
        <v>6039.0430235999738</v>
      </c>
      <c r="BA752">
        <v>0.93699547154951757</v>
      </c>
      <c r="BB752" s="63">
        <v>5658.5559999999996</v>
      </c>
      <c r="BC752" s="61">
        <v>4.0069058303642739</v>
      </c>
    </row>
    <row r="753" spans="1:55" x14ac:dyDescent="0.25">
      <c r="A753">
        <v>260039</v>
      </c>
      <c r="B753" t="s">
        <v>453</v>
      </c>
      <c r="C753">
        <v>2020</v>
      </c>
      <c r="D753">
        <v>10</v>
      </c>
      <c r="E753" t="s">
        <v>100</v>
      </c>
      <c r="F753" t="s">
        <v>426</v>
      </c>
      <c r="G753" t="s">
        <v>84</v>
      </c>
      <c r="H753" t="s">
        <v>59</v>
      </c>
      <c r="I753" t="s">
        <v>427</v>
      </c>
      <c r="J753">
        <v>-17.390262679999999</v>
      </c>
      <c r="K753" t="s">
        <v>440</v>
      </c>
      <c r="L753" t="s">
        <v>450</v>
      </c>
      <c r="M753">
        <v>0.15931709696460999</v>
      </c>
      <c r="N753">
        <v>2.7705661656409961</v>
      </c>
      <c r="O753">
        <v>47588.953000000001</v>
      </c>
      <c r="P753">
        <v>1.500949E-6</v>
      </c>
      <c r="Q753">
        <v>0.14285700000000001</v>
      </c>
      <c r="R753" s="61">
        <v>0.39579477072497582</v>
      </c>
      <c r="S753" t="s">
        <v>348</v>
      </c>
      <c r="T753" t="s">
        <v>438</v>
      </c>
      <c r="U753" t="s">
        <v>425</v>
      </c>
      <c r="V753" t="s">
        <v>26</v>
      </c>
      <c r="W753">
        <v>111.133</v>
      </c>
      <c r="X753">
        <v>1.0727760310708341</v>
      </c>
      <c r="Y753">
        <v>119.22081866099499</v>
      </c>
      <c r="Z753">
        <v>694.38</v>
      </c>
      <c r="AA753">
        <v>0.875</v>
      </c>
      <c r="AB753">
        <v>72.436483054094012</v>
      </c>
      <c r="AC753">
        <v>0.98270000000000002</v>
      </c>
      <c r="AD753" s="63">
        <v>71.183000000000007</v>
      </c>
      <c r="AE753">
        <v>8.9176000000000002</v>
      </c>
      <c r="AF753">
        <v>9.5665875346772715</v>
      </c>
      <c r="AG753">
        <v>0.91300000000000003</v>
      </c>
      <c r="AH753">
        <v>6064.9193587765631</v>
      </c>
      <c r="AI753">
        <v>0.99365142346989388</v>
      </c>
      <c r="AJ753" s="63">
        <v>6026.4157999999998</v>
      </c>
      <c r="AK753" s="61">
        <v>2385.2238598543709</v>
      </c>
      <c r="AL753" t="s">
        <v>349</v>
      </c>
      <c r="AM753" t="s">
        <v>439</v>
      </c>
      <c r="AN753" t="s">
        <v>425</v>
      </c>
      <c r="AO753" t="s">
        <v>26</v>
      </c>
      <c r="AP753">
        <v>111.133</v>
      </c>
      <c r="AQ753">
        <v>1.080821157758461</v>
      </c>
      <c r="AR753">
        <v>120.1148977251711</v>
      </c>
      <c r="AS753">
        <v>779.31</v>
      </c>
      <c r="AT753">
        <v>0.879</v>
      </c>
      <c r="AU753">
        <v>82.280325291712501</v>
      </c>
      <c r="AV753">
        <v>0.97599999999999998</v>
      </c>
      <c r="AW753" s="63">
        <v>80.305999999999997</v>
      </c>
      <c r="AX753">
        <v>8.9176000000000002</v>
      </c>
      <c r="AY753">
        <v>0.80400000000000005</v>
      </c>
      <c r="AZ753">
        <v>6039.0430235999738</v>
      </c>
      <c r="BA753">
        <v>0.99553615712726917</v>
      </c>
      <c r="BB753" s="63">
        <v>6012.0856999999996</v>
      </c>
      <c r="BC753" s="61">
        <v>2379.552081210406</v>
      </c>
    </row>
    <row r="754" spans="1:55" x14ac:dyDescent="0.25">
      <c r="A754">
        <v>260041</v>
      </c>
      <c r="B754" t="s">
        <v>453</v>
      </c>
      <c r="C754">
        <v>2020</v>
      </c>
      <c r="D754">
        <v>10</v>
      </c>
      <c r="E754" t="s">
        <v>100</v>
      </c>
      <c r="F754" t="s">
        <v>426</v>
      </c>
      <c r="G754" t="s">
        <v>84</v>
      </c>
      <c r="H754" t="s">
        <v>59</v>
      </c>
      <c r="I754" t="s">
        <v>427</v>
      </c>
      <c r="J754">
        <v>-17.390262679999999</v>
      </c>
      <c r="K754" t="s">
        <v>440</v>
      </c>
      <c r="L754" t="s">
        <v>384</v>
      </c>
      <c r="M754">
        <v>4.1785183859599999E-2</v>
      </c>
      <c r="N754">
        <v>0.72665532345352934</v>
      </c>
      <c r="O754">
        <v>47588.953000000001</v>
      </c>
      <c r="P754">
        <v>1.500949E-6</v>
      </c>
      <c r="Q754">
        <v>0.14285700000000001</v>
      </c>
      <c r="R754" s="61">
        <v>0.1038077995426008</v>
      </c>
      <c r="S754" t="s">
        <v>348</v>
      </c>
      <c r="T754" t="s">
        <v>438</v>
      </c>
      <c r="U754" t="s">
        <v>425</v>
      </c>
      <c r="V754" t="s">
        <v>81</v>
      </c>
      <c r="W754">
        <v>111.133</v>
      </c>
      <c r="X754">
        <v>1.0727760310708341</v>
      </c>
      <c r="Y754">
        <v>119.22081866099499</v>
      </c>
      <c r="Z754">
        <v>694.38</v>
      </c>
      <c r="AA754">
        <v>0.875</v>
      </c>
      <c r="AB754">
        <v>72.436483054094012</v>
      </c>
      <c r="AC754">
        <v>0.93500000000000005</v>
      </c>
      <c r="AD754" s="63">
        <v>67.727999999999994</v>
      </c>
      <c r="AE754">
        <v>8.9176000000000002</v>
      </c>
      <c r="AF754">
        <v>9.5665875346772715</v>
      </c>
      <c r="AG754">
        <v>0.91300000000000003</v>
      </c>
      <c r="AH754">
        <v>6064.9193587765631</v>
      </c>
      <c r="AI754">
        <v>1.096171586715867</v>
      </c>
      <c r="AJ754" s="63">
        <v>6648.1922999999997</v>
      </c>
      <c r="AK754" s="61">
        <v>690.13421359906238</v>
      </c>
      <c r="AL754" t="s">
        <v>349</v>
      </c>
      <c r="AM754" t="s">
        <v>439</v>
      </c>
      <c r="AN754" t="s">
        <v>425</v>
      </c>
      <c r="AO754" t="s">
        <v>81</v>
      </c>
      <c r="AP754">
        <v>111.133</v>
      </c>
      <c r="AQ754">
        <v>1.080821157758461</v>
      </c>
      <c r="AR754">
        <v>120.1148977251711</v>
      </c>
      <c r="AS754">
        <v>779.31</v>
      </c>
      <c r="AT754">
        <v>0.879</v>
      </c>
      <c r="AU754">
        <v>82.280325291712501</v>
      </c>
      <c r="AV754">
        <v>0.93120000000000003</v>
      </c>
      <c r="AW754" s="63">
        <v>76.619</v>
      </c>
      <c r="AX754">
        <v>8.9176000000000002</v>
      </c>
      <c r="AY754">
        <v>0.80400000000000005</v>
      </c>
      <c r="AZ754">
        <v>6039.0430235999738</v>
      </c>
      <c r="BA754">
        <v>1.1187730627306269</v>
      </c>
      <c r="BB754" s="63">
        <v>6756.3186999999998</v>
      </c>
      <c r="BC754" s="61">
        <v>701.35857725552557</v>
      </c>
    </row>
    <row r="755" spans="1:55" x14ac:dyDescent="0.25">
      <c r="A755">
        <v>260043</v>
      </c>
      <c r="B755" t="s">
        <v>453</v>
      </c>
      <c r="C755">
        <v>2020</v>
      </c>
      <c r="D755">
        <v>10</v>
      </c>
      <c r="E755" t="s">
        <v>100</v>
      </c>
      <c r="F755" t="s">
        <v>426</v>
      </c>
      <c r="G755" t="s">
        <v>84</v>
      </c>
      <c r="H755" t="s">
        <v>59</v>
      </c>
      <c r="I755" t="s">
        <v>427</v>
      </c>
      <c r="J755">
        <v>-17.390262679999999</v>
      </c>
      <c r="K755" t="s">
        <v>440</v>
      </c>
      <c r="L755" t="s">
        <v>385</v>
      </c>
      <c r="M755">
        <v>0.43497567483749999</v>
      </c>
      <c r="N755">
        <v>7.5643412448655081</v>
      </c>
      <c r="O755">
        <v>47588.953000000001</v>
      </c>
      <c r="P755">
        <v>1.500949E-6</v>
      </c>
      <c r="Q755">
        <v>0.14285700000000001</v>
      </c>
      <c r="R755" s="61">
        <v>1.0806190972177521</v>
      </c>
      <c r="S755" t="s">
        <v>348</v>
      </c>
      <c r="T755" t="s">
        <v>438</v>
      </c>
      <c r="U755" t="s">
        <v>425</v>
      </c>
      <c r="V755" t="s">
        <v>27</v>
      </c>
      <c r="W755">
        <v>111.133</v>
      </c>
      <c r="X755">
        <v>1.0727760310708341</v>
      </c>
      <c r="Y755">
        <v>119.22081866099499</v>
      </c>
      <c r="Z755">
        <v>694.38</v>
      </c>
      <c r="AA755">
        <v>0.875</v>
      </c>
      <c r="AB755">
        <v>72.436483054094012</v>
      </c>
      <c r="AC755">
        <v>0.95369999999999999</v>
      </c>
      <c r="AD755" s="63">
        <v>69.082999999999998</v>
      </c>
      <c r="AE755">
        <v>8.9176000000000002</v>
      </c>
      <c r="AF755">
        <v>9.5665875346772715</v>
      </c>
      <c r="AG755">
        <v>0.91300000000000003</v>
      </c>
      <c r="AH755">
        <v>6064.9193587765631</v>
      </c>
      <c r="AI755">
        <v>1.007895816242822</v>
      </c>
      <c r="AJ755" s="63">
        <v>6112.8068000000003</v>
      </c>
      <c r="AK755" s="61">
        <v>6605.6157656825362</v>
      </c>
      <c r="AL755" t="s">
        <v>349</v>
      </c>
      <c r="AM755" t="s">
        <v>439</v>
      </c>
      <c r="AN755" t="s">
        <v>425</v>
      </c>
      <c r="AO755" t="s">
        <v>27</v>
      </c>
      <c r="AP755">
        <v>111.133</v>
      </c>
      <c r="AQ755">
        <v>1.080821157758461</v>
      </c>
      <c r="AR755">
        <v>120.1148977251711</v>
      </c>
      <c r="AS755">
        <v>779.31</v>
      </c>
      <c r="AT755">
        <v>0.879</v>
      </c>
      <c r="AU755">
        <v>82.280325291712501</v>
      </c>
      <c r="AV755">
        <v>0.93269999999999997</v>
      </c>
      <c r="AW755" s="63">
        <v>76.742999999999995</v>
      </c>
      <c r="AX755">
        <v>8.9176000000000002</v>
      </c>
      <c r="AY755">
        <v>0.80400000000000005</v>
      </c>
      <c r="AZ755">
        <v>6039.0430235999738</v>
      </c>
      <c r="BA755">
        <v>1.016406890894175</v>
      </c>
      <c r="BB755" s="63">
        <v>6138.1248999999998</v>
      </c>
      <c r="BC755" s="61">
        <v>6632.9749880478048</v>
      </c>
    </row>
    <row r="756" spans="1:55" x14ac:dyDescent="0.25">
      <c r="A756">
        <v>260045</v>
      </c>
      <c r="B756" t="s">
        <v>453</v>
      </c>
      <c r="C756">
        <v>2020</v>
      </c>
      <c r="D756">
        <v>10</v>
      </c>
      <c r="E756" t="s">
        <v>100</v>
      </c>
      <c r="F756" t="s">
        <v>426</v>
      </c>
      <c r="G756" t="s">
        <v>84</v>
      </c>
      <c r="H756" t="s">
        <v>59</v>
      </c>
      <c r="I756" t="s">
        <v>427</v>
      </c>
      <c r="J756">
        <v>-17.390262679999999</v>
      </c>
      <c r="K756" t="s">
        <v>440</v>
      </c>
      <c r="L756" t="s">
        <v>451</v>
      </c>
      <c r="M756">
        <v>1.7625750762999999E-3</v>
      </c>
      <c r="N756">
        <v>3.065164357020413E-2</v>
      </c>
      <c r="O756">
        <v>47588.953000000001</v>
      </c>
      <c r="P756">
        <v>1.500949E-6</v>
      </c>
      <c r="Q756">
        <v>0.14285700000000001</v>
      </c>
      <c r="R756" s="61">
        <v>4.3788018455086517E-3</v>
      </c>
      <c r="S756" t="s">
        <v>348</v>
      </c>
      <c r="T756" t="s">
        <v>438</v>
      </c>
      <c r="U756" t="s">
        <v>425</v>
      </c>
      <c r="V756" t="s">
        <v>91</v>
      </c>
      <c r="W756">
        <v>111.133</v>
      </c>
      <c r="X756">
        <v>1.0727760310708341</v>
      </c>
      <c r="Y756">
        <v>119.22081866099499</v>
      </c>
      <c r="Z756">
        <v>694.38</v>
      </c>
      <c r="AA756">
        <v>0.875</v>
      </c>
      <c r="AB756">
        <v>72.436483054094012</v>
      </c>
      <c r="AC756">
        <v>1.0179</v>
      </c>
      <c r="AD756" s="63">
        <v>73.733000000000004</v>
      </c>
      <c r="AE756">
        <v>8.9176000000000002</v>
      </c>
      <c r="AF756">
        <v>9.5665875346772715</v>
      </c>
      <c r="AG756">
        <v>0.91300000000000003</v>
      </c>
      <c r="AH756">
        <v>6064.9193587765631</v>
      </c>
      <c r="AI756">
        <v>0.98975009761811794</v>
      </c>
      <c r="AJ756" s="63">
        <v>6002.7545</v>
      </c>
      <c r="AK756" s="61">
        <v>26.284872482735359</v>
      </c>
      <c r="AL756" t="s">
        <v>349</v>
      </c>
      <c r="AM756" t="s">
        <v>439</v>
      </c>
      <c r="AN756" t="s">
        <v>425</v>
      </c>
      <c r="AO756" t="s">
        <v>91</v>
      </c>
      <c r="AP756">
        <v>111.133</v>
      </c>
      <c r="AQ756">
        <v>1.080821157758461</v>
      </c>
      <c r="AR756">
        <v>120.1148977251711</v>
      </c>
      <c r="AS756">
        <v>779.31</v>
      </c>
      <c r="AT756">
        <v>0.879</v>
      </c>
      <c r="AU756">
        <v>82.280325291712501</v>
      </c>
      <c r="AV756">
        <v>0.9899</v>
      </c>
      <c r="AW756" s="63">
        <v>81.448999999999998</v>
      </c>
      <c r="AX756">
        <v>8.9176000000000002</v>
      </c>
      <c r="AY756">
        <v>0.80400000000000005</v>
      </c>
      <c r="AZ756">
        <v>6039.0430235999738</v>
      </c>
      <c r="BA756">
        <v>0.99199531433033972</v>
      </c>
      <c r="BB756" s="63">
        <v>5990.7024000000001</v>
      </c>
      <c r="BC756" s="61">
        <v>26.23209872501311</v>
      </c>
    </row>
    <row r="757" spans="1:55" x14ac:dyDescent="0.25">
      <c r="A757">
        <v>260047</v>
      </c>
      <c r="B757" t="s">
        <v>453</v>
      </c>
      <c r="C757">
        <v>2020</v>
      </c>
      <c r="D757">
        <v>10</v>
      </c>
      <c r="E757" t="s">
        <v>100</v>
      </c>
      <c r="F757" t="s">
        <v>426</v>
      </c>
      <c r="G757" t="s">
        <v>84</v>
      </c>
      <c r="H757" t="s">
        <v>59</v>
      </c>
      <c r="I757" t="s">
        <v>427</v>
      </c>
      <c r="J757">
        <v>-17.390262679999999</v>
      </c>
      <c r="K757" t="s">
        <v>440</v>
      </c>
      <c r="L757" t="s">
        <v>452</v>
      </c>
      <c r="M757">
        <v>1.4858046103299999E-3</v>
      </c>
      <c r="N757">
        <v>2.5838532464900029E-2</v>
      </c>
      <c r="O757">
        <v>47588.953000000001</v>
      </c>
      <c r="P757">
        <v>1.500949E-6</v>
      </c>
      <c r="Q757">
        <v>0.14285700000000001</v>
      </c>
      <c r="R757" s="61">
        <v>3.691215232338224E-3</v>
      </c>
      <c r="S757" t="s">
        <v>348</v>
      </c>
      <c r="T757" t="s">
        <v>438</v>
      </c>
      <c r="U757" t="s">
        <v>425</v>
      </c>
      <c r="V757" t="s">
        <v>28</v>
      </c>
      <c r="W757">
        <v>111.133</v>
      </c>
      <c r="X757">
        <v>1.0727760310708341</v>
      </c>
      <c r="Y757">
        <v>119.22081866099499</v>
      </c>
      <c r="Z757">
        <v>694.38</v>
      </c>
      <c r="AA757">
        <v>0.875</v>
      </c>
      <c r="AB757">
        <v>72.436483054094012</v>
      </c>
      <c r="AC757">
        <v>0.99250000000000005</v>
      </c>
      <c r="AD757" s="63">
        <v>71.893000000000001</v>
      </c>
      <c r="AE757">
        <v>8.9176000000000002</v>
      </c>
      <c r="AF757">
        <v>9.5665875346772715</v>
      </c>
      <c r="AG757">
        <v>0.91300000000000003</v>
      </c>
      <c r="AH757">
        <v>6064.9193587765631</v>
      </c>
      <c r="AI757">
        <v>0.93847214018507585</v>
      </c>
      <c r="AJ757" s="63">
        <v>5691.7578999999996</v>
      </c>
      <c r="AK757" s="61">
        <v>21.00950345926142</v>
      </c>
      <c r="AL757" t="s">
        <v>349</v>
      </c>
      <c r="AM757" t="s">
        <v>439</v>
      </c>
      <c r="AN757" t="s">
        <v>425</v>
      </c>
      <c r="AO757" t="s">
        <v>28</v>
      </c>
      <c r="AP757">
        <v>111.133</v>
      </c>
      <c r="AQ757">
        <v>1.080821157758461</v>
      </c>
      <c r="AR757">
        <v>120.1148977251711</v>
      </c>
      <c r="AS757">
        <v>779.31</v>
      </c>
      <c r="AT757">
        <v>0.879</v>
      </c>
      <c r="AU757">
        <v>82.280325291712501</v>
      </c>
      <c r="AV757">
        <v>0.96379999999999999</v>
      </c>
      <c r="AW757" s="63">
        <v>79.302000000000007</v>
      </c>
      <c r="AX757">
        <v>8.9176000000000002</v>
      </c>
      <c r="AY757">
        <v>0.80400000000000005</v>
      </c>
      <c r="AZ757">
        <v>6039.0430235999738</v>
      </c>
      <c r="BA757">
        <v>0.93699547154951757</v>
      </c>
      <c r="BB757" s="63">
        <v>5658.5559999999996</v>
      </c>
      <c r="BC757" s="61">
        <v>20.88694810023885</v>
      </c>
    </row>
    <row r="758" spans="1:55" x14ac:dyDescent="0.25">
      <c r="A758">
        <v>267266</v>
      </c>
      <c r="B758" t="s">
        <v>454</v>
      </c>
      <c r="C758">
        <v>2020</v>
      </c>
      <c r="D758">
        <v>11</v>
      </c>
      <c r="E758" t="s">
        <v>100</v>
      </c>
      <c r="F758" t="s">
        <v>426</v>
      </c>
      <c r="G758" t="s">
        <v>84</v>
      </c>
      <c r="H758" t="s">
        <v>381</v>
      </c>
      <c r="I758" t="s">
        <v>427</v>
      </c>
      <c r="J758">
        <v>-32.004116019999998</v>
      </c>
      <c r="K758" t="s">
        <v>440</v>
      </c>
      <c r="L758" t="s">
        <v>450</v>
      </c>
      <c r="M758">
        <v>0.15011157993331001</v>
      </c>
      <c r="N758">
        <v>4.8041884206151471</v>
      </c>
      <c r="O758">
        <v>47588.953000000001</v>
      </c>
      <c r="P758">
        <v>1.500949E-6</v>
      </c>
      <c r="Q758">
        <v>0.14285700000000001</v>
      </c>
      <c r="R758" s="61">
        <v>0.68631194520381811</v>
      </c>
      <c r="S758" t="s">
        <v>348</v>
      </c>
      <c r="T758" t="s">
        <v>438</v>
      </c>
      <c r="U758" t="s">
        <v>425</v>
      </c>
      <c r="V758" t="s">
        <v>26</v>
      </c>
      <c r="W758">
        <v>111.133</v>
      </c>
      <c r="X758">
        <v>1.0727760310708341</v>
      </c>
      <c r="Y758">
        <v>119.22081866099499</v>
      </c>
      <c r="Z758">
        <v>694.38</v>
      </c>
      <c r="AA758">
        <v>0.875</v>
      </c>
      <c r="AB758">
        <v>72.436483054094012</v>
      </c>
      <c r="AC758">
        <v>0.98270000000000002</v>
      </c>
      <c r="AD758" s="63">
        <v>71.183000000000007</v>
      </c>
      <c r="AE758">
        <v>8.9176000000000002</v>
      </c>
      <c r="AF758">
        <v>9.5665875346772715</v>
      </c>
      <c r="AG758">
        <v>0.91300000000000003</v>
      </c>
      <c r="AH758">
        <v>6064.9193587765631</v>
      </c>
      <c r="AI758">
        <v>0.99365142346989388</v>
      </c>
      <c r="AJ758" s="63">
        <v>6026.4157999999998</v>
      </c>
      <c r="AK758" s="61">
        <v>4136.0011503050237</v>
      </c>
      <c r="AL758" t="s">
        <v>349</v>
      </c>
      <c r="AM758" t="s">
        <v>439</v>
      </c>
      <c r="AN758" t="s">
        <v>425</v>
      </c>
      <c r="AO758" t="s">
        <v>26</v>
      </c>
      <c r="AP758">
        <v>111.133</v>
      </c>
      <c r="AQ758">
        <v>1.080821157758461</v>
      </c>
      <c r="AR758">
        <v>120.1148977251711</v>
      </c>
      <c r="AS758">
        <v>779.31</v>
      </c>
      <c r="AT758">
        <v>0.879</v>
      </c>
      <c r="AU758">
        <v>82.280325291712501</v>
      </c>
      <c r="AV758">
        <v>0.97599999999999998</v>
      </c>
      <c r="AW758" s="63">
        <v>80.305999999999997</v>
      </c>
      <c r="AX758">
        <v>8.9176000000000002</v>
      </c>
      <c r="AY758">
        <v>0.80400000000000005</v>
      </c>
      <c r="AZ758">
        <v>6039.0430235999738</v>
      </c>
      <c r="BA758">
        <v>0.99553615712726917</v>
      </c>
      <c r="BB758" s="63">
        <v>6012.0856999999996</v>
      </c>
      <c r="BC758" s="61">
        <v>4126.1662314990581</v>
      </c>
    </row>
    <row r="759" spans="1:55" x14ac:dyDescent="0.25">
      <c r="A759">
        <v>267268</v>
      </c>
      <c r="B759" t="s">
        <v>454</v>
      </c>
      <c r="C759">
        <v>2020</v>
      </c>
      <c r="D759">
        <v>11</v>
      </c>
      <c r="E759" t="s">
        <v>100</v>
      </c>
      <c r="F759" t="s">
        <v>426</v>
      </c>
      <c r="G759" t="s">
        <v>84</v>
      </c>
      <c r="H759" t="s">
        <v>381</v>
      </c>
      <c r="I759" t="s">
        <v>427</v>
      </c>
      <c r="J759">
        <v>-32.004116019999998</v>
      </c>
      <c r="K759" t="s">
        <v>440</v>
      </c>
      <c r="L759" t="s">
        <v>384</v>
      </c>
      <c r="M759">
        <v>4.5811354346740003E-2</v>
      </c>
      <c r="N759">
        <v>1.466151899694103</v>
      </c>
      <c r="O759">
        <v>47588.953000000001</v>
      </c>
      <c r="P759">
        <v>1.500949E-6</v>
      </c>
      <c r="Q759">
        <v>0.14285700000000001</v>
      </c>
      <c r="R759" s="61">
        <v>0.2094500619346005</v>
      </c>
      <c r="S759" t="s">
        <v>348</v>
      </c>
      <c r="T759" t="s">
        <v>438</v>
      </c>
      <c r="U759" t="s">
        <v>425</v>
      </c>
      <c r="V759" t="s">
        <v>81</v>
      </c>
      <c r="W759">
        <v>111.133</v>
      </c>
      <c r="X759">
        <v>1.0727760310708341</v>
      </c>
      <c r="Y759">
        <v>119.22081866099499</v>
      </c>
      <c r="Z759">
        <v>694.38</v>
      </c>
      <c r="AA759">
        <v>0.875</v>
      </c>
      <c r="AB759">
        <v>72.436483054094012</v>
      </c>
      <c r="AC759">
        <v>0.93500000000000005</v>
      </c>
      <c r="AD759" s="63">
        <v>67.727999999999994</v>
      </c>
      <c r="AE759">
        <v>8.9176000000000002</v>
      </c>
      <c r="AF759">
        <v>9.5665875346772715</v>
      </c>
      <c r="AG759">
        <v>0.91300000000000003</v>
      </c>
      <c r="AH759">
        <v>6064.9193587765631</v>
      </c>
      <c r="AI759">
        <v>1.096171586715867</v>
      </c>
      <c r="AJ759" s="63">
        <v>6648.1922999999997</v>
      </c>
      <c r="AK759" s="61">
        <v>1392.4642889881341</v>
      </c>
      <c r="AL759" t="s">
        <v>349</v>
      </c>
      <c r="AM759" t="s">
        <v>439</v>
      </c>
      <c r="AN759" t="s">
        <v>425</v>
      </c>
      <c r="AO759" t="s">
        <v>81</v>
      </c>
      <c r="AP759">
        <v>111.133</v>
      </c>
      <c r="AQ759">
        <v>1.080821157758461</v>
      </c>
      <c r="AR759">
        <v>120.1148977251711</v>
      </c>
      <c r="AS759">
        <v>779.31</v>
      </c>
      <c r="AT759">
        <v>0.879</v>
      </c>
      <c r="AU759">
        <v>82.280325291712501</v>
      </c>
      <c r="AV759">
        <v>0.93120000000000003</v>
      </c>
      <c r="AW759" s="63">
        <v>76.619</v>
      </c>
      <c r="AX759">
        <v>8.9176000000000002</v>
      </c>
      <c r="AY759">
        <v>0.80400000000000005</v>
      </c>
      <c r="AZ759">
        <v>6039.0430235999738</v>
      </c>
      <c r="BA759">
        <v>1.1187730627306269</v>
      </c>
      <c r="BB759" s="63">
        <v>6756.3186999999998</v>
      </c>
      <c r="BC759" s="61">
        <v>1415.1113701649001</v>
      </c>
    </row>
    <row r="760" spans="1:55" x14ac:dyDescent="0.25">
      <c r="A760">
        <v>267270</v>
      </c>
      <c r="B760" t="s">
        <v>454</v>
      </c>
      <c r="C760">
        <v>2020</v>
      </c>
      <c r="D760">
        <v>11</v>
      </c>
      <c r="E760" t="s">
        <v>100</v>
      </c>
      <c r="F760" t="s">
        <v>426</v>
      </c>
      <c r="G760" t="s">
        <v>84</v>
      </c>
      <c r="H760" t="s">
        <v>381</v>
      </c>
      <c r="I760" t="s">
        <v>427</v>
      </c>
      <c r="J760">
        <v>-32.004116019999998</v>
      </c>
      <c r="K760" t="s">
        <v>440</v>
      </c>
      <c r="L760" t="s">
        <v>385</v>
      </c>
      <c r="M760">
        <v>0.43232641346992001</v>
      </c>
      <c r="N760">
        <v>13.836224696595719</v>
      </c>
      <c r="O760">
        <v>47588.953000000001</v>
      </c>
      <c r="P760">
        <v>1.500949E-6</v>
      </c>
      <c r="Q760">
        <v>0.14285700000000001</v>
      </c>
      <c r="R760" s="61">
        <v>1.9766015514815749</v>
      </c>
      <c r="S760" t="s">
        <v>348</v>
      </c>
      <c r="T760" t="s">
        <v>438</v>
      </c>
      <c r="U760" t="s">
        <v>425</v>
      </c>
      <c r="V760" t="s">
        <v>27</v>
      </c>
      <c r="W760">
        <v>111.133</v>
      </c>
      <c r="X760">
        <v>1.0727760310708341</v>
      </c>
      <c r="Y760">
        <v>119.22081866099499</v>
      </c>
      <c r="Z760">
        <v>694.38</v>
      </c>
      <c r="AA760">
        <v>0.875</v>
      </c>
      <c r="AB760">
        <v>72.436483054094012</v>
      </c>
      <c r="AC760">
        <v>0.95369999999999999</v>
      </c>
      <c r="AD760" s="63">
        <v>69.082999999999998</v>
      </c>
      <c r="AE760">
        <v>8.9176000000000002</v>
      </c>
      <c r="AF760">
        <v>9.5665875346772715</v>
      </c>
      <c r="AG760">
        <v>0.91300000000000003</v>
      </c>
      <c r="AH760">
        <v>6064.9193587765631</v>
      </c>
      <c r="AI760">
        <v>1.007895816242822</v>
      </c>
      <c r="AJ760" s="63">
        <v>6112.8068000000003</v>
      </c>
      <c r="AK760" s="61">
        <v>12082.583404787119</v>
      </c>
      <c r="AL760" t="s">
        <v>349</v>
      </c>
      <c r="AM760" t="s">
        <v>439</v>
      </c>
      <c r="AN760" t="s">
        <v>425</v>
      </c>
      <c r="AO760" t="s">
        <v>27</v>
      </c>
      <c r="AP760">
        <v>111.133</v>
      </c>
      <c r="AQ760">
        <v>1.080821157758461</v>
      </c>
      <c r="AR760">
        <v>120.1148977251711</v>
      </c>
      <c r="AS760">
        <v>779.31</v>
      </c>
      <c r="AT760">
        <v>0.879</v>
      </c>
      <c r="AU760">
        <v>82.280325291712501</v>
      </c>
      <c r="AV760">
        <v>0.93269999999999997</v>
      </c>
      <c r="AW760" s="63">
        <v>76.742999999999995</v>
      </c>
      <c r="AX760">
        <v>8.9176000000000002</v>
      </c>
      <c r="AY760">
        <v>0.80400000000000005</v>
      </c>
      <c r="AZ760">
        <v>6039.0430235999738</v>
      </c>
      <c r="BA760">
        <v>1.016406890894175</v>
      </c>
      <c r="BB760" s="63">
        <v>6138.1248999999998</v>
      </c>
      <c r="BC760" s="61">
        <v>12132.627200527681</v>
      </c>
    </row>
    <row r="761" spans="1:55" x14ac:dyDescent="0.25">
      <c r="A761">
        <v>267272</v>
      </c>
      <c r="B761" t="s">
        <v>454</v>
      </c>
      <c r="C761">
        <v>2020</v>
      </c>
      <c r="D761">
        <v>11</v>
      </c>
      <c r="E761" t="s">
        <v>100</v>
      </c>
      <c r="F761" t="s">
        <v>426</v>
      </c>
      <c r="G761" t="s">
        <v>84</v>
      </c>
      <c r="H761" t="s">
        <v>381</v>
      </c>
      <c r="I761" t="s">
        <v>427</v>
      </c>
      <c r="J761">
        <v>-32.004116019999998</v>
      </c>
      <c r="K761" t="s">
        <v>440</v>
      </c>
      <c r="L761" t="s">
        <v>451</v>
      </c>
      <c r="M761">
        <v>1.6825115802299999E-3</v>
      </c>
      <c r="N761">
        <v>5.3847295824099209E-2</v>
      </c>
      <c r="O761">
        <v>47588.953000000001</v>
      </c>
      <c r="P761">
        <v>1.500949E-6</v>
      </c>
      <c r="Q761">
        <v>0.14285700000000001</v>
      </c>
      <c r="R761" s="61">
        <v>7.6924631395433414E-3</v>
      </c>
      <c r="S761" t="s">
        <v>348</v>
      </c>
      <c r="T761" t="s">
        <v>438</v>
      </c>
      <c r="U761" t="s">
        <v>425</v>
      </c>
      <c r="V761" t="s">
        <v>91</v>
      </c>
      <c r="W761">
        <v>111.133</v>
      </c>
      <c r="X761">
        <v>1.0727760310708341</v>
      </c>
      <c r="Y761">
        <v>119.22081866099499</v>
      </c>
      <c r="Z761">
        <v>694.38</v>
      </c>
      <c r="AA761">
        <v>0.875</v>
      </c>
      <c r="AB761">
        <v>72.436483054094012</v>
      </c>
      <c r="AC761">
        <v>1.0179</v>
      </c>
      <c r="AD761" s="63">
        <v>73.733000000000004</v>
      </c>
      <c r="AE761">
        <v>8.9176000000000002</v>
      </c>
      <c r="AF761">
        <v>9.5665875346772715</v>
      </c>
      <c r="AG761">
        <v>0.91300000000000003</v>
      </c>
      <c r="AH761">
        <v>6064.9193587765631</v>
      </c>
      <c r="AI761">
        <v>0.98975009761811794</v>
      </c>
      <c r="AJ761" s="63">
        <v>6002.7545</v>
      </c>
      <c r="AK761" s="61">
        <v>46.175967726977923</v>
      </c>
      <c r="AL761" t="s">
        <v>349</v>
      </c>
      <c r="AM761" t="s">
        <v>439</v>
      </c>
      <c r="AN761" t="s">
        <v>425</v>
      </c>
      <c r="AO761" t="s">
        <v>91</v>
      </c>
      <c r="AP761">
        <v>111.133</v>
      </c>
      <c r="AQ761">
        <v>1.080821157758461</v>
      </c>
      <c r="AR761">
        <v>120.1148977251711</v>
      </c>
      <c r="AS761">
        <v>779.31</v>
      </c>
      <c r="AT761">
        <v>0.879</v>
      </c>
      <c r="AU761">
        <v>82.280325291712501</v>
      </c>
      <c r="AV761">
        <v>0.9899</v>
      </c>
      <c r="AW761" s="63">
        <v>81.448999999999998</v>
      </c>
      <c r="AX761">
        <v>8.9176000000000002</v>
      </c>
      <c r="AY761">
        <v>0.80400000000000005</v>
      </c>
      <c r="AZ761">
        <v>6039.0430235999738</v>
      </c>
      <c r="BA761">
        <v>0.99199531433033972</v>
      </c>
      <c r="BB761" s="63">
        <v>5990.7024000000001</v>
      </c>
      <c r="BC761" s="61">
        <v>46.083257391973831</v>
      </c>
    </row>
    <row r="762" spans="1:55" x14ac:dyDescent="0.25">
      <c r="A762">
        <v>267274</v>
      </c>
      <c r="B762" t="s">
        <v>454</v>
      </c>
      <c r="C762">
        <v>2020</v>
      </c>
      <c r="D762">
        <v>11</v>
      </c>
      <c r="E762" t="s">
        <v>100</v>
      </c>
      <c r="F762" t="s">
        <v>426</v>
      </c>
      <c r="G762" t="s">
        <v>84</v>
      </c>
      <c r="H762" t="s">
        <v>381</v>
      </c>
      <c r="I762" t="s">
        <v>427</v>
      </c>
      <c r="J762">
        <v>-32.004116019999998</v>
      </c>
      <c r="K762" t="s">
        <v>440</v>
      </c>
      <c r="L762" t="s">
        <v>452</v>
      </c>
      <c r="M762">
        <v>1.53682162831E-3</v>
      </c>
      <c r="N762">
        <v>4.9184617699433567E-2</v>
      </c>
      <c r="O762">
        <v>47588.953000000001</v>
      </c>
      <c r="P762">
        <v>1.500949E-6</v>
      </c>
      <c r="Q762">
        <v>0.14285700000000001</v>
      </c>
      <c r="R762" s="61">
        <v>7.0263669306879816E-3</v>
      </c>
      <c r="S762" t="s">
        <v>348</v>
      </c>
      <c r="T762" t="s">
        <v>438</v>
      </c>
      <c r="U762" t="s">
        <v>425</v>
      </c>
      <c r="V762" t="s">
        <v>28</v>
      </c>
      <c r="W762">
        <v>111.133</v>
      </c>
      <c r="X762">
        <v>1.0727760310708341</v>
      </c>
      <c r="Y762">
        <v>119.22081866099499</v>
      </c>
      <c r="Z762">
        <v>694.38</v>
      </c>
      <c r="AA762">
        <v>0.875</v>
      </c>
      <c r="AB762">
        <v>72.436483054094012</v>
      </c>
      <c r="AC762">
        <v>0.99250000000000005</v>
      </c>
      <c r="AD762" s="63">
        <v>71.893000000000001</v>
      </c>
      <c r="AE762">
        <v>8.9176000000000002</v>
      </c>
      <c r="AF762">
        <v>9.5665875346772715</v>
      </c>
      <c r="AG762">
        <v>0.91300000000000003</v>
      </c>
      <c r="AH762">
        <v>6064.9193587765631</v>
      </c>
      <c r="AI762">
        <v>0.93847214018507585</v>
      </c>
      <c r="AJ762" s="63">
        <v>5691.7578999999996</v>
      </c>
      <c r="AK762" s="61">
        <v>39.992379486042083</v>
      </c>
      <c r="AL762" t="s">
        <v>349</v>
      </c>
      <c r="AM762" t="s">
        <v>439</v>
      </c>
      <c r="AN762" t="s">
        <v>425</v>
      </c>
      <c r="AO762" t="s">
        <v>28</v>
      </c>
      <c r="AP762">
        <v>111.133</v>
      </c>
      <c r="AQ762">
        <v>1.080821157758461</v>
      </c>
      <c r="AR762">
        <v>120.1148977251711</v>
      </c>
      <c r="AS762">
        <v>779.31</v>
      </c>
      <c r="AT762">
        <v>0.879</v>
      </c>
      <c r="AU762">
        <v>82.280325291712501</v>
      </c>
      <c r="AV762">
        <v>0.96379999999999999</v>
      </c>
      <c r="AW762" s="63">
        <v>79.302000000000007</v>
      </c>
      <c r="AX762">
        <v>8.9176000000000002</v>
      </c>
      <c r="AY762">
        <v>0.80400000000000005</v>
      </c>
      <c r="AZ762">
        <v>6039.0430235999738</v>
      </c>
      <c r="BA762">
        <v>0.93699547154951757</v>
      </c>
      <c r="BB762" s="63">
        <v>5658.5559999999996</v>
      </c>
      <c r="BC762" s="61">
        <v>39.759090753846067</v>
      </c>
    </row>
    <row r="763" spans="1:55" x14ac:dyDescent="0.25">
      <c r="A763">
        <v>267276</v>
      </c>
      <c r="B763" t="s">
        <v>454</v>
      </c>
      <c r="C763">
        <v>2020</v>
      </c>
      <c r="D763">
        <v>11</v>
      </c>
      <c r="E763" t="s">
        <v>100</v>
      </c>
      <c r="F763" t="s">
        <v>426</v>
      </c>
      <c r="G763" t="s">
        <v>84</v>
      </c>
      <c r="H763" t="s">
        <v>87</v>
      </c>
      <c r="I763" t="s">
        <v>427</v>
      </c>
      <c r="J763">
        <v>-5.8835884299999996</v>
      </c>
      <c r="K763" t="s">
        <v>440</v>
      </c>
      <c r="L763" t="s">
        <v>450</v>
      </c>
      <c r="M763">
        <v>0.26601384014995</v>
      </c>
      <c r="N763">
        <v>1.56511595164048</v>
      </c>
      <c r="O763">
        <v>47588.953000000001</v>
      </c>
      <c r="P763">
        <v>1.500949E-6</v>
      </c>
      <c r="Q763">
        <v>0.14285700000000001</v>
      </c>
      <c r="R763" s="61">
        <v>0.22358776950350401</v>
      </c>
      <c r="S763" t="s">
        <v>348</v>
      </c>
      <c r="T763" t="s">
        <v>438</v>
      </c>
      <c r="U763" t="s">
        <v>425</v>
      </c>
      <c r="V763" t="s">
        <v>26</v>
      </c>
      <c r="W763">
        <v>111.133</v>
      </c>
      <c r="X763">
        <v>1.0727760310708341</v>
      </c>
      <c r="Y763">
        <v>119.22081866099499</v>
      </c>
      <c r="Z763">
        <v>694.38</v>
      </c>
      <c r="AA763">
        <v>0.875</v>
      </c>
      <c r="AB763">
        <v>72.436483054094012</v>
      </c>
      <c r="AC763">
        <v>0.98270000000000002</v>
      </c>
      <c r="AD763" s="63">
        <v>71.183000000000007</v>
      </c>
      <c r="AE763">
        <v>8.9176000000000002</v>
      </c>
      <c r="AF763">
        <v>9.5665875346772715</v>
      </c>
      <c r="AG763">
        <v>0.91300000000000003</v>
      </c>
      <c r="AH763">
        <v>6064.9193587765631</v>
      </c>
      <c r="AI763">
        <v>0.99365142346989388</v>
      </c>
      <c r="AJ763" s="63">
        <v>6026.4157999999998</v>
      </c>
      <c r="AK763" s="61">
        <v>1347.4328668226749</v>
      </c>
      <c r="AL763" t="s">
        <v>349</v>
      </c>
      <c r="AM763" t="s">
        <v>439</v>
      </c>
      <c r="AN763" t="s">
        <v>425</v>
      </c>
      <c r="AO763" t="s">
        <v>26</v>
      </c>
      <c r="AP763">
        <v>111.133</v>
      </c>
      <c r="AQ763">
        <v>1.080821157758461</v>
      </c>
      <c r="AR763">
        <v>120.1148977251711</v>
      </c>
      <c r="AS763">
        <v>779.31</v>
      </c>
      <c r="AT763">
        <v>0.879</v>
      </c>
      <c r="AU763">
        <v>82.280325291712501</v>
      </c>
      <c r="AV763">
        <v>0.97599999999999998</v>
      </c>
      <c r="AW763" s="63">
        <v>80.305999999999997</v>
      </c>
      <c r="AX763">
        <v>8.9176000000000002</v>
      </c>
      <c r="AY763">
        <v>0.80400000000000005</v>
      </c>
      <c r="AZ763">
        <v>6039.0430235999738</v>
      </c>
      <c r="BA763">
        <v>0.99553615712726917</v>
      </c>
      <c r="BB763" s="63">
        <v>6012.0856999999996</v>
      </c>
      <c r="BC763" s="61">
        <v>1344.2288317269119</v>
      </c>
    </row>
    <row r="764" spans="1:55" x14ac:dyDescent="0.25">
      <c r="A764">
        <v>267278</v>
      </c>
      <c r="B764" t="s">
        <v>454</v>
      </c>
      <c r="C764">
        <v>2020</v>
      </c>
      <c r="D764">
        <v>11</v>
      </c>
      <c r="E764" t="s">
        <v>100</v>
      </c>
      <c r="F764" t="s">
        <v>426</v>
      </c>
      <c r="G764" t="s">
        <v>84</v>
      </c>
      <c r="H764" t="s">
        <v>87</v>
      </c>
      <c r="I764" t="s">
        <v>427</v>
      </c>
      <c r="J764">
        <v>-5.8835884299999996</v>
      </c>
      <c r="K764" t="s">
        <v>440</v>
      </c>
      <c r="L764" t="s">
        <v>384</v>
      </c>
      <c r="M764">
        <v>3.9509559941419997E-2</v>
      </c>
      <c r="N764">
        <v>0.2324579896736014</v>
      </c>
      <c r="O764">
        <v>47588.953000000001</v>
      </c>
      <c r="P764">
        <v>1.500949E-6</v>
      </c>
      <c r="Q764">
        <v>0.14285700000000001</v>
      </c>
      <c r="R764" s="61">
        <v>3.3208251030801668E-2</v>
      </c>
      <c r="S764" t="s">
        <v>348</v>
      </c>
      <c r="T764" t="s">
        <v>438</v>
      </c>
      <c r="U764" t="s">
        <v>425</v>
      </c>
      <c r="V764" t="s">
        <v>81</v>
      </c>
      <c r="W764">
        <v>111.133</v>
      </c>
      <c r="X764">
        <v>1.0727760310708341</v>
      </c>
      <c r="Y764">
        <v>119.22081866099499</v>
      </c>
      <c r="Z764">
        <v>694.38</v>
      </c>
      <c r="AA764">
        <v>0.875</v>
      </c>
      <c r="AB764">
        <v>72.436483054094012</v>
      </c>
      <c r="AC764">
        <v>0.93500000000000005</v>
      </c>
      <c r="AD764" s="63">
        <v>67.727999999999994</v>
      </c>
      <c r="AE764">
        <v>8.9176000000000002</v>
      </c>
      <c r="AF764">
        <v>9.5665875346772715</v>
      </c>
      <c r="AG764">
        <v>0.91300000000000003</v>
      </c>
      <c r="AH764">
        <v>6064.9193587765631</v>
      </c>
      <c r="AI764">
        <v>1.096171586715867</v>
      </c>
      <c r="AJ764" s="63">
        <v>6648.1922999999997</v>
      </c>
      <c r="AK764" s="61">
        <v>220.77483879944279</v>
      </c>
      <c r="AL764" t="s">
        <v>349</v>
      </c>
      <c r="AM764" t="s">
        <v>439</v>
      </c>
      <c r="AN764" t="s">
        <v>425</v>
      </c>
      <c r="AO764" t="s">
        <v>81</v>
      </c>
      <c r="AP764">
        <v>111.133</v>
      </c>
      <c r="AQ764">
        <v>1.080821157758461</v>
      </c>
      <c r="AR764">
        <v>120.1148977251711</v>
      </c>
      <c r="AS764">
        <v>779.31</v>
      </c>
      <c r="AT764">
        <v>0.879</v>
      </c>
      <c r="AU764">
        <v>82.280325291712501</v>
      </c>
      <c r="AV764">
        <v>0.93120000000000003</v>
      </c>
      <c r="AW764" s="63">
        <v>76.619</v>
      </c>
      <c r="AX764">
        <v>8.9176000000000002</v>
      </c>
      <c r="AY764">
        <v>0.80400000000000005</v>
      </c>
      <c r="AZ764">
        <v>6039.0430235999738</v>
      </c>
      <c r="BA764">
        <v>1.1187730627306269</v>
      </c>
      <c r="BB764" s="63">
        <v>6756.3186999999998</v>
      </c>
      <c r="BC764" s="61">
        <v>224.36552743369961</v>
      </c>
    </row>
    <row r="765" spans="1:55" x14ac:dyDescent="0.25">
      <c r="A765">
        <v>267280</v>
      </c>
      <c r="B765" t="s">
        <v>454</v>
      </c>
      <c r="C765">
        <v>2020</v>
      </c>
      <c r="D765">
        <v>11</v>
      </c>
      <c r="E765" t="s">
        <v>100</v>
      </c>
      <c r="F765" t="s">
        <v>426</v>
      </c>
      <c r="G765" t="s">
        <v>84</v>
      </c>
      <c r="H765" t="s">
        <v>87</v>
      </c>
      <c r="I765" t="s">
        <v>427</v>
      </c>
      <c r="J765">
        <v>-5.8835884299999996</v>
      </c>
      <c r="K765" t="s">
        <v>440</v>
      </c>
      <c r="L765" t="s">
        <v>385</v>
      </c>
      <c r="M765">
        <v>0.39737542925016001</v>
      </c>
      <c r="N765">
        <v>2.3379934771770752</v>
      </c>
      <c r="O765">
        <v>47588.953000000001</v>
      </c>
      <c r="P765">
        <v>1.500949E-6</v>
      </c>
      <c r="Q765">
        <v>0.14285700000000001</v>
      </c>
      <c r="R765" s="61">
        <v>0.33399873416908538</v>
      </c>
      <c r="S765" t="s">
        <v>348</v>
      </c>
      <c r="T765" t="s">
        <v>438</v>
      </c>
      <c r="U765" t="s">
        <v>425</v>
      </c>
      <c r="V765" t="s">
        <v>27</v>
      </c>
      <c r="W765">
        <v>111.133</v>
      </c>
      <c r="X765">
        <v>1.0727760310708341</v>
      </c>
      <c r="Y765">
        <v>119.22081866099499</v>
      </c>
      <c r="Z765">
        <v>694.38</v>
      </c>
      <c r="AA765">
        <v>0.875</v>
      </c>
      <c r="AB765">
        <v>72.436483054094012</v>
      </c>
      <c r="AC765">
        <v>0.95369999999999999</v>
      </c>
      <c r="AD765" s="63">
        <v>69.082999999999998</v>
      </c>
      <c r="AE765">
        <v>8.9176000000000002</v>
      </c>
      <c r="AF765">
        <v>9.5665875346772715</v>
      </c>
      <c r="AG765">
        <v>0.91300000000000003</v>
      </c>
      <c r="AH765">
        <v>6064.9193587765631</v>
      </c>
      <c r="AI765">
        <v>1.007895816242822</v>
      </c>
      <c r="AJ765" s="63">
        <v>6112.8068000000003</v>
      </c>
      <c r="AK765" s="61">
        <v>2041.6697334201781</v>
      </c>
      <c r="AL765" t="s">
        <v>349</v>
      </c>
      <c r="AM765" t="s">
        <v>439</v>
      </c>
      <c r="AN765" t="s">
        <v>425</v>
      </c>
      <c r="AO765" t="s">
        <v>27</v>
      </c>
      <c r="AP765">
        <v>111.133</v>
      </c>
      <c r="AQ765">
        <v>1.080821157758461</v>
      </c>
      <c r="AR765">
        <v>120.1148977251711</v>
      </c>
      <c r="AS765">
        <v>779.31</v>
      </c>
      <c r="AT765">
        <v>0.879</v>
      </c>
      <c r="AU765">
        <v>82.280325291712501</v>
      </c>
      <c r="AV765">
        <v>0.93269999999999997</v>
      </c>
      <c r="AW765" s="63">
        <v>76.742999999999995</v>
      </c>
      <c r="AX765">
        <v>8.9176000000000002</v>
      </c>
      <c r="AY765">
        <v>0.80400000000000005</v>
      </c>
      <c r="AZ765">
        <v>6039.0430235999738</v>
      </c>
      <c r="BA765">
        <v>1.016406890894175</v>
      </c>
      <c r="BB765" s="63">
        <v>6138.1248999999998</v>
      </c>
      <c r="BC765" s="61">
        <v>2050.1259467717441</v>
      </c>
    </row>
    <row r="766" spans="1:55" x14ac:dyDescent="0.25">
      <c r="A766">
        <v>267282</v>
      </c>
      <c r="B766" t="s">
        <v>454</v>
      </c>
      <c r="C766">
        <v>2020</v>
      </c>
      <c r="D766">
        <v>11</v>
      </c>
      <c r="E766" t="s">
        <v>100</v>
      </c>
      <c r="F766" t="s">
        <v>426</v>
      </c>
      <c r="G766" t="s">
        <v>84</v>
      </c>
      <c r="H766" t="s">
        <v>87</v>
      </c>
      <c r="I766" t="s">
        <v>427</v>
      </c>
      <c r="J766">
        <v>-5.8835884299999996</v>
      </c>
      <c r="K766" t="s">
        <v>440</v>
      </c>
      <c r="L766" t="s">
        <v>452</v>
      </c>
      <c r="M766">
        <v>8.4248020759000004E-4</v>
      </c>
      <c r="N766">
        <v>4.9568068003424878E-3</v>
      </c>
      <c r="O766">
        <v>47588.953000000001</v>
      </c>
      <c r="P766">
        <v>1.500949E-6</v>
      </c>
      <c r="Q766">
        <v>0.14285700000000001</v>
      </c>
      <c r="R766" s="61">
        <v>7.0811454907652679E-4</v>
      </c>
      <c r="S766" t="s">
        <v>348</v>
      </c>
      <c r="T766" t="s">
        <v>438</v>
      </c>
      <c r="U766" t="s">
        <v>425</v>
      </c>
      <c r="V766" t="s">
        <v>28</v>
      </c>
      <c r="W766">
        <v>111.133</v>
      </c>
      <c r="X766">
        <v>1.0727760310708341</v>
      </c>
      <c r="Y766">
        <v>119.22081866099499</v>
      </c>
      <c r="Z766">
        <v>694.38</v>
      </c>
      <c r="AA766">
        <v>0.875</v>
      </c>
      <c r="AB766">
        <v>72.436483054094012</v>
      </c>
      <c r="AC766">
        <v>0.99250000000000005</v>
      </c>
      <c r="AD766" s="63">
        <v>71.893000000000001</v>
      </c>
      <c r="AE766">
        <v>8.9176000000000002</v>
      </c>
      <c r="AF766">
        <v>9.5665875346772715</v>
      </c>
      <c r="AG766">
        <v>0.91300000000000003</v>
      </c>
      <c r="AH766">
        <v>6064.9193587765631</v>
      </c>
      <c r="AI766">
        <v>0.93847214018507585</v>
      </c>
      <c r="AJ766" s="63">
        <v>5691.7578999999996</v>
      </c>
      <c r="AK766" s="61">
        <v>4.0304165788112591</v>
      </c>
      <c r="AL766" t="s">
        <v>349</v>
      </c>
      <c r="AM766" t="s">
        <v>439</v>
      </c>
      <c r="AN766" t="s">
        <v>425</v>
      </c>
      <c r="AO766" t="s">
        <v>28</v>
      </c>
      <c r="AP766">
        <v>111.133</v>
      </c>
      <c r="AQ766">
        <v>1.080821157758461</v>
      </c>
      <c r="AR766">
        <v>120.1148977251711</v>
      </c>
      <c r="AS766">
        <v>779.31</v>
      </c>
      <c r="AT766">
        <v>0.879</v>
      </c>
      <c r="AU766">
        <v>82.280325291712501</v>
      </c>
      <c r="AV766">
        <v>0.96379999999999999</v>
      </c>
      <c r="AW766" s="63">
        <v>79.302000000000007</v>
      </c>
      <c r="AX766">
        <v>8.9176000000000002</v>
      </c>
      <c r="AY766">
        <v>0.80400000000000005</v>
      </c>
      <c r="AZ766">
        <v>6039.0430235999738</v>
      </c>
      <c r="BA766">
        <v>0.93699547154951757</v>
      </c>
      <c r="BB766" s="63">
        <v>5658.5559999999996</v>
      </c>
      <c r="BC766" s="61">
        <v>4.0069058303642748</v>
      </c>
    </row>
    <row r="767" spans="1:55" x14ac:dyDescent="0.25">
      <c r="A767">
        <v>267284</v>
      </c>
      <c r="B767" t="s">
        <v>454</v>
      </c>
      <c r="C767">
        <v>2020</v>
      </c>
      <c r="D767">
        <v>11</v>
      </c>
      <c r="E767" t="s">
        <v>100</v>
      </c>
      <c r="F767" t="s">
        <v>426</v>
      </c>
      <c r="G767" t="s">
        <v>84</v>
      </c>
      <c r="H767" t="s">
        <v>59</v>
      </c>
      <c r="I767" t="s">
        <v>427</v>
      </c>
      <c r="J767">
        <v>-17.390262679999999</v>
      </c>
      <c r="K767" t="s">
        <v>440</v>
      </c>
      <c r="L767" t="s">
        <v>450</v>
      </c>
      <c r="M767">
        <v>0.15931709696460999</v>
      </c>
      <c r="N767">
        <v>2.7705661656409961</v>
      </c>
      <c r="O767">
        <v>47588.953000000001</v>
      </c>
      <c r="P767">
        <v>1.500949E-6</v>
      </c>
      <c r="Q767">
        <v>0.14285700000000001</v>
      </c>
      <c r="R767" s="61">
        <v>0.39579477072497582</v>
      </c>
      <c r="S767" t="s">
        <v>348</v>
      </c>
      <c r="T767" t="s">
        <v>438</v>
      </c>
      <c r="U767" t="s">
        <v>425</v>
      </c>
      <c r="V767" t="s">
        <v>26</v>
      </c>
      <c r="W767">
        <v>111.133</v>
      </c>
      <c r="X767">
        <v>1.0727760310708341</v>
      </c>
      <c r="Y767">
        <v>119.22081866099499</v>
      </c>
      <c r="Z767">
        <v>694.38</v>
      </c>
      <c r="AA767">
        <v>0.875</v>
      </c>
      <c r="AB767">
        <v>72.436483054094012</v>
      </c>
      <c r="AC767">
        <v>0.98270000000000002</v>
      </c>
      <c r="AD767" s="63">
        <v>71.183000000000007</v>
      </c>
      <c r="AE767">
        <v>8.9176000000000002</v>
      </c>
      <c r="AF767">
        <v>9.5665875346772715</v>
      </c>
      <c r="AG767">
        <v>0.91300000000000003</v>
      </c>
      <c r="AH767">
        <v>6064.9193587765631</v>
      </c>
      <c r="AI767">
        <v>0.99365142346989388</v>
      </c>
      <c r="AJ767" s="63">
        <v>6026.4157999999998</v>
      </c>
      <c r="AK767" s="61">
        <v>2385.2238598543722</v>
      </c>
      <c r="AL767" t="s">
        <v>349</v>
      </c>
      <c r="AM767" t="s">
        <v>439</v>
      </c>
      <c r="AN767" t="s">
        <v>425</v>
      </c>
      <c r="AO767" t="s">
        <v>26</v>
      </c>
      <c r="AP767">
        <v>111.133</v>
      </c>
      <c r="AQ767">
        <v>1.080821157758461</v>
      </c>
      <c r="AR767">
        <v>120.1148977251711</v>
      </c>
      <c r="AS767">
        <v>779.31</v>
      </c>
      <c r="AT767">
        <v>0.879</v>
      </c>
      <c r="AU767">
        <v>82.280325291712501</v>
      </c>
      <c r="AV767">
        <v>0.97599999999999998</v>
      </c>
      <c r="AW767" s="63">
        <v>80.305999999999997</v>
      </c>
      <c r="AX767">
        <v>8.9176000000000002</v>
      </c>
      <c r="AY767">
        <v>0.80400000000000005</v>
      </c>
      <c r="AZ767">
        <v>6039.0430235999738</v>
      </c>
      <c r="BA767">
        <v>0.99553615712726917</v>
      </c>
      <c r="BB767" s="63">
        <v>6012.0856999999996</v>
      </c>
      <c r="BC767" s="61">
        <v>2379.552081210406</v>
      </c>
    </row>
    <row r="768" spans="1:55" x14ac:dyDescent="0.25">
      <c r="A768">
        <v>267286</v>
      </c>
      <c r="B768" t="s">
        <v>454</v>
      </c>
      <c r="C768">
        <v>2020</v>
      </c>
      <c r="D768">
        <v>11</v>
      </c>
      <c r="E768" t="s">
        <v>100</v>
      </c>
      <c r="F768" t="s">
        <v>426</v>
      </c>
      <c r="G768" t="s">
        <v>84</v>
      </c>
      <c r="H768" t="s">
        <v>59</v>
      </c>
      <c r="I768" t="s">
        <v>427</v>
      </c>
      <c r="J768">
        <v>-17.390262679999999</v>
      </c>
      <c r="K768" t="s">
        <v>440</v>
      </c>
      <c r="L768" t="s">
        <v>384</v>
      </c>
      <c r="M768">
        <v>4.1785183859599999E-2</v>
      </c>
      <c r="N768">
        <v>0.72665532345352957</v>
      </c>
      <c r="O768">
        <v>47588.953000000001</v>
      </c>
      <c r="P768">
        <v>1.500949E-6</v>
      </c>
      <c r="Q768">
        <v>0.14285700000000001</v>
      </c>
      <c r="R768" s="61">
        <v>0.1038077995426009</v>
      </c>
      <c r="S768" t="s">
        <v>348</v>
      </c>
      <c r="T768" t="s">
        <v>438</v>
      </c>
      <c r="U768" t="s">
        <v>425</v>
      </c>
      <c r="V768" t="s">
        <v>81</v>
      </c>
      <c r="W768">
        <v>111.133</v>
      </c>
      <c r="X768">
        <v>1.0727760310708341</v>
      </c>
      <c r="Y768">
        <v>119.22081866099499</v>
      </c>
      <c r="Z768">
        <v>694.38</v>
      </c>
      <c r="AA768">
        <v>0.875</v>
      </c>
      <c r="AB768">
        <v>72.436483054094012</v>
      </c>
      <c r="AC768">
        <v>0.93500000000000005</v>
      </c>
      <c r="AD768" s="63">
        <v>67.727999999999994</v>
      </c>
      <c r="AE768">
        <v>8.9176000000000002</v>
      </c>
      <c r="AF768">
        <v>9.5665875346772715</v>
      </c>
      <c r="AG768">
        <v>0.91300000000000003</v>
      </c>
      <c r="AH768">
        <v>6064.9193587765631</v>
      </c>
      <c r="AI768">
        <v>1.096171586715867</v>
      </c>
      <c r="AJ768" s="63">
        <v>6648.1922999999997</v>
      </c>
      <c r="AK768" s="61">
        <v>690.13421359906272</v>
      </c>
      <c r="AL768" t="s">
        <v>349</v>
      </c>
      <c r="AM768" t="s">
        <v>439</v>
      </c>
      <c r="AN768" t="s">
        <v>425</v>
      </c>
      <c r="AO768" t="s">
        <v>81</v>
      </c>
      <c r="AP768">
        <v>111.133</v>
      </c>
      <c r="AQ768">
        <v>1.080821157758461</v>
      </c>
      <c r="AR768">
        <v>120.1148977251711</v>
      </c>
      <c r="AS768">
        <v>779.31</v>
      </c>
      <c r="AT768">
        <v>0.879</v>
      </c>
      <c r="AU768">
        <v>82.280325291712501</v>
      </c>
      <c r="AV768">
        <v>0.93120000000000003</v>
      </c>
      <c r="AW768" s="63">
        <v>76.619</v>
      </c>
      <c r="AX768">
        <v>8.9176000000000002</v>
      </c>
      <c r="AY768">
        <v>0.80400000000000005</v>
      </c>
      <c r="AZ768">
        <v>6039.0430235999738</v>
      </c>
      <c r="BA768">
        <v>1.1187730627306269</v>
      </c>
      <c r="BB768" s="63">
        <v>6756.3186999999998</v>
      </c>
      <c r="BC768" s="61">
        <v>701.3585772555258</v>
      </c>
    </row>
    <row r="769" spans="1:55" x14ac:dyDescent="0.25">
      <c r="A769">
        <v>267288</v>
      </c>
      <c r="B769" t="s">
        <v>454</v>
      </c>
      <c r="C769">
        <v>2020</v>
      </c>
      <c r="D769">
        <v>11</v>
      </c>
      <c r="E769" t="s">
        <v>100</v>
      </c>
      <c r="F769" t="s">
        <v>426</v>
      </c>
      <c r="G769" t="s">
        <v>84</v>
      </c>
      <c r="H769" t="s">
        <v>59</v>
      </c>
      <c r="I769" t="s">
        <v>427</v>
      </c>
      <c r="J769">
        <v>-17.390262679999999</v>
      </c>
      <c r="K769" t="s">
        <v>440</v>
      </c>
      <c r="L769" t="s">
        <v>385</v>
      </c>
      <c r="M769">
        <v>0.43497567483749999</v>
      </c>
      <c r="N769">
        <v>7.5643412448655099</v>
      </c>
      <c r="O769">
        <v>47588.953000000001</v>
      </c>
      <c r="P769">
        <v>1.500949E-6</v>
      </c>
      <c r="Q769">
        <v>0.14285700000000001</v>
      </c>
      <c r="R769" s="61">
        <v>1.0806190972177521</v>
      </c>
      <c r="S769" t="s">
        <v>348</v>
      </c>
      <c r="T769" t="s">
        <v>438</v>
      </c>
      <c r="U769" t="s">
        <v>425</v>
      </c>
      <c r="V769" t="s">
        <v>27</v>
      </c>
      <c r="W769">
        <v>111.133</v>
      </c>
      <c r="X769">
        <v>1.0727760310708341</v>
      </c>
      <c r="Y769">
        <v>119.22081866099499</v>
      </c>
      <c r="Z769">
        <v>694.38</v>
      </c>
      <c r="AA769">
        <v>0.875</v>
      </c>
      <c r="AB769">
        <v>72.436483054094012</v>
      </c>
      <c r="AC769">
        <v>0.95369999999999999</v>
      </c>
      <c r="AD769" s="63">
        <v>69.082999999999998</v>
      </c>
      <c r="AE769">
        <v>8.9176000000000002</v>
      </c>
      <c r="AF769">
        <v>9.5665875346772715</v>
      </c>
      <c r="AG769">
        <v>0.91300000000000003</v>
      </c>
      <c r="AH769">
        <v>6064.9193587765631</v>
      </c>
      <c r="AI769">
        <v>1.007895816242822</v>
      </c>
      <c r="AJ769" s="63">
        <v>6112.8068000000003</v>
      </c>
      <c r="AK769" s="61">
        <v>6605.615765682538</v>
      </c>
      <c r="AL769" t="s">
        <v>349</v>
      </c>
      <c r="AM769" t="s">
        <v>439</v>
      </c>
      <c r="AN769" t="s">
        <v>425</v>
      </c>
      <c r="AO769" t="s">
        <v>27</v>
      </c>
      <c r="AP769">
        <v>111.133</v>
      </c>
      <c r="AQ769">
        <v>1.080821157758461</v>
      </c>
      <c r="AR769">
        <v>120.1148977251711</v>
      </c>
      <c r="AS769">
        <v>779.31</v>
      </c>
      <c r="AT769">
        <v>0.879</v>
      </c>
      <c r="AU769">
        <v>82.280325291712501</v>
      </c>
      <c r="AV769">
        <v>0.93269999999999997</v>
      </c>
      <c r="AW769" s="63">
        <v>76.742999999999995</v>
      </c>
      <c r="AX769">
        <v>8.9176000000000002</v>
      </c>
      <c r="AY769">
        <v>0.80400000000000005</v>
      </c>
      <c r="AZ769">
        <v>6039.0430235999738</v>
      </c>
      <c r="BA769">
        <v>1.016406890894175</v>
      </c>
      <c r="BB769" s="63">
        <v>6138.1248999999998</v>
      </c>
      <c r="BC769" s="61">
        <v>6632.9749880478057</v>
      </c>
    </row>
    <row r="770" spans="1:55" x14ac:dyDescent="0.25">
      <c r="A770">
        <v>267290</v>
      </c>
      <c r="B770" t="s">
        <v>454</v>
      </c>
      <c r="C770">
        <v>2020</v>
      </c>
      <c r="D770">
        <v>11</v>
      </c>
      <c r="E770" t="s">
        <v>100</v>
      </c>
      <c r="F770" t="s">
        <v>426</v>
      </c>
      <c r="G770" t="s">
        <v>84</v>
      </c>
      <c r="H770" t="s">
        <v>59</v>
      </c>
      <c r="I770" t="s">
        <v>427</v>
      </c>
      <c r="J770">
        <v>-17.390262679999999</v>
      </c>
      <c r="K770" t="s">
        <v>440</v>
      </c>
      <c r="L770" t="s">
        <v>451</v>
      </c>
      <c r="M770">
        <v>1.7625750762999999E-3</v>
      </c>
      <c r="N770">
        <v>3.065164357020414E-2</v>
      </c>
      <c r="O770">
        <v>47588.953000000001</v>
      </c>
      <c r="P770">
        <v>1.500949E-6</v>
      </c>
      <c r="Q770">
        <v>0.14285700000000001</v>
      </c>
      <c r="R770" s="61">
        <v>4.3788018455086534E-3</v>
      </c>
      <c r="S770" t="s">
        <v>348</v>
      </c>
      <c r="T770" t="s">
        <v>438</v>
      </c>
      <c r="U770" t="s">
        <v>425</v>
      </c>
      <c r="V770" t="s">
        <v>91</v>
      </c>
      <c r="W770">
        <v>111.133</v>
      </c>
      <c r="X770">
        <v>1.0727760310708341</v>
      </c>
      <c r="Y770">
        <v>119.22081866099499</v>
      </c>
      <c r="Z770">
        <v>694.38</v>
      </c>
      <c r="AA770">
        <v>0.875</v>
      </c>
      <c r="AB770">
        <v>72.436483054094012</v>
      </c>
      <c r="AC770">
        <v>1.0179</v>
      </c>
      <c r="AD770" s="63">
        <v>73.733000000000004</v>
      </c>
      <c r="AE770">
        <v>8.9176000000000002</v>
      </c>
      <c r="AF770">
        <v>9.5665875346772715</v>
      </c>
      <c r="AG770">
        <v>0.91300000000000003</v>
      </c>
      <c r="AH770">
        <v>6064.9193587765631</v>
      </c>
      <c r="AI770">
        <v>0.98975009761811794</v>
      </c>
      <c r="AJ770" s="63">
        <v>6002.7545</v>
      </c>
      <c r="AK770" s="61">
        <v>26.28487248273537</v>
      </c>
      <c r="AL770" t="s">
        <v>349</v>
      </c>
      <c r="AM770" t="s">
        <v>439</v>
      </c>
      <c r="AN770" t="s">
        <v>425</v>
      </c>
      <c r="AO770" t="s">
        <v>91</v>
      </c>
      <c r="AP770">
        <v>111.133</v>
      </c>
      <c r="AQ770">
        <v>1.080821157758461</v>
      </c>
      <c r="AR770">
        <v>120.1148977251711</v>
      </c>
      <c r="AS770">
        <v>779.31</v>
      </c>
      <c r="AT770">
        <v>0.879</v>
      </c>
      <c r="AU770">
        <v>82.280325291712501</v>
      </c>
      <c r="AV770">
        <v>0.9899</v>
      </c>
      <c r="AW770" s="63">
        <v>81.448999999999998</v>
      </c>
      <c r="AX770">
        <v>8.9176000000000002</v>
      </c>
      <c r="AY770">
        <v>0.80400000000000005</v>
      </c>
      <c r="AZ770">
        <v>6039.0430235999738</v>
      </c>
      <c r="BA770">
        <v>0.99199531433033972</v>
      </c>
      <c r="BB770" s="63">
        <v>5990.7024000000001</v>
      </c>
      <c r="BC770" s="61">
        <v>26.23209872501311</v>
      </c>
    </row>
    <row r="771" spans="1:55" x14ac:dyDescent="0.25">
      <c r="A771">
        <v>267292</v>
      </c>
      <c r="B771" t="s">
        <v>454</v>
      </c>
      <c r="C771">
        <v>2020</v>
      </c>
      <c r="D771">
        <v>11</v>
      </c>
      <c r="E771" t="s">
        <v>100</v>
      </c>
      <c r="F771" t="s">
        <v>426</v>
      </c>
      <c r="G771" t="s">
        <v>84</v>
      </c>
      <c r="H771" t="s">
        <v>59</v>
      </c>
      <c r="I771" t="s">
        <v>427</v>
      </c>
      <c r="J771">
        <v>-17.390262679999999</v>
      </c>
      <c r="K771" t="s">
        <v>440</v>
      </c>
      <c r="L771" t="s">
        <v>452</v>
      </c>
      <c r="M771">
        <v>1.4858046103299999E-3</v>
      </c>
      <c r="N771">
        <v>2.5838532464900039E-2</v>
      </c>
      <c r="O771">
        <v>47588.953000000001</v>
      </c>
      <c r="P771">
        <v>1.500949E-6</v>
      </c>
      <c r="Q771">
        <v>0.14285700000000001</v>
      </c>
      <c r="R771" s="61">
        <v>3.6912152323382249E-3</v>
      </c>
      <c r="S771" t="s">
        <v>348</v>
      </c>
      <c r="T771" t="s">
        <v>438</v>
      </c>
      <c r="U771" t="s">
        <v>425</v>
      </c>
      <c r="V771" t="s">
        <v>28</v>
      </c>
      <c r="W771">
        <v>111.133</v>
      </c>
      <c r="X771">
        <v>1.0727760310708341</v>
      </c>
      <c r="Y771">
        <v>119.22081866099499</v>
      </c>
      <c r="Z771">
        <v>694.38</v>
      </c>
      <c r="AA771">
        <v>0.875</v>
      </c>
      <c r="AB771">
        <v>72.436483054094012</v>
      </c>
      <c r="AC771">
        <v>0.99250000000000005</v>
      </c>
      <c r="AD771" s="63">
        <v>71.893000000000001</v>
      </c>
      <c r="AE771">
        <v>8.9176000000000002</v>
      </c>
      <c r="AF771">
        <v>9.5665875346772715</v>
      </c>
      <c r="AG771">
        <v>0.91300000000000003</v>
      </c>
      <c r="AH771">
        <v>6064.9193587765631</v>
      </c>
      <c r="AI771">
        <v>0.93847214018507585</v>
      </c>
      <c r="AJ771" s="63">
        <v>5691.7578999999996</v>
      </c>
      <c r="AK771" s="61">
        <v>21.00950345926142</v>
      </c>
      <c r="AL771" t="s">
        <v>349</v>
      </c>
      <c r="AM771" t="s">
        <v>439</v>
      </c>
      <c r="AN771" t="s">
        <v>425</v>
      </c>
      <c r="AO771" t="s">
        <v>28</v>
      </c>
      <c r="AP771">
        <v>111.133</v>
      </c>
      <c r="AQ771">
        <v>1.080821157758461</v>
      </c>
      <c r="AR771">
        <v>120.1148977251711</v>
      </c>
      <c r="AS771">
        <v>779.31</v>
      </c>
      <c r="AT771">
        <v>0.879</v>
      </c>
      <c r="AU771">
        <v>82.280325291712501</v>
      </c>
      <c r="AV771">
        <v>0.96379999999999999</v>
      </c>
      <c r="AW771" s="63">
        <v>79.302000000000007</v>
      </c>
      <c r="AX771">
        <v>8.9176000000000002</v>
      </c>
      <c r="AY771">
        <v>0.80400000000000005</v>
      </c>
      <c r="AZ771">
        <v>6039.0430235999738</v>
      </c>
      <c r="BA771">
        <v>0.93699547154951757</v>
      </c>
      <c r="BB771" s="63">
        <v>5658.5559999999996</v>
      </c>
      <c r="BC771" s="61">
        <v>20.88694810023885</v>
      </c>
    </row>
    <row r="772" spans="1:55" x14ac:dyDescent="0.25">
      <c r="A772">
        <v>274511</v>
      </c>
      <c r="B772" t="s">
        <v>455</v>
      </c>
      <c r="C772">
        <v>2020</v>
      </c>
      <c r="D772">
        <v>12</v>
      </c>
      <c r="E772" t="s">
        <v>100</v>
      </c>
      <c r="F772" t="s">
        <v>426</v>
      </c>
      <c r="G772" t="s">
        <v>84</v>
      </c>
      <c r="H772" t="s">
        <v>381</v>
      </c>
      <c r="I772" t="s">
        <v>427</v>
      </c>
      <c r="J772">
        <v>-32.004116019999998</v>
      </c>
      <c r="K772" t="s">
        <v>440</v>
      </c>
      <c r="L772" t="s">
        <v>450</v>
      </c>
      <c r="M772">
        <v>0.15011157993331001</v>
      </c>
      <c r="N772">
        <v>4.8041884206151462</v>
      </c>
      <c r="O772">
        <v>47588.953000000001</v>
      </c>
      <c r="P772">
        <v>1.500949E-6</v>
      </c>
      <c r="Q772">
        <v>0.14285700000000001</v>
      </c>
      <c r="R772" s="61">
        <v>0.686311945203818</v>
      </c>
      <c r="S772" t="s">
        <v>348</v>
      </c>
      <c r="T772" t="s">
        <v>438</v>
      </c>
      <c r="U772" t="s">
        <v>425</v>
      </c>
      <c r="V772" t="s">
        <v>26</v>
      </c>
      <c r="W772">
        <v>111.133</v>
      </c>
      <c r="X772">
        <v>1.0727760310708341</v>
      </c>
      <c r="Y772">
        <v>119.22081866099499</v>
      </c>
      <c r="Z772">
        <v>694.38</v>
      </c>
      <c r="AA772">
        <v>0.875</v>
      </c>
      <c r="AB772">
        <v>72.436483054094012</v>
      </c>
      <c r="AC772">
        <v>0.98270000000000002</v>
      </c>
      <c r="AD772" s="63">
        <v>71.183000000000007</v>
      </c>
      <c r="AE772">
        <v>8.9176000000000002</v>
      </c>
      <c r="AF772">
        <v>9.5665875346772715</v>
      </c>
      <c r="AG772">
        <v>0.91300000000000003</v>
      </c>
      <c r="AH772">
        <v>6064.9193587765631</v>
      </c>
      <c r="AI772">
        <v>0.99365142346989388</v>
      </c>
      <c r="AJ772" s="63">
        <v>6026.4157999999998</v>
      </c>
      <c r="AK772" s="61">
        <v>4136.0011503050227</v>
      </c>
      <c r="AL772" t="s">
        <v>349</v>
      </c>
      <c r="AM772" t="s">
        <v>439</v>
      </c>
      <c r="AN772" t="s">
        <v>425</v>
      </c>
      <c r="AO772" t="s">
        <v>26</v>
      </c>
      <c r="AP772">
        <v>111.133</v>
      </c>
      <c r="AQ772">
        <v>1.080821157758461</v>
      </c>
      <c r="AR772">
        <v>120.1148977251711</v>
      </c>
      <c r="AS772">
        <v>779.31</v>
      </c>
      <c r="AT772">
        <v>0.879</v>
      </c>
      <c r="AU772">
        <v>82.280325291712501</v>
      </c>
      <c r="AV772">
        <v>0.97599999999999998</v>
      </c>
      <c r="AW772" s="63">
        <v>80.305999999999997</v>
      </c>
      <c r="AX772">
        <v>8.9176000000000002</v>
      </c>
      <c r="AY772">
        <v>0.80400000000000005</v>
      </c>
      <c r="AZ772">
        <v>6039.0430235999738</v>
      </c>
      <c r="BA772">
        <v>0.99553615712726917</v>
      </c>
      <c r="BB772" s="63">
        <v>6012.0856999999996</v>
      </c>
      <c r="BC772" s="61">
        <v>4126.1662314990572</v>
      </c>
    </row>
    <row r="773" spans="1:55" x14ac:dyDescent="0.25">
      <c r="A773">
        <v>274513</v>
      </c>
      <c r="B773" t="s">
        <v>455</v>
      </c>
      <c r="C773">
        <v>2020</v>
      </c>
      <c r="D773">
        <v>12</v>
      </c>
      <c r="E773" t="s">
        <v>100</v>
      </c>
      <c r="F773" t="s">
        <v>426</v>
      </c>
      <c r="G773" t="s">
        <v>84</v>
      </c>
      <c r="H773" t="s">
        <v>381</v>
      </c>
      <c r="I773" t="s">
        <v>427</v>
      </c>
      <c r="J773">
        <v>-32.004116019999998</v>
      </c>
      <c r="K773" t="s">
        <v>440</v>
      </c>
      <c r="L773" t="s">
        <v>384</v>
      </c>
      <c r="M773">
        <v>4.5811354346740003E-2</v>
      </c>
      <c r="N773">
        <v>1.466151899694103</v>
      </c>
      <c r="O773">
        <v>47588.953000000001</v>
      </c>
      <c r="P773">
        <v>1.500949E-6</v>
      </c>
      <c r="Q773">
        <v>0.14285700000000001</v>
      </c>
      <c r="R773" s="61">
        <v>0.2094500619346005</v>
      </c>
      <c r="S773" t="s">
        <v>348</v>
      </c>
      <c r="T773" t="s">
        <v>438</v>
      </c>
      <c r="U773" t="s">
        <v>425</v>
      </c>
      <c r="V773" t="s">
        <v>81</v>
      </c>
      <c r="W773">
        <v>111.133</v>
      </c>
      <c r="X773">
        <v>1.0727760310708341</v>
      </c>
      <c r="Y773">
        <v>119.22081866099499</v>
      </c>
      <c r="Z773">
        <v>694.38</v>
      </c>
      <c r="AA773">
        <v>0.875</v>
      </c>
      <c r="AB773">
        <v>72.436483054094012</v>
      </c>
      <c r="AC773">
        <v>0.93500000000000005</v>
      </c>
      <c r="AD773" s="63">
        <v>67.727999999999994</v>
      </c>
      <c r="AE773">
        <v>8.9176000000000002</v>
      </c>
      <c r="AF773">
        <v>9.5665875346772715</v>
      </c>
      <c r="AG773">
        <v>0.91300000000000003</v>
      </c>
      <c r="AH773">
        <v>6064.9193587765631</v>
      </c>
      <c r="AI773">
        <v>1.096171586715867</v>
      </c>
      <c r="AJ773" s="63">
        <v>6648.1922999999997</v>
      </c>
      <c r="AK773" s="61">
        <v>1392.4642889881341</v>
      </c>
      <c r="AL773" t="s">
        <v>349</v>
      </c>
      <c r="AM773" t="s">
        <v>439</v>
      </c>
      <c r="AN773" t="s">
        <v>425</v>
      </c>
      <c r="AO773" t="s">
        <v>81</v>
      </c>
      <c r="AP773">
        <v>111.133</v>
      </c>
      <c r="AQ773">
        <v>1.080821157758461</v>
      </c>
      <c r="AR773">
        <v>120.1148977251711</v>
      </c>
      <c r="AS773">
        <v>779.31</v>
      </c>
      <c r="AT773">
        <v>0.879</v>
      </c>
      <c r="AU773">
        <v>82.280325291712501</v>
      </c>
      <c r="AV773">
        <v>0.93120000000000003</v>
      </c>
      <c r="AW773" s="63">
        <v>76.619</v>
      </c>
      <c r="AX773">
        <v>8.9176000000000002</v>
      </c>
      <c r="AY773">
        <v>0.80400000000000005</v>
      </c>
      <c r="AZ773">
        <v>6039.0430235999738</v>
      </c>
      <c r="BA773">
        <v>1.1187730627306269</v>
      </c>
      <c r="BB773" s="63">
        <v>6756.3186999999998</v>
      </c>
      <c r="BC773" s="61">
        <v>1415.111370164899</v>
      </c>
    </row>
    <row r="774" spans="1:55" x14ac:dyDescent="0.25">
      <c r="A774">
        <v>274515</v>
      </c>
      <c r="B774" t="s">
        <v>455</v>
      </c>
      <c r="C774">
        <v>2020</v>
      </c>
      <c r="D774">
        <v>12</v>
      </c>
      <c r="E774" t="s">
        <v>100</v>
      </c>
      <c r="F774" t="s">
        <v>426</v>
      </c>
      <c r="G774" t="s">
        <v>84</v>
      </c>
      <c r="H774" t="s">
        <v>381</v>
      </c>
      <c r="I774" t="s">
        <v>427</v>
      </c>
      <c r="J774">
        <v>-32.004116019999998</v>
      </c>
      <c r="K774" t="s">
        <v>440</v>
      </c>
      <c r="L774" t="s">
        <v>385</v>
      </c>
      <c r="M774">
        <v>0.43232641346992001</v>
      </c>
      <c r="N774">
        <v>13.836224696595711</v>
      </c>
      <c r="O774">
        <v>47588.953000000001</v>
      </c>
      <c r="P774">
        <v>1.500949E-6</v>
      </c>
      <c r="Q774">
        <v>0.14285700000000001</v>
      </c>
      <c r="R774" s="61">
        <v>1.976601551481574</v>
      </c>
      <c r="S774" t="s">
        <v>348</v>
      </c>
      <c r="T774" t="s">
        <v>438</v>
      </c>
      <c r="U774" t="s">
        <v>425</v>
      </c>
      <c r="V774" t="s">
        <v>27</v>
      </c>
      <c r="W774">
        <v>111.133</v>
      </c>
      <c r="X774">
        <v>1.0727760310708341</v>
      </c>
      <c r="Y774">
        <v>119.22081866099499</v>
      </c>
      <c r="Z774">
        <v>694.38</v>
      </c>
      <c r="AA774">
        <v>0.875</v>
      </c>
      <c r="AB774">
        <v>72.436483054094012</v>
      </c>
      <c r="AC774">
        <v>0.95369999999999999</v>
      </c>
      <c r="AD774" s="63">
        <v>69.082999999999998</v>
      </c>
      <c r="AE774">
        <v>8.9176000000000002</v>
      </c>
      <c r="AF774">
        <v>9.5665875346772715</v>
      </c>
      <c r="AG774">
        <v>0.91300000000000003</v>
      </c>
      <c r="AH774">
        <v>6064.9193587765631</v>
      </c>
      <c r="AI774">
        <v>1.007895816242822</v>
      </c>
      <c r="AJ774" s="63">
        <v>6112.8068000000003</v>
      </c>
      <c r="AK774" s="61">
        <v>12082.583404787119</v>
      </c>
      <c r="AL774" t="s">
        <v>349</v>
      </c>
      <c r="AM774" t="s">
        <v>439</v>
      </c>
      <c r="AN774" t="s">
        <v>425</v>
      </c>
      <c r="AO774" t="s">
        <v>27</v>
      </c>
      <c r="AP774">
        <v>111.133</v>
      </c>
      <c r="AQ774">
        <v>1.080821157758461</v>
      </c>
      <c r="AR774">
        <v>120.1148977251711</v>
      </c>
      <c r="AS774">
        <v>779.31</v>
      </c>
      <c r="AT774">
        <v>0.879</v>
      </c>
      <c r="AU774">
        <v>82.280325291712501</v>
      </c>
      <c r="AV774">
        <v>0.93269999999999997</v>
      </c>
      <c r="AW774" s="63">
        <v>76.742999999999995</v>
      </c>
      <c r="AX774">
        <v>8.9176000000000002</v>
      </c>
      <c r="AY774">
        <v>0.80400000000000005</v>
      </c>
      <c r="AZ774">
        <v>6039.0430235999738</v>
      </c>
      <c r="BA774">
        <v>1.016406890894175</v>
      </c>
      <c r="BB774" s="63">
        <v>6138.1248999999998</v>
      </c>
      <c r="BC774" s="61">
        <v>12132.627200527681</v>
      </c>
    </row>
    <row r="775" spans="1:55" x14ac:dyDescent="0.25">
      <c r="A775">
        <v>274517</v>
      </c>
      <c r="B775" t="s">
        <v>455</v>
      </c>
      <c r="C775">
        <v>2020</v>
      </c>
      <c r="D775">
        <v>12</v>
      </c>
      <c r="E775" t="s">
        <v>100</v>
      </c>
      <c r="F775" t="s">
        <v>426</v>
      </c>
      <c r="G775" t="s">
        <v>84</v>
      </c>
      <c r="H775" t="s">
        <v>381</v>
      </c>
      <c r="I775" t="s">
        <v>427</v>
      </c>
      <c r="J775">
        <v>-32.004116019999998</v>
      </c>
      <c r="K775" t="s">
        <v>440</v>
      </c>
      <c r="L775" t="s">
        <v>451</v>
      </c>
      <c r="M775">
        <v>1.6825115802299999E-3</v>
      </c>
      <c r="N775">
        <v>5.3847295824099202E-2</v>
      </c>
      <c r="O775">
        <v>47588.953000000001</v>
      </c>
      <c r="P775">
        <v>1.500949E-6</v>
      </c>
      <c r="Q775">
        <v>0.14285700000000001</v>
      </c>
      <c r="R775" s="61">
        <v>7.6924631395433396E-3</v>
      </c>
      <c r="S775" t="s">
        <v>348</v>
      </c>
      <c r="T775" t="s">
        <v>438</v>
      </c>
      <c r="U775" t="s">
        <v>425</v>
      </c>
      <c r="V775" t="s">
        <v>91</v>
      </c>
      <c r="W775">
        <v>111.133</v>
      </c>
      <c r="X775">
        <v>1.0727760310708341</v>
      </c>
      <c r="Y775">
        <v>119.22081866099499</v>
      </c>
      <c r="Z775">
        <v>694.38</v>
      </c>
      <c r="AA775">
        <v>0.875</v>
      </c>
      <c r="AB775">
        <v>72.436483054094012</v>
      </c>
      <c r="AC775">
        <v>1.0179</v>
      </c>
      <c r="AD775" s="63">
        <v>73.733000000000004</v>
      </c>
      <c r="AE775">
        <v>8.9176000000000002</v>
      </c>
      <c r="AF775">
        <v>9.5665875346772715</v>
      </c>
      <c r="AG775">
        <v>0.91300000000000003</v>
      </c>
      <c r="AH775">
        <v>6064.9193587765631</v>
      </c>
      <c r="AI775">
        <v>0.98975009761811794</v>
      </c>
      <c r="AJ775" s="63">
        <v>6002.7545</v>
      </c>
      <c r="AK775" s="61">
        <v>46.175967726977909</v>
      </c>
      <c r="AL775" t="s">
        <v>349</v>
      </c>
      <c r="AM775" t="s">
        <v>439</v>
      </c>
      <c r="AN775" t="s">
        <v>425</v>
      </c>
      <c r="AO775" t="s">
        <v>91</v>
      </c>
      <c r="AP775">
        <v>111.133</v>
      </c>
      <c r="AQ775">
        <v>1.080821157758461</v>
      </c>
      <c r="AR775">
        <v>120.1148977251711</v>
      </c>
      <c r="AS775">
        <v>779.31</v>
      </c>
      <c r="AT775">
        <v>0.879</v>
      </c>
      <c r="AU775">
        <v>82.280325291712501</v>
      </c>
      <c r="AV775">
        <v>0.9899</v>
      </c>
      <c r="AW775" s="63">
        <v>81.448999999999998</v>
      </c>
      <c r="AX775">
        <v>8.9176000000000002</v>
      </c>
      <c r="AY775">
        <v>0.80400000000000005</v>
      </c>
      <c r="AZ775">
        <v>6039.0430235999738</v>
      </c>
      <c r="BA775">
        <v>0.99199531433033972</v>
      </c>
      <c r="BB775" s="63">
        <v>5990.7024000000001</v>
      </c>
      <c r="BC775" s="61">
        <v>46.083257391973817</v>
      </c>
    </row>
    <row r="776" spans="1:55" x14ac:dyDescent="0.25">
      <c r="A776">
        <v>274519</v>
      </c>
      <c r="B776" t="s">
        <v>455</v>
      </c>
      <c r="C776">
        <v>2020</v>
      </c>
      <c r="D776">
        <v>12</v>
      </c>
      <c r="E776" t="s">
        <v>100</v>
      </c>
      <c r="F776" t="s">
        <v>426</v>
      </c>
      <c r="G776" t="s">
        <v>84</v>
      </c>
      <c r="H776" t="s">
        <v>381</v>
      </c>
      <c r="I776" t="s">
        <v>427</v>
      </c>
      <c r="J776">
        <v>-32.004116019999998</v>
      </c>
      <c r="K776" t="s">
        <v>440</v>
      </c>
      <c r="L776" t="s">
        <v>452</v>
      </c>
      <c r="M776">
        <v>1.53682162831E-3</v>
      </c>
      <c r="N776">
        <v>4.9184617699433567E-2</v>
      </c>
      <c r="O776">
        <v>47588.953000000001</v>
      </c>
      <c r="P776">
        <v>1.500949E-6</v>
      </c>
      <c r="Q776">
        <v>0.14285700000000001</v>
      </c>
      <c r="R776" s="61">
        <v>7.0263669306879816E-3</v>
      </c>
      <c r="S776" t="s">
        <v>348</v>
      </c>
      <c r="T776" t="s">
        <v>438</v>
      </c>
      <c r="U776" t="s">
        <v>425</v>
      </c>
      <c r="V776" t="s">
        <v>28</v>
      </c>
      <c r="W776">
        <v>111.133</v>
      </c>
      <c r="X776">
        <v>1.0727760310708341</v>
      </c>
      <c r="Y776">
        <v>119.22081866099499</v>
      </c>
      <c r="Z776">
        <v>694.38</v>
      </c>
      <c r="AA776">
        <v>0.875</v>
      </c>
      <c r="AB776">
        <v>72.436483054094012</v>
      </c>
      <c r="AC776">
        <v>0.99250000000000005</v>
      </c>
      <c r="AD776" s="63">
        <v>71.893000000000001</v>
      </c>
      <c r="AE776">
        <v>8.9176000000000002</v>
      </c>
      <c r="AF776">
        <v>9.5665875346772715</v>
      </c>
      <c r="AG776">
        <v>0.91300000000000003</v>
      </c>
      <c r="AH776">
        <v>6064.9193587765631</v>
      </c>
      <c r="AI776">
        <v>0.93847214018507585</v>
      </c>
      <c r="AJ776" s="63">
        <v>5691.7578999999996</v>
      </c>
      <c r="AK776" s="61">
        <v>39.992379486042068</v>
      </c>
      <c r="AL776" t="s">
        <v>349</v>
      </c>
      <c r="AM776" t="s">
        <v>439</v>
      </c>
      <c r="AN776" t="s">
        <v>425</v>
      </c>
      <c r="AO776" t="s">
        <v>28</v>
      </c>
      <c r="AP776">
        <v>111.133</v>
      </c>
      <c r="AQ776">
        <v>1.080821157758461</v>
      </c>
      <c r="AR776">
        <v>120.1148977251711</v>
      </c>
      <c r="AS776">
        <v>779.31</v>
      </c>
      <c r="AT776">
        <v>0.879</v>
      </c>
      <c r="AU776">
        <v>82.280325291712501</v>
      </c>
      <c r="AV776">
        <v>0.96379999999999999</v>
      </c>
      <c r="AW776" s="63">
        <v>79.302000000000007</v>
      </c>
      <c r="AX776">
        <v>8.9176000000000002</v>
      </c>
      <c r="AY776">
        <v>0.80400000000000005</v>
      </c>
      <c r="AZ776">
        <v>6039.0430235999738</v>
      </c>
      <c r="BA776">
        <v>0.93699547154951757</v>
      </c>
      <c r="BB776" s="63">
        <v>5658.5559999999996</v>
      </c>
      <c r="BC776" s="61">
        <v>39.75909075384606</v>
      </c>
    </row>
    <row r="777" spans="1:55" x14ac:dyDescent="0.25">
      <c r="A777">
        <v>274521</v>
      </c>
      <c r="B777" t="s">
        <v>455</v>
      </c>
      <c r="C777">
        <v>2020</v>
      </c>
      <c r="D777">
        <v>12</v>
      </c>
      <c r="E777" t="s">
        <v>100</v>
      </c>
      <c r="F777" t="s">
        <v>426</v>
      </c>
      <c r="G777" t="s">
        <v>84</v>
      </c>
      <c r="H777" t="s">
        <v>87</v>
      </c>
      <c r="I777" t="s">
        <v>427</v>
      </c>
      <c r="J777">
        <v>-5.8835884299999996</v>
      </c>
      <c r="K777" t="s">
        <v>440</v>
      </c>
      <c r="L777" t="s">
        <v>450</v>
      </c>
      <c r="M777">
        <v>0.26601384014995</v>
      </c>
      <c r="N777">
        <v>1.5651159516404789</v>
      </c>
      <c r="O777">
        <v>47588.953000000001</v>
      </c>
      <c r="P777">
        <v>1.500949E-6</v>
      </c>
      <c r="Q777">
        <v>0.14285700000000001</v>
      </c>
      <c r="R777" s="61">
        <v>0.22358776950350401</v>
      </c>
      <c r="S777" t="s">
        <v>348</v>
      </c>
      <c r="T777" t="s">
        <v>438</v>
      </c>
      <c r="U777" t="s">
        <v>425</v>
      </c>
      <c r="V777" t="s">
        <v>26</v>
      </c>
      <c r="W777">
        <v>111.133</v>
      </c>
      <c r="X777">
        <v>1.0727760310708341</v>
      </c>
      <c r="Y777">
        <v>119.22081866099499</v>
      </c>
      <c r="Z777">
        <v>694.38</v>
      </c>
      <c r="AA777">
        <v>0.875</v>
      </c>
      <c r="AB777">
        <v>72.436483054094012</v>
      </c>
      <c r="AC777">
        <v>0.98270000000000002</v>
      </c>
      <c r="AD777" s="63">
        <v>71.183000000000007</v>
      </c>
      <c r="AE777">
        <v>8.9176000000000002</v>
      </c>
      <c r="AF777">
        <v>9.5665875346772715</v>
      </c>
      <c r="AG777">
        <v>0.91300000000000003</v>
      </c>
      <c r="AH777">
        <v>6064.9193587765631</v>
      </c>
      <c r="AI777">
        <v>0.99365142346989388</v>
      </c>
      <c r="AJ777" s="63">
        <v>6026.4157999999998</v>
      </c>
      <c r="AK777" s="61">
        <v>1347.432866822674</v>
      </c>
      <c r="AL777" t="s">
        <v>349</v>
      </c>
      <c r="AM777" t="s">
        <v>439</v>
      </c>
      <c r="AN777" t="s">
        <v>425</v>
      </c>
      <c r="AO777" t="s">
        <v>26</v>
      </c>
      <c r="AP777">
        <v>111.133</v>
      </c>
      <c r="AQ777">
        <v>1.080821157758461</v>
      </c>
      <c r="AR777">
        <v>120.1148977251711</v>
      </c>
      <c r="AS777">
        <v>779.31</v>
      </c>
      <c r="AT777">
        <v>0.879</v>
      </c>
      <c r="AU777">
        <v>82.280325291712501</v>
      </c>
      <c r="AV777">
        <v>0.97599999999999998</v>
      </c>
      <c r="AW777" s="63">
        <v>80.305999999999997</v>
      </c>
      <c r="AX777">
        <v>8.9176000000000002</v>
      </c>
      <c r="AY777">
        <v>0.80400000000000005</v>
      </c>
      <c r="AZ777">
        <v>6039.0430235999738</v>
      </c>
      <c r="BA777">
        <v>0.99553615712726917</v>
      </c>
      <c r="BB777" s="63">
        <v>6012.0856999999996</v>
      </c>
      <c r="BC777" s="61">
        <v>1344.2288317269119</v>
      </c>
    </row>
    <row r="778" spans="1:55" x14ac:dyDescent="0.25">
      <c r="A778">
        <v>274523</v>
      </c>
      <c r="B778" t="s">
        <v>455</v>
      </c>
      <c r="C778">
        <v>2020</v>
      </c>
      <c r="D778">
        <v>12</v>
      </c>
      <c r="E778" t="s">
        <v>100</v>
      </c>
      <c r="F778" t="s">
        <v>426</v>
      </c>
      <c r="G778" t="s">
        <v>84</v>
      </c>
      <c r="H778" t="s">
        <v>87</v>
      </c>
      <c r="I778" t="s">
        <v>427</v>
      </c>
      <c r="J778">
        <v>-5.8835884299999996</v>
      </c>
      <c r="K778" t="s">
        <v>440</v>
      </c>
      <c r="L778" t="s">
        <v>384</v>
      </c>
      <c r="M778">
        <v>3.9509559941419997E-2</v>
      </c>
      <c r="N778">
        <v>0.2324579896736014</v>
      </c>
      <c r="O778">
        <v>47588.953000000001</v>
      </c>
      <c r="P778">
        <v>1.500949E-6</v>
      </c>
      <c r="Q778">
        <v>0.14285700000000001</v>
      </c>
      <c r="R778" s="61">
        <v>3.3208251030801668E-2</v>
      </c>
      <c r="S778" t="s">
        <v>348</v>
      </c>
      <c r="T778" t="s">
        <v>438</v>
      </c>
      <c r="U778" t="s">
        <v>425</v>
      </c>
      <c r="V778" t="s">
        <v>81</v>
      </c>
      <c r="W778">
        <v>111.133</v>
      </c>
      <c r="X778">
        <v>1.0727760310708341</v>
      </c>
      <c r="Y778">
        <v>119.22081866099499</v>
      </c>
      <c r="Z778">
        <v>694.38</v>
      </c>
      <c r="AA778">
        <v>0.875</v>
      </c>
      <c r="AB778">
        <v>72.436483054094012</v>
      </c>
      <c r="AC778">
        <v>0.93500000000000005</v>
      </c>
      <c r="AD778" s="63">
        <v>67.727999999999994</v>
      </c>
      <c r="AE778">
        <v>8.9176000000000002</v>
      </c>
      <c r="AF778">
        <v>9.5665875346772715</v>
      </c>
      <c r="AG778">
        <v>0.91300000000000003</v>
      </c>
      <c r="AH778">
        <v>6064.9193587765631</v>
      </c>
      <c r="AI778">
        <v>1.096171586715867</v>
      </c>
      <c r="AJ778" s="63">
        <v>6648.1922999999997</v>
      </c>
      <c r="AK778" s="61">
        <v>220.77483879944279</v>
      </c>
      <c r="AL778" t="s">
        <v>349</v>
      </c>
      <c r="AM778" t="s">
        <v>439</v>
      </c>
      <c r="AN778" t="s">
        <v>425</v>
      </c>
      <c r="AO778" t="s">
        <v>81</v>
      </c>
      <c r="AP778">
        <v>111.133</v>
      </c>
      <c r="AQ778">
        <v>1.080821157758461</v>
      </c>
      <c r="AR778">
        <v>120.1148977251711</v>
      </c>
      <c r="AS778">
        <v>779.31</v>
      </c>
      <c r="AT778">
        <v>0.879</v>
      </c>
      <c r="AU778">
        <v>82.280325291712501</v>
      </c>
      <c r="AV778">
        <v>0.93120000000000003</v>
      </c>
      <c r="AW778" s="63">
        <v>76.619</v>
      </c>
      <c r="AX778">
        <v>8.9176000000000002</v>
      </c>
      <c r="AY778">
        <v>0.80400000000000005</v>
      </c>
      <c r="AZ778">
        <v>6039.0430235999738</v>
      </c>
      <c r="BA778">
        <v>1.1187730627306269</v>
      </c>
      <c r="BB778" s="63">
        <v>6756.3186999999998</v>
      </c>
      <c r="BC778" s="61">
        <v>224.36552743369961</v>
      </c>
    </row>
    <row r="779" spans="1:55" x14ac:dyDescent="0.25">
      <c r="A779">
        <v>274525</v>
      </c>
      <c r="B779" t="s">
        <v>455</v>
      </c>
      <c r="C779">
        <v>2020</v>
      </c>
      <c r="D779">
        <v>12</v>
      </c>
      <c r="E779" t="s">
        <v>100</v>
      </c>
      <c r="F779" t="s">
        <v>426</v>
      </c>
      <c r="G779" t="s">
        <v>84</v>
      </c>
      <c r="H779" t="s">
        <v>87</v>
      </c>
      <c r="I779" t="s">
        <v>427</v>
      </c>
      <c r="J779">
        <v>-5.8835884299999996</v>
      </c>
      <c r="K779" t="s">
        <v>440</v>
      </c>
      <c r="L779" t="s">
        <v>385</v>
      </c>
      <c r="M779">
        <v>0.39737542925016001</v>
      </c>
      <c r="N779">
        <v>2.3379934771770752</v>
      </c>
      <c r="O779">
        <v>47588.953000000001</v>
      </c>
      <c r="P779">
        <v>1.500949E-6</v>
      </c>
      <c r="Q779">
        <v>0.14285700000000001</v>
      </c>
      <c r="R779" s="61">
        <v>0.33399873416908538</v>
      </c>
      <c r="S779" t="s">
        <v>348</v>
      </c>
      <c r="T779" t="s">
        <v>438</v>
      </c>
      <c r="U779" t="s">
        <v>425</v>
      </c>
      <c r="V779" t="s">
        <v>27</v>
      </c>
      <c r="W779">
        <v>111.133</v>
      </c>
      <c r="X779">
        <v>1.0727760310708341</v>
      </c>
      <c r="Y779">
        <v>119.22081866099499</v>
      </c>
      <c r="Z779">
        <v>694.38</v>
      </c>
      <c r="AA779">
        <v>0.875</v>
      </c>
      <c r="AB779">
        <v>72.436483054094012</v>
      </c>
      <c r="AC779">
        <v>0.95369999999999999</v>
      </c>
      <c r="AD779" s="63">
        <v>69.082999999999998</v>
      </c>
      <c r="AE779">
        <v>8.9176000000000002</v>
      </c>
      <c r="AF779">
        <v>9.5665875346772715</v>
      </c>
      <c r="AG779">
        <v>0.91300000000000003</v>
      </c>
      <c r="AH779">
        <v>6064.9193587765631</v>
      </c>
      <c r="AI779">
        <v>1.007895816242822</v>
      </c>
      <c r="AJ779" s="63">
        <v>6112.8068000000003</v>
      </c>
      <c r="AK779" s="61">
        <v>2041.6697334201781</v>
      </c>
      <c r="AL779" t="s">
        <v>349</v>
      </c>
      <c r="AM779" t="s">
        <v>439</v>
      </c>
      <c r="AN779" t="s">
        <v>425</v>
      </c>
      <c r="AO779" t="s">
        <v>27</v>
      </c>
      <c r="AP779">
        <v>111.133</v>
      </c>
      <c r="AQ779">
        <v>1.080821157758461</v>
      </c>
      <c r="AR779">
        <v>120.1148977251711</v>
      </c>
      <c r="AS779">
        <v>779.31</v>
      </c>
      <c r="AT779">
        <v>0.879</v>
      </c>
      <c r="AU779">
        <v>82.280325291712501</v>
      </c>
      <c r="AV779">
        <v>0.93269999999999997</v>
      </c>
      <c r="AW779" s="63">
        <v>76.742999999999995</v>
      </c>
      <c r="AX779">
        <v>8.9176000000000002</v>
      </c>
      <c r="AY779">
        <v>0.80400000000000005</v>
      </c>
      <c r="AZ779">
        <v>6039.0430235999738</v>
      </c>
      <c r="BA779">
        <v>1.016406890894175</v>
      </c>
      <c r="BB779" s="63">
        <v>6138.1248999999998</v>
      </c>
      <c r="BC779" s="61">
        <v>2050.1259467717441</v>
      </c>
    </row>
    <row r="780" spans="1:55" x14ac:dyDescent="0.25">
      <c r="A780">
        <v>274527</v>
      </c>
      <c r="B780" t="s">
        <v>455</v>
      </c>
      <c r="C780">
        <v>2020</v>
      </c>
      <c r="D780">
        <v>12</v>
      </c>
      <c r="E780" t="s">
        <v>100</v>
      </c>
      <c r="F780" t="s">
        <v>426</v>
      </c>
      <c r="G780" t="s">
        <v>84</v>
      </c>
      <c r="H780" t="s">
        <v>87</v>
      </c>
      <c r="I780" t="s">
        <v>427</v>
      </c>
      <c r="J780">
        <v>-5.8835884299999996</v>
      </c>
      <c r="K780" t="s">
        <v>440</v>
      </c>
      <c r="L780" t="s">
        <v>452</v>
      </c>
      <c r="M780">
        <v>8.4248020759000004E-4</v>
      </c>
      <c r="N780">
        <v>4.956806800342487E-3</v>
      </c>
      <c r="O780">
        <v>47588.953000000001</v>
      </c>
      <c r="P780">
        <v>1.500949E-6</v>
      </c>
      <c r="Q780">
        <v>0.14285700000000001</v>
      </c>
      <c r="R780" s="61">
        <v>7.0811454907652668E-4</v>
      </c>
      <c r="S780" t="s">
        <v>348</v>
      </c>
      <c r="T780" t="s">
        <v>438</v>
      </c>
      <c r="U780" t="s">
        <v>425</v>
      </c>
      <c r="V780" t="s">
        <v>28</v>
      </c>
      <c r="W780">
        <v>111.133</v>
      </c>
      <c r="X780">
        <v>1.0727760310708341</v>
      </c>
      <c r="Y780">
        <v>119.22081866099499</v>
      </c>
      <c r="Z780">
        <v>694.38</v>
      </c>
      <c r="AA780">
        <v>0.875</v>
      </c>
      <c r="AB780">
        <v>72.436483054094012</v>
      </c>
      <c r="AC780">
        <v>0.99250000000000005</v>
      </c>
      <c r="AD780" s="63">
        <v>71.893000000000001</v>
      </c>
      <c r="AE780">
        <v>8.9176000000000002</v>
      </c>
      <c r="AF780">
        <v>9.5665875346772715</v>
      </c>
      <c r="AG780">
        <v>0.91300000000000003</v>
      </c>
      <c r="AH780">
        <v>6064.9193587765631</v>
      </c>
      <c r="AI780">
        <v>0.93847214018507585</v>
      </c>
      <c r="AJ780" s="63">
        <v>5691.7578999999996</v>
      </c>
      <c r="AK780" s="61">
        <v>4.0304165788112583</v>
      </c>
      <c r="AL780" t="s">
        <v>349</v>
      </c>
      <c r="AM780" t="s">
        <v>439</v>
      </c>
      <c r="AN780" t="s">
        <v>425</v>
      </c>
      <c r="AO780" t="s">
        <v>28</v>
      </c>
      <c r="AP780">
        <v>111.133</v>
      </c>
      <c r="AQ780">
        <v>1.080821157758461</v>
      </c>
      <c r="AR780">
        <v>120.1148977251711</v>
      </c>
      <c r="AS780">
        <v>779.31</v>
      </c>
      <c r="AT780">
        <v>0.879</v>
      </c>
      <c r="AU780">
        <v>82.280325291712501</v>
      </c>
      <c r="AV780">
        <v>0.96379999999999999</v>
      </c>
      <c r="AW780" s="63">
        <v>79.302000000000007</v>
      </c>
      <c r="AX780">
        <v>8.9176000000000002</v>
      </c>
      <c r="AY780">
        <v>0.80400000000000005</v>
      </c>
      <c r="AZ780">
        <v>6039.0430235999738</v>
      </c>
      <c r="BA780">
        <v>0.93699547154951757</v>
      </c>
      <c r="BB780" s="63">
        <v>5658.5559999999996</v>
      </c>
      <c r="BC780" s="61">
        <v>4.0069058303642739</v>
      </c>
    </row>
    <row r="781" spans="1:55" x14ac:dyDescent="0.25">
      <c r="A781">
        <v>274529</v>
      </c>
      <c r="B781" t="s">
        <v>455</v>
      </c>
      <c r="C781">
        <v>2020</v>
      </c>
      <c r="D781">
        <v>12</v>
      </c>
      <c r="E781" t="s">
        <v>100</v>
      </c>
      <c r="F781" t="s">
        <v>426</v>
      </c>
      <c r="G781" t="s">
        <v>84</v>
      </c>
      <c r="H781" t="s">
        <v>59</v>
      </c>
      <c r="I781" t="s">
        <v>427</v>
      </c>
      <c r="J781">
        <v>-17.390262679999999</v>
      </c>
      <c r="K781" t="s">
        <v>440</v>
      </c>
      <c r="L781" t="s">
        <v>450</v>
      </c>
      <c r="M781">
        <v>0.15931709696460999</v>
      </c>
      <c r="N781">
        <v>2.7705661656409961</v>
      </c>
      <c r="O781">
        <v>47588.953000000001</v>
      </c>
      <c r="P781">
        <v>1.500949E-6</v>
      </c>
      <c r="Q781">
        <v>0.14285700000000001</v>
      </c>
      <c r="R781" s="61">
        <v>0.39579477072497582</v>
      </c>
      <c r="S781" t="s">
        <v>348</v>
      </c>
      <c r="T781" t="s">
        <v>438</v>
      </c>
      <c r="U781" t="s">
        <v>425</v>
      </c>
      <c r="V781" t="s">
        <v>26</v>
      </c>
      <c r="W781">
        <v>111.133</v>
      </c>
      <c r="X781">
        <v>1.0727760310708341</v>
      </c>
      <c r="Y781">
        <v>119.22081866099499</v>
      </c>
      <c r="Z781">
        <v>694.38</v>
      </c>
      <c r="AA781">
        <v>0.875</v>
      </c>
      <c r="AB781">
        <v>72.436483054094012</v>
      </c>
      <c r="AC781">
        <v>0.98270000000000002</v>
      </c>
      <c r="AD781" s="63">
        <v>71.183000000000007</v>
      </c>
      <c r="AE781">
        <v>8.9176000000000002</v>
      </c>
      <c r="AF781">
        <v>9.5665875346772715</v>
      </c>
      <c r="AG781">
        <v>0.91300000000000003</v>
      </c>
      <c r="AH781">
        <v>6064.9193587765631</v>
      </c>
      <c r="AI781">
        <v>0.99365142346989388</v>
      </c>
      <c r="AJ781" s="63">
        <v>6026.4157999999998</v>
      </c>
      <c r="AK781" s="61">
        <v>2385.2238598543709</v>
      </c>
      <c r="AL781" t="s">
        <v>349</v>
      </c>
      <c r="AM781" t="s">
        <v>439</v>
      </c>
      <c r="AN781" t="s">
        <v>425</v>
      </c>
      <c r="AO781" t="s">
        <v>26</v>
      </c>
      <c r="AP781">
        <v>111.133</v>
      </c>
      <c r="AQ781">
        <v>1.080821157758461</v>
      </c>
      <c r="AR781">
        <v>120.1148977251711</v>
      </c>
      <c r="AS781">
        <v>779.31</v>
      </c>
      <c r="AT781">
        <v>0.879</v>
      </c>
      <c r="AU781">
        <v>82.280325291712501</v>
      </c>
      <c r="AV781">
        <v>0.97599999999999998</v>
      </c>
      <c r="AW781" s="63">
        <v>80.305999999999997</v>
      </c>
      <c r="AX781">
        <v>8.9176000000000002</v>
      </c>
      <c r="AY781">
        <v>0.80400000000000005</v>
      </c>
      <c r="AZ781">
        <v>6039.0430235999738</v>
      </c>
      <c r="BA781">
        <v>0.99553615712726917</v>
      </c>
      <c r="BB781" s="63">
        <v>6012.0856999999996</v>
      </c>
      <c r="BC781" s="61">
        <v>2379.552081210406</v>
      </c>
    </row>
    <row r="782" spans="1:55" x14ac:dyDescent="0.25">
      <c r="A782">
        <v>274531</v>
      </c>
      <c r="B782" t="s">
        <v>455</v>
      </c>
      <c r="C782">
        <v>2020</v>
      </c>
      <c r="D782">
        <v>12</v>
      </c>
      <c r="E782" t="s">
        <v>100</v>
      </c>
      <c r="F782" t="s">
        <v>426</v>
      </c>
      <c r="G782" t="s">
        <v>84</v>
      </c>
      <c r="H782" t="s">
        <v>59</v>
      </c>
      <c r="I782" t="s">
        <v>427</v>
      </c>
      <c r="J782">
        <v>-17.390262679999999</v>
      </c>
      <c r="K782" t="s">
        <v>440</v>
      </c>
      <c r="L782" t="s">
        <v>384</v>
      </c>
      <c r="M782">
        <v>4.1785183859599999E-2</v>
      </c>
      <c r="N782">
        <v>0.72665532345352934</v>
      </c>
      <c r="O782">
        <v>47588.953000000001</v>
      </c>
      <c r="P782">
        <v>1.500949E-6</v>
      </c>
      <c r="Q782">
        <v>0.14285700000000001</v>
      </c>
      <c r="R782" s="61">
        <v>0.1038077995426008</v>
      </c>
      <c r="S782" t="s">
        <v>348</v>
      </c>
      <c r="T782" t="s">
        <v>438</v>
      </c>
      <c r="U782" t="s">
        <v>425</v>
      </c>
      <c r="V782" t="s">
        <v>81</v>
      </c>
      <c r="W782">
        <v>111.133</v>
      </c>
      <c r="X782">
        <v>1.0727760310708341</v>
      </c>
      <c r="Y782">
        <v>119.22081866099499</v>
      </c>
      <c r="Z782">
        <v>694.38</v>
      </c>
      <c r="AA782">
        <v>0.875</v>
      </c>
      <c r="AB782">
        <v>72.436483054094012</v>
      </c>
      <c r="AC782">
        <v>0.93500000000000005</v>
      </c>
      <c r="AD782" s="63">
        <v>67.727999999999994</v>
      </c>
      <c r="AE782">
        <v>8.9176000000000002</v>
      </c>
      <c r="AF782">
        <v>9.5665875346772715</v>
      </c>
      <c r="AG782">
        <v>0.91300000000000003</v>
      </c>
      <c r="AH782">
        <v>6064.9193587765631</v>
      </c>
      <c r="AI782">
        <v>1.096171586715867</v>
      </c>
      <c r="AJ782" s="63">
        <v>6648.1922999999997</v>
      </c>
      <c r="AK782" s="61">
        <v>690.13421359906238</v>
      </c>
      <c r="AL782" t="s">
        <v>349</v>
      </c>
      <c r="AM782" t="s">
        <v>439</v>
      </c>
      <c r="AN782" t="s">
        <v>425</v>
      </c>
      <c r="AO782" t="s">
        <v>81</v>
      </c>
      <c r="AP782">
        <v>111.133</v>
      </c>
      <c r="AQ782">
        <v>1.080821157758461</v>
      </c>
      <c r="AR782">
        <v>120.1148977251711</v>
      </c>
      <c r="AS782">
        <v>779.31</v>
      </c>
      <c r="AT782">
        <v>0.879</v>
      </c>
      <c r="AU782">
        <v>82.280325291712501</v>
      </c>
      <c r="AV782">
        <v>0.93120000000000003</v>
      </c>
      <c r="AW782" s="63">
        <v>76.619</v>
      </c>
      <c r="AX782">
        <v>8.9176000000000002</v>
      </c>
      <c r="AY782">
        <v>0.80400000000000005</v>
      </c>
      <c r="AZ782">
        <v>6039.0430235999738</v>
      </c>
      <c r="BA782">
        <v>1.1187730627306269</v>
      </c>
      <c r="BB782" s="63">
        <v>6756.3186999999998</v>
      </c>
      <c r="BC782" s="61">
        <v>701.35857725552557</v>
      </c>
    </row>
    <row r="783" spans="1:55" x14ac:dyDescent="0.25">
      <c r="A783">
        <v>274533</v>
      </c>
      <c r="B783" t="s">
        <v>455</v>
      </c>
      <c r="C783">
        <v>2020</v>
      </c>
      <c r="D783">
        <v>12</v>
      </c>
      <c r="E783" t="s">
        <v>100</v>
      </c>
      <c r="F783" t="s">
        <v>426</v>
      </c>
      <c r="G783" t="s">
        <v>84</v>
      </c>
      <c r="H783" t="s">
        <v>59</v>
      </c>
      <c r="I783" t="s">
        <v>427</v>
      </c>
      <c r="J783">
        <v>-17.390262679999999</v>
      </c>
      <c r="K783" t="s">
        <v>440</v>
      </c>
      <c r="L783" t="s">
        <v>385</v>
      </c>
      <c r="M783">
        <v>0.43497567483749999</v>
      </c>
      <c r="N783">
        <v>7.5643412448655081</v>
      </c>
      <c r="O783">
        <v>47588.953000000001</v>
      </c>
      <c r="P783">
        <v>1.500949E-6</v>
      </c>
      <c r="Q783">
        <v>0.14285700000000001</v>
      </c>
      <c r="R783" s="61">
        <v>1.0806190972177521</v>
      </c>
      <c r="S783" t="s">
        <v>348</v>
      </c>
      <c r="T783" t="s">
        <v>438</v>
      </c>
      <c r="U783" t="s">
        <v>425</v>
      </c>
      <c r="V783" t="s">
        <v>27</v>
      </c>
      <c r="W783">
        <v>111.133</v>
      </c>
      <c r="X783">
        <v>1.0727760310708341</v>
      </c>
      <c r="Y783">
        <v>119.22081866099499</v>
      </c>
      <c r="Z783">
        <v>694.38</v>
      </c>
      <c r="AA783">
        <v>0.875</v>
      </c>
      <c r="AB783">
        <v>72.436483054094012</v>
      </c>
      <c r="AC783">
        <v>0.95369999999999999</v>
      </c>
      <c r="AD783" s="63">
        <v>69.082999999999998</v>
      </c>
      <c r="AE783">
        <v>8.9176000000000002</v>
      </c>
      <c r="AF783">
        <v>9.5665875346772715</v>
      </c>
      <c r="AG783">
        <v>0.91300000000000003</v>
      </c>
      <c r="AH783">
        <v>6064.9193587765631</v>
      </c>
      <c r="AI783">
        <v>1.007895816242822</v>
      </c>
      <c r="AJ783" s="63">
        <v>6112.8068000000003</v>
      </c>
      <c r="AK783" s="61">
        <v>6605.6157656825362</v>
      </c>
      <c r="AL783" t="s">
        <v>349</v>
      </c>
      <c r="AM783" t="s">
        <v>439</v>
      </c>
      <c r="AN783" t="s">
        <v>425</v>
      </c>
      <c r="AO783" t="s">
        <v>27</v>
      </c>
      <c r="AP783">
        <v>111.133</v>
      </c>
      <c r="AQ783">
        <v>1.080821157758461</v>
      </c>
      <c r="AR783">
        <v>120.1148977251711</v>
      </c>
      <c r="AS783">
        <v>779.31</v>
      </c>
      <c r="AT783">
        <v>0.879</v>
      </c>
      <c r="AU783">
        <v>82.280325291712501</v>
      </c>
      <c r="AV783">
        <v>0.93269999999999997</v>
      </c>
      <c r="AW783" s="63">
        <v>76.742999999999995</v>
      </c>
      <c r="AX783">
        <v>8.9176000000000002</v>
      </c>
      <c r="AY783">
        <v>0.80400000000000005</v>
      </c>
      <c r="AZ783">
        <v>6039.0430235999738</v>
      </c>
      <c r="BA783">
        <v>1.016406890894175</v>
      </c>
      <c r="BB783" s="63">
        <v>6138.1248999999998</v>
      </c>
      <c r="BC783" s="61">
        <v>6632.9749880478048</v>
      </c>
    </row>
    <row r="784" spans="1:55" x14ac:dyDescent="0.25">
      <c r="A784">
        <v>274535</v>
      </c>
      <c r="B784" t="s">
        <v>455</v>
      </c>
      <c r="C784">
        <v>2020</v>
      </c>
      <c r="D784">
        <v>12</v>
      </c>
      <c r="E784" t="s">
        <v>100</v>
      </c>
      <c r="F784" t="s">
        <v>426</v>
      </c>
      <c r="G784" t="s">
        <v>84</v>
      </c>
      <c r="H784" t="s">
        <v>59</v>
      </c>
      <c r="I784" t="s">
        <v>427</v>
      </c>
      <c r="J784">
        <v>-17.390262679999999</v>
      </c>
      <c r="K784" t="s">
        <v>440</v>
      </c>
      <c r="L784" t="s">
        <v>451</v>
      </c>
      <c r="M784">
        <v>1.7625750762999999E-3</v>
      </c>
      <c r="N784">
        <v>3.065164357020413E-2</v>
      </c>
      <c r="O784">
        <v>47588.953000000001</v>
      </c>
      <c r="P784">
        <v>1.500949E-6</v>
      </c>
      <c r="Q784">
        <v>0.14285700000000001</v>
      </c>
      <c r="R784" s="61">
        <v>4.3788018455086517E-3</v>
      </c>
      <c r="S784" t="s">
        <v>348</v>
      </c>
      <c r="T784" t="s">
        <v>438</v>
      </c>
      <c r="U784" t="s">
        <v>425</v>
      </c>
      <c r="V784" t="s">
        <v>91</v>
      </c>
      <c r="W784">
        <v>111.133</v>
      </c>
      <c r="X784">
        <v>1.0727760310708341</v>
      </c>
      <c r="Y784">
        <v>119.22081866099499</v>
      </c>
      <c r="Z784">
        <v>694.38</v>
      </c>
      <c r="AA784">
        <v>0.875</v>
      </c>
      <c r="AB784">
        <v>72.436483054094012</v>
      </c>
      <c r="AC784">
        <v>1.0179</v>
      </c>
      <c r="AD784" s="63">
        <v>73.733000000000004</v>
      </c>
      <c r="AE784">
        <v>8.9176000000000002</v>
      </c>
      <c r="AF784">
        <v>9.5665875346772715</v>
      </c>
      <c r="AG784">
        <v>0.91300000000000003</v>
      </c>
      <c r="AH784">
        <v>6064.9193587765631</v>
      </c>
      <c r="AI784">
        <v>0.98975009761811794</v>
      </c>
      <c r="AJ784" s="63">
        <v>6002.7545</v>
      </c>
      <c r="AK784" s="61">
        <v>26.284872482735359</v>
      </c>
      <c r="AL784" t="s">
        <v>349</v>
      </c>
      <c r="AM784" t="s">
        <v>439</v>
      </c>
      <c r="AN784" t="s">
        <v>425</v>
      </c>
      <c r="AO784" t="s">
        <v>91</v>
      </c>
      <c r="AP784">
        <v>111.133</v>
      </c>
      <c r="AQ784">
        <v>1.080821157758461</v>
      </c>
      <c r="AR784">
        <v>120.1148977251711</v>
      </c>
      <c r="AS784">
        <v>779.31</v>
      </c>
      <c r="AT784">
        <v>0.879</v>
      </c>
      <c r="AU784">
        <v>82.280325291712501</v>
      </c>
      <c r="AV784">
        <v>0.9899</v>
      </c>
      <c r="AW784" s="63">
        <v>81.448999999999998</v>
      </c>
      <c r="AX784">
        <v>8.9176000000000002</v>
      </c>
      <c r="AY784">
        <v>0.80400000000000005</v>
      </c>
      <c r="AZ784">
        <v>6039.0430235999738</v>
      </c>
      <c r="BA784">
        <v>0.99199531433033972</v>
      </c>
      <c r="BB784" s="63">
        <v>5990.7024000000001</v>
      </c>
      <c r="BC784" s="61">
        <v>26.23209872501311</v>
      </c>
    </row>
    <row r="785" spans="1:55" x14ac:dyDescent="0.25">
      <c r="A785">
        <v>274537</v>
      </c>
      <c r="B785" t="s">
        <v>455</v>
      </c>
      <c r="C785">
        <v>2020</v>
      </c>
      <c r="D785">
        <v>12</v>
      </c>
      <c r="E785" t="s">
        <v>100</v>
      </c>
      <c r="F785" t="s">
        <v>426</v>
      </c>
      <c r="G785" t="s">
        <v>84</v>
      </c>
      <c r="H785" t="s">
        <v>59</v>
      </c>
      <c r="I785" t="s">
        <v>427</v>
      </c>
      <c r="J785">
        <v>-17.390262679999999</v>
      </c>
      <c r="K785" t="s">
        <v>440</v>
      </c>
      <c r="L785" t="s">
        <v>452</v>
      </c>
      <c r="M785">
        <v>1.4858046103299999E-3</v>
      </c>
      <c r="N785">
        <v>2.5838532464900029E-2</v>
      </c>
      <c r="O785">
        <v>47588.953000000001</v>
      </c>
      <c r="P785">
        <v>1.500949E-6</v>
      </c>
      <c r="Q785">
        <v>0.14285700000000001</v>
      </c>
      <c r="R785" s="61">
        <v>3.691215232338224E-3</v>
      </c>
      <c r="S785" t="s">
        <v>348</v>
      </c>
      <c r="T785" t="s">
        <v>438</v>
      </c>
      <c r="U785" t="s">
        <v>425</v>
      </c>
      <c r="V785" t="s">
        <v>28</v>
      </c>
      <c r="W785">
        <v>111.133</v>
      </c>
      <c r="X785">
        <v>1.0727760310708341</v>
      </c>
      <c r="Y785">
        <v>119.22081866099499</v>
      </c>
      <c r="Z785">
        <v>694.38</v>
      </c>
      <c r="AA785">
        <v>0.875</v>
      </c>
      <c r="AB785">
        <v>72.436483054094012</v>
      </c>
      <c r="AC785">
        <v>0.99250000000000005</v>
      </c>
      <c r="AD785" s="63">
        <v>71.893000000000001</v>
      </c>
      <c r="AE785">
        <v>8.9176000000000002</v>
      </c>
      <c r="AF785">
        <v>9.5665875346772715</v>
      </c>
      <c r="AG785">
        <v>0.91300000000000003</v>
      </c>
      <c r="AH785">
        <v>6064.9193587765631</v>
      </c>
      <c r="AI785">
        <v>0.93847214018507585</v>
      </c>
      <c r="AJ785" s="63">
        <v>5691.7578999999996</v>
      </c>
      <c r="AK785" s="61">
        <v>21.00950345926142</v>
      </c>
      <c r="AL785" t="s">
        <v>349</v>
      </c>
      <c r="AM785" t="s">
        <v>439</v>
      </c>
      <c r="AN785" t="s">
        <v>425</v>
      </c>
      <c r="AO785" t="s">
        <v>28</v>
      </c>
      <c r="AP785">
        <v>111.133</v>
      </c>
      <c r="AQ785">
        <v>1.080821157758461</v>
      </c>
      <c r="AR785">
        <v>120.1148977251711</v>
      </c>
      <c r="AS785">
        <v>779.31</v>
      </c>
      <c r="AT785">
        <v>0.879</v>
      </c>
      <c r="AU785">
        <v>82.280325291712501</v>
      </c>
      <c r="AV785">
        <v>0.96379999999999999</v>
      </c>
      <c r="AW785" s="63">
        <v>79.302000000000007</v>
      </c>
      <c r="AX785">
        <v>8.9176000000000002</v>
      </c>
      <c r="AY785">
        <v>0.80400000000000005</v>
      </c>
      <c r="AZ785">
        <v>6039.0430235999738</v>
      </c>
      <c r="BA785">
        <v>0.93699547154951757</v>
      </c>
      <c r="BB785" s="63">
        <v>5658.5559999999996</v>
      </c>
      <c r="BC785" s="61">
        <v>20.88694810023885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499984740745262"/>
  </sheetPr>
  <dimension ref="A1:AD3261"/>
  <sheetViews>
    <sheetView topLeftCell="M1" zoomScale="85" zoomScaleNormal="85" workbookViewId="0">
      <selection activeCell="T1" sqref="T1:T1048576"/>
    </sheetView>
  </sheetViews>
  <sheetFormatPr baseColWidth="10" defaultRowHeight="15" x14ac:dyDescent="0.25"/>
  <cols>
    <col min="1" max="1" width="12.7109375" bestFit="1" customWidth="1"/>
    <col min="2" max="2" width="17.140625" bestFit="1" customWidth="1"/>
    <col min="3" max="3" width="8" bestFit="1" customWidth="1"/>
    <col min="4" max="4" width="7.140625" bestFit="1" customWidth="1"/>
    <col min="5" max="5" width="16.7109375" bestFit="1" customWidth="1"/>
    <col min="6" max="6" width="11.85546875" bestFit="1" customWidth="1"/>
    <col min="7" max="7" width="27" bestFit="1" customWidth="1"/>
    <col min="8" max="9" width="26.140625" bestFit="1" customWidth="1"/>
    <col min="10" max="10" width="59.42578125" bestFit="1" customWidth="1"/>
    <col min="11" max="11" width="16.7109375" bestFit="1" customWidth="1"/>
    <col min="12" max="12" width="20.5703125" bestFit="1" customWidth="1"/>
    <col min="13" max="14" width="15" bestFit="1" customWidth="1"/>
    <col min="15" max="15" width="10.28515625" bestFit="1" customWidth="1"/>
    <col min="16" max="16" width="21.85546875" bestFit="1" customWidth="1"/>
    <col min="17" max="17" width="9.5703125" bestFit="1" customWidth="1"/>
    <col min="18" max="18" width="15.85546875" bestFit="1" customWidth="1"/>
    <col min="19" max="19" width="12" style="4" bestFit="1" customWidth="1"/>
    <col min="20" max="20" width="15.42578125" bestFit="1" customWidth="1"/>
    <col min="21" max="21" width="21.28515625" bestFit="1" customWidth="1"/>
    <col min="22" max="22" width="12.42578125" bestFit="1" customWidth="1"/>
    <col min="23" max="23" width="20.28515625" bestFit="1" customWidth="1"/>
    <col min="24" max="24" width="15.42578125" bestFit="1" customWidth="1"/>
    <col min="25" max="26" width="22.5703125" bestFit="1" customWidth="1"/>
    <col min="27" max="27" width="13.28515625" bestFit="1" customWidth="1"/>
    <col min="28" max="28" width="21.42578125" bestFit="1" customWidth="1"/>
    <col min="29" max="29" width="20.28515625" bestFit="1" customWidth="1"/>
  </cols>
  <sheetData>
    <row r="1" spans="1:30" s="2" customFormat="1" x14ac:dyDescent="0.25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58" t="s">
        <v>18</v>
      </c>
      <c r="T1" s="38" t="s">
        <v>19</v>
      </c>
      <c r="U1" s="38" t="s">
        <v>75</v>
      </c>
      <c r="V1" s="38" t="s">
        <v>20</v>
      </c>
      <c r="W1" s="38" t="s">
        <v>76</v>
      </c>
      <c r="X1" s="38" t="s">
        <v>21</v>
      </c>
      <c r="Y1" s="38" t="s">
        <v>22</v>
      </c>
      <c r="Z1" s="38" t="s">
        <v>77</v>
      </c>
      <c r="AA1" s="38" t="s">
        <v>23</v>
      </c>
      <c r="AB1" s="38" t="s">
        <v>78</v>
      </c>
      <c r="AC1" s="38" t="s">
        <v>24</v>
      </c>
      <c r="AD1" s="38" t="s">
        <v>71</v>
      </c>
    </row>
    <row r="2" spans="1:30" x14ac:dyDescent="0.25">
      <c r="A2">
        <v>600911</v>
      </c>
      <c r="B2" t="s">
        <v>99</v>
      </c>
      <c r="C2">
        <v>2016</v>
      </c>
      <c r="D2">
        <v>4</v>
      </c>
      <c r="E2" t="s">
        <v>85</v>
      </c>
      <c r="F2" t="s">
        <v>84</v>
      </c>
      <c r="G2" t="s">
        <v>84</v>
      </c>
      <c r="H2" t="s">
        <v>25</v>
      </c>
      <c r="I2" t="s">
        <v>100</v>
      </c>
      <c r="J2" t="s">
        <v>101</v>
      </c>
      <c r="K2" t="s">
        <v>102</v>
      </c>
      <c r="L2" t="s">
        <v>103</v>
      </c>
      <c r="M2">
        <v>4919.3408924699997</v>
      </c>
      <c r="N2">
        <v>0</v>
      </c>
      <c r="O2" t="s">
        <v>79</v>
      </c>
      <c r="P2" s="39">
        <v>44330.488381134259</v>
      </c>
      <c r="Q2">
        <v>5423000</v>
      </c>
      <c r="R2" t="s">
        <v>74</v>
      </c>
      <c r="S2" s="4">
        <v>73.123154069999998</v>
      </c>
      <c r="T2">
        <v>68.686022080000001</v>
      </c>
      <c r="U2">
        <v>68.686022080000001</v>
      </c>
      <c r="V2">
        <v>5022.5385748899998</v>
      </c>
      <c r="W2">
        <v>5022.5385748899998</v>
      </c>
      <c r="X2">
        <v>0</v>
      </c>
      <c r="Y2">
        <v>0</v>
      </c>
      <c r="Z2">
        <v>0</v>
      </c>
      <c r="AA2">
        <v>0</v>
      </c>
      <c r="AB2">
        <v>0</v>
      </c>
      <c r="AC2" t="s">
        <v>84</v>
      </c>
      <c r="AD2" s="39">
        <v>42461</v>
      </c>
    </row>
    <row r="3" spans="1:30" x14ac:dyDescent="0.25">
      <c r="A3">
        <v>600929</v>
      </c>
      <c r="B3" t="s">
        <v>99</v>
      </c>
      <c r="C3">
        <v>2016</v>
      </c>
      <c r="D3">
        <v>4</v>
      </c>
      <c r="E3" t="s">
        <v>87</v>
      </c>
      <c r="F3" t="s">
        <v>84</v>
      </c>
      <c r="G3" t="s">
        <v>84</v>
      </c>
      <c r="H3" t="s">
        <v>25</v>
      </c>
      <c r="I3" t="s">
        <v>100</v>
      </c>
      <c r="J3" t="s">
        <v>101</v>
      </c>
      <c r="K3" t="s">
        <v>104</v>
      </c>
      <c r="L3" t="s">
        <v>103</v>
      </c>
      <c r="M3">
        <v>1317.6215099999999</v>
      </c>
      <c r="N3">
        <v>0</v>
      </c>
      <c r="O3" t="s">
        <v>79</v>
      </c>
      <c r="P3" s="39">
        <v>44330.488381793977</v>
      </c>
      <c r="Q3">
        <v>5423034</v>
      </c>
      <c r="R3" t="s">
        <v>74</v>
      </c>
      <c r="S3" s="4">
        <v>35.336403199999999</v>
      </c>
      <c r="T3">
        <v>68.686022080000001</v>
      </c>
      <c r="U3">
        <v>68.686022080000001</v>
      </c>
      <c r="V3">
        <v>2427.1169704099998</v>
      </c>
      <c r="W3">
        <v>2427.1169704099998</v>
      </c>
      <c r="X3">
        <v>0</v>
      </c>
      <c r="Y3">
        <v>0</v>
      </c>
      <c r="Z3">
        <v>0</v>
      </c>
      <c r="AA3">
        <v>0</v>
      </c>
      <c r="AB3">
        <v>0</v>
      </c>
      <c r="AC3" t="s">
        <v>84</v>
      </c>
      <c r="AD3" s="39">
        <v>42461</v>
      </c>
    </row>
    <row r="4" spans="1:30" x14ac:dyDescent="0.25">
      <c r="A4">
        <v>607827</v>
      </c>
      <c r="B4" t="s">
        <v>105</v>
      </c>
      <c r="C4">
        <v>2016</v>
      </c>
      <c r="D4">
        <v>3</v>
      </c>
      <c r="E4" t="s">
        <v>87</v>
      </c>
      <c r="F4" t="s">
        <v>84</v>
      </c>
      <c r="G4" t="s">
        <v>84</v>
      </c>
      <c r="H4" t="s">
        <v>25</v>
      </c>
      <c r="I4" t="s">
        <v>100</v>
      </c>
      <c r="J4" t="s">
        <v>101</v>
      </c>
      <c r="K4" t="s">
        <v>104</v>
      </c>
      <c r="L4" t="s">
        <v>103</v>
      </c>
      <c r="M4">
        <v>1703.6853574199999</v>
      </c>
      <c r="N4">
        <v>0</v>
      </c>
      <c r="O4" t="s">
        <v>79</v>
      </c>
      <c r="P4" s="39">
        <v>44330.494940509263</v>
      </c>
      <c r="Q4">
        <v>5439222</v>
      </c>
      <c r="R4" t="s">
        <v>74</v>
      </c>
      <c r="S4" s="4">
        <v>45.689989320000002</v>
      </c>
      <c r="T4">
        <v>68.686022080000001</v>
      </c>
      <c r="U4">
        <v>68.686022080000001</v>
      </c>
      <c r="V4">
        <v>3138.2636150399999</v>
      </c>
      <c r="W4">
        <v>3138.2636150399999</v>
      </c>
      <c r="X4">
        <v>0</v>
      </c>
      <c r="Y4">
        <v>0</v>
      </c>
      <c r="Z4">
        <v>0</v>
      </c>
      <c r="AA4">
        <v>0</v>
      </c>
      <c r="AB4">
        <v>0</v>
      </c>
      <c r="AC4" t="s">
        <v>84</v>
      </c>
      <c r="AD4" s="39">
        <v>42430</v>
      </c>
    </row>
    <row r="5" spans="1:30" x14ac:dyDescent="0.25">
      <c r="A5">
        <v>600947</v>
      </c>
      <c r="B5" t="s">
        <v>99</v>
      </c>
      <c r="C5">
        <v>2016</v>
      </c>
      <c r="D5">
        <v>4</v>
      </c>
      <c r="E5" t="s">
        <v>59</v>
      </c>
      <c r="F5" t="s">
        <v>84</v>
      </c>
      <c r="G5" t="s">
        <v>84</v>
      </c>
      <c r="H5" t="s">
        <v>25</v>
      </c>
      <c r="I5" t="s">
        <v>100</v>
      </c>
      <c r="J5" t="s">
        <v>101</v>
      </c>
      <c r="K5" t="s">
        <v>106</v>
      </c>
      <c r="L5" t="s">
        <v>103</v>
      </c>
      <c r="M5">
        <v>2065.7815005799998</v>
      </c>
      <c r="N5">
        <v>0</v>
      </c>
      <c r="O5" t="s">
        <v>79</v>
      </c>
      <c r="P5" s="39">
        <v>44330.488382442127</v>
      </c>
      <c r="Q5">
        <v>5423068</v>
      </c>
      <c r="R5" t="s">
        <v>74</v>
      </c>
      <c r="S5" s="4">
        <v>54.541874569999997</v>
      </c>
      <c r="T5">
        <v>68.686022080000001</v>
      </c>
      <c r="U5">
        <v>68.686022080000001</v>
      </c>
      <c r="V5">
        <v>3746.2644009099999</v>
      </c>
      <c r="W5">
        <v>3746.2644009099999</v>
      </c>
      <c r="X5">
        <v>0</v>
      </c>
      <c r="Y5">
        <v>0</v>
      </c>
      <c r="Z5">
        <v>0</v>
      </c>
      <c r="AA5">
        <v>0</v>
      </c>
      <c r="AB5">
        <v>0</v>
      </c>
      <c r="AC5" t="s">
        <v>84</v>
      </c>
      <c r="AD5" s="39">
        <v>42461</v>
      </c>
    </row>
    <row r="6" spans="1:30" x14ac:dyDescent="0.25">
      <c r="A6">
        <v>607809</v>
      </c>
      <c r="B6" t="s">
        <v>105</v>
      </c>
      <c r="C6">
        <v>2016</v>
      </c>
      <c r="D6">
        <v>3</v>
      </c>
      <c r="E6" t="s">
        <v>85</v>
      </c>
      <c r="F6" t="s">
        <v>84</v>
      </c>
      <c r="G6" t="s">
        <v>84</v>
      </c>
      <c r="H6" t="s">
        <v>25</v>
      </c>
      <c r="I6" t="s">
        <v>100</v>
      </c>
      <c r="J6" t="s">
        <v>101</v>
      </c>
      <c r="K6" t="s">
        <v>102</v>
      </c>
      <c r="L6" t="s">
        <v>103</v>
      </c>
      <c r="M6">
        <v>6396.77665523</v>
      </c>
      <c r="N6">
        <v>0</v>
      </c>
      <c r="O6" t="s">
        <v>79</v>
      </c>
      <c r="P6" s="39">
        <v>44330.494939849537</v>
      </c>
      <c r="Q6">
        <v>5439188</v>
      </c>
      <c r="R6" t="s">
        <v>74</v>
      </c>
      <c r="S6" s="4">
        <v>95.084381250000007</v>
      </c>
      <c r="T6">
        <v>68.686022080000001</v>
      </c>
      <c r="U6">
        <v>68.686022080000001</v>
      </c>
      <c r="V6">
        <v>6530.9679097500002</v>
      </c>
      <c r="W6">
        <v>6530.9679097500002</v>
      </c>
      <c r="X6">
        <v>0</v>
      </c>
      <c r="Y6">
        <v>0</v>
      </c>
      <c r="Z6">
        <v>0</v>
      </c>
      <c r="AA6">
        <v>0</v>
      </c>
      <c r="AB6">
        <v>0</v>
      </c>
      <c r="AC6" t="s">
        <v>84</v>
      </c>
      <c r="AD6" s="39">
        <v>42430</v>
      </c>
    </row>
    <row r="7" spans="1:30" x14ac:dyDescent="0.25">
      <c r="A7">
        <v>607845</v>
      </c>
      <c r="B7" t="s">
        <v>105</v>
      </c>
      <c r="C7">
        <v>2016</v>
      </c>
      <c r="D7">
        <v>3</v>
      </c>
      <c r="E7" t="s">
        <v>59</v>
      </c>
      <c r="F7" t="s">
        <v>84</v>
      </c>
      <c r="G7" t="s">
        <v>84</v>
      </c>
      <c r="H7" t="s">
        <v>25</v>
      </c>
      <c r="I7" t="s">
        <v>100</v>
      </c>
      <c r="J7" t="s">
        <v>101</v>
      </c>
      <c r="K7" t="s">
        <v>106</v>
      </c>
      <c r="L7" t="s">
        <v>103</v>
      </c>
      <c r="M7">
        <v>2312.6677555199999</v>
      </c>
      <c r="N7">
        <v>0</v>
      </c>
      <c r="O7" t="s">
        <v>79</v>
      </c>
      <c r="P7" s="39">
        <v>44330.494941122677</v>
      </c>
      <c r="Q7">
        <v>5439256</v>
      </c>
      <c r="R7" t="s">
        <v>74</v>
      </c>
      <c r="S7" s="4">
        <v>61.060298299999999</v>
      </c>
      <c r="T7">
        <v>68.686022080000001</v>
      </c>
      <c r="U7">
        <v>68.686022080000001</v>
      </c>
      <c r="V7">
        <v>4193.9889970000004</v>
      </c>
      <c r="W7">
        <v>4193.9889970000004</v>
      </c>
      <c r="X7">
        <v>0</v>
      </c>
      <c r="Y7">
        <v>0</v>
      </c>
      <c r="Z7">
        <v>0</v>
      </c>
      <c r="AA7">
        <v>0</v>
      </c>
      <c r="AB7">
        <v>0</v>
      </c>
      <c r="AC7" t="s">
        <v>84</v>
      </c>
      <c r="AD7" s="39">
        <v>42430</v>
      </c>
    </row>
    <row r="8" spans="1:30" x14ac:dyDescent="0.25">
      <c r="A8">
        <v>607809</v>
      </c>
      <c r="B8" t="s">
        <v>105</v>
      </c>
      <c r="C8">
        <v>2016</v>
      </c>
      <c r="D8">
        <v>3</v>
      </c>
      <c r="E8" t="s">
        <v>85</v>
      </c>
      <c r="F8" t="s">
        <v>84</v>
      </c>
      <c r="G8" t="s">
        <v>84</v>
      </c>
      <c r="H8" t="s">
        <v>25</v>
      </c>
      <c r="I8" t="s">
        <v>100</v>
      </c>
      <c r="J8" t="s">
        <v>101</v>
      </c>
      <c r="K8" t="s">
        <v>102</v>
      </c>
      <c r="L8" t="s">
        <v>103</v>
      </c>
      <c r="M8">
        <v>6396.77665523</v>
      </c>
      <c r="N8">
        <v>0</v>
      </c>
      <c r="O8" t="s">
        <v>79</v>
      </c>
      <c r="P8" s="39">
        <v>44330.494939849537</v>
      </c>
      <c r="Q8">
        <v>5439187</v>
      </c>
      <c r="R8" t="s">
        <v>82</v>
      </c>
      <c r="S8" s="4">
        <v>6554.1730485600001</v>
      </c>
      <c r="T8">
        <v>77.583745070000006</v>
      </c>
      <c r="U8">
        <v>77.583745070000006</v>
      </c>
      <c r="V8">
        <v>508497.29094451998</v>
      </c>
      <c r="W8">
        <v>508497.29094451998</v>
      </c>
      <c r="X8">
        <v>0</v>
      </c>
      <c r="Y8">
        <v>0</v>
      </c>
      <c r="Z8">
        <v>0</v>
      </c>
      <c r="AA8">
        <v>0</v>
      </c>
      <c r="AB8">
        <v>0</v>
      </c>
      <c r="AC8" t="s">
        <v>84</v>
      </c>
      <c r="AD8" s="39">
        <v>42430</v>
      </c>
    </row>
    <row r="9" spans="1:30" x14ac:dyDescent="0.25">
      <c r="A9">
        <v>607845</v>
      </c>
      <c r="B9" t="s">
        <v>105</v>
      </c>
      <c r="C9">
        <v>2016</v>
      </c>
      <c r="D9">
        <v>3</v>
      </c>
      <c r="E9" t="s">
        <v>59</v>
      </c>
      <c r="F9" t="s">
        <v>84</v>
      </c>
      <c r="G9" t="s">
        <v>84</v>
      </c>
      <c r="H9" t="s">
        <v>25</v>
      </c>
      <c r="I9" t="s">
        <v>100</v>
      </c>
      <c r="J9" t="s">
        <v>101</v>
      </c>
      <c r="K9" t="s">
        <v>106</v>
      </c>
      <c r="L9" t="s">
        <v>103</v>
      </c>
      <c r="M9">
        <v>2312.6677555199999</v>
      </c>
      <c r="N9">
        <v>0</v>
      </c>
      <c r="O9" t="s">
        <v>79</v>
      </c>
      <c r="P9" s="39">
        <v>44330.494941122677</v>
      </c>
      <c r="Q9">
        <v>5439255</v>
      </c>
      <c r="R9" t="s">
        <v>82</v>
      </c>
      <c r="S9" s="4">
        <v>2342.8884535299999</v>
      </c>
      <c r="T9">
        <v>77.583745070000006</v>
      </c>
      <c r="U9">
        <v>77.583745070000006</v>
      </c>
      <c r="V9">
        <v>181770.06050639</v>
      </c>
      <c r="W9">
        <v>181770.06050639</v>
      </c>
      <c r="X9">
        <v>0</v>
      </c>
      <c r="Y9">
        <v>0</v>
      </c>
      <c r="Z9">
        <v>0</v>
      </c>
      <c r="AA9">
        <v>0</v>
      </c>
      <c r="AB9">
        <v>0</v>
      </c>
      <c r="AC9" t="s">
        <v>84</v>
      </c>
      <c r="AD9" s="39">
        <v>42430</v>
      </c>
    </row>
    <row r="10" spans="1:30" x14ac:dyDescent="0.25">
      <c r="A10">
        <v>600929</v>
      </c>
      <c r="B10" t="s">
        <v>99</v>
      </c>
      <c r="C10">
        <v>2016</v>
      </c>
      <c r="D10">
        <v>4</v>
      </c>
      <c r="E10" t="s">
        <v>87</v>
      </c>
      <c r="F10" t="s">
        <v>84</v>
      </c>
      <c r="G10" t="s">
        <v>84</v>
      </c>
      <c r="H10" t="s">
        <v>25</v>
      </c>
      <c r="I10" t="s">
        <v>100</v>
      </c>
      <c r="J10" t="s">
        <v>101</v>
      </c>
      <c r="K10" t="s">
        <v>104</v>
      </c>
      <c r="L10" t="s">
        <v>103</v>
      </c>
      <c r="M10">
        <v>1317.6215099999999</v>
      </c>
      <c r="N10">
        <v>0</v>
      </c>
      <c r="O10" t="s">
        <v>79</v>
      </c>
      <c r="P10" s="39">
        <v>44330.488381793977</v>
      </c>
      <c r="Q10">
        <v>5423033</v>
      </c>
      <c r="R10" t="s">
        <v>82</v>
      </c>
      <c r="S10" s="4">
        <v>1334.2916278</v>
      </c>
      <c r="T10">
        <v>77.583745070000006</v>
      </c>
      <c r="U10">
        <v>77.583745070000006</v>
      </c>
      <c r="V10">
        <v>103519.34150053</v>
      </c>
      <c r="W10">
        <v>103519.34150053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84</v>
      </c>
      <c r="AD10" s="39">
        <v>42461</v>
      </c>
    </row>
    <row r="11" spans="1:30" x14ac:dyDescent="0.25">
      <c r="A11">
        <v>600947</v>
      </c>
      <c r="B11" t="s">
        <v>99</v>
      </c>
      <c r="C11">
        <v>2016</v>
      </c>
      <c r="D11">
        <v>4</v>
      </c>
      <c r="E11" t="s">
        <v>59</v>
      </c>
      <c r="F11" t="s">
        <v>84</v>
      </c>
      <c r="G11" t="s">
        <v>84</v>
      </c>
      <c r="H11" t="s">
        <v>25</v>
      </c>
      <c r="I11" t="s">
        <v>100</v>
      </c>
      <c r="J11" t="s">
        <v>101</v>
      </c>
      <c r="K11" t="s">
        <v>106</v>
      </c>
      <c r="L11" t="s">
        <v>103</v>
      </c>
      <c r="M11">
        <v>2065.7815005799998</v>
      </c>
      <c r="N11">
        <v>0</v>
      </c>
      <c r="O11" t="s">
        <v>79</v>
      </c>
      <c r="P11" s="39">
        <v>44330.488382442127</v>
      </c>
      <c r="Q11">
        <v>5423067</v>
      </c>
      <c r="R11" t="s">
        <v>82</v>
      </c>
      <c r="S11" s="4">
        <v>2092.7760218399999</v>
      </c>
      <c r="T11">
        <v>77.583745070000006</v>
      </c>
      <c r="U11">
        <v>77.583745070000006</v>
      </c>
      <c r="V11">
        <v>162365.40136680001</v>
      </c>
      <c r="W11">
        <v>162365.40136680001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84</v>
      </c>
      <c r="AD11" s="39">
        <v>42461</v>
      </c>
    </row>
    <row r="12" spans="1:30" x14ac:dyDescent="0.25">
      <c r="A12">
        <v>607827</v>
      </c>
      <c r="B12" t="s">
        <v>105</v>
      </c>
      <c r="C12">
        <v>2016</v>
      </c>
      <c r="D12">
        <v>3</v>
      </c>
      <c r="E12" t="s">
        <v>87</v>
      </c>
      <c r="F12" t="s">
        <v>84</v>
      </c>
      <c r="G12" t="s">
        <v>84</v>
      </c>
      <c r="H12" t="s">
        <v>25</v>
      </c>
      <c r="I12" t="s">
        <v>100</v>
      </c>
      <c r="J12" t="s">
        <v>101</v>
      </c>
      <c r="K12" t="s">
        <v>104</v>
      </c>
      <c r="L12" t="s">
        <v>103</v>
      </c>
      <c r="M12">
        <v>1703.6853574199999</v>
      </c>
      <c r="N12">
        <v>0</v>
      </c>
      <c r="O12" t="s">
        <v>79</v>
      </c>
      <c r="P12" s="39">
        <v>44330.494940509263</v>
      </c>
      <c r="Q12">
        <v>5439221</v>
      </c>
      <c r="R12" t="s">
        <v>82</v>
      </c>
      <c r="S12" s="4">
        <v>1725.23982916</v>
      </c>
      <c r="T12">
        <v>77.583745070000006</v>
      </c>
      <c r="U12">
        <v>77.583745070000006</v>
      </c>
      <c r="V12">
        <v>133850.56708995</v>
      </c>
      <c r="W12">
        <v>133850.56708995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84</v>
      </c>
      <c r="AD12" s="39">
        <v>42430</v>
      </c>
    </row>
    <row r="13" spans="1:30" x14ac:dyDescent="0.25">
      <c r="A13">
        <v>600911</v>
      </c>
      <c r="B13" t="s">
        <v>99</v>
      </c>
      <c r="C13">
        <v>2016</v>
      </c>
      <c r="D13">
        <v>4</v>
      </c>
      <c r="E13" t="s">
        <v>85</v>
      </c>
      <c r="F13" t="s">
        <v>84</v>
      </c>
      <c r="G13" t="s">
        <v>84</v>
      </c>
      <c r="H13" t="s">
        <v>25</v>
      </c>
      <c r="I13" t="s">
        <v>100</v>
      </c>
      <c r="J13" t="s">
        <v>101</v>
      </c>
      <c r="K13" t="s">
        <v>102</v>
      </c>
      <c r="L13" t="s">
        <v>103</v>
      </c>
      <c r="M13">
        <v>4919.3408924699997</v>
      </c>
      <c r="N13">
        <v>0</v>
      </c>
      <c r="O13" t="s">
        <v>79</v>
      </c>
      <c r="P13" s="39">
        <v>44330.488381134259</v>
      </c>
      <c r="Q13">
        <v>5422999</v>
      </c>
      <c r="R13" t="s">
        <v>82</v>
      </c>
      <c r="S13" s="4">
        <v>5040.3841234299998</v>
      </c>
      <c r="T13">
        <v>77.583745070000006</v>
      </c>
      <c r="U13">
        <v>77.583745070000006</v>
      </c>
      <c r="V13">
        <v>391051.87688721</v>
      </c>
      <c r="W13">
        <v>391051.87688721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84</v>
      </c>
      <c r="AD13" s="39">
        <v>42461</v>
      </c>
    </row>
    <row r="14" spans="1:30" x14ac:dyDescent="0.25">
      <c r="A14">
        <v>747847</v>
      </c>
      <c r="B14" t="s">
        <v>107</v>
      </c>
      <c r="C14">
        <v>2016</v>
      </c>
      <c r="D14">
        <v>1</v>
      </c>
      <c r="E14" t="s">
        <v>85</v>
      </c>
      <c r="F14" t="s">
        <v>84</v>
      </c>
      <c r="G14" t="s">
        <v>84</v>
      </c>
      <c r="H14" t="s">
        <v>100</v>
      </c>
      <c r="I14" t="s">
        <v>100</v>
      </c>
      <c r="J14" t="s">
        <v>108</v>
      </c>
      <c r="K14" t="s">
        <v>102</v>
      </c>
      <c r="L14" t="s">
        <v>109</v>
      </c>
      <c r="M14">
        <v>4067.4409494400002</v>
      </c>
      <c r="N14">
        <v>0</v>
      </c>
      <c r="O14" t="s">
        <v>79</v>
      </c>
      <c r="P14" s="39">
        <v>44350.694832986112</v>
      </c>
      <c r="Q14">
        <v>6409298</v>
      </c>
      <c r="R14" t="s">
        <v>74</v>
      </c>
      <c r="S14" s="4">
        <v>60.460154670000001</v>
      </c>
      <c r="T14">
        <v>68.686022080000001</v>
      </c>
      <c r="U14">
        <v>68.686022080000001</v>
      </c>
      <c r="V14">
        <v>4152.7675182900002</v>
      </c>
      <c r="W14">
        <v>4152.7675182900002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84</v>
      </c>
      <c r="AD14" s="39">
        <v>42370</v>
      </c>
    </row>
    <row r="15" spans="1:30" x14ac:dyDescent="0.25">
      <c r="A15">
        <v>747883</v>
      </c>
      <c r="B15" t="s">
        <v>107</v>
      </c>
      <c r="C15">
        <v>2016</v>
      </c>
      <c r="D15">
        <v>1</v>
      </c>
      <c r="E15" t="s">
        <v>59</v>
      </c>
      <c r="F15" t="s">
        <v>84</v>
      </c>
      <c r="G15" t="s">
        <v>84</v>
      </c>
      <c r="H15" t="s">
        <v>100</v>
      </c>
      <c r="I15" t="s">
        <v>100</v>
      </c>
      <c r="J15" t="s">
        <v>108</v>
      </c>
      <c r="K15" t="s">
        <v>106</v>
      </c>
      <c r="L15" t="s">
        <v>109</v>
      </c>
      <c r="M15">
        <v>1749.0648298200001</v>
      </c>
      <c r="N15">
        <v>0</v>
      </c>
      <c r="O15" t="s">
        <v>79</v>
      </c>
      <c r="P15" s="39">
        <v>44350.694834374997</v>
      </c>
      <c r="Q15">
        <v>6409370</v>
      </c>
      <c r="R15" t="s">
        <v>74</v>
      </c>
      <c r="S15" s="4">
        <v>46.179750630000001</v>
      </c>
      <c r="T15">
        <v>68.686022080000001</v>
      </c>
      <c r="U15">
        <v>68.686022080000001</v>
      </c>
      <c r="V15">
        <v>3171.9033716700001</v>
      </c>
      <c r="W15">
        <v>3171.9033716700001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84</v>
      </c>
      <c r="AD15" s="39">
        <v>42370</v>
      </c>
    </row>
    <row r="16" spans="1:30" x14ac:dyDescent="0.25">
      <c r="A16">
        <v>747865</v>
      </c>
      <c r="B16" t="s">
        <v>107</v>
      </c>
      <c r="C16">
        <v>2016</v>
      </c>
      <c r="D16">
        <v>1</v>
      </c>
      <c r="E16" t="s">
        <v>87</v>
      </c>
      <c r="F16" t="s">
        <v>84</v>
      </c>
      <c r="G16" t="s">
        <v>84</v>
      </c>
      <c r="H16" t="s">
        <v>100</v>
      </c>
      <c r="I16" t="s">
        <v>100</v>
      </c>
      <c r="J16" t="s">
        <v>108</v>
      </c>
      <c r="K16" t="s">
        <v>104</v>
      </c>
      <c r="L16" t="s">
        <v>109</v>
      </c>
      <c r="M16">
        <v>897.34483422000005</v>
      </c>
      <c r="N16">
        <v>0</v>
      </c>
      <c r="O16" t="s">
        <v>79</v>
      </c>
      <c r="P16" s="39">
        <v>44350.694833680558</v>
      </c>
      <c r="Q16">
        <v>6409334</v>
      </c>
      <c r="R16" t="s">
        <v>74</v>
      </c>
      <c r="S16" s="4">
        <v>24.0652863</v>
      </c>
      <c r="T16">
        <v>68.686022080000001</v>
      </c>
      <c r="U16">
        <v>68.686022080000001</v>
      </c>
      <c r="V16">
        <v>1652.94878606</v>
      </c>
      <c r="W16">
        <v>1652.94878606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84</v>
      </c>
      <c r="AD16" s="39">
        <v>42370</v>
      </c>
    </row>
    <row r="17" spans="1:30" x14ac:dyDescent="0.25">
      <c r="A17">
        <v>747847</v>
      </c>
      <c r="B17" t="s">
        <v>107</v>
      </c>
      <c r="C17">
        <v>2016</v>
      </c>
      <c r="D17">
        <v>1</v>
      </c>
      <c r="E17" t="s">
        <v>85</v>
      </c>
      <c r="F17" t="s">
        <v>84</v>
      </c>
      <c r="G17" t="s">
        <v>84</v>
      </c>
      <c r="H17" t="s">
        <v>100</v>
      </c>
      <c r="I17" t="s">
        <v>100</v>
      </c>
      <c r="J17" t="s">
        <v>108</v>
      </c>
      <c r="K17" t="s">
        <v>102</v>
      </c>
      <c r="L17" t="s">
        <v>109</v>
      </c>
      <c r="M17">
        <v>4067.4409494400002</v>
      </c>
      <c r="N17">
        <v>0</v>
      </c>
      <c r="O17" t="s">
        <v>79</v>
      </c>
      <c r="P17" s="39">
        <v>44350.694832986112</v>
      </c>
      <c r="Q17">
        <v>6409297</v>
      </c>
      <c r="R17" t="s">
        <v>82</v>
      </c>
      <c r="S17" s="4">
        <v>4167.5226890499998</v>
      </c>
      <c r="T17">
        <v>77.583745070000006</v>
      </c>
      <c r="U17">
        <v>77.583745070000006</v>
      </c>
      <c r="V17">
        <v>323332.01788041001</v>
      </c>
      <c r="W17">
        <v>323332.01788041001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84</v>
      </c>
      <c r="AD17" s="39">
        <v>42370</v>
      </c>
    </row>
    <row r="18" spans="1:30" x14ac:dyDescent="0.25">
      <c r="A18">
        <v>747883</v>
      </c>
      <c r="B18" t="s">
        <v>107</v>
      </c>
      <c r="C18">
        <v>2016</v>
      </c>
      <c r="D18">
        <v>1</v>
      </c>
      <c r="E18" t="s">
        <v>59</v>
      </c>
      <c r="F18" t="s">
        <v>84</v>
      </c>
      <c r="G18" t="s">
        <v>84</v>
      </c>
      <c r="H18" t="s">
        <v>100</v>
      </c>
      <c r="I18" t="s">
        <v>100</v>
      </c>
      <c r="J18" t="s">
        <v>108</v>
      </c>
      <c r="K18" t="s">
        <v>106</v>
      </c>
      <c r="L18" t="s">
        <v>109</v>
      </c>
      <c r="M18">
        <v>1749.0648298200001</v>
      </c>
      <c r="N18">
        <v>0</v>
      </c>
      <c r="O18" t="s">
        <v>79</v>
      </c>
      <c r="P18" s="39">
        <v>44350.694834374997</v>
      </c>
      <c r="Q18">
        <v>6409369</v>
      </c>
      <c r="R18" t="s">
        <v>82</v>
      </c>
      <c r="S18" s="4">
        <v>1771.9206680100001</v>
      </c>
      <c r="T18">
        <v>77.583745070000006</v>
      </c>
      <c r="U18">
        <v>77.583745070000006</v>
      </c>
      <c r="V18">
        <v>137472.24139149999</v>
      </c>
      <c r="W18">
        <v>137472.24139149999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84</v>
      </c>
      <c r="AD18" s="39">
        <v>42370</v>
      </c>
    </row>
    <row r="19" spans="1:30" x14ac:dyDescent="0.25">
      <c r="A19">
        <v>747865</v>
      </c>
      <c r="B19" t="s">
        <v>107</v>
      </c>
      <c r="C19">
        <v>2016</v>
      </c>
      <c r="D19">
        <v>1</v>
      </c>
      <c r="E19" t="s">
        <v>87</v>
      </c>
      <c r="F19" t="s">
        <v>84</v>
      </c>
      <c r="G19" t="s">
        <v>84</v>
      </c>
      <c r="H19" t="s">
        <v>100</v>
      </c>
      <c r="I19" t="s">
        <v>100</v>
      </c>
      <c r="J19" t="s">
        <v>108</v>
      </c>
      <c r="K19" t="s">
        <v>104</v>
      </c>
      <c r="L19" t="s">
        <v>109</v>
      </c>
      <c r="M19">
        <v>897.34483422000005</v>
      </c>
      <c r="N19">
        <v>0</v>
      </c>
      <c r="O19" t="s">
        <v>79</v>
      </c>
      <c r="P19" s="39">
        <v>44350.694833680558</v>
      </c>
      <c r="Q19">
        <v>6409333</v>
      </c>
      <c r="R19" t="s">
        <v>82</v>
      </c>
      <c r="S19" s="4">
        <v>908.69774853000001</v>
      </c>
      <c r="T19">
        <v>77.583745070000006</v>
      </c>
      <c r="U19">
        <v>77.583745070000006</v>
      </c>
      <c r="V19">
        <v>70500.174467250006</v>
      </c>
      <c r="W19">
        <v>70500.174467249992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84</v>
      </c>
      <c r="AD19" s="39">
        <v>42370</v>
      </c>
    </row>
    <row r="20" spans="1:30" x14ac:dyDescent="0.25">
      <c r="A20">
        <v>755003</v>
      </c>
      <c r="B20" t="s">
        <v>110</v>
      </c>
      <c r="C20">
        <v>2016</v>
      </c>
      <c r="D20">
        <v>2</v>
      </c>
      <c r="E20" t="s">
        <v>85</v>
      </c>
      <c r="F20" t="s">
        <v>84</v>
      </c>
      <c r="G20" t="s">
        <v>84</v>
      </c>
      <c r="H20" t="s">
        <v>100</v>
      </c>
      <c r="I20" t="s">
        <v>100</v>
      </c>
      <c r="J20" t="s">
        <v>111</v>
      </c>
      <c r="K20" t="s">
        <v>102</v>
      </c>
      <c r="L20" t="s">
        <v>109</v>
      </c>
      <c r="M20">
        <v>5278.3353200499996</v>
      </c>
      <c r="N20">
        <v>0</v>
      </c>
      <c r="O20" t="s">
        <v>79</v>
      </c>
      <c r="P20" s="39">
        <v>44350.700936655092</v>
      </c>
      <c r="Q20">
        <v>6425847</v>
      </c>
      <c r="R20" t="s">
        <v>74</v>
      </c>
      <c r="S20" s="4">
        <v>78.459398379999996</v>
      </c>
      <c r="T20">
        <v>68.686022080000001</v>
      </c>
      <c r="U20">
        <v>68.686022080000001</v>
      </c>
      <c r="V20">
        <v>5389.0639692699997</v>
      </c>
      <c r="W20">
        <v>5389.0639692699997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84</v>
      </c>
      <c r="AD20" s="39">
        <v>42401</v>
      </c>
    </row>
    <row r="21" spans="1:30" x14ac:dyDescent="0.25">
      <c r="A21">
        <v>755021</v>
      </c>
      <c r="B21" t="s">
        <v>110</v>
      </c>
      <c r="C21">
        <v>2016</v>
      </c>
      <c r="D21">
        <v>2</v>
      </c>
      <c r="E21" t="s">
        <v>87</v>
      </c>
      <c r="F21" t="s">
        <v>84</v>
      </c>
      <c r="G21" t="s">
        <v>84</v>
      </c>
      <c r="H21" t="s">
        <v>100</v>
      </c>
      <c r="I21" t="s">
        <v>100</v>
      </c>
      <c r="J21" t="s">
        <v>111</v>
      </c>
      <c r="K21" t="s">
        <v>104</v>
      </c>
      <c r="L21" t="s">
        <v>109</v>
      </c>
      <c r="M21">
        <v>1241.48702998</v>
      </c>
      <c r="N21">
        <v>0</v>
      </c>
      <c r="O21" t="s">
        <v>79</v>
      </c>
      <c r="P21" s="39">
        <v>44350.700937118047</v>
      </c>
      <c r="Q21">
        <v>6425881</v>
      </c>
      <c r="R21" t="s">
        <v>74</v>
      </c>
      <c r="S21" s="4">
        <v>33.294603889999998</v>
      </c>
      <c r="T21">
        <v>68.686022080000001</v>
      </c>
      <c r="U21">
        <v>68.686022080000001</v>
      </c>
      <c r="V21">
        <v>2286.8738982599998</v>
      </c>
      <c r="W21">
        <v>2286.8738982599998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84</v>
      </c>
      <c r="AD21" s="39">
        <v>42401</v>
      </c>
    </row>
    <row r="22" spans="1:30" x14ac:dyDescent="0.25">
      <c r="A22">
        <v>755039</v>
      </c>
      <c r="B22" t="s">
        <v>110</v>
      </c>
      <c r="C22">
        <v>2016</v>
      </c>
      <c r="D22">
        <v>2</v>
      </c>
      <c r="E22" t="s">
        <v>59</v>
      </c>
      <c r="F22" t="s">
        <v>84</v>
      </c>
      <c r="G22" t="s">
        <v>84</v>
      </c>
      <c r="H22" t="s">
        <v>100</v>
      </c>
      <c r="I22" t="s">
        <v>100</v>
      </c>
      <c r="J22" t="s">
        <v>111</v>
      </c>
      <c r="K22" t="s">
        <v>106</v>
      </c>
      <c r="L22" t="s">
        <v>109</v>
      </c>
      <c r="M22">
        <v>1904.6034659100001</v>
      </c>
      <c r="N22">
        <v>0</v>
      </c>
      <c r="O22" t="s">
        <v>79</v>
      </c>
      <c r="P22" s="39">
        <v>44350.700937847221</v>
      </c>
      <c r="Q22">
        <v>6425915</v>
      </c>
      <c r="R22" t="s">
        <v>74</v>
      </c>
      <c r="S22" s="4">
        <v>50.286365379999999</v>
      </c>
      <c r="T22">
        <v>68.686022080000001</v>
      </c>
      <c r="U22">
        <v>68.686022080000001</v>
      </c>
      <c r="V22">
        <v>3453.9704030600001</v>
      </c>
      <c r="W22">
        <v>3453.9704030600001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84</v>
      </c>
      <c r="AD22" s="39">
        <v>42401</v>
      </c>
    </row>
    <row r="23" spans="1:30" x14ac:dyDescent="0.25">
      <c r="A23">
        <v>755039</v>
      </c>
      <c r="B23" t="s">
        <v>110</v>
      </c>
      <c r="C23">
        <v>2016</v>
      </c>
      <c r="D23">
        <v>2</v>
      </c>
      <c r="E23" t="s">
        <v>59</v>
      </c>
      <c r="F23" t="s">
        <v>84</v>
      </c>
      <c r="G23" t="s">
        <v>84</v>
      </c>
      <c r="H23" t="s">
        <v>100</v>
      </c>
      <c r="I23" t="s">
        <v>100</v>
      </c>
      <c r="J23" t="s">
        <v>111</v>
      </c>
      <c r="K23" t="s">
        <v>106</v>
      </c>
      <c r="L23" t="s">
        <v>109</v>
      </c>
      <c r="M23">
        <v>1904.6034659100001</v>
      </c>
      <c r="N23">
        <v>0</v>
      </c>
      <c r="O23" t="s">
        <v>79</v>
      </c>
      <c r="P23" s="39">
        <v>44350.700937847221</v>
      </c>
      <c r="Q23">
        <v>6425914</v>
      </c>
      <c r="R23" t="s">
        <v>82</v>
      </c>
      <c r="S23" s="4">
        <v>1929.49179933</v>
      </c>
      <c r="T23">
        <v>77.583745070000006</v>
      </c>
      <c r="U23">
        <v>77.583745070000006</v>
      </c>
      <c r="V23">
        <v>149697.19987352</v>
      </c>
      <c r="W23">
        <v>149697.19987352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84</v>
      </c>
      <c r="AD23" s="39">
        <v>42401</v>
      </c>
    </row>
    <row r="24" spans="1:30" x14ac:dyDescent="0.25">
      <c r="A24">
        <v>755003</v>
      </c>
      <c r="B24" t="s">
        <v>110</v>
      </c>
      <c r="C24">
        <v>2016</v>
      </c>
      <c r="D24">
        <v>2</v>
      </c>
      <c r="E24" t="s">
        <v>85</v>
      </c>
      <c r="F24" t="s">
        <v>84</v>
      </c>
      <c r="G24" t="s">
        <v>84</v>
      </c>
      <c r="H24" t="s">
        <v>100</v>
      </c>
      <c r="I24" t="s">
        <v>100</v>
      </c>
      <c r="J24" t="s">
        <v>111</v>
      </c>
      <c r="K24" t="s">
        <v>102</v>
      </c>
      <c r="L24" t="s">
        <v>109</v>
      </c>
      <c r="M24">
        <v>5278.3353200499996</v>
      </c>
      <c r="N24">
        <v>0</v>
      </c>
      <c r="O24" t="s">
        <v>79</v>
      </c>
      <c r="P24" s="39">
        <v>44350.700936655092</v>
      </c>
      <c r="Q24">
        <v>6425846</v>
      </c>
      <c r="R24" t="s">
        <v>82</v>
      </c>
      <c r="S24" s="4">
        <v>5408.2118167600001</v>
      </c>
      <c r="T24">
        <v>77.583745070000006</v>
      </c>
      <c r="U24">
        <v>77.583745070000006</v>
      </c>
      <c r="V24">
        <v>419589.32687604002</v>
      </c>
      <c r="W24">
        <v>419589.32687604002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84</v>
      </c>
      <c r="AD24" s="39">
        <v>42401</v>
      </c>
    </row>
    <row r="25" spans="1:30" x14ac:dyDescent="0.25">
      <c r="A25">
        <v>755021</v>
      </c>
      <c r="B25" t="s">
        <v>110</v>
      </c>
      <c r="C25">
        <v>2016</v>
      </c>
      <c r="D25">
        <v>2</v>
      </c>
      <c r="E25" t="s">
        <v>87</v>
      </c>
      <c r="F25" t="s">
        <v>84</v>
      </c>
      <c r="G25" t="s">
        <v>84</v>
      </c>
      <c r="H25" t="s">
        <v>100</v>
      </c>
      <c r="I25" t="s">
        <v>100</v>
      </c>
      <c r="J25" t="s">
        <v>111</v>
      </c>
      <c r="K25" t="s">
        <v>104</v>
      </c>
      <c r="L25" t="s">
        <v>109</v>
      </c>
      <c r="M25">
        <v>1241.48702998</v>
      </c>
      <c r="N25">
        <v>0</v>
      </c>
      <c r="O25" t="s">
        <v>79</v>
      </c>
      <c r="P25" s="39">
        <v>44350.700937118047</v>
      </c>
      <c r="Q25">
        <v>6425880</v>
      </c>
      <c r="R25" t="s">
        <v>82</v>
      </c>
      <c r="S25" s="4">
        <v>1257.19391916</v>
      </c>
      <c r="T25">
        <v>77.583745070000006</v>
      </c>
      <c r="U25">
        <v>77.583745070000006</v>
      </c>
      <c r="V25">
        <v>97537.81252747</v>
      </c>
      <c r="W25">
        <v>97537.81252747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84</v>
      </c>
      <c r="AD25" s="39">
        <v>42401</v>
      </c>
    </row>
    <row r="26" spans="1:30" x14ac:dyDescent="0.25">
      <c r="A26">
        <v>339874</v>
      </c>
      <c r="B26" t="s">
        <v>112</v>
      </c>
      <c r="C26">
        <v>2018</v>
      </c>
      <c r="D26">
        <v>4</v>
      </c>
      <c r="E26" t="s">
        <v>87</v>
      </c>
      <c r="F26" t="s">
        <v>84</v>
      </c>
      <c r="G26" t="s">
        <v>84</v>
      </c>
      <c r="H26" t="s">
        <v>25</v>
      </c>
      <c r="I26" t="s">
        <v>25</v>
      </c>
      <c r="J26" t="s">
        <v>101</v>
      </c>
      <c r="K26" t="s">
        <v>88</v>
      </c>
      <c r="L26" t="s">
        <v>103</v>
      </c>
      <c r="M26">
        <v>395.73036543000001</v>
      </c>
      <c r="N26">
        <v>0</v>
      </c>
      <c r="O26" t="s">
        <v>79</v>
      </c>
      <c r="P26" s="39">
        <v>44269.883115474528</v>
      </c>
      <c r="Q26">
        <v>3217183</v>
      </c>
      <c r="R26" t="s">
        <v>74</v>
      </c>
      <c r="S26" s="4">
        <v>10.528968040000001</v>
      </c>
      <c r="T26">
        <v>62.965655060000003</v>
      </c>
      <c r="U26">
        <v>62.965655060000003</v>
      </c>
      <c r="V26">
        <v>662.96336970000004</v>
      </c>
      <c r="W26">
        <v>662.96336970000004</v>
      </c>
      <c r="X26">
        <v>0</v>
      </c>
      <c r="Y26">
        <v>5073.6281670099997</v>
      </c>
      <c r="Z26">
        <v>5073.6281670099997</v>
      </c>
      <c r="AA26">
        <v>0</v>
      </c>
      <c r="AB26">
        <v>0</v>
      </c>
      <c r="AC26" t="s">
        <v>84</v>
      </c>
      <c r="AD26" s="39">
        <v>43191</v>
      </c>
    </row>
    <row r="27" spans="1:30" x14ac:dyDescent="0.25">
      <c r="A27">
        <v>339897</v>
      </c>
      <c r="B27" t="s">
        <v>112</v>
      </c>
      <c r="C27">
        <v>2018</v>
      </c>
      <c r="D27">
        <v>4</v>
      </c>
      <c r="E27" t="s">
        <v>89</v>
      </c>
      <c r="F27" t="s">
        <v>84</v>
      </c>
      <c r="G27" t="s">
        <v>84</v>
      </c>
      <c r="H27" t="s">
        <v>25</v>
      </c>
      <c r="I27" t="s">
        <v>25</v>
      </c>
      <c r="J27" t="s">
        <v>101</v>
      </c>
      <c r="K27" t="s">
        <v>90</v>
      </c>
      <c r="L27" t="s">
        <v>103</v>
      </c>
      <c r="M27">
        <v>912.57738198000004</v>
      </c>
      <c r="N27">
        <v>0</v>
      </c>
      <c r="O27" t="s">
        <v>79</v>
      </c>
      <c r="P27" s="39">
        <v>44269.883116168981</v>
      </c>
      <c r="Q27">
        <v>3217229</v>
      </c>
      <c r="R27" t="s">
        <v>74</v>
      </c>
      <c r="S27" s="4">
        <v>23.903975920000001</v>
      </c>
      <c r="T27">
        <v>62.965655060000003</v>
      </c>
      <c r="U27">
        <v>62.965655060000003</v>
      </c>
      <c r="V27">
        <v>1505.12950228</v>
      </c>
      <c r="W27">
        <v>1505.12950228</v>
      </c>
      <c r="X27">
        <v>0</v>
      </c>
      <c r="Y27">
        <v>5073.6281670099997</v>
      </c>
      <c r="Z27">
        <v>5073.6281670099997</v>
      </c>
      <c r="AA27">
        <v>0</v>
      </c>
      <c r="AB27">
        <v>0</v>
      </c>
      <c r="AC27" t="s">
        <v>84</v>
      </c>
      <c r="AD27" s="39">
        <v>43191</v>
      </c>
    </row>
    <row r="28" spans="1:30" x14ac:dyDescent="0.25">
      <c r="A28">
        <v>339851</v>
      </c>
      <c r="B28" t="s">
        <v>112</v>
      </c>
      <c r="C28">
        <v>2018</v>
      </c>
      <c r="D28">
        <v>4</v>
      </c>
      <c r="E28" t="s">
        <v>85</v>
      </c>
      <c r="F28" t="s">
        <v>84</v>
      </c>
      <c r="G28" t="s">
        <v>84</v>
      </c>
      <c r="H28" t="s">
        <v>25</v>
      </c>
      <c r="I28" t="s">
        <v>25</v>
      </c>
      <c r="J28" t="s">
        <v>101</v>
      </c>
      <c r="K28" t="s">
        <v>86</v>
      </c>
      <c r="L28" t="s">
        <v>103</v>
      </c>
      <c r="M28">
        <v>2217.9983667299998</v>
      </c>
      <c r="N28">
        <v>0</v>
      </c>
      <c r="O28" t="s">
        <v>79</v>
      </c>
      <c r="P28" s="39">
        <v>44269.88311489582</v>
      </c>
      <c r="Q28">
        <v>3217137</v>
      </c>
      <c r="R28" t="s">
        <v>74</v>
      </c>
      <c r="S28" s="4">
        <v>32.708752820000001</v>
      </c>
      <c r="T28">
        <v>62.965655060000003</v>
      </c>
      <c r="U28">
        <v>62.965655060000003</v>
      </c>
      <c r="V28">
        <v>2059.5280472300001</v>
      </c>
      <c r="W28">
        <v>2059.5280472300001</v>
      </c>
      <c r="X28">
        <v>0</v>
      </c>
      <c r="Y28">
        <v>5073.6281670099997</v>
      </c>
      <c r="Z28">
        <v>5073.6281670099997</v>
      </c>
      <c r="AA28">
        <v>0</v>
      </c>
      <c r="AB28">
        <v>0</v>
      </c>
      <c r="AC28" t="s">
        <v>84</v>
      </c>
      <c r="AD28" s="39">
        <v>43191</v>
      </c>
    </row>
    <row r="29" spans="1:30" x14ac:dyDescent="0.25">
      <c r="A29">
        <v>119638</v>
      </c>
      <c r="B29" t="s">
        <v>113</v>
      </c>
      <c r="C29">
        <v>2018</v>
      </c>
      <c r="D29">
        <v>9</v>
      </c>
      <c r="E29" t="s">
        <v>87</v>
      </c>
      <c r="F29" t="s">
        <v>84</v>
      </c>
      <c r="G29" t="s">
        <v>84</v>
      </c>
      <c r="H29" t="s">
        <v>25</v>
      </c>
      <c r="I29" t="s">
        <v>25</v>
      </c>
      <c r="J29" t="s">
        <v>101</v>
      </c>
      <c r="K29" t="s">
        <v>88</v>
      </c>
      <c r="L29" t="s">
        <v>103</v>
      </c>
      <c r="M29">
        <v>316.65874517999998</v>
      </c>
      <c r="N29">
        <v>0</v>
      </c>
      <c r="O29" t="s">
        <v>80</v>
      </c>
      <c r="P29" s="39">
        <v>44269.85110659722</v>
      </c>
      <c r="Q29">
        <v>1081733</v>
      </c>
      <c r="R29" t="s">
        <v>81</v>
      </c>
      <c r="S29" s="4">
        <v>65.677974120000002</v>
      </c>
      <c r="T29">
        <v>63.269710340000003</v>
      </c>
      <c r="U29">
        <v>63.269710340000003</v>
      </c>
      <c r="V29">
        <v>4155.4263987200002</v>
      </c>
      <c r="W29">
        <v>4155.4263987200002</v>
      </c>
      <c r="X29">
        <v>0</v>
      </c>
      <c r="Y29">
        <v>5098.1282447499998</v>
      </c>
      <c r="Z29">
        <v>5098.1282447499998</v>
      </c>
      <c r="AA29">
        <v>0</v>
      </c>
      <c r="AB29">
        <v>0</v>
      </c>
      <c r="AC29" t="s">
        <v>84</v>
      </c>
      <c r="AD29" s="39">
        <v>43344</v>
      </c>
    </row>
    <row r="30" spans="1:30" x14ac:dyDescent="0.25">
      <c r="A30">
        <v>130294</v>
      </c>
      <c r="B30" t="s">
        <v>114</v>
      </c>
      <c r="C30">
        <v>2018</v>
      </c>
      <c r="D30">
        <v>10</v>
      </c>
      <c r="E30" t="s">
        <v>85</v>
      </c>
      <c r="F30" t="s">
        <v>84</v>
      </c>
      <c r="G30" t="s">
        <v>84</v>
      </c>
      <c r="H30" t="s">
        <v>25</v>
      </c>
      <c r="I30" t="s">
        <v>25</v>
      </c>
      <c r="J30" t="s">
        <v>101</v>
      </c>
      <c r="K30" t="s">
        <v>86</v>
      </c>
      <c r="L30" t="s">
        <v>103</v>
      </c>
      <c r="M30">
        <v>1428.8615156599999</v>
      </c>
      <c r="N30">
        <v>0</v>
      </c>
      <c r="O30" t="s">
        <v>80</v>
      </c>
      <c r="P30" s="39">
        <v>44269.8525723727</v>
      </c>
      <c r="Q30">
        <v>1192985</v>
      </c>
      <c r="R30" t="s">
        <v>81</v>
      </c>
      <c r="S30" s="4">
        <v>293.84436671999998</v>
      </c>
      <c r="T30">
        <v>63.269710340000003</v>
      </c>
      <c r="U30">
        <v>63.269710340000003</v>
      </c>
      <c r="V30">
        <v>18591.44796836</v>
      </c>
      <c r="W30">
        <v>18591.44796836</v>
      </c>
      <c r="X30">
        <v>0</v>
      </c>
      <c r="Y30">
        <v>5098.1282447499998</v>
      </c>
      <c r="Z30">
        <v>5098.1282447499998</v>
      </c>
      <c r="AA30">
        <v>0</v>
      </c>
      <c r="AB30">
        <v>0</v>
      </c>
      <c r="AC30" t="s">
        <v>84</v>
      </c>
      <c r="AD30" s="39">
        <v>43374</v>
      </c>
    </row>
    <row r="31" spans="1:30" x14ac:dyDescent="0.25">
      <c r="A31">
        <v>144832</v>
      </c>
      <c r="B31" t="s">
        <v>115</v>
      </c>
      <c r="C31">
        <v>2018</v>
      </c>
      <c r="D31">
        <v>11</v>
      </c>
      <c r="E31" t="s">
        <v>85</v>
      </c>
      <c r="F31" t="s">
        <v>84</v>
      </c>
      <c r="G31" t="s">
        <v>84</v>
      </c>
      <c r="H31" t="s">
        <v>25</v>
      </c>
      <c r="I31" t="s">
        <v>25</v>
      </c>
      <c r="J31" t="s">
        <v>101</v>
      </c>
      <c r="K31" t="s">
        <v>86</v>
      </c>
      <c r="L31" t="s">
        <v>103</v>
      </c>
      <c r="M31">
        <v>1939.5207746900001</v>
      </c>
      <c r="N31">
        <v>0</v>
      </c>
      <c r="O31" t="s">
        <v>80</v>
      </c>
      <c r="P31" s="39">
        <v>44269.854262534733</v>
      </c>
      <c r="Q31">
        <v>1336945</v>
      </c>
      <c r="R31" t="s">
        <v>81</v>
      </c>
      <c r="S31" s="4">
        <v>398.86108453000003</v>
      </c>
      <c r="T31">
        <v>63.269710340000003</v>
      </c>
      <c r="U31">
        <v>63.269710340000003</v>
      </c>
      <c r="V31">
        <v>25235.825285430001</v>
      </c>
      <c r="W31">
        <v>25235.825285430001</v>
      </c>
      <c r="X31">
        <v>0</v>
      </c>
      <c r="Y31">
        <v>5098.1282447499998</v>
      </c>
      <c r="Z31">
        <v>5098.1282447499998</v>
      </c>
      <c r="AA31">
        <v>0</v>
      </c>
      <c r="AB31">
        <v>0</v>
      </c>
      <c r="AC31" t="s">
        <v>84</v>
      </c>
      <c r="AD31" s="39">
        <v>43405</v>
      </c>
    </row>
    <row r="32" spans="1:30" x14ac:dyDescent="0.25">
      <c r="A32">
        <v>130318</v>
      </c>
      <c r="B32" t="s">
        <v>114</v>
      </c>
      <c r="C32">
        <v>2018</v>
      </c>
      <c r="D32">
        <v>10</v>
      </c>
      <c r="E32" t="s">
        <v>87</v>
      </c>
      <c r="F32" t="s">
        <v>84</v>
      </c>
      <c r="G32" t="s">
        <v>84</v>
      </c>
      <c r="H32" t="s">
        <v>25</v>
      </c>
      <c r="I32" t="s">
        <v>25</v>
      </c>
      <c r="J32" t="s">
        <v>101</v>
      </c>
      <c r="K32" t="s">
        <v>88</v>
      </c>
      <c r="L32" t="s">
        <v>103</v>
      </c>
      <c r="M32">
        <v>333.40243543999998</v>
      </c>
      <c r="N32">
        <v>0</v>
      </c>
      <c r="O32" t="s">
        <v>80</v>
      </c>
      <c r="P32" s="39">
        <v>44269.852573611111</v>
      </c>
      <c r="Q32">
        <v>1193105</v>
      </c>
      <c r="R32" t="s">
        <v>81</v>
      </c>
      <c r="S32" s="4">
        <v>69.149925620000005</v>
      </c>
      <c r="T32">
        <v>63.269710340000003</v>
      </c>
      <c r="U32">
        <v>63.269710340000003</v>
      </c>
      <c r="V32">
        <v>4375.0957643499996</v>
      </c>
      <c r="W32">
        <v>4375.0957643499996</v>
      </c>
      <c r="X32">
        <v>0</v>
      </c>
      <c r="Y32">
        <v>5098.1282447499998</v>
      </c>
      <c r="Z32">
        <v>5098.1282447499998</v>
      </c>
      <c r="AA32">
        <v>0</v>
      </c>
      <c r="AB32">
        <v>0</v>
      </c>
      <c r="AC32" t="s">
        <v>84</v>
      </c>
      <c r="AD32" s="39">
        <v>43374</v>
      </c>
    </row>
    <row r="33" spans="1:30" x14ac:dyDescent="0.25">
      <c r="A33">
        <v>119662</v>
      </c>
      <c r="B33" t="s">
        <v>113</v>
      </c>
      <c r="C33">
        <v>2018</v>
      </c>
      <c r="D33">
        <v>9</v>
      </c>
      <c r="E33" t="s">
        <v>89</v>
      </c>
      <c r="F33" t="s">
        <v>84</v>
      </c>
      <c r="G33" t="s">
        <v>84</v>
      </c>
      <c r="H33" t="s">
        <v>25</v>
      </c>
      <c r="I33" t="s">
        <v>25</v>
      </c>
      <c r="J33" t="s">
        <v>101</v>
      </c>
      <c r="K33" t="s">
        <v>90</v>
      </c>
      <c r="L33" t="s">
        <v>103</v>
      </c>
      <c r="M33">
        <v>843.05591856000001</v>
      </c>
      <c r="N33">
        <v>0</v>
      </c>
      <c r="O33" t="s">
        <v>80</v>
      </c>
      <c r="P33" s="39">
        <v>44269.851107986113</v>
      </c>
      <c r="Q33">
        <v>1081853</v>
      </c>
      <c r="R33" t="s">
        <v>81</v>
      </c>
      <c r="S33" s="4">
        <v>167.12112604999999</v>
      </c>
      <c r="T33">
        <v>63.269710340000003</v>
      </c>
      <c r="U33">
        <v>63.269710340000003</v>
      </c>
      <c r="V33">
        <v>10573.705237210001</v>
      </c>
      <c r="W33">
        <v>10573.705237210001</v>
      </c>
      <c r="X33">
        <v>0</v>
      </c>
      <c r="Y33">
        <v>5098.1282447499998</v>
      </c>
      <c r="Z33">
        <v>5098.1282447499998</v>
      </c>
      <c r="AA33">
        <v>0</v>
      </c>
      <c r="AB33">
        <v>0</v>
      </c>
      <c r="AC33" t="s">
        <v>84</v>
      </c>
      <c r="AD33" s="39">
        <v>43344</v>
      </c>
    </row>
    <row r="34" spans="1:30" x14ac:dyDescent="0.25">
      <c r="A34">
        <v>443785</v>
      </c>
      <c r="B34" t="s">
        <v>116</v>
      </c>
      <c r="C34">
        <v>2018</v>
      </c>
      <c r="D34">
        <v>12</v>
      </c>
      <c r="E34" t="s">
        <v>85</v>
      </c>
      <c r="F34" t="s">
        <v>84</v>
      </c>
      <c r="G34" t="s">
        <v>84</v>
      </c>
      <c r="H34" t="s">
        <v>25</v>
      </c>
      <c r="I34" t="s">
        <v>25</v>
      </c>
      <c r="J34" t="s">
        <v>101</v>
      </c>
      <c r="K34" t="s">
        <v>86</v>
      </c>
      <c r="L34" t="s">
        <v>103</v>
      </c>
      <c r="M34">
        <v>3041.3129330199999</v>
      </c>
      <c r="N34">
        <v>0</v>
      </c>
      <c r="O34" t="s">
        <v>80</v>
      </c>
      <c r="P34" s="39">
        <v>44284.514579629627</v>
      </c>
      <c r="Q34">
        <v>4215244</v>
      </c>
      <c r="R34" t="s">
        <v>81</v>
      </c>
      <c r="S34" s="4">
        <v>625.44386772999997</v>
      </c>
      <c r="T34">
        <v>63.269710340000003</v>
      </c>
      <c r="U34">
        <v>63.269710340000003</v>
      </c>
      <c r="V34">
        <v>39571.652347050003</v>
      </c>
      <c r="W34">
        <v>39571.652347050003</v>
      </c>
      <c r="X34">
        <v>0</v>
      </c>
      <c r="Y34">
        <v>5098.1282447499998</v>
      </c>
      <c r="Z34">
        <v>5098.1282447499998</v>
      </c>
      <c r="AA34">
        <v>0</v>
      </c>
      <c r="AB34">
        <v>0</v>
      </c>
      <c r="AC34" t="s">
        <v>84</v>
      </c>
      <c r="AD34" s="39">
        <v>43435</v>
      </c>
    </row>
    <row r="35" spans="1:30" x14ac:dyDescent="0.25">
      <c r="A35">
        <v>119614</v>
      </c>
      <c r="B35" t="s">
        <v>113</v>
      </c>
      <c r="C35">
        <v>2018</v>
      </c>
      <c r="D35">
        <v>9</v>
      </c>
      <c r="E35" t="s">
        <v>85</v>
      </c>
      <c r="F35" t="s">
        <v>84</v>
      </c>
      <c r="G35" t="s">
        <v>84</v>
      </c>
      <c r="H35" t="s">
        <v>25</v>
      </c>
      <c r="I35" t="s">
        <v>25</v>
      </c>
      <c r="J35" t="s">
        <v>101</v>
      </c>
      <c r="K35" t="s">
        <v>86</v>
      </c>
      <c r="L35" t="s">
        <v>103</v>
      </c>
      <c r="M35">
        <v>1439.52704135</v>
      </c>
      <c r="N35">
        <v>0</v>
      </c>
      <c r="O35" t="s">
        <v>80</v>
      </c>
      <c r="P35" s="39">
        <v>44269.851105011578</v>
      </c>
      <c r="Q35">
        <v>1081613</v>
      </c>
      <c r="R35" t="s">
        <v>81</v>
      </c>
      <c r="S35" s="4">
        <v>317.66754981000003</v>
      </c>
      <c r="T35">
        <v>63.269710340000003</v>
      </c>
      <c r="U35">
        <v>63.269710340000003</v>
      </c>
      <c r="V35">
        <v>20098.733862000001</v>
      </c>
      <c r="W35">
        <v>20098.733862000001</v>
      </c>
      <c r="X35">
        <v>0</v>
      </c>
      <c r="Y35">
        <v>5098.1282447499998</v>
      </c>
      <c r="Z35">
        <v>5098.1282447499998</v>
      </c>
      <c r="AA35">
        <v>0</v>
      </c>
      <c r="AB35">
        <v>0</v>
      </c>
      <c r="AC35" t="s">
        <v>84</v>
      </c>
      <c r="AD35" s="39">
        <v>43344</v>
      </c>
    </row>
    <row r="36" spans="1:30" x14ac:dyDescent="0.25">
      <c r="A36">
        <v>144856</v>
      </c>
      <c r="B36" t="s">
        <v>115</v>
      </c>
      <c r="C36">
        <v>2018</v>
      </c>
      <c r="D36">
        <v>11</v>
      </c>
      <c r="E36" t="s">
        <v>87</v>
      </c>
      <c r="F36" t="s">
        <v>84</v>
      </c>
      <c r="G36" t="s">
        <v>84</v>
      </c>
      <c r="H36" t="s">
        <v>25</v>
      </c>
      <c r="I36" t="s">
        <v>25</v>
      </c>
      <c r="J36" t="s">
        <v>101</v>
      </c>
      <c r="K36" t="s">
        <v>88</v>
      </c>
      <c r="L36" t="s">
        <v>103</v>
      </c>
      <c r="M36">
        <v>527.43779992999998</v>
      </c>
      <c r="N36">
        <v>0</v>
      </c>
      <c r="O36" t="s">
        <v>80</v>
      </c>
      <c r="P36" s="39">
        <v>44269.854263738423</v>
      </c>
      <c r="Q36">
        <v>1337065</v>
      </c>
      <c r="R36" t="s">
        <v>81</v>
      </c>
      <c r="S36" s="4">
        <v>109.3941758</v>
      </c>
      <c r="T36">
        <v>63.269710340000003</v>
      </c>
      <c r="U36">
        <v>63.269710340000003</v>
      </c>
      <c r="V36">
        <v>6921.3378162299996</v>
      </c>
      <c r="W36">
        <v>6921.3378162299996</v>
      </c>
      <c r="X36">
        <v>0</v>
      </c>
      <c r="Y36">
        <v>5098.1282447499998</v>
      </c>
      <c r="Z36">
        <v>5098.1282447499998</v>
      </c>
      <c r="AA36">
        <v>0</v>
      </c>
      <c r="AB36">
        <v>0</v>
      </c>
      <c r="AC36" t="s">
        <v>84</v>
      </c>
      <c r="AD36" s="39">
        <v>43405</v>
      </c>
    </row>
    <row r="37" spans="1:30" x14ac:dyDescent="0.25">
      <c r="A37">
        <v>443809</v>
      </c>
      <c r="B37" t="s">
        <v>116</v>
      </c>
      <c r="C37">
        <v>2018</v>
      </c>
      <c r="D37">
        <v>12</v>
      </c>
      <c r="E37" t="s">
        <v>87</v>
      </c>
      <c r="F37" t="s">
        <v>84</v>
      </c>
      <c r="G37" t="s">
        <v>84</v>
      </c>
      <c r="H37" t="s">
        <v>25</v>
      </c>
      <c r="I37" t="s">
        <v>25</v>
      </c>
      <c r="J37" t="s">
        <v>101</v>
      </c>
      <c r="K37" t="s">
        <v>88</v>
      </c>
      <c r="L37" t="s">
        <v>103</v>
      </c>
      <c r="M37">
        <v>824.95046656</v>
      </c>
      <c r="N37">
        <v>0</v>
      </c>
      <c r="O37" t="s">
        <v>80</v>
      </c>
      <c r="P37" s="39">
        <v>44284.514580937503</v>
      </c>
      <c r="Q37">
        <v>4215364</v>
      </c>
      <c r="R37" t="s">
        <v>81</v>
      </c>
      <c r="S37" s="4">
        <v>171.10032004000001</v>
      </c>
      <c r="T37">
        <v>63.269710340000003</v>
      </c>
      <c r="U37">
        <v>63.269710340000003</v>
      </c>
      <c r="V37">
        <v>10825.46768826</v>
      </c>
      <c r="W37">
        <v>10825.46768826</v>
      </c>
      <c r="X37">
        <v>0</v>
      </c>
      <c r="Y37">
        <v>5098.1282447499998</v>
      </c>
      <c r="Z37">
        <v>5098.1282447499998</v>
      </c>
      <c r="AA37">
        <v>0</v>
      </c>
      <c r="AB37">
        <v>0</v>
      </c>
      <c r="AC37" t="s">
        <v>84</v>
      </c>
      <c r="AD37" s="39">
        <v>43435</v>
      </c>
    </row>
    <row r="38" spans="1:30" x14ac:dyDescent="0.25">
      <c r="A38">
        <v>144880</v>
      </c>
      <c r="B38" t="s">
        <v>115</v>
      </c>
      <c r="C38">
        <v>2018</v>
      </c>
      <c r="D38">
        <v>11</v>
      </c>
      <c r="E38" t="s">
        <v>89</v>
      </c>
      <c r="F38" t="s">
        <v>84</v>
      </c>
      <c r="G38" t="s">
        <v>84</v>
      </c>
      <c r="H38" t="s">
        <v>25</v>
      </c>
      <c r="I38" t="s">
        <v>25</v>
      </c>
      <c r="J38" t="s">
        <v>101</v>
      </c>
      <c r="K38" t="s">
        <v>90</v>
      </c>
      <c r="L38" t="s">
        <v>103</v>
      </c>
      <c r="M38">
        <v>1036.3887642100001</v>
      </c>
      <c r="N38">
        <v>0</v>
      </c>
      <c r="O38" t="s">
        <v>80</v>
      </c>
      <c r="P38" s="39">
        <v>44269.854264965281</v>
      </c>
      <c r="Q38">
        <v>1337185</v>
      </c>
      <c r="R38" t="s">
        <v>81</v>
      </c>
      <c r="S38" s="4">
        <v>205.45113395000001</v>
      </c>
      <c r="T38">
        <v>63.269710340000003</v>
      </c>
      <c r="U38">
        <v>63.269710340000003</v>
      </c>
      <c r="V38">
        <v>12998.8337348</v>
      </c>
      <c r="W38">
        <v>12998.8337348</v>
      </c>
      <c r="X38">
        <v>0</v>
      </c>
      <c r="Y38">
        <v>5098.1282447499998</v>
      </c>
      <c r="Z38">
        <v>5098.1282447499998</v>
      </c>
      <c r="AA38">
        <v>0</v>
      </c>
      <c r="AB38">
        <v>0</v>
      </c>
      <c r="AC38" t="s">
        <v>84</v>
      </c>
      <c r="AD38" s="39">
        <v>43405</v>
      </c>
    </row>
    <row r="39" spans="1:30" x14ac:dyDescent="0.25">
      <c r="A39">
        <v>130342</v>
      </c>
      <c r="B39" t="s">
        <v>114</v>
      </c>
      <c r="C39">
        <v>2018</v>
      </c>
      <c r="D39">
        <v>10</v>
      </c>
      <c r="E39" t="s">
        <v>89</v>
      </c>
      <c r="F39" t="s">
        <v>84</v>
      </c>
      <c r="G39" t="s">
        <v>84</v>
      </c>
      <c r="H39" t="s">
        <v>25</v>
      </c>
      <c r="I39" t="s">
        <v>25</v>
      </c>
      <c r="J39" t="s">
        <v>101</v>
      </c>
      <c r="K39" t="s">
        <v>90</v>
      </c>
      <c r="L39" t="s">
        <v>103</v>
      </c>
      <c r="M39">
        <v>879.43208655000001</v>
      </c>
      <c r="N39">
        <v>0</v>
      </c>
      <c r="O39" t="s">
        <v>80</v>
      </c>
      <c r="P39" s="39">
        <v>44269.852574803241</v>
      </c>
      <c r="Q39">
        <v>1193225</v>
      </c>
      <c r="R39" t="s">
        <v>81</v>
      </c>
      <c r="S39" s="4">
        <v>174.33643208999999</v>
      </c>
      <c r="T39">
        <v>63.269710340000003</v>
      </c>
      <c r="U39">
        <v>63.269710340000003</v>
      </c>
      <c r="V39">
        <v>11030.215560860001</v>
      </c>
      <c r="W39">
        <v>11030.215560860001</v>
      </c>
      <c r="X39">
        <v>0</v>
      </c>
      <c r="Y39">
        <v>5098.1282447499998</v>
      </c>
      <c r="Z39">
        <v>5098.1282447499998</v>
      </c>
      <c r="AA39">
        <v>0</v>
      </c>
      <c r="AB39">
        <v>0</v>
      </c>
      <c r="AC39" t="s">
        <v>84</v>
      </c>
      <c r="AD39" s="39">
        <v>43374</v>
      </c>
    </row>
    <row r="40" spans="1:30" x14ac:dyDescent="0.25">
      <c r="A40">
        <v>443833</v>
      </c>
      <c r="B40" t="s">
        <v>116</v>
      </c>
      <c r="C40">
        <v>2018</v>
      </c>
      <c r="D40">
        <v>12</v>
      </c>
      <c r="E40" t="s">
        <v>89</v>
      </c>
      <c r="F40" t="s">
        <v>84</v>
      </c>
      <c r="G40" t="s">
        <v>84</v>
      </c>
      <c r="H40" t="s">
        <v>25</v>
      </c>
      <c r="I40" t="s">
        <v>25</v>
      </c>
      <c r="J40" t="s">
        <v>101</v>
      </c>
      <c r="K40" t="s">
        <v>90</v>
      </c>
      <c r="L40" t="s">
        <v>103</v>
      </c>
      <c r="M40">
        <v>1153.4816149200001</v>
      </c>
      <c r="N40">
        <v>0</v>
      </c>
      <c r="O40" t="s">
        <v>80</v>
      </c>
      <c r="P40" s="39">
        <v>44284.51458221065</v>
      </c>
      <c r="Q40">
        <v>4215484</v>
      </c>
      <c r="R40" t="s">
        <v>81</v>
      </c>
      <c r="S40" s="4">
        <v>228.66332979000001</v>
      </c>
      <c r="T40">
        <v>63.269710340000003</v>
      </c>
      <c r="U40">
        <v>63.269710340000003</v>
      </c>
      <c r="V40">
        <v>14467.462641710001</v>
      </c>
      <c r="W40">
        <v>14467.462641710001</v>
      </c>
      <c r="X40">
        <v>0</v>
      </c>
      <c r="Y40">
        <v>5098.1282447499998</v>
      </c>
      <c r="Z40">
        <v>5098.1282447499998</v>
      </c>
      <c r="AA40">
        <v>0</v>
      </c>
      <c r="AB40">
        <v>0</v>
      </c>
      <c r="AC40" t="s">
        <v>84</v>
      </c>
      <c r="AD40" s="39">
        <v>43435</v>
      </c>
    </row>
    <row r="41" spans="1:30" x14ac:dyDescent="0.25">
      <c r="A41">
        <v>339897</v>
      </c>
      <c r="B41" t="s">
        <v>112</v>
      </c>
      <c r="C41">
        <v>2018</v>
      </c>
      <c r="D41">
        <v>4</v>
      </c>
      <c r="E41" t="s">
        <v>89</v>
      </c>
      <c r="F41" t="s">
        <v>84</v>
      </c>
      <c r="G41" t="s">
        <v>84</v>
      </c>
      <c r="H41" t="s">
        <v>25</v>
      </c>
      <c r="I41" t="s">
        <v>25</v>
      </c>
      <c r="J41" t="s">
        <v>101</v>
      </c>
      <c r="K41" t="s">
        <v>90</v>
      </c>
      <c r="L41" t="s">
        <v>103</v>
      </c>
      <c r="M41">
        <v>912.57738198000004</v>
      </c>
      <c r="N41">
        <v>0</v>
      </c>
      <c r="O41" t="s">
        <v>79</v>
      </c>
      <c r="P41" s="39">
        <v>44269.883116168981</v>
      </c>
      <c r="Q41">
        <v>3217228</v>
      </c>
      <c r="R41" t="s">
        <v>82</v>
      </c>
      <c r="S41" s="4">
        <v>917.19743819999997</v>
      </c>
      <c r="T41">
        <v>65.034753960000003</v>
      </c>
      <c r="U41">
        <v>65.034753960000003</v>
      </c>
      <c r="V41">
        <v>59649.709724109998</v>
      </c>
      <c r="W41">
        <v>59649.709724110013</v>
      </c>
      <c r="X41">
        <v>0</v>
      </c>
      <c r="Y41">
        <v>5170.2475498599997</v>
      </c>
      <c r="Z41">
        <v>5170.2475498599997</v>
      </c>
      <c r="AA41">
        <v>0</v>
      </c>
      <c r="AB41">
        <v>0</v>
      </c>
      <c r="AC41" t="s">
        <v>84</v>
      </c>
      <c r="AD41" s="39">
        <v>43191</v>
      </c>
    </row>
    <row r="42" spans="1:30" x14ac:dyDescent="0.25">
      <c r="A42">
        <v>339851</v>
      </c>
      <c r="B42" t="s">
        <v>112</v>
      </c>
      <c r="C42">
        <v>2018</v>
      </c>
      <c r="D42">
        <v>4</v>
      </c>
      <c r="E42" t="s">
        <v>85</v>
      </c>
      <c r="F42" t="s">
        <v>84</v>
      </c>
      <c r="G42" t="s">
        <v>84</v>
      </c>
      <c r="H42" t="s">
        <v>25</v>
      </c>
      <c r="I42" t="s">
        <v>25</v>
      </c>
      <c r="J42" t="s">
        <v>101</v>
      </c>
      <c r="K42" t="s">
        <v>86</v>
      </c>
      <c r="L42" t="s">
        <v>103</v>
      </c>
      <c r="M42">
        <v>2217.9983667299998</v>
      </c>
      <c r="N42">
        <v>0</v>
      </c>
      <c r="O42" t="s">
        <v>79</v>
      </c>
      <c r="P42" s="39">
        <v>44269.88311489582</v>
      </c>
      <c r="Q42">
        <v>3217136</v>
      </c>
      <c r="R42" t="s">
        <v>82</v>
      </c>
      <c r="S42" s="4">
        <v>2254.6166188699999</v>
      </c>
      <c r="T42">
        <v>65.034753960000003</v>
      </c>
      <c r="U42">
        <v>65.034753960000003</v>
      </c>
      <c r="V42">
        <v>146628.43707769</v>
      </c>
      <c r="W42">
        <v>146628.43707769</v>
      </c>
      <c r="X42">
        <v>0</v>
      </c>
      <c r="Y42">
        <v>5170.2475498599997</v>
      </c>
      <c r="Z42">
        <v>5170.2475498599997</v>
      </c>
      <c r="AA42">
        <v>0</v>
      </c>
      <c r="AB42">
        <v>0</v>
      </c>
      <c r="AC42" t="s">
        <v>84</v>
      </c>
      <c r="AD42" s="39">
        <v>43191</v>
      </c>
    </row>
    <row r="43" spans="1:30" x14ac:dyDescent="0.25">
      <c r="A43">
        <v>339874</v>
      </c>
      <c r="B43" t="s">
        <v>112</v>
      </c>
      <c r="C43">
        <v>2018</v>
      </c>
      <c r="D43">
        <v>4</v>
      </c>
      <c r="E43" t="s">
        <v>87</v>
      </c>
      <c r="F43" t="s">
        <v>84</v>
      </c>
      <c r="G43" t="s">
        <v>84</v>
      </c>
      <c r="H43" t="s">
        <v>25</v>
      </c>
      <c r="I43" t="s">
        <v>25</v>
      </c>
      <c r="J43" t="s">
        <v>101</v>
      </c>
      <c r="K43" t="s">
        <v>88</v>
      </c>
      <c r="L43" t="s">
        <v>103</v>
      </c>
      <c r="M43">
        <v>395.73036543000001</v>
      </c>
      <c r="N43">
        <v>0</v>
      </c>
      <c r="O43" t="s">
        <v>79</v>
      </c>
      <c r="P43" s="39">
        <v>44269.883115474528</v>
      </c>
      <c r="Q43">
        <v>3217182</v>
      </c>
      <c r="R43" t="s">
        <v>82</v>
      </c>
      <c r="S43" s="4">
        <v>397.57056835999998</v>
      </c>
      <c r="T43">
        <v>65.034753960000003</v>
      </c>
      <c r="U43">
        <v>65.034753960000003</v>
      </c>
      <c r="V43">
        <v>25855.904094310001</v>
      </c>
      <c r="W43">
        <v>25855.904094310001</v>
      </c>
      <c r="X43">
        <v>0</v>
      </c>
      <c r="Y43">
        <v>5170.2475498599997</v>
      </c>
      <c r="Z43">
        <v>5170.2475498599997</v>
      </c>
      <c r="AA43">
        <v>0</v>
      </c>
      <c r="AB43">
        <v>0</v>
      </c>
      <c r="AC43" t="s">
        <v>84</v>
      </c>
      <c r="AD43" s="39">
        <v>43191</v>
      </c>
    </row>
    <row r="44" spans="1:30" x14ac:dyDescent="0.25">
      <c r="A44">
        <v>51320</v>
      </c>
      <c r="B44" t="s">
        <v>117</v>
      </c>
      <c r="C44">
        <v>2018</v>
      </c>
      <c r="D44">
        <v>2</v>
      </c>
      <c r="E44" t="s">
        <v>85</v>
      </c>
      <c r="F44" t="s">
        <v>84</v>
      </c>
      <c r="G44" t="s">
        <v>84</v>
      </c>
      <c r="H44" t="s">
        <v>25</v>
      </c>
      <c r="I44" t="s">
        <v>25</v>
      </c>
      <c r="J44" t="s">
        <v>101</v>
      </c>
      <c r="K44" t="s">
        <v>86</v>
      </c>
      <c r="L44" t="s">
        <v>103</v>
      </c>
      <c r="M44">
        <v>2992.3278786400001</v>
      </c>
      <c r="N44">
        <v>0</v>
      </c>
      <c r="O44" t="s">
        <v>79</v>
      </c>
      <c r="P44" s="39">
        <v>44269.843124270832</v>
      </c>
      <c r="Q44">
        <v>446370</v>
      </c>
      <c r="R44" t="s">
        <v>74</v>
      </c>
      <c r="S44" s="4">
        <v>44.320619090000001</v>
      </c>
      <c r="T44">
        <v>63.18491057</v>
      </c>
      <c r="U44">
        <v>63.18491057</v>
      </c>
      <c r="V44">
        <v>2800.3943535499998</v>
      </c>
      <c r="W44">
        <v>2800.3943535499998</v>
      </c>
      <c r="X44">
        <v>0</v>
      </c>
      <c r="Y44">
        <v>5189.8618194600003</v>
      </c>
      <c r="Z44">
        <v>5189.8618194600003</v>
      </c>
      <c r="AA44">
        <v>0</v>
      </c>
      <c r="AB44">
        <v>0</v>
      </c>
      <c r="AC44" t="s">
        <v>84</v>
      </c>
      <c r="AD44" s="39">
        <v>43132</v>
      </c>
    </row>
    <row r="45" spans="1:30" x14ac:dyDescent="0.25">
      <c r="A45">
        <v>51342</v>
      </c>
      <c r="B45" t="s">
        <v>117</v>
      </c>
      <c r="C45">
        <v>2018</v>
      </c>
      <c r="D45">
        <v>2</v>
      </c>
      <c r="E45" t="s">
        <v>87</v>
      </c>
      <c r="F45" t="s">
        <v>84</v>
      </c>
      <c r="G45" t="s">
        <v>84</v>
      </c>
      <c r="H45" t="s">
        <v>25</v>
      </c>
      <c r="I45" t="s">
        <v>25</v>
      </c>
      <c r="J45" t="s">
        <v>101</v>
      </c>
      <c r="K45" t="s">
        <v>88</v>
      </c>
      <c r="L45" t="s">
        <v>103</v>
      </c>
      <c r="M45">
        <v>828.89142677999996</v>
      </c>
      <c r="N45">
        <v>0</v>
      </c>
      <c r="O45" t="s">
        <v>79</v>
      </c>
      <c r="P45" s="39">
        <v>44269.843124965279</v>
      </c>
      <c r="Q45">
        <v>446414</v>
      </c>
      <c r="R45" t="s">
        <v>74</v>
      </c>
      <c r="S45" s="4">
        <v>22.150215490000001</v>
      </c>
      <c r="T45">
        <v>63.18491057</v>
      </c>
      <c r="U45">
        <v>63.18491057</v>
      </c>
      <c r="V45">
        <v>1399.55938479</v>
      </c>
      <c r="W45">
        <v>1399.55938479</v>
      </c>
      <c r="X45">
        <v>0</v>
      </c>
      <c r="Y45">
        <v>5189.8618194600003</v>
      </c>
      <c r="Z45">
        <v>5189.8618194600003</v>
      </c>
      <c r="AA45">
        <v>0</v>
      </c>
      <c r="AB45">
        <v>0</v>
      </c>
      <c r="AC45" t="s">
        <v>84</v>
      </c>
      <c r="AD45" s="39">
        <v>43132</v>
      </c>
    </row>
    <row r="46" spans="1:30" x14ac:dyDescent="0.25">
      <c r="A46">
        <v>51364</v>
      </c>
      <c r="B46" t="s">
        <v>117</v>
      </c>
      <c r="C46">
        <v>2018</v>
      </c>
      <c r="D46">
        <v>2</v>
      </c>
      <c r="E46" t="s">
        <v>89</v>
      </c>
      <c r="F46" t="s">
        <v>84</v>
      </c>
      <c r="G46" t="s">
        <v>84</v>
      </c>
      <c r="H46" t="s">
        <v>25</v>
      </c>
      <c r="I46" t="s">
        <v>25</v>
      </c>
      <c r="J46" t="s">
        <v>101</v>
      </c>
      <c r="K46" t="s">
        <v>90</v>
      </c>
      <c r="L46" t="s">
        <v>103</v>
      </c>
      <c r="M46">
        <v>1043.8948492300001</v>
      </c>
      <c r="N46">
        <v>0</v>
      </c>
      <c r="O46" t="s">
        <v>79</v>
      </c>
      <c r="P46" s="39">
        <v>44269.843125613428</v>
      </c>
      <c r="Q46">
        <v>446458</v>
      </c>
      <c r="R46" t="s">
        <v>74</v>
      </c>
      <c r="S46" s="4">
        <v>27.463195800000001</v>
      </c>
      <c r="T46">
        <v>63.18491057</v>
      </c>
      <c r="U46">
        <v>63.18491057</v>
      </c>
      <c r="V46">
        <v>1735.2595705900001</v>
      </c>
      <c r="W46">
        <v>1735.2595705900001</v>
      </c>
      <c r="X46">
        <v>0</v>
      </c>
      <c r="Y46">
        <v>5189.8618194600003</v>
      </c>
      <c r="Z46">
        <v>5189.8618194600003</v>
      </c>
      <c r="AA46">
        <v>0</v>
      </c>
      <c r="AB46">
        <v>0</v>
      </c>
      <c r="AC46" t="s">
        <v>84</v>
      </c>
      <c r="AD46" s="39">
        <v>43132</v>
      </c>
    </row>
    <row r="47" spans="1:30" x14ac:dyDescent="0.25">
      <c r="A47">
        <v>144880</v>
      </c>
      <c r="B47" t="s">
        <v>115</v>
      </c>
      <c r="C47">
        <v>2018</v>
      </c>
      <c r="D47">
        <v>11</v>
      </c>
      <c r="E47" t="s">
        <v>89</v>
      </c>
      <c r="F47" t="s">
        <v>84</v>
      </c>
      <c r="G47" t="s">
        <v>84</v>
      </c>
      <c r="H47" t="s">
        <v>25</v>
      </c>
      <c r="I47" t="s">
        <v>25</v>
      </c>
      <c r="J47" t="s">
        <v>101</v>
      </c>
      <c r="K47" t="s">
        <v>90</v>
      </c>
      <c r="L47" t="s">
        <v>103</v>
      </c>
      <c r="M47">
        <v>1036.3887642100001</v>
      </c>
      <c r="N47">
        <v>0</v>
      </c>
      <c r="O47" t="s">
        <v>80</v>
      </c>
      <c r="P47" s="39">
        <v>44269.854264965281</v>
      </c>
      <c r="Q47">
        <v>1337184</v>
      </c>
      <c r="R47" t="s">
        <v>27</v>
      </c>
      <c r="S47" s="4">
        <v>464.38247552000001</v>
      </c>
      <c r="T47">
        <v>65.348800729999994</v>
      </c>
      <c r="U47">
        <v>65.348800729999994</v>
      </c>
      <c r="V47">
        <v>30346.837853109999</v>
      </c>
      <c r="W47">
        <v>30346.837853109999</v>
      </c>
      <c r="X47">
        <v>0</v>
      </c>
      <c r="Y47">
        <v>5195.2141935899999</v>
      </c>
      <c r="Z47">
        <v>5195.2141935899999</v>
      </c>
      <c r="AA47">
        <v>0</v>
      </c>
      <c r="AB47">
        <v>0</v>
      </c>
      <c r="AC47" t="s">
        <v>84</v>
      </c>
      <c r="AD47" s="39">
        <v>43405</v>
      </c>
    </row>
    <row r="48" spans="1:30" x14ac:dyDescent="0.25">
      <c r="A48">
        <v>119662</v>
      </c>
      <c r="B48" t="s">
        <v>113</v>
      </c>
      <c r="C48">
        <v>2018</v>
      </c>
      <c r="D48">
        <v>9</v>
      </c>
      <c r="E48" t="s">
        <v>89</v>
      </c>
      <c r="F48" t="s">
        <v>84</v>
      </c>
      <c r="G48" t="s">
        <v>84</v>
      </c>
      <c r="H48" t="s">
        <v>25</v>
      </c>
      <c r="I48" t="s">
        <v>25</v>
      </c>
      <c r="J48" t="s">
        <v>101</v>
      </c>
      <c r="K48" t="s">
        <v>90</v>
      </c>
      <c r="L48" t="s">
        <v>103</v>
      </c>
      <c r="M48">
        <v>843.05591856000001</v>
      </c>
      <c r="N48">
        <v>0</v>
      </c>
      <c r="O48" t="s">
        <v>80</v>
      </c>
      <c r="P48" s="39">
        <v>44269.851107986113</v>
      </c>
      <c r="Q48">
        <v>1081852</v>
      </c>
      <c r="R48" t="s">
        <v>27</v>
      </c>
      <c r="S48" s="4">
        <v>377.75261540000002</v>
      </c>
      <c r="T48">
        <v>65.348800729999994</v>
      </c>
      <c r="U48">
        <v>65.348800729999994</v>
      </c>
      <c r="V48">
        <v>24685.680387690001</v>
      </c>
      <c r="W48">
        <v>24685.680387690001</v>
      </c>
      <c r="X48">
        <v>0</v>
      </c>
      <c r="Y48">
        <v>5195.2141935899999</v>
      </c>
      <c r="Z48">
        <v>5195.2141935899999</v>
      </c>
      <c r="AA48">
        <v>0</v>
      </c>
      <c r="AB48">
        <v>0</v>
      </c>
      <c r="AC48" t="s">
        <v>84</v>
      </c>
      <c r="AD48" s="39">
        <v>43344</v>
      </c>
    </row>
    <row r="49" spans="1:30" x14ac:dyDescent="0.25">
      <c r="A49">
        <v>119614</v>
      </c>
      <c r="B49" t="s">
        <v>113</v>
      </c>
      <c r="C49">
        <v>2018</v>
      </c>
      <c r="D49">
        <v>9</v>
      </c>
      <c r="E49" t="s">
        <v>85</v>
      </c>
      <c r="F49" t="s">
        <v>84</v>
      </c>
      <c r="G49" t="s">
        <v>84</v>
      </c>
      <c r="H49" t="s">
        <v>25</v>
      </c>
      <c r="I49" t="s">
        <v>25</v>
      </c>
      <c r="J49" t="s">
        <v>101</v>
      </c>
      <c r="K49" t="s">
        <v>86</v>
      </c>
      <c r="L49" t="s">
        <v>103</v>
      </c>
      <c r="M49">
        <v>1439.52704135</v>
      </c>
      <c r="N49">
        <v>0</v>
      </c>
      <c r="O49" t="s">
        <v>80</v>
      </c>
      <c r="P49" s="39">
        <v>44269.851105011578</v>
      </c>
      <c r="Q49">
        <v>1081612</v>
      </c>
      <c r="R49" t="s">
        <v>27</v>
      </c>
      <c r="S49" s="4">
        <v>639.96089424000002</v>
      </c>
      <c r="T49">
        <v>65.348800729999994</v>
      </c>
      <c r="U49">
        <v>65.348800729999994</v>
      </c>
      <c r="V49">
        <v>41820.676950300003</v>
      </c>
      <c r="W49">
        <v>41820.676950300003</v>
      </c>
      <c r="X49">
        <v>0</v>
      </c>
      <c r="Y49">
        <v>5195.2141935899999</v>
      </c>
      <c r="Z49">
        <v>5195.2141935899999</v>
      </c>
      <c r="AA49">
        <v>0</v>
      </c>
      <c r="AB49">
        <v>0</v>
      </c>
      <c r="AC49" t="s">
        <v>84</v>
      </c>
      <c r="AD49" s="39">
        <v>43344</v>
      </c>
    </row>
    <row r="50" spans="1:30" x14ac:dyDescent="0.25">
      <c r="A50">
        <v>130294</v>
      </c>
      <c r="B50" t="s">
        <v>114</v>
      </c>
      <c r="C50">
        <v>2018</v>
      </c>
      <c r="D50">
        <v>10</v>
      </c>
      <c r="E50" t="s">
        <v>85</v>
      </c>
      <c r="F50" t="s">
        <v>84</v>
      </c>
      <c r="G50" t="s">
        <v>84</v>
      </c>
      <c r="H50" t="s">
        <v>25</v>
      </c>
      <c r="I50" t="s">
        <v>25</v>
      </c>
      <c r="J50" t="s">
        <v>101</v>
      </c>
      <c r="K50" t="s">
        <v>86</v>
      </c>
      <c r="L50" t="s">
        <v>103</v>
      </c>
      <c r="M50">
        <v>1428.8615156599999</v>
      </c>
      <c r="N50">
        <v>0</v>
      </c>
      <c r="O50" t="s">
        <v>80</v>
      </c>
      <c r="P50" s="39">
        <v>44269.8525723727</v>
      </c>
      <c r="Q50">
        <v>1192984</v>
      </c>
      <c r="R50" t="s">
        <v>27</v>
      </c>
      <c r="S50" s="4">
        <v>661.15529293999998</v>
      </c>
      <c r="T50">
        <v>65.348800729999994</v>
      </c>
      <c r="U50">
        <v>65.348800729999994</v>
      </c>
      <c r="V50">
        <v>43205.705487339997</v>
      </c>
      <c r="W50">
        <v>43205.705487339997</v>
      </c>
      <c r="X50">
        <v>0</v>
      </c>
      <c r="Y50">
        <v>5195.2141935899999</v>
      </c>
      <c r="Z50">
        <v>5195.2141935899999</v>
      </c>
      <c r="AA50">
        <v>0</v>
      </c>
      <c r="AB50">
        <v>0</v>
      </c>
      <c r="AC50" t="s">
        <v>84</v>
      </c>
      <c r="AD50" s="39">
        <v>43374</v>
      </c>
    </row>
    <row r="51" spans="1:30" x14ac:dyDescent="0.25">
      <c r="A51">
        <v>443809</v>
      </c>
      <c r="B51" t="s">
        <v>116</v>
      </c>
      <c r="C51">
        <v>2018</v>
      </c>
      <c r="D51">
        <v>12</v>
      </c>
      <c r="E51" t="s">
        <v>87</v>
      </c>
      <c r="F51" t="s">
        <v>84</v>
      </c>
      <c r="G51" t="s">
        <v>84</v>
      </c>
      <c r="H51" t="s">
        <v>25</v>
      </c>
      <c r="I51" t="s">
        <v>25</v>
      </c>
      <c r="J51" t="s">
        <v>101</v>
      </c>
      <c r="K51" t="s">
        <v>88</v>
      </c>
      <c r="L51" t="s">
        <v>103</v>
      </c>
      <c r="M51">
        <v>824.95046656</v>
      </c>
      <c r="N51">
        <v>0</v>
      </c>
      <c r="O51" t="s">
        <v>80</v>
      </c>
      <c r="P51" s="39">
        <v>44284.514580937503</v>
      </c>
      <c r="Q51">
        <v>4215363</v>
      </c>
      <c r="R51" t="s">
        <v>27</v>
      </c>
      <c r="S51" s="4">
        <v>342.02608154000001</v>
      </c>
      <c r="T51">
        <v>65.348800729999994</v>
      </c>
      <c r="U51">
        <v>65.348800729999994</v>
      </c>
      <c r="V51">
        <v>22350.994245409998</v>
      </c>
      <c r="W51">
        <v>22350.994245409998</v>
      </c>
      <c r="X51">
        <v>0</v>
      </c>
      <c r="Y51">
        <v>5195.2141935899999</v>
      </c>
      <c r="Z51">
        <v>5195.2141935899999</v>
      </c>
      <c r="AA51">
        <v>0</v>
      </c>
      <c r="AB51">
        <v>0</v>
      </c>
      <c r="AC51" t="s">
        <v>84</v>
      </c>
      <c r="AD51" s="39">
        <v>43435</v>
      </c>
    </row>
    <row r="52" spans="1:30" x14ac:dyDescent="0.25">
      <c r="A52">
        <v>144832</v>
      </c>
      <c r="B52" t="s">
        <v>115</v>
      </c>
      <c r="C52">
        <v>2018</v>
      </c>
      <c r="D52">
        <v>11</v>
      </c>
      <c r="E52" t="s">
        <v>85</v>
      </c>
      <c r="F52" t="s">
        <v>84</v>
      </c>
      <c r="G52" t="s">
        <v>84</v>
      </c>
      <c r="H52" t="s">
        <v>25</v>
      </c>
      <c r="I52" t="s">
        <v>25</v>
      </c>
      <c r="J52" t="s">
        <v>101</v>
      </c>
      <c r="K52" t="s">
        <v>86</v>
      </c>
      <c r="L52" t="s">
        <v>103</v>
      </c>
      <c r="M52">
        <v>1939.5207746900001</v>
      </c>
      <c r="N52">
        <v>0</v>
      </c>
      <c r="O52" t="s">
        <v>80</v>
      </c>
      <c r="P52" s="39">
        <v>44269.854262534733</v>
      </c>
      <c r="Q52">
        <v>1336944</v>
      </c>
      <c r="R52" t="s">
        <v>27</v>
      </c>
      <c r="S52" s="4">
        <v>897.44486215999996</v>
      </c>
      <c r="T52">
        <v>65.348800729999994</v>
      </c>
      <c r="U52">
        <v>65.348800729999994</v>
      </c>
      <c r="V52">
        <v>58646.945459429997</v>
      </c>
      <c r="W52">
        <v>58646.945459429997</v>
      </c>
      <c r="X52">
        <v>0</v>
      </c>
      <c r="Y52">
        <v>5195.2141935899999</v>
      </c>
      <c r="Z52">
        <v>5195.2141935899999</v>
      </c>
      <c r="AA52">
        <v>0</v>
      </c>
      <c r="AB52">
        <v>0</v>
      </c>
      <c r="AC52" t="s">
        <v>84</v>
      </c>
      <c r="AD52" s="39">
        <v>43405</v>
      </c>
    </row>
    <row r="53" spans="1:30" x14ac:dyDescent="0.25">
      <c r="A53">
        <v>119638</v>
      </c>
      <c r="B53" t="s">
        <v>113</v>
      </c>
      <c r="C53">
        <v>2018</v>
      </c>
      <c r="D53">
        <v>9</v>
      </c>
      <c r="E53" t="s">
        <v>87</v>
      </c>
      <c r="F53" t="s">
        <v>84</v>
      </c>
      <c r="G53" t="s">
        <v>84</v>
      </c>
      <c r="H53" t="s">
        <v>25</v>
      </c>
      <c r="I53" t="s">
        <v>25</v>
      </c>
      <c r="J53" t="s">
        <v>101</v>
      </c>
      <c r="K53" t="s">
        <v>88</v>
      </c>
      <c r="L53" t="s">
        <v>103</v>
      </c>
      <c r="M53">
        <v>316.65874517999998</v>
      </c>
      <c r="N53">
        <v>0</v>
      </c>
      <c r="O53" t="s">
        <v>80</v>
      </c>
      <c r="P53" s="39">
        <v>44269.85110659722</v>
      </c>
      <c r="Q53">
        <v>1081732</v>
      </c>
      <c r="R53" t="s">
        <v>27</v>
      </c>
      <c r="S53" s="4">
        <v>131.28745895</v>
      </c>
      <c r="T53">
        <v>65.348800729999994</v>
      </c>
      <c r="U53">
        <v>65.348800729999994</v>
      </c>
      <c r="V53">
        <v>8579.4779927500003</v>
      </c>
      <c r="W53">
        <v>8579.4779927500003</v>
      </c>
      <c r="X53">
        <v>0</v>
      </c>
      <c r="Y53">
        <v>5195.2141935899999</v>
      </c>
      <c r="Z53">
        <v>5195.2141935899999</v>
      </c>
      <c r="AA53">
        <v>0</v>
      </c>
      <c r="AB53">
        <v>0</v>
      </c>
      <c r="AC53" t="s">
        <v>84</v>
      </c>
      <c r="AD53" s="39">
        <v>43344</v>
      </c>
    </row>
    <row r="54" spans="1:30" x14ac:dyDescent="0.25">
      <c r="A54">
        <v>443833</v>
      </c>
      <c r="B54" t="s">
        <v>116</v>
      </c>
      <c r="C54">
        <v>2018</v>
      </c>
      <c r="D54">
        <v>12</v>
      </c>
      <c r="E54" t="s">
        <v>89</v>
      </c>
      <c r="F54" t="s">
        <v>84</v>
      </c>
      <c r="G54" t="s">
        <v>84</v>
      </c>
      <c r="H54" t="s">
        <v>25</v>
      </c>
      <c r="I54" t="s">
        <v>25</v>
      </c>
      <c r="J54" t="s">
        <v>101</v>
      </c>
      <c r="K54" t="s">
        <v>90</v>
      </c>
      <c r="L54" t="s">
        <v>103</v>
      </c>
      <c r="M54">
        <v>1153.4816149200001</v>
      </c>
      <c r="N54">
        <v>0</v>
      </c>
      <c r="O54" t="s">
        <v>80</v>
      </c>
      <c r="P54" s="39">
        <v>44284.51458221065</v>
      </c>
      <c r="Q54">
        <v>4215483</v>
      </c>
      <c r="R54" t="s">
        <v>27</v>
      </c>
      <c r="S54" s="4">
        <v>516.84914608999998</v>
      </c>
      <c r="T54">
        <v>65.348800729999994</v>
      </c>
      <c r="U54">
        <v>65.348800729999994</v>
      </c>
      <c r="V54">
        <v>33775.471853169998</v>
      </c>
      <c r="W54">
        <v>33775.471853169998</v>
      </c>
      <c r="X54">
        <v>0</v>
      </c>
      <c r="Y54">
        <v>5195.2141935899999</v>
      </c>
      <c r="Z54">
        <v>5195.2141935899999</v>
      </c>
      <c r="AA54">
        <v>0</v>
      </c>
      <c r="AB54">
        <v>0</v>
      </c>
      <c r="AC54" t="s">
        <v>84</v>
      </c>
      <c r="AD54" s="39">
        <v>43435</v>
      </c>
    </row>
    <row r="55" spans="1:30" x14ac:dyDescent="0.25">
      <c r="A55">
        <v>443785</v>
      </c>
      <c r="B55" t="s">
        <v>116</v>
      </c>
      <c r="C55">
        <v>2018</v>
      </c>
      <c r="D55">
        <v>12</v>
      </c>
      <c r="E55" t="s">
        <v>85</v>
      </c>
      <c r="F55" t="s">
        <v>84</v>
      </c>
      <c r="G55" t="s">
        <v>84</v>
      </c>
      <c r="H55" t="s">
        <v>25</v>
      </c>
      <c r="I55" t="s">
        <v>25</v>
      </c>
      <c r="J55" t="s">
        <v>101</v>
      </c>
      <c r="K55" t="s">
        <v>86</v>
      </c>
      <c r="L55" t="s">
        <v>103</v>
      </c>
      <c r="M55">
        <v>3041.3129330199999</v>
      </c>
      <c r="N55">
        <v>0</v>
      </c>
      <c r="O55" t="s">
        <v>80</v>
      </c>
      <c r="P55" s="39">
        <v>44284.514579629627</v>
      </c>
      <c r="Q55">
        <v>4215243</v>
      </c>
      <c r="R55" t="s">
        <v>27</v>
      </c>
      <c r="S55" s="4">
        <v>1407.2603405699999</v>
      </c>
      <c r="T55">
        <v>65.348800729999994</v>
      </c>
      <c r="U55">
        <v>65.348800729999994</v>
      </c>
      <c r="V55">
        <v>91962.775565599994</v>
      </c>
      <c r="W55">
        <v>91962.775565599994</v>
      </c>
      <c r="X55">
        <v>0</v>
      </c>
      <c r="Y55">
        <v>5195.2141935899999</v>
      </c>
      <c r="Z55">
        <v>5195.2141935899999</v>
      </c>
      <c r="AA55">
        <v>0</v>
      </c>
      <c r="AB55">
        <v>0</v>
      </c>
      <c r="AC55" t="s">
        <v>84</v>
      </c>
      <c r="AD55" s="39">
        <v>43435</v>
      </c>
    </row>
    <row r="56" spans="1:30" x14ac:dyDescent="0.25">
      <c r="A56">
        <v>130342</v>
      </c>
      <c r="B56" t="s">
        <v>114</v>
      </c>
      <c r="C56">
        <v>2018</v>
      </c>
      <c r="D56">
        <v>10</v>
      </c>
      <c r="E56" t="s">
        <v>89</v>
      </c>
      <c r="F56" t="s">
        <v>84</v>
      </c>
      <c r="G56" t="s">
        <v>84</v>
      </c>
      <c r="H56" t="s">
        <v>25</v>
      </c>
      <c r="I56" t="s">
        <v>25</v>
      </c>
      <c r="J56" t="s">
        <v>101</v>
      </c>
      <c r="K56" t="s">
        <v>90</v>
      </c>
      <c r="L56" t="s">
        <v>103</v>
      </c>
      <c r="M56">
        <v>879.43208655000001</v>
      </c>
      <c r="N56">
        <v>0</v>
      </c>
      <c r="O56" t="s">
        <v>80</v>
      </c>
      <c r="P56" s="39">
        <v>44269.852574803241</v>
      </c>
      <c r="Q56">
        <v>1193224</v>
      </c>
      <c r="R56" t="s">
        <v>27</v>
      </c>
      <c r="S56" s="4">
        <v>394.05372144</v>
      </c>
      <c r="T56">
        <v>65.348800729999994</v>
      </c>
      <c r="U56">
        <v>65.348800729999994</v>
      </c>
      <c r="V56">
        <v>25750.938117950001</v>
      </c>
      <c r="W56">
        <v>25750.938117950001</v>
      </c>
      <c r="X56">
        <v>0</v>
      </c>
      <c r="Y56">
        <v>5195.2141935899999</v>
      </c>
      <c r="Z56">
        <v>5195.2141935899999</v>
      </c>
      <c r="AA56">
        <v>0</v>
      </c>
      <c r="AB56">
        <v>0</v>
      </c>
      <c r="AC56" t="s">
        <v>84</v>
      </c>
      <c r="AD56" s="39">
        <v>43374</v>
      </c>
    </row>
    <row r="57" spans="1:30" x14ac:dyDescent="0.25">
      <c r="A57">
        <v>130318</v>
      </c>
      <c r="B57" t="s">
        <v>114</v>
      </c>
      <c r="C57">
        <v>2018</v>
      </c>
      <c r="D57">
        <v>10</v>
      </c>
      <c r="E57" t="s">
        <v>87</v>
      </c>
      <c r="F57" t="s">
        <v>84</v>
      </c>
      <c r="G57" t="s">
        <v>84</v>
      </c>
      <c r="H57" t="s">
        <v>25</v>
      </c>
      <c r="I57" t="s">
        <v>25</v>
      </c>
      <c r="J57" t="s">
        <v>101</v>
      </c>
      <c r="K57" t="s">
        <v>88</v>
      </c>
      <c r="L57" t="s">
        <v>103</v>
      </c>
      <c r="M57">
        <v>333.40243543999998</v>
      </c>
      <c r="N57">
        <v>0</v>
      </c>
      <c r="O57" t="s">
        <v>80</v>
      </c>
      <c r="P57" s="39">
        <v>44269.852573611111</v>
      </c>
      <c r="Q57">
        <v>1193104</v>
      </c>
      <c r="R57" t="s">
        <v>27</v>
      </c>
      <c r="S57" s="4">
        <v>138.22930368999999</v>
      </c>
      <c r="T57">
        <v>65.348800729999994</v>
      </c>
      <c r="U57">
        <v>65.348800729999994</v>
      </c>
      <c r="V57">
        <v>9033.1192210900008</v>
      </c>
      <c r="W57">
        <v>9033.1192210900008</v>
      </c>
      <c r="X57">
        <v>0</v>
      </c>
      <c r="Y57">
        <v>5195.2141935899999</v>
      </c>
      <c r="Z57">
        <v>5195.2141935899999</v>
      </c>
      <c r="AA57">
        <v>0</v>
      </c>
      <c r="AB57">
        <v>0</v>
      </c>
      <c r="AC57" t="s">
        <v>84</v>
      </c>
      <c r="AD57" s="39">
        <v>43374</v>
      </c>
    </row>
    <row r="58" spans="1:30" x14ac:dyDescent="0.25">
      <c r="A58">
        <v>144856</v>
      </c>
      <c r="B58" t="s">
        <v>115</v>
      </c>
      <c r="C58">
        <v>2018</v>
      </c>
      <c r="D58">
        <v>11</v>
      </c>
      <c r="E58" t="s">
        <v>87</v>
      </c>
      <c r="F58" t="s">
        <v>84</v>
      </c>
      <c r="G58" t="s">
        <v>84</v>
      </c>
      <c r="H58" t="s">
        <v>25</v>
      </c>
      <c r="I58" t="s">
        <v>25</v>
      </c>
      <c r="J58" t="s">
        <v>101</v>
      </c>
      <c r="K58" t="s">
        <v>88</v>
      </c>
      <c r="L58" t="s">
        <v>103</v>
      </c>
      <c r="M58">
        <v>527.43779992999998</v>
      </c>
      <c r="N58">
        <v>0</v>
      </c>
      <c r="O58" t="s">
        <v>80</v>
      </c>
      <c r="P58" s="39">
        <v>44269.854263738423</v>
      </c>
      <c r="Q58">
        <v>1337064</v>
      </c>
      <c r="R58" t="s">
        <v>27</v>
      </c>
      <c r="S58" s="4">
        <v>218.67674640000001</v>
      </c>
      <c r="T58">
        <v>65.348800729999994</v>
      </c>
      <c r="U58">
        <v>65.348800729999994</v>
      </c>
      <c r="V58">
        <v>14290.26312358</v>
      </c>
      <c r="W58">
        <v>14290.26312358</v>
      </c>
      <c r="X58">
        <v>0</v>
      </c>
      <c r="Y58">
        <v>5195.2141935899999</v>
      </c>
      <c r="Z58">
        <v>5195.2141935899999</v>
      </c>
      <c r="AA58">
        <v>0</v>
      </c>
      <c r="AB58">
        <v>0</v>
      </c>
      <c r="AC58" t="s">
        <v>84</v>
      </c>
      <c r="AD58" s="39">
        <v>43405</v>
      </c>
    </row>
    <row r="59" spans="1:30" x14ac:dyDescent="0.25">
      <c r="A59">
        <v>63558</v>
      </c>
      <c r="B59" t="s">
        <v>118</v>
      </c>
      <c r="C59">
        <v>2018</v>
      </c>
      <c r="D59">
        <v>3</v>
      </c>
      <c r="E59" t="s">
        <v>85</v>
      </c>
      <c r="F59" t="s">
        <v>84</v>
      </c>
      <c r="G59" t="s">
        <v>84</v>
      </c>
      <c r="H59" t="s">
        <v>25</v>
      </c>
      <c r="I59" t="s">
        <v>25</v>
      </c>
      <c r="J59" t="s">
        <v>101</v>
      </c>
      <c r="K59" t="s">
        <v>86</v>
      </c>
      <c r="L59" t="s">
        <v>103</v>
      </c>
      <c r="M59">
        <v>2918.7091952800001</v>
      </c>
      <c r="N59">
        <v>0</v>
      </c>
      <c r="O59" t="s">
        <v>79</v>
      </c>
      <c r="P59" s="39">
        <v>44269.844469872682</v>
      </c>
      <c r="Q59">
        <v>560913</v>
      </c>
      <c r="R59" t="s">
        <v>74</v>
      </c>
      <c r="S59" s="4">
        <v>42.925512990000001</v>
      </c>
      <c r="T59">
        <v>63.88468314</v>
      </c>
      <c r="U59">
        <v>63.88468314</v>
      </c>
      <c r="V59">
        <v>2742.2827956000001</v>
      </c>
      <c r="W59">
        <v>2742.2827956000001</v>
      </c>
      <c r="X59">
        <v>0</v>
      </c>
      <c r="Y59">
        <v>5247.3395130299996</v>
      </c>
      <c r="Z59">
        <v>5247.3395130299996</v>
      </c>
      <c r="AA59">
        <v>0</v>
      </c>
      <c r="AB59">
        <v>0</v>
      </c>
      <c r="AC59" t="s">
        <v>84</v>
      </c>
      <c r="AD59" s="39">
        <v>43160</v>
      </c>
    </row>
    <row r="60" spans="1:30" x14ac:dyDescent="0.25">
      <c r="A60">
        <v>63604</v>
      </c>
      <c r="B60" t="s">
        <v>118</v>
      </c>
      <c r="C60">
        <v>2018</v>
      </c>
      <c r="D60">
        <v>3</v>
      </c>
      <c r="E60" t="s">
        <v>89</v>
      </c>
      <c r="F60" t="s">
        <v>84</v>
      </c>
      <c r="G60" t="s">
        <v>84</v>
      </c>
      <c r="H60" t="s">
        <v>25</v>
      </c>
      <c r="I60" t="s">
        <v>25</v>
      </c>
      <c r="J60" t="s">
        <v>101</v>
      </c>
      <c r="K60" t="s">
        <v>90</v>
      </c>
      <c r="L60" t="s">
        <v>103</v>
      </c>
      <c r="M60">
        <v>1101.95310419</v>
      </c>
      <c r="N60">
        <v>0</v>
      </c>
      <c r="O60" t="s">
        <v>79</v>
      </c>
      <c r="P60" s="39">
        <v>44269.844471643519</v>
      </c>
      <c r="Q60">
        <v>561005</v>
      </c>
      <c r="R60" t="s">
        <v>74</v>
      </c>
      <c r="S60" s="4">
        <v>28.786274299999999</v>
      </c>
      <c r="T60">
        <v>63.88468314</v>
      </c>
      <c r="U60">
        <v>63.88468314</v>
      </c>
      <c r="V60">
        <v>1839.0020123500001</v>
      </c>
      <c r="W60">
        <v>1839.0020123500001</v>
      </c>
      <c r="X60">
        <v>0</v>
      </c>
      <c r="Y60">
        <v>5247.3395130299996</v>
      </c>
      <c r="Z60">
        <v>5247.3395130299996</v>
      </c>
      <c r="AA60">
        <v>0</v>
      </c>
      <c r="AB60">
        <v>0</v>
      </c>
      <c r="AC60" t="s">
        <v>84</v>
      </c>
      <c r="AD60" s="39">
        <v>43160</v>
      </c>
    </row>
    <row r="61" spans="1:30" x14ac:dyDescent="0.25">
      <c r="A61">
        <v>63581</v>
      </c>
      <c r="B61" t="s">
        <v>118</v>
      </c>
      <c r="C61">
        <v>2018</v>
      </c>
      <c r="D61">
        <v>3</v>
      </c>
      <c r="E61" t="s">
        <v>87</v>
      </c>
      <c r="F61" t="s">
        <v>84</v>
      </c>
      <c r="G61" t="s">
        <v>84</v>
      </c>
      <c r="H61" t="s">
        <v>25</v>
      </c>
      <c r="I61" t="s">
        <v>25</v>
      </c>
      <c r="J61" t="s">
        <v>101</v>
      </c>
      <c r="K61" t="s">
        <v>88</v>
      </c>
      <c r="L61" t="s">
        <v>103</v>
      </c>
      <c r="M61">
        <v>681.39686511000002</v>
      </c>
      <c r="N61">
        <v>0</v>
      </c>
      <c r="O61" t="s">
        <v>79</v>
      </c>
      <c r="P61" s="39">
        <v>44269.844470682867</v>
      </c>
      <c r="Q61">
        <v>560959</v>
      </c>
      <c r="R61" t="s">
        <v>74</v>
      </c>
      <c r="S61" s="4">
        <v>18.080418030000001</v>
      </c>
      <c r="T61">
        <v>63.88468314</v>
      </c>
      <c r="U61">
        <v>63.88468314</v>
      </c>
      <c r="V61">
        <v>1155.0617765300001</v>
      </c>
      <c r="W61">
        <v>1155.0617765300001</v>
      </c>
      <c r="X61">
        <v>0</v>
      </c>
      <c r="Y61">
        <v>5247.3395130299996</v>
      </c>
      <c r="Z61">
        <v>5247.3395130299996</v>
      </c>
      <c r="AA61">
        <v>0</v>
      </c>
      <c r="AB61">
        <v>0</v>
      </c>
      <c r="AC61" t="s">
        <v>84</v>
      </c>
      <c r="AD61" s="39">
        <v>43160</v>
      </c>
    </row>
    <row r="62" spans="1:30" x14ac:dyDescent="0.25">
      <c r="A62">
        <v>38545</v>
      </c>
      <c r="B62" t="s">
        <v>119</v>
      </c>
      <c r="C62">
        <v>2018</v>
      </c>
      <c r="D62">
        <v>1</v>
      </c>
      <c r="E62" t="s">
        <v>85</v>
      </c>
      <c r="F62" t="s">
        <v>84</v>
      </c>
      <c r="G62" t="s">
        <v>84</v>
      </c>
      <c r="H62" t="s">
        <v>25</v>
      </c>
      <c r="I62" t="s">
        <v>25</v>
      </c>
      <c r="J62" t="s">
        <v>101</v>
      </c>
      <c r="K62" t="s">
        <v>86</v>
      </c>
      <c r="L62" t="s">
        <v>103</v>
      </c>
      <c r="M62">
        <v>2934.8747129799999</v>
      </c>
      <c r="N62">
        <v>0</v>
      </c>
      <c r="O62" t="s">
        <v>79</v>
      </c>
      <c r="P62" s="39">
        <v>44269.841712766203</v>
      </c>
      <c r="Q62">
        <v>327738</v>
      </c>
      <c r="R62" t="s">
        <v>74</v>
      </c>
      <c r="S62" s="4">
        <v>43.280991440000001</v>
      </c>
      <c r="T62">
        <v>64.104883880000003</v>
      </c>
      <c r="U62">
        <v>64.104883880000003</v>
      </c>
      <c r="V62">
        <v>2774.5229306699998</v>
      </c>
      <c r="W62">
        <v>2774.5229306699998</v>
      </c>
      <c r="X62">
        <v>0</v>
      </c>
      <c r="Y62">
        <v>5265.4262910300004</v>
      </c>
      <c r="Z62">
        <v>5265.4262910300004</v>
      </c>
      <c r="AA62">
        <v>0</v>
      </c>
      <c r="AB62">
        <v>0</v>
      </c>
      <c r="AC62" t="s">
        <v>84</v>
      </c>
      <c r="AD62" s="39">
        <v>43101</v>
      </c>
    </row>
    <row r="63" spans="1:30" x14ac:dyDescent="0.25">
      <c r="A63">
        <v>38568</v>
      </c>
      <c r="B63" t="s">
        <v>119</v>
      </c>
      <c r="C63">
        <v>2018</v>
      </c>
      <c r="D63">
        <v>1</v>
      </c>
      <c r="E63" t="s">
        <v>87</v>
      </c>
      <c r="F63" t="s">
        <v>84</v>
      </c>
      <c r="G63" t="s">
        <v>84</v>
      </c>
      <c r="H63" t="s">
        <v>25</v>
      </c>
      <c r="I63" t="s">
        <v>25</v>
      </c>
      <c r="J63" t="s">
        <v>101</v>
      </c>
      <c r="K63" t="s">
        <v>88</v>
      </c>
      <c r="L63" t="s">
        <v>103</v>
      </c>
      <c r="M63">
        <v>892.08334261000005</v>
      </c>
      <c r="N63">
        <v>0</v>
      </c>
      <c r="O63" t="s">
        <v>79</v>
      </c>
      <c r="P63" s="39">
        <v>44269.841713576388</v>
      </c>
      <c r="Q63">
        <v>327784</v>
      </c>
      <c r="R63" t="s">
        <v>74</v>
      </c>
      <c r="S63" s="4">
        <v>23.73540972</v>
      </c>
      <c r="T63">
        <v>64.104883880000003</v>
      </c>
      <c r="U63">
        <v>64.104883880000003</v>
      </c>
      <c r="V63">
        <v>1521.55568391</v>
      </c>
      <c r="W63">
        <v>1521.55568391</v>
      </c>
      <c r="X63">
        <v>0</v>
      </c>
      <c r="Y63">
        <v>5265.4262910300004</v>
      </c>
      <c r="Z63">
        <v>5265.4262910300004</v>
      </c>
      <c r="AA63">
        <v>0</v>
      </c>
      <c r="AB63">
        <v>0</v>
      </c>
      <c r="AC63" t="s">
        <v>84</v>
      </c>
      <c r="AD63" s="39">
        <v>43101</v>
      </c>
    </row>
    <row r="64" spans="1:30" x14ac:dyDescent="0.25">
      <c r="A64">
        <v>38591</v>
      </c>
      <c r="B64" t="s">
        <v>119</v>
      </c>
      <c r="C64">
        <v>2018</v>
      </c>
      <c r="D64">
        <v>1</v>
      </c>
      <c r="E64" t="s">
        <v>89</v>
      </c>
      <c r="F64" t="s">
        <v>84</v>
      </c>
      <c r="G64" t="s">
        <v>84</v>
      </c>
      <c r="H64" t="s">
        <v>25</v>
      </c>
      <c r="I64" t="s">
        <v>25</v>
      </c>
      <c r="J64" t="s">
        <v>101</v>
      </c>
      <c r="K64" t="s">
        <v>90</v>
      </c>
      <c r="L64" t="s">
        <v>103</v>
      </c>
      <c r="M64">
        <v>1063.1400695499999</v>
      </c>
      <c r="N64">
        <v>0</v>
      </c>
      <c r="O64" t="s">
        <v>79</v>
      </c>
      <c r="P64" s="39">
        <v>44269.841714548609</v>
      </c>
      <c r="Q64">
        <v>327830</v>
      </c>
      <c r="R64" t="s">
        <v>74</v>
      </c>
      <c r="S64" s="4">
        <v>27.84811478</v>
      </c>
      <c r="T64">
        <v>64.104883880000003</v>
      </c>
      <c r="U64">
        <v>64.104883880000003</v>
      </c>
      <c r="V64">
        <v>1785.2001646399999</v>
      </c>
      <c r="W64">
        <v>1785.2001646399999</v>
      </c>
      <c r="X64">
        <v>0</v>
      </c>
      <c r="Y64">
        <v>5265.4262910300004</v>
      </c>
      <c r="Z64">
        <v>5265.4262910300004</v>
      </c>
      <c r="AA64">
        <v>0</v>
      </c>
      <c r="AB64">
        <v>0</v>
      </c>
      <c r="AC64" t="s">
        <v>84</v>
      </c>
      <c r="AD64" s="39">
        <v>43101</v>
      </c>
    </row>
    <row r="65" spans="1:30" x14ac:dyDescent="0.25">
      <c r="A65">
        <v>352684</v>
      </c>
      <c r="B65" t="s">
        <v>120</v>
      </c>
      <c r="C65">
        <v>2018</v>
      </c>
      <c r="D65">
        <v>5</v>
      </c>
      <c r="E65" t="s">
        <v>85</v>
      </c>
      <c r="F65" t="s">
        <v>84</v>
      </c>
      <c r="G65" t="s">
        <v>84</v>
      </c>
      <c r="H65" t="s">
        <v>25</v>
      </c>
      <c r="I65" t="s">
        <v>25</v>
      </c>
      <c r="J65" t="s">
        <v>101</v>
      </c>
      <c r="K65" t="s">
        <v>86</v>
      </c>
      <c r="L65" t="s">
        <v>103</v>
      </c>
      <c r="M65">
        <v>2108.0789959600002</v>
      </c>
      <c r="N65">
        <v>0</v>
      </c>
      <c r="O65" t="s">
        <v>79</v>
      </c>
      <c r="P65" s="39">
        <v>44269.884373807872</v>
      </c>
      <c r="Q65">
        <v>3336167</v>
      </c>
      <c r="R65" t="s">
        <v>74</v>
      </c>
      <c r="S65" s="4">
        <v>31.092819609999999</v>
      </c>
      <c r="T65">
        <v>65.646583879999994</v>
      </c>
      <c r="U65">
        <v>65.646583879999994</v>
      </c>
      <c r="V65">
        <v>2041.13739042</v>
      </c>
      <c r="W65">
        <v>2041.13739042</v>
      </c>
      <c r="X65">
        <v>0</v>
      </c>
      <c r="Y65">
        <v>5289.6512662200003</v>
      </c>
      <c r="Z65">
        <v>5289.6512662200003</v>
      </c>
      <c r="AA65">
        <v>0</v>
      </c>
      <c r="AB65">
        <v>0</v>
      </c>
      <c r="AC65" t="s">
        <v>84</v>
      </c>
      <c r="AD65" s="39">
        <v>43221</v>
      </c>
    </row>
    <row r="66" spans="1:30" x14ac:dyDescent="0.25">
      <c r="A66">
        <v>352730</v>
      </c>
      <c r="B66" t="s">
        <v>120</v>
      </c>
      <c r="C66">
        <v>2018</v>
      </c>
      <c r="D66">
        <v>5</v>
      </c>
      <c r="E66" t="s">
        <v>89</v>
      </c>
      <c r="F66" t="s">
        <v>84</v>
      </c>
      <c r="G66" t="s">
        <v>84</v>
      </c>
      <c r="H66" t="s">
        <v>25</v>
      </c>
      <c r="I66" t="s">
        <v>25</v>
      </c>
      <c r="J66" t="s">
        <v>101</v>
      </c>
      <c r="K66" t="s">
        <v>90</v>
      </c>
      <c r="L66" t="s">
        <v>103</v>
      </c>
      <c r="M66">
        <v>932.17317322999997</v>
      </c>
      <c r="N66">
        <v>0</v>
      </c>
      <c r="O66" t="s">
        <v>79</v>
      </c>
      <c r="P66" s="39">
        <v>44269.884375000001</v>
      </c>
      <c r="Q66">
        <v>3336259</v>
      </c>
      <c r="R66" t="s">
        <v>74</v>
      </c>
      <c r="S66" s="4">
        <v>24.421228410000001</v>
      </c>
      <c r="T66">
        <v>65.646583879999994</v>
      </c>
      <c r="U66">
        <v>65.646583879999994</v>
      </c>
      <c r="V66">
        <v>1603.1702191500001</v>
      </c>
      <c r="W66">
        <v>1603.1702191500001</v>
      </c>
      <c r="X66">
        <v>0</v>
      </c>
      <c r="Y66">
        <v>5289.6512662200003</v>
      </c>
      <c r="Z66">
        <v>5289.6512662200003</v>
      </c>
      <c r="AA66">
        <v>0</v>
      </c>
      <c r="AB66">
        <v>0</v>
      </c>
      <c r="AC66" t="s">
        <v>84</v>
      </c>
      <c r="AD66" s="39">
        <v>43221</v>
      </c>
    </row>
    <row r="67" spans="1:30" x14ac:dyDescent="0.25">
      <c r="A67">
        <v>352707</v>
      </c>
      <c r="B67" t="s">
        <v>120</v>
      </c>
      <c r="C67">
        <v>2018</v>
      </c>
      <c r="D67">
        <v>5</v>
      </c>
      <c r="E67" t="s">
        <v>87</v>
      </c>
      <c r="F67" t="s">
        <v>84</v>
      </c>
      <c r="G67" t="s">
        <v>84</v>
      </c>
      <c r="H67" t="s">
        <v>25</v>
      </c>
      <c r="I67" t="s">
        <v>25</v>
      </c>
      <c r="J67" t="s">
        <v>101</v>
      </c>
      <c r="K67" t="s">
        <v>88</v>
      </c>
      <c r="L67" t="s">
        <v>103</v>
      </c>
      <c r="M67">
        <v>393.55599067000003</v>
      </c>
      <c r="N67">
        <v>0</v>
      </c>
      <c r="O67" t="s">
        <v>79</v>
      </c>
      <c r="P67" s="39">
        <v>44269.884374386573</v>
      </c>
      <c r="Q67">
        <v>3336213</v>
      </c>
      <c r="R67" t="s">
        <v>74</v>
      </c>
      <c r="S67" s="4">
        <v>10.47281476</v>
      </c>
      <c r="T67">
        <v>65.646583879999994</v>
      </c>
      <c r="U67">
        <v>65.646583879999994</v>
      </c>
      <c r="V67">
        <v>687.50451289</v>
      </c>
      <c r="W67">
        <v>687.50451289</v>
      </c>
      <c r="X67">
        <v>0</v>
      </c>
      <c r="Y67">
        <v>5289.6512662200003</v>
      </c>
      <c r="Z67">
        <v>5289.6512662200003</v>
      </c>
      <c r="AA67">
        <v>0</v>
      </c>
      <c r="AB67">
        <v>0</v>
      </c>
      <c r="AC67" t="s">
        <v>84</v>
      </c>
      <c r="AD67" s="39">
        <v>43221</v>
      </c>
    </row>
    <row r="68" spans="1:30" x14ac:dyDescent="0.25">
      <c r="A68">
        <v>23</v>
      </c>
      <c r="B68" t="s">
        <v>121</v>
      </c>
      <c r="C68">
        <v>2017</v>
      </c>
      <c r="D68">
        <v>9</v>
      </c>
      <c r="E68" t="s">
        <v>87</v>
      </c>
      <c r="F68" t="s">
        <v>84</v>
      </c>
      <c r="G68" t="s">
        <v>84</v>
      </c>
      <c r="H68" t="s">
        <v>25</v>
      </c>
      <c r="I68" t="s">
        <v>25</v>
      </c>
      <c r="J68" t="s">
        <v>101</v>
      </c>
      <c r="K68" t="s">
        <v>88</v>
      </c>
      <c r="L68" t="s">
        <v>103</v>
      </c>
      <c r="M68">
        <v>317.51694221999998</v>
      </c>
      <c r="N68">
        <v>0</v>
      </c>
      <c r="O68" t="s">
        <v>79</v>
      </c>
      <c r="P68" s="39">
        <v>44269.837767013887</v>
      </c>
      <c r="Q68">
        <v>46</v>
      </c>
      <c r="R68" t="s">
        <v>74</v>
      </c>
      <c r="S68" s="4">
        <v>8.5152728700000004</v>
      </c>
      <c r="T68">
        <v>67.202638160000006</v>
      </c>
      <c r="U68">
        <v>67.202638160000006</v>
      </c>
      <c r="V68">
        <v>572.24880134</v>
      </c>
      <c r="W68">
        <v>572.24880134</v>
      </c>
      <c r="X68">
        <v>0</v>
      </c>
      <c r="Y68">
        <v>5313.2038837600003</v>
      </c>
      <c r="Z68">
        <v>5313.2038837600003</v>
      </c>
      <c r="AA68">
        <v>0</v>
      </c>
      <c r="AB68">
        <v>0</v>
      </c>
      <c r="AC68" t="s">
        <v>84</v>
      </c>
      <c r="AD68" s="39">
        <v>42979</v>
      </c>
    </row>
    <row r="69" spans="1:30" x14ac:dyDescent="0.25">
      <c r="A69">
        <v>2</v>
      </c>
      <c r="B69" t="s">
        <v>121</v>
      </c>
      <c r="C69">
        <v>2017</v>
      </c>
      <c r="D69">
        <v>9</v>
      </c>
      <c r="E69" t="s">
        <v>85</v>
      </c>
      <c r="F69" t="s">
        <v>84</v>
      </c>
      <c r="G69" t="s">
        <v>84</v>
      </c>
      <c r="H69" t="s">
        <v>25</v>
      </c>
      <c r="I69" t="s">
        <v>25</v>
      </c>
      <c r="J69" t="s">
        <v>101</v>
      </c>
      <c r="K69" t="s">
        <v>86</v>
      </c>
      <c r="L69" t="s">
        <v>103</v>
      </c>
      <c r="M69">
        <v>1525.35760676</v>
      </c>
      <c r="N69">
        <v>0</v>
      </c>
      <c r="O69" t="s">
        <v>79</v>
      </c>
      <c r="P69" s="39">
        <v>44269.837765891207</v>
      </c>
      <c r="Q69">
        <v>4</v>
      </c>
      <c r="R69" t="s">
        <v>74</v>
      </c>
      <c r="S69" s="4">
        <v>22.673557639999999</v>
      </c>
      <c r="T69">
        <v>67.202638160000006</v>
      </c>
      <c r="U69">
        <v>67.202638160000006</v>
      </c>
      <c r="V69">
        <v>1523.7228901000001</v>
      </c>
      <c r="W69">
        <v>1523.7228901000001</v>
      </c>
      <c r="X69">
        <v>0</v>
      </c>
      <c r="Y69">
        <v>5313.2038837600003</v>
      </c>
      <c r="Z69">
        <v>5313.2038837600003</v>
      </c>
      <c r="AA69">
        <v>0</v>
      </c>
      <c r="AB69">
        <v>0</v>
      </c>
      <c r="AC69" t="s">
        <v>84</v>
      </c>
      <c r="AD69" s="39">
        <v>42979</v>
      </c>
    </row>
    <row r="70" spans="1:30" x14ac:dyDescent="0.25">
      <c r="A70">
        <v>44</v>
      </c>
      <c r="B70" t="s">
        <v>121</v>
      </c>
      <c r="C70">
        <v>2017</v>
      </c>
      <c r="D70">
        <v>9</v>
      </c>
      <c r="E70" t="s">
        <v>89</v>
      </c>
      <c r="F70" t="s">
        <v>84</v>
      </c>
      <c r="G70" t="s">
        <v>84</v>
      </c>
      <c r="H70" t="s">
        <v>25</v>
      </c>
      <c r="I70" t="s">
        <v>25</v>
      </c>
      <c r="J70" t="s">
        <v>101</v>
      </c>
      <c r="K70" t="s">
        <v>90</v>
      </c>
      <c r="L70" t="s">
        <v>103</v>
      </c>
      <c r="M70">
        <v>1160.3236436</v>
      </c>
      <c r="N70">
        <v>0</v>
      </c>
      <c r="O70" t="s">
        <v>79</v>
      </c>
      <c r="P70" s="39">
        <v>44269.837768090278</v>
      </c>
      <c r="Q70">
        <v>88</v>
      </c>
      <c r="R70" t="s">
        <v>74</v>
      </c>
      <c r="S70" s="4">
        <v>30.63548909</v>
      </c>
      <c r="T70">
        <v>67.202638160000006</v>
      </c>
      <c r="U70">
        <v>67.202638160000006</v>
      </c>
      <c r="V70">
        <v>2058.7856884100001</v>
      </c>
      <c r="W70">
        <v>2058.7856884100001</v>
      </c>
      <c r="X70">
        <v>0</v>
      </c>
      <c r="Y70">
        <v>5313.2038837600003</v>
      </c>
      <c r="Z70">
        <v>5313.2038837600003</v>
      </c>
      <c r="AA70">
        <v>0</v>
      </c>
      <c r="AB70">
        <v>0</v>
      </c>
      <c r="AC70" t="s">
        <v>84</v>
      </c>
      <c r="AD70" s="39">
        <v>42979</v>
      </c>
    </row>
    <row r="71" spans="1:30" x14ac:dyDescent="0.25">
      <c r="A71">
        <v>655461</v>
      </c>
      <c r="B71" t="s">
        <v>122</v>
      </c>
      <c r="C71">
        <v>2017</v>
      </c>
      <c r="D71">
        <v>1</v>
      </c>
      <c r="E71" t="s">
        <v>59</v>
      </c>
      <c r="F71" t="s">
        <v>84</v>
      </c>
      <c r="G71" t="s">
        <v>84</v>
      </c>
      <c r="H71" t="s">
        <v>25</v>
      </c>
      <c r="I71" t="s">
        <v>25</v>
      </c>
      <c r="J71" t="s">
        <v>123</v>
      </c>
      <c r="K71" t="s">
        <v>106</v>
      </c>
      <c r="L71" t="s">
        <v>103</v>
      </c>
      <c r="M71">
        <v>1996.11345764</v>
      </c>
      <c r="N71">
        <v>0</v>
      </c>
      <c r="O71" t="s">
        <v>79</v>
      </c>
      <c r="P71" s="39">
        <v>44334.054137187501</v>
      </c>
      <c r="Q71">
        <v>5805247</v>
      </c>
      <c r="R71" t="s">
        <v>74</v>
      </c>
      <c r="S71" s="4">
        <v>52.702461419999999</v>
      </c>
      <c r="T71">
        <v>68.422444960000007</v>
      </c>
      <c r="U71">
        <v>68.422444960000007</v>
      </c>
      <c r="V71">
        <v>3606.0312654899999</v>
      </c>
      <c r="W71">
        <v>3606.0312654899999</v>
      </c>
      <c r="X71">
        <v>0</v>
      </c>
      <c r="Y71">
        <v>5313.2467573399999</v>
      </c>
      <c r="Z71">
        <v>5313.2467573399999</v>
      </c>
      <c r="AA71">
        <v>0</v>
      </c>
      <c r="AB71">
        <v>0</v>
      </c>
      <c r="AC71" t="s">
        <v>84</v>
      </c>
      <c r="AD71" s="39">
        <v>42736</v>
      </c>
    </row>
    <row r="72" spans="1:30" x14ac:dyDescent="0.25">
      <c r="A72">
        <v>655417</v>
      </c>
      <c r="B72" t="s">
        <v>122</v>
      </c>
      <c r="C72">
        <v>2017</v>
      </c>
      <c r="D72">
        <v>1</v>
      </c>
      <c r="E72" t="s">
        <v>85</v>
      </c>
      <c r="F72" t="s">
        <v>84</v>
      </c>
      <c r="G72" t="s">
        <v>84</v>
      </c>
      <c r="H72" t="s">
        <v>25</v>
      </c>
      <c r="I72" t="s">
        <v>25</v>
      </c>
      <c r="J72" t="s">
        <v>123</v>
      </c>
      <c r="K72" t="s">
        <v>102</v>
      </c>
      <c r="L72" t="s">
        <v>103</v>
      </c>
      <c r="M72">
        <v>4925.9076084899998</v>
      </c>
      <c r="N72">
        <v>0</v>
      </c>
      <c r="O72" t="s">
        <v>79</v>
      </c>
      <c r="P72" s="39">
        <v>44334.054136030092</v>
      </c>
      <c r="Q72">
        <v>5805159</v>
      </c>
      <c r="R72" t="s">
        <v>74</v>
      </c>
      <c r="S72" s="4">
        <v>73.220764500000001</v>
      </c>
      <c r="T72">
        <v>68.422444960000007</v>
      </c>
      <c r="U72">
        <v>68.422444960000007</v>
      </c>
      <c r="V72">
        <v>5009.9437287399996</v>
      </c>
      <c r="W72">
        <v>5009.9437287399996</v>
      </c>
      <c r="X72">
        <v>0</v>
      </c>
      <c r="Y72">
        <v>5313.2467573399999</v>
      </c>
      <c r="Z72">
        <v>5313.2467573399999</v>
      </c>
      <c r="AA72">
        <v>0</v>
      </c>
      <c r="AB72">
        <v>0</v>
      </c>
      <c r="AC72" t="s">
        <v>84</v>
      </c>
      <c r="AD72" s="39">
        <v>42736</v>
      </c>
    </row>
    <row r="73" spans="1:30" x14ac:dyDescent="0.25">
      <c r="A73">
        <v>655439</v>
      </c>
      <c r="B73" t="s">
        <v>122</v>
      </c>
      <c r="C73">
        <v>2017</v>
      </c>
      <c r="D73">
        <v>1</v>
      </c>
      <c r="E73" t="s">
        <v>87</v>
      </c>
      <c r="F73" t="s">
        <v>84</v>
      </c>
      <c r="G73" t="s">
        <v>84</v>
      </c>
      <c r="H73" t="s">
        <v>25</v>
      </c>
      <c r="I73" t="s">
        <v>25</v>
      </c>
      <c r="J73" t="s">
        <v>123</v>
      </c>
      <c r="K73" t="s">
        <v>104</v>
      </c>
      <c r="L73" t="s">
        <v>103</v>
      </c>
      <c r="M73">
        <v>1242.4683375</v>
      </c>
      <c r="N73">
        <v>0</v>
      </c>
      <c r="O73" t="s">
        <v>79</v>
      </c>
      <c r="P73" s="39">
        <v>44334.054136608793</v>
      </c>
      <c r="Q73">
        <v>5805203</v>
      </c>
      <c r="R73" t="s">
        <v>74</v>
      </c>
      <c r="S73" s="4">
        <v>33.320920919999999</v>
      </c>
      <c r="T73">
        <v>68.422444960000007</v>
      </c>
      <c r="U73">
        <v>68.422444960000007</v>
      </c>
      <c r="V73">
        <v>2279.89887757</v>
      </c>
      <c r="W73">
        <v>2279.89887757</v>
      </c>
      <c r="X73">
        <v>0</v>
      </c>
      <c r="Y73">
        <v>5313.2467573399999</v>
      </c>
      <c r="Z73">
        <v>5313.2467573399999</v>
      </c>
      <c r="AA73">
        <v>0</v>
      </c>
      <c r="AB73">
        <v>0</v>
      </c>
      <c r="AC73" t="s">
        <v>84</v>
      </c>
      <c r="AD73" s="39">
        <v>42736</v>
      </c>
    </row>
    <row r="74" spans="1:30" x14ac:dyDescent="0.25">
      <c r="A74">
        <v>520721</v>
      </c>
      <c r="B74" t="s">
        <v>124</v>
      </c>
      <c r="C74">
        <v>2017</v>
      </c>
      <c r="D74">
        <v>2</v>
      </c>
      <c r="E74" t="s">
        <v>87</v>
      </c>
      <c r="F74" t="s">
        <v>84</v>
      </c>
      <c r="G74" t="s">
        <v>84</v>
      </c>
      <c r="H74" t="s">
        <v>25</v>
      </c>
      <c r="I74" t="s">
        <v>25</v>
      </c>
      <c r="J74" t="s">
        <v>101</v>
      </c>
      <c r="K74" t="s">
        <v>88</v>
      </c>
      <c r="L74" t="s">
        <v>103</v>
      </c>
      <c r="M74">
        <v>1561.42030755</v>
      </c>
      <c r="N74">
        <v>0</v>
      </c>
      <c r="O74" t="s">
        <v>79</v>
      </c>
      <c r="P74" s="39">
        <v>44330.100813923607</v>
      </c>
      <c r="Q74">
        <v>4802848</v>
      </c>
      <c r="R74" t="s">
        <v>74</v>
      </c>
      <c r="S74" s="4">
        <v>41.874678830000001</v>
      </c>
      <c r="T74">
        <v>68.422444960000007</v>
      </c>
      <c r="U74">
        <v>68.422444960000007</v>
      </c>
      <c r="V74">
        <v>2865.1679074399999</v>
      </c>
      <c r="W74">
        <v>2865.1679074399999</v>
      </c>
      <c r="X74">
        <v>0</v>
      </c>
      <c r="Y74">
        <v>5313.2467573399999</v>
      </c>
      <c r="Z74">
        <v>5313.2467573399999</v>
      </c>
      <c r="AA74">
        <v>0</v>
      </c>
      <c r="AB74">
        <v>0</v>
      </c>
      <c r="AC74" t="s">
        <v>84</v>
      </c>
      <c r="AD74" s="39">
        <v>42767</v>
      </c>
    </row>
    <row r="75" spans="1:30" x14ac:dyDescent="0.25">
      <c r="A75">
        <v>530744</v>
      </c>
      <c r="B75" t="s">
        <v>125</v>
      </c>
      <c r="C75">
        <v>2017</v>
      </c>
      <c r="D75">
        <v>3</v>
      </c>
      <c r="E75" t="s">
        <v>87</v>
      </c>
      <c r="F75" t="s">
        <v>84</v>
      </c>
      <c r="G75" t="s">
        <v>84</v>
      </c>
      <c r="H75" t="s">
        <v>25</v>
      </c>
      <c r="I75" t="s">
        <v>25</v>
      </c>
      <c r="J75" t="s">
        <v>101</v>
      </c>
      <c r="K75" t="s">
        <v>88</v>
      </c>
      <c r="L75" t="s">
        <v>103</v>
      </c>
      <c r="M75">
        <v>1611.96951592</v>
      </c>
      <c r="N75">
        <v>0</v>
      </c>
      <c r="O75" t="s">
        <v>79</v>
      </c>
      <c r="P75" s="39">
        <v>44330.101799884258</v>
      </c>
      <c r="Q75">
        <v>4888357</v>
      </c>
      <c r="R75" t="s">
        <v>74</v>
      </c>
      <c r="S75" s="4">
        <v>43.230323980000001</v>
      </c>
      <c r="T75">
        <v>68.422444960000007</v>
      </c>
      <c r="U75">
        <v>68.422444960000007</v>
      </c>
      <c r="V75">
        <v>2957.9244630399999</v>
      </c>
      <c r="W75">
        <v>2957.9244630399999</v>
      </c>
      <c r="X75">
        <v>0</v>
      </c>
      <c r="Y75">
        <v>5313.2467573399999</v>
      </c>
      <c r="Z75">
        <v>5313.2467573399999</v>
      </c>
      <c r="AA75">
        <v>0</v>
      </c>
      <c r="AB75">
        <v>0</v>
      </c>
      <c r="AC75" t="s">
        <v>84</v>
      </c>
      <c r="AD75" s="39">
        <v>42795</v>
      </c>
    </row>
    <row r="76" spans="1:30" x14ac:dyDescent="0.25">
      <c r="A76">
        <v>520699</v>
      </c>
      <c r="B76" t="s">
        <v>124</v>
      </c>
      <c r="C76">
        <v>2017</v>
      </c>
      <c r="D76">
        <v>2</v>
      </c>
      <c r="E76" t="s">
        <v>85</v>
      </c>
      <c r="F76" t="s">
        <v>84</v>
      </c>
      <c r="G76" t="s">
        <v>84</v>
      </c>
      <c r="H76" t="s">
        <v>25</v>
      </c>
      <c r="I76" t="s">
        <v>25</v>
      </c>
      <c r="J76" t="s">
        <v>101</v>
      </c>
      <c r="K76" t="s">
        <v>86</v>
      </c>
      <c r="L76" t="s">
        <v>103</v>
      </c>
      <c r="M76">
        <v>5836.6764009500002</v>
      </c>
      <c r="N76">
        <v>0</v>
      </c>
      <c r="O76" t="s">
        <v>79</v>
      </c>
      <c r="P76" s="39">
        <v>44330.100813229168</v>
      </c>
      <c r="Q76">
        <v>4802804</v>
      </c>
      <c r="R76" t="s">
        <v>74</v>
      </c>
      <c r="S76" s="4">
        <v>86.758815260000006</v>
      </c>
      <c r="T76">
        <v>68.422444960000007</v>
      </c>
      <c r="U76">
        <v>68.422444960000007</v>
      </c>
      <c r="V76">
        <v>5936.2502620400001</v>
      </c>
      <c r="W76">
        <v>5936.2502620400001</v>
      </c>
      <c r="X76">
        <v>0</v>
      </c>
      <c r="Y76">
        <v>5313.2467573399999</v>
      </c>
      <c r="Z76">
        <v>5313.2467573399999</v>
      </c>
      <c r="AA76">
        <v>0</v>
      </c>
      <c r="AB76">
        <v>0</v>
      </c>
      <c r="AC76" t="s">
        <v>84</v>
      </c>
      <c r="AD76" s="39">
        <v>42767</v>
      </c>
    </row>
    <row r="77" spans="1:30" x14ac:dyDescent="0.25">
      <c r="A77">
        <v>520743</v>
      </c>
      <c r="B77" t="s">
        <v>124</v>
      </c>
      <c r="C77">
        <v>2017</v>
      </c>
      <c r="D77">
        <v>2</v>
      </c>
      <c r="E77" t="s">
        <v>89</v>
      </c>
      <c r="F77" t="s">
        <v>84</v>
      </c>
      <c r="G77" t="s">
        <v>84</v>
      </c>
      <c r="H77" t="s">
        <v>25</v>
      </c>
      <c r="I77" t="s">
        <v>25</v>
      </c>
      <c r="J77" t="s">
        <v>101</v>
      </c>
      <c r="K77" t="s">
        <v>90</v>
      </c>
      <c r="L77" t="s">
        <v>103</v>
      </c>
      <c r="M77">
        <v>1936.6982957099999</v>
      </c>
      <c r="N77">
        <v>0</v>
      </c>
      <c r="O77" t="s">
        <v>79</v>
      </c>
      <c r="P77" s="39">
        <v>44330.100814583333</v>
      </c>
      <c r="Q77">
        <v>4802892</v>
      </c>
      <c r="R77" t="s">
        <v>74</v>
      </c>
      <c r="S77" s="4">
        <v>51.13375035</v>
      </c>
      <c r="T77">
        <v>68.422444960000007</v>
      </c>
      <c r="U77">
        <v>68.422444960000007</v>
      </c>
      <c r="V77">
        <v>3498.69621861</v>
      </c>
      <c r="W77">
        <v>3498.69621861</v>
      </c>
      <c r="X77">
        <v>0</v>
      </c>
      <c r="Y77">
        <v>5313.2467573399999</v>
      </c>
      <c r="Z77">
        <v>5313.2467573399999</v>
      </c>
      <c r="AA77">
        <v>0</v>
      </c>
      <c r="AB77">
        <v>0</v>
      </c>
      <c r="AC77" t="s">
        <v>84</v>
      </c>
      <c r="AD77" s="39">
        <v>42767</v>
      </c>
    </row>
    <row r="78" spans="1:30" x14ac:dyDescent="0.25">
      <c r="A78">
        <v>530722</v>
      </c>
      <c r="B78" t="s">
        <v>125</v>
      </c>
      <c r="C78">
        <v>2017</v>
      </c>
      <c r="D78">
        <v>3</v>
      </c>
      <c r="E78" t="s">
        <v>85</v>
      </c>
      <c r="F78" t="s">
        <v>84</v>
      </c>
      <c r="G78" t="s">
        <v>84</v>
      </c>
      <c r="H78" t="s">
        <v>25</v>
      </c>
      <c r="I78" t="s">
        <v>25</v>
      </c>
      <c r="J78" t="s">
        <v>101</v>
      </c>
      <c r="K78" t="s">
        <v>86</v>
      </c>
      <c r="L78" t="s">
        <v>103</v>
      </c>
      <c r="M78">
        <v>6064.1041034099999</v>
      </c>
      <c r="N78">
        <v>0</v>
      </c>
      <c r="O78" t="s">
        <v>79</v>
      </c>
      <c r="P78" s="39">
        <v>44330.101799189812</v>
      </c>
      <c r="Q78">
        <v>4888313</v>
      </c>
      <c r="R78" t="s">
        <v>74</v>
      </c>
      <c r="S78" s="4">
        <v>90.139396379999994</v>
      </c>
      <c r="T78">
        <v>68.422444960000007</v>
      </c>
      <c r="U78">
        <v>68.422444960000007</v>
      </c>
      <c r="V78">
        <v>6167.5578874000003</v>
      </c>
      <c r="W78">
        <v>6167.5578874000003</v>
      </c>
      <c r="X78">
        <v>0</v>
      </c>
      <c r="Y78">
        <v>5313.2467573399999</v>
      </c>
      <c r="Z78">
        <v>5313.2467573399999</v>
      </c>
      <c r="AA78">
        <v>0</v>
      </c>
      <c r="AB78">
        <v>0</v>
      </c>
      <c r="AC78" t="s">
        <v>84</v>
      </c>
      <c r="AD78" s="39">
        <v>42795</v>
      </c>
    </row>
    <row r="79" spans="1:30" x14ac:dyDescent="0.25">
      <c r="A79">
        <v>530766</v>
      </c>
      <c r="B79" t="s">
        <v>125</v>
      </c>
      <c r="C79">
        <v>2017</v>
      </c>
      <c r="D79">
        <v>3</v>
      </c>
      <c r="E79" t="s">
        <v>89</v>
      </c>
      <c r="F79" t="s">
        <v>84</v>
      </c>
      <c r="G79" t="s">
        <v>84</v>
      </c>
      <c r="H79" t="s">
        <v>25</v>
      </c>
      <c r="I79" t="s">
        <v>25</v>
      </c>
      <c r="J79" t="s">
        <v>101</v>
      </c>
      <c r="K79" t="s">
        <v>90</v>
      </c>
      <c r="L79" t="s">
        <v>103</v>
      </c>
      <c r="M79">
        <v>1971.01751208</v>
      </c>
      <c r="N79">
        <v>0</v>
      </c>
      <c r="O79" t="s">
        <v>79</v>
      </c>
      <c r="P79" s="39">
        <v>44330.101800497687</v>
      </c>
      <c r="Q79">
        <v>4888401</v>
      </c>
      <c r="R79" t="s">
        <v>74</v>
      </c>
      <c r="S79" s="4">
        <v>52.03986476</v>
      </c>
      <c r="T79">
        <v>68.422444960000007</v>
      </c>
      <c r="U79">
        <v>68.422444960000007</v>
      </c>
      <c r="V79">
        <v>3560.6947822400002</v>
      </c>
      <c r="W79">
        <v>3560.6947822400002</v>
      </c>
      <c r="X79">
        <v>0</v>
      </c>
      <c r="Y79">
        <v>5313.2467573399999</v>
      </c>
      <c r="Z79">
        <v>5313.2467573399999</v>
      </c>
      <c r="AA79">
        <v>0</v>
      </c>
      <c r="AB79">
        <v>0</v>
      </c>
      <c r="AC79" t="s">
        <v>84</v>
      </c>
      <c r="AD79" s="39">
        <v>42795</v>
      </c>
    </row>
    <row r="80" spans="1:30" x14ac:dyDescent="0.25">
      <c r="A80">
        <v>51320</v>
      </c>
      <c r="B80" t="s">
        <v>117</v>
      </c>
      <c r="C80">
        <v>2018</v>
      </c>
      <c r="D80">
        <v>2</v>
      </c>
      <c r="E80" t="s">
        <v>85</v>
      </c>
      <c r="F80" t="s">
        <v>84</v>
      </c>
      <c r="G80" t="s">
        <v>84</v>
      </c>
      <c r="H80" t="s">
        <v>25</v>
      </c>
      <c r="I80" t="s">
        <v>25</v>
      </c>
      <c r="J80" t="s">
        <v>101</v>
      </c>
      <c r="K80" t="s">
        <v>86</v>
      </c>
      <c r="L80" t="s">
        <v>103</v>
      </c>
      <c r="M80">
        <v>2992.3278786400001</v>
      </c>
      <c r="N80">
        <v>0</v>
      </c>
      <c r="O80" t="s">
        <v>79</v>
      </c>
      <c r="P80" s="39">
        <v>44269.843124270832</v>
      </c>
      <c r="Q80">
        <v>446369</v>
      </c>
      <c r="R80" t="s">
        <v>82</v>
      </c>
      <c r="S80" s="4">
        <v>3055.02337317</v>
      </c>
      <c r="T80">
        <v>65.140487980000003</v>
      </c>
      <c r="U80">
        <v>65.140487980000003</v>
      </c>
      <c r="V80">
        <v>199005.71332089</v>
      </c>
      <c r="W80">
        <v>199005.71332089</v>
      </c>
      <c r="X80">
        <v>0</v>
      </c>
      <c r="Y80">
        <v>5346.7824202000002</v>
      </c>
      <c r="Z80">
        <v>5346.7824202000002</v>
      </c>
      <c r="AA80">
        <v>0</v>
      </c>
      <c r="AB80">
        <v>0</v>
      </c>
      <c r="AC80" t="s">
        <v>84</v>
      </c>
      <c r="AD80" s="39">
        <v>43132</v>
      </c>
    </row>
    <row r="81" spans="1:30" x14ac:dyDescent="0.25">
      <c r="A81">
        <v>51364</v>
      </c>
      <c r="B81" t="s">
        <v>117</v>
      </c>
      <c r="C81">
        <v>2018</v>
      </c>
      <c r="D81">
        <v>2</v>
      </c>
      <c r="E81" t="s">
        <v>89</v>
      </c>
      <c r="F81" t="s">
        <v>84</v>
      </c>
      <c r="G81" t="s">
        <v>84</v>
      </c>
      <c r="H81" t="s">
        <v>25</v>
      </c>
      <c r="I81" t="s">
        <v>25</v>
      </c>
      <c r="J81" t="s">
        <v>101</v>
      </c>
      <c r="K81" t="s">
        <v>90</v>
      </c>
      <c r="L81" t="s">
        <v>103</v>
      </c>
      <c r="M81">
        <v>1043.8948492300001</v>
      </c>
      <c r="N81">
        <v>0</v>
      </c>
      <c r="O81" t="s">
        <v>79</v>
      </c>
      <c r="P81" s="39">
        <v>44269.843125613428</v>
      </c>
      <c r="Q81">
        <v>446457</v>
      </c>
      <c r="R81" t="s">
        <v>82</v>
      </c>
      <c r="S81" s="4">
        <v>1053.7649853099999</v>
      </c>
      <c r="T81">
        <v>65.140487980000003</v>
      </c>
      <c r="U81">
        <v>65.140487980000003</v>
      </c>
      <c r="V81">
        <v>68642.765360000005</v>
      </c>
      <c r="W81">
        <v>68642.765360000005</v>
      </c>
      <c r="X81">
        <v>0</v>
      </c>
      <c r="Y81">
        <v>5346.7824202000002</v>
      </c>
      <c r="Z81">
        <v>5346.7824202000002</v>
      </c>
      <c r="AA81">
        <v>0</v>
      </c>
      <c r="AB81">
        <v>0</v>
      </c>
      <c r="AC81" t="s">
        <v>84</v>
      </c>
      <c r="AD81" s="39">
        <v>43132</v>
      </c>
    </row>
    <row r="82" spans="1:30" x14ac:dyDescent="0.25">
      <c r="A82">
        <v>51342</v>
      </c>
      <c r="B82" t="s">
        <v>117</v>
      </c>
      <c r="C82">
        <v>2018</v>
      </c>
      <c r="D82">
        <v>2</v>
      </c>
      <c r="E82" t="s">
        <v>87</v>
      </c>
      <c r="F82" t="s">
        <v>84</v>
      </c>
      <c r="G82" t="s">
        <v>84</v>
      </c>
      <c r="H82" t="s">
        <v>25</v>
      </c>
      <c r="I82" t="s">
        <v>25</v>
      </c>
      <c r="J82" t="s">
        <v>101</v>
      </c>
      <c r="K82" t="s">
        <v>88</v>
      </c>
      <c r="L82" t="s">
        <v>103</v>
      </c>
      <c r="M82">
        <v>828.89142677999996</v>
      </c>
      <c r="N82">
        <v>0</v>
      </c>
      <c r="O82" t="s">
        <v>79</v>
      </c>
      <c r="P82" s="39">
        <v>44269.843124965279</v>
      </c>
      <c r="Q82">
        <v>446413</v>
      </c>
      <c r="R82" t="s">
        <v>82</v>
      </c>
      <c r="S82" s="4">
        <v>836.38526859000001</v>
      </c>
      <c r="T82">
        <v>65.140487980000003</v>
      </c>
      <c r="U82">
        <v>65.140487980000003</v>
      </c>
      <c r="V82">
        <v>54482.544536120004</v>
      </c>
      <c r="W82">
        <v>54482.544536120004</v>
      </c>
      <c r="X82">
        <v>0</v>
      </c>
      <c r="Y82">
        <v>5346.7824202000002</v>
      </c>
      <c r="Z82">
        <v>5346.7824202000002</v>
      </c>
      <c r="AA82">
        <v>0</v>
      </c>
      <c r="AB82">
        <v>0</v>
      </c>
      <c r="AC82" t="s">
        <v>84</v>
      </c>
      <c r="AD82" s="39">
        <v>43132</v>
      </c>
    </row>
    <row r="83" spans="1:30" x14ac:dyDescent="0.25">
      <c r="A83">
        <v>86397</v>
      </c>
      <c r="B83" t="s">
        <v>126</v>
      </c>
      <c r="C83">
        <v>2018</v>
      </c>
      <c r="D83">
        <v>6</v>
      </c>
      <c r="E83" t="s">
        <v>89</v>
      </c>
      <c r="F83" t="s">
        <v>84</v>
      </c>
      <c r="G83" t="s">
        <v>84</v>
      </c>
      <c r="H83" t="s">
        <v>25</v>
      </c>
      <c r="I83" t="s">
        <v>25</v>
      </c>
      <c r="J83" t="s">
        <v>101</v>
      </c>
      <c r="K83" t="s">
        <v>90</v>
      </c>
      <c r="L83" t="s">
        <v>103</v>
      </c>
      <c r="M83">
        <v>915.94283647999998</v>
      </c>
      <c r="N83">
        <v>0</v>
      </c>
      <c r="O83" t="s">
        <v>79</v>
      </c>
      <c r="P83" s="39">
        <v>44269.847218599527</v>
      </c>
      <c r="Q83">
        <v>783298</v>
      </c>
      <c r="R83" t="s">
        <v>74</v>
      </c>
      <c r="S83" s="4">
        <v>23.827126889999999</v>
      </c>
      <c r="T83">
        <v>66.698195769999998</v>
      </c>
      <c r="U83">
        <v>66.698195769999998</v>
      </c>
      <c r="V83">
        <v>1589.2263740799999</v>
      </c>
      <c r="W83">
        <v>1589.2263740799999</v>
      </c>
      <c r="X83">
        <v>0</v>
      </c>
      <c r="Y83">
        <v>5374.3877419800001</v>
      </c>
      <c r="Z83">
        <v>5374.3877419800001</v>
      </c>
      <c r="AA83">
        <v>0</v>
      </c>
      <c r="AB83">
        <v>0</v>
      </c>
      <c r="AC83" t="s">
        <v>84</v>
      </c>
      <c r="AD83" s="39">
        <v>43252</v>
      </c>
    </row>
    <row r="84" spans="1:30" x14ac:dyDescent="0.25">
      <c r="A84">
        <v>86373</v>
      </c>
      <c r="B84" t="s">
        <v>126</v>
      </c>
      <c r="C84">
        <v>2018</v>
      </c>
      <c r="D84">
        <v>6</v>
      </c>
      <c r="E84" t="s">
        <v>87</v>
      </c>
      <c r="F84" t="s">
        <v>84</v>
      </c>
      <c r="G84" t="s">
        <v>84</v>
      </c>
      <c r="H84" t="s">
        <v>25</v>
      </c>
      <c r="I84" t="s">
        <v>25</v>
      </c>
      <c r="J84" t="s">
        <v>101</v>
      </c>
      <c r="K84" t="s">
        <v>88</v>
      </c>
      <c r="L84" t="s">
        <v>103</v>
      </c>
      <c r="M84">
        <v>349.81857975999998</v>
      </c>
      <c r="N84">
        <v>0</v>
      </c>
      <c r="O84" t="s">
        <v>79</v>
      </c>
      <c r="P84" s="39">
        <v>44269.847217708331</v>
      </c>
      <c r="Q84">
        <v>783250</v>
      </c>
      <c r="R84" t="s">
        <v>74</v>
      </c>
      <c r="S84" s="4">
        <v>9.2434089799999999</v>
      </c>
      <c r="T84">
        <v>66.698195769999998</v>
      </c>
      <c r="U84">
        <v>66.698195769999998</v>
      </c>
      <c r="V84">
        <v>616.51870140000005</v>
      </c>
      <c r="W84">
        <v>616.51870140000005</v>
      </c>
      <c r="X84">
        <v>0</v>
      </c>
      <c r="Y84">
        <v>5374.3877419800001</v>
      </c>
      <c r="Z84">
        <v>5374.3877419800001</v>
      </c>
      <c r="AA84">
        <v>0</v>
      </c>
      <c r="AB84">
        <v>0</v>
      </c>
      <c r="AC84" t="s">
        <v>84</v>
      </c>
      <c r="AD84" s="39">
        <v>43252</v>
      </c>
    </row>
    <row r="85" spans="1:30" x14ac:dyDescent="0.25">
      <c r="A85">
        <v>86349</v>
      </c>
      <c r="B85" t="s">
        <v>126</v>
      </c>
      <c r="C85">
        <v>2018</v>
      </c>
      <c r="D85">
        <v>6</v>
      </c>
      <c r="E85" t="s">
        <v>85</v>
      </c>
      <c r="F85" t="s">
        <v>84</v>
      </c>
      <c r="G85" t="s">
        <v>84</v>
      </c>
      <c r="H85" t="s">
        <v>25</v>
      </c>
      <c r="I85" t="s">
        <v>25</v>
      </c>
      <c r="J85" t="s">
        <v>101</v>
      </c>
      <c r="K85" t="s">
        <v>86</v>
      </c>
      <c r="L85" t="s">
        <v>103</v>
      </c>
      <c r="M85">
        <v>1943.0653741900001</v>
      </c>
      <c r="N85">
        <v>0</v>
      </c>
      <c r="O85" t="s">
        <v>79</v>
      </c>
      <c r="P85" s="39">
        <v>44269.847216898153</v>
      </c>
      <c r="Q85">
        <v>783202</v>
      </c>
      <c r="R85" t="s">
        <v>74</v>
      </c>
      <c r="S85" s="4">
        <v>28.457257309999999</v>
      </c>
      <c r="T85">
        <v>66.698195769999998</v>
      </c>
      <c r="U85">
        <v>66.698195769999998</v>
      </c>
      <c r="V85">
        <v>1898.04771893</v>
      </c>
      <c r="W85">
        <v>1898.04771893</v>
      </c>
      <c r="X85">
        <v>0</v>
      </c>
      <c r="Y85">
        <v>5374.3877419800001</v>
      </c>
      <c r="Z85">
        <v>5374.3877419800001</v>
      </c>
      <c r="AA85">
        <v>0</v>
      </c>
      <c r="AB85">
        <v>0</v>
      </c>
      <c r="AC85" t="s">
        <v>84</v>
      </c>
      <c r="AD85" s="39">
        <v>43252</v>
      </c>
    </row>
    <row r="86" spans="1:30" x14ac:dyDescent="0.25">
      <c r="A86">
        <v>352730</v>
      </c>
      <c r="B86" t="s">
        <v>120</v>
      </c>
      <c r="C86">
        <v>2018</v>
      </c>
      <c r="D86">
        <v>5</v>
      </c>
      <c r="E86" t="s">
        <v>89</v>
      </c>
      <c r="F86" t="s">
        <v>84</v>
      </c>
      <c r="G86" t="s">
        <v>84</v>
      </c>
      <c r="H86" t="s">
        <v>25</v>
      </c>
      <c r="I86" t="s">
        <v>25</v>
      </c>
      <c r="J86" t="s">
        <v>101</v>
      </c>
      <c r="K86" t="s">
        <v>90</v>
      </c>
      <c r="L86" t="s">
        <v>103</v>
      </c>
      <c r="M86">
        <v>932.17317322999997</v>
      </c>
      <c r="N86">
        <v>0</v>
      </c>
      <c r="O86" t="s">
        <v>79</v>
      </c>
      <c r="P86" s="39">
        <v>44269.884375000001</v>
      </c>
      <c r="Q86">
        <v>3336258</v>
      </c>
      <c r="R86" t="s">
        <v>82</v>
      </c>
      <c r="S86" s="4">
        <v>937.04445700999997</v>
      </c>
      <c r="T86">
        <v>67.803780119999999</v>
      </c>
      <c r="U86">
        <v>67.803780119999999</v>
      </c>
      <c r="V86">
        <v>63535.156321160001</v>
      </c>
      <c r="W86">
        <v>63535.156321160001</v>
      </c>
      <c r="X86">
        <v>0</v>
      </c>
      <c r="Y86">
        <v>5390.3844740900004</v>
      </c>
      <c r="Z86">
        <v>5390.3844740900004</v>
      </c>
      <c r="AA86">
        <v>0</v>
      </c>
      <c r="AB86">
        <v>0</v>
      </c>
      <c r="AC86" t="s">
        <v>84</v>
      </c>
      <c r="AD86" s="39">
        <v>43221</v>
      </c>
    </row>
    <row r="87" spans="1:30" x14ac:dyDescent="0.25">
      <c r="A87">
        <v>352707</v>
      </c>
      <c r="B87" t="s">
        <v>120</v>
      </c>
      <c r="C87">
        <v>2018</v>
      </c>
      <c r="D87">
        <v>5</v>
      </c>
      <c r="E87" t="s">
        <v>87</v>
      </c>
      <c r="F87" t="s">
        <v>84</v>
      </c>
      <c r="G87" t="s">
        <v>84</v>
      </c>
      <c r="H87" t="s">
        <v>25</v>
      </c>
      <c r="I87" t="s">
        <v>25</v>
      </c>
      <c r="J87" t="s">
        <v>101</v>
      </c>
      <c r="K87" t="s">
        <v>88</v>
      </c>
      <c r="L87" t="s">
        <v>103</v>
      </c>
      <c r="M87">
        <v>393.55599067000003</v>
      </c>
      <c r="N87">
        <v>0</v>
      </c>
      <c r="O87" t="s">
        <v>79</v>
      </c>
      <c r="P87" s="39">
        <v>44269.884374386573</v>
      </c>
      <c r="Q87">
        <v>3336212</v>
      </c>
      <c r="R87" t="s">
        <v>82</v>
      </c>
      <c r="S87" s="4">
        <v>395.45023814000001</v>
      </c>
      <c r="T87">
        <v>67.803780119999999</v>
      </c>
      <c r="U87">
        <v>67.803780119999999</v>
      </c>
      <c r="V87">
        <v>26813.02099343</v>
      </c>
      <c r="W87">
        <v>26813.02099343</v>
      </c>
      <c r="X87">
        <v>0</v>
      </c>
      <c r="Y87">
        <v>5390.3844740900004</v>
      </c>
      <c r="Z87">
        <v>5390.3844740900004</v>
      </c>
      <c r="AA87">
        <v>0</v>
      </c>
      <c r="AB87">
        <v>0</v>
      </c>
      <c r="AC87" t="s">
        <v>84</v>
      </c>
      <c r="AD87" s="39">
        <v>43221</v>
      </c>
    </row>
    <row r="88" spans="1:30" x14ac:dyDescent="0.25">
      <c r="A88">
        <v>352684</v>
      </c>
      <c r="B88" t="s">
        <v>120</v>
      </c>
      <c r="C88">
        <v>2018</v>
      </c>
      <c r="D88">
        <v>5</v>
      </c>
      <c r="E88" t="s">
        <v>85</v>
      </c>
      <c r="F88" t="s">
        <v>84</v>
      </c>
      <c r="G88" t="s">
        <v>84</v>
      </c>
      <c r="H88" t="s">
        <v>25</v>
      </c>
      <c r="I88" t="s">
        <v>25</v>
      </c>
      <c r="J88" t="s">
        <v>101</v>
      </c>
      <c r="K88" t="s">
        <v>86</v>
      </c>
      <c r="L88" t="s">
        <v>103</v>
      </c>
      <c r="M88">
        <v>2108.0789959600002</v>
      </c>
      <c r="N88">
        <v>0</v>
      </c>
      <c r="O88" t="s">
        <v>79</v>
      </c>
      <c r="P88" s="39">
        <v>44269.884373807872</v>
      </c>
      <c r="Q88">
        <v>3336166</v>
      </c>
      <c r="R88" t="s">
        <v>82</v>
      </c>
      <c r="S88" s="4">
        <v>2143.2302299799999</v>
      </c>
      <c r="T88">
        <v>67.803780119999999</v>
      </c>
      <c r="U88">
        <v>67.803780119999999</v>
      </c>
      <c r="V88">
        <v>145319.11124996</v>
      </c>
      <c r="W88">
        <v>145319.11124996</v>
      </c>
      <c r="X88">
        <v>0</v>
      </c>
      <c r="Y88">
        <v>5390.3844740900004</v>
      </c>
      <c r="Z88">
        <v>5390.3844740900004</v>
      </c>
      <c r="AA88">
        <v>0</v>
      </c>
      <c r="AB88">
        <v>0</v>
      </c>
      <c r="AC88" t="s">
        <v>84</v>
      </c>
      <c r="AD88" s="39">
        <v>43221</v>
      </c>
    </row>
    <row r="89" spans="1:30" x14ac:dyDescent="0.25">
      <c r="A89">
        <v>144856</v>
      </c>
      <c r="B89" t="s">
        <v>115</v>
      </c>
      <c r="C89">
        <v>2018</v>
      </c>
      <c r="D89">
        <v>11</v>
      </c>
      <c r="E89" t="s">
        <v>87</v>
      </c>
      <c r="F89" t="s">
        <v>84</v>
      </c>
      <c r="G89" t="s">
        <v>84</v>
      </c>
      <c r="H89" t="s">
        <v>25</v>
      </c>
      <c r="I89" t="s">
        <v>25</v>
      </c>
      <c r="J89" t="s">
        <v>101</v>
      </c>
      <c r="K89" t="s">
        <v>88</v>
      </c>
      <c r="L89" t="s">
        <v>103</v>
      </c>
      <c r="M89">
        <v>527.43779992999998</v>
      </c>
      <c r="N89">
        <v>0</v>
      </c>
      <c r="O89" t="s">
        <v>80</v>
      </c>
      <c r="P89" s="39">
        <v>44269.854263738423</v>
      </c>
      <c r="Q89">
        <v>1337062</v>
      </c>
      <c r="R89" t="s">
        <v>26</v>
      </c>
      <c r="S89" s="4">
        <v>211.65431179999999</v>
      </c>
      <c r="T89">
        <v>66.899426660000003</v>
      </c>
      <c r="U89">
        <v>66.899426660000003</v>
      </c>
      <c r="V89">
        <v>14159.552110279999</v>
      </c>
      <c r="W89">
        <v>14159.552110279999</v>
      </c>
      <c r="X89">
        <v>0</v>
      </c>
      <c r="Y89">
        <v>5399.4294652999997</v>
      </c>
      <c r="Z89">
        <v>5399.4294652999997</v>
      </c>
      <c r="AA89">
        <v>0</v>
      </c>
      <c r="AB89">
        <v>0</v>
      </c>
      <c r="AC89" t="s">
        <v>84</v>
      </c>
      <c r="AD89" s="39">
        <v>43405</v>
      </c>
    </row>
    <row r="90" spans="1:30" x14ac:dyDescent="0.25">
      <c r="A90">
        <v>144832</v>
      </c>
      <c r="B90" t="s">
        <v>115</v>
      </c>
      <c r="C90">
        <v>2018</v>
      </c>
      <c r="D90">
        <v>11</v>
      </c>
      <c r="E90" t="s">
        <v>85</v>
      </c>
      <c r="F90" t="s">
        <v>84</v>
      </c>
      <c r="G90" t="s">
        <v>84</v>
      </c>
      <c r="H90" t="s">
        <v>25</v>
      </c>
      <c r="I90" t="s">
        <v>25</v>
      </c>
      <c r="J90" t="s">
        <v>101</v>
      </c>
      <c r="K90" t="s">
        <v>86</v>
      </c>
      <c r="L90" t="s">
        <v>103</v>
      </c>
      <c r="M90">
        <v>1939.5207746900001</v>
      </c>
      <c r="N90">
        <v>0</v>
      </c>
      <c r="O90" t="s">
        <v>80</v>
      </c>
      <c r="P90" s="39">
        <v>44269.854262534733</v>
      </c>
      <c r="Q90">
        <v>1336942</v>
      </c>
      <c r="R90" t="s">
        <v>26</v>
      </c>
      <c r="S90" s="4">
        <v>669.86920716999998</v>
      </c>
      <c r="T90">
        <v>66.899426660000003</v>
      </c>
      <c r="U90">
        <v>66.899426660000003</v>
      </c>
      <c r="V90">
        <v>44813.865899179997</v>
      </c>
      <c r="W90">
        <v>44813.865899179997</v>
      </c>
      <c r="X90">
        <v>0</v>
      </c>
      <c r="Y90">
        <v>5399.4294652999997</v>
      </c>
      <c r="Z90">
        <v>5399.4294652999997</v>
      </c>
      <c r="AA90">
        <v>0</v>
      </c>
      <c r="AB90">
        <v>0</v>
      </c>
      <c r="AC90" t="s">
        <v>84</v>
      </c>
      <c r="AD90" s="39">
        <v>43405</v>
      </c>
    </row>
    <row r="91" spans="1:30" x14ac:dyDescent="0.25">
      <c r="A91">
        <v>119662</v>
      </c>
      <c r="B91" t="s">
        <v>113</v>
      </c>
      <c r="C91">
        <v>2018</v>
      </c>
      <c r="D91">
        <v>9</v>
      </c>
      <c r="E91" t="s">
        <v>89</v>
      </c>
      <c r="F91" t="s">
        <v>84</v>
      </c>
      <c r="G91" t="s">
        <v>84</v>
      </c>
      <c r="H91" t="s">
        <v>25</v>
      </c>
      <c r="I91" t="s">
        <v>25</v>
      </c>
      <c r="J91" t="s">
        <v>101</v>
      </c>
      <c r="K91" t="s">
        <v>90</v>
      </c>
      <c r="L91" t="s">
        <v>103</v>
      </c>
      <c r="M91">
        <v>843.05591856000001</v>
      </c>
      <c r="N91">
        <v>0</v>
      </c>
      <c r="O91" t="s">
        <v>80</v>
      </c>
      <c r="P91" s="39">
        <v>44269.851107986113</v>
      </c>
      <c r="Q91">
        <v>1081850</v>
      </c>
      <c r="R91" t="s">
        <v>26</v>
      </c>
      <c r="S91" s="4">
        <v>307.76787617000002</v>
      </c>
      <c r="T91">
        <v>66.899426660000003</v>
      </c>
      <c r="U91">
        <v>66.899426660000003</v>
      </c>
      <c r="V91">
        <v>20589.494461530001</v>
      </c>
      <c r="W91">
        <v>20589.494461530001</v>
      </c>
      <c r="X91">
        <v>0</v>
      </c>
      <c r="Y91">
        <v>5399.4294652999997</v>
      </c>
      <c r="Z91">
        <v>5399.4294652999997</v>
      </c>
      <c r="AA91">
        <v>0</v>
      </c>
      <c r="AB91">
        <v>0</v>
      </c>
      <c r="AC91" t="s">
        <v>84</v>
      </c>
      <c r="AD91" s="39">
        <v>43344</v>
      </c>
    </row>
    <row r="92" spans="1:30" x14ac:dyDescent="0.25">
      <c r="A92">
        <v>119614</v>
      </c>
      <c r="B92" t="s">
        <v>113</v>
      </c>
      <c r="C92">
        <v>2018</v>
      </c>
      <c r="D92">
        <v>9</v>
      </c>
      <c r="E92" t="s">
        <v>85</v>
      </c>
      <c r="F92" t="s">
        <v>84</v>
      </c>
      <c r="G92" t="s">
        <v>84</v>
      </c>
      <c r="H92" t="s">
        <v>25</v>
      </c>
      <c r="I92" t="s">
        <v>25</v>
      </c>
      <c r="J92" t="s">
        <v>101</v>
      </c>
      <c r="K92" t="s">
        <v>86</v>
      </c>
      <c r="L92" t="s">
        <v>103</v>
      </c>
      <c r="M92">
        <v>1439.52704135</v>
      </c>
      <c r="N92">
        <v>0</v>
      </c>
      <c r="O92" t="s">
        <v>80</v>
      </c>
      <c r="P92" s="39">
        <v>44269.851105011578</v>
      </c>
      <c r="Q92">
        <v>1081610</v>
      </c>
      <c r="R92" t="s">
        <v>26</v>
      </c>
      <c r="S92" s="4">
        <v>499.14103108</v>
      </c>
      <c r="T92">
        <v>66.899426660000003</v>
      </c>
      <c r="U92">
        <v>66.899426660000003</v>
      </c>
      <c r="V92">
        <v>33392.248803609997</v>
      </c>
      <c r="W92">
        <v>33392.248803609997</v>
      </c>
      <c r="X92">
        <v>0</v>
      </c>
      <c r="Y92">
        <v>5399.4294652999997</v>
      </c>
      <c r="Z92">
        <v>5399.4294652999997</v>
      </c>
      <c r="AA92">
        <v>0</v>
      </c>
      <c r="AB92">
        <v>0</v>
      </c>
      <c r="AC92" t="s">
        <v>84</v>
      </c>
      <c r="AD92" s="39">
        <v>43344</v>
      </c>
    </row>
    <row r="93" spans="1:30" x14ac:dyDescent="0.25">
      <c r="A93">
        <v>119638</v>
      </c>
      <c r="B93" t="s">
        <v>113</v>
      </c>
      <c r="C93">
        <v>2018</v>
      </c>
      <c r="D93">
        <v>9</v>
      </c>
      <c r="E93" t="s">
        <v>87</v>
      </c>
      <c r="F93" t="s">
        <v>84</v>
      </c>
      <c r="G93" t="s">
        <v>84</v>
      </c>
      <c r="H93" t="s">
        <v>25</v>
      </c>
      <c r="I93" t="s">
        <v>25</v>
      </c>
      <c r="J93" t="s">
        <v>101</v>
      </c>
      <c r="K93" t="s">
        <v>88</v>
      </c>
      <c r="L93" t="s">
        <v>103</v>
      </c>
      <c r="M93">
        <v>316.65874517999998</v>
      </c>
      <c r="N93">
        <v>0</v>
      </c>
      <c r="O93" t="s">
        <v>80</v>
      </c>
      <c r="P93" s="39">
        <v>44269.85110659722</v>
      </c>
      <c r="Q93">
        <v>1081730</v>
      </c>
      <c r="R93" t="s">
        <v>26</v>
      </c>
      <c r="S93" s="4">
        <v>127.07047511</v>
      </c>
      <c r="T93">
        <v>66.899426660000003</v>
      </c>
      <c r="U93">
        <v>66.899426660000003</v>
      </c>
      <c r="V93">
        <v>8500.9419308399993</v>
      </c>
      <c r="W93">
        <v>8500.9419308399993</v>
      </c>
      <c r="X93">
        <v>0</v>
      </c>
      <c r="Y93">
        <v>5399.4294652999997</v>
      </c>
      <c r="Z93">
        <v>5399.4294652999997</v>
      </c>
      <c r="AA93">
        <v>0</v>
      </c>
      <c r="AB93">
        <v>0</v>
      </c>
      <c r="AC93" t="s">
        <v>84</v>
      </c>
      <c r="AD93" s="39">
        <v>43344</v>
      </c>
    </row>
    <row r="94" spans="1:30" x14ac:dyDescent="0.25">
      <c r="A94">
        <v>130318</v>
      </c>
      <c r="B94" t="s">
        <v>114</v>
      </c>
      <c r="C94">
        <v>2018</v>
      </c>
      <c r="D94">
        <v>10</v>
      </c>
      <c r="E94" t="s">
        <v>87</v>
      </c>
      <c r="F94" t="s">
        <v>84</v>
      </c>
      <c r="G94" t="s">
        <v>84</v>
      </c>
      <c r="H94" t="s">
        <v>25</v>
      </c>
      <c r="I94" t="s">
        <v>25</v>
      </c>
      <c r="J94" t="s">
        <v>101</v>
      </c>
      <c r="K94" t="s">
        <v>88</v>
      </c>
      <c r="L94" t="s">
        <v>103</v>
      </c>
      <c r="M94">
        <v>333.40243543999998</v>
      </c>
      <c r="N94">
        <v>0</v>
      </c>
      <c r="O94" t="s">
        <v>80</v>
      </c>
      <c r="P94" s="39">
        <v>44269.852573611111</v>
      </c>
      <c r="Q94">
        <v>1193102</v>
      </c>
      <c r="R94" t="s">
        <v>26</v>
      </c>
      <c r="S94" s="4">
        <v>133.79030291999999</v>
      </c>
      <c r="T94">
        <v>66.899426660000003</v>
      </c>
      <c r="U94">
        <v>66.899426660000003</v>
      </c>
      <c r="V94">
        <v>8950.4945586600006</v>
      </c>
      <c r="W94">
        <v>8950.4945586600006</v>
      </c>
      <c r="X94">
        <v>0</v>
      </c>
      <c r="Y94">
        <v>5399.4294652999997</v>
      </c>
      <c r="Z94">
        <v>5399.4294652999997</v>
      </c>
      <c r="AA94">
        <v>0</v>
      </c>
      <c r="AB94">
        <v>0</v>
      </c>
      <c r="AC94" t="s">
        <v>84</v>
      </c>
      <c r="AD94" s="39">
        <v>43374</v>
      </c>
    </row>
    <row r="95" spans="1:30" x14ac:dyDescent="0.25">
      <c r="A95">
        <v>144880</v>
      </c>
      <c r="B95" t="s">
        <v>115</v>
      </c>
      <c r="C95">
        <v>2018</v>
      </c>
      <c r="D95">
        <v>11</v>
      </c>
      <c r="E95" t="s">
        <v>89</v>
      </c>
      <c r="F95" t="s">
        <v>84</v>
      </c>
      <c r="G95" t="s">
        <v>84</v>
      </c>
      <c r="H95" t="s">
        <v>25</v>
      </c>
      <c r="I95" t="s">
        <v>25</v>
      </c>
      <c r="J95" t="s">
        <v>101</v>
      </c>
      <c r="K95" t="s">
        <v>90</v>
      </c>
      <c r="L95" t="s">
        <v>103</v>
      </c>
      <c r="M95">
        <v>1036.3887642100001</v>
      </c>
      <c r="N95">
        <v>0</v>
      </c>
      <c r="O95" t="s">
        <v>80</v>
      </c>
      <c r="P95" s="39">
        <v>44269.854264965281</v>
      </c>
      <c r="Q95">
        <v>1337182</v>
      </c>
      <c r="R95" t="s">
        <v>26</v>
      </c>
      <c r="S95" s="4">
        <v>378.34138271</v>
      </c>
      <c r="T95">
        <v>66.899426660000003</v>
      </c>
      <c r="U95">
        <v>66.899426660000003</v>
      </c>
      <c r="V95">
        <v>25310.82158656</v>
      </c>
      <c r="W95">
        <v>25310.82158656</v>
      </c>
      <c r="X95">
        <v>0</v>
      </c>
      <c r="Y95">
        <v>5399.4294652999997</v>
      </c>
      <c r="Z95">
        <v>5399.4294652999997</v>
      </c>
      <c r="AA95">
        <v>0</v>
      </c>
      <c r="AB95">
        <v>0</v>
      </c>
      <c r="AC95" t="s">
        <v>84</v>
      </c>
      <c r="AD95" s="39">
        <v>43405</v>
      </c>
    </row>
    <row r="96" spans="1:30" x14ac:dyDescent="0.25">
      <c r="A96">
        <v>443785</v>
      </c>
      <c r="B96" t="s">
        <v>116</v>
      </c>
      <c r="C96">
        <v>2018</v>
      </c>
      <c r="D96">
        <v>12</v>
      </c>
      <c r="E96" t="s">
        <v>85</v>
      </c>
      <c r="F96" t="s">
        <v>84</v>
      </c>
      <c r="G96" t="s">
        <v>84</v>
      </c>
      <c r="H96" t="s">
        <v>25</v>
      </c>
      <c r="I96" t="s">
        <v>25</v>
      </c>
      <c r="J96" t="s">
        <v>101</v>
      </c>
      <c r="K96" t="s">
        <v>86</v>
      </c>
      <c r="L96" t="s">
        <v>103</v>
      </c>
      <c r="M96">
        <v>3041.3129330199999</v>
      </c>
      <c r="N96">
        <v>0</v>
      </c>
      <c r="O96" t="s">
        <v>80</v>
      </c>
      <c r="P96" s="39">
        <v>44284.514579629627</v>
      </c>
      <c r="Q96">
        <v>4215241</v>
      </c>
      <c r="R96" t="s">
        <v>26</v>
      </c>
      <c r="S96" s="4">
        <v>1050.40477513</v>
      </c>
      <c r="T96">
        <v>66.899426660000003</v>
      </c>
      <c r="U96">
        <v>66.899426660000003</v>
      </c>
      <c r="V96">
        <v>70271.477220639994</v>
      </c>
      <c r="W96">
        <v>70271.477220639994</v>
      </c>
      <c r="X96">
        <v>0</v>
      </c>
      <c r="Y96">
        <v>5399.4294652999997</v>
      </c>
      <c r="Z96">
        <v>5399.4294652999997</v>
      </c>
      <c r="AA96">
        <v>0</v>
      </c>
      <c r="AB96">
        <v>0</v>
      </c>
      <c r="AC96" t="s">
        <v>84</v>
      </c>
      <c r="AD96" s="39">
        <v>43435</v>
      </c>
    </row>
    <row r="97" spans="1:30" x14ac:dyDescent="0.25">
      <c r="A97">
        <v>130294</v>
      </c>
      <c r="B97" t="s">
        <v>114</v>
      </c>
      <c r="C97">
        <v>2018</v>
      </c>
      <c r="D97">
        <v>10</v>
      </c>
      <c r="E97" t="s">
        <v>85</v>
      </c>
      <c r="F97" t="s">
        <v>84</v>
      </c>
      <c r="G97" t="s">
        <v>84</v>
      </c>
      <c r="H97" t="s">
        <v>25</v>
      </c>
      <c r="I97" t="s">
        <v>25</v>
      </c>
      <c r="J97" t="s">
        <v>101</v>
      </c>
      <c r="K97" t="s">
        <v>86</v>
      </c>
      <c r="L97" t="s">
        <v>103</v>
      </c>
      <c r="M97">
        <v>1428.8615156599999</v>
      </c>
      <c r="N97">
        <v>0</v>
      </c>
      <c r="O97" t="s">
        <v>80</v>
      </c>
      <c r="P97" s="39">
        <v>44269.8525723727</v>
      </c>
      <c r="Q97">
        <v>1192982</v>
      </c>
      <c r="R97" t="s">
        <v>26</v>
      </c>
      <c r="S97" s="4">
        <v>493.49836471999998</v>
      </c>
      <c r="T97">
        <v>66.899426660000003</v>
      </c>
      <c r="U97">
        <v>66.899426660000003</v>
      </c>
      <c r="V97">
        <v>33014.757659089999</v>
      </c>
      <c r="W97">
        <v>33014.757659089999</v>
      </c>
      <c r="X97">
        <v>0</v>
      </c>
      <c r="Y97">
        <v>5399.4294652999997</v>
      </c>
      <c r="Z97">
        <v>5399.4294652999997</v>
      </c>
      <c r="AA97">
        <v>0</v>
      </c>
      <c r="AB97">
        <v>0</v>
      </c>
      <c r="AC97" t="s">
        <v>84</v>
      </c>
      <c r="AD97" s="39">
        <v>43374</v>
      </c>
    </row>
    <row r="98" spans="1:30" x14ac:dyDescent="0.25">
      <c r="A98">
        <v>443833</v>
      </c>
      <c r="B98" t="s">
        <v>116</v>
      </c>
      <c r="C98">
        <v>2018</v>
      </c>
      <c r="D98">
        <v>12</v>
      </c>
      <c r="E98" t="s">
        <v>89</v>
      </c>
      <c r="F98" t="s">
        <v>84</v>
      </c>
      <c r="G98" t="s">
        <v>84</v>
      </c>
      <c r="H98" t="s">
        <v>25</v>
      </c>
      <c r="I98" t="s">
        <v>25</v>
      </c>
      <c r="J98" t="s">
        <v>101</v>
      </c>
      <c r="K98" t="s">
        <v>90</v>
      </c>
      <c r="L98" t="s">
        <v>103</v>
      </c>
      <c r="M98">
        <v>1153.4816149200001</v>
      </c>
      <c r="N98">
        <v>0</v>
      </c>
      <c r="O98" t="s">
        <v>80</v>
      </c>
      <c r="P98" s="39">
        <v>44284.51458221065</v>
      </c>
      <c r="Q98">
        <v>4215481</v>
      </c>
      <c r="R98" t="s">
        <v>26</v>
      </c>
      <c r="S98" s="4">
        <v>421.08699379000001</v>
      </c>
      <c r="T98">
        <v>66.899426660000003</v>
      </c>
      <c r="U98">
        <v>66.899426660000003</v>
      </c>
      <c r="V98">
        <v>28170.478460229999</v>
      </c>
      <c r="W98">
        <v>28170.478460229999</v>
      </c>
      <c r="X98">
        <v>0</v>
      </c>
      <c r="Y98">
        <v>5399.4294652999997</v>
      </c>
      <c r="Z98">
        <v>5399.4294652999997</v>
      </c>
      <c r="AA98">
        <v>0</v>
      </c>
      <c r="AB98">
        <v>0</v>
      </c>
      <c r="AC98" t="s">
        <v>84</v>
      </c>
      <c r="AD98" s="39">
        <v>43435</v>
      </c>
    </row>
    <row r="99" spans="1:30" x14ac:dyDescent="0.25">
      <c r="A99">
        <v>130342</v>
      </c>
      <c r="B99" t="s">
        <v>114</v>
      </c>
      <c r="C99">
        <v>2018</v>
      </c>
      <c r="D99">
        <v>10</v>
      </c>
      <c r="E99" t="s">
        <v>89</v>
      </c>
      <c r="F99" t="s">
        <v>84</v>
      </c>
      <c r="G99" t="s">
        <v>84</v>
      </c>
      <c r="H99" t="s">
        <v>25</v>
      </c>
      <c r="I99" t="s">
        <v>25</v>
      </c>
      <c r="J99" t="s">
        <v>101</v>
      </c>
      <c r="K99" t="s">
        <v>90</v>
      </c>
      <c r="L99" t="s">
        <v>103</v>
      </c>
      <c r="M99">
        <v>879.43208655000001</v>
      </c>
      <c r="N99">
        <v>0</v>
      </c>
      <c r="O99" t="s">
        <v>80</v>
      </c>
      <c r="P99" s="39">
        <v>44269.852574803241</v>
      </c>
      <c r="Q99">
        <v>1193222</v>
      </c>
      <c r="R99" t="s">
        <v>26</v>
      </c>
      <c r="S99" s="4">
        <v>321.0431868</v>
      </c>
      <c r="T99">
        <v>66.899426660000003</v>
      </c>
      <c r="U99">
        <v>66.899426660000003</v>
      </c>
      <c r="V99">
        <v>21477.605131209999</v>
      </c>
      <c r="W99">
        <v>21477.605131209999</v>
      </c>
      <c r="X99">
        <v>0</v>
      </c>
      <c r="Y99">
        <v>5399.4294652999997</v>
      </c>
      <c r="Z99">
        <v>5399.4294652999997</v>
      </c>
      <c r="AA99">
        <v>0</v>
      </c>
      <c r="AB99">
        <v>0</v>
      </c>
      <c r="AC99" t="s">
        <v>84</v>
      </c>
      <c r="AD99" s="39">
        <v>43374</v>
      </c>
    </row>
    <row r="100" spans="1:30" x14ac:dyDescent="0.25">
      <c r="A100">
        <v>443809</v>
      </c>
      <c r="B100" t="s">
        <v>116</v>
      </c>
      <c r="C100">
        <v>2018</v>
      </c>
      <c r="D100">
        <v>12</v>
      </c>
      <c r="E100" t="s">
        <v>87</v>
      </c>
      <c r="F100" t="s">
        <v>84</v>
      </c>
      <c r="G100" t="s">
        <v>84</v>
      </c>
      <c r="H100" t="s">
        <v>25</v>
      </c>
      <c r="I100" t="s">
        <v>25</v>
      </c>
      <c r="J100" t="s">
        <v>101</v>
      </c>
      <c r="K100" t="s">
        <v>88</v>
      </c>
      <c r="L100" t="s">
        <v>103</v>
      </c>
      <c r="M100">
        <v>824.95046656</v>
      </c>
      <c r="N100">
        <v>0</v>
      </c>
      <c r="O100" t="s">
        <v>80</v>
      </c>
      <c r="P100" s="39">
        <v>44284.514580937503</v>
      </c>
      <c r="Q100">
        <v>4215361</v>
      </c>
      <c r="R100" t="s">
        <v>26</v>
      </c>
      <c r="S100" s="4">
        <v>331.04249125000001</v>
      </c>
      <c r="T100">
        <v>66.899426660000003</v>
      </c>
      <c r="U100">
        <v>66.899426660000003</v>
      </c>
      <c r="V100">
        <v>22146.552865940001</v>
      </c>
      <c r="W100">
        <v>22146.552865940001</v>
      </c>
      <c r="X100">
        <v>0</v>
      </c>
      <c r="Y100">
        <v>5399.4294652999997</v>
      </c>
      <c r="Z100">
        <v>5399.4294652999997</v>
      </c>
      <c r="AA100">
        <v>0</v>
      </c>
      <c r="AB100">
        <v>0</v>
      </c>
      <c r="AC100" t="s">
        <v>84</v>
      </c>
      <c r="AD100" s="39">
        <v>43435</v>
      </c>
    </row>
    <row r="101" spans="1:30" x14ac:dyDescent="0.25">
      <c r="A101">
        <v>63558</v>
      </c>
      <c r="B101" t="s">
        <v>118</v>
      </c>
      <c r="C101">
        <v>2018</v>
      </c>
      <c r="D101">
        <v>3</v>
      </c>
      <c r="E101" t="s">
        <v>85</v>
      </c>
      <c r="F101" t="s">
        <v>84</v>
      </c>
      <c r="G101" t="s">
        <v>84</v>
      </c>
      <c r="H101" t="s">
        <v>25</v>
      </c>
      <c r="I101" t="s">
        <v>25</v>
      </c>
      <c r="J101" t="s">
        <v>101</v>
      </c>
      <c r="K101" t="s">
        <v>86</v>
      </c>
      <c r="L101" t="s">
        <v>103</v>
      </c>
      <c r="M101">
        <v>2918.7091952800001</v>
      </c>
      <c r="N101">
        <v>0</v>
      </c>
      <c r="O101" t="s">
        <v>79</v>
      </c>
      <c r="P101" s="39">
        <v>44269.844469872682</v>
      </c>
      <c r="Q101">
        <v>560912</v>
      </c>
      <c r="R101" t="s">
        <v>82</v>
      </c>
      <c r="S101" s="4">
        <v>2958.8586119199999</v>
      </c>
      <c r="T101">
        <v>65.861918560000007</v>
      </c>
      <c r="U101">
        <v>65.861918560000007</v>
      </c>
      <c r="V101">
        <v>194876.10492243999</v>
      </c>
      <c r="W101">
        <v>194876.10492243999</v>
      </c>
      <c r="X101">
        <v>0</v>
      </c>
      <c r="Y101">
        <v>5405.9980086300002</v>
      </c>
      <c r="Z101">
        <v>5405.9980086300002</v>
      </c>
      <c r="AA101">
        <v>0</v>
      </c>
      <c r="AB101">
        <v>0</v>
      </c>
      <c r="AC101" t="s">
        <v>84</v>
      </c>
      <c r="AD101" s="39">
        <v>43160</v>
      </c>
    </row>
    <row r="102" spans="1:30" x14ac:dyDescent="0.25">
      <c r="A102">
        <v>63604</v>
      </c>
      <c r="B102" t="s">
        <v>118</v>
      </c>
      <c r="C102">
        <v>2018</v>
      </c>
      <c r="D102">
        <v>3</v>
      </c>
      <c r="E102" t="s">
        <v>89</v>
      </c>
      <c r="F102" t="s">
        <v>84</v>
      </c>
      <c r="G102" t="s">
        <v>84</v>
      </c>
      <c r="H102" t="s">
        <v>25</v>
      </c>
      <c r="I102" t="s">
        <v>25</v>
      </c>
      <c r="J102" t="s">
        <v>101</v>
      </c>
      <c r="K102" t="s">
        <v>90</v>
      </c>
      <c r="L102" t="s">
        <v>103</v>
      </c>
      <c r="M102">
        <v>1101.95310419</v>
      </c>
      <c r="N102">
        <v>0</v>
      </c>
      <c r="O102" t="s">
        <v>79</v>
      </c>
      <c r="P102" s="39">
        <v>44269.844471643519</v>
      </c>
      <c r="Q102">
        <v>561004</v>
      </c>
      <c r="R102" t="s">
        <v>82</v>
      </c>
      <c r="S102" s="4">
        <v>1104.53161153</v>
      </c>
      <c r="T102">
        <v>65.861918560000007</v>
      </c>
      <c r="U102">
        <v>65.861918560000007</v>
      </c>
      <c r="V102">
        <v>72746.571043429998</v>
      </c>
      <c r="W102">
        <v>72746.571043429998</v>
      </c>
      <c r="X102">
        <v>0</v>
      </c>
      <c r="Y102">
        <v>5405.9980086300002</v>
      </c>
      <c r="Z102">
        <v>5405.9980086300002</v>
      </c>
      <c r="AA102">
        <v>0</v>
      </c>
      <c r="AB102">
        <v>0</v>
      </c>
      <c r="AC102" t="s">
        <v>84</v>
      </c>
      <c r="AD102" s="39">
        <v>43160</v>
      </c>
    </row>
    <row r="103" spans="1:30" x14ac:dyDescent="0.25">
      <c r="A103">
        <v>63581</v>
      </c>
      <c r="B103" t="s">
        <v>118</v>
      </c>
      <c r="C103">
        <v>2018</v>
      </c>
      <c r="D103">
        <v>3</v>
      </c>
      <c r="E103" t="s">
        <v>87</v>
      </c>
      <c r="F103" t="s">
        <v>84</v>
      </c>
      <c r="G103" t="s">
        <v>84</v>
      </c>
      <c r="H103" t="s">
        <v>25</v>
      </c>
      <c r="I103" t="s">
        <v>25</v>
      </c>
      <c r="J103" t="s">
        <v>101</v>
      </c>
      <c r="K103" t="s">
        <v>88</v>
      </c>
      <c r="L103" t="s">
        <v>103</v>
      </c>
      <c r="M103">
        <v>681.39686511000002</v>
      </c>
      <c r="N103">
        <v>0</v>
      </c>
      <c r="O103" t="s">
        <v>79</v>
      </c>
      <c r="P103" s="39">
        <v>44269.844470682867</v>
      </c>
      <c r="Q103">
        <v>560958</v>
      </c>
      <c r="R103" t="s">
        <v>82</v>
      </c>
      <c r="S103" s="4">
        <v>682.71097830999997</v>
      </c>
      <c r="T103">
        <v>65.861918560000007</v>
      </c>
      <c r="U103">
        <v>65.861918560000007</v>
      </c>
      <c r="V103">
        <v>44964.65485182</v>
      </c>
      <c r="W103">
        <v>44964.65485182</v>
      </c>
      <c r="X103">
        <v>0</v>
      </c>
      <c r="Y103">
        <v>5405.9980086300002</v>
      </c>
      <c r="Z103">
        <v>5405.9980086300002</v>
      </c>
      <c r="AA103">
        <v>0</v>
      </c>
      <c r="AB103">
        <v>0</v>
      </c>
      <c r="AC103" t="s">
        <v>84</v>
      </c>
      <c r="AD103" s="39">
        <v>43160</v>
      </c>
    </row>
    <row r="104" spans="1:30" x14ac:dyDescent="0.25">
      <c r="A104">
        <v>9842</v>
      </c>
      <c r="B104" t="s">
        <v>127</v>
      </c>
      <c r="C104">
        <v>2017</v>
      </c>
      <c r="D104">
        <v>10</v>
      </c>
      <c r="E104" t="s">
        <v>89</v>
      </c>
      <c r="F104" t="s">
        <v>84</v>
      </c>
      <c r="G104" t="s">
        <v>84</v>
      </c>
      <c r="H104" t="s">
        <v>25</v>
      </c>
      <c r="I104" t="s">
        <v>25</v>
      </c>
      <c r="J104" t="s">
        <v>101</v>
      </c>
      <c r="K104" t="s">
        <v>90</v>
      </c>
      <c r="L104" t="s">
        <v>103</v>
      </c>
      <c r="M104">
        <v>1325.6322066800001</v>
      </c>
      <c r="N104">
        <v>0</v>
      </c>
      <c r="O104" t="s">
        <v>79</v>
      </c>
      <c r="P104" s="39">
        <v>44269.838788229157</v>
      </c>
      <c r="Q104">
        <v>83969</v>
      </c>
      <c r="R104" t="s">
        <v>74</v>
      </c>
      <c r="S104" s="4">
        <v>35.000054710000001</v>
      </c>
      <c r="T104">
        <v>68.415853420000005</v>
      </c>
      <c r="U104">
        <v>68.415853420000005</v>
      </c>
      <c r="V104">
        <v>2394.5586128999998</v>
      </c>
      <c r="W104">
        <v>2394.5586128999998</v>
      </c>
      <c r="X104">
        <v>0</v>
      </c>
      <c r="Y104">
        <v>5409.1236305000002</v>
      </c>
      <c r="Z104">
        <v>5409.1236305000002</v>
      </c>
      <c r="AA104">
        <v>0</v>
      </c>
      <c r="AB104">
        <v>0</v>
      </c>
      <c r="AC104" t="s">
        <v>84</v>
      </c>
      <c r="AD104" s="39">
        <v>43009</v>
      </c>
    </row>
    <row r="105" spans="1:30" x14ac:dyDescent="0.25">
      <c r="A105">
        <v>9800</v>
      </c>
      <c r="B105" t="s">
        <v>127</v>
      </c>
      <c r="C105">
        <v>2017</v>
      </c>
      <c r="D105">
        <v>10</v>
      </c>
      <c r="E105" t="s">
        <v>85</v>
      </c>
      <c r="F105" t="s">
        <v>84</v>
      </c>
      <c r="G105" t="s">
        <v>84</v>
      </c>
      <c r="H105" t="s">
        <v>25</v>
      </c>
      <c r="I105" t="s">
        <v>25</v>
      </c>
      <c r="J105" t="s">
        <v>101</v>
      </c>
      <c r="K105" t="s">
        <v>86</v>
      </c>
      <c r="L105" t="s">
        <v>103</v>
      </c>
      <c r="M105">
        <v>1690.9131185399999</v>
      </c>
      <c r="N105">
        <v>0</v>
      </c>
      <c r="O105" t="s">
        <v>79</v>
      </c>
      <c r="P105" s="39">
        <v>44269.83878622685</v>
      </c>
      <c r="Q105">
        <v>83885</v>
      </c>
      <c r="R105" t="s">
        <v>74</v>
      </c>
      <c r="S105" s="4">
        <v>25.134444469999998</v>
      </c>
      <c r="T105">
        <v>68.415853420000005</v>
      </c>
      <c r="U105">
        <v>68.415853420000005</v>
      </c>
      <c r="V105">
        <v>1719.59446862</v>
      </c>
      <c r="W105">
        <v>1719.59446862</v>
      </c>
      <c r="X105">
        <v>0</v>
      </c>
      <c r="Y105">
        <v>5409.1236305000002</v>
      </c>
      <c r="Z105">
        <v>5409.1236305000002</v>
      </c>
      <c r="AA105">
        <v>0</v>
      </c>
      <c r="AB105">
        <v>0</v>
      </c>
      <c r="AC105" t="s">
        <v>84</v>
      </c>
      <c r="AD105" s="39">
        <v>43009</v>
      </c>
    </row>
    <row r="106" spans="1:30" x14ac:dyDescent="0.25">
      <c r="A106">
        <v>9821</v>
      </c>
      <c r="B106" t="s">
        <v>127</v>
      </c>
      <c r="C106">
        <v>2017</v>
      </c>
      <c r="D106">
        <v>10</v>
      </c>
      <c r="E106" t="s">
        <v>87</v>
      </c>
      <c r="F106" t="s">
        <v>84</v>
      </c>
      <c r="G106" t="s">
        <v>84</v>
      </c>
      <c r="H106" t="s">
        <v>25</v>
      </c>
      <c r="I106" t="s">
        <v>25</v>
      </c>
      <c r="J106" t="s">
        <v>101</v>
      </c>
      <c r="K106" t="s">
        <v>88</v>
      </c>
      <c r="L106" t="s">
        <v>103</v>
      </c>
      <c r="M106">
        <v>345.79406583999997</v>
      </c>
      <c r="N106">
        <v>0</v>
      </c>
      <c r="O106" t="s">
        <v>79</v>
      </c>
      <c r="P106" s="39">
        <v>44269.83878726852</v>
      </c>
      <c r="Q106">
        <v>83927</v>
      </c>
      <c r="R106" t="s">
        <v>74</v>
      </c>
      <c r="S106" s="4">
        <v>9.27361799</v>
      </c>
      <c r="T106">
        <v>68.415853420000005</v>
      </c>
      <c r="U106">
        <v>68.415853420000005</v>
      </c>
      <c r="V106">
        <v>634.46248887000002</v>
      </c>
      <c r="W106">
        <v>634.46248887000002</v>
      </c>
      <c r="X106">
        <v>0</v>
      </c>
      <c r="Y106">
        <v>5409.1236305000002</v>
      </c>
      <c r="Z106">
        <v>5409.1236305000002</v>
      </c>
      <c r="AA106">
        <v>0</v>
      </c>
      <c r="AB106">
        <v>0</v>
      </c>
      <c r="AC106" t="s">
        <v>84</v>
      </c>
      <c r="AD106" s="39">
        <v>43009</v>
      </c>
    </row>
    <row r="107" spans="1:30" x14ac:dyDescent="0.25">
      <c r="A107">
        <v>38545</v>
      </c>
      <c r="B107" t="s">
        <v>119</v>
      </c>
      <c r="C107">
        <v>2018</v>
      </c>
      <c r="D107">
        <v>1</v>
      </c>
      <c r="E107" t="s">
        <v>85</v>
      </c>
      <c r="F107" t="s">
        <v>84</v>
      </c>
      <c r="G107" t="s">
        <v>84</v>
      </c>
      <c r="H107" t="s">
        <v>25</v>
      </c>
      <c r="I107" t="s">
        <v>25</v>
      </c>
      <c r="J107" t="s">
        <v>101</v>
      </c>
      <c r="K107" t="s">
        <v>86</v>
      </c>
      <c r="L107" t="s">
        <v>103</v>
      </c>
      <c r="M107">
        <v>2934.8747129799999</v>
      </c>
      <c r="N107">
        <v>0</v>
      </c>
      <c r="O107" t="s">
        <v>79</v>
      </c>
      <c r="P107" s="39">
        <v>44269.841712766203</v>
      </c>
      <c r="Q107">
        <v>327737</v>
      </c>
      <c r="R107" t="s">
        <v>82</v>
      </c>
      <c r="S107" s="4">
        <v>2983.3617666300001</v>
      </c>
      <c r="T107">
        <v>66.088934530000003</v>
      </c>
      <c r="U107">
        <v>66.088934530000003</v>
      </c>
      <c r="V107">
        <v>197167.20048495001</v>
      </c>
      <c r="W107">
        <v>197167.20048495001</v>
      </c>
      <c r="X107">
        <v>0</v>
      </c>
      <c r="Y107">
        <v>5424.6316582400004</v>
      </c>
      <c r="Z107">
        <v>5424.6316582400004</v>
      </c>
      <c r="AA107">
        <v>0</v>
      </c>
      <c r="AB107">
        <v>0</v>
      </c>
      <c r="AC107" t="s">
        <v>84</v>
      </c>
      <c r="AD107" s="39">
        <v>43101</v>
      </c>
    </row>
    <row r="108" spans="1:30" x14ac:dyDescent="0.25">
      <c r="A108">
        <v>38591</v>
      </c>
      <c r="B108" t="s">
        <v>119</v>
      </c>
      <c r="C108">
        <v>2018</v>
      </c>
      <c r="D108">
        <v>1</v>
      </c>
      <c r="E108" t="s">
        <v>89</v>
      </c>
      <c r="F108" t="s">
        <v>84</v>
      </c>
      <c r="G108" t="s">
        <v>84</v>
      </c>
      <c r="H108" t="s">
        <v>25</v>
      </c>
      <c r="I108" t="s">
        <v>25</v>
      </c>
      <c r="J108" t="s">
        <v>101</v>
      </c>
      <c r="K108" t="s">
        <v>90</v>
      </c>
      <c r="L108" t="s">
        <v>103</v>
      </c>
      <c r="M108">
        <v>1063.1400695499999</v>
      </c>
      <c r="N108">
        <v>0</v>
      </c>
      <c r="O108" t="s">
        <v>79</v>
      </c>
      <c r="P108" s="39">
        <v>44269.841714548609</v>
      </c>
      <c r="Q108">
        <v>327829</v>
      </c>
      <c r="R108" t="s">
        <v>82</v>
      </c>
      <c r="S108" s="4">
        <v>1068.53435704</v>
      </c>
      <c r="T108">
        <v>66.088934530000003</v>
      </c>
      <c r="U108">
        <v>66.088934530000003</v>
      </c>
      <c r="V108">
        <v>70618.297169380006</v>
      </c>
      <c r="W108">
        <v>70618.297169379992</v>
      </c>
      <c r="X108">
        <v>0</v>
      </c>
      <c r="Y108">
        <v>5424.6316582400004</v>
      </c>
      <c r="Z108">
        <v>5424.6316582400004</v>
      </c>
      <c r="AA108">
        <v>0</v>
      </c>
      <c r="AB108">
        <v>0</v>
      </c>
      <c r="AC108" t="s">
        <v>84</v>
      </c>
      <c r="AD108" s="39">
        <v>43101</v>
      </c>
    </row>
    <row r="109" spans="1:30" x14ac:dyDescent="0.25">
      <c r="A109">
        <v>38568</v>
      </c>
      <c r="B109" t="s">
        <v>119</v>
      </c>
      <c r="C109">
        <v>2018</v>
      </c>
      <c r="D109">
        <v>1</v>
      </c>
      <c r="E109" t="s">
        <v>87</v>
      </c>
      <c r="F109" t="s">
        <v>84</v>
      </c>
      <c r="G109" t="s">
        <v>84</v>
      </c>
      <c r="H109" t="s">
        <v>25</v>
      </c>
      <c r="I109" t="s">
        <v>25</v>
      </c>
      <c r="J109" t="s">
        <v>101</v>
      </c>
      <c r="K109" t="s">
        <v>88</v>
      </c>
      <c r="L109" t="s">
        <v>103</v>
      </c>
      <c r="M109">
        <v>892.08334261000005</v>
      </c>
      <c r="N109">
        <v>0</v>
      </c>
      <c r="O109" t="s">
        <v>79</v>
      </c>
      <c r="P109" s="39">
        <v>44269.841713576388</v>
      </c>
      <c r="Q109">
        <v>327783</v>
      </c>
      <c r="R109" t="s">
        <v>82</v>
      </c>
      <c r="S109" s="4">
        <v>896.24171113</v>
      </c>
      <c r="T109">
        <v>66.088934530000003</v>
      </c>
      <c r="U109">
        <v>66.088934530000003</v>
      </c>
      <c r="V109">
        <v>59231.659773419997</v>
      </c>
      <c r="W109">
        <v>59231.659773419997</v>
      </c>
      <c r="X109">
        <v>0</v>
      </c>
      <c r="Y109">
        <v>5424.6316582400004</v>
      </c>
      <c r="Z109">
        <v>5424.6316582400004</v>
      </c>
      <c r="AA109">
        <v>0</v>
      </c>
      <c r="AB109">
        <v>0</v>
      </c>
      <c r="AC109" t="s">
        <v>84</v>
      </c>
      <c r="AD109" s="39">
        <v>43101</v>
      </c>
    </row>
    <row r="110" spans="1:30" x14ac:dyDescent="0.25">
      <c r="A110">
        <v>119614</v>
      </c>
      <c r="B110" t="s">
        <v>113</v>
      </c>
      <c r="C110">
        <v>2018</v>
      </c>
      <c r="D110">
        <v>9</v>
      </c>
      <c r="E110" t="s">
        <v>85</v>
      </c>
      <c r="F110" t="s">
        <v>84</v>
      </c>
      <c r="G110" t="s">
        <v>84</v>
      </c>
      <c r="H110" t="s">
        <v>25</v>
      </c>
      <c r="I110" t="s">
        <v>25</v>
      </c>
      <c r="J110" t="s">
        <v>101</v>
      </c>
      <c r="K110" t="s">
        <v>86</v>
      </c>
      <c r="L110" t="s">
        <v>103</v>
      </c>
      <c r="M110">
        <v>1439.52704135</v>
      </c>
      <c r="N110">
        <v>0</v>
      </c>
      <c r="O110" t="s">
        <v>80</v>
      </c>
      <c r="P110" s="39">
        <v>44269.851105011578</v>
      </c>
      <c r="Q110">
        <v>1081611</v>
      </c>
      <c r="R110" t="s">
        <v>28</v>
      </c>
      <c r="S110" s="4">
        <v>9.9484236900000003</v>
      </c>
      <c r="T110">
        <v>69.367911899999996</v>
      </c>
      <c r="U110">
        <v>69.367911899999996</v>
      </c>
      <c r="V110">
        <v>690.10137788999998</v>
      </c>
      <c r="W110">
        <v>690.10137788999998</v>
      </c>
      <c r="X110">
        <v>0</v>
      </c>
      <c r="Y110">
        <v>5444.6246483799996</v>
      </c>
      <c r="Z110">
        <v>5444.6246483799996</v>
      </c>
      <c r="AA110">
        <v>0</v>
      </c>
      <c r="AB110">
        <v>0</v>
      </c>
      <c r="AC110" t="s">
        <v>84</v>
      </c>
      <c r="AD110" s="39">
        <v>43344</v>
      </c>
    </row>
    <row r="111" spans="1:30" x14ac:dyDescent="0.25">
      <c r="A111">
        <v>119662</v>
      </c>
      <c r="B111" t="s">
        <v>113</v>
      </c>
      <c r="C111">
        <v>2018</v>
      </c>
      <c r="D111">
        <v>9</v>
      </c>
      <c r="E111" t="s">
        <v>89</v>
      </c>
      <c r="F111" t="s">
        <v>84</v>
      </c>
      <c r="G111" t="s">
        <v>84</v>
      </c>
      <c r="H111" t="s">
        <v>25</v>
      </c>
      <c r="I111" t="s">
        <v>25</v>
      </c>
      <c r="J111" t="s">
        <v>101</v>
      </c>
      <c r="K111" t="s">
        <v>90</v>
      </c>
      <c r="L111" t="s">
        <v>103</v>
      </c>
      <c r="M111">
        <v>843.05591856000001</v>
      </c>
      <c r="N111">
        <v>0</v>
      </c>
      <c r="O111" t="s">
        <v>80</v>
      </c>
      <c r="P111" s="39">
        <v>44269.851107986113</v>
      </c>
      <c r="Q111">
        <v>1081851</v>
      </c>
      <c r="R111" t="s">
        <v>28</v>
      </c>
      <c r="S111" s="4">
        <v>5.8523218699999999</v>
      </c>
      <c r="T111">
        <v>69.367911899999996</v>
      </c>
      <c r="U111">
        <v>69.367911899999996</v>
      </c>
      <c r="V111">
        <v>405.96334761999998</v>
      </c>
      <c r="W111">
        <v>405.96334761999998</v>
      </c>
      <c r="X111">
        <v>0</v>
      </c>
      <c r="Y111">
        <v>5444.6246483799996</v>
      </c>
      <c r="Z111">
        <v>5444.6246483799996</v>
      </c>
      <c r="AA111">
        <v>0</v>
      </c>
      <c r="AB111">
        <v>0</v>
      </c>
      <c r="AC111" t="s">
        <v>84</v>
      </c>
      <c r="AD111" s="39">
        <v>43344</v>
      </c>
    </row>
    <row r="112" spans="1:30" x14ac:dyDescent="0.25">
      <c r="A112">
        <v>443785</v>
      </c>
      <c r="B112" t="s">
        <v>116</v>
      </c>
      <c r="C112">
        <v>2018</v>
      </c>
      <c r="D112">
        <v>12</v>
      </c>
      <c r="E112" t="s">
        <v>85</v>
      </c>
      <c r="F112" t="s">
        <v>84</v>
      </c>
      <c r="G112" t="s">
        <v>84</v>
      </c>
      <c r="H112" t="s">
        <v>25</v>
      </c>
      <c r="I112" t="s">
        <v>25</v>
      </c>
      <c r="J112" t="s">
        <v>101</v>
      </c>
      <c r="K112" t="s">
        <v>86</v>
      </c>
      <c r="L112" t="s">
        <v>103</v>
      </c>
      <c r="M112">
        <v>3041.3129330199999</v>
      </c>
      <c r="N112">
        <v>0</v>
      </c>
      <c r="O112" t="s">
        <v>80</v>
      </c>
      <c r="P112" s="39">
        <v>44284.514579629627</v>
      </c>
      <c r="Q112">
        <v>4215242</v>
      </c>
      <c r="R112" t="s">
        <v>28</v>
      </c>
      <c r="S112" s="4">
        <v>20.964631180000001</v>
      </c>
      <c r="T112">
        <v>69.367911899999996</v>
      </c>
      <c r="U112">
        <v>69.367911899999996</v>
      </c>
      <c r="V112">
        <v>1454.2726887700001</v>
      </c>
      <c r="W112">
        <v>1454.2726887700001</v>
      </c>
      <c r="X112">
        <v>0</v>
      </c>
      <c r="Y112">
        <v>5444.6246483799996</v>
      </c>
      <c r="Z112">
        <v>5444.6246483799996</v>
      </c>
      <c r="AA112">
        <v>0</v>
      </c>
      <c r="AB112">
        <v>0</v>
      </c>
      <c r="AC112" t="s">
        <v>84</v>
      </c>
      <c r="AD112" s="39">
        <v>43435</v>
      </c>
    </row>
    <row r="113" spans="1:30" x14ac:dyDescent="0.25">
      <c r="A113">
        <v>144832</v>
      </c>
      <c r="B113" t="s">
        <v>115</v>
      </c>
      <c r="C113">
        <v>2018</v>
      </c>
      <c r="D113">
        <v>11</v>
      </c>
      <c r="E113" t="s">
        <v>85</v>
      </c>
      <c r="F113" t="s">
        <v>84</v>
      </c>
      <c r="G113" t="s">
        <v>84</v>
      </c>
      <c r="H113" t="s">
        <v>25</v>
      </c>
      <c r="I113" t="s">
        <v>25</v>
      </c>
      <c r="J113" t="s">
        <v>101</v>
      </c>
      <c r="K113" t="s">
        <v>86</v>
      </c>
      <c r="L113" t="s">
        <v>103</v>
      </c>
      <c r="M113">
        <v>1939.5207746900001</v>
      </c>
      <c r="N113">
        <v>0</v>
      </c>
      <c r="O113" t="s">
        <v>80</v>
      </c>
      <c r="P113" s="39">
        <v>44269.854262534733</v>
      </c>
      <c r="Q113">
        <v>1336943</v>
      </c>
      <c r="R113" t="s">
        <v>28</v>
      </c>
      <c r="S113" s="4">
        <v>13.36966587</v>
      </c>
      <c r="T113">
        <v>69.367911899999996</v>
      </c>
      <c r="U113">
        <v>69.367911899999996</v>
      </c>
      <c r="V113">
        <v>927.42580394000004</v>
      </c>
      <c r="W113">
        <v>927.42580394000004</v>
      </c>
      <c r="X113">
        <v>0</v>
      </c>
      <c r="Y113">
        <v>5444.6246483799996</v>
      </c>
      <c r="Z113">
        <v>5444.6246483799996</v>
      </c>
      <c r="AA113">
        <v>0</v>
      </c>
      <c r="AB113">
        <v>0</v>
      </c>
      <c r="AC113" t="s">
        <v>84</v>
      </c>
      <c r="AD113" s="39">
        <v>43405</v>
      </c>
    </row>
    <row r="114" spans="1:30" x14ac:dyDescent="0.25">
      <c r="A114">
        <v>119638</v>
      </c>
      <c r="B114" t="s">
        <v>113</v>
      </c>
      <c r="C114">
        <v>2018</v>
      </c>
      <c r="D114">
        <v>9</v>
      </c>
      <c r="E114" t="s">
        <v>87</v>
      </c>
      <c r="F114" t="s">
        <v>84</v>
      </c>
      <c r="G114" t="s">
        <v>84</v>
      </c>
      <c r="H114" t="s">
        <v>25</v>
      </c>
      <c r="I114" t="s">
        <v>25</v>
      </c>
      <c r="J114" t="s">
        <v>101</v>
      </c>
      <c r="K114" t="s">
        <v>88</v>
      </c>
      <c r="L114" t="s">
        <v>103</v>
      </c>
      <c r="M114">
        <v>316.65874517999998</v>
      </c>
      <c r="N114">
        <v>0</v>
      </c>
      <c r="O114" t="s">
        <v>80</v>
      </c>
      <c r="P114" s="39">
        <v>44269.85110659722</v>
      </c>
      <c r="Q114">
        <v>1081731</v>
      </c>
      <c r="R114" t="s">
        <v>28</v>
      </c>
      <c r="S114" s="4">
        <v>2.1035998299999998</v>
      </c>
      <c r="T114">
        <v>69.367911899999996</v>
      </c>
      <c r="U114">
        <v>69.367911899999996</v>
      </c>
      <c r="V114">
        <v>145.92232745000001</v>
      </c>
      <c r="W114">
        <v>145.92232745000001</v>
      </c>
      <c r="X114">
        <v>0</v>
      </c>
      <c r="Y114">
        <v>5444.6246483799996</v>
      </c>
      <c r="Z114">
        <v>5444.6246483799996</v>
      </c>
      <c r="AA114">
        <v>0</v>
      </c>
      <c r="AB114">
        <v>0</v>
      </c>
      <c r="AC114" t="s">
        <v>84</v>
      </c>
      <c r="AD114" s="39">
        <v>43344</v>
      </c>
    </row>
    <row r="115" spans="1:30" x14ac:dyDescent="0.25">
      <c r="A115">
        <v>130342</v>
      </c>
      <c r="B115" t="s">
        <v>114</v>
      </c>
      <c r="C115">
        <v>2018</v>
      </c>
      <c r="D115">
        <v>10</v>
      </c>
      <c r="E115" t="s">
        <v>89</v>
      </c>
      <c r="F115" t="s">
        <v>84</v>
      </c>
      <c r="G115" t="s">
        <v>84</v>
      </c>
      <c r="H115" t="s">
        <v>25</v>
      </c>
      <c r="I115" t="s">
        <v>25</v>
      </c>
      <c r="J115" t="s">
        <v>101</v>
      </c>
      <c r="K115" t="s">
        <v>90</v>
      </c>
      <c r="L115" t="s">
        <v>103</v>
      </c>
      <c r="M115">
        <v>879.43208655000001</v>
      </c>
      <c r="N115">
        <v>0</v>
      </c>
      <c r="O115" t="s">
        <v>80</v>
      </c>
      <c r="P115" s="39">
        <v>44269.852574803241</v>
      </c>
      <c r="Q115">
        <v>1193223</v>
      </c>
      <c r="R115" t="s">
        <v>28</v>
      </c>
      <c r="S115" s="4">
        <v>6.1007286299999999</v>
      </c>
      <c r="T115">
        <v>69.367911899999996</v>
      </c>
      <c r="U115">
        <v>69.367911899999996</v>
      </c>
      <c r="V115">
        <v>423.19480600999998</v>
      </c>
      <c r="W115">
        <v>423.19480600999998</v>
      </c>
      <c r="X115">
        <v>0</v>
      </c>
      <c r="Y115">
        <v>5444.6246483799996</v>
      </c>
      <c r="Z115">
        <v>5444.6246483799996</v>
      </c>
      <c r="AA115">
        <v>0</v>
      </c>
      <c r="AB115">
        <v>0</v>
      </c>
      <c r="AC115" t="s">
        <v>84</v>
      </c>
      <c r="AD115" s="39">
        <v>43374</v>
      </c>
    </row>
    <row r="116" spans="1:30" x14ac:dyDescent="0.25">
      <c r="A116">
        <v>130318</v>
      </c>
      <c r="B116" t="s">
        <v>114</v>
      </c>
      <c r="C116">
        <v>2018</v>
      </c>
      <c r="D116">
        <v>10</v>
      </c>
      <c r="E116" t="s">
        <v>87</v>
      </c>
      <c r="F116" t="s">
        <v>84</v>
      </c>
      <c r="G116" t="s">
        <v>84</v>
      </c>
      <c r="H116" t="s">
        <v>25</v>
      </c>
      <c r="I116" t="s">
        <v>25</v>
      </c>
      <c r="J116" t="s">
        <v>101</v>
      </c>
      <c r="K116" t="s">
        <v>88</v>
      </c>
      <c r="L116" t="s">
        <v>103</v>
      </c>
      <c r="M116">
        <v>333.40243543999998</v>
      </c>
      <c r="N116">
        <v>0</v>
      </c>
      <c r="O116" t="s">
        <v>80</v>
      </c>
      <c r="P116" s="39">
        <v>44269.852573611111</v>
      </c>
      <c r="Q116">
        <v>1193103</v>
      </c>
      <c r="R116" t="s">
        <v>28</v>
      </c>
      <c r="S116" s="4">
        <v>2.21497213</v>
      </c>
      <c r="T116">
        <v>69.367911899999996</v>
      </c>
      <c r="U116">
        <v>69.367911899999996</v>
      </c>
      <c r="V116">
        <v>153.64799128000001</v>
      </c>
      <c r="W116">
        <v>153.64799128000001</v>
      </c>
      <c r="X116">
        <v>0</v>
      </c>
      <c r="Y116">
        <v>5444.6246483799996</v>
      </c>
      <c r="Z116">
        <v>5444.6246483799996</v>
      </c>
      <c r="AA116">
        <v>0</v>
      </c>
      <c r="AB116">
        <v>0</v>
      </c>
      <c r="AC116" t="s">
        <v>84</v>
      </c>
      <c r="AD116" s="39">
        <v>43374</v>
      </c>
    </row>
    <row r="117" spans="1:30" x14ac:dyDescent="0.25">
      <c r="A117">
        <v>144856</v>
      </c>
      <c r="B117" t="s">
        <v>115</v>
      </c>
      <c r="C117">
        <v>2018</v>
      </c>
      <c r="D117">
        <v>11</v>
      </c>
      <c r="E117" t="s">
        <v>87</v>
      </c>
      <c r="F117" t="s">
        <v>84</v>
      </c>
      <c r="G117" t="s">
        <v>84</v>
      </c>
      <c r="H117" t="s">
        <v>25</v>
      </c>
      <c r="I117" t="s">
        <v>25</v>
      </c>
      <c r="J117" t="s">
        <v>101</v>
      </c>
      <c r="K117" t="s">
        <v>88</v>
      </c>
      <c r="L117" t="s">
        <v>103</v>
      </c>
      <c r="M117">
        <v>527.43779992999998</v>
      </c>
      <c r="N117">
        <v>0</v>
      </c>
      <c r="O117" t="s">
        <v>80</v>
      </c>
      <c r="P117" s="39">
        <v>44269.854263738423</v>
      </c>
      <c r="Q117">
        <v>1337063</v>
      </c>
      <c r="R117" t="s">
        <v>28</v>
      </c>
      <c r="S117" s="4">
        <v>3.5040536599999998</v>
      </c>
      <c r="T117">
        <v>69.367911899999996</v>
      </c>
      <c r="U117">
        <v>69.367911899999996</v>
      </c>
      <c r="V117">
        <v>243.06888574000001</v>
      </c>
      <c r="W117">
        <v>243.06888574000001</v>
      </c>
      <c r="X117">
        <v>0</v>
      </c>
      <c r="Y117">
        <v>5444.6246483799996</v>
      </c>
      <c r="Z117">
        <v>5444.6246483799996</v>
      </c>
      <c r="AA117">
        <v>0</v>
      </c>
      <c r="AB117">
        <v>0</v>
      </c>
      <c r="AC117" t="s">
        <v>84</v>
      </c>
      <c r="AD117" s="39">
        <v>43405</v>
      </c>
    </row>
    <row r="118" spans="1:30" x14ac:dyDescent="0.25">
      <c r="A118">
        <v>130294</v>
      </c>
      <c r="B118" t="s">
        <v>114</v>
      </c>
      <c r="C118">
        <v>2018</v>
      </c>
      <c r="D118">
        <v>10</v>
      </c>
      <c r="E118" t="s">
        <v>85</v>
      </c>
      <c r="F118" t="s">
        <v>84</v>
      </c>
      <c r="G118" t="s">
        <v>84</v>
      </c>
      <c r="H118" t="s">
        <v>25</v>
      </c>
      <c r="I118" t="s">
        <v>25</v>
      </c>
      <c r="J118" t="s">
        <v>101</v>
      </c>
      <c r="K118" t="s">
        <v>86</v>
      </c>
      <c r="L118" t="s">
        <v>103</v>
      </c>
      <c r="M118">
        <v>1428.8615156599999</v>
      </c>
      <c r="N118">
        <v>0</v>
      </c>
      <c r="O118" t="s">
        <v>80</v>
      </c>
      <c r="P118" s="39">
        <v>44269.8525723727</v>
      </c>
      <c r="Q118">
        <v>1192983</v>
      </c>
      <c r="R118" t="s">
        <v>28</v>
      </c>
      <c r="S118" s="4">
        <v>9.8495469999999994</v>
      </c>
      <c r="T118">
        <v>69.367911899999996</v>
      </c>
      <c r="U118">
        <v>69.367911899999996</v>
      </c>
      <c r="V118">
        <v>683.24250874999996</v>
      </c>
      <c r="W118">
        <v>683.24250874999996</v>
      </c>
      <c r="X118">
        <v>0</v>
      </c>
      <c r="Y118">
        <v>5444.6246483799996</v>
      </c>
      <c r="Z118">
        <v>5444.6246483799996</v>
      </c>
      <c r="AA118">
        <v>0</v>
      </c>
      <c r="AB118">
        <v>0</v>
      </c>
      <c r="AC118" t="s">
        <v>84</v>
      </c>
      <c r="AD118" s="39">
        <v>43374</v>
      </c>
    </row>
    <row r="119" spans="1:30" x14ac:dyDescent="0.25">
      <c r="A119">
        <v>443833</v>
      </c>
      <c r="B119" t="s">
        <v>116</v>
      </c>
      <c r="C119">
        <v>2018</v>
      </c>
      <c r="D119">
        <v>12</v>
      </c>
      <c r="E119" t="s">
        <v>89</v>
      </c>
      <c r="F119" t="s">
        <v>84</v>
      </c>
      <c r="G119" t="s">
        <v>84</v>
      </c>
      <c r="H119" t="s">
        <v>25</v>
      </c>
      <c r="I119" t="s">
        <v>25</v>
      </c>
      <c r="J119" t="s">
        <v>101</v>
      </c>
      <c r="K119" t="s">
        <v>90</v>
      </c>
      <c r="L119" t="s">
        <v>103</v>
      </c>
      <c r="M119">
        <v>1153.4816149200001</v>
      </c>
      <c r="N119">
        <v>0</v>
      </c>
      <c r="O119" t="s">
        <v>80</v>
      </c>
      <c r="P119" s="39">
        <v>44284.51458221065</v>
      </c>
      <c r="Q119">
        <v>4215482</v>
      </c>
      <c r="R119" t="s">
        <v>28</v>
      </c>
      <c r="S119" s="4">
        <v>8.0018439400000005</v>
      </c>
      <c r="T119">
        <v>69.367911899999996</v>
      </c>
      <c r="U119">
        <v>69.367911899999996</v>
      </c>
      <c r="V119">
        <v>555.07120530999998</v>
      </c>
      <c r="W119">
        <v>555.07120530999998</v>
      </c>
      <c r="X119">
        <v>0</v>
      </c>
      <c r="Y119">
        <v>5444.6246483799996</v>
      </c>
      <c r="Z119">
        <v>5444.6246483799996</v>
      </c>
      <c r="AA119">
        <v>0</v>
      </c>
      <c r="AB119">
        <v>0</v>
      </c>
      <c r="AC119" t="s">
        <v>84</v>
      </c>
      <c r="AD119" s="39">
        <v>43435</v>
      </c>
    </row>
    <row r="120" spans="1:30" x14ac:dyDescent="0.25">
      <c r="A120">
        <v>443809</v>
      </c>
      <c r="B120" t="s">
        <v>116</v>
      </c>
      <c r="C120">
        <v>2018</v>
      </c>
      <c r="D120">
        <v>12</v>
      </c>
      <c r="E120" t="s">
        <v>87</v>
      </c>
      <c r="F120" t="s">
        <v>84</v>
      </c>
      <c r="G120" t="s">
        <v>84</v>
      </c>
      <c r="H120" t="s">
        <v>25</v>
      </c>
      <c r="I120" t="s">
        <v>25</v>
      </c>
      <c r="J120" t="s">
        <v>101</v>
      </c>
      <c r="K120" t="s">
        <v>88</v>
      </c>
      <c r="L120" t="s">
        <v>103</v>
      </c>
      <c r="M120">
        <v>824.95046656</v>
      </c>
      <c r="N120">
        <v>0</v>
      </c>
      <c r="O120" t="s">
        <v>80</v>
      </c>
      <c r="P120" s="39">
        <v>44284.514580937503</v>
      </c>
      <c r="Q120">
        <v>4215362</v>
      </c>
      <c r="R120" t="s">
        <v>28</v>
      </c>
      <c r="S120" s="4">
        <v>5.4805906999999996</v>
      </c>
      <c r="T120">
        <v>69.367911899999996</v>
      </c>
      <c r="U120">
        <v>69.367911899999996</v>
      </c>
      <c r="V120">
        <v>380.17713315999998</v>
      </c>
      <c r="W120">
        <v>380.17713315999998</v>
      </c>
      <c r="X120">
        <v>0</v>
      </c>
      <c r="Y120">
        <v>5444.6246483799996</v>
      </c>
      <c r="Z120">
        <v>5444.6246483799996</v>
      </c>
      <c r="AA120">
        <v>0</v>
      </c>
      <c r="AB120">
        <v>0</v>
      </c>
      <c r="AC120" t="s">
        <v>84</v>
      </c>
      <c r="AD120" s="39">
        <v>43435</v>
      </c>
    </row>
    <row r="121" spans="1:30" x14ac:dyDescent="0.25">
      <c r="A121">
        <v>144880</v>
      </c>
      <c r="B121" t="s">
        <v>115</v>
      </c>
      <c r="C121">
        <v>2018</v>
      </c>
      <c r="D121">
        <v>11</v>
      </c>
      <c r="E121" t="s">
        <v>89</v>
      </c>
      <c r="F121" t="s">
        <v>84</v>
      </c>
      <c r="G121" t="s">
        <v>84</v>
      </c>
      <c r="H121" t="s">
        <v>25</v>
      </c>
      <c r="I121" t="s">
        <v>25</v>
      </c>
      <c r="J121" t="s">
        <v>101</v>
      </c>
      <c r="K121" t="s">
        <v>90</v>
      </c>
      <c r="L121" t="s">
        <v>103</v>
      </c>
      <c r="M121">
        <v>1036.3887642100001</v>
      </c>
      <c r="N121">
        <v>0</v>
      </c>
      <c r="O121" t="s">
        <v>80</v>
      </c>
      <c r="P121" s="39">
        <v>44269.854264965281</v>
      </c>
      <c r="Q121">
        <v>1337183</v>
      </c>
      <c r="R121" t="s">
        <v>28</v>
      </c>
      <c r="S121" s="4">
        <v>7.1895564199999997</v>
      </c>
      <c r="T121">
        <v>69.367911899999996</v>
      </c>
      <c r="U121">
        <v>69.367911899999996</v>
      </c>
      <c r="V121">
        <v>498.72451634999999</v>
      </c>
      <c r="W121">
        <v>498.72451634999999</v>
      </c>
      <c r="X121">
        <v>0</v>
      </c>
      <c r="Y121">
        <v>5444.6246483799996</v>
      </c>
      <c r="Z121">
        <v>5444.6246483799996</v>
      </c>
      <c r="AA121">
        <v>0</v>
      </c>
      <c r="AB121">
        <v>0</v>
      </c>
      <c r="AC121" t="s">
        <v>84</v>
      </c>
      <c r="AD121" s="39">
        <v>43405</v>
      </c>
    </row>
    <row r="122" spans="1:30" x14ac:dyDescent="0.25">
      <c r="A122">
        <v>446664</v>
      </c>
      <c r="B122" t="s">
        <v>128</v>
      </c>
      <c r="C122">
        <v>2017</v>
      </c>
      <c r="D122">
        <v>11</v>
      </c>
      <c r="E122" t="s">
        <v>85</v>
      </c>
      <c r="F122" t="s">
        <v>84</v>
      </c>
      <c r="G122" t="s">
        <v>84</v>
      </c>
      <c r="H122" t="s">
        <v>25</v>
      </c>
      <c r="I122" t="s">
        <v>25</v>
      </c>
      <c r="J122" t="s">
        <v>101</v>
      </c>
      <c r="K122" t="s">
        <v>86</v>
      </c>
      <c r="L122" t="s">
        <v>103</v>
      </c>
      <c r="M122">
        <v>2041.4187845900001</v>
      </c>
      <c r="N122">
        <v>0</v>
      </c>
      <c r="O122" t="s">
        <v>79</v>
      </c>
      <c r="P122" s="39">
        <v>44284.5259379977</v>
      </c>
      <c r="Q122">
        <v>4237044</v>
      </c>
      <c r="R122" t="s">
        <v>74</v>
      </c>
      <c r="S122" s="4">
        <v>30.344508250000001</v>
      </c>
      <c r="T122">
        <v>68.874458619999999</v>
      </c>
      <c r="U122">
        <v>68.874458619999999</v>
      </c>
      <c r="V122">
        <v>2089.9615779000001</v>
      </c>
      <c r="W122">
        <v>2089.9615779000001</v>
      </c>
      <c r="X122">
        <v>0</v>
      </c>
      <c r="Y122">
        <v>5445.3820717999997</v>
      </c>
      <c r="Z122">
        <v>5445.3820717999997</v>
      </c>
      <c r="AA122">
        <v>0</v>
      </c>
      <c r="AB122">
        <v>0</v>
      </c>
      <c r="AC122" t="s">
        <v>84</v>
      </c>
      <c r="AD122" s="39">
        <v>43040</v>
      </c>
    </row>
    <row r="123" spans="1:30" x14ac:dyDescent="0.25">
      <c r="A123">
        <v>446686</v>
      </c>
      <c r="B123" t="s">
        <v>128</v>
      </c>
      <c r="C123">
        <v>2017</v>
      </c>
      <c r="D123">
        <v>11</v>
      </c>
      <c r="E123" t="s">
        <v>87</v>
      </c>
      <c r="F123" t="s">
        <v>84</v>
      </c>
      <c r="G123" t="s">
        <v>84</v>
      </c>
      <c r="H123" t="s">
        <v>25</v>
      </c>
      <c r="I123" t="s">
        <v>25</v>
      </c>
      <c r="J123" t="s">
        <v>101</v>
      </c>
      <c r="K123" t="s">
        <v>88</v>
      </c>
      <c r="L123" t="s">
        <v>103</v>
      </c>
      <c r="M123">
        <v>547.58038690000001</v>
      </c>
      <c r="N123">
        <v>0</v>
      </c>
      <c r="O123" t="s">
        <v>79</v>
      </c>
      <c r="P123" s="39">
        <v>44284.525938576393</v>
      </c>
      <c r="Q123">
        <v>4237088</v>
      </c>
      <c r="R123" t="s">
        <v>74</v>
      </c>
      <c r="S123" s="4">
        <v>14.68518933</v>
      </c>
      <c r="T123">
        <v>68.874458619999999</v>
      </c>
      <c r="U123">
        <v>68.874458619999999</v>
      </c>
      <c r="V123">
        <v>1011.43446462</v>
      </c>
      <c r="W123">
        <v>1011.43446462</v>
      </c>
      <c r="X123">
        <v>0</v>
      </c>
      <c r="Y123">
        <v>5445.3820717999997</v>
      </c>
      <c r="Z123">
        <v>5445.3820717999997</v>
      </c>
      <c r="AA123">
        <v>0</v>
      </c>
      <c r="AB123">
        <v>0</v>
      </c>
      <c r="AC123" t="s">
        <v>84</v>
      </c>
      <c r="AD123" s="39">
        <v>43040</v>
      </c>
    </row>
    <row r="124" spans="1:30" x14ac:dyDescent="0.25">
      <c r="A124">
        <v>446708</v>
      </c>
      <c r="B124" t="s">
        <v>128</v>
      </c>
      <c r="C124">
        <v>2017</v>
      </c>
      <c r="D124">
        <v>11</v>
      </c>
      <c r="E124" t="s">
        <v>89</v>
      </c>
      <c r="F124" t="s">
        <v>84</v>
      </c>
      <c r="G124" t="s">
        <v>84</v>
      </c>
      <c r="H124" t="s">
        <v>25</v>
      </c>
      <c r="I124" t="s">
        <v>25</v>
      </c>
      <c r="J124" t="s">
        <v>101</v>
      </c>
      <c r="K124" t="s">
        <v>90</v>
      </c>
      <c r="L124" t="s">
        <v>103</v>
      </c>
      <c r="M124">
        <v>1364.6638703399999</v>
      </c>
      <c r="N124">
        <v>0</v>
      </c>
      <c r="O124" t="s">
        <v>79</v>
      </c>
      <c r="P124" s="39">
        <v>44284.525939120373</v>
      </c>
      <c r="Q124">
        <v>4237132</v>
      </c>
      <c r="R124" t="s">
        <v>74</v>
      </c>
      <c r="S124" s="4">
        <v>36.030589689999999</v>
      </c>
      <c r="T124">
        <v>68.874458619999999</v>
      </c>
      <c r="U124">
        <v>68.874458619999999</v>
      </c>
      <c r="V124">
        <v>2481.58735892</v>
      </c>
      <c r="W124">
        <v>2481.58735892</v>
      </c>
      <c r="X124">
        <v>0</v>
      </c>
      <c r="Y124">
        <v>5445.3820717999997</v>
      </c>
      <c r="Z124">
        <v>5445.3820717999997</v>
      </c>
      <c r="AA124">
        <v>0</v>
      </c>
      <c r="AB124">
        <v>0</v>
      </c>
      <c r="AC124" t="s">
        <v>84</v>
      </c>
      <c r="AD124" s="39">
        <v>43040</v>
      </c>
    </row>
    <row r="125" spans="1:30" x14ac:dyDescent="0.25">
      <c r="A125">
        <v>714746</v>
      </c>
      <c r="B125" t="s">
        <v>129</v>
      </c>
      <c r="C125">
        <v>2016</v>
      </c>
      <c r="D125">
        <v>8</v>
      </c>
      <c r="E125" t="s">
        <v>87</v>
      </c>
      <c r="F125" t="s">
        <v>84</v>
      </c>
      <c r="G125" t="s">
        <v>84</v>
      </c>
      <c r="H125" t="s">
        <v>25</v>
      </c>
      <c r="I125" t="s">
        <v>25</v>
      </c>
      <c r="J125" t="s">
        <v>123</v>
      </c>
      <c r="K125" t="s">
        <v>104</v>
      </c>
      <c r="L125" t="s">
        <v>103</v>
      </c>
      <c r="M125">
        <v>935.63531867999995</v>
      </c>
      <c r="N125">
        <v>0</v>
      </c>
      <c r="O125" t="s">
        <v>79</v>
      </c>
      <c r="P125" s="39">
        <v>44334.103428159717</v>
      </c>
      <c r="Q125">
        <v>6248098</v>
      </c>
      <c r="R125" t="s">
        <v>74</v>
      </c>
      <c r="S125" s="4">
        <v>25.092172990000002</v>
      </c>
      <c r="T125">
        <v>70.292952510000006</v>
      </c>
      <c r="U125">
        <v>70.292952510000006</v>
      </c>
      <c r="V125">
        <v>1763.8029246799999</v>
      </c>
      <c r="W125">
        <v>1763.8029246799999</v>
      </c>
      <c r="X125">
        <v>0</v>
      </c>
      <c r="Y125">
        <v>5458.4983368100002</v>
      </c>
      <c r="Z125">
        <v>5458.4983368100002</v>
      </c>
      <c r="AA125">
        <v>0</v>
      </c>
      <c r="AB125">
        <v>0</v>
      </c>
      <c r="AC125" t="s">
        <v>84</v>
      </c>
      <c r="AD125" s="39">
        <v>42583</v>
      </c>
    </row>
    <row r="126" spans="1:30" x14ac:dyDescent="0.25">
      <c r="A126">
        <v>714728</v>
      </c>
      <c r="B126" t="s">
        <v>129</v>
      </c>
      <c r="C126">
        <v>2016</v>
      </c>
      <c r="D126">
        <v>8</v>
      </c>
      <c r="E126" t="s">
        <v>85</v>
      </c>
      <c r="F126" t="s">
        <v>84</v>
      </c>
      <c r="G126" t="s">
        <v>84</v>
      </c>
      <c r="H126" t="s">
        <v>25</v>
      </c>
      <c r="I126" t="s">
        <v>25</v>
      </c>
      <c r="J126" t="s">
        <v>123</v>
      </c>
      <c r="K126" t="s">
        <v>102</v>
      </c>
      <c r="L126" t="s">
        <v>103</v>
      </c>
      <c r="M126">
        <v>2647.0276601700002</v>
      </c>
      <c r="N126">
        <v>0</v>
      </c>
      <c r="O126" t="s">
        <v>79</v>
      </c>
      <c r="P126" s="39">
        <v>44334.103427696762</v>
      </c>
      <c r="Q126">
        <v>6248062</v>
      </c>
      <c r="R126" t="s">
        <v>74</v>
      </c>
      <c r="S126" s="4">
        <v>39.346533540000003</v>
      </c>
      <c r="T126">
        <v>70.292952510000006</v>
      </c>
      <c r="U126">
        <v>70.292952510000006</v>
      </c>
      <c r="V126">
        <v>2765.7840136300001</v>
      </c>
      <c r="W126">
        <v>2765.7840136300001</v>
      </c>
      <c r="X126">
        <v>0</v>
      </c>
      <c r="Y126">
        <v>5458.4983368100002</v>
      </c>
      <c r="Z126">
        <v>5458.4983368100002</v>
      </c>
      <c r="AA126">
        <v>0</v>
      </c>
      <c r="AB126">
        <v>0</v>
      </c>
      <c r="AC126" t="s">
        <v>84</v>
      </c>
      <c r="AD126" s="39">
        <v>42583</v>
      </c>
    </row>
    <row r="127" spans="1:30" x14ac:dyDescent="0.25">
      <c r="A127">
        <v>714764</v>
      </c>
      <c r="B127" t="s">
        <v>129</v>
      </c>
      <c r="C127">
        <v>2016</v>
      </c>
      <c r="D127">
        <v>8</v>
      </c>
      <c r="E127" t="s">
        <v>59</v>
      </c>
      <c r="F127" t="s">
        <v>84</v>
      </c>
      <c r="G127" t="s">
        <v>84</v>
      </c>
      <c r="H127" t="s">
        <v>25</v>
      </c>
      <c r="I127" t="s">
        <v>25</v>
      </c>
      <c r="J127" t="s">
        <v>123</v>
      </c>
      <c r="K127" t="s">
        <v>106</v>
      </c>
      <c r="L127" t="s">
        <v>103</v>
      </c>
      <c r="M127">
        <v>1612.5415291500001</v>
      </c>
      <c r="N127">
        <v>0</v>
      </c>
      <c r="O127" t="s">
        <v>79</v>
      </c>
      <c r="P127" s="39">
        <v>44334.103428622693</v>
      </c>
      <c r="Q127">
        <v>6248134</v>
      </c>
      <c r="R127" t="s">
        <v>74</v>
      </c>
      <c r="S127" s="4">
        <v>42.575189000000002</v>
      </c>
      <c r="T127">
        <v>70.292952510000006</v>
      </c>
      <c r="U127">
        <v>70.292952510000006</v>
      </c>
      <c r="V127">
        <v>2992.7357385999999</v>
      </c>
      <c r="W127">
        <v>2992.7357385999999</v>
      </c>
      <c r="X127">
        <v>0</v>
      </c>
      <c r="Y127">
        <v>5458.4983368100002</v>
      </c>
      <c r="Z127">
        <v>5458.4983368100002</v>
      </c>
      <c r="AA127">
        <v>0</v>
      </c>
      <c r="AB127">
        <v>0</v>
      </c>
      <c r="AC127" t="s">
        <v>84</v>
      </c>
      <c r="AD127" s="39">
        <v>42583</v>
      </c>
    </row>
    <row r="128" spans="1:30" x14ac:dyDescent="0.25">
      <c r="A128">
        <v>505299</v>
      </c>
      <c r="B128" t="s">
        <v>130</v>
      </c>
      <c r="C128">
        <v>2016</v>
      </c>
      <c r="D128">
        <v>11</v>
      </c>
      <c r="E128" t="s">
        <v>87</v>
      </c>
      <c r="F128" t="s">
        <v>84</v>
      </c>
      <c r="G128" t="s">
        <v>84</v>
      </c>
      <c r="H128" t="s">
        <v>25</v>
      </c>
      <c r="I128" t="s">
        <v>25</v>
      </c>
      <c r="J128" t="s">
        <v>101</v>
      </c>
      <c r="K128" t="s">
        <v>88</v>
      </c>
      <c r="L128" t="s">
        <v>103</v>
      </c>
      <c r="M128">
        <v>3.0402221699999998</v>
      </c>
      <c r="N128">
        <v>0</v>
      </c>
      <c r="O128" t="s">
        <v>79</v>
      </c>
      <c r="P128" s="39">
        <v>44330.099023298608</v>
      </c>
      <c r="Q128">
        <v>4677104</v>
      </c>
      <c r="R128" t="s">
        <v>74</v>
      </c>
      <c r="S128" s="4">
        <v>8.1533670000000003E-2</v>
      </c>
      <c r="T128">
        <v>70.292952510000006</v>
      </c>
      <c r="U128">
        <v>70.292952510000006</v>
      </c>
      <c r="V128">
        <v>5.7312423499999996</v>
      </c>
      <c r="W128">
        <v>5.7312423499999996</v>
      </c>
      <c r="X128">
        <v>0</v>
      </c>
      <c r="Y128">
        <v>5458.4983368100002</v>
      </c>
      <c r="Z128">
        <v>5458.4983368100002</v>
      </c>
      <c r="AA128">
        <v>0</v>
      </c>
      <c r="AB128">
        <v>0</v>
      </c>
      <c r="AC128" t="s">
        <v>84</v>
      </c>
      <c r="AD128" s="39">
        <v>42675</v>
      </c>
    </row>
    <row r="129" spans="1:30" x14ac:dyDescent="0.25">
      <c r="A129">
        <v>490499</v>
      </c>
      <c r="B129" t="s">
        <v>131</v>
      </c>
      <c r="C129">
        <v>2016</v>
      </c>
      <c r="D129">
        <v>9</v>
      </c>
      <c r="E129" t="s">
        <v>87</v>
      </c>
      <c r="F129" t="s">
        <v>84</v>
      </c>
      <c r="G129" t="s">
        <v>84</v>
      </c>
      <c r="H129" t="s">
        <v>25</v>
      </c>
      <c r="I129" t="s">
        <v>25</v>
      </c>
      <c r="J129" t="s">
        <v>101</v>
      </c>
      <c r="K129" t="s">
        <v>104</v>
      </c>
      <c r="L129" t="s">
        <v>103</v>
      </c>
      <c r="M129">
        <v>672.74702771</v>
      </c>
      <c r="N129">
        <v>0</v>
      </c>
      <c r="O129" t="s">
        <v>79</v>
      </c>
      <c r="P129" s="39">
        <v>44330.097784641213</v>
      </c>
      <c r="Q129">
        <v>4588298</v>
      </c>
      <c r="R129" t="s">
        <v>74</v>
      </c>
      <c r="S129" s="4">
        <v>18.0419491</v>
      </c>
      <c r="T129">
        <v>70.292952510000006</v>
      </c>
      <c r="U129">
        <v>70.292952510000006</v>
      </c>
      <c r="V129">
        <v>1268.22187166</v>
      </c>
      <c r="W129">
        <v>1268.22187166</v>
      </c>
      <c r="X129">
        <v>0</v>
      </c>
      <c r="Y129">
        <v>5458.4983368100002</v>
      </c>
      <c r="Z129">
        <v>5458.4983368100002</v>
      </c>
      <c r="AA129">
        <v>0</v>
      </c>
      <c r="AB129">
        <v>0</v>
      </c>
      <c r="AC129" t="s">
        <v>84</v>
      </c>
      <c r="AD129" s="39">
        <v>42614</v>
      </c>
    </row>
    <row r="130" spans="1:30" x14ac:dyDescent="0.25">
      <c r="A130">
        <v>518451</v>
      </c>
      <c r="B130" t="s">
        <v>132</v>
      </c>
      <c r="C130">
        <v>2016</v>
      </c>
      <c r="D130">
        <v>12</v>
      </c>
      <c r="E130" t="s">
        <v>87</v>
      </c>
      <c r="F130" t="s">
        <v>84</v>
      </c>
      <c r="G130" t="s">
        <v>84</v>
      </c>
      <c r="H130" t="s">
        <v>25</v>
      </c>
      <c r="I130" t="s">
        <v>25</v>
      </c>
      <c r="J130" t="s">
        <v>101</v>
      </c>
      <c r="K130" t="s">
        <v>88</v>
      </c>
      <c r="L130" t="s">
        <v>103</v>
      </c>
      <c r="M130">
        <v>5.24655E-3</v>
      </c>
      <c r="N130">
        <v>0</v>
      </c>
      <c r="O130" t="s">
        <v>79</v>
      </c>
      <c r="P130" s="39">
        <v>44330.100235682869</v>
      </c>
      <c r="Q130">
        <v>4792710</v>
      </c>
      <c r="R130" t="s">
        <v>74</v>
      </c>
      <c r="S130" s="4">
        <v>1.407E-4</v>
      </c>
      <c r="T130">
        <v>70.292952510000006</v>
      </c>
      <c r="U130">
        <v>70.292952510000006</v>
      </c>
      <c r="V130">
        <v>9.8904700000000002E-3</v>
      </c>
      <c r="W130">
        <v>9.8904700000000002E-3</v>
      </c>
      <c r="X130">
        <v>0</v>
      </c>
      <c r="Y130">
        <v>5458.4983368100002</v>
      </c>
      <c r="Z130">
        <v>5458.4983368100002</v>
      </c>
      <c r="AA130">
        <v>0</v>
      </c>
      <c r="AB130">
        <v>0</v>
      </c>
      <c r="AC130" t="s">
        <v>84</v>
      </c>
      <c r="AD130" s="39">
        <v>42705</v>
      </c>
    </row>
    <row r="131" spans="1:30" x14ac:dyDescent="0.25">
      <c r="A131">
        <v>490481</v>
      </c>
      <c r="B131" t="s">
        <v>131</v>
      </c>
      <c r="C131">
        <v>2016</v>
      </c>
      <c r="D131">
        <v>9</v>
      </c>
      <c r="E131" t="s">
        <v>85</v>
      </c>
      <c r="F131" t="s">
        <v>84</v>
      </c>
      <c r="G131" t="s">
        <v>84</v>
      </c>
      <c r="H131" t="s">
        <v>25</v>
      </c>
      <c r="I131" t="s">
        <v>25</v>
      </c>
      <c r="J131" t="s">
        <v>101</v>
      </c>
      <c r="K131" t="s">
        <v>86</v>
      </c>
      <c r="L131" t="s">
        <v>103</v>
      </c>
      <c r="M131">
        <v>2263.3159081700001</v>
      </c>
      <c r="N131">
        <v>0</v>
      </c>
      <c r="O131" t="s">
        <v>79</v>
      </c>
      <c r="P131" s="39">
        <v>44330.097784143523</v>
      </c>
      <c r="Q131">
        <v>4588262</v>
      </c>
      <c r="R131" t="s">
        <v>74</v>
      </c>
      <c r="S131" s="4">
        <v>33.642880519999999</v>
      </c>
      <c r="T131">
        <v>70.292952510000006</v>
      </c>
      <c r="U131">
        <v>70.292952510000006</v>
      </c>
      <c r="V131">
        <v>2364.85740244</v>
      </c>
      <c r="W131">
        <v>2364.85740244</v>
      </c>
      <c r="X131">
        <v>0</v>
      </c>
      <c r="Y131">
        <v>5458.4983368100002</v>
      </c>
      <c r="Z131">
        <v>5458.4983368100002</v>
      </c>
      <c r="AA131">
        <v>0</v>
      </c>
      <c r="AB131">
        <v>0</v>
      </c>
      <c r="AC131" t="s">
        <v>84</v>
      </c>
      <c r="AD131" s="39">
        <v>42614</v>
      </c>
    </row>
    <row r="132" spans="1:30" x14ac:dyDescent="0.25">
      <c r="A132">
        <v>490517</v>
      </c>
      <c r="B132" t="s">
        <v>131</v>
      </c>
      <c r="C132">
        <v>2016</v>
      </c>
      <c r="D132">
        <v>9</v>
      </c>
      <c r="E132" t="s">
        <v>89</v>
      </c>
      <c r="F132" t="s">
        <v>84</v>
      </c>
      <c r="G132" t="s">
        <v>84</v>
      </c>
      <c r="H132" t="s">
        <v>25</v>
      </c>
      <c r="I132" t="s">
        <v>25</v>
      </c>
      <c r="J132" t="s">
        <v>101</v>
      </c>
      <c r="K132" t="s">
        <v>90</v>
      </c>
      <c r="L132" t="s">
        <v>103</v>
      </c>
      <c r="M132">
        <v>1264.39372551</v>
      </c>
      <c r="N132">
        <v>0</v>
      </c>
      <c r="O132" t="s">
        <v>79</v>
      </c>
      <c r="P132" s="39">
        <v>44330.097785150458</v>
      </c>
      <c r="Q132">
        <v>4588334</v>
      </c>
      <c r="R132" t="s">
        <v>74</v>
      </c>
      <c r="S132" s="4">
        <v>33.383203379999998</v>
      </c>
      <c r="T132">
        <v>70.292952510000006</v>
      </c>
      <c r="U132">
        <v>70.292952510000006</v>
      </c>
      <c r="V132">
        <v>2346.60393024</v>
      </c>
      <c r="W132">
        <v>2346.60393024</v>
      </c>
      <c r="X132">
        <v>0</v>
      </c>
      <c r="Y132">
        <v>5458.4983368100002</v>
      </c>
      <c r="Z132">
        <v>5458.4983368100002</v>
      </c>
      <c r="AA132">
        <v>0</v>
      </c>
      <c r="AB132">
        <v>0</v>
      </c>
      <c r="AC132" t="s">
        <v>84</v>
      </c>
      <c r="AD132" s="39">
        <v>42614</v>
      </c>
    </row>
    <row r="133" spans="1:30" x14ac:dyDescent="0.25">
      <c r="A133">
        <v>505281</v>
      </c>
      <c r="B133" t="s">
        <v>130</v>
      </c>
      <c r="C133">
        <v>2016</v>
      </c>
      <c r="D133">
        <v>11</v>
      </c>
      <c r="E133" t="s">
        <v>85</v>
      </c>
      <c r="F133" t="s">
        <v>84</v>
      </c>
      <c r="G133" t="s">
        <v>84</v>
      </c>
      <c r="H133" t="s">
        <v>25</v>
      </c>
      <c r="I133" t="s">
        <v>25</v>
      </c>
      <c r="J133" t="s">
        <v>101</v>
      </c>
      <c r="K133" t="s">
        <v>86</v>
      </c>
      <c r="L133" t="s">
        <v>103</v>
      </c>
      <c r="M133">
        <v>10.93651025</v>
      </c>
      <c r="N133">
        <v>0</v>
      </c>
      <c r="O133" t="s">
        <v>79</v>
      </c>
      <c r="P133" s="39">
        <v>44330.09902276619</v>
      </c>
      <c r="Q133">
        <v>4677068</v>
      </c>
      <c r="R133" t="s">
        <v>74</v>
      </c>
      <c r="S133" s="4">
        <v>0.16256488999999999</v>
      </c>
      <c r="T133">
        <v>70.292952510000006</v>
      </c>
      <c r="U133">
        <v>70.292952510000006</v>
      </c>
      <c r="V133">
        <v>11.42716628</v>
      </c>
      <c r="W133">
        <v>11.42716628</v>
      </c>
      <c r="X133">
        <v>0</v>
      </c>
      <c r="Y133">
        <v>5458.4983368100002</v>
      </c>
      <c r="Z133">
        <v>5458.4983368100002</v>
      </c>
      <c r="AA133">
        <v>0</v>
      </c>
      <c r="AB133">
        <v>0</v>
      </c>
      <c r="AC133" t="s">
        <v>84</v>
      </c>
      <c r="AD133" s="39">
        <v>42675</v>
      </c>
    </row>
    <row r="134" spans="1:30" x14ac:dyDescent="0.25">
      <c r="A134">
        <v>496212</v>
      </c>
      <c r="B134" t="s">
        <v>133</v>
      </c>
      <c r="C134">
        <v>2016</v>
      </c>
      <c r="D134">
        <v>10</v>
      </c>
      <c r="E134" t="s">
        <v>89</v>
      </c>
      <c r="F134" t="s">
        <v>84</v>
      </c>
      <c r="G134" t="s">
        <v>84</v>
      </c>
      <c r="H134" t="s">
        <v>25</v>
      </c>
      <c r="I134" t="s">
        <v>25</v>
      </c>
      <c r="J134" t="s">
        <v>101</v>
      </c>
      <c r="K134" t="s">
        <v>90</v>
      </c>
      <c r="L134" t="s">
        <v>103</v>
      </c>
      <c r="M134">
        <v>717.31728549000002</v>
      </c>
      <c r="N134">
        <v>0</v>
      </c>
      <c r="O134" t="s">
        <v>79</v>
      </c>
      <c r="P134" s="39">
        <v>44330.098264814813</v>
      </c>
      <c r="Q134">
        <v>4615654</v>
      </c>
      <c r="R134" t="s">
        <v>74</v>
      </c>
      <c r="S134" s="4">
        <v>18.938996889999999</v>
      </c>
      <c r="T134">
        <v>70.292952510000006</v>
      </c>
      <c r="U134">
        <v>70.292952510000006</v>
      </c>
      <c r="V134">
        <v>1331.2780089099999</v>
      </c>
      <c r="W134">
        <v>1331.2780089099999</v>
      </c>
      <c r="X134">
        <v>0</v>
      </c>
      <c r="Y134">
        <v>5458.4983368100002</v>
      </c>
      <c r="Z134">
        <v>5458.4983368100002</v>
      </c>
      <c r="AA134">
        <v>0</v>
      </c>
      <c r="AB134">
        <v>0</v>
      </c>
      <c r="AC134" t="s">
        <v>84</v>
      </c>
      <c r="AD134" s="39">
        <v>42644</v>
      </c>
    </row>
    <row r="135" spans="1:30" x14ac:dyDescent="0.25">
      <c r="A135">
        <v>518469</v>
      </c>
      <c r="B135" t="s">
        <v>132</v>
      </c>
      <c r="C135">
        <v>2016</v>
      </c>
      <c r="D135">
        <v>12</v>
      </c>
      <c r="E135" t="s">
        <v>89</v>
      </c>
      <c r="F135" t="s">
        <v>84</v>
      </c>
      <c r="G135" t="s">
        <v>84</v>
      </c>
      <c r="H135" t="s">
        <v>25</v>
      </c>
      <c r="I135" t="s">
        <v>25</v>
      </c>
      <c r="J135" t="s">
        <v>101</v>
      </c>
      <c r="K135" t="s">
        <v>90</v>
      </c>
      <c r="L135" t="s">
        <v>103</v>
      </c>
      <c r="M135">
        <v>7.6207699999999998E-3</v>
      </c>
      <c r="N135">
        <v>0</v>
      </c>
      <c r="O135" t="s">
        <v>79</v>
      </c>
      <c r="P135" s="39">
        <v>44330.100236226863</v>
      </c>
      <c r="Q135">
        <v>4792746</v>
      </c>
      <c r="R135" t="s">
        <v>74</v>
      </c>
      <c r="S135" s="4">
        <v>2.0121000000000001E-4</v>
      </c>
      <c r="T135">
        <v>70.292952510000006</v>
      </c>
      <c r="U135">
        <v>70.292952510000006</v>
      </c>
      <c r="V135">
        <v>1.414348E-2</v>
      </c>
      <c r="W135">
        <v>1.414348E-2</v>
      </c>
      <c r="X135">
        <v>0</v>
      </c>
      <c r="Y135">
        <v>5458.4983368100002</v>
      </c>
      <c r="Z135">
        <v>5458.4983368100002</v>
      </c>
      <c r="AA135">
        <v>0</v>
      </c>
      <c r="AB135">
        <v>0</v>
      </c>
      <c r="AC135" t="s">
        <v>84</v>
      </c>
      <c r="AD135" s="39">
        <v>42705</v>
      </c>
    </row>
    <row r="136" spans="1:30" x14ac:dyDescent="0.25">
      <c r="A136">
        <v>672470</v>
      </c>
      <c r="B136" t="s">
        <v>134</v>
      </c>
      <c r="C136">
        <v>2016</v>
      </c>
      <c r="D136">
        <v>5</v>
      </c>
      <c r="E136" t="s">
        <v>87</v>
      </c>
      <c r="F136" t="s">
        <v>84</v>
      </c>
      <c r="G136" t="s">
        <v>84</v>
      </c>
      <c r="H136" t="s">
        <v>25</v>
      </c>
      <c r="I136" t="s">
        <v>25</v>
      </c>
      <c r="J136" t="s">
        <v>101</v>
      </c>
      <c r="K136" t="s">
        <v>104</v>
      </c>
      <c r="L136" t="s">
        <v>103</v>
      </c>
      <c r="M136">
        <v>1352.1891427099999</v>
      </c>
      <c r="N136">
        <v>0</v>
      </c>
      <c r="O136" t="s">
        <v>79</v>
      </c>
      <c r="P136" s="39">
        <v>44334.07016489582</v>
      </c>
      <c r="Q136">
        <v>5939551</v>
      </c>
      <c r="R136" t="s">
        <v>74</v>
      </c>
      <c r="S136" s="4">
        <v>36.26344924</v>
      </c>
      <c r="T136">
        <v>70.292952510000006</v>
      </c>
      <c r="U136">
        <v>70.292952510000006</v>
      </c>
      <c r="V136">
        <v>2549.0649155900001</v>
      </c>
      <c r="W136">
        <v>2549.0649155900001</v>
      </c>
      <c r="X136">
        <v>0</v>
      </c>
      <c r="Y136">
        <v>5458.4983368100002</v>
      </c>
      <c r="Z136">
        <v>5458.4983368100002</v>
      </c>
      <c r="AA136">
        <v>0</v>
      </c>
      <c r="AB136">
        <v>0</v>
      </c>
      <c r="AC136" t="s">
        <v>84</v>
      </c>
      <c r="AD136" s="39">
        <v>42491</v>
      </c>
    </row>
    <row r="137" spans="1:30" x14ac:dyDescent="0.25">
      <c r="A137">
        <v>518433</v>
      </c>
      <c r="B137" t="s">
        <v>132</v>
      </c>
      <c r="C137">
        <v>2016</v>
      </c>
      <c r="D137">
        <v>12</v>
      </c>
      <c r="E137" t="s">
        <v>85</v>
      </c>
      <c r="F137" t="s">
        <v>84</v>
      </c>
      <c r="G137" t="s">
        <v>84</v>
      </c>
      <c r="H137" t="s">
        <v>25</v>
      </c>
      <c r="I137" t="s">
        <v>25</v>
      </c>
      <c r="J137" t="s">
        <v>101</v>
      </c>
      <c r="K137" t="s">
        <v>86</v>
      </c>
      <c r="L137" t="s">
        <v>103</v>
      </c>
      <c r="M137">
        <v>2.1233140000000001E-2</v>
      </c>
      <c r="N137">
        <v>0</v>
      </c>
      <c r="O137" t="s">
        <v>79</v>
      </c>
      <c r="P137" s="39">
        <v>44330.1002351852</v>
      </c>
      <c r="Q137">
        <v>4792674</v>
      </c>
      <c r="R137" t="s">
        <v>74</v>
      </c>
      <c r="S137" s="4">
        <v>3.1562000000000002E-4</v>
      </c>
      <c r="T137">
        <v>70.292952510000006</v>
      </c>
      <c r="U137">
        <v>70.292952510000006</v>
      </c>
      <c r="V137">
        <v>2.2185739999999999E-2</v>
      </c>
      <c r="W137">
        <v>2.2185739999999999E-2</v>
      </c>
      <c r="X137">
        <v>0</v>
      </c>
      <c r="Y137">
        <v>5458.4983368100002</v>
      </c>
      <c r="Z137">
        <v>5458.4983368100002</v>
      </c>
      <c r="AA137">
        <v>0</v>
      </c>
      <c r="AB137">
        <v>0</v>
      </c>
      <c r="AC137" t="s">
        <v>84</v>
      </c>
      <c r="AD137" s="39">
        <v>42705</v>
      </c>
    </row>
    <row r="138" spans="1:30" x14ac:dyDescent="0.25">
      <c r="A138">
        <v>672452</v>
      </c>
      <c r="B138" t="s">
        <v>134</v>
      </c>
      <c r="C138">
        <v>2016</v>
      </c>
      <c r="D138">
        <v>5</v>
      </c>
      <c r="E138" t="s">
        <v>85</v>
      </c>
      <c r="F138" t="s">
        <v>84</v>
      </c>
      <c r="G138" t="s">
        <v>84</v>
      </c>
      <c r="H138" t="s">
        <v>25</v>
      </c>
      <c r="I138" t="s">
        <v>25</v>
      </c>
      <c r="J138" t="s">
        <v>101</v>
      </c>
      <c r="K138" t="s">
        <v>102</v>
      </c>
      <c r="L138" t="s">
        <v>103</v>
      </c>
      <c r="M138">
        <v>4669.0953959799999</v>
      </c>
      <c r="N138">
        <v>0</v>
      </c>
      <c r="O138" t="s">
        <v>79</v>
      </c>
      <c r="P138" s="39">
        <v>44334.070164432873</v>
      </c>
      <c r="Q138">
        <v>5939515</v>
      </c>
      <c r="R138" t="s">
        <v>74</v>
      </c>
      <c r="S138" s="4">
        <v>69.403399649999997</v>
      </c>
      <c r="T138">
        <v>70.292952510000006</v>
      </c>
      <c r="U138">
        <v>70.292952510000006</v>
      </c>
      <c r="V138">
        <v>4878.5698761800004</v>
      </c>
      <c r="W138">
        <v>4878.5698761800004</v>
      </c>
      <c r="X138">
        <v>0</v>
      </c>
      <c r="Y138">
        <v>5458.4983368100002</v>
      </c>
      <c r="Z138">
        <v>5458.4983368100002</v>
      </c>
      <c r="AA138">
        <v>0</v>
      </c>
      <c r="AB138">
        <v>0</v>
      </c>
      <c r="AC138" t="s">
        <v>84</v>
      </c>
      <c r="AD138" s="39">
        <v>42491</v>
      </c>
    </row>
    <row r="139" spans="1:30" x14ac:dyDescent="0.25">
      <c r="A139">
        <v>730808</v>
      </c>
      <c r="B139" t="s">
        <v>135</v>
      </c>
      <c r="C139">
        <v>2016</v>
      </c>
      <c r="D139">
        <v>7</v>
      </c>
      <c r="E139" t="s">
        <v>59</v>
      </c>
      <c r="F139" t="s">
        <v>84</v>
      </c>
      <c r="G139" t="s">
        <v>84</v>
      </c>
      <c r="H139" t="s">
        <v>25</v>
      </c>
      <c r="I139" t="s">
        <v>25</v>
      </c>
      <c r="J139" t="s">
        <v>101</v>
      </c>
      <c r="K139" t="s">
        <v>106</v>
      </c>
      <c r="L139" t="s">
        <v>103</v>
      </c>
      <c r="M139">
        <v>2027.083069</v>
      </c>
      <c r="N139">
        <v>0</v>
      </c>
      <c r="O139" t="s">
        <v>79</v>
      </c>
      <c r="P139" s="39">
        <v>44334.10707554398</v>
      </c>
      <c r="Q139">
        <v>6360147</v>
      </c>
      <c r="R139" t="s">
        <v>74</v>
      </c>
      <c r="S139" s="4">
        <v>53.520137759999997</v>
      </c>
      <c r="T139">
        <v>70.292952510000006</v>
      </c>
      <c r="U139">
        <v>70.292952510000006</v>
      </c>
      <c r="V139">
        <v>3762.0885019399998</v>
      </c>
      <c r="W139">
        <v>3762.0885019399998</v>
      </c>
      <c r="X139">
        <v>0</v>
      </c>
      <c r="Y139">
        <v>5458.4983368100002</v>
      </c>
      <c r="Z139">
        <v>5458.4983368100002</v>
      </c>
      <c r="AA139">
        <v>0</v>
      </c>
      <c r="AB139">
        <v>0</v>
      </c>
      <c r="AC139" t="s">
        <v>84</v>
      </c>
      <c r="AD139" s="39">
        <v>42552</v>
      </c>
    </row>
    <row r="140" spans="1:30" x14ac:dyDescent="0.25">
      <c r="A140">
        <v>496176</v>
      </c>
      <c r="B140" t="s">
        <v>133</v>
      </c>
      <c r="C140">
        <v>2016</v>
      </c>
      <c r="D140">
        <v>10</v>
      </c>
      <c r="E140" t="s">
        <v>85</v>
      </c>
      <c r="F140" t="s">
        <v>84</v>
      </c>
      <c r="G140" t="s">
        <v>84</v>
      </c>
      <c r="H140" t="s">
        <v>25</v>
      </c>
      <c r="I140" t="s">
        <v>25</v>
      </c>
      <c r="J140" t="s">
        <v>101</v>
      </c>
      <c r="K140" t="s">
        <v>86</v>
      </c>
      <c r="L140" t="s">
        <v>103</v>
      </c>
      <c r="M140">
        <v>1382.4463402700001</v>
      </c>
      <c r="N140">
        <v>0</v>
      </c>
      <c r="O140" t="s">
        <v>79</v>
      </c>
      <c r="P140" s="39">
        <v>44330.098263807871</v>
      </c>
      <c r="Q140">
        <v>4615582</v>
      </c>
      <c r="R140" t="s">
        <v>74</v>
      </c>
      <c r="S140" s="4">
        <v>20.549264409999999</v>
      </c>
      <c r="T140">
        <v>70.292952510000006</v>
      </c>
      <c r="U140">
        <v>70.292952510000006</v>
      </c>
      <c r="V140">
        <v>1444.4684674600001</v>
      </c>
      <c r="W140">
        <v>1444.4684674600001</v>
      </c>
      <c r="X140">
        <v>0</v>
      </c>
      <c r="Y140">
        <v>5458.4983368100002</v>
      </c>
      <c r="Z140">
        <v>5458.4983368100002</v>
      </c>
      <c r="AA140">
        <v>0</v>
      </c>
      <c r="AB140">
        <v>0</v>
      </c>
      <c r="AC140" t="s">
        <v>84</v>
      </c>
      <c r="AD140" s="39">
        <v>42644</v>
      </c>
    </row>
    <row r="141" spans="1:30" x14ac:dyDescent="0.25">
      <c r="A141">
        <v>505317</v>
      </c>
      <c r="B141" t="s">
        <v>130</v>
      </c>
      <c r="C141">
        <v>2016</v>
      </c>
      <c r="D141">
        <v>11</v>
      </c>
      <c r="E141" t="s">
        <v>89</v>
      </c>
      <c r="F141" t="s">
        <v>84</v>
      </c>
      <c r="G141" t="s">
        <v>84</v>
      </c>
      <c r="H141" t="s">
        <v>25</v>
      </c>
      <c r="I141" t="s">
        <v>25</v>
      </c>
      <c r="J141" t="s">
        <v>101</v>
      </c>
      <c r="K141" t="s">
        <v>90</v>
      </c>
      <c r="L141" t="s">
        <v>103</v>
      </c>
      <c r="M141">
        <v>4.6410682200000002</v>
      </c>
      <c r="N141">
        <v>0</v>
      </c>
      <c r="O141" t="s">
        <v>79</v>
      </c>
      <c r="P141" s="39">
        <v>44330.099023842587</v>
      </c>
      <c r="Q141">
        <v>4677140</v>
      </c>
      <c r="R141" t="s">
        <v>74</v>
      </c>
      <c r="S141" s="4">
        <v>0.12253598</v>
      </c>
      <c r="T141">
        <v>70.292952510000006</v>
      </c>
      <c r="U141">
        <v>70.292952510000006</v>
      </c>
      <c r="V141">
        <v>8.6134158299999992</v>
      </c>
      <c r="W141">
        <v>8.6134158299999992</v>
      </c>
      <c r="X141">
        <v>0</v>
      </c>
      <c r="Y141">
        <v>5458.4983368100002</v>
      </c>
      <c r="Z141">
        <v>5458.4983368100002</v>
      </c>
      <c r="AA141">
        <v>0</v>
      </c>
      <c r="AB141">
        <v>0</v>
      </c>
      <c r="AC141" t="s">
        <v>84</v>
      </c>
      <c r="AD141" s="39">
        <v>42675</v>
      </c>
    </row>
    <row r="142" spans="1:30" x14ac:dyDescent="0.25">
      <c r="A142">
        <v>672488</v>
      </c>
      <c r="B142" t="s">
        <v>134</v>
      </c>
      <c r="C142">
        <v>2016</v>
      </c>
      <c r="D142">
        <v>5</v>
      </c>
      <c r="E142" t="s">
        <v>59</v>
      </c>
      <c r="F142" t="s">
        <v>84</v>
      </c>
      <c r="G142" t="s">
        <v>84</v>
      </c>
      <c r="H142" t="s">
        <v>25</v>
      </c>
      <c r="I142" t="s">
        <v>25</v>
      </c>
      <c r="J142" t="s">
        <v>101</v>
      </c>
      <c r="K142" t="s">
        <v>106</v>
      </c>
      <c r="L142" t="s">
        <v>103</v>
      </c>
      <c r="M142">
        <v>2057.3166490100002</v>
      </c>
      <c r="N142">
        <v>0</v>
      </c>
      <c r="O142" t="s">
        <v>79</v>
      </c>
      <c r="P142" s="39">
        <v>44334.070165358797</v>
      </c>
      <c r="Q142">
        <v>5939587</v>
      </c>
      <c r="R142" t="s">
        <v>74</v>
      </c>
      <c r="S142" s="4">
        <v>54.318381000000002</v>
      </c>
      <c r="T142">
        <v>70.292952510000006</v>
      </c>
      <c r="U142">
        <v>70.292952510000006</v>
      </c>
      <c r="V142">
        <v>3818.1993764499998</v>
      </c>
      <c r="W142">
        <v>3818.1993764499998</v>
      </c>
      <c r="X142">
        <v>0</v>
      </c>
      <c r="Y142">
        <v>5458.4983368100002</v>
      </c>
      <c r="Z142">
        <v>5458.4983368100002</v>
      </c>
      <c r="AA142">
        <v>0</v>
      </c>
      <c r="AB142">
        <v>0</v>
      </c>
      <c r="AC142" t="s">
        <v>84</v>
      </c>
      <c r="AD142" s="39">
        <v>42491</v>
      </c>
    </row>
    <row r="143" spans="1:30" x14ac:dyDescent="0.25">
      <c r="A143">
        <v>723860</v>
      </c>
      <c r="B143" t="s">
        <v>136</v>
      </c>
      <c r="C143">
        <v>2016</v>
      </c>
      <c r="D143">
        <v>6</v>
      </c>
      <c r="E143" t="s">
        <v>87</v>
      </c>
      <c r="F143" t="s">
        <v>84</v>
      </c>
      <c r="G143" t="s">
        <v>84</v>
      </c>
      <c r="H143" t="s">
        <v>25</v>
      </c>
      <c r="I143" t="s">
        <v>25</v>
      </c>
      <c r="J143" t="s">
        <v>101</v>
      </c>
      <c r="K143" t="s">
        <v>104</v>
      </c>
      <c r="L143" t="s">
        <v>103</v>
      </c>
      <c r="M143">
        <v>1074.09600742</v>
      </c>
      <c r="N143">
        <v>0</v>
      </c>
      <c r="O143" t="s">
        <v>79</v>
      </c>
      <c r="P143" s="39">
        <v>44334.10644262733</v>
      </c>
      <c r="Q143">
        <v>6309599</v>
      </c>
      <c r="R143" t="s">
        <v>74</v>
      </c>
      <c r="S143" s="4">
        <v>28.805456880000001</v>
      </c>
      <c r="T143">
        <v>70.292952510000006</v>
      </c>
      <c r="U143">
        <v>70.292952510000006</v>
      </c>
      <c r="V143">
        <v>2024.8206127399999</v>
      </c>
      <c r="W143">
        <v>2024.8206127399999</v>
      </c>
      <c r="X143">
        <v>0</v>
      </c>
      <c r="Y143">
        <v>5458.4983368100002</v>
      </c>
      <c r="Z143">
        <v>5458.4983368100002</v>
      </c>
      <c r="AA143">
        <v>0</v>
      </c>
      <c r="AB143">
        <v>0</v>
      </c>
      <c r="AC143" t="s">
        <v>84</v>
      </c>
      <c r="AD143" s="39">
        <v>42522</v>
      </c>
    </row>
    <row r="144" spans="1:30" x14ac:dyDescent="0.25">
      <c r="A144">
        <v>723842</v>
      </c>
      <c r="B144" t="s">
        <v>136</v>
      </c>
      <c r="C144">
        <v>2016</v>
      </c>
      <c r="D144">
        <v>6</v>
      </c>
      <c r="E144" t="s">
        <v>85</v>
      </c>
      <c r="F144" t="s">
        <v>84</v>
      </c>
      <c r="G144" t="s">
        <v>84</v>
      </c>
      <c r="H144" t="s">
        <v>25</v>
      </c>
      <c r="I144" t="s">
        <v>25</v>
      </c>
      <c r="J144" t="s">
        <v>101</v>
      </c>
      <c r="K144" t="s">
        <v>102</v>
      </c>
      <c r="L144" t="s">
        <v>103</v>
      </c>
      <c r="M144">
        <v>3755.8750081799999</v>
      </c>
      <c r="N144">
        <v>0</v>
      </c>
      <c r="O144" t="s">
        <v>79</v>
      </c>
      <c r="P144" s="39">
        <v>44334.106442164353</v>
      </c>
      <c r="Q144">
        <v>6309563</v>
      </c>
      <c r="R144" t="s">
        <v>74</v>
      </c>
      <c r="S144" s="4">
        <v>55.828907340000001</v>
      </c>
      <c r="T144">
        <v>70.292952510000006</v>
      </c>
      <c r="U144">
        <v>70.292952510000006</v>
      </c>
      <c r="V144">
        <v>3924.3787328399999</v>
      </c>
      <c r="W144">
        <v>3924.3787328399999</v>
      </c>
      <c r="X144">
        <v>0</v>
      </c>
      <c r="Y144">
        <v>5458.4983368100002</v>
      </c>
      <c r="Z144">
        <v>5458.4983368100002</v>
      </c>
      <c r="AA144">
        <v>0</v>
      </c>
      <c r="AB144">
        <v>0</v>
      </c>
      <c r="AC144" t="s">
        <v>84</v>
      </c>
      <c r="AD144" s="39">
        <v>42522</v>
      </c>
    </row>
    <row r="145" spans="1:30" x14ac:dyDescent="0.25">
      <c r="A145">
        <v>496194</v>
      </c>
      <c r="B145" t="s">
        <v>133</v>
      </c>
      <c r="C145">
        <v>2016</v>
      </c>
      <c r="D145">
        <v>10</v>
      </c>
      <c r="E145" t="s">
        <v>87</v>
      </c>
      <c r="F145" t="s">
        <v>84</v>
      </c>
      <c r="G145" t="s">
        <v>84</v>
      </c>
      <c r="H145" t="s">
        <v>25</v>
      </c>
      <c r="I145" t="s">
        <v>25</v>
      </c>
      <c r="J145" t="s">
        <v>101</v>
      </c>
      <c r="K145" t="s">
        <v>88</v>
      </c>
      <c r="L145" t="s">
        <v>103</v>
      </c>
      <c r="M145">
        <v>420.24133938</v>
      </c>
      <c r="N145">
        <v>0</v>
      </c>
      <c r="O145" t="s">
        <v>79</v>
      </c>
      <c r="P145" s="39">
        <v>44330.098264351851</v>
      </c>
      <c r="Q145">
        <v>4615618</v>
      </c>
      <c r="R145" t="s">
        <v>74</v>
      </c>
      <c r="S145" s="4">
        <v>11.27016924</v>
      </c>
      <c r="T145">
        <v>70.292952510000006</v>
      </c>
      <c r="U145">
        <v>70.292952510000006</v>
      </c>
      <c r="V145">
        <v>792.21347105999996</v>
      </c>
      <c r="W145">
        <v>792.21347105999996</v>
      </c>
      <c r="X145">
        <v>0</v>
      </c>
      <c r="Y145">
        <v>5458.4983368100002</v>
      </c>
      <c r="Z145">
        <v>5458.4983368100002</v>
      </c>
      <c r="AA145">
        <v>0</v>
      </c>
      <c r="AB145">
        <v>0</v>
      </c>
      <c r="AC145" t="s">
        <v>84</v>
      </c>
      <c r="AD145" s="39">
        <v>42644</v>
      </c>
    </row>
    <row r="146" spans="1:30" x14ac:dyDescent="0.25">
      <c r="A146">
        <v>723878</v>
      </c>
      <c r="B146" t="s">
        <v>136</v>
      </c>
      <c r="C146">
        <v>2016</v>
      </c>
      <c r="D146">
        <v>6</v>
      </c>
      <c r="E146" t="s">
        <v>59</v>
      </c>
      <c r="F146" t="s">
        <v>84</v>
      </c>
      <c r="G146" t="s">
        <v>84</v>
      </c>
      <c r="H146" t="s">
        <v>25</v>
      </c>
      <c r="I146" t="s">
        <v>25</v>
      </c>
      <c r="J146" t="s">
        <v>101</v>
      </c>
      <c r="K146" t="s">
        <v>106</v>
      </c>
      <c r="L146" t="s">
        <v>103</v>
      </c>
      <c r="M146">
        <v>1810.25289694</v>
      </c>
      <c r="N146">
        <v>0</v>
      </c>
      <c r="O146" t="s">
        <v>79</v>
      </c>
      <c r="P146" s="39">
        <v>44334.106443090277</v>
      </c>
      <c r="Q146">
        <v>6309635</v>
      </c>
      <c r="R146" t="s">
        <v>74</v>
      </c>
      <c r="S146" s="4">
        <v>47.795270899999998</v>
      </c>
      <c r="T146">
        <v>70.292952510000006</v>
      </c>
      <c r="U146">
        <v>70.292952510000006</v>
      </c>
      <c r="V146">
        <v>3359.6707077900001</v>
      </c>
      <c r="W146">
        <v>3359.6707077900001</v>
      </c>
      <c r="X146">
        <v>0</v>
      </c>
      <c r="Y146">
        <v>5458.4983368100002</v>
      </c>
      <c r="Z146">
        <v>5458.4983368100002</v>
      </c>
      <c r="AA146">
        <v>0</v>
      </c>
      <c r="AB146">
        <v>0</v>
      </c>
      <c r="AC146" t="s">
        <v>84</v>
      </c>
      <c r="AD146" s="39">
        <v>42522</v>
      </c>
    </row>
    <row r="147" spans="1:30" x14ac:dyDescent="0.25">
      <c r="A147">
        <v>730772</v>
      </c>
      <c r="B147" t="s">
        <v>135</v>
      </c>
      <c r="C147">
        <v>2016</v>
      </c>
      <c r="D147">
        <v>7</v>
      </c>
      <c r="E147" t="s">
        <v>85</v>
      </c>
      <c r="F147" t="s">
        <v>84</v>
      </c>
      <c r="G147" t="s">
        <v>84</v>
      </c>
      <c r="H147" t="s">
        <v>25</v>
      </c>
      <c r="I147" t="s">
        <v>25</v>
      </c>
      <c r="J147" t="s">
        <v>101</v>
      </c>
      <c r="K147" t="s">
        <v>102</v>
      </c>
      <c r="L147" t="s">
        <v>103</v>
      </c>
      <c r="M147">
        <v>3778.6930292400002</v>
      </c>
      <c r="N147">
        <v>0</v>
      </c>
      <c r="O147" t="s">
        <v>79</v>
      </c>
      <c r="P147" s="39">
        <v>44334.107074571759</v>
      </c>
      <c r="Q147">
        <v>6360075</v>
      </c>
      <c r="R147" t="s">
        <v>74</v>
      </c>
      <c r="S147" s="4">
        <v>56.168084020000002</v>
      </c>
      <c r="T147">
        <v>70.292952510000006</v>
      </c>
      <c r="U147">
        <v>70.292952510000006</v>
      </c>
      <c r="V147">
        <v>3948.2204625099998</v>
      </c>
      <c r="W147">
        <v>3948.2204625099998</v>
      </c>
      <c r="X147">
        <v>0</v>
      </c>
      <c r="Y147">
        <v>5458.4983368100002</v>
      </c>
      <c r="Z147">
        <v>5458.4983368100002</v>
      </c>
      <c r="AA147">
        <v>0</v>
      </c>
      <c r="AB147">
        <v>0</v>
      </c>
      <c r="AC147" t="s">
        <v>84</v>
      </c>
      <c r="AD147" s="39">
        <v>42552</v>
      </c>
    </row>
    <row r="148" spans="1:30" x14ac:dyDescent="0.25">
      <c r="A148">
        <v>730790</v>
      </c>
      <c r="B148" t="s">
        <v>135</v>
      </c>
      <c r="C148">
        <v>2016</v>
      </c>
      <c r="D148">
        <v>7</v>
      </c>
      <c r="E148" t="s">
        <v>87</v>
      </c>
      <c r="F148" t="s">
        <v>84</v>
      </c>
      <c r="G148" t="s">
        <v>84</v>
      </c>
      <c r="H148" t="s">
        <v>25</v>
      </c>
      <c r="I148" t="s">
        <v>25</v>
      </c>
      <c r="J148" t="s">
        <v>101</v>
      </c>
      <c r="K148" t="s">
        <v>104</v>
      </c>
      <c r="L148" t="s">
        <v>103</v>
      </c>
      <c r="M148">
        <v>1169.0560399599999</v>
      </c>
      <c r="N148">
        <v>0</v>
      </c>
      <c r="O148" t="s">
        <v>79</v>
      </c>
      <c r="P148" s="39">
        <v>44334.107075081018</v>
      </c>
      <c r="Q148">
        <v>6360111</v>
      </c>
      <c r="R148" t="s">
        <v>74</v>
      </c>
      <c r="S148" s="4">
        <v>31.352125990000001</v>
      </c>
      <c r="T148">
        <v>70.292952510000006</v>
      </c>
      <c r="U148">
        <v>70.292952510000006</v>
      </c>
      <c r="V148">
        <v>2203.8335035199998</v>
      </c>
      <c r="W148">
        <v>2203.8335035199998</v>
      </c>
      <c r="X148">
        <v>0</v>
      </c>
      <c r="Y148">
        <v>5458.4983368100002</v>
      </c>
      <c r="Z148">
        <v>5458.4983368100002</v>
      </c>
      <c r="AA148">
        <v>0</v>
      </c>
      <c r="AB148">
        <v>0</v>
      </c>
      <c r="AC148" t="s">
        <v>84</v>
      </c>
      <c r="AD148" s="39">
        <v>42552</v>
      </c>
    </row>
    <row r="149" spans="1:30" x14ac:dyDescent="0.25">
      <c r="A149">
        <v>580771</v>
      </c>
      <c r="B149" t="s">
        <v>137</v>
      </c>
      <c r="C149">
        <v>2017</v>
      </c>
      <c r="D149">
        <v>8</v>
      </c>
      <c r="E149" t="s">
        <v>85</v>
      </c>
      <c r="F149" t="s">
        <v>84</v>
      </c>
      <c r="G149" t="s">
        <v>84</v>
      </c>
      <c r="H149" t="s">
        <v>25</v>
      </c>
      <c r="I149" t="s">
        <v>25</v>
      </c>
      <c r="J149" t="s">
        <v>101</v>
      </c>
      <c r="K149" t="s">
        <v>86</v>
      </c>
      <c r="L149" t="s">
        <v>103</v>
      </c>
      <c r="M149">
        <v>1825.75210223</v>
      </c>
      <c r="N149">
        <v>0</v>
      </c>
      <c r="O149" t="s">
        <v>79</v>
      </c>
      <c r="P149" s="39">
        <v>44330.106720752323</v>
      </c>
      <c r="Q149">
        <v>5313253</v>
      </c>
      <c r="R149" t="s">
        <v>74</v>
      </c>
      <c r="S149" s="4">
        <v>27.138747890000001</v>
      </c>
      <c r="T149">
        <v>69.211605349999999</v>
      </c>
      <c r="U149">
        <v>69.211605349999999</v>
      </c>
      <c r="V149">
        <v>1878.31630857</v>
      </c>
      <c r="W149">
        <v>1878.31630857</v>
      </c>
      <c r="X149">
        <v>0</v>
      </c>
      <c r="Y149">
        <v>5472.0377115299998</v>
      </c>
      <c r="Z149">
        <v>5472.0377115299998</v>
      </c>
      <c r="AA149">
        <v>0</v>
      </c>
      <c r="AB149">
        <v>0</v>
      </c>
      <c r="AC149" t="s">
        <v>84</v>
      </c>
      <c r="AD149" s="39">
        <v>42948</v>
      </c>
    </row>
    <row r="150" spans="1:30" x14ac:dyDescent="0.25">
      <c r="A150">
        <v>580793</v>
      </c>
      <c r="B150" t="s">
        <v>137</v>
      </c>
      <c r="C150">
        <v>2017</v>
      </c>
      <c r="D150">
        <v>8</v>
      </c>
      <c r="E150" t="s">
        <v>87</v>
      </c>
      <c r="F150" t="s">
        <v>84</v>
      </c>
      <c r="G150" t="s">
        <v>84</v>
      </c>
      <c r="H150" t="s">
        <v>25</v>
      </c>
      <c r="I150" t="s">
        <v>25</v>
      </c>
      <c r="J150" t="s">
        <v>101</v>
      </c>
      <c r="K150" t="s">
        <v>88</v>
      </c>
      <c r="L150" t="s">
        <v>103</v>
      </c>
      <c r="M150">
        <v>317.95009379999999</v>
      </c>
      <c r="N150">
        <v>0</v>
      </c>
      <c r="O150" t="s">
        <v>79</v>
      </c>
      <c r="P150" s="39">
        <v>44330.106721331023</v>
      </c>
      <c r="Q150">
        <v>5313297</v>
      </c>
      <c r="R150" t="s">
        <v>74</v>
      </c>
      <c r="S150" s="4">
        <v>8.5268892699999999</v>
      </c>
      <c r="T150">
        <v>69.211605349999999</v>
      </c>
      <c r="U150">
        <v>69.211605349999999</v>
      </c>
      <c r="V150">
        <v>590.15969482000003</v>
      </c>
      <c r="W150">
        <v>590.15969482000003</v>
      </c>
      <c r="X150">
        <v>0</v>
      </c>
      <c r="Y150">
        <v>5472.0377115299998</v>
      </c>
      <c r="Z150">
        <v>5472.0377115299998</v>
      </c>
      <c r="AA150">
        <v>0</v>
      </c>
      <c r="AB150">
        <v>0</v>
      </c>
      <c r="AC150" t="s">
        <v>84</v>
      </c>
      <c r="AD150" s="39">
        <v>42948</v>
      </c>
    </row>
    <row r="151" spans="1:30" x14ac:dyDescent="0.25">
      <c r="A151">
        <v>580815</v>
      </c>
      <c r="B151" t="s">
        <v>137</v>
      </c>
      <c r="C151">
        <v>2017</v>
      </c>
      <c r="D151">
        <v>8</v>
      </c>
      <c r="E151" t="s">
        <v>89</v>
      </c>
      <c r="F151" t="s">
        <v>84</v>
      </c>
      <c r="G151" t="s">
        <v>84</v>
      </c>
      <c r="H151" t="s">
        <v>25</v>
      </c>
      <c r="I151" t="s">
        <v>25</v>
      </c>
      <c r="J151" t="s">
        <v>101</v>
      </c>
      <c r="K151" t="s">
        <v>90</v>
      </c>
      <c r="L151" t="s">
        <v>103</v>
      </c>
      <c r="M151">
        <v>1252.6346749899999</v>
      </c>
      <c r="N151">
        <v>0</v>
      </c>
      <c r="O151" t="s">
        <v>79</v>
      </c>
      <c r="P151" s="39">
        <v>44330.106721909717</v>
      </c>
      <c r="Q151">
        <v>5313341</v>
      </c>
      <c r="R151" t="s">
        <v>74</v>
      </c>
      <c r="S151" s="4">
        <v>33.072734609999998</v>
      </c>
      <c r="T151">
        <v>69.211605349999999</v>
      </c>
      <c r="U151">
        <v>69.211605349999999</v>
      </c>
      <c r="V151">
        <v>2289.0170553900002</v>
      </c>
      <c r="W151">
        <v>2289.0170553900002</v>
      </c>
      <c r="X151">
        <v>0</v>
      </c>
      <c r="Y151">
        <v>5472.0377115299998</v>
      </c>
      <c r="Z151">
        <v>5472.0377115299998</v>
      </c>
      <c r="AA151">
        <v>0</v>
      </c>
      <c r="AB151">
        <v>0</v>
      </c>
      <c r="AC151" t="s">
        <v>84</v>
      </c>
      <c r="AD151" s="39">
        <v>42948</v>
      </c>
    </row>
    <row r="152" spans="1:30" x14ac:dyDescent="0.25">
      <c r="A152">
        <v>456438</v>
      </c>
      <c r="B152" t="s">
        <v>138</v>
      </c>
      <c r="C152">
        <v>2017</v>
      </c>
      <c r="D152">
        <v>12</v>
      </c>
      <c r="E152" t="s">
        <v>87</v>
      </c>
      <c r="F152" t="s">
        <v>84</v>
      </c>
      <c r="G152" t="s">
        <v>84</v>
      </c>
      <c r="H152" t="s">
        <v>25</v>
      </c>
      <c r="I152" t="s">
        <v>25</v>
      </c>
      <c r="J152" t="s">
        <v>101</v>
      </c>
      <c r="K152" t="s">
        <v>88</v>
      </c>
      <c r="L152" t="s">
        <v>103</v>
      </c>
      <c r="M152">
        <v>326.92489831</v>
      </c>
      <c r="N152">
        <v>0</v>
      </c>
      <c r="O152" t="s">
        <v>79</v>
      </c>
      <c r="P152" s="39">
        <v>44284.5268440625</v>
      </c>
      <c r="Q152">
        <v>4320961</v>
      </c>
      <c r="R152" t="s">
        <v>74</v>
      </c>
      <c r="S152" s="4">
        <v>8.7675785000000008</v>
      </c>
      <c r="T152">
        <v>69.2167824</v>
      </c>
      <c r="U152">
        <v>69.2167824</v>
      </c>
      <c r="V152">
        <v>606.86357326999996</v>
      </c>
      <c r="W152">
        <v>606.86357326999996</v>
      </c>
      <c r="X152">
        <v>0</v>
      </c>
      <c r="Y152">
        <v>5472.4470220599997</v>
      </c>
      <c r="Z152">
        <v>5472.4470220599997</v>
      </c>
      <c r="AA152">
        <v>0</v>
      </c>
      <c r="AB152">
        <v>0</v>
      </c>
      <c r="AC152" t="s">
        <v>84</v>
      </c>
      <c r="AD152" s="39">
        <v>43070</v>
      </c>
    </row>
    <row r="153" spans="1:30" x14ac:dyDescent="0.25">
      <c r="A153">
        <v>456416</v>
      </c>
      <c r="B153" t="s">
        <v>138</v>
      </c>
      <c r="C153">
        <v>2017</v>
      </c>
      <c r="D153">
        <v>12</v>
      </c>
      <c r="E153" t="s">
        <v>85</v>
      </c>
      <c r="F153" t="s">
        <v>84</v>
      </c>
      <c r="G153" t="s">
        <v>84</v>
      </c>
      <c r="H153" t="s">
        <v>25</v>
      </c>
      <c r="I153" t="s">
        <v>25</v>
      </c>
      <c r="J153" t="s">
        <v>101</v>
      </c>
      <c r="K153" t="s">
        <v>86</v>
      </c>
      <c r="L153" t="s">
        <v>103</v>
      </c>
      <c r="M153">
        <v>1221.88235865</v>
      </c>
      <c r="N153">
        <v>0</v>
      </c>
      <c r="O153" t="s">
        <v>79</v>
      </c>
      <c r="P153" s="39">
        <v>44284.526843402768</v>
      </c>
      <c r="Q153">
        <v>4320917</v>
      </c>
      <c r="R153" t="s">
        <v>74</v>
      </c>
      <c r="S153" s="4">
        <v>18.16257379</v>
      </c>
      <c r="T153">
        <v>69.2167824</v>
      </c>
      <c r="U153">
        <v>69.2167824</v>
      </c>
      <c r="V153">
        <v>1257.15491802</v>
      </c>
      <c r="W153">
        <v>1257.15491802</v>
      </c>
      <c r="X153">
        <v>0</v>
      </c>
      <c r="Y153">
        <v>5472.4470220599997</v>
      </c>
      <c r="Z153">
        <v>5472.4470220599997</v>
      </c>
      <c r="AA153">
        <v>0</v>
      </c>
      <c r="AB153">
        <v>0</v>
      </c>
      <c r="AC153" t="s">
        <v>84</v>
      </c>
      <c r="AD153" s="39">
        <v>43070</v>
      </c>
    </row>
    <row r="154" spans="1:30" x14ac:dyDescent="0.25">
      <c r="A154">
        <v>456460</v>
      </c>
      <c r="B154" t="s">
        <v>138</v>
      </c>
      <c r="C154">
        <v>2017</v>
      </c>
      <c r="D154">
        <v>12</v>
      </c>
      <c r="E154" t="s">
        <v>89</v>
      </c>
      <c r="F154" t="s">
        <v>84</v>
      </c>
      <c r="G154" t="s">
        <v>84</v>
      </c>
      <c r="H154" t="s">
        <v>25</v>
      </c>
      <c r="I154" t="s">
        <v>25</v>
      </c>
      <c r="J154" t="s">
        <v>101</v>
      </c>
      <c r="K154" t="s">
        <v>90</v>
      </c>
      <c r="L154" t="s">
        <v>103</v>
      </c>
      <c r="M154">
        <v>577.39533010000002</v>
      </c>
      <c r="N154">
        <v>0</v>
      </c>
      <c r="O154" t="s">
        <v>79</v>
      </c>
      <c r="P154" s="39">
        <v>44284.52684471065</v>
      </c>
      <c r="Q154">
        <v>4321005</v>
      </c>
      <c r="R154" t="s">
        <v>74</v>
      </c>
      <c r="S154" s="4">
        <v>15.244702139999999</v>
      </c>
      <c r="T154">
        <v>69.2167824</v>
      </c>
      <c r="U154">
        <v>69.2167824</v>
      </c>
      <c r="V154">
        <v>1055.1892310999999</v>
      </c>
      <c r="W154">
        <v>1055.1892310999999</v>
      </c>
      <c r="X154">
        <v>0</v>
      </c>
      <c r="Y154">
        <v>5472.4470220599997</v>
      </c>
      <c r="Z154">
        <v>5472.4470220599997</v>
      </c>
      <c r="AA154">
        <v>0</v>
      </c>
      <c r="AB154">
        <v>0</v>
      </c>
      <c r="AC154" t="s">
        <v>84</v>
      </c>
      <c r="AD154" s="39">
        <v>43070</v>
      </c>
    </row>
    <row r="155" spans="1:30" x14ac:dyDescent="0.25">
      <c r="A155">
        <v>86397</v>
      </c>
      <c r="B155" t="s">
        <v>126</v>
      </c>
      <c r="C155">
        <v>2018</v>
      </c>
      <c r="D155">
        <v>6</v>
      </c>
      <c r="E155" t="s">
        <v>89</v>
      </c>
      <c r="F155" t="s">
        <v>84</v>
      </c>
      <c r="G155" t="s">
        <v>84</v>
      </c>
      <c r="H155" t="s">
        <v>25</v>
      </c>
      <c r="I155" t="s">
        <v>25</v>
      </c>
      <c r="J155" t="s">
        <v>101</v>
      </c>
      <c r="K155" t="s">
        <v>90</v>
      </c>
      <c r="L155" t="s">
        <v>103</v>
      </c>
      <c r="M155">
        <v>915.94283647999998</v>
      </c>
      <c r="N155">
        <v>0</v>
      </c>
      <c r="O155" t="s">
        <v>79</v>
      </c>
      <c r="P155" s="39">
        <v>44269.847218599527</v>
      </c>
      <c r="Q155">
        <v>783297</v>
      </c>
      <c r="R155" t="s">
        <v>82</v>
      </c>
      <c r="S155" s="4">
        <v>914.24873505999994</v>
      </c>
      <c r="T155">
        <v>68.889948759999996</v>
      </c>
      <c r="U155">
        <v>68.889948759999996</v>
      </c>
      <c r="V155">
        <v>62982.548515980001</v>
      </c>
      <c r="W155">
        <v>62982.548515980008</v>
      </c>
      <c r="X155">
        <v>0</v>
      </c>
      <c r="Y155">
        <v>5476.73462466</v>
      </c>
      <c r="Z155">
        <v>5476.73462466</v>
      </c>
      <c r="AA155">
        <v>0</v>
      </c>
      <c r="AB155">
        <v>0</v>
      </c>
      <c r="AC155" t="s">
        <v>84</v>
      </c>
      <c r="AD155" s="39">
        <v>43252</v>
      </c>
    </row>
    <row r="156" spans="1:30" x14ac:dyDescent="0.25">
      <c r="A156">
        <v>86373</v>
      </c>
      <c r="B156" t="s">
        <v>126</v>
      </c>
      <c r="C156">
        <v>2018</v>
      </c>
      <c r="D156">
        <v>6</v>
      </c>
      <c r="E156" t="s">
        <v>87</v>
      </c>
      <c r="F156" t="s">
        <v>84</v>
      </c>
      <c r="G156" t="s">
        <v>84</v>
      </c>
      <c r="H156" t="s">
        <v>25</v>
      </c>
      <c r="I156" t="s">
        <v>25</v>
      </c>
      <c r="J156" t="s">
        <v>101</v>
      </c>
      <c r="K156" t="s">
        <v>88</v>
      </c>
      <c r="L156" t="s">
        <v>103</v>
      </c>
      <c r="M156">
        <v>349.81857975999998</v>
      </c>
      <c r="N156">
        <v>0</v>
      </c>
      <c r="O156" t="s">
        <v>79</v>
      </c>
      <c r="P156" s="39">
        <v>44269.847217708331</v>
      </c>
      <c r="Q156">
        <v>783249</v>
      </c>
      <c r="R156" t="s">
        <v>82</v>
      </c>
      <c r="S156" s="4">
        <v>349.02825675000003</v>
      </c>
      <c r="T156">
        <v>68.889948759999996</v>
      </c>
      <c r="U156">
        <v>68.889948759999996</v>
      </c>
      <c r="V156">
        <v>24044.53872461</v>
      </c>
      <c r="W156">
        <v>24044.53872461</v>
      </c>
      <c r="X156">
        <v>0</v>
      </c>
      <c r="Y156">
        <v>5476.73462466</v>
      </c>
      <c r="Z156">
        <v>5476.73462466</v>
      </c>
      <c r="AA156">
        <v>0</v>
      </c>
      <c r="AB156">
        <v>0</v>
      </c>
      <c r="AC156" t="s">
        <v>84</v>
      </c>
      <c r="AD156" s="39">
        <v>43252</v>
      </c>
    </row>
    <row r="157" spans="1:30" x14ac:dyDescent="0.25">
      <c r="A157">
        <v>86349</v>
      </c>
      <c r="B157" t="s">
        <v>126</v>
      </c>
      <c r="C157">
        <v>2018</v>
      </c>
      <c r="D157">
        <v>6</v>
      </c>
      <c r="E157" t="s">
        <v>85</v>
      </c>
      <c r="F157" t="s">
        <v>84</v>
      </c>
      <c r="G157" t="s">
        <v>84</v>
      </c>
      <c r="H157" t="s">
        <v>25</v>
      </c>
      <c r="I157" t="s">
        <v>25</v>
      </c>
      <c r="J157" t="s">
        <v>101</v>
      </c>
      <c r="K157" t="s">
        <v>86</v>
      </c>
      <c r="L157" t="s">
        <v>103</v>
      </c>
      <c r="M157">
        <v>1943.0653741900001</v>
      </c>
      <c r="N157">
        <v>0</v>
      </c>
      <c r="O157" t="s">
        <v>79</v>
      </c>
      <c r="P157" s="39">
        <v>44269.847216898153</v>
      </c>
      <c r="Q157">
        <v>783201</v>
      </c>
      <c r="R157" t="s">
        <v>82</v>
      </c>
      <c r="S157" s="4">
        <v>1961.56073631</v>
      </c>
      <c r="T157">
        <v>68.889948759999996</v>
      </c>
      <c r="U157">
        <v>68.889948759999996</v>
      </c>
      <c r="V157">
        <v>135131.81862219999</v>
      </c>
      <c r="W157">
        <v>135131.81862219999</v>
      </c>
      <c r="X157">
        <v>0</v>
      </c>
      <c r="Y157">
        <v>5476.73462466</v>
      </c>
      <c r="Z157">
        <v>5476.73462466</v>
      </c>
      <c r="AA157">
        <v>0</v>
      </c>
      <c r="AB157">
        <v>0</v>
      </c>
      <c r="AC157" t="s">
        <v>84</v>
      </c>
      <c r="AD157" s="39">
        <v>43252</v>
      </c>
    </row>
    <row r="158" spans="1:30" x14ac:dyDescent="0.25">
      <c r="A158">
        <v>100242</v>
      </c>
      <c r="B158" t="s">
        <v>139</v>
      </c>
      <c r="C158">
        <v>2018</v>
      </c>
      <c r="D158">
        <v>7</v>
      </c>
      <c r="E158" t="s">
        <v>89</v>
      </c>
      <c r="F158" t="s">
        <v>84</v>
      </c>
      <c r="G158" t="s">
        <v>84</v>
      </c>
      <c r="H158" t="s">
        <v>25</v>
      </c>
      <c r="I158" t="s">
        <v>25</v>
      </c>
      <c r="J158" t="s">
        <v>101</v>
      </c>
      <c r="K158" t="s">
        <v>90</v>
      </c>
      <c r="L158" t="s">
        <v>103</v>
      </c>
      <c r="M158">
        <v>953.47078386999999</v>
      </c>
      <c r="N158">
        <v>0</v>
      </c>
      <c r="O158" t="s">
        <v>80</v>
      </c>
      <c r="P158" s="39">
        <v>44269.848710416663</v>
      </c>
      <c r="Q158">
        <v>913753</v>
      </c>
      <c r="R158" t="s">
        <v>81</v>
      </c>
      <c r="S158" s="4">
        <v>188.52696423</v>
      </c>
      <c r="T158">
        <v>68.403002279999995</v>
      </c>
      <c r="U158">
        <v>68.403002279999995</v>
      </c>
      <c r="V158">
        <v>12895.810363639999</v>
      </c>
      <c r="W158">
        <v>12895.810363639999</v>
      </c>
      <c r="X158">
        <v>0</v>
      </c>
      <c r="Y158">
        <v>5511.7571433499998</v>
      </c>
      <c r="Z158">
        <v>5511.7571433499998</v>
      </c>
      <c r="AA158">
        <v>0</v>
      </c>
      <c r="AB158">
        <v>0</v>
      </c>
      <c r="AC158" t="s">
        <v>84</v>
      </c>
      <c r="AD158" s="39">
        <v>43282</v>
      </c>
    </row>
    <row r="159" spans="1:30" x14ac:dyDescent="0.25">
      <c r="A159">
        <v>100218</v>
      </c>
      <c r="B159" t="s">
        <v>139</v>
      </c>
      <c r="C159">
        <v>2018</v>
      </c>
      <c r="D159">
        <v>7</v>
      </c>
      <c r="E159" t="s">
        <v>87</v>
      </c>
      <c r="F159" t="s">
        <v>84</v>
      </c>
      <c r="G159" t="s">
        <v>84</v>
      </c>
      <c r="H159" t="s">
        <v>25</v>
      </c>
      <c r="I159" t="s">
        <v>25</v>
      </c>
      <c r="J159" t="s">
        <v>101</v>
      </c>
      <c r="K159" t="s">
        <v>88</v>
      </c>
      <c r="L159" t="s">
        <v>103</v>
      </c>
      <c r="M159">
        <v>347.46938798999997</v>
      </c>
      <c r="N159">
        <v>0</v>
      </c>
      <c r="O159" t="s">
        <v>80</v>
      </c>
      <c r="P159" s="39">
        <v>44269.848709224527</v>
      </c>
      <c r="Q159">
        <v>913633</v>
      </c>
      <c r="R159" t="s">
        <v>81</v>
      </c>
      <c r="S159" s="4">
        <v>71.881931199999997</v>
      </c>
      <c r="T159">
        <v>68.403002279999995</v>
      </c>
      <c r="U159">
        <v>68.403002279999995</v>
      </c>
      <c r="V159">
        <v>4916.9399033299997</v>
      </c>
      <c r="W159">
        <v>4916.9399033299997</v>
      </c>
      <c r="X159">
        <v>0</v>
      </c>
      <c r="Y159">
        <v>5511.7571433499998</v>
      </c>
      <c r="Z159">
        <v>5511.7571433499998</v>
      </c>
      <c r="AA159">
        <v>0</v>
      </c>
      <c r="AB159">
        <v>0</v>
      </c>
      <c r="AC159" t="s">
        <v>84</v>
      </c>
      <c r="AD159" s="39">
        <v>43282</v>
      </c>
    </row>
    <row r="160" spans="1:30" x14ac:dyDescent="0.25">
      <c r="A160">
        <v>100194</v>
      </c>
      <c r="B160" t="s">
        <v>139</v>
      </c>
      <c r="C160">
        <v>2018</v>
      </c>
      <c r="D160">
        <v>7</v>
      </c>
      <c r="E160" t="s">
        <v>85</v>
      </c>
      <c r="F160" t="s">
        <v>84</v>
      </c>
      <c r="G160" t="s">
        <v>84</v>
      </c>
      <c r="H160" t="s">
        <v>25</v>
      </c>
      <c r="I160" t="s">
        <v>25</v>
      </c>
      <c r="J160" t="s">
        <v>101</v>
      </c>
      <c r="K160" t="s">
        <v>86</v>
      </c>
      <c r="L160" t="s">
        <v>103</v>
      </c>
      <c r="M160">
        <v>1870.62563673</v>
      </c>
      <c r="N160">
        <v>0</v>
      </c>
      <c r="O160" t="s">
        <v>80</v>
      </c>
      <c r="P160" s="39">
        <v>44269.848707986108</v>
      </c>
      <c r="Q160">
        <v>913513</v>
      </c>
      <c r="R160" t="s">
        <v>81</v>
      </c>
      <c r="S160" s="4">
        <v>383.70225341999998</v>
      </c>
      <c r="T160">
        <v>68.403002279999995</v>
      </c>
      <c r="U160">
        <v>68.403002279999995</v>
      </c>
      <c r="V160">
        <v>26246.386115189998</v>
      </c>
      <c r="W160">
        <v>26246.386115189998</v>
      </c>
      <c r="X160">
        <v>0</v>
      </c>
      <c r="Y160">
        <v>5511.7571433499998</v>
      </c>
      <c r="Z160">
        <v>5511.7571433499998</v>
      </c>
      <c r="AA160">
        <v>0</v>
      </c>
      <c r="AB160">
        <v>0</v>
      </c>
      <c r="AC160" t="s">
        <v>84</v>
      </c>
      <c r="AD160" s="39">
        <v>43282</v>
      </c>
    </row>
    <row r="161" spans="1:30" x14ac:dyDescent="0.25">
      <c r="A161">
        <v>130342</v>
      </c>
      <c r="B161" t="s">
        <v>114</v>
      </c>
      <c r="C161">
        <v>2018</v>
      </c>
      <c r="D161">
        <v>10</v>
      </c>
      <c r="E161" t="s">
        <v>89</v>
      </c>
      <c r="F161" t="s">
        <v>84</v>
      </c>
      <c r="G161" t="s">
        <v>84</v>
      </c>
      <c r="H161" t="s">
        <v>25</v>
      </c>
      <c r="I161" t="s">
        <v>25</v>
      </c>
      <c r="J161" t="s">
        <v>101</v>
      </c>
      <c r="K161" t="s">
        <v>90</v>
      </c>
      <c r="L161" t="s">
        <v>103</v>
      </c>
      <c r="M161">
        <v>879.43208655000001</v>
      </c>
      <c r="N161">
        <v>0</v>
      </c>
      <c r="O161" t="s">
        <v>80</v>
      </c>
      <c r="P161" s="39">
        <v>44269.852574803241</v>
      </c>
      <c r="Q161">
        <v>1193221</v>
      </c>
      <c r="R161" t="s">
        <v>91</v>
      </c>
      <c r="S161" s="4">
        <v>10.228214250000001</v>
      </c>
      <c r="T161">
        <v>69.013284440000007</v>
      </c>
      <c r="U161">
        <v>69.013284440000007</v>
      </c>
      <c r="V161">
        <v>705.88265973</v>
      </c>
      <c r="W161">
        <v>705.88265973</v>
      </c>
      <c r="X161">
        <v>0</v>
      </c>
      <c r="Y161">
        <v>5519.9499535200002</v>
      </c>
      <c r="Z161">
        <v>5519.9499535200002</v>
      </c>
      <c r="AA161">
        <v>0</v>
      </c>
      <c r="AB161">
        <v>0</v>
      </c>
      <c r="AC161" t="s">
        <v>84</v>
      </c>
      <c r="AD161" s="39">
        <v>43374</v>
      </c>
    </row>
    <row r="162" spans="1:30" x14ac:dyDescent="0.25">
      <c r="A162">
        <v>130318</v>
      </c>
      <c r="B162" t="s">
        <v>114</v>
      </c>
      <c r="C162">
        <v>2018</v>
      </c>
      <c r="D162">
        <v>10</v>
      </c>
      <c r="E162" t="s">
        <v>87</v>
      </c>
      <c r="F162" t="s">
        <v>84</v>
      </c>
      <c r="G162" t="s">
        <v>84</v>
      </c>
      <c r="H162" t="s">
        <v>25</v>
      </c>
      <c r="I162" t="s">
        <v>25</v>
      </c>
      <c r="J162" t="s">
        <v>101</v>
      </c>
      <c r="K162" t="s">
        <v>88</v>
      </c>
      <c r="L162" t="s">
        <v>103</v>
      </c>
      <c r="M162">
        <v>333.40243543999998</v>
      </c>
      <c r="N162">
        <v>0</v>
      </c>
      <c r="O162" t="s">
        <v>80</v>
      </c>
      <c r="P162" s="39">
        <v>44269.852573611111</v>
      </c>
      <c r="Q162">
        <v>1193101</v>
      </c>
      <c r="R162" t="s">
        <v>91</v>
      </c>
      <c r="S162" s="4">
        <v>0</v>
      </c>
      <c r="T162">
        <v>69.013284440000007</v>
      </c>
      <c r="U162">
        <v>69.013284440000007</v>
      </c>
      <c r="V162">
        <v>0</v>
      </c>
      <c r="W162">
        <v>0</v>
      </c>
      <c r="X162">
        <v>0</v>
      </c>
      <c r="Y162">
        <v>5519.9499535200002</v>
      </c>
      <c r="Z162">
        <v>5519.9499535200002</v>
      </c>
      <c r="AA162">
        <v>0</v>
      </c>
      <c r="AB162">
        <v>0</v>
      </c>
      <c r="AC162" t="s">
        <v>84</v>
      </c>
      <c r="AD162" s="39">
        <v>43374</v>
      </c>
    </row>
    <row r="163" spans="1:30" x14ac:dyDescent="0.25">
      <c r="A163">
        <v>144880</v>
      </c>
      <c r="B163" t="s">
        <v>115</v>
      </c>
      <c r="C163">
        <v>2018</v>
      </c>
      <c r="D163">
        <v>11</v>
      </c>
      <c r="E163" t="s">
        <v>89</v>
      </c>
      <c r="F163" t="s">
        <v>84</v>
      </c>
      <c r="G163" t="s">
        <v>84</v>
      </c>
      <c r="H163" t="s">
        <v>25</v>
      </c>
      <c r="I163" t="s">
        <v>25</v>
      </c>
      <c r="J163" t="s">
        <v>101</v>
      </c>
      <c r="K163" t="s">
        <v>90</v>
      </c>
      <c r="L163" t="s">
        <v>103</v>
      </c>
      <c r="M163">
        <v>1036.3887642100001</v>
      </c>
      <c r="N163">
        <v>0</v>
      </c>
      <c r="O163" t="s">
        <v>80</v>
      </c>
      <c r="P163" s="39">
        <v>44269.854264965281</v>
      </c>
      <c r="Q163">
        <v>1337181</v>
      </c>
      <c r="R163" t="s">
        <v>91</v>
      </c>
      <c r="S163" s="4">
        <v>12.053695210000001</v>
      </c>
      <c r="T163">
        <v>69.013284440000007</v>
      </c>
      <c r="U163">
        <v>69.013284440000007</v>
      </c>
      <c r="V163">
        <v>831.86509633000003</v>
      </c>
      <c r="W163">
        <v>831.86509633000003</v>
      </c>
      <c r="X163">
        <v>0</v>
      </c>
      <c r="Y163">
        <v>5519.9499535200002</v>
      </c>
      <c r="Z163">
        <v>5519.9499535200002</v>
      </c>
      <c r="AA163">
        <v>0</v>
      </c>
      <c r="AB163">
        <v>0</v>
      </c>
      <c r="AC163" t="s">
        <v>84</v>
      </c>
      <c r="AD163" s="39">
        <v>43405</v>
      </c>
    </row>
    <row r="164" spans="1:30" x14ac:dyDescent="0.25">
      <c r="A164">
        <v>144832</v>
      </c>
      <c r="B164" t="s">
        <v>115</v>
      </c>
      <c r="C164">
        <v>2018</v>
      </c>
      <c r="D164">
        <v>11</v>
      </c>
      <c r="E164" t="s">
        <v>85</v>
      </c>
      <c r="F164" t="s">
        <v>84</v>
      </c>
      <c r="G164" t="s">
        <v>84</v>
      </c>
      <c r="H164" t="s">
        <v>25</v>
      </c>
      <c r="I164" t="s">
        <v>25</v>
      </c>
      <c r="J164" t="s">
        <v>101</v>
      </c>
      <c r="K164" t="s">
        <v>86</v>
      </c>
      <c r="L164" t="s">
        <v>103</v>
      </c>
      <c r="M164">
        <v>1939.5207746900001</v>
      </c>
      <c r="N164">
        <v>0</v>
      </c>
      <c r="O164" t="s">
        <v>80</v>
      </c>
      <c r="P164" s="39">
        <v>44269.854262534733</v>
      </c>
      <c r="Q164">
        <v>1336941</v>
      </c>
      <c r="R164" t="s">
        <v>91</v>
      </c>
      <c r="S164" s="4">
        <v>18.045206960000002</v>
      </c>
      <c r="T164">
        <v>69.013284440000007</v>
      </c>
      <c r="U164">
        <v>69.013284440000007</v>
      </c>
      <c r="V164">
        <v>1245.3590009699999</v>
      </c>
      <c r="W164">
        <v>1245.3590009699999</v>
      </c>
      <c r="X164">
        <v>0</v>
      </c>
      <c r="Y164">
        <v>5519.9499535200002</v>
      </c>
      <c r="Z164">
        <v>5519.9499535200002</v>
      </c>
      <c r="AA164">
        <v>0</v>
      </c>
      <c r="AB164">
        <v>0</v>
      </c>
      <c r="AC164" t="s">
        <v>84</v>
      </c>
      <c r="AD164" s="39">
        <v>43405</v>
      </c>
    </row>
    <row r="165" spans="1:30" x14ac:dyDescent="0.25">
      <c r="A165">
        <v>119638</v>
      </c>
      <c r="B165" t="s">
        <v>113</v>
      </c>
      <c r="C165">
        <v>2018</v>
      </c>
      <c r="D165">
        <v>9</v>
      </c>
      <c r="E165" t="s">
        <v>87</v>
      </c>
      <c r="F165" t="s">
        <v>84</v>
      </c>
      <c r="G165" t="s">
        <v>84</v>
      </c>
      <c r="H165" t="s">
        <v>25</v>
      </c>
      <c r="I165" t="s">
        <v>25</v>
      </c>
      <c r="J165" t="s">
        <v>101</v>
      </c>
      <c r="K165" t="s">
        <v>88</v>
      </c>
      <c r="L165" t="s">
        <v>103</v>
      </c>
      <c r="M165">
        <v>316.65874517999998</v>
      </c>
      <c r="N165">
        <v>0</v>
      </c>
      <c r="O165" t="s">
        <v>80</v>
      </c>
      <c r="P165" s="39">
        <v>44269.85110659722</v>
      </c>
      <c r="Q165">
        <v>1081729</v>
      </c>
      <c r="R165" t="s">
        <v>91</v>
      </c>
      <c r="S165" s="4">
        <v>0</v>
      </c>
      <c r="T165">
        <v>69.013284440000007</v>
      </c>
      <c r="U165">
        <v>69.013284440000007</v>
      </c>
      <c r="V165">
        <v>0</v>
      </c>
      <c r="W165">
        <v>0</v>
      </c>
      <c r="X165">
        <v>0</v>
      </c>
      <c r="Y165">
        <v>5519.9499535200002</v>
      </c>
      <c r="Z165">
        <v>5519.9499535200002</v>
      </c>
      <c r="AA165">
        <v>0</v>
      </c>
      <c r="AB165">
        <v>0</v>
      </c>
      <c r="AC165" t="s">
        <v>84</v>
      </c>
      <c r="AD165" s="39">
        <v>43344</v>
      </c>
    </row>
    <row r="166" spans="1:30" x14ac:dyDescent="0.25">
      <c r="A166">
        <v>130294</v>
      </c>
      <c r="B166" t="s">
        <v>114</v>
      </c>
      <c r="C166">
        <v>2018</v>
      </c>
      <c r="D166">
        <v>10</v>
      </c>
      <c r="E166" t="s">
        <v>85</v>
      </c>
      <c r="F166" t="s">
        <v>84</v>
      </c>
      <c r="G166" t="s">
        <v>84</v>
      </c>
      <c r="H166" t="s">
        <v>25</v>
      </c>
      <c r="I166" t="s">
        <v>25</v>
      </c>
      <c r="J166" t="s">
        <v>101</v>
      </c>
      <c r="K166" t="s">
        <v>86</v>
      </c>
      <c r="L166" t="s">
        <v>103</v>
      </c>
      <c r="M166">
        <v>1428.8615156599999</v>
      </c>
      <c r="N166">
        <v>0</v>
      </c>
      <c r="O166" t="s">
        <v>80</v>
      </c>
      <c r="P166" s="39">
        <v>44269.8525723727</v>
      </c>
      <c r="Q166">
        <v>1192981</v>
      </c>
      <c r="R166" t="s">
        <v>91</v>
      </c>
      <c r="S166" s="4">
        <v>13.29405805</v>
      </c>
      <c r="T166">
        <v>69.013284440000007</v>
      </c>
      <c r="U166">
        <v>69.013284440000007</v>
      </c>
      <c r="V166">
        <v>917.46660972999996</v>
      </c>
      <c r="W166">
        <v>917.46660972999996</v>
      </c>
      <c r="X166">
        <v>0</v>
      </c>
      <c r="Y166">
        <v>5519.9499535200002</v>
      </c>
      <c r="Z166">
        <v>5519.9499535200002</v>
      </c>
      <c r="AA166">
        <v>0</v>
      </c>
      <c r="AB166">
        <v>0</v>
      </c>
      <c r="AC166" t="s">
        <v>84</v>
      </c>
      <c r="AD166" s="39">
        <v>43374</v>
      </c>
    </row>
    <row r="167" spans="1:30" x14ac:dyDescent="0.25">
      <c r="A167">
        <v>443833</v>
      </c>
      <c r="B167" t="s">
        <v>116</v>
      </c>
      <c r="C167">
        <v>2018</v>
      </c>
      <c r="D167">
        <v>12</v>
      </c>
      <c r="E167" t="s">
        <v>89</v>
      </c>
      <c r="F167" t="s">
        <v>84</v>
      </c>
      <c r="G167" t="s">
        <v>84</v>
      </c>
      <c r="H167" t="s">
        <v>25</v>
      </c>
      <c r="I167" t="s">
        <v>25</v>
      </c>
      <c r="J167" t="s">
        <v>101</v>
      </c>
      <c r="K167" t="s">
        <v>90</v>
      </c>
      <c r="L167" t="s">
        <v>103</v>
      </c>
      <c r="M167">
        <v>1153.4816149200001</v>
      </c>
      <c r="N167">
        <v>0</v>
      </c>
      <c r="O167" t="s">
        <v>80</v>
      </c>
      <c r="P167" s="39">
        <v>44284.51458221065</v>
      </c>
      <c r="Q167">
        <v>4215480</v>
      </c>
      <c r="R167" t="s">
        <v>91</v>
      </c>
      <c r="S167" s="4">
        <v>13.415540869999999</v>
      </c>
      <c r="T167">
        <v>69.013284440000007</v>
      </c>
      <c r="U167">
        <v>69.013284440000007</v>
      </c>
      <c r="V167">
        <v>925.85053779999998</v>
      </c>
      <c r="W167">
        <v>925.85053779999998</v>
      </c>
      <c r="X167">
        <v>0</v>
      </c>
      <c r="Y167">
        <v>5519.9499535200002</v>
      </c>
      <c r="Z167">
        <v>5519.9499535200002</v>
      </c>
      <c r="AA167">
        <v>0</v>
      </c>
      <c r="AB167">
        <v>0</v>
      </c>
      <c r="AC167" t="s">
        <v>84</v>
      </c>
      <c r="AD167" s="39">
        <v>43435</v>
      </c>
    </row>
    <row r="168" spans="1:30" x14ac:dyDescent="0.25">
      <c r="A168">
        <v>119614</v>
      </c>
      <c r="B168" t="s">
        <v>113</v>
      </c>
      <c r="C168">
        <v>2018</v>
      </c>
      <c r="D168">
        <v>9</v>
      </c>
      <c r="E168" t="s">
        <v>85</v>
      </c>
      <c r="F168" t="s">
        <v>84</v>
      </c>
      <c r="G168" t="s">
        <v>84</v>
      </c>
      <c r="H168" t="s">
        <v>25</v>
      </c>
      <c r="I168" t="s">
        <v>25</v>
      </c>
      <c r="J168" t="s">
        <v>101</v>
      </c>
      <c r="K168" t="s">
        <v>86</v>
      </c>
      <c r="L168" t="s">
        <v>103</v>
      </c>
      <c r="M168">
        <v>1439.52704135</v>
      </c>
      <c r="N168">
        <v>0</v>
      </c>
      <c r="O168" t="s">
        <v>80</v>
      </c>
      <c r="P168" s="39">
        <v>44269.851105011578</v>
      </c>
      <c r="Q168">
        <v>1081609</v>
      </c>
      <c r="R168" t="s">
        <v>91</v>
      </c>
      <c r="S168" s="4">
        <v>15.90858214</v>
      </c>
      <c r="T168">
        <v>69.013284440000007</v>
      </c>
      <c r="U168">
        <v>69.013284440000007</v>
      </c>
      <c r="V168">
        <v>1097.90350438</v>
      </c>
      <c r="W168">
        <v>1097.90350438</v>
      </c>
      <c r="X168">
        <v>0</v>
      </c>
      <c r="Y168">
        <v>5519.9499535200002</v>
      </c>
      <c r="Z168">
        <v>5519.9499535200002</v>
      </c>
      <c r="AA168">
        <v>0</v>
      </c>
      <c r="AB168">
        <v>0</v>
      </c>
      <c r="AC168" t="s">
        <v>84</v>
      </c>
      <c r="AD168" s="39">
        <v>43344</v>
      </c>
    </row>
    <row r="169" spans="1:30" x14ac:dyDescent="0.25">
      <c r="A169">
        <v>119662</v>
      </c>
      <c r="B169" t="s">
        <v>113</v>
      </c>
      <c r="C169">
        <v>2018</v>
      </c>
      <c r="D169">
        <v>9</v>
      </c>
      <c r="E169" t="s">
        <v>89</v>
      </c>
      <c r="F169" t="s">
        <v>84</v>
      </c>
      <c r="G169" t="s">
        <v>84</v>
      </c>
      <c r="H169" t="s">
        <v>25</v>
      </c>
      <c r="I169" t="s">
        <v>25</v>
      </c>
      <c r="J169" t="s">
        <v>101</v>
      </c>
      <c r="K169" t="s">
        <v>90</v>
      </c>
      <c r="L169" t="s">
        <v>103</v>
      </c>
      <c r="M169">
        <v>843.05591856000001</v>
      </c>
      <c r="N169">
        <v>0</v>
      </c>
      <c r="O169" t="s">
        <v>80</v>
      </c>
      <c r="P169" s="39">
        <v>44269.851107986113</v>
      </c>
      <c r="Q169">
        <v>1081849</v>
      </c>
      <c r="R169" t="s">
        <v>91</v>
      </c>
      <c r="S169" s="4">
        <v>9.8030732700000005</v>
      </c>
      <c r="T169">
        <v>69.013284440000007</v>
      </c>
      <c r="U169">
        <v>69.013284440000007</v>
      </c>
      <c r="V169">
        <v>676.54228429</v>
      </c>
      <c r="W169">
        <v>676.54228429</v>
      </c>
      <c r="X169">
        <v>0</v>
      </c>
      <c r="Y169">
        <v>5519.9499535200002</v>
      </c>
      <c r="Z169">
        <v>5519.9499535200002</v>
      </c>
      <c r="AA169">
        <v>0</v>
      </c>
      <c r="AB169">
        <v>0</v>
      </c>
      <c r="AC169" t="s">
        <v>84</v>
      </c>
      <c r="AD169" s="39">
        <v>43344</v>
      </c>
    </row>
    <row r="170" spans="1:30" x14ac:dyDescent="0.25">
      <c r="A170">
        <v>443809</v>
      </c>
      <c r="B170" t="s">
        <v>116</v>
      </c>
      <c r="C170">
        <v>2018</v>
      </c>
      <c r="D170">
        <v>12</v>
      </c>
      <c r="E170" t="s">
        <v>87</v>
      </c>
      <c r="F170" t="s">
        <v>84</v>
      </c>
      <c r="G170" t="s">
        <v>84</v>
      </c>
      <c r="H170" t="s">
        <v>25</v>
      </c>
      <c r="I170" t="s">
        <v>25</v>
      </c>
      <c r="J170" t="s">
        <v>101</v>
      </c>
      <c r="K170" t="s">
        <v>88</v>
      </c>
      <c r="L170" t="s">
        <v>103</v>
      </c>
      <c r="M170">
        <v>824.95046656</v>
      </c>
      <c r="N170">
        <v>0</v>
      </c>
      <c r="O170" t="s">
        <v>80</v>
      </c>
      <c r="P170" s="39">
        <v>44284.514580937503</v>
      </c>
      <c r="Q170">
        <v>4215360</v>
      </c>
      <c r="R170" t="s">
        <v>91</v>
      </c>
      <c r="S170" s="4">
        <v>0</v>
      </c>
      <c r="T170">
        <v>69.013284440000007</v>
      </c>
      <c r="U170">
        <v>69.013284440000007</v>
      </c>
      <c r="V170">
        <v>0</v>
      </c>
      <c r="W170">
        <v>0</v>
      </c>
      <c r="X170">
        <v>0</v>
      </c>
      <c r="Y170">
        <v>5519.9499535200002</v>
      </c>
      <c r="Z170">
        <v>5519.9499535200002</v>
      </c>
      <c r="AA170">
        <v>0</v>
      </c>
      <c r="AB170">
        <v>0</v>
      </c>
      <c r="AC170" t="s">
        <v>84</v>
      </c>
      <c r="AD170" s="39">
        <v>43435</v>
      </c>
    </row>
    <row r="171" spans="1:30" x14ac:dyDescent="0.25">
      <c r="A171">
        <v>144856</v>
      </c>
      <c r="B171" t="s">
        <v>115</v>
      </c>
      <c r="C171">
        <v>2018</v>
      </c>
      <c r="D171">
        <v>11</v>
      </c>
      <c r="E171" t="s">
        <v>87</v>
      </c>
      <c r="F171" t="s">
        <v>84</v>
      </c>
      <c r="G171" t="s">
        <v>84</v>
      </c>
      <c r="H171" t="s">
        <v>25</v>
      </c>
      <c r="I171" t="s">
        <v>25</v>
      </c>
      <c r="J171" t="s">
        <v>101</v>
      </c>
      <c r="K171" t="s">
        <v>88</v>
      </c>
      <c r="L171" t="s">
        <v>103</v>
      </c>
      <c r="M171">
        <v>527.43779992999998</v>
      </c>
      <c r="N171">
        <v>0</v>
      </c>
      <c r="O171" t="s">
        <v>80</v>
      </c>
      <c r="P171" s="39">
        <v>44269.854263738423</v>
      </c>
      <c r="Q171">
        <v>1337061</v>
      </c>
      <c r="R171" t="s">
        <v>91</v>
      </c>
      <c r="S171" s="4">
        <v>0</v>
      </c>
      <c r="T171">
        <v>69.013284440000007</v>
      </c>
      <c r="U171">
        <v>69.013284440000007</v>
      </c>
      <c r="V171">
        <v>0</v>
      </c>
      <c r="W171">
        <v>0</v>
      </c>
      <c r="X171">
        <v>0</v>
      </c>
      <c r="Y171">
        <v>5519.9499535200002</v>
      </c>
      <c r="Z171">
        <v>5519.9499535200002</v>
      </c>
      <c r="AA171">
        <v>0</v>
      </c>
      <c r="AB171">
        <v>0</v>
      </c>
      <c r="AC171" t="s">
        <v>84</v>
      </c>
      <c r="AD171" s="39">
        <v>43405</v>
      </c>
    </row>
    <row r="172" spans="1:30" x14ac:dyDescent="0.25">
      <c r="A172">
        <v>443785</v>
      </c>
      <c r="B172" t="s">
        <v>116</v>
      </c>
      <c r="C172">
        <v>2018</v>
      </c>
      <c r="D172">
        <v>12</v>
      </c>
      <c r="E172" t="s">
        <v>85</v>
      </c>
      <c r="F172" t="s">
        <v>84</v>
      </c>
      <c r="G172" t="s">
        <v>84</v>
      </c>
      <c r="H172" t="s">
        <v>25</v>
      </c>
      <c r="I172" t="s">
        <v>25</v>
      </c>
      <c r="J172" t="s">
        <v>101</v>
      </c>
      <c r="K172" t="s">
        <v>86</v>
      </c>
      <c r="L172" t="s">
        <v>103</v>
      </c>
      <c r="M172">
        <v>3041.3129330199999</v>
      </c>
      <c r="N172">
        <v>0</v>
      </c>
      <c r="O172" t="s">
        <v>80</v>
      </c>
      <c r="P172" s="39">
        <v>44284.514579629627</v>
      </c>
      <c r="Q172">
        <v>4215240</v>
      </c>
      <c r="R172" t="s">
        <v>91</v>
      </c>
      <c r="S172" s="4">
        <v>28.29622762</v>
      </c>
      <c r="T172">
        <v>69.013284440000007</v>
      </c>
      <c r="U172">
        <v>69.013284440000007</v>
      </c>
      <c r="V172">
        <v>1952.8156054399999</v>
      </c>
      <c r="W172">
        <v>1952.8156054399999</v>
      </c>
      <c r="X172">
        <v>0</v>
      </c>
      <c r="Y172">
        <v>5519.9499535200002</v>
      </c>
      <c r="Z172">
        <v>5519.9499535200002</v>
      </c>
      <c r="AA172">
        <v>0</v>
      </c>
      <c r="AB172">
        <v>0</v>
      </c>
      <c r="AC172" t="s">
        <v>84</v>
      </c>
      <c r="AD172" s="39">
        <v>43435</v>
      </c>
    </row>
    <row r="173" spans="1:30" x14ac:dyDescent="0.25">
      <c r="A173">
        <v>113076</v>
      </c>
      <c r="B173" t="s">
        <v>140</v>
      </c>
      <c r="C173">
        <v>2018</v>
      </c>
      <c r="D173">
        <v>8</v>
      </c>
      <c r="E173" t="s">
        <v>87</v>
      </c>
      <c r="F173" t="s">
        <v>84</v>
      </c>
      <c r="G173" t="s">
        <v>84</v>
      </c>
      <c r="H173" t="s">
        <v>25</v>
      </c>
      <c r="I173" t="s">
        <v>25</v>
      </c>
      <c r="J173" t="s">
        <v>101</v>
      </c>
      <c r="K173" t="s">
        <v>88</v>
      </c>
      <c r="L173" t="s">
        <v>103</v>
      </c>
      <c r="M173">
        <v>336.78904151</v>
      </c>
      <c r="N173">
        <v>0</v>
      </c>
      <c r="O173" t="s">
        <v>80</v>
      </c>
      <c r="P173" s="39">
        <v>44269.850222337962</v>
      </c>
      <c r="Q173">
        <v>1042162</v>
      </c>
      <c r="R173" t="s">
        <v>81</v>
      </c>
      <c r="S173" s="4">
        <v>69.620198680000001</v>
      </c>
      <c r="T173">
        <v>68.805613410000007</v>
      </c>
      <c r="U173">
        <v>68.805613410000007</v>
      </c>
      <c r="V173">
        <v>4790.2604761299999</v>
      </c>
      <c r="W173">
        <v>4790.2604761299999</v>
      </c>
      <c r="X173">
        <v>0</v>
      </c>
      <c r="Y173">
        <v>5544.1986256</v>
      </c>
      <c r="Z173">
        <v>5544.1986256</v>
      </c>
      <c r="AA173">
        <v>0</v>
      </c>
      <c r="AB173">
        <v>0</v>
      </c>
      <c r="AC173" t="s">
        <v>84</v>
      </c>
      <c r="AD173" s="39">
        <v>43313</v>
      </c>
    </row>
    <row r="174" spans="1:30" x14ac:dyDescent="0.25">
      <c r="A174">
        <v>113100</v>
      </c>
      <c r="B174" t="s">
        <v>140</v>
      </c>
      <c r="C174">
        <v>2018</v>
      </c>
      <c r="D174">
        <v>8</v>
      </c>
      <c r="E174" t="s">
        <v>89</v>
      </c>
      <c r="F174" t="s">
        <v>84</v>
      </c>
      <c r="G174" t="s">
        <v>84</v>
      </c>
      <c r="H174" t="s">
        <v>25</v>
      </c>
      <c r="I174" t="s">
        <v>25</v>
      </c>
      <c r="J174" t="s">
        <v>101</v>
      </c>
      <c r="K174" t="s">
        <v>90</v>
      </c>
      <c r="L174" t="s">
        <v>103</v>
      </c>
      <c r="M174">
        <v>901.42463836000002</v>
      </c>
      <c r="N174">
        <v>0</v>
      </c>
      <c r="O174" t="s">
        <v>80</v>
      </c>
      <c r="P174" s="39">
        <v>44269.850223530091</v>
      </c>
      <c r="Q174">
        <v>1042282</v>
      </c>
      <c r="R174" t="s">
        <v>81</v>
      </c>
      <c r="S174" s="4">
        <v>178.10234102000001</v>
      </c>
      <c r="T174">
        <v>68.805613410000007</v>
      </c>
      <c r="U174">
        <v>68.805613410000007</v>
      </c>
      <c r="V174">
        <v>12254.44082372</v>
      </c>
      <c r="W174">
        <v>12254.44082372</v>
      </c>
      <c r="X174">
        <v>0</v>
      </c>
      <c r="Y174">
        <v>5544.1986256</v>
      </c>
      <c r="Z174">
        <v>5544.1986256</v>
      </c>
      <c r="AA174">
        <v>0</v>
      </c>
      <c r="AB174">
        <v>0</v>
      </c>
      <c r="AC174" t="s">
        <v>84</v>
      </c>
      <c r="AD174" s="39">
        <v>43313</v>
      </c>
    </row>
    <row r="175" spans="1:30" x14ac:dyDescent="0.25">
      <c r="A175">
        <v>113052</v>
      </c>
      <c r="B175" t="s">
        <v>140</v>
      </c>
      <c r="C175">
        <v>2018</v>
      </c>
      <c r="D175">
        <v>8</v>
      </c>
      <c r="E175" t="s">
        <v>85</v>
      </c>
      <c r="F175" t="s">
        <v>84</v>
      </c>
      <c r="G175" t="s">
        <v>84</v>
      </c>
      <c r="H175" t="s">
        <v>25</v>
      </c>
      <c r="I175" t="s">
        <v>25</v>
      </c>
      <c r="J175" t="s">
        <v>101</v>
      </c>
      <c r="K175" t="s">
        <v>86</v>
      </c>
      <c r="L175" t="s">
        <v>103</v>
      </c>
      <c r="M175">
        <v>1702.89201288</v>
      </c>
      <c r="N175">
        <v>0</v>
      </c>
      <c r="O175" t="s">
        <v>80</v>
      </c>
      <c r="P175" s="39">
        <v>44269.85022109955</v>
      </c>
      <c r="Q175">
        <v>1042042</v>
      </c>
      <c r="R175" t="s">
        <v>81</v>
      </c>
      <c r="S175" s="4">
        <v>349.03477247000001</v>
      </c>
      <c r="T175">
        <v>68.805613410000007</v>
      </c>
      <c r="U175">
        <v>68.805613410000007</v>
      </c>
      <c r="V175">
        <v>24015.551621459999</v>
      </c>
      <c r="W175">
        <v>24015.551621459999</v>
      </c>
      <c r="X175">
        <v>0</v>
      </c>
      <c r="Y175">
        <v>5544.1986256</v>
      </c>
      <c r="Z175">
        <v>5544.1986256</v>
      </c>
      <c r="AA175">
        <v>0</v>
      </c>
      <c r="AB175">
        <v>0</v>
      </c>
      <c r="AC175" t="s">
        <v>84</v>
      </c>
      <c r="AD175" s="39">
        <v>43313</v>
      </c>
    </row>
    <row r="176" spans="1:30" x14ac:dyDescent="0.25">
      <c r="A176">
        <v>628657</v>
      </c>
      <c r="B176" t="s">
        <v>141</v>
      </c>
      <c r="C176">
        <v>2017</v>
      </c>
      <c r="D176">
        <v>4</v>
      </c>
      <c r="E176" t="s">
        <v>89</v>
      </c>
      <c r="F176" t="s">
        <v>84</v>
      </c>
      <c r="G176" t="s">
        <v>84</v>
      </c>
      <c r="H176" t="s">
        <v>25</v>
      </c>
      <c r="I176" t="s">
        <v>25</v>
      </c>
      <c r="J176" t="s">
        <v>101</v>
      </c>
      <c r="K176" t="s">
        <v>90</v>
      </c>
      <c r="L176" t="s">
        <v>103</v>
      </c>
      <c r="M176">
        <v>1712.75377718</v>
      </c>
      <c r="N176">
        <v>0</v>
      </c>
      <c r="O176" t="s">
        <v>79</v>
      </c>
      <c r="P176" s="39">
        <v>44334.047875810182</v>
      </c>
      <c r="Q176">
        <v>5584410</v>
      </c>
      <c r="R176" t="s">
        <v>74</v>
      </c>
      <c r="S176" s="4">
        <v>45.221046690000001</v>
      </c>
      <c r="T176">
        <v>70.447066449999994</v>
      </c>
      <c r="U176">
        <v>70.447066449999994</v>
      </c>
      <c r="V176">
        <v>3185.6900810000002</v>
      </c>
      <c r="W176">
        <v>3185.6900810000002</v>
      </c>
      <c r="X176">
        <v>0</v>
      </c>
      <c r="Y176">
        <v>5569.7162687199998</v>
      </c>
      <c r="Z176">
        <v>5569.7162687199998</v>
      </c>
      <c r="AA176">
        <v>0</v>
      </c>
      <c r="AB176">
        <v>0</v>
      </c>
      <c r="AC176" t="s">
        <v>84</v>
      </c>
      <c r="AD176" s="39">
        <v>42826</v>
      </c>
    </row>
    <row r="177" spans="1:30" x14ac:dyDescent="0.25">
      <c r="A177">
        <v>628613</v>
      </c>
      <c r="B177" t="s">
        <v>141</v>
      </c>
      <c r="C177">
        <v>2017</v>
      </c>
      <c r="D177">
        <v>4</v>
      </c>
      <c r="E177" t="s">
        <v>85</v>
      </c>
      <c r="F177" t="s">
        <v>84</v>
      </c>
      <c r="G177" t="s">
        <v>84</v>
      </c>
      <c r="H177" t="s">
        <v>25</v>
      </c>
      <c r="I177" t="s">
        <v>25</v>
      </c>
      <c r="J177" t="s">
        <v>101</v>
      </c>
      <c r="K177" t="s">
        <v>86</v>
      </c>
      <c r="L177" t="s">
        <v>103</v>
      </c>
      <c r="M177">
        <v>4420.2930050699997</v>
      </c>
      <c r="N177">
        <v>0</v>
      </c>
      <c r="O177" t="s">
        <v>79</v>
      </c>
      <c r="P177" s="39">
        <v>44334.04787422454</v>
      </c>
      <c r="Q177">
        <v>5584322</v>
      </c>
      <c r="R177" t="s">
        <v>74</v>
      </c>
      <c r="S177" s="4">
        <v>65.705096170000004</v>
      </c>
      <c r="T177">
        <v>70.447066449999994</v>
      </c>
      <c r="U177">
        <v>70.447066449999994</v>
      </c>
      <c r="V177">
        <v>4628.7312762199999</v>
      </c>
      <c r="W177">
        <v>4628.7312762199999</v>
      </c>
      <c r="X177">
        <v>0</v>
      </c>
      <c r="Y177">
        <v>5569.7162687199998</v>
      </c>
      <c r="Z177">
        <v>5569.7162687199998</v>
      </c>
      <c r="AA177">
        <v>0</v>
      </c>
      <c r="AB177">
        <v>0</v>
      </c>
      <c r="AC177" t="s">
        <v>84</v>
      </c>
      <c r="AD177" s="39">
        <v>42826</v>
      </c>
    </row>
    <row r="178" spans="1:30" x14ac:dyDescent="0.25">
      <c r="A178">
        <v>628635</v>
      </c>
      <c r="B178" t="s">
        <v>141</v>
      </c>
      <c r="C178">
        <v>2017</v>
      </c>
      <c r="D178">
        <v>4</v>
      </c>
      <c r="E178" t="s">
        <v>87</v>
      </c>
      <c r="F178" t="s">
        <v>84</v>
      </c>
      <c r="G178" t="s">
        <v>84</v>
      </c>
      <c r="H178" t="s">
        <v>25</v>
      </c>
      <c r="I178" t="s">
        <v>25</v>
      </c>
      <c r="J178" t="s">
        <v>101</v>
      </c>
      <c r="K178" t="s">
        <v>88</v>
      </c>
      <c r="L178" t="s">
        <v>103</v>
      </c>
      <c r="M178">
        <v>1117.7193056399999</v>
      </c>
      <c r="N178">
        <v>0</v>
      </c>
      <c r="O178" t="s">
        <v>79</v>
      </c>
      <c r="P178" s="39">
        <v>44334.047875034717</v>
      </c>
      <c r="Q178">
        <v>5584366</v>
      </c>
      <c r="R178" t="s">
        <v>74</v>
      </c>
      <c r="S178" s="4">
        <v>29.975360720000001</v>
      </c>
      <c r="T178">
        <v>70.447066449999994</v>
      </c>
      <c r="U178">
        <v>70.447066449999994</v>
      </c>
      <c r="V178">
        <v>2111.67622824</v>
      </c>
      <c r="W178">
        <v>2111.67622824</v>
      </c>
      <c r="X178">
        <v>0</v>
      </c>
      <c r="Y178">
        <v>5569.7162687199998</v>
      </c>
      <c r="Z178">
        <v>5569.7162687199998</v>
      </c>
      <c r="AA178">
        <v>0</v>
      </c>
      <c r="AB178">
        <v>0</v>
      </c>
      <c r="AC178" t="s">
        <v>84</v>
      </c>
      <c r="AD178" s="39">
        <v>42826</v>
      </c>
    </row>
    <row r="179" spans="1:30" x14ac:dyDescent="0.25">
      <c r="A179">
        <v>570927</v>
      </c>
      <c r="B179" t="s">
        <v>142</v>
      </c>
      <c r="C179">
        <v>2017</v>
      </c>
      <c r="D179">
        <v>7</v>
      </c>
      <c r="E179" t="s">
        <v>89</v>
      </c>
      <c r="F179" t="s">
        <v>84</v>
      </c>
      <c r="G179" t="s">
        <v>84</v>
      </c>
      <c r="H179" t="s">
        <v>25</v>
      </c>
      <c r="I179" t="s">
        <v>25</v>
      </c>
      <c r="J179" t="s">
        <v>101</v>
      </c>
      <c r="K179" t="s">
        <v>90</v>
      </c>
      <c r="L179" t="s">
        <v>103</v>
      </c>
      <c r="M179">
        <v>1241.0892522700001</v>
      </c>
      <c r="N179">
        <v>0</v>
      </c>
      <c r="O179" t="s">
        <v>79</v>
      </c>
      <c r="P179" s="39">
        <v>44330.105698263891</v>
      </c>
      <c r="Q179">
        <v>5229297</v>
      </c>
      <c r="R179" t="s">
        <v>74</v>
      </c>
      <c r="S179" s="4">
        <v>32.767906140000001</v>
      </c>
      <c r="T179">
        <v>70.708124760000004</v>
      </c>
      <c r="U179">
        <v>70.708124760000004</v>
      </c>
      <c r="V179">
        <v>2316.9571956300001</v>
      </c>
      <c r="W179">
        <v>2316.9571956300001</v>
      </c>
      <c r="X179">
        <v>0</v>
      </c>
      <c r="Y179">
        <v>5590.3561725400004</v>
      </c>
      <c r="Z179">
        <v>5590.3561725400004</v>
      </c>
      <c r="AA179">
        <v>0</v>
      </c>
      <c r="AB179">
        <v>0</v>
      </c>
      <c r="AC179" t="s">
        <v>84</v>
      </c>
      <c r="AD179" s="39">
        <v>42917</v>
      </c>
    </row>
    <row r="180" spans="1:30" x14ac:dyDescent="0.25">
      <c r="A180">
        <v>570906</v>
      </c>
      <c r="B180" t="s">
        <v>142</v>
      </c>
      <c r="C180">
        <v>2017</v>
      </c>
      <c r="D180">
        <v>7</v>
      </c>
      <c r="E180" t="s">
        <v>87</v>
      </c>
      <c r="F180" t="s">
        <v>84</v>
      </c>
      <c r="G180" t="s">
        <v>84</v>
      </c>
      <c r="H180" t="s">
        <v>25</v>
      </c>
      <c r="I180" t="s">
        <v>25</v>
      </c>
      <c r="J180" t="s">
        <v>101</v>
      </c>
      <c r="K180" t="s">
        <v>88</v>
      </c>
      <c r="L180" t="s">
        <v>103</v>
      </c>
      <c r="M180">
        <v>331.86459323999998</v>
      </c>
      <c r="N180">
        <v>0</v>
      </c>
      <c r="O180" t="s">
        <v>79</v>
      </c>
      <c r="P180" s="39">
        <v>44330.105697719897</v>
      </c>
      <c r="Q180">
        <v>5229255</v>
      </c>
      <c r="R180" t="s">
        <v>74</v>
      </c>
      <c r="S180" s="4">
        <v>8.9000528499999998</v>
      </c>
      <c r="T180">
        <v>70.708124760000004</v>
      </c>
      <c r="U180">
        <v>70.708124760000004</v>
      </c>
      <c r="V180">
        <v>629.30604719999997</v>
      </c>
      <c r="W180">
        <v>629.30604719999997</v>
      </c>
      <c r="X180">
        <v>0</v>
      </c>
      <c r="Y180">
        <v>5590.3561725400004</v>
      </c>
      <c r="Z180">
        <v>5590.3561725400004</v>
      </c>
      <c r="AA180">
        <v>0</v>
      </c>
      <c r="AB180">
        <v>0</v>
      </c>
      <c r="AC180" t="s">
        <v>84</v>
      </c>
      <c r="AD180" s="39">
        <v>42917</v>
      </c>
    </row>
    <row r="181" spans="1:30" x14ac:dyDescent="0.25">
      <c r="A181">
        <v>570885</v>
      </c>
      <c r="B181" t="s">
        <v>142</v>
      </c>
      <c r="C181">
        <v>2017</v>
      </c>
      <c r="D181">
        <v>7</v>
      </c>
      <c r="E181" t="s">
        <v>85</v>
      </c>
      <c r="F181" t="s">
        <v>84</v>
      </c>
      <c r="G181" t="s">
        <v>84</v>
      </c>
      <c r="H181" t="s">
        <v>25</v>
      </c>
      <c r="I181" t="s">
        <v>25</v>
      </c>
      <c r="J181" t="s">
        <v>101</v>
      </c>
      <c r="K181" t="s">
        <v>86</v>
      </c>
      <c r="L181" t="s">
        <v>103</v>
      </c>
      <c r="M181">
        <v>2146.3813947499998</v>
      </c>
      <c r="N181">
        <v>0</v>
      </c>
      <c r="O181" t="s">
        <v>79</v>
      </c>
      <c r="P181" s="39">
        <v>44330.105697106483</v>
      </c>
      <c r="Q181">
        <v>5229213</v>
      </c>
      <c r="R181" t="s">
        <v>74</v>
      </c>
      <c r="S181" s="4">
        <v>31.90471668</v>
      </c>
      <c r="T181">
        <v>70.708124760000004</v>
      </c>
      <c r="U181">
        <v>70.708124760000004</v>
      </c>
      <c r="V181">
        <v>2255.9226871599999</v>
      </c>
      <c r="W181">
        <v>2255.9226871599999</v>
      </c>
      <c r="X181">
        <v>0</v>
      </c>
      <c r="Y181">
        <v>5590.3561725400004</v>
      </c>
      <c r="Z181">
        <v>5590.3561725400004</v>
      </c>
      <c r="AA181">
        <v>0</v>
      </c>
      <c r="AB181">
        <v>0</v>
      </c>
      <c r="AC181" t="s">
        <v>84</v>
      </c>
      <c r="AD181" s="39">
        <v>42917</v>
      </c>
    </row>
    <row r="182" spans="1:30" x14ac:dyDescent="0.25">
      <c r="A182">
        <v>44</v>
      </c>
      <c r="B182" t="s">
        <v>121</v>
      </c>
      <c r="C182">
        <v>2017</v>
      </c>
      <c r="D182">
        <v>9</v>
      </c>
      <c r="E182" t="s">
        <v>89</v>
      </c>
      <c r="F182" t="s">
        <v>84</v>
      </c>
      <c r="G182" t="s">
        <v>84</v>
      </c>
      <c r="H182" t="s">
        <v>25</v>
      </c>
      <c r="I182" t="s">
        <v>25</v>
      </c>
      <c r="J182" t="s">
        <v>101</v>
      </c>
      <c r="K182" t="s">
        <v>90</v>
      </c>
      <c r="L182" t="s">
        <v>103</v>
      </c>
      <c r="M182">
        <v>1160.3236436</v>
      </c>
      <c r="N182">
        <v>0</v>
      </c>
      <c r="O182" t="s">
        <v>79</v>
      </c>
      <c r="P182" s="39">
        <v>44269.837768090278</v>
      </c>
      <c r="Q182">
        <v>87</v>
      </c>
      <c r="R182" t="s">
        <v>82</v>
      </c>
      <c r="S182" s="4">
        <v>1175.4861287199999</v>
      </c>
      <c r="T182">
        <v>70.711379750000006</v>
      </c>
      <c r="U182">
        <v>70.711379750000006</v>
      </c>
      <c r="V182">
        <v>83120.246038230005</v>
      </c>
      <c r="W182">
        <v>83120.246038230005</v>
      </c>
      <c r="X182">
        <v>0</v>
      </c>
      <c r="Y182">
        <v>5614.0154054799996</v>
      </c>
      <c r="Z182">
        <v>5614.0154054799996</v>
      </c>
      <c r="AA182">
        <v>0</v>
      </c>
      <c r="AB182">
        <v>0</v>
      </c>
      <c r="AC182" t="s">
        <v>84</v>
      </c>
      <c r="AD182" s="39">
        <v>42979</v>
      </c>
    </row>
    <row r="183" spans="1:30" x14ac:dyDescent="0.25">
      <c r="A183">
        <v>2</v>
      </c>
      <c r="B183" t="s">
        <v>121</v>
      </c>
      <c r="C183">
        <v>2017</v>
      </c>
      <c r="D183">
        <v>9</v>
      </c>
      <c r="E183" t="s">
        <v>85</v>
      </c>
      <c r="F183" t="s">
        <v>84</v>
      </c>
      <c r="G183" t="s">
        <v>84</v>
      </c>
      <c r="H183" t="s">
        <v>25</v>
      </c>
      <c r="I183" t="s">
        <v>25</v>
      </c>
      <c r="J183" t="s">
        <v>101</v>
      </c>
      <c r="K183" t="s">
        <v>86</v>
      </c>
      <c r="L183" t="s">
        <v>103</v>
      </c>
      <c r="M183">
        <v>1525.35760676</v>
      </c>
      <c r="N183">
        <v>0</v>
      </c>
      <c r="O183" t="s">
        <v>79</v>
      </c>
      <c r="P183" s="39">
        <v>44269.837765891207</v>
      </c>
      <c r="Q183">
        <v>3</v>
      </c>
      <c r="R183" t="s">
        <v>82</v>
      </c>
      <c r="S183" s="4">
        <v>1562.8899138500001</v>
      </c>
      <c r="T183">
        <v>70.711379750000006</v>
      </c>
      <c r="U183">
        <v>70.711379750000006</v>
      </c>
      <c r="V183">
        <v>110514.10220543999</v>
      </c>
      <c r="W183">
        <v>110514.10220543999</v>
      </c>
      <c r="X183">
        <v>0</v>
      </c>
      <c r="Y183">
        <v>5614.0154054799996</v>
      </c>
      <c r="Z183">
        <v>5614.0154054799996</v>
      </c>
      <c r="AA183">
        <v>0</v>
      </c>
      <c r="AB183">
        <v>0</v>
      </c>
      <c r="AC183" t="s">
        <v>84</v>
      </c>
      <c r="AD183" s="39">
        <v>42979</v>
      </c>
    </row>
    <row r="184" spans="1:30" x14ac:dyDescent="0.25">
      <c r="A184">
        <v>23</v>
      </c>
      <c r="B184" t="s">
        <v>121</v>
      </c>
      <c r="C184">
        <v>2017</v>
      </c>
      <c r="D184">
        <v>9</v>
      </c>
      <c r="E184" t="s">
        <v>87</v>
      </c>
      <c r="F184" t="s">
        <v>84</v>
      </c>
      <c r="G184" t="s">
        <v>84</v>
      </c>
      <c r="H184" t="s">
        <v>25</v>
      </c>
      <c r="I184" t="s">
        <v>25</v>
      </c>
      <c r="J184" t="s">
        <v>101</v>
      </c>
      <c r="K184" t="s">
        <v>88</v>
      </c>
      <c r="L184" t="s">
        <v>103</v>
      </c>
      <c r="M184">
        <v>317.51694221999998</v>
      </c>
      <c r="N184">
        <v>0</v>
      </c>
      <c r="O184" t="s">
        <v>79</v>
      </c>
      <c r="P184" s="39">
        <v>44269.837767013887</v>
      </c>
      <c r="Q184">
        <v>45</v>
      </c>
      <c r="R184" t="s">
        <v>82</v>
      </c>
      <c r="S184" s="4">
        <v>321.53406305999999</v>
      </c>
      <c r="T184">
        <v>70.711379750000006</v>
      </c>
      <c r="U184">
        <v>70.711379750000006</v>
      </c>
      <c r="V184">
        <v>22736.117235850001</v>
      </c>
      <c r="W184">
        <v>22736.117235850001</v>
      </c>
      <c r="X184">
        <v>0</v>
      </c>
      <c r="Y184">
        <v>5614.0154054799996</v>
      </c>
      <c r="Z184">
        <v>5614.0154054799996</v>
      </c>
      <c r="AA184">
        <v>0</v>
      </c>
      <c r="AB184">
        <v>0</v>
      </c>
      <c r="AC184" t="s">
        <v>84</v>
      </c>
      <c r="AD184" s="39">
        <v>42979</v>
      </c>
    </row>
    <row r="185" spans="1:30" x14ac:dyDescent="0.25">
      <c r="A185">
        <v>100242</v>
      </c>
      <c r="B185" t="s">
        <v>139</v>
      </c>
      <c r="C185">
        <v>2018</v>
      </c>
      <c r="D185">
        <v>7</v>
      </c>
      <c r="E185" t="s">
        <v>89</v>
      </c>
      <c r="F185" t="s">
        <v>84</v>
      </c>
      <c r="G185" t="s">
        <v>84</v>
      </c>
      <c r="H185" t="s">
        <v>25</v>
      </c>
      <c r="I185" t="s">
        <v>25</v>
      </c>
      <c r="J185" t="s">
        <v>101</v>
      </c>
      <c r="K185" t="s">
        <v>90</v>
      </c>
      <c r="L185" t="s">
        <v>103</v>
      </c>
      <c r="M185">
        <v>953.47078386999999</v>
      </c>
      <c r="N185">
        <v>0</v>
      </c>
      <c r="O185" t="s">
        <v>80</v>
      </c>
      <c r="P185" s="39">
        <v>44269.848710416663</v>
      </c>
      <c r="Q185">
        <v>913752</v>
      </c>
      <c r="R185" t="s">
        <v>27</v>
      </c>
      <c r="S185" s="4">
        <v>426.12866946000003</v>
      </c>
      <c r="T185">
        <v>70.650776500000006</v>
      </c>
      <c r="U185">
        <v>70.650776500000006</v>
      </c>
      <c r="V185">
        <v>30106.32138804</v>
      </c>
      <c r="W185">
        <v>30106.32138804</v>
      </c>
      <c r="X185">
        <v>0</v>
      </c>
      <c r="Y185">
        <v>5616.7200133200004</v>
      </c>
      <c r="Z185">
        <v>5616.7200133200004</v>
      </c>
      <c r="AA185">
        <v>0</v>
      </c>
      <c r="AB185">
        <v>0</v>
      </c>
      <c r="AC185" t="s">
        <v>84</v>
      </c>
      <c r="AD185" s="39">
        <v>43282</v>
      </c>
    </row>
    <row r="186" spans="1:30" x14ac:dyDescent="0.25">
      <c r="A186">
        <v>100194</v>
      </c>
      <c r="B186" t="s">
        <v>139</v>
      </c>
      <c r="C186">
        <v>2018</v>
      </c>
      <c r="D186">
        <v>7</v>
      </c>
      <c r="E186" t="s">
        <v>85</v>
      </c>
      <c r="F186" t="s">
        <v>84</v>
      </c>
      <c r="G186" t="s">
        <v>84</v>
      </c>
      <c r="H186" t="s">
        <v>25</v>
      </c>
      <c r="I186" t="s">
        <v>25</v>
      </c>
      <c r="J186" t="s">
        <v>101</v>
      </c>
      <c r="K186" t="s">
        <v>86</v>
      </c>
      <c r="L186" t="s">
        <v>103</v>
      </c>
      <c r="M186">
        <v>1870.62563673</v>
      </c>
      <c r="N186">
        <v>0</v>
      </c>
      <c r="O186" t="s">
        <v>80</v>
      </c>
      <c r="P186" s="39">
        <v>44269.848707986108</v>
      </c>
      <c r="Q186">
        <v>913512</v>
      </c>
      <c r="R186" t="s">
        <v>27</v>
      </c>
      <c r="S186" s="4">
        <v>863.33721008999999</v>
      </c>
      <c r="T186">
        <v>70.650776500000006</v>
      </c>
      <c r="U186">
        <v>70.650776500000006</v>
      </c>
      <c r="V186">
        <v>60995.444277920004</v>
      </c>
      <c r="W186">
        <v>60995.444277920004</v>
      </c>
      <c r="X186">
        <v>0</v>
      </c>
      <c r="Y186">
        <v>5616.7200133200004</v>
      </c>
      <c r="Z186">
        <v>5616.7200133200004</v>
      </c>
      <c r="AA186">
        <v>0</v>
      </c>
      <c r="AB186">
        <v>0</v>
      </c>
      <c r="AC186" t="s">
        <v>84</v>
      </c>
      <c r="AD186" s="39">
        <v>43282</v>
      </c>
    </row>
    <row r="187" spans="1:30" x14ac:dyDescent="0.25">
      <c r="A187">
        <v>100218</v>
      </c>
      <c r="B187" t="s">
        <v>139</v>
      </c>
      <c r="C187">
        <v>2018</v>
      </c>
      <c r="D187">
        <v>7</v>
      </c>
      <c r="E187" t="s">
        <v>87</v>
      </c>
      <c r="F187" t="s">
        <v>84</v>
      </c>
      <c r="G187" t="s">
        <v>84</v>
      </c>
      <c r="H187" t="s">
        <v>25</v>
      </c>
      <c r="I187" t="s">
        <v>25</v>
      </c>
      <c r="J187" t="s">
        <v>101</v>
      </c>
      <c r="K187" t="s">
        <v>88</v>
      </c>
      <c r="L187" t="s">
        <v>103</v>
      </c>
      <c r="M187">
        <v>347.46938798999997</v>
      </c>
      <c r="N187">
        <v>0</v>
      </c>
      <c r="O187" t="s">
        <v>80</v>
      </c>
      <c r="P187" s="39">
        <v>44269.848709224527</v>
      </c>
      <c r="Q187">
        <v>913632</v>
      </c>
      <c r="R187" t="s">
        <v>27</v>
      </c>
      <c r="S187" s="4">
        <v>143.69052761</v>
      </c>
      <c r="T187">
        <v>70.650776500000006</v>
      </c>
      <c r="U187">
        <v>70.650776500000006</v>
      </c>
      <c r="V187">
        <v>10151.84735192</v>
      </c>
      <c r="W187">
        <v>10151.84735192</v>
      </c>
      <c r="X187">
        <v>0</v>
      </c>
      <c r="Y187">
        <v>5616.7200133200004</v>
      </c>
      <c r="Z187">
        <v>5616.7200133200004</v>
      </c>
      <c r="AA187">
        <v>0</v>
      </c>
      <c r="AB187">
        <v>0</v>
      </c>
      <c r="AC187" t="s">
        <v>84</v>
      </c>
      <c r="AD187" s="39">
        <v>43282</v>
      </c>
    </row>
    <row r="188" spans="1:30" x14ac:dyDescent="0.25">
      <c r="A188">
        <v>560936</v>
      </c>
      <c r="B188" t="s">
        <v>143</v>
      </c>
      <c r="C188">
        <v>2017</v>
      </c>
      <c r="D188">
        <v>6</v>
      </c>
      <c r="E188" t="s">
        <v>87</v>
      </c>
      <c r="F188" t="s">
        <v>84</v>
      </c>
      <c r="G188" t="s">
        <v>84</v>
      </c>
      <c r="H188" t="s">
        <v>25</v>
      </c>
      <c r="I188" t="s">
        <v>25</v>
      </c>
      <c r="J188" t="s">
        <v>101</v>
      </c>
      <c r="K188" t="s">
        <v>88</v>
      </c>
      <c r="L188" t="s">
        <v>103</v>
      </c>
      <c r="M188">
        <v>850.28490937000004</v>
      </c>
      <c r="N188">
        <v>0</v>
      </c>
      <c r="O188" t="s">
        <v>79</v>
      </c>
      <c r="P188" s="39">
        <v>44330.104736226851</v>
      </c>
      <c r="Q188">
        <v>5144551</v>
      </c>
      <c r="R188" t="s">
        <v>74</v>
      </c>
      <c r="S188" s="4">
        <v>22.803217889999999</v>
      </c>
      <c r="T188">
        <v>71.457995929999996</v>
      </c>
      <c r="U188">
        <v>71.457995929999996</v>
      </c>
      <c r="V188">
        <v>1629.47225134</v>
      </c>
      <c r="W188">
        <v>1629.47225134</v>
      </c>
      <c r="X188">
        <v>0</v>
      </c>
      <c r="Y188">
        <v>5649.6428098599999</v>
      </c>
      <c r="Z188">
        <v>5649.6428098599999</v>
      </c>
      <c r="AA188">
        <v>0</v>
      </c>
      <c r="AB188">
        <v>0</v>
      </c>
      <c r="AC188" t="s">
        <v>84</v>
      </c>
      <c r="AD188" s="39">
        <v>42887</v>
      </c>
    </row>
    <row r="189" spans="1:30" x14ac:dyDescent="0.25">
      <c r="A189">
        <v>560915</v>
      </c>
      <c r="B189" t="s">
        <v>143</v>
      </c>
      <c r="C189">
        <v>2017</v>
      </c>
      <c r="D189">
        <v>6</v>
      </c>
      <c r="E189" t="s">
        <v>85</v>
      </c>
      <c r="F189" t="s">
        <v>84</v>
      </c>
      <c r="G189" t="s">
        <v>84</v>
      </c>
      <c r="H189" t="s">
        <v>25</v>
      </c>
      <c r="I189" t="s">
        <v>25</v>
      </c>
      <c r="J189" t="s">
        <v>101</v>
      </c>
      <c r="K189" t="s">
        <v>86</v>
      </c>
      <c r="L189" t="s">
        <v>103</v>
      </c>
      <c r="M189">
        <v>2370.0725542700002</v>
      </c>
      <c r="N189">
        <v>0</v>
      </c>
      <c r="O189" t="s">
        <v>79</v>
      </c>
      <c r="P189" s="39">
        <v>44330.104735567133</v>
      </c>
      <c r="Q189">
        <v>5144509</v>
      </c>
      <c r="R189" t="s">
        <v>74</v>
      </c>
      <c r="S189" s="4">
        <v>35.229756250000001</v>
      </c>
      <c r="T189">
        <v>71.457995929999996</v>
      </c>
      <c r="U189">
        <v>71.457995929999996</v>
      </c>
      <c r="V189">
        <v>2517.4477785200002</v>
      </c>
      <c r="W189">
        <v>2517.4477785200002</v>
      </c>
      <c r="X189">
        <v>0</v>
      </c>
      <c r="Y189">
        <v>5649.6428098599999</v>
      </c>
      <c r="Z189">
        <v>5649.6428098599999</v>
      </c>
      <c r="AA189">
        <v>0</v>
      </c>
      <c r="AB189">
        <v>0</v>
      </c>
      <c r="AC189" t="s">
        <v>84</v>
      </c>
      <c r="AD189" s="39">
        <v>42887</v>
      </c>
    </row>
    <row r="190" spans="1:30" x14ac:dyDescent="0.25">
      <c r="A190">
        <v>560957</v>
      </c>
      <c r="B190" t="s">
        <v>143</v>
      </c>
      <c r="C190">
        <v>2017</v>
      </c>
      <c r="D190">
        <v>6</v>
      </c>
      <c r="E190" t="s">
        <v>89</v>
      </c>
      <c r="F190" t="s">
        <v>84</v>
      </c>
      <c r="G190" t="s">
        <v>84</v>
      </c>
      <c r="H190" t="s">
        <v>25</v>
      </c>
      <c r="I190" t="s">
        <v>25</v>
      </c>
      <c r="J190" t="s">
        <v>101</v>
      </c>
      <c r="K190" t="s">
        <v>90</v>
      </c>
      <c r="L190" t="s">
        <v>103</v>
      </c>
      <c r="M190">
        <v>1321.58655047</v>
      </c>
      <c r="N190">
        <v>0</v>
      </c>
      <c r="O190" t="s">
        <v>79</v>
      </c>
      <c r="P190" s="39">
        <v>44330.104736770831</v>
      </c>
      <c r="Q190">
        <v>5144593</v>
      </c>
      <c r="R190" t="s">
        <v>74</v>
      </c>
      <c r="S190" s="4">
        <v>34.893239119999997</v>
      </c>
      <c r="T190">
        <v>71.457995929999996</v>
      </c>
      <c r="U190">
        <v>71.457995929999996</v>
      </c>
      <c r="V190">
        <v>2493.4009389500002</v>
      </c>
      <c r="W190">
        <v>2493.4009389500002</v>
      </c>
      <c r="X190">
        <v>0</v>
      </c>
      <c r="Y190">
        <v>5649.6428098599999</v>
      </c>
      <c r="Z190">
        <v>5649.6428098599999</v>
      </c>
      <c r="AA190">
        <v>0</v>
      </c>
      <c r="AB190">
        <v>0</v>
      </c>
      <c r="AC190" t="s">
        <v>84</v>
      </c>
      <c r="AD190" s="39">
        <v>42887</v>
      </c>
    </row>
    <row r="191" spans="1:30" x14ac:dyDescent="0.25">
      <c r="A191">
        <v>113100</v>
      </c>
      <c r="B191" t="s">
        <v>140</v>
      </c>
      <c r="C191">
        <v>2018</v>
      </c>
      <c r="D191">
        <v>8</v>
      </c>
      <c r="E191" t="s">
        <v>89</v>
      </c>
      <c r="F191" t="s">
        <v>84</v>
      </c>
      <c r="G191" t="s">
        <v>84</v>
      </c>
      <c r="H191" t="s">
        <v>25</v>
      </c>
      <c r="I191" t="s">
        <v>25</v>
      </c>
      <c r="J191" t="s">
        <v>101</v>
      </c>
      <c r="K191" t="s">
        <v>90</v>
      </c>
      <c r="L191" t="s">
        <v>103</v>
      </c>
      <c r="M191">
        <v>901.42463836000002</v>
      </c>
      <c r="N191">
        <v>0</v>
      </c>
      <c r="O191" t="s">
        <v>80</v>
      </c>
      <c r="P191" s="39">
        <v>44269.850223530091</v>
      </c>
      <c r="Q191">
        <v>1042281</v>
      </c>
      <c r="R191" t="s">
        <v>27</v>
      </c>
      <c r="S191" s="4">
        <v>402.56582880000002</v>
      </c>
      <c r="T191">
        <v>71.066617739999998</v>
      </c>
      <c r="U191">
        <v>71.066617739999998</v>
      </c>
      <c r="V191">
        <v>28608.991871509999</v>
      </c>
      <c r="W191">
        <v>28608.991871509999</v>
      </c>
      <c r="X191">
        <v>0</v>
      </c>
      <c r="Y191">
        <v>5649.7792933000001</v>
      </c>
      <c r="Z191">
        <v>5649.7792933000001</v>
      </c>
      <c r="AA191">
        <v>0</v>
      </c>
      <c r="AB191">
        <v>0</v>
      </c>
      <c r="AC191" t="s">
        <v>84</v>
      </c>
      <c r="AD191" s="39">
        <v>43313</v>
      </c>
    </row>
    <row r="192" spans="1:30" x14ac:dyDescent="0.25">
      <c r="A192">
        <v>113052</v>
      </c>
      <c r="B192" t="s">
        <v>140</v>
      </c>
      <c r="C192">
        <v>2018</v>
      </c>
      <c r="D192">
        <v>8</v>
      </c>
      <c r="E192" t="s">
        <v>85</v>
      </c>
      <c r="F192" t="s">
        <v>84</v>
      </c>
      <c r="G192" t="s">
        <v>84</v>
      </c>
      <c r="H192" t="s">
        <v>25</v>
      </c>
      <c r="I192" t="s">
        <v>25</v>
      </c>
      <c r="J192" t="s">
        <v>101</v>
      </c>
      <c r="K192" t="s">
        <v>86</v>
      </c>
      <c r="L192" t="s">
        <v>103</v>
      </c>
      <c r="M192">
        <v>1702.89201288</v>
      </c>
      <c r="N192">
        <v>0</v>
      </c>
      <c r="O192" t="s">
        <v>80</v>
      </c>
      <c r="P192" s="39">
        <v>44269.85022109955</v>
      </c>
      <c r="Q192">
        <v>1042041</v>
      </c>
      <c r="R192" t="s">
        <v>27</v>
      </c>
      <c r="S192" s="4">
        <v>785.33473286000003</v>
      </c>
      <c r="T192">
        <v>71.066617739999998</v>
      </c>
      <c r="U192">
        <v>71.066617739999998</v>
      </c>
      <c r="V192">
        <v>55811.083259270003</v>
      </c>
      <c r="W192">
        <v>55811.083259270003</v>
      </c>
      <c r="X192">
        <v>0</v>
      </c>
      <c r="Y192">
        <v>5649.7792933000001</v>
      </c>
      <c r="Z192">
        <v>5649.7792933000001</v>
      </c>
      <c r="AA192">
        <v>0</v>
      </c>
      <c r="AB192">
        <v>0</v>
      </c>
      <c r="AC192" t="s">
        <v>84</v>
      </c>
      <c r="AD192" s="39">
        <v>43313</v>
      </c>
    </row>
    <row r="193" spans="1:30" x14ac:dyDescent="0.25">
      <c r="A193">
        <v>113076</v>
      </c>
      <c r="B193" t="s">
        <v>140</v>
      </c>
      <c r="C193">
        <v>2018</v>
      </c>
      <c r="D193">
        <v>8</v>
      </c>
      <c r="E193" t="s">
        <v>87</v>
      </c>
      <c r="F193" t="s">
        <v>84</v>
      </c>
      <c r="G193" t="s">
        <v>84</v>
      </c>
      <c r="H193" t="s">
        <v>25</v>
      </c>
      <c r="I193" t="s">
        <v>25</v>
      </c>
      <c r="J193" t="s">
        <v>101</v>
      </c>
      <c r="K193" t="s">
        <v>88</v>
      </c>
      <c r="L193" t="s">
        <v>103</v>
      </c>
      <c r="M193">
        <v>336.78904151</v>
      </c>
      <c r="N193">
        <v>0</v>
      </c>
      <c r="O193" t="s">
        <v>80</v>
      </c>
      <c r="P193" s="39">
        <v>44269.850222337962</v>
      </c>
      <c r="Q193">
        <v>1042161</v>
      </c>
      <c r="R193" t="s">
        <v>27</v>
      </c>
      <c r="S193" s="4">
        <v>139.16937003000001</v>
      </c>
      <c r="T193">
        <v>71.066617739999998</v>
      </c>
      <c r="U193">
        <v>71.066617739999998</v>
      </c>
      <c r="V193">
        <v>9890.2964212799998</v>
      </c>
      <c r="W193">
        <v>9890.2964212799998</v>
      </c>
      <c r="X193">
        <v>0</v>
      </c>
      <c r="Y193">
        <v>5649.7792933000001</v>
      </c>
      <c r="Z193">
        <v>5649.7792933000001</v>
      </c>
      <c r="AA193">
        <v>0</v>
      </c>
      <c r="AB193">
        <v>0</v>
      </c>
      <c r="AC193" t="s">
        <v>84</v>
      </c>
      <c r="AD193" s="39">
        <v>43313</v>
      </c>
    </row>
    <row r="194" spans="1:30" x14ac:dyDescent="0.25">
      <c r="A194">
        <v>550961</v>
      </c>
      <c r="B194" t="s">
        <v>144</v>
      </c>
      <c r="C194">
        <v>2017</v>
      </c>
      <c r="D194">
        <v>5</v>
      </c>
      <c r="E194" t="s">
        <v>87</v>
      </c>
      <c r="F194" t="s">
        <v>84</v>
      </c>
      <c r="G194" t="s">
        <v>84</v>
      </c>
      <c r="H194" t="s">
        <v>25</v>
      </c>
      <c r="I194" t="s">
        <v>25</v>
      </c>
      <c r="J194" t="s">
        <v>101</v>
      </c>
      <c r="K194" t="s">
        <v>88</v>
      </c>
      <c r="L194" t="s">
        <v>103</v>
      </c>
      <c r="M194">
        <v>999.01457314000004</v>
      </c>
      <c r="N194">
        <v>0</v>
      </c>
      <c r="O194" t="s">
        <v>79</v>
      </c>
      <c r="P194" s="39">
        <v>44330.10375185185</v>
      </c>
      <c r="Q194">
        <v>5059817</v>
      </c>
      <c r="R194" t="s">
        <v>74</v>
      </c>
      <c r="S194" s="4">
        <v>26.791898499999999</v>
      </c>
      <c r="T194">
        <v>72.144482580000002</v>
      </c>
      <c r="U194">
        <v>72.144482580000002</v>
      </c>
      <c r="V194">
        <v>1932.8876546399999</v>
      </c>
      <c r="W194">
        <v>1932.8876546399999</v>
      </c>
      <c r="X194">
        <v>0</v>
      </c>
      <c r="Y194">
        <v>5703.9181125100004</v>
      </c>
      <c r="Z194">
        <v>5703.9181125100004</v>
      </c>
      <c r="AA194">
        <v>0</v>
      </c>
      <c r="AB194">
        <v>0</v>
      </c>
      <c r="AC194" t="s">
        <v>84</v>
      </c>
      <c r="AD194" s="39">
        <v>42856</v>
      </c>
    </row>
    <row r="195" spans="1:30" x14ac:dyDescent="0.25">
      <c r="A195">
        <v>550940</v>
      </c>
      <c r="B195" t="s">
        <v>144</v>
      </c>
      <c r="C195">
        <v>2017</v>
      </c>
      <c r="D195">
        <v>5</v>
      </c>
      <c r="E195" t="s">
        <v>85</v>
      </c>
      <c r="F195" t="s">
        <v>84</v>
      </c>
      <c r="G195" t="s">
        <v>84</v>
      </c>
      <c r="H195" t="s">
        <v>25</v>
      </c>
      <c r="I195" t="s">
        <v>25</v>
      </c>
      <c r="J195" t="s">
        <v>101</v>
      </c>
      <c r="K195" t="s">
        <v>86</v>
      </c>
      <c r="L195" t="s">
        <v>103</v>
      </c>
      <c r="M195">
        <v>2827.3129987100001</v>
      </c>
      <c r="N195">
        <v>0</v>
      </c>
      <c r="O195" t="s">
        <v>79</v>
      </c>
      <c r="P195" s="39">
        <v>44330.103751238428</v>
      </c>
      <c r="Q195">
        <v>5059775</v>
      </c>
      <c r="R195" t="s">
        <v>74</v>
      </c>
      <c r="S195" s="4">
        <v>42.026370710000002</v>
      </c>
      <c r="T195">
        <v>72.144482580000002</v>
      </c>
      <c r="U195">
        <v>72.144482580000002</v>
      </c>
      <c r="V195">
        <v>3031.9707696199998</v>
      </c>
      <c r="W195">
        <v>3031.9707696199998</v>
      </c>
      <c r="X195">
        <v>0</v>
      </c>
      <c r="Y195">
        <v>5703.9181125100004</v>
      </c>
      <c r="Z195">
        <v>5703.9181125100004</v>
      </c>
      <c r="AA195">
        <v>0</v>
      </c>
      <c r="AB195">
        <v>0</v>
      </c>
      <c r="AC195" t="s">
        <v>84</v>
      </c>
      <c r="AD195" s="39">
        <v>42856</v>
      </c>
    </row>
    <row r="196" spans="1:30" x14ac:dyDescent="0.25">
      <c r="A196">
        <v>550982</v>
      </c>
      <c r="B196" t="s">
        <v>144</v>
      </c>
      <c r="C196">
        <v>2017</v>
      </c>
      <c r="D196">
        <v>5</v>
      </c>
      <c r="E196" t="s">
        <v>89</v>
      </c>
      <c r="F196" t="s">
        <v>84</v>
      </c>
      <c r="G196" t="s">
        <v>84</v>
      </c>
      <c r="H196" t="s">
        <v>25</v>
      </c>
      <c r="I196" t="s">
        <v>25</v>
      </c>
      <c r="J196" t="s">
        <v>101</v>
      </c>
      <c r="K196" t="s">
        <v>90</v>
      </c>
      <c r="L196" t="s">
        <v>103</v>
      </c>
      <c r="M196">
        <v>1465.7128444299999</v>
      </c>
      <c r="N196">
        <v>0</v>
      </c>
      <c r="O196" t="s">
        <v>79</v>
      </c>
      <c r="P196" s="39">
        <v>44330.103752581017</v>
      </c>
      <c r="Q196">
        <v>5059859</v>
      </c>
      <c r="R196" t="s">
        <v>74</v>
      </c>
      <c r="S196" s="4">
        <v>38.698539070000002</v>
      </c>
      <c r="T196">
        <v>72.144482580000002</v>
      </c>
      <c r="U196">
        <v>72.144482580000002</v>
      </c>
      <c r="V196">
        <v>2791.8860778899998</v>
      </c>
      <c r="W196">
        <v>2791.8860778899998</v>
      </c>
      <c r="X196">
        <v>0</v>
      </c>
      <c r="Y196">
        <v>5703.9181125100004</v>
      </c>
      <c r="Z196">
        <v>5703.9181125100004</v>
      </c>
      <c r="AA196">
        <v>0</v>
      </c>
      <c r="AB196">
        <v>0</v>
      </c>
      <c r="AC196" t="s">
        <v>84</v>
      </c>
      <c r="AD196" s="39">
        <v>42856</v>
      </c>
    </row>
    <row r="197" spans="1:30" x14ac:dyDescent="0.25">
      <c r="A197">
        <v>9842</v>
      </c>
      <c r="B197" t="s">
        <v>127</v>
      </c>
      <c r="C197">
        <v>2017</v>
      </c>
      <c r="D197">
        <v>10</v>
      </c>
      <c r="E197" t="s">
        <v>89</v>
      </c>
      <c r="F197" t="s">
        <v>84</v>
      </c>
      <c r="G197" t="s">
        <v>84</v>
      </c>
      <c r="H197" t="s">
        <v>25</v>
      </c>
      <c r="I197" t="s">
        <v>25</v>
      </c>
      <c r="J197" t="s">
        <v>101</v>
      </c>
      <c r="K197" t="s">
        <v>90</v>
      </c>
      <c r="L197" t="s">
        <v>103</v>
      </c>
      <c r="M197">
        <v>1325.6322066800001</v>
      </c>
      <c r="N197">
        <v>0</v>
      </c>
      <c r="O197" t="s">
        <v>79</v>
      </c>
      <c r="P197" s="39">
        <v>44269.838788229157</v>
      </c>
      <c r="Q197">
        <v>83968</v>
      </c>
      <c r="R197" t="s">
        <v>82</v>
      </c>
      <c r="S197" s="4">
        <v>1342.95485517</v>
      </c>
      <c r="T197">
        <v>71.987938639999996</v>
      </c>
      <c r="U197">
        <v>71.987938639999996</v>
      </c>
      <c r="V197">
        <v>96676.551706020007</v>
      </c>
      <c r="W197">
        <v>96676.551706019993</v>
      </c>
      <c r="X197">
        <v>0</v>
      </c>
      <c r="Y197">
        <v>5715.3657296399997</v>
      </c>
      <c r="Z197">
        <v>5715.3657296399997</v>
      </c>
      <c r="AA197">
        <v>0</v>
      </c>
      <c r="AB197">
        <v>0</v>
      </c>
      <c r="AC197" t="s">
        <v>84</v>
      </c>
      <c r="AD197" s="39">
        <v>43009</v>
      </c>
    </row>
    <row r="198" spans="1:30" x14ac:dyDescent="0.25">
      <c r="A198">
        <v>9821</v>
      </c>
      <c r="B198" t="s">
        <v>127</v>
      </c>
      <c r="C198">
        <v>2017</v>
      </c>
      <c r="D198">
        <v>10</v>
      </c>
      <c r="E198" t="s">
        <v>87</v>
      </c>
      <c r="F198" t="s">
        <v>84</v>
      </c>
      <c r="G198" t="s">
        <v>84</v>
      </c>
      <c r="H198" t="s">
        <v>25</v>
      </c>
      <c r="I198" t="s">
        <v>25</v>
      </c>
      <c r="J198" t="s">
        <v>101</v>
      </c>
      <c r="K198" t="s">
        <v>88</v>
      </c>
      <c r="L198" t="s">
        <v>103</v>
      </c>
      <c r="M198">
        <v>345.79406583999997</v>
      </c>
      <c r="N198">
        <v>0</v>
      </c>
      <c r="O198" t="s">
        <v>79</v>
      </c>
      <c r="P198" s="39">
        <v>44269.83878726852</v>
      </c>
      <c r="Q198">
        <v>83926</v>
      </c>
      <c r="R198" t="s">
        <v>82</v>
      </c>
      <c r="S198" s="4">
        <v>350.16893963000001</v>
      </c>
      <c r="T198">
        <v>71.987938639999996</v>
      </c>
      <c r="U198">
        <v>71.987938639999996</v>
      </c>
      <c r="V198">
        <v>25207.940138990001</v>
      </c>
      <c r="W198">
        <v>25207.940138990001</v>
      </c>
      <c r="X198">
        <v>0</v>
      </c>
      <c r="Y198">
        <v>5715.3657296399997</v>
      </c>
      <c r="Z198">
        <v>5715.3657296399997</v>
      </c>
      <c r="AA198">
        <v>0</v>
      </c>
      <c r="AB198">
        <v>0</v>
      </c>
      <c r="AC198" t="s">
        <v>84</v>
      </c>
      <c r="AD198" s="39">
        <v>43009</v>
      </c>
    </row>
    <row r="199" spans="1:30" x14ac:dyDescent="0.25">
      <c r="A199">
        <v>9800</v>
      </c>
      <c r="B199" t="s">
        <v>127</v>
      </c>
      <c r="C199">
        <v>2017</v>
      </c>
      <c r="D199">
        <v>10</v>
      </c>
      <c r="E199" t="s">
        <v>85</v>
      </c>
      <c r="F199" t="s">
        <v>84</v>
      </c>
      <c r="G199" t="s">
        <v>84</v>
      </c>
      <c r="H199" t="s">
        <v>25</v>
      </c>
      <c r="I199" t="s">
        <v>25</v>
      </c>
      <c r="J199" t="s">
        <v>101</v>
      </c>
      <c r="K199" t="s">
        <v>86</v>
      </c>
      <c r="L199" t="s">
        <v>103</v>
      </c>
      <c r="M199">
        <v>1690.9131185399999</v>
      </c>
      <c r="N199">
        <v>0</v>
      </c>
      <c r="O199" t="s">
        <v>79</v>
      </c>
      <c r="P199" s="39">
        <v>44269.83878622685</v>
      </c>
      <c r="Q199">
        <v>83884</v>
      </c>
      <c r="R199" t="s">
        <v>82</v>
      </c>
      <c r="S199" s="4">
        <v>1732.51901486</v>
      </c>
      <c r="T199">
        <v>71.987938639999996</v>
      </c>
      <c r="U199">
        <v>71.987938639999996</v>
      </c>
      <c r="V199">
        <v>124720.47252938</v>
      </c>
      <c r="W199">
        <v>124720.47252938</v>
      </c>
      <c r="X199">
        <v>0</v>
      </c>
      <c r="Y199">
        <v>5715.3657296399997</v>
      </c>
      <c r="Z199">
        <v>5715.3657296399997</v>
      </c>
      <c r="AA199">
        <v>0</v>
      </c>
      <c r="AB199">
        <v>0</v>
      </c>
      <c r="AC199" t="s">
        <v>84</v>
      </c>
      <c r="AD199" s="39">
        <v>43009</v>
      </c>
    </row>
    <row r="200" spans="1:30" x14ac:dyDescent="0.25">
      <c r="A200">
        <v>174692</v>
      </c>
      <c r="B200" t="s">
        <v>145</v>
      </c>
      <c r="C200">
        <v>2019</v>
      </c>
      <c r="D200">
        <v>1</v>
      </c>
      <c r="E200" t="s">
        <v>90</v>
      </c>
      <c r="F200" t="s">
        <v>84</v>
      </c>
      <c r="G200" t="s">
        <v>84</v>
      </c>
      <c r="H200" t="s">
        <v>25</v>
      </c>
      <c r="I200" t="s">
        <v>25</v>
      </c>
      <c r="J200" t="s">
        <v>101</v>
      </c>
      <c r="K200" t="s">
        <v>90</v>
      </c>
      <c r="L200" t="s">
        <v>103</v>
      </c>
      <c r="M200">
        <v>1057.08780013</v>
      </c>
      <c r="N200">
        <v>0</v>
      </c>
      <c r="O200" t="s">
        <v>80</v>
      </c>
      <c r="P200" s="39">
        <v>44269.857912731481</v>
      </c>
      <c r="Q200">
        <v>1659736</v>
      </c>
      <c r="R200" t="s">
        <v>81</v>
      </c>
      <c r="S200" s="4">
        <v>107.26597246999999</v>
      </c>
      <c r="T200">
        <v>70.437337639999996</v>
      </c>
      <c r="U200">
        <v>70.437337639999996</v>
      </c>
      <c r="V200">
        <v>7555.5295197799996</v>
      </c>
      <c r="W200">
        <v>7555.5295197799996</v>
      </c>
      <c r="X200">
        <v>0</v>
      </c>
      <c r="Y200">
        <v>5735.8045360699998</v>
      </c>
      <c r="Z200">
        <v>5735.8045360699998</v>
      </c>
      <c r="AA200">
        <v>0</v>
      </c>
      <c r="AB200">
        <v>0</v>
      </c>
      <c r="AC200" t="s">
        <v>84</v>
      </c>
      <c r="AD200" s="39">
        <v>43466</v>
      </c>
    </row>
    <row r="201" spans="1:30" x14ac:dyDescent="0.25">
      <c r="A201">
        <v>257193</v>
      </c>
      <c r="B201" t="s">
        <v>146</v>
      </c>
      <c r="C201">
        <v>2019</v>
      </c>
      <c r="D201">
        <v>7</v>
      </c>
      <c r="E201" t="s">
        <v>88</v>
      </c>
      <c r="F201" t="s">
        <v>84</v>
      </c>
      <c r="G201" t="s">
        <v>84</v>
      </c>
      <c r="H201" t="s">
        <v>25</v>
      </c>
      <c r="I201" t="s">
        <v>25</v>
      </c>
      <c r="J201" t="s">
        <v>101</v>
      </c>
      <c r="K201" t="s">
        <v>88</v>
      </c>
      <c r="L201" t="s">
        <v>103</v>
      </c>
      <c r="M201">
        <v>259.70617061000002</v>
      </c>
      <c r="N201">
        <v>0</v>
      </c>
      <c r="O201" t="s">
        <v>80</v>
      </c>
      <c r="P201" s="39">
        <v>44269.868005127311</v>
      </c>
      <c r="Q201">
        <v>2439666</v>
      </c>
      <c r="R201" t="s">
        <v>81</v>
      </c>
      <c r="S201" s="4">
        <v>26.29917069</v>
      </c>
      <c r="T201">
        <v>70.437337639999996</v>
      </c>
      <c r="U201">
        <v>70.437337639999996</v>
      </c>
      <c r="V201">
        <v>1852.4435653999999</v>
      </c>
      <c r="W201">
        <v>1852.4435653999999</v>
      </c>
      <c r="X201">
        <v>0</v>
      </c>
      <c r="Y201">
        <v>5735.8045360699998</v>
      </c>
      <c r="Z201">
        <v>5735.8045360699998</v>
      </c>
      <c r="AA201">
        <v>0</v>
      </c>
      <c r="AB201">
        <v>0</v>
      </c>
      <c r="AC201" t="s">
        <v>84</v>
      </c>
      <c r="AD201" s="39">
        <v>43647</v>
      </c>
    </row>
    <row r="202" spans="1:30" x14ac:dyDescent="0.25">
      <c r="A202">
        <v>187283</v>
      </c>
      <c r="B202" t="s">
        <v>147</v>
      </c>
      <c r="C202">
        <v>2019</v>
      </c>
      <c r="D202">
        <v>2</v>
      </c>
      <c r="E202" t="s">
        <v>90</v>
      </c>
      <c r="F202" t="s">
        <v>84</v>
      </c>
      <c r="G202" t="s">
        <v>84</v>
      </c>
      <c r="H202" t="s">
        <v>25</v>
      </c>
      <c r="I202" t="s">
        <v>25</v>
      </c>
      <c r="J202" t="s">
        <v>101</v>
      </c>
      <c r="K202" t="s">
        <v>90</v>
      </c>
      <c r="L202" t="s">
        <v>103</v>
      </c>
      <c r="M202">
        <v>1177.9328353799999</v>
      </c>
      <c r="N202">
        <v>0</v>
      </c>
      <c r="O202" t="s">
        <v>80</v>
      </c>
      <c r="P202" s="39">
        <v>44269.859437847219</v>
      </c>
      <c r="Q202">
        <v>1779150</v>
      </c>
      <c r="R202" t="s">
        <v>81</v>
      </c>
      <c r="S202" s="4">
        <v>119.52849241</v>
      </c>
      <c r="T202">
        <v>70.437337639999996</v>
      </c>
      <c r="U202">
        <v>70.437337639999996</v>
      </c>
      <c r="V202">
        <v>8419.2687768199994</v>
      </c>
      <c r="W202">
        <v>8419.2687768199994</v>
      </c>
      <c r="X202">
        <v>0</v>
      </c>
      <c r="Y202">
        <v>5735.8045360699998</v>
      </c>
      <c r="Z202">
        <v>5735.8045360699998</v>
      </c>
      <c r="AA202">
        <v>0</v>
      </c>
      <c r="AB202">
        <v>0</v>
      </c>
      <c r="AC202" t="s">
        <v>84</v>
      </c>
      <c r="AD202" s="39">
        <v>43497</v>
      </c>
    </row>
    <row r="203" spans="1:30" x14ac:dyDescent="0.25">
      <c r="A203">
        <v>187229</v>
      </c>
      <c r="B203" t="s">
        <v>147</v>
      </c>
      <c r="C203">
        <v>2019</v>
      </c>
      <c r="D203">
        <v>2</v>
      </c>
      <c r="E203" t="s">
        <v>86</v>
      </c>
      <c r="F203" t="s">
        <v>84</v>
      </c>
      <c r="G203" t="s">
        <v>84</v>
      </c>
      <c r="H203" t="s">
        <v>25</v>
      </c>
      <c r="I203" t="s">
        <v>25</v>
      </c>
      <c r="J203" t="s">
        <v>101</v>
      </c>
      <c r="K203" t="s">
        <v>86</v>
      </c>
      <c r="L203" t="s">
        <v>103</v>
      </c>
      <c r="M203">
        <v>2097.42093987</v>
      </c>
      <c r="N203">
        <v>0</v>
      </c>
      <c r="O203" t="s">
        <v>80</v>
      </c>
      <c r="P203" s="39">
        <v>44269.859435266189</v>
      </c>
      <c r="Q203">
        <v>1778880</v>
      </c>
      <c r="R203" t="s">
        <v>81</v>
      </c>
      <c r="S203" s="4">
        <v>249.72608044</v>
      </c>
      <c r="T203">
        <v>70.437337639999996</v>
      </c>
      <c r="U203">
        <v>70.437337639999996</v>
      </c>
      <c r="V203">
        <v>17590.040244240001</v>
      </c>
      <c r="W203">
        <v>17590.040244240001</v>
      </c>
      <c r="X203">
        <v>0</v>
      </c>
      <c r="Y203">
        <v>5735.8045360699998</v>
      </c>
      <c r="Z203">
        <v>5735.8045360699998</v>
      </c>
      <c r="AA203">
        <v>0</v>
      </c>
      <c r="AB203">
        <v>0</v>
      </c>
      <c r="AC203" t="s">
        <v>84</v>
      </c>
      <c r="AD203" s="39">
        <v>43497</v>
      </c>
    </row>
    <row r="204" spans="1:30" x14ac:dyDescent="0.25">
      <c r="A204">
        <v>174638</v>
      </c>
      <c r="B204" t="s">
        <v>145</v>
      </c>
      <c r="C204">
        <v>2019</v>
      </c>
      <c r="D204">
        <v>1</v>
      </c>
      <c r="E204" t="s">
        <v>86</v>
      </c>
      <c r="F204" t="s">
        <v>84</v>
      </c>
      <c r="G204" t="s">
        <v>84</v>
      </c>
      <c r="H204" t="s">
        <v>25</v>
      </c>
      <c r="I204" t="s">
        <v>25</v>
      </c>
      <c r="J204" t="s">
        <v>101</v>
      </c>
      <c r="K204" t="s">
        <v>86</v>
      </c>
      <c r="L204" t="s">
        <v>103</v>
      </c>
      <c r="M204">
        <v>2213.9654676300001</v>
      </c>
      <c r="N204">
        <v>0</v>
      </c>
      <c r="O204" t="s">
        <v>80</v>
      </c>
      <c r="P204" s="39">
        <v>44269.857910185186</v>
      </c>
      <c r="Q204">
        <v>1659466</v>
      </c>
      <c r="R204" t="s">
        <v>81</v>
      </c>
      <c r="S204" s="4">
        <v>263.60226884000002</v>
      </c>
      <c r="T204">
        <v>70.437337639999996</v>
      </c>
      <c r="U204">
        <v>70.437337639999996</v>
      </c>
      <c r="V204">
        <v>18567.442011660001</v>
      </c>
      <c r="W204">
        <v>18567.442011660001</v>
      </c>
      <c r="X204">
        <v>0</v>
      </c>
      <c r="Y204">
        <v>5735.8045360699998</v>
      </c>
      <c r="Z204">
        <v>5735.8045360699998</v>
      </c>
      <c r="AA204">
        <v>0</v>
      </c>
      <c r="AB204">
        <v>0</v>
      </c>
      <c r="AC204" t="s">
        <v>84</v>
      </c>
      <c r="AD204" s="39">
        <v>43466</v>
      </c>
    </row>
    <row r="205" spans="1:30" x14ac:dyDescent="0.25">
      <c r="A205">
        <v>314988</v>
      </c>
      <c r="B205" t="s">
        <v>148</v>
      </c>
      <c r="C205">
        <v>2019</v>
      </c>
      <c r="D205">
        <v>12</v>
      </c>
      <c r="E205" t="s">
        <v>86</v>
      </c>
      <c r="F205" t="s">
        <v>84</v>
      </c>
      <c r="G205" t="s">
        <v>84</v>
      </c>
      <c r="H205" t="s">
        <v>25</v>
      </c>
      <c r="I205" t="s">
        <v>25</v>
      </c>
      <c r="J205" t="s">
        <v>101</v>
      </c>
      <c r="K205" t="s">
        <v>86</v>
      </c>
      <c r="L205" t="s">
        <v>103</v>
      </c>
      <c r="M205">
        <v>2155.3283754300001</v>
      </c>
      <c r="N205">
        <v>0</v>
      </c>
      <c r="O205" t="s">
        <v>80</v>
      </c>
      <c r="P205" s="39">
        <v>44269.875250428238</v>
      </c>
      <c r="Q205">
        <v>2979367</v>
      </c>
      <c r="R205" t="s">
        <v>81</v>
      </c>
      <c r="S205" s="4">
        <v>256.62073693999997</v>
      </c>
      <c r="T205">
        <v>70.437337639999996</v>
      </c>
      <c r="U205">
        <v>70.437337639999996</v>
      </c>
      <c r="V205">
        <v>18075.681491840001</v>
      </c>
      <c r="W205">
        <v>18075.681491840001</v>
      </c>
      <c r="X205">
        <v>0</v>
      </c>
      <c r="Y205">
        <v>5735.8045360699998</v>
      </c>
      <c r="Z205">
        <v>5735.8045360699998</v>
      </c>
      <c r="AA205">
        <v>0</v>
      </c>
      <c r="AB205">
        <v>0</v>
      </c>
      <c r="AC205" t="s">
        <v>84</v>
      </c>
      <c r="AD205" s="39">
        <v>43800</v>
      </c>
    </row>
    <row r="206" spans="1:30" x14ac:dyDescent="0.25">
      <c r="A206">
        <v>174665</v>
      </c>
      <c r="B206" t="s">
        <v>145</v>
      </c>
      <c r="C206">
        <v>2019</v>
      </c>
      <c r="D206">
        <v>1</v>
      </c>
      <c r="E206" t="s">
        <v>88</v>
      </c>
      <c r="F206" t="s">
        <v>84</v>
      </c>
      <c r="G206" t="s">
        <v>84</v>
      </c>
      <c r="H206" t="s">
        <v>25</v>
      </c>
      <c r="I206" t="s">
        <v>25</v>
      </c>
      <c r="J206" t="s">
        <v>101</v>
      </c>
      <c r="K206" t="s">
        <v>88</v>
      </c>
      <c r="L206" t="s">
        <v>103</v>
      </c>
      <c r="M206">
        <v>502.14165592000001</v>
      </c>
      <c r="N206">
        <v>0</v>
      </c>
      <c r="O206" t="s">
        <v>80</v>
      </c>
      <c r="P206" s="39">
        <v>44269.857911458334</v>
      </c>
      <c r="Q206">
        <v>1659601</v>
      </c>
      <c r="R206" t="s">
        <v>81</v>
      </c>
      <c r="S206" s="4">
        <v>50.84942375</v>
      </c>
      <c r="T206">
        <v>70.437337639999996</v>
      </c>
      <c r="U206">
        <v>70.437337639999996</v>
      </c>
      <c r="V206">
        <v>3581.69802918</v>
      </c>
      <c r="W206">
        <v>3581.69802918</v>
      </c>
      <c r="X206">
        <v>0</v>
      </c>
      <c r="Y206">
        <v>5735.8045360699998</v>
      </c>
      <c r="Z206">
        <v>5735.8045360699998</v>
      </c>
      <c r="AA206">
        <v>0</v>
      </c>
      <c r="AB206">
        <v>0</v>
      </c>
      <c r="AC206" t="s">
        <v>84</v>
      </c>
      <c r="AD206" s="39">
        <v>43466</v>
      </c>
    </row>
    <row r="207" spans="1:30" x14ac:dyDescent="0.25">
      <c r="A207">
        <v>190928</v>
      </c>
      <c r="B207" t="s">
        <v>149</v>
      </c>
      <c r="C207">
        <v>2019</v>
      </c>
      <c r="D207">
        <v>3</v>
      </c>
      <c r="E207" t="s">
        <v>86</v>
      </c>
      <c r="F207" t="s">
        <v>84</v>
      </c>
      <c r="G207" t="s">
        <v>84</v>
      </c>
      <c r="H207" t="s">
        <v>25</v>
      </c>
      <c r="I207" t="s">
        <v>25</v>
      </c>
      <c r="J207" t="s">
        <v>101</v>
      </c>
      <c r="K207" t="s">
        <v>86</v>
      </c>
      <c r="L207" t="s">
        <v>103</v>
      </c>
      <c r="M207">
        <v>1987.4110310900001</v>
      </c>
      <c r="N207">
        <v>0</v>
      </c>
      <c r="O207" t="s">
        <v>80</v>
      </c>
      <c r="P207" s="39">
        <v>44269.860194062501</v>
      </c>
      <c r="Q207">
        <v>1806286</v>
      </c>
      <c r="R207" t="s">
        <v>81</v>
      </c>
      <c r="S207" s="4">
        <v>236.62792603</v>
      </c>
      <c r="T207">
        <v>70.437337639999996</v>
      </c>
      <c r="U207">
        <v>70.437337639999996</v>
      </c>
      <c r="V207">
        <v>16667.441119880001</v>
      </c>
      <c r="W207">
        <v>16667.441119880001</v>
      </c>
      <c r="X207">
        <v>0</v>
      </c>
      <c r="Y207">
        <v>5735.8045360699998</v>
      </c>
      <c r="Z207">
        <v>5735.8045360699998</v>
      </c>
      <c r="AA207">
        <v>0</v>
      </c>
      <c r="AB207">
        <v>0</v>
      </c>
      <c r="AC207" t="s">
        <v>84</v>
      </c>
      <c r="AD207" s="39">
        <v>43525</v>
      </c>
    </row>
    <row r="208" spans="1:30" x14ac:dyDescent="0.25">
      <c r="A208">
        <v>215992</v>
      </c>
      <c r="B208" t="s">
        <v>150</v>
      </c>
      <c r="C208">
        <v>2019</v>
      </c>
      <c r="D208">
        <v>4</v>
      </c>
      <c r="E208" t="s">
        <v>90</v>
      </c>
      <c r="F208" t="s">
        <v>84</v>
      </c>
      <c r="G208" t="s">
        <v>84</v>
      </c>
      <c r="H208" t="s">
        <v>25</v>
      </c>
      <c r="I208" t="s">
        <v>25</v>
      </c>
      <c r="J208" t="s">
        <v>101</v>
      </c>
      <c r="K208" t="s">
        <v>90</v>
      </c>
      <c r="L208" t="s">
        <v>103</v>
      </c>
      <c r="M208">
        <v>807.94171081000002</v>
      </c>
      <c r="N208">
        <v>0</v>
      </c>
      <c r="O208" t="s">
        <v>80</v>
      </c>
      <c r="P208" s="39">
        <v>44269.862962037027</v>
      </c>
      <c r="Q208">
        <v>2049902</v>
      </c>
      <c r="R208" t="s">
        <v>81</v>
      </c>
      <c r="S208" s="4">
        <v>81.984347279999994</v>
      </c>
      <c r="T208">
        <v>70.437337639999996</v>
      </c>
      <c r="U208">
        <v>70.437337639999996</v>
      </c>
      <c r="V208">
        <v>5774.7591500899998</v>
      </c>
      <c r="W208">
        <v>5774.7591500899998</v>
      </c>
      <c r="X208">
        <v>0</v>
      </c>
      <c r="Y208">
        <v>5735.8045360699998</v>
      </c>
      <c r="Z208">
        <v>5735.8045360699998</v>
      </c>
      <c r="AA208">
        <v>0</v>
      </c>
      <c r="AB208">
        <v>0</v>
      </c>
      <c r="AC208" t="s">
        <v>84</v>
      </c>
      <c r="AD208" s="39">
        <v>43556</v>
      </c>
    </row>
    <row r="209" spans="1:30" x14ac:dyDescent="0.25">
      <c r="A209">
        <v>315042</v>
      </c>
      <c r="B209" t="s">
        <v>148</v>
      </c>
      <c r="C209">
        <v>2019</v>
      </c>
      <c r="D209">
        <v>12</v>
      </c>
      <c r="E209" t="s">
        <v>90</v>
      </c>
      <c r="F209" t="s">
        <v>84</v>
      </c>
      <c r="G209" t="s">
        <v>84</v>
      </c>
      <c r="H209" t="s">
        <v>25</v>
      </c>
      <c r="I209" t="s">
        <v>25</v>
      </c>
      <c r="J209" t="s">
        <v>101</v>
      </c>
      <c r="K209" t="s">
        <v>90</v>
      </c>
      <c r="L209" t="s">
        <v>103</v>
      </c>
      <c r="M209">
        <v>491.15728963999999</v>
      </c>
      <c r="N209">
        <v>0</v>
      </c>
      <c r="O209" t="s">
        <v>80</v>
      </c>
      <c r="P209" s="39">
        <v>44269.875253009261</v>
      </c>
      <c r="Q209">
        <v>2979637</v>
      </c>
      <c r="R209" t="s">
        <v>81</v>
      </c>
      <c r="S209" s="4">
        <v>49.839251099999998</v>
      </c>
      <c r="T209">
        <v>70.437337639999996</v>
      </c>
      <c r="U209">
        <v>70.437337639999996</v>
      </c>
      <c r="V209">
        <v>3510.5441574800002</v>
      </c>
      <c r="W209">
        <v>3510.5441574800002</v>
      </c>
      <c r="X209">
        <v>0</v>
      </c>
      <c r="Y209">
        <v>5735.8045360699998</v>
      </c>
      <c r="Z209">
        <v>5735.8045360699998</v>
      </c>
      <c r="AA209">
        <v>0</v>
      </c>
      <c r="AB209">
        <v>0</v>
      </c>
      <c r="AC209" t="s">
        <v>84</v>
      </c>
      <c r="AD209" s="39">
        <v>43800</v>
      </c>
    </row>
    <row r="210" spans="1:30" x14ac:dyDescent="0.25">
      <c r="A210">
        <v>270939</v>
      </c>
      <c r="B210" t="s">
        <v>151</v>
      </c>
      <c r="C210">
        <v>2019</v>
      </c>
      <c r="D210">
        <v>8</v>
      </c>
      <c r="E210" t="s">
        <v>86</v>
      </c>
      <c r="F210" t="s">
        <v>84</v>
      </c>
      <c r="G210" t="s">
        <v>84</v>
      </c>
      <c r="H210" t="s">
        <v>25</v>
      </c>
      <c r="I210" t="s">
        <v>25</v>
      </c>
      <c r="J210" t="s">
        <v>101</v>
      </c>
      <c r="K210" t="s">
        <v>86</v>
      </c>
      <c r="L210" t="s">
        <v>103</v>
      </c>
      <c r="M210">
        <v>1193.87028252</v>
      </c>
      <c r="N210">
        <v>0</v>
      </c>
      <c r="O210" t="s">
        <v>80</v>
      </c>
      <c r="P210" s="39">
        <v>44269.869630439818</v>
      </c>
      <c r="Q210">
        <v>2569923</v>
      </c>
      <c r="R210" t="s">
        <v>81</v>
      </c>
      <c r="S210" s="4">
        <v>142.14626189000001</v>
      </c>
      <c r="T210">
        <v>70.437337639999996</v>
      </c>
      <c r="U210">
        <v>70.437337639999996</v>
      </c>
      <c r="V210">
        <v>10012.40424218</v>
      </c>
      <c r="W210">
        <v>10012.40424218</v>
      </c>
      <c r="X210">
        <v>0</v>
      </c>
      <c r="Y210">
        <v>5735.8045360699998</v>
      </c>
      <c r="Z210">
        <v>5735.8045360699998</v>
      </c>
      <c r="AA210">
        <v>0</v>
      </c>
      <c r="AB210">
        <v>0</v>
      </c>
      <c r="AC210" t="s">
        <v>84</v>
      </c>
      <c r="AD210" s="39">
        <v>43678</v>
      </c>
    </row>
    <row r="211" spans="1:30" x14ac:dyDescent="0.25">
      <c r="A211">
        <v>190982</v>
      </c>
      <c r="B211" t="s">
        <v>149</v>
      </c>
      <c r="C211">
        <v>2019</v>
      </c>
      <c r="D211">
        <v>3</v>
      </c>
      <c r="E211" t="s">
        <v>90</v>
      </c>
      <c r="F211" t="s">
        <v>84</v>
      </c>
      <c r="G211" t="s">
        <v>84</v>
      </c>
      <c r="H211" t="s">
        <v>25</v>
      </c>
      <c r="I211" t="s">
        <v>25</v>
      </c>
      <c r="J211" t="s">
        <v>101</v>
      </c>
      <c r="K211" t="s">
        <v>90</v>
      </c>
      <c r="L211" t="s">
        <v>103</v>
      </c>
      <c r="M211">
        <v>1048.18988866</v>
      </c>
      <c r="N211">
        <v>0</v>
      </c>
      <c r="O211" t="s">
        <v>80</v>
      </c>
      <c r="P211" s="39">
        <v>44269.860196643524</v>
      </c>
      <c r="Q211">
        <v>1806556</v>
      </c>
      <c r="R211" t="s">
        <v>81</v>
      </c>
      <c r="S211" s="4">
        <v>106.36307384</v>
      </c>
      <c r="T211">
        <v>70.437337639999996</v>
      </c>
      <c r="U211">
        <v>70.437337639999996</v>
      </c>
      <c r="V211">
        <v>7491.9317440799996</v>
      </c>
      <c r="W211">
        <v>7491.9317440799996</v>
      </c>
      <c r="X211">
        <v>0</v>
      </c>
      <c r="Y211">
        <v>5735.8045360699998</v>
      </c>
      <c r="Z211">
        <v>5735.8045360699998</v>
      </c>
      <c r="AA211">
        <v>0</v>
      </c>
      <c r="AB211">
        <v>0</v>
      </c>
      <c r="AC211" t="s">
        <v>84</v>
      </c>
      <c r="AD211" s="39">
        <v>43525</v>
      </c>
    </row>
    <row r="212" spans="1:30" x14ac:dyDescent="0.25">
      <c r="A212">
        <v>187256</v>
      </c>
      <c r="B212" t="s">
        <v>147</v>
      </c>
      <c r="C212">
        <v>2019</v>
      </c>
      <c r="D212">
        <v>2</v>
      </c>
      <c r="E212" t="s">
        <v>88</v>
      </c>
      <c r="F212" t="s">
        <v>84</v>
      </c>
      <c r="G212" t="s">
        <v>84</v>
      </c>
      <c r="H212" t="s">
        <v>25</v>
      </c>
      <c r="I212" t="s">
        <v>25</v>
      </c>
      <c r="J212" t="s">
        <v>101</v>
      </c>
      <c r="K212" t="s">
        <v>88</v>
      </c>
      <c r="L212" t="s">
        <v>103</v>
      </c>
      <c r="M212">
        <v>483.50924042000003</v>
      </c>
      <c r="N212">
        <v>0</v>
      </c>
      <c r="O212" t="s">
        <v>80</v>
      </c>
      <c r="P212" s="39">
        <v>44269.859436574072</v>
      </c>
      <c r="Q212">
        <v>1779015</v>
      </c>
      <c r="R212" t="s">
        <v>81</v>
      </c>
      <c r="S212" s="4">
        <v>48.962610380000001</v>
      </c>
      <c r="T212">
        <v>70.437337639999996</v>
      </c>
      <c r="U212">
        <v>70.437337639999996</v>
      </c>
      <c r="V212">
        <v>3448.7959185999998</v>
      </c>
      <c r="W212">
        <v>3448.7959185999998</v>
      </c>
      <c r="X212">
        <v>0</v>
      </c>
      <c r="Y212">
        <v>5735.8045360699998</v>
      </c>
      <c r="Z212">
        <v>5735.8045360699998</v>
      </c>
      <c r="AA212">
        <v>0</v>
      </c>
      <c r="AB212">
        <v>0</v>
      </c>
      <c r="AC212" t="s">
        <v>84</v>
      </c>
      <c r="AD212" s="39">
        <v>43497</v>
      </c>
    </row>
    <row r="213" spans="1:30" x14ac:dyDescent="0.25">
      <c r="A213">
        <v>215965</v>
      </c>
      <c r="B213" t="s">
        <v>150</v>
      </c>
      <c r="C213">
        <v>2019</v>
      </c>
      <c r="D213">
        <v>4</v>
      </c>
      <c r="E213" t="s">
        <v>88</v>
      </c>
      <c r="F213" t="s">
        <v>84</v>
      </c>
      <c r="G213" t="s">
        <v>84</v>
      </c>
      <c r="H213" t="s">
        <v>25</v>
      </c>
      <c r="I213" t="s">
        <v>25</v>
      </c>
      <c r="J213" t="s">
        <v>101</v>
      </c>
      <c r="K213" t="s">
        <v>88</v>
      </c>
      <c r="L213" t="s">
        <v>103</v>
      </c>
      <c r="M213">
        <v>278.00060418999999</v>
      </c>
      <c r="N213">
        <v>0</v>
      </c>
      <c r="O213" t="s">
        <v>80</v>
      </c>
      <c r="P213" s="39">
        <v>44269.862960763887</v>
      </c>
      <c r="Q213">
        <v>2049767</v>
      </c>
      <c r="R213" t="s">
        <v>81</v>
      </c>
      <c r="S213" s="4">
        <v>28.15175829</v>
      </c>
      <c r="T213">
        <v>70.437337639999996</v>
      </c>
      <c r="U213">
        <v>70.437337639999996</v>
      </c>
      <c r="V213">
        <v>1982.93490374</v>
      </c>
      <c r="W213">
        <v>1982.93490374</v>
      </c>
      <c r="X213">
        <v>0</v>
      </c>
      <c r="Y213">
        <v>5735.8045360699998</v>
      </c>
      <c r="Z213">
        <v>5735.8045360699998</v>
      </c>
      <c r="AA213">
        <v>0</v>
      </c>
      <c r="AB213">
        <v>0</v>
      </c>
      <c r="AC213" t="s">
        <v>84</v>
      </c>
      <c r="AD213" s="39">
        <v>43556</v>
      </c>
    </row>
    <row r="214" spans="1:30" x14ac:dyDescent="0.25">
      <c r="A214">
        <v>190955</v>
      </c>
      <c r="B214" t="s">
        <v>149</v>
      </c>
      <c r="C214">
        <v>2019</v>
      </c>
      <c r="D214">
        <v>3</v>
      </c>
      <c r="E214" t="s">
        <v>88</v>
      </c>
      <c r="F214" t="s">
        <v>84</v>
      </c>
      <c r="G214" t="s">
        <v>84</v>
      </c>
      <c r="H214" t="s">
        <v>25</v>
      </c>
      <c r="I214" t="s">
        <v>25</v>
      </c>
      <c r="J214" t="s">
        <v>101</v>
      </c>
      <c r="K214" t="s">
        <v>88</v>
      </c>
      <c r="L214" t="s">
        <v>103</v>
      </c>
      <c r="M214">
        <v>548.80313799999999</v>
      </c>
      <c r="N214">
        <v>0</v>
      </c>
      <c r="O214" t="s">
        <v>80</v>
      </c>
      <c r="P214" s="39">
        <v>44269.86019540509</v>
      </c>
      <c r="Q214">
        <v>1806421</v>
      </c>
      <c r="R214" t="s">
        <v>81</v>
      </c>
      <c r="S214" s="4">
        <v>55.574603279999998</v>
      </c>
      <c r="T214">
        <v>70.437337639999996</v>
      </c>
      <c r="U214">
        <v>70.437337639999996</v>
      </c>
      <c r="V214">
        <v>3914.52709534</v>
      </c>
      <c r="W214">
        <v>3914.52709534</v>
      </c>
      <c r="X214">
        <v>0</v>
      </c>
      <c r="Y214">
        <v>5735.8045360699998</v>
      </c>
      <c r="Z214">
        <v>5735.8045360699998</v>
      </c>
      <c r="AA214">
        <v>0</v>
      </c>
      <c r="AB214">
        <v>0</v>
      </c>
      <c r="AC214" t="s">
        <v>84</v>
      </c>
      <c r="AD214" s="39">
        <v>43525</v>
      </c>
    </row>
    <row r="215" spans="1:30" x14ac:dyDescent="0.25">
      <c r="A215">
        <v>229684</v>
      </c>
      <c r="B215" t="s">
        <v>152</v>
      </c>
      <c r="C215">
        <v>2019</v>
      </c>
      <c r="D215">
        <v>5</v>
      </c>
      <c r="E215" t="s">
        <v>88</v>
      </c>
      <c r="F215" t="s">
        <v>84</v>
      </c>
      <c r="G215" t="s">
        <v>84</v>
      </c>
      <c r="H215" t="s">
        <v>25</v>
      </c>
      <c r="I215" t="s">
        <v>25</v>
      </c>
      <c r="J215" t="s">
        <v>101</v>
      </c>
      <c r="K215" t="s">
        <v>88</v>
      </c>
      <c r="L215" t="s">
        <v>103</v>
      </c>
      <c r="M215">
        <v>306.35749342000003</v>
      </c>
      <c r="N215">
        <v>0</v>
      </c>
      <c r="O215" t="s">
        <v>80</v>
      </c>
      <c r="P215" s="39">
        <v>44269.864759108787</v>
      </c>
      <c r="Q215">
        <v>2179644</v>
      </c>
      <c r="R215" t="s">
        <v>81</v>
      </c>
      <c r="S215" s="4">
        <v>31.02332144</v>
      </c>
      <c r="T215">
        <v>70.437337639999996</v>
      </c>
      <c r="U215">
        <v>70.437337639999996</v>
      </c>
      <c r="V215">
        <v>2185.2001670700001</v>
      </c>
      <c r="W215">
        <v>2185.2001670700001</v>
      </c>
      <c r="X215">
        <v>0</v>
      </c>
      <c r="Y215">
        <v>5735.8045360699998</v>
      </c>
      <c r="Z215">
        <v>5735.8045360699998</v>
      </c>
      <c r="AA215">
        <v>0</v>
      </c>
      <c r="AB215">
        <v>0</v>
      </c>
      <c r="AC215" t="s">
        <v>84</v>
      </c>
      <c r="AD215" s="39">
        <v>43586</v>
      </c>
    </row>
    <row r="216" spans="1:30" x14ac:dyDescent="0.25">
      <c r="A216">
        <v>243411</v>
      </c>
      <c r="B216" t="s">
        <v>153</v>
      </c>
      <c r="C216">
        <v>2019</v>
      </c>
      <c r="D216">
        <v>6</v>
      </c>
      <c r="E216" t="s">
        <v>86</v>
      </c>
      <c r="F216" t="s">
        <v>84</v>
      </c>
      <c r="G216" t="s">
        <v>84</v>
      </c>
      <c r="H216" t="s">
        <v>25</v>
      </c>
      <c r="I216" t="s">
        <v>25</v>
      </c>
      <c r="J216" t="s">
        <v>101</v>
      </c>
      <c r="K216" t="s">
        <v>86</v>
      </c>
      <c r="L216" t="s">
        <v>103</v>
      </c>
      <c r="M216">
        <v>1258.64819612</v>
      </c>
      <c r="N216">
        <v>0</v>
      </c>
      <c r="O216" t="s">
        <v>80</v>
      </c>
      <c r="P216" s="39">
        <v>44269.866383564811</v>
      </c>
      <c r="Q216">
        <v>2309503</v>
      </c>
      <c r="R216" t="s">
        <v>81</v>
      </c>
      <c r="S216" s="4">
        <v>149.85894089999999</v>
      </c>
      <c r="T216">
        <v>70.437337639999996</v>
      </c>
      <c r="U216">
        <v>70.437337639999996</v>
      </c>
      <c r="V216">
        <v>10555.664817860001</v>
      </c>
      <c r="W216">
        <v>10555.664817860001</v>
      </c>
      <c r="X216">
        <v>0</v>
      </c>
      <c r="Y216">
        <v>5735.8045360699998</v>
      </c>
      <c r="Z216">
        <v>5735.8045360699998</v>
      </c>
      <c r="AA216">
        <v>0</v>
      </c>
      <c r="AB216">
        <v>0</v>
      </c>
      <c r="AC216" t="s">
        <v>84</v>
      </c>
      <c r="AD216" s="39">
        <v>43617</v>
      </c>
    </row>
    <row r="217" spans="1:30" x14ac:dyDescent="0.25">
      <c r="A217">
        <v>229711</v>
      </c>
      <c r="B217" t="s">
        <v>152</v>
      </c>
      <c r="C217">
        <v>2019</v>
      </c>
      <c r="D217">
        <v>5</v>
      </c>
      <c r="E217" t="s">
        <v>90</v>
      </c>
      <c r="F217" t="s">
        <v>84</v>
      </c>
      <c r="G217" t="s">
        <v>84</v>
      </c>
      <c r="H217" t="s">
        <v>25</v>
      </c>
      <c r="I217" t="s">
        <v>25</v>
      </c>
      <c r="J217" t="s">
        <v>101</v>
      </c>
      <c r="K217" t="s">
        <v>90</v>
      </c>
      <c r="L217" t="s">
        <v>103</v>
      </c>
      <c r="M217">
        <v>761.62555524000004</v>
      </c>
      <c r="N217">
        <v>0</v>
      </c>
      <c r="O217" t="s">
        <v>80</v>
      </c>
      <c r="P217" s="39">
        <v>44269.864760335651</v>
      </c>
      <c r="Q217">
        <v>2179779</v>
      </c>
      <c r="R217" t="s">
        <v>81</v>
      </c>
      <c r="S217" s="4">
        <v>77.284503549999997</v>
      </c>
      <c r="T217">
        <v>70.437337639999996</v>
      </c>
      <c r="U217">
        <v>70.437337639999996</v>
      </c>
      <c r="V217">
        <v>5443.7146705799996</v>
      </c>
      <c r="W217">
        <v>5443.7146705799996</v>
      </c>
      <c r="X217">
        <v>0</v>
      </c>
      <c r="Y217">
        <v>5735.8045360699998</v>
      </c>
      <c r="Z217">
        <v>5735.8045360699998</v>
      </c>
      <c r="AA217">
        <v>0</v>
      </c>
      <c r="AB217">
        <v>0</v>
      </c>
      <c r="AC217" t="s">
        <v>84</v>
      </c>
      <c r="AD217" s="39">
        <v>43586</v>
      </c>
    </row>
    <row r="218" spans="1:30" x14ac:dyDescent="0.25">
      <c r="A218">
        <v>273507</v>
      </c>
      <c r="B218" t="s">
        <v>154</v>
      </c>
      <c r="C218">
        <v>2019</v>
      </c>
      <c r="D218">
        <v>9</v>
      </c>
      <c r="E218" t="s">
        <v>90</v>
      </c>
      <c r="F218" t="s">
        <v>84</v>
      </c>
      <c r="G218" t="s">
        <v>84</v>
      </c>
      <c r="H218" t="s">
        <v>25</v>
      </c>
      <c r="I218" t="s">
        <v>25</v>
      </c>
      <c r="J218" t="s">
        <v>101</v>
      </c>
      <c r="K218" t="s">
        <v>90</v>
      </c>
      <c r="L218" t="s">
        <v>103</v>
      </c>
      <c r="M218">
        <v>533.50070271000004</v>
      </c>
      <c r="N218">
        <v>0</v>
      </c>
      <c r="O218" t="s">
        <v>80</v>
      </c>
      <c r="P218" s="39">
        <v>44269.870334027779</v>
      </c>
      <c r="Q218">
        <v>2587012</v>
      </c>
      <c r="R218" t="s">
        <v>81</v>
      </c>
      <c r="S218" s="4">
        <v>54.135968349999999</v>
      </c>
      <c r="T218">
        <v>70.437337639999996</v>
      </c>
      <c r="U218">
        <v>70.437337639999996</v>
      </c>
      <c r="V218">
        <v>3813.1934808199999</v>
      </c>
      <c r="W218">
        <v>3813.1934808199999</v>
      </c>
      <c r="X218">
        <v>0</v>
      </c>
      <c r="Y218">
        <v>5735.8045360699998</v>
      </c>
      <c r="Z218">
        <v>5735.8045360699998</v>
      </c>
      <c r="AA218">
        <v>0</v>
      </c>
      <c r="AB218">
        <v>0</v>
      </c>
      <c r="AC218" t="s">
        <v>84</v>
      </c>
      <c r="AD218" s="39">
        <v>43709</v>
      </c>
    </row>
    <row r="219" spans="1:30" x14ac:dyDescent="0.25">
      <c r="A219">
        <v>243438</v>
      </c>
      <c r="B219" t="s">
        <v>153</v>
      </c>
      <c r="C219">
        <v>2019</v>
      </c>
      <c r="D219">
        <v>6</v>
      </c>
      <c r="E219" t="s">
        <v>88</v>
      </c>
      <c r="F219" t="s">
        <v>84</v>
      </c>
      <c r="G219" t="s">
        <v>84</v>
      </c>
      <c r="H219" t="s">
        <v>25</v>
      </c>
      <c r="I219" t="s">
        <v>25</v>
      </c>
      <c r="J219" t="s">
        <v>101</v>
      </c>
      <c r="K219" t="s">
        <v>88</v>
      </c>
      <c r="L219" t="s">
        <v>103</v>
      </c>
      <c r="M219">
        <v>251.84571108</v>
      </c>
      <c r="N219">
        <v>0</v>
      </c>
      <c r="O219" t="s">
        <v>80</v>
      </c>
      <c r="P219" s="39">
        <v>44269.86638498844</v>
      </c>
      <c r="Q219">
        <v>2309638</v>
      </c>
      <c r="R219" t="s">
        <v>81</v>
      </c>
      <c r="S219" s="4">
        <v>25.503180489999998</v>
      </c>
      <c r="T219">
        <v>70.437337639999996</v>
      </c>
      <c r="U219">
        <v>70.437337639999996</v>
      </c>
      <c r="V219">
        <v>1796.3761348999999</v>
      </c>
      <c r="W219">
        <v>1796.3761348999999</v>
      </c>
      <c r="X219">
        <v>0</v>
      </c>
      <c r="Y219">
        <v>5735.8045360699998</v>
      </c>
      <c r="Z219">
        <v>5735.8045360699998</v>
      </c>
      <c r="AA219">
        <v>0</v>
      </c>
      <c r="AB219">
        <v>0</v>
      </c>
      <c r="AC219" t="s">
        <v>84</v>
      </c>
      <c r="AD219" s="39">
        <v>43617</v>
      </c>
    </row>
    <row r="220" spans="1:30" x14ac:dyDescent="0.25">
      <c r="A220">
        <v>257166</v>
      </c>
      <c r="B220" t="s">
        <v>146</v>
      </c>
      <c r="C220">
        <v>2019</v>
      </c>
      <c r="D220">
        <v>7</v>
      </c>
      <c r="E220" t="s">
        <v>86</v>
      </c>
      <c r="F220" t="s">
        <v>84</v>
      </c>
      <c r="G220" t="s">
        <v>84</v>
      </c>
      <c r="H220" t="s">
        <v>25</v>
      </c>
      <c r="I220" t="s">
        <v>25</v>
      </c>
      <c r="J220" t="s">
        <v>101</v>
      </c>
      <c r="K220" t="s">
        <v>86</v>
      </c>
      <c r="L220" t="s">
        <v>103</v>
      </c>
      <c r="M220">
        <v>1240.59596756</v>
      </c>
      <c r="N220">
        <v>0</v>
      </c>
      <c r="O220" t="s">
        <v>80</v>
      </c>
      <c r="P220" s="39">
        <v>44269.868003854157</v>
      </c>
      <c r="Q220">
        <v>2439531</v>
      </c>
      <c r="R220" t="s">
        <v>81</v>
      </c>
      <c r="S220" s="4">
        <v>147.70958109</v>
      </c>
      <c r="T220">
        <v>70.437337639999996</v>
      </c>
      <c r="U220">
        <v>70.437337639999996</v>
      </c>
      <c r="V220">
        <v>10404.269634910001</v>
      </c>
      <c r="W220">
        <v>10404.269634910001</v>
      </c>
      <c r="X220">
        <v>0</v>
      </c>
      <c r="Y220">
        <v>5735.8045360699998</v>
      </c>
      <c r="Z220">
        <v>5735.8045360699998</v>
      </c>
      <c r="AA220">
        <v>0</v>
      </c>
      <c r="AB220">
        <v>0</v>
      </c>
      <c r="AC220" t="s">
        <v>84</v>
      </c>
      <c r="AD220" s="39">
        <v>43647</v>
      </c>
    </row>
    <row r="221" spans="1:30" x14ac:dyDescent="0.25">
      <c r="A221">
        <v>301116</v>
      </c>
      <c r="B221" t="s">
        <v>155</v>
      </c>
      <c r="C221">
        <v>2019</v>
      </c>
      <c r="D221">
        <v>11</v>
      </c>
      <c r="E221" t="s">
        <v>88</v>
      </c>
      <c r="F221" t="s">
        <v>84</v>
      </c>
      <c r="G221" t="s">
        <v>84</v>
      </c>
      <c r="H221" t="s">
        <v>25</v>
      </c>
      <c r="I221" t="s">
        <v>25</v>
      </c>
      <c r="J221" t="s">
        <v>101</v>
      </c>
      <c r="K221" t="s">
        <v>88</v>
      </c>
      <c r="L221" t="s">
        <v>103</v>
      </c>
      <c r="M221">
        <v>633.19527639</v>
      </c>
      <c r="N221">
        <v>0</v>
      </c>
      <c r="O221" t="s">
        <v>80</v>
      </c>
      <c r="P221" s="39">
        <v>44269.873618055557</v>
      </c>
      <c r="Q221">
        <v>2848291</v>
      </c>
      <c r="R221" t="s">
        <v>81</v>
      </c>
      <c r="S221" s="4">
        <v>64.120581400000006</v>
      </c>
      <c r="T221">
        <v>70.437337639999996</v>
      </c>
      <c r="U221">
        <v>70.437337639999996</v>
      </c>
      <c r="V221">
        <v>4516.4830417399999</v>
      </c>
      <c r="W221">
        <v>4516.4830417399999</v>
      </c>
      <c r="X221">
        <v>0</v>
      </c>
      <c r="Y221">
        <v>5735.8045360699998</v>
      </c>
      <c r="Z221">
        <v>5735.8045360699998</v>
      </c>
      <c r="AA221">
        <v>0</v>
      </c>
      <c r="AB221">
        <v>0</v>
      </c>
      <c r="AC221" t="s">
        <v>84</v>
      </c>
      <c r="AD221" s="39">
        <v>43770</v>
      </c>
    </row>
    <row r="222" spans="1:30" x14ac:dyDescent="0.25">
      <c r="A222">
        <v>215938</v>
      </c>
      <c r="B222" t="s">
        <v>150</v>
      </c>
      <c r="C222">
        <v>2019</v>
      </c>
      <c r="D222">
        <v>4</v>
      </c>
      <c r="E222" t="s">
        <v>86</v>
      </c>
      <c r="F222" t="s">
        <v>84</v>
      </c>
      <c r="G222" t="s">
        <v>84</v>
      </c>
      <c r="H222" t="s">
        <v>25</v>
      </c>
      <c r="I222" t="s">
        <v>25</v>
      </c>
      <c r="J222" t="s">
        <v>101</v>
      </c>
      <c r="K222" t="s">
        <v>86</v>
      </c>
      <c r="L222" t="s">
        <v>103</v>
      </c>
      <c r="M222">
        <v>1388.5089304200001</v>
      </c>
      <c r="N222">
        <v>0</v>
      </c>
      <c r="O222" t="s">
        <v>80</v>
      </c>
      <c r="P222" s="39">
        <v>44269.862959456019</v>
      </c>
      <c r="Q222">
        <v>2049632</v>
      </c>
      <c r="R222" t="s">
        <v>81</v>
      </c>
      <c r="S222" s="4">
        <v>165.3206022</v>
      </c>
      <c r="T222">
        <v>70.437337639999996</v>
      </c>
      <c r="U222">
        <v>70.437337639999996</v>
      </c>
      <c r="V222">
        <v>11644.74307536</v>
      </c>
      <c r="W222">
        <v>11644.74307536</v>
      </c>
      <c r="X222">
        <v>0</v>
      </c>
      <c r="Y222">
        <v>5735.8045360699998</v>
      </c>
      <c r="Z222">
        <v>5735.8045360699998</v>
      </c>
      <c r="AA222">
        <v>0</v>
      </c>
      <c r="AB222">
        <v>0</v>
      </c>
      <c r="AC222" t="s">
        <v>84</v>
      </c>
      <c r="AD222" s="39">
        <v>43556</v>
      </c>
    </row>
    <row r="223" spans="1:30" x14ac:dyDescent="0.25">
      <c r="A223">
        <v>257220</v>
      </c>
      <c r="B223" t="s">
        <v>146</v>
      </c>
      <c r="C223">
        <v>2019</v>
      </c>
      <c r="D223">
        <v>7</v>
      </c>
      <c r="E223" t="s">
        <v>90</v>
      </c>
      <c r="F223" t="s">
        <v>84</v>
      </c>
      <c r="G223" t="s">
        <v>84</v>
      </c>
      <c r="H223" t="s">
        <v>25</v>
      </c>
      <c r="I223" t="s">
        <v>25</v>
      </c>
      <c r="J223" t="s">
        <v>101</v>
      </c>
      <c r="K223" t="s">
        <v>90</v>
      </c>
      <c r="L223" t="s">
        <v>103</v>
      </c>
      <c r="M223">
        <v>665.56227894000006</v>
      </c>
      <c r="N223">
        <v>0</v>
      </c>
      <c r="O223" t="s">
        <v>80</v>
      </c>
      <c r="P223" s="39">
        <v>44269.868006446763</v>
      </c>
      <c r="Q223">
        <v>2439801</v>
      </c>
      <c r="R223" t="s">
        <v>81</v>
      </c>
      <c r="S223" s="4">
        <v>67.536665429999999</v>
      </c>
      <c r="T223">
        <v>70.437337639999996</v>
      </c>
      <c r="U223">
        <v>70.437337639999996</v>
      </c>
      <c r="V223">
        <v>4757.1029058499998</v>
      </c>
      <c r="W223">
        <v>4757.1029058499998</v>
      </c>
      <c r="X223">
        <v>0</v>
      </c>
      <c r="Y223">
        <v>5735.8045360699998</v>
      </c>
      <c r="Z223">
        <v>5735.8045360699998</v>
      </c>
      <c r="AA223">
        <v>0</v>
      </c>
      <c r="AB223">
        <v>0</v>
      </c>
      <c r="AC223" t="s">
        <v>84</v>
      </c>
      <c r="AD223" s="39">
        <v>43647</v>
      </c>
    </row>
    <row r="224" spans="1:30" x14ac:dyDescent="0.25">
      <c r="A224">
        <v>270966</v>
      </c>
      <c r="B224" t="s">
        <v>151</v>
      </c>
      <c r="C224">
        <v>2019</v>
      </c>
      <c r="D224">
        <v>8</v>
      </c>
      <c r="E224" t="s">
        <v>88</v>
      </c>
      <c r="F224" t="s">
        <v>84</v>
      </c>
      <c r="G224" t="s">
        <v>84</v>
      </c>
      <c r="H224" t="s">
        <v>25</v>
      </c>
      <c r="I224" t="s">
        <v>25</v>
      </c>
      <c r="J224" t="s">
        <v>101</v>
      </c>
      <c r="K224" t="s">
        <v>88</v>
      </c>
      <c r="L224" t="s">
        <v>103</v>
      </c>
      <c r="M224">
        <v>293.74292012000001</v>
      </c>
      <c r="N224">
        <v>0</v>
      </c>
      <c r="O224" t="s">
        <v>80</v>
      </c>
      <c r="P224" s="39">
        <v>44269.869631712972</v>
      </c>
      <c r="Q224">
        <v>2570058</v>
      </c>
      <c r="R224" t="s">
        <v>81</v>
      </c>
      <c r="S224" s="4">
        <v>29.745905449999999</v>
      </c>
      <c r="T224">
        <v>70.437337639999996</v>
      </c>
      <c r="U224">
        <v>70.437337639999996</v>
      </c>
      <c r="V224">
        <v>2095.2223853199998</v>
      </c>
      <c r="W224">
        <v>2095.2223853199998</v>
      </c>
      <c r="X224">
        <v>0</v>
      </c>
      <c r="Y224">
        <v>5735.8045360699998</v>
      </c>
      <c r="Z224">
        <v>5735.8045360699998</v>
      </c>
      <c r="AA224">
        <v>0</v>
      </c>
      <c r="AB224">
        <v>0</v>
      </c>
      <c r="AC224" t="s">
        <v>84</v>
      </c>
      <c r="AD224" s="39">
        <v>43678</v>
      </c>
    </row>
    <row r="225" spans="1:30" x14ac:dyDescent="0.25">
      <c r="A225">
        <v>270993</v>
      </c>
      <c r="B225" t="s">
        <v>151</v>
      </c>
      <c r="C225">
        <v>2019</v>
      </c>
      <c r="D225">
        <v>8</v>
      </c>
      <c r="E225" t="s">
        <v>90</v>
      </c>
      <c r="F225" t="s">
        <v>84</v>
      </c>
      <c r="G225" t="s">
        <v>84</v>
      </c>
      <c r="H225" t="s">
        <v>25</v>
      </c>
      <c r="I225" t="s">
        <v>25</v>
      </c>
      <c r="J225" t="s">
        <v>101</v>
      </c>
      <c r="K225" t="s">
        <v>90</v>
      </c>
      <c r="L225" t="s">
        <v>103</v>
      </c>
      <c r="M225">
        <v>553.34695345</v>
      </c>
      <c r="N225">
        <v>0</v>
      </c>
      <c r="O225" t="s">
        <v>80</v>
      </c>
      <c r="P225" s="39">
        <v>44269.869632986112</v>
      </c>
      <c r="Q225">
        <v>2570193</v>
      </c>
      <c r="R225" t="s">
        <v>81</v>
      </c>
      <c r="S225" s="4">
        <v>56.14982887</v>
      </c>
      <c r="T225">
        <v>70.437337639999996</v>
      </c>
      <c r="U225">
        <v>70.437337639999996</v>
      </c>
      <c r="V225">
        <v>3955.0444541900001</v>
      </c>
      <c r="W225">
        <v>3955.0444541900001</v>
      </c>
      <c r="X225">
        <v>0</v>
      </c>
      <c r="Y225">
        <v>5735.8045360699998</v>
      </c>
      <c r="Z225">
        <v>5735.8045360699998</v>
      </c>
      <c r="AA225">
        <v>0</v>
      </c>
      <c r="AB225">
        <v>0</v>
      </c>
      <c r="AC225" t="s">
        <v>84</v>
      </c>
      <c r="AD225" s="39">
        <v>43678</v>
      </c>
    </row>
    <row r="226" spans="1:30" x14ac:dyDescent="0.25">
      <c r="A226">
        <v>315015</v>
      </c>
      <c r="B226" t="s">
        <v>148</v>
      </c>
      <c r="C226">
        <v>2019</v>
      </c>
      <c r="D226">
        <v>12</v>
      </c>
      <c r="E226" t="s">
        <v>88</v>
      </c>
      <c r="F226" t="s">
        <v>84</v>
      </c>
      <c r="G226" t="s">
        <v>84</v>
      </c>
      <c r="H226" t="s">
        <v>25</v>
      </c>
      <c r="I226" t="s">
        <v>25</v>
      </c>
      <c r="J226" t="s">
        <v>101</v>
      </c>
      <c r="K226" t="s">
        <v>88</v>
      </c>
      <c r="L226" t="s">
        <v>103</v>
      </c>
      <c r="M226">
        <v>1168.3792061199999</v>
      </c>
      <c r="N226">
        <v>0</v>
      </c>
      <c r="O226" t="s">
        <v>80</v>
      </c>
      <c r="P226" s="39">
        <v>44269.875251701393</v>
      </c>
      <c r="Q226">
        <v>2979502</v>
      </c>
      <c r="R226" t="s">
        <v>81</v>
      </c>
      <c r="S226" s="4">
        <v>118.31603423</v>
      </c>
      <c r="T226">
        <v>70.437337639999996</v>
      </c>
      <c r="U226">
        <v>70.437337639999996</v>
      </c>
      <c r="V226">
        <v>8333.8664509200007</v>
      </c>
      <c r="W226">
        <v>8333.8664509200007</v>
      </c>
      <c r="X226">
        <v>0</v>
      </c>
      <c r="Y226">
        <v>5735.8045360699998</v>
      </c>
      <c r="Z226">
        <v>5735.8045360699998</v>
      </c>
      <c r="AA226">
        <v>0</v>
      </c>
      <c r="AB226">
        <v>0</v>
      </c>
      <c r="AC226" t="s">
        <v>84</v>
      </c>
      <c r="AD226" s="39">
        <v>43800</v>
      </c>
    </row>
    <row r="227" spans="1:30" x14ac:dyDescent="0.25">
      <c r="A227">
        <v>287325</v>
      </c>
      <c r="B227" t="s">
        <v>156</v>
      </c>
      <c r="C227">
        <v>2019</v>
      </c>
      <c r="D227">
        <v>10</v>
      </c>
      <c r="E227" t="s">
        <v>90</v>
      </c>
      <c r="F227" t="s">
        <v>84</v>
      </c>
      <c r="G227" t="s">
        <v>84</v>
      </c>
      <c r="H227" t="s">
        <v>25</v>
      </c>
      <c r="I227" t="s">
        <v>25</v>
      </c>
      <c r="J227" t="s">
        <v>101</v>
      </c>
      <c r="K227" t="s">
        <v>90</v>
      </c>
      <c r="L227" t="s">
        <v>103</v>
      </c>
      <c r="M227">
        <v>576.31545115999995</v>
      </c>
      <c r="N227">
        <v>0</v>
      </c>
      <c r="O227" t="s">
        <v>80</v>
      </c>
      <c r="P227" s="39">
        <v>44269.87196944443</v>
      </c>
      <c r="Q227">
        <v>2717719</v>
      </c>
      <c r="R227" t="s">
        <v>81</v>
      </c>
      <c r="S227" s="4">
        <v>58.480513459999997</v>
      </c>
      <c r="T227">
        <v>70.437337639999996</v>
      </c>
      <c r="U227">
        <v>70.437337639999996</v>
      </c>
      <c r="V227">
        <v>4119.2116713400001</v>
      </c>
      <c r="W227">
        <v>4119.2116713400001</v>
      </c>
      <c r="X227">
        <v>0</v>
      </c>
      <c r="Y227">
        <v>5735.8045360699998</v>
      </c>
      <c r="Z227">
        <v>5735.8045360699998</v>
      </c>
      <c r="AA227">
        <v>0</v>
      </c>
      <c r="AB227">
        <v>0</v>
      </c>
      <c r="AC227" t="s">
        <v>84</v>
      </c>
      <c r="AD227" s="39">
        <v>43739</v>
      </c>
    </row>
    <row r="228" spans="1:30" x14ac:dyDescent="0.25">
      <c r="A228">
        <v>273480</v>
      </c>
      <c r="B228" t="s">
        <v>154</v>
      </c>
      <c r="C228">
        <v>2019</v>
      </c>
      <c r="D228">
        <v>9</v>
      </c>
      <c r="E228" t="s">
        <v>88</v>
      </c>
      <c r="F228" t="s">
        <v>84</v>
      </c>
      <c r="G228" t="s">
        <v>84</v>
      </c>
      <c r="H228" t="s">
        <v>25</v>
      </c>
      <c r="I228" t="s">
        <v>25</v>
      </c>
      <c r="J228" t="s">
        <v>101</v>
      </c>
      <c r="K228" t="s">
        <v>88</v>
      </c>
      <c r="L228" t="s">
        <v>103</v>
      </c>
      <c r="M228">
        <v>254.44613530000001</v>
      </c>
      <c r="N228">
        <v>0</v>
      </c>
      <c r="O228" t="s">
        <v>80</v>
      </c>
      <c r="P228" s="39">
        <v>44269.870332719911</v>
      </c>
      <c r="Q228">
        <v>2586877</v>
      </c>
      <c r="R228" t="s">
        <v>81</v>
      </c>
      <c r="S228" s="4">
        <v>25.7665127</v>
      </c>
      <c r="T228">
        <v>70.437337639999996</v>
      </c>
      <c r="U228">
        <v>70.437337639999996</v>
      </c>
      <c r="V228">
        <v>1814.92455481</v>
      </c>
      <c r="W228">
        <v>1814.92455481</v>
      </c>
      <c r="X228">
        <v>0</v>
      </c>
      <c r="Y228">
        <v>5735.8045360699998</v>
      </c>
      <c r="Z228">
        <v>5735.8045360699998</v>
      </c>
      <c r="AA228">
        <v>0</v>
      </c>
      <c r="AB228">
        <v>0</v>
      </c>
      <c r="AC228" t="s">
        <v>84</v>
      </c>
      <c r="AD228" s="39">
        <v>43709</v>
      </c>
    </row>
    <row r="229" spans="1:30" x14ac:dyDescent="0.25">
      <c r="A229">
        <v>301143</v>
      </c>
      <c r="B229" t="s">
        <v>155</v>
      </c>
      <c r="C229">
        <v>2019</v>
      </c>
      <c r="D229">
        <v>11</v>
      </c>
      <c r="E229" t="s">
        <v>90</v>
      </c>
      <c r="F229" t="s">
        <v>84</v>
      </c>
      <c r="G229" t="s">
        <v>84</v>
      </c>
      <c r="H229" t="s">
        <v>25</v>
      </c>
      <c r="I229" t="s">
        <v>25</v>
      </c>
      <c r="J229" t="s">
        <v>101</v>
      </c>
      <c r="K229" t="s">
        <v>90</v>
      </c>
      <c r="L229" t="s">
        <v>103</v>
      </c>
      <c r="M229">
        <v>555.24552490999997</v>
      </c>
      <c r="N229">
        <v>0</v>
      </c>
      <c r="O229" t="s">
        <v>80</v>
      </c>
      <c r="P229" s="39">
        <v>44269.873619479164</v>
      </c>
      <c r="Q229">
        <v>2848426</v>
      </c>
      <c r="R229" t="s">
        <v>81</v>
      </c>
      <c r="S229" s="4">
        <v>56.342482789999998</v>
      </c>
      <c r="T229">
        <v>70.437337639999996</v>
      </c>
      <c r="U229">
        <v>70.437337639999996</v>
      </c>
      <c r="V229">
        <v>3968.6144837000002</v>
      </c>
      <c r="W229">
        <v>3968.6144837000002</v>
      </c>
      <c r="X229">
        <v>0</v>
      </c>
      <c r="Y229">
        <v>5735.8045360699998</v>
      </c>
      <c r="Z229">
        <v>5735.8045360699998</v>
      </c>
      <c r="AA229">
        <v>0</v>
      </c>
      <c r="AB229">
        <v>0</v>
      </c>
      <c r="AC229" t="s">
        <v>84</v>
      </c>
      <c r="AD229" s="39">
        <v>43770</v>
      </c>
    </row>
    <row r="230" spans="1:30" x14ac:dyDescent="0.25">
      <c r="A230">
        <v>229657</v>
      </c>
      <c r="B230" t="s">
        <v>152</v>
      </c>
      <c r="C230">
        <v>2019</v>
      </c>
      <c r="D230">
        <v>5</v>
      </c>
      <c r="E230" t="s">
        <v>86</v>
      </c>
      <c r="F230" t="s">
        <v>84</v>
      </c>
      <c r="G230" t="s">
        <v>84</v>
      </c>
      <c r="H230" t="s">
        <v>25</v>
      </c>
      <c r="I230" t="s">
        <v>25</v>
      </c>
      <c r="J230" t="s">
        <v>101</v>
      </c>
      <c r="K230" t="s">
        <v>86</v>
      </c>
      <c r="L230" t="s">
        <v>103</v>
      </c>
      <c r="M230">
        <v>1362.84439969</v>
      </c>
      <c r="N230">
        <v>0</v>
      </c>
      <c r="O230" t="s">
        <v>80</v>
      </c>
      <c r="P230" s="39">
        <v>44269.864757754629</v>
      </c>
      <c r="Q230">
        <v>2179509</v>
      </c>
      <c r="R230" t="s">
        <v>81</v>
      </c>
      <c r="S230" s="4">
        <v>162.26489577000001</v>
      </c>
      <c r="T230">
        <v>70.437337639999996</v>
      </c>
      <c r="U230">
        <v>70.437337639999996</v>
      </c>
      <c r="V230">
        <v>11429.50724938</v>
      </c>
      <c r="W230">
        <v>11429.50724938</v>
      </c>
      <c r="X230">
        <v>0</v>
      </c>
      <c r="Y230">
        <v>5735.8045360699998</v>
      </c>
      <c r="Z230">
        <v>5735.8045360699998</v>
      </c>
      <c r="AA230">
        <v>0</v>
      </c>
      <c r="AB230">
        <v>0</v>
      </c>
      <c r="AC230" t="s">
        <v>84</v>
      </c>
      <c r="AD230" s="39">
        <v>43586</v>
      </c>
    </row>
    <row r="231" spans="1:30" x14ac:dyDescent="0.25">
      <c r="A231">
        <v>287271</v>
      </c>
      <c r="B231" t="s">
        <v>156</v>
      </c>
      <c r="C231">
        <v>2019</v>
      </c>
      <c r="D231">
        <v>10</v>
      </c>
      <c r="E231" t="s">
        <v>86</v>
      </c>
      <c r="F231" t="s">
        <v>84</v>
      </c>
      <c r="G231" t="s">
        <v>84</v>
      </c>
      <c r="H231" t="s">
        <v>25</v>
      </c>
      <c r="I231" t="s">
        <v>25</v>
      </c>
      <c r="J231" t="s">
        <v>101</v>
      </c>
      <c r="K231" t="s">
        <v>86</v>
      </c>
      <c r="L231" t="s">
        <v>103</v>
      </c>
      <c r="M231">
        <v>1469.1859072899999</v>
      </c>
      <c r="N231">
        <v>0</v>
      </c>
      <c r="O231" t="s">
        <v>80</v>
      </c>
      <c r="P231" s="39">
        <v>44269.871966747683</v>
      </c>
      <c r="Q231">
        <v>2717449</v>
      </c>
      <c r="R231" t="s">
        <v>81</v>
      </c>
      <c r="S231" s="4">
        <v>174.92627784000001</v>
      </c>
      <c r="T231">
        <v>70.437337639999996</v>
      </c>
      <c r="U231">
        <v>70.437337639999996</v>
      </c>
      <c r="V231">
        <v>12321.341293150001</v>
      </c>
      <c r="W231">
        <v>12321.341293150001</v>
      </c>
      <c r="X231">
        <v>0</v>
      </c>
      <c r="Y231">
        <v>5735.8045360699998</v>
      </c>
      <c r="Z231">
        <v>5735.8045360699998</v>
      </c>
      <c r="AA231">
        <v>0</v>
      </c>
      <c r="AB231">
        <v>0</v>
      </c>
      <c r="AC231" t="s">
        <v>84</v>
      </c>
      <c r="AD231" s="39">
        <v>43739</v>
      </c>
    </row>
    <row r="232" spans="1:30" x14ac:dyDescent="0.25">
      <c r="A232">
        <v>243465</v>
      </c>
      <c r="B232" t="s">
        <v>153</v>
      </c>
      <c r="C232">
        <v>2019</v>
      </c>
      <c r="D232">
        <v>6</v>
      </c>
      <c r="E232" t="s">
        <v>90</v>
      </c>
      <c r="F232" t="s">
        <v>84</v>
      </c>
      <c r="G232" t="s">
        <v>84</v>
      </c>
      <c r="H232" t="s">
        <v>25</v>
      </c>
      <c r="I232" t="s">
        <v>25</v>
      </c>
      <c r="J232" t="s">
        <v>101</v>
      </c>
      <c r="K232" t="s">
        <v>90</v>
      </c>
      <c r="L232" t="s">
        <v>103</v>
      </c>
      <c r="M232">
        <v>676.21524277000003</v>
      </c>
      <c r="N232">
        <v>0</v>
      </c>
      <c r="O232" t="s">
        <v>80</v>
      </c>
      <c r="P232" s="39">
        <v>44269.866386307869</v>
      </c>
      <c r="Q232">
        <v>2309773</v>
      </c>
      <c r="R232" t="s">
        <v>81</v>
      </c>
      <c r="S232" s="4">
        <v>68.617654659999999</v>
      </c>
      <c r="T232">
        <v>70.437337639999996</v>
      </c>
      <c r="U232">
        <v>70.437337639999996</v>
      </c>
      <c r="V232">
        <v>4833.2449091199996</v>
      </c>
      <c r="W232">
        <v>4833.2449091199996</v>
      </c>
      <c r="X232">
        <v>0</v>
      </c>
      <c r="Y232">
        <v>5735.8045360699998</v>
      </c>
      <c r="Z232">
        <v>5735.8045360699998</v>
      </c>
      <c r="AA232">
        <v>0</v>
      </c>
      <c r="AB232">
        <v>0</v>
      </c>
      <c r="AC232" t="s">
        <v>84</v>
      </c>
      <c r="AD232" s="39">
        <v>43617</v>
      </c>
    </row>
    <row r="233" spans="1:30" x14ac:dyDescent="0.25">
      <c r="A233">
        <v>287298</v>
      </c>
      <c r="B233" t="s">
        <v>156</v>
      </c>
      <c r="C233">
        <v>2019</v>
      </c>
      <c r="D233">
        <v>10</v>
      </c>
      <c r="E233" t="s">
        <v>88</v>
      </c>
      <c r="F233" t="s">
        <v>84</v>
      </c>
      <c r="G233" t="s">
        <v>84</v>
      </c>
      <c r="H233" t="s">
        <v>25</v>
      </c>
      <c r="I233" t="s">
        <v>25</v>
      </c>
      <c r="J233" t="s">
        <v>101</v>
      </c>
      <c r="K233" t="s">
        <v>88</v>
      </c>
      <c r="L233" t="s">
        <v>103</v>
      </c>
      <c r="M233">
        <v>290.75618709000003</v>
      </c>
      <c r="N233">
        <v>0</v>
      </c>
      <c r="O233" t="s">
        <v>80</v>
      </c>
      <c r="P233" s="39">
        <v>44269.871968136576</v>
      </c>
      <c r="Q233">
        <v>2717584</v>
      </c>
      <c r="R233" t="s">
        <v>81</v>
      </c>
      <c r="S233" s="4">
        <v>29.443453640000001</v>
      </c>
      <c r="T233">
        <v>70.437337639999996</v>
      </c>
      <c r="U233">
        <v>70.437337639999996</v>
      </c>
      <c r="V233">
        <v>2073.9184849600001</v>
      </c>
      <c r="W233">
        <v>2073.9184849600001</v>
      </c>
      <c r="X233">
        <v>0</v>
      </c>
      <c r="Y233">
        <v>5735.8045360699998</v>
      </c>
      <c r="Z233">
        <v>5735.8045360699998</v>
      </c>
      <c r="AA233">
        <v>0</v>
      </c>
      <c r="AB233">
        <v>0</v>
      </c>
      <c r="AC233" t="s">
        <v>84</v>
      </c>
      <c r="AD233" s="39">
        <v>43739</v>
      </c>
    </row>
    <row r="234" spans="1:30" x14ac:dyDescent="0.25">
      <c r="A234">
        <v>273453</v>
      </c>
      <c r="B234" t="s">
        <v>154</v>
      </c>
      <c r="C234">
        <v>2019</v>
      </c>
      <c r="D234">
        <v>9</v>
      </c>
      <c r="E234" t="s">
        <v>86</v>
      </c>
      <c r="F234" t="s">
        <v>84</v>
      </c>
      <c r="G234" t="s">
        <v>84</v>
      </c>
      <c r="H234" t="s">
        <v>25</v>
      </c>
      <c r="I234" t="s">
        <v>25</v>
      </c>
      <c r="J234" t="s">
        <v>101</v>
      </c>
      <c r="K234" t="s">
        <v>86</v>
      </c>
      <c r="L234" t="s">
        <v>103</v>
      </c>
      <c r="M234">
        <v>1168.3183385699999</v>
      </c>
      <c r="N234">
        <v>0</v>
      </c>
      <c r="O234" t="s">
        <v>80</v>
      </c>
      <c r="P234" s="39">
        <v>44269.870331331018</v>
      </c>
      <c r="Q234">
        <v>2586742</v>
      </c>
      <c r="R234" t="s">
        <v>81</v>
      </c>
      <c r="S234" s="4">
        <v>139.10396041999999</v>
      </c>
      <c r="T234">
        <v>70.437337639999996</v>
      </c>
      <c r="U234">
        <v>70.437337639999996</v>
      </c>
      <c r="V234">
        <v>9798.1126263200003</v>
      </c>
      <c r="W234">
        <v>9798.1126263200003</v>
      </c>
      <c r="X234">
        <v>0</v>
      </c>
      <c r="Y234">
        <v>5735.8045360699998</v>
      </c>
      <c r="Z234">
        <v>5735.8045360699998</v>
      </c>
      <c r="AA234">
        <v>0</v>
      </c>
      <c r="AB234">
        <v>0</v>
      </c>
      <c r="AC234" t="s">
        <v>84</v>
      </c>
      <c r="AD234" s="39">
        <v>43709</v>
      </c>
    </row>
    <row r="235" spans="1:30" x14ac:dyDescent="0.25">
      <c r="A235">
        <v>301089</v>
      </c>
      <c r="B235" t="s">
        <v>155</v>
      </c>
      <c r="C235">
        <v>2019</v>
      </c>
      <c r="D235">
        <v>11</v>
      </c>
      <c r="E235" t="s">
        <v>86</v>
      </c>
      <c r="F235" t="s">
        <v>84</v>
      </c>
      <c r="G235" t="s">
        <v>84</v>
      </c>
      <c r="H235" t="s">
        <v>25</v>
      </c>
      <c r="I235" t="s">
        <v>25</v>
      </c>
      <c r="J235" t="s">
        <v>101</v>
      </c>
      <c r="K235" t="s">
        <v>86</v>
      </c>
      <c r="L235" t="s">
        <v>103</v>
      </c>
      <c r="M235">
        <v>1777.6837430800001</v>
      </c>
      <c r="N235">
        <v>0</v>
      </c>
      <c r="O235" t="s">
        <v>80</v>
      </c>
      <c r="P235" s="39">
        <v>44269.873616666657</v>
      </c>
      <c r="Q235">
        <v>2848156</v>
      </c>
      <c r="R235" t="s">
        <v>81</v>
      </c>
      <c r="S235" s="4">
        <v>211.65708083999999</v>
      </c>
      <c r="T235">
        <v>70.437337639999996</v>
      </c>
      <c r="U235">
        <v>70.437337639999996</v>
      </c>
      <c r="V235">
        <v>14908.5612659</v>
      </c>
      <c r="W235">
        <v>14908.5612659</v>
      </c>
      <c r="X235">
        <v>0</v>
      </c>
      <c r="Y235">
        <v>5735.8045360699998</v>
      </c>
      <c r="Z235">
        <v>5735.8045360699998</v>
      </c>
      <c r="AA235">
        <v>0</v>
      </c>
      <c r="AB235">
        <v>0</v>
      </c>
      <c r="AC235" t="s">
        <v>84</v>
      </c>
      <c r="AD235" s="39">
        <v>43770</v>
      </c>
    </row>
    <row r="236" spans="1:30" x14ac:dyDescent="0.25">
      <c r="B236" s="1"/>
    </row>
    <row r="237" spans="1:30" x14ac:dyDescent="0.25">
      <c r="B237" s="1"/>
    </row>
    <row r="238" spans="1:30" x14ac:dyDescent="0.25">
      <c r="B238" s="1"/>
    </row>
    <row r="239" spans="1:30" x14ac:dyDescent="0.25">
      <c r="B239" s="1"/>
    </row>
    <row r="240" spans="1:30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1604" spans="2:2" x14ac:dyDescent="0.25">
      <c r="B1604" s="1"/>
    </row>
    <row r="1605" spans="2:2" x14ac:dyDescent="0.25">
      <c r="B1605" s="1"/>
    </row>
    <row r="1606" spans="2:2" x14ac:dyDescent="0.25">
      <c r="B1606" s="1"/>
    </row>
    <row r="1607" spans="2:2" x14ac:dyDescent="0.25">
      <c r="B1607" s="1"/>
    </row>
    <row r="1608" spans="2:2" x14ac:dyDescent="0.25">
      <c r="B1608" s="1"/>
    </row>
    <row r="1609" spans="2:2" x14ac:dyDescent="0.25">
      <c r="B1609" s="1"/>
    </row>
    <row r="1610" spans="2:2" x14ac:dyDescent="0.25">
      <c r="B1610" s="1"/>
    </row>
    <row r="1611" spans="2:2" x14ac:dyDescent="0.25">
      <c r="B1611" s="1"/>
    </row>
    <row r="1612" spans="2:2" x14ac:dyDescent="0.25">
      <c r="B1612" s="1"/>
    </row>
    <row r="1613" spans="2:2" x14ac:dyDescent="0.25">
      <c r="B1613" s="1"/>
    </row>
    <row r="1614" spans="2:2" x14ac:dyDescent="0.25">
      <c r="B1614" s="1"/>
    </row>
    <row r="1615" spans="2:2" x14ac:dyDescent="0.25">
      <c r="B1615" s="1"/>
    </row>
    <row r="1616" spans="2:2" x14ac:dyDescent="0.25">
      <c r="B1616" s="1"/>
    </row>
    <row r="1617" spans="2:2" x14ac:dyDescent="0.25">
      <c r="B1617" s="1"/>
    </row>
    <row r="1618" spans="2:2" x14ac:dyDescent="0.25">
      <c r="B1618" s="1"/>
    </row>
    <row r="1619" spans="2:2" x14ac:dyDescent="0.25">
      <c r="B1619" s="1"/>
    </row>
    <row r="1620" spans="2:2" x14ac:dyDescent="0.25">
      <c r="B1620" s="1"/>
    </row>
    <row r="1621" spans="2:2" x14ac:dyDescent="0.25">
      <c r="B1621" s="1"/>
    </row>
    <row r="1622" spans="2:2" x14ac:dyDescent="0.25">
      <c r="B1622" s="1"/>
    </row>
    <row r="1623" spans="2:2" x14ac:dyDescent="0.25">
      <c r="B1623" s="1"/>
    </row>
    <row r="1624" spans="2:2" x14ac:dyDescent="0.25">
      <c r="B1624" s="1"/>
    </row>
    <row r="1625" spans="2:2" x14ac:dyDescent="0.25">
      <c r="B1625" s="1"/>
    </row>
    <row r="1626" spans="2:2" x14ac:dyDescent="0.25">
      <c r="B1626" s="1"/>
    </row>
    <row r="1627" spans="2:2" x14ac:dyDescent="0.25">
      <c r="B1627" s="1"/>
    </row>
    <row r="1628" spans="2:2" x14ac:dyDescent="0.25">
      <c r="B1628" s="1"/>
    </row>
    <row r="1629" spans="2:2" x14ac:dyDescent="0.25">
      <c r="B1629" s="1"/>
    </row>
    <row r="1630" spans="2:2" x14ac:dyDescent="0.25">
      <c r="B1630" s="1"/>
    </row>
    <row r="1631" spans="2:2" x14ac:dyDescent="0.25">
      <c r="B1631" s="1"/>
    </row>
    <row r="1632" spans="2:2" x14ac:dyDescent="0.25">
      <c r="B1632" s="1"/>
    </row>
    <row r="1633" spans="2:2" x14ac:dyDescent="0.25">
      <c r="B1633" s="1"/>
    </row>
    <row r="1634" spans="2:2" x14ac:dyDescent="0.25">
      <c r="B1634" s="1"/>
    </row>
    <row r="1635" spans="2:2" x14ac:dyDescent="0.25">
      <c r="B1635" s="1"/>
    </row>
    <row r="1636" spans="2:2" x14ac:dyDescent="0.25">
      <c r="B1636" s="1"/>
    </row>
    <row r="1637" spans="2:2" x14ac:dyDescent="0.25">
      <c r="B1637" s="1"/>
    </row>
    <row r="1638" spans="2:2" x14ac:dyDescent="0.25">
      <c r="B1638" s="1"/>
    </row>
    <row r="1639" spans="2:2" x14ac:dyDescent="0.25">
      <c r="B1639" s="1"/>
    </row>
    <row r="1640" spans="2:2" x14ac:dyDescent="0.25">
      <c r="B1640" s="1"/>
    </row>
    <row r="1641" spans="2:2" x14ac:dyDescent="0.25">
      <c r="B1641" s="1"/>
    </row>
    <row r="1642" spans="2:2" x14ac:dyDescent="0.25">
      <c r="B1642" s="1"/>
    </row>
    <row r="1643" spans="2:2" x14ac:dyDescent="0.25">
      <c r="B1643" s="1"/>
    </row>
    <row r="1644" spans="2:2" x14ac:dyDescent="0.25">
      <c r="B1644" s="1"/>
    </row>
    <row r="1645" spans="2:2" x14ac:dyDescent="0.25">
      <c r="B1645" s="1"/>
    </row>
    <row r="1646" spans="2:2" x14ac:dyDescent="0.25">
      <c r="B1646" s="1"/>
    </row>
    <row r="1647" spans="2:2" x14ac:dyDescent="0.25">
      <c r="B1647" s="1"/>
    </row>
    <row r="1648" spans="2:2" x14ac:dyDescent="0.25">
      <c r="B1648" s="1"/>
    </row>
    <row r="1649" spans="2:2" x14ac:dyDescent="0.25">
      <c r="B1649" s="1"/>
    </row>
    <row r="1650" spans="2:2" x14ac:dyDescent="0.25">
      <c r="B1650" s="1"/>
    </row>
    <row r="1651" spans="2:2" x14ac:dyDescent="0.25">
      <c r="B1651" s="1"/>
    </row>
    <row r="1652" spans="2:2" x14ac:dyDescent="0.25">
      <c r="B1652" s="1"/>
    </row>
    <row r="1653" spans="2:2" x14ac:dyDescent="0.25">
      <c r="B1653" s="1"/>
    </row>
    <row r="1654" spans="2:2" x14ac:dyDescent="0.25">
      <c r="B1654" s="1"/>
    </row>
    <row r="1655" spans="2:2" x14ac:dyDescent="0.25">
      <c r="B1655" s="1"/>
    </row>
    <row r="1656" spans="2:2" x14ac:dyDescent="0.25">
      <c r="B1656" s="1"/>
    </row>
    <row r="1657" spans="2:2" x14ac:dyDescent="0.25">
      <c r="B1657" s="1"/>
    </row>
    <row r="1658" spans="2:2" x14ac:dyDescent="0.25">
      <c r="B1658" s="1"/>
    </row>
    <row r="1659" spans="2:2" x14ac:dyDescent="0.25">
      <c r="B1659" s="1"/>
    </row>
    <row r="1660" spans="2:2" x14ac:dyDescent="0.25">
      <c r="B1660" s="1"/>
    </row>
    <row r="1661" spans="2:2" x14ac:dyDescent="0.25">
      <c r="B1661" s="1"/>
    </row>
    <row r="1662" spans="2:2" x14ac:dyDescent="0.25">
      <c r="B1662" s="1"/>
    </row>
    <row r="1663" spans="2:2" x14ac:dyDescent="0.25">
      <c r="B1663" s="1"/>
    </row>
    <row r="1664" spans="2:2" x14ac:dyDescent="0.25">
      <c r="B1664" s="1"/>
    </row>
    <row r="1665" spans="2:2" x14ac:dyDescent="0.25">
      <c r="B1665" s="1"/>
    </row>
    <row r="1666" spans="2:2" x14ac:dyDescent="0.25">
      <c r="B1666" s="1"/>
    </row>
    <row r="1667" spans="2:2" x14ac:dyDescent="0.25">
      <c r="B1667" s="1"/>
    </row>
    <row r="1668" spans="2:2" x14ac:dyDescent="0.25">
      <c r="B1668" s="1"/>
    </row>
    <row r="1669" spans="2:2" x14ac:dyDescent="0.25">
      <c r="B1669" s="1"/>
    </row>
    <row r="1670" spans="2:2" x14ac:dyDescent="0.25">
      <c r="B1670" s="1"/>
    </row>
    <row r="1671" spans="2:2" x14ac:dyDescent="0.25">
      <c r="B1671" s="1"/>
    </row>
    <row r="1672" spans="2:2" x14ac:dyDescent="0.25">
      <c r="B1672" s="1"/>
    </row>
    <row r="1673" spans="2:2" x14ac:dyDescent="0.25">
      <c r="B1673" s="1"/>
    </row>
    <row r="1674" spans="2:2" x14ac:dyDescent="0.25">
      <c r="B1674" s="1"/>
    </row>
    <row r="1675" spans="2:2" x14ac:dyDescent="0.25">
      <c r="B1675" s="1"/>
    </row>
    <row r="1676" spans="2:2" x14ac:dyDescent="0.25">
      <c r="B1676" s="1"/>
    </row>
    <row r="1677" spans="2:2" x14ac:dyDescent="0.25">
      <c r="B1677" s="1"/>
    </row>
    <row r="1678" spans="2:2" x14ac:dyDescent="0.25">
      <c r="B1678" s="1"/>
    </row>
    <row r="1679" spans="2:2" x14ac:dyDescent="0.25">
      <c r="B1679" s="1"/>
    </row>
    <row r="1680" spans="2:2" x14ac:dyDescent="0.25">
      <c r="B1680" s="1"/>
    </row>
    <row r="1681" spans="2:2" x14ac:dyDescent="0.25">
      <c r="B1681" s="1"/>
    </row>
    <row r="1682" spans="2:2" x14ac:dyDescent="0.25">
      <c r="B1682" s="1"/>
    </row>
    <row r="1683" spans="2:2" x14ac:dyDescent="0.25">
      <c r="B1683" s="1"/>
    </row>
    <row r="1684" spans="2:2" x14ac:dyDescent="0.25">
      <c r="B1684" s="1"/>
    </row>
    <row r="1685" spans="2:2" x14ac:dyDescent="0.25">
      <c r="B1685" s="1"/>
    </row>
    <row r="1686" spans="2:2" x14ac:dyDescent="0.25">
      <c r="B1686" s="1"/>
    </row>
    <row r="1687" spans="2:2" x14ac:dyDescent="0.25">
      <c r="B1687" s="1"/>
    </row>
    <row r="1688" spans="2:2" x14ac:dyDescent="0.25">
      <c r="B1688" s="1"/>
    </row>
    <row r="1689" spans="2:2" x14ac:dyDescent="0.25">
      <c r="B1689" s="1"/>
    </row>
    <row r="1690" spans="2:2" x14ac:dyDescent="0.25">
      <c r="B1690" s="1"/>
    </row>
    <row r="1691" spans="2:2" x14ac:dyDescent="0.25">
      <c r="B1691" s="1"/>
    </row>
    <row r="1692" spans="2:2" x14ac:dyDescent="0.25">
      <c r="B1692" s="1"/>
    </row>
    <row r="1693" spans="2:2" x14ac:dyDescent="0.25">
      <c r="B1693" s="1"/>
    </row>
    <row r="1694" spans="2:2" x14ac:dyDescent="0.25">
      <c r="B1694" s="1"/>
    </row>
    <row r="1695" spans="2:2" x14ac:dyDescent="0.25">
      <c r="B1695" s="1"/>
    </row>
    <row r="1696" spans="2:2" x14ac:dyDescent="0.25">
      <c r="B1696" s="1"/>
    </row>
    <row r="1697" spans="2:2" x14ac:dyDescent="0.25">
      <c r="B1697" s="1"/>
    </row>
    <row r="1698" spans="2:2" x14ac:dyDescent="0.25">
      <c r="B1698" s="1"/>
    </row>
    <row r="1699" spans="2:2" x14ac:dyDescent="0.25">
      <c r="B1699" s="1"/>
    </row>
    <row r="1700" spans="2:2" x14ac:dyDescent="0.25">
      <c r="B1700" s="1"/>
    </row>
    <row r="1701" spans="2:2" x14ac:dyDescent="0.25">
      <c r="B1701" s="1"/>
    </row>
    <row r="1702" spans="2:2" x14ac:dyDescent="0.25">
      <c r="B1702" s="1"/>
    </row>
    <row r="1703" spans="2:2" x14ac:dyDescent="0.25">
      <c r="B1703" s="1"/>
    </row>
    <row r="1704" spans="2:2" x14ac:dyDescent="0.25">
      <c r="B1704" s="1"/>
    </row>
    <row r="1705" spans="2:2" x14ac:dyDescent="0.25">
      <c r="B1705" s="1"/>
    </row>
    <row r="1706" spans="2:2" x14ac:dyDescent="0.25">
      <c r="B1706" s="1"/>
    </row>
    <row r="1707" spans="2:2" x14ac:dyDescent="0.25">
      <c r="B1707" s="1"/>
    </row>
    <row r="1708" spans="2:2" x14ac:dyDescent="0.25">
      <c r="B1708" s="1"/>
    </row>
    <row r="1709" spans="2:2" x14ac:dyDescent="0.25">
      <c r="B1709" s="1"/>
    </row>
    <row r="1710" spans="2:2" x14ac:dyDescent="0.25">
      <c r="B1710" s="1"/>
    </row>
    <row r="1711" spans="2:2" x14ac:dyDescent="0.25">
      <c r="B1711" s="1"/>
    </row>
    <row r="1712" spans="2:2" x14ac:dyDescent="0.25">
      <c r="B1712" s="1"/>
    </row>
    <row r="1713" spans="2:2" x14ac:dyDescent="0.25">
      <c r="B1713" s="1"/>
    </row>
    <row r="1714" spans="2:2" x14ac:dyDescent="0.25">
      <c r="B1714" s="1"/>
    </row>
    <row r="1715" spans="2:2" x14ac:dyDescent="0.25">
      <c r="B1715" s="1"/>
    </row>
    <row r="1716" spans="2:2" x14ac:dyDescent="0.25">
      <c r="B1716" s="1"/>
    </row>
    <row r="1717" spans="2:2" x14ac:dyDescent="0.25">
      <c r="B1717" s="1"/>
    </row>
    <row r="1718" spans="2:2" x14ac:dyDescent="0.25">
      <c r="B1718" s="1"/>
    </row>
    <row r="1719" spans="2:2" x14ac:dyDescent="0.25">
      <c r="B1719" s="1"/>
    </row>
    <row r="1720" spans="2:2" x14ac:dyDescent="0.25">
      <c r="B1720" s="1"/>
    </row>
    <row r="1721" spans="2:2" x14ac:dyDescent="0.25">
      <c r="B1721" s="1"/>
    </row>
    <row r="1722" spans="2:2" x14ac:dyDescent="0.25">
      <c r="B1722" s="1"/>
    </row>
    <row r="1723" spans="2:2" x14ac:dyDescent="0.25">
      <c r="B1723" s="1"/>
    </row>
    <row r="1724" spans="2:2" x14ac:dyDescent="0.25">
      <c r="B1724" s="1"/>
    </row>
    <row r="1725" spans="2:2" x14ac:dyDescent="0.25">
      <c r="B1725" s="1"/>
    </row>
    <row r="1726" spans="2:2" x14ac:dyDescent="0.25">
      <c r="B1726" s="1"/>
    </row>
    <row r="1727" spans="2:2" x14ac:dyDescent="0.25">
      <c r="B1727" s="1"/>
    </row>
    <row r="1728" spans="2:2" x14ac:dyDescent="0.25">
      <c r="B1728" s="1"/>
    </row>
    <row r="1729" spans="2:2" x14ac:dyDescent="0.25">
      <c r="B1729" s="1"/>
    </row>
    <row r="1730" spans="2:2" x14ac:dyDescent="0.25">
      <c r="B1730" s="1"/>
    </row>
    <row r="1731" spans="2:2" x14ac:dyDescent="0.25">
      <c r="B1731" s="1"/>
    </row>
    <row r="1732" spans="2:2" x14ac:dyDescent="0.25">
      <c r="B1732" s="1"/>
    </row>
    <row r="1733" spans="2:2" x14ac:dyDescent="0.25">
      <c r="B1733" s="1"/>
    </row>
    <row r="1734" spans="2:2" x14ac:dyDescent="0.25">
      <c r="B1734" s="1"/>
    </row>
    <row r="1735" spans="2:2" x14ac:dyDescent="0.25">
      <c r="B1735" s="1"/>
    </row>
    <row r="1736" spans="2:2" x14ac:dyDescent="0.25">
      <c r="B1736" s="1"/>
    </row>
    <row r="1737" spans="2:2" x14ac:dyDescent="0.25">
      <c r="B1737" s="1"/>
    </row>
    <row r="1738" spans="2:2" x14ac:dyDescent="0.25">
      <c r="B1738" s="1"/>
    </row>
    <row r="1739" spans="2:2" x14ac:dyDescent="0.25">
      <c r="B1739" s="1"/>
    </row>
    <row r="1740" spans="2:2" x14ac:dyDescent="0.25">
      <c r="B1740" s="1"/>
    </row>
    <row r="1741" spans="2:2" x14ac:dyDescent="0.25">
      <c r="B1741" s="1"/>
    </row>
    <row r="1742" spans="2:2" x14ac:dyDescent="0.25">
      <c r="B1742" s="1"/>
    </row>
    <row r="1743" spans="2:2" x14ac:dyDescent="0.25">
      <c r="B1743" s="1"/>
    </row>
    <row r="1744" spans="2:2" x14ac:dyDescent="0.25">
      <c r="B1744" s="1"/>
    </row>
    <row r="1745" spans="2:2" x14ac:dyDescent="0.25">
      <c r="B1745" s="1"/>
    </row>
    <row r="1746" spans="2:2" x14ac:dyDescent="0.25">
      <c r="B1746" s="1"/>
    </row>
    <row r="1747" spans="2:2" x14ac:dyDescent="0.25">
      <c r="B1747" s="1"/>
    </row>
    <row r="1748" spans="2:2" x14ac:dyDescent="0.25">
      <c r="B1748" s="1"/>
    </row>
    <row r="1749" spans="2:2" x14ac:dyDescent="0.25">
      <c r="B1749" s="1"/>
    </row>
    <row r="1750" spans="2:2" x14ac:dyDescent="0.25">
      <c r="B1750" s="1"/>
    </row>
    <row r="1751" spans="2:2" x14ac:dyDescent="0.25">
      <c r="B1751" s="1"/>
    </row>
    <row r="1752" spans="2:2" x14ac:dyDescent="0.25">
      <c r="B1752" s="1"/>
    </row>
    <row r="1753" spans="2:2" x14ac:dyDescent="0.25">
      <c r="B1753" s="1"/>
    </row>
    <row r="1754" spans="2:2" x14ac:dyDescent="0.25">
      <c r="B1754" s="1"/>
    </row>
    <row r="1755" spans="2:2" x14ac:dyDescent="0.25">
      <c r="B1755" s="1"/>
    </row>
    <row r="1756" spans="2:2" x14ac:dyDescent="0.25">
      <c r="B1756" s="1"/>
    </row>
    <row r="1757" spans="2:2" x14ac:dyDescent="0.25">
      <c r="B1757" s="1"/>
    </row>
    <row r="1758" spans="2:2" x14ac:dyDescent="0.25">
      <c r="B1758" s="1"/>
    </row>
    <row r="1759" spans="2:2" x14ac:dyDescent="0.25">
      <c r="B1759" s="1"/>
    </row>
    <row r="1760" spans="2:2" x14ac:dyDescent="0.25">
      <c r="B1760" s="1"/>
    </row>
    <row r="1761" spans="2:2" x14ac:dyDescent="0.25">
      <c r="B1761" s="1"/>
    </row>
    <row r="1762" spans="2:2" x14ac:dyDescent="0.25">
      <c r="B1762" s="1"/>
    </row>
    <row r="1763" spans="2:2" x14ac:dyDescent="0.25">
      <c r="B1763" s="1"/>
    </row>
    <row r="1764" spans="2:2" x14ac:dyDescent="0.25">
      <c r="B1764" s="1"/>
    </row>
    <row r="1765" spans="2:2" x14ac:dyDescent="0.25">
      <c r="B1765" s="1"/>
    </row>
    <row r="1766" spans="2:2" x14ac:dyDescent="0.25">
      <c r="B1766" s="1"/>
    </row>
    <row r="1767" spans="2:2" x14ac:dyDescent="0.25">
      <c r="B1767" s="1"/>
    </row>
    <row r="1768" spans="2:2" x14ac:dyDescent="0.25">
      <c r="B1768" s="1"/>
    </row>
    <row r="1769" spans="2:2" x14ac:dyDescent="0.25">
      <c r="B1769" s="1"/>
    </row>
    <row r="1770" spans="2:2" x14ac:dyDescent="0.25">
      <c r="B1770" s="1"/>
    </row>
    <row r="1771" spans="2:2" x14ac:dyDescent="0.25">
      <c r="B1771" s="1"/>
    </row>
    <row r="1772" spans="2:2" x14ac:dyDescent="0.25">
      <c r="B1772" s="1"/>
    </row>
    <row r="1773" spans="2:2" x14ac:dyDescent="0.25">
      <c r="B1773" s="1"/>
    </row>
    <row r="1774" spans="2:2" x14ac:dyDescent="0.25">
      <c r="B1774" s="1"/>
    </row>
    <row r="1775" spans="2:2" x14ac:dyDescent="0.25">
      <c r="B1775" s="1"/>
    </row>
    <row r="1776" spans="2:2" x14ac:dyDescent="0.25">
      <c r="B1776" s="1"/>
    </row>
    <row r="1777" spans="2:2" x14ac:dyDescent="0.25">
      <c r="B1777" s="1"/>
    </row>
    <row r="1778" spans="2:2" x14ac:dyDescent="0.25">
      <c r="B1778" s="1"/>
    </row>
    <row r="1779" spans="2:2" x14ac:dyDescent="0.25">
      <c r="B1779" s="1"/>
    </row>
    <row r="1780" spans="2:2" x14ac:dyDescent="0.25">
      <c r="B1780" s="1"/>
    </row>
    <row r="1781" spans="2:2" x14ac:dyDescent="0.25">
      <c r="B1781" s="1"/>
    </row>
    <row r="1782" spans="2:2" x14ac:dyDescent="0.25">
      <c r="B1782" s="1"/>
    </row>
    <row r="1783" spans="2:2" x14ac:dyDescent="0.25">
      <c r="B1783" s="1"/>
    </row>
    <row r="1784" spans="2:2" x14ac:dyDescent="0.25">
      <c r="B1784" s="1"/>
    </row>
    <row r="1785" spans="2:2" x14ac:dyDescent="0.25">
      <c r="B1785" s="1"/>
    </row>
    <row r="1786" spans="2:2" x14ac:dyDescent="0.25">
      <c r="B1786" s="1"/>
    </row>
    <row r="1787" spans="2:2" x14ac:dyDescent="0.25">
      <c r="B1787" s="1"/>
    </row>
    <row r="1788" spans="2:2" x14ac:dyDescent="0.25">
      <c r="B1788" s="1"/>
    </row>
    <row r="1789" spans="2:2" x14ac:dyDescent="0.25">
      <c r="B1789" s="1"/>
    </row>
    <row r="1790" spans="2:2" x14ac:dyDescent="0.25">
      <c r="B1790" s="1"/>
    </row>
    <row r="1791" spans="2:2" x14ac:dyDescent="0.25">
      <c r="B1791" s="1"/>
    </row>
    <row r="1792" spans="2:2" x14ac:dyDescent="0.25">
      <c r="B1792" s="1"/>
    </row>
    <row r="1793" spans="2:2" x14ac:dyDescent="0.25">
      <c r="B1793" s="1"/>
    </row>
    <row r="1794" spans="2:2" x14ac:dyDescent="0.25">
      <c r="B1794" s="1"/>
    </row>
    <row r="1795" spans="2:2" x14ac:dyDescent="0.25">
      <c r="B1795" s="1"/>
    </row>
    <row r="1796" spans="2:2" x14ac:dyDescent="0.25">
      <c r="B1796" s="1"/>
    </row>
    <row r="1797" spans="2:2" x14ac:dyDescent="0.25">
      <c r="B1797" s="1"/>
    </row>
    <row r="1798" spans="2:2" x14ac:dyDescent="0.25">
      <c r="B1798" s="1"/>
    </row>
    <row r="1799" spans="2:2" x14ac:dyDescent="0.25">
      <c r="B1799" s="1"/>
    </row>
    <row r="1800" spans="2:2" x14ac:dyDescent="0.25">
      <c r="B1800" s="1"/>
    </row>
    <row r="1801" spans="2:2" x14ac:dyDescent="0.25">
      <c r="B1801" s="1"/>
    </row>
    <row r="1802" spans="2:2" x14ac:dyDescent="0.25">
      <c r="B1802" s="1"/>
    </row>
    <row r="1803" spans="2:2" x14ac:dyDescent="0.25">
      <c r="B1803" s="1"/>
    </row>
    <row r="1804" spans="2:2" x14ac:dyDescent="0.25">
      <c r="B1804" s="1"/>
    </row>
    <row r="1805" spans="2:2" x14ac:dyDescent="0.25">
      <c r="B1805" s="1"/>
    </row>
    <row r="1806" spans="2:2" x14ac:dyDescent="0.25">
      <c r="B1806" s="1"/>
    </row>
    <row r="1807" spans="2:2" x14ac:dyDescent="0.25">
      <c r="B1807" s="1"/>
    </row>
    <row r="1808" spans="2:2" x14ac:dyDescent="0.25">
      <c r="B1808" s="1"/>
    </row>
    <row r="1809" spans="2:2" x14ac:dyDescent="0.25">
      <c r="B1809" s="1"/>
    </row>
    <row r="1810" spans="2:2" x14ac:dyDescent="0.25">
      <c r="B1810" s="1"/>
    </row>
    <row r="1811" spans="2:2" x14ac:dyDescent="0.25">
      <c r="B1811" s="1"/>
    </row>
    <row r="1812" spans="2:2" x14ac:dyDescent="0.25">
      <c r="B1812" s="1"/>
    </row>
    <row r="1813" spans="2:2" x14ac:dyDescent="0.25">
      <c r="B1813" s="1"/>
    </row>
    <row r="1814" spans="2:2" x14ac:dyDescent="0.25">
      <c r="B1814" s="1"/>
    </row>
    <row r="1815" spans="2:2" x14ac:dyDescent="0.25">
      <c r="B1815" s="1"/>
    </row>
    <row r="1816" spans="2:2" x14ac:dyDescent="0.25">
      <c r="B1816" s="1"/>
    </row>
    <row r="1817" spans="2:2" x14ac:dyDescent="0.25">
      <c r="B1817" s="1"/>
    </row>
    <row r="1818" spans="2:2" x14ac:dyDescent="0.25">
      <c r="B1818" s="1"/>
    </row>
    <row r="1819" spans="2:2" x14ac:dyDescent="0.25">
      <c r="B1819" s="1"/>
    </row>
    <row r="1820" spans="2:2" x14ac:dyDescent="0.25">
      <c r="B1820" s="1"/>
    </row>
    <row r="1821" spans="2:2" x14ac:dyDescent="0.25">
      <c r="B1821" s="1"/>
    </row>
    <row r="1822" spans="2:2" x14ac:dyDescent="0.25">
      <c r="B1822" s="1"/>
    </row>
    <row r="1823" spans="2:2" x14ac:dyDescent="0.25">
      <c r="B1823" s="1"/>
    </row>
    <row r="1824" spans="2:2" x14ac:dyDescent="0.25">
      <c r="B1824" s="1"/>
    </row>
    <row r="1825" spans="2:2" x14ac:dyDescent="0.25">
      <c r="B1825" s="1"/>
    </row>
    <row r="1826" spans="2:2" x14ac:dyDescent="0.25">
      <c r="B1826" s="1"/>
    </row>
    <row r="1827" spans="2:2" x14ac:dyDescent="0.25">
      <c r="B1827" s="1"/>
    </row>
    <row r="1828" spans="2:2" x14ac:dyDescent="0.25">
      <c r="B1828" s="1"/>
    </row>
    <row r="1829" spans="2:2" x14ac:dyDescent="0.25">
      <c r="B1829" s="1"/>
    </row>
    <row r="1830" spans="2:2" x14ac:dyDescent="0.25">
      <c r="B1830" s="1"/>
    </row>
    <row r="1831" spans="2:2" x14ac:dyDescent="0.25">
      <c r="B1831" s="1"/>
    </row>
    <row r="1832" spans="2:2" x14ac:dyDescent="0.25">
      <c r="B1832" s="1"/>
    </row>
    <row r="1833" spans="2:2" x14ac:dyDescent="0.25">
      <c r="B1833" s="1"/>
    </row>
    <row r="1834" spans="2:2" x14ac:dyDescent="0.25">
      <c r="B1834" s="1"/>
    </row>
    <row r="1835" spans="2:2" x14ac:dyDescent="0.25">
      <c r="B1835" s="1"/>
    </row>
    <row r="1836" spans="2:2" x14ac:dyDescent="0.25">
      <c r="B1836" s="1"/>
    </row>
    <row r="1837" spans="2:2" x14ac:dyDescent="0.25">
      <c r="B1837" s="1"/>
    </row>
    <row r="1838" spans="2:2" x14ac:dyDescent="0.25">
      <c r="B1838" s="1"/>
    </row>
    <row r="1839" spans="2:2" x14ac:dyDescent="0.25">
      <c r="B1839" s="1"/>
    </row>
    <row r="1840" spans="2:2" x14ac:dyDescent="0.25">
      <c r="B1840" s="1"/>
    </row>
    <row r="1841" spans="2:2" x14ac:dyDescent="0.25">
      <c r="B1841" s="1"/>
    </row>
    <row r="1842" spans="2:2" x14ac:dyDescent="0.25">
      <c r="B1842" s="1"/>
    </row>
    <row r="1843" spans="2:2" x14ac:dyDescent="0.25">
      <c r="B1843" s="1"/>
    </row>
    <row r="1844" spans="2:2" x14ac:dyDescent="0.25">
      <c r="B1844" s="1"/>
    </row>
    <row r="1845" spans="2:2" x14ac:dyDescent="0.25">
      <c r="B1845" s="1"/>
    </row>
    <row r="1846" spans="2:2" x14ac:dyDescent="0.25">
      <c r="B1846" s="1"/>
    </row>
    <row r="1847" spans="2:2" x14ac:dyDescent="0.25">
      <c r="B1847" s="1"/>
    </row>
    <row r="1848" spans="2:2" x14ac:dyDescent="0.25">
      <c r="B1848" s="1"/>
    </row>
    <row r="1849" spans="2:2" x14ac:dyDescent="0.25">
      <c r="B1849" s="1"/>
    </row>
    <row r="1850" spans="2:2" x14ac:dyDescent="0.25">
      <c r="B1850" s="1"/>
    </row>
    <row r="1851" spans="2:2" x14ac:dyDescent="0.25">
      <c r="B1851" s="1"/>
    </row>
    <row r="1852" spans="2:2" x14ac:dyDescent="0.25">
      <c r="B1852" s="1"/>
    </row>
    <row r="1853" spans="2:2" x14ac:dyDescent="0.25">
      <c r="B1853" s="1"/>
    </row>
    <row r="1854" spans="2:2" x14ac:dyDescent="0.25">
      <c r="B1854" s="1"/>
    </row>
    <row r="1855" spans="2:2" x14ac:dyDescent="0.25">
      <c r="B1855" s="1"/>
    </row>
    <row r="1856" spans="2:2" x14ac:dyDescent="0.25">
      <c r="B1856" s="1"/>
    </row>
    <row r="1857" spans="2:2" x14ac:dyDescent="0.25">
      <c r="B1857" s="1"/>
    </row>
    <row r="1858" spans="2:2" x14ac:dyDescent="0.25">
      <c r="B1858" s="1"/>
    </row>
    <row r="1859" spans="2:2" x14ac:dyDescent="0.25">
      <c r="B1859" s="1"/>
    </row>
    <row r="1860" spans="2:2" x14ac:dyDescent="0.25">
      <c r="B1860" s="1"/>
    </row>
    <row r="1861" spans="2:2" x14ac:dyDescent="0.25">
      <c r="B1861" s="1"/>
    </row>
    <row r="1862" spans="2:2" x14ac:dyDescent="0.25">
      <c r="B1862" s="1"/>
    </row>
    <row r="1863" spans="2:2" x14ac:dyDescent="0.25">
      <c r="B1863" s="1"/>
    </row>
    <row r="1864" spans="2:2" x14ac:dyDescent="0.25">
      <c r="B1864" s="1"/>
    </row>
    <row r="1865" spans="2:2" x14ac:dyDescent="0.25">
      <c r="B1865" s="1"/>
    </row>
    <row r="1866" spans="2:2" x14ac:dyDescent="0.25">
      <c r="B1866" s="1"/>
    </row>
    <row r="1867" spans="2:2" x14ac:dyDescent="0.25">
      <c r="B1867" s="1"/>
    </row>
    <row r="1868" spans="2:2" x14ac:dyDescent="0.25">
      <c r="B1868" s="1"/>
    </row>
    <row r="1869" spans="2:2" x14ac:dyDescent="0.25">
      <c r="B1869" s="1"/>
    </row>
    <row r="1870" spans="2:2" x14ac:dyDescent="0.25">
      <c r="B1870" s="1"/>
    </row>
    <row r="1871" spans="2:2" x14ac:dyDescent="0.25">
      <c r="B1871" s="1"/>
    </row>
    <row r="1872" spans="2:2" x14ac:dyDescent="0.25">
      <c r="B1872" s="1"/>
    </row>
    <row r="1873" spans="2:2" x14ac:dyDescent="0.25">
      <c r="B1873" s="1"/>
    </row>
    <row r="1874" spans="2:2" x14ac:dyDescent="0.25">
      <c r="B1874" s="1"/>
    </row>
    <row r="1875" spans="2:2" x14ac:dyDescent="0.25">
      <c r="B1875" s="1"/>
    </row>
    <row r="1876" spans="2:2" x14ac:dyDescent="0.25">
      <c r="B1876" s="1"/>
    </row>
    <row r="1877" spans="2:2" x14ac:dyDescent="0.25">
      <c r="B1877" s="1"/>
    </row>
    <row r="1878" spans="2:2" x14ac:dyDescent="0.25">
      <c r="B1878" s="1"/>
    </row>
    <row r="1879" spans="2:2" x14ac:dyDescent="0.25">
      <c r="B1879" s="1"/>
    </row>
    <row r="1880" spans="2:2" x14ac:dyDescent="0.25">
      <c r="B1880" s="1"/>
    </row>
    <row r="1881" spans="2:2" x14ac:dyDescent="0.25">
      <c r="B1881" s="1"/>
    </row>
    <row r="1882" spans="2:2" x14ac:dyDescent="0.25">
      <c r="B1882" s="1"/>
    </row>
    <row r="1883" spans="2:2" x14ac:dyDescent="0.25">
      <c r="B1883" s="1"/>
    </row>
    <row r="1884" spans="2:2" x14ac:dyDescent="0.25">
      <c r="B1884" s="1"/>
    </row>
    <row r="1885" spans="2:2" x14ac:dyDescent="0.25">
      <c r="B1885" s="1"/>
    </row>
    <row r="1886" spans="2:2" x14ac:dyDescent="0.25">
      <c r="B1886" s="1"/>
    </row>
    <row r="1887" spans="2:2" x14ac:dyDescent="0.25">
      <c r="B1887" s="1"/>
    </row>
    <row r="1888" spans="2:2" x14ac:dyDescent="0.25">
      <c r="B1888" s="1"/>
    </row>
    <row r="1889" spans="2:2" x14ac:dyDescent="0.25">
      <c r="B1889" s="1"/>
    </row>
    <row r="1890" spans="2:2" x14ac:dyDescent="0.25">
      <c r="B1890" s="1"/>
    </row>
    <row r="1891" spans="2:2" x14ac:dyDescent="0.25">
      <c r="B1891" s="1"/>
    </row>
    <row r="1892" spans="2:2" x14ac:dyDescent="0.25">
      <c r="B1892" s="1"/>
    </row>
    <row r="1893" spans="2:2" x14ac:dyDescent="0.25">
      <c r="B1893" s="1"/>
    </row>
    <row r="1894" spans="2:2" x14ac:dyDescent="0.25">
      <c r="B1894" s="1"/>
    </row>
    <row r="1895" spans="2:2" x14ac:dyDescent="0.25">
      <c r="B1895" s="1"/>
    </row>
    <row r="1896" spans="2:2" x14ac:dyDescent="0.25">
      <c r="B1896" s="1"/>
    </row>
    <row r="1897" spans="2:2" x14ac:dyDescent="0.25">
      <c r="B1897" s="1"/>
    </row>
    <row r="1898" spans="2:2" x14ac:dyDescent="0.25">
      <c r="B1898" s="1"/>
    </row>
    <row r="1899" spans="2:2" x14ac:dyDescent="0.25">
      <c r="B1899" s="1"/>
    </row>
    <row r="1900" spans="2:2" x14ac:dyDescent="0.25">
      <c r="B1900" s="1"/>
    </row>
    <row r="1901" spans="2:2" x14ac:dyDescent="0.25">
      <c r="B1901" s="1"/>
    </row>
    <row r="1902" spans="2:2" x14ac:dyDescent="0.25">
      <c r="B1902" s="1"/>
    </row>
    <row r="1903" spans="2:2" x14ac:dyDescent="0.25">
      <c r="B1903" s="1"/>
    </row>
    <row r="1904" spans="2:2" x14ac:dyDescent="0.25">
      <c r="B1904" s="1"/>
    </row>
    <row r="1905" spans="2:2" x14ac:dyDescent="0.25">
      <c r="B1905" s="1"/>
    </row>
    <row r="1906" spans="2:2" x14ac:dyDescent="0.25">
      <c r="B1906" s="1"/>
    </row>
    <row r="1907" spans="2:2" x14ac:dyDescent="0.25">
      <c r="B1907" s="1"/>
    </row>
    <row r="1908" spans="2:2" x14ac:dyDescent="0.25">
      <c r="B1908" s="1"/>
    </row>
    <row r="1909" spans="2:2" x14ac:dyDescent="0.25">
      <c r="B1909" s="1"/>
    </row>
    <row r="1910" spans="2:2" x14ac:dyDescent="0.25">
      <c r="B1910" s="1"/>
    </row>
    <row r="1911" spans="2:2" x14ac:dyDescent="0.25">
      <c r="B1911" s="1"/>
    </row>
    <row r="1912" spans="2:2" x14ac:dyDescent="0.25">
      <c r="B1912" s="1"/>
    </row>
    <row r="1913" spans="2:2" x14ac:dyDescent="0.25">
      <c r="B1913" s="1"/>
    </row>
    <row r="1914" spans="2:2" x14ac:dyDescent="0.25">
      <c r="B1914" s="1"/>
    </row>
    <row r="1915" spans="2:2" x14ac:dyDescent="0.25">
      <c r="B1915" s="1"/>
    </row>
    <row r="1916" spans="2:2" x14ac:dyDescent="0.25">
      <c r="B1916" s="1"/>
    </row>
    <row r="1917" spans="2:2" x14ac:dyDescent="0.25">
      <c r="B1917" s="1"/>
    </row>
    <row r="1918" spans="2:2" x14ac:dyDescent="0.25">
      <c r="B1918" s="1"/>
    </row>
    <row r="1919" spans="2:2" x14ac:dyDescent="0.25">
      <c r="B1919" s="1"/>
    </row>
    <row r="1920" spans="2:2" x14ac:dyDescent="0.25">
      <c r="B1920" s="1"/>
    </row>
    <row r="1921" spans="2:2" x14ac:dyDescent="0.25">
      <c r="B1921" s="1"/>
    </row>
    <row r="1922" spans="2:2" x14ac:dyDescent="0.25">
      <c r="B1922" s="1"/>
    </row>
    <row r="1923" spans="2:2" x14ac:dyDescent="0.25">
      <c r="B1923" s="1"/>
    </row>
    <row r="1924" spans="2:2" x14ac:dyDescent="0.25">
      <c r="B1924" s="1"/>
    </row>
    <row r="1925" spans="2:2" x14ac:dyDescent="0.25">
      <c r="B1925" s="1"/>
    </row>
    <row r="1926" spans="2:2" x14ac:dyDescent="0.25">
      <c r="B1926" s="1"/>
    </row>
    <row r="1927" spans="2:2" x14ac:dyDescent="0.25">
      <c r="B1927" s="1"/>
    </row>
    <row r="1928" spans="2:2" x14ac:dyDescent="0.25">
      <c r="B1928" s="1"/>
    </row>
    <row r="1929" spans="2:2" x14ac:dyDescent="0.25">
      <c r="B1929" s="1"/>
    </row>
    <row r="1930" spans="2:2" x14ac:dyDescent="0.25">
      <c r="B1930" s="1"/>
    </row>
    <row r="1931" spans="2:2" x14ac:dyDescent="0.25">
      <c r="B1931" s="1"/>
    </row>
    <row r="1932" spans="2:2" x14ac:dyDescent="0.25">
      <c r="B1932" s="1"/>
    </row>
    <row r="1933" spans="2:2" x14ac:dyDescent="0.25">
      <c r="B1933" s="1"/>
    </row>
    <row r="1934" spans="2:2" x14ac:dyDescent="0.25">
      <c r="B1934" s="1"/>
    </row>
    <row r="1935" spans="2:2" x14ac:dyDescent="0.25">
      <c r="B1935" s="1"/>
    </row>
    <row r="1936" spans="2:2" x14ac:dyDescent="0.25">
      <c r="B1936" s="1"/>
    </row>
    <row r="1937" spans="2:2" x14ac:dyDescent="0.25">
      <c r="B1937" s="1"/>
    </row>
    <row r="1938" spans="2:2" x14ac:dyDescent="0.25">
      <c r="B1938" s="1"/>
    </row>
    <row r="1939" spans="2:2" x14ac:dyDescent="0.25">
      <c r="B1939" s="1"/>
    </row>
    <row r="1940" spans="2:2" x14ac:dyDescent="0.25">
      <c r="B1940" s="1"/>
    </row>
    <row r="1941" spans="2:2" x14ac:dyDescent="0.25">
      <c r="B1941" s="1"/>
    </row>
    <row r="1942" spans="2:2" x14ac:dyDescent="0.25">
      <c r="B1942" s="1"/>
    </row>
    <row r="1943" spans="2:2" x14ac:dyDescent="0.25">
      <c r="B1943" s="1"/>
    </row>
    <row r="1944" spans="2:2" x14ac:dyDescent="0.25">
      <c r="B1944" s="1"/>
    </row>
    <row r="1945" spans="2:2" x14ac:dyDescent="0.25">
      <c r="B1945" s="1"/>
    </row>
    <row r="1946" spans="2:2" x14ac:dyDescent="0.25">
      <c r="B1946" s="1"/>
    </row>
    <row r="1947" spans="2:2" x14ac:dyDescent="0.25">
      <c r="B1947" s="1"/>
    </row>
    <row r="1948" spans="2:2" x14ac:dyDescent="0.25">
      <c r="B1948" s="1"/>
    </row>
    <row r="1949" spans="2:2" x14ac:dyDescent="0.25">
      <c r="B1949" s="1"/>
    </row>
    <row r="1950" spans="2:2" x14ac:dyDescent="0.25">
      <c r="B1950" s="1"/>
    </row>
    <row r="1951" spans="2:2" x14ac:dyDescent="0.25">
      <c r="B1951" s="1"/>
    </row>
    <row r="1952" spans="2:2" x14ac:dyDescent="0.25">
      <c r="B1952" s="1"/>
    </row>
    <row r="1953" spans="2:2" x14ac:dyDescent="0.25">
      <c r="B1953" s="1"/>
    </row>
    <row r="1954" spans="2:2" x14ac:dyDescent="0.25">
      <c r="B1954" s="1"/>
    </row>
    <row r="1955" spans="2:2" x14ac:dyDescent="0.25">
      <c r="B1955" s="1"/>
    </row>
    <row r="1956" spans="2:2" x14ac:dyDescent="0.25">
      <c r="B1956" s="1"/>
    </row>
    <row r="1957" spans="2:2" x14ac:dyDescent="0.25">
      <c r="B1957" s="1"/>
    </row>
    <row r="1958" spans="2:2" x14ac:dyDescent="0.25">
      <c r="B1958" s="1"/>
    </row>
    <row r="1959" spans="2:2" x14ac:dyDescent="0.25">
      <c r="B1959" s="1"/>
    </row>
    <row r="1960" spans="2:2" x14ac:dyDescent="0.25">
      <c r="B1960" s="1"/>
    </row>
    <row r="1961" spans="2:2" x14ac:dyDescent="0.25">
      <c r="B1961" s="1"/>
    </row>
    <row r="1962" spans="2:2" x14ac:dyDescent="0.25">
      <c r="B1962" s="1"/>
    </row>
    <row r="1963" spans="2:2" x14ac:dyDescent="0.25">
      <c r="B1963" s="1"/>
    </row>
    <row r="1964" spans="2:2" x14ac:dyDescent="0.25">
      <c r="B1964" s="1"/>
    </row>
    <row r="1965" spans="2:2" x14ac:dyDescent="0.25">
      <c r="B1965" s="1"/>
    </row>
    <row r="1966" spans="2:2" x14ac:dyDescent="0.25">
      <c r="B1966" s="1"/>
    </row>
    <row r="1967" spans="2:2" x14ac:dyDescent="0.25">
      <c r="B1967" s="1"/>
    </row>
    <row r="1968" spans="2:2" x14ac:dyDescent="0.25">
      <c r="B1968" s="1"/>
    </row>
    <row r="1969" spans="2:2" x14ac:dyDescent="0.25">
      <c r="B1969" s="1"/>
    </row>
    <row r="1970" spans="2:2" x14ac:dyDescent="0.25">
      <c r="B1970" s="1"/>
    </row>
    <row r="1971" spans="2:2" x14ac:dyDescent="0.25">
      <c r="B1971" s="1"/>
    </row>
    <row r="1972" spans="2:2" x14ac:dyDescent="0.25">
      <c r="B1972" s="1"/>
    </row>
    <row r="1973" spans="2:2" x14ac:dyDescent="0.25">
      <c r="B1973" s="1"/>
    </row>
    <row r="1974" spans="2:2" x14ac:dyDescent="0.25">
      <c r="B1974" s="1"/>
    </row>
    <row r="1975" spans="2:2" x14ac:dyDescent="0.25">
      <c r="B1975" s="1"/>
    </row>
    <row r="1976" spans="2:2" x14ac:dyDescent="0.25">
      <c r="B1976" s="1"/>
    </row>
    <row r="1977" spans="2:2" x14ac:dyDescent="0.25">
      <c r="B1977" s="1"/>
    </row>
    <row r="1978" spans="2:2" x14ac:dyDescent="0.25">
      <c r="B1978" s="1"/>
    </row>
    <row r="1979" spans="2:2" x14ac:dyDescent="0.25">
      <c r="B1979" s="1"/>
    </row>
    <row r="1980" spans="2:2" x14ac:dyDescent="0.25">
      <c r="B1980" s="1"/>
    </row>
    <row r="1981" spans="2:2" x14ac:dyDescent="0.25">
      <c r="B1981" s="1"/>
    </row>
    <row r="1982" spans="2:2" x14ac:dyDescent="0.25">
      <c r="B1982" s="1"/>
    </row>
    <row r="1983" spans="2:2" x14ac:dyDescent="0.25">
      <c r="B1983" s="1"/>
    </row>
    <row r="1984" spans="2:2" x14ac:dyDescent="0.25">
      <c r="B1984" s="1"/>
    </row>
    <row r="1985" spans="2:2" x14ac:dyDescent="0.25">
      <c r="B1985" s="1"/>
    </row>
    <row r="1986" spans="2:2" x14ac:dyDescent="0.25">
      <c r="B1986" s="1"/>
    </row>
    <row r="1987" spans="2:2" x14ac:dyDescent="0.25">
      <c r="B1987" s="1"/>
    </row>
    <row r="1988" spans="2:2" x14ac:dyDescent="0.25">
      <c r="B1988" s="1"/>
    </row>
    <row r="1989" spans="2:2" x14ac:dyDescent="0.25">
      <c r="B1989" s="1"/>
    </row>
    <row r="1990" spans="2:2" x14ac:dyDescent="0.25">
      <c r="B1990" s="1"/>
    </row>
    <row r="1991" spans="2:2" x14ac:dyDescent="0.25">
      <c r="B1991" s="1"/>
    </row>
    <row r="1992" spans="2:2" x14ac:dyDescent="0.25">
      <c r="B1992" s="1"/>
    </row>
    <row r="1993" spans="2:2" x14ac:dyDescent="0.25">
      <c r="B1993" s="1"/>
    </row>
    <row r="1994" spans="2:2" x14ac:dyDescent="0.25">
      <c r="B1994" s="1"/>
    </row>
    <row r="1995" spans="2:2" x14ac:dyDescent="0.25">
      <c r="B1995" s="1"/>
    </row>
    <row r="1996" spans="2:2" x14ac:dyDescent="0.25">
      <c r="B1996" s="1"/>
    </row>
    <row r="1997" spans="2:2" x14ac:dyDescent="0.25">
      <c r="B1997" s="1"/>
    </row>
    <row r="1998" spans="2:2" x14ac:dyDescent="0.25">
      <c r="B1998" s="1"/>
    </row>
    <row r="1999" spans="2:2" x14ac:dyDescent="0.25">
      <c r="B1999" s="1"/>
    </row>
    <row r="2000" spans="2:2" x14ac:dyDescent="0.25">
      <c r="B2000" s="1"/>
    </row>
    <row r="2001" spans="2:2" x14ac:dyDescent="0.25">
      <c r="B2001" s="1"/>
    </row>
    <row r="2002" spans="2:2" x14ac:dyDescent="0.25">
      <c r="B2002" s="1"/>
    </row>
    <row r="2003" spans="2:2" x14ac:dyDescent="0.25">
      <c r="B2003" s="1"/>
    </row>
    <row r="2004" spans="2:2" x14ac:dyDescent="0.25">
      <c r="B2004" s="1"/>
    </row>
    <row r="2005" spans="2:2" x14ac:dyDescent="0.25">
      <c r="B2005" s="1"/>
    </row>
    <row r="2006" spans="2:2" x14ac:dyDescent="0.25">
      <c r="B2006" s="1"/>
    </row>
    <row r="2007" spans="2:2" x14ac:dyDescent="0.25">
      <c r="B2007" s="1"/>
    </row>
    <row r="2008" spans="2:2" x14ac:dyDescent="0.25">
      <c r="B2008" s="1"/>
    </row>
    <row r="2009" spans="2:2" x14ac:dyDescent="0.25">
      <c r="B2009" s="1"/>
    </row>
    <row r="2010" spans="2:2" x14ac:dyDescent="0.25">
      <c r="B2010" s="1"/>
    </row>
    <row r="2011" spans="2:2" x14ac:dyDescent="0.25">
      <c r="B2011" s="1"/>
    </row>
    <row r="2012" spans="2:2" x14ac:dyDescent="0.25">
      <c r="B2012" s="1"/>
    </row>
    <row r="2013" spans="2:2" x14ac:dyDescent="0.25">
      <c r="B2013" s="1"/>
    </row>
    <row r="2014" spans="2:2" x14ac:dyDescent="0.25">
      <c r="B2014" s="1"/>
    </row>
    <row r="2015" spans="2:2" x14ac:dyDescent="0.25">
      <c r="B2015" s="1"/>
    </row>
    <row r="2016" spans="2:2" x14ac:dyDescent="0.25">
      <c r="B2016" s="1"/>
    </row>
    <row r="2017" spans="2:2" x14ac:dyDescent="0.25">
      <c r="B2017" s="1"/>
    </row>
    <row r="2018" spans="2:2" x14ac:dyDescent="0.25">
      <c r="B2018" s="1"/>
    </row>
    <row r="2019" spans="2:2" x14ac:dyDescent="0.25">
      <c r="B2019" s="1"/>
    </row>
    <row r="2020" spans="2:2" x14ac:dyDescent="0.25">
      <c r="B2020" s="1"/>
    </row>
    <row r="2021" spans="2:2" x14ac:dyDescent="0.25">
      <c r="B2021" s="1"/>
    </row>
    <row r="2022" spans="2:2" x14ac:dyDescent="0.25">
      <c r="B2022" s="1"/>
    </row>
    <row r="2023" spans="2:2" x14ac:dyDescent="0.25">
      <c r="B2023" s="1"/>
    </row>
    <row r="2024" spans="2:2" x14ac:dyDescent="0.25">
      <c r="B2024" s="1"/>
    </row>
    <row r="2025" spans="2:2" x14ac:dyDescent="0.25">
      <c r="B2025" s="1"/>
    </row>
    <row r="2026" spans="2:2" x14ac:dyDescent="0.25">
      <c r="B2026" s="1"/>
    </row>
    <row r="2027" spans="2:2" x14ac:dyDescent="0.25">
      <c r="B2027" s="1"/>
    </row>
    <row r="2028" spans="2:2" x14ac:dyDescent="0.25">
      <c r="B2028" s="1"/>
    </row>
    <row r="2029" spans="2:2" x14ac:dyDescent="0.25">
      <c r="B2029" s="1"/>
    </row>
    <row r="2030" spans="2:2" x14ac:dyDescent="0.25">
      <c r="B2030" s="1"/>
    </row>
    <row r="2031" spans="2:2" x14ac:dyDescent="0.25">
      <c r="B2031" s="1"/>
    </row>
    <row r="2032" spans="2:2" x14ac:dyDescent="0.25">
      <c r="B2032" s="1"/>
    </row>
    <row r="2033" spans="2:2" x14ac:dyDescent="0.25">
      <c r="B2033" s="1"/>
    </row>
    <row r="2034" spans="2:2" x14ac:dyDescent="0.25">
      <c r="B2034" s="1"/>
    </row>
    <row r="2035" spans="2:2" x14ac:dyDescent="0.25">
      <c r="B2035" s="1"/>
    </row>
    <row r="2036" spans="2:2" x14ac:dyDescent="0.25">
      <c r="B2036" s="1"/>
    </row>
    <row r="2037" spans="2:2" x14ac:dyDescent="0.25">
      <c r="B2037" s="1"/>
    </row>
    <row r="2038" spans="2:2" x14ac:dyDescent="0.25">
      <c r="B2038" s="1"/>
    </row>
    <row r="2039" spans="2:2" x14ac:dyDescent="0.25">
      <c r="B2039" s="1"/>
    </row>
    <row r="2040" spans="2:2" x14ac:dyDescent="0.25">
      <c r="B2040" s="1"/>
    </row>
    <row r="2041" spans="2:2" x14ac:dyDescent="0.25">
      <c r="B2041" s="1"/>
    </row>
    <row r="2042" spans="2:2" x14ac:dyDescent="0.25">
      <c r="B2042" s="1"/>
    </row>
    <row r="2043" spans="2:2" x14ac:dyDescent="0.25">
      <c r="B2043" s="1"/>
    </row>
    <row r="2044" spans="2:2" x14ac:dyDescent="0.25">
      <c r="B2044" s="1"/>
    </row>
    <row r="2045" spans="2:2" x14ac:dyDescent="0.25">
      <c r="B2045" s="1"/>
    </row>
    <row r="2046" spans="2:2" x14ac:dyDescent="0.25">
      <c r="B2046" s="1"/>
    </row>
    <row r="2047" spans="2:2" x14ac:dyDescent="0.25">
      <c r="B2047" s="1"/>
    </row>
    <row r="2048" spans="2:2" x14ac:dyDescent="0.25">
      <c r="B2048" s="1"/>
    </row>
    <row r="2049" spans="2:2" x14ac:dyDescent="0.25">
      <c r="B2049" s="1"/>
    </row>
    <row r="2050" spans="2:2" x14ac:dyDescent="0.25">
      <c r="B2050" s="1"/>
    </row>
    <row r="2051" spans="2:2" x14ac:dyDescent="0.25">
      <c r="B2051" s="1"/>
    </row>
    <row r="2052" spans="2:2" x14ac:dyDescent="0.25">
      <c r="B2052" s="1"/>
    </row>
    <row r="2053" spans="2:2" x14ac:dyDescent="0.25">
      <c r="B2053" s="1"/>
    </row>
    <row r="2054" spans="2:2" x14ac:dyDescent="0.25">
      <c r="B2054" s="1"/>
    </row>
    <row r="2055" spans="2:2" x14ac:dyDescent="0.25">
      <c r="B2055" s="1"/>
    </row>
    <row r="2056" spans="2:2" x14ac:dyDescent="0.25">
      <c r="B2056" s="1"/>
    </row>
    <row r="2057" spans="2:2" x14ac:dyDescent="0.25">
      <c r="B2057" s="1"/>
    </row>
    <row r="2058" spans="2:2" x14ac:dyDescent="0.25">
      <c r="B2058" s="1"/>
    </row>
    <row r="2059" spans="2:2" x14ac:dyDescent="0.25">
      <c r="B2059" s="1"/>
    </row>
    <row r="2060" spans="2:2" x14ac:dyDescent="0.25">
      <c r="B2060" s="1"/>
    </row>
    <row r="2061" spans="2:2" x14ac:dyDescent="0.25">
      <c r="B2061" s="1"/>
    </row>
    <row r="2062" spans="2:2" x14ac:dyDescent="0.25">
      <c r="B2062" s="1"/>
    </row>
    <row r="2063" spans="2:2" x14ac:dyDescent="0.25">
      <c r="B2063" s="1"/>
    </row>
    <row r="2064" spans="2:2" x14ac:dyDescent="0.25">
      <c r="B2064" s="1"/>
    </row>
    <row r="2065" spans="2:2" x14ac:dyDescent="0.25">
      <c r="B2065" s="1"/>
    </row>
    <row r="2066" spans="2:2" x14ac:dyDescent="0.25">
      <c r="B2066" s="1"/>
    </row>
    <row r="2067" spans="2:2" x14ac:dyDescent="0.25">
      <c r="B2067" s="1"/>
    </row>
    <row r="2068" spans="2:2" x14ac:dyDescent="0.25">
      <c r="B2068" s="1"/>
    </row>
    <row r="2069" spans="2:2" x14ac:dyDescent="0.25">
      <c r="B2069" s="1"/>
    </row>
    <row r="2070" spans="2:2" x14ac:dyDescent="0.25">
      <c r="B2070" s="1"/>
    </row>
    <row r="2071" spans="2:2" x14ac:dyDescent="0.25">
      <c r="B2071" s="1"/>
    </row>
    <row r="2072" spans="2:2" x14ac:dyDescent="0.25">
      <c r="B2072" s="1"/>
    </row>
    <row r="2073" spans="2:2" x14ac:dyDescent="0.25">
      <c r="B2073" s="1"/>
    </row>
    <row r="2074" spans="2:2" x14ac:dyDescent="0.25">
      <c r="B2074" s="1"/>
    </row>
    <row r="2075" spans="2:2" x14ac:dyDescent="0.25">
      <c r="B2075" s="1"/>
    </row>
    <row r="2076" spans="2:2" x14ac:dyDescent="0.25">
      <c r="B2076" s="1"/>
    </row>
    <row r="2077" spans="2:2" x14ac:dyDescent="0.25">
      <c r="B2077" s="1"/>
    </row>
    <row r="2078" spans="2:2" x14ac:dyDescent="0.25">
      <c r="B2078" s="1"/>
    </row>
    <row r="2079" spans="2:2" x14ac:dyDescent="0.25">
      <c r="B2079" s="1"/>
    </row>
    <row r="2080" spans="2:2" x14ac:dyDescent="0.25">
      <c r="B2080" s="1"/>
    </row>
    <row r="2081" spans="2:2" x14ac:dyDescent="0.25">
      <c r="B2081" s="1"/>
    </row>
    <row r="2082" spans="2:2" x14ac:dyDescent="0.25">
      <c r="B2082" s="1"/>
    </row>
    <row r="2083" spans="2:2" x14ac:dyDescent="0.25">
      <c r="B2083" s="1"/>
    </row>
    <row r="2084" spans="2:2" x14ac:dyDescent="0.25">
      <c r="B2084" s="1"/>
    </row>
    <row r="2085" spans="2:2" x14ac:dyDescent="0.25">
      <c r="B2085" s="1"/>
    </row>
    <row r="2086" spans="2:2" x14ac:dyDescent="0.25">
      <c r="B2086" s="1"/>
    </row>
    <row r="2087" spans="2:2" x14ac:dyDescent="0.25">
      <c r="B2087" s="1"/>
    </row>
    <row r="2088" spans="2:2" x14ac:dyDescent="0.25">
      <c r="B2088" s="1"/>
    </row>
    <row r="2089" spans="2:2" x14ac:dyDescent="0.25">
      <c r="B2089" s="1"/>
    </row>
    <row r="2090" spans="2:2" x14ac:dyDescent="0.25">
      <c r="B2090" s="1"/>
    </row>
    <row r="2091" spans="2:2" x14ac:dyDescent="0.25">
      <c r="B2091" s="1"/>
    </row>
    <row r="2092" spans="2:2" x14ac:dyDescent="0.25">
      <c r="B2092" s="1"/>
    </row>
    <row r="2093" spans="2:2" x14ac:dyDescent="0.25">
      <c r="B2093" s="1"/>
    </row>
    <row r="2094" spans="2:2" x14ac:dyDescent="0.25">
      <c r="B2094" s="1"/>
    </row>
    <row r="2095" spans="2:2" x14ac:dyDescent="0.25">
      <c r="B2095" s="1"/>
    </row>
    <row r="2096" spans="2:2" x14ac:dyDescent="0.25">
      <c r="B2096" s="1"/>
    </row>
    <row r="2097" spans="2:2" x14ac:dyDescent="0.25">
      <c r="B2097" s="1"/>
    </row>
    <row r="2098" spans="2:2" x14ac:dyDescent="0.25">
      <c r="B2098" s="1"/>
    </row>
    <row r="2099" spans="2:2" x14ac:dyDescent="0.25">
      <c r="B2099" s="1"/>
    </row>
    <row r="2100" spans="2:2" x14ac:dyDescent="0.25">
      <c r="B2100" s="1"/>
    </row>
    <row r="2101" spans="2:2" x14ac:dyDescent="0.25">
      <c r="B2101" s="1"/>
    </row>
    <row r="2102" spans="2:2" x14ac:dyDescent="0.25">
      <c r="B2102" s="1"/>
    </row>
    <row r="2103" spans="2:2" x14ac:dyDescent="0.25">
      <c r="B2103" s="1"/>
    </row>
    <row r="2104" spans="2:2" x14ac:dyDescent="0.25">
      <c r="B2104" s="1"/>
    </row>
    <row r="2105" spans="2:2" x14ac:dyDescent="0.25">
      <c r="B2105" s="1"/>
    </row>
    <row r="2106" spans="2:2" x14ac:dyDescent="0.25">
      <c r="B2106" s="1"/>
    </row>
    <row r="2107" spans="2:2" x14ac:dyDescent="0.25">
      <c r="B2107" s="1"/>
    </row>
    <row r="2108" spans="2:2" x14ac:dyDescent="0.25">
      <c r="B2108" s="1"/>
    </row>
    <row r="2109" spans="2:2" x14ac:dyDescent="0.25">
      <c r="B2109" s="1"/>
    </row>
    <row r="2110" spans="2:2" x14ac:dyDescent="0.25">
      <c r="B2110" s="1"/>
    </row>
    <row r="2111" spans="2:2" x14ac:dyDescent="0.25">
      <c r="B2111" s="1"/>
    </row>
    <row r="2112" spans="2:2" x14ac:dyDescent="0.25">
      <c r="B2112" s="1"/>
    </row>
    <row r="2113" spans="2:2" x14ac:dyDescent="0.25">
      <c r="B2113" s="1"/>
    </row>
    <row r="2114" spans="2:2" x14ac:dyDescent="0.25">
      <c r="B2114" s="1"/>
    </row>
    <row r="2115" spans="2:2" x14ac:dyDescent="0.25">
      <c r="B2115" s="1"/>
    </row>
    <row r="2116" spans="2:2" x14ac:dyDescent="0.25">
      <c r="B2116" s="1"/>
    </row>
    <row r="2117" spans="2:2" x14ac:dyDescent="0.25">
      <c r="B2117" s="1"/>
    </row>
    <row r="2118" spans="2:2" x14ac:dyDescent="0.25">
      <c r="B2118" s="1"/>
    </row>
    <row r="2119" spans="2:2" x14ac:dyDescent="0.25">
      <c r="B2119" s="1"/>
    </row>
    <row r="2120" spans="2:2" x14ac:dyDescent="0.25">
      <c r="B2120" s="1"/>
    </row>
    <row r="2121" spans="2:2" x14ac:dyDescent="0.25">
      <c r="B2121" s="1"/>
    </row>
    <row r="2122" spans="2:2" x14ac:dyDescent="0.25">
      <c r="B2122" s="1"/>
    </row>
    <row r="2123" spans="2:2" x14ac:dyDescent="0.25">
      <c r="B2123" s="1"/>
    </row>
    <row r="2124" spans="2:2" x14ac:dyDescent="0.25">
      <c r="B2124" s="1"/>
    </row>
    <row r="2125" spans="2:2" x14ac:dyDescent="0.25">
      <c r="B2125" s="1"/>
    </row>
    <row r="2126" spans="2:2" x14ac:dyDescent="0.25">
      <c r="B2126" s="1"/>
    </row>
    <row r="2127" spans="2:2" x14ac:dyDescent="0.25">
      <c r="B2127" s="1"/>
    </row>
    <row r="2128" spans="2:2" x14ac:dyDescent="0.25">
      <c r="B2128" s="1"/>
    </row>
    <row r="2129" spans="2:2" x14ac:dyDescent="0.25">
      <c r="B2129" s="1"/>
    </row>
    <row r="2130" spans="2:2" x14ac:dyDescent="0.25">
      <c r="B2130" s="1"/>
    </row>
    <row r="2131" spans="2:2" x14ac:dyDescent="0.25">
      <c r="B2131" s="1"/>
    </row>
    <row r="2132" spans="2:2" x14ac:dyDescent="0.25">
      <c r="B2132" s="1"/>
    </row>
    <row r="2133" spans="2:2" x14ac:dyDescent="0.25">
      <c r="B2133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157" spans="2:2" x14ac:dyDescent="0.25">
      <c r="B2157" s="1"/>
    </row>
    <row r="2158" spans="2:2" x14ac:dyDescent="0.25">
      <c r="B2158" s="1"/>
    </row>
    <row r="2159" spans="2:2" x14ac:dyDescent="0.25">
      <c r="B2159" s="1"/>
    </row>
    <row r="2160" spans="2:2" x14ac:dyDescent="0.25">
      <c r="B2160" s="1"/>
    </row>
    <row r="2161" spans="2:2" x14ac:dyDescent="0.25">
      <c r="B2161" s="1"/>
    </row>
    <row r="2162" spans="2:2" x14ac:dyDescent="0.25">
      <c r="B2162" s="1"/>
    </row>
    <row r="2163" spans="2:2" x14ac:dyDescent="0.25">
      <c r="B2163" s="1"/>
    </row>
    <row r="2164" spans="2:2" x14ac:dyDescent="0.25">
      <c r="B2164" s="1"/>
    </row>
    <row r="2165" spans="2:2" x14ac:dyDescent="0.25">
      <c r="B2165" s="1"/>
    </row>
    <row r="2166" spans="2:2" x14ac:dyDescent="0.25">
      <c r="B2166" s="1"/>
    </row>
    <row r="2167" spans="2:2" x14ac:dyDescent="0.25">
      <c r="B2167" s="1"/>
    </row>
    <row r="2168" spans="2:2" x14ac:dyDescent="0.25">
      <c r="B2168" s="1"/>
    </row>
    <row r="2169" spans="2:2" x14ac:dyDescent="0.25">
      <c r="B2169" s="1"/>
    </row>
    <row r="2170" spans="2:2" x14ac:dyDescent="0.25">
      <c r="B2170" s="1"/>
    </row>
    <row r="2171" spans="2:2" x14ac:dyDescent="0.25">
      <c r="B2171" s="1"/>
    </row>
    <row r="2172" spans="2:2" x14ac:dyDescent="0.25">
      <c r="B2172" s="1"/>
    </row>
    <row r="2173" spans="2:2" x14ac:dyDescent="0.25">
      <c r="B2173" s="1"/>
    </row>
    <row r="2174" spans="2:2" x14ac:dyDescent="0.25">
      <c r="B2174" s="1"/>
    </row>
    <row r="2175" spans="2:2" x14ac:dyDescent="0.25">
      <c r="B2175" s="1"/>
    </row>
    <row r="2176" spans="2:2" x14ac:dyDescent="0.25">
      <c r="B2176" s="1"/>
    </row>
    <row r="2177" spans="2:2" x14ac:dyDescent="0.25">
      <c r="B2177" s="1"/>
    </row>
    <row r="2178" spans="2:2" x14ac:dyDescent="0.25">
      <c r="B2178" s="1"/>
    </row>
    <row r="2179" spans="2:2" x14ac:dyDescent="0.25">
      <c r="B2179" s="1"/>
    </row>
    <row r="2180" spans="2:2" x14ac:dyDescent="0.25">
      <c r="B2180" s="1"/>
    </row>
    <row r="2181" spans="2:2" x14ac:dyDescent="0.25">
      <c r="B2181" s="1"/>
    </row>
    <row r="2182" spans="2:2" x14ac:dyDescent="0.25">
      <c r="B2182" s="1"/>
    </row>
    <row r="2183" spans="2:2" x14ac:dyDescent="0.25">
      <c r="B2183" s="1"/>
    </row>
    <row r="2184" spans="2:2" x14ac:dyDescent="0.25">
      <c r="B2184" s="1"/>
    </row>
    <row r="2185" spans="2:2" x14ac:dyDescent="0.25">
      <c r="B2185" s="1"/>
    </row>
    <row r="2186" spans="2:2" x14ac:dyDescent="0.25">
      <c r="B2186" s="1"/>
    </row>
    <row r="2187" spans="2:2" x14ac:dyDescent="0.25">
      <c r="B2187" s="1"/>
    </row>
    <row r="2188" spans="2:2" x14ac:dyDescent="0.25">
      <c r="B2188" s="1"/>
    </row>
    <row r="2189" spans="2:2" x14ac:dyDescent="0.25">
      <c r="B2189" s="1"/>
    </row>
    <row r="2190" spans="2:2" x14ac:dyDescent="0.25">
      <c r="B2190" s="1"/>
    </row>
    <row r="2191" spans="2:2" x14ac:dyDescent="0.25">
      <c r="B2191" s="1"/>
    </row>
    <row r="2192" spans="2:2" x14ac:dyDescent="0.25">
      <c r="B2192" s="1"/>
    </row>
    <row r="2193" spans="2:2" x14ac:dyDescent="0.25">
      <c r="B2193" s="1"/>
    </row>
    <row r="2194" spans="2:2" x14ac:dyDescent="0.25">
      <c r="B2194" s="1"/>
    </row>
    <row r="2195" spans="2:2" x14ac:dyDescent="0.25">
      <c r="B2195" s="1"/>
    </row>
    <row r="2196" spans="2:2" x14ac:dyDescent="0.25">
      <c r="B2196" s="1"/>
    </row>
    <row r="2197" spans="2:2" x14ac:dyDescent="0.25">
      <c r="B2197" s="1"/>
    </row>
    <row r="2198" spans="2:2" x14ac:dyDescent="0.25">
      <c r="B2198" s="1"/>
    </row>
    <row r="2199" spans="2:2" x14ac:dyDescent="0.25">
      <c r="B2199" s="1"/>
    </row>
    <row r="2200" spans="2:2" x14ac:dyDescent="0.25">
      <c r="B2200" s="1"/>
    </row>
    <row r="2201" spans="2:2" x14ac:dyDescent="0.25">
      <c r="B2201" s="1"/>
    </row>
    <row r="2202" spans="2:2" x14ac:dyDescent="0.25">
      <c r="B2202" s="1"/>
    </row>
    <row r="2203" spans="2:2" x14ac:dyDescent="0.25">
      <c r="B2203" s="1"/>
    </row>
    <row r="2204" spans="2:2" x14ac:dyDescent="0.25">
      <c r="B2204" s="1"/>
    </row>
    <row r="2205" spans="2:2" x14ac:dyDescent="0.25">
      <c r="B2205" s="1"/>
    </row>
    <row r="2206" spans="2:2" x14ac:dyDescent="0.25">
      <c r="B2206" s="1"/>
    </row>
    <row r="2207" spans="2:2" x14ac:dyDescent="0.25">
      <c r="B2207" s="1"/>
    </row>
    <row r="2208" spans="2:2" x14ac:dyDescent="0.25">
      <c r="B2208" s="1"/>
    </row>
    <row r="2209" spans="2:2" x14ac:dyDescent="0.25">
      <c r="B2209" s="1"/>
    </row>
    <row r="2210" spans="2:2" x14ac:dyDescent="0.25">
      <c r="B2210" s="1"/>
    </row>
    <row r="2211" spans="2:2" x14ac:dyDescent="0.25">
      <c r="B2211" s="1"/>
    </row>
    <row r="2212" spans="2:2" x14ac:dyDescent="0.25">
      <c r="B2212" s="1"/>
    </row>
    <row r="2213" spans="2:2" x14ac:dyDescent="0.25">
      <c r="B2213" s="1"/>
    </row>
    <row r="2214" spans="2:2" x14ac:dyDescent="0.25">
      <c r="B2214" s="1"/>
    </row>
    <row r="2215" spans="2:2" x14ac:dyDescent="0.25">
      <c r="B2215" s="1"/>
    </row>
    <row r="2216" spans="2:2" x14ac:dyDescent="0.25">
      <c r="B2216" s="1"/>
    </row>
    <row r="2217" spans="2:2" x14ac:dyDescent="0.25">
      <c r="B2217" s="1"/>
    </row>
    <row r="2218" spans="2:2" x14ac:dyDescent="0.25">
      <c r="B2218" s="1"/>
    </row>
    <row r="2219" spans="2:2" x14ac:dyDescent="0.25">
      <c r="B2219" s="1"/>
    </row>
    <row r="2220" spans="2:2" x14ac:dyDescent="0.25">
      <c r="B2220" s="1"/>
    </row>
    <row r="2221" spans="2:2" x14ac:dyDescent="0.25">
      <c r="B2221" s="1"/>
    </row>
    <row r="2222" spans="2:2" x14ac:dyDescent="0.25">
      <c r="B2222" s="1"/>
    </row>
    <row r="2223" spans="2:2" x14ac:dyDescent="0.25">
      <c r="B2223" s="1"/>
    </row>
    <row r="2224" spans="2:2" x14ac:dyDescent="0.25">
      <c r="B2224" s="1"/>
    </row>
    <row r="2225" spans="2:2" x14ac:dyDescent="0.25">
      <c r="B2225" s="1"/>
    </row>
    <row r="2226" spans="2:2" x14ac:dyDescent="0.25">
      <c r="B2226" s="1"/>
    </row>
    <row r="2227" spans="2:2" x14ac:dyDescent="0.25">
      <c r="B2227" s="1"/>
    </row>
    <row r="2228" spans="2:2" x14ac:dyDescent="0.25">
      <c r="B2228" s="1"/>
    </row>
    <row r="2229" spans="2:2" x14ac:dyDescent="0.25">
      <c r="B2229" s="1"/>
    </row>
    <row r="2230" spans="2:2" x14ac:dyDescent="0.25">
      <c r="B2230" s="1"/>
    </row>
    <row r="2231" spans="2:2" x14ac:dyDescent="0.25">
      <c r="B2231" s="1"/>
    </row>
    <row r="2232" spans="2:2" x14ac:dyDescent="0.25">
      <c r="B2232" s="1"/>
    </row>
    <row r="2233" spans="2:2" x14ac:dyDescent="0.25">
      <c r="B2233" s="1"/>
    </row>
    <row r="2234" spans="2:2" x14ac:dyDescent="0.25">
      <c r="B2234" s="1"/>
    </row>
    <row r="2235" spans="2:2" x14ac:dyDescent="0.25">
      <c r="B2235" s="1"/>
    </row>
    <row r="2236" spans="2:2" x14ac:dyDescent="0.25">
      <c r="B2236" s="1"/>
    </row>
    <row r="2237" spans="2:2" x14ac:dyDescent="0.25">
      <c r="B2237" s="1"/>
    </row>
    <row r="2238" spans="2:2" x14ac:dyDescent="0.25">
      <c r="B2238" s="1"/>
    </row>
    <row r="2239" spans="2:2" x14ac:dyDescent="0.25">
      <c r="B2239" s="1"/>
    </row>
    <row r="2240" spans="2:2" x14ac:dyDescent="0.25">
      <c r="B2240" s="1"/>
    </row>
    <row r="2241" spans="2:2" x14ac:dyDescent="0.25">
      <c r="B2241" s="1"/>
    </row>
    <row r="2242" spans="2:2" x14ac:dyDescent="0.25">
      <c r="B2242" s="1"/>
    </row>
    <row r="2243" spans="2:2" x14ac:dyDescent="0.25">
      <c r="B2243" s="1"/>
    </row>
    <row r="2244" spans="2:2" x14ac:dyDescent="0.25">
      <c r="B2244" s="1"/>
    </row>
    <row r="2245" spans="2:2" x14ac:dyDescent="0.25">
      <c r="B2245" s="1"/>
    </row>
    <row r="2246" spans="2:2" x14ac:dyDescent="0.25">
      <c r="B2246" s="1"/>
    </row>
    <row r="2247" spans="2:2" x14ac:dyDescent="0.25">
      <c r="B2247" s="1"/>
    </row>
    <row r="2248" spans="2:2" x14ac:dyDescent="0.25">
      <c r="B2248" s="1"/>
    </row>
    <row r="2249" spans="2:2" x14ac:dyDescent="0.25">
      <c r="B2249" s="1"/>
    </row>
    <row r="2250" spans="2:2" x14ac:dyDescent="0.25">
      <c r="B2250" s="1"/>
    </row>
    <row r="2251" spans="2:2" x14ac:dyDescent="0.25">
      <c r="B2251" s="1"/>
    </row>
    <row r="2252" spans="2:2" x14ac:dyDescent="0.25">
      <c r="B2252" s="1"/>
    </row>
    <row r="2253" spans="2:2" x14ac:dyDescent="0.25">
      <c r="B2253" s="1"/>
    </row>
    <row r="2254" spans="2:2" x14ac:dyDescent="0.25">
      <c r="B2254" s="1"/>
    </row>
    <row r="2255" spans="2:2" x14ac:dyDescent="0.25">
      <c r="B2255" s="1"/>
    </row>
    <row r="2256" spans="2:2" x14ac:dyDescent="0.25">
      <c r="B2256" s="1"/>
    </row>
    <row r="2257" spans="2:2" x14ac:dyDescent="0.25">
      <c r="B2257" s="1"/>
    </row>
    <row r="2258" spans="2:2" x14ac:dyDescent="0.25">
      <c r="B2258" s="1"/>
    </row>
    <row r="2259" spans="2:2" x14ac:dyDescent="0.25">
      <c r="B2259" s="1"/>
    </row>
    <row r="2260" spans="2:2" x14ac:dyDescent="0.25">
      <c r="B2260" s="1"/>
    </row>
    <row r="2261" spans="2:2" x14ac:dyDescent="0.25">
      <c r="B2261" s="1"/>
    </row>
    <row r="2262" spans="2:2" x14ac:dyDescent="0.25">
      <c r="B2262" s="1"/>
    </row>
    <row r="2263" spans="2:2" x14ac:dyDescent="0.25">
      <c r="B2263" s="1"/>
    </row>
    <row r="2264" spans="2:2" x14ac:dyDescent="0.25">
      <c r="B2264" s="1"/>
    </row>
    <row r="2265" spans="2:2" x14ac:dyDescent="0.25">
      <c r="B2265" s="1"/>
    </row>
    <row r="2266" spans="2:2" x14ac:dyDescent="0.25">
      <c r="B2266" s="1"/>
    </row>
    <row r="2267" spans="2:2" x14ac:dyDescent="0.25">
      <c r="B2267" s="1"/>
    </row>
    <row r="2268" spans="2:2" x14ac:dyDescent="0.25">
      <c r="B2268" s="1"/>
    </row>
    <row r="2269" spans="2:2" x14ac:dyDescent="0.25">
      <c r="B2269" s="1"/>
    </row>
    <row r="2270" spans="2:2" x14ac:dyDescent="0.25">
      <c r="B2270" s="1"/>
    </row>
    <row r="2271" spans="2:2" x14ac:dyDescent="0.25">
      <c r="B2271" s="1"/>
    </row>
    <row r="2272" spans="2:2" x14ac:dyDescent="0.25">
      <c r="B2272" s="1"/>
    </row>
    <row r="2273" spans="2:2" x14ac:dyDescent="0.25">
      <c r="B2273" s="1"/>
    </row>
    <row r="2274" spans="2:2" x14ac:dyDescent="0.25">
      <c r="B2274" s="1"/>
    </row>
    <row r="2275" spans="2:2" x14ac:dyDescent="0.25">
      <c r="B2275" s="1"/>
    </row>
    <row r="2276" spans="2:2" x14ac:dyDescent="0.25">
      <c r="B2276" s="1"/>
    </row>
    <row r="2277" spans="2:2" x14ac:dyDescent="0.25">
      <c r="B2277" s="1"/>
    </row>
    <row r="2278" spans="2:2" x14ac:dyDescent="0.25">
      <c r="B2278" s="1"/>
    </row>
    <row r="2279" spans="2:2" x14ac:dyDescent="0.25">
      <c r="B2279" s="1"/>
    </row>
    <row r="2280" spans="2:2" x14ac:dyDescent="0.25">
      <c r="B2280" s="1"/>
    </row>
    <row r="2281" spans="2:2" x14ac:dyDescent="0.25">
      <c r="B2281" s="1"/>
    </row>
    <row r="2282" spans="2:2" x14ac:dyDescent="0.25">
      <c r="B2282" s="1"/>
    </row>
    <row r="2283" spans="2:2" x14ac:dyDescent="0.25">
      <c r="B2283" s="1"/>
    </row>
    <row r="2284" spans="2:2" x14ac:dyDescent="0.25">
      <c r="B2284" s="1"/>
    </row>
    <row r="2285" spans="2:2" x14ac:dyDescent="0.25">
      <c r="B2285" s="1"/>
    </row>
    <row r="2286" spans="2:2" x14ac:dyDescent="0.25">
      <c r="B2286" s="1"/>
    </row>
    <row r="2287" spans="2:2" x14ac:dyDescent="0.25">
      <c r="B2287" s="1"/>
    </row>
    <row r="2288" spans="2:2" x14ac:dyDescent="0.25">
      <c r="B2288" s="1"/>
    </row>
    <row r="2289" spans="2:2" x14ac:dyDescent="0.25">
      <c r="B2289" s="1"/>
    </row>
    <row r="2290" spans="2:2" x14ac:dyDescent="0.25">
      <c r="B2290" s="1"/>
    </row>
    <row r="2291" spans="2:2" x14ac:dyDescent="0.25">
      <c r="B2291" s="1"/>
    </row>
    <row r="2292" spans="2:2" x14ac:dyDescent="0.25">
      <c r="B2292" s="1"/>
    </row>
    <row r="2293" spans="2:2" x14ac:dyDescent="0.25">
      <c r="B2293" s="1"/>
    </row>
    <row r="2294" spans="2:2" x14ac:dyDescent="0.25">
      <c r="B2294" s="1"/>
    </row>
    <row r="2295" spans="2:2" x14ac:dyDescent="0.25">
      <c r="B2295" s="1"/>
    </row>
    <row r="2296" spans="2:2" x14ac:dyDescent="0.25">
      <c r="B2296" s="1"/>
    </row>
    <row r="2297" spans="2:2" x14ac:dyDescent="0.25">
      <c r="B2297" s="1"/>
    </row>
    <row r="2298" spans="2:2" x14ac:dyDescent="0.25">
      <c r="B2298" s="1"/>
    </row>
    <row r="2299" spans="2:2" x14ac:dyDescent="0.25">
      <c r="B2299" s="1"/>
    </row>
    <row r="2300" spans="2:2" x14ac:dyDescent="0.25">
      <c r="B2300" s="1"/>
    </row>
    <row r="2301" spans="2:2" x14ac:dyDescent="0.25">
      <c r="B2301" s="1"/>
    </row>
    <row r="2302" spans="2:2" x14ac:dyDescent="0.25">
      <c r="B2302" s="1"/>
    </row>
    <row r="2303" spans="2:2" x14ac:dyDescent="0.25">
      <c r="B2303" s="1"/>
    </row>
    <row r="2304" spans="2:2" x14ac:dyDescent="0.25">
      <c r="B2304" s="1"/>
    </row>
    <row r="2305" spans="2:2" x14ac:dyDescent="0.25">
      <c r="B2305" s="1"/>
    </row>
    <row r="2306" spans="2:2" x14ac:dyDescent="0.25">
      <c r="B2306" s="1"/>
    </row>
    <row r="2307" spans="2:2" x14ac:dyDescent="0.25">
      <c r="B2307" s="1"/>
    </row>
    <row r="2308" spans="2:2" x14ac:dyDescent="0.25">
      <c r="B2308" s="1"/>
    </row>
    <row r="2309" spans="2:2" x14ac:dyDescent="0.25">
      <c r="B2309" s="1"/>
    </row>
    <row r="2310" spans="2:2" x14ac:dyDescent="0.25">
      <c r="B2310" s="1"/>
    </row>
    <row r="2311" spans="2:2" x14ac:dyDescent="0.25">
      <c r="B2311" s="1"/>
    </row>
    <row r="2312" spans="2:2" x14ac:dyDescent="0.25">
      <c r="B2312" s="1"/>
    </row>
    <row r="2313" spans="2:2" x14ac:dyDescent="0.25">
      <c r="B2313" s="1"/>
    </row>
    <row r="2314" spans="2:2" x14ac:dyDescent="0.25">
      <c r="B2314" s="1"/>
    </row>
    <row r="2315" spans="2:2" x14ac:dyDescent="0.25">
      <c r="B2315" s="1"/>
    </row>
    <row r="2316" spans="2:2" x14ac:dyDescent="0.25">
      <c r="B2316" s="1"/>
    </row>
    <row r="2317" spans="2:2" x14ac:dyDescent="0.25">
      <c r="B2317" s="1"/>
    </row>
    <row r="2318" spans="2:2" x14ac:dyDescent="0.25">
      <c r="B2318" s="1"/>
    </row>
    <row r="2319" spans="2:2" x14ac:dyDescent="0.25">
      <c r="B2319" s="1"/>
    </row>
    <row r="2320" spans="2:2" x14ac:dyDescent="0.25">
      <c r="B2320" s="1"/>
    </row>
    <row r="2321" spans="2:2" x14ac:dyDescent="0.25">
      <c r="B2321" s="1"/>
    </row>
    <row r="2322" spans="2:2" x14ac:dyDescent="0.25">
      <c r="B2322" s="1"/>
    </row>
    <row r="2323" spans="2:2" x14ac:dyDescent="0.25">
      <c r="B2323" s="1"/>
    </row>
    <row r="2324" spans="2:2" x14ac:dyDescent="0.25">
      <c r="B2324" s="1"/>
    </row>
    <row r="2325" spans="2:2" x14ac:dyDescent="0.25">
      <c r="B2325" s="1"/>
    </row>
    <row r="2326" spans="2:2" x14ac:dyDescent="0.25">
      <c r="B2326" s="1"/>
    </row>
    <row r="2327" spans="2:2" x14ac:dyDescent="0.25">
      <c r="B2327" s="1"/>
    </row>
    <row r="2328" spans="2:2" x14ac:dyDescent="0.25">
      <c r="B2328" s="1"/>
    </row>
    <row r="2329" spans="2:2" x14ac:dyDescent="0.25">
      <c r="B2329" s="1"/>
    </row>
    <row r="2330" spans="2:2" x14ac:dyDescent="0.25">
      <c r="B2330" s="1"/>
    </row>
    <row r="2331" spans="2:2" x14ac:dyDescent="0.25">
      <c r="B2331" s="1"/>
    </row>
    <row r="2332" spans="2:2" x14ac:dyDescent="0.25">
      <c r="B2332" s="1"/>
    </row>
    <row r="2333" spans="2:2" x14ac:dyDescent="0.25">
      <c r="B2333" s="1"/>
    </row>
    <row r="2334" spans="2:2" x14ac:dyDescent="0.25">
      <c r="B2334" s="1"/>
    </row>
    <row r="2335" spans="2:2" x14ac:dyDescent="0.25">
      <c r="B2335" s="1"/>
    </row>
    <row r="2336" spans="2:2" x14ac:dyDescent="0.25">
      <c r="B2336" s="1"/>
    </row>
    <row r="2337" spans="2:2" x14ac:dyDescent="0.25">
      <c r="B2337" s="1"/>
    </row>
    <row r="2338" spans="2:2" x14ac:dyDescent="0.25">
      <c r="B2338" s="1"/>
    </row>
    <row r="2339" spans="2:2" x14ac:dyDescent="0.25">
      <c r="B2339" s="1"/>
    </row>
    <row r="2340" spans="2:2" x14ac:dyDescent="0.25">
      <c r="B2340" s="1"/>
    </row>
    <row r="2341" spans="2:2" x14ac:dyDescent="0.25">
      <c r="B2341" s="1"/>
    </row>
    <row r="2342" spans="2:2" x14ac:dyDescent="0.25">
      <c r="B2342" s="1"/>
    </row>
    <row r="2343" spans="2:2" x14ac:dyDescent="0.25">
      <c r="B2343" s="1"/>
    </row>
    <row r="2344" spans="2:2" x14ac:dyDescent="0.25">
      <c r="B2344" s="1"/>
    </row>
    <row r="2345" spans="2:2" x14ac:dyDescent="0.25">
      <c r="B2345" s="1"/>
    </row>
    <row r="2346" spans="2:2" x14ac:dyDescent="0.25">
      <c r="B2346" s="1"/>
    </row>
    <row r="2347" spans="2:2" x14ac:dyDescent="0.25">
      <c r="B2347" s="1"/>
    </row>
    <row r="2348" spans="2:2" x14ac:dyDescent="0.25">
      <c r="B2348" s="1"/>
    </row>
    <row r="2349" spans="2:2" x14ac:dyDescent="0.25">
      <c r="B2349" s="1"/>
    </row>
    <row r="2350" spans="2:2" x14ac:dyDescent="0.25">
      <c r="B2350" s="1"/>
    </row>
    <row r="2351" spans="2:2" x14ac:dyDescent="0.25">
      <c r="B2351" s="1"/>
    </row>
    <row r="2352" spans="2:2" x14ac:dyDescent="0.25">
      <c r="B2352" s="1"/>
    </row>
    <row r="2353" spans="2:2" x14ac:dyDescent="0.25">
      <c r="B2353" s="1"/>
    </row>
    <row r="2354" spans="2:2" x14ac:dyDescent="0.25">
      <c r="B2354" s="1"/>
    </row>
    <row r="2355" spans="2:2" x14ac:dyDescent="0.25">
      <c r="B2355" s="1"/>
    </row>
    <row r="2356" spans="2:2" x14ac:dyDescent="0.25">
      <c r="B2356" s="1"/>
    </row>
    <row r="2357" spans="2:2" x14ac:dyDescent="0.25">
      <c r="B2357" s="1"/>
    </row>
    <row r="2358" spans="2:2" x14ac:dyDescent="0.25">
      <c r="B2358" s="1"/>
    </row>
    <row r="2359" spans="2:2" x14ac:dyDescent="0.25">
      <c r="B2359" s="1"/>
    </row>
    <row r="2360" spans="2:2" x14ac:dyDescent="0.25">
      <c r="B2360" s="1"/>
    </row>
    <row r="2361" spans="2:2" x14ac:dyDescent="0.25">
      <c r="B2361" s="1"/>
    </row>
    <row r="2362" spans="2:2" x14ac:dyDescent="0.25">
      <c r="B2362" s="1"/>
    </row>
    <row r="2363" spans="2:2" x14ac:dyDescent="0.25">
      <c r="B2363" s="1"/>
    </row>
    <row r="2364" spans="2:2" x14ac:dyDescent="0.25">
      <c r="B2364" s="1"/>
    </row>
    <row r="2365" spans="2:2" x14ac:dyDescent="0.25">
      <c r="B2365" s="1"/>
    </row>
    <row r="2366" spans="2:2" x14ac:dyDescent="0.25">
      <c r="B2366" s="1"/>
    </row>
    <row r="2367" spans="2:2" x14ac:dyDescent="0.25">
      <c r="B2367" s="1"/>
    </row>
    <row r="2368" spans="2:2" x14ac:dyDescent="0.25">
      <c r="B2368" s="1"/>
    </row>
    <row r="2369" spans="2:2" x14ac:dyDescent="0.25">
      <c r="B2369" s="1"/>
    </row>
    <row r="2370" spans="2:2" x14ac:dyDescent="0.25">
      <c r="B2370" s="1"/>
    </row>
    <row r="2371" spans="2:2" x14ac:dyDescent="0.25">
      <c r="B2371" s="1"/>
    </row>
    <row r="2372" spans="2:2" x14ac:dyDescent="0.25">
      <c r="B2372" s="1"/>
    </row>
    <row r="2373" spans="2:2" x14ac:dyDescent="0.25">
      <c r="B2373" s="1"/>
    </row>
    <row r="2374" spans="2:2" x14ac:dyDescent="0.25">
      <c r="B2374" s="1"/>
    </row>
    <row r="2375" spans="2:2" x14ac:dyDescent="0.25">
      <c r="B2375" s="1"/>
    </row>
    <row r="2376" spans="2:2" x14ac:dyDescent="0.25">
      <c r="B2376" s="1"/>
    </row>
    <row r="2377" spans="2:2" x14ac:dyDescent="0.25">
      <c r="B2377" s="1"/>
    </row>
    <row r="2378" spans="2:2" x14ac:dyDescent="0.25">
      <c r="B2378" s="1"/>
    </row>
    <row r="2379" spans="2:2" x14ac:dyDescent="0.25">
      <c r="B2379" s="1"/>
    </row>
    <row r="2380" spans="2:2" x14ac:dyDescent="0.25">
      <c r="B2380" s="1"/>
    </row>
    <row r="2381" spans="2:2" x14ac:dyDescent="0.25">
      <c r="B2381" s="1"/>
    </row>
    <row r="2382" spans="2:2" x14ac:dyDescent="0.25">
      <c r="B2382" s="1"/>
    </row>
    <row r="2383" spans="2:2" x14ac:dyDescent="0.25">
      <c r="B2383" s="1"/>
    </row>
    <row r="2384" spans="2:2" x14ac:dyDescent="0.25">
      <c r="B2384" s="1"/>
    </row>
    <row r="2385" spans="2:2" x14ac:dyDescent="0.25">
      <c r="B2385" s="1"/>
    </row>
    <row r="2386" spans="2:2" x14ac:dyDescent="0.25">
      <c r="B2386" s="1"/>
    </row>
    <row r="2387" spans="2:2" x14ac:dyDescent="0.25">
      <c r="B2387" s="1"/>
    </row>
    <row r="2388" spans="2:2" x14ac:dyDescent="0.25">
      <c r="B2388" s="1"/>
    </row>
    <row r="2389" spans="2:2" x14ac:dyDescent="0.25">
      <c r="B2389" s="1"/>
    </row>
    <row r="2390" spans="2:2" x14ac:dyDescent="0.25">
      <c r="B2390" s="1"/>
    </row>
    <row r="2391" spans="2:2" x14ac:dyDescent="0.25">
      <c r="B2391" s="1"/>
    </row>
    <row r="2392" spans="2:2" x14ac:dyDescent="0.25">
      <c r="B2392" s="1"/>
    </row>
    <row r="2393" spans="2:2" x14ac:dyDescent="0.25">
      <c r="B2393" s="1"/>
    </row>
    <row r="2394" spans="2:2" x14ac:dyDescent="0.25">
      <c r="B2394" s="1"/>
    </row>
    <row r="2395" spans="2:2" x14ac:dyDescent="0.25">
      <c r="B2395" s="1"/>
    </row>
    <row r="2396" spans="2:2" x14ac:dyDescent="0.25">
      <c r="B2396" s="1"/>
    </row>
    <row r="2397" spans="2:2" x14ac:dyDescent="0.25">
      <c r="B2397" s="1"/>
    </row>
    <row r="2398" spans="2:2" x14ac:dyDescent="0.25">
      <c r="B2398" s="1"/>
    </row>
    <row r="2399" spans="2:2" x14ac:dyDescent="0.25">
      <c r="B2399" s="1"/>
    </row>
    <row r="2400" spans="2:2" x14ac:dyDescent="0.25">
      <c r="B2400" s="1"/>
    </row>
    <row r="2401" spans="2:2" x14ac:dyDescent="0.25">
      <c r="B2401" s="1"/>
    </row>
    <row r="2402" spans="2:2" x14ac:dyDescent="0.25">
      <c r="B2402" s="1"/>
    </row>
    <row r="2403" spans="2:2" x14ac:dyDescent="0.25">
      <c r="B2403" s="1"/>
    </row>
    <row r="2404" spans="2:2" x14ac:dyDescent="0.25">
      <c r="B2404" s="1"/>
    </row>
    <row r="2405" spans="2:2" x14ac:dyDescent="0.25">
      <c r="B2405" s="1"/>
    </row>
    <row r="2406" spans="2:2" x14ac:dyDescent="0.25">
      <c r="B2406" s="1"/>
    </row>
    <row r="2407" spans="2:2" x14ac:dyDescent="0.25">
      <c r="B2407" s="1"/>
    </row>
    <row r="2408" spans="2:2" x14ac:dyDescent="0.25">
      <c r="B2408" s="1"/>
    </row>
    <row r="2409" spans="2:2" x14ac:dyDescent="0.25">
      <c r="B2409" s="1"/>
    </row>
    <row r="2410" spans="2:2" x14ac:dyDescent="0.25">
      <c r="B2410" s="1"/>
    </row>
    <row r="2411" spans="2:2" x14ac:dyDescent="0.25">
      <c r="B2411" s="1"/>
    </row>
    <row r="2412" spans="2:2" x14ac:dyDescent="0.25">
      <c r="B2412" s="1"/>
    </row>
    <row r="2413" spans="2:2" x14ac:dyDescent="0.25">
      <c r="B2413" s="1"/>
    </row>
    <row r="2414" spans="2:2" x14ac:dyDescent="0.25">
      <c r="B2414" s="1"/>
    </row>
    <row r="2415" spans="2:2" x14ac:dyDescent="0.25">
      <c r="B2415" s="1"/>
    </row>
    <row r="2416" spans="2:2" x14ac:dyDescent="0.25">
      <c r="B2416" s="1"/>
    </row>
    <row r="2417" spans="2:2" x14ac:dyDescent="0.25">
      <c r="B2417" s="1"/>
    </row>
    <row r="2418" spans="2:2" x14ac:dyDescent="0.25">
      <c r="B2418" s="1"/>
    </row>
    <row r="2419" spans="2:2" x14ac:dyDescent="0.25">
      <c r="B2419" s="1"/>
    </row>
    <row r="2420" spans="2:2" x14ac:dyDescent="0.25">
      <c r="B2420" s="1"/>
    </row>
    <row r="2421" spans="2:2" x14ac:dyDescent="0.25">
      <c r="B2421" s="1"/>
    </row>
    <row r="2422" spans="2:2" x14ac:dyDescent="0.25">
      <c r="B2422" s="1"/>
    </row>
    <row r="2423" spans="2:2" x14ac:dyDescent="0.25">
      <c r="B2423" s="1"/>
    </row>
    <row r="2424" spans="2:2" x14ac:dyDescent="0.25">
      <c r="B2424" s="1"/>
    </row>
    <row r="2425" spans="2:2" x14ac:dyDescent="0.25">
      <c r="B2425" s="1"/>
    </row>
    <row r="2426" spans="2:2" x14ac:dyDescent="0.25">
      <c r="B2426" s="1"/>
    </row>
    <row r="2427" spans="2:2" x14ac:dyDescent="0.25">
      <c r="B2427" s="1"/>
    </row>
    <row r="2428" spans="2:2" x14ac:dyDescent="0.25">
      <c r="B2428" s="1"/>
    </row>
    <row r="2429" spans="2:2" x14ac:dyDescent="0.25">
      <c r="B2429" s="1"/>
    </row>
    <row r="2430" spans="2:2" x14ac:dyDescent="0.25">
      <c r="B2430" s="1"/>
    </row>
    <row r="2431" spans="2:2" x14ac:dyDescent="0.25">
      <c r="B2431" s="1"/>
    </row>
    <row r="2432" spans="2:2" x14ac:dyDescent="0.25">
      <c r="B2432" s="1"/>
    </row>
    <row r="2433" spans="2:2" x14ac:dyDescent="0.25">
      <c r="B2433" s="1"/>
    </row>
    <row r="2434" spans="2:2" x14ac:dyDescent="0.25">
      <c r="B2434" s="1"/>
    </row>
    <row r="2435" spans="2:2" x14ac:dyDescent="0.25">
      <c r="B2435" s="1"/>
    </row>
    <row r="2436" spans="2:2" x14ac:dyDescent="0.25">
      <c r="B2436" s="1"/>
    </row>
    <row r="2437" spans="2:2" x14ac:dyDescent="0.25">
      <c r="B2437" s="1"/>
    </row>
    <row r="2438" spans="2:2" x14ac:dyDescent="0.25">
      <c r="B2438" s="1"/>
    </row>
    <row r="2439" spans="2:2" x14ac:dyDescent="0.25">
      <c r="B2439" s="1"/>
    </row>
    <row r="2440" spans="2:2" x14ac:dyDescent="0.25">
      <c r="B2440" s="1"/>
    </row>
    <row r="2441" spans="2:2" x14ac:dyDescent="0.25">
      <c r="B2441" s="1"/>
    </row>
    <row r="2442" spans="2:2" x14ac:dyDescent="0.25">
      <c r="B2442" s="1"/>
    </row>
    <row r="2443" spans="2:2" x14ac:dyDescent="0.25">
      <c r="B2443" s="1"/>
    </row>
    <row r="2444" spans="2:2" x14ac:dyDescent="0.25">
      <c r="B2444" s="1"/>
    </row>
    <row r="2445" spans="2:2" x14ac:dyDescent="0.25">
      <c r="B2445" s="1"/>
    </row>
    <row r="2446" spans="2:2" x14ac:dyDescent="0.25">
      <c r="B2446" s="1"/>
    </row>
    <row r="2447" spans="2:2" x14ac:dyDescent="0.25">
      <c r="B2447" s="1"/>
    </row>
    <row r="2448" spans="2:2" x14ac:dyDescent="0.25">
      <c r="B2448" s="1"/>
    </row>
    <row r="2449" spans="2:2" x14ac:dyDescent="0.25">
      <c r="B2449" s="1"/>
    </row>
    <row r="2450" spans="2:2" x14ac:dyDescent="0.25">
      <c r="B2450" s="1"/>
    </row>
    <row r="2451" spans="2:2" x14ac:dyDescent="0.25">
      <c r="B2451" s="1"/>
    </row>
    <row r="2452" spans="2:2" x14ac:dyDescent="0.25">
      <c r="B2452" s="1"/>
    </row>
    <row r="2453" spans="2:2" x14ac:dyDescent="0.25">
      <c r="B2453" s="1"/>
    </row>
    <row r="2454" spans="2:2" x14ac:dyDescent="0.25">
      <c r="B2454" s="1"/>
    </row>
    <row r="2455" spans="2:2" x14ac:dyDescent="0.25">
      <c r="B2455" s="1"/>
    </row>
    <row r="2456" spans="2:2" x14ac:dyDescent="0.25">
      <c r="B2456" s="1"/>
    </row>
    <row r="2457" spans="2:2" x14ac:dyDescent="0.25">
      <c r="B2457" s="1"/>
    </row>
    <row r="2458" spans="2:2" x14ac:dyDescent="0.25">
      <c r="B2458" s="1"/>
    </row>
    <row r="2459" spans="2:2" x14ac:dyDescent="0.25">
      <c r="B2459" s="1"/>
    </row>
    <row r="2460" spans="2:2" x14ac:dyDescent="0.25">
      <c r="B2460" s="1"/>
    </row>
    <row r="2461" spans="2:2" x14ac:dyDescent="0.25">
      <c r="B2461" s="1"/>
    </row>
    <row r="2462" spans="2:2" x14ac:dyDescent="0.25">
      <c r="B2462" s="1"/>
    </row>
    <row r="2463" spans="2:2" x14ac:dyDescent="0.25">
      <c r="B2463" s="1"/>
    </row>
    <row r="2464" spans="2:2" x14ac:dyDescent="0.25">
      <c r="B2464" s="1"/>
    </row>
    <row r="2465" spans="2:2" x14ac:dyDescent="0.25">
      <c r="B2465" s="1"/>
    </row>
    <row r="2466" spans="2:2" x14ac:dyDescent="0.25">
      <c r="B2466" s="1"/>
    </row>
    <row r="2467" spans="2:2" x14ac:dyDescent="0.25">
      <c r="B2467" s="1"/>
    </row>
    <row r="2468" spans="2:2" x14ac:dyDescent="0.25">
      <c r="B2468" s="1"/>
    </row>
    <row r="2469" spans="2:2" x14ac:dyDescent="0.25">
      <c r="B2469" s="1"/>
    </row>
    <row r="2470" spans="2:2" x14ac:dyDescent="0.25">
      <c r="B2470" s="1"/>
    </row>
    <row r="2471" spans="2:2" x14ac:dyDescent="0.25">
      <c r="B2471" s="1"/>
    </row>
    <row r="2472" spans="2:2" x14ac:dyDescent="0.25">
      <c r="B2472" s="1"/>
    </row>
    <row r="2473" spans="2:2" x14ac:dyDescent="0.25">
      <c r="B2473" s="1"/>
    </row>
    <row r="2474" spans="2:2" x14ac:dyDescent="0.25">
      <c r="B2474" s="1"/>
    </row>
    <row r="2475" spans="2:2" x14ac:dyDescent="0.25">
      <c r="B2475" s="1"/>
    </row>
    <row r="2476" spans="2:2" x14ac:dyDescent="0.25">
      <c r="B2476" s="1"/>
    </row>
    <row r="2477" spans="2:2" x14ac:dyDescent="0.25">
      <c r="B2477" s="1"/>
    </row>
    <row r="2478" spans="2:2" x14ac:dyDescent="0.25">
      <c r="B2478" s="1"/>
    </row>
    <row r="2479" spans="2:2" x14ac:dyDescent="0.25">
      <c r="B2479" s="1"/>
    </row>
    <row r="2480" spans="2:2" x14ac:dyDescent="0.25">
      <c r="B2480" s="1"/>
    </row>
    <row r="2481" spans="2:2" x14ac:dyDescent="0.25">
      <c r="B2481" s="1"/>
    </row>
    <row r="2482" spans="2:2" x14ac:dyDescent="0.25">
      <c r="B2482" s="1"/>
    </row>
    <row r="2483" spans="2:2" x14ac:dyDescent="0.25">
      <c r="B2483" s="1"/>
    </row>
    <row r="2484" spans="2:2" x14ac:dyDescent="0.25">
      <c r="B2484" s="1"/>
    </row>
    <row r="2485" spans="2:2" x14ac:dyDescent="0.25">
      <c r="B2485" s="1"/>
    </row>
    <row r="2486" spans="2:2" x14ac:dyDescent="0.25">
      <c r="B2486" s="1"/>
    </row>
    <row r="2487" spans="2:2" x14ac:dyDescent="0.25">
      <c r="B2487" s="1"/>
    </row>
    <row r="2488" spans="2:2" x14ac:dyDescent="0.25">
      <c r="B2488" s="1"/>
    </row>
    <row r="2489" spans="2:2" x14ac:dyDescent="0.25">
      <c r="B2489" s="1"/>
    </row>
    <row r="2490" spans="2:2" x14ac:dyDescent="0.25">
      <c r="B2490" s="1"/>
    </row>
    <row r="2491" spans="2:2" x14ac:dyDescent="0.25">
      <c r="B2491" s="1"/>
    </row>
    <row r="2492" spans="2:2" x14ac:dyDescent="0.25">
      <c r="B2492" s="1"/>
    </row>
    <row r="2493" spans="2:2" x14ac:dyDescent="0.25">
      <c r="B2493" s="1"/>
    </row>
    <row r="2494" spans="2:2" x14ac:dyDescent="0.25">
      <c r="B2494" s="1"/>
    </row>
    <row r="2495" spans="2:2" x14ac:dyDescent="0.25">
      <c r="B2495" s="1"/>
    </row>
    <row r="2496" spans="2:2" x14ac:dyDescent="0.25">
      <c r="B2496" s="1"/>
    </row>
    <row r="2497" spans="2:2" x14ac:dyDescent="0.25">
      <c r="B2497" s="1"/>
    </row>
    <row r="2498" spans="2:2" x14ac:dyDescent="0.25">
      <c r="B2498" s="1"/>
    </row>
    <row r="2499" spans="2:2" x14ac:dyDescent="0.25">
      <c r="B2499" s="1"/>
    </row>
    <row r="2500" spans="2:2" x14ac:dyDescent="0.25">
      <c r="B2500" s="1"/>
    </row>
    <row r="2501" spans="2:2" x14ac:dyDescent="0.25">
      <c r="B2501" s="1"/>
    </row>
    <row r="2502" spans="2:2" x14ac:dyDescent="0.25">
      <c r="B2502" s="1"/>
    </row>
    <row r="2503" spans="2:2" x14ac:dyDescent="0.25">
      <c r="B2503" s="1"/>
    </row>
    <row r="2504" spans="2:2" x14ac:dyDescent="0.25">
      <c r="B2504" s="1"/>
    </row>
    <row r="2505" spans="2:2" x14ac:dyDescent="0.25">
      <c r="B2505" s="1"/>
    </row>
    <row r="2506" spans="2:2" x14ac:dyDescent="0.25">
      <c r="B2506" s="1"/>
    </row>
    <row r="2507" spans="2:2" x14ac:dyDescent="0.25">
      <c r="B2507" s="1"/>
    </row>
    <row r="2508" spans="2:2" x14ac:dyDescent="0.25">
      <c r="B2508" s="1"/>
    </row>
    <row r="2509" spans="2:2" x14ac:dyDescent="0.25">
      <c r="B2509" s="1"/>
    </row>
    <row r="2510" spans="2:2" x14ac:dyDescent="0.25">
      <c r="B2510" s="1"/>
    </row>
    <row r="2511" spans="2:2" x14ac:dyDescent="0.25">
      <c r="B2511" s="1"/>
    </row>
    <row r="2512" spans="2:2" x14ac:dyDescent="0.25">
      <c r="B2512" s="1"/>
    </row>
    <row r="2513" spans="2:2" x14ac:dyDescent="0.25">
      <c r="B2513" s="1"/>
    </row>
    <row r="2514" spans="2:2" x14ac:dyDescent="0.25">
      <c r="B2514" s="1"/>
    </row>
    <row r="2515" spans="2:2" x14ac:dyDescent="0.25">
      <c r="B2515" s="1"/>
    </row>
    <row r="2516" spans="2:2" x14ac:dyDescent="0.25">
      <c r="B2516" s="1"/>
    </row>
    <row r="2517" spans="2:2" x14ac:dyDescent="0.25">
      <c r="B2517" s="1"/>
    </row>
    <row r="2518" spans="2:2" x14ac:dyDescent="0.25">
      <c r="B2518" s="1"/>
    </row>
    <row r="2519" spans="2:2" x14ac:dyDescent="0.25">
      <c r="B2519" s="1"/>
    </row>
    <row r="2520" spans="2:2" x14ac:dyDescent="0.25">
      <c r="B2520" s="1"/>
    </row>
    <row r="2521" spans="2:2" x14ac:dyDescent="0.25">
      <c r="B2521" s="1"/>
    </row>
    <row r="2522" spans="2:2" x14ac:dyDescent="0.25">
      <c r="B2522" s="1"/>
    </row>
    <row r="2523" spans="2:2" x14ac:dyDescent="0.25">
      <c r="B2523" s="1"/>
    </row>
    <row r="2524" spans="2:2" x14ac:dyDescent="0.25">
      <c r="B2524" s="1"/>
    </row>
    <row r="2525" spans="2:2" x14ac:dyDescent="0.25">
      <c r="B2525" s="1"/>
    </row>
    <row r="2526" spans="2:2" x14ac:dyDescent="0.25">
      <c r="B2526" s="1"/>
    </row>
    <row r="2527" spans="2:2" x14ac:dyDescent="0.25">
      <c r="B2527" s="1"/>
    </row>
    <row r="2528" spans="2:2" x14ac:dyDescent="0.25">
      <c r="B2528" s="1"/>
    </row>
    <row r="2529" spans="2:2" x14ac:dyDescent="0.25">
      <c r="B2529" s="1"/>
    </row>
    <row r="2530" spans="2:2" x14ac:dyDescent="0.25">
      <c r="B2530" s="1"/>
    </row>
    <row r="2531" spans="2:2" x14ac:dyDescent="0.25">
      <c r="B2531" s="1"/>
    </row>
    <row r="2532" spans="2:2" x14ac:dyDescent="0.25">
      <c r="B2532" s="1"/>
    </row>
    <row r="2533" spans="2:2" x14ac:dyDescent="0.25">
      <c r="B2533" s="1"/>
    </row>
    <row r="2534" spans="2:2" x14ac:dyDescent="0.25">
      <c r="B2534" s="1"/>
    </row>
    <row r="2535" spans="2:2" x14ac:dyDescent="0.25">
      <c r="B2535" s="1"/>
    </row>
    <row r="2536" spans="2:2" x14ac:dyDescent="0.25">
      <c r="B2536" s="1"/>
    </row>
    <row r="2537" spans="2:2" x14ac:dyDescent="0.25">
      <c r="B2537" s="1"/>
    </row>
    <row r="2538" spans="2:2" x14ac:dyDescent="0.25">
      <c r="B2538" s="1"/>
    </row>
    <row r="2539" spans="2:2" x14ac:dyDescent="0.25">
      <c r="B2539" s="1"/>
    </row>
    <row r="2540" spans="2:2" x14ac:dyDescent="0.25">
      <c r="B2540" s="1"/>
    </row>
    <row r="2541" spans="2:2" x14ac:dyDescent="0.25">
      <c r="B2541" s="1"/>
    </row>
    <row r="2542" spans="2:2" x14ac:dyDescent="0.25">
      <c r="B2542" s="1"/>
    </row>
    <row r="2543" spans="2:2" x14ac:dyDescent="0.25">
      <c r="B2543" s="1"/>
    </row>
    <row r="2544" spans="2:2" x14ac:dyDescent="0.25">
      <c r="B2544" s="1"/>
    </row>
    <row r="2545" spans="2:2" x14ac:dyDescent="0.25">
      <c r="B2545" s="1"/>
    </row>
    <row r="2546" spans="2:2" x14ac:dyDescent="0.25">
      <c r="B2546" s="1"/>
    </row>
    <row r="2547" spans="2:2" x14ac:dyDescent="0.25">
      <c r="B2547" s="1"/>
    </row>
    <row r="2548" spans="2:2" x14ac:dyDescent="0.25">
      <c r="B2548" s="1"/>
    </row>
    <row r="2549" spans="2:2" x14ac:dyDescent="0.25">
      <c r="B2549" s="1"/>
    </row>
    <row r="2550" spans="2:2" x14ac:dyDescent="0.25">
      <c r="B2550" s="1"/>
    </row>
    <row r="2551" spans="2:2" x14ac:dyDescent="0.25">
      <c r="B2551" s="1"/>
    </row>
    <row r="2552" spans="2:2" x14ac:dyDescent="0.25">
      <c r="B2552" s="1"/>
    </row>
    <row r="2553" spans="2:2" x14ac:dyDescent="0.25">
      <c r="B2553" s="1"/>
    </row>
    <row r="2554" spans="2:2" x14ac:dyDescent="0.25">
      <c r="B2554" s="1"/>
    </row>
    <row r="2555" spans="2:2" x14ac:dyDescent="0.25">
      <c r="B2555" s="1"/>
    </row>
    <row r="2556" spans="2:2" x14ac:dyDescent="0.25">
      <c r="B2556" s="1"/>
    </row>
    <row r="2557" spans="2:2" x14ac:dyDescent="0.25">
      <c r="B2557" s="1"/>
    </row>
    <row r="2558" spans="2:2" x14ac:dyDescent="0.25">
      <c r="B2558" s="1"/>
    </row>
    <row r="2559" spans="2:2" x14ac:dyDescent="0.25">
      <c r="B2559" s="1"/>
    </row>
    <row r="2560" spans="2:2" x14ac:dyDescent="0.25">
      <c r="B2560" s="1"/>
    </row>
    <row r="2561" spans="2:2" x14ac:dyDescent="0.25">
      <c r="B2561" s="1"/>
    </row>
    <row r="2562" spans="2:2" x14ac:dyDescent="0.25">
      <c r="B2562" s="1"/>
    </row>
    <row r="2563" spans="2:2" x14ac:dyDescent="0.25">
      <c r="B2563" s="1"/>
    </row>
    <row r="2564" spans="2:2" x14ac:dyDescent="0.25">
      <c r="B2564" s="1"/>
    </row>
    <row r="2565" spans="2:2" x14ac:dyDescent="0.25">
      <c r="B2565" s="1"/>
    </row>
    <row r="2566" spans="2:2" x14ac:dyDescent="0.25">
      <c r="B2566" s="1"/>
    </row>
    <row r="2567" spans="2:2" x14ac:dyDescent="0.25">
      <c r="B2567" s="1"/>
    </row>
    <row r="2568" spans="2:2" x14ac:dyDescent="0.25">
      <c r="B2568" s="1"/>
    </row>
    <row r="2569" spans="2:2" x14ac:dyDescent="0.25">
      <c r="B2569" s="1"/>
    </row>
    <row r="2570" spans="2:2" x14ac:dyDescent="0.25">
      <c r="B2570" s="1"/>
    </row>
    <row r="2571" spans="2:2" x14ac:dyDescent="0.25">
      <c r="B2571" s="1"/>
    </row>
    <row r="2572" spans="2:2" x14ac:dyDescent="0.25">
      <c r="B2572" s="1"/>
    </row>
    <row r="2573" spans="2:2" x14ac:dyDescent="0.25">
      <c r="B2573" s="1"/>
    </row>
    <row r="2574" spans="2:2" x14ac:dyDescent="0.25">
      <c r="B2574" s="1"/>
    </row>
    <row r="2575" spans="2:2" x14ac:dyDescent="0.25">
      <c r="B2575" s="1"/>
    </row>
    <row r="2576" spans="2:2" x14ac:dyDescent="0.25">
      <c r="B2576" s="1"/>
    </row>
    <row r="2577" spans="2:2" x14ac:dyDescent="0.25">
      <c r="B2577" s="1"/>
    </row>
    <row r="2578" spans="2:2" x14ac:dyDescent="0.25">
      <c r="B2578" s="1"/>
    </row>
    <row r="2579" spans="2:2" x14ac:dyDescent="0.25">
      <c r="B2579" s="1"/>
    </row>
    <row r="2580" spans="2:2" x14ac:dyDescent="0.25">
      <c r="B2580" s="1"/>
    </row>
    <row r="2581" spans="2:2" x14ac:dyDescent="0.25">
      <c r="B2581" s="1"/>
    </row>
    <row r="2582" spans="2:2" x14ac:dyDescent="0.25">
      <c r="B2582" s="1"/>
    </row>
    <row r="2583" spans="2:2" x14ac:dyDescent="0.25">
      <c r="B2583" s="1"/>
    </row>
    <row r="2584" spans="2:2" x14ac:dyDescent="0.25">
      <c r="B2584" s="1"/>
    </row>
    <row r="2585" spans="2:2" x14ac:dyDescent="0.25">
      <c r="B2585" s="1"/>
    </row>
    <row r="2586" spans="2:2" x14ac:dyDescent="0.25">
      <c r="B2586" s="1"/>
    </row>
    <row r="2587" spans="2:2" x14ac:dyDescent="0.25">
      <c r="B2587" s="1"/>
    </row>
    <row r="2588" spans="2:2" x14ac:dyDescent="0.25">
      <c r="B2588" s="1"/>
    </row>
    <row r="2589" spans="2:2" x14ac:dyDescent="0.25">
      <c r="B2589" s="1"/>
    </row>
    <row r="2590" spans="2:2" x14ac:dyDescent="0.25">
      <c r="B2590" s="1"/>
    </row>
    <row r="2591" spans="2:2" x14ac:dyDescent="0.25">
      <c r="B2591" s="1"/>
    </row>
    <row r="2592" spans="2:2" x14ac:dyDescent="0.25">
      <c r="B2592" s="1"/>
    </row>
    <row r="2593" spans="2:2" x14ac:dyDescent="0.25">
      <c r="B2593" s="1"/>
    </row>
    <row r="2594" spans="2:2" x14ac:dyDescent="0.25">
      <c r="B2594" s="1"/>
    </row>
    <row r="2595" spans="2:2" x14ac:dyDescent="0.25">
      <c r="B2595" s="1"/>
    </row>
    <row r="2596" spans="2:2" x14ac:dyDescent="0.25">
      <c r="B2596" s="1"/>
    </row>
    <row r="2597" spans="2:2" x14ac:dyDescent="0.25">
      <c r="B2597" s="1"/>
    </row>
    <row r="2598" spans="2:2" x14ac:dyDescent="0.25">
      <c r="B2598" s="1"/>
    </row>
    <row r="2599" spans="2:2" x14ac:dyDescent="0.25">
      <c r="B2599" s="1"/>
    </row>
    <row r="2600" spans="2:2" x14ac:dyDescent="0.25">
      <c r="B2600" s="1"/>
    </row>
    <row r="2601" spans="2:2" x14ac:dyDescent="0.25">
      <c r="B2601" s="1"/>
    </row>
    <row r="2602" spans="2:2" x14ac:dyDescent="0.25">
      <c r="B2602" s="1"/>
    </row>
    <row r="2603" spans="2:2" x14ac:dyDescent="0.25">
      <c r="B2603" s="1"/>
    </row>
    <row r="2604" spans="2:2" x14ac:dyDescent="0.25">
      <c r="B2604" s="1"/>
    </row>
    <row r="2605" spans="2:2" x14ac:dyDescent="0.25">
      <c r="B2605" s="1"/>
    </row>
    <row r="2606" spans="2:2" x14ac:dyDescent="0.25">
      <c r="B2606" s="1"/>
    </row>
    <row r="2607" spans="2:2" x14ac:dyDescent="0.25">
      <c r="B2607" s="1"/>
    </row>
    <row r="2608" spans="2:2" x14ac:dyDescent="0.25">
      <c r="B2608" s="1"/>
    </row>
    <row r="2609" spans="2:2" x14ac:dyDescent="0.25">
      <c r="B2609" s="1"/>
    </row>
    <row r="2610" spans="2:2" x14ac:dyDescent="0.25">
      <c r="B2610" s="1"/>
    </row>
    <row r="2611" spans="2:2" x14ac:dyDescent="0.25">
      <c r="B2611" s="1"/>
    </row>
    <row r="2612" spans="2:2" x14ac:dyDescent="0.25">
      <c r="B2612" s="1"/>
    </row>
    <row r="2613" spans="2:2" x14ac:dyDescent="0.25">
      <c r="B2613" s="1"/>
    </row>
    <row r="2614" spans="2:2" x14ac:dyDescent="0.25">
      <c r="B2614" s="1"/>
    </row>
    <row r="2615" spans="2:2" x14ac:dyDescent="0.25">
      <c r="B2615" s="1"/>
    </row>
    <row r="2616" spans="2:2" x14ac:dyDescent="0.25">
      <c r="B2616" s="1"/>
    </row>
    <row r="2617" spans="2:2" x14ac:dyDescent="0.25">
      <c r="B2617" s="1"/>
    </row>
    <row r="2618" spans="2:2" x14ac:dyDescent="0.25">
      <c r="B2618" s="1"/>
    </row>
    <row r="2619" spans="2:2" x14ac:dyDescent="0.25">
      <c r="B2619" s="1"/>
    </row>
    <row r="2620" spans="2:2" x14ac:dyDescent="0.25">
      <c r="B2620" s="1"/>
    </row>
    <row r="2621" spans="2:2" x14ac:dyDescent="0.25">
      <c r="B2621" s="1"/>
    </row>
    <row r="2622" spans="2:2" x14ac:dyDescent="0.25">
      <c r="B2622" s="1"/>
    </row>
    <row r="2623" spans="2:2" x14ac:dyDescent="0.25">
      <c r="B2623" s="1"/>
    </row>
    <row r="2624" spans="2:2" x14ac:dyDescent="0.25">
      <c r="B2624" s="1"/>
    </row>
    <row r="2625" spans="2:2" x14ac:dyDescent="0.25">
      <c r="B2625" s="1"/>
    </row>
    <row r="2626" spans="2:2" x14ac:dyDescent="0.25">
      <c r="B2626" s="1"/>
    </row>
    <row r="2627" spans="2:2" x14ac:dyDescent="0.25">
      <c r="B2627" s="1"/>
    </row>
    <row r="2628" spans="2:2" x14ac:dyDescent="0.25">
      <c r="B2628" s="1"/>
    </row>
    <row r="2629" spans="2:2" x14ac:dyDescent="0.25">
      <c r="B2629" s="1"/>
    </row>
    <row r="2630" spans="2:2" x14ac:dyDescent="0.25">
      <c r="B2630" s="1"/>
    </row>
    <row r="2631" spans="2:2" x14ac:dyDescent="0.25">
      <c r="B2631" s="1"/>
    </row>
    <row r="2632" spans="2:2" x14ac:dyDescent="0.25">
      <c r="B2632" s="1"/>
    </row>
    <row r="2633" spans="2:2" x14ac:dyDescent="0.25">
      <c r="B2633" s="1"/>
    </row>
    <row r="2634" spans="2:2" x14ac:dyDescent="0.25">
      <c r="B2634" s="1"/>
    </row>
    <row r="2635" spans="2:2" x14ac:dyDescent="0.25">
      <c r="B2635" s="1"/>
    </row>
    <row r="2636" spans="2:2" x14ac:dyDescent="0.25">
      <c r="B2636" s="1"/>
    </row>
    <row r="2637" spans="2:2" x14ac:dyDescent="0.25">
      <c r="B2637" s="1"/>
    </row>
    <row r="2638" spans="2:2" x14ac:dyDescent="0.25">
      <c r="B2638" s="1"/>
    </row>
    <row r="2639" spans="2:2" x14ac:dyDescent="0.25">
      <c r="B2639" s="1"/>
    </row>
    <row r="2640" spans="2:2" x14ac:dyDescent="0.25">
      <c r="B2640" s="1"/>
    </row>
    <row r="2641" spans="2:2" x14ac:dyDescent="0.25">
      <c r="B2641" s="1"/>
    </row>
    <row r="2642" spans="2:2" x14ac:dyDescent="0.25">
      <c r="B2642" s="1"/>
    </row>
    <row r="2643" spans="2:2" x14ac:dyDescent="0.25">
      <c r="B2643" s="1"/>
    </row>
    <row r="2644" spans="2:2" x14ac:dyDescent="0.25">
      <c r="B2644" s="1"/>
    </row>
    <row r="2645" spans="2:2" x14ac:dyDescent="0.25">
      <c r="B2645" s="1"/>
    </row>
    <row r="2646" spans="2:2" x14ac:dyDescent="0.25">
      <c r="B2646" s="1"/>
    </row>
    <row r="2647" spans="2:2" x14ac:dyDescent="0.25">
      <c r="B2647" s="1"/>
    </row>
    <row r="2648" spans="2:2" x14ac:dyDescent="0.25">
      <c r="B2648" s="1"/>
    </row>
    <row r="2649" spans="2:2" x14ac:dyDescent="0.25">
      <c r="B2649" s="1"/>
    </row>
    <row r="2650" spans="2:2" x14ac:dyDescent="0.25">
      <c r="B2650" s="1"/>
    </row>
    <row r="2651" spans="2:2" x14ac:dyDescent="0.25">
      <c r="B2651" s="1"/>
    </row>
    <row r="2652" spans="2:2" x14ac:dyDescent="0.25">
      <c r="B2652" s="1"/>
    </row>
    <row r="2653" spans="2:2" x14ac:dyDescent="0.25">
      <c r="B2653" s="1"/>
    </row>
    <row r="2654" spans="2:2" x14ac:dyDescent="0.25">
      <c r="B2654" s="1"/>
    </row>
    <row r="2655" spans="2:2" x14ac:dyDescent="0.25">
      <c r="B2655" s="1"/>
    </row>
    <row r="2656" spans="2:2" x14ac:dyDescent="0.25">
      <c r="B2656" s="1"/>
    </row>
    <row r="2657" spans="2:2" x14ac:dyDescent="0.25">
      <c r="B2657" s="1"/>
    </row>
    <row r="2658" spans="2:2" x14ac:dyDescent="0.25">
      <c r="B2658" s="1"/>
    </row>
    <row r="2659" spans="2:2" x14ac:dyDescent="0.25">
      <c r="B2659" s="1"/>
    </row>
    <row r="2660" spans="2:2" x14ac:dyDescent="0.25">
      <c r="B2660" s="1"/>
    </row>
    <row r="2661" spans="2:2" x14ac:dyDescent="0.25">
      <c r="B2661" s="1"/>
    </row>
    <row r="2662" spans="2:2" x14ac:dyDescent="0.25">
      <c r="B2662" s="1"/>
    </row>
    <row r="2663" spans="2:2" x14ac:dyDescent="0.25">
      <c r="B2663" s="1"/>
    </row>
    <row r="2664" spans="2:2" x14ac:dyDescent="0.25">
      <c r="B2664" s="1"/>
    </row>
    <row r="2665" spans="2:2" x14ac:dyDescent="0.25">
      <c r="B2665" s="1"/>
    </row>
    <row r="2666" spans="2:2" x14ac:dyDescent="0.25">
      <c r="B2666" s="1"/>
    </row>
    <row r="2667" spans="2:2" x14ac:dyDescent="0.25">
      <c r="B2667" s="1"/>
    </row>
    <row r="2668" spans="2:2" x14ac:dyDescent="0.25">
      <c r="B2668" s="1"/>
    </row>
    <row r="2669" spans="2:2" x14ac:dyDescent="0.25">
      <c r="B2669" s="1"/>
    </row>
    <row r="2670" spans="2:2" x14ac:dyDescent="0.25">
      <c r="B2670" s="1"/>
    </row>
    <row r="2671" spans="2:2" x14ac:dyDescent="0.25">
      <c r="B2671" s="1"/>
    </row>
    <row r="2672" spans="2:2" x14ac:dyDescent="0.25">
      <c r="B2672" s="1"/>
    </row>
    <row r="2673" spans="2:2" x14ac:dyDescent="0.25">
      <c r="B2673" s="1"/>
    </row>
    <row r="2674" spans="2:2" x14ac:dyDescent="0.25">
      <c r="B2674" s="1"/>
    </row>
    <row r="2675" spans="2:2" x14ac:dyDescent="0.25">
      <c r="B2675" s="1"/>
    </row>
    <row r="2676" spans="2:2" x14ac:dyDescent="0.25">
      <c r="B2676" s="1"/>
    </row>
    <row r="2677" spans="2:2" x14ac:dyDescent="0.25">
      <c r="B2677" s="1"/>
    </row>
    <row r="2678" spans="2:2" x14ac:dyDescent="0.25">
      <c r="B2678" s="1"/>
    </row>
    <row r="2679" spans="2:2" x14ac:dyDescent="0.25">
      <c r="B2679" s="1"/>
    </row>
    <row r="2680" spans="2:2" x14ac:dyDescent="0.25">
      <c r="B2680" s="1"/>
    </row>
    <row r="2681" spans="2:2" x14ac:dyDescent="0.25">
      <c r="B2681" s="1"/>
    </row>
    <row r="2682" spans="2:2" x14ac:dyDescent="0.25">
      <c r="B2682" s="1"/>
    </row>
    <row r="2683" spans="2:2" x14ac:dyDescent="0.25">
      <c r="B2683" s="1"/>
    </row>
    <row r="2684" spans="2:2" x14ac:dyDescent="0.25">
      <c r="B2684" s="1"/>
    </row>
    <row r="2685" spans="2:2" x14ac:dyDescent="0.25">
      <c r="B2685" s="1"/>
    </row>
    <row r="2686" spans="2:2" x14ac:dyDescent="0.25">
      <c r="B2686" s="1"/>
    </row>
    <row r="2687" spans="2:2" x14ac:dyDescent="0.25">
      <c r="B2687" s="1"/>
    </row>
    <row r="2688" spans="2:2" x14ac:dyDescent="0.25">
      <c r="B2688" s="1"/>
    </row>
    <row r="2689" spans="2:2" x14ac:dyDescent="0.25">
      <c r="B2689" s="1"/>
    </row>
    <row r="2690" spans="2:2" x14ac:dyDescent="0.25">
      <c r="B2690" s="1"/>
    </row>
    <row r="2691" spans="2:2" x14ac:dyDescent="0.25">
      <c r="B2691" s="1"/>
    </row>
    <row r="2692" spans="2:2" x14ac:dyDescent="0.25">
      <c r="B2692" s="1"/>
    </row>
    <row r="2693" spans="2:2" x14ac:dyDescent="0.25">
      <c r="B2693" s="1"/>
    </row>
    <row r="2694" spans="2:2" x14ac:dyDescent="0.25">
      <c r="B2694" s="1"/>
    </row>
    <row r="2695" spans="2:2" x14ac:dyDescent="0.25">
      <c r="B2695" s="1"/>
    </row>
    <row r="2696" spans="2:2" x14ac:dyDescent="0.25">
      <c r="B2696" s="1"/>
    </row>
    <row r="2697" spans="2:2" x14ac:dyDescent="0.25">
      <c r="B2697" s="1"/>
    </row>
    <row r="2698" spans="2:2" x14ac:dyDescent="0.25">
      <c r="B2698" s="1"/>
    </row>
    <row r="2699" spans="2:2" x14ac:dyDescent="0.25">
      <c r="B2699" s="1"/>
    </row>
    <row r="2700" spans="2:2" x14ac:dyDescent="0.25">
      <c r="B2700" s="1"/>
    </row>
    <row r="2701" spans="2:2" x14ac:dyDescent="0.25">
      <c r="B2701" s="1"/>
    </row>
    <row r="2702" spans="2:2" x14ac:dyDescent="0.25">
      <c r="B2702" s="1"/>
    </row>
    <row r="2703" spans="2:2" x14ac:dyDescent="0.25">
      <c r="B2703" s="1"/>
    </row>
    <row r="2704" spans="2:2" x14ac:dyDescent="0.25">
      <c r="B2704" s="1"/>
    </row>
    <row r="2705" spans="2:2" x14ac:dyDescent="0.25">
      <c r="B2705" s="1"/>
    </row>
    <row r="2706" spans="2:2" x14ac:dyDescent="0.25">
      <c r="B2706" s="1"/>
    </row>
    <row r="2707" spans="2:2" x14ac:dyDescent="0.25">
      <c r="B2707" s="1"/>
    </row>
    <row r="2708" spans="2:2" x14ac:dyDescent="0.25">
      <c r="B2708" s="1"/>
    </row>
    <row r="2709" spans="2:2" x14ac:dyDescent="0.25">
      <c r="B2709" s="1"/>
    </row>
    <row r="2710" spans="2:2" x14ac:dyDescent="0.25">
      <c r="B2710" s="1"/>
    </row>
    <row r="2711" spans="2:2" x14ac:dyDescent="0.25">
      <c r="B2711" s="1"/>
    </row>
    <row r="2712" spans="2:2" x14ac:dyDescent="0.25">
      <c r="B2712" s="1"/>
    </row>
    <row r="2713" spans="2:2" x14ac:dyDescent="0.25">
      <c r="B2713" s="1"/>
    </row>
    <row r="2714" spans="2:2" x14ac:dyDescent="0.25">
      <c r="B2714" s="1"/>
    </row>
    <row r="2715" spans="2:2" x14ac:dyDescent="0.25">
      <c r="B2715" s="1"/>
    </row>
    <row r="2716" spans="2:2" x14ac:dyDescent="0.25">
      <c r="B2716" s="1"/>
    </row>
    <row r="2717" spans="2:2" x14ac:dyDescent="0.25">
      <c r="B2717" s="1"/>
    </row>
    <row r="2718" spans="2:2" x14ac:dyDescent="0.25">
      <c r="B2718" s="1"/>
    </row>
    <row r="2719" spans="2:2" x14ac:dyDescent="0.25">
      <c r="B2719" s="1"/>
    </row>
    <row r="2720" spans="2:2" x14ac:dyDescent="0.25">
      <c r="B2720" s="1"/>
    </row>
    <row r="2721" spans="2:2" x14ac:dyDescent="0.25">
      <c r="B2721" s="1"/>
    </row>
    <row r="2722" spans="2:2" x14ac:dyDescent="0.25">
      <c r="B2722" s="1"/>
    </row>
    <row r="2723" spans="2:2" x14ac:dyDescent="0.25">
      <c r="B2723" s="1"/>
    </row>
    <row r="2724" spans="2:2" x14ac:dyDescent="0.25">
      <c r="B2724" s="1"/>
    </row>
    <row r="2725" spans="2:2" x14ac:dyDescent="0.25">
      <c r="B2725" s="1"/>
    </row>
    <row r="2726" spans="2:2" x14ac:dyDescent="0.25">
      <c r="B2726" s="1"/>
    </row>
    <row r="2727" spans="2:2" x14ac:dyDescent="0.25">
      <c r="B2727" s="1"/>
    </row>
    <row r="2728" spans="2:2" x14ac:dyDescent="0.25">
      <c r="B2728" s="1"/>
    </row>
    <row r="2729" spans="2:2" x14ac:dyDescent="0.25">
      <c r="B2729" s="1"/>
    </row>
    <row r="2730" spans="2:2" x14ac:dyDescent="0.25">
      <c r="B2730" s="1"/>
    </row>
    <row r="2731" spans="2:2" x14ac:dyDescent="0.25">
      <c r="B2731" s="1"/>
    </row>
    <row r="2732" spans="2:2" x14ac:dyDescent="0.25">
      <c r="B2732" s="1"/>
    </row>
    <row r="2733" spans="2:2" x14ac:dyDescent="0.25">
      <c r="B2733" s="1"/>
    </row>
    <row r="2734" spans="2:2" x14ac:dyDescent="0.25">
      <c r="B2734" s="1"/>
    </row>
    <row r="2735" spans="2:2" x14ac:dyDescent="0.25">
      <c r="B2735" s="1"/>
    </row>
    <row r="2736" spans="2:2" x14ac:dyDescent="0.25">
      <c r="B2736" s="1"/>
    </row>
    <row r="2737" spans="2:2" x14ac:dyDescent="0.25">
      <c r="B2737" s="1"/>
    </row>
    <row r="2738" spans="2:2" x14ac:dyDescent="0.25">
      <c r="B2738" s="1"/>
    </row>
    <row r="2739" spans="2:2" x14ac:dyDescent="0.25">
      <c r="B2739" s="1"/>
    </row>
    <row r="2740" spans="2:2" x14ac:dyDescent="0.25">
      <c r="B2740" s="1"/>
    </row>
    <row r="2741" spans="2:2" x14ac:dyDescent="0.25">
      <c r="B2741" s="1"/>
    </row>
    <row r="2742" spans="2:2" x14ac:dyDescent="0.25">
      <c r="B2742" s="1"/>
    </row>
    <row r="2743" spans="2:2" x14ac:dyDescent="0.25">
      <c r="B2743" s="1"/>
    </row>
    <row r="2744" spans="2:2" x14ac:dyDescent="0.25">
      <c r="B2744" s="1"/>
    </row>
    <row r="2745" spans="2:2" x14ac:dyDescent="0.25">
      <c r="B2745" s="1"/>
    </row>
    <row r="2746" spans="2:2" x14ac:dyDescent="0.25">
      <c r="B2746" s="1"/>
    </row>
    <row r="2747" spans="2:2" x14ac:dyDescent="0.25">
      <c r="B2747" s="1"/>
    </row>
    <row r="2748" spans="2:2" x14ac:dyDescent="0.25">
      <c r="B2748" s="1"/>
    </row>
    <row r="2749" spans="2:2" x14ac:dyDescent="0.25">
      <c r="B2749" s="1"/>
    </row>
    <row r="2750" spans="2:2" x14ac:dyDescent="0.25">
      <c r="B2750" s="1"/>
    </row>
    <row r="2751" spans="2:2" x14ac:dyDescent="0.25">
      <c r="B2751" s="1"/>
    </row>
    <row r="2752" spans="2:2" x14ac:dyDescent="0.25">
      <c r="B2752" s="1"/>
    </row>
    <row r="2753" spans="2:2" x14ac:dyDescent="0.25">
      <c r="B2753" s="1"/>
    </row>
    <row r="2754" spans="2:2" x14ac:dyDescent="0.25">
      <c r="B2754" s="1"/>
    </row>
    <row r="2755" spans="2:2" x14ac:dyDescent="0.25">
      <c r="B2755" s="1"/>
    </row>
    <row r="2756" spans="2:2" x14ac:dyDescent="0.25">
      <c r="B2756" s="1"/>
    </row>
    <row r="2757" spans="2:2" x14ac:dyDescent="0.25">
      <c r="B2757" s="1"/>
    </row>
    <row r="2758" spans="2:2" x14ac:dyDescent="0.25">
      <c r="B2758" s="1"/>
    </row>
    <row r="2759" spans="2:2" x14ac:dyDescent="0.25">
      <c r="B2759" s="1"/>
    </row>
    <row r="2760" spans="2:2" x14ac:dyDescent="0.25">
      <c r="B2760" s="1"/>
    </row>
    <row r="2761" spans="2:2" x14ac:dyDescent="0.25">
      <c r="B2761" s="1"/>
    </row>
    <row r="2762" spans="2:2" x14ac:dyDescent="0.25">
      <c r="B2762" s="1"/>
    </row>
    <row r="2763" spans="2:2" x14ac:dyDescent="0.25">
      <c r="B2763" s="1"/>
    </row>
    <row r="2764" spans="2:2" x14ac:dyDescent="0.25">
      <c r="B2764" s="1"/>
    </row>
    <row r="2765" spans="2:2" x14ac:dyDescent="0.25">
      <c r="B2765" s="1"/>
    </row>
    <row r="2766" spans="2:2" x14ac:dyDescent="0.25">
      <c r="B2766" s="1"/>
    </row>
    <row r="2767" spans="2:2" x14ac:dyDescent="0.25">
      <c r="B2767" s="1"/>
    </row>
    <row r="2768" spans="2:2" x14ac:dyDescent="0.25">
      <c r="B2768" s="1"/>
    </row>
    <row r="2769" spans="2:2" x14ac:dyDescent="0.25">
      <c r="B2769" s="1"/>
    </row>
    <row r="2770" spans="2:2" x14ac:dyDescent="0.25">
      <c r="B2770" s="1"/>
    </row>
    <row r="2771" spans="2:2" x14ac:dyDescent="0.25">
      <c r="B2771" s="1"/>
    </row>
    <row r="2772" spans="2:2" x14ac:dyDescent="0.25">
      <c r="B2772" s="1"/>
    </row>
    <row r="2773" spans="2:2" x14ac:dyDescent="0.25">
      <c r="B2773" s="1"/>
    </row>
    <row r="2774" spans="2:2" x14ac:dyDescent="0.25">
      <c r="B2774" s="1"/>
    </row>
    <row r="2775" spans="2:2" x14ac:dyDescent="0.25">
      <c r="B2775" s="1"/>
    </row>
    <row r="2776" spans="2:2" x14ac:dyDescent="0.25">
      <c r="B2776" s="1"/>
    </row>
    <row r="2777" spans="2:2" x14ac:dyDescent="0.25">
      <c r="B2777" s="1"/>
    </row>
    <row r="2778" spans="2:2" x14ac:dyDescent="0.25">
      <c r="B2778" s="1"/>
    </row>
    <row r="2779" spans="2:2" x14ac:dyDescent="0.25">
      <c r="B2779" s="1"/>
    </row>
    <row r="2780" spans="2:2" x14ac:dyDescent="0.25">
      <c r="B2780" s="1"/>
    </row>
    <row r="2781" spans="2:2" x14ac:dyDescent="0.25">
      <c r="B2781" s="1"/>
    </row>
    <row r="2782" spans="2:2" x14ac:dyDescent="0.25">
      <c r="B2782" s="1"/>
    </row>
    <row r="2783" spans="2:2" x14ac:dyDescent="0.25">
      <c r="B2783" s="1"/>
    </row>
    <row r="2784" spans="2:2" x14ac:dyDescent="0.25">
      <c r="B2784" s="1"/>
    </row>
    <row r="2785" spans="2:2" x14ac:dyDescent="0.25">
      <c r="B2785" s="1"/>
    </row>
    <row r="2786" spans="2:2" x14ac:dyDescent="0.25">
      <c r="B2786" s="1"/>
    </row>
    <row r="2787" spans="2:2" x14ac:dyDescent="0.25">
      <c r="B2787" s="1"/>
    </row>
    <row r="2788" spans="2:2" x14ac:dyDescent="0.25">
      <c r="B2788" s="1"/>
    </row>
    <row r="2789" spans="2:2" x14ac:dyDescent="0.25">
      <c r="B2789" s="1"/>
    </row>
    <row r="2790" spans="2:2" x14ac:dyDescent="0.25">
      <c r="B2790" s="1"/>
    </row>
    <row r="2791" spans="2:2" x14ac:dyDescent="0.25">
      <c r="B2791" s="1"/>
    </row>
    <row r="2792" spans="2:2" x14ac:dyDescent="0.25">
      <c r="B2792" s="1"/>
    </row>
    <row r="2793" spans="2:2" x14ac:dyDescent="0.25">
      <c r="B2793" s="1"/>
    </row>
    <row r="2794" spans="2:2" x14ac:dyDescent="0.25">
      <c r="B2794" s="1"/>
    </row>
    <row r="2795" spans="2:2" x14ac:dyDescent="0.25">
      <c r="B2795" s="1"/>
    </row>
    <row r="2796" spans="2:2" x14ac:dyDescent="0.25">
      <c r="B2796" s="1"/>
    </row>
    <row r="2797" spans="2:2" x14ac:dyDescent="0.25">
      <c r="B2797" s="1"/>
    </row>
    <row r="2798" spans="2:2" x14ac:dyDescent="0.25">
      <c r="B2798" s="1"/>
    </row>
    <row r="2799" spans="2:2" x14ac:dyDescent="0.25">
      <c r="B2799" s="1"/>
    </row>
    <row r="2800" spans="2:2" x14ac:dyDescent="0.25">
      <c r="B2800" s="1"/>
    </row>
    <row r="2801" spans="2:2" x14ac:dyDescent="0.25">
      <c r="B2801" s="1"/>
    </row>
    <row r="2802" spans="2:2" x14ac:dyDescent="0.25">
      <c r="B2802" s="1"/>
    </row>
    <row r="2803" spans="2:2" x14ac:dyDescent="0.25">
      <c r="B2803" s="1"/>
    </row>
    <row r="2804" spans="2:2" x14ac:dyDescent="0.25">
      <c r="B2804" s="1"/>
    </row>
    <row r="2805" spans="2:2" x14ac:dyDescent="0.25">
      <c r="B2805" s="1"/>
    </row>
    <row r="2806" spans="2:2" x14ac:dyDescent="0.25">
      <c r="B2806" s="1"/>
    </row>
    <row r="2807" spans="2:2" x14ac:dyDescent="0.25">
      <c r="B2807" s="1"/>
    </row>
    <row r="2808" spans="2:2" x14ac:dyDescent="0.25">
      <c r="B2808" s="1"/>
    </row>
    <row r="2809" spans="2:2" x14ac:dyDescent="0.25">
      <c r="B2809" s="1"/>
    </row>
    <row r="2810" spans="2:2" x14ac:dyDescent="0.25">
      <c r="B2810" s="1"/>
    </row>
    <row r="2811" spans="2:2" x14ac:dyDescent="0.25">
      <c r="B2811" s="1"/>
    </row>
    <row r="2812" spans="2:2" x14ac:dyDescent="0.25">
      <c r="B2812" s="1"/>
    </row>
    <row r="2813" spans="2:2" x14ac:dyDescent="0.25">
      <c r="B2813" s="1"/>
    </row>
    <row r="2814" spans="2:2" x14ac:dyDescent="0.25">
      <c r="B2814" s="1"/>
    </row>
    <row r="2815" spans="2:2" x14ac:dyDescent="0.25">
      <c r="B2815" s="1"/>
    </row>
    <row r="2816" spans="2:2" x14ac:dyDescent="0.25">
      <c r="B2816" s="1"/>
    </row>
    <row r="2817" spans="2:2" x14ac:dyDescent="0.25">
      <c r="B2817" s="1"/>
    </row>
    <row r="2818" spans="2:2" x14ac:dyDescent="0.25">
      <c r="B2818" s="1"/>
    </row>
    <row r="2819" spans="2:2" x14ac:dyDescent="0.25">
      <c r="B2819" s="1"/>
    </row>
    <row r="2820" spans="2:2" x14ac:dyDescent="0.25">
      <c r="B2820" s="1"/>
    </row>
    <row r="2821" spans="2:2" x14ac:dyDescent="0.25">
      <c r="B2821" s="1"/>
    </row>
    <row r="2822" spans="2:2" x14ac:dyDescent="0.25">
      <c r="B2822" s="1"/>
    </row>
    <row r="2823" spans="2:2" x14ac:dyDescent="0.25">
      <c r="B2823" s="1"/>
    </row>
    <row r="2824" spans="2:2" x14ac:dyDescent="0.25">
      <c r="B2824" s="1"/>
    </row>
    <row r="2825" spans="2:2" x14ac:dyDescent="0.25">
      <c r="B2825" s="1"/>
    </row>
    <row r="2826" spans="2:2" x14ac:dyDescent="0.25">
      <c r="B2826" s="1"/>
    </row>
    <row r="2827" spans="2:2" x14ac:dyDescent="0.25">
      <c r="B2827" s="1"/>
    </row>
    <row r="2828" spans="2:2" x14ac:dyDescent="0.25">
      <c r="B2828" s="1"/>
    </row>
    <row r="2829" spans="2:2" x14ac:dyDescent="0.25">
      <c r="B2829" s="1"/>
    </row>
    <row r="2830" spans="2:2" x14ac:dyDescent="0.25">
      <c r="B2830" s="1"/>
    </row>
    <row r="2831" spans="2:2" x14ac:dyDescent="0.25">
      <c r="B2831" s="1"/>
    </row>
    <row r="2832" spans="2:2" x14ac:dyDescent="0.25">
      <c r="B2832" s="1"/>
    </row>
    <row r="2833" spans="2:2" x14ac:dyDescent="0.25">
      <c r="B2833" s="1"/>
    </row>
    <row r="2834" spans="2:2" x14ac:dyDescent="0.25">
      <c r="B2834" s="1"/>
    </row>
    <row r="2835" spans="2:2" x14ac:dyDescent="0.25">
      <c r="B2835" s="1"/>
    </row>
    <row r="2836" spans="2:2" x14ac:dyDescent="0.25">
      <c r="B2836" s="1"/>
    </row>
    <row r="2837" spans="2:2" x14ac:dyDescent="0.25">
      <c r="B2837" s="1"/>
    </row>
    <row r="2838" spans="2:2" x14ac:dyDescent="0.25">
      <c r="B2838" s="1"/>
    </row>
    <row r="2839" spans="2:2" x14ac:dyDescent="0.25">
      <c r="B2839" s="1"/>
    </row>
    <row r="2840" spans="2:2" x14ac:dyDescent="0.25">
      <c r="B2840" s="1"/>
    </row>
    <row r="2841" spans="2:2" x14ac:dyDescent="0.25">
      <c r="B2841" s="1"/>
    </row>
    <row r="2842" spans="2:2" x14ac:dyDescent="0.25">
      <c r="B2842" s="1"/>
    </row>
    <row r="2843" spans="2:2" x14ac:dyDescent="0.25">
      <c r="B2843" s="1"/>
    </row>
    <row r="2844" spans="2:2" x14ac:dyDescent="0.25">
      <c r="B2844" s="1"/>
    </row>
    <row r="2845" spans="2:2" x14ac:dyDescent="0.25">
      <c r="B2845" s="1"/>
    </row>
    <row r="2846" spans="2:2" x14ac:dyDescent="0.25">
      <c r="B2846" s="1"/>
    </row>
    <row r="2847" spans="2:2" x14ac:dyDescent="0.25">
      <c r="B2847" s="1"/>
    </row>
    <row r="2848" spans="2:2" x14ac:dyDescent="0.25">
      <c r="B2848" s="1"/>
    </row>
    <row r="2849" spans="2:2" x14ac:dyDescent="0.25">
      <c r="B2849" s="1"/>
    </row>
    <row r="2850" spans="2:2" x14ac:dyDescent="0.25">
      <c r="B2850" s="1"/>
    </row>
    <row r="2851" spans="2:2" x14ac:dyDescent="0.25">
      <c r="B2851" s="1"/>
    </row>
    <row r="2852" spans="2:2" x14ac:dyDescent="0.25">
      <c r="B2852" s="1"/>
    </row>
    <row r="2853" spans="2:2" x14ac:dyDescent="0.25">
      <c r="B2853" s="1"/>
    </row>
    <row r="2854" spans="2:2" x14ac:dyDescent="0.25">
      <c r="B2854" s="1"/>
    </row>
    <row r="2855" spans="2:2" x14ac:dyDescent="0.25">
      <c r="B2855" s="1"/>
    </row>
    <row r="2856" spans="2:2" x14ac:dyDescent="0.25">
      <c r="B2856" s="1"/>
    </row>
    <row r="2857" spans="2:2" x14ac:dyDescent="0.25">
      <c r="B2857" s="1"/>
    </row>
    <row r="2858" spans="2:2" x14ac:dyDescent="0.25">
      <c r="B2858" s="1"/>
    </row>
    <row r="2859" spans="2:2" x14ac:dyDescent="0.25">
      <c r="B2859" s="1"/>
    </row>
    <row r="2860" spans="2:2" x14ac:dyDescent="0.25">
      <c r="B2860" s="1"/>
    </row>
    <row r="2861" spans="2:2" x14ac:dyDescent="0.25">
      <c r="B2861" s="1"/>
    </row>
    <row r="2862" spans="2:2" x14ac:dyDescent="0.25">
      <c r="B2862" s="1"/>
    </row>
    <row r="2863" spans="2:2" x14ac:dyDescent="0.25">
      <c r="B2863" s="1"/>
    </row>
    <row r="2864" spans="2:2" x14ac:dyDescent="0.25">
      <c r="B2864" s="1"/>
    </row>
    <row r="2865" spans="2:2" x14ac:dyDescent="0.25">
      <c r="B2865" s="1"/>
    </row>
    <row r="2866" spans="2:2" x14ac:dyDescent="0.25">
      <c r="B2866" s="1"/>
    </row>
    <row r="2867" spans="2:2" x14ac:dyDescent="0.25">
      <c r="B2867" s="1"/>
    </row>
    <row r="2868" spans="2:2" x14ac:dyDescent="0.25">
      <c r="B2868" s="1"/>
    </row>
    <row r="2869" spans="2:2" x14ac:dyDescent="0.25">
      <c r="B2869" s="1"/>
    </row>
    <row r="2870" spans="2:2" x14ac:dyDescent="0.25">
      <c r="B2870" s="1"/>
    </row>
    <row r="2871" spans="2:2" x14ac:dyDescent="0.25">
      <c r="B2871" s="1"/>
    </row>
    <row r="2872" spans="2:2" x14ac:dyDescent="0.25">
      <c r="B2872" s="1"/>
    </row>
    <row r="2873" spans="2:2" x14ac:dyDescent="0.25">
      <c r="B2873" s="1"/>
    </row>
    <row r="2874" spans="2:2" x14ac:dyDescent="0.25">
      <c r="B2874" s="1"/>
    </row>
    <row r="2875" spans="2:2" x14ac:dyDescent="0.25">
      <c r="B2875" s="1"/>
    </row>
    <row r="2876" spans="2:2" x14ac:dyDescent="0.25">
      <c r="B2876" s="1"/>
    </row>
    <row r="2877" spans="2:2" x14ac:dyDescent="0.25">
      <c r="B2877" s="1"/>
    </row>
    <row r="2878" spans="2:2" x14ac:dyDescent="0.25">
      <c r="B2878" s="1"/>
    </row>
    <row r="2879" spans="2:2" x14ac:dyDescent="0.25">
      <c r="B2879" s="1"/>
    </row>
    <row r="2880" spans="2:2" x14ac:dyDescent="0.25">
      <c r="B2880" s="1"/>
    </row>
    <row r="2881" spans="2:2" x14ac:dyDescent="0.25">
      <c r="B2881" s="1"/>
    </row>
    <row r="2882" spans="2:2" x14ac:dyDescent="0.25">
      <c r="B2882" s="1"/>
    </row>
    <row r="2883" spans="2:2" x14ac:dyDescent="0.25">
      <c r="B2883" s="1"/>
    </row>
    <row r="2884" spans="2:2" x14ac:dyDescent="0.25">
      <c r="B2884" s="1"/>
    </row>
    <row r="2885" spans="2:2" x14ac:dyDescent="0.25">
      <c r="B2885" s="1"/>
    </row>
    <row r="2886" spans="2:2" x14ac:dyDescent="0.25">
      <c r="B2886" s="1"/>
    </row>
    <row r="2887" spans="2:2" x14ac:dyDescent="0.25">
      <c r="B2887" s="1"/>
    </row>
    <row r="2888" spans="2:2" x14ac:dyDescent="0.25">
      <c r="B2888" s="1"/>
    </row>
    <row r="2889" spans="2:2" x14ac:dyDescent="0.25">
      <c r="B2889" s="1"/>
    </row>
    <row r="2890" spans="2:2" x14ac:dyDescent="0.25">
      <c r="B2890" s="1"/>
    </row>
    <row r="2891" spans="2:2" x14ac:dyDescent="0.25">
      <c r="B2891" s="1"/>
    </row>
    <row r="2892" spans="2:2" x14ac:dyDescent="0.25">
      <c r="B2892" s="1"/>
    </row>
    <row r="2893" spans="2:2" x14ac:dyDescent="0.25">
      <c r="B2893" s="1"/>
    </row>
    <row r="2894" spans="2:2" x14ac:dyDescent="0.25">
      <c r="B2894" s="1"/>
    </row>
    <row r="2895" spans="2:2" x14ac:dyDescent="0.25">
      <c r="B2895" s="1"/>
    </row>
    <row r="2896" spans="2:2" x14ac:dyDescent="0.25">
      <c r="B2896" s="1"/>
    </row>
    <row r="2897" spans="2:2" x14ac:dyDescent="0.25">
      <c r="B2897" s="1"/>
    </row>
    <row r="2898" spans="2:2" x14ac:dyDescent="0.25">
      <c r="B2898" s="1"/>
    </row>
    <row r="2899" spans="2:2" x14ac:dyDescent="0.25">
      <c r="B2899" s="1"/>
    </row>
    <row r="2900" spans="2:2" x14ac:dyDescent="0.25">
      <c r="B2900" s="1"/>
    </row>
    <row r="2901" spans="2:2" x14ac:dyDescent="0.25">
      <c r="B2901" s="1"/>
    </row>
    <row r="2902" spans="2:2" x14ac:dyDescent="0.25">
      <c r="B2902" s="1"/>
    </row>
    <row r="2903" spans="2:2" x14ac:dyDescent="0.25">
      <c r="B2903" s="1"/>
    </row>
    <row r="2904" spans="2:2" x14ac:dyDescent="0.25">
      <c r="B2904" s="1"/>
    </row>
    <row r="2905" spans="2:2" x14ac:dyDescent="0.25">
      <c r="B2905" s="1"/>
    </row>
    <row r="2906" spans="2:2" x14ac:dyDescent="0.25">
      <c r="B2906" s="1"/>
    </row>
    <row r="2907" spans="2:2" x14ac:dyDescent="0.25">
      <c r="B2907" s="1"/>
    </row>
    <row r="2908" spans="2:2" x14ac:dyDescent="0.25">
      <c r="B2908" s="1"/>
    </row>
    <row r="2909" spans="2:2" x14ac:dyDescent="0.25">
      <c r="B2909" s="1"/>
    </row>
    <row r="2910" spans="2:2" x14ac:dyDescent="0.25">
      <c r="B2910" s="1"/>
    </row>
    <row r="2911" spans="2:2" x14ac:dyDescent="0.25">
      <c r="B2911" s="1"/>
    </row>
    <row r="2912" spans="2:2" x14ac:dyDescent="0.25">
      <c r="B2912" s="1"/>
    </row>
    <row r="2913" spans="2:2" x14ac:dyDescent="0.25">
      <c r="B2913" s="1"/>
    </row>
    <row r="2914" spans="2:2" x14ac:dyDescent="0.25">
      <c r="B2914" s="1"/>
    </row>
    <row r="2915" spans="2:2" x14ac:dyDescent="0.25">
      <c r="B2915" s="1"/>
    </row>
    <row r="2916" spans="2:2" x14ac:dyDescent="0.25">
      <c r="B2916" s="1"/>
    </row>
    <row r="2917" spans="2:2" x14ac:dyDescent="0.25">
      <c r="B2917" s="1"/>
    </row>
    <row r="2918" spans="2:2" x14ac:dyDescent="0.25">
      <c r="B2918" s="1"/>
    </row>
    <row r="2919" spans="2:2" x14ac:dyDescent="0.25">
      <c r="B2919" s="1"/>
    </row>
    <row r="2920" spans="2:2" x14ac:dyDescent="0.25">
      <c r="B2920" s="1"/>
    </row>
    <row r="2921" spans="2:2" x14ac:dyDescent="0.25">
      <c r="B2921" s="1"/>
    </row>
    <row r="2922" spans="2:2" x14ac:dyDescent="0.25">
      <c r="B2922" s="1"/>
    </row>
    <row r="2923" spans="2:2" x14ac:dyDescent="0.25">
      <c r="B2923" s="1"/>
    </row>
    <row r="2924" spans="2:2" x14ac:dyDescent="0.25">
      <c r="B2924" s="1"/>
    </row>
    <row r="2925" spans="2:2" x14ac:dyDescent="0.25">
      <c r="B2925" s="1"/>
    </row>
    <row r="2926" spans="2:2" x14ac:dyDescent="0.25">
      <c r="B2926" s="1"/>
    </row>
    <row r="2927" spans="2:2" x14ac:dyDescent="0.25">
      <c r="B2927" s="1"/>
    </row>
    <row r="2928" spans="2:2" x14ac:dyDescent="0.25">
      <c r="B2928" s="1"/>
    </row>
    <row r="2929" spans="2:2" x14ac:dyDescent="0.25">
      <c r="B2929" s="1"/>
    </row>
    <row r="2930" spans="2:2" x14ac:dyDescent="0.25">
      <c r="B2930" s="1"/>
    </row>
    <row r="2931" spans="2:2" x14ac:dyDescent="0.25">
      <c r="B2931" s="1"/>
    </row>
    <row r="2932" spans="2:2" x14ac:dyDescent="0.25">
      <c r="B2932" s="1"/>
    </row>
    <row r="2933" spans="2:2" x14ac:dyDescent="0.25">
      <c r="B2933" s="1"/>
    </row>
    <row r="2934" spans="2:2" x14ac:dyDescent="0.25">
      <c r="B2934" s="1"/>
    </row>
    <row r="2935" spans="2:2" x14ac:dyDescent="0.25">
      <c r="B2935" s="1"/>
    </row>
    <row r="2936" spans="2:2" x14ac:dyDescent="0.25">
      <c r="B2936" s="1"/>
    </row>
    <row r="2937" spans="2:2" x14ac:dyDescent="0.25">
      <c r="B2937" s="1"/>
    </row>
    <row r="2938" spans="2:2" x14ac:dyDescent="0.25">
      <c r="B2938" s="1"/>
    </row>
    <row r="2939" spans="2:2" x14ac:dyDescent="0.25">
      <c r="B2939" s="1"/>
    </row>
    <row r="2940" spans="2:2" x14ac:dyDescent="0.25">
      <c r="B2940" s="1"/>
    </row>
    <row r="2941" spans="2:2" x14ac:dyDescent="0.25">
      <c r="B2941" s="1"/>
    </row>
    <row r="2942" spans="2:2" x14ac:dyDescent="0.25">
      <c r="B2942" s="1"/>
    </row>
    <row r="2943" spans="2:2" x14ac:dyDescent="0.25">
      <c r="B2943" s="1"/>
    </row>
    <row r="2944" spans="2:2" x14ac:dyDescent="0.25">
      <c r="B2944" s="1"/>
    </row>
    <row r="2945" spans="2:2" x14ac:dyDescent="0.25">
      <c r="B2945" s="1"/>
    </row>
    <row r="2946" spans="2:2" x14ac:dyDescent="0.25">
      <c r="B2946" s="1"/>
    </row>
    <row r="2947" spans="2:2" x14ac:dyDescent="0.25">
      <c r="B2947" s="1"/>
    </row>
    <row r="2948" spans="2:2" x14ac:dyDescent="0.25">
      <c r="B2948" s="1"/>
    </row>
    <row r="2949" spans="2:2" x14ac:dyDescent="0.25">
      <c r="B2949" s="1"/>
    </row>
    <row r="2950" spans="2:2" x14ac:dyDescent="0.25">
      <c r="B2950" s="1"/>
    </row>
    <row r="2951" spans="2:2" x14ac:dyDescent="0.25">
      <c r="B2951" s="1"/>
    </row>
    <row r="2952" spans="2:2" x14ac:dyDescent="0.25">
      <c r="B2952" s="1"/>
    </row>
    <row r="2953" spans="2:2" x14ac:dyDescent="0.25">
      <c r="B2953" s="1"/>
    </row>
    <row r="2954" spans="2:2" x14ac:dyDescent="0.25">
      <c r="B2954" s="1"/>
    </row>
    <row r="2955" spans="2:2" x14ac:dyDescent="0.25">
      <c r="B2955" s="1"/>
    </row>
    <row r="2956" spans="2:2" x14ac:dyDescent="0.25">
      <c r="B2956" s="1"/>
    </row>
    <row r="2957" spans="2:2" x14ac:dyDescent="0.25">
      <c r="B2957" s="1"/>
    </row>
    <row r="2958" spans="2:2" x14ac:dyDescent="0.25">
      <c r="B2958" s="1"/>
    </row>
    <row r="2959" spans="2:2" x14ac:dyDescent="0.25">
      <c r="B2959" s="1"/>
    </row>
    <row r="2960" spans="2:2" x14ac:dyDescent="0.25">
      <c r="B2960" s="1"/>
    </row>
    <row r="2961" spans="2:2" x14ac:dyDescent="0.25">
      <c r="B2961" s="1"/>
    </row>
    <row r="2962" spans="2:2" x14ac:dyDescent="0.25">
      <c r="B2962" s="1"/>
    </row>
    <row r="2963" spans="2:2" x14ac:dyDescent="0.25">
      <c r="B2963" s="1"/>
    </row>
    <row r="2964" spans="2:2" x14ac:dyDescent="0.25">
      <c r="B2964" s="1"/>
    </row>
    <row r="2965" spans="2:2" x14ac:dyDescent="0.25">
      <c r="B2965" s="1"/>
    </row>
    <row r="2966" spans="2:2" x14ac:dyDescent="0.25">
      <c r="B2966" s="1"/>
    </row>
    <row r="2967" spans="2:2" x14ac:dyDescent="0.25">
      <c r="B2967" s="1"/>
    </row>
    <row r="2968" spans="2:2" x14ac:dyDescent="0.25">
      <c r="B2968" s="1"/>
    </row>
    <row r="2969" spans="2:2" x14ac:dyDescent="0.25">
      <c r="B2969" s="1"/>
    </row>
    <row r="2970" spans="2:2" x14ac:dyDescent="0.25">
      <c r="B2970" s="1"/>
    </row>
    <row r="2971" spans="2:2" x14ac:dyDescent="0.25">
      <c r="B2971" s="1"/>
    </row>
    <row r="2972" spans="2:2" x14ac:dyDescent="0.25">
      <c r="B2972" s="1"/>
    </row>
    <row r="2973" spans="2:2" x14ac:dyDescent="0.25">
      <c r="B2973" s="1"/>
    </row>
    <row r="2974" spans="2:2" x14ac:dyDescent="0.25">
      <c r="B2974" s="1"/>
    </row>
    <row r="2975" spans="2:2" x14ac:dyDescent="0.25">
      <c r="B2975" s="1"/>
    </row>
    <row r="2976" spans="2:2" x14ac:dyDescent="0.25">
      <c r="B2976" s="1"/>
    </row>
    <row r="2977" spans="2:2" x14ac:dyDescent="0.25">
      <c r="B2977" s="1"/>
    </row>
    <row r="2978" spans="2:2" x14ac:dyDescent="0.25">
      <c r="B2978" s="1"/>
    </row>
    <row r="2979" spans="2:2" x14ac:dyDescent="0.25">
      <c r="B2979" s="1"/>
    </row>
    <row r="2980" spans="2:2" x14ac:dyDescent="0.25">
      <c r="B2980" s="1"/>
    </row>
    <row r="2981" spans="2:2" x14ac:dyDescent="0.25">
      <c r="B2981" s="1"/>
    </row>
    <row r="2982" spans="2:2" x14ac:dyDescent="0.25">
      <c r="B2982" s="1"/>
    </row>
    <row r="2983" spans="2:2" x14ac:dyDescent="0.25">
      <c r="B2983" s="1"/>
    </row>
    <row r="2984" spans="2:2" x14ac:dyDescent="0.25">
      <c r="B2984" s="1"/>
    </row>
    <row r="2985" spans="2:2" x14ac:dyDescent="0.25">
      <c r="B2985" s="1"/>
    </row>
    <row r="2986" spans="2:2" x14ac:dyDescent="0.25">
      <c r="B2986" s="1"/>
    </row>
    <row r="2987" spans="2:2" x14ac:dyDescent="0.25">
      <c r="B2987" s="1"/>
    </row>
    <row r="2988" spans="2:2" x14ac:dyDescent="0.25">
      <c r="B2988" s="1"/>
    </row>
    <row r="2989" spans="2:2" x14ac:dyDescent="0.25">
      <c r="B2989" s="1"/>
    </row>
    <row r="2990" spans="2:2" x14ac:dyDescent="0.25">
      <c r="B2990" s="1"/>
    </row>
    <row r="2991" spans="2:2" x14ac:dyDescent="0.25">
      <c r="B2991" s="1"/>
    </row>
    <row r="2992" spans="2:2" x14ac:dyDescent="0.25">
      <c r="B2992" s="1"/>
    </row>
    <row r="2993" spans="2:2" x14ac:dyDescent="0.25">
      <c r="B2993" s="1"/>
    </row>
    <row r="2994" spans="2:2" x14ac:dyDescent="0.25">
      <c r="B2994" s="1"/>
    </row>
    <row r="2995" spans="2:2" x14ac:dyDescent="0.25">
      <c r="B2995" s="1"/>
    </row>
    <row r="2996" spans="2:2" x14ac:dyDescent="0.25">
      <c r="B2996" s="1"/>
    </row>
    <row r="2997" spans="2:2" x14ac:dyDescent="0.25">
      <c r="B2997" s="1"/>
    </row>
    <row r="2998" spans="2:2" x14ac:dyDescent="0.25">
      <c r="B2998" s="1"/>
    </row>
    <row r="2999" spans="2:2" x14ac:dyDescent="0.25">
      <c r="B2999" s="1"/>
    </row>
    <row r="3000" spans="2:2" x14ac:dyDescent="0.25">
      <c r="B3000" s="1"/>
    </row>
    <row r="3001" spans="2:2" x14ac:dyDescent="0.25">
      <c r="B3001" s="1"/>
    </row>
    <row r="3002" spans="2:2" x14ac:dyDescent="0.25">
      <c r="B3002" s="1"/>
    </row>
    <row r="3003" spans="2:2" x14ac:dyDescent="0.25">
      <c r="B3003" s="1"/>
    </row>
    <row r="3004" spans="2:2" x14ac:dyDescent="0.25">
      <c r="B3004" s="1"/>
    </row>
    <row r="3005" spans="2:2" x14ac:dyDescent="0.25">
      <c r="B3005" s="1"/>
    </row>
    <row r="3006" spans="2:2" x14ac:dyDescent="0.25">
      <c r="B3006" s="1"/>
    </row>
    <row r="3007" spans="2:2" x14ac:dyDescent="0.25">
      <c r="B3007" s="1"/>
    </row>
    <row r="3008" spans="2:2" x14ac:dyDescent="0.25">
      <c r="B3008" s="1"/>
    </row>
    <row r="3009" spans="2:2" x14ac:dyDescent="0.25">
      <c r="B3009" s="1"/>
    </row>
    <row r="3010" spans="2:2" x14ac:dyDescent="0.25">
      <c r="B3010" s="1"/>
    </row>
    <row r="3011" spans="2:2" x14ac:dyDescent="0.25">
      <c r="B3011" s="1"/>
    </row>
    <row r="3012" spans="2:2" x14ac:dyDescent="0.25">
      <c r="B3012" s="1"/>
    </row>
    <row r="3013" spans="2:2" x14ac:dyDescent="0.25">
      <c r="B3013" s="1"/>
    </row>
    <row r="3014" spans="2:2" x14ac:dyDescent="0.25">
      <c r="B3014" s="1"/>
    </row>
    <row r="3015" spans="2:2" x14ac:dyDescent="0.25">
      <c r="B3015" s="1"/>
    </row>
    <row r="3016" spans="2:2" x14ac:dyDescent="0.25">
      <c r="B3016" s="1"/>
    </row>
    <row r="3017" spans="2:2" x14ac:dyDescent="0.25">
      <c r="B3017" s="1"/>
    </row>
    <row r="3018" spans="2:2" x14ac:dyDescent="0.25">
      <c r="B3018" s="1"/>
    </row>
    <row r="3019" spans="2:2" x14ac:dyDescent="0.25">
      <c r="B3019" s="1"/>
    </row>
    <row r="3020" spans="2:2" x14ac:dyDescent="0.25">
      <c r="B3020" s="1"/>
    </row>
    <row r="3021" spans="2:2" x14ac:dyDescent="0.25">
      <c r="B3021" s="1"/>
    </row>
    <row r="3022" spans="2:2" x14ac:dyDescent="0.25">
      <c r="B3022" s="1"/>
    </row>
    <row r="3023" spans="2:2" x14ac:dyDescent="0.25">
      <c r="B3023" s="1"/>
    </row>
    <row r="3024" spans="2:2" x14ac:dyDescent="0.25">
      <c r="B3024" s="1"/>
    </row>
    <row r="3025" spans="2:2" x14ac:dyDescent="0.25">
      <c r="B3025" s="1"/>
    </row>
    <row r="3026" spans="2:2" x14ac:dyDescent="0.25">
      <c r="B3026" s="1"/>
    </row>
    <row r="3027" spans="2:2" x14ac:dyDescent="0.25">
      <c r="B3027" s="1"/>
    </row>
    <row r="3028" spans="2:2" x14ac:dyDescent="0.25">
      <c r="B3028" s="1"/>
    </row>
    <row r="3029" spans="2:2" x14ac:dyDescent="0.25">
      <c r="B3029" s="1"/>
    </row>
    <row r="3030" spans="2:2" x14ac:dyDescent="0.25">
      <c r="B3030" s="1"/>
    </row>
    <row r="3031" spans="2:2" x14ac:dyDescent="0.25">
      <c r="B3031" s="1"/>
    </row>
    <row r="3032" spans="2:2" x14ac:dyDescent="0.25">
      <c r="B3032" s="1"/>
    </row>
    <row r="3033" spans="2:2" x14ac:dyDescent="0.25">
      <c r="B3033" s="1"/>
    </row>
    <row r="3034" spans="2:2" x14ac:dyDescent="0.25">
      <c r="B3034" s="1"/>
    </row>
    <row r="3035" spans="2:2" x14ac:dyDescent="0.25">
      <c r="B3035" s="1"/>
    </row>
    <row r="3036" spans="2:2" x14ac:dyDescent="0.25">
      <c r="B3036" s="1"/>
    </row>
    <row r="3037" spans="2:2" x14ac:dyDescent="0.25">
      <c r="B3037" s="1"/>
    </row>
    <row r="3038" spans="2:2" x14ac:dyDescent="0.25">
      <c r="B3038" s="1"/>
    </row>
    <row r="3039" spans="2:2" x14ac:dyDescent="0.25">
      <c r="B3039" s="1"/>
    </row>
    <row r="3040" spans="2:2" x14ac:dyDescent="0.25">
      <c r="B3040" s="1"/>
    </row>
    <row r="3041" spans="2:2" x14ac:dyDescent="0.25">
      <c r="B3041" s="1"/>
    </row>
    <row r="3042" spans="2:2" x14ac:dyDescent="0.25">
      <c r="B3042" s="1"/>
    </row>
    <row r="3043" spans="2:2" x14ac:dyDescent="0.25">
      <c r="B3043" s="1"/>
    </row>
    <row r="3044" spans="2:2" x14ac:dyDescent="0.25">
      <c r="B3044" s="1"/>
    </row>
    <row r="3045" spans="2:2" x14ac:dyDescent="0.25">
      <c r="B3045" s="1"/>
    </row>
    <row r="3046" spans="2:2" x14ac:dyDescent="0.25">
      <c r="B3046" s="1"/>
    </row>
    <row r="3047" spans="2:2" x14ac:dyDescent="0.25">
      <c r="B3047" s="1"/>
    </row>
    <row r="3048" spans="2:2" x14ac:dyDescent="0.25">
      <c r="B3048" s="1"/>
    </row>
    <row r="3049" spans="2:2" x14ac:dyDescent="0.25">
      <c r="B3049" s="1"/>
    </row>
    <row r="3050" spans="2:2" x14ac:dyDescent="0.25">
      <c r="B3050" s="1"/>
    </row>
    <row r="3051" spans="2:2" x14ac:dyDescent="0.25">
      <c r="B3051" s="1"/>
    </row>
    <row r="3052" spans="2:2" x14ac:dyDescent="0.25">
      <c r="B3052" s="1"/>
    </row>
    <row r="3053" spans="2:2" x14ac:dyDescent="0.25">
      <c r="B3053" s="1"/>
    </row>
    <row r="3054" spans="2:2" x14ac:dyDescent="0.25">
      <c r="B3054" s="1"/>
    </row>
    <row r="3055" spans="2:2" x14ac:dyDescent="0.25">
      <c r="B3055" s="1"/>
    </row>
    <row r="3056" spans="2:2" x14ac:dyDescent="0.25">
      <c r="B3056" s="1"/>
    </row>
    <row r="3057" spans="2:2" x14ac:dyDescent="0.25">
      <c r="B3057" s="1"/>
    </row>
    <row r="3058" spans="2:2" x14ac:dyDescent="0.25">
      <c r="B3058" s="1"/>
    </row>
    <row r="3059" spans="2:2" x14ac:dyDescent="0.25">
      <c r="B3059" s="1"/>
    </row>
    <row r="3060" spans="2:2" x14ac:dyDescent="0.25">
      <c r="B3060" s="1"/>
    </row>
    <row r="3061" spans="2:2" x14ac:dyDescent="0.25">
      <c r="B3061" s="1"/>
    </row>
    <row r="3062" spans="2:2" x14ac:dyDescent="0.25">
      <c r="B3062" s="1"/>
    </row>
    <row r="3063" spans="2:2" x14ac:dyDescent="0.25">
      <c r="B3063" s="1"/>
    </row>
    <row r="3064" spans="2:2" x14ac:dyDescent="0.25">
      <c r="B3064" s="1"/>
    </row>
    <row r="3065" spans="2:2" x14ac:dyDescent="0.25">
      <c r="B3065" s="1"/>
    </row>
    <row r="3066" spans="2:2" x14ac:dyDescent="0.25">
      <c r="B3066" s="1"/>
    </row>
    <row r="3067" spans="2:2" x14ac:dyDescent="0.25">
      <c r="B3067" s="1"/>
    </row>
    <row r="3068" spans="2:2" x14ac:dyDescent="0.25">
      <c r="B3068" s="1"/>
    </row>
    <row r="3069" spans="2:2" x14ac:dyDescent="0.25">
      <c r="B3069" s="1"/>
    </row>
    <row r="3070" spans="2:2" x14ac:dyDescent="0.25">
      <c r="B3070" s="1"/>
    </row>
    <row r="3071" spans="2:2" x14ac:dyDescent="0.25">
      <c r="B3071" s="1"/>
    </row>
    <row r="3072" spans="2:2" x14ac:dyDescent="0.25">
      <c r="B3072" s="1"/>
    </row>
    <row r="3073" spans="2:2" x14ac:dyDescent="0.25">
      <c r="B3073" s="1"/>
    </row>
    <row r="3074" spans="2:2" x14ac:dyDescent="0.25">
      <c r="B3074" s="1"/>
    </row>
    <row r="3075" spans="2:2" x14ac:dyDescent="0.25">
      <c r="B3075" s="1"/>
    </row>
    <row r="3076" spans="2:2" x14ac:dyDescent="0.25">
      <c r="B3076" s="1"/>
    </row>
    <row r="3077" spans="2:2" x14ac:dyDescent="0.25">
      <c r="B3077" s="1"/>
    </row>
    <row r="3078" spans="2:2" x14ac:dyDescent="0.25">
      <c r="B3078" s="1"/>
    </row>
    <row r="3079" spans="2:2" x14ac:dyDescent="0.25">
      <c r="B3079" s="1"/>
    </row>
    <row r="3080" spans="2:2" x14ac:dyDescent="0.25">
      <c r="B3080" s="1"/>
    </row>
    <row r="3081" spans="2:2" x14ac:dyDescent="0.25">
      <c r="B3081" s="1"/>
    </row>
    <row r="3082" spans="2:2" x14ac:dyDescent="0.25">
      <c r="B3082" s="1"/>
    </row>
    <row r="3083" spans="2:2" x14ac:dyDescent="0.25">
      <c r="B3083" s="1"/>
    </row>
    <row r="3084" spans="2:2" x14ac:dyDescent="0.25">
      <c r="B3084" s="1"/>
    </row>
    <row r="3085" spans="2:2" x14ac:dyDescent="0.25">
      <c r="B3085" s="1"/>
    </row>
    <row r="3086" spans="2:2" x14ac:dyDescent="0.25">
      <c r="B3086" s="1"/>
    </row>
    <row r="3087" spans="2:2" x14ac:dyDescent="0.25">
      <c r="B3087" s="1"/>
    </row>
    <row r="3088" spans="2:2" x14ac:dyDescent="0.25">
      <c r="B3088" s="1"/>
    </row>
    <row r="3089" spans="2:2" x14ac:dyDescent="0.25">
      <c r="B3089" s="1"/>
    </row>
    <row r="3090" spans="2:2" x14ac:dyDescent="0.25">
      <c r="B3090" s="1"/>
    </row>
    <row r="3091" spans="2:2" x14ac:dyDescent="0.25">
      <c r="B3091" s="1"/>
    </row>
    <row r="3092" spans="2:2" x14ac:dyDescent="0.25">
      <c r="B3092" s="1"/>
    </row>
    <row r="3093" spans="2:2" x14ac:dyDescent="0.25">
      <c r="B3093" s="1"/>
    </row>
    <row r="3094" spans="2:2" x14ac:dyDescent="0.25">
      <c r="B3094" s="1"/>
    </row>
    <row r="3095" spans="2:2" x14ac:dyDescent="0.25">
      <c r="B3095" s="1"/>
    </row>
    <row r="3096" spans="2:2" x14ac:dyDescent="0.25">
      <c r="B3096" s="1"/>
    </row>
    <row r="3097" spans="2:2" x14ac:dyDescent="0.25">
      <c r="B3097" s="1"/>
    </row>
    <row r="3098" spans="2:2" x14ac:dyDescent="0.25">
      <c r="B3098" s="1"/>
    </row>
    <row r="3099" spans="2:2" x14ac:dyDescent="0.25">
      <c r="B3099" s="1"/>
    </row>
    <row r="3100" spans="2:2" x14ac:dyDescent="0.25">
      <c r="B3100" s="1"/>
    </row>
    <row r="3101" spans="2:2" x14ac:dyDescent="0.25">
      <c r="B3101" s="1"/>
    </row>
    <row r="3102" spans="2:2" x14ac:dyDescent="0.25">
      <c r="B3102" s="1"/>
    </row>
    <row r="3103" spans="2:2" x14ac:dyDescent="0.25">
      <c r="B3103" s="1"/>
    </row>
    <row r="3104" spans="2:2" x14ac:dyDescent="0.25">
      <c r="B3104" s="1"/>
    </row>
    <row r="3105" spans="2:2" x14ac:dyDescent="0.25">
      <c r="B3105" s="1"/>
    </row>
    <row r="3106" spans="2:2" x14ac:dyDescent="0.25">
      <c r="B3106" s="1"/>
    </row>
    <row r="3107" spans="2:2" x14ac:dyDescent="0.25">
      <c r="B3107" s="1"/>
    </row>
    <row r="3108" spans="2:2" x14ac:dyDescent="0.25">
      <c r="B3108" s="1"/>
    </row>
    <row r="3109" spans="2:2" x14ac:dyDescent="0.25">
      <c r="B3109" s="1"/>
    </row>
    <row r="3110" spans="2:2" x14ac:dyDescent="0.25">
      <c r="B3110" s="1"/>
    </row>
    <row r="3111" spans="2:2" x14ac:dyDescent="0.25">
      <c r="B3111" s="1"/>
    </row>
    <row r="3112" spans="2:2" x14ac:dyDescent="0.25">
      <c r="B3112" s="1"/>
    </row>
    <row r="3113" spans="2:2" x14ac:dyDescent="0.25">
      <c r="B3113" s="1"/>
    </row>
    <row r="3114" spans="2:2" x14ac:dyDescent="0.25">
      <c r="B3114" s="1"/>
    </row>
    <row r="3115" spans="2:2" x14ac:dyDescent="0.25">
      <c r="B3115" s="1"/>
    </row>
    <row r="3116" spans="2:2" x14ac:dyDescent="0.25">
      <c r="B3116" s="1"/>
    </row>
    <row r="3117" spans="2:2" x14ac:dyDescent="0.25">
      <c r="B3117" s="1"/>
    </row>
    <row r="3118" spans="2:2" x14ac:dyDescent="0.25">
      <c r="B3118" s="1"/>
    </row>
    <row r="3119" spans="2:2" x14ac:dyDescent="0.25">
      <c r="B3119" s="1"/>
    </row>
    <row r="3120" spans="2:2" x14ac:dyDescent="0.25">
      <c r="B3120" s="1"/>
    </row>
    <row r="3121" spans="2:2" x14ac:dyDescent="0.25">
      <c r="B3121" s="1"/>
    </row>
    <row r="3122" spans="2:2" x14ac:dyDescent="0.25">
      <c r="B3122" s="1"/>
    </row>
    <row r="3123" spans="2:2" x14ac:dyDescent="0.25">
      <c r="B3123" s="1"/>
    </row>
    <row r="3124" spans="2:2" x14ac:dyDescent="0.25">
      <c r="B3124" s="1"/>
    </row>
    <row r="3125" spans="2:2" x14ac:dyDescent="0.25">
      <c r="B3125" s="1"/>
    </row>
    <row r="3126" spans="2:2" x14ac:dyDescent="0.25">
      <c r="B3126" s="1"/>
    </row>
    <row r="3127" spans="2:2" x14ac:dyDescent="0.25">
      <c r="B3127" s="1"/>
    </row>
    <row r="3128" spans="2:2" x14ac:dyDescent="0.25">
      <c r="B3128" s="1"/>
    </row>
    <row r="3129" spans="2:2" x14ac:dyDescent="0.25">
      <c r="B3129" s="1"/>
    </row>
    <row r="3130" spans="2:2" x14ac:dyDescent="0.25">
      <c r="B3130" s="1"/>
    </row>
    <row r="3131" spans="2:2" x14ac:dyDescent="0.25">
      <c r="B3131" s="1"/>
    </row>
    <row r="3132" spans="2:2" x14ac:dyDescent="0.25">
      <c r="B3132" s="1"/>
    </row>
    <row r="3133" spans="2:2" x14ac:dyDescent="0.25">
      <c r="B3133" s="1"/>
    </row>
    <row r="3134" spans="2:2" x14ac:dyDescent="0.25">
      <c r="B3134" s="1"/>
    </row>
    <row r="3135" spans="2:2" x14ac:dyDescent="0.25">
      <c r="B3135" s="1"/>
    </row>
    <row r="3136" spans="2:2" x14ac:dyDescent="0.25">
      <c r="B3136" s="1"/>
    </row>
    <row r="3137" spans="2:2" x14ac:dyDescent="0.25">
      <c r="B3137" s="1"/>
    </row>
    <row r="3138" spans="2:2" x14ac:dyDescent="0.25">
      <c r="B3138" s="1"/>
    </row>
    <row r="3139" spans="2:2" x14ac:dyDescent="0.25">
      <c r="B3139" s="1"/>
    </row>
    <row r="3140" spans="2:2" x14ac:dyDescent="0.25">
      <c r="B3140" s="1"/>
    </row>
    <row r="3141" spans="2:2" x14ac:dyDescent="0.25">
      <c r="B3141" s="1"/>
    </row>
    <row r="3142" spans="2:2" x14ac:dyDescent="0.25">
      <c r="B3142" s="1"/>
    </row>
    <row r="3143" spans="2:2" x14ac:dyDescent="0.25">
      <c r="B3143" s="1"/>
    </row>
    <row r="3144" spans="2:2" x14ac:dyDescent="0.25">
      <c r="B3144" s="1"/>
    </row>
    <row r="3145" spans="2:2" x14ac:dyDescent="0.25">
      <c r="B3145" s="1"/>
    </row>
    <row r="3146" spans="2:2" x14ac:dyDescent="0.25">
      <c r="B3146" s="1"/>
    </row>
    <row r="3147" spans="2:2" x14ac:dyDescent="0.25">
      <c r="B3147" s="1"/>
    </row>
    <row r="3148" spans="2:2" x14ac:dyDescent="0.25">
      <c r="B3148" s="1"/>
    </row>
    <row r="3149" spans="2:2" x14ac:dyDescent="0.25">
      <c r="B3149" s="1"/>
    </row>
    <row r="3150" spans="2:2" x14ac:dyDescent="0.25">
      <c r="B3150" s="1"/>
    </row>
    <row r="3151" spans="2:2" x14ac:dyDescent="0.25">
      <c r="B3151" s="1"/>
    </row>
    <row r="3152" spans="2:2" x14ac:dyDescent="0.25">
      <c r="B3152" s="1"/>
    </row>
    <row r="3153" spans="2:2" x14ac:dyDescent="0.25">
      <c r="B3153" s="1"/>
    </row>
    <row r="3154" spans="2:2" x14ac:dyDescent="0.25">
      <c r="B3154" s="1"/>
    </row>
    <row r="3155" spans="2:2" x14ac:dyDescent="0.25">
      <c r="B3155" s="1"/>
    </row>
    <row r="3156" spans="2:2" x14ac:dyDescent="0.25">
      <c r="B3156" s="1"/>
    </row>
    <row r="3157" spans="2:2" x14ac:dyDescent="0.25">
      <c r="B3157" s="1"/>
    </row>
    <row r="3158" spans="2:2" x14ac:dyDescent="0.25">
      <c r="B3158" s="1"/>
    </row>
    <row r="3159" spans="2:2" x14ac:dyDescent="0.25">
      <c r="B3159" s="1"/>
    </row>
    <row r="3160" spans="2:2" x14ac:dyDescent="0.25">
      <c r="B3160" s="1"/>
    </row>
    <row r="3161" spans="2:2" x14ac:dyDescent="0.25">
      <c r="B3161" s="1"/>
    </row>
    <row r="3162" spans="2:2" x14ac:dyDescent="0.25">
      <c r="B3162" s="1"/>
    </row>
    <row r="3163" spans="2:2" x14ac:dyDescent="0.25">
      <c r="B3163" s="1"/>
    </row>
    <row r="3164" spans="2:2" x14ac:dyDescent="0.25">
      <c r="B3164" s="1"/>
    </row>
    <row r="3165" spans="2:2" x14ac:dyDescent="0.25">
      <c r="B3165" s="1"/>
    </row>
    <row r="3166" spans="2:2" x14ac:dyDescent="0.25">
      <c r="B3166" s="1"/>
    </row>
    <row r="3167" spans="2:2" x14ac:dyDescent="0.25">
      <c r="B3167" s="1"/>
    </row>
    <row r="3168" spans="2:2" x14ac:dyDescent="0.25">
      <c r="B3168" s="1"/>
    </row>
    <row r="3169" spans="2:2" x14ac:dyDescent="0.25">
      <c r="B3169" s="1"/>
    </row>
    <row r="3170" spans="2:2" x14ac:dyDescent="0.25">
      <c r="B3170" s="1"/>
    </row>
    <row r="3171" spans="2:2" x14ac:dyDescent="0.25">
      <c r="B3171" s="1"/>
    </row>
    <row r="3172" spans="2:2" x14ac:dyDescent="0.25">
      <c r="B3172" s="1"/>
    </row>
    <row r="3173" spans="2:2" x14ac:dyDescent="0.25">
      <c r="B3173" s="1"/>
    </row>
    <row r="3174" spans="2:2" x14ac:dyDescent="0.25">
      <c r="B3174" s="1"/>
    </row>
    <row r="3175" spans="2:2" x14ac:dyDescent="0.25">
      <c r="B3175" s="1"/>
    </row>
    <row r="3176" spans="2:2" x14ac:dyDescent="0.25">
      <c r="B3176" s="1"/>
    </row>
    <row r="3177" spans="2:2" x14ac:dyDescent="0.25">
      <c r="B3177" s="1"/>
    </row>
    <row r="3178" spans="2:2" x14ac:dyDescent="0.25">
      <c r="B3178" s="1"/>
    </row>
    <row r="3179" spans="2:2" x14ac:dyDescent="0.25">
      <c r="B3179" s="1"/>
    </row>
    <row r="3180" spans="2:2" x14ac:dyDescent="0.25">
      <c r="B3180" s="1"/>
    </row>
    <row r="3181" spans="2:2" x14ac:dyDescent="0.25">
      <c r="B3181" s="1"/>
    </row>
    <row r="3182" spans="2:2" x14ac:dyDescent="0.25">
      <c r="B3182" s="1"/>
    </row>
    <row r="3183" spans="2:2" x14ac:dyDescent="0.25">
      <c r="B3183" s="1"/>
    </row>
    <row r="3184" spans="2:2" x14ac:dyDescent="0.25">
      <c r="B3184" s="1"/>
    </row>
    <row r="3185" spans="2:2" x14ac:dyDescent="0.25">
      <c r="B3185" s="1"/>
    </row>
    <row r="3186" spans="2:2" x14ac:dyDescent="0.25">
      <c r="B3186" s="1"/>
    </row>
    <row r="3187" spans="2:2" x14ac:dyDescent="0.25">
      <c r="B3187" s="1"/>
    </row>
    <row r="3188" spans="2:2" x14ac:dyDescent="0.25">
      <c r="B3188" s="1"/>
    </row>
    <row r="3189" spans="2:2" x14ac:dyDescent="0.25">
      <c r="B3189" s="1"/>
    </row>
    <row r="3190" spans="2:2" x14ac:dyDescent="0.25">
      <c r="B3190" s="1"/>
    </row>
    <row r="3191" spans="2:2" x14ac:dyDescent="0.25">
      <c r="B3191" s="1"/>
    </row>
    <row r="3192" spans="2:2" x14ac:dyDescent="0.25">
      <c r="B3192" s="1"/>
    </row>
    <row r="3193" spans="2:2" x14ac:dyDescent="0.25">
      <c r="B3193" s="1"/>
    </row>
    <row r="3194" spans="2:2" x14ac:dyDescent="0.25">
      <c r="B3194" s="1"/>
    </row>
    <row r="3195" spans="2:2" x14ac:dyDescent="0.25">
      <c r="B3195" s="1"/>
    </row>
    <row r="3196" spans="2:2" x14ac:dyDescent="0.25">
      <c r="B3196" s="1"/>
    </row>
    <row r="3197" spans="2:2" x14ac:dyDescent="0.25">
      <c r="B3197" s="1"/>
    </row>
    <row r="3198" spans="2:2" x14ac:dyDescent="0.25">
      <c r="B3198" s="1"/>
    </row>
    <row r="3199" spans="2:2" x14ac:dyDescent="0.25">
      <c r="B3199" s="1"/>
    </row>
    <row r="3200" spans="2:2" x14ac:dyDescent="0.25">
      <c r="B3200" s="1"/>
    </row>
    <row r="3201" spans="2:2" x14ac:dyDescent="0.25">
      <c r="B3201" s="1"/>
    </row>
    <row r="3202" spans="2:2" x14ac:dyDescent="0.25">
      <c r="B3202" s="1"/>
    </row>
    <row r="3203" spans="2:2" x14ac:dyDescent="0.25">
      <c r="B3203" s="1"/>
    </row>
    <row r="3204" spans="2:2" x14ac:dyDescent="0.25">
      <c r="B3204" s="1"/>
    </row>
    <row r="3205" spans="2:2" x14ac:dyDescent="0.25">
      <c r="B3205" s="1"/>
    </row>
    <row r="3206" spans="2:2" x14ac:dyDescent="0.25">
      <c r="B3206" s="1"/>
    </row>
    <row r="3207" spans="2:2" x14ac:dyDescent="0.25">
      <c r="B3207" s="1"/>
    </row>
    <row r="3208" spans="2:2" x14ac:dyDescent="0.25">
      <c r="B3208" s="1"/>
    </row>
    <row r="3209" spans="2:2" x14ac:dyDescent="0.25">
      <c r="B3209" s="1"/>
    </row>
    <row r="3210" spans="2:2" x14ac:dyDescent="0.25">
      <c r="B3210" s="1"/>
    </row>
    <row r="3211" spans="2:2" x14ac:dyDescent="0.25">
      <c r="B3211" s="1"/>
    </row>
    <row r="3212" spans="2:2" x14ac:dyDescent="0.25">
      <c r="B3212" s="1"/>
    </row>
    <row r="3213" spans="2:2" x14ac:dyDescent="0.25">
      <c r="B3213" s="1"/>
    </row>
    <row r="3214" spans="2:2" x14ac:dyDescent="0.25">
      <c r="B3214" s="1"/>
    </row>
    <row r="3215" spans="2:2" x14ac:dyDescent="0.25">
      <c r="B3215" s="1"/>
    </row>
    <row r="3216" spans="2:2" x14ac:dyDescent="0.25">
      <c r="B3216" s="1"/>
    </row>
    <row r="3217" spans="2:2" x14ac:dyDescent="0.25">
      <c r="B3217" s="1"/>
    </row>
    <row r="3218" spans="2:2" x14ac:dyDescent="0.25">
      <c r="B3218" s="1"/>
    </row>
    <row r="3219" spans="2:2" x14ac:dyDescent="0.25">
      <c r="B3219" s="1"/>
    </row>
    <row r="3220" spans="2:2" x14ac:dyDescent="0.25">
      <c r="B3220" s="1"/>
    </row>
    <row r="3221" spans="2:2" x14ac:dyDescent="0.25">
      <c r="B3221" s="1"/>
    </row>
    <row r="3222" spans="2:2" x14ac:dyDescent="0.25">
      <c r="B3222" s="1"/>
    </row>
    <row r="3223" spans="2:2" x14ac:dyDescent="0.25">
      <c r="B3223" s="1"/>
    </row>
    <row r="3224" spans="2:2" x14ac:dyDescent="0.25">
      <c r="B3224" s="1"/>
    </row>
    <row r="3225" spans="2:2" x14ac:dyDescent="0.25">
      <c r="B3225" s="1"/>
    </row>
    <row r="3226" spans="2:2" x14ac:dyDescent="0.25">
      <c r="B3226" s="1"/>
    </row>
    <row r="3227" spans="2:2" x14ac:dyDescent="0.25">
      <c r="B3227" s="1"/>
    </row>
    <row r="3228" spans="2:2" x14ac:dyDescent="0.25">
      <c r="B3228" s="1"/>
    </row>
    <row r="3229" spans="2:2" x14ac:dyDescent="0.25">
      <c r="B3229" s="1"/>
    </row>
    <row r="3230" spans="2:2" x14ac:dyDescent="0.25">
      <c r="B3230" s="1"/>
    </row>
    <row r="3231" spans="2:2" x14ac:dyDescent="0.25">
      <c r="B3231" s="1"/>
    </row>
    <row r="3232" spans="2:2" x14ac:dyDescent="0.25">
      <c r="B3232" s="1"/>
    </row>
    <row r="3233" spans="2:2" x14ac:dyDescent="0.25">
      <c r="B3233" s="1"/>
    </row>
    <row r="3234" spans="2:2" x14ac:dyDescent="0.25">
      <c r="B3234" s="1"/>
    </row>
    <row r="3235" spans="2:2" x14ac:dyDescent="0.25">
      <c r="B3235" s="1"/>
    </row>
    <row r="3236" spans="2:2" x14ac:dyDescent="0.25">
      <c r="B3236" s="1"/>
    </row>
    <row r="3237" spans="2:2" x14ac:dyDescent="0.25">
      <c r="B3237" s="1"/>
    </row>
    <row r="3238" spans="2:2" x14ac:dyDescent="0.25">
      <c r="B3238" s="1"/>
    </row>
    <row r="3239" spans="2:2" x14ac:dyDescent="0.25">
      <c r="B3239" s="1"/>
    </row>
    <row r="3240" spans="2:2" x14ac:dyDescent="0.25">
      <c r="B3240" s="1"/>
    </row>
    <row r="3241" spans="2:2" x14ac:dyDescent="0.25">
      <c r="B3241" s="1"/>
    </row>
    <row r="3242" spans="2:2" x14ac:dyDescent="0.25">
      <c r="B3242" s="1"/>
    </row>
    <row r="3243" spans="2:2" x14ac:dyDescent="0.25">
      <c r="B3243" s="1"/>
    </row>
    <row r="3244" spans="2:2" x14ac:dyDescent="0.25">
      <c r="B3244" s="1"/>
    </row>
    <row r="3245" spans="2:2" x14ac:dyDescent="0.25">
      <c r="B3245" s="1"/>
    </row>
    <row r="3246" spans="2:2" x14ac:dyDescent="0.25">
      <c r="B3246" s="1"/>
    </row>
    <row r="3247" spans="2:2" x14ac:dyDescent="0.25">
      <c r="B3247" s="1"/>
    </row>
    <row r="3248" spans="2:2" x14ac:dyDescent="0.25">
      <c r="B3248" s="1"/>
    </row>
    <row r="3249" spans="2:2" x14ac:dyDescent="0.25">
      <c r="B3249" s="1"/>
    </row>
    <row r="3250" spans="2:2" x14ac:dyDescent="0.25">
      <c r="B3250" s="1"/>
    </row>
    <row r="3251" spans="2:2" x14ac:dyDescent="0.25">
      <c r="B3251" s="1"/>
    </row>
    <row r="3252" spans="2:2" x14ac:dyDescent="0.25">
      <c r="B3252" s="1"/>
    </row>
    <row r="3253" spans="2:2" x14ac:dyDescent="0.25">
      <c r="B3253" s="1"/>
    </row>
    <row r="3254" spans="2:2" x14ac:dyDescent="0.25">
      <c r="B3254" s="1"/>
    </row>
    <row r="3255" spans="2:2" x14ac:dyDescent="0.25">
      <c r="B3255" s="1"/>
    </row>
    <row r="3256" spans="2:2" x14ac:dyDescent="0.25">
      <c r="B3256" s="1"/>
    </row>
    <row r="3257" spans="2:2" x14ac:dyDescent="0.25">
      <c r="B3257" s="1"/>
    </row>
    <row r="3258" spans="2:2" x14ac:dyDescent="0.25">
      <c r="B3258" s="1"/>
    </row>
    <row r="3259" spans="2:2" x14ac:dyDescent="0.25">
      <c r="B3259" s="1"/>
    </row>
    <row r="3260" spans="2:2" x14ac:dyDescent="0.25">
      <c r="B3260" s="1"/>
    </row>
    <row r="3261" spans="2:2" x14ac:dyDescent="0.25">
      <c r="B3261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499984740745262"/>
  </sheetPr>
  <dimension ref="A1"/>
  <sheetViews>
    <sheetView workbookViewId="0">
      <selection activeCell="L7" sqref="L7:S7"/>
    </sheetView>
  </sheetViews>
  <sheetFormatPr baseColWidth="10"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235"/>
  <sheetViews>
    <sheetView workbookViewId="0">
      <selection activeCell="B2" sqref="B2"/>
    </sheetView>
  </sheetViews>
  <sheetFormatPr baseColWidth="10" defaultRowHeight="15" x14ac:dyDescent="0.25"/>
  <cols>
    <col min="1" max="1" width="10.42578125" bestFit="1" customWidth="1"/>
    <col min="2" max="2" width="14.85546875" bestFit="1" customWidth="1"/>
    <col min="3" max="3" width="5.7109375" bestFit="1" customWidth="1"/>
    <col min="4" max="4" width="4.85546875" bestFit="1" customWidth="1"/>
    <col min="5" max="5" width="7.140625" bestFit="1" customWidth="1"/>
    <col min="6" max="6" width="3.42578125" bestFit="1" customWidth="1"/>
    <col min="7" max="7" width="24.7109375" bestFit="1" customWidth="1"/>
    <col min="8" max="8" width="3.5703125" bestFit="1" customWidth="1"/>
    <col min="9" max="9" width="17.85546875" bestFit="1" customWidth="1"/>
    <col min="10" max="10" width="14.85546875" bestFit="1" customWidth="1"/>
    <col min="11" max="11" width="11.7109375" bestFit="1" customWidth="1"/>
    <col min="12" max="12" width="8.7109375" bestFit="1" customWidth="1"/>
    <col min="13" max="14" width="12.7109375" bestFit="1" customWidth="1"/>
    <col min="15" max="15" width="8" bestFit="1" customWidth="1"/>
    <col min="16" max="16" width="12" bestFit="1" customWidth="1"/>
    <col min="17" max="17" width="7.28515625" bestFit="1" customWidth="1"/>
    <col min="18" max="18" width="9.85546875" bestFit="1" customWidth="1"/>
    <col min="19" max="19" width="7.5703125" bestFit="1" customWidth="1"/>
    <col min="20" max="20" width="13.140625" bestFit="1" customWidth="1"/>
    <col min="21" max="21" width="21.28515625" bestFit="1" customWidth="1"/>
    <col min="22" max="22" width="12" bestFit="1" customWidth="1"/>
    <col min="23" max="23" width="20" bestFit="1" customWidth="1"/>
    <col min="24" max="24" width="8.7109375" bestFit="1" customWidth="1"/>
    <col min="25" max="25" width="14.28515625" bestFit="1" customWidth="1"/>
    <col min="26" max="26" width="22.42578125" bestFit="1" customWidth="1"/>
    <col min="27" max="27" width="13.140625" bestFit="1" customWidth="1"/>
    <col min="28" max="28" width="21.28515625" bestFit="1" customWidth="1"/>
    <col min="29" max="29" width="20.28515625" bestFit="1" customWidth="1"/>
    <col min="30" max="30" width="6.140625" bestFit="1" customWidth="1"/>
  </cols>
  <sheetData>
    <row r="1" spans="1:30" x14ac:dyDescent="0.25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75</v>
      </c>
      <c r="V1" s="38" t="s">
        <v>20</v>
      </c>
      <c r="W1" s="38" t="s">
        <v>76</v>
      </c>
      <c r="X1" s="38" t="s">
        <v>21</v>
      </c>
      <c r="Y1" s="38" t="s">
        <v>22</v>
      </c>
      <c r="Z1" s="38" t="s">
        <v>77</v>
      </c>
      <c r="AA1" s="38" t="s">
        <v>23</v>
      </c>
      <c r="AB1" s="38" t="s">
        <v>78</v>
      </c>
      <c r="AC1" s="38" t="s">
        <v>24</v>
      </c>
      <c r="AD1" s="38" t="s">
        <v>71</v>
      </c>
    </row>
    <row r="2" spans="1:30" x14ac:dyDescent="0.25">
      <c r="B2" s="44">
        <v>42370</v>
      </c>
      <c r="P2" s="39"/>
      <c r="AD2" s="39"/>
    </row>
    <row r="3" spans="1:30" x14ac:dyDescent="0.25">
      <c r="B3" s="44">
        <v>42401</v>
      </c>
      <c r="P3" s="39"/>
      <c r="AD3" s="39"/>
    </row>
    <row r="4" spans="1:30" x14ac:dyDescent="0.25">
      <c r="B4" s="44">
        <v>42430</v>
      </c>
      <c r="P4" s="39"/>
      <c r="AD4" s="39"/>
    </row>
    <row r="5" spans="1:30" x14ac:dyDescent="0.25">
      <c r="B5" s="44">
        <v>42461</v>
      </c>
      <c r="P5" s="39"/>
      <c r="AD5" s="39"/>
    </row>
    <row r="6" spans="1:30" x14ac:dyDescent="0.25">
      <c r="B6" s="44">
        <v>42491</v>
      </c>
      <c r="P6" s="39"/>
      <c r="AD6" s="39"/>
    </row>
    <row r="7" spans="1:30" x14ac:dyDescent="0.25">
      <c r="B7" s="44">
        <v>42522</v>
      </c>
      <c r="P7" s="39"/>
      <c r="AD7" s="39"/>
    </row>
    <row r="8" spans="1:30" x14ac:dyDescent="0.25">
      <c r="B8" s="44">
        <v>42552</v>
      </c>
      <c r="P8" s="39"/>
      <c r="AD8" s="39"/>
    </row>
    <row r="9" spans="1:30" x14ac:dyDescent="0.25">
      <c r="B9" s="44">
        <v>42583</v>
      </c>
      <c r="P9" s="39"/>
      <c r="AD9" s="39"/>
    </row>
    <row r="10" spans="1:30" x14ac:dyDescent="0.25">
      <c r="B10" s="44">
        <v>42614</v>
      </c>
      <c r="P10" s="39"/>
      <c r="AD10" s="39"/>
    </row>
    <row r="11" spans="1:30" x14ac:dyDescent="0.25">
      <c r="B11" s="44">
        <v>42644</v>
      </c>
      <c r="P11" s="39"/>
      <c r="AD11" s="39"/>
    </row>
    <row r="12" spans="1:30" x14ac:dyDescent="0.25">
      <c r="B12" s="44">
        <v>42675</v>
      </c>
      <c r="P12" s="39"/>
      <c r="AD12" s="39"/>
    </row>
    <row r="13" spans="1:30" x14ac:dyDescent="0.25">
      <c r="B13" s="44">
        <v>42705</v>
      </c>
      <c r="P13" s="39"/>
      <c r="AD13" s="39"/>
    </row>
    <row r="14" spans="1:30" x14ac:dyDescent="0.25">
      <c r="B14" s="44">
        <v>42736</v>
      </c>
      <c r="P14" s="39"/>
      <c r="AD14" s="39"/>
    </row>
    <row r="15" spans="1:30" x14ac:dyDescent="0.25">
      <c r="B15" s="44">
        <v>42767</v>
      </c>
      <c r="P15" s="39"/>
      <c r="AD15" s="39"/>
    </row>
    <row r="16" spans="1:30" x14ac:dyDescent="0.25">
      <c r="B16" s="44">
        <v>42795</v>
      </c>
      <c r="P16" s="39"/>
      <c r="AD16" s="39"/>
    </row>
    <row r="17" spans="2:30" x14ac:dyDescent="0.25">
      <c r="B17" s="44">
        <v>42826</v>
      </c>
      <c r="P17" s="39"/>
      <c r="AD17" s="39"/>
    </row>
    <row r="18" spans="2:30" x14ac:dyDescent="0.25">
      <c r="B18" s="44">
        <v>42856</v>
      </c>
      <c r="P18" s="39"/>
      <c r="AD18" s="39"/>
    </row>
    <row r="19" spans="2:30" x14ac:dyDescent="0.25">
      <c r="B19" s="44">
        <v>42887</v>
      </c>
      <c r="P19" s="39"/>
      <c r="AD19" s="39"/>
    </row>
    <row r="20" spans="2:30" x14ac:dyDescent="0.25">
      <c r="B20" s="44">
        <v>42917</v>
      </c>
      <c r="P20" s="39"/>
      <c r="AD20" s="39"/>
    </row>
    <row r="21" spans="2:30" x14ac:dyDescent="0.25">
      <c r="B21" s="44">
        <v>42948</v>
      </c>
      <c r="P21" s="39"/>
      <c r="AD21" s="39"/>
    </row>
    <row r="22" spans="2:30" x14ac:dyDescent="0.25">
      <c r="B22" s="44">
        <v>42979</v>
      </c>
      <c r="P22" s="39"/>
      <c r="AD22" s="39"/>
    </row>
    <row r="23" spans="2:30" x14ac:dyDescent="0.25">
      <c r="B23" s="44">
        <v>43009</v>
      </c>
      <c r="P23" s="39"/>
      <c r="AD23" s="39"/>
    </row>
    <row r="24" spans="2:30" x14ac:dyDescent="0.25">
      <c r="B24" s="44">
        <v>43040</v>
      </c>
      <c r="P24" s="39"/>
      <c r="AD24" s="39"/>
    </row>
    <row r="25" spans="2:30" x14ac:dyDescent="0.25">
      <c r="B25" s="44">
        <v>43070</v>
      </c>
      <c r="P25" s="39"/>
      <c r="AD25" s="39"/>
    </row>
    <row r="26" spans="2:30" x14ac:dyDescent="0.25">
      <c r="B26" s="44">
        <v>43101</v>
      </c>
      <c r="P26" s="39"/>
      <c r="AD26" s="39"/>
    </row>
    <row r="27" spans="2:30" x14ac:dyDescent="0.25">
      <c r="B27" s="44">
        <v>43132</v>
      </c>
      <c r="P27" s="39"/>
      <c r="AD27" s="39"/>
    </row>
    <row r="28" spans="2:30" x14ac:dyDescent="0.25">
      <c r="B28" s="44">
        <v>43160</v>
      </c>
      <c r="P28" s="39"/>
      <c r="AD28" s="39"/>
    </row>
    <row r="29" spans="2:30" x14ac:dyDescent="0.25">
      <c r="B29" s="44">
        <v>43191</v>
      </c>
      <c r="P29" s="39"/>
      <c r="AD29" s="39"/>
    </row>
    <row r="30" spans="2:30" x14ac:dyDescent="0.25">
      <c r="B30" s="44">
        <v>43221</v>
      </c>
      <c r="P30" s="39"/>
      <c r="AD30" s="39"/>
    </row>
    <row r="31" spans="2:30" x14ac:dyDescent="0.25">
      <c r="B31" s="44">
        <v>43252</v>
      </c>
      <c r="P31" s="39"/>
      <c r="AD31" s="39"/>
    </row>
    <row r="32" spans="2:30" x14ac:dyDescent="0.25">
      <c r="B32" s="44">
        <v>43282</v>
      </c>
      <c r="P32" s="39"/>
      <c r="AD32" s="39"/>
    </row>
    <row r="33" spans="2:30" x14ac:dyDescent="0.25">
      <c r="B33" s="44">
        <v>43313</v>
      </c>
      <c r="P33" s="39"/>
      <c r="AD33" s="39"/>
    </row>
    <row r="34" spans="2:30" x14ac:dyDescent="0.25">
      <c r="B34" s="44">
        <v>43344</v>
      </c>
      <c r="P34" s="39"/>
      <c r="AD34" s="39"/>
    </row>
    <row r="35" spans="2:30" x14ac:dyDescent="0.25">
      <c r="B35" s="44">
        <v>43374</v>
      </c>
      <c r="P35" s="39"/>
      <c r="AD35" s="39"/>
    </row>
    <row r="36" spans="2:30" x14ac:dyDescent="0.25">
      <c r="B36" s="44">
        <v>43405</v>
      </c>
      <c r="P36" s="39"/>
      <c r="AD36" s="39"/>
    </row>
    <row r="37" spans="2:30" x14ac:dyDescent="0.25">
      <c r="B37" s="44">
        <v>43435</v>
      </c>
      <c r="P37" s="39"/>
      <c r="AD37" s="39"/>
    </row>
    <row r="38" spans="2:30" x14ac:dyDescent="0.25">
      <c r="B38" s="44">
        <v>43466</v>
      </c>
      <c r="P38" s="39"/>
      <c r="AD38" s="39"/>
    </row>
    <row r="39" spans="2:30" x14ac:dyDescent="0.25">
      <c r="B39" s="44">
        <v>43497</v>
      </c>
      <c r="P39" s="39"/>
      <c r="AD39" s="39"/>
    </row>
    <row r="40" spans="2:30" x14ac:dyDescent="0.25">
      <c r="B40" s="44">
        <v>43525</v>
      </c>
      <c r="P40" s="39"/>
      <c r="AD40" s="39"/>
    </row>
    <row r="41" spans="2:30" x14ac:dyDescent="0.25">
      <c r="B41" s="44">
        <v>43556</v>
      </c>
      <c r="P41" s="39"/>
      <c r="AD41" s="39"/>
    </row>
    <row r="42" spans="2:30" x14ac:dyDescent="0.25">
      <c r="B42" s="44">
        <v>43586</v>
      </c>
      <c r="P42" s="39"/>
      <c r="AD42" s="39"/>
    </row>
    <row r="43" spans="2:30" x14ac:dyDescent="0.25">
      <c r="B43" s="44">
        <v>43617</v>
      </c>
      <c r="P43" s="39"/>
      <c r="AD43" s="39"/>
    </row>
    <row r="44" spans="2:30" x14ac:dyDescent="0.25">
      <c r="B44" s="44">
        <v>43647</v>
      </c>
      <c r="P44" s="39"/>
      <c r="AD44" s="39"/>
    </row>
    <row r="45" spans="2:30" x14ac:dyDescent="0.25">
      <c r="B45" s="44">
        <v>43678</v>
      </c>
      <c r="P45" s="39"/>
      <c r="AD45" s="39"/>
    </row>
    <row r="46" spans="2:30" x14ac:dyDescent="0.25">
      <c r="B46" s="44">
        <v>43709</v>
      </c>
      <c r="P46" s="39"/>
      <c r="AD46" s="39"/>
    </row>
    <row r="47" spans="2:30" x14ac:dyDescent="0.25">
      <c r="B47" s="44">
        <v>43739</v>
      </c>
      <c r="P47" s="39"/>
      <c r="AD47" s="39"/>
    </row>
    <row r="48" spans="2:30" x14ac:dyDescent="0.25">
      <c r="B48" s="44">
        <v>43770</v>
      </c>
      <c r="P48" s="39"/>
      <c r="AD48" s="39"/>
    </row>
    <row r="49" spans="2:30" x14ac:dyDescent="0.25">
      <c r="B49" s="44">
        <v>43800</v>
      </c>
      <c r="P49" s="39"/>
      <c r="AD49" s="39"/>
    </row>
    <row r="50" spans="2:30" x14ac:dyDescent="0.25">
      <c r="B50" s="44">
        <v>43831</v>
      </c>
      <c r="P50" s="39"/>
      <c r="AD50" s="39"/>
    </row>
    <row r="51" spans="2:30" x14ac:dyDescent="0.25">
      <c r="B51" s="44">
        <v>43862</v>
      </c>
      <c r="P51" s="39"/>
      <c r="AD51" s="39"/>
    </row>
    <row r="52" spans="2:30" x14ac:dyDescent="0.25">
      <c r="B52" s="44">
        <v>43891</v>
      </c>
      <c r="P52" s="39"/>
      <c r="AD52" s="39"/>
    </row>
    <row r="53" spans="2:30" x14ac:dyDescent="0.25">
      <c r="B53" s="44">
        <v>43922</v>
      </c>
      <c r="P53" s="39"/>
      <c r="AD53" s="39"/>
    </row>
    <row r="54" spans="2:30" x14ac:dyDescent="0.25">
      <c r="B54" s="44">
        <v>43952</v>
      </c>
      <c r="P54" s="39"/>
      <c r="AD54" s="39"/>
    </row>
    <row r="55" spans="2:30" x14ac:dyDescent="0.25">
      <c r="B55" s="44">
        <v>43983</v>
      </c>
      <c r="P55" s="39"/>
      <c r="AD55" s="39"/>
    </row>
    <row r="56" spans="2:30" x14ac:dyDescent="0.25">
      <c r="B56" s="44">
        <v>44013</v>
      </c>
      <c r="P56" s="39"/>
      <c r="AD56" s="39"/>
    </row>
    <row r="57" spans="2:30" x14ac:dyDescent="0.25">
      <c r="B57" s="44">
        <v>44044</v>
      </c>
      <c r="P57" s="39"/>
      <c r="AD57" s="39"/>
    </row>
    <row r="58" spans="2:30" x14ac:dyDescent="0.25">
      <c r="B58" s="44">
        <v>44075</v>
      </c>
      <c r="P58" s="39"/>
      <c r="AD58" s="39"/>
    </row>
    <row r="59" spans="2:30" x14ac:dyDescent="0.25">
      <c r="B59" s="44">
        <v>44105</v>
      </c>
      <c r="P59" s="39"/>
      <c r="AD59" s="39"/>
    </row>
    <row r="60" spans="2:30" x14ac:dyDescent="0.25">
      <c r="B60" s="44">
        <v>44136</v>
      </c>
      <c r="P60" s="39"/>
      <c r="AD60" s="39"/>
    </row>
    <row r="61" spans="2:30" x14ac:dyDescent="0.25">
      <c r="B61" s="44">
        <v>44166</v>
      </c>
      <c r="P61" s="39"/>
      <c r="AD61" s="39"/>
    </row>
    <row r="62" spans="2:30" x14ac:dyDescent="0.25">
      <c r="B62" s="44">
        <v>44197</v>
      </c>
      <c r="P62" s="39"/>
      <c r="AD62" s="39"/>
    </row>
    <row r="63" spans="2:30" x14ac:dyDescent="0.25">
      <c r="B63" s="44">
        <v>44228</v>
      </c>
      <c r="P63" s="39"/>
      <c r="AD63" s="39"/>
    </row>
    <row r="64" spans="2:30" x14ac:dyDescent="0.25">
      <c r="B64" s="44">
        <v>44256</v>
      </c>
      <c r="P64" s="39"/>
      <c r="AD64" s="39"/>
    </row>
    <row r="65" spans="2:30" x14ac:dyDescent="0.25">
      <c r="B65" s="44">
        <v>44287</v>
      </c>
      <c r="P65" s="39"/>
      <c r="AD65" s="39"/>
    </row>
    <row r="66" spans="2:30" x14ac:dyDescent="0.25">
      <c r="B66" s="44">
        <v>44317</v>
      </c>
      <c r="P66" s="39"/>
      <c r="AD66" s="39"/>
    </row>
    <row r="67" spans="2:30" x14ac:dyDescent="0.25">
      <c r="B67" s="44">
        <v>44348</v>
      </c>
      <c r="P67" s="39"/>
      <c r="AD67" s="39"/>
    </row>
    <row r="68" spans="2:30" x14ac:dyDescent="0.25">
      <c r="B68" s="44">
        <v>44378</v>
      </c>
      <c r="P68" s="39"/>
      <c r="AD68" s="39"/>
    </row>
    <row r="69" spans="2:30" x14ac:dyDescent="0.25">
      <c r="B69" s="44">
        <v>44409</v>
      </c>
      <c r="P69" s="39"/>
      <c r="AD69" s="39"/>
    </row>
    <row r="70" spans="2:30" x14ac:dyDescent="0.25">
      <c r="B70" s="44">
        <v>44440</v>
      </c>
      <c r="P70" s="39"/>
      <c r="AD70" s="39"/>
    </row>
    <row r="71" spans="2:30" x14ac:dyDescent="0.25">
      <c r="B71" s="44">
        <v>44470</v>
      </c>
      <c r="P71" s="39"/>
      <c r="AD71" s="39"/>
    </row>
    <row r="72" spans="2:30" x14ac:dyDescent="0.25">
      <c r="B72" s="44">
        <v>44501</v>
      </c>
      <c r="P72" s="39"/>
      <c r="AD72" s="39"/>
    </row>
    <row r="73" spans="2:30" x14ac:dyDescent="0.25">
      <c r="B73" s="44">
        <v>44531</v>
      </c>
      <c r="P73" s="39"/>
      <c r="AD73" s="39"/>
    </row>
    <row r="74" spans="2:30" x14ac:dyDescent="0.25">
      <c r="B74" s="44">
        <v>44562</v>
      </c>
      <c r="P74" s="39"/>
      <c r="AD74" s="39"/>
    </row>
    <row r="75" spans="2:30" x14ac:dyDescent="0.25">
      <c r="B75" s="44">
        <v>44593</v>
      </c>
      <c r="P75" s="39"/>
      <c r="AD75" s="39"/>
    </row>
    <row r="76" spans="2:30" x14ac:dyDescent="0.25">
      <c r="B76" s="44">
        <v>44621</v>
      </c>
      <c r="P76" s="39"/>
      <c r="AD76" s="39"/>
    </row>
    <row r="77" spans="2:30" x14ac:dyDescent="0.25">
      <c r="B77" s="44">
        <v>44652</v>
      </c>
      <c r="P77" s="39"/>
      <c r="AD77" s="39"/>
    </row>
    <row r="78" spans="2:30" x14ac:dyDescent="0.25">
      <c r="B78" s="44">
        <v>44682</v>
      </c>
      <c r="P78" s="39"/>
      <c r="AD78" s="39"/>
    </row>
    <row r="79" spans="2:30" x14ac:dyDescent="0.25">
      <c r="B79" s="44">
        <v>44713</v>
      </c>
      <c r="P79" s="39"/>
      <c r="AD79" s="39"/>
    </row>
    <row r="80" spans="2:30" x14ac:dyDescent="0.25">
      <c r="B80" s="44">
        <v>44743</v>
      </c>
      <c r="P80" s="39"/>
      <c r="AD80" s="39"/>
    </row>
    <row r="81" spans="2:30" x14ac:dyDescent="0.25">
      <c r="B81" s="44">
        <v>44774</v>
      </c>
      <c r="P81" s="39"/>
      <c r="AD81" s="39"/>
    </row>
    <row r="82" spans="2:30" x14ac:dyDescent="0.25">
      <c r="B82" s="44">
        <v>44805</v>
      </c>
      <c r="P82" s="39"/>
      <c r="AD82" s="39"/>
    </row>
    <row r="83" spans="2:30" x14ac:dyDescent="0.25">
      <c r="B83" s="44">
        <v>44835</v>
      </c>
      <c r="P83" s="39"/>
      <c r="AD83" s="39"/>
    </row>
    <row r="84" spans="2:30" x14ac:dyDescent="0.25">
      <c r="B84" s="44">
        <v>44866</v>
      </c>
      <c r="P84" s="39"/>
      <c r="AD84" s="39"/>
    </row>
    <row r="85" spans="2:30" x14ac:dyDescent="0.25">
      <c r="B85" s="44">
        <v>44896</v>
      </c>
      <c r="P85" s="39"/>
      <c r="AD85" s="39"/>
    </row>
    <row r="86" spans="2:30" x14ac:dyDescent="0.25">
      <c r="B86" s="44">
        <v>44927</v>
      </c>
      <c r="P86" s="39"/>
      <c r="AD86" s="39"/>
    </row>
    <row r="87" spans="2:30" x14ac:dyDescent="0.25">
      <c r="B87" s="44">
        <v>44958</v>
      </c>
      <c r="P87" s="39"/>
      <c r="AD87" s="39"/>
    </row>
    <row r="88" spans="2:30" x14ac:dyDescent="0.25">
      <c r="B88" s="44">
        <v>44986</v>
      </c>
      <c r="P88" s="39"/>
      <c r="AD88" s="39"/>
    </row>
    <row r="89" spans="2:30" x14ac:dyDescent="0.25">
      <c r="B89" s="44">
        <v>45017</v>
      </c>
      <c r="P89" s="39"/>
      <c r="AD89" s="39"/>
    </row>
    <row r="90" spans="2:30" x14ac:dyDescent="0.25">
      <c r="B90" s="44">
        <v>45047</v>
      </c>
      <c r="P90" s="39"/>
      <c r="AD90" s="39"/>
    </row>
    <row r="91" spans="2:30" x14ac:dyDescent="0.25">
      <c r="B91" s="44">
        <v>45078</v>
      </c>
      <c r="P91" s="39"/>
      <c r="AD91" s="39"/>
    </row>
    <row r="92" spans="2:30" x14ac:dyDescent="0.25">
      <c r="B92" s="44">
        <v>45108</v>
      </c>
      <c r="P92" s="39"/>
      <c r="AD92" s="39"/>
    </row>
    <row r="93" spans="2:30" x14ac:dyDescent="0.25">
      <c r="B93" s="44">
        <v>45139</v>
      </c>
      <c r="P93" s="39"/>
      <c r="AD93" s="39"/>
    </row>
    <row r="94" spans="2:30" x14ac:dyDescent="0.25">
      <c r="B94" s="44">
        <v>45170</v>
      </c>
      <c r="P94" s="39"/>
      <c r="AD94" s="39"/>
    </row>
    <row r="95" spans="2:30" x14ac:dyDescent="0.25">
      <c r="B95" s="44">
        <v>45200</v>
      </c>
      <c r="P95" s="39"/>
      <c r="AD95" s="39"/>
    </row>
    <row r="96" spans="2:30" x14ac:dyDescent="0.25">
      <c r="B96" s="44">
        <v>45231</v>
      </c>
      <c r="P96" s="39"/>
      <c r="AD96" s="39"/>
    </row>
    <row r="97" spans="2:30" x14ac:dyDescent="0.25">
      <c r="B97" s="44">
        <v>45261</v>
      </c>
      <c r="P97" s="39"/>
      <c r="AD97" s="39"/>
    </row>
    <row r="98" spans="2:30" x14ac:dyDescent="0.25">
      <c r="B98" s="44">
        <v>45292</v>
      </c>
      <c r="P98" s="39"/>
      <c r="AD98" s="39"/>
    </row>
    <row r="99" spans="2:30" x14ac:dyDescent="0.25">
      <c r="B99" s="44">
        <v>45323</v>
      </c>
      <c r="P99" s="39"/>
      <c r="AD99" s="39"/>
    </row>
    <row r="100" spans="2:30" x14ac:dyDescent="0.25">
      <c r="B100" s="44">
        <v>45352</v>
      </c>
      <c r="P100" s="39"/>
      <c r="AD100" s="39"/>
    </row>
    <row r="101" spans="2:30" x14ac:dyDescent="0.25">
      <c r="B101" s="44">
        <v>45383</v>
      </c>
      <c r="P101" s="39"/>
      <c r="AD101" s="39"/>
    </row>
    <row r="102" spans="2:30" x14ac:dyDescent="0.25">
      <c r="B102" s="44">
        <v>45413</v>
      </c>
      <c r="P102" s="39"/>
      <c r="AD102" s="39"/>
    </row>
    <row r="103" spans="2:30" x14ac:dyDescent="0.25">
      <c r="B103" s="44">
        <v>45444</v>
      </c>
      <c r="P103" s="39"/>
      <c r="AD103" s="39"/>
    </row>
    <row r="104" spans="2:30" x14ac:dyDescent="0.25">
      <c r="B104" s="44">
        <v>45474</v>
      </c>
      <c r="P104" s="39"/>
      <c r="AD104" s="39"/>
    </row>
    <row r="105" spans="2:30" x14ac:dyDescent="0.25">
      <c r="B105" s="44">
        <v>45505</v>
      </c>
      <c r="P105" s="39"/>
      <c r="AD105" s="39"/>
    </row>
    <row r="106" spans="2:30" x14ac:dyDescent="0.25">
      <c r="B106" s="44">
        <v>45536</v>
      </c>
      <c r="P106" s="39"/>
      <c r="AD106" s="39"/>
    </row>
    <row r="107" spans="2:30" x14ac:dyDescent="0.25">
      <c r="B107" s="44">
        <v>45566</v>
      </c>
      <c r="P107" s="39"/>
      <c r="AD107" s="39"/>
    </row>
    <row r="108" spans="2:30" x14ac:dyDescent="0.25">
      <c r="B108" s="44">
        <v>45597</v>
      </c>
      <c r="P108" s="39"/>
      <c r="AD108" s="39"/>
    </row>
    <row r="109" spans="2:30" x14ac:dyDescent="0.25">
      <c r="B109" s="44">
        <v>45627</v>
      </c>
      <c r="P109" s="39"/>
      <c r="AD109" s="39"/>
    </row>
    <row r="110" spans="2:30" x14ac:dyDescent="0.25">
      <c r="B110" s="44">
        <v>45658</v>
      </c>
      <c r="P110" s="39"/>
      <c r="AD110" s="39"/>
    </row>
    <row r="111" spans="2:30" x14ac:dyDescent="0.25">
      <c r="B111" s="44">
        <v>45689</v>
      </c>
      <c r="P111" s="39"/>
      <c r="AD111" s="39"/>
    </row>
    <row r="112" spans="2:30" x14ac:dyDescent="0.25">
      <c r="B112" s="44">
        <v>45717</v>
      </c>
      <c r="P112" s="39"/>
      <c r="AD112" s="39"/>
    </row>
    <row r="113" spans="2:30" x14ac:dyDescent="0.25">
      <c r="B113" s="44">
        <v>45748</v>
      </c>
      <c r="P113" s="39"/>
      <c r="AD113" s="39"/>
    </row>
    <row r="114" spans="2:30" x14ac:dyDescent="0.25">
      <c r="B114" s="44">
        <v>45778</v>
      </c>
      <c r="P114" s="39"/>
      <c r="AD114" s="39"/>
    </row>
    <row r="115" spans="2:30" x14ac:dyDescent="0.25">
      <c r="B115" s="44">
        <v>45809</v>
      </c>
      <c r="P115" s="39"/>
      <c r="AD115" s="39"/>
    </row>
    <row r="116" spans="2:30" x14ac:dyDescent="0.25">
      <c r="B116" s="44">
        <v>45839</v>
      </c>
      <c r="P116" s="39"/>
      <c r="AD116" s="39"/>
    </row>
    <row r="117" spans="2:30" x14ac:dyDescent="0.25">
      <c r="B117" s="44">
        <v>45870</v>
      </c>
      <c r="P117" s="39"/>
      <c r="AD117" s="39"/>
    </row>
    <row r="118" spans="2:30" x14ac:dyDescent="0.25">
      <c r="B118" s="44">
        <v>45901</v>
      </c>
      <c r="P118" s="39"/>
      <c r="AD118" s="39"/>
    </row>
    <row r="119" spans="2:30" x14ac:dyDescent="0.25">
      <c r="B119" s="44">
        <v>45931</v>
      </c>
      <c r="P119" s="39"/>
      <c r="AD119" s="39"/>
    </row>
    <row r="120" spans="2:30" x14ac:dyDescent="0.25">
      <c r="B120" s="44">
        <v>45962</v>
      </c>
      <c r="P120" s="39"/>
      <c r="AD120" s="39"/>
    </row>
    <row r="121" spans="2:30" x14ac:dyDescent="0.25">
      <c r="B121" s="44">
        <v>45992</v>
      </c>
      <c r="P121" s="39"/>
      <c r="AD121" s="39"/>
    </row>
    <row r="122" spans="2:30" x14ac:dyDescent="0.25">
      <c r="B122" s="44">
        <v>46023</v>
      </c>
      <c r="P122" s="39"/>
      <c r="AD122" s="39"/>
    </row>
    <row r="123" spans="2:30" x14ac:dyDescent="0.25">
      <c r="B123" s="44">
        <v>46054</v>
      </c>
      <c r="P123" s="39"/>
      <c r="AD123" s="39"/>
    </row>
    <row r="124" spans="2:30" x14ac:dyDescent="0.25">
      <c r="B124" s="44">
        <v>46082</v>
      </c>
      <c r="P124" s="39"/>
      <c r="AD124" s="39"/>
    </row>
    <row r="125" spans="2:30" x14ac:dyDescent="0.25">
      <c r="B125" s="44">
        <v>46113</v>
      </c>
      <c r="P125" s="39"/>
      <c r="AD125" s="39"/>
    </row>
    <row r="126" spans="2:30" x14ac:dyDescent="0.25">
      <c r="B126" s="44">
        <v>46143</v>
      </c>
      <c r="P126" s="39"/>
      <c r="AD126" s="39"/>
    </row>
    <row r="127" spans="2:30" x14ac:dyDescent="0.25">
      <c r="B127" s="44">
        <v>46174</v>
      </c>
      <c r="P127" s="39"/>
      <c r="AD127" s="39"/>
    </row>
    <row r="128" spans="2:30" x14ac:dyDescent="0.25">
      <c r="B128" s="44">
        <v>46204</v>
      </c>
      <c r="P128" s="39"/>
      <c r="AD128" s="39"/>
    </row>
    <row r="129" spans="2:30" x14ac:dyDescent="0.25">
      <c r="B129" s="44">
        <v>46235</v>
      </c>
      <c r="P129" s="39"/>
      <c r="AD129" s="39"/>
    </row>
    <row r="130" spans="2:30" x14ac:dyDescent="0.25">
      <c r="B130" s="44">
        <v>46266</v>
      </c>
      <c r="P130" s="39"/>
      <c r="AD130" s="39"/>
    </row>
    <row r="131" spans="2:30" x14ac:dyDescent="0.25">
      <c r="B131" s="44">
        <v>46296</v>
      </c>
      <c r="P131" s="39"/>
      <c r="AD131" s="39"/>
    </row>
    <row r="132" spans="2:30" x14ac:dyDescent="0.25">
      <c r="B132" s="44">
        <v>46327</v>
      </c>
      <c r="P132" s="39"/>
      <c r="AD132" s="39"/>
    </row>
    <row r="133" spans="2:30" x14ac:dyDescent="0.25">
      <c r="B133" s="44">
        <v>46357</v>
      </c>
      <c r="P133" s="39"/>
      <c r="AD133" s="39"/>
    </row>
    <row r="134" spans="2:30" x14ac:dyDescent="0.25">
      <c r="B134" s="44">
        <v>46388</v>
      </c>
      <c r="P134" s="39"/>
      <c r="AD134" s="39"/>
    </row>
    <row r="135" spans="2:30" x14ac:dyDescent="0.25">
      <c r="B135" s="44">
        <v>46419</v>
      </c>
      <c r="P135" s="39"/>
      <c r="AD135" s="39"/>
    </row>
    <row r="136" spans="2:30" x14ac:dyDescent="0.25">
      <c r="B136" s="44">
        <v>46447</v>
      </c>
      <c r="P136" s="39"/>
      <c r="AD136" s="39"/>
    </row>
    <row r="137" spans="2:30" x14ac:dyDescent="0.25">
      <c r="B137" s="44">
        <v>46478</v>
      </c>
      <c r="P137" s="39"/>
      <c r="AD137" s="39"/>
    </row>
    <row r="138" spans="2:30" x14ac:dyDescent="0.25">
      <c r="B138" s="44">
        <v>46508</v>
      </c>
      <c r="P138" s="39"/>
      <c r="AD138" s="39"/>
    </row>
    <row r="139" spans="2:30" x14ac:dyDescent="0.25">
      <c r="B139" s="44">
        <v>46539</v>
      </c>
      <c r="P139" s="39"/>
      <c r="AD139" s="39"/>
    </row>
    <row r="140" spans="2:30" x14ac:dyDescent="0.25">
      <c r="B140" s="44">
        <v>46569</v>
      </c>
      <c r="P140" s="39"/>
      <c r="AD140" s="39"/>
    </row>
    <row r="141" spans="2:30" x14ac:dyDescent="0.25">
      <c r="B141" s="44">
        <v>46600</v>
      </c>
      <c r="P141" s="39"/>
      <c r="AD141" s="39"/>
    </row>
    <row r="142" spans="2:30" x14ac:dyDescent="0.25">
      <c r="B142" s="44">
        <v>46631</v>
      </c>
      <c r="P142" s="39"/>
      <c r="AD142" s="39"/>
    </row>
    <row r="143" spans="2:30" x14ac:dyDescent="0.25">
      <c r="B143" s="44">
        <v>46661</v>
      </c>
      <c r="P143" s="39"/>
      <c r="AD143" s="39"/>
    </row>
    <row r="144" spans="2:30" x14ac:dyDescent="0.25">
      <c r="B144" s="44">
        <v>46692</v>
      </c>
      <c r="P144" s="39"/>
      <c r="AD144" s="39"/>
    </row>
    <row r="145" spans="2:30" x14ac:dyDescent="0.25">
      <c r="B145" s="44">
        <v>46722</v>
      </c>
      <c r="P145" s="39"/>
      <c r="AD145" s="39"/>
    </row>
    <row r="146" spans="2:30" x14ac:dyDescent="0.25">
      <c r="B146" s="44">
        <v>46753</v>
      </c>
      <c r="P146" s="39"/>
      <c r="AD146" s="39"/>
    </row>
    <row r="147" spans="2:30" x14ac:dyDescent="0.25">
      <c r="B147" s="44">
        <v>46784</v>
      </c>
      <c r="P147" s="39"/>
      <c r="AD147" s="39"/>
    </row>
    <row r="148" spans="2:30" x14ac:dyDescent="0.25">
      <c r="B148" s="44">
        <v>46813</v>
      </c>
      <c r="P148" s="39"/>
      <c r="AD148" s="39"/>
    </row>
    <row r="149" spans="2:30" x14ac:dyDescent="0.25">
      <c r="B149" s="44">
        <v>46844</v>
      </c>
      <c r="P149" s="39"/>
      <c r="AD149" s="39"/>
    </row>
    <row r="150" spans="2:30" x14ac:dyDescent="0.25">
      <c r="B150" s="44">
        <v>46874</v>
      </c>
      <c r="P150" s="39"/>
      <c r="AD150" s="39"/>
    </row>
    <row r="151" spans="2:30" x14ac:dyDescent="0.25">
      <c r="B151" s="44">
        <v>46905</v>
      </c>
      <c r="P151" s="39"/>
      <c r="AD151" s="39"/>
    </row>
    <row r="152" spans="2:30" x14ac:dyDescent="0.25">
      <c r="B152" s="44">
        <v>46935</v>
      </c>
      <c r="P152" s="39"/>
      <c r="AD152" s="39"/>
    </row>
    <row r="153" spans="2:30" x14ac:dyDescent="0.25">
      <c r="B153" s="44">
        <v>46966</v>
      </c>
      <c r="P153" s="39"/>
      <c r="AD153" s="39"/>
    </row>
    <row r="154" spans="2:30" x14ac:dyDescent="0.25">
      <c r="B154" s="44">
        <v>46997</v>
      </c>
      <c r="P154" s="39"/>
      <c r="AD154" s="39"/>
    </row>
    <row r="155" spans="2:30" x14ac:dyDescent="0.25">
      <c r="B155" s="44">
        <v>47027</v>
      </c>
      <c r="P155" s="39"/>
      <c r="AD155" s="39"/>
    </row>
    <row r="156" spans="2:30" x14ac:dyDescent="0.25">
      <c r="B156" s="44">
        <v>47058</v>
      </c>
      <c r="P156" s="39"/>
      <c r="AD156" s="39"/>
    </row>
    <row r="157" spans="2:30" x14ac:dyDescent="0.25">
      <c r="B157" s="44">
        <v>47088</v>
      </c>
      <c r="P157" s="39"/>
      <c r="AD157" s="39"/>
    </row>
    <row r="158" spans="2:30" x14ac:dyDescent="0.25">
      <c r="B158" s="44">
        <v>47119</v>
      </c>
      <c r="P158" s="39"/>
      <c r="AD158" s="39"/>
    </row>
    <row r="159" spans="2:30" x14ac:dyDescent="0.25">
      <c r="B159" s="44">
        <v>47150</v>
      </c>
      <c r="P159" s="39"/>
      <c r="AD159" s="39"/>
    </row>
    <row r="160" spans="2:30" x14ac:dyDescent="0.25">
      <c r="B160" s="44">
        <v>47178</v>
      </c>
      <c r="P160" s="39"/>
      <c r="AD160" s="39"/>
    </row>
    <row r="161" spans="2:30" x14ac:dyDescent="0.25">
      <c r="B161" s="44">
        <v>47209</v>
      </c>
      <c r="P161" s="39"/>
      <c r="AD161" s="39"/>
    </row>
    <row r="162" spans="2:30" x14ac:dyDescent="0.25">
      <c r="B162" s="44">
        <v>47239</v>
      </c>
      <c r="P162" s="39"/>
      <c r="AD162" s="39"/>
    </row>
    <row r="163" spans="2:30" x14ac:dyDescent="0.25">
      <c r="B163" s="44">
        <v>47270</v>
      </c>
      <c r="P163" s="39"/>
      <c r="AD163" s="39"/>
    </row>
    <row r="164" spans="2:30" x14ac:dyDescent="0.25">
      <c r="B164" s="44">
        <v>47300</v>
      </c>
      <c r="P164" s="39"/>
      <c r="AD164" s="39"/>
    </row>
    <row r="165" spans="2:30" x14ac:dyDescent="0.25">
      <c r="B165" s="44">
        <v>47331</v>
      </c>
      <c r="P165" s="39"/>
      <c r="AD165" s="39"/>
    </row>
    <row r="166" spans="2:30" x14ac:dyDescent="0.25">
      <c r="B166" s="44">
        <v>47362</v>
      </c>
      <c r="P166" s="39"/>
      <c r="AD166" s="39"/>
    </row>
    <row r="167" spans="2:30" x14ac:dyDescent="0.25">
      <c r="B167" s="44">
        <v>47392</v>
      </c>
      <c r="P167" s="39"/>
      <c r="AD167" s="39"/>
    </row>
    <row r="168" spans="2:30" x14ac:dyDescent="0.25">
      <c r="B168" s="44">
        <v>47423</v>
      </c>
      <c r="P168" s="39"/>
      <c r="AD168" s="39"/>
    </row>
    <row r="169" spans="2:30" x14ac:dyDescent="0.25">
      <c r="B169" s="44">
        <v>47453</v>
      </c>
      <c r="P169" s="39"/>
      <c r="AD169" s="39"/>
    </row>
    <row r="170" spans="2:30" x14ac:dyDescent="0.25">
      <c r="B170" s="44">
        <v>47484</v>
      </c>
      <c r="P170" s="39"/>
      <c r="AD170" s="39"/>
    </row>
    <row r="171" spans="2:30" x14ac:dyDescent="0.25">
      <c r="B171" s="44">
        <v>47515</v>
      </c>
      <c r="P171" s="39"/>
      <c r="AD171" s="39"/>
    </row>
    <row r="172" spans="2:30" x14ac:dyDescent="0.25">
      <c r="B172" s="44">
        <v>47543</v>
      </c>
      <c r="P172" s="39"/>
      <c r="AD172" s="39"/>
    </row>
    <row r="173" spans="2:30" x14ac:dyDescent="0.25">
      <c r="B173" s="44">
        <v>47574</v>
      </c>
      <c r="P173" s="39"/>
      <c r="AD173" s="39"/>
    </row>
    <row r="174" spans="2:30" x14ac:dyDescent="0.25">
      <c r="B174" s="44">
        <v>47604</v>
      </c>
      <c r="P174" s="39"/>
      <c r="AD174" s="39"/>
    </row>
    <row r="175" spans="2:30" x14ac:dyDescent="0.25">
      <c r="B175" s="44">
        <v>47635</v>
      </c>
      <c r="P175" s="39"/>
      <c r="AD175" s="39"/>
    </row>
    <row r="176" spans="2:30" x14ac:dyDescent="0.25">
      <c r="B176" s="44">
        <v>47665</v>
      </c>
      <c r="P176" s="39"/>
      <c r="AD176" s="39"/>
    </row>
    <row r="177" spans="2:30" x14ac:dyDescent="0.25">
      <c r="B177" s="44">
        <v>47696</v>
      </c>
      <c r="P177" s="39"/>
      <c r="AD177" s="39"/>
    </row>
    <row r="178" spans="2:30" x14ac:dyDescent="0.25">
      <c r="B178" s="44">
        <v>47727</v>
      </c>
      <c r="P178" s="39"/>
      <c r="AD178" s="39"/>
    </row>
    <row r="179" spans="2:30" x14ac:dyDescent="0.25">
      <c r="B179" s="44">
        <v>47757</v>
      </c>
      <c r="P179" s="39"/>
      <c r="AD179" s="39"/>
    </row>
    <row r="180" spans="2:30" x14ac:dyDescent="0.25">
      <c r="B180" s="44">
        <v>47788</v>
      </c>
      <c r="P180" s="39"/>
      <c r="AD180" s="39"/>
    </row>
    <row r="181" spans="2:30" x14ac:dyDescent="0.25">
      <c r="B181" s="44">
        <v>47818</v>
      </c>
      <c r="P181" s="39"/>
      <c r="AD181" s="39"/>
    </row>
    <row r="182" spans="2:30" x14ac:dyDescent="0.25">
      <c r="B182" s="44">
        <v>47849</v>
      </c>
      <c r="P182" s="39"/>
      <c r="AD182" s="39"/>
    </row>
    <row r="183" spans="2:30" x14ac:dyDescent="0.25">
      <c r="B183" s="44">
        <v>47880</v>
      </c>
      <c r="P183" s="39"/>
      <c r="AD183" s="39"/>
    </row>
    <row r="184" spans="2:30" x14ac:dyDescent="0.25">
      <c r="B184" s="44">
        <v>47908</v>
      </c>
      <c r="P184" s="39"/>
      <c r="AD184" s="39"/>
    </row>
    <row r="185" spans="2:30" x14ac:dyDescent="0.25">
      <c r="B185" s="44">
        <v>47939</v>
      </c>
      <c r="P185" s="39"/>
      <c r="AD185" s="39"/>
    </row>
    <row r="186" spans="2:30" x14ac:dyDescent="0.25">
      <c r="B186" s="44">
        <v>47969</v>
      </c>
      <c r="P186" s="39"/>
      <c r="AD186" s="39"/>
    </row>
    <row r="187" spans="2:30" x14ac:dyDescent="0.25">
      <c r="B187" s="44">
        <v>48000</v>
      </c>
      <c r="P187" s="39"/>
      <c r="AD187" s="39"/>
    </row>
    <row r="188" spans="2:30" x14ac:dyDescent="0.25">
      <c r="B188" s="44">
        <v>48030</v>
      </c>
      <c r="P188" s="39"/>
      <c r="AD188" s="39"/>
    </row>
    <row r="189" spans="2:30" x14ac:dyDescent="0.25">
      <c r="B189" s="44">
        <v>48061</v>
      </c>
      <c r="P189" s="39"/>
      <c r="AD189" s="39"/>
    </row>
    <row r="190" spans="2:30" x14ac:dyDescent="0.25">
      <c r="B190" s="44">
        <v>48092</v>
      </c>
      <c r="P190" s="39"/>
      <c r="AD190" s="39"/>
    </row>
    <row r="191" spans="2:30" x14ac:dyDescent="0.25">
      <c r="B191" s="44">
        <v>48122</v>
      </c>
      <c r="P191" s="39"/>
      <c r="AD191" s="39"/>
    </row>
    <row r="192" spans="2:30" x14ac:dyDescent="0.25">
      <c r="B192" s="44">
        <v>48153</v>
      </c>
      <c r="P192" s="39"/>
      <c r="AD192" s="39"/>
    </row>
    <row r="193" spans="2:30" x14ac:dyDescent="0.25">
      <c r="B193" s="44">
        <v>48183</v>
      </c>
      <c r="P193" s="39"/>
      <c r="AD193" s="39"/>
    </row>
    <row r="194" spans="2:30" x14ac:dyDescent="0.25">
      <c r="B194" s="44">
        <v>48214</v>
      </c>
      <c r="P194" s="39"/>
      <c r="AD194" s="39"/>
    </row>
    <row r="195" spans="2:30" x14ac:dyDescent="0.25">
      <c r="B195" s="44">
        <v>48245</v>
      </c>
      <c r="P195" s="39"/>
      <c r="AD195" s="39"/>
    </row>
    <row r="196" spans="2:30" x14ac:dyDescent="0.25">
      <c r="B196" s="44">
        <v>48274</v>
      </c>
      <c r="P196" s="39"/>
      <c r="AD196" s="39"/>
    </row>
    <row r="197" spans="2:30" x14ac:dyDescent="0.25">
      <c r="B197" s="44">
        <v>48305</v>
      </c>
      <c r="P197" s="39"/>
      <c r="AD197" s="39"/>
    </row>
    <row r="198" spans="2:30" x14ac:dyDescent="0.25">
      <c r="B198" s="44">
        <v>48335</v>
      </c>
      <c r="P198" s="39"/>
      <c r="AD198" s="39"/>
    </row>
    <row r="199" spans="2:30" x14ac:dyDescent="0.25">
      <c r="B199" s="44">
        <v>48366</v>
      </c>
      <c r="P199" s="39"/>
      <c r="AD199" s="39"/>
    </row>
    <row r="200" spans="2:30" x14ac:dyDescent="0.25">
      <c r="B200" s="44">
        <v>48396</v>
      </c>
      <c r="P200" s="39"/>
      <c r="AD200" s="39"/>
    </row>
    <row r="201" spans="2:30" x14ac:dyDescent="0.25">
      <c r="B201" s="44">
        <v>48427</v>
      </c>
      <c r="P201" s="39"/>
      <c r="AD201" s="39"/>
    </row>
    <row r="202" spans="2:30" x14ac:dyDescent="0.25">
      <c r="B202" s="44">
        <v>48458</v>
      </c>
      <c r="P202" s="39"/>
      <c r="AD202" s="39"/>
    </row>
    <row r="203" spans="2:30" x14ac:dyDescent="0.25">
      <c r="B203" s="44">
        <v>48488</v>
      </c>
      <c r="P203" s="39"/>
      <c r="AD203" s="39"/>
    </row>
    <row r="204" spans="2:30" x14ac:dyDescent="0.25">
      <c r="B204" s="44">
        <v>48519</v>
      </c>
      <c r="P204" s="39"/>
      <c r="AD204" s="39"/>
    </row>
    <row r="205" spans="2:30" x14ac:dyDescent="0.25">
      <c r="B205" s="44">
        <v>48549</v>
      </c>
      <c r="P205" s="39"/>
      <c r="AD205" s="39"/>
    </row>
    <row r="206" spans="2:30" x14ac:dyDescent="0.25">
      <c r="B206" s="44">
        <v>48580</v>
      </c>
      <c r="P206" s="39"/>
      <c r="AD206" s="39"/>
    </row>
    <row r="207" spans="2:30" x14ac:dyDescent="0.25">
      <c r="B207" s="44">
        <v>48611</v>
      </c>
      <c r="P207" s="39"/>
      <c r="AD207" s="39"/>
    </row>
    <row r="208" spans="2:30" x14ac:dyDescent="0.25">
      <c r="B208" s="44">
        <v>48639</v>
      </c>
      <c r="P208" s="39"/>
      <c r="AD208" s="39"/>
    </row>
    <row r="209" spans="2:30" x14ac:dyDescent="0.25">
      <c r="B209" s="44">
        <v>48670</v>
      </c>
      <c r="P209" s="39"/>
      <c r="AD209" s="39"/>
    </row>
    <row r="210" spans="2:30" x14ac:dyDescent="0.25">
      <c r="B210" s="44">
        <v>48700</v>
      </c>
      <c r="P210" s="39"/>
      <c r="AD210" s="39"/>
    </row>
    <row r="211" spans="2:30" x14ac:dyDescent="0.25">
      <c r="B211" s="44">
        <v>48731</v>
      </c>
      <c r="P211" s="39"/>
      <c r="AD211" s="39"/>
    </row>
    <row r="212" spans="2:30" x14ac:dyDescent="0.25">
      <c r="B212" s="44">
        <v>48761</v>
      </c>
      <c r="P212" s="39"/>
      <c r="AD212" s="39"/>
    </row>
    <row r="213" spans="2:30" x14ac:dyDescent="0.25">
      <c r="B213" s="44">
        <v>48792</v>
      </c>
      <c r="P213" s="39"/>
      <c r="AD213" s="39"/>
    </row>
    <row r="214" spans="2:30" x14ac:dyDescent="0.25">
      <c r="B214" s="44">
        <v>48823</v>
      </c>
      <c r="P214" s="39"/>
      <c r="AD214" s="39"/>
    </row>
    <row r="215" spans="2:30" x14ac:dyDescent="0.25">
      <c r="B215" s="44">
        <v>48853</v>
      </c>
      <c r="P215" s="39"/>
      <c r="AD215" s="39"/>
    </row>
    <row r="216" spans="2:30" x14ac:dyDescent="0.25">
      <c r="B216" s="44">
        <v>48884</v>
      </c>
      <c r="P216" s="39"/>
      <c r="AD216" s="39"/>
    </row>
    <row r="217" spans="2:30" x14ac:dyDescent="0.25">
      <c r="B217" s="44">
        <v>48914</v>
      </c>
      <c r="P217" s="39"/>
      <c r="AD217" s="39"/>
    </row>
    <row r="218" spans="2:30" x14ac:dyDescent="0.25">
      <c r="B218" s="44">
        <v>48945</v>
      </c>
      <c r="P218" s="39"/>
      <c r="AD218" s="39"/>
    </row>
    <row r="219" spans="2:30" x14ac:dyDescent="0.25">
      <c r="B219" s="44">
        <v>48976</v>
      </c>
      <c r="P219" s="39"/>
      <c r="AD219" s="39"/>
    </row>
    <row r="220" spans="2:30" x14ac:dyDescent="0.25">
      <c r="B220" s="44">
        <v>49004</v>
      </c>
      <c r="P220" s="39"/>
      <c r="AD220" s="39"/>
    </row>
    <row r="221" spans="2:30" x14ac:dyDescent="0.25">
      <c r="B221" s="44">
        <v>49035</v>
      </c>
      <c r="P221" s="39"/>
      <c r="AD221" s="39"/>
    </row>
    <row r="222" spans="2:30" x14ac:dyDescent="0.25">
      <c r="B222" s="44">
        <v>49065</v>
      </c>
      <c r="P222" s="39"/>
      <c r="AD222" s="39"/>
    </row>
    <row r="223" spans="2:30" x14ac:dyDescent="0.25">
      <c r="B223" s="44">
        <v>49096</v>
      </c>
      <c r="P223" s="39"/>
      <c r="AD223" s="39"/>
    </row>
    <row r="224" spans="2:30" x14ac:dyDescent="0.25">
      <c r="B224" s="44">
        <v>49126</v>
      </c>
      <c r="P224" s="39"/>
      <c r="AD224" s="39"/>
    </row>
    <row r="225" spans="2:30" x14ac:dyDescent="0.25">
      <c r="B225" s="44">
        <v>49157</v>
      </c>
      <c r="P225" s="39"/>
      <c r="AD225" s="39"/>
    </row>
    <row r="226" spans="2:30" x14ac:dyDescent="0.25">
      <c r="B226" s="44">
        <v>49188</v>
      </c>
      <c r="P226" s="39"/>
      <c r="AD226" s="39"/>
    </row>
    <row r="227" spans="2:30" x14ac:dyDescent="0.25">
      <c r="B227" s="44">
        <v>49218</v>
      </c>
      <c r="P227" s="39"/>
      <c r="AD227" s="39"/>
    </row>
    <row r="228" spans="2:30" x14ac:dyDescent="0.25">
      <c r="B228" s="44">
        <v>49249</v>
      </c>
      <c r="P228" s="39"/>
      <c r="AD228" s="39"/>
    </row>
    <row r="229" spans="2:30" x14ac:dyDescent="0.25">
      <c r="B229" s="44">
        <v>49279</v>
      </c>
      <c r="P229" s="39"/>
      <c r="AD229" s="39"/>
    </row>
    <row r="230" spans="2:30" x14ac:dyDescent="0.25">
      <c r="B230" s="44">
        <v>49310</v>
      </c>
      <c r="P230" s="39"/>
      <c r="AD230" s="39"/>
    </row>
    <row r="231" spans="2:30" x14ac:dyDescent="0.25">
      <c r="B231" s="44">
        <v>49341</v>
      </c>
      <c r="P231" s="39"/>
      <c r="AD231" s="39"/>
    </row>
    <row r="232" spans="2:30" x14ac:dyDescent="0.25">
      <c r="B232" s="44">
        <v>49369</v>
      </c>
      <c r="P232" s="39"/>
      <c r="AD232" s="39"/>
    </row>
    <row r="233" spans="2:30" x14ac:dyDescent="0.25">
      <c r="B233" s="44">
        <v>49400</v>
      </c>
      <c r="P233" s="39"/>
      <c r="AD233" s="39"/>
    </row>
    <row r="234" spans="2:30" x14ac:dyDescent="0.25">
      <c r="B234" s="44">
        <v>49430</v>
      </c>
      <c r="P234" s="39"/>
      <c r="AD234" s="39"/>
    </row>
    <row r="235" spans="2:30" x14ac:dyDescent="0.25">
      <c r="B235" s="44">
        <v>49461</v>
      </c>
      <c r="P235" s="39"/>
      <c r="AD235" s="3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2"/>
  <sheetViews>
    <sheetView workbookViewId="0">
      <selection activeCell="B14" sqref="B14"/>
    </sheetView>
  </sheetViews>
  <sheetFormatPr baseColWidth="10" defaultColWidth="11.5703125" defaultRowHeight="11.45" customHeight="1" x14ac:dyDescent="0.2"/>
  <cols>
    <col min="1" max="1" width="17.28515625" style="45" customWidth="1"/>
    <col min="2" max="2" width="14.42578125" style="46" customWidth="1"/>
    <col min="3" max="3" width="22.28515625" style="46" customWidth="1"/>
    <col min="4" max="4" width="9.28515625" style="46" bestFit="1" customWidth="1"/>
    <col min="5" max="5" width="11.5703125" style="46" customWidth="1"/>
    <col min="6" max="6" width="9.7109375" style="46" bestFit="1" customWidth="1"/>
    <col min="7" max="7" width="63.7109375" style="45" bestFit="1" customWidth="1"/>
    <col min="8" max="16384" width="11.5703125" style="45"/>
  </cols>
  <sheetData>
    <row r="1" spans="1:7" ht="12" x14ac:dyDescent="0.2">
      <c r="A1" s="47" t="s">
        <v>302</v>
      </c>
      <c r="B1" s="48" t="s">
        <v>303</v>
      </c>
      <c r="C1" s="48" t="s">
        <v>304</v>
      </c>
      <c r="D1" s="48" t="s">
        <v>305</v>
      </c>
      <c r="E1" s="48" t="s">
        <v>306</v>
      </c>
      <c r="F1" s="48" t="s">
        <v>307</v>
      </c>
      <c r="G1" s="48" t="s">
        <v>308</v>
      </c>
    </row>
    <row r="2" spans="1:7" ht="12" x14ac:dyDescent="0.2">
      <c r="A2" s="45" t="s">
        <v>333</v>
      </c>
      <c r="B2" s="49">
        <v>42588</v>
      </c>
      <c r="C2" s="46" t="s">
        <v>334</v>
      </c>
      <c r="D2" s="49">
        <v>42566</v>
      </c>
      <c r="E2" s="49">
        <v>42594</v>
      </c>
      <c r="F2" s="51">
        <v>5.4600000000000003E-2</v>
      </c>
      <c r="G2" s="45" t="s">
        <v>335</v>
      </c>
    </row>
    <row r="3" spans="1:7" ht="12" x14ac:dyDescent="0.2">
      <c r="A3" s="45" t="s">
        <v>336</v>
      </c>
      <c r="B3" s="49">
        <v>42614</v>
      </c>
      <c r="C3" s="46" t="s">
        <v>337</v>
      </c>
      <c r="D3" s="49">
        <v>42595</v>
      </c>
      <c r="E3" s="49">
        <v>42627</v>
      </c>
      <c r="F3" s="51">
        <v>5.4199999999999998E-2</v>
      </c>
      <c r="G3" s="45" t="s">
        <v>338</v>
      </c>
    </row>
    <row r="4" spans="1:7" ht="12" x14ac:dyDescent="0.2">
      <c r="A4" s="45" t="s">
        <v>339</v>
      </c>
      <c r="B4" s="49">
        <v>43018</v>
      </c>
      <c r="C4" s="46" t="s">
        <v>340</v>
      </c>
      <c r="D4" s="49">
        <v>42993</v>
      </c>
      <c r="E4" s="49">
        <v>43021</v>
      </c>
      <c r="F4" s="51">
        <v>4.1599999999999998E-2</v>
      </c>
      <c r="G4" s="45" t="s">
        <v>341</v>
      </c>
    </row>
    <row r="5" spans="1:7" ht="12" x14ac:dyDescent="0.2">
      <c r="A5" s="45" t="s">
        <v>342</v>
      </c>
      <c r="B5" s="49">
        <v>43018</v>
      </c>
      <c r="C5" s="46" t="s">
        <v>340</v>
      </c>
      <c r="D5" s="49">
        <v>42993</v>
      </c>
      <c r="E5" s="49">
        <v>43021</v>
      </c>
      <c r="F5" s="51">
        <v>4.1599999999999998E-2</v>
      </c>
      <c r="G5" s="45" t="s">
        <v>341</v>
      </c>
    </row>
    <row r="6" spans="1:7" ht="12" x14ac:dyDescent="0.2">
      <c r="A6" s="45" t="s">
        <v>343</v>
      </c>
      <c r="B6" s="49">
        <v>43183</v>
      </c>
      <c r="C6" s="46" t="s">
        <v>344</v>
      </c>
      <c r="D6" s="49">
        <v>43174</v>
      </c>
      <c r="E6" s="49">
        <v>43203</v>
      </c>
      <c r="F6" s="51">
        <v>4.2000000000000003E-2</v>
      </c>
      <c r="G6" s="45" t="s">
        <v>345</v>
      </c>
    </row>
    <row r="7" spans="1:7" ht="12" x14ac:dyDescent="0.2">
      <c r="A7" s="45" t="s">
        <v>346</v>
      </c>
      <c r="B7" s="49">
        <v>43371</v>
      </c>
      <c r="C7" s="46" t="s">
        <v>309</v>
      </c>
      <c r="D7" s="49">
        <v>43358</v>
      </c>
      <c r="E7" s="49">
        <v>43385</v>
      </c>
      <c r="F7" s="50">
        <v>4.3799999999999999E-2</v>
      </c>
      <c r="G7" s="45" t="s">
        <v>310</v>
      </c>
    </row>
    <row r="8" spans="1:7" ht="12" x14ac:dyDescent="0.2">
      <c r="A8" s="45" t="s">
        <v>347</v>
      </c>
      <c r="B8" s="49">
        <v>43591</v>
      </c>
      <c r="C8" s="46" t="s">
        <v>311</v>
      </c>
      <c r="D8" s="49">
        <v>43570</v>
      </c>
      <c r="E8" s="49">
        <v>43599</v>
      </c>
      <c r="F8" s="50">
        <v>4.4600000000000001E-2</v>
      </c>
      <c r="G8" s="45" t="s">
        <v>312</v>
      </c>
    </row>
    <row r="9" spans="1:7" ht="12" x14ac:dyDescent="0.2">
      <c r="A9" s="45" t="s">
        <v>348</v>
      </c>
      <c r="B9" s="49">
        <v>44137</v>
      </c>
      <c r="C9" s="46" t="s">
        <v>313</v>
      </c>
      <c r="D9" s="49">
        <v>44119</v>
      </c>
      <c r="E9" s="49">
        <v>44148</v>
      </c>
      <c r="F9" s="51">
        <v>3.61E-2</v>
      </c>
      <c r="G9" s="45" t="s">
        <v>314</v>
      </c>
    </row>
    <row r="10" spans="1:7" ht="12" x14ac:dyDescent="0.2">
      <c r="A10" s="45" t="s">
        <v>349</v>
      </c>
      <c r="B10" s="49">
        <v>44275</v>
      </c>
      <c r="C10" s="46" t="s">
        <v>315</v>
      </c>
      <c r="D10" s="49">
        <v>44270</v>
      </c>
      <c r="E10" s="49">
        <v>44300</v>
      </c>
      <c r="F10" s="51">
        <v>3.9100000000000003E-2</v>
      </c>
      <c r="G10" s="45" t="s">
        <v>316</v>
      </c>
    </row>
    <row r="11" spans="1:7" ht="11.45" customHeight="1" x14ac:dyDescent="0.2">
      <c r="A11" s="45" t="s">
        <v>350</v>
      </c>
      <c r="B11" s="49">
        <v>44336</v>
      </c>
      <c r="C11" s="46" t="s">
        <v>317</v>
      </c>
      <c r="D11" s="49">
        <v>44330</v>
      </c>
      <c r="F11" s="51">
        <v>3.2800000000000003E-2</v>
      </c>
      <c r="G11" s="45" t="s">
        <v>318</v>
      </c>
    </row>
    <row r="13" spans="1:7" ht="11.45" customHeight="1" x14ac:dyDescent="0.2">
      <c r="A13" s="45" t="s">
        <v>300</v>
      </c>
    </row>
    <row r="14" spans="1:7" ht="12" x14ac:dyDescent="0.2">
      <c r="A14" s="45" t="s">
        <v>301</v>
      </c>
    </row>
    <row r="15" spans="1:7" ht="12" x14ac:dyDescent="0.2"/>
    <row r="16" spans="1:7" ht="12" x14ac:dyDescent="0.2"/>
    <row r="17" ht="12" x14ac:dyDescent="0.2"/>
    <row r="18" ht="12" x14ac:dyDescent="0.2"/>
    <row r="19" ht="12" x14ac:dyDescent="0.2"/>
    <row r="20" ht="12" x14ac:dyDescent="0.2"/>
    <row r="21" ht="12" x14ac:dyDescent="0.2"/>
    <row r="22" ht="12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README</vt:lpstr>
      <vt:lpstr>MAPA_DATA</vt:lpstr>
      <vt:lpstr>ReliquidacionEFACT</vt:lpstr>
      <vt:lpstr>ReliquidacionCEN</vt:lpstr>
      <vt:lpstr>ResumenRetiros</vt:lpstr>
      <vt:lpstr>FACT_EMITIDA</vt:lpstr>
      <vt:lpstr>SIGGE_E</vt:lpstr>
      <vt:lpstr>SIGGE_P</vt:lpstr>
      <vt:lpstr>FACT_EST_EFACT</vt:lpstr>
      <vt:lpstr>FactRealE</vt:lpstr>
      <vt:lpstr>FactRealP</vt:lpstr>
      <vt:lpstr>CEN_Energia</vt:lpstr>
      <vt:lpstr>CEN_Potencia</vt:lpstr>
      <vt:lpstr>EFACT_CNE</vt:lpstr>
      <vt:lpstr>EFACT_EST_CEN</vt:lpstr>
      <vt:lpstr>SIN_DATA</vt:lpstr>
      <vt:lpstr>INTERESES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2021-05-19T15:58:11Z</dcterms:created>
  <dcterms:modified xsi:type="dcterms:W3CDTF">2021-09-30T14:26:50Z</dcterms:modified>
</cp:coreProperties>
</file>