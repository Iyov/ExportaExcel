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README" sheetId="1" state="visible" r:id="rId1"/>
    <sheet xmlns:r="http://schemas.openxmlformats.org/officeDocument/2006/relationships" name="ReliquidacionEFACT" sheetId="2" state="visible" r:id="rId2"/>
    <sheet xmlns:r="http://schemas.openxmlformats.org/officeDocument/2006/relationships" name="ResumenRetiros" sheetId="3" state="visible" r:id="rId3"/>
    <sheet xmlns:r="http://schemas.openxmlformats.org/officeDocument/2006/relationships" name="FactRealE" sheetId="4" state="visible" r:id="rId4"/>
    <sheet xmlns:r="http://schemas.openxmlformats.org/officeDocument/2006/relationships" name="FactRealP" sheetId="5" state="visible" r:id="rId5"/>
    <sheet xmlns:r="http://schemas.openxmlformats.org/officeDocument/2006/relationships" name="FACT_EMITIDA" sheetId="6" state="visible" r:id="rId6"/>
    <sheet xmlns:r="http://schemas.openxmlformats.org/officeDocument/2006/relationships" name="SIGGE_E" sheetId="7" state="visible" r:id="rId7"/>
    <sheet xmlns:r="http://schemas.openxmlformats.org/officeDocument/2006/relationships" name="SIGGE_P" sheetId="8" state="visible" r:id="rId8"/>
    <sheet xmlns:r="http://schemas.openxmlformats.org/officeDocument/2006/relationships" name="EFACT_CNE" sheetId="9" state="visible" r:id="rId9"/>
    <sheet xmlns:r="http://schemas.openxmlformats.org/officeDocument/2006/relationships" name="EfactCNE_BT" sheetId="10" state="visible" r:id="rId10"/>
    <sheet xmlns:r="http://schemas.openxmlformats.org/officeDocument/2006/relationships" name="CEN_Energia" sheetId="11" state="visible" r:id="rId11"/>
    <sheet xmlns:r="http://schemas.openxmlformats.org/officeDocument/2006/relationships" name="CEN_Potencia" sheetId="12" state="visible" r:id="rId12"/>
    <sheet xmlns:r="http://schemas.openxmlformats.org/officeDocument/2006/relationships" name="CEN_EnergiaBT" sheetId="13" state="visible" r:id="rId13"/>
    <sheet xmlns:r="http://schemas.openxmlformats.org/officeDocument/2006/relationships" name="EFACT_EST_CEN" sheetId="14" state="visible" r:id="rId14"/>
    <sheet xmlns:r="http://schemas.openxmlformats.org/officeDocument/2006/relationships" name="SIN_DATA" sheetId="15" state="visible" r:id="rId15"/>
    <sheet xmlns:r="http://schemas.openxmlformats.org/officeDocument/2006/relationships" name="INTERESES" sheetId="16" state="visible" r:id="rId16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H:MM:SS"/>
    <numFmt numFmtId="165" formatCode="DD-MM-YYYY"/>
  </numFmts>
  <fonts count="3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name val="Calibri"/>
      <family val="2"/>
      <color theme="10"/>
      <sz val="11"/>
      <u val="single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Alignment="1" applyProtection="1">
      <alignment vertical="top"/>
      <protection locked="0" hidden="0"/>
    </xf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0" fontId="2" fillId="0" borderId="0" pivotButton="0" quotePrefix="0" xfId="1"/>
    <xf numFmtId="165" fontId="0" fillId="0" borderId="0" pivotButton="0" quotePrefix="0" xfId="0"/>
  </cellXfs>
  <cellStyles count="2">
    <cellStyle name="Normal" xfId="0" builtinId="0"/>
    <cellStyle name="Hyperlink" xfId="1" builtinId="8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styles" Target="styles.xml" Id="rId17"/><Relationship Type="http://schemas.openxmlformats.org/officeDocument/2006/relationships/theme" Target="theme/theme1.xml" Id="rId1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6.xml.rels><Relationships xmlns="http://schemas.openxmlformats.org/package/2006/relationships"><Relationship Type="http://schemas.openxmlformats.org/officeDocument/2006/relationships/hyperlink" Target="https://www.bcn.cl/leychile/navegar?idNorma=1092549" TargetMode="External" Id="rId1"/><Relationship Type="http://schemas.openxmlformats.org/officeDocument/2006/relationships/hyperlink" Target="https://www.bcn.cl/leychile/navegar?idNorma=1093605" TargetMode="External" Id="rId2"/><Relationship Type="http://schemas.openxmlformats.org/officeDocument/2006/relationships/hyperlink" Target="https://www.diariooficial.interior.gob.cl/publicaciones/2017/09/15/41861/01/1272697.pdf" TargetMode="External" Id="rId3"/><Relationship Type="http://schemas.openxmlformats.org/officeDocument/2006/relationships/hyperlink" Target="https://www.diariooficial.interior.gob.cl/publicaciones/2017/09/15/41861/01/1272697.pdf" TargetMode="External" Id="rId4"/><Relationship Type="http://schemas.openxmlformats.org/officeDocument/2006/relationships/hyperlink" Target="https://www.diariooficial.interior.gob.cl/publicaciones/2018/03/15/42008/01/1366088.pdf" TargetMode="External" Id="rId5"/><Relationship Type="http://schemas.openxmlformats.org/officeDocument/2006/relationships/hyperlink" Target="https://www.diariooficial.interior.gob.cl/publicaciones/2018/09/15/42159/01/1465375.pdf" TargetMode="External" Id="rId6"/><Relationship Type="http://schemas.openxmlformats.org/officeDocument/2006/relationships/hyperlink" Target="https://www.diariooficial.interior.gob.cl/publicaciones/2019/04/15/42331/01/1576341.pdf" TargetMode="External" Id="rId7"/><Relationship Type="http://schemas.openxmlformats.org/officeDocument/2006/relationships/hyperlink" Target="https://www.diariooficial.interior.gob.cl/publicaciones/2020/10/15/42780/01/1830437.pdf" TargetMode="External" Id="rId8"/><Relationship Type="http://schemas.openxmlformats.org/officeDocument/2006/relationships/hyperlink" Target="https://www.diariooficial.interior.gob.cl/publicaciones/2021/03/15/42905/01/1910115.pdf" TargetMode="External" Id="rId9"/><Relationship Type="http://schemas.openxmlformats.org/officeDocument/2006/relationships/hyperlink" Target="https://www.diariooficial.interior.gob.cl/publicaciones/2021/05/14/42954/01/1943780.pdf" TargetMode="External" Id="rId10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tabSelected="1" workbookViewId="0">
      <selection activeCell="A1" sqref="A1"/>
    </sheetView>
  </sheetViews>
  <sheetFormatPr baseColWidth="8" defaultRowHeight="15"/>
  <sheetData>
    <row r="1">
      <c r="A1" s="1" t="inlineStr">
        <is>
          <t>Hoja</t>
        </is>
      </c>
      <c r="B1" s="1" t="inlineStr">
        <is>
          <t>Descripción</t>
        </is>
      </c>
    </row>
    <row r="2">
      <c r="A2" t="inlineStr">
        <is>
          <t>EFACT_CNE</t>
        </is>
      </c>
      <c r="B2" t="inlineStr">
        <is>
          <t>Información de facturación definitiva proveniente de los archivos EFACT publicados por la CNE en los Decretos de Precio de Nudo</t>
        </is>
      </c>
    </row>
    <row r="3">
      <c r="A3" t="inlineStr">
        <is>
          <t>FACT_EMITIDA</t>
        </is>
      </c>
      <c r="B3" t="inlineStr">
        <is>
          <t>Información de facturación real desde PDFs y sistema SIGGE (gestión facturación electrónica)</t>
        </is>
      </c>
    </row>
    <row r="4">
      <c r="A4" t="inlineStr">
        <is>
          <t>SIGGE_E</t>
        </is>
      </c>
      <c r="B4" t="inlineStr">
        <is>
          <t>Información de facturación real de Energía desde PDFs y sistema SIGGE (gestión facturación electrónica)</t>
        </is>
      </c>
    </row>
    <row r="5">
      <c r="A5" t="inlineStr">
        <is>
          <t>SIGGE_P</t>
        </is>
      </c>
      <c r="B5" t="inlineStr">
        <is>
          <t>Información de facturación real de Potencia desde PDFs y sistema SIGGE (gestión facturación electrónica)</t>
        </is>
      </c>
    </row>
    <row r="6">
      <c r="A6" t="inlineStr">
        <is>
          <t>FACT_EST_EFACT</t>
        </is>
      </c>
      <c r="B6" t="inlineStr">
        <is>
          <t>Estimación de facturación emitida en base a información de los EFACT Decretos Precios de Nudo</t>
        </is>
      </c>
    </row>
    <row r="7">
      <c r="A7" t="inlineStr">
        <is>
          <t>FACT_EST_CEN</t>
        </is>
      </c>
      <c r="B7" t="inlineStr">
        <is>
          <t>Estimación de la facturación emitida en base a los balances mensuales publicados por el Coordinador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E18"/>
  <sheetViews>
    <sheetView workbookViewId="0">
      <selection activeCell="A1" sqref="A1"/>
    </sheetView>
  </sheetViews>
  <sheetFormatPr baseColWidth="8" defaultRowHeight="15"/>
  <sheetData>
    <row r="1">
      <c r="A1" s="1" t="inlineStr"/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s="1" t="inlineStr"/>
      <c r="J1" s="1" t="inlineStr"/>
      <c r="K1" s="1" t="inlineStr"/>
      <c r="L1" s="1" t="inlineStr"/>
      <c r="M1" s="1" t="inlineStr"/>
      <c r="N1" s="1" t="inlineStr"/>
      <c r="O1" s="1" t="inlineStr"/>
      <c r="P1" s="1" t="inlineStr"/>
      <c r="Q1" s="1" t="inlineStr"/>
      <c r="R1" s="1" t="inlineStr"/>
      <c r="S1" s="1" t="inlineStr"/>
      <c r="T1" s="1" t="inlineStr"/>
      <c r="U1" s="1" t="inlineStr"/>
      <c r="V1" s="1" t="inlineStr"/>
      <c r="W1" s="1" t="inlineStr"/>
      <c r="X1" s="1" t="inlineStr"/>
      <c r="Y1" s="1" t="inlineStr"/>
      <c r="Z1" s="1" t="inlineStr"/>
      <c r="AA1" s="1" t="inlineStr"/>
      <c r="AB1" s="1" t="inlineStr"/>
      <c r="AC1" s="1" t="inlineStr"/>
      <c r="AD1" s="1" t="inlineStr"/>
      <c r="AE1" s="1" t="inlineStr"/>
    </row>
    <row r="2">
      <c r="A2" t="inlineStr">
        <is>
          <t>Generador</t>
        </is>
      </c>
      <c r="B2" t="inlineStr">
        <is>
          <t>San Juan</t>
        </is>
      </c>
    </row>
    <row r="3">
      <c r="A3" t="inlineStr">
        <is>
          <t>Distribuidor</t>
        </is>
      </c>
      <c r="B3" t="inlineStr">
        <is>
          <t>EDECSA</t>
        </is>
      </c>
    </row>
    <row r="4">
      <c r="A4" t="inlineStr">
        <is>
          <t>Licitacion</t>
        </is>
      </c>
      <c r="B4" t="inlineStr">
        <is>
          <t>2013/03-2° Llamado</t>
        </is>
      </c>
    </row>
    <row r="5">
      <c r="A5" t="inlineStr">
        <is>
          <t>Bloque</t>
        </is>
      </c>
      <c r="B5" t="inlineStr">
        <is>
          <t>BS2C</t>
        </is>
      </c>
    </row>
    <row r="7">
      <c r="C7" t="inlineStr">
        <is>
          <t>LO QUE SE FACTURÓ</t>
        </is>
      </c>
      <c r="L7" t="inlineStr">
        <is>
          <t>LO QUE SE DEBIÓ HABER FACTURADO</t>
        </is>
      </c>
      <c r="U7" t="inlineStr">
        <is>
          <t>RELQUIDACIÓN Y CÁLCULO INTERESES</t>
        </is>
      </c>
    </row>
    <row r="8">
      <c r="A8" t="inlineStr">
        <is>
          <t>ID</t>
        </is>
      </c>
      <c r="B8" t="inlineStr">
        <is>
          <t>MES</t>
        </is>
      </c>
      <c r="C8" t="inlineStr">
        <is>
          <t>ORIGEN DATA</t>
        </is>
      </c>
      <c r="D8" t="inlineStr">
        <is>
          <t>Energía (kWh)</t>
        </is>
      </c>
      <c r="E8" t="inlineStr">
        <is>
          <t>Monto Energía ($)</t>
        </is>
      </c>
      <c r="F8" t="inlineStr">
        <is>
          <t>$/kWh</t>
        </is>
      </c>
      <c r="G8" t="inlineStr">
        <is>
          <t>Potencia (kW)</t>
        </is>
      </c>
      <c r="H8" t="inlineStr">
        <is>
          <t>Monto Potencia ($)</t>
        </is>
      </c>
      <c r="I8" t="inlineStr">
        <is>
          <t>$/kW-mes</t>
        </is>
      </c>
      <c r="J8" t="inlineStr">
        <is>
          <t>Monto Total ($)</t>
        </is>
      </c>
      <c r="L8" t="inlineStr">
        <is>
          <t>ORIGEN DATA</t>
        </is>
      </c>
      <c r="M8" t="inlineStr">
        <is>
          <t>Energía (kWh)</t>
        </is>
      </c>
      <c r="N8" t="inlineStr">
        <is>
          <t>Monto Energía ($)</t>
        </is>
      </c>
      <c r="O8" t="inlineStr">
        <is>
          <t>$/kWh</t>
        </is>
      </c>
      <c r="P8" t="inlineStr">
        <is>
          <t>Potencia (kW)</t>
        </is>
      </c>
      <c r="Q8" t="inlineStr">
        <is>
          <t>Monto Potencia ($)</t>
        </is>
      </c>
      <c r="R8" t="inlineStr">
        <is>
          <t>$/kW-mes</t>
        </is>
      </c>
      <c r="S8" t="inlineStr">
        <is>
          <t>Monto Total ($)</t>
        </is>
      </c>
      <c r="U8" t="inlineStr">
        <is>
          <t>Mes</t>
        </is>
      </c>
      <c r="V8" t="inlineStr">
        <is>
          <t>Reliquidación mensual ($)</t>
        </is>
      </c>
      <c r="W8" t="inlineStr">
        <is>
          <t>Decreto PNP Reliquidación</t>
        </is>
      </c>
      <c r="X8" t="inlineStr">
        <is>
          <t>Fecha publicación Diario Oficial</t>
        </is>
      </c>
      <c r="Y8" t="inlineStr">
        <is>
          <t>Interés Anual</t>
        </is>
      </c>
      <c r="Z8" t="inlineStr">
        <is>
          <t>Fecha Facturación</t>
        </is>
      </c>
      <c r="AA8" t="inlineStr">
        <is>
          <t>Fecha Reliquidación</t>
        </is>
      </c>
      <c r="AB8" t="inlineStr">
        <is>
          <t>N° de días de intereses</t>
        </is>
      </c>
      <c r="AC8" t="inlineStr">
        <is>
          <t>Interés total según n° de días</t>
        </is>
      </c>
      <c r="AD8" t="inlineStr">
        <is>
          <t>Intereses ($)</t>
        </is>
      </c>
      <c r="AE8" t="inlineStr">
        <is>
          <t>Reliquidación Total ($)</t>
        </is>
      </c>
    </row>
    <row r="9">
      <c r="A9" t="n">
        <v>9</v>
      </c>
      <c r="B9" s="4" t="n">
        <v>44470</v>
      </c>
      <c r="C9" t="inlineStr">
        <is>
          <t>FACT_EMITIDA</t>
        </is>
      </c>
      <c r="D9">
        <f>SUMIF(SIGGE_E!B:B,ReliquidacionEFACT!B9,SIGGE_E!S:S)</f>
        <v/>
      </c>
      <c r="E9">
        <f>SUMIF(SIGGE_E!B:B,ReliquidacionEFACT!B9,SIGGE_E!T:T)</f>
        <v/>
      </c>
      <c r="F9">
        <f>IFERROR((E9/D9),0)</f>
        <v/>
      </c>
      <c r="G9">
        <f>SUMIF(SIGGE_P!B:B,ReliquidacionEFACT!B9,SIGGE_P!U:U)</f>
        <v/>
      </c>
      <c r="H9">
        <f>SUMIF(SIGGE_P!B:B,ReliquidacionEFACT!B9,SIGGE_P!V:V)</f>
        <v/>
      </c>
      <c r="I9">
        <f>IFERROR((H9/G9),0)</f>
        <v/>
      </c>
      <c r="J9">
        <f>(E9+H9)</f>
        <v/>
      </c>
      <c r="L9" t="inlineStr">
        <is>
          <t>EFACT_CNE</t>
        </is>
      </c>
      <c r="M9">
        <f>SUMIF(EFACT_CNE!B:B,ReliquidacionEFACT!B9,EFACT_CNE!S:S)</f>
        <v/>
      </c>
      <c r="N9">
        <f>SUMIF(EFACT_CNE!B:B,ReliquidacionEFACT!B9,EFACT_CNE!T:T)</f>
        <v/>
      </c>
      <c r="O9">
        <f>IFERROR((N9/M9),0)</f>
        <v/>
      </c>
      <c r="P9">
        <f>SUMIF(EFACT_CNE!B:B,ReliquidacionEFACT!B9,EFACT_CNE!U:U)</f>
        <v/>
      </c>
      <c r="Q9">
        <f>SUMIF(EFACT_CNE!B:B,ReliquidacionEFACT!B9,EFACT_CNE!V:V)</f>
        <v/>
      </c>
      <c r="R9">
        <f>IFERROR((Q9/P9),0)</f>
        <v/>
      </c>
      <c r="S9">
        <f>(N9+Q9)</f>
        <v/>
      </c>
      <c r="U9" s="2" t="n">
        <v>44470</v>
      </c>
      <c r="V9">
        <f>(S9-J9)</f>
        <v/>
      </c>
      <c r="W9" t="inlineStr">
        <is>
          <t>PNP_9T</t>
        </is>
      </c>
      <c r="X9" s="2" t="n">
        <v>44912</v>
      </c>
      <c r="Y9" t="n">
        <v>0.1046</v>
      </c>
      <c r="Z9" s="2" t="n">
        <v>44494</v>
      </c>
      <c r="AA9" s="2" t="n">
        <v>44926</v>
      </c>
      <c r="AB9">
        <f>(AA9-Z9)</f>
        <v/>
      </c>
      <c r="AC9">
        <f>(1+Y9)^(AB9/360)-1</f>
        <v/>
      </c>
      <c r="AD9">
        <f>(AC9*V9)</f>
        <v/>
      </c>
      <c r="AE9">
        <f>(V9+AD9)</f>
        <v/>
      </c>
    </row>
    <row r="10">
      <c r="A10" t="n">
        <v>10</v>
      </c>
      <c r="B10" s="4" t="n">
        <v>44501</v>
      </c>
      <c r="C10" t="inlineStr">
        <is>
          <t>FACT_EMITIDA</t>
        </is>
      </c>
      <c r="D10">
        <f>SUMIF(SIGGE_E!B:B,ReliquidacionEFACT!B10,SIGGE_E!S:S)</f>
        <v/>
      </c>
      <c r="E10">
        <f>SUMIF(SIGGE_E!B:B,ReliquidacionEFACT!B10,SIGGE_E!T:T)</f>
        <v/>
      </c>
      <c r="F10">
        <f>IFERROR((E10/D10),0)</f>
        <v/>
      </c>
      <c r="G10">
        <f>SUMIF(SIGGE_P!B:B,ReliquidacionEFACT!B10,SIGGE_P!U:U)</f>
        <v/>
      </c>
      <c r="H10">
        <f>SUMIF(SIGGE_P!B:B,ReliquidacionEFACT!B10,SIGGE_P!V:V)</f>
        <v/>
      </c>
      <c r="I10">
        <f>IFERROR((H10/G10),0)</f>
        <v/>
      </c>
      <c r="J10">
        <f>(E10+H10)</f>
        <v/>
      </c>
      <c r="L10" t="inlineStr">
        <is>
          <t>EFACT_CNE</t>
        </is>
      </c>
      <c r="M10">
        <f>SUMIF(EFACT_CNE!B:B,ReliquidacionEFACT!B10,EFACT_CNE!S:S)</f>
        <v/>
      </c>
      <c r="N10">
        <f>SUMIF(EFACT_CNE!B:B,ReliquidacionEFACT!B10,EFACT_CNE!T:T)</f>
        <v/>
      </c>
      <c r="O10">
        <f>IFERROR((N10/M10),0)</f>
        <v/>
      </c>
      <c r="P10">
        <f>SUMIF(EFACT_CNE!B:B,ReliquidacionEFACT!B10,EFACT_CNE!U:U)</f>
        <v/>
      </c>
      <c r="Q10">
        <f>SUMIF(EFACT_CNE!B:B,ReliquidacionEFACT!B10,EFACT_CNE!V:V)</f>
        <v/>
      </c>
      <c r="R10">
        <f>IFERROR((Q10/P10),0)</f>
        <v/>
      </c>
      <c r="S10">
        <f>(N10+Q10)</f>
        <v/>
      </c>
      <c r="U10" s="2" t="n">
        <v>44501</v>
      </c>
      <c r="V10">
        <f>(S10-J10)</f>
        <v/>
      </c>
      <c r="W10" t="inlineStr">
        <is>
          <t>PNP_9T</t>
        </is>
      </c>
      <c r="X10" s="2" t="n">
        <v>44912</v>
      </c>
      <c r="Y10" t="n">
        <v>0.1046</v>
      </c>
      <c r="Z10" s="2" t="n">
        <v>44525</v>
      </c>
      <c r="AA10" s="2" t="n">
        <v>44926</v>
      </c>
      <c r="AB10">
        <f>(AA10-Z10)</f>
        <v/>
      </c>
      <c r="AC10">
        <f>(1+Y10)^(AB10/360)-1</f>
        <v/>
      </c>
      <c r="AD10">
        <f>(AC10*V10)</f>
        <v/>
      </c>
      <c r="AE10">
        <f>(V10+AD10)</f>
        <v/>
      </c>
    </row>
    <row r="11">
      <c r="A11" t="n">
        <v>11</v>
      </c>
      <c r="B11" s="4" t="n">
        <v>44531</v>
      </c>
      <c r="C11" t="inlineStr">
        <is>
          <t>FACT_EMITIDA</t>
        </is>
      </c>
      <c r="D11">
        <f>SUMIF(SIGGE_E!B:B,ReliquidacionEFACT!B11,SIGGE_E!S:S)</f>
        <v/>
      </c>
      <c r="E11">
        <f>SUMIF(SIGGE_E!B:B,ReliquidacionEFACT!B11,SIGGE_E!T:T)</f>
        <v/>
      </c>
      <c r="F11">
        <f>IFERROR((E11/D11),0)</f>
        <v/>
      </c>
      <c r="G11">
        <f>SUMIF(SIGGE_P!B:B,ReliquidacionEFACT!B11,SIGGE_P!U:U)</f>
        <v/>
      </c>
      <c r="H11">
        <f>SUMIF(SIGGE_P!B:B,ReliquidacionEFACT!B11,SIGGE_P!V:V)</f>
        <v/>
      </c>
      <c r="I11">
        <f>IFERROR((H11/G11),0)</f>
        <v/>
      </c>
      <c r="J11">
        <f>(E11+H11)</f>
        <v/>
      </c>
      <c r="L11" t="inlineStr">
        <is>
          <t>EFACT_CNE</t>
        </is>
      </c>
      <c r="M11">
        <f>SUMIF(EFACT_CNE!B:B,ReliquidacionEFACT!B11,EFACT_CNE!S:S)</f>
        <v/>
      </c>
      <c r="N11">
        <f>SUMIF(EFACT_CNE!B:B,ReliquidacionEFACT!B11,EFACT_CNE!T:T)</f>
        <v/>
      </c>
      <c r="O11">
        <f>IFERROR((N11/M11),0)</f>
        <v/>
      </c>
      <c r="P11">
        <f>SUMIF(EFACT_CNE!B:B,ReliquidacionEFACT!B11,EFACT_CNE!U:U)</f>
        <v/>
      </c>
      <c r="Q11">
        <f>SUMIF(EFACT_CNE!B:B,ReliquidacionEFACT!B11,EFACT_CNE!V:V)</f>
        <v/>
      </c>
      <c r="R11">
        <f>IFERROR((Q11/P11),0)</f>
        <v/>
      </c>
      <c r="S11">
        <f>(N11+Q11)</f>
        <v/>
      </c>
      <c r="U11" s="2" t="n">
        <v>44531</v>
      </c>
      <c r="V11">
        <f>(S11-J11)</f>
        <v/>
      </c>
      <c r="W11" t="inlineStr">
        <is>
          <t>PNP_9T</t>
        </is>
      </c>
      <c r="X11" s="2" t="n">
        <v>44912</v>
      </c>
      <c r="Y11" t="n">
        <v>0.1046</v>
      </c>
      <c r="Z11" s="2" t="n">
        <v>44555</v>
      </c>
      <c r="AA11" s="2" t="n">
        <v>44926</v>
      </c>
      <c r="AB11">
        <f>(AA11-Z11)</f>
        <v/>
      </c>
      <c r="AC11">
        <f>(1+Y11)^(AB11/360)-1</f>
        <v/>
      </c>
      <c r="AD11">
        <f>(AC11*V11)</f>
        <v/>
      </c>
      <c r="AE11">
        <f>(V11+AD11)</f>
        <v/>
      </c>
    </row>
    <row r="12">
      <c r="A12" t="n">
        <v>12</v>
      </c>
      <c r="B12" s="4" t="n">
        <v>44562</v>
      </c>
      <c r="C12" t="inlineStr">
        <is>
          <t>FACT_EMITIDA</t>
        </is>
      </c>
      <c r="D12">
        <f>SUMIF(SIGGE_E!B:B,ReliquidacionEFACT!B12,SIGGE_E!S:S)</f>
        <v/>
      </c>
      <c r="E12">
        <f>SUMIF(SIGGE_E!B:B,ReliquidacionEFACT!B12,SIGGE_E!T:T)</f>
        <v/>
      </c>
      <c r="F12">
        <f>IFERROR((E12/D12),0)</f>
        <v/>
      </c>
      <c r="G12">
        <f>SUMIF(SIGGE_P!B:B,ReliquidacionEFACT!B12,SIGGE_P!U:U)</f>
        <v/>
      </c>
      <c r="H12">
        <f>SUMIF(SIGGE_P!B:B,ReliquidacionEFACT!B12,SIGGE_P!V:V)</f>
        <v/>
      </c>
      <c r="I12">
        <f>IFERROR((H12/G12),0)</f>
        <v/>
      </c>
      <c r="J12">
        <f>(E12+H12)</f>
        <v/>
      </c>
      <c r="L12" t="inlineStr">
        <is>
          <t>EFACT_CNE</t>
        </is>
      </c>
      <c r="M12">
        <f>SUMIF(EFACT_CNE!B:B,ReliquidacionEFACT!B12,EFACT_CNE!S:S)</f>
        <v/>
      </c>
      <c r="N12">
        <f>SUMIF(EFACT_CNE!B:B,ReliquidacionEFACT!B12,EFACT_CNE!T:T)</f>
        <v/>
      </c>
      <c r="O12">
        <f>IFERROR((N12/M12),0)</f>
        <v/>
      </c>
      <c r="P12">
        <f>SUMIF(EFACT_CNE!B:B,ReliquidacionEFACT!B12,EFACT_CNE!U:U)</f>
        <v/>
      </c>
      <c r="Q12">
        <f>SUMIF(EFACT_CNE!B:B,ReliquidacionEFACT!B12,EFACT_CNE!V:V)</f>
        <v/>
      </c>
      <c r="R12">
        <f>IFERROR((Q12/P12),0)</f>
        <v/>
      </c>
      <c r="S12">
        <f>(N12+Q12)</f>
        <v/>
      </c>
      <c r="U12" s="2" t="n">
        <v>44562</v>
      </c>
      <c r="V12">
        <f>(S12-J12)</f>
        <v/>
      </c>
      <c r="W12" t="inlineStr">
        <is>
          <t>PNP_9T</t>
        </is>
      </c>
      <c r="X12" s="2" t="n">
        <v>44912</v>
      </c>
      <c r="Y12" t="n">
        <v>0.1046</v>
      </c>
      <c r="Z12" s="2" t="n">
        <v>44586</v>
      </c>
      <c r="AA12" s="2" t="n">
        <v>44926</v>
      </c>
      <c r="AB12">
        <f>(AA12-Z12)</f>
        <v/>
      </c>
      <c r="AC12">
        <f>(1+Y12)^(AB12/360)-1</f>
        <v/>
      </c>
      <c r="AD12">
        <f>(AC12*V12)</f>
        <v/>
      </c>
      <c r="AE12">
        <f>(V12+AD12)</f>
        <v/>
      </c>
    </row>
    <row r="13">
      <c r="A13" t="n">
        <v>13</v>
      </c>
      <c r="B13" s="4" t="n">
        <v>44593</v>
      </c>
      <c r="C13" t="inlineStr">
        <is>
          <t>FACT_EMITIDA</t>
        </is>
      </c>
      <c r="D13">
        <f>SUMIF(SIGGE_E!B:B,ReliquidacionEFACT!B13,SIGGE_E!S:S)</f>
        <v/>
      </c>
      <c r="E13">
        <f>SUMIF(SIGGE_E!B:B,ReliquidacionEFACT!B13,SIGGE_E!T:T)</f>
        <v/>
      </c>
      <c r="F13">
        <f>IFERROR((E13/D13),0)</f>
        <v/>
      </c>
      <c r="G13">
        <f>SUMIF(SIGGE_P!B:B,ReliquidacionEFACT!B13,SIGGE_P!U:U)</f>
        <v/>
      </c>
      <c r="H13">
        <f>SUMIF(SIGGE_P!B:B,ReliquidacionEFACT!B13,SIGGE_P!V:V)</f>
        <v/>
      </c>
      <c r="I13">
        <f>IFERROR((H13/G13),0)</f>
        <v/>
      </c>
      <c r="J13">
        <f>(E13+H13)</f>
        <v/>
      </c>
      <c r="L13" t="inlineStr">
        <is>
          <t>EFACT_CNE</t>
        </is>
      </c>
      <c r="M13">
        <f>SUMIF(EFACT_CNE!B:B,ReliquidacionEFACT!B13,EFACT_CNE!S:S)</f>
        <v/>
      </c>
      <c r="N13">
        <f>SUMIF(EFACT_CNE!B:B,ReliquidacionEFACT!B13,EFACT_CNE!T:T)</f>
        <v/>
      </c>
      <c r="O13">
        <f>IFERROR((N13/M13),0)</f>
        <v/>
      </c>
      <c r="P13">
        <f>SUMIF(EFACT_CNE!B:B,ReliquidacionEFACT!B13,EFACT_CNE!U:U)</f>
        <v/>
      </c>
      <c r="Q13">
        <f>SUMIF(EFACT_CNE!B:B,ReliquidacionEFACT!B13,EFACT_CNE!V:V)</f>
        <v/>
      </c>
      <c r="R13">
        <f>IFERROR((Q13/P13),0)</f>
        <v/>
      </c>
      <c r="S13">
        <f>(N13+Q13)</f>
        <v/>
      </c>
      <c r="U13" s="2" t="n">
        <v>44593</v>
      </c>
      <c r="V13">
        <f>(S13-J13)</f>
        <v/>
      </c>
      <c r="W13" t="inlineStr">
        <is>
          <t>PNP_9T</t>
        </is>
      </c>
      <c r="X13" s="2" t="n">
        <v>44912</v>
      </c>
      <c r="Y13" t="n">
        <v>0.1046</v>
      </c>
      <c r="Z13" s="2" t="n">
        <v>44617</v>
      </c>
      <c r="AA13" s="2" t="n">
        <v>44926</v>
      </c>
      <c r="AB13">
        <f>(AA13-Z13)</f>
        <v/>
      </c>
      <c r="AC13">
        <f>(1+Y13)^(AB13/360)-1</f>
        <v/>
      </c>
      <c r="AD13">
        <f>(AC13*V13)</f>
        <v/>
      </c>
      <c r="AE13">
        <f>(V13+AD13)</f>
        <v/>
      </c>
    </row>
    <row r="14">
      <c r="A14" t="n">
        <v>14</v>
      </c>
      <c r="B14" s="4" t="n">
        <v>44621</v>
      </c>
      <c r="C14" t="inlineStr">
        <is>
          <t>FACT_EMITIDA</t>
        </is>
      </c>
      <c r="D14">
        <f>SUMIF(SIGGE_E!B:B,ReliquidacionEFACT!B14,SIGGE_E!S:S)</f>
        <v/>
      </c>
      <c r="E14">
        <f>SUMIF(SIGGE_E!B:B,ReliquidacionEFACT!B14,SIGGE_E!T:T)</f>
        <v/>
      </c>
      <c r="F14">
        <f>IFERROR((E14/D14),0)</f>
        <v/>
      </c>
      <c r="G14">
        <f>SUMIF(SIGGE_P!B:B,ReliquidacionEFACT!B14,SIGGE_P!U:U)</f>
        <v/>
      </c>
      <c r="H14">
        <f>SUMIF(SIGGE_P!B:B,ReliquidacionEFACT!B14,SIGGE_P!V:V)</f>
        <v/>
      </c>
      <c r="I14">
        <f>IFERROR((H14/G14),0)</f>
        <v/>
      </c>
      <c r="J14">
        <f>(E14+H14)</f>
        <v/>
      </c>
      <c r="L14" t="inlineStr">
        <is>
          <t>EFACT_CNE</t>
        </is>
      </c>
      <c r="M14">
        <f>SUMIF(EFACT_CNE!B:B,ReliquidacionEFACT!B14,EFACT_CNE!S:S)</f>
        <v/>
      </c>
      <c r="N14">
        <f>SUMIF(EFACT_CNE!B:B,ReliquidacionEFACT!B14,EFACT_CNE!T:T)</f>
        <v/>
      </c>
      <c r="O14">
        <f>IFERROR((N14/M14),0)</f>
        <v/>
      </c>
      <c r="P14">
        <f>SUMIF(EFACT_CNE!B:B,ReliquidacionEFACT!B14,EFACT_CNE!U:U)</f>
        <v/>
      </c>
      <c r="Q14">
        <f>SUMIF(EFACT_CNE!B:B,ReliquidacionEFACT!B14,EFACT_CNE!V:V)</f>
        <v/>
      </c>
      <c r="R14">
        <f>IFERROR((Q14/P14),0)</f>
        <v/>
      </c>
      <c r="S14">
        <f>(N14+Q14)</f>
        <v/>
      </c>
      <c r="U14" s="2" t="n">
        <v>44621</v>
      </c>
      <c r="V14">
        <f>(S14-J14)</f>
        <v/>
      </c>
      <c r="W14" t="inlineStr">
        <is>
          <t>PNP_9T</t>
        </is>
      </c>
      <c r="X14" s="2" t="n">
        <v>44912</v>
      </c>
      <c r="Y14" t="n">
        <v>0.1046</v>
      </c>
      <c r="Z14" s="2" t="n">
        <v>44645</v>
      </c>
      <c r="AA14" s="2" t="n">
        <v>44926</v>
      </c>
      <c r="AB14">
        <f>(AA14-Z14)</f>
        <v/>
      </c>
      <c r="AC14">
        <f>(1+Y14)^(AB14/360)-1</f>
        <v/>
      </c>
      <c r="AD14">
        <f>(AC14*V14)</f>
        <v/>
      </c>
      <c r="AE14">
        <f>(V14+AD14)</f>
        <v/>
      </c>
    </row>
    <row r="15">
      <c r="AD15" t="inlineStr">
        <is>
          <t>Reliquidación</t>
        </is>
      </c>
      <c r="AE15">
        <f>SUM(AE9:AE14)</f>
        <v/>
      </c>
    </row>
    <row r="17">
      <c r="AC17" t="inlineStr">
        <is>
          <t>Montos a favor</t>
        </is>
      </c>
      <c r="AD17" t="inlineStr">
        <is>
          <t>LAP emite factura</t>
        </is>
      </c>
    </row>
    <row r="18">
      <c r="AC18" t="inlineStr">
        <is>
          <t>Montos en contra</t>
        </is>
      </c>
      <c r="AD18" t="inlineStr">
        <is>
          <t>LAP emite nota de crédito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E15"/>
  <sheetViews>
    <sheetView workbookViewId="0">
      <selection activeCell="A1" sqref="A1"/>
    </sheetView>
  </sheetViews>
  <sheetFormatPr baseColWidth="8" defaultRowHeight="15"/>
  <sheetData>
    <row r="1">
      <c r="A1" s="1" t="inlineStr"/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t="inlineStr"/>
      <c r="J1" t="inlineStr"/>
      <c r="K1" t="inlineStr"/>
      <c r="L1" t="inlineStr"/>
      <c r="M1" t="inlineStr"/>
      <c r="N1" t="inlineStr"/>
      <c r="O1" t="inlineStr"/>
      <c r="P1" t="inlineStr"/>
      <c r="Q1" t="inlineStr"/>
      <c r="R1" t="inlineStr"/>
      <c r="S1" t="inlineStr"/>
      <c r="T1" t="inlineStr"/>
      <c r="U1" t="inlineStr"/>
      <c r="V1" t="inlineStr"/>
      <c r="W1" t="inlineStr"/>
      <c r="X1" t="inlineStr"/>
      <c r="Y1" t="inlineStr"/>
      <c r="Z1" t="inlineStr"/>
      <c r="AA1" t="inlineStr"/>
      <c r="AB1" t="inlineStr"/>
      <c r="AC1" t="inlineStr"/>
      <c r="AD1" t="inlineStr"/>
      <c r="AE1" t="inlineStr"/>
    </row>
    <row r="2">
      <c r="A2" t="inlineStr">
        <is>
          <t>Generador</t>
        </is>
      </c>
      <c r="B2" t="inlineStr">
        <is>
          <t>San Juan</t>
        </is>
      </c>
    </row>
    <row r="3">
      <c r="A3" t="inlineStr">
        <is>
          <t>Distribuidor</t>
        </is>
      </c>
      <c r="B3" t="inlineStr">
        <is>
          <t>EDECSA</t>
        </is>
      </c>
    </row>
    <row r="4">
      <c r="A4" t="inlineStr">
        <is>
          <t>Licitacion</t>
        </is>
      </c>
      <c r="B4" t="inlineStr">
        <is>
          <t>2013/03-2° Llamado</t>
        </is>
      </c>
    </row>
    <row r="5">
      <c r="A5" t="inlineStr">
        <is>
          <t>Bloque</t>
        </is>
      </c>
      <c r="B5" t="inlineStr">
        <is>
          <t>BS2C</t>
        </is>
      </c>
    </row>
    <row r="8">
      <c r="A8" t="inlineStr">
        <is>
          <t>ID</t>
        </is>
      </c>
      <c r="B8" t="inlineStr">
        <is>
          <t>MES</t>
        </is>
      </c>
      <c r="C8" t="inlineStr">
        <is>
          <t>ORIGEN DATA</t>
        </is>
      </c>
      <c r="D8" t="inlineStr">
        <is>
          <t>Energía SIGGE (kWh)</t>
        </is>
      </c>
      <c r="E8" t="inlineStr">
        <is>
          <t>Energía EFACT AT (kWh)</t>
        </is>
      </c>
      <c r="F8" t="inlineStr">
        <is>
          <t>Energía EFACT BT (kWh)</t>
        </is>
      </c>
      <c r="G8" t="inlineStr">
        <is>
          <t>Energía Coordinador AT (kWh)</t>
        </is>
      </c>
      <c r="H8" t="inlineStr">
        <is>
          <t>Energía Coordinador BT (kWh)</t>
        </is>
      </c>
    </row>
    <row r="9">
      <c r="A9" t="n">
        <v>9</v>
      </c>
      <c r="B9" s="4" t="n">
        <v>44470</v>
      </c>
      <c r="C9" t="inlineStr">
        <is>
          <t>FACT_EMITIDA</t>
        </is>
      </c>
      <c r="D9">
        <f>SUMIF(SIGGE_E!B:B,ResumenRetiros!B9,SIGGE_E!S:S)</f>
        <v/>
      </c>
      <c r="E9">
        <f>SUMIF(EFACT_CNE!B:B,ResumenRetiros!B9,EFACT_CNE!S:S)</f>
        <v/>
      </c>
      <c r="F9">
        <f>SUMIF(EfactCNE_BT!B:B,ResumenRetiros!B9,EfactCNE_BT!M:M)</f>
        <v/>
      </c>
      <c r="G9">
        <f>SUMIF(CEN_Energia!B:B,ResumenRetiros!B9,CEN_Energia!Z:Z)</f>
        <v/>
      </c>
      <c r="H9">
        <f>SUMIF(CEN_EnergiaBT!B:B,ResumenRetiros!B9,CEN_EnergiaBT!K:K)</f>
        <v/>
      </c>
    </row>
    <row r="10">
      <c r="A10" t="n">
        <v>10</v>
      </c>
      <c r="B10" s="4" t="n">
        <v>44501</v>
      </c>
      <c r="C10" t="inlineStr">
        <is>
          <t>FACT_EMITIDA</t>
        </is>
      </c>
      <c r="D10">
        <f>SUMIF(SIGGE_E!B:B,ResumenRetiros!B10,SIGGE_E!S:S)</f>
        <v/>
      </c>
      <c r="E10">
        <f>SUMIF(EFACT_CNE!B:B,ResumenRetiros!B10,EFACT_CNE!S:S)</f>
        <v/>
      </c>
      <c r="F10">
        <f>SUMIF(EfactCNE_BT!B:B,ResumenRetiros!B10,EfactCNE_BT!M:M)</f>
        <v/>
      </c>
      <c r="G10">
        <f>SUMIF(CEN_Energia!B:B,ResumenRetiros!B10,CEN_Energia!Z:Z)</f>
        <v/>
      </c>
      <c r="H10">
        <f>SUMIF(CEN_EnergiaBT!B:B,ResumenRetiros!B10,CEN_EnergiaBT!K:K)</f>
        <v/>
      </c>
    </row>
    <row r="11">
      <c r="A11" t="n">
        <v>11</v>
      </c>
      <c r="B11" s="4" t="n">
        <v>44531</v>
      </c>
      <c r="C11" t="inlineStr">
        <is>
          <t>FACT_EMITIDA</t>
        </is>
      </c>
      <c r="D11">
        <f>SUMIF(SIGGE_E!B:B,ResumenRetiros!B11,SIGGE_E!S:S)</f>
        <v/>
      </c>
      <c r="E11">
        <f>SUMIF(EFACT_CNE!B:B,ResumenRetiros!B11,EFACT_CNE!S:S)</f>
        <v/>
      </c>
      <c r="F11">
        <f>SUMIF(EfactCNE_BT!B:B,ResumenRetiros!B11,EfactCNE_BT!M:M)</f>
        <v/>
      </c>
      <c r="G11">
        <f>SUMIF(CEN_Energia!B:B,ResumenRetiros!B11,CEN_Energia!Z:Z)</f>
        <v/>
      </c>
      <c r="H11">
        <f>SUMIF(CEN_EnergiaBT!B:B,ResumenRetiros!B11,CEN_EnergiaBT!K:K)</f>
        <v/>
      </c>
    </row>
    <row r="12">
      <c r="A12" t="n">
        <v>12</v>
      </c>
      <c r="B12" s="4" t="n">
        <v>44562</v>
      </c>
      <c r="C12" t="inlineStr">
        <is>
          <t>FACT_EMITIDA</t>
        </is>
      </c>
      <c r="D12">
        <f>SUMIF(SIGGE_E!B:B,ResumenRetiros!B12,SIGGE_E!S:S)</f>
        <v/>
      </c>
      <c r="E12">
        <f>SUMIF(EFACT_CNE!B:B,ResumenRetiros!B12,EFACT_CNE!S:S)</f>
        <v/>
      </c>
      <c r="F12">
        <f>SUMIF(EfactCNE_BT!B:B,ResumenRetiros!B12,EfactCNE_BT!M:M)</f>
        <v/>
      </c>
      <c r="G12">
        <f>SUMIF(CEN_Energia!B:B,ResumenRetiros!B12,CEN_Energia!Z:Z)</f>
        <v/>
      </c>
      <c r="H12">
        <f>SUMIF(CEN_EnergiaBT!B:B,ResumenRetiros!B12,CEN_EnergiaBT!K:K)</f>
        <v/>
      </c>
    </row>
    <row r="13">
      <c r="A13" t="n">
        <v>13</v>
      </c>
      <c r="B13" s="4" t="n">
        <v>44593</v>
      </c>
      <c r="C13" t="inlineStr">
        <is>
          <t>FACT_EMITIDA</t>
        </is>
      </c>
      <c r="D13">
        <f>SUMIF(SIGGE_E!B:B,ResumenRetiros!B13,SIGGE_E!S:S)</f>
        <v/>
      </c>
      <c r="E13">
        <f>SUMIF(EFACT_CNE!B:B,ResumenRetiros!B13,EFACT_CNE!S:S)</f>
        <v/>
      </c>
      <c r="F13">
        <f>SUMIF(EfactCNE_BT!B:B,ResumenRetiros!B13,EfactCNE_BT!M:M)</f>
        <v/>
      </c>
      <c r="G13">
        <f>SUMIF(CEN_Energia!B:B,ResumenRetiros!B13,CEN_Energia!Z:Z)</f>
        <v/>
      </c>
      <c r="H13">
        <f>SUMIF(CEN_EnergiaBT!B:B,ResumenRetiros!B13,CEN_EnergiaBT!K:K)</f>
        <v/>
      </c>
    </row>
    <row r="14">
      <c r="A14" t="n">
        <v>14</v>
      </c>
      <c r="B14" s="4" t="n">
        <v>44621</v>
      </c>
      <c r="C14" t="inlineStr">
        <is>
          <t>FACT_EMITIDA</t>
        </is>
      </c>
      <c r="D14">
        <f>SUMIF(SIGGE_E!B:B,ResumenRetiros!B14,SIGGE_E!S:S)</f>
        <v/>
      </c>
      <c r="E14">
        <f>SUMIF(EFACT_CNE!B:B,ResumenRetiros!B14,EFACT_CNE!S:S)</f>
        <v/>
      </c>
      <c r="F14">
        <f>SUMIF(EfactCNE_BT!B:B,ResumenRetiros!B14,EfactCNE_BT!M:M)</f>
        <v/>
      </c>
      <c r="G14">
        <f>SUMIF(CEN_Energia!B:B,ResumenRetiros!B14,CEN_Energia!Z:Z)</f>
        <v/>
      </c>
      <c r="H14">
        <f>SUMIF(CEN_EnergiaBT!B:B,ResumenRetiros!B14,CEN_EnergiaBT!K:K)</f>
        <v/>
      </c>
    </row>
    <row r="15">
      <c r="D15">
        <f>SUM(D9:D14)</f>
        <v/>
      </c>
      <c r="E15">
        <f>SUM(E9:E14)</f>
        <v/>
      </c>
      <c r="F15">
        <f>SUM(F9:F14)</f>
        <v/>
      </c>
      <c r="G15">
        <f>SUM(G9:G14)</f>
        <v/>
      </c>
      <c r="H15">
        <f>SUM(H9:H14)</f>
        <v/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MesDevengado</t>
        </is>
      </c>
      <c r="C1" s="1" t="inlineStr">
        <is>
          <t>IdAgrupacion</t>
        </is>
      </c>
      <c r="D1" s="1" t="inlineStr">
        <is>
          <t>NomAgrupacion</t>
        </is>
      </c>
      <c r="E1" s="1" t="inlineStr">
        <is>
          <t>Bloque</t>
        </is>
      </c>
      <c r="F1" s="1" t="inlineStr">
        <is>
          <t>NombreCliente</t>
        </is>
      </c>
      <c r="G1" s="1" t="inlineStr">
        <is>
          <t>FechaDeContabilizacion</t>
        </is>
      </c>
      <c r="H1" s="1" t="inlineStr">
        <is>
          <t>PrefijoFolio</t>
        </is>
      </c>
      <c r="I1" s="1" t="inlineStr">
        <is>
          <t>CuentaDeMayor</t>
        </is>
      </c>
      <c r="J1" s="1" t="inlineStr">
        <is>
          <t>CodigoDeArticulo</t>
        </is>
      </c>
      <c r="K1" s="1" t="inlineStr">
        <is>
          <t>NumDeFolio</t>
        </is>
      </c>
      <c r="L1" s="1" t="inlineStr">
        <is>
          <t>MontoCLP</t>
        </is>
      </c>
    </row>
    <row r="2">
      <c r="A2" t="inlineStr">
        <is>
          <t>SAN_JUAN_LAP</t>
        </is>
      </c>
      <c r="B2" t="inlineStr">
        <is>
          <t>01-01-2022</t>
        </is>
      </c>
      <c r="C2" t="n">
        <v>16</v>
      </c>
      <c r="D2" t="inlineStr">
        <is>
          <t>EDECSA</t>
        </is>
      </c>
      <c r="E2" t="inlineStr">
        <is>
          <t>BS2C</t>
        </is>
      </c>
      <c r="F2" t="inlineStr">
        <is>
          <t>Licitación Eolica San Juan y Edecsa (SIC 2013/03-2) BS2C</t>
        </is>
      </c>
      <c r="G2" t="inlineStr">
        <is>
          <t>2022-02-11 16:01:27</t>
        </is>
      </c>
      <c r="H2" t="n">
        <v>33</v>
      </c>
      <c r="I2" t="n">
        <v>-1</v>
      </c>
      <c r="J2" t="inlineStr">
        <is>
          <t>VENTA PPA ENERGIA</t>
        </is>
      </c>
      <c r="K2" t="n">
        <v>24598</v>
      </c>
      <c r="L2" t="n">
        <v>151832</v>
      </c>
    </row>
    <row r="3">
      <c r="A3" t="inlineStr">
        <is>
          <t>SAN_JUAN_LAP</t>
        </is>
      </c>
      <c r="B3" t="inlineStr">
        <is>
          <t>01-02-2022</t>
        </is>
      </c>
      <c r="C3" t="n">
        <v>16</v>
      </c>
      <c r="D3" t="inlineStr">
        <is>
          <t>EDECSA</t>
        </is>
      </c>
      <c r="E3" t="inlineStr">
        <is>
          <t>BS2C</t>
        </is>
      </c>
      <c r="F3" t="inlineStr">
        <is>
          <t>Licitación Eolica San Juan y Edecsa (SIC 2013/03-2) BS2C</t>
        </is>
      </c>
      <c r="G3" t="inlineStr">
        <is>
          <t>2022-03-10 17:23:49</t>
        </is>
      </c>
      <c r="H3" t="n">
        <v>33</v>
      </c>
      <c r="I3" t="n">
        <v>-1</v>
      </c>
      <c r="J3" t="inlineStr">
        <is>
          <t>VENTA PPA ENERGIA</t>
        </is>
      </c>
      <c r="K3" t="n">
        <v>25203</v>
      </c>
      <c r="L3" t="n">
        <v>141702</v>
      </c>
    </row>
    <row r="4">
      <c r="A4" t="inlineStr">
        <is>
          <t>SAN_JUAN_LAP</t>
        </is>
      </c>
      <c r="B4" t="inlineStr">
        <is>
          <t>01-03-2022</t>
        </is>
      </c>
      <c r="C4" t="n">
        <v>16</v>
      </c>
      <c r="D4" t="inlineStr">
        <is>
          <t>EDECSA</t>
        </is>
      </c>
      <c r="E4" t="inlineStr">
        <is>
          <t>BS2C</t>
        </is>
      </c>
      <c r="F4" t="inlineStr">
        <is>
          <t>Licitación Eolica San Juan y Edecsa (SIC 2013/03-2) BS2C</t>
        </is>
      </c>
      <c r="G4" t="inlineStr">
        <is>
          <t>2022-04-11 14:55:14</t>
        </is>
      </c>
      <c r="H4" t="n">
        <v>33</v>
      </c>
      <c r="I4" t="n">
        <v>-1</v>
      </c>
      <c r="J4" t="inlineStr">
        <is>
          <t>VENTA PPA ENERGIA</t>
        </is>
      </c>
      <c r="K4" t="n">
        <v>26347</v>
      </c>
      <c r="L4" t="n">
        <v>149566</v>
      </c>
    </row>
    <row r="5">
      <c r="A5" t="inlineStr">
        <is>
          <t>SAN_JUAN_LAP</t>
        </is>
      </c>
      <c r="B5" t="inlineStr">
        <is>
          <t>01-10-2021</t>
        </is>
      </c>
      <c r="C5" t="n">
        <v>16</v>
      </c>
      <c r="D5" t="inlineStr">
        <is>
          <t>EDECSA</t>
        </is>
      </c>
      <c r="E5" t="inlineStr">
        <is>
          <t>BS2C</t>
        </is>
      </c>
      <c r="F5" t="inlineStr">
        <is>
          <t>Licitación Eolica San Juan y Edecsa (SIC 2013/03-2) BS2C</t>
        </is>
      </c>
      <c r="G5" t="inlineStr">
        <is>
          <t>2021-11-09 17:02:50</t>
        </is>
      </c>
      <c r="H5" t="n">
        <v>33</v>
      </c>
      <c r="I5" t="n">
        <v>-1</v>
      </c>
      <c r="J5" t="inlineStr">
        <is>
          <t>VENTA PPA ENERGIA</t>
        </is>
      </c>
      <c r="K5" t="n">
        <v>23252</v>
      </c>
      <c r="L5" t="n">
        <v>123287</v>
      </c>
    </row>
    <row r="6">
      <c r="A6" t="inlineStr">
        <is>
          <t>SAN_JUAN_LAP</t>
        </is>
      </c>
      <c r="B6" t="inlineStr">
        <is>
          <t>01-11-2021</t>
        </is>
      </c>
      <c r="C6" t="n">
        <v>16</v>
      </c>
      <c r="D6" t="inlineStr">
        <is>
          <t>EDECSA</t>
        </is>
      </c>
      <c r="E6" t="inlineStr">
        <is>
          <t>BS2C</t>
        </is>
      </c>
      <c r="F6" t="inlineStr">
        <is>
          <t>Licitación Eolica San Juan y Edecsa (SIC 2013/03-2) BS2C</t>
        </is>
      </c>
      <c r="G6" t="inlineStr">
        <is>
          <t>2021-12-10 13:09:26</t>
        </is>
      </c>
      <c r="H6" t="n">
        <v>33</v>
      </c>
      <c r="I6" t="n">
        <v>-1</v>
      </c>
      <c r="J6" t="inlineStr">
        <is>
          <t>VENTA PPA ENERGIA</t>
        </is>
      </c>
      <c r="K6" t="n">
        <v>23712</v>
      </c>
      <c r="L6" t="n">
        <v>132996</v>
      </c>
    </row>
    <row r="7">
      <c r="A7" t="inlineStr">
        <is>
          <t>SAN_JUAN_LAP</t>
        </is>
      </c>
      <c r="B7" t="inlineStr">
        <is>
          <t>01-12-2021</t>
        </is>
      </c>
      <c r="C7" t="n">
        <v>16</v>
      </c>
      <c r="D7" t="inlineStr">
        <is>
          <t>EDECSA</t>
        </is>
      </c>
      <c r="E7" t="inlineStr">
        <is>
          <t>BS2C</t>
        </is>
      </c>
      <c r="F7" t="inlineStr">
        <is>
          <t>Licitación Eolica San Juan y Edecsa (SIC 2013/03-2) BS2C</t>
        </is>
      </c>
      <c r="G7" t="inlineStr">
        <is>
          <t>2022-01-11 15:13:56</t>
        </is>
      </c>
      <c r="H7" t="n">
        <v>33</v>
      </c>
      <c r="I7" t="n">
        <v>-1</v>
      </c>
      <c r="J7" t="inlineStr">
        <is>
          <t>VENTA PPA ENERGIA</t>
        </is>
      </c>
      <c r="K7" t="n">
        <v>24238</v>
      </c>
      <c r="L7" t="n">
        <v>146167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MesDevengado</t>
        </is>
      </c>
      <c r="C1" s="1" t="inlineStr">
        <is>
          <t>IdAgrupacion</t>
        </is>
      </c>
      <c r="D1" s="1" t="inlineStr">
        <is>
          <t>NomAgrupacion</t>
        </is>
      </c>
      <c r="E1" s="1" t="inlineStr">
        <is>
          <t>Bloque</t>
        </is>
      </c>
      <c r="F1" s="1" t="inlineStr">
        <is>
          <t>NombreCliente</t>
        </is>
      </c>
      <c r="G1" s="1" t="inlineStr">
        <is>
          <t>FechaDeContabilizacion</t>
        </is>
      </c>
      <c r="H1" s="1" t="inlineStr">
        <is>
          <t>PrefijoFolio</t>
        </is>
      </c>
      <c r="I1" s="1" t="inlineStr">
        <is>
          <t>CuentaDeMayor</t>
        </is>
      </c>
      <c r="J1" s="1" t="inlineStr">
        <is>
          <t>CodigoDeArticulo</t>
        </is>
      </c>
      <c r="K1" s="1" t="inlineStr">
        <is>
          <t>NumDeFolio</t>
        </is>
      </c>
      <c r="L1" s="1" t="inlineStr">
        <is>
          <t>MontoCLP</t>
        </is>
      </c>
    </row>
    <row r="2">
      <c r="A2" t="inlineStr">
        <is>
          <t>SAN_JUAN_LAP</t>
        </is>
      </c>
      <c r="B2" t="inlineStr">
        <is>
          <t>01-01-2022</t>
        </is>
      </c>
      <c r="C2" t="n">
        <v>16</v>
      </c>
      <c r="D2" t="inlineStr">
        <is>
          <t>EDECSA</t>
        </is>
      </c>
      <c r="E2" t="inlineStr">
        <is>
          <t>BS2C</t>
        </is>
      </c>
      <c r="F2" t="inlineStr">
        <is>
          <t>Licitación Eolica San Juan y Edecsa (SIC 2013/03-2) BS2C</t>
        </is>
      </c>
      <c r="G2" t="inlineStr">
        <is>
          <t>2022-02-11 16:01:27</t>
        </is>
      </c>
      <c r="H2" t="n">
        <v>33</v>
      </c>
      <c r="I2" t="n">
        <v>-1</v>
      </c>
      <c r="J2" t="inlineStr">
        <is>
          <t>VENTA PPA POTENCIA</t>
        </is>
      </c>
      <c r="K2" t="n">
        <v>24598</v>
      </c>
      <c r="L2" t="n">
        <v>11962</v>
      </c>
    </row>
    <row r="3">
      <c r="A3" t="inlineStr">
        <is>
          <t>SAN_JUAN_LAP</t>
        </is>
      </c>
      <c r="B3" t="inlineStr">
        <is>
          <t>01-02-2022</t>
        </is>
      </c>
      <c r="C3" t="n">
        <v>16</v>
      </c>
      <c r="D3" t="inlineStr">
        <is>
          <t>EDECSA</t>
        </is>
      </c>
      <c r="E3" t="inlineStr">
        <is>
          <t>BS2C</t>
        </is>
      </c>
      <c r="F3" t="inlineStr">
        <is>
          <t>Licitación Eolica San Juan y Edecsa (SIC 2013/03-2) BS2C</t>
        </is>
      </c>
      <c r="G3" t="inlineStr">
        <is>
          <t>2022-03-10 17:23:49</t>
        </is>
      </c>
      <c r="H3" t="n">
        <v>33</v>
      </c>
      <c r="I3" t="n">
        <v>-1</v>
      </c>
      <c r="J3" t="inlineStr">
        <is>
          <t>VENTA PPA POTENCIA</t>
        </is>
      </c>
      <c r="K3" t="n">
        <v>25203</v>
      </c>
      <c r="L3" t="n">
        <v>12040</v>
      </c>
    </row>
    <row r="4">
      <c r="A4" t="inlineStr">
        <is>
          <t>SAN_JUAN_LAP</t>
        </is>
      </c>
      <c r="B4" t="inlineStr">
        <is>
          <t>01-03-2022</t>
        </is>
      </c>
      <c r="C4" t="n">
        <v>16</v>
      </c>
      <c r="D4" t="inlineStr">
        <is>
          <t>EDECSA</t>
        </is>
      </c>
      <c r="E4" t="inlineStr">
        <is>
          <t>BS2C</t>
        </is>
      </c>
      <c r="F4" t="inlineStr">
        <is>
          <t>Licitación Eolica San Juan y Edecsa (SIC 2013/03-2) BS2C</t>
        </is>
      </c>
      <c r="G4" t="inlineStr">
        <is>
          <t>2022-04-11 14:55:14</t>
        </is>
      </c>
      <c r="H4" t="n">
        <v>33</v>
      </c>
      <c r="I4" t="n">
        <v>-1</v>
      </c>
      <c r="J4" t="inlineStr">
        <is>
          <t>VENTA PPA POTENCIA</t>
        </is>
      </c>
      <c r="K4" t="n">
        <v>26347</v>
      </c>
      <c r="L4" t="n">
        <v>12094</v>
      </c>
    </row>
    <row r="5">
      <c r="A5" t="inlineStr">
        <is>
          <t>SAN_JUAN_LAP</t>
        </is>
      </c>
      <c r="B5" t="inlineStr">
        <is>
          <t>01-10-2021</t>
        </is>
      </c>
      <c r="C5" t="n">
        <v>16</v>
      </c>
      <c r="D5" t="inlineStr">
        <is>
          <t>EDECSA</t>
        </is>
      </c>
      <c r="E5" t="inlineStr">
        <is>
          <t>BS2C</t>
        </is>
      </c>
      <c r="F5" t="inlineStr">
        <is>
          <t>Licitación Eolica San Juan y Edecsa (SIC 2013/03-2) BS2C</t>
        </is>
      </c>
      <c r="G5" t="inlineStr">
        <is>
          <t>2021-11-09 17:02:50</t>
        </is>
      </c>
      <c r="H5" t="n">
        <v>33</v>
      </c>
      <c r="I5" t="n">
        <v>-1</v>
      </c>
      <c r="J5" t="inlineStr">
        <is>
          <t>VENTA PPA POTENCIA</t>
        </is>
      </c>
      <c r="K5" t="n">
        <v>23252</v>
      </c>
      <c r="L5" t="n">
        <v>11741</v>
      </c>
    </row>
    <row r="6">
      <c r="A6" t="inlineStr">
        <is>
          <t>SAN_JUAN_LAP</t>
        </is>
      </c>
      <c r="B6" t="inlineStr">
        <is>
          <t>01-11-2021</t>
        </is>
      </c>
      <c r="C6" t="n">
        <v>16</v>
      </c>
      <c r="D6" t="inlineStr">
        <is>
          <t>EDECSA</t>
        </is>
      </c>
      <c r="E6" t="inlineStr">
        <is>
          <t>BS2C</t>
        </is>
      </c>
      <c r="F6" t="inlineStr">
        <is>
          <t>Licitación Eolica San Juan y Edecsa (SIC 2013/03-2) BS2C</t>
        </is>
      </c>
      <c r="G6" t="inlineStr">
        <is>
          <t>2021-12-10 13:09:26</t>
        </is>
      </c>
      <c r="H6" t="n">
        <v>33</v>
      </c>
      <c r="I6" t="n">
        <v>-1</v>
      </c>
      <c r="J6" t="inlineStr">
        <is>
          <t>VENTA PPA POTENCIA</t>
        </is>
      </c>
      <c r="K6" t="n">
        <v>23712</v>
      </c>
      <c r="L6" t="n">
        <v>12007</v>
      </c>
    </row>
    <row r="7">
      <c r="A7" t="inlineStr">
        <is>
          <t>SAN_JUAN_LAP</t>
        </is>
      </c>
      <c r="B7" t="inlineStr">
        <is>
          <t>01-12-2021</t>
        </is>
      </c>
      <c r="C7" t="n">
        <v>16</v>
      </c>
      <c r="D7" t="inlineStr">
        <is>
          <t>EDECSA</t>
        </is>
      </c>
      <c r="E7" t="inlineStr">
        <is>
          <t>BS2C</t>
        </is>
      </c>
      <c r="F7" t="inlineStr">
        <is>
          <t>Licitación Eolica San Juan y Edecsa (SIC 2013/03-2) BS2C</t>
        </is>
      </c>
      <c r="G7" t="inlineStr">
        <is>
          <t>2022-01-11 15:13:56</t>
        </is>
      </c>
      <c r="H7" t="n">
        <v>33</v>
      </c>
      <c r="I7" t="n">
        <v>-1</v>
      </c>
      <c r="J7" t="inlineStr">
        <is>
          <t>VENTA PPA POTENCIA</t>
        </is>
      </c>
      <c r="K7" t="n">
        <v>24238</v>
      </c>
      <c r="L7" t="n">
        <v>12042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W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</t>
        </is>
      </c>
      <c r="B1" s="1" t="inlineStr">
        <is>
          <t>MesDevengado</t>
        </is>
      </c>
      <c r="C1" s="1" t="inlineStr">
        <is>
          <t>Nombre</t>
        </is>
      </c>
      <c r="D1" s="1" t="inlineStr">
        <is>
          <t>Concepto</t>
        </is>
      </c>
      <c r="E1" s="1" t="inlineStr">
        <is>
          <t>Agrupacion</t>
        </is>
      </c>
      <c r="F1" s="1" t="inlineStr">
        <is>
          <t>Glosa</t>
        </is>
      </c>
      <c r="G1" s="1" t="inlineStr">
        <is>
          <t>FechaCarga</t>
        </is>
      </c>
      <c r="H1" s="1" t="inlineStr">
        <is>
          <t>TipoDocumento</t>
        </is>
      </c>
      <c r="I1" s="1" t="inlineStr">
        <is>
          <t>Folio</t>
        </is>
      </c>
      <c r="J1" s="1" t="inlineStr">
        <is>
          <t>Vendedor</t>
        </is>
      </c>
      <c r="K1" s="1" t="inlineStr">
        <is>
          <t>Comprador</t>
        </is>
      </c>
      <c r="L1" s="1" t="inlineStr">
        <is>
          <t>Bloque</t>
        </is>
      </c>
      <c r="M1" s="1" t="inlineStr">
        <is>
          <t>Empresa</t>
        </is>
      </c>
      <c r="N1" s="1" t="inlineStr">
        <is>
          <t>ClaveEEDD</t>
        </is>
      </c>
      <c r="O1" s="1" t="inlineStr">
        <is>
          <t>Licitacion</t>
        </is>
      </c>
      <c r="P1" s="1" t="inlineStr">
        <is>
          <t>NomAgrupacion</t>
        </is>
      </c>
      <c r="Q1" s="1" t="inlineStr">
        <is>
          <t>Num</t>
        </is>
      </c>
      <c r="R1" s="1" t="inlineStr">
        <is>
          <t>Barra</t>
        </is>
      </c>
      <c r="S1" s="1" t="inlineStr">
        <is>
          <t>Energia</t>
        </is>
      </c>
      <c r="T1" s="1" t="inlineStr">
        <is>
          <t>MontoEnergia</t>
        </is>
      </c>
      <c r="U1" s="1" t="inlineStr">
        <is>
          <t>Potencia</t>
        </is>
      </c>
      <c r="V1" s="1" t="inlineStr">
        <is>
          <t>MontoPotencia</t>
        </is>
      </c>
      <c r="W1" s="1" t="inlineStr">
        <is>
          <t>Precio</t>
        </is>
      </c>
    </row>
    <row r="2">
      <c r="A2" t="inlineStr">
        <is>
          <t>2021-10-01</t>
        </is>
      </c>
      <c r="B2" t="inlineStr">
        <is>
          <t>01-10-2021</t>
        </is>
      </c>
      <c r="C2" t="inlineStr">
        <is>
          <t>Licitación Eolica San Juan y Edecsa (SIC 2013/03-2) BS2C</t>
        </is>
      </c>
      <c r="D2" t="inlineStr">
        <is>
          <t>Energia Licitaciones</t>
        </is>
      </c>
      <c r="E2" t="inlineStr">
        <is>
          <t>Energía</t>
        </is>
      </c>
      <c r="F2" t="inlineStr">
        <is>
          <t>Lic. SIC 2013/03-2 bloques BS2C: Energía oct 2021</t>
        </is>
      </c>
      <c r="G2" t="inlineStr">
        <is>
          <t>2021-11-09 17:02:50</t>
        </is>
      </c>
      <c r="H2" t="n">
        <v>33</v>
      </c>
      <c r="I2" t="n">
        <v>23252</v>
      </c>
      <c r="J2" t="inlineStr">
        <is>
          <t>s</t>
        </is>
      </c>
      <c r="K2" t="inlineStr">
        <is>
          <t>s</t>
        </is>
      </c>
      <c r="L2" t="inlineStr">
        <is>
          <t>BS2C</t>
        </is>
      </c>
      <c r="M2" t="inlineStr">
        <is>
          <t>SAN_JUAN_LAP</t>
        </is>
      </c>
      <c r="N2" t="inlineStr">
        <is>
          <t>Edecsa</t>
        </is>
      </c>
      <c r="O2" t="inlineStr">
        <is>
          <t>2013/03-2</t>
        </is>
      </c>
      <c r="P2" t="inlineStr">
        <is>
          <t>EDECSA</t>
        </is>
      </c>
      <c r="Q2" t="n">
        <v>1</v>
      </c>
      <c r="R2" t="inlineStr">
        <is>
          <t>A.JAHUEL 220</t>
        </is>
      </c>
      <c r="S2" t="n">
        <v>0</v>
      </c>
      <c r="T2" t="n">
        <v>0</v>
      </c>
      <c r="W2" t="n">
        <v>77.16200000000001</v>
      </c>
    </row>
    <row r="3">
      <c r="A3" t="inlineStr">
        <is>
          <t>2021-10-01</t>
        </is>
      </c>
      <c r="B3" t="inlineStr">
        <is>
          <t>01-10-2021</t>
        </is>
      </c>
      <c r="C3" t="inlineStr">
        <is>
          <t>Licitación Eolica San Juan y Edecsa (SIC 2013/03-2) BS2C</t>
        </is>
      </c>
      <c r="D3" t="inlineStr">
        <is>
          <t>Potencia Licitaciones</t>
        </is>
      </c>
      <c r="E3" t="inlineStr">
        <is>
          <t>Potencia</t>
        </is>
      </c>
      <c r="F3" t="inlineStr">
        <is>
          <t>Lic. SIC 2013/03-2 bloques BS2C: Potencia oct 2021</t>
        </is>
      </c>
      <c r="G3" t="inlineStr">
        <is>
          <t>2021-11-09 17:02:50</t>
        </is>
      </c>
      <c r="H3" t="n">
        <v>33</v>
      </c>
      <c r="I3" t="n">
        <v>23252</v>
      </c>
      <c r="J3" t="inlineStr">
        <is>
          <t>s</t>
        </is>
      </c>
      <c r="K3" t="inlineStr">
        <is>
          <t>s</t>
        </is>
      </c>
      <c r="L3" t="inlineStr">
        <is>
          <t>BS2C</t>
        </is>
      </c>
      <c r="M3" t="inlineStr">
        <is>
          <t>SAN_JUAN_LAP</t>
        </is>
      </c>
      <c r="N3" t="inlineStr">
        <is>
          <t>Edecsa</t>
        </is>
      </c>
      <c r="O3" t="inlineStr">
        <is>
          <t>2013/03-2</t>
        </is>
      </c>
      <c r="P3" t="inlineStr">
        <is>
          <t>EDECSA</t>
        </is>
      </c>
      <c r="Q3" t="n">
        <v>1</v>
      </c>
      <c r="R3" t="inlineStr">
        <is>
          <t>A.JAHUEL 220</t>
        </is>
      </c>
      <c r="U3" t="n">
        <v>0</v>
      </c>
      <c r="V3" t="n">
        <v>0</v>
      </c>
      <c r="W3" t="n">
        <v>5914.42</v>
      </c>
    </row>
    <row r="4">
      <c r="A4" t="inlineStr">
        <is>
          <t>2021-10-01</t>
        </is>
      </c>
      <c r="B4" t="inlineStr">
        <is>
          <t>01-10-2021</t>
        </is>
      </c>
      <c r="C4" t="inlineStr">
        <is>
          <t>Licitación Eolica San Juan y Edecsa (SIC 2013/03-2) BS2C</t>
        </is>
      </c>
      <c r="D4" t="inlineStr">
        <is>
          <t>Potencia Licitaciones</t>
        </is>
      </c>
      <c r="E4" t="inlineStr">
        <is>
          <t>Potencia</t>
        </is>
      </c>
      <c r="F4" t="inlineStr">
        <is>
          <t>Lic. SIC 2013/03-2 bloques BS2C: Potencia oct 2021</t>
        </is>
      </c>
      <c r="G4" t="inlineStr">
        <is>
          <t>2021-11-09 17:02:50</t>
        </is>
      </c>
      <c r="H4" t="n">
        <v>33</v>
      </c>
      <c r="I4" t="n">
        <v>23252</v>
      </c>
      <c r="J4" t="inlineStr">
        <is>
          <t>s</t>
        </is>
      </c>
      <c r="K4" t="inlineStr">
        <is>
          <t>s</t>
        </is>
      </c>
      <c r="L4" t="inlineStr">
        <is>
          <t>BS2C</t>
        </is>
      </c>
      <c r="M4" t="inlineStr">
        <is>
          <t>SAN_JUAN_LAP</t>
        </is>
      </c>
      <c r="N4" t="inlineStr">
        <is>
          <t>Edecsa</t>
        </is>
      </c>
      <c r="O4" t="inlineStr">
        <is>
          <t>2013/03-2</t>
        </is>
      </c>
      <c r="P4" t="inlineStr">
        <is>
          <t>EDECSA</t>
        </is>
      </c>
      <c r="Q4" t="n">
        <v>2</v>
      </c>
      <c r="R4" t="inlineStr">
        <is>
          <t>A.MELIP 220</t>
        </is>
      </c>
      <c r="U4" t="n">
        <v>1.829763</v>
      </c>
      <c r="V4" t="n">
        <v>10992</v>
      </c>
      <c r="W4" t="n">
        <v>6007.374</v>
      </c>
    </row>
    <row r="5">
      <c r="A5" t="inlineStr">
        <is>
          <t>2021-10-01</t>
        </is>
      </c>
      <c r="B5" t="inlineStr">
        <is>
          <t>01-10-2021</t>
        </is>
      </c>
      <c r="C5" t="inlineStr">
        <is>
          <t>Licitación Eolica San Juan y Edecsa (SIC 2013/03-2) BS2C</t>
        </is>
      </c>
      <c r="D5" t="inlineStr">
        <is>
          <t>Energia Licitaciones</t>
        </is>
      </c>
      <c r="E5" t="inlineStr">
        <is>
          <t>Energía</t>
        </is>
      </c>
      <c r="F5" t="inlineStr">
        <is>
          <t>Lic. SIC 2013/03-2 bloques BS2C: Energía oct 2021</t>
        </is>
      </c>
      <c r="G5" t="inlineStr">
        <is>
          <t>2021-11-09 17:02:50</t>
        </is>
      </c>
      <c r="H5" t="n">
        <v>33</v>
      </c>
      <c r="I5" t="n">
        <v>23252</v>
      </c>
      <c r="J5" t="inlineStr">
        <is>
          <t>s</t>
        </is>
      </c>
      <c r="K5" t="inlineStr">
        <is>
          <t>s</t>
        </is>
      </c>
      <c r="L5" t="inlineStr">
        <is>
          <t>BS2C</t>
        </is>
      </c>
      <c r="M5" t="inlineStr">
        <is>
          <t>SAN_JUAN_LAP</t>
        </is>
      </c>
      <c r="N5" t="inlineStr">
        <is>
          <t>Edecsa</t>
        </is>
      </c>
      <c r="O5" t="inlineStr">
        <is>
          <t>2013/03-2</t>
        </is>
      </c>
      <c r="P5" t="inlineStr">
        <is>
          <t>EDECSA</t>
        </is>
      </c>
      <c r="Q5" t="n">
        <v>2</v>
      </c>
      <c r="R5" t="inlineStr">
        <is>
          <t>A.MELIP 220</t>
        </is>
      </c>
      <c r="S5" t="n">
        <v>1467.934088</v>
      </c>
      <c r="T5" t="n">
        <v>115419</v>
      </c>
      <c r="W5" t="n">
        <v>78.627</v>
      </c>
    </row>
    <row r="6">
      <c r="A6" t="inlineStr">
        <is>
          <t>2021-10-01</t>
        </is>
      </c>
      <c r="B6" t="inlineStr">
        <is>
          <t>01-10-2021</t>
        </is>
      </c>
      <c r="C6" t="inlineStr">
        <is>
          <t>Licitación Eolica San Juan y Edecsa (SIC 2013/03-2) BS2C</t>
        </is>
      </c>
      <c r="D6" t="inlineStr">
        <is>
          <t>Energia Licitaciones</t>
        </is>
      </c>
      <c r="E6" t="inlineStr">
        <is>
          <t>Energía</t>
        </is>
      </c>
      <c r="F6" t="inlineStr">
        <is>
          <t>Lic. SIC 2013/03-2 bloques BS2C: Energía oct 2021</t>
        </is>
      </c>
      <c r="G6" t="inlineStr">
        <is>
          <t>2021-11-09 17:02:50</t>
        </is>
      </c>
      <c r="H6" t="n">
        <v>33</v>
      </c>
      <c r="I6" t="n">
        <v>23252</v>
      </c>
      <c r="J6" t="inlineStr">
        <is>
          <t>s</t>
        </is>
      </c>
      <c r="K6" t="inlineStr">
        <is>
          <t>s</t>
        </is>
      </c>
      <c r="L6" t="inlineStr">
        <is>
          <t>BS2C</t>
        </is>
      </c>
      <c r="M6" t="inlineStr">
        <is>
          <t>SAN_JUAN_LAP</t>
        </is>
      </c>
      <c r="N6" t="inlineStr">
        <is>
          <t>Edecsa</t>
        </is>
      </c>
      <c r="O6" t="inlineStr">
        <is>
          <t>2013/03-2</t>
        </is>
      </c>
      <c r="P6" t="inlineStr">
        <is>
          <t>EDECSA</t>
        </is>
      </c>
      <c r="Q6" t="n">
        <v>3</v>
      </c>
      <c r="R6" t="inlineStr">
        <is>
          <t>C.CHENA 220</t>
        </is>
      </c>
      <c r="S6" t="n">
        <v>0</v>
      </c>
      <c r="T6" t="n">
        <v>0</v>
      </c>
      <c r="W6" t="n">
        <v>78.27</v>
      </c>
    </row>
    <row r="7">
      <c r="A7" t="inlineStr">
        <is>
          <t>2021-10-01</t>
        </is>
      </c>
      <c r="B7" t="inlineStr">
        <is>
          <t>01-10-2021</t>
        </is>
      </c>
      <c r="C7" t="inlineStr">
        <is>
          <t>Licitación Eolica San Juan y Edecsa (SIC 2013/03-2) BS2C</t>
        </is>
      </c>
      <c r="D7" t="inlineStr">
        <is>
          <t>Potencia Licitaciones</t>
        </is>
      </c>
      <c r="E7" t="inlineStr">
        <is>
          <t>Potencia</t>
        </is>
      </c>
      <c r="F7" t="inlineStr">
        <is>
          <t>Lic. SIC 2013/03-2 bloques BS2C: Potencia oct 2021</t>
        </is>
      </c>
      <c r="G7" t="inlineStr">
        <is>
          <t>2021-11-09 17:02:50</t>
        </is>
      </c>
      <c r="H7" t="n">
        <v>33</v>
      </c>
      <c r="I7" t="n">
        <v>23252</v>
      </c>
      <c r="J7" t="inlineStr">
        <is>
          <t>s</t>
        </is>
      </c>
      <c r="K7" t="inlineStr">
        <is>
          <t>s</t>
        </is>
      </c>
      <c r="L7" t="inlineStr">
        <is>
          <t>BS2C</t>
        </is>
      </c>
      <c r="M7" t="inlineStr">
        <is>
          <t>SAN_JUAN_LAP</t>
        </is>
      </c>
      <c r="N7" t="inlineStr">
        <is>
          <t>Edecsa</t>
        </is>
      </c>
      <c r="O7" t="inlineStr">
        <is>
          <t>2013/03-2</t>
        </is>
      </c>
      <c r="P7" t="inlineStr">
        <is>
          <t>EDECSA</t>
        </is>
      </c>
      <c r="Q7" t="n">
        <v>3</v>
      </c>
      <c r="R7" t="inlineStr">
        <is>
          <t>C.CHENA 220</t>
        </is>
      </c>
      <c r="U7" t="n">
        <v>0</v>
      </c>
      <c r="V7" t="n">
        <v>0</v>
      </c>
      <c r="W7" t="n">
        <v>6022.27</v>
      </c>
    </row>
    <row r="8">
      <c r="A8" t="inlineStr">
        <is>
          <t>2021-10-01</t>
        </is>
      </c>
      <c r="B8" t="inlineStr">
        <is>
          <t>01-10-2021</t>
        </is>
      </c>
      <c r="C8" t="inlineStr">
        <is>
          <t>Licitación Eolica San Juan y Edecsa (SIC 2013/03-2) BS2C</t>
        </is>
      </c>
      <c r="D8" t="inlineStr">
        <is>
          <t>Energia Licitaciones</t>
        </is>
      </c>
      <c r="E8" t="inlineStr">
        <is>
          <t>Energía</t>
        </is>
      </c>
      <c r="F8" t="inlineStr">
        <is>
          <t>Lic. SIC 2013/03-2 bloques BS2C: Energía oct 2021</t>
        </is>
      </c>
      <c r="G8" t="inlineStr">
        <is>
          <t>2021-11-09 17:02:50</t>
        </is>
      </c>
      <c r="H8" t="n">
        <v>33</v>
      </c>
      <c r="I8" t="n">
        <v>23252</v>
      </c>
      <c r="J8" t="inlineStr">
        <is>
          <t>s</t>
        </is>
      </c>
      <c r="K8" t="inlineStr">
        <is>
          <t>s</t>
        </is>
      </c>
      <c r="L8" t="inlineStr">
        <is>
          <t>BS2C</t>
        </is>
      </c>
      <c r="M8" t="inlineStr">
        <is>
          <t>SAN_JUAN_LAP</t>
        </is>
      </c>
      <c r="N8" t="inlineStr">
        <is>
          <t>Edecsa</t>
        </is>
      </c>
      <c r="O8" t="inlineStr">
        <is>
          <t>2013/03-2</t>
        </is>
      </c>
      <c r="P8" t="inlineStr">
        <is>
          <t>EDECSA</t>
        </is>
      </c>
      <c r="Q8" t="n">
        <v>4</v>
      </c>
      <c r="R8" t="inlineStr">
        <is>
          <t>C.NAVIA 220</t>
        </is>
      </c>
      <c r="S8" t="n">
        <v>0</v>
      </c>
      <c r="T8" t="n">
        <v>0</v>
      </c>
      <c r="W8" t="n">
        <v>78.744</v>
      </c>
    </row>
    <row r="9">
      <c r="A9" t="inlineStr">
        <is>
          <t>2021-10-01</t>
        </is>
      </c>
      <c r="B9" t="inlineStr">
        <is>
          <t>01-10-2021</t>
        </is>
      </c>
      <c r="C9" t="inlineStr">
        <is>
          <t>Licitación Eolica San Juan y Edecsa (SIC 2013/03-2) BS2C</t>
        </is>
      </c>
      <c r="D9" t="inlineStr">
        <is>
          <t>Potencia Licitaciones</t>
        </is>
      </c>
      <c r="E9" t="inlineStr">
        <is>
          <t>Potencia</t>
        </is>
      </c>
      <c r="F9" t="inlineStr">
        <is>
          <t>Lic. SIC 2013/03-2 bloques BS2C: Potencia oct 2021</t>
        </is>
      </c>
      <c r="G9" t="inlineStr">
        <is>
          <t>2021-11-09 17:02:50</t>
        </is>
      </c>
      <c r="H9" t="n">
        <v>33</v>
      </c>
      <c r="I9" t="n">
        <v>23252</v>
      </c>
      <c r="J9" t="inlineStr">
        <is>
          <t>s</t>
        </is>
      </c>
      <c r="K9" t="inlineStr">
        <is>
          <t>s</t>
        </is>
      </c>
      <c r="L9" t="inlineStr">
        <is>
          <t>BS2C</t>
        </is>
      </c>
      <c r="M9" t="inlineStr">
        <is>
          <t>SAN_JUAN_LAP</t>
        </is>
      </c>
      <c r="N9" t="inlineStr">
        <is>
          <t>Edecsa</t>
        </is>
      </c>
      <c r="O9" t="inlineStr">
        <is>
          <t>2013/03-2</t>
        </is>
      </c>
      <c r="P9" t="inlineStr">
        <is>
          <t>EDECSA</t>
        </is>
      </c>
      <c r="Q9" t="n">
        <v>4</v>
      </c>
      <c r="R9" t="inlineStr">
        <is>
          <t>C.NAVIA 220</t>
        </is>
      </c>
      <c r="U9" t="n">
        <v>0</v>
      </c>
      <c r="V9" t="n">
        <v>0</v>
      </c>
      <c r="W9" t="n">
        <v>6021.08</v>
      </c>
    </row>
    <row r="10">
      <c r="A10" t="inlineStr">
        <is>
          <t>2021-10-01</t>
        </is>
      </c>
      <c r="B10" t="inlineStr">
        <is>
          <t>01-10-2021</t>
        </is>
      </c>
      <c r="C10" t="inlineStr">
        <is>
          <t>Licitación Eolica San Juan y Edecsa (SIC 2013/03-2) BS2C</t>
        </is>
      </c>
      <c r="D10" t="inlineStr">
        <is>
          <t>Potencia Licitaciones</t>
        </is>
      </c>
      <c r="E10" t="inlineStr">
        <is>
          <t>Potencia</t>
        </is>
      </c>
      <c r="F10" t="inlineStr">
        <is>
          <t>Lic. SIC 2013/03-2 bloques BS2C: Potencia oct 2021</t>
        </is>
      </c>
      <c r="G10" t="inlineStr">
        <is>
          <t>2021-11-09 17:02:50</t>
        </is>
      </c>
      <c r="H10" t="n">
        <v>33</v>
      </c>
      <c r="I10" t="n">
        <v>23252</v>
      </c>
      <c r="J10" t="inlineStr">
        <is>
          <t>s</t>
        </is>
      </c>
      <c r="K10" t="inlineStr">
        <is>
          <t>s</t>
        </is>
      </c>
      <c r="L10" t="inlineStr">
        <is>
          <t>BS2C</t>
        </is>
      </c>
      <c r="M10" t="inlineStr">
        <is>
          <t>SAN_JUAN_LAP</t>
        </is>
      </c>
      <c r="N10" t="inlineStr">
        <is>
          <t>Edecsa</t>
        </is>
      </c>
      <c r="O10" t="inlineStr">
        <is>
          <t>2013/03-2</t>
        </is>
      </c>
      <c r="P10" t="inlineStr">
        <is>
          <t>EDECSA</t>
        </is>
      </c>
      <c r="Q10" t="n">
        <v>5</v>
      </c>
      <c r="R10" t="inlineStr">
        <is>
          <t>L.MAQUIS 220</t>
        </is>
      </c>
      <c r="U10" t="n">
        <v>0.015232</v>
      </c>
      <c r="V10" t="n">
        <v>93</v>
      </c>
      <c r="W10" t="n">
        <v>6112.244</v>
      </c>
    </row>
    <row r="11">
      <c r="A11" t="inlineStr">
        <is>
          <t>2021-10-01</t>
        </is>
      </c>
      <c r="B11" t="inlineStr">
        <is>
          <t>01-10-2021</t>
        </is>
      </c>
      <c r="C11" t="inlineStr">
        <is>
          <t>Licitación Eolica San Juan y Edecsa (SIC 2013/03-2) BS2C</t>
        </is>
      </c>
      <c r="D11" t="inlineStr">
        <is>
          <t>Energia Licitaciones</t>
        </is>
      </c>
      <c r="E11" t="inlineStr">
        <is>
          <t>Energía</t>
        </is>
      </c>
      <c r="F11" t="inlineStr">
        <is>
          <t>Lic. SIC 2013/03-2 bloques BS2C: Energía oct 2021</t>
        </is>
      </c>
      <c r="G11" t="inlineStr">
        <is>
          <t>2021-11-09 17:02:50</t>
        </is>
      </c>
      <c r="H11" t="n">
        <v>33</v>
      </c>
      <c r="I11" t="n">
        <v>23252</v>
      </c>
      <c r="J11" t="inlineStr">
        <is>
          <t>s</t>
        </is>
      </c>
      <c r="K11" t="inlineStr">
        <is>
          <t>s</t>
        </is>
      </c>
      <c r="L11" t="inlineStr">
        <is>
          <t>BS2C</t>
        </is>
      </c>
      <c r="M11" t="inlineStr">
        <is>
          <t>SAN_JUAN_LAP</t>
        </is>
      </c>
      <c r="N11" t="inlineStr">
        <is>
          <t>Edecsa</t>
        </is>
      </c>
      <c r="O11" t="inlineStr">
        <is>
          <t>2013/03-2</t>
        </is>
      </c>
      <c r="P11" t="inlineStr">
        <is>
          <t>EDECSA</t>
        </is>
      </c>
      <c r="Q11" t="n">
        <v>5</v>
      </c>
      <c r="R11" t="inlineStr">
        <is>
          <t>L.MAQUIS 220</t>
        </is>
      </c>
      <c r="S11" t="n">
        <v>12.220019</v>
      </c>
      <c r="T11" t="n">
        <v>1012</v>
      </c>
      <c r="W11" t="n">
        <v>82.843</v>
      </c>
    </row>
    <row r="12">
      <c r="A12" t="inlineStr">
        <is>
          <t>2021-10-01</t>
        </is>
      </c>
      <c r="B12" t="inlineStr">
        <is>
          <t>01-10-2021</t>
        </is>
      </c>
      <c r="C12" t="inlineStr">
        <is>
          <t>Licitación Eolica San Juan y Edecsa (SIC 2013/03-2) BS2C</t>
        </is>
      </c>
      <c r="D12" t="inlineStr">
        <is>
          <t>Potencia Licitaciones</t>
        </is>
      </c>
      <c r="E12" t="inlineStr">
        <is>
          <t>Potencia</t>
        </is>
      </c>
      <c r="F12" t="inlineStr">
        <is>
          <t>Lic. SIC 2013/03-2 bloques BS2C: Potencia oct 2021</t>
        </is>
      </c>
      <c r="G12" t="inlineStr">
        <is>
          <t>2021-11-09 17:02:50</t>
        </is>
      </c>
      <c r="H12" t="n">
        <v>33</v>
      </c>
      <c r="I12" t="n">
        <v>23252</v>
      </c>
      <c r="J12" t="inlineStr">
        <is>
          <t>s</t>
        </is>
      </c>
      <c r="K12" t="inlineStr">
        <is>
          <t>s</t>
        </is>
      </c>
      <c r="L12" t="inlineStr">
        <is>
          <t>BS2C</t>
        </is>
      </c>
      <c r="M12" t="inlineStr">
        <is>
          <t>SAN_JUAN_LAP</t>
        </is>
      </c>
      <c r="N12" t="inlineStr">
        <is>
          <t>Edecsa</t>
        </is>
      </c>
      <c r="O12" t="inlineStr">
        <is>
          <t>2013/03-2</t>
        </is>
      </c>
      <c r="P12" t="inlineStr">
        <is>
          <t>EDECSA</t>
        </is>
      </c>
      <c r="Q12" t="n">
        <v>6</v>
      </c>
      <c r="R12" t="inlineStr">
        <is>
          <t>NOGALES 220</t>
        </is>
      </c>
      <c r="U12" t="n">
        <v>0.0634</v>
      </c>
      <c r="V12" t="n">
        <v>373</v>
      </c>
      <c r="W12" t="n">
        <v>5876.883</v>
      </c>
    </row>
    <row r="13">
      <c r="A13" t="inlineStr">
        <is>
          <t>2021-10-01</t>
        </is>
      </c>
      <c r="B13" t="inlineStr">
        <is>
          <t>01-10-2021</t>
        </is>
      </c>
      <c r="C13" t="inlineStr">
        <is>
          <t>Licitación Eolica San Juan y Edecsa (SIC 2013/03-2) BS2C</t>
        </is>
      </c>
      <c r="D13" t="inlineStr">
        <is>
          <t>Energia Licitaciones</t>
        </is>
      </c>
      <c r="E13" t="inlineStr">
        <is>
          <t>Energía</t>
        </is>
      </c>
      <c r="F13" t="inlineStr">
        <is>
          <t>Lic. SIC 2013/03-2 bloques BS2C: Energía oct 2021</t>
        </is>
      </c>
      <c r="G13" t="inlineStr">
        <is>
          <t>2021-11-09 17:02:50</t>
        </is>
      </c>
      <c r="H13" t="n">
        <v>33</v>
      </c>
      <c r="I13" t="n">
        <v>23252</v>
      </c>
      <c r="J13" t="inlineStr">
        <is>
          <t>s</t>
        </is>
      </c>
      <c r="K13" t="inlineStr">
        <is>
          <t>s</t>
        </is>
      </c>
      <c r="L13" t="inlineStr">
        <is>
          <t>BS2C</t>
        </is>
      </c>
      <c r="M13" t="inlineStr">
        <is>
          <t>SAN_JUAN_LAP</t>
        </is>
      </c>
      <c r="N13" t="inlineStr">
        <is>
          <t>Edecsa</t>
        </is>
      </c>
      <c r="O13" t="inlineStr">
        <is>
          <t>2013/03-2</t>
        </is>
      </c>
      <c r="P13" t="inlineStr">
        <is>
          <t>EDECSA</t>
        </is>
      </c>
      <c r="Q13" t="n">
        <v>6</v>
      </c>
      <c r="R13" t="inlineStr">
        <is>
          <t>NOGALES 220</t>
        </is>
      </c>
      <c r="S13" t="n">
        <v>50.862631</v>
      </c>
      <c r="T13" t="n">
        <v>3805</v>
      </c>
      <c r="W13" t="n">
        <v>74.80500000000001</v>
      </c>
    </row>
    <row r="14">
      <c r="A14" t="inlineStr">
        <is>
          <t>2021-10-01</t>
        </is>
      </c>
      <c r="B14" t="inlineStr">
        <is>
          <t>01-10-2021</t>
        </is>
      </c>
      <c r="C14" t="inlineStr">
        <is>
          <t>Licitación Eolica San Juan y Edecsa (SIC 2013/03-2) BS2C</t>
        </is>
      </c>
      <c r="D14" t="inlineStr">
        <is>
          <t>Energia Licitaciones</t>
        </is>
      </c>
      <c r="E14" t="inlineStr">
        <is>
          <t>Energía</t>
        </is>
      </c>
      <c r="F14" t="inlineStr">
        <is>
          <t>Lic. SIC 2013/03-2 bloques BS2C: Energía oct 2021</t>
        </is>
      </c>
      <c r="G14" t="inlineStr">
        <is>
          <t>2021-11-09 17:02:50</t>
        </is>
      </c>
      <c r="H14" t="n">
        <v>33</v>
      </c>
      <c r="I14" t="n">
        <v>23252</v>
      </c>
      <c r="J14" t="inlineStr">
        <is>
          <t>s</t>
        </is>
      </c>
      <c r="K14" t="inlineStr">
        <is>
          <t>s</t>
        </is>
      </c>
      <c r="L14" t="inlineStr">
        <is>
          <t>BS2C</t>
        </is>
      </c>
      <c r="M14" t="inlineStr">
        <is>
          <t>SAN_JUAN_LAP</t>
        </is>
      </c>
      <c r="N14" t="inlineStr">
        <is>
          <t>Edecsa</t>
        </is>
      </c>
      <c r="O14" t="inlineStr">
        <is>
          <t>2013/03-2</t>
        </is>
      </c>
      <c r="P14" t="inlineStr">
        <is>
          <t>EDECSA</t>
        </is>
      </c>
      <c r="Q14" t="n">
        <v>7</v>
      </c>
      <c r="R14" t="inlineStr">
        <is>
          <t>POLPAICO 220</t>
        </is>
      </c>
      <c r="S14" t="n">
        <v>0</v>
      </c>
      <c r="T14" t="n">
        <v>0</v>
      </c>
      <c r="W14" t="n">
        <v>79.116</v>
      </c>
    </row>
    <row r="15">
      <c r="A15" t="inlineStr">
        <is>
          <t>2021-10-01</t>
        </is>
      </c>
      <c r="B15" t="inlineStr">
        <is>
          <t>01-10-2021</t>
        </is>
      </c>
      <c r="C15" t="inlineStr">
        <is>
          <t>Licitación Eolica San Juan y Edecsa (SIC 2013/03-2) BS2C</t>
        </is>
      </c>
      <c r="D15" t="inlineStr">
        <is>
          <t>Potencia Licitaciones</t>
        </is>
      </c>
      <c r="E15" t="inlineStr">
        <is>
          <t>Potencia</t>
        </is>
      </c>
      <c r="F15" t="inlineStr">
        <is>
          <t>Lic. SIC 2013/03-2 bloques BS2C: Potencia oct 2021</t>
        </is>
      </c>
      <c r="G15" t="inlineStr">
        <is>
          <t>2021-11-09 17:02:50</t>
        </is>
      </c>
      <c r="H15" t="n">
        <v>33</v>
      </c>
      <c r="I15" t="n">
        <v>23252</v>
      </c>
      <c r="J15" t="inlineStr">
        <is>
          <t>s</t>
        </is>
      </c>
      <c r="K15" t="inlineStr">
        <is>
          <t>s</t>
        </is>
      </c>
      <c r="L15" t="inlineStr">
        <is>
          <t>BS2C</t>
        </is>
      </c>
      <c r="M15" t="inlineStr">
        <is>
          <t>SAN_JUAN_LAP</t>
        </is>
      </c>
      <c r="N15" t="inlineStr">
        <is>
          <t>Edecsa</t>
        </is>
      </c>
      <c r="O15" t="inlineStr">
        <is>
          <t>2013/03-2</t>
        </is>
      </c>
      <c r="P15" t="inlineStr">
        <is>
          <t>EDECSA</t>
        </is>
      </c>
      <c r="Q15" t="n">
        <v>7</v>
      </c>
      <c r="R15" t="inlineStr">
        <is>
          <t>POLPAICO 220</t>
        </is>
      </c>
      <c r="U15" t="n">
        <v>0</v>
      </c>
      <c r="V15" t="n">
        <v>0</v>
      </c>
      <c r="W15" t="n">
        <v>5958.51</v>
      </c>
    </row>
    <row r="16">
      <c r="A16" t="inlineStr">
        <is>
          <t>2021-10-01</t>
        </is>
      </c>
      <c r="B16" t="inlineStr">
        <is>
          <t>01-10-2021</t>
        </is>
      </c>
      <c r="C16" t="inlineStr">
        <is>
          <t>Licitación Eolica San Juan y Edecsa (SIC 2013/03-2) BS2C</t>
        </is>
      </c>
      <c r="D16" t="inlineStr">
        <is>
          <t>Potencia Licitaciones</t>
        </is>
      </c>
      <c r="E16" t="inlineStr">
        <is>
          <t>Potencia</t>
        </is>
      </c>
      <c r="F16" t="inlineStr">
        <is>
          <t>Lic. SIC 2013/03-2 bloques BS2C: Potencia oct 2021</t>
        </is>
      </c>
      <c r="G16" t="inlineStr">
        <is>
          <t>2021-11-09 17:02:50</t>
        </is>
      </c>
      <c r="H16" t="n">
        <v>33</v>
      </c>
      <c r="I16" t="n">
        <v>23252</v>
      </c>
      <c r="J16" t="inlineStr">
        <is>
          <t>s</t>
        </is>
      </c>
      <c r="K16" t="inlineStr">
        <is>
          <t>s</t>
        </is>
      </c>
      <c r="L16" t="inlineStr">
        <is>
          <t>BS2C</t>
        </is>
      </c>
      <c r="M16" t="inlineStr">
        <is>
          <t>SAN_JUAN_LAP</t>
        </is>
      </c>
      <c r="N16" t="inlineStr">
        <is>
          <t>Edecsa</t>
        </is>
      </c>
      <c r="O16" t="inlineStr">
        <is>
          <t>2013/03-2</t>
        </is>
      </c>
      <c r="P16" t="inlineStr">
        <is>
          <t>EDECSA</t>
        </is>
      </c>
      <c r="Q16" t="n">
        <v>8</v>
      </c>
      <c r="R16" t="inlineStr">
        <is>
          <t>QUILLOTA 220</t>
        </is>
      </c>
      <c r="U16" t="n">
        <v>0.047345</v>
      </c>
      <c r="V16" t="n">
        <v>283</v>
      </c>
      <c r="W16" t="n">
        <v>5971.027</v>
      </c>
    </row>
    <row r="17">
      <c r="A17" t="inlineStr">
        <is>
          <t>2021-10-01</t>
        </is>
      </c>
      <c r="B17" t="inlineStr">
        <is>
          <t>01-10-2021</t>
        </is>
      </c>
      <c r="C17" t="inlineStr">
        <is>
          <t>Licitación Eolica San Juan y Edecsa (SIC 2013/03-2) BS2C</t>
        </is>
      </c>
      <c r="D17" t="inlineStr">
        <is>
          <t>Energia Licitaciones</t>
        </is>
      </c>
      <c r="E17" t="inlineStr">
        <is>
          <t>Energía</t>
        </is>
      </c>
      <c r="F17" t="inlineStr">
        <is>
          <t>Lic. SIC 2013/03-2 bloques BS2C: Energía oct 2021</t>
        </is>
      </c>
      <c r="G17" t="inlineStr">
        <is>
          <t>2021-11-09 17:02:50</t>
        </is>
      </c>
      <c r="H17" t="n">
        <v>33</v>
      </c>
      <c r="I17" t="n">
        <v>23252</v>
      </c>
      <c r="J17" t="inlineStr">
        <is>
          <t>s</t>
        </is>
      </c>
      <c r="K17" t="inlineStr">
        <is>
          <t>s</t>
        </is>
      </c>
      <c r="L17" t="inlineStr">
        <is>
          <t>BS2C</t>
        </is>
      </c>
      <c r="M17" t="inlineStr">
        <is>
          <t>SAN_JUAN_LAP</t>
        </is>
      </c>
      <c r="N17" t="inlineStr">
        <is>
          <t>Edecsa</t>
        </is>
      </c>
      <c r="O17" t="inlineStr">
        <is>
          <t>2013/03-2</t>
        </is>
      </c>
      <c r="P17" t="inlineStr">
        <is>
          <t>EDECSA</t>
        </is>
      </c>
      <c r="Q17" t="n">
        <v>8</v>
      </c>
      <c r="R17" t="inlineStr">
        <is>
          <t>QUILLOTA 220</t>
        </is>
      </c>
      <c r="S17" t="n">
        <v>37.982973</v>
      </c>
      <c r="T17" t="n">
        <v>3051</v>
      </c>
      <c r="W17" t="n">
        <v>80.33499999999999</v>
      </c>
    </row>
    <row r="18">
      <c r="A18" t="inlineStr">
        <is>
          <t>2021-11-01</t>
        </is>
      </c>
      <c r="B18" t="inlineStr">
        <is>
          <t>01-11-2021</t>
        </is>
      </c>
      <c r="C18" t="inlineStr">
        <is>
          <t>Licitación Eolica San Juan y Edecsa (SIC 2013/03-2) BS2C</t>
        </is>
      </c>
      <c r="D18" t="inlineStr">
        <is>
          <t>Energia Licitaciones</t>
        </is>
      </c>
      <c r="E18" t="inlineStr">
        <is>
          <t>Energía</t>
        </is>
      </c>
      <c r="F18" t="inlineStr">
        <is>
          <t>Lic. SIC 2013/03-2 bloques BS2C: Energía nov 2021</t>
        </is>
      </c>
      <c r="G18" t="inlineStr">
        <is>
          <t>2021-12-10 13:09:26</t>
        </is>
      </c>
      <c r="H18" t="n">
        <v>33</v>
      </c>
      <c r="I18" t="n">
        <v>23712</v>
      </c>
      <c r="J18" t="inlineStr">
        <is>
          <t>s</t>
        </is>
      </c>
      <c r="K18" t="inlineStr">
        <is>
          <t>s</t>
        </is>
      </c>
      <c r="L18" t="inlineStr">
        <is>
          <t>BS2C</t>
        </is>
      </c>
      <c r="M18" t="inlineStr">
        <is>
          <t>SAN_JUAN_LAP</t>
        </is>
      </c>
      <c r="N18" t="inlineStr">
        <is>
          <t>Edecsa</t>
        </is>
      </c>
      <c r="O18" t="inlineStr">
        <is>
          <t>2013/03-2</t>
        </is>
      </c>
      <c r="P18" t="inlineStr">
        <is>
          <t>EDECSA</t>
        </is>
      </c>
      <c r="Q18" t="n">
        <v>1</v>
      </c>
      <c r="R18" t="inlineStr">
        <is>
          <t>A.JAHUEL 220</t>
        </is>
      </c>
      <c r="S18" t="n">
        <v>0</v>
      </c>
      <c r="T18" t="n">
        <v>0</v>
      </c>
      <c r="W18" t="n">
        <v>77.16200000000001</v>
      </c>
    </row>
    <row r="19">
      <c r="A19" t="inlineStr">
        <is>
          <t>2021-11-01</t>
        </is>
      </c>
      <c r="B19" t="inlineStr">
        <is>
          <t>01-11-2021</t>
        </is>
      </c>
      <c r="C19" t="inlineStr">
        <is>
          <t>Licitación Eolica San Juan y Edecsa (SIC 2013/03-2) BS2C</t>
        </is>
      </c>
      <c r="D19" t="inlineStr">
        <is>
          <t>Potencia Licitaciones</t>
        </is>
      </c>
      <c r="E19" t="inlineStr">
        <is>
          <t>Potencia</t>
        </is>
      </c>
      <c r="F19" t="inlineStr">
        <is>
          <t>Lic. SIC 2013/03-2 bloques BS2C: Potencia nov 2021</t>
        </is>
      </c>
      <c r="G19" t="inlineStr">
        <is>
          <t>2021-12-10 13:09:26</t>
        </is>
      </c>
      <c r="H19" t="n">
        <v>33</v>
      </c>
      <c r="I19" t="n">
        <v>23712</v>
      </c>
      <c r="J19" t="inlineStr">
        <is>
          <t>s</t>
        </is>
      </c>
      <c r="K19" t="inlineStr">
        <is>
          <t>s</t>
        </is>
      </c>
      <c r="L19" t="inlineStr">
        <is>
          <t>BS2C</t>
        </is>
      </c>
      <c r="M19" t="inlineStr">
        <is>
          <t>SAN_JUAN_LAP</t>
        </is>
      </c>
      <c r="N19" t="inlineStr">
        <is>
          <t>Edecsa</t>
        </is>
      </c>
      <c r="O19" t="inlineStr">
        <is>
          <t>2013/03-2</t>
        </is>
      </c>
      <c r="P19" t="inlineStr">
        <is>
          <t>EDECSA</t>
        </is>
      </c>
      <c r="Q19" t="n">
        <v>1</v>
      </c>
      <c r="R19" t="inlineStr">
        <is>
          <t>A.JAHUEL 220</t>
        </is>
      </c>
      <c r="U19" t="n">
        <v>0</v>
      </c>
      <c r="V19" t="n">
        <v>0</v>
      </c>
      <c r="W19" t="n">
        <v>5914.42</v>
      </c>
    </row>
    <row r="20">
      <c r="A20" t="inlineStr">
        <is>
          <t>2021-11-01</t>
        </is>
      </c>
      <c r="B20" t="inlineStr">
        <is>
          <t>01-11-2021</t>
        </is>
      </c>
      <c r="C20" t="inlineStr">
        <is>
          <t>Licitación Eolica San Juan y Edecsa (SIC 2013/03-2) BS2C</t>
        </is>
      </c>
      <c r="D20" t="inlineStr">
        <is>
          <t>Potencia Licitaciones</t>
        </is>
      </c>
      <c r="E20" t="inlineStr">
        <is>
          <t>Potencia</t>
        </is>
      </c>
      <c r="F20" t="inlineStr">
        <is>
          <t>Lic. SIC 2013/03-2 bloques BS2C: Potencia nov 2021</t>
        </is>
      </c>
      <c r="G20" t="inlineStr">
        <is>
          <t>2021-12-10 13:09:26</t>
        </is>
      </c>
      <c r="H20" t="n">
        <v>33</v>
      </c>
      <c r="I20" t="n">
        <v>23712</v>
      </c>
      <c r="J20" t="inlineStr">
        <is>
          <t>s</t>
        </is>
      </c>
      <c r="K20" t="inlineStr">
        <is>
          <t>s</t>
        </is>
      </c>
      <c r="L20" t="inlineStr">
        <is>
          <t>BS2C</t>
        </is>
      </c>
      <c r="M20" t="inlineStr">
        <is>
          <t>SAN_JUAN_LAP</t>
        </is>
      </c>
      <c r="N20" t="inlineStr">
        <is>
          <t>Edecsa</t>
        </is>
      </c>
      <c r="O20" t="inlineStr">
        <is>
          <t>2013/03-2</t>
        </is>
      </c>
      <c r="P20" t="inlineStr">
        <is>
          <t>EDECSA</t>
        </is>
      </c>
      <c r="Q20" t="n">
        <v>2</v>
      </c>
      <c r="R20" t="inlineStr">
        <is>
          <t>A.MELIP 220</t>
        </is>
      </c>
      <c r="U20" t="n">
        <v>1.8716</v>
      </c>
      <c r="V20" t="n">
        <v>11243</v>
      </c>
      <c r="W20" t="n">
        <v>6007.374</v>
      </c>
    </row>
    <row r="21">
      <c r="A21" t="inlineStr">
        <is>
          <t>2021-11-01</t>
        </is>
      </c>
      <c r="B21" t="inlineStr">
        <is>
          <t>01-11-2021</t>
        </is>
      </c>
      <c r="C21" t="inlineStr">
        <is>
          <t>Licitación Eolica San Juan y Edecsa (SIC 2013/03-2) BS2C</t>
        </is>
      </c>
      <c r="D21" t="inlineStr">
        <is>
          <t>Energia Licitaciones</t>
        </is>
      </c>
      <c r="E21" t="inlineStr">
        <is>
          <t>Energía</t>
        </is>
      </c>
      <c r="F21" t="inlineStr">
        <is>
          <t>Lic. SIC 2013/03-2 bloques BS2C: Energía nov 2021</t>
        </is>
      </c>
      <c r="G21" t="inlineStr">
        <is>
          <t>2021-12-10 13:09:26</t>
        </is>
      </c>
      <c r="H21" t="n">
        <v>33</v>
      </c>
      <c r="I21" t="n">
        <v>23712</v>
      </c>
      <c r="J21" t="inlineStr">
        <is>
          <t>s</t>
        </is>
      </c>
      <c r="K21" t="inlineStr">
        <is>
          <t>s</t>
        </is>
      </c>
      <c r="L21" t="inlineStr">
        <is>
          <t>BS2C</t>
        </is>
      </c>
      <c r="M21" t="inlineStr">
        <is>
          <t>SAN_JUAN_LAP</t>
        </is>
      </c>
      <c r="N21" t="inlineStr">
        <is>
          <t>Edecsa</t>
        </is>
      </c>
      <c r="O21" t="inlineStr">
        <is>
          <t>2013/03-2</t>
        </is>
      </c>
      <c r="P21" t="inlineStr">
        <is>
          <t>EDECSA</t>
        </is>
      </c>
      <c r="Q21" t="n">
        <v>2</v>
      </c>
      <c r="R21" t="inlineStr">
        <is>
          <t>A.MELIP 220</t>
        </is>
      </c>
      <c r="S21" t="n">
        <v>1583.789429</v>
      </c>
      <c r="T21" t="n">
        <v>124529</v>
      </c>
      <c r="W21" t="n">
        <v>78.627</v>
      </c>
    </row>
    <row r="22">
      <c r="A22" t="inlineStr">
        <is>
          <t>2021-11-01</t>
        </is>
      </c>
      <c r="B22" t="inlineStr">
        <is>
          <t>01-11-2021</t>
        </is>
      </c>
      <c r="C22" t="inlineStr">
        <is>
          <t>Licitación Eolica San Juan y Edecsa (SIC 2013/03-2) BS2C</t>
        </is>
      </c>
      <c r="D22" t="inlineStr">
        <is>
          <t>Energia Licitaciones</t>
        </is>
      </c>
      <c r="E22" t="inlineStr">
        <is>
          <t>Energía</t>
        </is>
      </c>
      <c r="F22" t="inlineStr">
        <is>
          <t>Lic. SIC 2013/03-2 bloques BS2C: Energía nov 2021</t>
        </is>
      </c>
      <c r="G22" t="inlineStr">
        <is>
          <t>2021-12-10 13:09:26</t>
        </is>
      </c>
      <c r="H22" t="n">
        <v>33</v>
      </c>
      <c r="I22" t="n">
        <v>23712</v>
      </c>
      <c r="J22" t="inlineStr">
        <is>
          <t>s</t>
        </is>
      </c>
      <c r="K22" t="inlineStr">
        <is>
          <t>s</t>
        </is>
      </c>
      <c r="L22" t="inlineStr">
        <is>
          <t>BS2C</t>
        </is>
      </c>
      <c r="M22" t="inlineStr">
        <is>
          <t>SAN_JUAN_LAP</t>
        </is>
      </c>
      <c r="N22" t="inlineStr">
        <is>
          <t>Edecsa</t>
        </is>
      </c>
      <c r="O22" t="inlineStr">
        <is>
          <t>2013/03-2</t>
        </is>
      </c>
      <c r="P22" t="inlineStr">
        <is>
          <t>EDECSA</t>
        </is>
      </c>
      <c r="Q22" t="n">
        <v>3</v>
      </c>
      <c r="R22" t="inlineStr">
        <is>
          <t>C.CHENA 220</t>
        </is>
      </c>
      <c r="S22" t="n">
        <v>0</v>
      </c>
      <c r="T22" t="n">
        <v>0</v>
      </c>
      <c r="W22" t="n">
        <v>78.27</v>
      </c>
    </row>
    <row r="23">
      <c r="A23" t="inlineStr">
        <is>
          <t>2021-11-01</t>
        </is>
      </c>
      <c r="B23" t="inlineStr">
        <is>
          <t>01-11-2021</t>
        </is>
      </c>
      <c r="C23" t="inlineStr">
        <is>
          <t>Licitación Eolica San Juan y Edecsa (SIC 2013/03-2) BS2C</t>
        </is>
      </c>
      <c r="D23" t="inlineStr">
        <is>
          <t>Potencia Licitaciones</t>
        </is>
      </c>
      <c r="E23" t="inlineStr">
        <is>
          <t>Potencia</t>
        </is>
      </c>
      <c r="F23" t="inlineStr">
        <is>
          <t>Lic. SIC 2013/03-2 bloques BS2C: Potencia nov 2021</t>
        </is>
      </c>
      <c r="G23" t="inlineStr">
        <is>
          <t>2021-12-10 13:09:26</t>
        </is>
      </c>
      <c r="H23" t="n">
        <v>33</v>
      </c>
      <c r="I23" t="n">
        <v>23712</v>
      </c>
      <c r="J23" t="inlineStr">
        <is>
          <t>s</t>
        </is>
      </c>
      <c r="K23" t="inlineStr">
        <is>
          <t>s</t>
        </is>
      </c>
      <c r="L23" t="inlineStr">
        <is>
          <t>BS2C</t>
        </is>
      </c>
      <c r="M23" t="inlineStr">
        <is>
          <t>SAN_JUAN_LAP</t>
        </is>
      </c>
      <c r="N23" t="inlineStr">
        <is>
          <t>Edecsa</t>
        </is>
      </c>
      <c r="O23" t="inlineStr">
        <is>
          <t>2013/03-2</t>
        </is>
      </c>
      <c r="P23" t="inlineStr">
        <is>
          <t>EDECSA</t>
        </is>
      </c>
      <c r="Q23" t="n">
        <v>3</v>
      </c>
      <c r="R23" t="inlineStr">
        <is>
          <t>C.CHENA 220</t>
        </is>
      </c>
      <c r="U23" t="n">
        <v>0</v>
      </c>
      <c r="V23" t="n">
        <v>0</v>
      </c>
      <c r="W23" t="n">
        <v>6022.27</v>
      </c>
    </row>
    <row r="24">
      <c r="A24" t="inlineStr">
        <is>
          <t>2021-11-01</t>
        </is>
      </c>
      <c r="B24" t="inlineStr">
        <is>
          <t>01-11-2021</t>
        </is>
      </c>
      <c r="C24" t="inlineStr">
        <is>
          <t>Licitación Eolica San Juan y Edecsa (SIC 2013/03-2) BS2C</t>
        </is>
      </c>
      <c r="D24" t="inlineStr">
        <is>
          <t>Energia Licitaciones</t>
        </is>
      </c>
      <c r="E24" t="inlineStr">
        <is>
          <t>Energía</t>
        </is>
      </c>
      <c r="F24" t="inlineStr">
        <is>
          <t>Lic. SIC 2013/03-2 bloques BS2C: Energía nov 2021</t>
        </is>
      </c>
      <c r="G24" t="inlineStr">
        <is>
          <t>2021-12-10 13:09:26</t>
        </is>
      </c>
      <c r="H24" t="n">
        <v>33</v>
      </c>
      <c r="I24" t="n">
        <v>23712</v>
      </c>
      <c r="J24" t="inlineStr">
        <is>
          <t>s</t>
        </is>
      </c>
      <c r="K24" t="inlineStr">
        <is>
          <t>s</t>
        </is>
      </c>
      <c r="L24" t="inlineStr">
        <is>
          <t>BS2C</t>
        </is>
      </c>
      <c r="M24" t="inlineStr">
        <is>
          <t>SAN_JUAN_LAP</t>
        </is>
      </c>
      <c r="N24" t="inlineStr">
        <is>
          <t>Edecsa</t>
        </is>
      </c>
      <c r="O24" t="inlineStr">
        <is>
          <t>2013/03-2</t>
        </is>
      </c>
      <c r="P24" t="inlineStr">
        <is>
          <t>EDECSA</t>
        </is>
      </c>
      <c r="Q24" t="n">
        <v>4</v>
      </c>
      <c r="R24" t="inlineStr">
        <is>
          <t>C.NAVIA 220</t>
        </is>
      </c>
      <c r="S24" t="n">
        <v>0</v>
      </c>
      <c r="T24" t="n">
        <v>0</v>
      </c>
      <c r="W24" t="n">
        <v>78.744</v>
      </c>
    </row>
    <row r="25">
      <c r="A25" t="inlineStr">
        <is>
          <t>2021-11-01</t>
        </is>
      </c>
      <c r="B25" t="inlineStr">
        <is>
          <t>01-11-2021</t>
        </is>
      </c>
      <c r="C25" t="inlineStr">
        <is>
          <t>Licitación Eolica San Juan y Edecsa (SIC 2013/03-2) BS2C</t>
        </is>
      </c>
      <c r="D25" t="inlineStr">
        <is>
          <t>Potencia Licitaciones</t>
        </is>
      </c>
      <c r="E25" t="inlineStr">
        <is>
          <t>Potencia</t>
        </is>
      </c>
      <c r="F25" t="inlineStr">
        <is>
          <t>Lic. SIC 2013/03-2 bloques BS2C: Potencia nov 2021</t>
        </is>
      </c>
      <c r="G25" t="inlineStr">
        <is>
          <t>2021-12-10 13:09:26</t>
        </is>
      </c>
      <c r="H25" t="n">
        <v>33</v>
      </c>
      <c r="I25" t="n">
        <v>23712</v>
      </c>
      <c r="J25" t="inlineStr">
        <is>
          <t>s</t>
        </is>
      </c>
      <c r="K25" t="inlineStr">
        <is>
          <t>s</t>
        </is>
      </c>
      <c r="L25" t="inlineStr">
        <is>
          <t>BS2C</t>
        </is>
      </c>
      <c r="M25" t="inlineStr">
        <is>
          <t>SAN_JUAN_LAP</t>
        </is>
      </c>
      <c r="N25" t="inlineStr">
        <is>
          <t>Edecsa</t>
        </is>
      </c>
      <c r="O25" t="inlineStr">
        <is>
          <t>2013/03-2</t>
        </is>
      </c>
      <c r="P25" t="inlineStr">
        <is>
          <t>EDECSA</t>
        </is>
      </c>
      <c r="Q25" t="n">
        <v>4</v>
      </c>
      <c r="R25" t="inlineStr">
        <is>
          <t>C.NAVIA 220</t>
        </is>
      </c>
      <c r="U25" t="n">
        <v>0</v>
      </c>
      <c r="V25" t="n">
        <v>0</v>
      </c>
      <c r="W25" t="n">
        <v>6021.08</v>
      </c>
    </row>
    <row r="26">
      <c r="A26" t="inlineStr">
        <is>
          <t>2021-11-01</t>
        </is>
      </c>
      <c r="B26" t="inlineStr">
        <is>
          <t>01-11-2021</t>
        </is>
      </c>
      <c r="C26" t="inlineStr">
        <is>
          <t>Licitación Eolica San Juan y Edecsa (SIC 2013/03-2) BS2C</t>
        </is>
      </c>
      <c r="D26" t="inlineStr">
        <is>
          <t>Potencia Licitaciones</t>
        </is>
      </c>
      <c r="E26" t="inlineStr">
        <is>
          <t>Potencia</t>
        </is>
      </c>
      <c r="F26" t="inlineStr">
        <is>
          <t>Lic. SIC 2013/03-2 bloques BS2C: Potencia nov 2021</t>
        </is>
      </c>
      <c r="G26" t="inlineStr">
        <is>
          <t>2021-12-10 13:09:26</t>
        </is>
      </c>
      <c r="H26" t="n">
        <v>33</v>
      </c>
      <c r="I26" t="n">
        <v>23712</v>
      </c>
      <c r="J26" t="inlineStr">
        <is>
          <t>s</t>
        </is>
      </c>
      <c r="K26" t="inlineStr">
        <is>
          <t>s</t>
        </is>
      </c>
      <c r="L26" t="inlineStr">
        <is>
          <t>BS2C</t>
        </is>
      </c>
      <c r="M26" t="inlineStr">
        <is>
          <t>SAN_JUAN_LAP</t>
        </is>
      </c>
      <c r="N26" t="inlineStr">
        <is>
          <t>Edecsa</t>
        </is>
      </c>
      <c r="O26" t="inlineStr">
        <is>
          <t>2013/03-2</t>
        </is>
      </c>
      <c r="P26" t="inlineStr">
        <is>
          <t>EDECSA</t>
        </is>
      </c>
      <c r="Q26" t="n">
        <v>5</v>
      </c>
      <c r="R26" t="inlineStr">
        <is>
          <t>L.MAQUIS 220</t>
        </is>
      </c>
      <c r="U26" t="n">
        <v>0.015489</v>
      </c>
      <c r="V26" t="n">
        <v>95</v>
      </c>
      <c r="W26" t="n">
        <v>6112.244</v>
      </c>
    </row>
    <row r="27">
      <c r="A27" t="inlineStr">
        <is>
          <t>2021-11-01</t>
        </is>
      </c>
      <c r="B27" t="inlineStr">
        <is>
          <t>01-11-2021</t>
        </is>
      </c>
      <c r="C27" t="inlineStr">
        <is>
          <t>Licitación Eolica San Juan y Edecsa (SIC 2013/03-2) BS2C</t>
        </is>
      </c>
      <c r="D27" t="inlineStr">
        <is>
          <t>Energia Licitaciones</t>
        </is>
      </c>
      <c r="E27" t="inlineStr">
        <is>
          <t>Energía</t>
        </is>
      </c>
      <c r="F27" t="inlineStr">
        <is>
          <t>Lic. SIC 2013/03-2 bloques BS2C: Energía nov 2021</t>
        </is>
      </c>
      <c r="G27" t="inlineStr">
        <is>
          <t>2021-12-10 13:09:26</t>
        </is>
      </c>
      <c r="H27" t="n">
        <v>33</v>
      </c>
      <c r="I27" t="n">
        <v>23712</v>
      </c>
      <c r="J27" t="inlineStr">
        <is>
          <t>s</t>
        </is>
      </c>
      <c r="K27" t="inlineStr">
        <is>
          <t>s</t>
        </is>
      </c>
      <c r="L27" t="inlineStr">
        <is>
          <t>BS2C</t>
        </is>
      </c>
      <c r="M27" t="inlineStr">
        <is>
          <t>SAN_JUAN_LAP</t>
        </is>
      </c>
      <c r="N27" t="inlineStr">
        <is>
          <t>Edecsa</t>
        </is>
      </c>
      <c r="O27" t="inlineStr">
        <is>
          <t>2013/03-2</t>
        </is>
      </c>
      <c r="P27" t="inlineStr">
        <is>
          <t>EDECSA</t>
        </is>
      </c>
      <c r="Q27" t="n">
        <v>5</v>
      </c>
      <c r="R27" t="inlineStr">
        <is>
          <t>L.MAQUIS 220</t>
        </is>
      </c>
      <c r="S27" t="n">
        <v>13.106812</v>
      </c>
      <c r="T27" t="n">
        <v>1086</v>
      </c>
      <c r="W27" t="n">
        <v>82.843</v>
      </c>
    </row>
    <row r="28">
      <c r="A28" t="inlineStr">
        <is>
          <t>2021-11-01</t>
        </is>
      </c>
      <c r="B28" t="inlineStr">
        <is>
          <t>01-11-2021</t>
        </is>
      </c>
      <c r="C28" t="inlineStr">
        <is>
          <t>Licitación Eolica San Juan y Edecsa (SIC 2013/03-2) BS2C</t>
        </is>
      </c>
      <c r="D28" t="inlineStr">
        <is>
          <t>Potencia Licitaciones</t>
        </is>
      </c>
      <c r="E28" t="inlineStr">
        <is>
          <t>Potencia</t>
        </is>
      </c>
      <c r="F28" t="inlineStr">
        <is>
          <t>Lic. SIC 2013/03-2 bloques BS2C: Potencia nov 2021</t>
        </is>
      </c>
      <c r="G28" t="inlineStr">
        <is>
          <t>2021-12-10 13:09:26</t>
        </is>
      </c>
      <c r="H28" t="n">
        <v>33</v>
      </c>
      <c r="I28" t="n">
        <v>23712</v>
      </c>
      <c r="J28" t="inlineStr">
        <is>
          <t>s</t>
        </is>
      </c>
      <c r="K28" t="inlineStr">
        <is>
          <t>s</t>
        </is>
      </c>
      <c r="L28" t="inlineStr">
        <is>
          <t>BS2C</t>
        </is>
      </c>
      <c r="M28" t="inlineStr">
        <is>
          <t>SAN_JUAN_LAP</t>
        </is>
      </c>
      <c r="N28" t="inlineStr">
        <is>
          <t>Edecsa</t>
        </is>
      </c>
      <c r="O28" t="inlineStr">
        <is>
          <t>2013/03-2</t>
        </is>
      </c>
      <c r="P28" t="inlineStr">
        <is>
          <t>EDECSA</t>
        </is>
      </c>
      <c r="Q28" t="n">
        <v>6</v>
      </c>
      <c r="R28" t="inlineStr">
        <is>
          <t>NOGALES 220</t>
        </is>
      </c>
      <c r="U28" t="n">
        <v>0.06471399999999999</v>
      </c>
      <c r="V28" t="n">
        <v>380</v>
      </c>
      <c r="W28" t="n">
        <v>5876.883</v>
      </c>
    </row>
    <row r="29">
      <c r="A29" t="inlineStr">
        <is>
          <t>2021-11-01</t>
        </is>
      </c>
      <c r="B29" t="inlineStr">
        <is>
          <t>01-11-2021</t>
        </is>
      </c>
      <c r="C29" t="inlineStr">
        <is>
          <t>Licitación Eolica San Juan y Edecsa (SIC 2013/03-2) BS2C</t>
        </is>
      </c>
      <c r="D29" t="inlineStr">
        <is>
          <t>Energia Licitaciones</t>
        </is>
      </c>
      <c r="E29" t="inlineStr">
        <is>
          <t>Energía</t>
        </is>
      </c>
      <c r="F29" t="inlineStr">
        <is>
          <t>Lic. SIC 2013/03-2 bloques BS2C: Energía nov 2021</t>
        </is>
      </c>
      <c r="G29" t="inlineStr">
        <is>
          <t>2021-12-10 13:09:26</t>
        </is>
      </c>
      <c r="H29" t="n">
        <v>33</v>
      </c>
      <c r="I29" t="n">
        <v>23712</v>
      </c>
      <c r="J29" t="inlineStr">
        <is>
          <t>s</t>
        </is>
      </c>
      <c r="K29" t="inlineStr">
        <is>
          <t>s</t>
        </is>
      </c>
      <c r="L29" t="inlineStr">
        <is>
          <t>BS2C</t>
        </is>
      </c>
      <c r="M29" t="inlineStr">
        <is>
          <t>SAN_JUAN_LAP</t>
        </is>
      </c>
      <c r="N29" t="inlineStr">
        <is>
          <t>Edecsa</t>
        </is>
      </c>
      <c r="O29" t="inlineStr">
        <is>
          <t>2013/03-2</t>
        </is>
      </c>
      <c r="P29" t="inlineStr">
        <is>
          <t>EDECSA</t>
        </is>
      </c>
      <c r="Q29" t="n">
        <v>6</v>
      </c>
      <c r="R29" t="inlineStr">
        <is>
          <t>NOGALES 220</t>
        </is>
      </c>
      <c r="S29" t="n">
        <v>54.762176</v>
      </c>
      <c r="T29" t="n">
        <v>4096</v>
      </c>
      <c r="W29" t="n">
        <v>74.80500000000001</v>
      </c>
    </row>
    <row r="30">
      <c r="A30" t="inlineStr">
        <is>
          <t>2021-11-01</t>
        </is>
      </c>
      <c r="B30" t="inlineStr">
        <is>
          <t>01-11-2021</t>
        </is>
      </c>
      <c r="C30" t="inlineStr">
        <is>
          <t>Licitación Eolica San Juan y Edecsa (SIC 2013/03-2) BS2C</t>
        </is>
      </c>
      <c r="D30" t="inlineStr">
        <is>
          <t>Energia Licitaciones</t>
        </is>
      </c>
      <c r="E30" t="inlineStr">
        <is>
          <t>Energía</t>
        </is>
      </c>
      <c r="F30" t="inlineStr">
        <is>
          <t>Lic. SIC 2013/03-2 bloques BS2C: Energía nov 2021</t>
        </is>
      </c>
      <c r="G30" t="inlineStr">
        <is>
          <t>2021-12-10 13:09:26</t>
        </is>
      </c>
      <c r="H30" t="n">
        <v>33</v>
      </c>
      <c r="I30" t="n">
        <v>23712</v>
      </c>
      <c r="J30" t="inlineStr">
        <is>
          <t>s</t>
        </is>
      </c>
      <c r="K30" t="inlineStr">
        <is>
          <t>s</t>
        </is>
      </c>
      <c r="L30" t="inlineStr">
        <is>
          <t>BS2C</t>
        </is>
      </c>
      <c r="M30" t="inlineStr">
        <is>
          <t>SAN_JUAN_LAP</t>
        </is>
      </c>
      <c r="N30" t="inlineStr">
        <is>
          <t>Edecsa</t>
        </is>
      </c>
      <c r="O30" t="inlineStr">
        <is>
          <t>2013/03-2</t>
        </is>
      </c>
      <c r="P30" t="inlineStr">
        <is>
          <t>EDECSA</t>
        </is>
      </c>
      <c r="Q30" t="n">
        <v>7</v>
      </c>
      <c r="R30" t="inlineStr">
        <is>
          <t>POLPAICO 220</t>
        </is>
      </c>
      <c r="S30" t="n">
        <v>0</v>
      </c>
      <c r="T30" t="n">
        <v>0</v>
      </c>
      <c r="W30" t="n">
        <v>79.116</v>
      </c>
    </row>
    <row r="31">
      <c r="A31" t="inlineStr">
        <is>
          <t>2021-11-01</t>
        </is>
      </c>
      <c r="B31" t="inlineStr">
        <is>
          <t>01-11-2021</t>
        </is>
      </c>
      <c r="C31" t="inlineStr">
        <is>
          <t>Licitación Eolica San Juan y Edecsa (SIC 2013/03-2) BS2C</t>
        </is>
      </c>
      <c r="D31" t="inlineStr">
        <is>
          <t>Potencia Licitaciones</t>
        </is>
      </c>
      <c r="E31" t="inlineStr">
        <is>
          <t>Potencia</t>
        </is>
      </c>
      <c r="F31" t="inlineStr">
        <is>
          <t>Lic. SIC 2013/03-2 bloques BS2C: Potencia nov 2021</t>
        </is>
      </c>
      <c r="G31" t="inlineStr">
        <is>
          <t>2021-12-10 13:09:26</t>
        </is>
      </c>
      <c r="H31" t="n">
        <v>33</v>
      </c>
      <c r="I31" t="n">
        <v>23712</v>
      </c>
      <c r="J31" t="inlineStr">
        <is>
          <t>s</t>
        </is>
      </c>
      <c r="K31" t="inlineStr">
        <is>
          <t>s</t>
        </is>
      </c>
      <c r="L31" t="inlineStr">
        <is>
          <t>BS2C</t>
        </is>
      </c>
      <c r="M31" t="inlineStr">
        <is>
          <t>SAN_JUAN_LAP</t>
        </is>
      </c>
      <c r="N31" t="inlineStr">
        <is>
          <t>Edecsa</t>
        </is>
      </c>
      <c r="O31" t="inlineStr">
        <is>
          <t>2013/03-2</t>
        </is>
      </c>
      <c r="P31" t="inlineStr">
        <is>
          <t>EDECSA</t>
        </is>
      </c>
      <c r="Q31" t="n">
        <v>7</v>
      </c>
      <c r="R31" t="inlineStr">
        <is>
          <t>POLPAICO 220</t>
        </is>
      </c>
      <c r="U31" t="n">
        <v>0</v>
      </c>
      <c r="V31" t="n">
        <v>0</v>
      </c>
      <c r="W31" t="n">
        <v>5958.51</v>
      </c>
    </row>
    <row r="32">
      <c r="A32" t="inlineStr">
        <is>
          <t>2021-11-01</t>
        </is>
      </c>
      <c r="B32" t="inlineStr">
        <is>
          <t>01-11-2021</t>
        </is>
      </c>
      <c r="C32" t="inlineStr">
        <is>
          <t>Licitación Eolica San Juan y Edecsa (SIC 2013/03-2) BS2C</t>
        </is>
      </c>
      <c r="D32" t="inlineStr">
        <is>
          <t>Potencia Licitaciones</t>
        </is>
      </c>
      <c r="E32" t="inlineStr">
        <is>
          <t>Potencia</t>
        </is>
      </c>
      <c r="F32" t="inlineStr">
        <is>
          <t>Lic. SIC 2013/03-2 bloques BS2C: Potencia nov 2021</t>
        </is>
      </c>
      <c r="G32" t="inlineStr">
        <is>
          <t>2021-12-10 13:09:26</t>
        </is>
      </c>
      <c r="H32" t="n">
        <v>33</v>
      </c>
      <c r="I32" t="n">
        <v>23712</v>
      </c>
      <c r="J32" t="inlineStr">
        <is>
          <t>s</t>
        </is>
      </c>
      <c r="K32" t="inlineStr">
        <is>
          <t>s</t>
        </is>
      </c>
      <c r="L32" t="inlineStr">
        <is>
          <t>BS2C</t>
        </is>
      </c>
      <c r="M32" t="inlineStr">
        <is>
          <t>SAN_JUAN_LAP</t>
        </is>
      </c>
      <c r="N32" t="inlineStr">
        <is>
          <t>Edecsa</t>
        </is>
      </c>
      <c r="O32" t="inlineStr">
        <is>
          <t>2013/03-2</t>
        </is>
      </c>
      <c r="P32" t="inlineStr">
        <is>
          <t>EDECSA</t>
        </is>
      </c>
      <c r="Q32" t="n">
        <v>8</v>
      </c>
      <c r="R32" t="inlineStr">
        <is>
          <t>QUILLOTA 220</t>
        </is>
      </c>
      <c r="U32" t="n">
        <v>0.048329</v>
      </c>
      <c r="V32" t="n">
        <v>289</v>
      </c>
      <c r="W32" t="n">
        <v>5971.027</v>
      </c>
    </row>
    <row r="33">
      <c r="A33" t="inlineStr">
        <is>
          <t>2021-11-01</t>
        </is>
      </c>
      <c r="B33" t="inlineStr">
        <is>
          <t>01-11-2021</t>
        </is>
      </c>
      <c r="C33" t="inlineStr">
        <is>
          <t>Licitación Eolica San Juan y Edecsa (SIC 2013/03-2) BS2C</t>
        </is>
      </c>
      <c r="D33" t="inlineStr">
        <is>
          <t>Energia Licitaciones</t>
        </is>
      </c>
      <c r="E33" t="inlineStr">
        <is>
          <t>Energía</t>
        </is>
      </c>
      <c r="F33" t="inlineStr">
        <is>
          <t>Lic. SIC 2013/03-2 bloques BS2C: Energía nov 2021</t>
        </is>
      </c>
      <c r="G33" t="inlineStr">
        <is>
          <t>2021-12-10 13:09:26</t>
        </is>
      </c>
      <c r="H33" t="n">
        <v>33</v>
      </c>
      <c r="I33" t="n">
        <v>23712</v>
      </c>
      <c r="J33" t="inlineStr">
        <is>
          <t>s</t>
        </is>
      </c>
      <c r="K33" t="inlineStr">
        <is>
          <t>s</t>
        </is>
      </c>
      <c r="L33" t="inlineStr">
        <is>
          <t>BS2C</t>
        </is>
      </c>
      <c r="M33" t="inlineStr">
        <is>
          <t>SAN_JUAN_LAP</t>
        </is>
      </c>
      <c r="N33" t="inlineStr">
        <is>
          <t>Edecsa</t>
        </is>
      </c>
      <c r="O33" t="inlineStr">
        <is>
          <t>2013/03-2</t>
        </is>
      </c>
      <c r="P33" t="inlineStr">
        <is>
          <t>EDECSA</t>
        </is>
      </c>
      <c r="Q33" t="n">
        <v>8</v>
      </c>
      <c r="R33" t="inlineStr">
        <is>
          <t>QUILLOTA 220</t>
        </is>
      </c>
      <c r="S33" t="n">
        <v>40.897413</v>
      </c>
      <c r="T33" t="n">
        <v>3285</v>
      </c>
      <c r="W33" t="n">
        <v>80.33499999999999</v>
      </c>
    </row>
    <row r="34">
      <c r="A34" t="inlineStr">
        <is>
          <t>2021-12-01</t>
        </is>
      </c>
      <c r="B34" t="inlineStr">
        <is>
          <t>01-12-2021</t>
        </is>
      </c>
      <c r="C34" t="inlineStr">
        <is>
          <t>Licitación Eolica San Juan y Edecsa (SIC 2013/03-2) BS2C</t>
        </is>
      </c>
      <c r="D34" t="inlineStr">
        <is>
          <t>Energia Licitaciones</t>
        </is>
      </c>
      <c r="E34" t="inlineStr">
        <is>
          <t>Energía</t>
        </is>
      </c>
      <c r="F34" t="inlineStr">
        <is>
          <t>Lic. SIC 2013/03-2 bloques BS2C: Energía dic 2021</t>
        </is>
      </c>
      <c r="G34" t="inlineStr">
        <is>
          <t>2022-01-11 15:13:56</t>
        </is>
      </c>
      <c r="H34" t="n">
        <v>33</v>
      </c>
      <c r="I34" t="n">
        <v>24238</v>
      </c>
      <c r="J34" t="inlineStr">
        <is>
          <t>s</t>
        </is>
      </c>
      <c r="K34" t="inlineStr">
        <is>
          <t>s</t>
        </is>
      </c>
      <c r="L34" t="inlineStr">
        <is>
          <t>BS2C</t>
        </is>
      </c>
      <c r="M34" t="inlineStr">
        <is>
          <t>SAN_JUAN_LAP</t>
        </is>
      </c>
      <c r="N34" t="inlineStr">
        <is>
          <t>Edecsa</t>
        </is>
      </c>
      <c r="O34" t="inlineStr">
        <is>
          <t>2013/03-2</t>
        </is>
      </c>
      <c r="P34" t="inlineStr">
        <is>
          <t>EDECSA</t>
        </is>
      </c>
      <c r="Q34" t="n">
        <v>1</v>
      </c>
      <c r="R34" t="inlineStr">
        <is>
          <t>A.JAHUEL 220</t>
        </is>
      </c>
      <c r="S34" t="n">
        <v>0</v>
      </c>
      <c r="T34" t="n">
        <v>0</v>
      </c>
      <c r="W34" t="n">
        <v>77.16200000000001</v>
      </c>
    </row>
    <row r="35">
      <c r="A35" t="inlineStr">
        <is>
          <t>2021-12-01</t>
        </is>
      </c>
      <c r="B35" t="inlineStr">
        <is>
          <t>01-12-2021</t>
        </is>
      </c>
      <c r="C35" t="inlineStr">
        <is>
          <t>Licitación Eolica San Juan y Edecsa (SIC 2013/03-2) BS2C</t>
        </is>
      </c>
      <c r="D35" t="inlineStr">
        <is>
          <t>Potencia Licitaciones</t>
        </is>
      </c>
      <c r="E35" t="inlineStr">
        <is>
          <t>Potencia</t>
        </is>
      </c>
      <c r="F35" t="inlineStr">
        <is>
          <t>Lic. SIC 2013/03-2 bloques BS2C: Potencia dic 2021</t>
        </is>
      </c>
      <c r="G35" t="inlineStr">
        <is>
          <t>2022-01-11 15:13:56</t>
        </is>
      </c>
      <c r="H35" t="n">
        <v>33</v>
      </c>
      <c r="I35" t="n">
        <v>24238</v>
      </c>
      <c r="J35" t="inlineStr">
        <is>
          <t>s</t>
        </is>
      </c>
      <c r="K35" t="inlineStr">
        <is>
          <t>s</t>
        </is>
      </c>
      <c r="L35" t="inlineStr">
        <is>
          <t>BS2C</t>
        </is>
      </c>
      <c r="M35" t="inlineStr">
        <is>
          <t>SAN_JUAN_LAP</t>
        </is>
      </c>
      <c r="N35" t="inlineStr">
        <is>
          <t>Edecsa</t>
        </is>
      </c>
      <c r="O35" t="inlineStr">
        <is>
          <t>2013/03-2</t>
        </is>
      </c>
      <c r="P35" t="inlineStr">
        <is>
          <t>EDECSA</t>
        </is>
      </c>
      <c r="Q35" t="n">
        <v>1</v>
      </c>
      <c r="R35" t="inlineStr">
        <is>
          <t>A.JAHUEL 220</t>
        </is>
      </c>
      <c r="U35" t="n">
        <v>0</v>
      </c>
      <c r="V35" t="n">
        <v>0</v>
      </c>
      <c r="W35" t="n">
        <v>5914.42</v>
      </c>
    </row>
    <row r="36">
      <c r="A36" t="inlineStr">
        <is>
          <t>2021-12-01</t>
        </is>
      </c>
      <c r="B36" t="inlineStr">
        <is>
          <t>01-12-2021</t>
        </is>
      </c>
      <c r="C36" t="inlineStr">
        <is>
          <t>Licitación Eolica San Juan y Edecsa (SIC 2013/03-2) BS2C</t>
        </is>
      </c>
      <c r="D36" t="inlineStr">
        <is>
          <t>Potencia Licitaciones</t>
        </is>
      </c>
      <c r="E36" t="inlineStr">
        <is>
          <t>Potencia</t>
        </is>
      </c>
      <c r="F36" t="inlineStr">
        <is>
          <t>Lic. SIC 2013/03-2 bloques BS2C: Potencia dic 2021</t>
        </is>
      </c>
      <c r="G36" t="inlineStr">
        <is>
          <t>2022-01-11 15:13:56</t>
        </is>
      </c>
      <c r="H36" t="n">
        <v>33</v>
      </c>
      <c r="I36" t="n">
        <v>24238</v>
      </c>
      <c r="J36" t="inlineStr">
        <is>
          <t>s</t>
        </is>
      </c>
      <c r="K36" t="inlineStr">
        <is>
          <t>s</t>
        </is>
      </c>
      <c r="L36" t="inlineStr">
        <is>
          <t>BS2C</t>
        </is>
      </c>
      <c r="M36" t="inlineStr">
        <is>
          <t>SAN_JUAN_LAP</t>
        </is>
      </c>
      <c r="N36" t="inlineStr">
        <is>
          <t>Edecsa</t>
        </is>
      </c>
      <c r="O36" t="inlineStr">
        <is>
          <t>2013/03-2</t>
        </is>
      </c>
      <c r="P36" t="inlineStr">
        <is>
          <t>EDECSA</t>
        </is>
      </c>
      <c r="Q36" t="n">
        <v>2</v>
      </c>
      <c r="R36" t="inlineStr">
        <is>
          <t>A.MELIP 220</t>
        </is>
      </c>
      <c r="U36" t="n">
        <v>1.877248</v>
      </c>
      <c r="V36" t="n">
        <v>11277</v>
      </c>
      <c r="W36" t="n">
        <v>6007.374</v>
      </c>
    </row>
    <row r="37">
      <c r="A37" t="inlineStr">
        <is>
          <t>2021-12-01</t>
        </is>
      </c>
      <c r="B37" t="inlineStr">
        <is>
          <t>01-12-2021</t>
        </is>
      </c>
      <c r="C37" t="inlineStr">
        <is>
          <t>Licitación Eolica San Juan y Edecsa (SIC 2013/03-2) BS2C</t>
        </is>
      </c>
      <c r="D37" t="inlineStr">
        <is>
          <t>Energia Licitaciones</t>
        </is>
      </c>
      <c r="E37" t="inlineStr">
        <is>
          <t>Energía</t>
        </is>
      </c>
      <c r="F37" t="inlineStr">
        <is>
          <t>Lic. SIC 2013/03-2 bloques BS2C: Energía dic 2021</t>
        </is>
      </c>
      <c r="G37" t="inlineStr">
        <is>
          <t>2022-01-11 15:13:56</t>
        </is>
      </c>
      <c r="H37" t="n">
        <v>33</v>
      </c>
      <c r="I37" t="n">
        <v>24238</v>
      </c>
      <c r="J37" t="inlineStr">
        <is>
          <t>s</t>
        </is>
      </c>
      <c r="K37" t="inlineStr">
        <is>
          <t>s</t>
        </is>
      </c>
      <c r="L37" t="inlineStr">
        <is>
          <t>BS2C</t>
        </is>
      </c>
      <c r="M37" t="inlineStr">
        <is>
          <t>SAN_JUAN_LAP</t>
        </is>
      </c>
      <c r="N37" t="inlineStr">
        <is>
          <t>Edecsa</t>
        </is>
      </c>
      <c r="O37" t="inlineStr">
        <is>
          <t>2013/03-2</t>
        </is>
      </c>
      <c r="P37" t="inlineStr">
        <is>
          <t>EDECSA</t>
        </is>
      </c>
      <c r="Q37" t="n">
        <v>2</v>
      </c>
      <c r="R37" t="inlineStr">
        <is>
          <t>A.MELIP 220</t>
        </is>
      </c>
      <c r="S37" t="n">
        <v>1740.67</v>
      </c>
      <c r="T37" t="n">
        <v>136864</v>
      </c>
      <c r="W37" t="n">
        <v>78.627</v>
      </c>
    </row>
    <row r="38">
      <c r="A38" t="inlineStr">
        <is>
          <t>2021-12-01</t>
        </is>
      </c>
      <c r="B38" t="inlineStr">
        <is>
          <t>01-12-2021</t>
        </is>
      </c>
      <c r="C38" t="inlineStr">
        <is>
          <t>Licitación Eolica San Juan y Edecsa (SIC 2013/03-2) BS2C</t>
        </is>
      </c>
      <c r="D38" t="inlineStr">
        <is>
          <t>Energia Licitaciones</t>
        </is>
      </c>
      <c r="E38" t="inlineStr">
        <is>
          <t>Energía</t>
        </is>
      </c>
      <c r="F38" t="inlineStr">
        <is>
          <t>Lic. SIC 2013/03-2 bloques BS2C: Energía dic 2021</t>
        </is>
      </c>
      <c r="G38" t="inlineStr">
        <is>
          <t>2022-01-11 15:13:56</t>
        </is>
      </c>
      <c r="H38" t="n">
        <v>33</v>
      </c>
      <c r="I38" t="n">
        <v>24238</v>
      </c>
      <c r="J38" t="inlineStr">
        <is>
          <t>s</t>
        </is>
      </c>
      <c r="K38" t="inlineStr">
        <is>
          <t>s</t>
        </is>
      </c>
      <c r="L38" t="inlineStr">
        <is>
          <t>BS2C</t>
        </is>
      </c>
      <c r="M38" t="inlineStr">
        <is>
          <t>SAN_JUAN_LAP</t>
        </is>
      </c>
      <c r="N38" t="inlineStr">
        <is>
          <t>Edecsa</t>
        </is>
      </c>
      <c r="O38" t="inlineStr">
        <is>
          <t>2013/03-2</t>
        </is>
      </c>
      <c r="P38" t="inlineStr">
        <is>
          <t>EDECSA</t>
        </is>
      </c>
      <c r="Q38" t="n">
        <v>3</v>
      </c>
      <c r="R38" t="inlineStr">
        <is>
          <t>C.CHENA 220</t>
        </is>
      </c>
      <c r="S38" t="n">
        <v>0</v>
      </c>
      <c r="T38" t="n">
        <v>0</v>
      </c>
      <c r="W38" t="n">
        <v>78.27</v>
      </c>
    </row>
    <row r="39">
      <c r="A39" t="inlineStr">
        <is>
          <t>2021-12-01</t>
        </is>
      </c>
      <c r="B39" t="inlineStr">
        <is>
          <t>01-12-2021</t>
        </is>
      </c>
      <c r="C39" t="inlineStr">
        <is>
          <t>Licitación Eolica San Juan y Edecsa (SIC 2013/03-2) BS2C</t>
        </is>
      </c>
      <c r="D39" t="inlineStr">
        <is>
          <t>Potencia Licitaciones</t>
        </is>
      </c>
      <c r="E39" t="inlineStr">
        <is>
          <t>Potencia</t>
        </is>
      </c>
      <c r="F39" t="inlineStr">
        <is>
          <t>Lic. SIC 2013/03-2 bloques BS2C: Potencia dic 2021</t>
        </is>
      </c>
      <c r="G39" t="inlineStr">
        <is>
          <t>2022-01-11 15:13:56</t>
        </is>
      </c>
      <c r="H39" t="n">
        <v>33</v>
      </c>
      <c r="I39" t="n">
        <v>24238</v>
      </c>
      <c r="J39" t="inlineStr">
        <is>
          <t>s</t>
        </is>
      </c>
      <c r="K39" t="inlineStr">
        <is>
          <t>s</t>
        </is>
      </c>
      <c r="L39" t="inlineStr">
        <is>
          <t>BS2C</t>
        </is>
      </c>
      <c r="M39" t="inlineStr">
        <is>
          <t>SAN_JUAN_LAP</t>
        </is>
      </c>
      <c r="N39" t="inlineStr">
        <is>
          <t>Edecsa</t>
        </is>
      </c>
      <c r="O39" t="inlineStr">
        <is>
          <t>2013/03-2</t>
        </is>
      </c>
      <c r="P39" t="inlineStr">
        <is>
          <t>EDECSA</t>
        </is>
      </c>
      <c r="Q39" t="n">
        <v>3</v>
      </c>
      <c r="R39" t="inlineStr">
        <is>
          <t>C.CHENA 220</t>
        </is>
      </c>
      <c r="U39" t="n">
        <v>0</v>
      </c>
      <c r="V39" t="n">
        <v>0</v>
      </c>
      <c r="W39" t="n">
        <v>6022.27</v>
      </c>
    </row>
    <row r="40">
      <c r="A40" t="inlineStr">
        <is>
          <t>2021-12-01</t>
        </is>
      </c>
      <c r="B40" t="inlineStr">
        <is>
          <t>01-12-2021</t>
        </is>
      </c>
      <c r="C40" t="inlineStr">
        <is>
          <t>Licitación Eolica San Juan y Edecsa (SIC 2013/03-2) BS2C</t>
        </is>
      </c>
      <c r="D40" t="inlineStr">
        <is>
          <t>Energia Licitaciones</t>
        </is>
      </c>
      <c r="E40" t="inlineStr">
        <is>
          <t>Energía</t>
        </is>
      </c>
      <c r="F40" t="inlineStr">
        <is>
          <t>Lic. SIC 2013/03-2 bloques BS2C: Energía dic 2021</t>
        </is>
      </c>
      <c r="G40" t="inlineStr">
        <is>
          <t>2022-01-11 15:13:56</t>
        </is>
      </c>
      <c r="H40" t="n">
        <v>33</v>
      </c>
      <c r="I40" t="n">
        <v>24238</v>
      </c>
      <c r="J40" t="inlineStr">
        <is>
          <t>s</t>
        </is>
      </c>
      <c r="K40" t="inlineStr">
        <is>
          <t>s</t>
        </is>
      </c>
      <c r="L40" t="inlineStr">
        <is>
          <t>BS2C</t>
        </is>
      </c>
      <c r="M40" t="inlineStr">
        <is>
          <t>SAN_JUAN_LAP</t>
        </is>
      </c>
      <c r="N40" t="inlineStr">
        <is>
          <t>Edecsa</t>
        </is>
      </c>
      <c r="O40" t="inlineStr">
        <is>
          <t>2013/03-2</t>
        </is>
      </c>
      <c r="P40" t="inlineStr">
        <is>
          <t>EDECSA</t>
        </is>
      </c>
      <c r="Q40" t="n">
        <v>4</v>
      </c>
      <c r="R40" t="inlineStr">
        <is>
          <t>C.NAVIA 220</t>
        </is>
      </c>
      <c r="S40" t="n">
        <v>0</v>
      </c>
      <c r="T40" t="n">
        <v>0</v>
      </c>
      <c r="W40" t="n">
        <v>78.744</v>
      </c>
    </row>
    <row r="41">
      <c r="A41" t="inlineStr">
        <is>
          <t>2021-12-01</t>
        </is>
      </c>
      <c r="B41" t="inlineStr">
        <is>
          <t>01-12-2021</t>
        </is>
      </c>
      <c r="C41" t="inlineStr">
        <is>
          <t>Licitación Eolica San Juan y Edecsa (SIC 2013/03-2) BS2C</t>
        </is>
      </c>
      <c r="D41" t="inlineStr">
        <is>
          <t>Potencia Licitaciones</t>
        </is>
      </c>
      <c r="E41" t="inlineStr">
        <is>
          <t>Potencia</t>
        </is>
      </c>
      <c r="F41" t="inlineStr">
        <is>
          <t>Lic. SIC 2013/03-2 bloques BS2C: Potencia dic 2021</t>
        </is>
      </c>
      <c r="G41" t="inlineStr">
        <is>
          <t>2022-01-11 15:13:56</t>
        </is>
      </c>
      <c r="H41" t="n">
        <v>33</v>
      </c>
      <c r="I41" t="n">
        <v>24238</v>
      </c>
      <c r="J41" t="inlineStr">
        <is>
          <t>s</t>
        </is>
      </c>
      <c r="K41" t="inlineStr">
        <is>
          <t>s</t>
        </is>
      </c>
      <c r="L41" t="inlineStr">
        <is>
          <t>BS2C</t>
        </is>
      </c>
      <c r="M41" t="inlineStr">
        <is>
          <t>SAN_JUAN_LAP</t>
        </is>
      </c>
      <c r="N41" t="inlineStr">
        <is>
          <t>Edecsa</t>
        </is>
      </c>
      <c r="O41" t="inlineStr">
        <is>
          <t>2013/03-2</t>
        </is>
      </c>
      <c r="P41" t="inlineStr">
        <is>
          <t>EDECSA</t>
        </is>
      </c>
      <c r="Q41" t="n">
        <v>4</v>
      </c>
      <c r="R41" t="inlineStr">
        <is>
          <t>C.NAVIA 220</t>
        </is>
      </c>
      <c r="U41" t="n">
        <v>0</v>
      </c>
      <c r="V41" t="n">
        <v>0</v>
      </c>
      <c r="W41" t="n">
        <v>6021.08</v>
      </c>
    </row>
    <row r="42">
      <c r="A42" t="inlineStr">
        <is>
          <t>2021-12-01</t>
        </is>
      </c>
      <c r="B42" t="inlineStr">
        <is>
          <t>01-12-2021</t>
        </is>
      </c>
      <c r="C42" t="inlineStr">
        <is>
          <t>Licitación Eolica San Juan y Edecsa (SIC 2013/03-2) BS2C</t>
        </is>
      </c>
      <c r="D42" t="inlineStr">
        <is>
          <t>Potencia Licitaciones</t>
        </is>
      </c>
      <c r="E42" t="inlineStr">
        <is>
          <t>Potencia</t>
        </is>
      </c>
      <c r="F42" t="inlineStr">
        <is>
          <t>Lic. SIC 2013/03-2 bloques BS2C: Potencia dic 2021</t>
        </is>
      </c>
      <c r="G42" t="inlineStr">
        <is>
          <t>2022-01-11 15:13:56</t>
        </is>
      </c>
      <c r="H42" t="n">
        <v>33</v>
      </c>
      <c r="I42" t="n">
        <v>24238</v>
      </c>
      <c r="J42" t="inlineStr">
        <is>
          <t>s</t>
        </is>
      </c>
      <c r="K42" t="inlineStr">
        <is>
          <t>s</t>
        </is>
      </c>
      <c r="L42" t="inlineStr">
        <is>
          <t>BS2C</t>
        </is>
      </c>
      <c r="M42" t="inlineStr">
        <is>
          <t>SAN_JUAN_LAP</t>
        </is>
      </c>
      <c r="N42" t="inlineStr">
        <is>
          <t>Edecsa</t>
        </is>
      </c>
      <c r="O42" t="inlineStr">
        <is>
          <t>2013/03-2</t>
        </is>
      </c>
      <c r="P42" t="inlineStr">
        <is>
          <t>EDECSA</t>
        </is>
      </c>
      <c r="Q42" t="n">
        <v>5</v>
      </c>
      <c r="R42" t="inlineStr">
        <is>
          <t>L.MAQUIS 220</t>
        </is>
      </c>
      <c r="U42" t="n">
        <v>0.015516</v>
      </c>
      <c r="V42" t="n">
        <v>95</v>
      </c>
      <c r="W42" t="n">
        <v>6112.244</v>
      </c>
    </row>
    <row r="43">
      <c r="A43" t="inlineStr">
        <is>
          <t>2021-12-01</t>
        </is>
      </c>
      <c r="B43" t="inlineStr">
        <is>
          <t>01-12-2021</t>
        </is>
      </c>
      <c r="C43" t="inlineStr">
        <is>
          <t>Licitación Eolica San Juan y Edecsa (SIC 2013/03-2) BS2C</t>
        </is>
      </c>
      <c r="D43" t="inlineStr">
        <is>
          <t>Energia Licitaciones</t>
        </is>
      </c>
      <c r="E43" t="inlineStr">
        <is>
          <t>Energía</t>
        </is>
      </c>
      <c r="F43" t="inlineStr">
        <is>
          <t>Lic. SIC 2013/03-2 bloques BS2C: Energía dic 2021</t>
        </is>
      </c>
      <c r="G43" t="inlineStr">
        <is>
          <t>2022-01-11 15:13:56</t>
        </is>
      </c>
      <c r="H43" t="n">
        <v>33</v>
      </c>
      <c r="I43" t="n">
        <v>24238</v>
      </c>
      <c r="J43" t="inlineStr">
        <is>
          <t>s</t>
        </is>
      </c>
      <c r="K43" t="inlineStr">
        <is>
          <t>s</t>
        </is>
      </c>
      <c r="L43" t="inlineStr">
        <is>
          <t>BS2C</t>
        </is>
      </c>
      <c r="M43" t="inlineStr">
        <is>
          <t>SAN_JUAN_LAP</t>
        </is>
      </c>
      <c r="N43" t="inlineStr">
        <is>
          <t>Edecsa</t>
        </is>
      </c>
      <c r="O43" t="inlineStr">
        <is>
          <t>2013/03-2</t>
        </is>
      </c>
      <c r="P43" t="inlineStr">
        <is>
          <t>EDECSA</t>
        </is>
      </c>
      <c r="Q43" t="n">
        <v>5</v>
      </c>
      <c r="R43" t="inlineStr">
        <is>
          <t>L.MAQUIS 220</t>
        </is>
      </c>
      <c r="S43" t="n">
        <v>14.387391</v>
      </c>
      <c r="T43" t="n">
        <v>1192</v>
      </c>
      <c r="W43" t="n">
        <v>82.843</v>
      </c>
    </row>
    <row r="44">
      <c r="A44" t="inlineStr">
        <is>
          <t>2021-12-01</t>
        </is>
      </c>
      <c r="B44" t="inlineStr">
        <is>
          <t>01-12-2021</t>
        </is>
      </c>
      <c r="C44" t="inlineStr">
        <is>
          <t>Licitación Eolica San Juan y Edecsa (SIC 2013/03-2) BS2C</t>
        </is>
      </c>
      <c r="D44" t="inlineStr">
        <is>
          <t>Potencia Licitaciones</t>
        </is>
      </c>
      <c r="E44" t="inlineStr">
        <is>
          <t>Potencia</t>
        </is>
      </c>
      <c r="F44" t="inlineStr">
        <is>
          <t>Lic. SIC 2013/03-2 bloques BS2C: Potencia dic 2021</t>
        </is>
      </c>
      <c r="G44" t="inlineStr">
        <is>
          <t>2022-01-11 15:13:56</t>
        </is>
      </c>
      <c r="H44" t="n">
        <v>33</v>
      </c>
      <c r="I44" t="n">
        <v>24238</v>
      </c>
      <c r="J44" t="inlineStr">
        <is>
          <t>s</t>
        </is>
      </c>
      <c r="K44" t="inlineStr">
        <is>
          <t>s</t>
        </is>
      </c>
      <c r="L44" t="inlineStr">
        <is>
          <t>BS2C</t>
        </is>
      </c>
      <c r="M44" t="inlineStr">
        <is>
          <t>SAN_JUAN_LAP</t>
        </is>
      </c>
      <c r="N44" t="inlineStr">
        <is>
          <t>Edecsa</t>
        </is>
      </c>
      <c r="O44" t="inlineStr">
        <is>
          <t>2013/03-2</t>
        </is>
      </c>
      <c r="P44" t="inlineStr">
        <is>
          <t>EDECSA</t>
        </is>
      </c>
      <c r="Q44" t="n">
        <v>6</v>
      </c>
      <c r="R44" t="inlineStr">
        <is>
          <t>NOGALES 220</t>
        </is>
      </c>
      <c r="U44" t="n">
        <v>0.064898</v>
      </c>
      <c r="V44" t="n">
        <v>381</v>
      </c>
      <c r="W44" t="n">
        <v>5876.883</v>
      </c>
    </row>
    <row r="45">
      <c r="A45" t="inlineStr">
        <is>
          <t>2021-12-01</t>
        </is>
      </c>
      <c r="B45" t="inlineStr">
        <is>
          <t>01-12-2021</t>
        </is>
      </c>
      <c r="C45" t="inlineStr">
        <is>
          <t>Licitación Eolica San Juan y Edecsa (SIC 2013/03-2) BS2C</t>
        </is>
      </c>
      <c r="D45" t="inlineStr">
        <is>
          <t>Energia Licitaciones</t>
        </is>
      </c>
      <c r="E45" t="inlineStr">
        <is>
          <t>Energía</t>
        </is>
      </c>
      <c r="F45" t="inlineStr">
        <is>
          <t>Lic. SIC 2013/03-2 bloques BS2C: Energía dic 2021</t>
        </is>
      </c>
      <c r="G45" t="inlineStr">
        <is>
          <t>2022-01-11 15:13:56</t>
        </is>
      </c>
      <c r="H45" t="n">
        <v>33</v>
      </c>
      <c r="I45" t="n">
        <v>24238</v>
      </c>
      <c r="J45" t="inlineStr">
        <is>
          <t>s</t>
        </is>
      </c>
      <c r="K45" t="inlineStr">
        <is>
          <t>s</t>
        </is>
      </c>
      <c r="L45" t="inlineStr">
        <is>
          <t>BS2C</t>
        </is>
      </c>
      <c r="M45" t="inlineStr">
        <is>
          <t>SAN_JUAN_LAP</t>
        </is>
      </c>
      <c r="N45" t="inlineStr">
        <is>
          <t>Edecsa</t>
        </is>
      </c>
      <c r="O45" t="inlineStr">
        <is>
          <t>2013/03-2</t>
        </is>
      </c>
      <c r="P45" t="inlineStr">
        <is>
          <t>EDECSA</t>
        </is>
      </c>
      <c r="Q45" t="n">
        <v>6</v>
      </c>
      <c r="R45" t="inlineStr">
        <is>
          <t>NOGALES 220</t>
        </is>
      </c>
      <c r="S45" t="n">
        <v>60.175929</v>
      </c>
      <c r="T45" t="n">
        <v>4501</v>
      </c>
      <c r="W45" t="n">
        <v>74.80500000000001</v>
      </c>
    </row>
    <row r="46">
      <c r="A46" t="inlineStr">
        <is>
          <t>2021-12-01</t>
        </is>
      </c>
      <c r="B46" t="inlineStr">
        <is>
          <t>01-12-2021</t>
        </is>
      </c>
      <c r="C46" t="inlineStr">
        <is>
          <t>Licitación Eolica San Juan y Edecsa (SIC 2013/03-2) BS2C</t>
        </is>
      </c>
      <c r="D46" t="inlineStr">
        <is>
          <t>Energia Licitaciones</t>
        </is>
      </c>
      <c r="E46" t="inlineStr">
        <is>
          <t>Energía</t>
        </is>
      </c>
      <c r="F46" t="inlineStr">
        <is>
          <t>Lic. SIC 2013/03-2 bloques BS2C: Energía dic 2021</t>
        </is>
      </c>
      <c r="G46" t="inlineStr">
        <is>
          <t>2022-01-11 15:13:56</t>
        </is>
      </c>
      <c r="H46" t="n">
        <v>33</v>
      </c>
      <c r="I46" t="n">
        <v>24238</v>
      </c>
      <c r="J46" t="inlineStr">
        <is>
          <t>s</t>
        </is>
      </c>
      <c r="K46" t="inlineStr">
        <is>
          <t>s</t>
        </is>
      </c>
      <c r="L46" t="inlineStr">
        <is>
          <t>BS2C</t>
        </is>
      </c>
      <c r="M46" t="inlineStr">
        <is>
          <t>SAN_JUAN_LAP</t>
        </is>
      </c>
      <c r="N46" t="inlineStr">
        <is>
          <t>Edecsa</t>
        </is>
      </c>
      <c r="O46" t="inlineStr">
        <is>
          <t>2013/03-2</t>
        </is>
      </c>
      <c r="P46" t="inlineStr">
        <is>
          <t>EDECSA</t>
        </is>
      </c>
      <c r="Q46" t="n">
        <v>7</v>
      </c>
      <c r="R46" t="inlineStr">
        <is>
          <t>POLPAICO 220</t>
        </is>
      </c>
      <c r="S46" t="n">
        <v>0</v>
      </c>
      <c r="T46" t="n">
        <v>0</v>
      </c>
      <c r="W46" t="n">
        <v>79.116</v>
      </c>
    </row>
    <row r="47">
      <c r="A47" t="inlineStr">
        <is>
          <t>2021-12-01</t>
        </is>
      </c>
      <c r="B47" t="inlineStr">
        <is>
          <t>01-12-2021</t>
        </is>
      </c>
      <c r="C47" t="inlineStr">
        <is>
          <t>Licitación Eolica San Juan y Edecsa (SIC 2013/03-2) BS2C</t>
        </is>
      </c>
      <c r="D47" t="inlineStr">
        <is>
          <t>Potencia Licitaciones</t>
        </is>
      </c>
      <c r="E47" t="inlineStr">
        <is>
          <t>Potencia</t>
        </is>
      </c>
      <c r="F47" t="inlineStr">
        <is>
          <t>Lic. SIC 2013/03-2 bloques BS2C: Potencia dic 2021</t>
        </is>
      </c>
      <c r="G47" t="inlineStr">
        <is>
          <t>2022-01-11 15:13:56</t>
        </is>
      </c>
      <c r="H47" t="n">
        <v>33</v>
      </c>
      <c r="I47" t="n">
        <v>24238</v>
      </c>
      <c r="J47" t="inlineStr">
        <is>
          <t>s</t>
        </is>
      </c>
      <c r="K47" t="inlineStr">
        <is>
          <t>s</t>
        </is>
      </c>
      <c r="L47" t="inlineStr">
        <is>
          <t>BS2C</t>
        </is>
      </c>
      <c r="M47" t="inlineStr">
        <is>
          <t>SAN_JUAN_LAP</t>
        </is>
      </c>
      <c r="N47" t="inlineStr">
        <is>
          <t>Edecsa</t>
        </is>
      </c>
      <c r="O47" t="inlineStr">
        <is>
          <t>2013/03-2</t>
        </is>
      </c>
      <c r="P47" t="inlineStr">
        <is>
          <t>EDECSA</t>
        </is>
      </c>
      <c r="Q47" t="n">
        <v>7</v>
      </c>
      <c r="R47" t="inlineStr">
        <is>
          <t>POLPAICO 220</t>
        </is>
      </c>
      <c r="U47" t="n">
        <v>0</v>
      </c>
      <c r="V47" t="n">
        <v>0</v>
      </c>
      <c r="W47" t="n">
        <v>5958.51</v>
      </c>
    </row>
    <row r="48">
      <c r="A48" t="inlineStr">
        <is>
          <t>2021-12-01</t>
        </is>
      </c>
      <c r="B48" t="inlineStr">
        <is>
          <t>01-12-2021</t>
        </is>
      </c>
      <c r="C48" t="inlineStr">
        <is>
          <t>Licitación Eolica San Juan y Edecsa (SIC 2013/03-2) BS2C</t>
        </is>
      </c>
      <c r="D48" t="inlineStr">
        <is>
          <t>Potencia Licitaciones</t>
        </is>
      </c>
      <c r="E48" t="inlineStr">
        <is>
          <t>Potencia</t>
        </is>
      </c>
      <c r="F48" t="inlineStr">
        <is>
          <t>Lic. SIC 2013/03-2 bloques BS2C: Potencia dic 2021</t>
        </is>
      </c>
      <c r="G48" t="inlineStr">
        <is>
          <t>2022-01-11 15:13:56</t>
        </is>
      </c>
      <c r="H48" t="n">
        <v>33</v>
      </c>
      <c r="I48" t="n">
        <v>24238</v>
      </c>
      <c r="J48" t="inlineStr">
        <is>
          <t>s</t>
        </is>
      </c>
      <c r="K48" t="inlineStr">
        <is>
          <t>s</t>
        </is>
      </c>
      <c r="L48" t="inlineStr">
        <is>
          <t>BS2C</t>
        </is>
      </c>
      <c r="M48" t="inlineStr">
        <is>
          <t>SAN_JUAN_LAP</t>
        </is>
      </c>
      <c r="N48" t="inlineStr">
        <is>
          <t>Edecsa</t>
        </is>
      </c>
      <c r="O48" t="inlineStr">
        <is>
          <t>2013/03-2</t>
        </is>
      </c>
      <c r="P48" t="inlineStr">
        <is>
          <t>EDECSA</t>
        </is>
      </c>
      <c r="Q48" t="n">
        <v>8</v>
      </c>
      <c r="R48" t="inlineStr">
        <is>
          <t>QUILLOTA 220</t>
        </is>
      </c>
      <c r="U48" t="n">
        <v>0.048467</v>
      </c>
      <c r="V48" t="n">
        <v>289</v>
      </c>
      <c r="W48" t="n">
        <v>5971.027</v>
      </c>
    </row>
    <row r="49">
      <c r="A49" t="inlineStr">
        <is>
          <t>2021-12-01</t>
        </is>
      </c>
      <c r="B49" t="inlineStr">
        <is>
          <t>01-12-2021</t>
        </is>
      </c>
      <c r="C49" t="inlineStr">
        <is>
          <t>Licitación Eolica San Juan y Edecsa (SIC 2013/03-2) BS2C</t>
        </is>
      </c>
      <c r="D49" t="inlineStr">
        <is>
          <t>Energia Licitaciones</t>
        </is>
      </c>
      <c r="E49" t="inlineStr">
        <is>
          <t>Energía</t>
        </is>
      </c>
      <c r="F49" t="inlineStr">
        <is>
          <t>Lic. SIC 2013/03-2 bloques BS2C: Energía dic 2021</t>
        </is>
      </c>
      <c r="G49" t="inlineStr">
        <is>
          <t>2022-01-11 15:13:56</t>
        </is>
      </c>
      <c r="H49" t="n">
        <v>33</v>
      </c>
      <c r="I49" t="n">
        <v>24238</v>
      </c>
      <c r="J49" t="inlineStr">
        <is>
          <t>s</t>
        </is>
      </c>
      <c r="K49" t="inlineStr">
        <is>
          <t>s</t>
        </is>
      </c>
      <c r="L49" t="inlineStr">
        <is>
          <t>BS2C</t>
        </is>
      </c>
      <c r="M49" t="inlineStr">
        <is>
          <t>SAN_JUAN_LAP</t>
        </is>
      </c>
      <c r="N49" t="inlineStr">
        <is>
          <t>Edecsa</t>
        </is>
      </c>
      <c r="O49" t="inlineStr">
        <is>
          <t>2013/03-2</t>
        </is>
      </c>
      <c r="P49" t="inlineStr">
        <is>
          <t>EDECSA</t>
        </is>
      </c>
      <c r="Q49" t="n">
        <v>8</v>
      </c>
      <c r="R49" t="inlineStr">
        <is>
          <t>QUILLOTA 220</t>
        </is>
      </c>
      <c r="S49" t="n">
        <v>44.940843</v>
      </c>
      <c r="T49" t="n">
        <v>3610</v>
      </c>
      <c r="W49" t="n">
        <v>80.33499999999999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W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</t>
        </is>
      </c>
      <c r="B1" s="1" t="inlineStr">
        <is>
          <t>MesDevengado</t>
        </is>
      </c>
      <c r="C1" s="1" t="inlineStr">
        <is>
          <t>Nombre</t>
        </is>
      </c>
      <c r="D1" s="1" t="inlineStr">
        <is>
          <t>Concepto</t>
        </is>
      </c>
      <c r="E1" s="1" t="inlineStr">
        <is>
          <t>Agrupacion</t>
        </is>
      </c>
      <c r="F1" s="1" t="inlineStr">
        <is>
          <t>Glosa</t>
        </is>
      </c>
      <c r="G1" s="1" t="inlineStr">
        <is>
          <t>FechaCarga</t>
        </is>
      </c>
      <c r="H1" s="1" t="inlineStr">
        <is>
          <t>TipoDocumento</t>
        </is>
      </c>
      <c r="I1" s="1" t="inlineStr">
        <is>
          <t>Folio</t>
        </is>
      </c>
      <c r="J1" s="1" t="inlineStr">
        <is>
          <t>Vendedor</t>
        </is>
      </c>
      <c r="K1" s="1" t="inlineStr">
        <is>
          <t>Comprador</t>
        </is>
      </c>
      <c r="L1" s="1" t="inlineStr">
        <is>
          <t>Bloque</t>
        </is>
      </c>
      <c r="M1" s="1" t="inlineStr">
        <is>
          <t>Empresa</t>
        </is>
      </c>
      <c r="N1" s="1" t="inlineStr">
        <is>
          <t>ClaveEEDD</t>
        </is>
      </c>
      <c r="O1" s="1" t="inlineStr">
        <is>
          <t>Licitacion</t>
        </is>
      </c>
      <c r="P1" s="1" t="inlineStr">
        <is>
          <t>NomAgrupacion</t>
        </is>
      </c>
      <c r="Q1" s="1" t="inlineStr">
        <is>
          <t>Num</t>
        </is>
      </c>
      <c r="R1" s="1" t="inlineStr">
        <is>
          <t>Barra</t>
        </is>
      </c>
      <c r="S1" s="1" t="inlineStr">
        <is>
          <t>Energia</t>
        </is>
      </c>
      <c r="T1" s="1" t="inlineStr">
        <is>
          <t>MontoEnergia</t>
        </is>
      </c>
      <c r="U1" s="1" t="inlineStr">
        <is>
          <t>Potencia</t>
        </is>
      </c>
      <c r="V1" s="1" t="inlineStr">
        <is>
          <t>MontoPotencia</t>
        </is>
      </c>
      <c r="W1" s="1" t="inlineStr">
        <is>
          <t>Precio</t>
        </is>
      </c>
    </row>
    <row r="2">
      <c r="A2" t="inlineStr">
        <is>
          <t>2021-10-01</t>
        </is>
      </c>
      <c r="B2" t="inlineStr">
        <is>
          <t>01-10-2021</t>
        </is>
      </c>
      <c r="C2" t="inlineStr">
        <is>
          <t>Licitación Eolica San Juan y Edecsa (SIC 2013/03-2) BS2C</t>
        </is>
      </c>
      <c r="D2" t="inlineStr">
        <is>
          <t>Energia Licitaciones</t>
        </is>
      </c>
      <c r="E2" t="inlineStr">
        <is>
          <t>Energía</t>
        </is>
      </c>
      <c r="F2" t="inlineStr">
        <is>
          <t>Lic. SIC 2013/03-2 bloques BS2C: Energía oct 2021</t>
        </is>
      </c>
      <c r="G2" t="inlineStr">
        <is>
          <t>2021-11-09 17:02:50</t>
        </is>
      </c>
      <c r="H2" t="n">
        <v>33</v>
      </c>
      <c r="I2" t="n">
        <v>23252</v>
      </c>
      <c r="J2" t="inlineStr">
        <is>
          <t>s</t>
        </is>
      </c>
      <c r="K2" t="inlineStr">
        <is>
          <t>s</t>
        </is>
      </c>
      <c r="L2" t="inlineStr">
        <is>
          <t>BS2C</t>
        </is>
      </c>
      <c r="M2" t="inlineStr">
        <is>
          <t>SAN_JUAN_LAP</t>
        </is>
      </c>
      <c r="N2" t="inlineStr">
        <is>
          <t>Edecsa</t>
        </is>
      </c>
      <c r="O2" t="inlineStr">
        <is>
          <t>2013/03-2</t>
        </is>
      </c>
      <c r="P2" t="inlineStr">
        <is>
          <t>EDECSA</t>
        </is>
      </c>
      <c r="Q2" t="n">
        <v>1</v>
      </c>
      <c r="R2" t="inlineStr">
        <is>
          <t>A.JAHUEL 220</t>
        </is>
      </c>
      <c r="S2" t="n">
        <v>0</v>
      </c>
      <c r="T2" t="n">
        <v>0</v>
      </c>
      <c r="W2" t="n">
        <v>77.16200000000001</v>
      </c>
    </row>
    <row r="3">
      <c r="A3" t="inlineStr">
        <is>
          <t>2021-10-01</t>
        </is>
      </c>
      <c r="B3" t="inlineStr">
        <is>
          <t>01-10-2021</t>
        </is>
      </c>
      <c r="C3" t="inlineStr">
        <is>
          <t>Licitación Eolica San Juan y Edecsa (SIC 2013/03-2) BS2C</t>
        </is>
      </c>
      <c r="D3" t="inlineStr">
        <is>
          <t>Energia Licitaciones</t>
        </is>
      </c>
      <c r="E3" t="inlineStr">
        <is>
          <t>Energía</t>
        </is>
      </c>
      <c r="F3" t="inlineStr">
        <is>
          <t>Lic. SIC 2013/03-2 bloques BS2C: Energía oct 2021</t>
        </is>
      </c>
      <c r="G3" t="inlineStr">
        <is>
          <t>2021-11-09 17:02:50</t>
        </is>
      </c>
      <c r="H3" t="n">
        <v>33</v>
      </c>
      <c r="I3" t="n">
        <v>23252</v>
      </c>
      <c r="J3" t="inlineStr">
        <is>
          <t>s</t>
        </is>
      </c>
      <c r="K3" t="inlineStr">
        <is>
          <t>s</t>
        </is>
      </c>
      <c r="L3" t="inlineStr">
        <is>
          <t>BS2C</t>
        </is>
      </c>
      <c r="M3" t="inlineStr">
        <is>
          <t>SAN_JUAN_LAP</t>
        </is>
      </c>
      <c r="N3" t="inlineStr">
        <is>
          <t>Edecsa</t>
        </is>
      </c>
      <c r="O3" t="inlineStr">
        <is>
          <t>2013/03-2</t>
        </is>
      </c>
      <c r="P3" t="inlineStr">
        <is>
          <t>EDECSA</t>
        </is>
      </c>
      <c r="Q3" t="n">
        <v>2</v>
      </c>
      <c r="R3" t="inlineStr">
        <is>
          <t>A.MELIP 220</t>
        </is>
      </c>
      <c r="S3" t="n">
        <v>1467.934088</v>
      </c>
      <c r="T3" t="n">
        <v>115419</v>
      </c>
      <c r="W3" t="n">
        <v>78.627</v>
      </c>
    </row>
    <row r="4">
      <c r="A4" t="inlineStr">
        <is>
          <t>2021-10-01</t>
        </is>
      </c>
      <c r="B4" t="inlineStr">
        <is>
          <t>01-10-2021</t>
        </is>
      </c>
      <c r="C4" t="inlineStr">
        <is>
          <t>Licitación Eolica San Juan y Edecsa (SIC 2013/03-2) BS2C</t>
        </is>
      </c>
      <c r="D4" t="inlineStr">
        <is>
          <t>Energia Licitaciones</t>
        </is>
      </c>
      <c r="E4" t="inlineStr">
        <is>
          <t>Energía</t>
        </is>
      </c>
      <c r="F4" t="inlineStr">
        <is>
          <t>Lic. SIC 2013/03-2 bloques BS2C: Energía oct 2021</t>
        </is>
      </c>
      <c r="G4" t="inlineStr">
        <is>
          <t>2021-11-09 17:02:50</t>
        </is>
      </c>
      <c r="H4" t="n">
        <v>33</v>
      </c>
      <c r="I4" t="n">
        <v>23252</v>
      </c>
      <c r="J4" t="inlineStr">
        <is>
          <t>s</t>
        </is>
      </c>
      <c r="K4" t="inlineStr">
        <is>
          <t>s</t>
        </is>
      </c>
      <c r="L4" t="inlineStr">
        <is>
          <t>BS2C</t>
        </is>
      </c>
      <c r="M4" t="inlineStr">
        <is>
          <t>SAN_JUAN_LAP</t>
        </is>
      </c>
      <c r="N4" t="inlineStr">
        <is>
          <t>Edecsa</t>
        </is>
      </c>
      <c r="O4" t="inlineStr">
        <is>
          <t>2013/03-2</t>
        </is>
      </c>
      <c r="P4" t="inlineStr">
        <is>
          <t>EDECSA</t>
        </is>
      </c>
      <c r="Q4" t="n">
        <v>3</v>
      </c>
      <c r="R4" t="inlineStr">
        <is>
          <t>C.CHENA 220</t>
        </is>
      </c>
      <c r="S4" t="n">
        <v>0</v>
      </c>
      <c r="T4" t="n">
        <v>0</v>
      </c>
      <c r="W4" t="n">
        <v>78.27</v>
      </c>
    </row>
    <row r="5">
      <c r="A5" t="inlineStr">
        <is>
          <t>2021-10-01</t>
        </is>
      </c>
      <c r="B5" t="inlineStr">
        <is>
          <t>01-10-2021</t>
        </is>
      </c>
      <c r="C5" t="inlineStr">
        <is>
          <t>Licitación Eolica San Juan y Edecsa (SIC 2013/03-2) BS2C</t>
        </is>
      </c>
      <c r="D5" t="inlineStr">
        <is>
          <t>Energia Licitaciones</t>
        </is>
      </c>
      <c r="E5" t="inlineStr">
        <is>
          <t>Energía</t>
        </is>
      </c>
      <c r="F5" t="inlineStr">
        <is>
          <t>Lic. SIC 2013/03-2 bloques BS2C: Energía oct 2021</t>
        </is>
      </c>
      <c r="G5" t="inlineStr">
        <is>
          <t>2021-11-09 17:02:50</t>
        </is>
      </c>
      <c r="H5" t="n">
        <v>33</v>
      </c>
      <c r="I5" t="n">
        <v>23252</v>
      </c>
      <c r="J5" t="inlineStr">
        <is>
          <t>s</t>
        </is>
      </c>
      <c r="K5" t="inlineStr">
        <is>
          <t>s</t>
        </is>
      </c>
      <c r="L5" t="inlineStr">
        <is>
          <t>BS2C</t>
        </is>
      </c>
      <c r="M5" t="inlineStr">
        <is>
          <t>SAN_JUAN_LAP</t>
        </is>
      </c>
      <c r="N5" t="inlineStr">
        <is>
          <t>Edecsa</t>
        </is>
      </c>
      <c r="O5" t="inlineStr">
        <is>
          <t>2013/03-2</t>
        </is>
      </c>
      <c r="P5" t="inlineStr">
        <is>
          <t>EDECSA</t>
        </is>
      </c>
      <c r="Q5" t="n">
        <v>4</v>
      </c>
      <c r="R5" t="inlineStr">
        <is>
          <t>C.NAVIA 220</t>
        </is>
      </c>
      <c r="S5" t="n">
        <v>0</v>
      </c>
      <c r="T5" t="n">
        <v>0</v>
      </c>
      <c r="W5" t="n">
        <v>78.744</v>
      </c>
    </row>
    <row r="6">
      <c r="A6" t="inlineStr">
        <is>
          <t>2021-10-01</t>
        </is>
      </c>
      <c r="B6" t="inlineStr">
        <is>
          <t>01-10-2021</t>
        </is>
      </c>
      <c r="C6" t="inlineStr">
        <is>
          <t>Licitación Eolica San Juan y Edecsa (SIC 2013/03-2) BS2C</t>
        </is>
      </c>
      <c r="D6" t="inlineStr">
        <is>
          <t>Energia Licitaciones</t>
        </is>
      </c>
      <c r="E6" t="inlineStr">
        <is>
          <t>Energía</t>
        </is>
      </c>
      <c r="F6" t="inlineStr">
        <is>
          <t>Lic. SIC 2013/03-2 bloques BS2C: Energía oct 2021</t>
        </is>
      </c>
      <c r="G6" t="inlineStr">
        <is>
          <t>2021-11-09 17:02:50</t>
        </is>
      </c>
      <c r="H6" t="n">
        <v>33</v>
      </c>
      <c r="I6" t="n">
        <v>23252</v>
      </c>
      <c r="J6" t="inlineStr">
        <is>
          <t>s</t>
        </is>
      </c>
      <c r="K6" t="inlineStr">
        <is>
          <t>s</t>
        </is>
      </c>
      <c r="L6" t="inlineStr">
        <is>
          <t>BS2C</t>
        </is>
      </c>
      <c r="M6" t="inlineStr">
        <is>
          <t>SAN_JUAN_LAP</t>
        </is>
      </c>
      <c r="N6" t="inlineStr">
        <is>
          <t>Edecsa</t>
        </is>
      </c>
      <c r="O6" t="inlineStr">
        <is>
          <t>2013/03-2</t>
        </is>
      </c>
      <c r="P6" t="inlineStr">
        <is>
          <t>EDECSA</t>
        </is>
      </c>
      <c r="Q6" t="n">
        <v>5</v>
      </c>
      <c r="R6" t="inlineStr">
        <is>
          <t>L.MAQUIS 220</t>
        </is>
      </c>
      <c r="S6" t="n">
        <v>12.220019</v>
      </c>
      <c r="T6" t="n">
        <v>1012</v>
      </c>
      <c r="W6" t="n">
        <v>82.843</v>
      </c>
    </row>
    <row r="7">
      <c r="A7" t="inlineStr">
        <is>
          <t>2021-10-01</t>
        </is>
      </c>
      <c r="B7" t="inlineStr">
        <is>
          <t>01-10-2021</t>
        </is>
      </c>
      <c r="C7" t="inlineStr">
        <is>
          <t>Licitación Eolica San Juan y Edecsa (SIC 2013/03-2) BS2C</t>
        </is>
      </c>
      <c r="D7" t="inlineStr">
        <is>
          <t>Energia Licitaciones</t>
        </is>
      </c>
      <c r="E7" t="inlineStr">
        <is>
          <t>Energía</t>
        </is>
      </c>
      <c r="F7" t="inlineStr">
        <is>
          <t>Lic. SIC 2013/03-2 bloques BS2C: Energía oct 2021</t>
        </is>
      </c>
      <c r="G7" t="inlineStr">
        <is>
          <t>2021-11-09 17:02:50</t>
        </is>
      </c>
      <c r="H7" t="n">
        <v>33</v>
      </c>
      <c r="I7" t="n">
        <v>23252</v>
      </c>
      <c r="J7" t="inlineStr">
        <is>
          <t>s</t>
        </is>
      </c>
      <c r="K7" t="inlineStr">
        <is>
          <t>s</t>
        </is>
      </c>
      <c r="L7" t="inlineStr">
        <is>
          <t>BS2C</t>
        </is>
      </c>
      <c r="M7" t="inlineStr">
        <is>
          <t>SAN_JUAN_LAP</t>
        </is>
      </c>
      <c r="N7" t="inlineStr">
        <is>
          <t>Edecsa</t>
        </is>
      </c>
      <c r="O7" t="inlineStr">
        <is>
          <t>2013/03-2</t>
        </is>
      </c>
      <c r="P7" t="inlineStr">
        <is>
          <t>EDECSA</t>
        </is>
      </c>
      <c r="Q7" t="n">
        <v>6</v>
      </c>
      <c r="R7" t="inlineStr">
        <is>
          <t>NOGALES 220</t>
        </is>
      </c>
      <c r="S7" t="n">
        <v>50.862631</v>
      </c>
      <c r="T7" t="n">
        <v>3805</v>
      </c>
      <c r="W7" t="n">
        <v>74.80500000000001</v>
      </c>
    </row>
    <row r="8">
      <c r="A8" t="inlineStr">
        <is>
          <t>2021-10-01</t>
        </is>
      </c>
      <c r="B8" t="inlineStr">
        <is>
          <t>01-10-2021</t>
        </is>
      </c>
      <c r="C8" t="inlineStr">
        <is>
          <t>Licitación Eolica San Juan y Edecsa (SIC 2013/03-2) BS2C</t>
        </is>
      </c>
      <c r="D8" t="inlineStr">
        <is>
          <t>Energia Licitaciones</t>
        </is>
      </c>
      <c r="E8" t="inlineStr">
        <is>
          <t>Energía</t>
        </is>
      </c>
      <c r="F8" t="inlineStr">
        <is>
          <t>Lic. SIC 2013/03-2 bloques BS2C: Energía oct 2021</t>
        </is>
      </c>
      <c r="G8" t="inlineStr">
        <is>
          <t>2021-11-09 17:02:50</t>
        </is>
      </c>
      <c r="H8" t="n">
        <v>33</v>
      </c>
      <c r="I8" t="n">
        <v>23252</v>
      </c>
      <c r="J8" t="inlineStr">
        <is>
          <t>s</t>
        </is>
      </c>
      <c r="K8" t="inlineStr">
        <is>
          <t>s</t>
        </is>
      </c>
      <c r="L8" t="inlineStr">
        <is>
          <t>BS2C</t>
        </is>
      </c>
      <c r="M8" t="inlineStr">
        <is>
          <t>SAN_JUAN_LAP</t>
        </is>
      </c>
      <c r="N8" t="inlineStr">
        <is>
          <t>Edecsa</t>
        </is>
      </c>
      <c r="O8" t="inlineStr">
        <is>
          <t>2013/03-2</t>
        </is>
      </c>
      <c r="P8" t="inlineStr">
        <is>
          <t>EDECSA</t>
        </is>
      </c>
      <c r="Q8" t="n">
        <v>7</v>
      </c>
      <c r="R8" t="inlineStr">
        <is>
          <t>POLPAICO 220</t>
        </is>
      </c>
      <c r="S8" t="n">
        <v>0</v>
      </c>
      <c r="T8" t="n">
        <v>0</v>
      </c>
      <c r="W8" t="n">
        <v>79.116</v>
      </c>
    </row>
    <row r="9">
      <c r="A9" t="inlineStr">
        <is>
          <t>2021-10-01</t>
        </is>
      </c>
      <c r="B9" t="inlineStr">
        <is>
          <t>01-10-2021</t>
        </is>
      </c>
      <c r="C9" t="inlineStr">
        <is>
          <t>Licitación Eolica San Juan y Edecsa (SIC 2013/03-2) BS2C</t>
        </is>
      </c>
      <c r="D9" t="inlineStr">
        <is>
          <t>Energia Licitaciones</t>
        </is>
      </c>
      <c r="E9" t="inlineStr">
        <is>
          <t>Energía</t>
        </is>
      </c>
      <c r="F9" t="inlineStr">
        <is>
          <t>Lic. SIC 2013/03-2 bloques BS2C: Energía oct 2021</t>
        </is>
      </c>
      <c r="G9" t="inlineStr">
        <is>
          <t>2021-11-09 17:02:50</t>
        </is>
      </c>
      <c r="H9" t="n">
        <v>33</v>
      </c>
      <c r="I9" t="n">
        <v>23252</v>
      </c>
      <c r="J9" t="inlineStr">
        <is>
          <t>s</t>
        </is>
      </c>
      <c r="K9" t="inlineStr">
        <is>
          <t>s</t>
        </is>
      </c>
      <c r="L9" t="inlineStr">
        <is>
          <t>BS2C</t>
        </is>
      </c>
      <c r="M9" t="inlineStr">
        <is>
          <t>SAN_JUAN_LAP</t>
        </is>
      </c>
      <c r="N9" t="inlineStr">
        <is>
          <t>Edecsa</t>
        </is>
      </c>
      <c r="O9" t="inlineStr">
        <is>
          <t>2013/03-2</t>
        </is>
      </c>
      <c r="P9" t="inlineStr">
        <is>
          <t>EDECSA</t>
        </is>
      </c>
      <c r="Q9" t="n">
        <v>8</v>
      </c>
      <c r="R9" t="inlineStr">
        <is>
          <t>QUILLOTA 220</t>
        </is>
      </c>
      <c r="S9" t="n">
        <v>37.982973</v>
      </c>
      <c r="T9" t="n">
        <v>3051</v>
      </c>
      <c r="W9" t="n">
        <v>80.33499999999999</v>
      </c>
    </row>
    <row r="10">
      <c r="A10" t="inlineStr">
        <is>
          <t>2021-11-01</t>
        </is>
      </c>
      <c r="B10" t="inlineStr">
        <is>
          <t>01-11-2021</t>
        </is>
      </c>
      <c r="C10" t="inlineStr">
        <is>
          <t>Licitación Eolica San Juan y Edecsa (SIC 2013/03-2) BS2C</t>
        </is>
      </c>
      <c r="D10" t="inlineStr">
        <is>
          <t>Energia Licitaciones</t>
        </is>
      </c>
      <c r="E10" t="inlineStr">
        <is>
          <t>Energía</t>
        </is>
      </c>
      <c r="F10" t="inlineStr">
        <is>
          <t>Lic. SIC 2013/03-2 bloques BS2C: Energía nov 2021</t>
        </is>
      </c>
      <c r="G10" t="inlineStr">
        <is>
          <t>2021-12-10 13:09:26</t>
        </is>
      </c>
      <c r="H10" t="n">
        <v>33</v>
      </c>
      <c r="I10" t="n">
        <v>23712</v>
      </c>
      <c r="J10" t="inlineStr">
        <is>
          <t>s</t>
        </is>
      </c>
      <c r="K10" t="inlineStr">
        <is>
          <t>s</t>
        </is>
      </c>
      <c r="L10" t="inlineStr">
        <is>
          <t>BS2C</t>
        </is>
      </c>
      <c r="M10" t="inlineStr">
        <is>
          <t>SAN_JUAN_LAP</t>
        </is>
      </c>
      <c r="N10" t="inlineStr">
        <is>
          <t>Edecsa</t>
        </is>
      </c>
      <c r="O10" t="inlineStr">
        <is>
          <t>2013/03-2</t>
        </is>
      </c>
      <c r="P10" t="inlineStr">
        <is>
          <t>EDECSA</t>
        </is>
      </c>
      <c r="Q10" t="n">
        <v>1</v>
      </c>
      <c r="R10" t="inlineStr">
        <is>
          <t>A.JAHUEL 220</t>
        </is>
      </c>
      <c r="S10" t="n">
        <v>0</v>
      </c>
      <c r="T10" t="n">
        <v>0</v>
      </c>
      <c r="W10" t="n">
        <v>77.16200000000001</v>
      </c>
    </row>
    <row r="11">
      <c r="A11" t="inlineStr">
        <is>
          <t>2021-11-01</t>
        </is>
      </c>
      <c r="B11" t="inlineStr">
        <is>
          <t>01-11-2021</t>
        </is>
      </c>
      <c r="C11" t="inlineStr">
        <is>
          <t>Licitación Eolica San Juan y Edecsa (SIC 2013/03-2) BS2C</t>
        </is>
      </c>
      <c r="D11" t="inlineStr">
        <is>
          <t>Energia Licitaciones</t>
        </is>
      </c>
      <c r="E11" t="inlineStr">
        <is>
          <t>Energía</t>
        </is>
      </c>
      <c r="F11" t="inlineStr">
        <is>
          <t>Lic. SIC 2013/03-2 bloques BS2C: Energía nov 2021</t>
        </is>
      </c>
      <c r="G11" t="inlineStr">
        <is>
          <t>2021-12-10 13:09:26</t>
        </is>
      </c>
      <c r="H11" t="n">
        <v>33</v>
      </c>
      <c r="I11" t="n">
        <v>23712</v>
      </c>
      <c r="J11" t="inlineStr">
        <is>
          <t>s</t>
        </is>
      </c>
      <c r="K11" t="inlineStr">
        <is>
          <t>s</t>
        </is>
      </c>
      <c r="L11" t="inlineStr">
        <is>
          <t>BS2C</t>
        </is>
      </c>
      <c r="M11" t="inlineStr">
        <is>
          <t>SAN_JUAN_LAP</t>
        </is>
      </c>
      <c r="N11" t="inlineStr">
        <is>
          <t>Edecsa</t>
        </is>
      </c>
      <c r="O11" t="inlineStr">
        <is>
          <t>2013/03-2</t>
        </is>
      </c>
      <c r="P11" t="inlineStr">
        <is>
          <t>EDECSA</t>
        </is>
      </c>
      <c r="Q11" t="n">
        <v>2</v>
      </c>
      <c r="R11" t="inlineStr">
        <is>
          <t>A.MELIP 220</t>
        </is>
      </c>
      <c r="S11" t="n">
        <v>1583.789429</v>
      </c>
      <c r="T11" t="n">
        <v>124529</v>
      </c>
      <c r="W11" t="n">
        <v>78.627</v>
      </c>
    </row>
    <row r="12">
      <c r="A12" t="inlineStr">
        <is>
          <t>2021-11-01</t>
        </is>
      </c>
      <c r="B12" t="inlineStr">
        <is>
          <t>01-11-2021</t>
        </is>
      </c>
      <c r="C12" t="inlineStr">
        <is>
          <t>Licitación Eolica San Juan y Edecsa (SIC 2013/03-2) BS2C</t>
        </is>
      </c>
      <c r="D12" t="inlineStr">
        <is>
          <t>Energia Licitaciones</t>
        </is>
      </c>
      <c r="E12" t="inlineStr">
        <is>
          <t>Energía</t>
        </is>
      </c>
      <c r="F12" t="inlineStr">
        <is>
          <t>Lic. SIC 2013/03-2 bloques BS2C: Energía nov 2021</t>
        </is>
      </c>
      <c r="G12" t="inlineStr">
        <is>
          <t>2021-12-10 13:09:26</t>
        </is>
      </c>
      <c r="H12" t="n">
        <v>33</v>
      </c>
      <c r="I12" t="n">
        <v>23712</v>
      </c>
      <c r="J12" t="inlineStr">
        <is>
          <t>s</t>
        </is>
      </c>
      <c r="K12" t="inlineStr">
        <is>
          <t>s</t>
        </is>
      </c>
      <c r="L12" t="inlineStr">
        <is>
          <t>BS2C</t>
        </is>
      </c>
      <c r="M12" t="inlineStr">
        <is>
          <t>SAN_JUAN_LAP</t>
        </is>
      </c>
      <c r="N12" t="inlineStr">
        <is>
          <t>Edecsa</t>
        </is>
      </c>
      <c r="O12" t="inlineStr">
        <is>
          <t>2013/03-2</t>
        </is>
      </c>
      <c r="P12" t="inlineStr">
        <is>
          <t>EDECSA</t>
        </is>
      </c>
      <c r="Q12" t="n">
        <v>3</v>
      </c>
      <c r="R12" t="inlineStr">
        <is>
          <t>C.CHENA 220</t>
        </is>
      </c>
      <c r="S12" t="n">
        <v>0</v>
      </c>
      <c r="T12" t="n">
        <v>0</v>
      </c>
      <c r="W12" t="n">
        <v>78.27</v>
      </c>
    </row>
    <row r="13">
      <c r="A13" t="inlineStr">
        <is>
          <t>2021-11-01</t>
        </is>
      </c>
      <c r="B13" t="inlineStr">
        <is>
          <t>01-11-2021</t>
        </is>
      </c>
      <c r="C13" t="inlineStr">
        <is>
          <t>Licitación Eolica San Juan y Edecsa (SIC 2013/03-2) BS2C</t>
        </is>
      </c>
      <c r="D13" t="inlineStr">
        <is>
          <t>Energia Licitaciones</t>
        </is>
      </c>
      <c r="E13" t="inlineStr">
        <is>
          <t>Energía</t>
        </is>
      </c>
      <c r="F13" t="inlineStr">
        <is>
          <t>Lic. SIC 2013/03-2 bloques BS2C: Energía nov 2021</t>
        </is>
      </c>
      <c r="G13" t="inlineStr">
        <is>
          <t>2021-12-10 13:09:26</t>
        </is>
      </c>
      <c r="H13" t="n">
        <v>33</v>
      </c>
      <c r="I13" t="n">
        <v>23712</v>
      </c>
      <c r="J13" t="inlineStr">
        <is>
          <t>s</t>
        </is>
      </c>
      <c r="K13" t="inlineStr">
        <is>
          <t>s</t>
        </is>
      </c>
      <c r="L13" t="inlineStr">
        <is>
          <t>BS2C</t>
        </is>
      </c>
      <c r="M13" t="inlineStr">
        <is>
          <t>SAN_JUAN_LAP</t>
        </is>
      </c>
      <c r="N13" t="inlineStr">
        <is>
          <t>Edecsa</t>
        </is>
      </c>
      <c r="O13" t="inlineStr">
        <is>
          <t>2013/03-2</t>
        </is>
      </c>
      <c r="P13" t="inlineStr">
        <is>
          <t>EDECSA</t>
        </is>
      </c>
      <c r="Q13" t="n">
        <v>4</v>
      </c>
      <c r="R13" t="inlineStr">
        <is>
          <t>C.NAVIA 220</t>
        </is>
      </c>
      <c r="S13" t="n">
        <v>0</v>
      </c>
      <c r="T13" t="n">
        <v>0</v>
      </c>
      <c r="W13" t="n">
        <v>78.744</v>
      </c>
    </row>
    <row r="14">
      <c r="A14" t="inlineStr">
        <is>
          <t>2021-11-01</t>
        </is>
      </c>
      <c r="B14" t="inlineStr">
        <is>
          <t>01-11-2021</t>
        </is>
      </c>
      <c r="C14" t="inlineStr">
        <is>
          <t>Licitación Eolica San Juan y Edecsa (SIC 2013/03-2) BS2C</t>
        </is>
      </c>
      <c r="D14" t="inlineStr">
        <is>
          <t>Energia Licitaciones</t>
        </is>
      </c>
      <c r="E14" t="inlineStr">
        <is>
          <t>Energía</t>
        </is>
      </c>
      <c r="F14" t="inlineStr">
        <is>
          <t>Lic. SIC 2013/03-2 bloques BS2C: Energía nov 2021</t>
        </is>
      </c>
      <c r="G14" t="inlineStr">
        <is>
          <t>2021-12-10 13:09:26</t>
        </is>
      </c>
      <c r="H14" t="n">
        <v>33</v>
      </c>
      <c r="I14" t="n">
        <v>23712</v>
      </c>
      <c r="J14" t="inlineStr">
        <is>
          <t>s</t>
        </is>
      </c>
      <c r="K14" t="inlineStr">
        <is>
          <t>s</t>
        </is>
      </c>
      <c r="L14" t="inlineStr">
        <is>
          <t>BS2C</t>
        </is>
      </c>
      <c r="M14" t="inlineStr">
        <is>
          <t>SAN_JUAN_LAP</t>
        </is>
      </c>
      <c r="N14" t="inlineStr">
        <is>
          <t>Edecsa</t>
        </is>
      </c>
      <c r="O14" t="inlineStr">
        <is>
          <t>2013/03-2</t>
        </is>
      </c>
      <c r="P14" t="inlineStr">
        <is>
          <t>EDECSA</t>
        </is>
      </c>
      <c r="Q14" t="n">
        <v>5</v>
      </c>
      <c r="R14" t="inlineStr">
        <is>
          <t>L.MAQUIS 220</t>
        </is>
      </c>
      <c r="S14" t="n">
        <v>13.106812</v>
      </c>
      <c r="T14" t="n">
        <v>1086</v>
      </c>
      <c r="W14" t="n">
        <v>82.843</v>
      </c>
    </row>
    <row r="15">
      <c r="A15" t="inlineStr">
        <is>
          <t>2021-11-01</t>
        </is>
      </c>
      <c r="B15" t="inlineStr">
        <is>
          <t>01-11-2021</t>
        </is>
      </c>
      <c r="C15" t="inlineStr">
        <is>
          <t>Licitación Eolica San Juan y Edecsa (SIC 2013/03-2) BS2C</t>
        </is>
      </c>
      <c r="D15" t="inlineStr">
        <is>
          <t>Energia Licitaciones</t>
        </is>
      </c>
      <c r="E15" t="inlineStr">
        <is>
          <t>Energía</t>
        </is>
      </c>
      <c r="F15" t="inlineStr">
        <is>
          <t>Lic. SIC 2013/03-2 bloques BS2C: Energía nov 2021</t>
        </is>
      </c>
      <c r="G15" t="inlineStr">
        <is>
          <t>2021-12-10 13:09:26</t>
        </is>
      </c>
      <c r="H15" t="n">
        <v>33</v>
      </c>
      <c r="I15" t="n">
        <v>23712</v>
      </c>
      <c r="J15" t="inlineStr">
        <is>
          <t>s</t>
        </is>
      </c>
      <c r="K15" t="inlineStr">
        <is>
          <t>s</t>
        </is>
      </c>
      <c r="L15" t="inlineStr">
        <is>
          <t>BS2C</t>
        </is>
      </c>
      <c r="M15" t="inlineStr">
        <is>
          <t>SAN_JUAN_LAP</t>
        </is>
      </c>
      <c r="N15" t="inlineStr">
        <is>
          <t>Edecsa</t>
        </is>
      </c>
      <c r="O15" t="inlineStr">
        <is>
          <t>2013/03-2</t>
        </is>
      </c>
      <c r="P15" t="inlineStr">
        <is>
          <t>EDECSA</t>
        </is>
      </c>
      <c r="Q15" t="n">
        <v>6</v>
      </c>
      <c r="R15" t="inlineStr">
        <is>
          <t>NOGALES 220</t>
        </is>
      </c>
      <c r="S15" t="n">
        <v>54.762176</v>
      </c>
      <c r="T15" t="n">
        <v>4096</v>
      </c>
      <c r="W15" t="n">
        <v>74.80500000000001</v>
      </c>
    </row>
    <row r="16">
      <c r="A16" t="inlineStr">
        <is>
          <t>2021-11-01</t>
        </is>
      </c>
      <c r="B16" t="inlineStr">
        <is>
          <t>01-11-2021</t>
        </is>
      </c>
      <c r="C16" t="inlineStr">
        <is>
          <t>Licitación Eolica San Juan y Edecsa (SIC 2013/03-2) BS2C</t>
        </is>
      </c>
      <c r="D16" t="inlineStr">
        <is>
          <t>Energia Licitaciones</t>
        </is>
      </c>
      <c r="E16" t="inlineStr">
        <is>
          <t>Energía</t>
        </is>
      </c>
      <c r="F16" t="inlineStr">
        <is>
          <t>Lic. SIC 2013/03-2 bloques BS2C: Energía nov 2021</t>
        </is>
      </c>
      <c r="G16" t="inlineStr">
        <is>
          <t>2021-12-10 13:09:26</t>
        </is>
      </c>
      <c r="H16" t="n">
        <v>33</v>
      </c>
      <c r="I16" t="n">
        <v>23712</v>
      </c>
      <c r="J16" t="inlineStr">
        <is>
          <t>s</t>
        </is>
      </c>
      <c r="K16" t="inlineStr">
        <is>
          <t>s</t>
        </is>
      </c>
      <c r="L16" t="inlineStr">
        <is>
          <t>BS2C</t>
        </is>
      </c>
      <c r="M16" t="inlineStr">
        <is>
          <t>SAN_JUAN_LAP</t>
        </is>
      </c>
      <c r="N16" t="inlineStr">
        <is>
          <t>Edecsa</t>
        </is>
      </c>
      <c r="O16" t="inlineStr">
        <is>
          <t>2013/03-2</t>
        </is>
      </c>
      <c r="P16" t="inlineStr">
        <is>
          <t>EDECSA</t>
        </is>
      </c>
      <c r="Q16" t="n">
        <v>7</v>
      </c>
      <c r="R16" t="inlineStr">
        <is>
          <t>POLPAICO 220</t>
        </is>
      </c>
      <c r="S16" t="n">
        <v>0</v>
      </c>
      <c r="T16" t="n">
        <v>0</v>
      </c>
      <c r="W16" t="n">
        <v>79.116</v>
      </c>
    </row>
    <row r="17">
      <c r="A17" t="inlineStr">
        <is>
          <t>2021-11-01</t>
        </is>
      </c>
      <c r="B17" t="inlineStr">
        <is>
          <t>01-11-2021</t>
        </is>
      </c>
      <c r="C17" t="inlineStr">
        <is>
          <t>Licitación Eolica San Juan y Edecsa (SIC 2013/03-2) BS2C</t>
        </is>
      </c>
      <c r="D17" t="inlineStr">
        <is>
          <t>Energia Licitaciones</t>
        </is>
      </c>
      <c r="E17" t="inlineStr">
        <is>
          <t>Energía</t>
        </is>
      </c>
      <c r="F17" t="inlineStr">
        <is>
          <t>Lic. SIC 2013/03-2 bloques BS2C: Energía nov 2021</t>
        </is>
      </c>
      <c r="G17" t="inlineStr">
        <is>
          <t>2021-12-10 13:09:26</t>
        </is>
      </c>
      <c r="H17" t="n">
        <v>33</v>
      </c>
      <c r="I17" t="n">
        <v>23712</v>
      </c>
      <c r="J17" t="inlineStr">
        <is>
          <t>s</t>
        </is>
      </c>
      <c r="K17" t="inlineStr">
        <is>
          <t>s</t>
        </is>
      </c>
      <c r="L17" t="inlineStr">
        <is>
          <t>BS2C</t>
        </is>
      </c>
      <c r="M17" t="inlineStr">
        <is>
          <t>SAN_JUAN_LAP</t>
        </is>
      </c>
      <c r="N17" t="inlineStr">
        <is>
          <t>Edecsa</t>
        </is>
      </c>
      <c r="O17" t="inlineStr">
        <is>
          <t>2013/03-2</t>
        </is>
      </c>
      <c r="P17" t="inlineStr">
        <is>
          <t>EDECSA</t>
        </is>
      </c>
      <c r="Q17" t="n">
        <v>8</v>
      </c>
      <c r="R17" t="inlineStr">
        <is>
          <t>QUILLOTA 220</t>
        </is>
      </c>
      <c r="S17" t="n">
        <v>40.897413</v>
      </c>
      <c r="T17" t="n">
        <v>3285</v>
      </c>
      <c r="W17" t="n">
        <v>80.33499999999999</v>
      </c>
    </row>
    <row r="18">
      <c r="A18" t="inlineStr">
        <is>
          <t>2021-12-01</t>
        </is>
      </c>
      <c r="B18" t="inlineStr">
        <is>
          <t>01-12-2021</t>
        </is>
      </c>
      <c r="C18" t="inlineStr">
        <is>
          <t>Licitación Eolica San Juan y Edecsa (SIC 2013/03-2) BS2C</t>
        </is>
      </c>
      <c r="D18" t="inlineStr">
        <is>
          <t>Energia Licitaciones</t>
        </is>
      </c>
      <c r="E18" t="inlineStr">
        <is>
          <t>Energía</t>
        </is>
      </c>
      <c r="F18" t="inlineStr">
        <is>
          <t>Lic. SIC 2013/03-2 bloques BS2C: Energía dic 2021</t>
        </is>
      </c>
      <c r="G18" t="inlineStr">
        <is>
          <t>2022-01-11 15:13:56</t>
        </is>
      </c>
      <c r="H18" t="n">
        <v>33</v>
      </c>
      <c r="I18" t="n">
        <v>24238</v>
      </c>
      <c r="J18" t="inlineStr">
        <is>
          <t>s</t>
        </is>
      </c>
      <c r="K18" t="inlineStr">
        <is>
          <t>s</t>
        </is>
      </c>
      <c r="L18" t="inlineStr">
        <is>
          <t>BS2C</t>
        </is>
      </c>
      <c r="M18" t="inlineStr">
        <is>
          <t>SAN_JUAN_LAP</t>
        </is>
      </c>
      <c r="N18" t="inlineStr">
        <is>
          <t>Edecsa</t>
        </is>
      </c>
      <c r="O18" t="inlineStr">
        <is>
          <t>2013/03-2</t>
        </is>
      </c>
      <c r="P18" t="inlineStr">
        <is>
          <t>EDECSA</t>
        </is>
      </c>
      <c r="Q18" t="n">
        <v>1</v>
      </c>
      <c r="R18" t="inlineStr">
        <is>
          <t>A.JAHUEL 220</t>
        </is>
      </c>
      <c r="S18" t="n">
        <v>0</v>
      </c>
      <c r="T18" t="n">
        <v>0</v>
      </c>
      <c r="W18" t="n">
        <v>77.16200000000001</v>
      </c>
    </row>
    <row r="19">
      <c r="A19" t="inlineStr">
        <is>
          <t>2021-12-01</t>
        </is>
      </c>
      <c r="B19" t="inlineStr">
        <is>
          <t>01-12-2021</t>
        </is>
      </c>
      <c r="C19" t="inlineStr">
        <is>
          <t>Licitación Eolica San Juan y Edecsa (SIC 2013/03-2) BS2C</t>
        </is>
      </c>
      <c r="D19" t="inlineStr">
        <is>
          <t>Energia Licitaciones</t>
        </is>
      </c>
      <c r="E19" t="inlineStr">
        <is>
          <t>Energía</t>
        </is>
      </c>
      <c r="F19" t="inlineStr">
        <is>
          <t>Lic. SIC 2013/03-2 bloques BS2C: Energía dic 2021</t>
        </is>
      </c>
      <c r="G19" t="inlineStr">
        <is>
          <t>2022-01-11 15:13:56</t>
        </is>
      </c>
      <c r="H19" t="n">
        <v>33</v>
      </c>
      <c r="I19" t="n">
        <v>24238</v>
      </c>
      <c r="J19" t="inlineStr">
        <is>
          <t>s</t>
        </is>
      </c>
      <c r="K19" t="inlineStr">
        <is>
          <t>s</t>
        </is>
      </c>
      <c r="L19" t="inlineStr">
        <is>
          <t>BS2C</t>
        </is>
      </c>
      <c r="M19" t="inlineStr">
        <is>
          <t>SAN_JUAN_LAP</t>
        </is>
      </c>
      <c r="N19" t="inlineStr">
        <is>
          <t>Edecsa</t>
        </is>
      </c>
      <c r="O19" t="inlineStr">
        <is>
          <t>2013/03-2</t>
        </is>
      </c>
      <c r="P19" t="inlineStr">
        <is>
          <t>EDECSA</t>
        </is>
      </c>
      <c r="Q19" t="n">
        <v>2</v>
      </c>
      <c r="R19" t="inlineStr">
        <is>
          <t>A.MELIP 220</t>
        </is>
      </c>
      <c r="S19" t="n">
        <v>1740.67</v>
      </c>
      <c r="T19" t="n">
        <v>136864</v>
      </c>
      <c r="W19" t="n">
        <v>78.627</v>
      </c>
    </row>
    <row r="20">
      <c r="A20" t="inlineStr">
        <is>
          <t>2021-12-01</t>
        </is>
      </c>
      <c r="B20" t="inlineStr">
        <is>
          <t>01-12-2021</t>
        </is>
      </c>
      <c r="C20" t="inlineStr">
        <is>
          <t>Licitación Eolica San Juan y Edecsa (SIC 2013/03-2) BS2C</t>
        </is>
      </c>
      <c r="D20" t="inlineStr">
        <is>
          <t>Energia Licitaciones</t>
        </is>
      </c>
      <c r="E20" t="inlineStr">
        <is>
          <t>Energía</t>
        </is>
      </c>
      <c r="F20" t="inlineStr">
        <is>
          <t>Lic. SIC 2013/03-2 bloques BS2C: Energía dic 2021</t>
        </is>
      </c>
      <c r="G20" t="inlineStr">
        <is>
          <t>2022-01-11 15:13:56</t>
        </is>
      </c>
      <c r="H20" t="n">
        <v>33</v>
      </c>
      <c r="I20" t="n">
        <v>24238</v>
      </c>
      <c r="J20" t="inlineStr">
        <is>
          <t>s</t>
        </is>
      </c>
      <c r="K20" t="inlineStr">
        <is>
          <t>s</t>
        </is>
      </c>
      <c r="L20" t="inlineStr">
        <is>
          <t>BS2C</t>
        </is>
      </c>
      <c r="M20" t="inlineStr">
        <is>
          <t>SAN_JUAN_LAP</t>
        </is>
      </c>
      <c r="N20" t="inlineStr">
        <is>
          <t>Edecsa</t>
        </is>
      </c>
      <c r="O20" t="inlineStr">
        <is>
          <t>2013/03-2</t>
        </is>
      </c>
      <c r="P20" t="inlineStr">
        <is>
          <t>EDECSA</t>
        </is>
      </c>
      <c r="Q20" t="n">
        <v>3</v>
      </c>
      <c r="R20" t="inlineStr">
        <is>
          <t>C.CHENA 220</t>
        </is>
      </c>
      <c r="S20" t="n">
        <v>0</v>
      </c>
      <c r="T20" t="n">
        <v>0</v>
      </c>
      <c r="W20" t="n">
        <v>78.27</v>
      </c>
    </row>
    <row r="21">
      <c r="A21" t="inlineStr">
        <is>
          <t>2021-12-01</t>
        </is>
      </c>
      <c r="B21" t="inlineStr">
        <is>
          <t>01-12-2021</t>
        </is>
      </c>
      <c r="C21" t="inlineStr">
        <is>
          <t>Licitación Eolica San Juan y Edecsa (SIC 2013/03-2) BS2C</t>
        </is>
      </c>
      <c r="D21" t="inlineStr">
        <is>
          <t>Energia Licitaciones</t>
        </is>
      </c>
      <c r="E21" t="inlineStr">
        <is>
          <t>Energía</t>
        </is>
      </c>
      <c r="F21" t="inlineStr">
        <is>
          <t>Lic. SIC 2013/03-2 bloques BS2C: Energía dic 2021</t>
        </is>
      </c>
      <c r="G21" t="inlineStr">
        <is>
          <t>2022-01-11 15:13:56</t>
        </is>
      </c>
      <c r="H21" t="n">
        <v>33</v>
      </c>
      <c r="I21" t="n">
        <v>24238</v>
      </c>
      <c r="J21" t="inlineStr">
        <is>
          <t>s</t>
        </is>
      </c>
      <c r="K21" t="inlineStr">
        <is>
          <t>s</t>
        </is>
      </c>
      <c r="L21" t="inlineStr">
        <is>
          <t>BS2C</t>
        </is>
      </c>
      <c r="M21" t="inlineStr">
        <is>
          <t>SAN_JUAN_LAP</t>
        </is>
      </c>
      <c r="N21" t="inlineStr">
        <is>
          <t>Edecsa</t>
        </is>
      </c>
      <c r="O21" t="inlineStr">
        <is>
          <t>2013/03-2</t>
        </is>
      </c>
      <c r="P21" t="inlineStr">
        <is>
          <t>EDECSA</t>
        </is>
      </c>
      <c r="Q21" t="n">
        <v>4</v>
      </c>
      <c r="R21" t="inlineStr">
        <is>
          <t>C.NAVIA 220</t>
        </is>
      </c>
      <c r="S21" t="n">
        <v>0</v>
      </c>
      <c r="T21" t="n">
        <v>0</v>
      </c>
      <c r="W21" t="n">
        <v>78.744</v>
      </c>
    </row>
    <row r="22">
      <c r="A22" t="inlineStr">
        <is>
          <t>2021-12-01</t>
        </is>
      </c>
      <c r="B22" t="inlineStr">
        <is>
          <t>01-12-2021</t>
        </is>
      </c>
      <c r="C22" t="inlineStr">
        <is>
          <t>Licitación Eolica San Juan y Edecsa (SIC 2013/03-2) BS2C</t>
        </is>
      </c>
      <c r="D22" t="inlineStr">
        <is>
          <t>Energia Licitaciones</t>
        </is>
      </c>
      <c r="E22" t="inlineStr">
        <is>
          <t>Energía</t>
        </is>
      </c>
      <c r="F22" t="inlineStr">
        <is>
          <t>Lic. SIC 2013/03-2 bloques BS2C: Energía dic 2021</t>
        </is>
      </c>
      <c r="G22" t="inlineStr">
        <is>
          <t>2022-01-11 15:13:56</t>
        </is>
      </c>
      <c r="H22" t="n">
        <v>33</v>
      </c>
      <c r="I22" t="n">
        <v>24238</v>
      </c>
      <c r="J22" t="inlineStr">
        <is>
          <t>s</t>
        </is>
      </c>
      <c r="K22" t="inlineStr">
        <is>
          <t>s</t>
        </is>
      </c>
      <c r="L22" t="inlineStr">
        <is>
          <t>BS2C</t>
        </is>
      </c>
      <c r="M22" t="inlineStr">
        <is>
          <t>SAN_JUAN_LAP</t>
        </is>
      </c>
      <c r="N22" t="inlineStr">
        <is>
          <t>Edecsa</t>
        </is>
      </c>
      <c r="O22" t="inlineStr">
        <is>
          <t>2013/03-2</t>
        </is>
      </c>
      <c r="P22" t="inlineStr">
        <is>
          <t>EDECSA</t>
        </is>
      </c>
      <c r="Q22" t="n">
        <v>5</v>
      </c>
      <c r="R22" t="inlineStr">
        <is>
          <t>L.MAQUIS 220</t>
        </is>
      </c>
      <c r="S22" t="n">
        <v>14.387391</v>
      </c>
      <c r="T22" t="n">
        <v>1192</v>
      </c>
      <c r="W22" t="n">
        <v>82.843</v>
      </c>
    </row>
    <row r="23">
      <c r="A23" t="inlineStr">
        <is>
          <t>2021-12-01</t>
        </is>
      </c>
      <c r="B23" t="inlineStr">
        <is>
          <t>01-12-2021</t>
        </is>
      </c>
      <c r="C23" t="inlineStr">
        <is>
          <t>Licitación Eolica San Juan y Edecsa (SIC 2013/03-2) BS2C</t>
        </is>
      </c>
      <c r="D23" t="inlineStr">
        <is>
          <t>Energia Licitaciones</t>
        </is>
      </c>
      <c r="E23" t="inlineStr">
        <is>
          <t>Energía</t>
        </is>
      </c>
      <c r="F23" t="inlineStr">
        <is>
          <t>Lic. SIC 2013/03-2 bloques BS2C: Energía dic 2021</t>
        </is>
      </c>
      <c r="G23" t="inlineStr">
        <is>
          <t>2022-01-11 15:13:56</t>
        </is>
      </c>
      <c r="H23" t="n">
        <v>33</v>
      </c>
      <c r="I23" t="n">
        <v>24238</v>
      </c>
      <c r="J23" t="inlineStr">
        <is>
          <t>s</t>
        </is>
      </c>
      <c r="K23" t="inlineStr">
        <is>
          <t>s</t>
        </is>
      </c>
      <c r="L23" t="inlineStr">
        <is>
          <t>BS2C</t>
        </is>
      </c>
      <c r="M23" t="inlineStr">
        <is>
          <t>SAN_JUAN_LAP</t>
        </is>
      </c>
      <c r="N23" t="inlineStr">
        <is>
          <t>Edecsa</t>
        </is>
      </c>
      <c r="O23" t="inlineStr">
        <is>
          <t>2013/03-2</t>
        </is>
      </c>
      <c r="P23" t="inlineStr">
        <is>
          <t>EDECSA</t>
        </is>
      </c>
      <c r="Q23" t="n">
        <v>6</v>
      </c>
      <c r="R23" t="inlineStr">
        <is>
          <t>NOGALES 220</t>
        </is>
      </c>
      <c r="S23" t="n">
        <v>60.175929</v>
      </c>
      <c r="T23" t="n">
        <v>4501</v>
      </c>
      <c r="W23" t="n">
        <v>74.80500000000001</v>
      </c>
    </row>
    <row r="24">
      <c r="A24" t="inlineStr">
        <is>
          <t>2021-12-01</t>
        </is>
      </c>
      <c r="B24" t="inlineStr">
        <is>
          <t>01-12-2021</t>
        </is>
      </c>
      <c r="C24" t="inlineStr">
        <is>
          <t>Licitación Eolica San Juan y Edecsa (SIC 2013/03-2) BS2C</t>
        </is>
      </c>
      <c r="D24" t="inlineStr">
        <is>
          <t>Energia Licitaciones</t>
        </is>
      </c>
      <c r="E24" t="inlineStr">
        <is>
          <t>Energía</t>
        </is>
      </c>
      <c r="F24" t="inlineStr">
        <is>
          <t>Lic. SIC 2013/03-2 bloques BS2C: Energía dic 2021</t>
        </is>
      </c>
      <c r="G24" t="inlineStr">
        <is>
          <t>2022-01-11 15:13:56</t>
        </is>
      </c>
      <c r="H24" t="n">
        <v>33</v>
      </c>
      <c r="I24" t="n">
        <v>24238</v>
      </c>
      <c r="J24" t="inlineStr">
        <is>
          <t>s</t>
        </is>
      </c>
      <c r="K24" t="inlineStr">
        <is>
          <t>s</t>
        </is>
      </c>
      <c r="L24" t="inlineStr">
        <is>
          <t>BS2C</t>
        </is>
      </c>
      <c r="M24" t="inlineStr">
        <is>
          <t>SAN_JUAN_LAP</t>
        </is>
      </c>
      <c r="N24" t="inlineStr">
        <is>
          <t>Edecsa</t>
        </is>
      </c>
      <c r="O24" t="inlineStr">
        <is>
          <t>2013/03-2</t>
        </is>
      </c>
      <c r="P24" t="inlineStr">
        <is>
          <t>EDECSA</t>
        </is>
      </c>
      <c r="Q24" t="n">
        <v>7</v>
      </c>
      <c r="R24" t="inlineStr">
        <is>
          <t>POLPAICO 220</t>
        </is>
      </c>
      <c r="S24" t="n">
        <v>0</v>
      </c>
      <c r="T24" t="n">
        <v>0</v>
      </c>
      <c r="W24" t="n">
        <v>79.116</v>
      </c>
    </row>
    <row r="25">
      <c r="A25" t="inlineStr">
        <is>
          <t>2021-12-01</t>
        </is>
      </c>
      <c r="B25" t="inlineStr">
        <is>
          <t>01-12-2021</t>
        </is>
      </c>
      <c r="C25" t="inlineStr">
        <is>
          <t>Licitación Eolica San Juan y Edecsa (SIC 2013/03-2) BS2C</t>
        </is>
      </c>
      <c r="D25" t="inlineStr">
        <is>
          <t>Energia Licitaciones</t>
        </is>
      </c>
      <c r="E25" t="inlineStr">
        <is>
          <t>Energía</t>
        </is>
      </c>
      <c r="F25" t="inlineStr">
        <is>
          <t>Lic. SIC 2013/03-2 bloques BS2C: Energía dic 2021</t>
        </is>
      </c>
      <c r="G25" t="inlineStr">
        <is>
          <t>2022-01-11 15:13:56</t>
        </is>
      </c>
      <c r="H25" t="n">
        <v>33</v>
      </c>
      <c r="I25" t="n">
        <v>24238</v>
      </c>
      <c r="J25" t="inlineStr">
        <is>
          <t>s</t>
        </is>
      </c>
      <c r="K25" t="inlineStr">
        <is>
          <t>s</t>
        </is>
      </c>
      <c r="L25" t="inlineStr">
        <is>
          <t>BS2C</t>
        </is>
      </c>
      <c r="M25" t="inlineStr">
        <is>
          <t>SAN_JUAN_LAP</t>
        </is>
      </c>
      <c r="N25" t="inlineStr">
        <is>
          <t>Edecsa</t>
        </is>
      </c>
      <c r="O25" t="inlineStr">
        <is>
          <t>2013/03-2</t>
        </is>
      </c>
      <c r="P25" t="inlineStr">
        <is>
          <t>EDECSA</t>
        </is>
      </c>
      <c r="Q25" t="n">
        <v>8</v>
      </c>
      <c r="R25" t="inlineStr">
        <is>
          <t>QUILLOTA 220</t>
        </is>
      </c>
      <c r="S25" t="n">
        <v>44.940843</v>
      </c>
      <c r="T25" t="n">
        <v>3610</v>
      </c>
      <c r="W25" t="n">
        <v>80.33499999999999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W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</t>
        </is>
      </c>
      <c r="B1" s="1" t="inlineStr">
        <is>
          <t>MesDevengado</t>
        </is>
      </c>
      <c r="C1" s="1" t="inlineStr">
        <is>
          <t>Nombre</t>
        </is>
      </c>
      <c r="D1" s="1" t="inlineStr">
        <is>
          <t>Concepto</t>
        </is>
      </c>
      <c r="E1" s="1" t="inlineStr">
        <is>
          <t>Agrupacion</t>
        </is>
      </c>
      <c r="F1" s="1" t="inlineStr">
        <is>
          <t>Glosa</t>
        </is>
      </c>
      <c r="G1" s="1" t="inlineStr">
        <is>
          <t>FechaCarga</t>
        </is>
      </c>
      <c r="H1" s="1" t="inlineStr">
        <is>
          <t>TipoDocumento</t>
        </is>
      </c>
      <c r="I1" s="1" t="inlineStr">
        <is>
          <t>Folio</t>
        </is>
      </c>
      <c r="J1" s="1" t="inlineStr">
        <is>
          <t>Vendedor</t>
        </is>
      </c>
      <c r="K1" s="1" t="inlineStr">
        <is>
          <t>Comprador</t>
        </is>
      </c>
      <c r="L1" s="1" t="inlineStr">
        <is>
          <t>Bloque</t>
        </is>
      </c>
      <c r="M1" s="1" t="inlineStr">
        <is>
          <t>Empresa</t>
        </is>
      </c>
      <c r="N1" s="1" t="inlineStr">
        <is>
          <t>ClaveEEDD</t>
        </is>
      </c>
      <c r="O1" s="1" t="inlineStr">
        <is>
          <t>Licitacion</t>
        </is>
      </c>
      <c r="P1" s="1" t="inlineStr">
        <is>
          <t>NomAgrupacion</t>
        </is>
      </c>
      <c r="Q1" s="1" t="inlineStr">
        <is>
          <t>Num</t>
        </is>
      </c>
      <c r="R1" s="1" t="inlineStr">
        <is>
          <t>Barra</t>
        </is>
      </c>
      <c r="S1" s="1" t="inlineStr">
        <is>
          <t>Energia</t>
        </is>
      </c>
      <c r="T1" s="1" t="inlineStr">
        <is>
          <t>MontoEnergia</t>
        </is>
      </c>
      <c r="U1" s="1" t="inlineStr">
        <is>
          <t>Potencia</t>
        </is>
      </c>
      <c r="V1" s="1" t="inlineStr">
        <is>
          <t>MontoPotencia</t>
        </is>
      </c>
      <c r="W1" s="1" t="inlineStr">
        <is>
          <t>Precio</t>
        </is>
      </c>
    </row>
    <row r="2">
      <c r="A2" t="inlineStr">
        <is>
          <t>2021-10-01</t>
        </is>
      </c>
      <c r="B2" t="inlineStr">
        <is>
          <t>01-10-2021</t>
        </is>
      </c>
      <c r="C2" t="inlineStr">
        <is>
          <t>Licitación Eolica San Juan y Edecsa (SIC 2013/03-2) BS2C</t>
        </is>
      </c>
      <c r="D2" t="inlineStr">
        <is>
          <t>Potencia Licitaciones</t>
        </is>
      </c>
      <c r="E2" t="inlineStr">
        <is>
          <t>Potencia</t>
        </is>
      </c>
      <c r="F2" t="inlineStr">
        <is>
          <t>Lic. SIC 2013/03-2 bloques BS2C: Potencia oct 2021</t>
        </is>
      </c>
      <c r="G2" t="inlineStr">
        <is>
          <t>2021-11-09 17:02:50</t>
        </is>
      </c>
      <c r="H2" t="n">
        <v>33</v>
      </c>
      <c r="I2" t="n">
        <v>23252</v>
      </c>
      <c r="J2" t="inlineStr">
        <is>
          <t>s</t>
        </is>
      </c>
      <c r="K2" t="inlineStr">
        <is>
          <t>s</t>
        </is>
      </c>
      <c r="L2" t="inlineStr">
        <is>
          <t>BS2C</t>
        </is>
      </c>
      <c r="M2" t="inlineStr">
        <is>
          <t>SAN_JUAN_LAP</t>
        </is>
      </c>
      <c r="N2" t="inlineStr">
        <is>
          <t>Edecsa</t>
        </is>
      </c>
      <c r="O2" t="inlineStr">
        <is>
          <t>2013/03-2</t>
        </is>
      </c>
      <c r="P2" t="inlineStr">
        <is>
          <t>EDECSA</t>
        </is>
      </c>
      <c r="Q2" t="n">
        <v>1</v>
      </c>
      <c r="R2" t="inlineStr">
        <is>
          <t>A.JAHUEL 220</t>
        </is>
      </c>
      <c r="U2" t="n">
        <v>0</v>
      </c>
      <c r="V2" t="n">
        <v>0</v>
      </c>
      <c r="W2" t="n">
        <v>5914.42</v>
      </c>
    </row>
    <row r="3">
      <c r="A3" t="inlineStr">
        <is>
          <t>2021-10-01</t>
        </is>
      </c>
      <c r="B3" t="inlineStr">
        <is>
          <t>01-10-2021</t>
        </is>
      </c>
      <c r="C3" t="inlineStr">
        <is>
          <t>Licitación Eolica San Juan y Edecsa (SIC 2013/03-2) BS2C</t>
        </is>
      </c>
      <c r="D3" t="inlineStr">
        <is>
          <t>Potencia Licitaciones</t>
        </is>
      </c>
      <c r="E3" t="inlineStr">
        <is>
          <t>Potencia</t>
        </is>
      </c>
      <c r="F3" t="inlineStr">
        <is>
          <t>Lic. SIC 2013/03-2 bloques BS2C: Potencia oct 2021</t>
        </is>
      </c>
      <c r="G3" t="inlineStr">
        <is>
          <t>2021-11-09 17:02:50</t>
        </is>
      </c>
      <c r="H3" t="n">
        <v>33</v>
      </c>
      <c r="I3" t="n">
        <v>23252</v>
      </c>
      <c r="J3" t="inlineStr">
        <is>
          <t>s</t>
        </is>
      </c>
      <c r="K3" t="inlineStr">
        <is>
          <t>s</t>
        </is>
      </c>
      <c r="L3" t="inlineStr">
        <is>
          <t>BS2C</t>
        </is>
      </c>
      <c r="M3" t="inlineStr">
        <is>
          <t>SAN_JUAN_LAP</t>
        </is>
      </c>
      <c r="N3" t="inlineStr">
        <is>
          <t>Edecsa</t>
        </is>
      </c>
      <c r="O3" t="inlineStr">
        <is>
          <t>2013/03-2</t>
        </is>
      </c>
      <c r="P3" t="inlineStr">
        <is>
          <t>EDECSA</t>
        </is>
      </c>
      <c r="Q3" t="n">
        <v>2</v>
      </c>
      <c r="R3" t="inlineStr">
        <is>
          <t>A.MELIP 220</t>
        </is>
      </c>
      <c r="U3" t="n">
        <v>1.829763</v>
      </c>
      <c r="V3" t="n">
        <v>10992</v>
      </c>
      <c r="W3" t="n">
        <v>6007.374</v>
      </c>
    </row>
    <row r="4">
      <c r="A4" t="inlineStr">
        <is>
          <t>2021-10-01</t>
        </is>
      </c>
      <c r="B4" t="inlineStr">
        <is>
          <t>01-10-2021</t>
        </is>
      </c>
      <c r="C4" t="inlineStr">
        <is>
          <t>Licitación Eolica San Juan y Edecsa (SIC 2013/03-2) BS2C</t>
        </is>
      </c>
      <c r="D4" t="inlineStr">
        <is>
          <t>Potencia Licitaciones</t>
        </is>
      </c>
      <c r="E4" t="inlineStr">
        <is>
          <t>Potencia</t>
        </is>
      </c>
      <c r="F4" t="inlineStr">
        <is>
          <t>Lic. SIC 2013/03-2 bloques BS2C: Potencia oct 2021</t>
        </is>
      </c>
      <c r="G4" t="inlineStr">
        <is>
          <t>2021-11-09 17:02:50</t>
        </is>
      </c>
      <c r="H4" t="n">
        <v>33</v>
      </c>
      <c r="I4" t="n">
        <v>23252</v>
      </c>
      <c r="J4" t="inlineStr">
        <is>
          <t>s</t>
        </is>
      </c>
      <c r="K4" t="inlineStr">
        <is>
          <t>s</t>
        </is>
      </c>
      <c r="L4" t="inlineStr">
        <is>
          <t>BS2C</t>
        </is>
      </c>
      <c r="M4" t="inlineStr">
        <is>
          <t>SAN_JUAN_LAP</t>
        </is>
      </c>
      <c r="N4" t="inlineStr">
        <is>
          <t>Edecsa</t>
        </is>
      </c>
      <c r="O4" t="inlineStr">
        <is>
          <t>2013/03-2</t>
        </is>
      </c>
      <c r="P4" t="inlineStr">
        <is>
          <t>EDECSA</t>
        </is>
      </c>
      <c r="Q4" t="n">
        <v>3</v>
      </c>
      <c r="R4" t="inlineStr">
        <is>
          <t>C.CHENA 220</t>
        </is>
      </c>
      <c r="U4" t="n">
        <v>0</v>
      </c>
      <c r="V4" t="n">
        <v>0</v>
      </c>
      <c r="W4" t="n">
        <v>6022.27</v>
      </c>
    </row>
    <row r="5">
      <c r="A5" t="inlineStr">
        <is>
          <t>2021-10-01</t>
        </is>
      </c>
      <c r="B5" t="inlineStr">
        <is>
          <t>01-10-2021</t>
        </is>
      </c>
      <c r="C5" t="inlineStr">
        <is>
          <t>Licitación Eolica San Juan y Edecsa (SIC 2013/03-2) BS2C</t>
        </is>
      </c>
      <c r="D5" t="inlineStr">
        <is>
          <t>Potencia Licitaciones</t>
        </is>
      </c>
      <c r="E5" t="inlineStr">
        <is>
          <t>Potencia</t>
        </is>
      </c>
      <c r="F5" t="inlineStr">
        <is>
          <t>Lic. SIC 2013/03-2 bloques BS2C: Potencia oct 2021</t>
        </is>
      </c>
      <c r="G5" t="inlineStr">
        <is>
          <t>2021-11-09 17:02:50</t>
        </is>
      </c>
      <c r="H5" t="n">
        <v>33</v>
      </c>
      <c r="I5" t="n">
        <v>23252</v>
      </c>
      <c r="J5" t="inlineStr">
        <is>
          <t>s</t>
        </is>
      </c>
      <c r="K5" t="inlineStr">
        <is>
          <t>s</t>
        </is>
      </c>
      <c r="L5" t="inlineStr">
        <is>
          <t>BS2C</t>
        </is>
      </c>
      <c r="M5" t="inlineStr">
        <is>
          <t>SAN_JUAN_LAP</t>
        </is>
      </c>
      <c r="N5" t="inlineStr">
        <is>
          <t>Edecsa</t>
        </is>
      </c>
      <c r="O5" t="inlineStr">
        <is>
          <t>2013/03-2</t>
        </is>
      </c>
      <c r="P5" t="inlineStr">
        <is>
          <t>EDECSA</t>
        </is>
      </c>
      <c r="Q5" t="n">
        <v>4</v>
      </c>
      <c r="R5" t="inlineStr">
        <is>
          <t>C.NAVIA 220</t>
        </is>
      </c>
      <c r="U5" t="n">
        <v>0</v>
      </c>
      <c r="V5" t="n">
        <v>0</v>
      </c>
      <c r="W5" t="n">
        <v>6021.08</v>
      </c>
    </row>
    <row r="6">
      <c r="A6" t="inlineStr">
        <is>
          <t>2021-10-01</t>
        </is>
      </c>
      <c r="B6" t="inlineStr">
        <is>
          <t>01-10-2021</t>
        </is>
      </c>
      <c r="C6" t="inlineStr">
        <is>
          <t>Licitación Eolica San Juan y Edecsa (SIC 2013/03-2) BS2C</t>
        </is>
      </c>
      <c r="D6" t="inlineStr">
        <is>
          <t>Potencia Licitaciones</t>
        </is>
      </c>
      <c r="E6" t="inlineStr">
        <is>
          <t>Potencia</t>
        </is>
      </c>
      <c r="F6" t="inlineStr">
        <is>
          <t>Lic. SIC 2013/03-2 bloques BS2C: Potencia oct 2021</t>
        </is>
      </c>
      <c r="G6" t="inlineStr">
        <is>
          <t>2021-11-09 17:02:50</t>
        </is>
      </c>
      <c r="H6" t="n">
        <v>33</v>
      </c>
      <c r="I6" t="n">
        <v>23252</v>
      </c>
      <c r="J6" t="inlineStr">
        <is>
          <t>s</t>
        </is>
      </c>
      <c r="K6" t="inlineStr">
        <is>
          <t>s</t>
        </is>
      </c>
      <c r="L6" t="inlineStr">
        <is>
          <t>BS2C</t>
        </is>
      </c>
      <c r="M6" t="inlineStr">
        <is>
          <t>SAN_JUAN_LAP</t>
        </is>
      </c>
      <c r="N6" t="inlineStr">
        <is>
          <t>Edecsa</t>
        </is>
      </c>
      <c r="O6" t="inlineStr">
        <is>
          <t>2013/03-2</t>
        </is>
      </c>
      <c r="P6" t="inlineStr">
        <is>
          <t>EDECSA</t>
        </is>
      </c>
      <c r="Q6" t="n">
        <v>5</v>
      </c>
      <c r="R6" t="inlineStr">
        <is>
          <t>L.MAQUIS 220</t>
        </is>
      </c>
      <c r="U6" t="n">
        <v>0.015232</v>
      </c>
      <c r="V6" t="n">
        <v>93</v>
      </c>
      <c r="W6" t="n">
        <v>6112.244</v>
      </c>
    </row>
    <row r="7">
      <c r="A7" t="inlineStr">
        <is>
          <t>2021-10-01</t>
        </is>
      </c>
      <c r="B7" t="inlineStr">
        <is>
          <t>01-10-2021</t>
        </is>
      </c>
      <c r="C7" t="inlineStr">
        <is>
          <t>Licitación Eolica San Juan y Edecsa (SIC 2013/03-2) BS2C</t>
        </is>
      </c>
      <c r="D7" t="inlineStr">
        <is>
          <t>Potencia Licitaciones</t>
        </is>
      </c>
      <c r="E7" t="inlineStr">
        <is>
          <t>Potencia</t>
        </is>
      </c>
      <c r="F7" t="inlineStr">
        <is>
          <t>Lic. SIC 2013/03-2 bloques BS2C: Potencia oct 2021</t>
        </is>
      </c>
      <c r="G7" t="inlineStr">
        <is>
          <t>2021-11-09 17:02:50</t>
        </is>
      </c>
      <c r="H7" t="n">
        <v>33</v>
      </c>
      <c r="I7" t="n">
        <v>23252</v>
      </c>
      <c r="J7" t="inlineStr">
        <is>
          <t>s</t>
        </is>
      </c>
      <c r="K7" t="inlineStr">
        <is>
          <t>s</t>
        </is>
      </c>
      <c r="L7" t="inlineStr">
        <is>
          <t>BS2C</t>
        </is>
      </c>
      <c r="M7" t="inlineStr">
        <is>
          <t>SAN_JUAN_LAP</t>
        </is>
      </c>
      <c r="N7" t="inlineStr">
        <is>
          <t>Edecsa</t>
        </is>
      </c>
      <c r="O7" t="inlineStr">
        <is>
          <t>2013/03-2</t>
        </is>
      </c>
      <c r="P7" t="inlineStr">
        <is>
          <t>EDECSA</t>
        </is>
      </c>
      <c r="Q7" t="n">
        <v>6</v>
      </c>
      <c r="R7" t="inlineStr">
        <is>
          <t>NOGALES 220</t>
        </is>
      </c>
      <c r="U7" t="n">
        <v>0.0634</v>
      </c>
      <c r="V7" t="n">
        <v>373</v>
      </c>
      <c r="W7" t="n">
        <v>5876.883</v>
      </c>
    </row>
    <row r="8">
      <c r="A8" t="inlineStr">
        <is>
          <t>2021-10-01</t>
        </is>
      </c>
      <c r="B8" t="inlineStr">
        <is>
          <t>01-10-2021</t>
        </is>
      </c>
      <c r="C8" t="inlineStr">
        <is>
          <t>Licitación Eolica San Juan y Edecsa (SIC 2013/03-2) BS2C</t>
        </is>
      </c>
      <c r="D8" t="inlineStr">
        <is>
          <t>Potencia Licitaciones</t>
        </is>
      </c>
      <c r="E8" t="inlineStr">
        <is>
          <t>Potencia</t>
        </is>
      </c>
      <c r="F8" t="inlineStr">
        <is>
          <t>Lic. SIC 2013/03-2 bloques BS2C: Potencia oct 2021</t>
        </is>
      </c>
      <c r="G8" t="inlineStr">
        <is>
          <t>2021-11-09 17:02:50</t>
        </is>
      </c>
      <c r="H8" t="n">
        <v>33</v>
      </c>
      <c r="I8" t="n">
        <v>23252</v>
      </c>
      <c r="J8" t="inlineStr">
        <is>
          <t>s</t>
        </is>
      </c>
      <c r="K8" t="inlineStr">
        <is>
          <t>s</t>
        </is>
      </c>
      <c r="L8" t="inlineStr">
        <is>
          <t>BS2C</t>
        </is>
      </c>
      <c r="M8" t="inlineStr">
        <is>
          <t>SAN_JUAN_LAP</t>
        </is>
      </c>
      <c r="N8" t="inlineStr">
        <is>
          <t>Edecsa</t>
        </is>
      </c>
      <c r="O8" t="inlineStr">
        <is>
          <t>2013/03-2</t>
        </is>
      </c>
      <c r="P8" t="inlineStr">
        <is>
          <t>EDECSA</t>
        </is>
      </c>
      <c r="Q8" t="n">
        <v>7</v>
      </c>
      <c r="R8" t="inlineStr">
        <is>
          <t>POLPAICO 220</t>
        </is>
      </c>
      <c r="U8" t="n">
        <v>0</v>
      </c>
      <c r="V8" t="n">
        <v>0</v>
      </c>
      <c r="W8" t="n">
        <v>5958.51</v>
      </c>
    </row>
    <row r="9">
      <c r="A9" t="inlineStr">
        <is>
          <t>2021-10-01</t>
        </is>
      </c>
      <c r="B9" t="inlineStr">
        <is>
          <t>01-10-2021</t>
        </is>
      </c>
      <c r="C9" t="inlineStr">
        <is>
          <t>Licitación Eolica San Juan y Edecsa (SIC 2013/03-2) BS2C</t>
        </is>
      </c>
      <c r="D9" t="inlineStr">
        <is>
          <t>Potencia Licitaciones</t>
        </is>
      </c>
      <c r="E9" t="inlineStr">
        <is>
          <t>Potencia</t>
        </is>
      </c>
      <c r="F9" t="inlineStr">
        <is>
          <t>Lic. SIC 2013/03-2 bloques BS2C: Potencia oct 2021</t>
        </is>
      </c>
      <c r="G9" t="inlineStr">
        <is>
          <t>2021-11-09 17:02:50</t>
        </is>
      </c>
      <c r="H9" t="n">
        <v>33</v>
      </c>
      <c r="I9" t="n">
        <v>23252</v>
      </c>
      <c r="J9" t="inlineStr">
        <is>
          <t>s</t>
        </is>
      </c>
      <c r="K9" t="inlineStr">
        <is>
          <t>s</t>
        </is>
      </c>
      <c r="L9" t="inlineStr">
        <is>
          <t>BS2C</t>
        </is>
      </c>
      <c r="M9" t="inlineStr">
        <is>
          <t>SAN_JUAN_LAP</t>
        </is>
      </c>
      <c r="N9" t="inlineStr">
        <is>
          <t>Edecsa</t>
        </is>
      </c>
      <c r="O9" t="inlineStr">
        <is>
          <t>2013/03-2</t>
        </is>
      </c>
      <c r="P9" t="inlineStr">
        <is>
          <t>EDECSA</t>
        </is>
      </c>
      <c r="Q9" t="n">
        <v>8</v>
      </c>
      <c r="R9" t="inlineStr">
        <is>
          <t>QUILLOTA 220</t>
        </is>
      </c>
      <c r="U9" t="n">
        <v>0.047345</v>
      </c>
      <c r="V9" t="n">
        <v>283</v>
      </c>
      <c r="W9" t="n">
        <v>5971.027</v>
      </c>
    </row>
    <row r="10">
      <c r="A10" t="inlineStr">
        <is>
          <t>2021-11-01</t>
        </is>
      </c>
      <c r="B10" t="inlineStr">
        <is>
          <t>01-11-2021</t>
        </is>
      </c>
      <c r="C10" t="inlineStr">
        <is>
          <t>Licitación Eolica San Juan y Edecsa (SIC 2013/03-2) BS2C</t>
        </is>
      </c>
      <c r="D10" t="inlineStr">
        <is>
          <t>Potencia Licitaciones</t>
        </is>
      </c>
      <c r="E10" t="inlineStr">
        <is>
          <t>Potencia</t>
        </is>
      </c>
      <c r="F10" t="inlineStr">
        <is>
          <t>Lic. SIC 2013/03-2 bloques BS2C: Potencia nov 2021</t>
        </is>
      </c>
      <c r="G10" t="inlineStr">
        <is>
          <t>2021-12-10 13:09:26</t>
        </is>
      </c>
      <c r="H10" t="n">
        <v>33</v>
      </c>
      <c r="I10" t="n">
        <v>23712</v>
      </c>
      <c r="J10" t="inlineStr">
        <is>
          <t>s</t>
        </is>
      </c>
      <c r="K10" t="inlineStr">
        <is>
          <t>s</t>
        </is>
      </c>
      <c r="L10" t="inlineStr">
        <is>
          <t>BS2C</t>
        </is>
      </c>
      <c r="M10" t="inlineStr">
        <is>
          <t>SAN_JUAN_LAP</t>
        </is>
      </c>
      <c r="N10" t="inlineStr">
        <is>
          <t>Edecsa</t>
        </is>
      </c>
      <c r="O10" t="inlineStr">
        <is>
          <t>2013/03-2</t>
        </is>
      </c>
      <c r="P10" t="inlineStr">
        <is>
          <t>EDECSA</t>
        </is>
      </c>
      <c r="Q10" t="n">
        <v>1</v>
      </c>
      <c r="R10" t="inlineStr">
        <is>
          <t>A.JAHUEL 220</t>
        </is>
      </c>
      <c r="U10" t="n">
        <v>0</v>
      </c>
      <c r="V10" t="n">
        <v>0</v>
      </c>
      <c r="W10" t="n">
        <v>5914.42</v>
      </c>
    </row>
    <row r="11">
      <c r="A11" t="inlineStr">
        <is>
          <t>2021-11-01</t>
        </is>
      </c>
      <c r="B11" t="inlineStr">
        <is>
          <t>01-11-2021</t>
        </is>
      </c>
      <c r="C11" t="inlineStr">
        <is>
          <t>Licitación Eolica San Juan y Edecsa (SIC 2013/03-2) BS2C</t>
        </is>
      </c>
      <c r="D11" t="inlineStr">
        <is>
          <t>Potencia Licitaciones</t>
        </is>
      </c>
      <c r="E11" t="inlineStr">
        <is>
          <t>Potencia</t>
        </is>
      </c>
      <c r="F11" t="inlineStr">
        <is>
          <t>Lic. SIC 2013/03-2 bloques BS2C: Potencia nov 2021</t>
        </is>
      </c>
      <c r="G11" t="inlineStr">
        <is>
          <t>2021-12-10 13:09:26</t>
        </is>
      </c>
      <c r="H11" t="n">
        <v>33</v>
      </c>
      <c r="I11" t="n">
        <v>23712</v>
      </c>
      <c r="J11" t="inlineStr">
        <is>
          <t>s</t>
        </is>
      </c>
      <c r="K11" t="inlineStr">
        <is>
          <t>s</t>
        </is>
      </c>
      <c r="L11" t="inlineStr">
        <is>
          <t>BS2C</t>
        </is>
      </c>
      <c r="M11" t="inlineStr">
        <is>
          <t>SAN_JUAN_LAP</t>
        </is>
      </c>
      <c r="N11" t="inlineStr">
        <is>
          <t>Edecsa</t>
        </is>
      </c>
      <c r="O11" t="inlineStr">
        <is>
          <t>2013/03-2</t>
        </is>
      </c>
      <c r="P11" t="inlineStr">
        <is>
          <t>EDECSA</t>
        </is>
      </c>
      <c r="Q11" t="n">
        <v>2</v>
      </c>
      <c r="R11" t="inlineStr">
        <is>
          <t>A.MELIP 220</t>
        </is>
      </c>
      <c r="U11" t="n">
        <v>1.8716</v>
      </c>
      <c r="V11" t="n">
        <v>11243</v>
      </c>
      <c r="W11" t="n">
        <v>6007.374</v>
      </c>
    </row>
    <row r="12">
      <c r="A12" t="inlineStr">
        <is>
          <t>2021-11-01</t>
        </is>
      </c>
      <c r="B12" t="inlineStr">
        <is>
          <t>01-11-2021</t>
        </is>
      </c>
      <c r="C12" t="inlineStr">
        <is>
          <t>Licitación Eolica San Juan y Edecsa (SIC 2013/03-2) BS2C</t>
        </is>
      </c>
      <c r="D12" t="inlineStr">
        <is>
          <t>Potencia Licitaciones</t>
        </is>
      </c>
      <c r="E12" t="inlineStr">
        <is>
          <t>Potencia</t>
        </is>
      </c>
      <c r="F12" t="inlineStr">
        <is>
          <t>Lic. SIC 2013/03-2 bloques BS2C: Potencia nov 2021</t>
        </is>
      </c>
      <c r="G12" t="inlineStr">
        <is>
          <t>2021-12-10 13:09:26</t>
        </is>
      </c>
      <c r="H12" t="n">
        <v>33</v>
      </c>
      <c r="I12" t="n">
        <v>23712</v>
      </c>
      <c r="J12" t="inlineStr">
        <is>
          <t>s</t>
        </is>
      </c>
      <c r="K12" t="inlineStr">
        <is>
          <t>s</t>
        </is>
      </c>
      <c r="L12" t="inlineStr">
        <is>
          <t>BS2C</t>
        </is>
      </c>
      <c r="M12" t="inlineStr">
        <is>
          <t>SAN_JUAN_LAP</t>
        </is>
      </c>
      <c r="N12" t="inlineStr">
        <is>
          <t>Edecsa</t>
        </is>
      </c>
      <c r="O12" t="inlineStr">
        <is>
          <t>2013/03-2</t>
        </is>
      </c>
      <c r="P12" t="inlineStr">
        <is>
          <t>EDECSA</t>
        </is>
      </c>
      <c r="Q12" t="n">
        <v>3</v>
      </c>
      <c r="R12" t="inlineStr">
        <is>
          <t>C.CHENA 220</t>
        </is>
      </c>
      <c r="U12" t="n">
        <v>0</v>
      </c>
      <c r="V12" t="n">
        <v>0</v>
      </c>
      <c r="W12" t="n">
        <v>6022.27</v>
      </c>
    </row>
    <row r="13">
      <c r="A13" t="inlineStr">
        <is>
          <t>2021-11-01</t>
        </is>
      </c>
      <c r="B13" t="inlineStr">
        <is>
          <t>01-11-2021</t>
        </is>
      </c>
      <c r="C13" t="inlineStr">
        <is>
          <t>Licitación Eolica San Juan y Edecsa (SIC 2013/03-2) BS2C</t>
        </is>
      </c>
      <c r="D13" t="inlineStr">
        <is>
          <t>Potencia Licitaciones</t>
        </is>
      </c>
      <c r="E13" t="inlineStr">
        <is>
          <t>Potencia</t>
        </is>
      </c>
      <c r="F13" t="inlineStr">
        <is>
          <t>Lic. SIC 2013/03-2 bloques BS2C: Potencia nov 2021</t>
        </is>
      </c>
      <c r="G13" t="inlineStr">
        <is>
          <t>2021-12-10 13:09:26</t>
        </is>
      </c>
      <c r="H13" t="n">
        <v>33</v>
      </c>
      <c r="I13" t="n">
        <v>23712</v>
      </c>
      <c r="J13" t="inlineStr">
        <is>
          <t>s</t>
        </is>
      </c>
      <c r="K13" t="inlineStr">
        <is>
          <t>s</t>
        </is>
      </c>
      <c r="L13" t="inlineStr">
        <is>
          <t>BS2C</t>
        </is>
      </c>
      <c r="M13" t="inlineStr">
        <is>
          <t>SAN_JUAN_LAP</t>
        </is>
      </c>
      <c r="N13" t="inlineStr">
        <is>
          <t>Edecsa</t>
        </is>
      </c>
      <c r="O13" t="inlineStr">
        <is>
          <t>2013/03-2</t>
        </is>
      </c>
      <c r="P13" t="inlineStr">
        <is>
          <t>EDECSA</t>
        </is>
      </c>
      <c r="Q13" t="n">
        <v>4</v>
      </c>
      <c r="R13" t="inlineStr">
        <is>
          <t>C.NAVIA 220</t>
        </is>
      </c>
      <c r="U13" t="n">
        <v>0</v>
      </c>
      <c r="V13" t="n">
        <v>0</v>
      </c>
      <c r="W13" t="n">
        <v>6021.08</v>
      </c>
    </row>
    <row r="14">
      <c r="A14" t="inlineStr">
        <is>
          <t>2021-11-01</t>
        </is>
      </c>
      <c r="B14" t="inlineStr">
        <is>
          <t>01-11-2021</t>
        </is>
      </c>
      <c r="C14" t="inlineStr">
        <is>
          <t>Licitación Eolica San Juan y Edecsa (SIC 2013/03-2) BS2C</t>
        </is>
      </c>
      <c r="D14" t="inlineStr">
        <is>
          <t>Potencia Licitaciones</t>
        </is>
      </c>
      <c r="E14" t="inlineStr">
        <is>
          <t>Potencia</t>
        </is>
      </c>
      <c r="F14" t="inlineStr">
        <is>
          <t>Lic. SIC 2013/03-2 bloques BS2C: Potencia nov 2021</t>
        </is>
      </c>
      <c r="G14" t="inlineStr">
        <is>
          <t>2021-12-10 13:09:26</t>
        </is>
      </c>
      <c r="H14" t="n">
        <v>33</v>
      </c>
      <c r="I14" t="n">
        <v>23712</v>
      </c>
      <c r="J14" t="inlineStr">
        <is>
          <t>s</t>
        </is>
      </c>
      <c r="K14" t="inlineStr">
        <is>
          <t>s</t>
        </is>
      </c>
      <c r="L14" t="inlineStr">
        <is>
          <t>BS2C</t>
        </is>
      </c>
      <c r="M14" t="inlineStr">
        <is>
          <t>SAN_JUAN_LAP</t>
        </is>
      </c>
      <c r="N14" t="inlineStr">
        <is>
          <t>Edecsa</t>
        </is>
      </c>
      <c r="O14" t="inlineStr">
        <is>
          <t>2013/03-2</t>
        </is>
      </c>
      <c r="P14" t="inlineStr">
        <is>
          <t>EDECSA</t>
        </is>
      </c>
      <c r="Q14" t="n">
        <v>5</v>
      </c>
      <c r="R14" t="inlineStr">
        <is>
          <t>L.MAQUIS 220</t>
        </is>
      </c>
      <c r="U14" t="n">
        <v>0.015489</v>
      </c>
      <c r="V14" t="n">
        <v>95</v>
      </c>
      <c r="W14" t="n">
        <v>6112.244</v>
      </c>
    </row>
    <row r="15">
      <c r="A15" t="inlineStr">
        <is>
          <t>2021-11-01</t>
        </is>
      </c>
      <c r="B15" t="inlineStr">
        <is>
          <t>01-11-2021</t>
        </is>
      </c>
      <c r="C15" t="inlineStr">
        <is>
          <t>Licitación Eolica San Juan y Edecsa (SIC 2013/03-2) BS2C</t>
        </is>
      </c>
      <c r="D15" t="inlineStr">
        <is>
          <t>Potencia Licitaciones</t>
        </is>
      </c>
      <c r="E15" t="inlineStr">
        <is>
          <t>Potencia</t>
        </is>
      </c>
      <c r="F15" t="inlineStr">
        <is>
          <t>Lic. SIC 2013/03-2 bloques BS2C: Potencia nov 2021</t>
        </is>
      </c>
      <c r="G15" t="inlineStr">
        <is>
          <t>2021-12-10 13:09:26</t>
        </is>
      </c>
      <c r="H15" t="n">
        <v>33</v>
      </c>
      <c r="I15" t="n">
        <v>23712</v>
      </c>
      <c r="J15" t="inlineStr">
        <is>
          <t>s</t>
        </is>
      </c>
      <c r="K15" t="inlineStr">
        <is>
          <t>s</t>
        </is>
      </c>
      <c r="L15" t="inlineStr">
        <is>
          <t>BS2C</t>
        </is>
      </c>
      <c r="M15" t="inlineStr">
        <is>
          <t>SAN_JUAN_LAP</t>
        </is>
      </c>
      <c r="N15" t="inlineStr">
        <is>
          <t>Edecsa</t>
        </is>
      </c>
      <c r="O15" t="inlineStr">
        <is>
          <t>2013/03-2</t>
        </is>
      </c>
      <c r="P15" t="inlineStr">
        <is>
          <t>EDECSA</t>
        </is>
      </c>
      <c r="Q15" t="n">
        <v>6</v>
      </c>
      <c r="R15" t="inlineStr">
        <is>
          <t>NOGALES 220</t>
        </is>
      </c>
      <c r="U15" t="n">
        <v>0.06471399999999999</v>
      </c>
      <c r="V15" t="n">
        <v>380</v>
      </c>
      <c r="W15" t="n">
        <v>5876.883</v>
      </c>
    </row>
    <row r="16">
      <c r="A16" t="inlineStr">
        <is>
          <t>2021-11-01</t>
        </is>
      </c>
      <c r="B16" t="inlineStr">
        <is>
          <t>01-11-2021</t>
        </is>
      </c>
      <c r="C16" t="inlineStr">
        <is>
          <t>Licitación Eolica San Juan y Edecsa (SIC 2013/03-2) BS2C</t>
        </is>
      </c>
      <c r="D16" t="inlineStr">
        <is>
          <t>Potencia Licitaciones</t>
        </is>
      </c>
      <c r="E16" t="inlineStr">
        <is>
          <t>Potencia</t>
        </is>
      </c>
      <c r="F16" t="inlineStr">
        <is>
          <t>Lic. SIC 2013/03-2 bloques BS2C: Potencia nov 2021</t>
        </is>
      </c>
      <c r="G16" t="inlineStr">
        <is>
          <t>2021-12-10 13:09:26</t>
        </is>
      </c>
      <c r="H16" t="n">
        <v>33</v>
      </c>
      <c r="I16" t="n">
        <v>23712</v>
      </c>
      <c r="J16" t="inlineStr">
        <is>
          <t>s</t>
        </is>
      </c>
      <c r="K16" t="inlineStr">
        <is>
          <t>s</t>
        </is>
      </c>
      <c r="L16" t="inlineStr">
        <is>
          <t>BS2C</t>
        </is>
      </c>
      <c r="M16" t="inlineStr">
        <is>
          <t>SAN_JUAN_LAP</t>
        </is>
      </c>
      <c r="N16" t="inlineStr">
        <is>
          <t>Edecsa</t>
        </is>
      </c>
      <c r="O16" t="inlineStr">
        <is>
          <t>2013/03-2</t>
        </is>
      </c>
      <c r="P16" t="inlineStr">
        <is>
          <t>EDECSA</t>
        </is>
      </c>
      <c r="Q16" t="n">
        <v>7</v>
      </c>
      <c r="R16" t="inlineStr">
        <is>
          <t>POLPAICO 220</t>
        </is>
      </c>
      <c r="U16" t="n">
        <v>0</v>
      </c>
      <c r="V16" t="n">
        <v>0</v>
      </c>
      <c r="W16" t="n">
        <v>5958.51</v>
      </c>
    </row>
    <row r="17">
      <c r="A17" t="inlineStr">
        <is>
          <t>2021-11-01</t>
        </is>
      </c>
      <c r="B17" t="inlineStr">
        <is>
          <t>01-11-2021</t>
        </is>
      </c>
      <c r="C17" t="inlineStr">
        <is>
          <t>Licitación Eolica San Juan y Edecsa (SIC 2013/03-2) BS2C</t>
        </is>
      </c>
      <c r="D17" t="inlineStr">
        <is>
          <t>Potencia Licitaciones</t>
        </is>
      </c>
      <c r="E17" t="inlineStr">
        <is>
          <t>Potencia</t>
        </is>
      </c>
      <c r="F17" t="inlineStr">
        <is>
          <t>Lic. SIC 2013/03-2 bloques BS2C: Potencia nov 2021</t>
        </is>
      </c>
      <c r="G17" t="inlineStr">
        <is>
          <t>2021-12-10 13:09:26</t>
        </is>
      </c>
      <c r="H17" t="n">
        <v>33</v>
      </c>
      <c r="I17" t="n">
        <v>23712</v>
      </c>
      <c r="J17" t="inlineStr">
        <is>
          <t>s</t>
        </is>
      </c>
      <c r="K17" t="inlineStr">
        <is>
          <t>s</t>
        </is>
      </c>
      <c r="L17" t="inlineStr">
        <is>
          <t>BS2C</t>
        </is>
      </c>
      <c r="M17" t="inlineStr">
        <is>
          <t>SAN_JUAN_LAP</t>
        </is>
      </c>
      <c r="N17" t="inlineStr">
        <is>
          <t>Edecsa</t>
        </is>
      </c>
      <c r="O17" t="inlineStr">
        <is>
          <t>2013/03-2</t>
        </is>
      </c>
      <c r="P17" t="inlineStr">
        <is>
          <t>EDECSA</t>
        </is>
      </c>
      <c r="Q17" t="n">
        <v>8</v>
      </c>
      <c r="R17" t="inlineStr">
        <is>
          <t>QUILLOTA 220</t>
        </is>
      </c>
      <c r="U17" t="n">
        <v>0.048329</v>
      </c>
      <c r="V17" t="n">
        <v>289</v>
      </c>
      <c r="W17" t="n">
        <v>5971.027</v>
      </c>
    </row>
    <row r="18">
      <c r="A18" t="inlineStr">
        <is>
          <t>2021-12-01</t>
        </is>
      </c>
      <c r="B18" t="inlineStr">
        <is>
          <t>01-12-2021</t>
        </is>
      </c>
      <c r="C18" t="inlineStr">
        <is>
          <t>Licitación Eolica San Juan y Edecsa (SIC 2013/03-2) BS2C</t>
        </is>
      </c>
      <c r="D18" t="inlineStr">
        <is>
          <t>Potencia Licitaciones</t>
        </is>
      </c>
      <c r="E18" t="inlineStr">
        <is>
          <t>Potencia</t>
        </is>
      </c>
      <c r="F18" t="inlineStr">
        <is>
          <t>Lic. SIC 2013/03-2 bloques BS2C: Potencia dic 2021</t>
        </is>
      </c>
      <c r="G18" t="inlineStr">
        <is>
          <t>2022-01-11 15:13:56</t>
        </is>
      </c>
      <c r="H18" t="n">
        <v>33</v>
      </c>
      <c r="I18" t="n">
        <v>24238</v>
      </c>
      <c r="J18" t="inlineStr">
        <is>
          <t>s</t>
        </is>
      </c>
      <c r="K18" t="inlineStr">
        <is>
          <t>s</t>
        </is>
      </c>
      <c r="L18" t="inlineStr">
        <is>
          <t>BS2C</t>
        </is>
      </c>
      <c r="M18" t="inlineStr">
        <is>
          <t>SAN_JUAN_LAP</t>
        </is>
      </c>
      <c r="N18" t="inlineStr">
        <is>
          <t>Edecsa</t>
        </is>
      </c>
      <c r="O18" t="inlineStr">
        <is>
          <t>2013/03-2</t>
        </is>
      </c>
      <c r="P18" t="inlineStr">
        <is>
          <t>EDECSA</t>
        </is>
      </c>
      <c r="Q18" t="n">
        <v>1</v>
      </c>
      <c r="R18" t="inlineStr">
        <is>
          <t>A.JAHUEL 220</t>
        </is>
      </c>
      <c r="U18" t="n">
        <v>0</v>
      </c>
      <c r="V18" t="n">
        <v>0</v>
      </c>
      <c r="W18" t="n">
        <v>5914.42</v>
      </c>
    </row>
    <row r="19">
      <c r="A19" t="inlineStr">
        <is>
          <t>2021-12-01</t>
        </is>
      </c>
      <c r="B19" t="inlineStr">
        <is>
          <t>01-12-2021</t>
        </is>
      </c>
      <c r="C19" t="inlineStr">
        <is>
          <t>Licitación Eolica San Juan y Edecsa (SIC 2013/03-2) BS2C</t>
        </is>
      </c>
      <c r="D19" t="inlineStr">
        <is>
          <t>Potencia Licitaciones</t>
        </is>
      </c>
      <c r="E19" t="inlineStr">
        <is>
          <t>Potencia</t>
        </is>
      </c>
      <c r="F19" t="inlineStr">
        <is>
          <t>Lic. SIC 2013/03-2 bloques BS2C: Potencia dic 2021</t>
        </is>
      </c>
      <c r="G19" t="inlineStr">
        <is>
          <t>2022-01-11 15:13:56</t>
        </is>
      </c>
      <c r="H19" t="n">
        <v>33</v>
      </c>
      <c r="I19" t="n">
        <v>24238</v>
      </c>
      <c r="J19" t="inlineStr">
        <is>
          <t>s</t>
        </is>
      </c>
      <c r="K19" t="inlineStr">
        <is>
          <t>s</t>
        </is>
      </c>
      <c r="L19" t="inlineStr">
        <is>
          <t>BS2C</t>
        </is>
      </c>
      <c r="M19" t="inlineStr">
        <is>
          <t>SAN_JUAN_LAP</t>
        </is>
      </c>
      <c r="N19" t="inlineStr">
        <is>
          <t>Edecsa</t>
        </is>
      </c>
      <c r="O19" t="inlineStr">
        <is>
          <t>2013/03-2</t>
        </is>
      </c>
      <c r="P19" t="inlineStr">
        <is>
          <t>EDECSA</t>
        </is>
      </c>
      <c r="Q19" t="n">
        <v>2</v>
      </c>
      <c r="R19" t="inlineStr">
        <is>
          <t>A.MELIP 220</t>
        </is>
      </c>
      <c r="U19" t="n">
        <v>1.877248</v>
      </c>
      <c r="V19" t="n">
        <v>11277</v>
      </c>
      <c r="W19" t="n">
        <v>6007.374</v>
      </c>
    </row>
    <row r="20">
      <c r="A20" t="inlineStr">
        <is>
          <t>2021-12-01</t>
        </is>
      </c>
      <c r="B20" t="inlineStr">
        <is>
          <t>01-12-2021</t>
        </is>
      </c>
      <c r="C20" t="inlineStr">
        <is>
          <t>Licitación Eolica San Juan y Edecsa (SIC 2013/03-2) BS2C</t>
        </is>
      </c>
      <c r="D20" t="inlineStr">
        <is>
          <t>Potencia Licitaciones</t>
        </is>
      </c>
      <c r="E20" t="inlineStr">
        <is>
          <t>Potencia</t>
        </is>
      </c>
      <c r="F20" t="inlineStr">
        <is>
          <t>Lic. SIC 2013/03-2 bloques BS2C: Potencia dic 2021</t>
        </is>
      </c>
      <c r="G20" t="inlineStr">
        <is>
          <t>2022-01-11 15:13:56</t>
        </is>
      </c>
      <c r="H20" t="n">
        <v>33</v>
      </c>
      <c r="I20" t="n">
        <v>24238</v>
      </c>
      <c r="J20" t="inlineStr">
        <is>
          <t>s</t>
        </is>
      </c>
      <c r="K20" t="inlineStr">
        <is>
          <t>s</t>
        </is>
      </c>
      <c r="L20" t="inlineStr">
        <is>
          <t>BS2C</t>
        </is>
      </c>
      <c r="M20" t="inlineStr">
        <is>
          <t>SAN_JUAN_LAP</t>
        </is>
      </c>
      <c r="N20" t="inlineStr">
        <is>
          <t>Edecsa</t>
        </is>
      </c>
      <c r="O20" t="inlineStr">
        <is>
          <t>2013/03-2</t>
        </is>
      </c>
      <c r="P20" t="inlineStr">
        <is>
          <t>EDECSA</t>
        </is>
      </c>
      <c r="Q20" t="n">
        <v>3</v>
      </c>
      <c r="R20" t="inlineStr">
        <is>
          <t>C.CHENA 220</t>
        </is>
      </c>
      <c r="U20" t="n">
        <v>0</v>
      </c>
      <c r="V20" t="n">
        <v>0</v>
      </c>
      <c r="W20" t="n">
        <v>6022.27</v>
      </c>
    </row>
    <row r="21">
      <c r="A21" t="inlineStr">
        <is>
          <t>2021-12-01</t>
        </is>
      </c>
      <c r="B21" t="inlineStr">
        <is>
          <t>01-12-2021</t>
        </is>
      </c>
      <c r="C21" t="inlineStr">
        <is>
          <t>Licitación Eolica San Juan y Edecsa (SIC 2013/03-2) BS2C</t>
        </is>
      </c>
      <c r="D21" t="inlineStr">
        <is>
          <t>Potencia Licitaciones</t>
        </is>
      </c>
      <c r="E21" t="inlineStr">
        <is>
          <t>Potencia</t>
        </is>
      </c>
      <c r="F21" t="inlineStr">
        <is>
          <t>Lic. SIC 2013/03-2 bloques BS2C: Potencia dic 2021</t>
        </is>
      </c>
      <c r="G21" t="inlineStr">
        <is>
          <t>2022-01-11 15:13:56</t>
        </is>
      </c>
      <c r="H21" t="n">
        <v>33</v>
      </c>
      <c r="I21" t="n">
        <v>24238</v>
      </c>
      <c r="J21" t="inlineStr">
        <is>
          <t>s</t>
        </is>
      </c>
      <c r="K21" t="inlineStr">
        <is>
          <t>s</t>
        </is>
      </c>
      <c r="L21" t="inlineStr">
        <is>
          <t>BS2C</t>
        </is>
      </c>
      <c r="M21" t="inlineStr">
        <is>
          <t>SAN_JUAN_LAP</t>
        </is>
      </c>
      <c r="N21" t="inlineStr">
        <is>
          <t>Edecsa</t>
        </is>
      </c>
      <c r="O21" t="inlineStr">
        <is>
          <t>2013/03-2</t>
        </is>
      </c>
      <c r="P21" t="inlineStr">
        <is>
          <t>EDECSA</t>
        </is>
      </c>
      <c r="Q21" t="n">
        <v>4</v>
      </c>
      <c r="R21" t="inlineStr">
        <is>
          <t>C.NAVIA 220</t>
        </is>
      </c>
      <c r="U21" t="n">
        <v>0</v>
      </c>
      <c r="V21" t="n">
        <v>0</v>
      </c>
      <c r="W21" t="n">
        <v>6021.08</v>
      </c>
    </row>
    <row r="22">
      <c r="A22" t="inlineStr">
        <is>
          <t>2021-12-01</t>
        </is>
      </c>
      <c r="B22" t="inlineStr">
        <is>
          <t>01-12-2021</t>
        </is>
      </c>
      <c r="C22" t="inlineStr">
        <is>
          <t>Licitación Eolica San Juan y Edecsa (SIC 2013/03-2) BS2C</t>
        </is>
      </c>
      <c r="D22" t="inlineStr">
        <is>
          <t>Potencia Licitaciones</t>
        </is>
      </c>
      <c r="E22" t="inlineStr">
        <is>
          <t>Potencia</t>
        </is>
      </c>
      <c r="F22" t="inlineStr">
        <is>
          <t>Lic. SIC 2013/03-2 bloques BS2C: Potencia dic 2021</t>
        </is>
      </c>
      <c r="G22" t="inlineStr">
        <is>
          <t>2022-01-11 15:13:56</t>
        </is>
      </c>
      <c r="H22" t="n">
        <v>33</v>
      </c>
      <c r="I22" t="n">
        <v>24238</v>
      </c>
      <c r="J22" t="inlineStr">
        <is>
          <t>s</t>
        </is>
      </c>
      <c r="K22" t="inlineStr">
        <is>
          <t>s</t>
        </is>
      </c>
      <c r="L22" t="inlineStr">
        <is>
          <t>BS2C</t>
        </is>
      </c>
      <c r="M22" t="inlineStr">
        <is>
          <t>SAN_JUAN_LAP</t>
        </is>
      </c>
      <c r="N22" t="inlineStr">
        <is>
          <t>Edecsa</t>
        </is>
      </c>
      <c r="O22" t="inlineStr">
        <is>
          <t>2013/03-2</t>
        </is>
      </c>
      <c r="P22" t="inlineStr">
        <is>
          <t>EDECSA</t>
        </is>
      </c>
      <c r="Q22" t="n">
        <v>5</v>
      </c>
      <c r="R22" t="inlineStr">
        <is>
          <t>L.MAQUIS 220</t>
        </is>
      </c>
      <c r="U22" t="n">
        <v>0.015516</v>
      </c>
      <c r="V22" t="n">
        <v>95</v>
      </c>
      <c r="W22" t="n">
        <v>6112.244</v>
      </c>
    </row>
    <row r="23">
      <c r="A23" t="inlineStr">
        <is>
          <t>2021-12-01</t>
        </is>
      </c>
      <c r="B23" t="inlineStr">
        <is>
          <t>01-12-2021</t>
        </is>
      </c>
      <c r="C23" t="inlineStr">
        <is>
          <t>Licitación Eolica San Juan y Edecsa (SIC 2013/03-2) BS2C</t>
        </is>
      </c>
      <c r="D23" t="inlineStr">
        <is>
          <t>Potencia Licitaciones</t>
        </is>
      </c>
      <c r="E23" t="inlineStr">
        <is>
          <t>Potencia</t>
        </is>
      </c>
      <c r="F23" t="inlineStr">
        <is>
          <t>Lic. SIC 2013/03-2 bloques BS2C: Potencia dic 2021</t>
        </is>
      </c>
      <c r="G23" t="inlineStr">
        <is>
          <t>2022-01-11 15:13:56</t>
        </is>
      </c>
      <c r="H23" t="n">
        <v>33</v>
      </c>
      <c r="I23" t="n">
        <v>24238</v>
      </c>
      <c r="J23" t="inlineStr">
        <is>
          <t>s</t>
        </is>
      </c>
      <c r="K23" t="inlineStr">
        <is>
          <t>s</t>
        </is>
      </c>
      <c r="L23" t="inlineStr">
        <is>
          <t>BS2C</t>
        </is>
      </c>
      <c r="M23" t="inlineStr">
        <is>
          <t>SAN_JUAN_LAP</t>
        </is>
      </c>
      <c r="N23" t="inlineStr">
        <is>
          <t>Edecsa</t>
        </is>
      </c>
      <c r="O23" t="inlineStr">
        <is>
          <t>2013/03-2</t>
        </is>
      </c>
      <c r="P23" t="inlineStr">
        <is>
          <t>EDECSA</t>
        </is>
      </c>
      <c r="Q23" t="n">
        <v>6</v>
      </c>
      <c r="R23" t="inlineStr">
        <is>
          <t>NOGALES 220</t>
        </is>
      </c>
      <c r="U23" t="n">
        <v>0.064898</v>
      </c>
      <c r="V23" t="n">
        <v>381</v>
      </c>
      <c r="W23" t="n">
        <v>5876.883</v>
      </c>
    </row>
    <row r="24">
      <c r="A24" t="inlineStr">
        <is>
          <t>2021-12-01</t>
        </is>
      </c>
      <c r="B24" t="inlineStr">
        <is>
          <t>01-12-2021</t>
        </is>
      </c>
      <c r="C24" t="inlineStr">
        <is>
          <t>Licitación Eolica San Juan y Edecsa (SIC 2013/03-2) BS2C</t>
        </is>
      </c>
      <c r="D24" t="inlineStr">
        <is>
          <t>Potencia Licitaciones</t>
        </is>
      </c>
      <c r="E24" t="inlineStr">
        <is>
          <t>Potencia</t>
        </is>
      </c>
      <c r="F24" t="inlineStr">
        <is>
          <t>Lic. SIC 2013/03-2 bloques BS2C: Potencia dic 2021</t>
        </is>
      </c>
      <c r="G24" t="inlineStr">
        <is>
          <t>2022-01-11 15:13:56</t>
        </is>
      </c>
      <c r="H24" t="n">
        <v>33</v>
      </c>
      <c r="I24" t="n">
        <v>24238</v>
      </c>
      <c r="J24" t="inlineStr">
        <is>
          <t>s</t>
        </is>
      </c>
      <c r="K24" t="inlineStr">
        <is>
          <t>s</t>
        </is>
      </c>
      <c r="L24" t="inlineStr">
        <is>
          <t>BS2C</t>
        </is>
      </c>
      <c r="M24" t="inlineStr">
        <is>
          <t>SAN_JUAN_LAP</t>
        </is>
      </c>
      <c r="N24" t="inlineStr">
        <is>
          <t>Edecsa</t>
        </is>
      </c>
      <c r="O24" t="inlineStr">
        <is>
          <t>2013/03-2</t>
        </is>
      </c>
      <c r="P24" t="inlineStr">
        <is>
          <t>EDECSA</t>
        </is>
      </c>
      <c r="Q24" t="n">
        <v>7</v>
      </c>
      <c r="R24" t="inlineStr">
        <is>
          <t>POLPAICO 220</t>
        </is>
      </c>
      <c r="U24" t="n">
        <v>0</v>
      </c>
      <c r="V24" t="n">
        <v>0</v>
      </c>
      <c r="W24" t="n">
        <v>5958.51</v>
      </c>
    </row>
    <row r="25">
      <c r="A25" t="inlineStr">
        <is>
          <t>2021-12-01</t>
        </is>
      </c>
      <c r="B25" t="inlineStr">
        <is>
          <t>01-12-2021</t>
        </is>
      </c>
      <c r="C25" t="inlineStr">
        <is>
          <t>Licitación Eolica San Juan y Edecsa (SIC 2013/03-2) BS2C</t>
        </is>
      </c>
      <c r="D25" t="inlineStr">
        <is>
          <t>Potencia Licitaciones</t>
        </is>
      </c>
      <c r="E25" t="inlineStr">
        <is>
          <t>Potencia</t>
        </is>
      </c>
      <c r="F25" t="inlineStr">
        <is>
          <t>Lic. SIC 2013/03-2 bloques BS2C: Potencia dic 2021</t>
        </is>
      </c>
      <c r="G25" t="inlineStr">
        <is>
          <t>2022-01-11 15:13:56</t>
        </is>
      </c>
      <c r="H25" t="n">
        <v>33</v>
      </c>
      <c r="I25" t="n">
        <v>24238</v>
      </c>
      <c r="J25" t="inlineStr">
        <is>
          <t>s</t>
        </is>
      </c>
      <c r="K25" t="inlineStr">
        <is>
          <t>s</t>
        </is>
      </c>
      <c r="L25" t="inlineStr">
        <is>
          <t>BS2C</t>
        </is>
      </c>
      <c r="M25" t="inlineStr">
        <is>
          <t>SAN_JUAN_LAP</t>
        </is>
      </c>
      <c r="N25" t="inlineStr">
        <is>
          <t>Edecsa</t>
        </is>
      </c>
      <c r="O25" t="inlineStr">
        <is>
          <t>2013/03-2</t>
        </is>
      </c>
      <c r="P25" t="inlineStr">
        <is>
          <t>EDECSA</t>
        </is>
      </c>
      <c r="Q25" t="n">
        <v>8</v>
      </c>
      <c r="R25" t="inlineStr">
        <is>
          <t>QUILLOTA 220</t>
        </is>
      </c>
      <c r="U25" t="n">
        <v>0.048467</v>
      </c>
      <c r="V25" t="n">
        <v>289</v>
      </c>
      <c r="W25" t="n">
        <v>5971.027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D4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TotalEnergiaAjustado</t>
        </is>
      </c>
      <c r="U1" s="1" t="inlineStr">
        <is>
          <t>Potencia</t>
        </is>
      </c>
      <c r="V1" s="1" t="inlineStr">
        <is>
          <t>TotalPotenciaAjustado</t>
        </is>
      </c>
      <c r="W1" s="1" t="inlineStr">
        <is>
          <t>EmpresaDistribuidora</t>
        </is>
      </c>
      <c r="X1" s="1" t="inlineStr">
        <is>
          <t>PrecioEnergia</t>
        </is>
      </c>
      <c r="Y1" s="1" t="inlineStr">
        <is>
          <t>PrecioEnergiaAjustado</t>
        </is>
      </c>
      <c r="Z1" s="1" t="inlineStr">
        <is>
          <t>TotalEnergia</t>
        </is>
      </c>
      <c r="AA1" s="1" t="inlineStr">
        <is>
          <t>PrecioPotencia</t>
        </is>
      </c>
      <c r="AB1" s="1" t="inlineStr">
        <is>
          <t>PrecioPotenciaAjustado</t>
        </is>
      </c>
      <c r="AC1" s="1" t="inlineStr">
        <is>
          <t>TotalPotencia</t>
        </is>
      </c>
      <c r="AD1" s="1" t="inlineStr">
        <is>
          <t>Fecha</t>
        </is>
      </c>
    </row>
    <row r="2">
      <c r="A2" t="n">
        <v>-1</v>
      </c>
      <c r="B2" t="inlineStr">
        <is>
          <t>01-10-2021</t>
        </is>
      </c>
      <c r="C2" t="n">
        <v>2021</v>
      </c>
      <c r="D2" t="n">
        <v>10</v>
      </c>
      <c r="E2" t="inlineStr">
        <is>
          <t>Casablanca 012</t>
        </is>
      </c>
      <c r="F2" t="inlineStr">
        <is>
          <t>EDECSA</t>
        </is>
      </c>
      <c r="G2" t="inlineStr">
        <is>
          <t>EDECSA</t>
        </is>
      </c>
      <c r="H2" t="inlineStr">
        <is>
          <t>San Juan SpA.</t>
        </is>
      </c>
      <c r="I2" t="inlineStr">
        <is>
          <t>San Juan SpA.</t>
        </is>
      </c>
      <c r="J2" t="inlineStr">
        <is>
          <t>SIC 2013/03_2_BS2C_BB_Edecsa_San Juan SpA.</t>
        </is>
      </c>
      <c r="K2" t="inlineStr">
        <is>
          <t>Casablanca 012</t>
        </is>
      </c>
      <c r="L2" t="inlineStr">
        <is>
          <t>-1</t>
        </is>
      </c>
      <c r="M2" t="n">
        <v>1453.866218648328</v>
      </c>
      <c r="N2" t="n">
        <v>1.772461977467341</v>
      </c>
      <c r="O2" t="inlineStr">
        <is>
          <t>3</t>
        </is>
      </c>
      <c r="P2" s="2" t="n">
        <v>44938.82615590277</v>
      </c>
      <c r="Q2" t="n">
        <v>31</v>
      </c>
      <c r="R2" t="inlineStr">
        <is>
          <t>LOS MAQUIS 220</t>
        </is>
      </c>
      <c r="S2" t="n">
        <v>7.247396707146874</v>
      </c>
      <c r="T2" t="n">
        <v>572.9254152611302</v>
      </c>
      <c r="U2" t="n">
        <v>0.008844501783155559</v>
      </c>
      <c r="V2" t="n">
        <v>54.51824686949438</v>
      </c>
      <c r="W2" t="inlineStr">
        <is>
          <t>EDECSA</t>
        </is>
      </c>
      <c r="X2" t="n">
        <v>84.098490429975</v>
      </c>
      <c r="Y2" t="n">
        <v>0.5729254152611303</v>
      </c>
      <c r="Z2" t="n">
        <v>609.4951226182236</v>
      </c>
      <c r="AA2" t="n">
        <v>64.98003202561905</v>
      </c>
      <c r="AB2" t="n">
        <v>54.51824686949438</v>
      </c>
      <c r="AC2" t="n">
        <v>64.98003202561905</v>
      </c>
      <c r="AD2" s="2" t="n">
        <v>44470</v>
      </c>
    </row>
    <row r="3">
      <c r="A3" t="n">
        <v>-1</v>
      </c>
      <c r="B3" t="inlineStr">
        <is>
          <t>01-10-2021</t>
        </is>
      </c>
      <c r="C3" t="n">
        <v>2021</v>
      </c>
      <c r="D3" t="n">
        <v>10</v>
      </c>
      <c r="E3" t="inlineStr">
        <is>
          <t>Casablanca 012</t>
        </is>
      </c>
      <c r="F3" t="inlineStr">
        <is>
          <t>EDECSA</t>
        </is>
      </c>
      <c r="G3" t="inlineStr">
        <is>
          <t>EDECSA</t>
        </is>
      </c>
      <c r="H3" t="inlineStr">
        <is>
          <t>San Juan SpA.</t>
        </is>
      </c>
      <c r="I3" t="inlineStr">
        <is>
          <t>San Juan SpA.</t>
        </is>
      </c>
      <c r="J3" t="inlineStr">
        <is>
          <t>SIC 2013/03_2_BS2C_BB_Edecsa_San Juan SpA.</t>
        </is>
      </c>
      <c r="K3" t="inlineStr">
        <is>
          <t>Casablanca 012</t>
        </is>
      </c>
      <c r="L3" t="inlineStr">
        <is>
          <t>-1</t>
        </is>
      </c>
      <c r="M3" t="n">
        <v>1453.866218648328</v>
      </c>
      <c r="N3" t="n">
        <v>1.772461977467341</v>
      </c>
      <c r="O3" t="inlineStr">
        <is>
          <t>3</t>
        </is>
      </c>
      <c r="P3" s="2" t="n">
        <v>44938.82615590277</v>
      </c>
      <c r="Q3" t="n">
        <v>13</v>
      </c>
      <c r="R3" t="inlineStr">
        <is>
          <t>MELIPILLA 220</t>
        </is>
      </c>
      <c r="S3" t="n">
        <v>1451.863980764998</v>
      </c>
      <c r="T3" t="n">
        <v>117601.3016044178</v>
      </c>
      <c r="U3" t="n">
        <v>1.771810497707742</v>
      </c>
      <c r="V3" t="n">
        <v>10878.4407130518</v>
      </c>
      <c r="W3" t="inlineStr">
        <is>
          <t>EDECSA</t>
        </is>
      </c>
      <c r="X3" t="n">
        <v>86.17044662706901</v>
      </c>
      <c r="Y3" t="n">
        <v>117.6013016044178</v>
      </c>
      <c r="Z3" t="n">
        <v>125107.7676642742</v>
      </c>
      <c r="AA3" t="n">
        <v>12965.9603254491</v>
      </c>
      <c r="AB3" t="n">
        <v>10878.4407130518</v>
      </c>
      <c r="AC3" t="n">
        <v>12965.9603254491</v>
      </c>
      <c r="AD3" s="2" t="n">
        <v>44470</v>
      </c>
    </row>
    <row r="4">
      <c r="A4" t="n">
        <v>-1</v>
      </c>
      <c r="B4" t="inlineStr">
        <is>
          <t>01-10-2021</t>
        </is>
      </c>
      <c r="C4" t="n">
        <v>2021</v>
      </c>
      <c r="D4" t="n">
        <v>10</v>
      </c>
      <c r="E4" t="inlineStr">
        <is>
          <t>Casablanca 012</t>
        </is>
      </c>
      <c r="F4" t="inlineStr">
        <is>
          <t>EDECSA</t>
        </is>
      </c>
      <c r="G4" t="inlineStr">
        <is>
          <t>EDECSA</t>
        </is>
      </c>
      <c r="H4" t="inlineStr">
        <is>
          <t>San Juan SpA.</t>
        </is>
      </c>
      <c r="I4" t="inlineStr">
        <is>
          <t>San Juan SpA.</t>
        </is>
      </c>
      <c r="J4" t="inlineStr">
        <is>
          <t>SIC 2013/03_2_BS2C_BB_Edecsa_San Juan SpA.</t>
        </is>
      </c>
      <c r="K4" t="inlineStr">
        <is>
          <t>Casablanca 012</t>
        </is>
      </c>
      <c r="L4" t="inlineStr">
        <is>
          <t>-1</t>
        </is>
      </c>
      <c r="M4" t="n">
        <v>1453.866218648328</v>
      </c>
      <c r="N4" t="n">
        <v>1.772461977467341</v>
      </c>
      <c r="O4" t="inlineStr">
        <is>
          <t>3</t>
        </is>
      </c>
      <c r="P4" s="2" t="n">
        <v>44938.82615590277</v>
      </c>
      <c r="Q4" t="n">
        <v>5</v>
      </c>
      <c r="R4" t="inlineStr">
        <is>
          <t>NOGALES 220</t>
        </is>
      </c>
      <c r="S4" t="n">
        <v>0.7091444502136135</v>
      </c>
      <c r="T4" t="n">
        <v>57.34259221710684</v>
      </c>
      <c r="U4" t="n">
        <v>0.0008654182471126685</v>
      </c>
      <c r="V4" t="n">
        <v>5.215965602666126</v>
      </c>
      <c r="W4" t="inlineStr">
        <is>
          <t>EDECSA</t>
        </is>
      </c>
      <c r="X4" t="n">
        <v>86.02303474193101</v>
      </c>
      <c r="Y4" t="n">
        <v>0.05734259221710684</v>
      </c>
      <c r="Z4" t="n">
        <v>61.00275767777324</v>
      </c>
      <c r="AA4" t="n">
        <v>6.216883912593714</v>
      </c>
      <c r="AB4" t="n">
        <v>5.215965602666126</v>
      </c>
      <c r="AC4" t="n">
        <v>6.216883912593714</v>
      </c>
      <c r="AD4" s="2" t="n">
        <v>44470</v>
      </c>
    </row>
    <row r="5">
      <c r="A5" t="n">
        <v>-1</v>
      </c>
      <c r="B5" t="inlineStr">
        <is>
          <t>01-10-2021</t>
        </is>
      </c>
      <c r="C5" t="n">
        <v>2021</v>
      </c>
      <c r="D5" t="n">
        <v>10</v>
      </c>
      <c r="E5" t="inlineStr">
        <is>
          <t>Casablanca 012</t>
        </is>
      </c>
      <c r="F5" t="inlineStr">
        <is>
          <t>EDECSA</t>
        </is>
      </c>
      <c r="G5" t="inlineStr">
        <is>
          <t>EDECSA</t>
        </is>
      </c>
      <c r="H5" t="inlineStr">
        <is>
          <t>San Juan SpA.</t>
        </is>
      </c>
      <c r="I5" t="inlineStr">
        <is>
          <t>San Juan SpA.</t>
        </is>
      </c>
      <c r="J5" t="inlineStr">
        <is>
          <t>SIC 2013/03_2_BS2C_BB_Edecsa_San Juan SpA.</t>
        </is>
      </c>
      <c r="K5" t="inlineStr">
        <is>
          <t>Casablanca 012</t>
        </is>
      </c>
      <c r="L5" t="inlineStr">
        <is>
          <t>-1</t>
        </is>
      </c>
      <c r="M5" t="n">
        <v>1453.866218648328</v>
      </c>
      <c r="N5" t="n">
        <v>1.772461977467341</v>
      </c>
      <c r="O5" t="inlineStr">
        <is>
          <t>3</t>
        </is>
      </c>
      <c r="P5" s="2" t="n">
        <v>44938.82615590277</v>
      </c>
      <c r="Q5" t="n">
        <v>11</v>
      </c>
      <c r="R5" t="inlineStr">
        <is>
          <t>QUILLOTA 220</t>
        </is>
      </c>
      <c r="S5" t="n">
        <v>30.52711365340198</v>
      </c>
      <c r="T5" t="n">
        <v>2413.247124909262</v>
      </c>
      <c r="U5" t="n">
        <v>0.03725435795115976</v>
      </c>
      <c r="V5" t="n">
        <v>226.8946430325367</v>
      </c>
      <c r="W5" t="inlineStr">
        <is>
          <t>EDECSA</t>
        </is>
      </c>
      <c r="X5" t="n">
        <v>84.09849042997499</v>
      </c>
      <c r="Y5" t="n">
        <v>2.413247124909262</v>
      </c>
      <c r="Z5" t="n">
        <v>2567.284175435386</v>
      </c>
      <c r="AA5" t="n">
        <v>270.4346162485539</v>
      </c>
      <c r="AB5" t="n">
        <v>226.8946430325367</v>
      </c>
      <c r="AC5" t="n">
        <v>270.4346162485539</v>
      </c>
      <c r="AD5" s="2" t="n">
        <v>44470</v>
      </c>
    </row>
    <row r="6">
      <c r="A6" t="n">
        <v>-1</v>
      </c>
      <c r="B6" t="inlineStr">
        <is>
          <t>01-10-2021</t>
        </is>
      </c>
      <c r="C6" t="n">
        <v>2021</v>
      </c>
      <c r="D6" t="n">
        <v>10</v>
      </c>
      <c r="E6" t="inlineStr">
        <is>
          <t>Quintay 012</t>
        </is>
      </c>
      <c r="F6" t="inlineStr">
        <is>
          <t>EDECSA</t>
        </is>
      </c>
      <c r="G6" t="inlineStr">
        <is>
          <t>EDECSA</t>
        </is>
      </c>
      <c r="H6" t="inlineStr">
        <is>
          <t>San Juan SpA.</t>
        </is>
      </c>
      <c r="I6" t="inlineStr">
        <is>
          <t>San Juan SpA.</t>
        </is>
      </c>
      <c r="J6" t="inlineStr">
        <is>
          <t>SIC 2013/03_2_BS2C_BB_Edecsa_San Juan SpA.</t>
        </is>
      </c>
      <c r="K6" t="inlineStr">
        <is>
          <t>Quintay 012</t>
        </is>
      </c>
      <c r="L6" t="inlineStr">
        <is>
          <t>-1</t>
        </is>
      </c>
      <c r="M6" t="n">
        <v>56.75272554772457</v>
      </c>
      <c r="N6" t="n">
        <v>0.06918934277495109</v>
      </c>
      <c r="O6" t="inlineStr">
        <is>
          <t>3</t>
        </is>
      </c>
      <c r="P6" s="2" t="n">
        <v>44938.82615590277</v>
      </c>
      <c r="Q6" t="n">
        <v>31</v>
      </c>
      <c r="R6" t="inlineStr">
        <is>
          <t>LOS MAQUIS 220</t>
        </is>
      </c>
      <c r="S6" t="n">
        <v>0.8069782675012592</v>
      </c>
      <c r="T6" t="n">
        <v>63.7937148602533</v>
      </c>
      <c r="U6" t="n">
        <v>0.0009848116522784445</v>
      </c>
      <c r="V6" t="n">
        <v>6.070461185402712</v>
      </c>
      <c r="W6" t="inlineStr">
        <is>
          <t>EDECSA</t>
        </is>
      </c>
      <c r="X6" t="n">
        <v>84.098490429975</v>
      </c>
      <c r="Y6" t="n">
        <v>0.06379371486025331</v>
      </c>
      <c r="Z6" t="n">
        <v>67.86565410665246</v>
      </c>
      <c r="AA6" t="n">
        <v>7.235353021934102</v>
      </c>
      <c r="AB6" t="n">
        <v>6.070461185402712</v>
      </c>
      <c r="AC6" t="n">
        <v>7.235353021934102</v>
      </c>
      <c r="AD6" s="2" t="n">
        <v>44470</v>
      </c>
    </row>
    <row r="7">
      <c r="A7" t="n">
        <v>-1</v>
      </c>
      <c r="B7" t="inlineStr">
        <is>
          <t>01-10-2021</t>
        </is>
      </c>
      <c r="C7" t="n">
        <v>2021</v>
      </c>
      <c r="D7" t="n">
        <v>10</v>
      </c>
      <c r="E7" t="inlineStr">
        <is>
          <t>Quintay 012</t>
        </is>
      </c>
      <c r="F7" t="inlineStr">
        <is>
          <t>EDECSA</t>
        </is>
      </c>
      <c r="G7" t="inlineStr">
        <is>
          <t>EDECSA</t>
        </is>
      </c>
      <c r="H7" t="inlineStr">
        <is>
          <t>San Juan SpA.</t>
        </is>
      </c>
      <c r="I7" t="inlineStr">
        <is>
          <t>San Juan SpA.</t>
        </is>
      </c>
      <c r="J7" t="inlineStr">
        <is>
          <t>SIC 2013/03_2_BS2C_BB_Edecsa_San Juan SpA.</t>
        </is>
      </c>
      <c r="K7" t="inlineStr">
        <is>
          <t>Quintay 012</t>
        </is>
      </c>
      <c r="L7" t="inlineStr">
        <is>
          <t>-1</t>
        </is>
      </c>
      <c r="M7" t="n">
        <v>56.75272554772457</v>
      </c>
      <c r="N7" t="n">
        <v>0.06918934277495109</v>
      </c>
      <c r="O7" t="inlineStr">
        <is>
          <t>3</t>
        </is>
      </c>
      <c r="P7" s="2" t="n">
        <v>44938.82615590277</v>
      </c>
      <c r="Q7" t="n">
        <v>13</v>
      </c>
      <c r="R7" t="inlineStr">
        <is>
          <t>MELIPILLA 220</t>
        </is>
      </c>
      <c r="S7" t="n">
        <v>55.61239773863512</v>
      </c>
      <c r="T7" t="n">
        <v>4504.616442071967</v>
      </c>
      <c r="U7" t="n">
        <v>0.06786767315771093</v>
      </c>
      <c r="V7" t="n">
        <v>416.6892902678331</v>
      </c>
      <c r="W7" t="inlineStr">
        <is>
          <t>EDECSA</t>
        </is>
      </c>
      <c r="X7" t="n">
        <v>86.170446627069</v>
      </c>
      <c r="Y7" t="n">
        <v>4.504616442071967</v>
      </c>
      <c r="Z7" t="n">
        <v>4792.14515114039</v>
      </c>
      <c r="AA7" t="n">
        <v>496.6499288055222</v>
      </c>
      <c r="AB7" t="n">
        <v>416.6892902678331</v>
      </c>
      <c r="AC7" t="n">
        <v>496.6499288055222</v>
      </c>
      <c r="AD7" s="2" t="n">
        <v>44470</v>
      </c>
    </row>
    <row r="8">
      <c r="A8" t="n">
        <v>-1</v>
      </c>
      <c r="B8" t="inlineStr">
        <is>
          <t>01-10-2021</t>
        </is>
      </c>
      <c r="C8" t="n">
        <v>2021</v>
      </c>
      <c r="D8" t="n">
        <v>10</v>
      </c>
      <c r="E8" t="inlineStr">
        <is>
          <t>Quintay 012</t>
        </is>
      </c>
      <c r="F8" t="inlineStr">
        <is>
          <t>EDECSA</t>
        </is>
      </c>
      <c r="G8" t="inlineStr">
        <is>
          <t>EDECSA</t>
        </is>
      </c>
      <c r="H8" t="inlineStr">
        <is>
          <t>San Juan SpA.</t>
        </is>
      </c>
      <c r="I8" t="inlineStr">
        <is>
          <t>San Juan SpA.</t>
        </is>
      </c>
      <c r="J8" t="inlineStr">
        <is>
          <t>SIC 2013/03_2_BS2C_BB_Edecsa_San Juan SpA.</t>
        </is>
      </c>
      <c r="K8" t="inlineStr">
        <is>
          <t>Quintay 012</t>
        </is>
      </c>
      <c r="L8" t="inlineStr">
        <is>
          <t>-1</t>
        </is>
      </c>
      <c r="M8" t="n">
        <v>56.75272554772457</v>
      </c>
      <c r="N8" t="n">
        <v>0.06918934277495109</v>
      </c>
      <c r="O8" t="inlineStr">
        <is>
          <t>3</t>
        </is>
      </c>
      <c r="P8" s="2" t="n">
        <v>44938.82615590277</v>
      </c>
      <c r="Q8" t="n">
        <v>11</v>
      </c>
      <c r="R8" t="inlineStr">
        <is>
          <t>QUILLOTA 220</t>
        </is>
      </c>
      <c r="S8" t="n">
        <v>1.757428191960531</v>
      </c>
      <c r="T8" t="n">
        <v>138.9292345039833</v>
      </c>
      <c r="U8" t="n">
        <v>0.002144711736592917</v>
      </c>
      <c r="V8" t="n">
        <v>13.06219273782419</v>
      </c>
      <c r="W8" t="inlineStr">
        <is>
          <t>EDECSA</t>
        </is>
      </c>
      <c r="X8" t="n">
        <v>84.098490429975</v>
      </c>
      <c r="Y8" t="n">
        <v>0.1389292345039833</v>
      </c>
      <c r="Z8" t="n">
        <v>147.797057982961</v>
      </c>
      <c r="AA8" t="n">
        <v>15.56876369228151</v>
      </c>
      <c r="AB8" t="n">
        <v>13.06219273782419</v>
      </c>
      <c r="AC8" t="n">
        <v>15.56876369228151</v>
      </c>
      <c r="AD8" s="2" t="n">
        <v>44470</v>
      </c>
    </row>
    <row r="9">
      <c r="A9" t="n">
        <v>-1</v>
      </c>
      <c r="B9" t="inlineStr">
        <is>
          <t>01-10-2021</t>
        </is>
      </c>
      <c r="C9" t="n">
        <v>2021</v>
      </c>
      <c r="D9" t="n">
        <v>10</v>
      </c>
      <c r="E9" t="inlineStr">
        <is>
          <t>Tap Algarrobo Norte 012</t>
        </is>
      </c>
      <c r="F9" t="inlineStr">
        <is>
          <t>EDECSA</t>
        </is>
      </c>
      <c r="G9" t="inlineStr">
        <is>
          <t>EDECSA</t>
        </is>
      </c>
      <c r="H9" t="inlineStr">
        <is>
          <t>San Juan SpA.</t>
        </is>
      </c>
      <c r="I9" t="inlineStr">
        <is>
          <t>San Juan SpA.</t>
        </is>
      </c>
      <c r="J9" t="inlineStr">
        <is>
          <t>SIC 2013/03_2_BS2C_BB_Edecsa_San Juan SpA.</t>
        </is>
      </c>
      <c r="K9" t="inlineStr">
        <is>
          <t>Tap Algarrobo Norte 012</t>
        </is>
      </c>
      <c r="L9" t="inlineStr">
        <is>
          <t>-1</t>
        </is>
      </c>
      <c r="M9" t="n">
        <v>11.15263348935268</v>
      </c>
      <c r="N9" t="n">
        <v>0.01359658719279182</v>
      </c>
      <c r="O9" t="inlineStr">
        <is>
          <t>3</t>
        </is>
      </c>
      <c r="P9" s="2" t="n">
        <v>44938.82615590277</v>
      </c>
      <c r="Q9" t="n">
        <v>31</v>
      </c>
      <c r="R9" t="inlineStr">
        <is>
          <t>LOS MAQUIS 220</t>
        </is>
      </c>
      <c r="S9" t="n">
        <v>0.07679834673093254</v>
      </c>
      <c r="T9" t="n">
        <v>6.071107525933877</v>
      </c>
      <c r="U9" t="n">
        <v>9.372235880717137e-05</v>
      </c>
      <c r="V9" t="n">
        <v>0.5777124387460628</v>
      </c>
      <c r="W9" t="inlineStr">
        <is>
          <t>EDECSA</t>
        </is>
      </c>
      <c r="X9" t="n">
        <v>84.098490429975</v>
      </c>
      <c r="Y9" t="n">
        <v>0.006071107525933878</v>
      </c>
      <c r="Z9" t="n">
        <v>6.458625027589232</v>
      </c>
      <c r="AA9" t="n">
        <v>0.6885726325936387</v>
      </c>
      <c r="AB9" t="n">
        <v>0.5777124387460628</v>
      </c>
      <c r="AC9" t="n">
        <v>0.6885726325936387</v>
      </c>
      <c r="AD9" s="2" t="n">
        <v>44470</v>
      </c>
    </row>
    <row r="10">
      <c r="A10" t="n">
        <v>-1</v>
      </c>
      <c r="B10" t="inlineStr">
        <is>
          <t>01-10-2021</t>
        </is>
      </c>
      <c r="C10" t="n">
        <v>2021</v>
      </c>
      <c r="D10" t="n">
        <v>10</v>
      </c>
      <c r="E10" t="inlineStr">
        <is>
          <t>Tap Algarrobo Norte 012</t>
        </is>
      </c>
      <c r="F10" t="inlineStr">
        <is>
          <t>EDECSA</t>
        </is>
      </c>
      <c r="G10" t="inlineStr">
        <is>
          <t>EDECSA</t>
        </is>
      </c>
      <c r="H10" t="inlineStr">
        <is>
          <t>San Juan SpA.</t>
        </is>
      </c>
      <c r="I10" t="inlineStr">
        <is>
          <t>San Juan SpA.</t>
        </is>
      </c>
      <c r="J10" t="inlineStr">
        <is>
          <t>SIC 2013/03_2_BS2C_BB_Edecsa_San Juan SpA.</t>
        </is>
      </c>
      <c r="K10" t="inlineStr">
        <is>
          <t>Tap Algarrobo Norte 012</t>
        </is>
      </c>
      <c r="L10" t="inlineStr">
        <is>
          <t>-1</t>
        </is>
      </c>
      <c r="M10" t="n">
        <v>11.15263348935268</v>
      </c>
      <c r="N10" t="n">
        <v>0.01359658719279182</v>
      </c>
      <c r="O10" t="inlineStr">
        <is>
          <t>3</t>
        </is>
      </c>
      <c r="P10" s="2" t="n">
        <v>44938.82615590277</v>
      </c>
      <c r="Q10" t="n">
        <v>13</v>
      </c>
      <c r="R10" t="inlineStr">
        <is>
          <t>MELIPILLA 220</t>
        </is>
      </c>
      <c r="S10" t="n">
        <v>11.11106078325332</v>
      </c>
      <c r="T10" t="n">
        <v>899.9983659818425</v>
      </c>
      <c r="U10" t="n">
        <v>0.01355959951982828</v>
      </c>
      <c r="V10" t="n">
        <v>83.25230020931316</v>
      </c>
      <c r="W10" t="inlineStr">
        <is>
          <t>EDECSA</t>
        </is>
      </c>
      <c r="X10" t="n">
        <v>86.170446627069</v>
      </c>
      <c r="Y10" t="n">
        <v>0.8999983659818425</v>
      </c>
      <c r="Z10" t="n">
        <v>957.4450701934495</v>
      </c>
      <c r="AA10" t="n">
        <v>99.22800978464025</v>
      </c>
      <c r="AB10" t="n">
        <v>83.25230020931316</v>
      </c>
      <c r="AC10" t="n">
        <v>99.22800978464025</v>
      </c>
      <c r="AD10" s="2" t="n">
        <v>44470</v>
      </c>
    </row>
    <row r="11">
      <c r="A11" t="n">
        <v>-1</v>
      </c>
      <c r="B11" t="inlineStr">
        <is>
          <t>01-10-2021</t>
        </is>
      </c>
      <c r="C11" t="n">
        <v>2021</v>
      </c>
      <c r="D11" t="n">
        <v>10</v>
      </c>
      <c r="E11" t="inlineStr">
        <is>
          <t>Tap Algarrobo Norte 012</t>
        </is>
      </c>
      <c r="F11" t="inlineStr">
        <is>
          <t>EDECSA</t>
        </is>
      </c>
      <c r="G11" t="inlineStr">
        <is>
          <t>EDECSA</t>
        </is>
      </c>
      <c r="H11" t="inlineStr">
        <is>
          <t>San Juan SpA.</t>
        </is>
      </c>
      <c r="I11" t="inlineStr">
        <is>
          <t>San Juan SpA.</t>
        </is>
      </c>
      <c r="J11" t="inlineStr">
        <is>
          <t>SIC 2013/03_2_BS2C_BB_Edecsa_San Juan SpA.</t>
        </is>
      </c>
      <c r="K11" t="inlineStr">
        <is>
          <t>Tap Algarrobo Norte 012</t>
        </is>
      </c>
      <c r="L11" t="inlineStr">
        <is>
          <t>-1</t>
        </is>
      </c>
      <c r="M11" t="n">
        <v>11.15263348935268</v>
      </c>
      <c r="N11" t="n">
        <v>0.01359658719279182</v>
      </c>
      <c r="O11" t="inlineStr">
        <is>
          <t>3</t>
        </is>
      </c>
      <c r="P11" s="2" t="n">
        <v>44938.82615590277</v>
      </c>
      <c r="Q11" t="n">
        <v>5</v>
      </c>
      <c r="R11" t="inlineStr">
        <is>
          <t>NOGALES 220</t>
        </is>
      </c>
      <c r="S11" t="n">
        <v>0.005467438538106007</v>
      </c>
      <c r="T11" t="n">
        <v>0.4421061159940935</v>
      </c>
      <c r="U11" t="n">
        <v>6.672295150048284e-06</v>
      </c>
      <c r="V11" t="n">
        <v>0.04021461542970788</v>
      </c>
      <c r="W11" t="inlineStr">
        <is>
          <t>EDECSA</t>
        </is>
      </c>
      <c r="X11" t="n">
        <v>86.02303474193101</v>
      </c>
      <c r="Y11" t="n">
        <v>0.0004421061159940936</v>
      </c>
      <c r="Z11" t="n">
        <v>0.4703256553128655</v>
      </c>
      <c r="AA11" t="n">
        <v>0.04793160361109401</v>
      </c>
      <c r="AB11" t="n">
        <v>0.04021461542970788</v>
      </c>
      <c r="AC11" t="n">
        <v>0.04793160361109401</v>
      </c>
      <c r="AD11" s="2" t="n">
        <v>44470</v>
      </c>
    </row>
    <row r="12">
      <c r="A12" t="n">
        <v>-1</v>
      </c>
      <c r="B12" t="inlineStr">
        <is>
          <t>01-10-2021</t>
        </is>
      </c>
      <c r="C12" t="n">
        <v>2021</v>
      </c>
      <c r="D12" t="n">
        <v>10</v>
      </c>
      <c r="E12" t="inlineStr">
        <is>
          <t>Tap Algarrobo Norte 012</t>
        </is>
      </c>
      <c r="F12" t="inlineStr">
        <is>
          <t>EDECSA</t>
        </is>
      </c>
      <c r="G12" t="inlineStr">
        <is>
          <t>EDECSA</t>
        </is>
      </c>
      <c r="H12" t="inlineStr">
        <is>
          <t>San Juan SpA.</t>
        </is>
      </c>
      <c r="I12" t="inlineStr">
        <is>
          <t>San Juan SpA.</t>
        </is>
      </c>
      <c r="J12" t="inlineStr">
        <is>
          <t>SIC 2013/03_2_BS2C_BB_Edecsa_San Juan SpA.</t>
        </is>
      </c>
      <c r="K12" t="inlineStr">
        <is>
          <t>Tap Algarrobo Norte 012</t>
        </is>
      </c>
      <c r="L12" t="inlineStr">
        <is>
          <t>-1</t>
        </is>
      </c>
      <c r="M12" t="n">
        <v>11.15263348935268</v>
      </c>
      <c r="N12" t="n">
        <v>0.01359658719279182</v>
      </c>
      <c r="O12" t="inlineStr">
        <is>
          <t>3</t>
        </is>
      </c>
      <c r="P12" s="2" t="n">
        <v>44938.82615590277</v>
      </c>
      <c r="Q12" t="n">
        <v>11</v>
      </c>
      <c r="R12" t="inlineStr">
        <is>
          <t>QUILLOTA 220</t>
        </is>
      </c>
      <c r="S12" t="n">
        <v>0.2391565156177795</v>
      </c>
      <c r="T12" t="n">
        <v>18.90593982355111</v>
      </c>
      <c r="U12" t="n">
        <v>0.0002918593136689812</v>
      </c>
      <c r="V12" t="n">
        <v>1.777545458640312</v>
      </c>
      <c r="W12" t="inlineStr">
        <is>
          <t>EDECSA</t>
        </is>
      </c>
      <c r="X12" t="n">
        <v>84.098490429975</v>
      </c>
      <c r="Y12" t="n">
        <v>0.01890593982355111</v>
      </c>
      <c r="Z12" t="n">
        <v>20.11270193994799</v>
      </c>
      <c r="AA12" t="n">
        <v>2.11864774569763</v>
      </c>
      <c r="AB12" t="n">
        <v>1.777545458640312</v>
      </c>
      <c r="AC12" t="n">
        <v>2.11864774569763</v>
      </c>
      <c r="AD12" s="2" t="n">
        <v>44470</v>
      </c>
    </row>
    <row r="13">
      <c r="A13" t="n">
        <v>-1</v>
      </c>
      <c r="B13" t="inlineStr">
        <is>
          <t>01-11-2021</t>
        </is>
      </c>
      <c r="C13" t="n">
        <v>2021</v>
      </c>
      <c r="D13" t="n">
        <v>11</v>
      </c>
      <c r="E13" t="inlineStr">
        <is>
          <t>Casablanca 012</t>
        </is>
      </c>
      <c r="F13" t="inlineStr">
        <is>
          <t>EDECSA</t>
        </is>
      </c>
      <c r="G13" t="inlineStr">
        <is>
          <t>EDECSA</t>
        </is>
      </c>
      <c r="H13" t="inlineStr">
        <is>
          <t>San Juan SpA.</t>
        </is>
      </c>
      <c r="I13" t="inlineStr">
        <is>
          <t>San Juan SpA.</t>
        </is>
      </c>
      <c r="J13" t="inlineStr">
        <is>
          <t>SIC 2013/03_2_BS2C_BB_Edecsa_San Juan SpA.</t>
        </is>
      </c>
      <c r="K13" t="inlineStr">
        <is>
          <t>Casablanca 012</t>
        </is>
      </c>
      <c r="L13" t="inlineStr">
        <is>
          <t>-1</t>
        </is>
      </c>
      <c r="M13" t="n">
        <v>1573.368593800886</v>
      </c>
      <c r="N13" t="n">
        <v>1.81848742543645</v>
      </c>
      <c r="O13" t="inlineStr">
        <is>
          <t>3</t>
        </is>
      </c>
      <c r="P13" s="2" t="n">
        <v>44938.82615590277</v>
      </c>
      <c r="Q13" t="n">
        <v>31</v>
      </c>
      <c r="R13" t="inlineStr">
        <is>
          <t>LOS MAQUIS 220</t>
        </is>
      </c>
      <c r="S13" t="n">
        <v>7.843105658264865</v>
      </c>
      <c r="T13" t="n">
        <v>620.0177453742983</v>
      </c>
      <c r="U13" t="n">
        <v>0.009074166600685232</v>
      </c>
      <c r="V13" t="n">
        <v>55.93391996519846</v>
      </c>
      <c r="W13" t="inlineStr">
        <is>
          <t>EDECSA</t>
        </is>
      </c>
      <c r="X13" t="n">
        <v>84.098490429975</v>
      </c>
      <c r="Y13" t="n">
        <v>0.6200177453742983</v>
      </c>
      <c r="Z13" t="n">
        <v>659.5933461428706</v>
      </c>
      <c r="AA13" t="n">
        <v>66.66736587031998</v>
      </c>
      <c r="AB13" t="n">
        <v>55.93391996519846</v>
      </c>
      <c r="AC13" t="n">
        <v>66.66736587031998</v>
      </c>
      <c r="AD13" s="2" t="n">
        <v>44501</v>
      </c>
    </row>
    <row r="14">
      <c r="A14" t="n">
        <v>-1</v>
      </c>
      <c r="B14" t="inlineStr">
        <is>
          <t>01-11-2021</t>
        </is>
      </c>
      <c r="C14" t="n">
        <v>2021</v>
      </c>
      <c r="D14" t="n">
        <v>11</v>
      </c>
      <c r="E14" t="inlineStr">
        <is>
          <t>Casablanca 012</t>
        </is>
      </c>
      <c r="F14" t="inlineStr">
        <is>
          <t>EDECSA</t>
        </is>
      </c>
      <c r="G14" t="inlineStr">
        <is>
          <t>EDECSA</t>
        </is>
      </c>
      <c r="H14" t="inlineStr">
        <is>
          <t>San Juan SpA.</t>
        </is>
      </c>
      <c r="I14" t="inlineStr">
        <is>
          <t>San Juan SpA.</t>
        </is>
      </c>
      <c r="J14" t="inlineStr">
        <is>
          <t>SIC 2013/03_2_BS2C_BB_Edecsa_San Juan SpA.</t>
        </is>
      </c>
      <c r="K14" t="inlineStr">
        <is>
          <t>Casablanca 012</t>
        </is>
      </c>
      <c r="L14" t="inlineStr">
        <is>
          <t>-1</t>
        </is>
      </c>
      <c r="M14" t="n">
        <v>1573.368593800886</v>
      </c>
      <c r="N14" t="n">
        <v>1.81848742543645</v>
      </c>
      <c r="O14" t="inlineStr">
        <is>
          <t>3</t>
        </is>
      </c>
      <c r="P14" s="2" t="n">
        <v>44938.82615590277</v>
      </c>
      <c r="Q14" t="n">
        <v>13</v>
      </c>
      <c r="R14" t="inlineStr">
        <is>
          <t>MELIPILLA 220</t>
        </is>
      </c>
      <c r="S14" t="n">
        <v>1571.201779438916</v>
      </c>
      <c r="T14" t="n">
        <v>127267.6895309672</v>
      </c>
      <c r="U14" t="n">
        <v>1.817819028728472</v>
      </c>
      <c r="V14" t="n">
        <v>11160.92073992325</v>
      </c>
      <c r="W14" t="inlineStr">
        <is>
          <t>EDECSA</t>
        </is>
      </c>
      <c r="X14" t="n">
        <v>86.17044662706901</v>
      </c>
      <c r="Y14" t="n">
        <v>127.2676895309671</v>
      </c>
      <c r="Z14" t="n">
        <v>135391.159075497</v>
      </c>
      <c r="AA14" t="n">
        <v>13302.64688906228</v>
      </c>
      <c r="AB14" t="n">
        <v>11160.92073992325</v>
      </c>
      <c r="AC14" t="n">
        <v>13302.64688906228</v>
      </c>
      <c r="AD14" s="2" t="n">
        <v>44501</v>
      </c>
    </row>
    <row r="15">
      <c r="A15" t="n">
        <v>-1</v>
      </c>
      <c r="B15" t="inlineStr">
        <is>
          <t>01-11-2021</t>
        </is>
      </c>
      <c r="C15" t="n">
        <v>2021</v>
      </c>
      <c r="D15" t="n">
        <v>11</v>
      </c>
      <c r="E15" t="inlineStr">
        <is>
          <t>Casablanca 012</t>
        </is>
      </c>
      <c r="F15" t="inlineStr">
        <is>
          <t>EDECSA</t>
        </is>
      </c>
      <c r="G15" t="inlineStr">
        <is>
          <t>EDECSA</t>
        </is>
      </c>
      <c r="H15" t="inlineStr">
        <is>
          <t>San Juan SpA.</t>
        </is>
      </c>
      <c r="I15" t="inlineStr">
        <is>
          <t>San Juan SpA.</t>
        </is>
      </c>
      <c r="J15" t="inlineStr">
        <is>
          <t>SIC 2013/03_2_BS2C_BB_Edecsa_San Juan SpA.</t>
        </is>
      </c>
      <c r="K15" t="inlineStr">
        <is>
          <t>Casablanca 012</t>
        </is>
      </c>
      <c r="L15" t="inlineStr">
        <is>
          <t>-1</t>
        </is>
      </c>
      <c r="M15" t="n">
        <v>1573.368593800886</v>
      </c>
      <c r="N15" t="n">
        <v>1.81848742543645</v>
      </c>
      <c r="O15" t="inlineStr">
        <is>
          <t>3</t>
        </is>
      </c>
      <c r="P15" s="2" t="n">
        <v>44938.82615590277</v>
      </c>
      <c r="Q15" t="n">
        <v>5</v>
      </c>
      <c r="R15" t="inlineStr">
        <is>
          <t>NOGALES 220</t>
        </is>
      </c>
      <c r="S15" t="n">
        <v>0.7674334764250962</v>
      </c>
      <c r="T15" t="n">
        <v>62.05593920835872</v>
      </c>
      <c r="U15" t="n">
        <v>0.0008878905274833405</v>
      </c>
      <c r="V15" t="n">
        <v>5.351408369002475</v>
      </c>
      <c r="W15" t="inlineStr">
        <is>
          <t>EDECSA</t>
        </is>
      </c>
      <c r="X15" t="n">
        <v>86.02303474193101</v>
      </c>
      <c r="Y15" t="n">
        <v>0.06205593920835872</v>
      </c>
      <c r="Z15" t="n">
        <v>66.01695660463695</v>
      </c>
      <c r="AA15" t="n">
        <v>6.378317483912366</v>
      </c>
      <c r="AB15" t="n">
        <v>5.351408369002475</v>
      </c>
      <c r="AC15" t="n">
        <v>6.378317483912366</v>
      </c>
      <c r="AD15" s="2" t="n">
        <v>44501</v>
      </c>
    </row>
    <row r="16">
      <c r="A16" t="n">
        <v>-1</v>
      </c>
      <c r="B16" t="inlineStr">
        <is>
          <t>01-11-2021</t>
        </is>
      </c>
      <c r="C16" t="n">
        <v>2021</v>
      </c>
      <c r="D16" t="n">
        <v>11</v>
      </c>
      <c r="E16" t="inlineStr">
        <is>
          <t>Casablanca 012</t>
        </is>
      </c>
      <c r="F16" t="inlineStr">
        <is>
          <t>EDECSA</t>
        </is>
      </c>
      <c r="G16" t="inlineStr">
        <is>
          <t>EDECSA</t>
        </is>
      </c>
      <c r="H16" t="inlineStr">
        <is>
          <t>San Juan SpA.</t>
        </is>
      </c>
      <c r="I16" t="inlineStr">
        <is>
          <t>San Juan SpA.</t>
        </is>
      </c>
      <c r="J16" t="inlineStr">
        <is>
          <t>SIC 2013/03_2_BS2C_BB_Edecsa_San Juan SpA.</t>
        </is>
      </c>
      <c r="K16" t="inlineStr">
        <is>
          <t>Casablanca 012</t>
        </is>
      </c>
      <c r="L16" t="inlineStr">
        <is>
          <t>-1</t>
        </is>
      </c>
      <c r="M16" t="n">
        <v>1573.368593800886</v>
      </c>
      <c r="N16" t="n">
        <v>1.81848742543645</v>
      </c>
      <c r="O16" t="inlineStr">
        <is>
          <t>3</t>
        </is>
      </c>
      <c r="P16" s="2" t="n">
        <v>44938.82615590277</v>
      </c>
      <c r="Q16" t="n">
        <v>11</v>
      </c>
      <c r="R16" t="inlineStr">
        <is>
          <t>QUILLOTA 220</t>
        </is>
      </c>
      <c r="S16" t="n">
        <v>33.03632842250587</v>
      </c>
      <c r="T16" t="n">
        <v>2611.607028700724</v>
      </c>
      <c r="U16" t="n">
        <v>0.03822174034655181</v>
      </c>
      <c r="V16" t="n">
        <v>232.7864069857953</v>
      </c>
      <c r="W16" t="inlineStr">
        <is>
          <t>EDECSA</t>
        </is>
      </c>
      <c r="X16" t="n">
        <v>84.09849042997502</v>
      </c>
      <c r="Y16" t="n">
        <v>2.611607028700724</v>
      </c>
      <c r="Z16" t="n">
        <v>2778.305349681621</v>
      </c>
      <c r="AA16" t="n">
        <v>277.4569809127477</v>
      </c>
      <c r="AB16" t="n">
        <v>232.7864069857953</v>
      </c>
      <c r="AC16" t="n">
        <v>277.4569809127477</v>
      </c>
      <c r="AD16" s="2" t="n">
        <v>44501</v>
      </c>
    </row>
    <row r="17">
      <c r="A17" t="n">
        <v>-1</v>
      </c>
      <c r="B17" t="inlineStr">
        <is>
          <t>01-11-2021</t>
        </is>
      </c>
      <c r="C17" t="n">
        <v>2021</v>
      </c>
      <c r="D17" t="n">
        <v>11</v>
      </c>
      <c r="E17" t="inlineStr">
        <is>
          <t>Quintay 012</t>
        </is>
      </c>
      <c r="F17" t="inlineStr">
        <is>
          <t>EDECSA</t>
        </is>
      </c>
      <c r="G17" t="inlineStr">
        <is>
          <t>EDECSA</t>
        </is>
      </c>
      <c r="H17" t="inlineStr">
        <is>
          <t>San Juan SpA.</t>
        </is>
      </c>
      <c r="I17" t="inlineStr">
        <is>
          <t>San Juan SpA.</t>
        </is>
      </c>
      <c r="J17" t="inlineStr">
        <is>
          <t>SIC 2013/03_2_BS2C_BB_Edecsa_San Juan SpA.</t>
        </is>
      </c>
      <c r="K17" t="inlineStr">
        <is>
          <t>Quintay 012</t>
        </is>
      </c>
      <c r="L17" t="inlineStr">
        <is>
          <t>-1</t>
        </is>
      </c>
      <c r="M17" t="n">
        <v>54.45309804513689</v>
      </c>
      <c r="N17" t="n">
        <v>0.06293647557304118</v>
      </c>
      <c r="O17" t="inlineStr">
        <is>
          <t>3</t>
        </is>
      </c>
      <c r="P17" s="2" t="n">
        <v>44938.82615590277</v>
      </c>
      <c r="Q17" t="n">
        <v>31</v>
      </c>
      <c r="R17" t="inlineStr">
        <is>
          <t>LOS MAQUIS 220</t>
        </is>
      </c>
      <c r="S17" t="n">
        <v>0.7742794076663089</v>
      </c>
      <c r="T17" t="n">
        <v>61.20878559440667</v>
      </c>
      <c r="U17" t="n">
        <v>0.0008958110022705366</v>
      </c>
      <c r="V17" t="n">
        <v>5.521853753617512</v>
      </c>
      <c r="W17" t="inlineStr">
        <is>
          <t>EDECSA</t>
        </is>
      </c>
      <c r="X17" t="n">
        <v>84.09849042997499</v>
      </c>
      <c r="Y17" t="n">
        <v>0.06120878559440668</v>
      </c>
      <c r="Z17" t="n">
        <v>65.11572935575178</v>
      </c>
      <c r="AA17" t="n">
        <v>6.581470504907642</v>
      </c>
      <c r="AB17" t="n">
        <v>5.521853753617512</v>
      </c>
      <c r="AC17" t="n">
        <v>6.581470504907642</v>
      </c>
      <c r="AD17" s="2" t="n">
        <v>44501</v>
      </c>
    </row>
    <row r="18">
      <c r="A18" t="n">
        <v>-1</v>
      </c>
      <c r="B18" t="inlineStr">
        <is>
          <t>01-11-2021</t>
        </is>
      </c>
      <c r="C18" t="n">
        <v>2021</v>
      </c>
      <c r="D18" t="n">
        <v>11</v>
      </c>
      <c r="E18" t="inlineStr">
        <is>
          <t>Quintay 012</t>
        </is>
      </c>
      <c r="F18" t="inlineStr">
        <is>
          <t>EDECSA</t>
        </is>
      </c>
      <c r="G18" t="inlineStr">
        <is>
          <t>EDECSA</t>
        </is>
      </c>
      <c r="H18" t="inlineStr">
        <is>
          <t>San Juan SpA.</t>
        </is>
      </c>
      <c r="I18" t="inlineStr">
        <is>
          <t>San Juan SpA.</t>
        </is>
      </c>
      <c r="J18" t="inlineStr">
        <is>
          <t>SIC 2013/03_2_BS2C_BB_Edecsa_San Juan SpA.</t>
        </is>
      </c>
      <c r="K18" t="inlineStr">
        <is>
          <t>Quintay 012</t>
        </is>
      </c>
      <c r="L18" t="inlineStr">
        <is>
          <t>-1</t>
        </is>
      </c>
      <c r="M18" t="n">
        <v>54.45309804513689</v>
      </c>
      <c r="N18" t="n">
        <v>0.06293647557304118</v>
      </c>
      <c r="O18" t="inlineStr">
        <is>
          <t>3</t>
        </is>
      </c>
      <c r="P18" s="2" t="n">
        <v>44938.82615590277</v>
      </c>
      <c r="Q18" t="n">
        <v>13</v>
      </c>
      <c r="R18" t="inlineStr">
        <is>
          <t>MELIPILLA 220</t>
        </is>
      </c>
      <c r="S18" t="n">
        <v>53.35897646079594</v>
      </c>
      <c r="T18" t="n">
        <v>4322.088823198645</v>
      </c>
      <c r="U18" t="n">
        <v>0.06173424956185293</v>
      </c>
      <c r="V18" t="n">
        <v>379.0317162541928</v>
      </c>
      <c r="W18" t="inlineStr">
        <is>
          <t>EDECSA</t>
        </is>
      </c>
      <c r="X18" t="n">
        <v>86.170446627069</v>
      </c>
      <c r="Y18" t="n">
        <v>4.322088823198644</v>
      </c>
      <c r="Z18" t="n">
        <v>4597.966833190048</v>
      </c>
      <c r="AA18" t="n">
        <v>451.7660503625659</v>
      </c>
      <c r="AB18" t="n">
        <v>379.0317162541928</v>
      </c>
      <c r="AC18" t="n">
        <v>451.7660503625659</v>
      </c>
      <c r="AD18" s="2" t="n">
        <v>44501</v>
      </c>
    </row>
    <row r="19">
      <c r="A19" t="n">
        <v>-1</v>
      </c>
      <c r="B19" t="inlineStr">
        <is>
          <t>01-11-2021</t>
        </is>
      </c>
      <c r="C19" t="n">
        <v>2021</v>
      </c>
      <c r="D19" t="n">
        <v>11</v>
      </c>
      <c r="E19" t="inlineStr">
        <is>
          <t>Quintay 012</t>
        </is>
      </c>
      <c r="F19" t="inlineStr">
        <is>
          <t>EDECSA</t>
        </is>
      </c>
      <c r="G19" t="inlineStr">
        <is>
          <t>EDECSA</t>
        </is>
      </c>
      <c r="H19" t="inlineStr">
        <is>
          <t>San Juan SpA.</t>
        </is>
      </c>
      <c r="I19" t="inlineStr">
        <is>
          <t>San Juan SpA.</t>
        </is>
      </c>
      <c r="J19" t="inlineStr">
        <is>
          <t>SIC 2013/03_2_BS2C_BB_Edecsa_San Juan SpA.</t>
        </is>
      </c>
      <c r="K19" t="inlineStr">
        <is>
          <t>Quintay 012</t>
        </is>
      </c>
      <c r="L19" t="inlineStr">
        <is>
          <t>-1</t>
        </is>
      </c>
      <c r="M19" t="n">
        <v>54.45309804513689</v>
      </c>
      <c r="N19" t="n">
        <v>0.06293647557304118</v>
      </c>
      <c r="O19" t="inlineStr">
        <is>
          <t>3</t>
        </is>
      </c>
      <c r="P19" s="2" t="n">
        <v>44938.82615590277</v>
      </c>
      <c r="Q19" t="n">
        <v>11</v>
      </c>
      <c r="R19" t="inlineStr">
        <is>
          <t>QUILLOTA 220</t>
        </is>
      </c>
      <c r="S19" t="n">
        <v>1.686216982894336</v>
      </c>
      <c r="T19" t="n">
        <v>133.2998046308726</v>
      </c>
      <c r="U19" t="n">
        <v>0.001950887122317954</v>
      </c>
      <c r="V19" t="n">
        <v>11.88171965801722</v>
      </c>
      <c r="W19" t="inlineStr">
        <is>
          <t>EDECSA</t>
        </is>
      </c>
      <c r="X19" t="n">
        <v>84.09849042997502</v>
      </c>
      <c r="Y19" t="n">
        <v>0.1332998046308726</v>
      </c>
      <c r="Z19" t="n">
        <v>141.8083027988006</v>
      </c>
      <c r="AA19" t="n">
        <v>14.16176359715997</v>
      </c>
      <c r="AB19" t="n">
        <v>11.88171965801722</v>
      </c>
      <c r="AC19" t="n">
        <v>14.16176359715997</v>
      </c>
      <c r="AD19" s="2" t="n">
        <v>44501</v>
      </c>
    </row>
    <row r="20">
      <c r="A20" t="n">
        <v>-1</v>
      </c>
      <c r="B20" t="inlineStr">
        <is>
          <t>01-11-2021</t>
        </is>
      </c>
      <c r="C20" t="n">
        <v>2021</v>
      </c>
      <c r="D20" t="n">
        <v>11</v>
      </c>
      <c r="E20" t="inlineStr">
        <is>
          <t>San Jeronimo 13.8</t>
        </is>
      </c>
      <c r="F20" t="inlineStr">
        <is>
          <t>EDECSA</t>
        </is>
      </c>
      <c r="G20" t="inlineStr">
        <is>
          <t>EDECSA</t>
        </is>
      </c>
      <c r="H20" t="inlineStr">
        <is>
          <t>San Juan SpA.</t>
        </is>
      </c>
      <c r="I20" t="inlineStr">
        <is>
          <t>San Juan SpA.</t>
        </is>
      </c>
      <c r="J20" t="inlineStr">
        <is>
          <t>SIC 2013/03_2_BS2C_BB_Edecsa_San Juan SpA.</t>
        </is>
      </c>
      <c r="K20" t="inlineStr">
        <is>
          <t>San Jeronimo 13.8</t>
        </is>
      </c>
      <c r="L20" t="inlineStr">
        <is>
          <t>-1</t>
        </is>
      </c>
      <c r="M20" t="n">
        <v>3.140408354822128</v>
      </c>
      <c r="N20" t="n">
        <v>0.003629660034196874</v>
      </c>
      <c r="O20" t="inlineStr">
        <is>
          <t>3</t>
        </is>
      </c>
      <c r="P20" s="2" t="n">
        <v>44938.82615590277</v>
      </c>
      <c r="Q20" t="n">
        <v>31</v>
      </c>
      <c r="R20" t="inlineStr">
        <is>
          <t>LOS MAQUIS 220</t>
        </is>
      </c>
      <c r="S20" t="n">
        <v>0.01516178904009378</v>
      </c>
      <c r="T20" t="n">
        <v>1.198578556260248</v>
      </c>
      <c r="U20" t="n">
        <v>1.754159713114095e-05</v>
      </c>
      <c r="V20" t="n">
        <v>0.108127868174792</v>
      </c>
      <c r="W20" t="inlineStr">
        <is>
          <t>EDECSA</t>
        </is>
      </c>
      <c r="X20" t="n">
        <v>84.09849042997502</v>
      </c>
      <c r="Y20" t="n">
        <v>0.001198578556260249</v>
      </c>
      <c r="Z20" t="n">
        <v>1.275083570489626</v>
      </c>
      <c r="AA20" t="n">
        <v>0.1288770776815161</v>
      </c>
      <c r="AB20" t="n">
        <v>0.108127868174792</v>
      </c>
      <c r="AC20" t="n">
        <v>0.1288770776815161</v>
      </c>
      <c r="AD20" s="2" t="n">
        <v>44501</v>
      </c>
    </row>
    <row r="21">
      <c r="A21" t="n">
        <v>-1</v>
      </c>
      <c r="B21" t="inlineStr">
        <is>
          <t>01-11-2021</t>
        </is>
      </c>
      <c r="C21" t="n">
        <v>2021</v>
      </c>
      <c r="D21" t="n">
        <v>11</v>
      </c>
      <c r="E21" t="inlineStr">
        <is>
          <t>San Jeronimo 13.8</t>
        </is>
      </c>
      <c r="F21" t="inlineStr">
        <is>
          <t>EDECSA</t>
        </is>
      </c>
      <c r="G21" t="inlineStr">
        <is>
          <t>EDECSA</t>
        </is>
      </c>
      <c r="H21" t="inlineStr">
        <is>
          <t>San Juan SpA.</t>
        </is>
      </c>
      <c r="I21" t="inlineStr">
        <is>
          <t>San Juan SpA.</t>
        </is>
      </c>
      <c r="J21" t="inlineStr">
        <is>
          <t>SIC 2013/03_2_BS2C_BB_Edecsa_San Juan SpA.</t>
        </is>
      </c>
      <c r="K21" t="inlineStr">
        <is>
          <t>San Jeronimo 13.8</t>
        </is>
      </c>
      <c r="L21" t="inlineStr">
        <is>
          <t>-1</t>
        </is>
      </c>
      <c r="M21" t="n">
        <v>3.140408354822128</v>
      </c>
      <c r="N21" t="n">
        <v>0.003629660034196874</v>
      </c>
      <c r="O21" t="inlineStr">
        <is>
          <t>3</t>
        </is>
      </c>
      <c r="P21" s="2" t="n">
        <v>44938.82615590277</v>
      </c>
      <c r="Q21" t="n">
        <v>13</v>
      </c>
      <c r="R21" t="inlineStr">
        <is>
          <t>MELIPILLA 220</t>
        </is>
      </c>
      <c r="S21" t="n">
        <v>3.1375815111944</v>
      </c>
      <c r="T21" t="n">
        <v>254.1447921395482</v>
      </c>
      <c r="U21" t="n">
        <v>0.003630059136817285</v>
      </c>
      <c r="V21" t="n">
        <v>22.28758840509621</v>
      </c>
      <c r="W21" t="inlineStr">
        <is>
          <t>EDECSA</t>
        </is>
      </c>
      <c r="X21" t="n">
        <v>86.170446627069</v>
      </c>
      <c r="Y21" t="n">
        <v>0.2541447921395482</v>
      </c>
      <c r="Z21" t="n">
        <v>270.3668001484555</v>
      </c>
      <c r="AA21" t="n">
        <v>26.56446770571658</v>
      </c>
      <c r="AB21" t="n">
        <v>22.28758840509621</v>
      </c>
      <c r="AC21" t="n">
        <v>26.56446770571658</v>
      </c>
      <c r="AD21" s="2" t="n">
        <v>44501</v>
      </c>
    </row>
    <row r="22">
      <c r="A22" t="n">
        <v>-1</v>
      </c>
      <c r="B22" t="inlineStr">
        <is>
          <t>01-11-2021</t>
        </is>
      </c>
      <c r="C22" t="n">
        <v>2021</v>
      </c>
      <c r="D22" t="n">
        <v>11</v>
      </c>
      <c r="E22" t="inlineStr">
        <is>
          <t>San Jeronimo 13.8</t>
        </is>
      </c>
      <c r="F22" t="inlineStr">
        <is>
          <t>EDECSA</t>
        </is>
      </c>
      <c r="G22" t="inlineStr">
        <is>
          <t>EDECSA</t>
        </is>
      </c>
      <c r="H22" t="inlineStr">
        <is>
          <t>San Juan SpA.</t>
        </is>
      </c>
      <c r="I22" t="inlineStr">
        <is>
          <t>San Juan SpA.</t>
        </is>
      </c>
      <c r="J22" t="inlineStr">
        <is>
          <t>SIC 2013/03_2_BS2C_BB_Edecsa_San Juan SpA.</t>
        </is>
      </c>
      <c r="K22" t="inlineStr">
        <is>
          <t>San Jeronimo 13.8</t>
        </is>
      </c>
      <c r="L22" t="inlineStr">
        <is>
          <t>-1</t>
        </is>
      </c>
      <c r="M22" t="n">
        <v>3.140408354822128</v>
      </c>
      <c r="N22" t="n">
        <v>0.003629660034196874</v>
      </c>
      <c r="O22" t="inlineStr">
        <is>
          <t>3</t>
        </is>
      </c>
      <c r="P22" s="2" t="n">
        <v>44938.82615590277</v>
      </c>
      <c r="Q22" t="n">
        <v>5</v>
      </c>
      <c r="R22" t="inlineStr">
        <is>
          <t>NOGALES 220</t>
        </is>
      </c>
      <c r="S22" t="n">
        <v>0.001170885302036037</v>
      </c>
      <c r="T22" t="n">
        <v>0.09467972059491064</v>
      </c>
      <c r="U22" t="n">
        <v>1.354668515752111e-06</v>
      </c>
      <c r="V22" t="n">
        <v>0.008164727754183665</v>
      </c>
      <c r="W22" t="inlineStr">
        <is>
          <t>EDECSA</t>
        </is>
      </c>
      <c r="X22" t="n">
        <v>86.02303474193101</v>
      </c>
      <c r="Y22" t="n">
        <v>9.467972059491062e-05</v>
      </c>
      <c r="Z22" t="n">
        <v>0.1007231070158624</v>
      </c>
      <c r="AA22" t="n">
        <v>0.009731499111065156</v>
      </c>
      <c r="AB22" t="n">
        <v>0.008164727754183665</v>
      </c>
      <c r="AC22" t="n">
        <v>0.009731499111065156</v>
      </c>
      <c r="AD22" s="2" t="n">
        <v>44501</v>
      </c>
    </row>
    <row r="23">
      <c r="A23" t="n">
        <v>-1</v>
      </c>
      <c r="B23" t="inlineStr">
        <is>
          <t>01-11-2021</t>
        </is>
      </c>
      <c r="C23" t="n">
        <v>2021</v>
      </c>
      <c r="D23" t="n">
        <v>11</v>
      </c>
      <c r="E23" t="inlineStr">
        <is>
          <t>San Jeronimo 13.8</t>
        </is>
      </c>
      <c r="F23" t="inlineStr">
        <is>
          <t>EDECSA</t>
        </is>
      </c>
      <c r="G23" t="inlineStr">
        <is>
          <t>EDECSA</t>
        </is>
      </c>
      <c r="H23" t="inlineStr">
        <is>
          <t>San Juan SpA.</t>
        </is>
      </c>
      <c r="I23" t="inlineStr">
        <is>
          <t>San Juan SpA.</t>
        </is>
      </c>
      <c r="J23" t="inlineStr">
        <is>
          <t>SIC 2013/03_2_BS2C_BB_Edecsa_San Juan SpA.</t>
        </is>
      </c>
      <c r="K23" t="inlineStr">
        <is>
          <t>San Jeronimo 13.8</t>
        </is>
      </c>
      <c r="L23" t="inlineStr">
        <is>
          <t>-1</t>
        </is>
      </c>
      <c r="M23" t="n">
        <v>3.140408354822128</v>
      </c>
      <c r="N23" t="n">
        <v>0.003629660034196874</v>
      </c>
      <c r="O23" t="inlineStr">
        <is>
          <t>3</t>
        </is>
      </c>
      <c r="P23" s="2" t="n">
        <v>44938.82615590277</v>
      </c>
      <c r="Q23" t="n">
        <v>11</v>
      </c>
      <c r="R23" t="inlineStr">
        <is>
          <t>QUILLOTA 220</t>
        </is>
      </c>
      <c r="S23" t="n">
        <v>0.06529546822572413</v>
      </c>
      <c r="T23" t="n">
        <v>5.161775291119691</v>
      </c>
      <c r="U23" t="n">
        <v>7.554430384673017e-05</v>
      </c>
      <c r="V23" t="n">
        <v>0.4600964503781422</v>
      </c>
      <c r="W23" t="inlineStr">
        <is>
          <t>EDECSA</t>
        </is>
      </c>
      <c r="X23" t="n">
        <v>84.098490429975</v>
      </c>
      <c r="Y23" t="n">
        <v>0.00516177529111969</v>
      </c>
      <c r="Z23" t="n">
        <v>5.491250309701798</v>
      </c>
      <c r="AA23" t="n">
        <v>0.5483867108201934</v>
      </c>
      <c r="AB23" t="n">
        <v>0.4600964503781422</v>
      </c>
      <c r="AC23" t="n">
        <v>0.5483867108201934</v>
      </c>
      <c r="AD23" s="2" t="n">
        <v>44501</v>
      </c>
    </row>
    <row r="24">
      <c r="A24" t="n">
        <v>-1</v>
      </c>
      <c r="B24" t="inlineStr">
        <is>
          <t>01-11-2021</t>
        </is>
      </c>
      <c r="C24" t="n">
        <v>2021</v>
      </c>
      <c r="D24" t="n">
        <v>11</v>
      </c>
      <c r="E24" t="inlineStr">
        <is>
          <t>Tap Algarrobo Norte 012</t>
        </is>
      </c>
      <c r="F24" t="inlineStr">
        <is>
          <t>EDECSA</t>
        </is>
      </c>
      <c r="G24" t="inlineStr">
        <is>
          <t>EDECSA</t>
        </is>
      </c>
      <c r="H24" t="inlineStr">
        <is>
          <t>San Juan SpA.</t>
        </is>
      </c>
      <c r="I24" t="inlineStr">
        <is>
          <t>San Juan SpA.</t>
        </is>
      </c>
      <c r="J24" t="inlineStr">
        <is>
          <t>SIC 2013/03_2_BS2C_BB_Edecsa_San Juan SpA.</t>
        </is>
      </c>
      <c r="K24" t="inlineStr">
        <is>
          <t>Tap Algarrobo Norte 012</t>
        </is>
      </c>
      <c r="L24" t="inlineStr">
        <is>
          <t>-1</t>
        </is>
      </c>
      <c r="M24" t="n">
        <v>10.64645886360104</v>
      </c>
      <c r="N24" t="n">
        <v>0.01230509598651303</v>
      </c>
      <c r="O24" t="inlineStr">
        <is>
          <t>3</t>
        </is>
      </c>
      <c r="P24" s="2" t="n">
        <v>44938.82615590277</v>
      </c>
      <c r="Q24" t="n">
        <v>31</v>
      </c>
      <c r="R24" t="inlineStr">
        <is>
          <t>LOS MAQUIS 220</t>
        </is>
      </c>
      <c r="S24" t="n">
        <v>0.07331276868768503</v>
      </c>
      <c r="T24" t="n">
        <v>5.795563585323674</v>
      </c>
      <c r="U24" t="n">
        <v>8.482000702470809e-05</v>
      </c>
      <c r="V24" t="n">
        <v>0.5228375996545324</v>
      </c>
      <c r="W24" t="inlineStr">
        <is>
          <t>EDECSA</t>
        </is>
      </c>
      <c r="X24" t="n">
        <v>84.09849042997499</v>
      </c>
      <c r="Y24" t="n">
        <v>0.005795563585323675</v>
      </c>
      <c r="Z24" t="n">
        <v>6.16549317587625</v>
      </c>
      <c r="AA24" t="n">
        <v>0.6231675800411589</v>
      </c>
      <c r="AB24" t="n">
        <v>0.5228375996545324</v>
      </c>
      <c r="AC24" t="n">
        <v>0.6231675800411589</v>
      </c>
      <c r="AD24" s="2" t="n">
        <v>44501</v>
      </c>
    </row>
    <row r="25">
      <c r="A25" t="n">
        <v>-1</v>
      </c>
      <c r="B25" t="inlineStr">
        <is>
          <t>01-11-2021</t>
        </is>
      </c>
      <c r="C25" t="n">
        <v>2021</v>
      </c>
      <c r="D25" t="n">
        <v>11</v>
      </c>
      <c r="E25" t="inlineStr">
        <is>
          <t>Tap Algarrobo Norte 012</t>
        </is>
      </c>
      <c r="F25" t="inlineStr">
        <is>
          <t>EDECSA</t>
        </is>
      </c>
      <c r="G25" t="inlineStr">
        <is>
          <t>EDECSA</t>
        </is>
      </c>
      <c r="H25" t="inlineStr">
        <is>
          <t>San Juan SpA.</t>
        </is>
      </c>
      <c r="I25" t="inlineStr">
        <is>
          <t>San Juan SpA.</t>
        </is>
      </c>
      <c r="J25" t="inlineStr">
        <is>
          <t>SIC 2013/03_2_BS2C_BB_Edecsa_San Juan SpA.</t>
        </is>
      </c>
      <c r="K25" t="inlineStr">
        <is>
          <t>Tap Algarrobo Norte 012</t>
        </is>
      </c>
      <c r="L25" t="inlineStr">
        <is>
          <t>-1</t>
        </is>
      </c>
      <c r="M25" t="n">
        <v>10.64645886360104</v>
      </c>
      <c r="N25" t="n">
        <v>0.01230509598651303</v>
      </c>
      <c r="O25" t="inlineStr">
        <is>
          <t>3</t>
        </is>
      </c>
      <c r="P25" s="2" t="n">
        <v>44938.82615590277</v>
      </c>
      <c r="Q25" t="n">
        <v>13</v>
      </c>
      <c r="R25" t="inlineStr">
        <is>
          <t>MELIPILLA 220</t>
        </is>
      </c>
      <c r="S25" t="n">
        <v>10.60677298082206</v>
      </c>
      <c r="T25" t="n">
        <v>859.1509431276025</v>
      </c>
      <c r="U25" t="n">
        <v>0.0122716216403642</v>
      </c>
      <c r="V25" t="n">
        <v>75.3444618600095</v>
      </c>
      <c r="W25" t="inlineStr">
        <is>
          <t>EDECSA</t>
        </is>
      </c>
      <c r="X25" t="n">
        <v>86.17044662706901</v>
      </c>
      <c r="Y25" t="n">
        <v>0.8591509431276027</v>
      </c>
      <c r="Z25" t="n">
        <v>913.9903650293645</v>
      </c>
      <c r="AA25" t="n">
        <v>89.80269589989214</v>
      </c>
      <c r="AB25" t="n">
        <v>75.3444618600095</v>
      </c>
      <c r="AC25" t="n">
        <v>89.80269589989214</v>
      </c>
      <c r="AD25" s="2" t="n">
        <v>44501</v>
      </c>
    </row>
    <row r="26">
      <c r="A26" t="n">
        <v>-1</v>
      </c>
      <c r="B26" t="inlineStr">
        <is>
          <t>01-11-2021</t>
        </is>
      </c>
      <c r="C26" t="n">
        <v>2021</v>
      </c>
      <c r="D26" t="n">
        <v>11</v>
      </c>
      <c r="E26" t="inlineStr">
        <is>
          <t>Tap Algarrobo Norte 012</t>
        </is>
      </c>
      <c r="F26" t="inlineStr">
        <is>
          <t>EDECSA</t>
        </is>
      </c>
      <c r="G26" t="inlineStr">
        <is>
          <t>EDECSA</t>
        </is>
      </c>
      <c r="H26" t="inlineStr">
        <is>
          <t>San Juan SpA.</t>
        </is>
      </c>
      <c r="I26" t="inlineStr">
        <is>
          <t>San Juan SpA.</t>
        </is>
      </c>
      <c r="J26" t="inlineStr">
        <is>
          <t>SIC 2013/03_2_BS2C_BB_Edecsa_San Juan SpA.</t>
        </is>
      </c>
      <c r="K26" t="inlineStr">
        <is>
          <t>Tap Algarrobo Norte 012</t>
        </is>
      </c>
      <c r="L26" t="inlineStr">
        <is>
          <t>-1</t>
        </is>
      </c>
      <c r="M26" t="n">
        <v>10.64645886360104</v>
      </c>
      <c r="N26" t="n">
        <v>0.01230509598651303</v>
      </c>
      <c r="O26" t="inlineStr">
        <is>
          <t>3</t>
        </is>
      </c>
      <c r="P26" s="2" t="n">
        <v>44938.82615590277</v>
      </c>
      <c r="Q26" t="n">
        <v>5</v>
      </c>
      <c r="R26" t="inlineStr">
        <is>
          <t>NOGALES 220</t>
        </is>
      </c>
      <c r="S26" t="n">
        <v>0.005219292783250169</v>
      </c>
      <c r="T26" t="n">
        <v>0.4220406401565286</v>
      </c>
      <c r="U26" t="n">
        <v>6.038517688851816e-06</v>
      </c>
      <c r="V26" t="n">
        <v>0.03639477288724359</v>
      </c>
      <c r="W26" t="inlineStr">
        <is>
          <t>EDECSA</t>
        </is>
      </c>
      <c r="X26" t="n">
        <v>86.02303474193101</v>
      </c>
      <c r="Y26" t="n">
        <v>0.0004220406401565287</v>
      </c>
      <c r="Z26" t="n">
        <v>0.448979404421839</v>
      </c>
      <c r="AA26" t="n">
        <v>0.04337875195142264</v>
      </c>
      <c r="AB26" t="n">
        <v>0.03639477288724359</v>
      </c>
      <c r="AC26" t="n">
        <v>0.04337875195142264</v>
      </c>
      <c r="AD26" s="2" t="n">
        <v>44501</v>
      </c>
    </row>
    <row r="27">
      <c r="A27" t="n">
        <v>-1</v>
      </c>
      <c r="B27" t="inlineStr">
        <is>
          <t>01-11-2021</t>
        </is>
      </c>
      <c r="C27" t="n">
        <v>2021</v>
      </c>
      <c r="D27" t="n">
        <v>11</v>
      </c>
      <c r="E27" t="inlineStr">
        <is>
          <t>Tap Algarrobo Norte 012</t>
        </is>
      </c>
      <c r="F27" t="inlineStr">
        <is>
          <t>EDECSA</t>
        </is>
      </c>
      <c r="G27" t="inlineStr">
        <is>
          <t>EDECSA</t>
        </is>
      </c>
      <c r="H27" t="inlineStr">
        <is>
          <t>San Juan SpA.</t>
        </is>
      </c>
      <c r="I27" t="inlineStr">
        <is>
          <t>San Juan SpA.</t>
        </is>
      </c>
      <c r="J27" t="inlineStr">
        <is>
          <t>SIC 2013/03_2_BS2C_BB_Edecsa_San Juan SpA.</t>
        </is>
      </c>
      <c r="K27" t="inlineStr">
        <is>
          <t>Tap Algarrobo Norte 012</t>
        </is>
      </c>
      <c r="L27" t="inlineStr">
        <is>
          <t>-1</t>
        </is>
      </c>
      <c r="M27" t="n">
        <v>10.64645886360104</v>
      </c>
      <c r="N27" t="n">
        <v>0.01230509598651303</v>
      </c>
      <c r="O27" t="inlineStr">
        <is>
          <t>3</t>
        </is>
      </c>
      <c r="P27" s="2" t="n">
        <v>44938.82615590277</v>
      </c>
      <c r="Q27" t="n">
        <v>11</v>
      </c>
      <c r="R27" t="inlineStr">
        <is>
          <t>QUILLOTA 220</t>
        </is>
      </c>
      <c r="S27" t="n">
        <v>0.228302132219951</v>
      </c>
      <c r="T27" t="n">
        <v>18.04787280074389</v>
      </c>
      <c r="U27" t="n">
        <v>0.000264136640932849</v>
      </c>
      <c r="V27" t="n">
        <v>1.608702770689043</v>
      </c>
      <c r="W27" t="inlineStr">
        <is>
          <t>EDECSA</t>
        </is>
      </c>
      <c r="X27" t="n">
        <v>84.09849042997502</v>
      </c>
      <c r="Y27" t="n">
        <v>0.01804787280074389</v>
      </c>
      <c r="Z27" t="n">
        <v>19.19986468164244</v>
      </c>
      <c r="AA27" t="n">
        <v>1.917404971023889</v>
      </c>
      <c r="AB27" t="n">
        <v>1.608702770689043</v>
      </c>
      <c r="AC27" t="n">
        <v>1.917404971023889</v>
      </c>
      <c r="AD27" s="2" t="n">
        <v>44501</v>
      </c>
    </row>
    <row r="28">
      <c r="A28" t="n">
        <v>-1</v>
      </c>
      <c r="B28" t="inlineStr">
        <is>
          <t>01-12-2021</t>
        </is>
      </c>
      <c r="C28" t="n">
        <v>2021</v>
      </c>
      <c r="D28" t="n">
        <v>12</v>
      </c>
      <c r="E28" t="inlineStr">
        <is>
          <t>Casablanca 012</t>
        </is>
      </c>
      <c r="F28" t="inlineStr">
        <is>
          <t>EDECSA</t>
        </is>
      </c>
      <c r="G28" t="inlineStr">
        <is>
          <t>EDECSA</t>
        </is>
      </c>
      <c r="H28" t="inlineStr">
        <is>
          <t>San Juan SpA.</t>
        </is>
      </c>
      <c r="I28" t="inlineStr">
        <is>
          <t>San Juan SpA.</t>
        </is>
      </c>
      <c r="J28" t="inlineStr">
        <is>
          <t>SIC 2013/03_2_BS2C_BB_Edecsa_San Juan SpA.</t>
        </is>
      </c>
      <c r="K28" t="inlineStr">
        <is>
          <t>Casablanca 012</t>
        </is>
      </c>
      <c r="L28" t="inlineStr">
        <is>
          <t>-1</t>
        </is>
      </c>
      <c r="M28" t="n">
        <v>1728.141843989379</v>
      </c>
      <c r="N28" t="n">
        <v>1.822853455604773</v>
      </c>
      <c r="O28" t="inlineStr">
        <is>
          <t>3</t>
        </is>
      </c>
      <c r="P28" s="2" t="n">
        <v>44938.82615590277</v>
      </c>
      <c r="Q28" t="n">
        <v>31</v>
      </c>
      <c r="R28" t="inlineStr">
        <is>
          <t>LOS MAQUIS 220</t>
        </is>
      </c>
      <c r="S28" t="n">
        <v>8.614636855140299</v>
      </c>
      <c r="T28" t="n">
        <v>681.0092778125428</v>
      </c>
      <c r="U28" t="n">
        <v>0.009095952885581576</v>
      </c>
      <c r="V28" t="n">
        <v>56.06821244288331</v>
      </c>
      <c r="W28" t="inlineStr">
        <is>
          <t>EDECSA</t>
        </is>
      </c>
      <c r="X28" t="n">
        <v>84.098490429975</v>
      </c>
      <c r="Y28" t="n">
        <v>0.6810092778125428</v>
      </c>
      <c r="Z28" t="n">
        <v>724.4779551197264</v>
      </c>
      <c r="AA28" t="n">
        <v>66.8274284182161</v>
      </c>
      <c r="AB28" t="n">
        <v>56.06821244288331</v>
      </c>
      <c r="AC28" t="n">
        <v>66.8274284182161</v>
      </c>
      <c r="AD28" s="2" t="n">
        <v>44531</v>
      </c>
    </row>
    <row r="29">
      <c r="A29" t="n">
        <v>-1</v>
      </c>
      <c r="B29" t="inlineStr">
        <is>
          <t>01-12-2021</t>
        </is>
      </c>
      <c r="C29" t="n">
        <v>2021</v>
      </c>
      <c r="D29" t="n">
        <v>12</v>
      </c>
      <c r="E29" t="inlineStr">
        <is>
          <t>Casablanca 012</t>
        </is>
      </c>
      <c r="F29" t="inlineStr">
        <is>
          <t>EDECSA</t>
        </is>
      </c>
      <c r="G29" t="inlineStr">
        <is>
          <t>EDECSA</t>
        </is>
      </c>
      <c r="H29" t="inlineStr">
        <is>
          <t>San Juan SpA.</t>
        </is>
      </c>
      <c r="I29" t="inlineStr">
        <is>
          <t>San Juan SpA.</t>
        </is>
      </c>
      <c r="J29" t="inlineStr">
        <is>
          <t>SIC 2013/03_2_BS2C_BB_Edecsa_San Juan SpA.</t>
        </is>
      </c>
      <c r="K29" t="inlineStr">
        <is>
          <t>Casablanca 012</t>
        </is>
      </c>
      <c r="L29" t="inlineStr">
        <is>
          <t>-1</t>
        </is>
      </c>
      <c r="M29" t="n">
        <v>1728.141843989379</v>
      </c>
      <c r="N29" t="n">
        <v>1.822853455604773</v>
      </c>
      <c r="O29" t="inlineStr">
        <is>
          <t>3</t>
        </is>
      </c>
      <c r="P29" s="2" t="n">
        <v>44938.82615590277</v>
      </c>
      <c r="Q29" t="n">
        <v>13</v>
      </c>
      <c r="R29" t="inlineStr">
        <is>
          <t>MELIPILLA 220</t>
        </is>
      </c>
      <c r="S29" t="n">
        <v>1725.761878746759</v>
      </c>
      <c r="T29" t="n">
        <v>139787.0915517632</v>
      </c>
      <c r="U29" t="n">
        <v>1.822183454134424</v>
      </c>
      <c r="V29" t="n">
        <v>11187.71714003862</v>
      </c>
      <c r="W29" t="inlineStr">
        <is>
          <t>EDECSA</t>
        </is>
      </c>
      <c r="X29" t="n">
        <v>86.170446627069</v>
      </c>
      <c r="Y29" t="n">
        <v>139.7870915517632</v>
      </c>
      <c r="Z29" t="n">
        <v>148709.6718635779</v>
      </c>
      <c r="AA29" t="n">
        <v>13334.58538741195</v>
      </c>
      <c r="AB29" t="n">
        <v>11187.71714003862</v>
      </c>
      <c r="AC29" t="n">
        <v>13334.58538741195</v>
      </c>
      <c r="AD29" s="2" t="n">
        <v>44531</v>
      </c>
    </row>
    <row r="30">
      <c r="A30" t="n">
        <v>-1</v>
      </c>
      <c r="B30" t="inlineStr">
        <is>
          <t>01-12-2021</t>
        </is>
      </c>
      <c r="C30" t="n">
        <v>2021</v>
      </c>
      <c r="D30" t="n">
        <v>12</v>
      </c>
      <c r="E30" t="inlineStr">
        <is>
          <t>Casablanca 012</t>
        </is>
      </c>
      <c r="F30" t="inlineStr">
        <is>
          <t>EDECSA</t>
        </is>
      </c>
      <c r="G30" t="inlineStr">
        <is>
          <t>EDECSA</t>
        </is>
      </c>
      <c r="H30" t="inlineStr">
        <is>
          <t>San Juan SpA.</t>
        </is>
      </c>
      <c r="I30" t="inlineStr">
        <is>
          <t>San Juan SpA.</t>
        </is>
      </c>
      <c r="J30" t="inlineStr">
        <is>
          <t>SIC 2013/03_2_BS2C_BB_Edecsa_San Juan SpA.</t>
        </is>
      </c>
      <c r="K30" t="inlineStr">
        <is>
          <t>Casablanca 012</t>
        </is>
      </c>
      <c r="L30" t="inlineStr">
        <is>
          <t>-1</t>
        </is>
      </c>
      <c r="M30" t="n">
        <v>1728.141843989379</v>
      </c>
      <c r="N30" t="n">
        <v>1.822853455604773</v>
      </c>
      <c r="O30" t="inlineStr">
        <is>
          <t>3</t>
        </is>
      </c>
      <c r="P30" s="2" t="n">
        <v>44938.82615590277</v>
      </c>
      <c r="Q30" t="n">
        <v>5</v>
      </c>
      <c r="R30" t="inlineStr">
        <is>
          <t>NOGALES 220</t>
        </is>
      </c>
      <c r="S30" t="n">
        <v>0.8429263862986985</v>
      </c>
      <c r="T30" t="n">
        <v>68.16042066465549</v>
      </c>
      <c r="U30" t="n">
        <v>0.0008900222754266786</v>
      </c>
      <c r="V30" t="n">
        <v>5.364256635124784</v>
      </c>
      <c r="W30" t="inlineStr">
        <is>
          <t>EDECSA</t>
        </is>
      </c>
      <c r="X30" t="n">
        <v>86.023034741931</v>
      </c>
      <c r="Y30" t="n">
        <v>0.0681604206646555</v>
      </c>
      <c r="Z30" t="n">
        <v>72.5110858134633</v>
      </c>
      <c r="AA30" t="n">
        <v>6.393631269517025</v>
      </c>
      <c r="AB30" t="n">
        <v>5.364256635124784</v>
      </c>
      <c r="AC30" t="n">
        <v>6.393631269517025</v>
      </c>
      <c r="AD30" s="2" t="n">
        <v>44531</v>
      </c>
    </row>
    <row r="31">
      <c r="A31" t="n">
        <v>-1</v>
      </c>
      <c r="B31" t="inlineStr">
        <is>
          <t>01-12-2021</t>
        </is>
      </c>
      <c r="C31" t="n">
        <v>2021</v>
      </c>
      <c r="D31" t="n">
        <v>12</v>
      </c>
      <c r="E31" t="inlineStr">
        <is>
          <t>Casablanca 012</t>
        </is>
      </c>
      <c r="F31" t="inlineStr">
        <is>
          <t>EDECSA</t>
        </is>
      </c>
      <c r="G31" t="inlineStr">
        <is>
          <t>EDECSA</t>
        </is>
      </c>
      <c r="H31" t="inlineStr">
        <is>
          <t>San Juan SpA.</t>
        </is>
      </c>
      <c r="I31" t="inlineStr">
        <is>
          <t>San Juan SpA.</t>
        </is>
      </c>
      <c r="J31" t="inlineStr">
        <is>
          <t>SIC 2013/03_2_BS2C_BB_Edecsa_San Juan SpA.</t>
        </is>
      </c>
      <c r="K31" t="inlineStr">
        <is>
          <t>Casablanca 012</t>
        </is>
      </c>
      <c r="L31" t="inlineStr">
        <is>
          <t>-1</t>
        </is>
      </c>
      <c r="M31" t="n">
        <v>1728.141843989379</v>
      </c>
      <c r="N31" t="n">
        <v>1.822853455604773</v>
      </c>
      <c r="O31" t="inlineStr">
        <is>
          <t>3</t>
        </is>
      </c>
      <c r="P31" s="2" t="n">
        <v>44938.82615590277</v>
      </c>
      <c r="Q31" t="n">
        <v>11</v>
      </c>
      <c r="R31" t="inlineStr">
        <is>
          <t>QUILLOTA 220</t>
        </is>
      </c>
      <c r="S31" t="n">
        <v>36.28613266061743</v>
      </c>
      <c r="T31" t="n">
        <v>2868.512441481754</v>
      </c>
      <c r="U31" t="n">
        <v>0.03831350742126709</v>
      </c>
      <c r="V31" t="n">
        <v>233.3453069052883</v>
      </c>
      <c r="W31" t="inlineStr">
        <is>
          <t>EDECSA</t>
        </is>
      </c>
      <c r="X31" t="n">
        <v>84.098490429975</v>
      </c>
      <c r="Y31" t="n">
        <v>2.868512441481754</v>
      </c>
      <c r="Z31" t="n">
        <v>3051.608980299739</v>
      </c>
      <c r="AA31" t="n">
        <v>278.123130995576</v>
      </c>
      <c r="AB31" t="n">
        <v>233.3453069052883</v>
      </c>
      <c r="AC31" t="n">
        <v>278.123130995576</v>
      </c>
      <c r="AD31" s="2" t="n">
        <v>44531</v>
      </c>
    </row>
    <row r="32">
      <c r="A32" t="n">
        <v>-1</v>
      </c>
      <c r="B32" t="inlineStr">
        <is>
          <t>01-12-2021</t>
        </is>
      </c>
      <c r="C32" t="n">
        <v>2021</v>
      </c>
      <c r="D32" t="n">
        <v>12</v>
      </c>
      <c r="E32" t="inlineStr">
        <is>
          <t>Quintay 012</t>
        </is>
      </c>
      <c r="F32" t="inlineStr">
        <is>
          <t>EDECSA</t>
        </is>
      </c>
      <c r="G32" t="inlineStr">
        <is>
          <t>EDECSA</t>
        </is>
      </c>
      <c r="H32" t="inlineStr">
        <is>
          <t>San Juan SpA.</t>
        </is>
      </c>
      <c r="I32" t="inlineStr">
        <is>
          <t>San Juan SpA.</t>
        </is>
      </c>
      <c r="J32" t="inlineStr">
        <is>
          <t>SIC 2013/03_2_BS2C_BB_Edecsa_San Juan SpA.</t>
        </is>
      </c>
      <c r="K32" t="inlineStr">
        <is>
          <t>Quintay 012</t>
        </is>
      </c>
      <c r="L32" t="inlineStr">
        <is>
          <t>-1</t>
        </is>
      </c>
      <c r="M32" t="n">
        <v>58.6655514729545</v>
      </c>
      <c r="N32" t="n">
        <v>0.0618807441063802</v>
      </c>
      <c r="O32" t="inlineStr">
        <is>
          <t>3</t>
        </is>
      </c>
      <c r="P32" s="2" t="n">
        <v>44938.82615590277</v>
      </c>
      <c r="Q32" t="n">
        <v>31</v>
      </c>
      <c r="R32" t="inlineStr">
        <is>
          <t>LOS MAQUIS 220</t>
        </is>
      </c>
      <c r="S32" t="n">
        <v>0.8341771189445347</v>
      </c>
      <c r="T32" t="n">
        <v>65.9438542671934</v>
      </c>
      <c r="U32" t="n">
        <v>0.0008807841699818341</v>
      </c>
      <c r="V32" t="n">
        <v>5.429227105733035</v>
      </c>
      <c r="W32" t="inlineStr">
        <is>
          <t>EDECSA</t>
        </is>
      </c>
      <c r="X32" t="n">
        <v>84.098490429975</v>
      </c>
      <c r="Y32" t="n">
        <v>0.0659438542671934</v>
      </c>
      <c r="Z32" t="n">
        <v>70.15303645446107</v>
      </c>
      <c r="AA32" t="n">
        <v>6.471069255939256</v>
      </c>
      <c r="AB32" t="n">
        <v>5.429227105733035</v>
      </c>
      <c r="AC32" t="n">
        <v>6.471069255939256</v>
      </c>
      <c r="AD32" s="2" t="n">
        <v>44531</v>
      </c>
    </row>
    <row r="33">
      <c r="A33" t="n">
        <v>-1</v>
      </c>
      <c r="B33" t="inlineStr">
        <is>
          <t>01-12-2021</t>
        </is>
      </c>
      <c r="C33" t="n">
        <v>2021</v>
      </c>
      <c r="D33" t="n">
        <v>12</v>
      </c>
      <c r="E33" t="inlineStr">
        <is>
          <t>Quintay 012</t>
        </is>
      </c>
      <c r="F33" t="inlineStr">
        <is>
          <t>EDECSA</t>
        </is>
      </c>
      <c r="G33" t="inlineStr">
        <is>
          <t>EDECSA</t>
        </is>
      </c>
      <c r="H33" t="inlineStr">
        <is>
          <t>San Juan SpA.</t>
        </is>
      </c>
      <c r="I33" t="inlineStr">
        <is>
          <t>San Juan SpA.</t>
        </is>
      </c>
      <c r="J33" t="inlineStr">
        <is>
          <t>SIC 2013/03_2_BS2C_BB_Edecsa_San Juan SpA.</t>
        </is>
      </c>
      <c r="K33" t="inlineStr">
        <is>
          <t>Quintay 012</t>
        </is>
      </c>
      <c r="L33" t="inlineStr">
        <is>
          <t>-1</t>
        </is>
      </c>
      <c r="M33" t="n">
        <v>58.6655514729545</v>
      </c>
      <c r="N33" t="n">
        <v>0.0618807441063802</v>
      </c>
      <c r="O33" t="inlineStr">
        <is>
          <t>3</t>
        </is>
      </c>
      <c r="P33" s="2" t="n">
        <v>44938.82615590277</v>
      </c>
      <c r="Q33" t="n">
        <v>13</v>
      </c>
      <c r="R33" t="inlineStr">
        <is>
          <t>MELIPILLA 220</t>
        </is>
      </c>
      <c r="S33" t="n">
        <v>57.48678941114088</v>
      </c>
      <c r="T33" t="n">
        <v>4656.442579591414</v>
      </c>
      <c r="U33" t="n">
        <v>0.06069868490336627</v>
      </c>
      <c r="V33" t="n">
        <v>372.6736273070659</v>
      </c>
      <c r="W33" t="inlineStr">
        <is>
          <t>EDECSA</t>
        </is>
      </c>
      <c r="X33" t="n">
        <v>86.170446627069</v>
      </c>
      <c r="Y33" t="n">
        <v>4.656442579591414</v>
      </c>
      <c r="Z33" t="n">
        <v>4953.66231871427</v>
      </c>
      <c r="AA33" t="n">
        <v>444.1878752170035</v>
      </c>
      <c r="AB33" t="n">
        <v>372.6736273070659</v>
      </c>
      <c r="AC33" t="n">
        <v>444.1878752170035</v>
      </c>
      <c r="AD33" s="2" t="n">
        <v>44531</v>
      </c>
    </row>
    <row r="34">
      <c r="A34" t="n">
        <v>-1</v>
      </c>
      <c r="B34" t="inlineStr">
        <is>
          <t>01-12-2021</t>
        </is>
      </c>
      <c r="C34" t="n">
        <v>2021</v>
      </c>
      <c r="D34" t="n">
        <v>12</v>
      </c>
      <c r="E34" t="inlineStr">
        <is>
          <t>Quintay 012</t>
        </is>
      </c>
      <c r="F34" t="inlineStr">
        <is>
          <t>EDECSA</t>
        </is>
      </c>
      <c r="G34" t="inlineStr">
        <is>
          <t>EDECSA</t>
        </is>
      </c>
      <c r="H34" t="inlineStr">
        <is>
          <t>San Juan SpA.</t>
        </is>
      </c>
      <c r="I34" t="inlineStr">
        <is>
          <t>San Juan SpA.</t>
        </is>
      </c>
      <c r="J34" t="inlineStr">
        <is>
          <t>SIC 2013/03_2_BS2C_BB_Edecsa_San Juan SpA.</t>
        </is>
      </c>
      <c r="K34" t="inlineStr">
        <is>
          <t>Quintay 012</t>
        </is>
      </c>
      <c r="L34" t="inlineStr">
        <is>
          <t>-1</t>
        </is>
      </c>
      <c r="M34" t="n">
        <v>58.6655514729545</v>
      </c>
      <c r="N34" t="n">
        <v>0.0618807441063802</v>
      </c>
      <c r="O34" t="inlineStr">
        <is>
          <t>3</t>
        </is>
      </c>
      <c r="P34" s="2" t="n">
        <v>44938.82615590277</v>
      </c>
      <c r="Q34" t="n">
        <v>11</v>
      </c>
      <c r="R34" t="inlineStr">
        <is>
          <t>QUILLOTA 220</t>
        </is>
      </c>
      <c r="S34" t="n">
        <v>1.816661544629826</v>
      </c>
      <c r="T34" t="n">
        <v>143.6117839140217</v>
      </c>
      <c r="U34" t="n">
        <v>0.001918161856020758</v>
      </c>
      <c r="V34" t="n">
        <v>11.68240908006063</v>
      </c>
      <c r="W34" t="inlineStr">
        <is>
          <t>EDECSA</t>
        </is>
      </c>
      <c r="X34" t="n">
        <v>84.098490429975</v>
      </c>
      <c r="Y34" t="n">
        <v>0.1436117839140217</v>
      </c>
      <c r="Z34" t="n">
        <v>152.778493525555</v>
      </c>
      <c r="AA34" t="n">
        <v>13.92420629327847</v>
      </c>
      <c r="AB34" t="n">
        <v>11.68240908006063</v>
      </c>
      <c r="AC34" t="n">
        <v>13.92420629327847</v>
      </c>
      <c r="AD34" s="2" t="n">
        <v>44531</v>
      </c>
    </row>
    <row r="35">
      <c r="A35" t="n">
        <v>-1</v>
      </c>
      <c r="B35" t="inlineStr">
        <is>
          <t>01-12-2021</t>
        </is>
      </c>
      <c r="C35" t="n">
        <v>2021</v>
      </c>
      <c r="D35" t="n">
        <v>12</v>
      </c>
      <c r="E35" t="inlineStr">
        <is>
          <t>San Jeronimo 13.8</t>
        </is>
      </c>
      <c r="F35" t="inlineStr">
        <is>
          <t>EDECSA</t>
        </is>
      </c>
      <c r="G35" t="inlineStr">
        <is>
          <t>EDECSA</t>
        </is>
      </c>
      <c r="H35" t="inlineStr">
        <is>
          <t>San Juan SpA.</t>
        </is>
      </c>
      <c r="I35" t="inlineStr">
        <is>
          <t>San Juan SpA.</t>
        </is>
      </c>
      <c r="J35" t="inlineStr">
        <is>
          <t>SIC 2013/03_2_BS2C_BB_Edecsa_San Juan SpA.</t>
        </is>
      </c>
      <c r="K35" t="inlineStr">
        <is>
          <t>San Jeronimo 13.8</t>
        </is>
      </c>
      <c r="L35" t="inlineStr">
        <is>
          <t>-1</t>
        </is>
      </c>
      <c r="M35" t="n">
        <v>3.517155339321345</v>
      </c>
      <c r="N35" t="n">
        <v>0.003709914661507435</v>
      </c>
      <c r="O35" t="inlineStr">
        <is>
          <t>3</t>
        </is>
      </c>
      <c r="P35" s="2" t="n">
        <v>44938.82615590277</v>
      </c>
      <c r="Q35" t="n">
        <v>31</v>
      </c>
      <c r="R35" t="inlineStr">
        <is>
          <t>LOS MAQUIS 220</t>
        </is>
      </c>
      <c r="S35" t="n">
        <v>0.01698071118494718</v>
      </c>
      <c r="T35" t="n">
        <v>1.342369046456563</v>
      </c>
      <c r="U35" t="n">
        <v>1.792945558811163e-05</v>
      </c>
      <c r="V35" t="n">
        <v>0.110518660061772</v>
      </c>
      <c r="W35" t="inlineStr">
        <is>
          <t>EDECSA</t>
        </is>
      </c>
      <c r="X35" t="n">
        <v>84.09849042997499</v>
      </c>
      <c r="Y35" t="n">
        <v>0.001342369046456562</v>
      </c>
      <c r="Z35" t="n">
        <v>1.42805217708145</v>
      </c>
      <c r="AA35" t="n">
        <v>0.1317266508483575</v>
      </c>
      <c r="AB35" t="n">
        <v>0.110518660061772</v>
      </c>
      <c r="AC35" t="n">
        <v>0.1317266508483575</v>
      </c>
      <c r="AD35" s="2" t="n">
        <v>44531</v>
      </c>
    </row>
    <row r="36">
      <c r="A36" t="n">
        <v>-1</v>
      </c>
      <c r="B36" t="inlineStr">
        <is>
          <t>01-12-2021</t>
        </is>
      </c>
      <c r="C36" t="n">
        <v>2021</v>
      </c>
      <c r="D36" t="n">
        <v>12</v>
      </c>
      <c r="E36" t="inlineStr">
        <is>
          <t>San Jeronimo 13.8</t>
        </is>
      </c>
      <c r="F36" t="inlineStr">
        <is>
          <t>EDECSA</t>
        </is>
      </c>
      <c r="G36" t="inlineStr">
        <is>
          <t>EDECSA</t>
        </is>
      </c>
      <c r="H36" t="inlineStr">
        <is>
          <t>San Juan SpA.</t>
        </is>
      </c>
      <c r="I36" t="inlineStr">
        <is>
          <t>San Juan SpA.</t>
        </is>
      </c>
      <c r="J36" t="inlineStr">
        <is>
          <t>SIC 2013/03_2_BS2C_BB_Edecsa_San Juan SpA.</t>
        </is>
      </c>
      <c r="K36" t="inlineStr">
        <is>
          <t>San Jeronimo 13.8</t>
        </is>
      </c>
      <c r="L36" t="inlineStr">
        <is>
          <t>-1</t>
        </is>
      </c>
      <c r="M36" t="n">
        <v>3.517155339321345</v>
      </c>
      <c r="N36" t="n">
        <v>0.003709914661507435</v>
      </c>
      <c r="O36" t="inlineStr">
        <is>
          <t>3</t>
        </is>
      </c>
      <c r="P36" s="2" t="n">
        <v>44938.82615590277</v>
      </c>
      <c r="Q36" t="n">
        <v>13</v>
      </c>
      <c r="R36" t="inlineStr">
        <is>
          <t>MELIPILLA 220</t>
        </is>
      </c>
      <c r="S36" t="n">
        <v>3.513989366290028</v>
      </c>
      <c r="T36" t="n">
        <v>284.6339111478239</v>
      </c>
      <c r="U36" t="n">
        <v>0.003710322588599493</v>
      </c>
      <c r="V36" t="n">
        <v>22.78038444776965</v>
      </c>
      <c r="W36" t="inlineStr">
        <is>
          <t>EDECSA</t>
        </is>
      </c>
      <c r="X36" t="n">
        <v>86.17044662706901</v>
      </c>
      <c r="Y36" t="n">
        <v>0.2846339111478239</v>
      </c>
      <c r="Z36" t="n">
        <v>302.8020331359829</v>
      </c>
      <c r="AA36" t="n">
        <v>27.15182890079815</v>
      </c>
      <c r="AB36" t="n">
        <v>22.78038444776965</v>
      </c>
      <c r="AC36" t="n">
        <v>27.15182890079815</v>
      </c>
      <c r="AD36" s="2" t="n">
        <v>44531</v>
      </c>
    </row>
    <row r="37">
      <c r="A37" t="n">
        <v>-1</v>
      </c>
      <c r="B37" t="inlineStr">
        <is>
          <t>01-12-2021</t>
        </is>
      </c>
      <c r="C37" t="n">
        <v>2021</v>
      </c>
      <c r="D37" t="n">
        <v>12</v>
      </c>
      <c r="E37" t="inlineStr">
        <is>
          <t>San Jeronimo 13.8</t>
        </is>
      </c>
      <c r="F37" t="inlineStr">
        <is>
          <t>EDECSA</t>
        </is>
      </c>
      <c r="G37" t="inlineStr">
        <is>
          <t>EDECSA</t>
        </is>
      </c>
      <c r="H37" t="inlineStr">
        <is>
          <t>San Juan SpA.</t>
        </is>
      </c>
      <c r="I37" t="inlineStr">
        <is>
          <t>San Juan SpA.</t>
        </is>
      </c>
      <c r="J37" t="inlineStr">
        <is>
          <t>SIC 2013/03_2_BS2C_BB_Edecsa_San Juan SpA.</t>
        </is>
      </c>
      <c r="K37" t="inlineStr">
        <is>
          <t>San Jeronimo 13.8</t>
        </is>
      </c>
      <c r="L37" t="inlineStr">
        <is>
          <t>-1</t>
        </is>
      </c>
      <c r="M37" t="n">
        <v>3.517155339321345</v>
      </c>
      <c r="N37" t="n">
        <v>0.003709914661507435</v>
      </c>
      <c r="O37" t="inlineStr">
        <is>
          <t>3</t>
        </is>
      </c>
      <c r="P37" s="2" t="n">
        <v>44938.82615590277</v>
      </c>
      <c r="Q37" t="n">
        <v>5</v>
      </c>
      <c r="R37" t="inlineStr">
        <is>
          <t>NOGALES 220</t>
        </is>
      </c>
      <c r="S37" t="n">
        <v>0.001311353501357687</v>
      </c>
      <c r="T37" t="n">
        <v>0.1060382113378705</v>
      </c>
      <c r="U37" t="n">
        <v>1.384621298061403e-06</v>
      </c>
      <c r="V37" t="n">
        <v>0.008345256282153419</v>
      </c>
      <c r="W37" t="inlineStr">
        <is>
          <t>EDECSA</t>
        </is>
      </c>
      <c r="X37" t="n">
        <v>86.02303474193101</v>
      </c>
      <c r="Y37" t="n">
        <v>0.0001060382113378705</v>
      </c>
      <c r="Z37" t="n">
        <v>0.1128066078062452</v>
      </c>
      <c r="AA37" t="n">
        <v>0.009946670181350916</v>
      </c>
      <c r="AB37" t="n">
        <v>0.008345256282153419</v>
      </c>
      <c r="AC37" t="n">
        <v>0.009946670181350916</v>
      </c>
      <c r="AD37" s="2" t="n">
        <v>44531</v>
      </c>
    </row>
    <row r="38">
      <c r="A38" t="n">
        <v>-1</v>
      </c>
      <c r="B38" t="inlineStr">
        <is>
          <t>01-12-2021</t>
        </is>
      </c>
      <c r="C38" t="n">
        <v>2021</v>
      </c>
      <c r="D38" t="n">
        <v>12</v>
      </c>
      <c r="E38" t="inlineStr">
        <is>
          <t>San Jeronimo 13.8</t>
        </is>
      </c>
      <c r="F38" t="inlineStr">
        <is>
          <t>EDECSA</t>
        </is>
      </c>
      <c r="G38" t="inlineStr">
        <is>
          <t>EDECSA</t>
        </is>
      </c>
      <c r="H38" t="inlineStr">
        <is>
          <t>San Juan SpA.</t>
        </is>
      </c>
      <c r="I38" t="inlineStr">
        <is>
          <t>San Juan SpA.</t>
        </is>
      </c>
      <c r="J38" t="inlineStr">
        <is>
          <t>SIC 2013/03_2_BS2C_BB_Edecsa_San Juan SpA.</t>
        </is>
      </c>
      <c r="K38" t="inlineStr">
        <is>
          <t>San Jeronimo 13.8</t>
        </is>
      </c>
      <c r="L38" t="inlineStr">
        <is>
          <t>-1</t>
        </is>
      </c>
      <c r="M38" t="n">
        <v>3.517155339321345</v>
      </c>
      <c r="N38" t="n">
        <v>0.003709914661507435</v>
      </c>
      <c r="O38" t="inlineStr">
        <is>
          <t>3</t>
        </is>
      </c>
      <c r="P38" s="2" t="n">
        <v>44938.82615590277</v>
      </c>
      <c r="Q38" t="n">
        <v>11</v>
      </c>
      <c r="R38" t="inlineStr">
        <is>
          <t>QUILLOTA 220</t>
        </is>
      </c>
      <c r="S38" t="n">
        <v>0.0731288032497291</v>
      </c>
      <c r="T38" t="n">
        <v>5.781020642637696</v>
      </c>
      <c r="U38" t="n">
        <v>7.721464759615424e-05</v>
      </c>
      <c r="V38" t="n">
        <v>0.4702695433962547</v>
      </c>
      <c r="W38" t="inlineStr">
        <is>
          <t>EDECSA</t>
        </is>
      </c>
      <c r="X38" t="n">
        <v>84.098490429975</v>
      </c>
      <c r="Y38" t="n">
        <v>0.005781020642637695</v>
      </c>
      <c r="Z38" t="n">
        <v>6.150021960252868</v>
      </c>
      <c r="AA38" t="n">
        <v>0.5605119706749162</v>
      </c>
      <c r="AB38" t="n">
        <v>0.4702695433962547</v>
      </c>
      <c r="AC38" t="n">
        <v>0.5605119706749162</v>
      </c>
      <c r="AD38" s="2" t="n">
        <v>44531</v>
      </c>
    </row>
    <row r="39">
      <c r="A39" t="n">
        <v>-1</v>
      </c>
      <c r="B39" t="inlineStr">
        <is>
          <t>01-12-2021</t>
        </is>
      </c>
      <c r="C39" t="n">
        <v>2021</v>
      </c>
      <c r="D39" t="n">
        <v>12</v>
      </c>
      <c r="E39" t="inlineStr">
        <is>
          <t>Tap Algarrobo Norte 012</t>
        </is>
      </c>
      <c r="F39" t="inlineStr">
        <is>
          <t>EDECSA</t>
        </is>
      </c>
      <c r="G39" t="inlineStr">
        <is>
          <t>EDECSA</t>
        </is>
      </c>
      <c r="H39" t="inlineStr">
        <is>
          <t>San Juan SpA.</t>
        </is>
      </c>
      <c r="I39" t="inlineStr">
        <is>
          <t>San Juan SpA.</t>
        </is>
      </c>
      <c r="J39" t="inlineStr">
        <is>
          <t>SIC 2013/03_2_BS2C_BB_Edecsa_San Juan SpA.</t>
        </is>
      </c>
      <c r="K39" t="inlineStr">
        <is>
          <t>Tap Algarrobo Norte 012</t>
        </is>
      </c>
      <c r="L39" t="inlineStr">
        <is>
          <t>-1</t>
        </is>
      </c>
      <c r="M39" t="n">
        <v>13.84531568678748</v>
      </c>
      <c r="N39" t="n">
        <v>0.01460411460516353</v>
      </c>
      <c r="O39" t="inlineStr">
        <is>
          <t>3</t>
        </is>
      </c>
      <c r="P39" s="2" t="n">
        <v>44938.82615590277</v>
      </c>
      <c r="Q39" t="n">
        <v>31</v>
      </c>
      <c r="R39" t="inlineStr">
        <is>
          <t>LOS MAQUIS 220</t>
        </is>
      </c>
      <c r="S39" t="n">
        <v>0.09534047323694851</v>
      </c>
      <c r="T39" t="n">
        <v>7.536910483540393</v>
      </c>
      <c r="U39" t="n">
        <v>0.0001006673255338528</v>
      </c>
      <c r="V39" t="n">
        <v>0.6205217930532488</v>
      </c>
      <c r="W39" t="inlineStr">
        <is>
          <t>EDECSA</t>
        </is>
      </c>
      <c r="X39" t="n">
        <v>84.09849042997499</v>
      </c>
      <c r="Y39" t="n">
        <v>0.007536910483540393</v>
      </c>
      <c r="Z39" t="n">
        <v>8.017989876106801</v>
      </c>
      <c r="AA39" t="n">
        <v>0.7395968927929069</v>
      </c>
      <c r="AB39" t="n">
        <v>0.6205217930532488</v>
      </c>
      <c r="AC39" t="n">
        <v>0.7395968927929069</v>
      </c>
      <c r="AD39" s="2" t="n">
        <v>44531</v>
      </c>
    </row>
    <row r="40">
      <c r="A40" t="n">
        <v>-1</v>
      </c>
      <c r="B40" t="inlineStr">
        <is>
          <t>01-12-2021</t>
        </is>
      </c>
      <c r="C40" t="n">
        <v>2021</v>
      </c>
      <c r="D40" t="n">
        <v>12</v>
      </c>
      <c r="E40" t="inlineStr">
        <is>
          <t>Tap Algarrobo Norte 012</t>
        </is>
      </c>
      <c r="F40" t="inlineStr">
        <is>
          <t>EDECSA</t>
        </is>
      </c>
      <c r="G40" t="inlineStr">
        <is>
          <t>EDECSA</t>
        </is>
      </c>
      <c r="H40" t="inlineStr">
        <is>
          <t>San Juan SpA.</t>
        </is>
      </c>
      <c r="I40" t="inlineStr">
        <is>
          <t>San Juan SpA.</t>
        </is>
      </c>
      <c r="J40" t="inlineStr">
        <is>
          <t>SIC 2013/03_2_BS2C_BB_Edecsa_San Juan SpA.</t>
        </is>
      </c>
      <c r="K40" t="inlineStr">
        <is>
          <t>Tap Algarrobo Norte 012</t>
        </is>
      </c>
      <c r="L40" t="inlineStr">
        <is>
          <t>-1</t>
        </is>
      </c>
      <c r="M40" t="n">
        <v>13.84531568678748</v>
      </c>
      <c r="N40" t="n">
        <v>0.01460411460516353</v>
      </c>
      <c r="O40" t="inlineStr">
        <is>
          <t>3</t>
        </is>
      </c>
      <c r="P40" s="2" t="n">
        <v>44938.82615590277</v>
      </c>
      <c r="Q40" t="n">
        <v>13</v>
      </c>
      <c r="R40" t="inlineStr">
        <is>
          <t>MELIPILLA 220</t>
        </is>
      </c>
      <c r="S40" t="n">
        <v>13.79370570243274</v>
      </c>
      <c r="T40" t="n">
        <v>1117.293194159719</v>
      </c>
      <c r="U40" t="n">
        <v>0.01456438609040622</v>
      </c>
      <c r="V40" t="n">
        <v>89.42141996080124</v>
      </c>
      <c r="W40" t="inlineStr">
        <is>
          <t>EDECSA</t>
        </is>
      </c>
      <c r="X40" t="n">
        <v>86.170446627069</v>
      </c>
      <c r="Y40" t="n">
        <v>1.117293194159719</v>
      </c>
      <c r="Z40" t="n">
        <v>1188.609781020978</v>
      </c>
      <c r="AA40" t="n">
        <v>106.5809534693698</v>
      </c>
      <c r="AB40" t="n">
        <v>89.42141996080124</v>
      </c>
      <c r="AC40" t="n">
        <v>106.5809534693698</v>
      </c>
      <c r="AD40" s="2" t="n">
        <v>44531</v>
      </c>
    </row>
    <row r="41">
      <c r="A41" t="n">
        <v>-1</v>
      </c>
      <c r="B41" t="inlineStr">
        <is>
          <t>01-12-2021</t>
        </is>
      </c>
      <c r="C41" t="n">
        <v>2021</v>
      </c>
      <c r="D41" t="n">
        <v>12</v>
      </c>
      <c r="E41" t="inlineStr">
        <is>
          <t>Tap Algarrobo Norte 012</t>
        </is>
      </c>
      <c r="F41" t="inlineStr">
        <is>
          <t>EDECSA</t>
        </is>
      </c>
      <c r="G41" t="inlineStr">
        <is>
          <t>EDECSA</t>
        </is>
      </c>
      <c r="H41" t="inlineStr">
        <is>
          <t>San Juan SpA.</t>
        </is>
      </c>
      <c r="I41" t="inlineStr">
        <is>
          <t>San Juan SpA.</t>
        </is>
      </c>
      <c r="J41" t="inlineStr">
        <is>
          <t>SIC 2013/03_2_BS2C_BB_Edecsa_San Juan SpA.</t>
        </is>
      </c>
      <c r="K41" t="inlineStr">
        <is>
          <t>Tap Algarrobo Norte 012</t>
        </is>
      </c>
      <c r="L41" t="inlineStr">
        <is>
          <t>-1</t>
        </is>
      </c>
      <c r="M41" t="n">
        <v>13.84531568678748</v>
      </c>
      <c r="N41" t="n">
        <v>0.01460411460516353</v>
      </c>
      <c r="O41" t="inlineStr">
        <is>
          <t>3</t>
        </is>
      </c>
      <c r="P41" s="2" t="n">
        <v>44938.82615590277</v>
      </c>
      <c r="Q41" t="n">
        <v>5</v>
      </c>
      <c r="R41" t="inlineStr">
        <is>
          <t>NOGALES 220</t>
        </is>
      </c>
      <c r="S41" t="n">
        <v>0.006787492176664296</v>
      </c>
      <c r="T41" t="n">
        <v>0.548847834804351</v>
      </c>
      <c r="U41" t="n">
        <v>7.166722183228521e-06</v>
      </c>
      <c r="V41" t="n">
        <v>0.04319457847844242</v>
      </c>
      <c r="W41" t="inlineStr">
        <is>
          <t>EDECSA</t>
        </is>
      </c>
      <c r="X41" t="n">
        <v>86.023034741931</v>
      </c>
      <c r="Y41" t="n">
        <v>0.000548847834804351</v>
      </c>
      <c r="Z41" t="n">
        <v>0.5838806753237776</v>
      </c>
      <c r="AA41" t="n">
        <v>0.0514834070064868</v>
      </c>
      <c r="AB41" t="n">
        <v>0.04319457847844242</v>
      </c>
      <c r="AC41" t="n">
        <v>0.0514834070064868</v>
      </c>
      <c r="AD41" s="2" t="n">
        <v>44531</v>
      </c>
    </row>
    <row r="42">
      <c r="A42" t="n">
        <v>-1</v>
      </c>
      <c r="B42" t="inlineStr">
        <is>
          <t>01-12-2021</t>
        </is>
      </c>
      <c r="C42" t="n">
        <v>2021</v>
      </c>
      <c r="D42" t="n">
        <v>12</v>
      </c>
      <c r="E42" t="inlineStr">
        <is>
          <t>Tap Algarrobo Norte 012</t>
        </is>
      </c>
      <c r="F42" t="inlineStr">
        <is>
          <t>EDECSA</t>
        </is>
      </c>
      <c r="G42" t="inlineStr">
        <is>
          <t>EDECSA</t>
        </is>
      </c>
      <c r="H42" t="inlineStr">
        <is>
          <t>San Juan SpA.</t>
        </is>
      </c>
      <c r="I42" t="inlineStr">
        <is>
          <t>San Juan SpA.</t>
        </is>
      </c>
      <c r="J42" t="inlineStr">
        <is>
          <t>SIC 2013/03_2_BS2C_BB_Edecsa_San Juan SpA.</t>
        </is>
      </c>
      <c r="K42" t="inlineStr">
        <is>
          <t>Tap Algarrobo Norte 012</t>
        </is>
      </c>
      <c r="L42" t="inlineStr">
        <is>
          <t>-1</t>
        </is>
      </c>
      <c r="M42" t="n">
        <v>13.84531568678748</v>
      </c>
      <c r="N42" t="n">
        <v>0.01460411460516353</v>
      </c>
      <c r="O42" t="inlineStr">
        <is>
          <t>3</t>
        </is>
      </c>
      <c r="P42" s="2" t="n">
        <v>44938.82615590277</v>
      </c>
      <c r="Q42" t="n">
        <v>11</v>
      </c>
      <c r="R42" t="inlineStr">
        <is>
          <t>QUILLOTA 220</t>
        </is>
      </c>
      <c r="S42" t="n">
        <v>0.2968982581953805</v>
      </c>
      <c r="T42" t="n">
        <v>23.47057360598923</v>
      </c>
      <c r="U42" t="n">
        <v>0.0003134865245938951</v>
      </c>
      <c r="V42" t="n">
        <v>1.909264231220714</v>
      </c>
      <c r="W42" t="inlineStr">
        <is>
          <t>EDECSA</t>
        </is>
      </c>
      <c r="X42" t="n">
        <v>84.098490429975</v>
      </c>
      <c r="Y42" t="n">
        <v>0.02347057360598923</v>
      </c>
      <c r="Z42" t="n">
        <v>24.96869532552045</v>
      </c>
      <c r="AA42" t="n">
        <v>2.275642707056871</v>
      </c>
      <c r="AB42" t="n">
        <v>1.909264231220714</v>
      </c>
      <c r="AC42" t="n">
        <v>2.275642707056871</v>
      </c>
      <c r="AD42" s="2" t="n">
        <v>44531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P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Fecha</t>
        </is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Decreto</t>
        </is>
      </c>
      <c r="B1" s="1" t="inlineStr">
        <is>
          <t>Fecha Publicación</t>
        </is>
      </c>
      <c r="C1" s="1" t="inlineStr">
        <is>
          <t>Interés vigente</t>
        </is>
      </c>
      <c r="D1" s="1" t="inlineStr">
        <is>
          <t>Desde</t>
        </is>
      </c>
      <c r="E1" s="1" t="inlineStr">
        <is>
          <t>Hasta</t>
        </is>
      </c>
      <c r="F1" s="1" t="inlineStr">
        <is>
          <t>Interés anual</t>
        </is>
      </c>
      <c r="G1" s="1" t="inlineStr">
        <is>
          <t>Link</t>
        </is>
      </c>
    </row>
    <row r="2">
      <c r="A2" t="inlineStr">
        <is>
          <t>PNP_8T_11-07-2016</t>
        </is>
      </c>
      <c r="B2" s="2" t="n">
        <v>42588</v>
      </c>
      <c r="C2" t="inlineStr">
        <is>
          <t>Certicado N°7/2016</t>
        </is>
      </c>
      <c r="D2" s="2" t="n">
        <v>42566</v>
      </c>
      <c r="E2" s="2" t="n">
        <v>42594</v>
      </c>
      <c r="F2" t="n">
        <v>0.0546</v>
      </c>
      <c r="G2" s="3" t="inlineStr">
        <is>
          <t>https://www.bcn.cl/leychile/navegar?idNorma=1092549</t>
        </is>
      </c>
    </row>
    <row r="3">
      <c r="A3" t="inlineStr">
        <is>
          <t>PNP_9T_25-07-2016</t>
        </is>
      </c>
      <c r="B3" s="2" t="n">
        <v>42614</v>
      </c>
      <c r="C3" t="inlineStr">
        <is>
          <t>Certificado N°8/2016</t>
        </is>
      </c>
      <c r="D3" s="2" t="n">
        <v>42595</v>
      </c>
      <c r="E3" s="2" t="n">
        <v>42627</v>
      </c>
      <c r="F3" t="n">
        <v>0.0542</v>
      </c>
      <c r="G3" s="3" t="inlineStr">
        <is>
          <t>https://www.bcn.cl/leychile/navegar?idNorma=1093605</t>
        </is>
      </c>
    </row>
    <row r="4">
      <c r="A4" t="inlineStr">
        <is>
          <t>PNP_12T_20-12-2016</t>
        </is>
      </c>
      <c r="B4" s="2" t="n">
        <v>43018</v>
      </c>
      <c r="C4" t="inlineStr">
        <is>
          <t>Certificado N°9/2017</t>
        </is>
      </c>
      <c r="D4" s="2" t="n">
        <v>42993</v>
      </c>
      <c r="E4" s="2" t="n">
        <v>43021</v>
      </c>
      <c r="F4" t="n">
        <v>0.0416</v>
      </c>
      <c r="G4" s="3" t="inlineStr">
        <is>
          <t>https://www.diariooficial.interior.gob.cl/publicaciones/2017/09/15/41861/01/1272697.pdf</t>
        </is>
      </c>
    </row>
    <row r="5">
      <c r="A5" t="inlineStr">
        <is>
          <t>PNP_3T_15-05-2017</t>
        </is>
      </c>
      <c r="B5" s="2" t="n">
        <v>43018</v>
      </c>
      <c r="C5" t="inlineStr">
        <is>
          <t>Certificado N°9/2017</t>
        </is>
      </c>
      <c r="D5" s="2" t="n">
        <v>42993</v>
      </c>
      <c r="E5" s="2" t="n">
        <v>43021</v>
      </c>
      <c r="F5" t="n">
        <v>0.0416</v>
      </c>
      <c r="G5" s="3" t="inlineStr">
        <is>
          <t>https://www.diariooficial.interior.gob.cl/publicaciones/2017/09/15/41861/01/1272697.pdf</t>
        </is>
      </c>
    </row>
    <row r="6">
      <c r="A6" t="inlineStr">
        <is>
          <t>PNP_12T_28-11-2017</t>
        </is>
      </c>
      <c r="B6" s="2" t="n">
        <v>43183</v>
      </c>
      <c r="C6" t="inlineStr">
        <is>
          <t>Certificado N°3/2018</t>
        </is>
      </c>
      <c r="D6" s="2" t="n">
        <v>43174</v>
      </c>
      <c r="E6" s="2" t="n">
        <v>43203</v>
      </c>
      <c r="F6" t="n">
        <v>0.042</v>
      </c>
      <c r="G6" s="3" t="inlineStr">
        <is>
          <t>https://www.diariooficial.interior.gob.cl/publicaciones/2018/03/15/42008/01/1366088.pdf</t>
        </is>
      </c>
    </row>
    <row r="7">
      <c r="A7" t="inlineStr">
        <is>
          <t>PNP_7T_18-05-2018</t>
        </is>
      </c>
      <c r="B7" s="2" t="n">
        <v>43371</v>
      </c>
      <c r="C7" t="inlineStr">
        <is>
          <t>Certificado N°9/2018</t>
        </is>
      </c>
      <c r="D7" s="2" t="n">
        <v>43358</v>
      </c>
      <c r="E7" s="2" t="n">
        <v>43385</v>
      </c>
      <c r="F7" t="n">
        <v>0.0438</v>
      </c>
      <c r="G7" s="3" t="inlineStr">
        <is>
          <t>https://www.diariooficial.interior.gob.cl/publicaciones/2018/09/15/42159/01/1465375.pdf</t>
        </is>
      </c>
    </row>
    <row r="8">
      <c r="A8" t="inlineStr">
        <is>
          <t>PNP_20T_13-12-2018</t>
        </is>
      </c>
      <c r="B8" s="2" t="n">
        <v>43591</v>
      </c>
      <c r="C8" t="inlineStr">
        <is>
          <t>Certificado N°4/2019</t>
        </is>
      </c>
      <c r="D8" s="2" t="n">
        <v>43570</v>
      </c>
      <c r="E8" s="2" t="n">
        <v>43599</v>
      </c>
      <c r="F8" t="n">
        <v>0.0446</v>
      </c>
      <c r="G8" s="3" t="inlineStr">
        <is>
          <t>https://www.diariooficial.interior.gob.cl/publicaciones/2019/04/15/42331/01/1576341.pdf</t>
        </is>
      </c>
    </row>
    <row r="9">
      <c r="A9" t="inlineStr">
        <is>
          <t>PNP_6T_08-05-2020</t>
        </is>
      </c>
      <c r="B9" s="2" t="n">
        <v>44137</v>
      </c>
      <c r="C9" t="inlineStr">
        <is>
          <t>Certificado N° 10/2020</t>
        </is>
      </c>
      <c r="D9" s="2" t="n">
        <v>44119</v>
      </c>
      <c r="E9" s="2" t="n">
        <v>44148</v>
      </c>
      <c r="F9" t="n">
        <v>0.0361</v>
      </c>
      <c r="G9" s="3" t="inlineStr">
        <is>
          <t>https://www.diariooficial.interior.gob.cl/publicaciones/2020/10/15/42780/01/1830437.pdf</t>
        </is>
      </c>
    </row>
    <row r="10">
      <c r="A10" t="inlineStr">
        <is>
          <t>PNP_16T_02-11-2020</t>
        </is>
      </c>
      <c r="B10" s="2" t="n">
        <v>44275</v>
      </c>
      <c r="C10" t="inlineStr">
        <is>
          <t>Certificado N° 3/2021</t>
        </is>
      </c>
      <c r="D10" s="2" t="n">
        <v>44270</v>
      </c>
      <c r="E10" s="2" t="n">
        <v>44300</v>
      </c>
      <c r="F10" t="n">
        <v>0.0391</v>
      </c>
      <c r="G10" s="3" t="inlineStr">
        <is>
          <t>https://www.diariooficial.interior.gob.cl/publicaciones/2021/03/15/42905/01/1910115.pdf</t>
        </is>
      </c>
    </row>
    <row r="11">
      <c r="A11" t="inlineStr">
        <is>
          <t>PNP_19T_30-12-2020</t>
        </is>
      </c>
      <c r="B11" s="2" t="n">
        <v>44336</v>
      </c>
      <c r="C11" t="inlineStr">
        <is>
          <t>Certificado N° 05/2021</t>
        </is>
      </c>
      <c r="D11" s="2" t="n">
        <v>44330</v>
      </c>
      <c r="F11" t="n">
        <v>0.0328</v>
      </c>
      <c r="G11" s="3" t="inlineStr">
        <is>
          <t>https://www.diariooficial.interior.gob.cl/publicaciones/2021/05/14/42954/01/1943780.pdf</t>
        </is>
      </c>
    </row>
    <row r="13">
      <c r="A13" t="inlineStr">
        <is>
          <t>Interés ResEx 703 (06-nov.2018), Artículo 13</t>
        </is>
      </c>
    </row>
    <row r="14">
      <c r="A14" t="inlineStr">
        <is>
          <t>Operaciones no reajustables en moneda nacional de menos de 90 días, superiores al equivalente de 5.000 unidades de fomento</t>
        </is>
      </c>
    </row>
  </sheetData>
  <hyperlinks>
    <hyperlink xmlns:r="http://schemas.openxmlformats.org/officeDocument/2006/relationships" ref="G2" r:id="rId1"/>
    <hyperlink xmlns:r="http://schemas.openxmlformats.org/officeDocument/2006/relationships" ref="G3" r:id="rId2"/>
    <hyperlink xmlns:r="http://schemas.openxmlformats.org/officeDocument/2006/relationships" ref="G4" r:id="rId3"/>
    <hyperlink xmlns:r="http://schemas.openxmlformats.org/officeDocument/2006/relationships" ref="G5" r:id="rId4"/>
    <hyperlink xmlns:r="http://schemas.openxmlformats.org/officeDocument/2006/relationships" ref="G6" r:id="rId5"/>
    <hyperlink xmlns:r="http://schemas.openxmlformats.org/officeDocument/2006/relationships" ref="G7" r:id="rId6"/>
    <hyperlink xmlns:r="http://schemas.openxmlformats.org/officeDocument/2006/relationships" ref="G8" r:id="rId7"/>
    <hyperlink xmlns:r="http://schemas.openxmlformats.org/officeDocument/2006/relationships" ref="G9" r:id="rId8"/>
    <hyperlink xmlns:r="http://schemas.openxmlformats.org/officeDocument/2006/relationships" ref="G10" r:id="rId9"/>
    <hyperlink xmlns:r="http://schemas.openxmlformats.org/officeDocument/2006/relationships" ref="G11" r:id="rId10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2023-01-12T22:49:40Z</dcterms:created>
  <dcterms:modified xmlns:dcterms="http://purl.org/dc/terms/" xmlns:xsi="http://www.w3.org/2001/XMLSchema-instance" xsi:type="dcterms:W3CDTF">2023-01-12T22:49:40Z</dcterms:modified>
</cp:coreProperties>
</file>