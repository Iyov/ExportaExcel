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028"/>
  <workbookPr defaultThemeVersion="124226"/>
  <mc:AlternateContent xmlns:mc="http://schemas.openxmlformats.org/markup-compatibility/2006">
    <mc:Choice Requires="x15">
      <x15ac:absPath xmlns:x15ac="http://schemas.microsoft.com/office/spreadsheetml/2010/11/ac" url="E:\Meir\ExportaExcel\2022-04-08 v2\"/>
    </mc:Choice>
  </mc:AlternateContent>
  <xr:revisionPtr revIDLastSave="0" documentId="13_ncr:1_{AF866499-2C46-422F-BF23-555F8E6B985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Resumen" sheetId="1" r:id="rId1"/>
    <sheet name="CAREN_BS1A" sheetId="2" r:id="rId2"/>
    <sheet name="CAREN_BS1B" sheetId="3" r:id="rId3"/>
    <sheet name="CAREN_BS1C" sheetId="4" r:id="rId4"/>
    <sheet name="CAREN_BS3" sheetId="5" r:id="rId5"/>
    <sheet name="NORVIND_BS4" sheetId="6" r:id="rId6"/>
    <sheet name="SAN_JUAN_LAP_BS2A" sheetId="7" r:id="rId7"/>
    <sheet name="SAN_JUAN_LAP_BS2C" sheetId="8" r:id="rId8"/>
    <sheet name="SAN_JUAN_LAP_BS3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J8" i="1" l="1"/>
</calcChain>
</file>

<file path=xl/sharedStrings.xml><?xml version="1.0" encoding="utf-8"?>
<sst xmlns="http://schemas.openxmlformats.org/spreadsheetml/2006/main" count="161" uniqueCount="22">
  <si>
    <t>Fecha</t>
  </si>
  <si>
    <t>Facturado ($)</t>
  </si>
  <si>
    <t>Definitivo ($)</t>
  </si>
  <si>
    <t>Reliquidación ($)</t>
  </si>
  <si>
    <t>Decreto PNP</t>
  </si>
  <si>
    <t>Fecha publicación Diario Oficial</t>
  </si>
  <si>
    <t>Interés Anual</t>
  </si>
  <si>
    <t>Fecha Facturación</t>
  </si>
  <si>
    <t>Fecha Reliquidación</t>
  </si>
  <si>
    <t>N° de días de intereses</t>
  </si>
  <si>
    <t>Interés total según n° de días</t>
  </si>
  <si>
    <t>Intereses ($)</t>
  </si>
  <si>
    <t>Reliquidación Total ($)</t>
  </si>
  <si>
    <t>PNP_8T</t>
  </si>
  <si>
    <t>CAREN_BS1A</t>
  </si>
  <si>
    <t>CAREN_BS1B</t>
  </si>
  <si>
    <t>CAREN_BS1C</t>
  </si>
  <si>
    <t>CAREN_BS3</t>
  </si>
  <si>
    <t>NORVIND_BS4</t>
  </si>
  <si>
    <t>SAN_JUAN_LAP_BS2A</t>
  </si>
  <si>
    <t>SAN_JUAN_LAP_BS2C</t>
  </si>
  <si>
    <t>SAN_JUAN_LAP_BS3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</si>
</sst>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3" fontId="1" fillId="0" borderId="1" xfId="0" applyNumberFormat="1" applyFont="1" applyBorder="1" applyAlignment="1">
      <alignment horizontal="center" vertical="top"/>
    </xf>
    <xf numFmtId="3" fontId="0" fillId="0" borderId="0" xfId="0" applyNumberFormat="1"/>
    <xf numFmtId="0" fontId="1" fillId="0" borderId="0" xfId="0" applyFont="1"/>
    <xf numFmtId="3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"/>
  <sheetViews>
    <sheetView tabSelected="1" workbookViewId="0">
      <selection activeCell="A8" sqref="A8:XFD8"/>
    </sheetView>
  </sheetViews>
  <sheetFormatPr baseColWidth="10" defaultColWidth="9.140625" defaultRowHeight="15" x14ac:dyDescent="0.25"/>
  <cols>
    <col min="1" max="1" width="18.140625" bestFit="1" customWidth="1"/>
    <col min="2" max="2" width="12.42578125" style="4" bestFit="1" customWidth="1"/>
    <col min="3" max="4" width="12.28515625" style="4" bestFit="1" customWidth="1"/>
    <col min="5" max="5" width="12" style="4" bestFit="1" customWidth="1"/>
    <col min="6" max="6" width="13.7109375" style="4" bestFit="1" customWidth="1"/>
    <col min="7" max="7" width="20.42578125" style="4" bestFit="1" customWidth="1"/>
    <col min="8" max="8" width="20.28515625" style="4" bestFit="1" customWidth="1"/>
    <col min="9" max="9" width="19.140625" style="4" bestFit="1" customWidth="1"/>
    <col min="10" max="10" width="11.140625" bestFit="1" customWidth="1"/>
  </cols>
  <sheetData>
    <row r="1" spans="1:10" x14ac:dyDescent="0.25">
      <c r="A1" s="1" t="s">
        <v>0</v>
      </c>
      <c r="B1" s="3" t="s">
        <v>14</v>
      </c>
      <c r="C1" s="3" t="s">
        <v>15</v>
      </c>
      <c r="D1" s="3" t="s">
        <v>16</v>
      </c>
      <c r="E1" s="3" t="s">
        <v>17</v>
      </c>
      <c r="F1" s="3" t="s">
        <v>18</v>
      </c>
      <c r="G1" s="3" t="s">
        <v>19</v>
      </c>
      <c r="H1" s="3" t="s">
        <v>20</v>
      </c>
      <c r="I1" s="3" t="s">
        <v>21</v>
      </c>
    </row>
    <row r="2" spans="1:10" x14ac:dyDescent="0.25">
      <c r="A2" s="2">
        <v>44105</v>
      </c>
      <c r="B2" s="4">
        <v>1069053.214484446</v>
      </c>
      <c r="C2" s="4">
        <v>841428.67024454102</v>
      </c>
      <c r="D2" s="4">
        <v>439618.98761596362</v>
      </c>
      <c r="E2" s="4">
        <v>5324363.8911974654</v>
      </c>
      <c r="F2" s="4">
        <v>4588020.5427791597</v>
      </c>
      <c r="G2" s="4">
        <v>7266421.7686686972</v>
      </c>
      <c r="H2" s="4">
        <v>3562171.26519241</v>
      </c>
      <c r="I2" s="4">
        <v>25088920.177397661</v>
      </c>
    </row>
    <row r="3" spans="1:10" x14ac:dyDescent="0.25">
      <c r="A3" s="2">
        <v>44136</v>
      </c>
      <c r="B3" s="4">
        <v>1031817.38454399</v>
      </c>
      <c r="C3" s="4">
        <v>831636.53877197008</v>
      </c>
      <c r="D3" s="4">
        <v>423218.26088768197</v>
      </c>
      <c r="E3" s="4">
        <v>5180985.4433636237</v>
      </c>
      <c r="F3" s="4">
        <v>4481388.5179779483</v>
      </c>
      <c r="G3" s="4">
        <v>7012795.6198548507</v>
      </c>
      <c r="H3" s="4">
        <v>3435072.9588916758</v>
      </c>
      <c r="I3" s="4">
        <v>24482043.893728141</v>
      </c>
    </row>
    <row r="4" spans="1:10" x14ac:dyDescent="0.25">
      <c r="A4" s="2">
        <v>44166</v>
      </c>
      <c r="B4" s="4">
        <v>1128691.6232747771</v>
      </c>
      <c r="C4" s="4">
        <v>894776.81839612627</v>
      </c>
      <c r="D4" s="4">
        <v>448642.17561471002</v>
      </c>
      <c r="E4" s="4">
        <v>5597254.8659002762</v>
      </c>
      <c r="F4" s="4">
        <v>4831617.5279496703</v>
      </c>
      <c r="G4" s="4">
        <v>7670431.118656436</v>
      </c>
      <c r="H4" s="4">
        <v>3660041.1862244718</v>
      </c>
      <c r="I4" s="4">
        <v>26434216.874236099</v>
      </c>
    </row>
    <row r="5" spans="1:10" x14ac:dyDescent="0.25">
      <c r="A5" s="2">
        <v>44197</v>
      </c>
      <c r="B5" s="4">
        <v>2316676.439087552</v>
      </c>
      <c r="C5" s="4">
        <v>1824257.3424414811</v>
      </c>
      <c r="D5" s="4">
        <v>900513.01630891883</v>
      </c>
      <c r="E5" s="4">
        <v>11270034.05220807</v>
      </c>
      <c r="F5" s="4">
        <v>9735332.712296024</v>
      </c>
      <c r="G5" s="4">
        <v>15737835.249646779</v>
      </c>
      <c r="H5" s="4">
        <v>7338811.3689551894</v>
      </c>
      <c r="I5" s="4">
        <v>53141342.619685903</v>
      </c>
    </row>
    <row r="6" spans="1:10" x14ac:dyDescent="0.25">
      <c r="A6" s="2">
        <v>44228</v>
      </c>
      <c r="B6" s="4">
        <v>2022923.7245579429</v>
      </c>
      <c r="C6" s="4">
        <v>1567989.6177941009</v>
      </c>
      <c r="D6" s="4">
        <v>785755.58792429557</v>
      </c>
      <c r="E6" s="4">
        <v>9740210.4601485934</v>
      </c>
      <c r="F6" s="4">
        <v>8406288.5669186767</v>
      </c>
      <c r="G6" s="4">
        <v>13742924.07104772</v>
      </c>
      <c r="H6" s="4">
        <v>6366948.6700963723</v>
      </c>
      <c r="I6" s="4">
        <v>45865762.377036132</v>
      </c>
    </row>
    <row r="7" spans="1:10" x14ac:dyDescent="0.25">
      <c r="A7" s="2">
        <v>44256</v>
      </c>
      <c r="B7" s="4">
        <v>741900.90365822078</v>
      </c>
      <c r="C7" s="4">
        <v>598017.7292389652</v>
      </c>
      <c r="D7" s="4">
        <v>295615.4845229811</v>
      </c>
      <c r="E7" s="4">
        <v>3570277.8109028381</v>
      </c>
      <c r="F7" s="4">
        <v>3088272.7075467492</v>
      </c>
      <c r="G7" s="4">
        <v>5040644.3930345504</v>
      </c>
      <c r="H7" s="4">
        <v>2366407.2822796139</v>
      </c>
      <c r="I7" s="4">
        <v>16782131.45212147</v>
      </c>
    </row>
    <row r="8" spans="1:10" s="5" customFormat="1" x14ac:dyDescent="0.25">
      <c r="B8" s="6">
        <v>8311063.2896069279</v>
      </c>
      <c r="C8" s="6">
        <v>6558106.7168871844</v>
      </c>
      <c r="D8" s="6">
        <v>3293363.5128745511</v>
      </c>
      <c r="E8" s="6">
        <v>40683126.523720883</v>
      </c>
      <c r="F8" s="6">
        <v>35130920.575468227</v>
      </c>
      <c r="G8" s="6">
        <v>56471052.220909022</v>
      </c>
      <c r="H8" s="6">
        <v>26729452.731639739</v>
      </c>
      <c r="I8" s="6">
        <v>191794417.39420539</v>
      </c>
      <c r="J8" s="6">
        <f>SUM(B8:I8)</f>
        <v>368971502.96531194</v>
      </c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44105</v>
      </c>
      <c r="B2">
        <v>7513394</v>
      </c>
      <c r="C2">
        <v>8492082.7190112527</v>
      </c>
      <c r="D2">
        <v>978688.71901125275</v>
      </c>
      <c r="E2" t="s">
        <v>13</v>
      </c>
      <c r="F2" s="2">
        <v>44600</v>
      </c>
      <c r="G2">
        <v>6.2799999999999995E-2</v>
      </c>
      <c r="H2" s="2">
        <v>44129</v>
      </c>
      <c r="I2" s="2">
        <v>44651</v>
      </c>
      <c r="J2">
        <v>522</v>
      </c>
      <c r="K2">
        <v>9.2332213213294434E-2</v>
      </c>
      <c r="L2">
        <v>90364.49547319299</v>
      </c>
      <c r="M2">
        <v>1069053.214484446</v>
      </c>
    </row>
    <row r="3" spans="1:13" x14ac:dyDescent="0.25">
      <c r="A3" s="2">
        <v>44136</v>
      </c>
      <c r="B3">
        <v>7288622</v>
      </c>
      <c r="C3">
        <v>8238189.5644548284</v>
      </c>
      <c r="D3">
        <v>949567.56445482839</v>
      </c>
      <c r="E3" t="s">
        <v>13</v>
      </c>
      <c r="F3" s="2">
        <v>44600</v>
      </c>
      <c r="G3">
        <v>6.2799999999999995E-2</v>
      </c>
      <c r="H3" s="2">
        <v>44160</v>
      </c>
      <c r="I3" s="2">
        <v>44651</v>
      </c>
      <c r="J3">
        <v>491</v>
      </c>
      <c r="K3">
        <v>8.6618186180762669E-2</v>
      </c>
      <c r="L3">
        <v>82249.820089161687</v>
      </c>
      <c r="M3">
        <v>1031817.38454399</v>
      </c>
    </row>
    <row r="4" spans="1:13" x14ac:dyDescent="0.25">
      <c r="A4" s="2">
        <v>44166</v>
      </c>
      <c r="B4">
        <v>8012916</v>
      </c>
      <c r="C4">
        <v>9056921.1188068055</v>
      </c>
      <c r="D4">
        <v>1044005.118806805</v>
      </c>
      <c r="E4" t="s">
        <v>13</v>
      </c>
      <c r="F4" s="2">
        <v>44600</v>
      </c>
      <c r="G4">
        <v>6.2799999999999995E-2</v>
      </c>
      <c r="H4" s="2">
        <v>44190</v>
      </c>
      <c r="I4" s="2">
        <v>44651</v>
      </c>
      <c r="J4">
        <v>461</v>
      </c>
      <c r="K4">
        <v>8.1116943722230106E-2</v>
      </c>
      <c r="L4">
        <v>84686.504467971798</v>
      </c>
      <c r="M4">
        <v>1128691.6232747771</v>
      </c>
    </row>
    <row r="5" spans="1:13" x14ac:dyDescent="0.25">
      <c r="A5" s="2">
        <v>44197</v>
      </c>
      <c r="B5">
        <v>10990036</v>
      </c>
      <c r="C5">
        <v>13144158.91172247</v>
      </c>
      <c r="D5">
        <v>2154122.9117224719</v>
      </c>
      <c r="E5" t="s">
        <v>13</v>
      </c>
      <c r="F5" s="2">
        <v>44600</v>
      </c>
      <c r="G5">
        <v>6.2799999999999995E-2</v>
      </c>
      <c r="H5" s="2">
        <v>44221</v>
      </c>
      <c r="I5" s="2">
        <v>44651</v>
      </c>
      <c r="J5">
        <v>430</v>
      </c>
      <c r="K5">
        <v>7.546158414660753E-2</v>
      </c>
      <c r="L5">
        <v>162553.52736508049</v>
      </c>
      <c r="M5">
        <v>2316676.439087552</v>
      </c>
    </row>
    <row r="6" spans="1:13" x14ac:dyDescent="0.25">
      <c r="A6" s="2">
        <v>44228</v>
      </c>
      <c r="B6">
        <v>9648406</v>
      </c>
      <c r="C6">
        <v>11539279.075593621</v>
      </c>
      <c r="D6">
        <v>1890873.0755936189</v>
      </c>
      <c r="E6" t="s">
        <v>13</v>
      </c>
      <c r="F6" s="2">
        <v>44600</v>
      </c>
      <c r="G6">
        <v>6.2799999999999995E-2</v>
      </c>
      <c r="H6" s="2">
        <v>44252</v>
      </c>
      <c r="I6" s="2">
        <v>44651</v>
      </c>
      <c r="J6">
        <v>399</v>
      </c>
      <c r="K6">
        <v>6.9835807949652162E-2</v>
      </c>
      <c r="L6">
        <v>132050.64896432409</v>
      </c>
      <c r="M6">
        <v>2022923.7245579429</v>
      </c>
    </row>
    <row r="7" spans="1:13" x14ac:dyDescent="0.25">
      <c r="A7" s="2">
        <v>44256</v>
      </c>
      <c r="B7">
        <v>12119607</v>
      </c>
      <c r="C7">
        <v>12816371.656101139</v>
      </c>
      <c r="D7">
        <v>696764.6561011374</v>
      </c>
      <c r="E7" t="s">
        <v>13</v>
      </c>
      <c r="F7" s="2">
        <v>44600</v>
      </c>
      <c r="G7">
        <v>6.2799999999999995E-2</v>
      </c>
      <c r="H7" s="2">
        <v>44280</v>
      </c>
      <c r="I7" s="2">
        <v>44651</v>
      </c>
      <c r="J7">
        <v>371</v>
      </c>
      <c r="K7">
        <v>6.4779760514333207E-2</v>
      </c>
      <c r="L7">
        <v>45136.247557083407</v>
      </c>
      <c r="M7">
        <v>741900.90365822078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44105</v>
      </c>
      <c r="B2">
        <v>5911448</v>
      </c>
      <c r="C2">
        <v>6681752.7297024457</v>
      </c>
      <c r="D2">
        <v>770304.72970244568</v>
      </c>
      <c r="E2" t="s">
        <v>13</v>
      </c>
      <c r="F2" s="2">
        <v>44600</v>
      </c>
      <c r="G2">
        <v>6.2799999999999995E-2</v>
      </c>
      <c r="H2" s="2">
        <v>44129</v>
      </c>
      <c r="I2" s="2">
        <v>44651</v>
      </c>
      <c r="J2">
        <v>522</v>
      </c>
      <c r="K2">
        <v>9.2332213213294434E-2</v>
      </c>
      <c r="L2">
        <v>71123.940542095355</v>
      </c>
      <c r="M2">
        <v>841428.67024454102</v>
      </c>
    </row>
    <row r="3" spans="1:13" x14ac:dyDescent="0.25">
      <c r="A3" s="2">
        <v>44136</v>
      </c>
      <c r="B3">
        <v>5873357</v>
      </c>
      <c r="C3">
        <v>6638700.8432638422</v>
      </c>
      <c r="D3">
        <v>765343.84326384217</v>
      </c>
      <c r="E3" t="s">
        <v>13</v>
      </c>
      <c r="F3" s="2">
        <v>44600</v>
      </c>
      <c r="G3">
        <v>6.2799999999999995E-2</v>
      </c>
      <c r="H3" s="2">
        <v>44160</v>
      </c>
      <c r="I3" s="2">
        <v>44651</v>
      </c>
      <c r="J3">
        <v>491</v>
      </c>
      <c r="K3">
        <v>8.6618186180762669E-2</v>
      </c>
      <c r="L3">
        <v>66292.69550812793</v>
      </c>
      <c r="M3">
        <v>831636.53877197008</v>
      </c>
    </row>
    <row r="4" spans="1:13" x14ac:dyDescent="0.25">
      <c r="A4" s="2">
        <v>44166</v>
      </c>
      <c r="B4">
        <v>6350952</v>
      </c>
      <c r="C4">
        <v>7178593.1017252728</v>
      </c>
      <c r="D4">
        <v>827641.10172527283</v>
      </c>
      <c r="E4" t="s">
        <v>13</v>
      </c>
      <c r="F4" s="2">
        <v>44600</v>
      </c>
      <c r="G4">
        <v>6.2799999999999995E-2</v>
      </c>
      <c r="H4" s="2">
        <v>44190</v>
      </c>
      <c r="I4" s="2">
        <v>44651</v>
      </c>
      <c r="J4">
        <v>461</v>
      </c>
      <c r="K4">
        <v>8.1116943722230106E-2</v>
      </c>
      <c r="L4">
        <v>67135.716670853479</v>
      </c>
      <c r="M4">
        <v>894776.81839612627</v>
      </c>
    </row>
    <row r="5" spans="1:13" x14ac:dyDescent="0.25">
      <c r="A5" s="2">
        <v>44197</v>
      </c>
      <c r="B5">
        <v>8652559</v>
      </c>
      <c r="C5">
        <v>10348814.23527096</v>
      </c>
      <c r="D5">
        <v>1696255.2352709579</v>
      </c>
      <c r="E5" t="s">
        <v>13</v>
      </c>
      <c r="F5" s="2">
        <v>44600</v>
      </c>
      <c r="G5">
        <v>6.2799999999999995E-2</v>
      </c>
      <c r="H5" s="2">
        <v>44221</v>
      </c>
      <c r="I5" s="2">
        <v>44651</v>
      </c>
      <c r="J5">
        <v>430</v>
      </c>
      <c r="K5">
        <v>7.546158414660753E-2</v>
      </c>
      <c r="L5">
        <v>128002.107170523</v>
      </c>
      <c r="M5">
        <v>1824257.3424414811</v>
      </c>
    </row>
    <row r="6" spans="1:13" x14ac:dyDescent="0.25">
      <c r="A6" s="2">
        <v>44228</v>
      </c>
      <c r="B6">
        <v>7477384</v>
      </c>
      <c r="C6">
        <v>8943019.7603127565</v>
      </c>
      <c r="D6">
        <v>1465635.760312757</v>
      </c>
      <c r="E6" t="s">
        <v>13</v>
      </c>
      <c r="F6" s="2">
        <v>44600</v>
      </c>
      <c r="G6">
        <v>6.2799999999999995E-2</v>
      </c>
      <c r="H6" s="2">
        <v>44252</v>
      </c>
      <c r="I6" s="2">
        <v>44651</v>
      </c>
      <c r="J6">
        <v>399</v>
      </c>
      <c r="K6">
        <v>6.9835807949652162E-2</v>
      </c>
      <c r="L6">
        <v>102353.85748134409</v>
      </c>
      <c r="M6">
        <v>1567989.6177941009</v>
      </c>
    </row>
    <row r="7" spans="1:13" x14ac:dyDescent="0.25">
      <c r="A7" s="2">
        <v>44256</v>
      </c>
      <c r="B7">
        <v>9770331</v>
      </c>
      <c r="C7">
        <v>10331966.139411461</v>
      </c>
      <c r="D7">
        <v>561635.13941145688</v>
      </c>
      <c r="E7" t="s">
        <v>13</v>
      </c>
      <c r="F7" s="2">
        <v>44600</v>
      </c>
      <c r="G7">
        <v>6.2799999999999995E-2</v>
      </c>
      <c r="H7" s="2">
        <v>44280</v>
      </c>
      <c r="I7" s="2">
        <v>44651</v>
      </c>
      <c r="J7">
        <v>371</v>
      </c>
      <c r="K7">
        <v>6.4779760514333207E-2</v>
      </c>
      <c r="L7">
        <v>36382.589827508316</v>
      </c>
      <c r="M7">
        <v>598017.7292389652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44105</v>
      </c>
      <c r="B2">
        <v>3725286</v>
      </c>
      <c r="C2">
        <v>4127745.052564919</v>
      </c>
      <c r="D2">
        <v>402459.05256491899</v>
      </c>
      <c r="E2" t="s">
        <v>13</v>
      </c>
      <c r="F2" s="2">
        <v>44600</v>
      </c>
      <c r="G2">
        <v>6.2799999999999995E-2</v>
      </c>
      <c r="H2" s="2">
        <v>44129</v>
      </c>
      <c r="I2" s="2">
        <v>44651</v>
      </c>
      <c r="J2">
        <v>522</v>
      </c>
      <c r="K2">
        <v>9.2332213213294434E-2</v>
      </c>
      <c r="L2">
        <v>37159.935051044573</v>
      </c>
      <c r="M2">
        <v>439618.98761596362</v>
      </c>
    </row>
    <row r="3" spans="1:13" x14ac:dyDescent="0.25">
      <c r="A3" s="2">
        <v>44136</v>
      </c>
      <c r="B3">
        <v>3625382</v>
      </c>
      <c r="C3">
        <v>4014864.0335882711</v>
      </c>
      <c r="D3">
        <v>389482.03358827112</v>
      </c>
      <c r="E3" t="s">
        <v>13</v>
      </c>
      <c r="F3" s="2">
        <v>44600</v>
      </c>
      <c r="G3">
        <v>6.2799999999999995E-2</v>
      </c>
      <c r="H3" s="2">
        <v>44160</v>
      </c>
      <c r="I3" s="2">
        <v>44651</v>
      </c>
      <c r="J3">
        <v>491</v>
      </c>
      <c r="K3">
        <v>8.6618186180762669E-2</v>
      </c>
      <c r="L3">
        <v>33736.22729941093</v>
      </c>
      <c r="M3">
        <v>423218.26088768197</v>
      </c>
    </row>
    <row r="4" spans="1:13" x14ac:dyDescent="0.25">
      <c r="A4" s="2">
        <v>44166</v>
      </c>
      <c r="B4">
        <v>3834868</v>
      </c>
      <c r="C4">
        <v>4249848.2463275231</v>
      </c>
      <c r="D4">
        <v>414980.24632752308</v>
      </c>
      <c r="E4" t="s">
        <v>13</v>
      </c>
      <c r="F4" s="2">
        <v>44600</v>
      </c>
      <c r="G4">
        <v>6.2799999999999995E-2</v>
      </c>
      <c r="H4" s="2">
        <v>44190</v>
      </c>
      <c r="I4" s="2">
        <v>44651</v>
      </c>
      <c r="J4">
        <v>461</v>
      </c>
      <c r="K4">
        <v>8.1116943722230106E-2</v>
      </c>
      <c r="L4">
        <v>33661.929287186882</v>
      </c>
      <c r="M4">
        <v>448642.17561471002</v>
      </c>
    </row>
    <row r="5" spans="1:13" x14ac:dyDescent="0.25">
      <c r="A5" s="2">
        <v>44197</v>
      </c>
      <c r="B5">
        <v>5318961</v>
      </c>
      <c r="C5">
        <v>6156287.9948303057</v>
      </c>
      <c r="D5">
        <v>837326.99483030569</v>
      </c>
      <c r="E5" t="s">
        <v>13</v>
      </c>
      <c r="F5" s="2">
        <v>44600</v>
      </c>
      <c r="G5">
        <v>6.2799999999999995E-2</v>
      </c>
      <c r="H5" s="2">
        <v>44221</v>
      </c>
      <c r="I5" s="2">
        <v>44651</v>
      </c>
      <c r="J5">
        <v>430</v>
      </c>
      <c r="K5">
        <v>7.546158414660753E-2</v>
      </c>
      <c r="L5">
        <v>63186.021478613118</v>
      </c>
      <c r="M5">
        <v>900513.01630891883</v>
      </c>
    </row>
    <row r="6" spans="1:13" x14ac:dyDescent="0.25">
      <c r="A6" s="2">
        <v>44228</v>
      </c>
      <c r="B6">
        <v>4774466</v>
      </c>
      <c r="C6">
        <v>5508929.7205873691</v>
      </c>
      <c r="D6">
        <v>734463.72058736905</v>
      </c>
      <c r="E6" t="s">
        <v>13</v>
      </c>
      <c r="F6" s="2">
        <v>44600</v>
      </c>
      <c r="G6">
        <v>6.2799999999999995E-2</v>
      </c>
      <c r="H6" s="2">
        <v>44252</v>
      </c>
      <c r="I6" s="2">
        <v>44651</v>
      </c>
      <c r="J6">
        <v>399</v>
      </c>
      <c r="K6">
        <v>6.9835807949652162E-2</v>
      </c>
      <c r="L6">
        <v>51291.867336926487</v>
      </c>
      <c r="M6">
        <v>785755.58792429557</v>
      </c>
    </row>
    <row r="7" spans="1:13" x14ac:dyDescent="0.25">
      <c r="A7" s="2">
        <v>44256</v>
      </c>
      <c r="B7">
        <v>5980190</v>
      </c>
      <c r="C7">
        <v>6257820.6382647492</v>
      </c>
      <c r="D7">
        <v>277630.6382647492</v>
      </c>
      <c r="E7" t="s">
        <v>13</v>
      </c>
      <c r="F7" s="2">
        <v>44600</v>
      </c>
      <c r="G7">
        <v>6.2799999999999995E-2</v>
      </c>
      <c r="H7" s="2">
        <v>44280</v>
      </c>
      <c r="I7" s="2">
        <v>44651</v>
      </c>
      <c r="J7">
        <v>371</v>
      </c>
      <c r="K7">
        <v>6.4779760514333207E-2</v>
      </c>
      <c r="L7">
        <v>17984.84625823193</v>
      </c>
      <c r="M7">
        <v>295615.4845229811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44105</v>
      </c>
      <c r="B2">
        <v>45497576</v>
      </c>
      <c r="C2">
        <v>50371884.22490795</v>
      </c>
      <c r="D2">
        <v>4874308.2249079496</v>
      </c>
      <c r="E2" t="s">
        <v>13</v>
      </c>
      <c r="F2" s="2">
        <v>44600</v>
      </c>
      <c r="G2">
        <v>6.2799999999999995E-2</v>
      </c>
      <c r="H2" s="2">
        <v>44129</v>
      </c>
      <c r="I2" s="2">
        <v>44651</v>
      </c>
      <c r="J2">
        <v>522</v>
      </c>
      <c r="K2">
        <v>9.2332213213294434E-2</v>
      </c>
      <c r="L2">
        <v>450055.6662895155</v>
      </c>
      <c r="M2">
        <v>5324363.8911974654</v>
      </c>
    </row>
    <row r="3" spans="1:13" x14ac:dyDescent="0.25">
      <c r="A3" s="2">
        <v>44136</v>
      </c>
      <c r="B3">
        <v>44776492</v>
      </c>
      <c r="C3">
        <v>49544482.734237313</v>
      </c>
      <c r="D3">
        <v>4767990.7342373058</v>
      </c>
      <c r="E3" t="s">
        <v>13</v>
      </c>
      <c r="F3" s="2">
        <v>44600</v>
      </c>
      <c r="G3">
        <v>6.2799999999999995E-2</v>
      </c>
      <c r="H3" s="2">
        <v>44160</v>
      </c>
      <c r="I3" s="2">
        <v>44651</v>
      </c>
      <c r="J3">
        <v>491</v>
      </c>
      <c r="K3">
        <v>8.6618186180762669E-2</v>
      </c>
      <c r="L3">
        <v>412994.70912631828</v>
      </c>
      <c r="M3">
        <v>5180985.4433636237</v>
      </c>
    </row>
    <row r="4" spans="1:13" x14ac:dyDescent="0.25">
      <c r="A4" s="2">
        <v>44166</v>
      </c>
      <c r="B4">
        <v>47885139</v>
      </c>
      <c r="C4">
        <v>53062428.005044371</v>
      </c>
      <c r="D4">
        <v>5177289.0050443709</v>
      </c>
      <c r="E4" t="s">
        <v>13</v>
      </c>
      <c r="F4" s="2">
        <v>44600</v>
      </c>
      <c r="G4">
        <v>6.2799999999999995E-2</v>
      </c>
      <c r="H4" s="2">
        <v>44190</v>
      </c>
      <c r="I4" s="2">
        <v>44651</v>
      </c>
      <c r="J4">
        <v>461</v>
      </c>
      <c r="K4">
        <v>8.1116943722230106E-2</v>
      </c>
      <c r="L4">
        <v>419965.86085590487</v>
      </c>
      <c r="M4">
        <v>5597254.8659002762</v>
      </c>
    </row>
    <row r="5" spans="1:13" x14ac:dyDescent="0.25">
      <c r="A5" s="2">
        <v>44197</v>
      </c>
      <c r="B5">
        <v>66620266</v>
      </c>
      <c r="C5">
        <v>77099519.018740773</v>
      </c>
      <c r="D5">
        <v>10479253.018740769</v>
      </c>
      <c r="E5" t="s">
        <v>13</v>
      </c>
      <c r="F5" s="2">
        <v>44600</v>
      </c>
      <c r="G5">
        <v>6.2799999999999995E-2</v>
      </c>
      <c r="H5" s="2">
        <v>44221</v>
      </c>
      <c r="I5" s="2">
        <v>44651</v>
      </c>
      <c r="J5">
        <v>430</v>
      </c>
      <c r="K5">
        <v>7.546158414660753E-2</v>
      </c>
      <c r="L5">
        <v>790781.03346729779</v>
      </c>
      <c r="M5">
        <v>11270034.05220807</v>
      </c>
    </row>
    <row r="6" spans="1:13" x14ac:dyDescent="0.25">
      <c r="A6" s="2">
        <v>44228</v>
      </c>
      <c r="B6">
        <v>59539502</v>
      </c>
      <c r="C6">
        <v>68643899.504525274</v>
      </c>
      <c r="D6">
        <v>9104397.504525274</v>
      </c>
      <c r="E6" t="s">
        <v>13</v>
      </c>
      <c r="F6" s="2">
        <v>44600</v>
      </c>
      <c r="G6">
        <v>6.2799999999999995E-2</v>
      </c>
      <c r="H6" s="2">
        <v>44252</v>
      </c>
      <c r="I6" s="2">
        <v>44651</v>
      </c>
      <c r="J6">
        <v>399</v>
      </c>
      <c r="K6">
        <v>6.9835807949652162E-2</v>
      </c>
      <c r="L6">
        <v>635812.95562331949</v>
      </c>
      <c r="M6">
        <v>9740210.4601485934</v>
      </c>
    </row>
    <row r="7" spans="1:13" x14ac:dyDescent="0.25">
      <c r="A7" s="2">
        <v>44256</v>
      </c>
      <c r="B7">
        <v>73441591</v>
      </c>
      <c r="C7">
        <v>76794657.937690705</v>
      </c>
      <c r="D7">
        <v>3353066.9376907051</v>
      </c>
      <c r="E7" t="s">
        <v>13</v>
      </c>
      <c r="F7" s="2">
        <v>44600</v>
      </c>
      <c r="G7">
        <v>6.2799999999999995E-2</v>
      </c>
      <c r="H7" s="2">
        <v>44280</v>
      </c>
      <c r="I7" s="2">
        <v>44651</v>
      </c>
      <c r="J7">
        <v>371</v>
      </c>
      <c r="K7">
        <v>6.4779760514333207E-2</v>
      </c>
      <c r="L7">
        <v>217210.87321213249</v>
      </c>
      <c r="M7">
        <v>3570277.8109028381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44105</v>
      </c>
      <c r="B2">
        <v>39028665</v>
      </c>
      <c r="C2">
        <v>43228871.207672536</v>
      </c>
      <c r="D2">
        <v>4200206.2076725364</v>
      </c>
      <c r="E2" t="s">
        <v>13</v>
      </c>
      <c r="F2" s="2">
        <v>44600</v>
      </c>
      <c r="G2">
        <v>6.2799999999999995E-2</v>
      </c>
      <c r="H2" s="2">
        <v>44129</v>
      </c>
      <c r="I2" s="2">
        <v>44651</v>
      </c>
      <c r="J2">
        <v>522</v>
      </c>
      <c r="K2">
        <v>9.2332213213294434E-2</v>
      </c>
      <c r="L2">
        <v>387814.33510662348</v>
      </c>
      <c r="M2">
        <v>4588020.5427791597</v>
      </c>
    </row>
    <row r="3" spans="1:13" x14ac:dyDescent="0.25">
      <c r="A3" s="2">
        <v>44136</v>
      </c>
      <c r="B3">
        <v>38394152</v>
      </c>
      <c r="C3">
        <v>42518313.158878721</v>
      </c>
      <c r="D3">
        <v>4124161.1588787208</v>
      </c>
      <c r="E3" t="s">
        <v>13</v>
      </c>
      <c r="F3" s="2">
        <v>44600</v>
      </c>
      <c r="G3">
        <v>6.2799999999999995E-2</v>
      </c>
      <c r="H3" s="2">
        <v>44160</v>
      </c>
      <c r="I3" s="2">
        <v>44651</v>
      </c>
      <c r="J3">
        <v>491</v>
      </c>
      <c r="K3">
        <v>8.6618186180762669E-2</v>
      </c>
      <c r="L3">
        <v>357227.359099227</v>
      </c>
      <c r="M3">
        <v>4481388.5179779483</v>
      </c>
    </row>
    <row r="4" spans="1:13" x14ac:dyDescent="0.25">
      <c r="A4" s="2">
        <v>44166</v>
      </c>
      <c r="B4">
        <v>41081582</v>
      </c>
      <c r="C4">
        <v>45550679.960221268</v>
      </c>
      <c r="D4">
        <v>4469097.9602212682</v>
      </c>
      <c r="E4" t="s">
        <v>13</v>
      </c>
      <c r="F4" s="2">
        <v>44600</v>
      </c>
      <c r="G4">
        <v>6.2799999999999995E-2</v>
      </c>
      <c r="H4" s="2">
        <v>44190</v>
      </c>
      <c r="I4" s="2">
        <v>44651</v>
      </c>
      <c r="J4">
        <v>461</v>
      </c>
      <c r="K4">
        <v>8.1116943722230106E-2</v>
      </c>
      <c r="L4">
        <v>362519.56772840198</v>
      </c>
      <c r="M4">
        <v>4831617.5279496703</v>
      </c>
    </row>
    <row r="5" spans="1:13" x14ac:dyDescent="0.25">
      <c r="A5" s="2">
        <v>44197</v>
      </c>
      <c r="B5">
        <v>57122347</v>
      </c>
      <c r="C5">
        <v>66174583.598503083</v>
      </c>
      <c r="D5">
        <v>9052236.598503083</v>
      </c>
      <c r="E5" t="s">
        <v>13</v>
      </c>
      <c r="F5" s="2">
        <v>44600</v>
      </c>
      <c r="G5">
        <v>6.2799999999999995E-2</v>
      </c>
      <c r="H5" s="2">
        <v>44221</v>
      </c>
      <c r="I5" s="2">
        <v>44651</v>
      </c>
      <c r="J5">
        <v>430</v>
      </c>
      <c r="K5">
        <v>7.546158414660753E-2</v>
      </c>
      <c r="L5">
        <v>683096.11379294074</v>
      </c>
      <c r="M5">
        <v>9735332.712296024</v>
      </c>
    </row>
    <row r="6" spans="1:13" x14ac:dyDescent="0.25">
      <c r="A6" s="2">
        <v>44228</v>
      </c>
      <c r="B6">
        <v>51022205</v>
      </c>
      <c r="C6">
        <v>58879755.200183883</v>
      </c>
      <c r="D6">
        <v>7857550.2001838833</v>
      </c>
      <c r="E6" t="s">
        <v>13</v>
      </c>
      <c r="F6" s="2">
        <v>44600</v>
      </c>
      <c r="G6">
        <v>6.2799999999999995E-2</v>
      </c>
      <c r="H6" s="2">
        <v>44252</v>
      </c>
      <c r="I6" s="2">
        <v>44651</v>
      </c>
      <c r="J6">
        <v>399</v>
      </c>
      <c r="K6">
        <v>6.9835807949652162E-2</v>
      </c>
      <c r="L6">
        <v>548738.36673479259</v>
      </c>
      <c r="M6">
        <v>8406288.5669186767</v>
      </c>
    </row>
    <row r="7" spans="1:13" x14ac:dyDescent="0.25">
      <c r="A7" s="2">
        <v>44256</v>
      </c>
      <c r="B7">
        <v>63011749</v>
      </c>
      <c r="C7">
        <v>65912135.372910567</v>
      </c>
      <c r="D7">
        <v>2900386.3729105671</v>
      </c>
      <c r="E7" t="s">
        <v>13</v>
      </c>
      <c r="F7" s="2">
        <v>44600</v>
      </c>
      <c r="G7">
        <v>6.2799999999999995E-2</v>
      </c>
      <c r="H7" s="2">
        <v>44280</v>
      </c>
      <c r="I7" s="2">
        <v>44651</v>
      </c>
      <c r="J7">
        <v>371</v>
      </c>
      <c r="K7">
        <v>6.4779760514333207E-2</v>
      </c>
      <c r="L7">
        <v>187886.334636182</v>
      </c>
      <c r="M7">
        <v>3088272.7075467492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44105</v>
      </c>
      <c r="B2">
        <v>51011020</v>
      </c>
      <c r="C2">
        <v>57663228.623687103</v>
      </c>
      <c r="D2">
        <v>6652208.6236871034</v>
      </c>
      <c r="E2" t="s">
        <v>13</v>
      </c>
      <c r="F2" s="2">
        <v>44600</v>
      </c>
      <c r="G2">
        <v>6.2799999999999995E-2</v>
      </c>
      <c r="H2" s="2">
        <v>44129</v>
      </c>
      <c r="I2" s="2">
        <v>44651</v>
      </c>
      <c r="J2">
        <v>522</v>
      </c>
      <c r="K2">
        <v>9.2332213213294434E-2</v>
      </c>
      <c r="L2">
        <v>614213.14498159359</v>
      </c>
      <c r="M2">
        <v>7266421.7686686972</v>
      </c>
    </row>
    <row r="3" spans="1:13" x14ac:dyDescent="0.25">
      <c r="A3" s="2">
        <v>44136</v>
      </c>
      <c r="B3">
        <v>49485226</v>
      </c>
      <c r="C3">
        <v>55939006.830324009</v>
      </c>
      <c r="D3">
        <v>6453780.8303240091</v>
      </c>
      <c r="E3" t="s">
        <v>13</v>
      </c>
      <c r="F3" s="2">
        <v>44600</v>
      </c>
      <c r="G3">
        <v>6.2799999999999995E-2</v>
      </c>
      <c r="H3" s="2">
        <v>44160</v>
      </c>
      <c r="I3" s="2">
        <v>44651</v>
      </c>
      <c r="J3">
        <v>491</v>
      </c>
      <c r="K3">
        <v>8.6618186180762669E-2</v>
      </c>
      <c r="L3">
        <v>559014.7895308421</v>
      </c>
      <c r="M3">
        <v>7012795.6198548507</v>
      </c>
    </row>
    <row r="4" spans="1:13" x14ac:dyDescent="0.25">
      <c r="A4" s="2">
        <v>44166</v>
      </c>
      <c r="B4">
        <v>54403406</v>
      </c>
      <c r="C4">
        <v>61498319.4255981</v>
      </c>
      <c r="D4">
        <v>7094913.4255980998</v>
      </c>
      <c r="E4" t="s">
        <v>13</v>
      </c>
      <c r="F4" s="2">
        <v>44600</v>
      </c>
      <c r="G4">
        <v>6.2799999999999995E-2</v>
      </c>
      <c r="H4" s="2">
        <v>44190</v>
      </c>
      <c r="I4" s="2">
        <v>44651</v>
      </c>
      <c r="J4">
        <v>461</v>
      </c>
      <c r="K4">
        <v>8.1116943722230106E-2</v>
      </c>
      <c r="L4">
        <v>575517.69305833592</v>
      </c>
      <c r="M4">
        <v>7670431.118656436</v>
      </c>
    </row>
    <row r="5" spans="1:13" x14ac:dyDescent="0.25">
      <c r="A5" s="2">
        <v>44197</v>
      </c>
      <c r="B5">
        <v>74658002</v>
      </c>
      <c r="C5">
        <v>89291565.375613227</v>
      </c>
      <c r="D5">
        <v>14633563.375613229</v>
      </c>
      <c r="E5" t="s">
        <v>13</v>
      </c>
      <c r="F5" s="2">
        <v>44600</v>
      </c>
      <c r="G5">
        <v>6.2799999999999995E-2</v>
      </c>
      <c r="H5" s="2">
        <v>44221</v>
      </c>
      <c r="I5" s="2">
        <v>44651</v>
      </c>
      <c r="J5">
        <v>430</v>
      </c>
      <c r="K5">
        <v>7.546158414660753E-2</v>
      </c>
      <c r="L5">
        <v>1104271.8740335519</v>
      </c>
      <c r="M5">
        <v>15737835.249646779</v>
      </c>
    </row>
    <row r="6" spans="1:13" x14ac:dyDescent="0.25">
      <c r="A6" s="2">
        <v>44228</v>
      </c>
      <c r="B6">
        <v>65543389</v>
      </c>
      <c r="C6">
        <v>78389214.470532835</v>
      </c>
      <c r="D6">
        <v>12845825.470532831</v>
      </c>
      <c r="E6" t="s">
        <v>13</v>
      </c>
      <c r="F6" s="2">
        <v>44600</v>
      </c>
      <c r="G6">
        <v>6.2799999999999995E-2</v>
      </c>
      <c r="H6" s="2">
        <v>44252</v>
      </c>
      <c r="I6" s="2">
        <v>44651</v>
      </c>
      <c r="J6">
        <v>399</v>
      </c>
      <c r="K6">
        <v>6.9835807949652162E-2</v>
      </c>
      <c r="L6">
        <v>897098.6005148812</v>
      </c>
      <c r="M6">
        <v>13742924.07104772</v>
      </c>
    </row>
    <row r="7" spans="1:13" x14ac:dyDescent="0.25">
      <c r="A7" s="2">
        <v>44256</v>
      </c>
      <c r="B7">
        <v>82330846</v>
      </c>
      <c r="C7">
        <v>87064824.405637339</v>
      </c>
      <c r="D7">
        <v>4733978.4056373388</v>
      </c>
      <c r="E7" t="s">
        <v>13</v>
      </c>
      <c r="F7" s="2">
        <v>44600</v>
      </c>
      <c r="G7">
        <v>6.2799999999999995E-2</v>
      </c>
      <c r="H7" s="2">
        <v>44280</v>
      </c>
      <c r="I7" s="2">
        <v>44651</v>
      </c>
      <c r="J7">
        <v>371</v>
      </c>
      <c r="K7">
        <v>6.4779760514333207E-2</v>
      </c>
      <c r="L7">
        <v>306665.98739721172</v>
      </c>
      <c r="M7">
        <v>5040644.3930345504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44105</v>
      </c>
      <c r="B2">
        <v>30920826</v>
      </c>
      <c r="C2">
        <v>34181895.500746153</v>
      </c>
      <c r="D2">
        <v>3261069.5007461458</v>
      </c>
      <c r="E2" t="s">
        <v>13</v>
      </c>
      <c r="F2" s="2">
        <v>44600</v>
      </c>
      <c r="G2">
        <v>6.2799999999999995E-2</v>
      </c>
      <c r="H2" s="2">
        <v>44129</v>
      </c>
      <c r="I2" s="2">
        <v>44651</v>
      </c>
      <c r="J2">
        <v>522</v>
      </c>
      <c r="K2">
        <v>9.2332213213294434E-2</v>
      </c>
      <c r="L2">
        <v>301101.76444626477</v>
      </c>
      <c r="M2">
        <v>3562171.26519241</v>
      </c>
    </row>
    <row r="3" spans="1:13" x14ac:dyDescent="0.25">
      <c r="A3" s="2">
        <v>44136</v>
      </c>
      <c r="B3">
        <v>30082786</v>
      </c>
      <c r="C3">
        <v>33244037.120750379</v>
      </c>
      <c r="D3">
        <v>3161251.1207503751</v>
      </c>
      <c r="E3" t="s">
        <v>13</v>
      </c>
      <c r="F3" s="2">
        <v>44600</v>
      </c>
      <c r="G3">
        <v>6.2799999999999995E-2</v>
      </c>
      <c r="H3" s="2">
        <v>44160</v>
      </c>
      <c r="I3" s="2">
        <v>44651</v>
      </c>
      <c r="J3">
        <v>491</v>
      </c>
      <c r="K3">
        <v>8.6618186180762669E-2</v>
      </c>
      <c r="L3">
        <v>273821.83814130072</v>
      </c>
      <c r="M3">
        <v>3435072.9588916758</v>
      </c>
    </row>
    <row r="4" spans="1:13" x14ac:dyDescent="0.25">
      <c r="A4" s="2">
        <v>44166</v>
      </c>
      <c r="B4">
        <v>31778644</v>
      </c>
      <c r="C4">
        <v>35164069.792720571</v>
      </c>
      <c r="D4">
        <v>3385425.7927205712</v>
      </c>
      <c r="E4" t="s">
        <v>13</v>
      </c>
      <c r="F4" s="2">
        <v>44600</v>
      </c>
      <c r="G4">
        <v>6.2799999999999995E-2</v>
      </c>
      <c r="H4" s="2">
        <v>44190</v>
      </c>
      <c r="I4" s="2">
        <v>44651</v>
      </c>
      <c r="J4">
        <v>461</v>
      </c>
      <c r="K4">
        <v>8.1116943722230106E-2</v>
      </c>
      <c r="L4">
        <v>274615.39350390079</v>
      </c>
      <c r="M4">
        <v>3660041.1862244718</v>
      </c>
    </row>
    <row r="5" spans="1:13" x14ac:dyDescent="0.25">
      <c r="A5" s="2">
        <v>44197</v>
      </c>
      <c r="B5">
        <v>44107950</v>
      </c>
      <c r="C5">
        <v>50931821.235511057</v>
      </c>
      <c r="D5">
        <v>6823871.2355110571</v>
      </c>
      <c r="E5" t="s">
        <v>13</v>
      </c>
      <c r="F5" s="2">
        <v>44600</v>
      </c>
      <c r="G5">
        <v>6.2799999999999995E-2</v>
      </c>
      <c r="H5" s="2">
        <v>44221</v>
      </c>
      <c r="I5" s="2">
        <v>44651</v>
      </c>
      <c r="J5">
        <v>430</v>
      </c>
      <c r="K5">
        <v>7.546158414660753E-2</v>
      </c>
      <c r="L5">
        <v>514940.13344413228</v>
      </c>
      <c r="M5">
        <v>7338811.3689551894</v>
      </c>
    </row>
    <row r="6" spans="1:13" x14ac:dyDescent="0.25">
      <c r="A6" s="2">
        <v>44228</v>
      </c>
      <c r="B6">
        <v>39710240</v>
      </c>
      <c r="C6">
        <v>45661572.552888349</v>
      </c>
      <c r="D6">
        <v>5951332.5528883487</v>
      </c>
      <c r="E6" t="s">
        <v>13</v>
      </c>
      <c r="F6" s="2">
        <v>44600</v>
      </c>
      <c r="G6">
        <v>6.2799999999999995E-2</v>
      </c>
      <c r="H6" s="2">
        <v>44252</v>
      </c>
      <c r="I6" s="2">
        <v>44651</v>
      </c>
      <c r="J6">
        <v>399</v>
      </c>
      <c r="K6">
        <v>6.9835807949652162E-2</v>
      </c>
      <c r="L6">
        <v>415616.11720802379</v>
      </c>
      <c r="M6">
        <v>6366948.6700963723</v>
      </c>
    </row>
    <row r="7" spans="1:13" x14ac:dyDescent="0.25">
      <c r="A7" s="2">
        <v>44256</v>
      </c>
      <c r="B7">
        <v>49551211</v>
      </c>
      <c r="C7">
        <v>51773649.2637932</v>
      </c>
      <c r="D7">
        <v>2222438.2637931998</v>
      </c>
      <c r="E7" t="s">
        <v>13</v>
      </c>
      <c r="F7" s="2">
        <v>44600</v>
      </c>
      <c r="G7">
        <v>6.2799999999999995E-2</v>
      </c>
      <c r="H7" s="2">
        <v>44280</v>
      </c>
      <c r="I7" s="2">
        <v>44651</v>
      </c>
      <c r="J7">
        <v>371</v>
      </c>
      <c r="K7">
        <v>6.4779760514333207E-2</v>
      </c>
      <c r="L7">
        <v>143969.01848641399</v>
      </c>
      <c r="M7">
        <v>2366407.2822796139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44105</v>
      </c>
      <c r="B2">
        <v>216935434</v>
      </c>
      <c r="C2">
        <v>239903648.1329459</v>
      </c>
      <c r="D2">
        <v>22968214.132945899</v>
      </c>
      <c r="E2" t="s">
        <v>13</v>
      </c>
      <c r="F2" s="2">
        <v>44600</v>
      </c>
      <c r="G2">
        <v>6.2799999999999995E-2</v>
      </c>
      <c r="H2" s="2">
        <v>44129</v>
      </c>
      <c r="I2" s="2">
        <v>44651</v>
      </c>
      <c r="J2">
        <v>522</v>
      </c>
      <c r="K2">
        <v>9.2332213213294434E-2</v>
      </c>
      <c r="L2">
        <v>2120706.0444517629</v>
      </c>
      <c r="M2">
        <v>25088920.177397661</v>
      </c>
    </row>
    <row r="3" spans="1:13" x14ac:dyDescent="0.25">
      <c r="A3" s="2">
        <v>44136</v>
      </c>
      <c r="B3">
        <v>213477030</v>
      </c>
      <c r="C3">
        <v>236007523.4199357</v>
      </c>
      <c r="D3">
        <v>22530493.4199357</v>
      </c>
      <c r="E3" t="s">
        <v>13</v>
      </c>
      <c r="F3" s="2">
        <v>44600</v>
      </c>
      <c r="G3">
        <v>6.2799999999999995E-2</v>
      </c>
      <c r="H3" s="2">
        <v>44160</v>
      </c>
      <c r="I3" s="2">
        <v>44651</v>
      </c>
      <c r="J3">
        <v>491</v>
      </c>
      <c r="K3">
        <v>8.6618186180762669E-2</v>
      </c>
      <c r="L3">
        <v>1951550.4737924391</v>
      </c>
      <c r="M3">
        <v>24482043.893728141</v>
      </c>
    </row>
    <row r="4" spans="1:13" x14ac:dyDescent="0.25">
      <c r="A4" s="2">
        <v>44166</v>
      </c>
      <c r="B4">
        <v>228146340</v>
      </c>
      <c r="C4">
        <v>252597179.50236171</v>
      </c>
      <c r="D4">
        <v>24450839.502361741</v>
      </c>
      <c r="E4" t="s">
        <v>13</v>
      </c>
      <c r="F4" s="2">
        <v>44600</v>
      </c>
      <c r="G4">
        <v>6.2799999999999995E-2</v>
      </c>
      <c r="H4" s="2">
        <v>44190</v>
      </c>
      <c r="I4" s="2">
        <v>44651</v>
      </c>
      <c r="J4">
        <v>461</v>
      </c>
      <c r="K4">
        <v>8.1116943722230106E-2</v>
      </c>
      <c r="L4">
        <v>1983377.371874359</v>
      </c>
      <c r="M4">
        <v>26434216.874236099</v>
      </c>
    </row>
    <row r="5" spans="1:13" x14ac:dyDescent="0.25">
      <c r="A5" s="2">
        <v>44197</v>
      </c>
      <c r="B5">
        <v>317735382</v>
      </c>
      <c r="C5">
        <v>367147972.28034389</v>
      </c>
      <c r="D5">
        <v>49412590.28034389</v>
      </c>
      <c r="E5" t="s">
        <v>13</v>
      </c>
      <c r="F5" s="2">
        <v>44600</v>
      </c>
      <c r="G5">
        <v>6.2799999999999995E-2</v>
      </c>
      <c r="H5" s="2">
        <v>44221</v>
      </c>
      <c r="I5" s="2">
        <v>44651</v>
      </c>
      <c r="J5">
        <v>430</v>
      </c>
      <c r="K5">
        <v>7.546158414660753E-2</v>
      </c>
      <c r="L5">
        <v>3728752.3393420121</v>
      </c>
      <c r="M5">
        <v>53141342.619685903</v>
      </c>
    </row>
    <row r="6" spans="1:13" x14ac:dyDescent="0.25">
      <c r="A6" s="2">
        <v>44228</v>
      </c>
      <c r="B6">
        <v>284366074</v>
      </c>
      <c r="C6">
        <v>327237851.17947042</v>
      </c>
      <c r="D6">
        <v>42871777.17947036</v>
      </c>
      <c r="E6" t="s">
        <v>13</v>
      </c>
      <c r="F6" s="2">
        <v>44600</v>
      </c>
      <c r="G6">
        <v>6.2799999999999995E-2</v>
      </c>
      <c r="H6" s="2">
        <v>44252</v>
      </c>
      <c r="I6" s="2">
        <v>44651</v>
      </c>
      <c r="J6">
        <v>399</v>
      </c>
      <c r="K6">
        <v>6.9835807949652162E-2</v>
      </c>
      <c r="L6">
        <v>2993985.197565773</v>
      </c>
      <c r="M6">
        <v>45865762.377036132</v>
      </c>
    </row>
    <row r="7" spans="1:13" x14ac:dyDescent="0.25">
      <c r="A7" s="2">
        <v>44256</v>
      </c>
      <c r="B7">
        <v>349942571</v>
      </c>
      <c r="C7">
        <v>365703700.27241868</v>
      </c>
      <c r="D7">
        <v>15761129.272418739</v>
      </c>
      <c r="E7" t="s">
        <v>13</v>
      </c>
      <c r="F7" s="2">
        <v>44600</v>
      </c>
      <c r="G7">
        <v>6.2799999999999995E-2</v>
      </c>
      <c r="H7" s="2">
        <v>44280</v>
      </c>
      <c r="I7" s="2">
        <v>44651</v>
      </c>
      <c r="J7">
        <v>371</v>
      </c>
      <c r="K7">
        <v>6.4779760514333207E-2</v>
      </c>
      <c r="L7">
        <v>1021002.1797027329</v>
      </c>
      <c r="M7">
        <v>16782131.45212147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Resumen</vt:lpstr>
      <vt:lpstr>CAREN_BS1A</vt:lpstr>
      <vt:lpstr>CAREN_BS1B</vt:lpstr>
      <vt:lpstr>CAREN_BS1C</vt:lpstr>
      <vt:lpstr>CAREN_BS3</vt:lpstr>
      <vt:lpstr>NORVIND_BS4</vt:lpstr>
      <vt:lpstr>SAN_JUAN_LAP_BS2A</vt:lpstr>
      <vt:lpstr>SAN_JUAN_LAP_BS2C</vt:lpstr>
      <vt:lpstr>SAN_JUAN_LAP_BS3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Francisco</cp:lastModifiedBy>
  <dcterms:created xsi:type="dcterms:W3CDTF">2022-04-08T19:24:08Z</dcterms:created>
  <dcterms:modified xsi:type="dcterms:W3CDTF">2022-04-08T19:33:23Z</dcterms:modified>
</cp:coreProperties>
</file>