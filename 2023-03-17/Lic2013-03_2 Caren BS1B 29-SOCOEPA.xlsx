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README" sheetId="1" state="visible" r:id="rId1"/>
    <sheet name="ReliquidacionEFACT" sheetId="2" state="visible" r:id="rId2"/>
    <sheet name="ResumenRetiros" sheetId="3" state="visible" r:id="rId3"/>
    <sheet name="FactRealE" sheetId="4" state="visible" r:id="rId4"/>
    <sheet name="FactRealP" sheetId="5" state="visible" r:id="rId5"/>
    <sheet name="FACT_EMITIDA" sheetId="6" state="visible" r:id="rId6"/>
    <sheet name="SIGGE_E" sheetId="7" state="visible" r:id="rId7"/>
    <sheet name="SIGGE_P" sheetId="8" state="visible" r:id="rId8"/>
    <sheet name="EFACT_CNE" sheetId="9" state="visible" r:id="rId9"/>
    <sheet name="EfactCNE_BT" sheetId="10" state="visible" r:id="rId10"/>
    <sheet name="CEN_Energia" sheetId="11" state="visible" r:id="rId11"/>
    <sheet name="CEN_Potencia" sheetId="12" state="visible" r:id="rId12"/>
    <sheet name="CEN_EnergiaBT" sheetId="13" state="visible" r:id="rId13"/>
    <sheet name="EFACT_EST_CEN" sheetId="14" state="visible" r:id="rId14"/>
    <sheet name="SIN_DATA" sheetId="15" state="visible" r:id="rId15"/>
    <sheet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H:MM:SS"/>
    <numFmt numFmtId="165" formatCode="DD-MM-YYYY"/>
    <numFmt numFmtId="166" formatCode="#,##0.0000"/>
    <numFmt numFmtId="167" formatCode="#,##0.0"/>
  </numFmts>
  <fonts count="5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  <font>
      <b val="1"/>
      <color rgb="00FFFFFF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9BBB59"/>
        <bgColor rgb="009BBB59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00393939"/>
      </left>
      <right style="thin">
        <color rgb="00393939"/>
      </right>
      <top style="thin">
        <color rgb="00393939"/>
      </top>
      <bottom style="thin">
        <color rgb="00393939"/>
      </bottom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0" fontId="3" fillId="2" borderId="2" pivotButton="0" quotePrefix="0" xfId="0"/>
    <xf numFmtId="165" fontId="0" fillId="0" borderId="0" pivotButton="0" quotePrefix="0" xfId="0"/>
    <xf numFmtId="4" fontId="0" fillId="0" borderId="0" pivotButton="0" quotePrefix="0" xfId="0"/>
    <xf numFmtId="166" fontId="0" fillId="0" borderId="0" pivotButton="0" quotePrefix="0" xfId="0"/>
    <xf numFmtId="167" fontId="4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 /><Relationship Type="http://schemas.openxmlformats.org/officeDocument/2006/relationships/hyperlink" Target="https://www.bcn.cl/leychile/navegar?idNorma=1093605" TargetMode="External" Id="rId2" /><Relationship Type="http://schemas.openxmlformats.org/officeDocument/2006/relationships/hyperlink" Target="https://www.diariooficial.interior.gob.cl/publicaciones/2017/09/15/41861/01/1272697.pdf" TargetMode="External" Id="rId3" /><Relationship Type="http://schemas.openxmlformats.org/officeDocument/2006/relationships/hyperlink" Target="https://www.diariooficial.interior.gob.cl/publicaciones/2017/09/15/41861/01/1272697.pdf" TargetMode="External" Id="rId4" /><Relationship Type="http://schemas.openxmlformats.org/officeDocument/2006/relationships/hyperlink" Target="https://www.diariooficial.interior.gob.cl/publicaciones/2018/03/15/42008/01/1366088.pdf" TargetMode="External" Id="rId5" /><Relationship Type="http://schemas.openxmlformats.org/officeDocument/2006/relationships/hyperlink" Target="https://www.diariooficial.interior.gob.cl/publicaciones/2018/09/15/42159/01/1465375.pdf" TargetMode="External" Id="rId6" /><Relationship Type="http://schemas.openxmlformats.org/officeDocument/2006/relationships/hyperlink" Target="https://www.diariooficial.interior.gob.cl/publicaciones/2019/04/15/42331/01/1576341.pdf" TargetMode="External" Id="rId7" /><Relationship Type="http://schemas.openxmlformats.org/officeDocument/2006/relationships/hyperlink" Target="https://www.diariooficial.interior.gob.cl/publicaciones/2020/10/15/42780/01/1830437.pdf" TargetMode="External" Id="rId8" /><Relationship Type="http://schemas.openxmlformats.org/officeDocument/2006/relationships/hyperlink" Target="https://www.diariooficial.interior.gob.cl/publicaciones/2021/03/15/42905/01/1910115.pdf" TargetMode="External" Id="rId9" /><Relationship Type="http://schemas.openxmlformats.org/officeDocument/2006/relationships/hyperlink" Target="https://www.diariooficial.interior.gob.cl/publicaciones/2021/05/14/42954/01/1943780.pdf" TargetMode="External" Id="rId1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</cols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SOCOEPA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BS1B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s="4" t="inlineStr">
        <is>
          <t>ID</t>
        </is>
      </c>
      <c r="B8" s="4" t="inlineStr">
        <is>
          <t>MES</t>
        </is>
      </c>
      <c r="C8" s="4" t="inlineStr">
        <is>
          <t>ORIGEN DATA</t>
        </is>
      </c>
      <c r="D8" s="4" t="inlineStr">
        <is>
          <t>Energía (kWh)</t>
        </is>
      </c>
      <c r="E8" s="4" t="inlineStr">
        <is>
          <t>Monto Energía ($)</t>
        </is>
      </c>
      <c r="F8" s="4" t="inlineStr">
        <is>
          <t>$/kWh</t>
        </is>
      </c>
      <c r="G8" s="4" t="inlineStr">
        <is>
          <t>Potencia (kW)</t>
        </is>
      </c>
      <c r="H8" s="4" t="inlineStr">
        <is>
          <t>Monto Potencia ($)</t>
        </is>
      </c>
      <c r="I8" s="4" t="inlineStr">
        <is>
          <t>$/kW-mes</t>
        </is>
      </c>
      <c r="J8" s="4" t="inlineStr">
        <is>
          <t>Monto Total ($)</t>
        </is>
      </c>
      <c r="K8" s="4" t="n"/>
      <c r="L8" s="4" t="inlineStr">
        <is>
          <t>ORIGEN DATA</t>
        </is>
      </c>
      <c r="M8" s="4" t="inlineStr">
        <is>
          <t>Energía (kWh)</t>
        </is>
      </c>
      <c r="N8" s="4" t="inlineStr">
        <is>
          <t>Monto Energía ($)</t>
        </is>
      </c>
      <c r="O8" s="4" t="inlineStr">
        <is>
          <t>$/kWh</t>
        </is>
      </c>
      <c r="P8" s="4" t="inlineStr">
        <is>
          <t>Potencia (kW)</t>
        </is>
      </c>
      <c r="Q8" s="4" t="inlineStr">
        <is>
          <t>Monto Potencia ($)</t>
        </is>
      </c>
      <c r="R8" s="4" t="inlineStr">
        <is>
          <t>$/kW-mes</t>
        </is>
      </c>
      <c r="S8" s="4" t="inlineStr">
        <is>
          <t>Monto Total ($)</t>
        </is>
      </c>
      <c r="T8" s="4" t="n"/>
      <c r="U8" s="4" t="inlineStr">
        <is>
          <t>Mes</t>
        </is>
      </c>
      <c r="V8" s="4" t="inlineStr">
        <is>
          <t>Reliquidación mensual ($)</t>
        </is>
      </c>
      <c r="W8" s="4" t="inlineStr">
        <is>
          <t>Decreto PNP Reliquidación</t>
        </is>
      </c>
      <c r="X8" s="4" t="inlineStr">
        <is>
          <t>Fecha publicación Diario Oficial</t>
        </is>
      </c>
      <c r="Y8" s="4" t="inlineStr">
        <is>
          <t>Interés Anual</t>
        </is>
      </c>
      <c r="Z8" s="4" t="inlineStr">
        <is>
          <t>Fecha Facturación</t>
        </is>
      </c>
      <c r="AA8" s="4" t="inlineStr">
        <is>
          <t>Fecha Reliquidación</t>
        </is>
      </c>
      <c r="AB8" s="4" t="inlineStr">
        <is>
          <t>N° de días de intereses</t>
        </is>
      </c>
      <c r="AC8" s="4" t="inlineStr">
        <is>
          <t>Interés total según n° de días</t>
        </is>
      </c>
      <c r="AD8" s="4" t="inlineStr">
        <is>
          <t>Intereses ($)</t>
        </is>
      </c>
      <c r="AE8" s="4" t="inlineStr">
        <is>
          <t>Reliquidación Total ($)</t>
        </is>
      </c>
    </row>
    <row r="9">
      <c r="A9" t="n">
        <v>9</v>
      </c>
      <c r="B9" s="5" t="n">
        <v>44470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44470</v>
      </c>
      <c r="V9" s="6">
        <f>(S9-J9)</f>
        <v/>
      </c>
      <c r="W9" t="inlineStr">
        <is>
          <t>PNP_9T</t>
        </is>
      </c>
      <c r="X9" s="2" t="n">
        <v>44912</v>
      </c>
      <c r="Y9" t="n">
        <v>0.1046</v>
      </c>
      <c r="Z9" s="2" t="n">
        <v>44494</v>
      </c>
      <c r="AA9" s="2" t="n">
        <v>44926</v>
      </c>
      <c r="AB9">
        <f>(AA9-Z9)</f>
        <v/>
      </c>
      <c r="AC9" s="7">
        <f>(1+Y9)^(AB9/360)-1</f>
        <v/>
      </c>
      <c r="AD9" s="7">
        <f>(AC9*V9)</f>
        <v/>
      </c>
      <c r="AE9" s="8">
        <f>(V9+AD9)</f>
        <v/>
      </c>
    </row>
    <row r="10">
      <c r="A10" t="n">
        <v>10</v>
      </c>
      <c r="B10" s="5" t="n">
        <v>44501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44501</v>
      </c>
      <c r="V10" s="6">
        <f>(S10-J10)</f>
        <v/>
      </c>
      <c r="W10" t="inlineStr">
        <is>
          <t>PNP_9T</t>
        </is>
      </c>
      <c r="X10" s="2" t="n">
        <v>44912</v>
      </c>
      <c r="Y10" t="n">
        <v>0.1046</v>
      </c>
      <c r="Z10" s="2" t="n">
        <v>44525</v>
      </c>
      <c r="AA10" s="2" t="n">
        <v>44926</v>
      </c>
      <c r="AB10">
        <f>(AA10-Z10)</f>
        <v/>
      </c>
      <c r="AC10" s="7">
        <f>(1+Y10)^(AB10/360)-1</f>
        <v/>
      </c>
      <c r="AD10" s="7">
        <f>(AC10*V10)</f>
        <v/>
      </c>
      <c r="AE10" s="8">
        <f>(V10+AD10)</f>
        <v/>
      </c>
    </row>
    <row r="11">
      <c r="A11" t="n">
        <v>11</v>
      </c>
      <c r="B11" s="5" t="n">
        <v>44531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44531</v>
      </c>
      <c r="V11" s="6">
        <f>(S11-J11)</f>
        <v/>
      </c>
      <c r="W11" t="inlineStr">
        <is>
          <t>PNP_9T</t>
        </is>
      </c>
      <c r="X11" s="2" t="n">
        <v>44912</v>
      </c>
      <c r="Y11" t="n">
        <v>0.1046</v>
      </c>
      <c r="Z11" s="2" t="n">
        <v>44555</v>
      </c>
      <c r="AA11" s="2" t="n">
        <v>44926</v>
      </c>
      <c r="AB11">
        <f>(AA11-Z11)</f>
        <v/>
      </c>
      <c r="AC11" s="7">
        <f>(1+Y11)^(AB11/360)-1</f>
        <v/>
      </c>
      <c r="AD11" s="7">
        <f>(AC11*V11)</f>
        <v/>
      </c>
      <c r="AE11" s="8">
        <f>(V11+AD11)</f>
        <v/>
      </c>
    </row>
    <row r="12">
      <c r="A12" t="n">
        <v>12</v>
      </c>
      <c r="B12" s="5" t="n">
        <v>44562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44562</v>
      </c>
      <c r="V12" s="6">
        <f>(S12-J12)</f>
        <v/>
      </c>
      <c r="W12" t="inlineStr">
        <is>
          <t>PNP_9T</t>
        </is>
      </c>
      <c r="X12" s="2" t="n">
        <v>44912</v>
      </c>
      <c r="Y12" t="n">
        <v>0.1046</v>
      </c>
      <c r="Z12" s="2" t="n">
        <v>44586</v>
      </c>
      <c r="AA12" s="2" t="n">
        <v>44926</v>
      </c>
      <c r="AB12">
        <f>(AA12-Z12)</f>
        <v/>
      </c>
      <c r="AC12" s="7">
        <f>(1+Y12)^(AB12/360)-1</f>
        <v/>
      </c>
      <c r="AD12" s="7">
        <f>(AC12*V12)</f>
        <v/>
      </c>
      <c r="AE12" s="8">
        <f>(V12+AD12)</f>
        <v/>
      </c>
    </row>
    <row r="13">
      <c r="A13" t="n">
        <v>13</v>
      </c>
      <c r="B13" s="5" t="n">
        <v>44593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44593</v>
      </c>
      <c r="V13" s="6">
        <f>(S13-J13)</f>
        <v/>
      </c>
      <c r="W13" t="inlineStr">
        <is>
          <t>PNP_9T</t>
        </is>
      </c>
      <c r="X13" s="2" t="n">
        <v>44912</v>
      </c>
      <c r="Y13" t="n">
        <v>0.1046</v>
      </c>
      <c r="Z13" s="2" t="n">
        <v>44617</v>
      </c>
      <c r="AA13" s="2" t="n">
        <v>44926</v>
      </c>
      <c r="AB13">
        <f>(AA13-Z13)</f>
        <v/>
      </c>
      <c r="AC13" s="7">
        <f>(1+Y13)^(AB13/360)-1</f>
        <v/>
      </c>
      <c r="AD13" s="7">
        <f>(AC13*V13)</f>
        <v/>
      </c>
      <c r="AE13" s="8">
        <f>(V13+AD13)</f>
        <v/>
      </c>
    </row>
    <row r="14">
      <c r="A14" t="n">
        <v>14</v>
      </c>
      <c r="B14" s="5" t="n">
        <v>44621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44621</v>
      </c>
      <c r="V14" s="6">
        <f>(S14-J14)</f>
        <v/>
      </c>
      <c r="W14" t="inlineStr">
        <is>
          <t>PNP_9T</t>
        </is>
      </c>
      <c r="X14" s="2" t="n">
        <v>44912</v>
      </c>
      <c r="Y14" t="n">
        <v>0.1046</v>
      </c>
      <c r="Z14" s="2" t="n">
        <v>44645</v>
      </c>
      <c r="AA14" s="2" t="n">
        <v>44926</v>
      </c>
      <c r="AB14">
        <f>(AA14-Z14)</f>
        <v/>
      </c>
      <c r="AC14" s="7">
        <f>(1+Y14)^(AB14/360)-1</f>
        <v/>
      </c>
      <c r="AD14" s="7">
        <f>(AC14*V14)</f>
        <v/>
      </c>
      <c r="AE14" s="8">
        <f>(V14+AD14)</f>
        <v/>
      </c>
    </row>
    <row r="15">
      <c r="AD15" t="inlineStr">
        <is>
          <t>Reliquidación</t>
        </is>
      </c>
      <c r="AE15" s="8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4" customWidth="1" min="3" max="3"/>
    <col width="26" customWidth="1" min="4" max="4"/>
    <col width="26" customWidth="1" min="5" max="5"/>
    <col width="30" customWidth="1" min="6" max="6"/>
    <col width="30" customWidth="1" min="7" max="7"/>
    <col width="30" customWidth="1" min="8" max="8"/>
  </cols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SOCOEPA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BS1B</t>
        </is>
      </c>
    </row>
    <row r="8">
      <c r="A8" s="4" t="inlineStr">
        <is>
          <t>ID</t>
        </is>
      </c>
      <c r="B8" s="4" t="inlineStr">
        <is>
          <t>MES</t>
        </is>
      </c>
      <c r="C8" s="4" t="inlineStr">
        <is>
          <t>ORIGEN DATA</t>
        </is>
      </c>
      <c r="D8" s="4" t="inlineStr">
        <is>
          <t>Energía SIGGE (kWh)</t>
        </is>
      </c>
      <c r="E8" s="4" t="inlineStr">
        <is>
          <t>Energía EFACT AT (kWh)</t>
        </is>
      </c>
      <c r="F8" s="4" t="inlineStr">
        <is>
          <t>Energía EFACT BT (kWh)</t>
        </is>
      </c>
      <c r="G8" s="4" t="inlineStr">
        <is>
          <t>Energía Coordinador AT (kWh)</t>
        </is>
      </c>
      <c r="H8" s="4" t="inlineStr">
        <is>
          <t>Energía Coordinador BT (kWh)</t>
        </is>
      </c>
    </row>
    <row r="9">
      <c r="A9" t="n">
        <v>9</v>
      </c>
      <c r="B9" s="5" t="n">
        <v>44470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5" t="n">
        <v>44501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5" t="n">
        <v>44531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5" t="n">
        <v>44562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5" t="n">
        <v>44593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5" t="n">
        <v>44621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CAREN</t>
        </is>
      </c>
      <c r="B2" t="inlineStr">
        <is>
          <t>01-01-2022</t>
        </is>
      </c>
      <c r="C2" t="n">
        <v>29</v>
      </c>
      <c r="D2" t="inlineStr">
        <is>
          <t>SOCOEPA</t>
        </is>
      </c>
      <c r="E2" t="inlineStr">
        <is>
          <t>BS1B</t>
        </is>
      </c>
      <c r="F2" t="inlineStr">
        <is>
          <t>Licitación Caren y Socoepa (SIC 2013/03-2) BS1B</t>
        </is>
      </c>
      <c r="G2" t="inlineStr">
        <is>
          <t>2022-02-18 15:34:27</t>
        </is>
      </c>
      <c r="H2" t="n">
        <v>33</v>
      </c>
      <c r="I2" t="n">
        <v>-1</v>
      </c>
      <c r="J2" t="inlineStr">
        <is>
          <t>VENTA PPA ENERGIA</t>
        </is>
      </c>
      <c r="K2" t="n">
        <v>23338</v>
      </c>
      <c r="L2" t="n">
        <v>177768</v>
      </c>
    </row>
    <row r="3">
      <c r="A3" t="inlineStr">
        <is>
          <t>CAREN</t>
        </is>
      </c>
      <c r="B3" t="inlineStr">
        <is>
          <t>01-02-2022</t>
        </is>
      </c>
      <c r="C3" t="n">
        <v>29</v>
      </c>
      <c r="D3" t="inlineStr">
        <is>
          <t>SOCOEPA</t>
        </is>
      </c>
      <c r="E3" t="inlineStr">
        <is>
          <t>BS1B</t>
        </is>
      </c>
      <c r="F3" t="inlineStr">
        <is>
          <t>Licitación Caren y Socoepa (SIC 2013/03-2) BS1B</t>
        </is>
      </c>
      <c r="G3" t="inlineStr">
        <is>
          <t>2022-03-09 14:58:01</t>
        </is>
      </c>
      <c r="H3" t="n">
        <v>33</v>
      </c>
      <c r="I3" t="n">
        <v>-1</v>
      </c>
      <c r="J3" t="inlineStr">
        <is>
          <t>VENTA PPA ENERGIA</t>
        </is>
      </c>
      <c r="K3" t="n">
        <v>23695</v>
      </c>
      <c r="L3" t="n">
        <v>177709</v>
      </c>
    </row>
    <row r="4">
      <c r="A4" t="inlineStr">
        <is>
          <t>CAREN</t>
        </is>
      </c>
      <c r="B4" t="inlineStr">
        <is>
          <t>01-03-2022</t>
        </is>
      </c>
      <c r="C4" t="n">
        <v>29</v>
      </c>
      <c r="D4" t="inlineStr">
        <is>
          <t>SOCOEPA</t>
        </is>
      </c>
      <c r="E4" t="inlineStr">
        <is>
          <t>BS1B</t>
        </is>
      </c>
      <c r="F4" t="inlineStr">
        <is>
          <t>Licitación Caren y Socoepa (SIC 2013/03-2) BS1B</t>
        </is>
      </c>
      <c r="G4" t="inlineStr">
        <is>
          <t>2022-04-08 16:46:03</t>
        </is>
      </c>
      <c r="H4" t="n">
        <v>33</v>
      </c>
      <c r="I4" t="n">
        <v>-1</v>
      </c>
      <c r="J4" t="inlineStr">
        <is>
          <t>VENTA PPA ENERGIA</t>
        </is>
      </c>
      <c r="K4" t="n">
        <v>24417</v>
      </c>
      <c r="L4" t="n">
        <v>142168</v>
      </c>
    </row>
    <row r="5">
      <c r="A5" t="inlineStr">
        <is>
          <t>CAREN</t>
        </is>
      </c>
      <c r="B5" t="inlineStr">
        <is>
          <t>01-10-2021</t>
        </is>
      </c>
      <c r="C5" t="n">
        <v>29</v>
      </c>
      <c r="D5" t="inlineStr">
        <is>
          <t>SOCOEPA</t>
        </is>
      </c>
      <c r="E5" t="inlineStr">
        <is>
          <t>BS1B</t>
        </is>
      </c>
      <c r="F5" t="inlineStr">
        <is>
          <t>Licitación Caren y Socoepa (SIC 2013/03-2) BS1B</t>
        </is>
      </c>
      <c r="G5" t="inlineStr">
        <is>
          <t>2021-11-17 11:52:41</t>
        </is>
      </c>
      <c r="H5" t="n">
        <v>33</v>
      </c>
      <c r="I5" t="n">
        <v>-1</v>
      </c>
      <c r="J5" t="inlineStr">
        <is>
          <t>VENTA PPA ENERGIA</t>
        </is>
      </c>
      <c r="K5" t="n">
        <v>22200</v>
      </c>
      <c r="L5" t="n">
        <v>363977</v>
      </c>
    </row>
    <row r="6">
      <c r="A6" t="inlineStr">
        <is>
          <t>CAREN</t>
        </is>
      </c>
      <c r="B6" t="inlineStr">
        <is>
          <t>01-10-2021</t>
        </is>
      </c>
      <c r="C6" t="n">
        <v>29</v>
      </c>
      <c r="D6" t="inlineStr">
        <is>
          <t>SOCOEPA</t>
        </is>
      </c>
      <c r="E6" t="inlineStr">
        <is>
          <t>BS1B</t>
        </is>
      </c>
      <c r="F6" t="inlineStr">
        <is>
          <t>Licitación Caren y Socoepa (SIC 2013/03-2) BS1B</t>
        </is>
      </c>
      <c r="G6" t="inlineStr">
        <is>
          <t>2022-07-15 13:13:50</t>
        </is>
      </c>
      <c r="H6" t="n">
        <v>33</v>
      </c>
      <c r="I6" t="n">
        <v>-1</v>
      </c>
      <c r="J6" t="inlineStr">
        <is>
          <t>VENTA PPA ENERGIA</t>
        </is>
      </c>
      <c r="L6" t="n">
        <v>8455</v>
      </c>
    </row>
    <row r="7">
      <c r="A7" t="inlineStr">
        <is>
          <t>CAREN</t>
        </is>
      </c>
      <c r="B7" t="inlineStr">
        <is>
          <t>01-11-2021</t>
        </is>
      </c>
      <c r="C7" t="n">
        <v>29</v>
      </c>
      <c r="D7" t="inlineStr">
        <is>
          <t>SOCOEPA</t>
        </is>
      </c>
      <c r="E7" t="inlineStr">
        <is>
          <t>BS1B</t>
        </is>
      </c>
      <c r="F7" t="inlineStr">
        <is>
          <t>Licitación Caren y Socoepa (SIC 2013/03-2) BS1B</t>
        </is>
      </c>
      <c r="G7" t="inlineStr">
        <is>
          <t>2022-07-15 14:33:16</t>
        </is>
      </c>
      <c r="H7" t="n">
        <v>33</v>
      </c>
      <c r="I7" t="n">
        <v>-1</v>
      </c>
      <c r="J7" t="inlineStr">
        <is>
          <t>VENTA PPA ENERGIA</t>
        </is>
      </c>
      <c r="L7" t="n">
        <v>119174</v>
      </c>
    </row>
    <row r="8">
      <c r="A8" t="inlineStr">
        <is>
          <t>CAREN</t>
        </is>
      </c>
      <c r="B8" t="inlineStr">
        <is>
          <t>01-12-2021</t>
        </is>
      </c>
      <c r="C8" t="n">
        <v>29</v>
      </c>
      <c r="D8" t="inlineStr">
        <is>
          <t>SOCOEPA</t>
        </is>
      </c>
      <c r="E8" t="inlineStr">
        <is>
          <t>BS1B</t>
        </is>
      </c>
      <c r="F8" t="inlineStr">
        <is>
          <t>Licitación Caren y Socoepa (SIC 2013/03-2) BS1B</t>
        </is>
      </c>
      <c r="G8" t="inlineStr">
        <is>
          <t>2022-07-15 14:39:48</t>
        </is>
      </c>
      <c r="H8" t="n">
        <v>33</v>
      </c>
      <c r="I8" t="n">
        <v>-1</v>
      </c>
      <c r="J8" t="inlineStr">
        <is>
          <t>VENTA PPA ENERGIA</t>
        </is>
      </c>
      <c r="L8" t="n">
        <v>151824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CAREN</t>
        </is>
      </c>
      <c r="B2" t="inlineStr">
        <is>
          <t>01-01-2022</t>
        </is>
      </c>
      <c r="C2" t="n">
        <v>29</v>
      </c>
      <c r="D2" t="inlineStr">
        <is>
          <t>SOCOEPA</t>
        </is>
      </c>
      <c r="E2" t="inlineStr">
        <is>
          <t>BS1B</t>
        </is>
      </c>
      <c r="F2" t="inlineStr">
        <is>
          <t>Licitación Caren y Socoepa (SIC 2013/03-2) BS1B</t>
        </is>
      </c>
      <c r="G2" t="inlineStr">
        <is>
          <t>2022-02-18 15:34:27</t>
        </is>
      </c>
      <c r="H2" t="n">
        <v>33</v>
      </c>
      <c r="I2" t="n">
        <v>-1</v>
      </c>
      <c r="J2" t="inlineStr">
        <is>
          <t>VENTA PPA POTENCIA</t>
        </is>
      </c>
      <c r="K2" t="n">
        <v>23338</v>
      </c>
      <c r="L2" t="n">
        <v>0</v>
      </c>
    </row>
    <row r="3">
      <c r="A3" t="inlineStr">
        <is>
          <t>CAREN</t>
        </is>
      </c>
      <c r="B3" t="inlineStr">
        <is>
          <t>01-02-2022</t>
        </is>
      </c>
      <c r="C3" t="n">
        <v>29</v>
      </c>
      <c r="D3" t="inlineStr">
        <is>
          <t>SOCOEPA</t>
        </is>
      </c>
      <c r="E3" t="inlineStr">
        <is>
          <t>BS1B</t>
        </is>
      </c>
      <c r="F3" t="inlineStr">
        <is>
          <t>Licitación Caren y Socoepa (SIC 2013/03-2) BS1B</t>
        </is>
      </c>
      <c r="G3" t="inlineStr">
        <is>
          <t>2022-03-09 14:58:01</t>
        </is>
      </c>
      <c r="H3" t="n">
        <v>33</v>
      </c>
      <c r="I3" t="n">
        <v>-1</v>
      </c>
      <c r="J3" t="inlineStr">
        <is>
          <t>VENTA PPA POTENCIA</t>
        </is>
      </c>
      <c r="K3" t="n">
        <v>23695</v>
      </c>
      <c r="L3" t="n">
        <v>0</v>
      </c>
    </row>
    <row r="4">
      <c r="A4" t="inlineStr">
        <is>
          <t>CAREN</t>
        </is>
      </c>
      <c r="B4" t="inlineStr">
        <is>
          <t>01-03-2022</t>
        </is>
      </c>
      <c r="C4" t="n">
        <v>29</v>
      </c>
      <c r="D4" t="inlineStr">
        <is>
          <t>SOCOEPA</t>
        </is>
      </c>
      <c r="E4" t="inlineStr">
        <is>
          <t>BS1B</t>
        </is>
      </c>
      <c r="F4" t="inlineStr">
        <is>
          <t>Licitación Caren y Socoepa (SIC 2013/03-2) BS1B</t>
        </is>
      </c>
      <c r="G4" t="inlineStr">
        <is>
          <t>2022-04-08 16:46:03</t>
        </is>
      </c>
      <c r="H4" t="n">
        <v>33</v>
      </c>
      <c r="I4" t="n">
        <v>-1</v>
      </c>
      <c r="J4" t="inlineStr">
        <is>
          <t>VENTA PPA POTENCIA</t>
        </is>
      </c>
      <c r="K4" t="n">
        <v>24417</v>
      </c>
      <c r="L4" t="n">
        <v>0</v>
      </c>
    </row>
    <row r="5">
      <c r="A5" t="inlineStr">
        <is>
          <t>CAREN</t>
        </is>
      </c>
      <c r="B5" t="inlineStr">
        <is>
          <t>01-10-2021</t>
        </is>
      </c>
      <c r="C5" t="n">
        <v>29</v>
      </c>
      <c r="D5" t="inlineStr">
        <is>
          <t>SOCOEPA</t>
        </is>
      </c>
      <c r="E5" t="inlineStr">
        <is>
          <t>BS1B</t>
        </is>
      </c>
      <c r="F5" t="inlineStr">
        <is>
          <t>Licitación Caren y Socoepa (SIC 2013/03-2) BS1B</t>
        </is>
      </c>
      <c r="G5" t="inlineStr">
        <is>
          <t>2021-11-17 11:52:41</t>
        </is>
      </c>
      <c r="H5" t="n">
        <v>33</v>
      </c>
      <c r="I5" t="n">
        <v>-1</v>
      </c>
      <c r="J5" t="inlineStr">
        <is>
          <t>VENTA PPA POTENCIA</t>
        </is>
      </c>
      <c r="K5" t="n">
        <v>22200</v>
      </c>
      <c r="L5" t="n">
        <v>0</v>
      </c>
    </row>
    <row r="6">
      <c r="A6" t="inlineStr">
        <is>
          <t>CAREN</t>
        </is>
      </c>
      <c r="B6" t="inlineStr">
        <is>
          <t>01-11-2021</t>
        </is>
      </c>
      <c r="C6" t="n">
        <v>29</v>
      </c>
      <c r="D6" t="inlineStr">
        <is>
          <t>SOCOEPA</t>
        </is>
      </c>
      <c r="E6" t="inlineStr">
        <is>
          <t>BS1B</t>
        </is>
      </c>
      <c r="F6" t="inlineStr">
        <is>
          <t>Licitación Caren y Socoepa (SIC 2013/03-2) BS1B</t>
        </is>
      </c>
      <c r="G6" t="inlineStr">
        <is>
          <t>2022-07-15 14:33:16</t>
        </is>
      </c>
      <c r="H6" t="n">
        <v>33</v>
      </c>
      <c r="I6" t="n">
        <v>-1</v>
      </c>
      <c r="J6" t="inlineStr">
        <is>
          <t>VENTA PPA POTENCIA</t>
        </is>
      </c>
      <c r="L6" t="n">
        <v>0</v>
      </c>
    </row>
    <row r="7">
      <c r="A7" t="inlineStr">
        <is>
          <t>CAREN</t>
        </is>
      </c>
      <c r="B7" t="inlineStr">
        <is>
          <t>01-12-2021</t>
        </is>
      </c>
      <c r="C7" t="n">
        <v>29</v>
      </c>
      <c r="D7" t="inlineStr">
        <is>
          <t>SOCOEPA</t>
        </is>
      </c>
      <c r="E7" t="inlineStr">
        <is>
          <t>BS1B</t>
        </is>
      </c>
      <c r="F7" t="inlineStr">
        <is>
          <t>Licitación Caren y Socoepa (SIC 2013/03-2) BS1B</t>
        </is>
      </c>
      <c r="G7" t="inlineStr">
        <is>
          <t>2022-07-15 14:39:48</t>
        </is>
      </c>
      <c r="H7" t="n">
        <v>33</v>
      </c>
      <c r="I7" t="n">
        <v>-1</v>
      </c>
      <c r="J7" t="inlineStr">
        <is>
          <t>VENTA PPA POTENCIA</t>
        </is>
      </c>
      <c r="L7" t="n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Caren y Socoepa (SIC 2013/03-2) BS1B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BS1B: Potencia oct 2021</t>
        </is>
      </c>
      <c r="G2" t="inlineStr">
        <is>
          <t>2021-11-17 11:52:41</t>
        </is>
      </c>
      <c r="H2" t="n">
        <v>33</v>
      </c>
      <c r="I2" t="n">
        <v>22200</v>
      </c>
      <c r="J2" t="inlineStr">
        <is>
          <t>s</t>
        </is>
      </c>
      <c r="K2" t="inlineStr">
        <is>
          <t>s</t>
        </is>
      </c>
      <c r="L2" t="inlineStr">
        <is>
          <t>BS1B</t>
        </is>
      </c>
      <c r="M2" t="inlineStr">
        <is>
          <t>CAREN</t>
        </is>
      </c>
      <c r="N2" t="inlineStr">
        <is>
          <t>Socoepa</t>
        </is>
      </c>
      <c r="O2" t="inlineStr">
        <is>
          <t>2013/03-2</t>
        </is>
      </c>
      <c r="P2" t="inlineStr">
        <is>
          <t>SOCOEPA</t>
        </is>
      </c>
      <c r="Q2" t="n">
        <v>1</v>
      </c>
      <c r="R2" t="inlineStr">
        <is>
          <t>B.BLANCO 220</t>
        </is>
      </c>
      <c r="U2" t="n">
        <v>0</v>
      </c>
      <c r="V2" t="n">
        <v>0</v>
      </c>
      <c r="W2" t="n">
        <v>5223.261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Caren y Socoepa (SIC 2013/03-2) BS1B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BS1B: Energía oct 2021</t>
        </is>
      </c>
      <c r="G3" t="inlineStr">
        <is>
          <t>2021-11-17 11:52:41</t>
        </is>
      </c>
      <c r="H3" t="n">
        <v>33</v>
      </c>
      <c r="I3" t="n">
        <v>22200</v>
      </c>
      <c r="J3" t="inlineStr">
        <is>
          <t>s</t>
        </is>
      </c>
      <c r="K3" t="inlineStr">
        <is>
          <t>s</t>
        </is>
      </c>
      <c r="L3" t="inlineStr">
        <is>
          <t>BS1B</t>
        </is>
      </c>
      <c r="M3" t="inlineStr">
        <is>
          <t>CAREN</t>
        </is>
      </c>
      <c r="N3" t="inlineStr">
        <is>
          <t>Socoepa</t>
        </is>
      </c>
      <c r="O3" t="inlineStr">
        <is>
          <t>2013/03-2</t>
        </is>
      </c>
      <c r="P3" t="inlineStr">
        <is>
          <t>SOCOEPA</t>
        </is>
      </c>
      <c r="Q3" t="n">
        <v>1</v>
      </c>
      <c r="R3" t="inlineStr">
        <is>
          <t>B.BLANCO 220</t>
        </is>
      </c>
      <c r="S3" t="n">
        <v>1485.825694</v>
      </c>
      <c r="T3" t="n">
        <v>110330</v>
      </c>
      <c r="W3" t="n">
        <v>74.255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Caren y Socoepa (SIC 2013/03-2) BS1B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BS1B: Potencia oct 2021</t>
        </is>
      </c>
      <c r="G4" t="inlineStr">
        <is>
          <t>2021-11-17 11:52:41</t>
        </is>
      </c>
      <c r="H4" t="n">
        <v>33</v>
      </c>
      <c r="I4" t="n">
        <v>22200</v>
      </c>
      <c r="J4" t="inlineStr">
        <is>
          <t>s</t>
        </is>
      </c>
      <c r="K4" t="inlineStr">
        <is>
          <t>s</t>
        </is>
      </c>
      <c r="L4" t="inlineStr">
        <is>
          <t>BS1B</t>
        </is>
      </c>
      <c r="M4" t="inlineStr">
        <is>
          <t>CAREN</t>
        </is>
      </c>
      <c r="N4" t="inlineStr">
        <is>
          <t>Socoepa</t>
        </is>
      </c>
      <c r="O4" t="inlineStr">
        <is>
          <t>2013/03-2</t>
        </is>
      </c>
      <c r="P4" t="inlineStr">
        <is>
          <t>SOCOEPA</t>
        </is>
      </c>
      <c r="Q4" t="n">
        <v>2</v>
      </c>
      <c r="R4" t="inlineStr">
        <is>
          <t>MELIPULLI 220</t>
        </is>
      </c>
      <c r="U4" t="n">
        <v>0</v>
      </c>
      <c r="V4" t="n">
        <v>0</v>
      </c>
      <c r="W4" t="n">
        <v>5566.808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Caren y Socoepa (SIC 2013/03-2) BS1B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BS1B: Energía oct 2021</t>
        </is>
      </c>
      <c r="G5" t="inlineStr">
        <is>
          <t>2021-11-17 11:52:41</t>
        </is>
      </c>
      <c r="H5" t="n">
        <v>33</v>
      </c>
      <c r="I5" t="n">
        <v>22200</v>
      </c>
      <c r="J5" t="inlineStr">
        <is>
          <t>s</t>
        </is>
      </c>
      <c r="K5" t="inlineStr">
        <is>
          <t>s</t>
        </is>
      </c>
      <c r="L5" t="inlineStr">
        <is>
          <t>BS1B</t>
        </is>
      </c>
      <c r="M5" t="inlineStr">
        <is>
          <t>CAREN</t>
        </is>
      </c>
      <c r="N5" t="inlineStr">
        <is>
          <t>Socoepa</t>
        </is>
      </c>
      <c r="O5" t="inlineStr">
        <is>
          <t>2013/03-2</t>
        </is>
      </c>
      <c r="P5" t="inlineStr">
        <is>
          <t>SOCOEPA</t>
        </is>
      </c>
      <c r="Q5" t="n">
        <v>2</v>
      </c>
      <c r="R5" t="inlineStr">
        <is>
          <t>MELIPULLI 220</t>
        </is>
      </c>
      <c r="S5" t="n">
        <v>23.723031</v>
      </c>
      <c r="T5" t="n">
        <v>1822</v>
      </c>
      <c r="W5" t="n">
        <v>76.788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Caren y Socoepa (SIC 2013/03-2) BS1B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BS1B: Potencia oct 2021</t>
        </is>
      </c>
      <c r="G6" t="inlineStr">
        <is>
          <t>2021-11-17 11:52:41</t>
        </is>
      </c>
      <c r="H6" t="n">
        <v>33</v>
      </c>
      <c r="I6" t="n">
        <v>22200</v>
      </c>
      <c r="J6" t="inlineStr">
        <is>
          <t>s</t>
        </is>
      </c>
      <c r="K6" t="inlineStr">
        <is>
          <t>s</t>
        </is>
      </c>
      <c r="L6" t="inlineStr">
        <is>
          <t>BS1B</t>
        </is>
      </c>
      <c r="M6" t="inlineStr">
        <is>
          <t>CAREN</t>
        </is>
      </c>
      <c r="N6" t="inlineStr">
        <is>
          <t>Socoepa</t>
        </is>
      </c>
      <c r="O6" t="inlineStr">
        <is>
          <t>2013/03-2</t>
        </is>
      </c>
      <c r="P6" t="inlineStr">
        <is>
          <t>SOCOEPA</t>
        </is>
      </c>
      <c r="Q6" t="n">
        <v>3</v>
      </c>
      <c r="R6" t="inlineStr">
        <is>
          <t>VALDIVIA 220</t>
        </is>
      </c>
      <c r="U6" t="n">
        <v>0</v>
      </c>
      <c r="V6" t="n">
        <v>0</v>
      </c>
      <c r="W6" t="n">
        <v>5684.37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Caren y Socoepa (SIC 2013/03-2) BS1B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BS1B: Energía oct 2021</t>
        </is>
      </c>
      <c r="G7" t="inlineStr">
        <is>
          <t>2021-11-17 11:52:41</t>
        </is>
      </c>
      <c r="H7" t="n">
        <v>33</v>
      </c>
      <c r="I7" t="n">
        <v>22200</v>
      </c>
      <c r="J7" t="inlineStr">
        <is>
          <t>s</t>
        </is>
      </c>
      <c r="K7" t="inlineStr">
        <is>
          <t>s</t>
        </is>
      </c>
      <c r="L7" t="inlineStr">
        <is>
          <t>BS1B</t>
        </is>
      </c>
      <c r="M7" t="inlineStr">
        <is>
          <t>CAREN</t>
        </is>
      </c>
      <c r="N7" t="inlineStr">
        <is>
          <t>Socoepa</t>
        </is>
      </c>
      <c r="O7" t="inlineStr">
        <is>
          <t>2013/03-2</t>
        </is>
      </c>
      <c r="P7" t="inlineStr">
        <is>
          <t>SOCOEPA</t>
        </is>
      </c>
      <c r="Q7" t="n">
        <v>3</v>
      </c>
      <c r="R7" t="inlineStr">
        <is>
          <t>VALDIVIA 220</t>
        </is>
      </c>
      <c r="S7" t="n">
        <v>3381.658432</v>
      </c>
      <c r="T7" t="n">
        <v>251825</v>
      </c>
      <c r="W7" t="n">
        <v>74.468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Caren y Socoepa (SIC 2013/03-2) BS1B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BS1B: Energía oct 2021</t>
        </is>
      </c>
      <c r="G2" t="inlineStr">
        <is>
          <t>2021-11-17 11:52:41</t>
        </is>
      </c>
      <c r="H2" t="n">
        <v>33</v>
      </c>
      <c r="I2" t="n">
        <v>22200</v>
      </c>
      <c r="J2" t="inlineStr">
        <is>
          <t>s</t>
        </is>
      </c>
      <c r="K2" t="inlineStr">
        <is>
          <t>s</t>
        </is>
      </c>
      <c r="L2" t="inlineStr">
        <is>
          <t>BS1B</t>
        </is>
      </c>
      <c r="M2" t="inlineStr">
        <is>
          <t>CAREN</t>
        </is>
      </c>
      <c r="N2" t="inlineStr">
        <is>
          <t>Socoepa</t>
        </is>
      </c>
      <c r="O2" t="inlineStr">
        <is>
          <t>2013/03-2</t>
        </is>
      </c>
      <c r="P2" t="inlineStr">
        <is>
          <t>SOCOEPA</t>
        </is>
      </c>
      <c r="Q2" t="n">
        <v>1</v>
      </c>
      <c r="R2" t="inlineStr">
        <is>
          <t>B.BLANCO 220</t>
        </is>
      </c>
      <c r="S2" t="n">
        <v>1485.825694</v>
      </c>
      <c r="T2" t="n">
        <v>110330</v>
      </c>
      <c r="W2" t="n">
        <v>74.255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Caren y Socoepa (SIC 2013/03-2) BS1B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BS1B: Energía oct 2021</t>
        </is>
      </c>
      <c r="G3" t="inlineStr">
        <is>
          <t>2021-11-17 11:52:41</t>
        </is>
      </c>
      <c r="H3" t="n">
        <v>33</v>
      </c>
      <c r="I3" t="n">
        <v>22200</v>
      </c>
      <c r="J3" t="inlineStr">
        <is>
          <t>s</t>
        </is>
      </c>
      <c r="K3" t="inlineStr">
        <is>
          <t>s</t>
        </is>
      </c>
      <c r="L3" t="inlineStr">
        <is>
          <t>BS1B</t>
        </is>
      </c>
      <c r="M3" t="inlineStr">
        <is>
          <t>CAREN</t>
        </is>
      </c>
      <c r="N3" t="inlineStr">
        <is>
          <t>Socoepa</t>
        </is>
      </c>
      <c r="O3" t="inlineStr">
        <is>
          <t>2013/03-2</t>
        </is>
      </c>
      <c r="P3" t="inlineStr">
        <is>
          <t>SOCOEPA</t>
        </is>
      </c>
      <c r="Q3" t="n">
        <v>2</v>
      </c>
      <c r="R3" t="inlineStr">
        <is>
          <t>MELIPULLI 220</t>
        </is>
      </c>
      <c r="S3" t="n">
        <v>23.723031</v>
      </c>
      <c r="T3" t="n">
        <v>1822</v>
      </c>
      <c r="W3" t="n">
        <v>76.788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Caren y Socoepa (SIC 2013/03-2) BS1B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BS1B: Energía oct 2021</t>
        </is>
      </c>
      <c r="G4" t="inlineStr">
        <is>
          <t>2021-11-17 11:52:41</t>
        </is>
      </c>
      <c r="H4" t="n">
        <v>33</v>
      </c>
      <c r="I4" t="n">
        <v>22200</v>
      </c>
      <c r="J4" t="inlineStr">
        <is>
          <t>s</t>
        </is>
      </c>
      <c r="K4" t="inlineStr">
        <is>
          <t>s</t>
        </is>
      </c>
      <c r="L4" t="inlineStr">
        <is>
          <t>BS1B</t>
        </is>
      </c>
      <c r="M4" t="inlineStr">
        <is>
          <t>CAREN</t>
        </is>
      </c>
      <c r="N4" t="inlineStr">
        <is>
          <t>Socoepa</t>
        </is>
      </c>
      <c r="O4" t="inlineStr">
        <is>
          <t>2013/03-2</t>
        </is>
      </c>
      <c r="P4" t="inlineStr">
        <is>
          <t>SOCOEPA</t>
        </is>
      </c>
      <c r="Q4" t="n">
        <v>3</v>
      </c>
      <c r="R4" t="inlineStr">
        <is>
          <t>VALDIVIA 220</t>
        </is>
      </c>
      <c r="S4" t="n">
        <v>3381.658432</v>
      </c>
      <c r="T4" t="n">
        <v>251825</v>
      </c>
      <c r="W4" t="n">
        <v>74.468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Caren y Socoepa (SIC 2013/03-2) BS1B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BS1B: Potencia oct 2021</t>
        </is>
      </c>
      <c r="G2" t="inlineStr">
        <is>
          <t>2021-11-17 11:52:41</t>
        </is>
      </c>
      <c r="H2" t="n">
        <v>33</v>
      </c>
      <c r="I2" t="n">
        <v>22200</v>
      </c>
      <c r="J2" t="inlineStr">
        <is>
          <t>s</t>
        </is>
      </c>
      <c r="K2" t="inlineStr">
        <is>
          <t>s</t>
        </is>
      </c>
      <c r="L2" t="inlineStr">
        <is>
          <t>BS1B</t>
        </is>
      </c>
      <c r="M2" t="inlineStr">
        <is>
          <t>CAREN</t>
        </is>
      </c>
      <c r="N2" t="inlineStr">
        <is>
          <t>Socoepa</t>
        </is>
      </c>
      <c r="O2" t="inlineStr">
        <is>
          <t>2013/03-2</t>
        </is>
      </c>
      <c r="P2" t="inlineStr">
        <is>
          <t>SOCOEPA</t>
        </is>
      </c>
      <c r="Q2" t="n">
        <v>1</v>
      </c>
      <c r="R2" t="inlineStr">
        <is>
          <t>B.BLANCO 220</t>
        </is>
      </c>
      <c r="U2" t="n">
        <v>0</v>
      </c>
      <c r="V2" t="n">
        <v>0</v>
      </c>
      <c r="W2" t="n">
        <v>5223.261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Caren y Socoepa (SIC 2013/03-2) BS1B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BS1B: Potencia oct 2021</t>
        </is>
      </c>
      <c r="G3" t="inlineStr">
        <is>
          <t>2021-11-17 11:52:41</t>
        </is>
      </c>
      <c r="H3" t="n">
        <v>33</v>
      </c>
      <c r="I3" t="n">
        <v>22200</v>
      </c>
      <c r="J3" t="inlineStr">
        <is>
          <t>s</t>
        </is>
      </c>
      <c r="K3" t="inlineStr">
        <is>
          <t>s</t>
        </is>
      </c>
      <c r="L3" t="inlineStr">
        <is>
          <t>BS1B</t>
        </is>
      </c>
      <c r="M3" t="inlineStr">
        <is>
          <t>CAREN</t>
        </is>
      </c>
      <c r="N3" t="inlineStr">
        <is>
          <t>Socoepa</t>
        </is>
      </c>
      <c r="O3" t="inlineStr">
        <is>
          <t>2013/03-2</t>
        </is>
      </c>
      <c r="P3" t="inlineStr">
        <is>
          <t>SOCOEPA</t>
        </is>
      </c>
      <c r="Q3" t="n">
        <v>2</v>
      </c>
      <c r="R3" t="inlineStr">
        <is>
          <t>MELIPULLI 220</t>
        </is>
      </c>
      <c r="U3" t="n">
        <v>0</v>
      </c>
      <c r="V3" t="n">
        <v>0</v>
      </c>
      <c r="W3" t="n">
        <v>5566.808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Caren y Socoepa (SIC 2013/03-2) BS1B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BS1B: Potencia oct 2021</t>
        </is>
      </c>
      <c r="G4" t="inlineStr">
        <is>
          <t>2021-11-17 11:52:41</t>
        </is>
      </c>
      <c r="H4" t="n">
        <v>33</v>
      </c>
      <c r="I4" t="n">
        <v>22200</v>
      </c>
      <c r="J4" t="inlineStr">
        <is>
          <t>s</t>
        </is>
      </c>
      <c r="K4" t="inlineStr">
        <is>
          <t>s</t>
        </is>
      </c>
      <c r="L4" t="inlineStr">
        <is>
          <t>BS1B</t>
        </is>
      </c>
      <c r="M4" t="inlineStr">
        <is>
          <t>CAREN</t>
        </is>
      </c>
      <c r="N4" t="inlineStr">
        <is>
          <t>Socoepa</t>
        </is>
      </c>
      <c r="O4" t="inlineStr">
        <is>
          <t>2013/03-2</t>
        </is>
      </c>
      <c r="P4" t="inlineStr">
        <is>
          <t>SOCOEPA</t>
        </is>
      </c>
      <c r="Q4" t="n">
        <v>3</v>
      </c>
      <c r="R4" t="inlineStr">
        <is>
          <t>VALDIVIA 220</t>
        </is>
      </c>
      <c r="U4" t="n">
        <v>0</v>
      </c>
      <c r="V4" t="n">
        <v>0</v>
      </c>
      <c r="W4" t="n">
        <v>5684.37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01-10-2021</t>
        </is>
      </c>
      <c r="C2" t="n">
        <v>2021</v>
      </c>
      <c r="D2" t="n">
        <v>10</v>
      </c>
      <c r="E2" t="inlineStr">
        <is>
          <t>Los Lagos 13.8</t>
        </is>
      </c>
      <c r="F2" t="inlineStr">
        <is>
          <t>Socoepa</t>
        </is>
      </c>
      <c r="G2" t="inlineStr">
        <is>
          <t>Socoepa</t>
        </is>
      </c>
      <c r="H2" t="inlineStr">
        <is>
          <t>Empresa Eléctrica Carén S.A.</t>
        </is>
      </c>
      <c r="I2" t="inlineStr">
        <is>
          <t>Empresa Eléctrica Carén S.A.</t>
        </is>
      </c>
      <c r="J2" t="inlineStr">
        <is>
          <t>SIC 2013/03_2_BS1B_BB_SOCOEPA_Empresa Eléctrica Carén S.A.</t>
        </is>
      </c>
      <c r="K2" t="inlineStr">
        <is>
          <t>Los Lagos 13.8</t>
        </is>
      </c>
      <c r="L2" t="inlineStr">
        <is>
          <t>-1</t>
        </is>
      </c>
      <c r="M2" t="n">
        <v>3071.398617119483</v>
      </c>
      <c r="N2" t="n">
        <v>0</v>
      </c>
      <c r="O2" t="inlineStr">
        <is>
          <t>6</t>
        </is>
      </c>
      <c r="P2" s="2" t="n">
        <v>45002.86247025463</v>
      </c>
      <c r="Q2" t="n">
        <v>6</v>
      </c>
      <c r="R2" t="inlineStr">
        <is>
          <t>MELIPULLI 220</t>
        </is>
      </c>
      <c r="S2" t="n">
        <v>9.856910596228973</v>
      </c>
      <c r="T2" t="n">
        <v>756.9293104706038</v>
      </c>
      <c r="U2" t="n">
        <v>0</v>
      </c>
      <c r="V2" t="n">
        <v>0</v>
      </c>
      <c r="W2" t="inlineStr">
        <is>
          <t>SOCOEPA</t>
        </is>
      </c>
      <c r="X2" t="n">
        <v>81.69333986018101</v>
      </c>
      <c r="Y2" t="n">
        <v>0.7569293104706037</v>
      </c>
      <c r="Z2" t="n">
        <v>805.243947309153</v>
      </c>
      <c r="AA2" t="n">
        <v>0</v>
      </c>
      <c r="AB2" t="n">
        <v>0</v>
      </c>
      <c r="AC2" t="n">
        <v>0</v>
      </c>
      <c r="AD2" s="2" t="n">
        <v>44470</v>
      </c>
    </row>
    <row r="3">
      <c r="A3" t="n">
        <v>-1</v>
      </c>
      <c r="B3" t="inlineStr">
        <is>
          <t>01-10-2021</t>
        </is>
      </c>
      <c r="C3" t="n">
        <v>2021</v>
      </c>
      <c r="D3" t="n">
        <v>10</v>
      </c>
      <c r="E3" t="inlineStr">
        <is>
          <t>Los Lagos 13.8</t>
        </is>
      </c>
      <c r="F3" t="inlineStr">
        <is>
          <t>Socoepa</t>
        </is>
      </c>
      <c r="G3" t="inlineStr">
        <is>
          <t>Socoepa</t>
        </is>
      </c>
      <c r="H3" t="inlineStr">
        <is>
          <t>Empresa Eléctrica Carén S.A.</t>
        </is>
      </c>
      <c r="I3" t="inlineStr">
        <is>
          <t>Empresa Eléctrica Carén S.A.</t>
        </is>
      </c>
      <c r="J3" t="inlineStr">
        <is>
          <t>SIC 2013/03_2_BS1B_BB_SOCOEPA_Empresa Eléctrica Carén S.A.</t>
        </is>
      </c>
      <c r="K3" t="inlineStr">
        <is>
          <t>Los Lagos 13.8</t>
        </is>
      </c>
      <c r="L3" t="inlineStr">
        <is>
          <t>-1</t>
        </is>
      </c>
      <c r="M3" t="n">
        <v>3071.398617119483</v>
      </c>
      <c r="N3" t="n">
        <v>0</v>
      </c>
      <c r="O3" t="inlineStr">
        <is>
          <t>6</t>
        </is>
      </c>
      <c r="P3" s="2" t="n">
        <v>45002.86247025463</v>
      </c>
      <c r="Q3" t="n">
        <v>68</v>
      </c>
      <c r="R3" t="inlineStr">
        <is>
          <t>RAHUE 220</t>
        </is>
      </c>
      <c r="S3" t="n">
        <v>591.1695483407213</v>
      </c>
      <c r="T3" t="n">
        <v>43899.45204794865</v>
      </c>
      <c r="U3" t="n">
        <v>0</v>
      </c>
      <c r="V3" t="n">
        <v>0</v>
      </c>
      <c r="W3" t="inlineStr">
        <is>
          <t>SOCOEPA</t>
        </is>
      </c>
      <c r="X3" t="n">
        <v>78.99856287073801</v>
      </c>
      <c r="Y3" t="n">
        <v>43.89945204794865</v>
      </c>
      <c r="Z3" t="n">
        <v>46701.54473186027</v>
      </c>
      <c r="AA3" t="n">
        <v>0</v>
      </c>
      <c r="AB3" t="n">
        <v>0</v>
      </c>
      <c r="AC3" t="n">
        <v>0</v>
      </c>
      <c r="AD3" s="2" t="n">
        <v>44470</v>
      </c>
    </row>
    <row r="4">
      <c r="A4" t="n">
        <v>-1</v>
      </c>
      <c r="B4" t="inlineStr">
        <is>
          <t>01-10-2021</t>
        </is>
      </c>
      <c r="C4" t="n">
        <v>2021</v>
      </c>
      <c r="D4" t="n">
        <v>10</v>
      </c>
      <c r="E4" t="inlineStr">
        <is>
          <t>Los Lagos 13.8</t>
        </is>
      </c>
      <c r="F4" t="inlineStr">
        <is>
          <t>Socoepa</t>
        </is>
      </c>
      <c r="G4" t="inlineStr">
        <is>
          <t>Socoepa</t>
        </is>
      </c>
      <c r="H4" t="inlineStr">
        <is>
          <t>Empresa Eléctrica Carén S.A.</t>
        </is>
      </c>
      <c r="I4" t="inlineStr">
        <is>
          <t>Empresa Eléctrica Carén S.A.</t>
        </is>
      </c>
      <c r="J4" t="inlineStr">
        <is>
          <t>SIC 2013/03_2_BS1B_BB_SOCOEPA_Empresa Eléctrica Carén S.A.</t>
        </is>
      </c>
      <c r="K4" t="inlineStr">
        <is>
          <t>Los Lagos 13.8</t>
        </is>
      </c>
      <c r="L4" t="inlineStr">
        <is>
          <t>-1</t>
        </is>
      </c>
      <c r="M4" t="n">
        <v>3071.398617119483</v>
      </c>
      <c r="N4" t="n">
        <v>0</v>
      </c>
      <c r="O4" t="inlineStr">
        <is>
          <t>6</t>
        </is>
      </c>
      <c r="P4" s="2" t="n">
        <v>45002.86247025463</v>
      </c>
      <c r="Q4" t="n">
        <v>17</v>
      </c>
      <c r="R4" t="inlineStr">
        <is>
          <t>VALDIVIA 220</t>
        </is>
      </c>
      <c r="S4" t="n">
        <v>2528.234622425995</v>
      </c>
      <c r="T4" t="n">
        <v>188280.5566018623</v>
      </c>
      <c r="U4" t="n">
        <v>0</v>
      </c>
      <c r="V4" t="n">
        <v>0</v>
      </c>
      <c r="W4" t="inlineStr">
        <is>
          <t>SOCOEPA</t>
        </is>
      </c>
      <c r="X4" t="n">
        <v>79.224634728666</v>
      </c>
      <c r="Y4" t="n">
        <v>188.2805566018623</v>
      </c>
      <c r="Z4" t="n">
        <v>200298.4644700663</v>
      </c>
      <c r="AA4" t="n">
        <v>0</v>
      </c>
      <c r="AB4" t="n">
        <v>0</v>
      </c>
      <c r="AC4" t="n">
        <v>0</v>
      </c>
      <c r="AD4" s="2" t="n">
        <v>44470</v>
      </c>
    </row>
    <row r="5">
      <c r="A5" t="n">
        <v>-1</v>
      </c>
      <c r="B5" t="inlineStr">
        <is>
          <t>01-10-2021</t>
        </is>
      </c>
      <c r="C5" t="n">
        <v>2021</v>
      </c>
      <c r="D5" t="n">
        <v>10</v>
      </c>
      <c r="E5" t="inlineStr">
        <is>
          <t>Paillaco 13.8</t>
        </is>
      </c>
      <c r="F5" t="inlineStr">
        <is>
          <t>Socoepa</t>
        </is>
      </c>
      <c r="G5" t="inlineStr">
        <is>
          <t>Socoepa</t>
        </is>
      </c>
      <c r="H5" t="inlineStr">
        <is>
          <t>Empresa Eléctrica Carén S.A.</t>
        </is>
      </c>
      <c r="I5" t="inlineStr">
        <is>
          <t>Empresa Eléctrica Carén S.A.</t>
        </is>
      </c>
      <c r="J5" t="inlineStr">
        <is>
          <t>SIC 2013/03_2_BS1B_BB_SOCOEPA_Empresa Eléctrica Carén S.A.</t>
        </is>
      </c>
      <c r="K5" t="inlineStr">
        <is>
          <t>Paillaco 13.8</t>
        </is>
      </c>
      <c r="L5" t="inlineStr">
        <is>
          <t>-1</t>
        </is>
      </c>
      <c r="M5" t="n">
        <v>1849.725383350371</v>
      </c>
      <c r="N5" t="n">
        <v>0</v>
      </c>
      <c r="O5" t="inlineStr">
        <is>
          <t>6</t>
        </is>
      </c>
      <c r="P5" s="2" t="n">
        <v>45002.86247025463</v>
      </c>
      <c r="Q5" t="n">
        <v>6</v>
      </c>
      <c r="R5" t="inlineStr">
        <is>
          <t>MELIPULLI 220</t>
        </is>
      </c>
      <c r="S5" t="n">
        <v>13.95609375528745</v>
      </c>
      <c r="T5" t="n">
        <v>1071.712715654973</v>
      </c>
      <c r="U5" t="n">
        <v>0</v>
      </c>
      <c r="V5" t="n">
        <v>0</v>
      </c>
      <c r="W5" t="inlineStr">
        <is>
          <t>SOCOEPA</t>
        </is>
      </c>
      <c r="X5" t="n">
        <v>81.693339860181</v>
      </c>
      <c r="Y5" t="n">
        <v>1.071712715654973</v>
      </c>
      <c r="Z5" t="n">
        <v>1140.119910271248</v>
      </c>
      <c r="AA5" t="n">
        <v>0</v>
      </c>
      <c r="AB5" t="n">
        <v>0</v>
      </c>
      <c r="AC5" t="n">
        <v>0</v>
      </c>
      <c r="AD5" s="2" t="n">
        <v>44470</v>
      </c>
    </row>
    <row r="6">
      <c r="A6" t="n">
        <v>-1</v>
      </c>
      <c r="B6" t="inlineStr">
        <is>
          <t>01-10-2021</t>
        </is>
      </c>
      <c r="C6" t="n">
        <v>2021</v>
      </c>
      <c r="D6" t="n">
        <v>10</v>
      </c>
      <c r="E6" t="inlineStr">
        <is>
          <t>Paillaco 13.8</t>
        </is>
      </c>
      <c r="F6" t="inlineStr">
        <is>
          <t>Socoepa</t>
        </is>
      </c>
      <c r="G6" t="inlineStr">
        <is>
          <t>Socoepa</t>
        </is>
      </c>
      <c r="H6" t="inlineStr">
        <is>
          <t>Empresa Eléctrica Carén S.A.</t>
        </is>
      </c>
      <c r="I6" t="inlineStr">
        <is>
          <t>Empresa Eléctrica Carén S.A.</t>
        </is>
      </c>
      <c r="J6" t="inlineStr">
        <is>
          <t>SIC 2013/03_2_BS1B_BB_SOCOEPA_Empresa Eléctrica Carén S.A.</t>
        </is>
      </c>
      <c r="K6" t="inlineStr">
        <is>
          <t>Paillaco 13.8</t>
        </is>
      </c>
      <c r="L6" t="inlineStr">
        <is>
          <t>-1</t>
        </is>
      </c>
      <c r="M6" t="n">
        <v>1849.725383350371</v>
      </c>
      <c r="N6" t="n">
        <v>0</v>
      </c>
      <c r="O6" t="inlineStr">
        <is>
          <t>6</t>
        </is>
      </c>
      <c r="P6" s="2" t="n">
        <v>45002.86247025463</v>
      </c>
      <c r="Q6" t="n">
        <v>68</v>
      </c>
      <c r="R6" t="inlineStr">
        <is>
          <t>RAHUE 220</t>
        </is>
      </c>
      <c r="S6" t="n">
        <v>936.5514527424408</v>
      </c>
      <c r="T6" t="n">
        <v>69547.04569188543</v>
      </c>
      <c r="U6" t="n">
        <v>0</v>
      </c>
      <c r="V6" t="n">
        <v>0</v>
      </c>
      <c r="W6" t="inlineStr">
        <is>
          <t>SOCOEPA</t>
        </is>
      </c>
      <c r="X6" t="n">
        <v>78.998562870738</v>
      </c>
      <c r="Y6" t="n">
        <v>69.54704569188543</v>
      </c>
      <c r="Z6" t="n">
        <v>73986.21882115472</v>
      </c>
      <c r="AA6" t="n">
        <v>0</v>
      </c>
      <c r="AB6" t="n">
        <v>0</v>
      </c>
      <c r="AC6" t="n">
        <v>0</v>
      </c>
      <c r="AD6" s="2" t="n">
        <v>44470</v>
      </c>
    </row>
    <row r="7">
      <c r="A7" t="n">
        <v>-1</v>
      </c>
      <c r="B7" t="inlineStr">
        <is>
          <t>01-10-2021</t>
        </is>
      </c>
      <c r="C7" t="n">
        <v>2021</v>
      </c>
      <c r="D7" t="n">
        <v>10</v>
      </c>
      <c r="E7" t="inlineStr">
        <is>
          <t>Paillaco 13.8</t>
        </is>
      </c>
      <c r="F7" t="inlineStr">
        <is>
          <t>Socoepa</t>
        </is>
      </c>
      <c r="G7" t="inlineStr">
        <is>
          <t>Socoepa</t>
        </is>
      </c>
      <c r="H7" t="inlineStr">
        <is>
          <t>Empresa Eléctrica Carén S.A.</t>
        </is>
      </c>
      <c r="I7" t="inlineStr">
        <is>
          <t>Empresa Eléctrica Carén S.A.</t>
        </is>
      </c>
      <c r="J7" t="inlineStr">
        <is>
          <t>SIC 2013/03_2_BS1B_BB_SOCOEPA_Empresa Eléctrica Carén S.A.</t>
        </is>
      </c>
      <c r="K7" t="inlineStr">
        <is>
          <t>Paillaco 13.8</t>
        </is>
      </c>
      <c r="L7" t="inlineStr">
        <is>
          <t>-1</t>
        </is>
      </c>
      <c r="M7" t="n">
        <v>1849.725383350371</v>
      </c>
      <c r="N7" t="n">
        <v>0</v>
      </c>
      <c r="O7" t="inlineStr">
        <is>
          <t>6</t>
        </is>
      </c>
      <c r="P7" s="2" t="n">
        <v>45002.86247025463</v>
      </c>
      <c r="Q7" t="n">
        <v>17</v>
      </c>
      <c r="R7" t="inlineStr">
        <is>
          <t>VALDIVIA 220</t>
        </is>
      </c>
      <c r="S7" t="n">
        <v>934.0650456316582</v>
      </c>
      <c r="T7" t="n">
        <v>69560.90432980389</v>
      </c>
      <c r="U7" t="n">
        <v>0</v>
      </c>
      <c r="V7" t="n">
        <v>0</v>
      </c>
      <c r="W7" t="inlineStr">
        <is>
          <t>SOCOEPA</t>
        </is>
      </c>
      <c r="X7" t="n">
        <v>79.224634728666</v>
      </c>
      <c r="Y7" t="n">
        <v>69.56090432980389</v>
      </c>
      <c r="Z7" t="n">
        <v>74000.96205298287</v>
      </c>
      <c r="AA7" t="n">
        <v>0</v>
      </c>
      <c r="AB7" t="n">
        <v>0</v>
      </c>
      <c r="AC7" t="n">
        <v>0</v>
      </c>
      <c r="AD7" s="2" t="n">
        <v>44470</v>
      </c>
    </row>
    <row r="8">
      <c r="A8" t="n">
        <v>-1</v>
      </c>
      <c r="B8" t="inlineStr">
        <is>
          <t>01-11-2021</t>
        </is>
      </c>
      <c r="C8" t="n">
        <v>2021</v>
      </c>
      <c r="D8" t="n">
        <v>11</v>
      </c>
      <c r="E8" t="inlineStr">
        <is>
          <t>Los Lagos 13.8</t>
        </is>
      </c>
      <c r="F8" t="inlineStr">
        <is>
          <t>Socoepa</t>
        </is>
      </c>
      <c r="G8" t="inlineStr">
        <is>
          <t>Socoepa</t>
        </is>
      </c>
      <c r="H8" t="inlineStr">
        <is>
          <t>Empresa Eléctrica Carén S.A.</t>
        </is>
      </c>
      <c r="I8" t="inlineStr">
        <is>
          <t>Empresa Eléctrica Carén S.A.</t>
        </is>
      </c>
      <c r="J8" t="inlineStr">
        <is>
          <t>SIC 2013/03_2_BS1B_BB_SOCOEPA_Empresa Eléctrica Carén S.A.</t>
        </is>
      </c>
      <c r="K8" t="inlineStr">
        <is>
          <t>Los Lagos 13.8</t>
        </is>
      </c>
      <c r="L8" t="inlineStr">
        <is>
          <t>-1</t>
        </is>
      </c>
      <c r="M8" t="n">
        <v>949.4331641271398</v>
      </c>
      <c r="N8" t="n">
        <v>0</v>
      </c>
      <c r="O8" t="inlineStr">
        <is>
          <t>6</t>
        </is>
      </c>
      <c r="P8" s="2" t="n">
        <v>45002.86247025463</v>
      </c>
      <c r="Q8" t="n">
        <v>6</v>
      </c>
      <c r="R8" t="inlineStr">
        <is>
          <t>MELIPULLI 220</t>
        </is>
      </c>
      <c r="S8" t="n">
        <v>3.046975981474157</v>
      </c>
      <c r="T8" t="n">
        <v>233.9825857363543</v>
      </c>
      <c r="U8" t="n">
        <v>0</v>
      </c>
      <c r="V8" t="n">
        <v>0</v>
      </c>
      <c r="W8" t="inlineStr">
        <is>
          <t>SOCOEPA</t>
        </is>
      </c>
      <c r="X8" t="n">
        <v>81.69333986018101</v>
      </c>
      <c r="Y8" t="n">
        <v>0.2339825857363543</v>
      </c>
      <c r="Z8" t="n">
        <v>248.9176444003769</v>
      </c>
      <c r="AA8" t="n">
        <v>0</v>
      </c>
      <c r="AB8" t="n">
        <v>0</v>
      </c>
      <c r="AC8" t="n">
        <v>0</v>
      </c>
      <c r="AD8" s="2" t="n">
        <v>44501</v>
      </c>
    </row>
    <row r="9">
      <c r="A9" t="n">
        <v>-1</v>
      </c>
      <c r="B9" t="inlineStr">
        <is>
          <t>01-11-2021</t>
        </is>
      </c>
      <c r="C9" t="n">
        <v>2021</v>
      </c>
      <c r="D9" t="n">
        <v>11</v>
      </c>
      <c r="E9" t="inlineStr">
        <is>
          <t>Los Lagos 13.8</t>
        </is>
      </c>
      <c r="F9" t="inlineStr">
        <is>
          <t>Socoepa</t>
        </is>
      </c>
      <c r="G9" t="inlineStr">
        <is>
          <t>Socoepa</t>
        </is>
      </c>
      <c r="H9" t="inlineStr">
        <is>
          <t>Empresa Eléctrica Carén S.A.</t>
        </is>
      </c>
      <c r="I9" t="inlineStr">
        <is>
          <t>Empresa Eléctrica Carén S.A.</t>
        </is>
      </c>
      <c r="J9" t="inlineStr">
        <is>
          <t>SIC 2013/03_2_BS1B_BB_SOCOEPA_Empresa Eléctrica Carén S.A.</t>
        </is>
      </c>
      <c r="K9" t="inlineStr">
        <is>
          <t>Los Lagos 13.8</t>
        </is>
      </c>
      <c r="L9" t="inlineStr">
        <is>
          <t>-1</t>
        </is>
      </c>
      <c r="M9" t="n">
        <v>949.4331641271398</v>
      </c>
      <c r="N9" t="n">
        <v>0</v>
      </c>
      <c r="O9" t="inlineStr">
        <is>
          <t>6</t>
        </is>
      </c>
      <c r="P9" s="2" t="n">
        <v>45002.86247025463</v>
      </c>
      <c r="Q9" t="n">
        <v>68</v>
      </c>
      <c r="R9" t="inlineStr">
        <is>
          <t>RAHUE 220</t>
        </is>
      </c>
      <c r="S9" t="n">
        <v>182.7427972677597</v>
      </c>
      <c r="T9" t="n">
        <v>13570.23325758374</v>
      </c>
      <c r="U9" t="n">
        <v>0</v>
      </c>
      <c r="V9" t="n">
        <v>0</v>
      </c>
      <c r="W9" t="inlineStr">
        <is>
          <t>SOCOEPA</t>
        </is>
      </c>
      <c r="X9" t="n">
        <v>78.99856287073801</v>
      </c>
      <c r="Y9" t="n">
        <v>13.57023325758375</v>
      </c>
      <c r="Z9" t="n">
        <v>14436.41835913164</v>
      </c>
      <c r="AA9" t="n">
        <v>0</v>
      </c>
      <c r="AB9" t="n">
        <v>0</v>
      </c>
      <c r="AC9" t="n">
        <v>0</v>
      </c>
      <c r="AD9" s="2" t="n">
        <v>44501</v>
      </c>
    </row>
    <row r="10">
      <c r="A10" t="n">
        <v>-1</v>
      </c>
      <c r="B10" t="inlineStr">
        <is>
          <t>01-11-2021</t>
        </is>
      </c>
      <c r="C10" t="n">
        <v>2021</v>
      </c>
      <c r="D10" t="n">
        <v>11</v>
      </c>
      <c r="E10" t="inlineStr">
        <is>
          <t>Los Lagos 13.8</t>
        </is>
      </c>
      <c r="F10" t="inlineStr">
        <is>
          <t>Socoepa</t>
        </is>
      </c>
      <c r="G10" t="inlineStr">
        <is>
          <t>Socoepa</t>
        </is>
      </c>
      <c r="H10" t="inlineStr">
        <is>
          <t>Empresa Eléctrica Carén S.A.</t>
        </is>
      </c>
      <c r="I10" t="inlineStr">
        <is>
          <t>Empresa Eléctrica Carén S.A.</t>
        </is>
      </c>
      <c r="J10" t="inlineStr">
        <is>
          <t>SIC 2013/03_2_BS1B_BB_SOCOEPA_Empresa Eléctrica Carén S.A.</t>
        </is>
      </c>
      <c r="K10" t="inlineStr">
        <is>
          <t>Los Lagos 13.8</t>
        </is>
      </c>
      <c r="L10" t="inlineStr">
        <is>
          <t>-1</t>
        </is>
      </c>
      <c r="M10" t="n">
        <v>949.4331641271398</v>
      </c>
      <c r="N10" t="n">
        <v>0</v>
      </c>
      <c r="O10" t="inlineStr">
        <is>
          <t>6</t>
        </is>
      </c>
      <c r="P10" s="2" t="n">
        <v>45002.86247025463</v>
      </c>
      <c r="Q10" t="n">
        <v>17</v>
      </c>
      <c r="R10" t="inlineStr">
        <is>
          <t>VALDIVIA 220</t>
        </is>
      </c>
      <c r="S10" t="n">
        <v>781.5298814834096</v>
      </c>
      <c r="T10" t="n">
        <v>58201.4342266571</v>
      </c>
      <c r="U10" t="n">
        <v>0</v>
      </c>
      <c r="V10" t="n">
        <v>0</v>
      </c>
      <c r="W10" t="inlineStr">
        <is>
          <t>SOCOEPA</t>
        </is>
      </c>
      <c r="X10" t="n">
        <v>79.224634728666</v>
      </c>
      <c r="Y10" t="n">
        <v>58.20143422665711</v>
      </c>
      <c r="Z10" t="n">
        <v>61916.41939006075</v>
      </c>
      <c r="AA10" t="n">
        <v>0</v>
      </c>
      <c r="AB10" t="n">
        <v>0</v>
      </c>
      <c r="AC10" t="n">
        <v>0</v>
      </c>
      <c r="AD10" s="2" t="n">
        <v>44501</v>
      </c>
    </row>
    <row r="11">
      <c r="A11" t="n">
        <v>-1</v>
      </c>
      <c r="B11" t="inlineStr">
        <is>
          <t>01-11-2021</t>
        </is>
      </c>
      <c r="C11" t="n">
        <v>2021</v>
      </c>
      <c r="D11" t="n">
        <v>11</v>
      </c>
      <c r="E11" t="inlineStr">
        <is>
          <t>Paillaco 13.8</t>
        </is>
      </c>
      <c r="F11" t="inlineStr">
        <is>
          <t>Socoepa</t>
        </is>
      </c>
      <c r="G11" t="inlineStr">
        <is>
          <t>Socoepa</t>
        </is>
      </c>
      <c r="H11" t="inlineStr">
        <is>
          <t>Empresa Eléctrica Carén S.A.</t>
        </is>
      </c>
      <c r="I11" t="inlineStr">
        <is>
          <t>Empresa Eléctrica Carén S.A.</t>
        </is>
      </c>
      <c r="J11" t="inlineStr">
        <is>
          <t>SIC 2013/03_2_BS1B_BB_SOCOEPA_Empresa Eléctrica Carén S.A.</t>
        </is>
      </c>
      <c r="K11" t="inlineStr">
        <is>
          <t>Paillaco 13.8</t>
        </is>
      </c>
      <c r="L11" t="inlineStr">
        <is>
          <t>-1</t>
        </is>
      </c>
      <c r="M11" t="n">
        <v>625.3046588091671</v>
      </c>
      <c r="N11" t="n">
        <v>0</v>
      </c>
      <c r="O11" t="inlineStr">
        <is>
          <t>6</t>
        </is>
      </c>
      <c r="P11" s="2" t="n">
        <v>45002.86247025463</v>
      </c>
      <c r="Q11" t="n">
        <v>6</v>
      </c>
      <c r="R11" t="inlineStr">
        <is>
          <t>MELIPULLI 220</t>
        </is>
      </c>
      <c r="S11" t="n">
        <v>4.717895165687823</v>
      </c>
      <c r="T11" t="n">
        <v>362.2953764035259</v>
      </c>
      <c r="U11" t="n">
        <v>0</v>
      </c>
      <c r="V11" t="n">
        <v>0</v>
      </c>
      <c r="W11" t="inlineStr">
        <is>
          <t>SOCOEPA</t>
        </is>
      </c>
      <c r="X11" t="n">
        <v>81.69333986018103</v>
      </c>
      <c r="Y11" t="n">
        <v>0.3622953764035259</v>
      </c>
      <c r="Z11" t="n">
        <v>385.4206131952404</v>
      </c>
      <c r="AA11" t="n">
        <v>0</v>
      </c>
      <c r="AB11" t="n">
        <v>0</v>
      </c>
      <c r="AC11" t="n">
        <v>0</v>
      </c>
      <c r="AD11" s="2" t="n">
        <v>44501</v>
      </c>
    </row>
    <row r="12">
      <c r="A12" t="n">
        <v>-1</v>
      </c>
      <c r="B12" t="inlineStr">
        <is>
          <t>01-11-2021</t>
        </is>
      </c>
      <c r="C12" t="n">
        <v>2021</v>
      </c>
      <c r="D12" t="n">
        <v>11</v>
      </c>
      <c r="E12" t="inlineStr">
        <is>
          <t>Paillaco 13.8</t>
        </is>
      </c>
      <c r="F12" t="inlineStr">
        <is>
          <t>Socoepa</t>
        </is>
      </c>
      <c r="G12" t="inlineStr">
        <is>
          <t>Socoepa</t>
        </is>
      </c>
      <c r="H12" t="inlineStr">
        <is>
          <t>Empresa Eléctrica Carén S.A.</t>
        </is>
      </c>
      <c r="I12" t="inlineStr">
        <is>
          <t>Empresa Eléctrica Carén S.A.</t>
        </is>
      </c>
      <c r="J12" t="inlineStr">
        <is>
          <t>SIC 2013/03_2_BS1B_BB_SOCOEPA_Empresa Eléctrica Carén S.A.</t>
        </is>
      </c>
      <c r="K12" t="inlineStr">
        <is>
          <t>Paillaco 13.8</t>
        </is>
      </c>
      <c r="L12" t="inlineStr">
        <is>
          <t>-1</t>
        </is>
      </c>
      <c r="M12" t="n">
        <v>625.3046588091671</v>
      </c>
      <c r="N12" t="n">
        <v>0</v>
      </c>
      <c r="O12" t="inlineStr">
        <is>
          <t>6</t>
        </is>
      </c>
      <c r="P12" s="2" t="n">
        <v>45002.86247025463</v>
      </c>
      <c r="Q12" t="n">
        <v>68</v>
      </c>
      <c r="R12" t="inlineStr">
        <is>
          <t>RAHUE 220</t>
        </is>
      </c>
      <c r="S12" t="n">
        <v>316.6037466348662</v>
      </c>
      <c r="T12" t="n">
        <v>23510.56652462695</v>
      </c>
      <c r="U12" t="n">
        <v>0</v>
      </c>
      <c r="V12" t="n">
        <v>0</v>
      </c>
      <c r="W12" t="inlineStr">
        <is>
          <t>SOCOEPA</t>
        </is>
      </c>
      <c r="X12" t="n">
        <v>78.998562870738</v>
      </c>
      <c r="Y12" t="n">
        <v>23.51056652462694</v>
      </c>
      <c r="Z12" t="n">
        <v>25011.24098364569</v>
      </c>
      <c r="AA12" t="n">
        <v>0</v>
      </c>
      <c r="AB12" t="n">
        <v>0</v>
      </c>
      <c r="AC12" t="n">
        <v>0</v>
      </c>
      <c r="AD12" s="2" t="n">
        <v>44501</v>
      </c>
    </row>
    <row r="13">
      <c r="A13" t="n">
        <v>-1</v>
      </c>
      <c r="B13" t="inlineStr">
        <is>
          <t>01-11-2021</t>
        </is>
      </c>
      <c r="C13" t="n">
        <v>2021</v>
      </c>
      <c r="D13" t="n">
        <v>11</v>
      </c>
      <c r="E13" t="inlineStr">
        <is>
          <t>Paillaco 13.8</t>
        </is>
      </c>
      <c r="F13" t="inlineStr">
        <is>
          <t>Socoepa</t>
        </is>
      </c>
      <c r="G13" t="inlineStr">
        <is>
          <t>Socoepa</t>
        </is>
      </c>
      <c r="H13" t="inlineStr">
        <is>
          <t>Empresa Eléctrica Carén S.A.</t>
        </is>
      </c>
      <c r="I13" t="inlineStr">
        <is>
          <t>Empresa Eléctrica Carén S.A.</t>
        </is>
      </c>
      <c r="J13" t="inlineStr">
        <is>
          <t>SIC 2013/03_2_BS1B_BB_SOCOEPA_Empresa Eléctrica Carén S.A.</t>
        </is>
      </c>
      <c r="K13" t="inlineStr">
        <is>
          <t>Paillaco 13.8</t>
        </is>
      </c>
      <c r="L13" t="inlineStr">
        <is>
          <t>-1</t>
        </is>
      </c>
      <c r="M13" t="n">
        <v>625.3046588091671</v>
      </c>
      <c r="N13" t="n">
        <v>0</v>
      </c>
      <c r="O13" t="inlineStr">
        <is>
          <t>6</t>
        </is>
      </c>
      <c r="P13" s="2" t="n">
        <v>45002.86247025463</v>
      </c>
      <c r="Q13" t="n">
        <v>17</v>
      </c>
      <c r="R13" t="inlineStr">
        <is>
          <t>VALDIVIA 220</t>
        </is>
      </c>
      <c r="S13" t="n">
        <v>315.7632099995023</v>
      </c>
      <c r="T13" t="n">
        <v>23515.25147458393</v>
      </c>
      <c r="U13" t="n">
        <v>0</v>
      </c>
      <c r="V13" t="n">
        <v>0</v>
      </c>
      <c r="W13" t="inlineStr">
        <is>
          <t>SOCOEPA</t>
        </is>
      </c>
      <c r="X13" t="n">
        <v>79.224634728666</v>
      </c>
      <c r="Y13" t="n">
        <v>23.51525147458393</v>
      </c>
      <c r="Z13" t="n">
        <v>25016.22497296163</v>
      </c>
      <c r="AA13" t="n">
        <v>0</v>
      </c>
      <c r="AB13" t="n">
        <v>0</v>
      </c>
      <c r="AC13" t="n">
        <v>0</v>
      </c>
      <c r="AD13" s="2" t="n">
        <v>44501</v>
      </c>
    </row>
    <row r="14">
      <c r="A14" t="n">
        <v>-1</v>
      </c>
      <c r="B14" t="inlineStr">
        <is>
          <t>01-12-2021</t>
        </is>
      </c>
      <c r="C14" t="n">
        <v>2021</v>
      </c>
      <c r="D14" t="n">
        <v>12</v>
      </c>
      <c r="E14" t="inlineStr">
        <is>
          <t>Los Lagos 13.8</t>
        </is>
      </c>
      <c r="F14" t="inlineStr">
        <is>
          <t>Socoepa</t>
        </is>
      </c>
      <c r="G14" t="inlineStr">
        <is>
          <t>Socoepa</t>
        </is>
      </c>
      <c r="H14" t="inlineStr">
        <is>
          <t>Empresa Eléctrica Carén S.A.</t>
        </is>
      </c>
      <c r="I14" t="inlineStr">
        <is>
          <t>Empresa Eléctrica Carén S.A.</t>
        </is>
      </c>
      <c r="J14" t="inlineStr">
        <is>
          <t>SIC 2013/03_2_BS1B_BB_SOCOEPA_Empresa Eléctrica Carén S.A.</t>
        </is>
      </c>
      <c r="K14" t="inlineStr">
        <is>
          <t>Los Lagos 13.8</t>
        </is>
      </c>
      <c r="L14" t="inlineStr">
        <is>
          <t>-1</t>
        </is>
      </c>
      <c r="M14" t="n">
        <v>1165.273546530647</v>
      </c>
      <c r="N14" t="n">
        <v>0</v>
      </c>
      <c r="O14" t="inlineStr">
        <is>
          <t>6</t>
        </is>
      </c>
      <c r="P14" s="2" t="n">
        <v>45002.86247025463</v>
      </c>
      <c r="Q14" t="n">
        <v>6</v>
      </c>
      <c r="R14" t="inlineStr">
        <is>
          <t>MELIPULLI 220</t>
        </is>
      </c>
      <c r="S14" t="n">
        <v>3.739663456342705</v>
      </c>
      <c r="T14" t="n">
        <v>287.1752618396016</v>
      </c>
      <c r="U14" t="n">
        <v>0</v>
      </c>
      <c r="V14" t="n">
        <v>0</v>
      </c>
      <c r="W14" t="inlineStr">
        <is>
          <t>SOCOEPA</t>
        </is>
      </c>
      <c r="X14" t="n">
        <v>81.69333986018101</v>
      </c>
      <c r="Y14" t="n">
        <v>0.2871752618396016</v>
      </c>
      <c r="Z14" t="n">
        <v>305.5055977017038</v>
      </c>
      <c r="AA14" t="n">
        <v>0</v>
      </c>
      <c r="AB14" t="n">
        <v>0</v>
      </c>
      <c r="AC14" t="n">
        <v>0</v>
      </c>
      <c r="AD14" s="2" t="n">
        <v>44531</v>
      </c>
    </row>
    <row r="15">
      <c r="A15" t="n">
        <v>-1</v>
      </c>
      <c r="B15" t="inlineStr">
        <is>
          <t>01-12-2021</t>
        </is>
      </c>
      <c r="C15" t="n">
        <v>2021</v>
      </c>
      <c r="D15" t="n">
        <v>12</v>
      </c>
      <c r="E15" t="inlineStr">
        <is>
          <t>Los Lagos 13.8</t>
        </is>
      </c>
      <c r="F15" t="inlineStr">
        <is>
          <t>Socoepa</t>
        </is>
      </c>
      <c r="G15" t="inlineStr">
        <is>
          <t>Socoepa</t>
        </is>
      </c>
      <c r="H15" t="inlineStr">
        <is>
          <t>Empresa Eléctrica Carén S.A.</t>
        </is>
      </c>
      <c r="I15" t="inlineStr">
        <is>
          <t>Empresa Eléctrica Carén S.A.</t>
        </is>
      </c>
      <c r="J15" t="inlineStr">
        <is>
          <t>SIC 2013/03_2_BS1B_BB_SOCOEPA_Empresa Eléctrica Carén S.A.</t>
        </is>
      </c>
      <c r="K15" t="inlineStr">
        <is>
          <t>Los Lagos 13.8</t>
        </is>
      </c>
      <c r="L15" t="inlineStr">
        <is>
          <t>-1</t>
        </is>
      </c>
      <c r="M15" t="n">
        <v>1165.273546530647</v>
      </c>
      <c r="N15" t="n">
        <v>0</v>
      </c>
      <c r="O15" t="inlineStr">
        <is>
          <t>6</t>
        </is>
      </c>
      <c r="P15" s="2" t="n">
        <v>45002.86247025463</v>
      </c>
      <c r="Q15" t="n">
        <v>68</v>
      </c>
      <c r="R15" t="inlineStr">
        <is>
          <t>RAHUE 220</t>
        </is>
      </c>
      <c r="S15" t="n">
        <v>224.2868224125123</v>
      </c>
      <c r="T15" t="n">
        <v>16655.23644294692</v>
      </c>
      <c r="U15" t="n">
        <v>0</v>
      </c>
      <c r="V15" t="n">
        <v>0</v>
      </c>
      <c r="W15" t="inlineStr">
        <is>
          <t>SOCOEPA</t>
        </is>
      </c>
      <c r="X15" t="n">
        <v>78.99856287073801</v>
      </c>
      <c r="Y15" t="n">
        <v>16.65523644294693</v>
      </c>
      <c r="Z15" t="n">
        <v>17718.3366414329</v>
      </c>
      <c r="AA15" t="n">
        <v>0</v>
      </c>
      <c r="AB15" t="n">
        <v>0</v>
      </c>
      <c r="AC15" t="n">
        <v>0</v>
      </c>
      <c r="AD15" s="2" t="n">
        <v>44531</v>
      </c>
    </row>
    <row r="16">
      <c r="A16" t="n">
        <v>-1</v>
      </c>
      <c r="B16" t="inlineStr">
        <is>
          <t>01-12-2021</t>
        </is>
      </c>
      <c r="C16" t="n">
        <v>2021</v>
      </c>
      <c r="D16" t="n">
        <v>12</v>
      </c>
      <c r="E16" t="inlineStr">
        <is>
          <t>Los Lagos 13.8</t>
        </is>
      </c>
      <c r="F16" t="inlineStr">
        <is>
          <t>Socoepa</t>
        </is>
      </c>
      <c r="G16" t="inlineStr">
        <is>
          <t>Socoepa</t>
        </is>
      </c>
      <c r="H16" t="inlineStr">
        <is>
          <t>Empresa Eléctrica Carén S.A.</t>
        </is>
      </c>
      <c r="I16" t="inlineStr">
        <is>
          <t>Empresa Eléctrica Carén S.A.</t>
        </is>
      </c>
      <c r="J16" t="inlineStr">
        <is>
          <t>SIC 2013/03_2_BS1B_BB_SOCOEPA_Empresa Eléctrica Carén S.A.</t>
        </is>
      </c>
      <c r="K16" t="inlineStr">
        <is>
          <t>Los Lagos 13.8</t>
        </is>
      </c>
      <c r="L16" t="inlineStr">
        <is>
          <t>-1</t>
        </is>
      </c>
      <c r="M16" t="n">
        <v>1165.273546530647</v>
      </c>
      <c r="N16" t="n">
        <v>0</v>
      </c>
      <c r="O16" t="inlineStr">
        <is>
          <t>6</t>
        </is>
      </c>
      <c r="P16" s="2" t="n">
        <v>45002.86247025463</v>
      </c>
      <c r="Q16" t="n">
        <v>17</v>
      </c>
      <c r="R16" t="inlineStr">
        <is>
          <t>VALDIVIA 220</t>
        </is>
      </c>
      <c r="S16" t="n">
        <v>959.1997953358796</v>
      </c>
      <c r="T16" t="n">
        <v>71432.71821225846</v>
      </c>
      <c r="U16" t="n">
        <v>0</v>
      </c>
      <c r="V16" t="n">
        <v>0</v>
      </c>
      <c r="W16" t="inlineStr">
        <is>
          <t>SOCOEPA</t>
        </is>
      </c>
      <c r="X16" t="n">
        <v>79.224634728666</v>
      </c>
      <c r="Y16" t="n">
        <v>71.43271821225848</v>
      </c>
      <c r="Z16" t="n">
        <v>75992.25341729625</v>
      </c>
      <c r="AA16" t="n">
        <v>0</v>
      </c>
      <c r="AB16" t="n">
        <v>0</v>
      </c>
      <c r="AC16" t="n">
        <v>0</v>
      </c>
      <c r="AD16" s="2" t="n">
        <v>44531</v>
      </c>
    </row>
    <row r="17">
      <c r="A17" t="n">
        <v>-1</v>
      </c>
      <c r="B17" t="inlineStr">
        <is>
          <t>01-12-2021</t>
        </is>
      </c>
      <c r="C17" t="n">
        <v>2021</v>
      </c>
      <c r="D17" t="n">
        <v>12</v>
      </c>
      <c r="E17" t="inlineStr">
        <is>
          <t>Paillaco 13.8</t>
        </is>
      </c>
      <c r="F17" t="inlineStr">
        <is>
          <t>Socoepa</t>
        </is>
      </c>
      <c r="G17" t="inlineStr">
        <is>
          <t>Socoepa</t>
        </is>
      </c>
      <c r="H17" t="inlineStr">
        <is>
          <t>Empresa Eléctrica Carén S.A.</t>
        </is>
      </c>
      <c r="I17" t="inlineStr">
        <is>
          <t>Empresa Eléctrica Carén S.A.</t>
        </is>
      </c>
      <c r="J17" t="inlineStr">
        <is>
          <t>SIC 2013/03_2_BS1B_BB_SOCOEPA_Empresa Eléctrica Carén S.A.</t>
        </is>
      </c>
      <c r="K17" t="inlineStr">
        <is>
          <t>Paillaco 13.8</t>
        </is>
      </c>
      <c r="L17" t="inlineStr">
        <is>
          <t>-1</t>
        </is>
      </c>
      <c r="M17" t="n">
        <v>830.2861309294475</v>
      </c>
      <c r="N17" t="n">
        <v>0</v>
      </c>
      <c r="O17" t="inlineStr">
        <is>
          <t>6</t>
        </is>
      </c>
      <c r="P17" s="2" t="n">
        <v>45002.86247025463</v>
      </c>
      <c r="Q17" t="n">
        <v>6</v>
      </c>
      <c r="R17" t="inlineStr">
        <is>
          <t>MELIPULLI 220</t>
        </is>
      </c>
      <c r="S17" t="n">
        <v>6.264471035142495</v>
      </c>
      <c r="T17" t="n">
        <v>481.0596276390664</v>
      </c>
      <c r="U17" t="n">
        <v>0</v>
      </c>
      <c r="V17" t="n">
        <v>0</v>
      </c>
      <c r="W17" t="inlineStr">
        <is>
          <t>SOCOEPA</t>
        </is>
      </c>
      <c r="X17" t="n">
        <v>81.69333986018101</v>
      </c>
      <c r="Y17" t="n">
        <v>0.4810596276390664</v>
      </c>
      <c r="Z17" t="n">
        <v>511.7655613181558</v>
      </c>
      <c r="AA17" t="n">
        <v>0</v>
      </c>
      <c r="AB17" t="n">
        <v>0</v>
      </c>
      <c r="AC17" t="n">
        <v>0</v>
      </c>
      <c r="AD17" s="2" t="n">
        <v>44531</v>
      </c>
    </row>
    <row r="18">
      <c r="A18" t="n">
        <v>-1</v>
      </c>
      <c r="B18" t="inlineStr">
        <is>
          <t>01-12-2021</t>
        </is>
      </c>
      <c r="C18" t="n">
        <v>2021</v>
      </c>
      <c r="D18" t="n">
        <v>12</v>
      </c>
      <c r="E18" t="inlineStr">
        <is>
          <t>Paillaco 13.8</t>
        </is>
      </c>
      <c r="F18" t="inlineStr">
        <is>
          <t>Socoepa</t>
        </is>
      </c>
      <c r="G18" t="inlineStr">
        <is>
          <t>Socoepa</t>
        </is>
      </c>
      <c r="H18" t="inlineStr">
        <is>
          <t>Empresa Eléctrica Carén S.A.</t>
        </is>
      </c>
      <c r="I18" t="inlineStr">
        <is>
          <t>Empresa Eléctrica Carén S.A.</t>
        </is>
      </c>
      <c r="J18" t="inlineStr">
        <is>
          <t>SIC 2013/03_2_BS1B_BB_SOCOEPA_Empresa Eléctrica Carén S.A.</t>
        </is>
      </c>
      <c r="K18" t="inlineStr">
        <is>
          <t>Paillaco 13.8</t>
        </is>
      </c>
      <c r="L18" t="inlineStr">
        <is>
          <t>-1</t>
        </is>
      </c>
      <c r="M18" t="n">
        <v>830.2861309294475</v>
      </c>
      <c r="N18" t="n">
        <v>0</v>
      </c>
      <c r="O18" t="inlineStr">
        <is>
          <t>6</t>
        </is>
      </c>
      <c r="P18" s="2" t="n">
        <v>45002.86247025463</v>
      </c>
      <c r="Q18" t="n">
        <v>68</v>
      </c>
      <c r="R18" t="inlineStr">
        <is>
          <t>RAHUE 220</t>
        </is>
      </c>
      <c r="S18" t="n">
        <v>420.3897990010888</v>
      </c>
      <c r="T18" t="n">
        <v>31217.57856860816</v>
      </c>
      <c r="U18" t="n">
        <v>0</v>
      </c>
      <c r="V18" t="n">
        <v>0</v>
      </c>
      <c r="W18" t="inlineStr">
        <is>
          <t>SOCOEPA</t>
        </is>
      </c>
      <c r="X18" t="n">
        <v>78.998562870738</v>
      </c>
      <c r="Y18" t="n">
        <v>31.21757856860816</v>
      </c>
      <c r="Z18" t="n">
        <v>33210.18996660443</v>
      </c>
      <c r="AA18" t="n">
        <v>0</v>
      </c>
      <c r="AB18" t="n">
        <v>0</v>
      </c>
      <c r="AC18" t="n">
        <v>0</v>
      </c>
      <c r="AD18" s="2" t="n">
        <v>44531</v>
      </c>
    </row>
    <row r="19">
      <c r="A19" t="n">
        <v>-1</v>
      </c>
      <c r="B19" t="inlineStr">
        <is>
          <t>01-12-2021</t>
        </is>
      </c>
      <c r="C19" t="n">
        <v>2021</v>
      </c>
      <c r="D19" t="n">
        <v>12</v>
      </c>
      <c r="E19" t="inlineStr">
        <is>
          <t>Paillaco 13.8</t>
        </is>
      </c>
      <c r="F19" t="inlineStr">
        <is>
          <t>Socoepa</t>
        </is>
      </c>
      <c r="G19" t="inlineStr">
        <is>
          <t>Socoepa</t>
        </is>
      </c>
      <c r="H19" t="inlineStr">
        <is>
          <t>Empresa Eléctrica Carén S.A.</t>
        </is>
      </c>
      <c r="I19" t="inlineStr">
        <is>
          <t>Empresa Eléctrica Carén S.A.</t>
        </is>
      </c>
      <c r="J19" t="inlineStr">
        <is>
          <t>SIC 2013/03_2_BS1B_BB_SOCOEPA_Empresa Eléctrica Carén S.A.</t>
        </is>
      </c>
      <c r="K19" t="inlineStr">
        <is>
          <t>Paillaco 13.8</t>
        </is>
      </c>
      <c r="L19" t="inlineStr">
        <is>
          <t>-1</t>
        </is>
      </c>
      <c r="M19" t="n">
        <v>830.2861309294475</v>
      </c>
      <c r="N19" t="n">
        <v>0</v>
      </c>
      <c r="O19" t="inlineStr">
        <is>
          <t>6</t>
        </is>
      </c>
      <c r="P19" s="2" t="n">
        <v>45002.86247025463</v>
      </c>
      <c r="Q19" t="n">
        <v>17</v>
      </c>
      <c r="R19" t="inlineStr">
        <is>
          <t>VALDIVIA 220</t>
        </is>
      </c>
      <c r="S19" t="n">
        <v>419.2737255782395</v>
      </c>
      <c r="T19" t="n">
        <v>31223.79929464719</v>
      </c>
      <c r="U19" t="n">
        <v>0</v>
      </c>
      <c r="V19" t="n">
        <v>0</v>
      </c>
      <c r="W19" t="inlineStr">
        <is>
          <t>SOCOEPA</t>
        </is>
      </c>
      <c r="X19" t="n">
        <v>79.22463472866599</v>
      </c>
      <c r="Y19" t="n">
        <v>31.22379929464719</v>
      </c>
      <c r="Z19" t="n">
        <v>33216.80776026297</v>
      </c>
      <c r="AA19" t="n">
        <v>0</v>
      </c>
      <c r="AB19" t="n">
        <v>0</v>
      </c>
      <c r="AC19" t="n">
        <v>0</v>
      </c>
      <c r="AD19" s="2" t="n">
        <v>44531</v>
      </c>
    </row>
    <row r="20">
      <c r="A20" t="n">
        <v>-1</v>
      </c>
      <c r="B20" t="inlineStr">
        <is>
          <t>01-01-2022</t>
        </is>
      </c>
      <c r="C20" t="n">
        <v>2022</v>
      </c>
      <c r="D20" t="n">
        <v>1</v>
      </c>
      <c r="E20" t="inlineStr">
        <is>
          <t>Los Lagos 13.8</t>
        </is>
      </c>
      <c r="F20" t="inlineStr">
        <is>
          <t>Socoepa</t>
        </is>
      </c>
      <c r="G20" t="inlineStr">
        <is>
          <t>Socoepa</t>
        </is>
      </c>
      <c r="H20" t="inlineStr">
        <is>
          <t>Empresa Eléctrica Carén S.A.</t>
        </is>
      </c>
      <c r="I20" t="inlineStr">
        <is>
          <t>Empresa Eléctrica Carén S.A.</t>
        </is>
      </c>
      <c r="J20" t="inlineStr">
        <is>
          <t>SIC 2013/03_2_BS1B_BB_SOCOEPA_Empresa Eléctrica Carén S.A.</t>
        </is>
      </c>
      <c r="K20" t="inlineStr">
        <is>
          <t>Los Lagos 13.8</t>
        </is>
      </c>
      <c r="L20" t="inlineStr">
        <is>
          <t>-1</t>
        </is>
      </c>
      <c r="M20" t="n">
        <v>1345.184844782638</v>
      </c>
      <c r="N20" t="n">
        <v>0</v>
      </c>
      <c r="O20" t="inlineStr">
        <is>
          <t>6</t>
        </is>
      </c>
      <c r="P20" s="2" t="n">
        <v>45002.86247025463</v>
      </c>
      <c r="Q20" t="n">
        <v>6</v>
      </c>
      <c r="R20" t="inlineStr">
        <is>
          <t>MELIPULLI 220</t>
        </is>
      </c>
      <c r="S20" t="n">
        <v>5.566769295907045</v>
      </c>
      <c r="T20" t="n">
        <v>409.6241562319735</v>
      </c>
      <c r="U20" t="n">
        <v>0</v>
      </c>
      <c r="V20" t="n">
        <v>0</v>
      </c>
      <c r="W20" t="inlineStr">
        <is>
          <t>SOCOEPA</t>
        </is>
      </c>
      <c r="X20" t="n">
        <v>78.28066079379001</v>
      </c>
      <c r="Y20" t="n">
        <v>0.4096241562319736</v>
      </c>
      <c r="Z20" t="n">
        <v>435.7703789701847</v>
      </c>
      <c r="AA20" t="n">
        <v>0</v>
      </c>
      <c r="AB20" t="n">
        <v>0</v>
      </c>
      <c r="AC20" t="n">
        <v>0</v>
      </c>
      <c r="AD20" s="2" t="n">
        <v>44562</v>
      </c>
    </row>
    <row r="21">
      <c r="A21" t="n">
        <v>-1</v>
      </c>
      <c r="B21" t="inlineStr">
        <is>
          <t>01-01-2022</t>
        </is>
      </c>
      <c r="C21" t="n">
        <v>2022</v>
      </c>
      <c r="D21" t="n">
        <v>1</v>
      </c>
      <c r="E21" t="inlineStr">
        <is>
          <t>Los Lagos 13.8</t>
        </is>
      </c>
      <c r="F21" t="inlineStr">
        <is>
          <t>Socoepa</t>
        </is>
      </c>
      <c r="G21" t="inlineStr">
        <is>
          <t>Socoepa</t>
        </is>
      </c>
      <c r="H21" t="inlineStr">
        <is>
          <t>Empresa Eléctrica Carén S.A.</t>
        </is>
      </c>
      <c r="I21" t="inlineStr">
        <is>
          <t>Empresa Eléctrica Carén S.A.</t>
        </is>
      </c>
      <c r="J21" t="inlineStr">
        <is>
          <t>SIC 2013/03_2_BS1B_BB_SOCOEPA_Empresa Eléctrica Carén S.A.</t>
        </is>
      </c>
      <c r="K21" t="inlineStr">
        <is>
          <t>Los Lagos 13.8</t>
        </is>
      </c>
      <c r="L21" t="inlineStr">
        <is>
          <t>-1</t>
        </is>
      </c>
      <c r="M21" t="n">
        <v>1345.184844782638</v>
      </c>
      <c r="N21" t="n">
        <v>0</v>
      </c>
      <c r="O21" t="inlineStr">
        <is>
          <t>6</t>
        </is>
      </c>
      <c r="P21" s="2" t="n">
        <v>45002.86247025463</v>
      </c>
      <c r="Q21" t="n">
        <v>68</v>
      </c>
      <c r="R21" t="inlineStr">
        <is>
          <t>RAHUE 220</t>
        </is>
      </c>
      <c r="S21" t="n">
        <v>251.0557835926395</v>
      </c>
      <c r="T21" t="n">
        <v>18667.20032596105</v>
      </c>
      <c r="U21" t="n">
        <v>0</v>
      </c>
      <c r="V21" t="n">
        <v>0</v>
      </c>
      <c r="W21" t="inlineStr">
        <is>
          <t>SOCOEPA</t>
        </is>
      </c>
      <c r="X21" t="n">
        <v>79.10084152152001</v>
      </c>
      <c r="Y21" t="n">
        <v>18.66720032596105</v>
      </c>
      <c r="Z21" t="n">
        <v>19858.72375102239</v>
      </c>
      <c r="AA21" t="n">
        <v>0</v>
      </c>
      <c r="AB21" t="n">
        <v>0</v>
      </c>
      <c r="AC21" t="n">
        <v>0</v>
      </c>
      <c r="AD21" s="2" t="n">
        <v>44562</v>
      </c>
    </row>
    <row r="22">
      <c r="A22" t="n">
        <v>-1</v>
      </c>
      <c r="B22" t="inlineStr">
        <is>
          <t>01-01-2022</t>
        </is>
      </c>
      <c r="C22" t="n">
        <v>2022</v>
      </c>
      <c r="D22" t="n">
        <v>1</v>
      </c>
      <c r="E22" t="inlineStr">
        <is>
          <t>Los Lagos 13.8</t>
        </is>
      </c>
      <c r="F22" t="inlineStr">
        <is>
          <t>Socoepa</t>
        </is>
      </c>
      <c r="G22" t="inlineStr">
        <is>
          <t>Socoepa</t>
        </is>
      </c>
      <c r="H22" t="inlineStr">
        <is>
          <t>Empresa Eléctrica Carén S.A.</t>
        </is>
      </c>
      <c r="I22" t="inlineStr">
        <is>
          <t>Empresa Eléctrica Carén S.A.</t>
        </is>
      </c>
      <c r="J22" t="inlineStr">
        <is>
          <t>SIC 2013/03_2_BS1B_BB_SOCOEPA_Empresa Eléctrica Carén S.A.</t>
        </is>
      </c>
      <c r="K22" t="inlineStr">
        <is>
          <t>Los Lagos 13.8</t>
        </is>
      </c>
      <c r="L22" t="inlineStr">
        <is>
          <t>-1</t>
        </is>
      </c>
      <c r="M22" t="n">
        <v>1345.184844782638</v>
      </c>
      <c r="N22" t="n">
        <v>0</v>
      </c>
      <c r="O22" t="inlineStr">
        <is>
          <t>6</t>
        </is>
      </c>
      <c r="P22" s="2" t="n">
        <v>45002.86247025463</v>
      </c>
      <c r="Q22" t="n">
        <v>17</v>
      </c>
      <c r="R22" t="inlineStr">
        <is>
          <t>VALDIVIA 220</t>
        </is>
      </c>
      <c r="S22" t="n">
        <v>1121.290639167653</v>
      </c>
      <c r="T22" t="n">
        <v>84286.93075052666</v>
      </c>
      <c r="U22" t="n">
        <v>0</v>
      </c>
      <c r="V22" t="n">
        <v>0</v>
      </c>
      <c r="W22" t="inlineStr">
        <is>
          <t>SOCOEPA</t>
        </is>
      </c>
      <c r="X22" t="n">
        <v>79.96762344641</v>
      </c>
      <c r="Y22" t="n">
        <v>84.28693075052664</v>
      </c>
      <c r="Z22" t="n">
        <v>89666.94760694326</v>
      </c>
      <c r="AA22" t="n">
        <v>0</v>
      </c>
      <c r="AB22" t="n">
        <v>0</v>
      </c>
      <c r="AC22" t="n">
        <v>0</v>
      </c>
      <c r="AD22" s="2" t="n">
        <v>44562</v>
      </c>
    </row>
    <row r="23">
      <c r="A23" t="n">
        <v>-1</v>
      </c>
      <c r="B23" t="inlineStr">
        <is>
          <t>01-01-2022</t>
        </is>
      </c>
      <c r="C23" t="n">
        <v>2022</v>
      </c>
      <c r="D23" t="n">
        <v>1</v>
      </c>
      <c r="E23" t="inlineStr">
        <is>
          <t>Paillaco 13.8</t>
        </is>
      </c>
      <c r="F23" t="inlineStr">
        <is>
          <t>Socoepa</t>
        </is>
      </c>
      <c r="G23" t="inlineStr">
        <is>
          <t>Socoepa</t>
        </is>
      </c>
      <c r="H23" t="inlineStr">
        <is>
          <t>Empresa Eléctrica Carén S.A.</t>
        </is>
      </c>
      <c r="I23" t="inlineStr">
        <is>
          <t>Empresa Eléctrica Carén S.A.</t>
        </is>
      </c>
      <c r="J23" t="inlineStr">
        <is>
          <t>SIC 2013/03_2_BS1B_BB_SOCOEPA_Empresa Eléctrica Carén S.A.</t>
        </is>
      </c>
      <c r="K23" t="inlineStr">
        <is>
          <t>Paillaco 13.8</t>
        </is>
      </c>
      <c r="L23" t="inlineStr">
        <is>
          <t>-1</t>
        </is>
      </c>
      <c r="M23" t="n">
        <v>986.9255375122543</v>
      </c>
      <c r="N23" t="n">
        <v>0</v>
      </c>
      <c r="O23" t="inlineStr">
        <is>
          <t>6</t>
        </is>
      </c>
      <c r="P23" s="2" t="n">
        <v>45002.86247025463</v>
      </c>
      <c r="Q23" t="n">
        <v>6</v>
      </c>
      <c r="R23" t="inlineStr">
        <is>
          <t>MELIPULLI 220</t>
        </is>
      </c>
      <c r="S23" t="n">
        <v>9.836421250722495</v>
      </c>
      <c r="T23" t="n">
        <v>723.8014620314772</v>
      </c>
      <c r="U23" t="n">
        <v>0</v>
      </c>
      <c r="V23" t="n">
        <v>0</v>
      </c>
      <c r="W23" t="inlineStr">
        <is>
          <t>SOCOEPA</t>
        </is>
      </c>
      <c r="X23" t="n">
        <v>78.28066079379002</v>
      </c>
      <c r="Y23" t="n">
        <v>0.7238014620314772</v>
      </c>
      <c r="Z23" t="n">
        <v>770.0015553526354</v>
      </c>
      <c r="AA23" t="n">
        <v>0</v>
      </c>
      <c r="AB23" t="n">
        <v>0</v>
      </c>
      <c r="AC23" t="n">
        <v>0</v>
      </c>
      <c r="AD23" s="2" t="n">
        <v>44562</v>
      </c>
    </row>
    <row r="24">
      <c r="A24" t="n">
        <v>-1</v>
      </c>
      <c r="B24" t="inlineStr">
        <is>
          <t>01-01-2022</t>
        </is>
      </c>
      <c r="C24" t="n">
        <v>2022</v>
      </c>
      <c r="D24" t="n">
        <v>1</v>
      </c>
      <c r="E24" t="inlineStr">
        <is>
          <t>Paillaco 13.8</t>
        </is>
      </c>
      <c r="F24" t="inlineStr">
        <is>
          <t>Socoepa</t>
        </is>
      </c>
      <c r="G24" t="inlineStr">
        <is>
          <t>Socoepa</t>
        </is>
      </c>
      <c r="H24" t="inlineStr">
        <is>
          <t>Empresa Eléctrica Carén S.A.</t>
        </is>
      </c>
      <c r="I24" t="inlineStr">
        <is>
          <t>Empresa Eléctrica Carén S.A.</t>
        </is>
      </c>
      <c r="J24" t="inlineStr">
        <is>
          <t>SIC 2013/03_2_BS1B_BB_SOCOEPA_Empresa Eléctrica Carén S.A.</t>
        </is>
      </c>
      <c r="K24" t="inlineStr">
        <is>
          <t>Paillaco 13.8</t>
        </is>
      </c>
      <c r="L24" t="inlineStr">
        <is>
          <t>-1</t>
        </is>
      </c>
      <c r="M24" t="n">
        <v>986.9255375122543</v>
      </c>
      <c r="N24" t="n">
        <v>0</v>
      </c>
      <c r="O24" t="inlineStr">
        <is>
          <t>6</t>
        </is>
      </c>
      <c r="P24" s="2" t="n">
        <v>45002.86247025463</v>
      </c>
      <c r="Q24" t="n">
        <v>68</v>
      </c>
      <c r="R24" t="inlineStr">
        <is>
          <t>RAHUE 220</t>
        </is>
      </c>
      <c r="S24" t="n">
        <v>503.3356399303415</v>
      </c>
      <c r="T24" t="n">
        <v>37425.41632508703</v>
      </c>
      <c r="U24" t="n">
        <v>0</v>
      </c>
      <c r="V24" t="n">
        <v>0</v>
      </c>
      <c r="W24" t="inlineStr">
        <is>
          <t>SOCOEPA</t>
        </is>
      </c>
      <c r="X24" t="n">
        <v>79.10084152152001</v>
      </c>
      <c r="Y24" t="n">
        <v>37.42541632508703</v>
      </c>
      <c r="Z24" t="n">
        <v>39814.2726862628</v>
      </c>
      <c r="AA24" t="n">
        <v>0</v>
      </c>
      <c r="AB24" t="n">
        <v>0</v>
      </c>
      <c r="AC24" t="n">
        <v>0</v>
      </c>
      <c r="AD24" s="2" t="n">
        <v>44562</v>
      </c>
    </row>
    <row r="25">
      <c r="A25" t="n">
        <v>-1</v>
      </c>
      <c r="B25" t="inlineStr">
        <is>
          <t>01-01-2022</t>
        </is>
      </c>
      <c r="C25" t="n">
        <v>2022</v>
      </c>
      <c r="D25" t="n">
        <v>1</v>
      </c>
      <c r="E25" t="inlineStr">
        <is>
          <t>Paillaco 13.8</t>
        </is>
      </c>
      <c r="F25" t="inlineStr">
        <is>
          <t>Socoepa</t>
        </is>
      </c>
      <c r="G25" t="inlineStr">
        <is>
          <t>Socoepa</t>
        </is>
      </c>
      <c r="H25" t="inlineStr">
        <is>
          <t>Empresa Eléctrica Carén S.A.</t>
        </is>
      </c>
      <c r="I25" t="inlineStr">
        <is>
          <t>Empresa Eléctrica Carén S.A.</t>
        </is>
      </c>
      <c r="J25" t="inlineStr">
        <is>
          <t>SIC 2013/03_2_BS1B_BB_SOCOEPA_Empresa Eléctrica Carén S.A.</t>
        </is>
      </c>
      <c r="K25" t="inlineStr">
        <is>
          <t>Paillaco 13.8</t>
        </is>
      </c>
      <c r="L25" t="inlineStr">
        <is>
          <t>-1</t>
        </is>
      </c>
      <c r="M25" t="n">
        <v>986.9255375122543</v>
      </c>
      <c r="N25" t="n">
        <v>0</v>
      </c>
      <c r="O25" t="inlineStr">
        <is>
          <t>6</t>
        </is>
      </c>
      <c r="P25" s="2" t="n">
        <v>45002.86247025463</v>
      </c>
      <c r="Q25" t="n">
        <v>17</v>
      </c>
      <c r="R25" t="inlineStr">
        <is>
          <t>VALDIVIA 220</t>
        </is>
      </c>
      <c r="S25" t="n">
        <v>497.7653746588634</v>
      </c>
      <c r="T25" t="n">
        <v>37416.80720265832</v>
      </c>
      <c r="U25" t="n">
        <v>0</v>
      </c>
      <c r="V25" t="n">
        <v>0</v>
      </c>
      <c r="W25" t="inlineStr">
        <is>
          <t>SOCOEPA</t>
        </is>
      </c>
      <c r="X25" t="n">
        <v>79.96762344641</v>
      </c>
      <c r="Y25" t="n">
        <v>37.41680720265831</v>
      </c>
      <c r="Z25" t="n">
        <v>39805.11404538119</v>
      </c>
      <c r="AA25" t="n">
        <v>0</v>
      </c>
      <c r="AB25" t="n">
        <v>0</v>
      </c>
      <c r="AC25" t="n">
        <v>0</v>
      </c>
      <c r="AD25" s="2" t="n">
        <v>44562</v>
      </c>
    </row>
    <row r="26">
      <c r="A26" t="n">
        <v>-1</v>
      </c>
      <c r="B26" t="inlineStr">
        <is>
          <t>01-02-2022</t>
        </is>
      </c>
      <c r="C26" t="n">
        <v>2022</v>
      </c>
      <c r="D26" t="n">
        <v>2</v>
      </c>
      <c r="E26" t="inlineStr">
        <is>
          <t>Los Lagos 13.8</t>
        </is>
      </c>
      <c r="F26" t="inlineStr">
        <is>
          <t>Socoepa</t>
        </is>
      </c>
      <c r="G26" t="inlineStr">
        <is>
          <t>Socoepa</t>
        </is>
      </c>
      <c r="H26" t="inlineStr">
        <is>
          <t>Empresa Eléctrica Carén S.A.</t>
        </is>
      </c>
      <c r="I26" t="inlineStr">
        <is>
          <t>Empresa Eléctrica Carén S.A.</t>
        </is>
      </c>
      <c r="J26" t="inlineStr">
        <is>
          <t>SIC 2013/03_2_BS1B_BB_SOCOEPA_Empresa Eléctrica Carén S.A.</t>
        </is>
      </c>
      <c r="K26" t="inlineStr">
        <is>
          <t>Los Lagos 13.8</t>
        </is>
      </c>
      <c r="L26" t="inlineStr">
        <is>
          <t>-1</t>
        </is>
      </c>
      <c r="M26" t="n">
        <v>1391.676957584764</v>
      </c>
      <c r="N26" t="n">
        <v>0</v>
      </c>
      <c r="O26" t="inlineStr">
        <is>
          <t>6</t>
        </is>
      </c>
      <c r="P26" s="2" t="n">
        <v>45002.86247025463</v>
      </c>
      <c r="Q26" t="n">
        <v>6</v>
      </c>
      <c r="R26" t="inlineStr">
        <is>
          <t>MELIPULLI 220</t>
        </is>
      </c>
      <c r="S26" t="n">
        <v>5.759167290169716</v>
      </c>
      <c r="T26" t="n">
        <v>423.7815358306784</v>
      </c>
      <c r="U26" t="n">
        <v>0</v>
      </c>
      <c r="V26" t="n">
        <v>0</v>
      </c>
      <c r="W26" t="inlineStr">
        <is>
          <t>SOCOEPA</t>
        </is>
      </c>
      <c r="X26" t="n">
        <v>78.28066079379001</v>
      </c>
      <c r="Y26" t="n">
        <v>0.4237815358306783</v>
      </c>
      <c r="Z26" t="n">
        <v>450.8314210964664</v>
      </c>
      <c r="AA26" t="n">
        <v>0</v>
      </c>
      <c r="AB26" t="n">
        <v>0</v>
      </c>
      <c r="AC26" t="n">
        <v>0</v>
      </c>
      <c r="AD26" s="2" t="n">
        <v>44593</v>
      </c>
    </row>
    <row r="27">
      <c r="A27" t="n">
        <v>-1</v>
      </c>
      <c r="B27" t="inlineStr">
        <is>
          <t>01-02-2022</t>
        </is>
      </c>
      <c r="C27" t="n">
        <v>2022</v>
      </c>
      <c r="D27" t="n">
        <v>2</v>
      </c>
      <c r="E27" t="inlineStr">
        <is>
          <t>Los Lagos 13.8</t>
        </is>
      </c>
      <c r="F27" t="inlineStr">
        <is>
          <t>Socoepa</t>
        </is>
      </c>
      <c r="G27" t="inlineStr">
        <is>
          <t>Socoepa</t>
        </is>
      </c>
      <c r="H27" t="inlineStr">
        <is>
          <t>Empresa Eléctrica Carén S.A.</t>
        </is>
      </c>
      <c r="I27" t="inlineStr">
        <is>
          <t>Empresa Eléctrica Carén S.A.</t>
        </is>
      </c>
      <c r="J27" t="inlineStr">
        <is>
          <t>SIC 2013/03_2_BS1B_BB_SOCOEPA_Empresa Eléctrica Carén S.A.</t>
        </is>
      </c>
      <c r="K27" t="inlineStr">
        <is>
          <t>Los Lagos 13.8</t>
        </is>
      </c>
      <c r="L27" t="inlineStr">
        <is>
          <t>-1</t>
        </is>
      </c>
      <c r="M27" t="n">
        <v>1391.676957584764</v>
      </c>
      <c r="N27" t="n">
        <v>0</v>
      </c>
      <c r="O27" t="inlineStr">
        <is>
          <t>6</t>
        </is>
      </c>
      <c r="P27" s="2" t="n">
        <v>45002.86247025463</v>
      </c>
      <c r="Q27" t="n">
        <v>68</v>
      </c>
      <c r="R27" t="inlineStr">
        <is>
          <t>RAHUE 220</t>
        </is>
      </c>
      <c r="S27" t="n">
        <v>259.7327426408223</v>
      </c>
      <c r="T27" t="n">
        <v>19312.37380276654</v>
      </c>
      <c r="U27" t="n">
        <v>0</v>
      </c>
      <c r="V27" t="n">
        <v>0</v>
      </c>
      <c r="W27" t="inlineStr">
        <is>
          <t>SOCOEPA</t>
        </is>
      </c>
      <c r="X27" t="n">
        <v>79.10084152152</v>
      </c>
      <c r="Y27" t="n">
        <v>19.31237380276654</v>
      </c>
      <c r="Z27" t="n">
        <v>20545.07851358143</v>
      </c>
      <c r="AA27" t="n">
        <v>0</v>
      </c>
      <c r="AB27" t="n">
        <v>0</v>
      </c>
      <c r="AC27" t="n">
        <v>0</v>
      </c>
      <c r="AD27" s="2" t="n">
        <v>44593</v>
      </c>
    </row>
    <row r="28">
      <c r="A28" t="n">
        <v>-1</v>
      </c>
      <c r="B28" t="inlineStr">
        <is>
          <t>01-02-2022</t>
        </is>
      </c>
      <c r="C28" t="n">
        <v>2022</v>
      </c>
      <c r="D28" t="n">
        <v>2</v>
      </c>
      <c r="E28" t="inlineStr">
        <is>
          <t>Los Lagos 13.8</t>
        </is>
      </c>
      <c r="F28" t="inlineStr">
        <is>
          <t>Socoepa</t>
        </is>
      </c>
      <c r="G28" t="inlineStr">
        <is>
          <t>Socoepa</t>
        </is>
      </c>
      <c r="H28" t="inlineStr">
        <is>
          <t>Empresa Eléctrica Carén S.A.</t>
        </is>
      </c>
      <c r="I28" t="inlineStr">
        <is>
          <t>Empresa Eléctrica Carén S.A.</t>
        </is>
      </c>
      <c r="J28" t="inlineStr">
        <is>
          <t>SIC 2013/03_2_BS1B_BB_SOCOEPA_Empresa Eléctrica Carén S.A.</t>
        </is>
      </c>
      <c r="K28" t="inlineStr">
        <is>
          <t>Los Lagos 13.8</t>
        </is>
      </c>
      <c r="L28" t="inlineStr">
        <is>
          <t>-1</t>
        </is>
      </c>
      <c r="M28" t="n">
        <v>1391.676957584764</v>
      </c>
      <c r="N28" t="n">
        <v>0</v>
      </c>
      <c r="O28" t="inlineStr">
        <is>
          <t>6</t>
        </is>
      </c>
      <c r="P28" s="2" t="n">
        <v>45002.86247025463</v>
      </c>
      <c r="Q28" t="n">
        <v>17</v>
      </c>
      <c r="R28" t="inlineStr">
        <is>
          <t>VALDIVIA 220</t>
        </is>
      </c>
      <c r="S28" t="n">
        <v>1160.044548031809</v>
      </c>
      <c r="T28" t="n">
        <v>87200.04526218446</v>
      </c>
      <c r="U28" t="n">
        <v>0</v>
      </c>
      <c r="V28" t="n">
        <v>0</v>
      </c>
      <c r="W28" t="inlineStr">
        <is>
          <t>SOCOEPA</t>
        </is>
      </c>
      <c r="X28" t="n">
        <v>79.96762344641</v>
      </c>
      <c r="Y28" t="n">
        <v>87.20004526218447</v>
      </c>
      <c r="Z28" t="n">
        <v>92766.00559806859</v>
      </c>
      <c r="AA28" t="n">
        <v>0</v>
      </c>
      <c r="AB28" t="n">
        <v>0</v>
      </c>
      <c r="AC28" t="n">
        <v>0</v>
      </c>
      <c r="AD28" s="2" t="n">
        <v>44593</v>
      </c>
    </row>
    <row r="29">
      <c r="A29" t="n">
        <v>-1</v>
      </c>
      <c r="B29" t="inlineStr">
        <is>
          <t>01-02-2022</t>
        </is>
      </c>
      <c r="C29" t="n">
        <v>2022</v>
      </c>
      <c r="D29" t="n">
        <v>2</v>
      </c>
      <c r="E29" t="inlineStr">
        <is>
          <t>Paillaco 13.8</t>
        </is>
      </c>
      <c r="F29" t="inlineStr">
        <is>
          <t>Socoepa</t>
        </is>
      </c>
      <c r="G29" t="inlineStr">
        <is>
          <t>Socoepa</t>
        </is>
      </c>
      <c r="H29" t="inlineStr">
        <is>
          <t>Empresa Eléctrica Carén S.A.</t>
        </is>
      </c>
      <c r="I29" t="inlineStr">
        <is>
          <t>Empresa Eléctrica Carén S.A.</t>
        </is>
      </c>
      <c r="J29" t="inlineStr">
        <is>
          <t>SIC 2013/03_2_BS1B_BB_SOCOEPA_Empresa Eléctrica Carén S.A.</t>
        </is>
      </c>
      <c r="K29" t="inlineStr">
        <is>
          <t>Paillaco 13.8</t>
        </is>
      </c>
      <c r="L29" t="inlineStr">
        <is>
          <t>-1</t>
        </is>
      </c>
      <c r="M29" t="n">
        <v>939.6119437030468</v>
      </c>
      <c r="N29" t="n">
        <v>0</v>
      </c>
      <c r="O29" t="inlineStr">
        <is>
          <t>6</t>
        </is>
      </c>
      <c r="P29" s="2" t="n">
        <v>45002.86247025463</v>
      </c>
      <c r="Q29" t="n">
        <v>6</v>
      </c>
      <c r="R29" t="inlineStr">
        <is>
          <t>MELIPULLI 220</t>
        </is>
      </c>
      <c r="S29" t="n">
        <v>9.364859393314218</v>
      </c>
      <c r="T29" t="n">
        <v>689.1021386565942</v>
      </c>
      <c r="U29" t="n">
        <v>0</v>
      </c>
      <c r="V29" t="n">
        <v>0</v>
      </c>
      <c r="W29" t="inlineStr">
        <is>
          <t>SOCOEPA</t>
        </is>
      </c>
      <c r="X29" t="n">
        <v>78.28066079379001</v>
      </c>
      <c r="Y29" t="n">
        <v>0.6891021386565942</v>
      </c>
      <c r="Z29" t="n">
        <v>733.0873815495684</v>
      </c>
      <c r="AA29" t="n">
        <v>0</v>
      </c>
      <c r="AB29" t="n">
        <v>0</v>
      </c>
      <c r="AC29" t="n">
        <v>0</v>
      </c>
      <c r="AD29" s="2" t="n">
        <v>44593</v>
      </c>
    </row>
    <row r="30">
      <c r="A30" t="n">
        <v>-1</v>
      </c>
      <c r="B30" t="inlineStr">
        <is>
          <t>01-02-2022</t>
        </is>
      </c>
      <c r="C30" t="n">
        <v>2022</v>
      </c>
      <c r="D30" t="n">
        <v>2</v>
      </c>
      <c r="E30" t="inlineStr">
        <is>
          <t>Paillaco 13.8</t>
        </is>
      </c>
      <c r="F30" t="inlineStr">
        <is>
          <t>Socoepa</t>
        </is>
      </c>
      <c r="G30" t="inlineStr">
        <is>
          <t>Socoepa</t>
        </is>
      </c>
      <c r="H30" t="inlineStr">
        <is>
          <t>Empresa Eléctrica Carén S.A.</t>
        </is>
      </c>
      <c r="I30" t="inlineStr">
        <is>
          <t>Empresa Eléctrica Carén S.A.</t>
        </is>
      </c>
      <c r="J30" t="inlineStr">
        <is>
          <t>SIC 2013/03_2_BS1B_BB_SOCOEPA_Empresa Eléctrica Carén S.A.</t>
        </is>
      </c>
      <c r="K30" t="inlineStr">
        <is>
          <t>Paillaco 13.8</t>
        </is>
      </c>
      <c r="L30" t="inlineStr">
        <is>
          <t>-1</t>
        </is>
      </c>
      <c r="M30" t="n">
        <v>939.6119437030468</v>
      </c>
      <c r="N30" t="n">
        <v>0</v>
      </c>
      <c r="O30" t="inlineStr">
        <is>
          <t>6</t>
        </is>
      </c>
      <c r="P30" s="2" t="n">
        <v>45002.86247025463</v>
      </c>
      <c r="Q30" t="n">
        <v>68</v>
      </c>
      <c r="R30" t="inlineStr">
        <is>
          <t>RAHUE 220</t>
        </is>
      </c>
      <c r="S30" t="n">
        <v>479.205533744832</v>
      </c>
      <c r="T30" t="n">
        <v>35631.22732212623</v>
      </c>
      <c r="U30" t="n">
        <v>0</v>
      </c>
      <c r="V30" t="n">
        <v>0</v>
      </c>
      <c r="W30" t="inlineStr">
        <is>
          <t>SOCOEPA</t>
        </is>
      </c>
      <c r="X30" t="n">
        <v>79.10084152152001</v>
      </c>
      <c r="Y30" t="n">
        <v>35.63122732212624</v>
      </c>
      <c r="Z30" t="n">
        <v>37905.56098098536</v>
      </c>
      <c r="AA30" t="n">
        <v>0</v>
      </c>
      <c r="AB30" t="n">
        <v>0</v>
      </c>
      <c r="AC30" t="n">
        <v>0</v>
      </c>
      <c r="AD30" s="2" t="n">
        <v>44593</v>
      </c>
    </row>
    <row r="31">
      <c r="A31" t="n">
        <v>-1</v>
      </c>
      <c r="B31" t="inlineStr">
        <is>
          <t>01-02-2022</t>
        </is>
      </c>
      <c r="C31" t="n">
        <v>2022</v>
      </c>
      <c r="D31" t="n">
        <v>2</v>
      </c>
      <c r="E31" t="inlineStr">
        <is>
          <t>Paillaco 13.8</t>
        </is>
      </c>
      <c r="F31" t="inlineStr">
        <is>
          <t>Socoepa</t>
        </is>
      </c>
      <c r="G31" t="inlineStr">
        <is>
          <t>Socoepa</t>
        </is>
      </c>
      <c r="H31" t="inlineStr">
        <is>
          <t>Empresa Eléctrica Carén S.A.</t>
        </is>
      </c>
      <c r="I31" t="inlineStr">
        <is>
          <t>Empresa Eléctrica Carén S.A.</t>
        </is>
      </c>
      <c r="J31" t="inlineStr">
        <is>
          <t>SIC 2013/03_2_BS1B_BB_SOCOEPA_Empresa Eléctrica Carén S.A.</t>
        </is>
      </c>
      <c r="K31" t="inlineStr">
        <is>
          <t>Paillaco 13.8</t>
        </is>
      </c>
      <c r="L31" t="inlineStr">
        <is>
          <t>-1</t>
        </is>
      </c>
      <c r="M31" t="n">
        <v>939.6119437030468</v>
      </c>
      <c r="N31" t="n">
        <v>0</v>
      </c>
      <c r="O31" t="inlineStr">
        <is>
          <t>6</t>
        </is>
      </c>
      <c r="P31" s="2" t="n">
        <v>45002.86247025463</v>
      </c>
      <c r="Q31" t="n">
        <v>17</v>
      </c>
      <c r="R31" t="inlineStr">
        <is>
          <t>VALDIVIA 220</t>
        </is>
      </c>
      <c r="S31" t="n">
        <v>473.9023091551957</v>
      </c>
      <c r="T31" t="n">
        <v>35623.03092437246</v>
      </c>
      <c r="U31" t="n">
        <v>0</v>
      </c>
      <c r="V31" t="n">
        <v>0</v>
      </c>
      <c r="W31" t="inlineStr">
        <is>
          <t>SOCOEPA</t>
        </is>
      </c>
      <c r="X31" t="n">
        <v>79.96762344641</v>
      </c>
      <c r="Y31" t="n">
        <v>35.62303092437245</v>
      </c>
      <c r="Z31" t="n">
        <v>37896.84140890687</v>
      </c>
      <c r="AA31" t="n">
        <v>0</v>
      </c>
      <c r="AB31" t="n">
        <v>0</v>
      </c>
      <c r="AC31" t="n">
        <v>0</v>
      </c>
      <c r="AD31" s="2" t="n">
        <v>44593</v>
      </c>
    </row>
    <row r="32">
      <c r="A32" t="n">
        <v>-1</v>
      </c>
      <c r="B32" t="inlineStr">
        <is>
          <t>01-03-2022</t>
        </is>
      </c>
      <c r="C32" t="n">
        <v>2022</v>
      </c>
      <c r="D32" t="n">
        <v>3</v>
      </c>
      <c r="E32" t="inlineStr">
        <is>
          <t>Los Lagos 13.8</t>
        </is>
      </c>
      <c r="F32" t="inlineStr">
        <is>
          <t>Socoepa</t>
        </is>
      </c>
      <c r="G32" t="inlineStr">
        <is>
          <t>Socoepa</t>
        </is>
      </c>
      <c r="H32" t="inlineStr">
        <is>
          <t>Empresa Eléctrica Carén S.A.</t>
        </is>
      </c>
      <c r="I32" t="inlineStr">
        <is>
          <t>Empresa Eléctrica Carén S.A.</t>
        </is>
      </c>
      <c r="J32" t="inlineStr">
        <is>
          <t>SIC 2013/03_2_BS1B_BB_SOCOEPA_Empresa Eléctrica Carén S.A.</t>
        </is>
      </c>
      <c r="K32" t="inlineStr">
        <is>
          <t>Los Lagos 13.8</t>
        </is>
      </c>
      <c r="L32" t="inlineStr">
        <is>
          <t>-1</t>
        </is>
      </c>
      <c r="M32" t="n">
        <v>1158.388198847506</v>
      </c>
      <c r="N32" t="n">
        <v>0</v>
      </c>
      <c r="O32" t="inlineStr">
        <is>
          <t>6</t>
        </is>
      </c>
      <c r="P32" s="2" t="n">
        <v>45002.86247025463</v>
      </c>
      <c r="Q32" t="n">
        <v>6</v>
      </c>
      <c r="R32" t="inlineStr">
        <is>
          <t>MELIPULLI 220</t>
        </is>
      </c>
      <c r="S32" t="n">
        <v>4.793750006250882</v>
      </c>
      <c r="T32" t="n">
        <v>352.7424430793807</v>
      </c>
      <c r="U32" t="n">
        <v>0</v>
      </c>
      <c r="V32" t="n">
        <v>0</v>
      </c>
      <c r="W32" t="inlineStr">
        <is>
          <t>SOCOEPA</t>
        </is>
      </c>
      <c r="X32" t="n">
        <v>78.28066079379001</v>
      </c>
      <c r="Y32" t="n">
        <v>0.3527424430793807</v>
      </c>
      <c r="Z32" t="n">
        <v>375.257918169554</v>
      </c>
      <c r="AA32" t="n">
        <v>0</v>
      </c>
      <c r="AB32" t="n">
        <v>0</v>
      </c>
      <c r="AC32" t="n">
        <v>0</v>
      </c>
      <c r="AD32" s="2" t="n">
        <v>44621</v>
      </c>
    </row>
    <row r="33">
      <c r="A33" t="n">
        <v>-1</v>
      </c>
      <c r="B33" t="inlineStr">
        <is>
          <t>01-03-2022</t>
        </is>
      </c>
      <c r="C33" t="n">
        <v>2022</v>
      </c>
      <c r="D33" t="n">
        <v>3</v>
      </c>
      <c r="E33" t="inlineStr">
        <is>
          <t>Los Lagos 13.8</t>
        </is>
      </c>
      <c r="F33" t="inlineStr">
        <is>
          <t>Socoepa</t>
        </is>
      </c>
      <c r="G33" t="inlineStr">
        <is>
          <t>Socoepa</t>
        </is>
      </c>
      <c r="H33" t="inlineStr">
        <is>
          <t>Empresa Eléctrica Carén S.A.</t>
        </is>
      </c>
      <c r="I33" t="inlineStr">
        <is>
          <t>Empresa Eléctrica Carén S.A.</t>
        </is>
      </c>
      <c r="J33" t="inlineStr">
        <is>
          <t>SIC 2013/03_2_BS1B_BB_SOCOEPA_Empresa Eléctrica Carén S.A.</t>
        </is>
      </c>
      <c r="K33" t="inlineStr">
        <is>
          <t>Los Lagos 13.8</t>
        </is>
      </c>
      <c r="L33" t="inlineStr">
        <is>
          <t>-1</t>
        </is>
      </c>
      <c r="M33" t="n">
        <v>1158.388198847506</v>
      </c>
      <c r="N33" t="n">
        <v>0</v>
      </c>
      <c r="O33" t="inlineStr">
        <is>
          <t>6</t>
        </is>
      </c>
      <c r="P33" s="2" t="n">
        <v>45002.86247025463</v>
      </c>
      <c r="Q33" t="n">
        <v>68</v>
      </c>
      <c r="R33" t="inlineStr">
        <is>
          <t>RAHUE 220</t>
        </is>
      </c>
      <c r="S33" t="n">
        <v>216.1933789947798</v>
      </c>
      <c r="T33" t="n">
        <v>16075.01351727591</v>
      </c>
      <c r="U33" t="n">
        <v>0</v>
      </c>
      <c r="V33" t="n">
        <v>0</v>
      </c>
      <c r="W33" t="inlineStr">
        <is>
          <t>SOCOEPA</t>
        </is>
      </c>
      <c r="X33" t="n">
        <v>79.10084152152</v>
      </c>
      <c r="Y33" t="n">
        <v>16.07501351727591</v>
      </c>
      <c r="Z33" t="n">
        <v>17101.07820986799</v>
      </c>
      <c r="AA33" t="n">
        <v>0</v>
      </c>
      <c r="AB33" t="n">
        <v>0</v>
      </c>
      <c r="AC33" t="n">
        <v>0</v>
      </c>
      <c r="AD33" s="2" t="n">
        <v>44621</v>
      </c>
    </row>
    <row r="34">
      <c r="A34" t="n">
        <v>-1</v>
      </c>
      <c r="B34" t="inlineStr">
        <is>
          <t>01-03-2022</t>
        </is>
      </c>
      <c r="C34" t="n">
        <v>2022</v>
      </c>
      <c r="D34" t="n">
        <v>3</v>
      </c>
      <c r="E34" t="inlineStr">
        <is>
          <t>Los Lagos 13.8</t>
        </is>
      </c>
      <c r="F34" t="inlineStr">
        <is>
          <t>Socoepa</t>
        </is>
      </c>
      <c r="G34" t="inlineStr">
        <is>
          <t>Socoepa</t>
        </is>
      </c>
      <c r="H34" t="inlineStr">
        <is>
          <t>Empresa Eléctrica Carén S.A.</t>
        </is>
      </c>
      <c r="I34" t="inlineStr">
        <is>
          <t>Empresa Eléctrica Carén S.A.</t>
        </is>
      </c>
      <c r="J34" t="inlineStr">
        <is>
          <t>SIC 2013/03_2_BS1B_BB_SOCOEPA_Empresa Eléctrica Carén S.A.</t>
        </is>
      </c>
      <c r="K34" t="inlineStr">
        <is>
          <t>Los Lagos 13.8</t>
        </is>
      </c>
      <c r="L34" t="inlineStr">
        <is>
          <t>-1</t>
        </is>
      </c>
      <c r="M34" t="n">
        <v>1158.388198847506</v>
      </c>
      <c r="N34" t="n">
        <v>0</v>
      </c>
      <c r="O34" t="inlineStr">
        <is>
          <t>6</t>
        </is>
      </c>
      <c r="P34" s="2" t="n">
        <v>45002.86247025463</v>
      </c>
      <c r="Q34" t="n">
        <v>17</v>
      </c>
      <c r="R34" t="inlineStr">
        <is>
          <t>VALDIVIA 220</t>
        </is>
      </c>
      <c r="S34" t="n">
        <v>965.584654724435</v>
      </c>
      <c r="T34" t="n">
        <v>72582.57947015732</v>
      </c>
      <c r="U34" t="n">
        <v>0</v>
      </c>
      <c r="V34" t="n">
        <v>0</v>
      </c>
      <c r="W34" t="inlineStr">
        <is>
          <t>SOCOEPA</t>
        </is>
      </c>
      <c r="X34" t="n">
        <v>79.96762344641</v>
      </c>
      <c r="Y34" t="n">
        <v>72.58257947015731</v>
      </c>
      <c r="Z34" t="n">
        <v>77215.51007463544</v>
      </c>
      <c r="AA34" t="n">
        <v>0</v>
      </c>
      <c r="AB34" t="n">
        <v>0</v>
      </c>
      <c r="AC34" t="n">
        <v>0</v>
      </c>
      <c r="AD34" s="2" t="n">
        <v>44621</v>
      </c>
    </row>
    <row r="35">
      <c r="A35" t="n">
        <v>-1</v>
      </c>
      <c r="B35" t="inlineStr">
        <is>
          <t>01-03-2022</t>
        </is>
      </c>
      <c r="C35" t="n">
        <v>2022</v>
      </c>
      <c r="D35" t="n">
        <v>3</v>
      </c>
      <c r="E35" t="inlineStr">
        <is>
          <t>Paillaco 13.8</t>
        </is>
      </c>
      <c r="F35" t="inlineStr">
        <is>
          <t>Socoepa</t>
        </is>
      </c>
      <c r="G35" t="inlineStr">
        <is>
          <t>Socoepa</t>
        </is>
      </c>
      <c r="H35" t="inlineStr">
        <is>
          <t>Empresa Eléctrica Carén S.A.</t>
        </is>
      </c>
      <c r="I35" t="inlineStr">
        <is>
          <t>Empresa Eléctrica Carén S.A.</t>
        </is>
      </c>
      <c r="J35" t="inlineStr">
        <is>
          <t>SIC 2013/03_2_BS1B_BB_SOCOEPA_Empresa Eléctrica Carén S.A.</t>
        </is>
      </c>
      <c r="K35" t="inlineStr">
        <is>
          <t>Paillaco 13.8</t>
        </is>
      </c>
      <c r="L35" t="inlineStr">
        <is>
          <t>-1</t>
        </is>
      </c>
      <c r="M35" t="n">
        <v>706.630202844453</v>
      </c>
      <c r="N35" t="n">
        <v>0</v>
      </c>
      <c r="O35" t="inlineStr">
        <is>
          <t>6</t>
        </is>
      </c>
      <c r="P35" s="2" t="n">
        <v>45002.86247025463</v>
      </c>
      <c r="Q35" t="n">
        <v>6</v>
      </c>
      <c r="R35" t="inlineStr">
        <is>
          <t>MELIPULLI 220</t>
        </is>
      </c>
      <c r="S35" t="n">
        <v>7.042793077563078</v>
      </c>
      <c r="T35" t="n">
        <v>518.2356261888336</v>
      </c>
      <c r="U35" t="n">
        <v>0</v>
      </c>
      <c r="V35" t="n">
        <v>0</v>
      </c>
      <c r="W35" t="inlineStr">
        <is>
          <t>SOCOEPA</t>
        </is>
      </c>
      <c r="X35" t="n">
        <v>78.28066079379001</v>
      </c>
      <c r="Y35" t="n">
        <v>0.5182356261888336</v>
      </c>
      <c r="Z35" t="n">
        <v>551.3144959455677</v>
      </c>
      <c r="AA35" t="n">
        <v>0</v>
      </c>
      <c r="AB35" t="n">
        <v>0</v>
      </c>
      <c r="AC35" t="n">
        <v>0</v>
      </c>
      <c r="AD35" s="2" t="n">
        <v>44621</v>
      </c>
    </row>
    <row r="36">
      <c r="A36" t="n">
        <v>-1</v>
      </c>
      <c r="B36" t="inlineStr">
        <is>
          <t>01-03-2022</t>
        </is>
      </c>
      <c r="C36" t="n">
        <v>2022</v>
      </c>
      <c r="D36" t="n">
        <v>3</v>
      </c>
      <c r="E36" t="inlineStr">
        <is>
          <t>Paillaco 13.8</t>
        </is>
      </c>
      <c r="F36" t="inlineStr">
        <is>
          <t>Socoepa</t>
        </is>
      </c>
      <c r="G36" t="inlineStr">
        <is>
          <t>Socoepa</t>
        </is>
      </c>
      <c r="H36" t="inlineStr">
        <is>
          <t>Empresa Eléctrica Carén S.A.</t>
        </is>
      </c>
      <c r="I36" t="inlineStr">
        <is>
          <t>Empresa Eléctrica Carén S.A.</t>
        </is>
      </c>
      <c r="J36" t="inlineStr">
        <is>
          <t>SIC 2013/03_2_BS1B_BB_SOCOEPA_Empresa Eléctrica Carén S.A.</t>
        </is>
      </c>
      <c r="K36" t="inlineStr">
        <is>
          <t>Paillaco 13.8</t>
        </is>
      </c>
      <c r="L36" t="inlineStr">
        <is>
          <t>-1</t>
        </is>
      </c>
      <c r="M36" t="n">
        <v>706.630202844453</v>
      </c>
      <c r="N36" t="n">
        <v>0</v>
      </c>
      <c r="O36" t="inlineStr">
        <is>
          <t>6</t>
        </is>
      </c>
      <c r="P36" s="2" t="n">
        <v>45002.86247025463</v>
      </c>
      <c r="Q36" t="n">
        <v>68</v>
      </c>
      <c r="R36" t="inlineStr">
        <is>
          <t>RAHUE 220</t>
        </is>
      </c>
      <c r="S36" t="n">
        <v>360.3839923317452</v>
      </c>
      <c r="T36" t="n">
        <v>26796.27644046649</v>
      </c>
      <c r="U36" t="n">
        <v>0</v>
      </c>
      <c r="V36" t="n">
        <v>0</v>
      </c>
      <c r="W36" t="inlineStr">
        <is>
          <t>SOCOEPA</t>
        </is>
      </c>
      <c r="X36" t="n">
        <v>79.10084152152</v>
      </c>
      <c r="Y36" t="n">
        <v>26.79627644046649</v>
      </c>
      <c r="Z36" t="n">
        <v>28506.67706432605</v>
      </c>
      <c r="AA36" t="n">
        <v>0</v>
      </c>
      <c r="AB36" t="n">
        <v>0</v>
      </c>
      <c r="AC36" t="n">
        <v>0</v>
      </c>
      <c r="AD36" s="2" t="n">
        <v>44621</v>
      </c>
    </row>
    <row r="37">
      <c r="A37" t="n">
        <v>-1</v>
      </c>
      <c r="B37" t="inlineStr">
        <is>
          <t>01-03-2022</t>
        </is>
      </c>
      <c r="C37" t="n">
        <v>2022</v>
      </c>
      <c r="D37" t="n">
        <v>3</v>
      </c>
      <c r="E37" t="inlineStr">
        <is>
          <t>Paillaco 13.8</t>
        </is>
      </c>
      <c r="F37" t="inlineStr">
        <is>
          <t>Socoepa</t>
        </is>
      </c>
      <c r="G37" t="inlineStr">
        <is>
          <t>Socoepa</t>
        </is>
      </c>
      <c r="H37" t="inlineStr">
        <is>
          <t>Empresa Eléctrica Carén S.A.</t>
        </is>
      </c>
      <c r="I37" t="inlineStr">
        <is>
          <t>Empresa Eléctrica Carén S.A.</t>
        </is>
      </c>
      <c r="J37" t="inlineStr">
        <is>
          <t>SIC 2013/03_2_BS1B_BB_SOCOEPA_Empresa Eléctrica Carén S.A.</t>
        </is>
      </c>
      <c r="K37" t="inlineStr">
        <is>
          <t>Paillaco 13.8</t>
        </is>
      </c>
      <c r="L37" t="inlineStr">
        <is>
          <t>-1</t>
        </is>
      </c>
      <c r="M37" t="n">
        <v>706.630202844453</v>
      </c>
      <c r="N37" t="n">
        <v>0</v>
      </c>
      <c r="O37" t="inlineStr">
        <is>
          <t>6</t>
        </is>
      </c>
      <c r="P37" s="2" t="n">
        <v>45002.86247025463</v>
      </c>
      <c r="Q37" t="n">
        <v>17</v>
      </c>
      <c r="R37" t="inlineStr">
        <is>
          <t>VALDIVIA 220</t>
        </is>
      </c>
      <c r="S37" t="n">
        <v>356.3957302703503</v>
      </c>
      <c r="T37" t="n">
        <v>26790.11238279762</v>
      </c>
      <c r="U37" t="n">
        <v>0</v>
      </c>
      <c r="V37" t="n">
        <v>0</v>
      </c>
      <c r="W37" t="inlineStr">
        <is>
          <t>SOCOEPA</t>
        </is>
      </c>
      <c r="X37" t="n">
        <v>79.96762344641</v>
      </c>
      <c r="Y37" t="n">
        <v>26.79011238279761</v>
      </c>
      <c r="Z37" t="n">
        <v>28500.11955616768</v>
      </c>
      <c r="AA37" t="n">
        <v>0</v>
      </c>
      <c r="AB37" t="n">
        <v>0</v>
      </c>
      <c r="AC37" t="n">
        <v>0</v>
      </c>
      <c r="AD37" s="2" t="n">
        <v>44621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ref="G2" r:id="rId1"/>
    <hyperlink ref="G3" r:id="rId2"/>
    <hyperlink ref="G4" r:id="rId3"/>
    <hyperlink ref="G5" r:id="rId4"/>
    <hyperlink ref="G6" r:id="rId5"/>
    <hyperlink ref="G7" r:id="rId6"/>
    <hyperlink ref="G8" r:id="rId7"/>
    <hyperlink ref="G9" r:id="rId8"/>
    <hyperlink ref="G10" r:id="rId9"/>
    <hyperlink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2023-03-17T23:41:58Z</dcterms:created>
  <dcterms:modified xsi:type="dcterms:W3CDTF">2023-03-17T23:41:58Z</dcterms:modified>
</cp:coreProperties>
</file>